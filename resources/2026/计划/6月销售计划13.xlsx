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665673BF-1D47-4244-90FF-A788D3682C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O10" i="1"/>
  <c r="S9" i="1"/>
  <c r="M9" i="1"/>
  <c r="K9" i="1" s="1"/>
  <c r="S8" i="1"/>
  <c r="M8" i="1"/>
  <c r="K8" i="1" s="1"/>
  <c r="R10" i="1"/>
  <c r="S7" i="1"/>
  <c r="M7" i="1"/>
  <c r="K7" i="1" s="1"/>
  <c r="S6" i="1"/>
  <c r="M6" i="1"/>
  <c r="L10" i="1" l="1"/>
  <c r="S10" i="1"/>
  <c r="M10" i="1"/>
  <c r="K6" i="1"/>
  <c r="K10" i="1" s="1"/>
</calcChain>
</file>

<file path=xl/sharedStrings.xml><?xml version="1.0" encoding="utf-8"?>
<sst xmlns="http://schemas.openxmlformats.org/spreadsheetml/2006/main" count="93" uniqueCount="71">
  <si>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</si>
  <si>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</si>
  <si>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</si>
  <si>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</si>
  <si>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</si>
  <si>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</si>
  <si>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</si>
  <si>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</si>
  <si>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</si>
  <si>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</si>
  <si>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</si>
  <si>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</si>
  <si>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</si>
  <si>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</si>
  <si>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</si>
  <si>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</si>
  <si>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</si>
  <si>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</si>
  <si>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</si>
  <si>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</si>
  <si>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</si>
  <si>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</si>
  <si>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</si>
  <si>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</si>
  <si>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</si>
  <si>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</si>
  <si>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</si>
  <si>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</si>
  <si>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</si>
  <si>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</si>
  <si>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8.8级</t>
  </si>
  <si>
    <t>FSCR-1901(A)-3</t>
  </si>
  <si>
    <t>40Cr</t>
  </si>
  <si>
    <t>Φ24</t>
  </si>
  <si>
    <t>编织袋+托盘</t>
  </si>
  <si>
    <t>冷镀锌</t>
  </si>
  <si>
    <t>合计</t>
  </si>
  <si>
    <t>详见
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</si>
  <si>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</si>
  <si>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</si>
  <si>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</si>
  <si>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</si>
  <si>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2、</t>
  </si>
  <si>
    <t>螺纹道钉螺纹部分15°冷弯。</t>
  </si>
  <si>
    <t>生产部门按生产工艺生产，加强自检，严格质量管理。技术要求及验收标准按客户《技术协议》规定执行。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</si>
  <si>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</si>
  <si>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</si>
  <si>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</si>
  <si>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</si>
  <si>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</si>
  <si>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6  月  份  销  售  计  划  13</t>
    <phoneticPr fontId="10" type="noConversion"/>
  </si>
  <si>
    <t>260612-2</t>
    <phoneticPr fontId="10" type="noConversion"/>
  </si>
  <si>
    <t>260612-3</t>
  </si>
  <si>
    <t>260612-4</t>
  </si>
  <si>
    <t>260612-5</t>
  </si>
  <si>
    <t>FCF0344</t>
    <phoneticPr fontId="10" type="noConversion"/>
  </si>
  <si>
    <t>热镀锌</t>
    <phoneticPr fontId="10" type="noConversion"/>
  </si>
  <si>
    <t>10.9级</t>
    <phoneticPr fontId="10" type="noConversion"/>
  </si>
  <si>
    <t>24 x 225</t>
    <phoneticPr fontId="10" type="noConversion"/>
  </si>
  <si>
    <t>24 x 235</t>
    <phoneticPr fontId="10" type="noConversion"/>
  </si>
  <si>
    <t>24 x 245</t>
    <phoneticPr fontId="10" type="noConversion"/>
  </si>
  <si>
    <t>24 x 265</t>
    <phoneticPr fontId="10" type="noConversion"/>
  </si>
  <si>
    <t>螺旋道钉
FS1-225</t>
    <phoneticPr fontId="10" type="noConversion"/>
  </si>
  <si>
    <t>螺旋道钉 FS1-235</t>
    <phoneticPr fontId="10" type="noConversion"/>
  </si>
  <si>
    <t>螺旋道钉
FS1-245</t>
    <phoneticPr fontId="10" type="noConversion"/>
  </si>
  <si>
    <t>螺旋道钉
FS1-265</t>
    <phoneticPr fontId="10" type="noConversion"/>
  </si>
  <si>
    <t>2026-6-28</t>
    <phoneticPr fontId="10" type="noConversion"/>
  </si>
  <si>
    <t>FR 8.8
FS1-225
生产批号</t>
    <phoneticPr fontId="10" type="noConversion"/>
  </si>
  <si>
    <t>FR 8.8
FS1-235
生产批号</t>
    <phoneticPr fontId="10" type="noConversion"/>
  </si>
  <si>
    <t>FR 10.9
FS1-245
生产批号</t>
    <phoneticPr fontId="10" type="noConversion"/>
  </si>
  <si>
    <t>FR 10.9
FS1-265
生产批号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</si>
</sst>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00_ "/>
    <numFmt numFmtId="179" formatCode="0.00_ "/>
    <numFmt numFmtId="180" formatCode="0.0_ "/>
    <numFmt numFmtId="181" formatCode="0_ "/>
    <numFmt numFmtId="182" formatCode="[$-F800]dddd\,\ mmmm\ dd\,\ yyyy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9" fontId="3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1" fontId="5" fillId="0" borderId="3" xfId="0" applyNumberFormat="1" applyFont="1" applyBorder="1" applyAlignment="1">
      <alignment horizontal="center" wrapText="1"/>
    </xf>
    <xf numFmtId="179" fontId="5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2" fontId="6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114300</xdr:colOff>
      <xdr:row>13</xdr:row>
      <xdr:rowOff>85725</xdr:rowOff>
    </xdr:from>
    <xdr:to>
      <xdr:col>17</xdr:col>
      <xdr:colOff>95051</xdr:colOff>
      <xdr:row>20</xdr:row>
      <xdr:rowOff>18835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E609DF9-7464-E79C-63D5-EA2DB9143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800" y="4657725"/>
          <a:ext cx="1590476" cy="17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7" workbookViewId="0">
      <selection activeCell="Q10" sqref="Q10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7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37" t="s">
        <v>50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1" customFormat="1" ht="27.75" customHeight="1" x14ac:dyDescent="0.15">
      <c r="B3" s="1" t="s">
        <v>0</v>
      </c>
      <c r="C3" s="1" t="s">
        <v>1</v>
      </c>
      <c r="H3" s="22" t="s">
        <v>2</v>
      </c>
      <c r="I3" s="22"/>
      <c r="O3" s="22" t="s">
        <v>3</v>
      </c>
      <c r="P3" s="22"/>
      <c r="U3" s="23" t="s">
        <v>4</v>
      </c>
      <c r="V3" s="24"/>
      <c r="W3" s="24"/>
    </row>
    <row r="4" spans="1:23" s="1" customFormat="1" ht="27" customHeight="1" x14ac:dyDescent="0.15">
      <c r="A4" s="25" t="s">
        <v>5</v>
      </c>
      <c r="B4" s="25" t="s">
        <v>6</v>
      </c>
      <c r="C4" s="25" t="s">
        <v>7</v>
      </c>
      <c r="D4" s="25" t="s">
        <v>8</v>
      </c>
      <c r="E4" s="25" t="s">
        <v>9</v>
      </c>
      <c r="F4" s="25" t="s">
        <v>10</v>
      </c>
      <c r="G4" s="25" t="s">
        <v>11</v>
      </c>
      <c r="H4" s="5" t="s">
        <v>12</v>
      </c>
      <c r="I4" s="25" t="s">
        <v>13</v>
      </c>
      <c r="J4" s="25"/>
      <c r="K4" s="25"/>
      <c r="L4" s="25" t="s">
        <v>14</v>
      </c>
      <c r="M4" s="25"/>
      <c r="N4" s="25"/>
      <c r="O4" s="25"/>
      <c r="P4" s="25"/>
      <c r="Q4" s="25"/>
      <c r="R4" s="25" t="s">
        <v>15</v>
      </c>
      <c r="S4" s="25"/>
      <c r="T4" s="25" t="s">
        <v>16</v>
      </c>
      <c r="U4" s="25" t="s">
        <v>17</v>
      </c>
      <c r="V4" s="25" t="s">
        <v>18</v>
      </c>
      <c r="W4" s="25" t="s">
        <v>19</v>
      </c>
    </row>
    <row r="5" spans="1:23" s="1" customFormat="1" ht="27.75" customHeight="1" x14ac:dyDescent="0.15">
      <c r="A5" s="28"/>
      <c r="B5" s="25"/>
      <c r="C5" s="25"/>
      <c r="D5" s="25"/>
      <c r="E5" s="25"/>
      <c r="F5" s="25"/>
      <c r="G5" s="25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25"/>
      <c r="U5" s="25"/>
      <c r="V5" s="25"/>
      <c r="W5" s="25"/>
    </row>
    <row r="6" spans="1:23" s="1" customFormat="1" ht="36" customHeight="1" x14ac:dyDescent="0.15">
      <c r="A6" s="5">
        <v>1</v>
      </c>
      <c r="B6" s="42" t="s">
        <v>62</v>
      </c>
      <c r="C6" s="38" t="s">
        <v>58</v>
      </c>
      <c r="D6" s="38" t="s">
        <v>51</v>
      </c>
      <c r="E6" s="40" t="s">
        <v>55</v>
      </c>
      <c r="F6" s="5" t="s">
        <v>30</v>
      </c>
      <c r="G6" s="6" t="s">
        <v>31</v>
      </c>
      <c r="H6" s="7">
        <v>0.83</v>
      </c>
      <c r="I6" s="5" t="s">
        <v>32</v>
      </c>
      <c r="J6" s="5" t="s">
        <v>33</v>
      </c>
      <c r="K6" s="13">
        <f t="shared" ref="K6:K8" si="0">M6/0.95</f>
        <v>17.473684210526319</v>
      </c>
      <c r="L6" s="5">
        <v>20000</v>
      </c>
      <c r="M6" s="14">
        <f>H6*L6*0.001</f>
        <v>16.600000000000001</v>
      </c>
      <c r="N6" s="5">
        <v>25</v>
      </c>
      <c r="O6" s="5">
        <v>800</v>
      </c>
      <c r="P6" s="5">
        <v>40</v>
      </c>
      <c r="Q6" s="5">
        <v>20</v>
      </c>
      <c r="R6" s="5">
        <v>20100</v>
      </c>
      <c r="S6" s="14">
        <f>H6*R6*0.001</f>
        <v>16.683</v>
      </c>
      <c r="T6" s="43" t="s">
        <v>66</v>
      </c>
      <c r="U6" s="38" t="s">
        <v>67</v>
      </c>
      <c r="V6" s="5" t="s">
        <v>35</v>
      </c>
      <c r="W6" s="32" t="s">
        <v>34</v>
      </c>
    </row>
    <row r="7" spans="1:23" s="1" customFormat="1" ht="36" customHeight="1" x14ac:dyDescent="0.15">
      <c r="A7" s="5">
        <v>2</v>
      </c>
      <c r="B7" s="42" t="s">
        <v>63</v>
      </c>
      <c r="C7" s="38" t="s">
        <v>59</v>
      </c>
      <c r="D7" s="38" t="s">
        <v>52</v>
      </c>
      <c r="E7" s="39"/>
      <c r="F7" s="5" t="s">
        <v>30</v>
      </c>
      <c r="G7" s="6" t="s">
        <v>31</v>
      </c>
      <c r="H7" s="7">
        <v>0.88</v>
      </c>
      <c r="I7" s="5" t="s">
        <v>32</v>
      </c>
      <c r="J7" s="5" t="s">
        <v>33</v>
      </c>
      <c r="K7" s="15">
        <f t="shared" si="0"/>
        <v>3.7052631578947368</v>
      </c>
      <c r="L7" s="5">
        <v>4000</v>
      </c>
      <c r="M7" s="14">
        <f>H7*L7*0.001</f>
        <v>3.52</v>
      </c>
      <c r="N7" s="5">
        <v>20</v>
      </c>
      <c r="O7" s="5">
        <v>200</v>
      </c>
      <c r="P7" s="5">
        <v>40</v>
      </c>
      <c r="Q7" s="5">
        <v>5</v>
      </c>
      <c r="R7" s="5">
        <v>4050</v>
      </c>
      <c r="S7" s="14">
        <f>H7*R7*0.001</f>
        <v>3.5640000000000001</v>
      </c>
      <c r="T7" s="29"/>
      <c r="U7" s="38" t="s">
        <v>68</v>
      </c>
      <c r="V7" s="5" t="s">
        <v>35</v>
      </c>
      <c r="W7" s="32"/>
    </row>
    <row r="8" spans="1:23" s="1" customFormat="1" ht="36" customHeight="1" x14ac:dyDescent="0.15">
      <c r="A8" s="5">
        <v>3</v>
      </c>
      <c r="B8" s="42" t="s">
        <v>64</v>
      </c>
      <c r="C8" s="38" t="s">
        <v>60</v>
      </c>
      <c r="D8" s="38" t="s">
        <v>53</v>
      </c>
      <c r="E8" s="39"/>
      <c r="F8" s="38" t="s">
        <v>57</v>
      </c>
      <c r="G8" s="6" t="s">
        <v>31</v>
      </c>
      <c r="H8" s="5">
        <v>0.93</v>
      </c>
      <c r="I8" s="5" t="s">
        <v>32</v>
      </c>
      <c r="J8" s="5" t="s">
        <v>33</v>
      </c>
      <c r="K8" s="13">
        <f t="shared" si="0"/>
        <v>0.65393684210526315</v>
      </c>
      <c r="L8" s="5">
        <v>668</v>
      </c>
      <c r="M8" s="14">
        <f>L8*H8/1000</f>
        <v>0.62124000000000001</v>
      </c>
      <c r="N8" s="5">
        <v>20</v>
      </c>
      <c r="O8" s="5">
        <v>34</v>
      </c>
      <c r="P8" s="5">
        <v>40</v>
      </c>
      <c r="Q8" s="5">
        <v>1</v>
      </c>
      <c r="R8" s="5">
        <v>700</v>
      </c>
      <c r="S8" s="14">
        <f>R8*H8/1000</f>
        <v>0.65100000000000002</v>
      </c>
      <c r="T8" s="29"/>
      <c r="U8" s="38" t="s">
        <v>69</v>
      </c>
      <c r="V8" s="38" t="s">
        <v>56</v>
      </c>
      <c r="W8" s="32"/>
    </row>
    <row r="9" spans="1:23" s="1" customFormat="1" ht="36" customHeight="1" x14ac:dyDescent="0.15">
      <c r="A9" s="5">
        <v>4</v>
      </c>
      <c r="B9" s="42" t="s">
        <v>65</v>
      </c>
      <c r="C9" s="38" t="s">
        <v>61</v>
      </c>
      <c r="D9" s="38" t="s">
        <v>54</v>
      </c>
      <c r="E9" s="41"/>
      <c r="F9" s="38" t="s">
        <v>57</v>
      </c>
      <c r="G9" s="6" t="s">
        <v>31</v>
      </c>
      <c r="H9" s="5">
        <v>1.03</v>
      </c>
      <c r="I9" s="5" t="s">
        <v>32</v>
      </c>
      <c r="J9" s="5" t="s">
        <v>33</v>
      </c>
      <c r="K9" s="15">
        <f>M9/0.95</f>
        <v>1.0842105263157895</v>
      </c>
      <c r="L9" s="5">
        <v>1000</v>
      </c>
      <c r="M9" s="14">
        <f>H9*L9*0.001</f>
        <v>1.03</v>
      </c>
      <c r="N9" s="5">
        <v>20</v>
      </c>
      <c r="O9" s="5">
        <v>50</v>
      </c>
      <c r="P9" s="5">
        <v>40</v>
      </c>
      <c r="Q9" s="5">
        <v>2</v>
      </c>
      <c r="R9" s="5">
        <v>1050</v>
      </c>
      <c r="S9" s="14">
        <f>H9*R9*0.001</f>
        <v>1.0815000000000001</v>
      </c>
      <c r="T9" s="29"/>
      <c r="U9" s="38" t="s">
        <v>70</v>
      </c>
      <c r="V9" s="38" t="s">
        <v>56</v>
      </c>
      <c r="W9" s="32"/>
    </row>
    <row r="10" spans="1:23" s="2" customFormat="1" ht="21" customHeight="1" x14ac:dyDescent="0.15">
      <c r="A10" s="33" t="s">
        <v>36</v>
      </c>
      <c r="B10" s="34"/>
      <c r="C10" s="8"/>
      <c r="D10" s="8"/>
      <c r="E10" s="8"/>
      <c r="F10" s="9"/>
      <c r="G10" s="8"/>
      <c r="H10" s="8"/>
      <c r="I10" s="8"/>
      <c r="J10" s="8"/>
      <c r="K10" s="16">
        <f>K6+K7+K8+K9</f>
        <v>22.91709473684211</v>
      </c>
      <c r="L10" s="16">
        <f>SUM(L6:L9)</f>
        <v>25668</v>
      </c>
      <c r="M10" s="16">
        <f>SUM(M6:M9)</f>
        <v>21.771240000000002</v>
      </c>
      <c r="N10" s="17"/>
      <c r="O10" s="16">
        <f>SUM(O6:O9)</f>
        <v>1084</v>
      </c>
      <c r="P10" s="17"/>
      <c r="Q10" s="16">
        <f>SUM(Q6:Q9)</f>
        <v>28</v>
      </c>
      <c r="R10" s="16">
        <f>SUM(R6:R9)</f>
        <v>25900</v>
      </c>
      <c r="S10" s="16">
        <f>SUM(S6:S9)</f>
        <v>21.979500000000002</v>
      </c>
      <c r="T10" s="19"/>
      <c r="U10" s="30" t="s">
        <v>37</v>
      </c>
      <c r="V10" s="19"/>
      <c r="W10" s="19"/>
    </row>
    <row r="11" spans="1:23" s="3" customFormat="1" ht="21" customHeight="1" x14ac:dyDescent="0.15">
      <c r="A11" s="35"/>
      <c r="B11" s="36"/>
      <c r="C11" s="10"/>
      <c r="D11" s="10"/>
      <c r="E11" s="10"/>
      <c r="F11" s="10"/>
      <c r="G11" s="10"/>
      <c r="H11" s="10"/>
      <c r="I11" s="10"/>
      <c r="J11" s="10"/>
      <c r="K11" s="10" t="s">
        <v>25</v>
      </c>
      <c r="L11" s="10" t="s">
        <v>24</v>
      </c>
      <c r="M11" s="10" t="s">
        <v>25</v>
      </c>
      <c r="N11" s="10"/>
      <c r="O11" s="10" t="s">
        <v>27</v>
      </c>
      <c r="P11" s="10"/>
      <c r="Q11" s="10" t="s">
        <v>29</v>
      </c>
      <c r="R11" s="10" t="s">
        <v>24</v>
      </c>
      <c r="S11" s="10" t="s">
        <v>25</v>
      </c>
      <c r="T11" s="10"/>
      <c r="U11" s="31"/>
      <c r="V11" s="10"/>
      <c r="W11" s="10"/>
    </row>
    <row r="13" spans="1:23" s="1" customFormat="1" ht="19.5" customHeight="1" x14ac:dyDescent="0.15">
      <c r="B13" s="1" t="s">
        <v>38</v>
      </c>
      <c r="O13" s="18"/>
      <c r="S13" s="20" t="s">
        <v>39</v>
      </c>
    </row>
    <row r="14" spans="1:23" s="1" customFormat="1" ht="19.5" customHeight="1" x14ac:dyDescent="0.15">
      <c r="A14" s="1" t="s">
        <v>40</v>
      </c>
      <c r="B14" s="26" t="s">
        <v>41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s="1" customFormat="1" ht="19.5" customHeight="1" x14ac:dyDescent="0.15">
      <c r="A15" s="1" t="s">
        <v>42</v>
      </c>
      <c r="B15" s="26" t="s">
        <v>43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s="1" customFormat="1" ht="19.5" customHeight="1" x14ac:dyDescent="0.15">
      <c r="B16" s="26" t="s">
        <v>44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s="1" customFormat="1" ht="19.5" customHeight="1" x14ac:dyDescent="0.15">
      <c r="A17" s="1" t="s">
        <v>45</v>
      </c>
      <c r="B17" s="26" t="s">
        <v>46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s="1" customFormat="1" ht="19.5" customHeight="1" x14ac:dyDescent="0.15">
      <c r="A18" s="1" t="s">
        <v>47</v>
      </c>
      <c r="B18" s="12" t="s">
        <v>48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23.25" customHeight="1" x14ac:dyDescent="0.15">
      <c r="T19" s="27">
        <v>46185</v>
      </c>
      <c r="U19" s="27"/>
      <c r="V19" s="27"/>
      <c r="W19" s="27"/>
    </row>
    <row r="20" spans="1:23" ht="20.25" customHeight="1" x14ac:dyDescent="0.15">
      <c r="C20" s="26" t="s">
        <v>49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</sheetData>
  <mergeCells count="29">
    <mergeCell ref="V4:V5"/>
    <mergeCell ref="W4:W5"/>
    <mergeCell ref="W6:W9"/>
    <mergeCell ref="A10:B11"/>
    <mergeCell ref="E6:E9"/>
    <mergeCell ref="B15:W15"/>
    <mergeCell ref="B16:W16"/>
    <mergeCell ref="B17:W17"/>
    <mergeCell ref="T19:W19"/>
    <mergeCell ref="C20:N20"/>
    <mergeCell ref="B14:W14"/>
    <mergeCell ref="T6:T9"/>
    <mergeCell ref="U10:U11"/>
    <mergeCell ref="A2:W2"/>
    <mergeCell ref="H3:I3"/>
    <mergeCell ref="O3:P3"/>
    <mergeCell ref="U3:W3"/>
    <mergeCell ref="I4:K4"/>
    <mergeCell ref="L4:Q4"/>
    <mergeCell ref="R4:S4"/>
    <mergeCell ref="A4:A5"/>
    <mergeCell ref="B4:B5"/>
    <mergeCell ref="C4:C5"/>
    <mergeCell ref="D4:D5"/>
    <mergeCell ref="E4:E5"/>
    <mergeCell ref="F4:F5"/>
    <mergeCell ref="G4:G5"/>
    <mergeCell ref="T4:T5"/>
    <mergeCell ref="U4:U5"/>
  </mergeCells>
  <phoneticPr fontId="10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2026-06-12T08:11:05Z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59441E3EF51841088A6EE2EE534C9BC1_13</vt:lpwstr>
  </property>
  <property fmtid="{D5CDD505-2E9C-101B-9397-08002B2CF9AE}" pid="3" name="KSOProductBuildVer">
    <vt:lpwstr>2052-12.1.0.18276</vt:lpwstr>
  </property>
</Properties>
</file>