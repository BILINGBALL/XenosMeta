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AA1F7783-39A3-490C-A716-E9F2265EF28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1" l="1"/>
  <c r="M7" i="1"/>
  <c r="K7" i="1"/>
</calcChain>
</file>

<file path=xl/sharedStrings.xml><?xml version="1.0" encoding="utf-8"?>
<sst xmlns="http://schemas.openxmlformats.org/spreadsheetml/2006/main" count="63" uniqueCount="60">
  <si>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</si>
  <si>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</si>
  <si>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</si>
  <si>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</si>
  <si>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</si>
  <si>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</si>
  <si>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</si>
  <si>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</si>
  <si>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</si>
  <si>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</si>
  <si>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</si>
  <si>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</si>
  <si>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</si>
  <si>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</si>
  <si>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</si>
  <si>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</si>
  <si>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</si>
  <si>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</si>
  <si>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</si>
  <si>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</si>
  <si>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</si>
  <si>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</si>
  <si>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</si>
  <si>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</si>
  <si>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</si>
  <si>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</si>
  <si>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</si>
  <si>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</si>
  <si>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</si>
  <si>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GB3098.1
5.6级</t>
  </si>
  <si>
    <t>35K</t>
  </si>
  <si>
    <t>Φ25</t>
  </si>
  <si>
    <t>热镀锌</t>
  </si>
  <si>
    <t>编织袋+免熏蒸木箱</t>
  </si>
  <si>
    <t>螺纹
道钉</t>
  </si>
  <si>
    <t>24X190</t>
  </si>
  <si>
    <t>合计</t>
  </si>
  <si>
    <t>详见图纸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</si>
  <si>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</si>
  <si>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</si>
  <si>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</si>
  <si>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</si>
  <si>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</si>
  <si>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</si>
  <si>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</si>
  <si>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</si>
  <si>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</si>
  <si>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r>
      <rPr>
        <sz val="10"/>
        <color theme="1"/>
        <rFont val="宋体"/>
        <charset val="134"/>
        <scheme val="minor"/>
      </rPr>
      <t>包装物为编织袋加免熏蒸木箱。木箱外尺寸是：</t>
    </r>
    <r>
      <rPr>
        <b/>
        <sz val="10"/>
        <color theme="1"/>
        <rFont val="宋体"/>
        <charset val="134"/>
        <scheme val="minor"/>
      </rPr>
      <t>1100×800×550mm</t>
    </r>
  </si>
  <si>
    <t>分发：总经理、总经办、品管部、生产部</t>
  </si>
  <si>
    <t>4  月  份  销  售  计  划 5</t>
    <phoneticPr fontId="7" type="noConversion"/>
  </si>
  <si>
    <t>260415-1</t>
    <phoneticPr fontId="7" type="noConversion"/>
  </si>
  <si>
    <t>7.3
吨</t>
    <phoneticPr fontId="7" type="noConversion"/>
  </si>
  <si>
    <t>10000
件</t>
    <phoneticPr fontId="7" type="noConversion"/>
  </si>
  <si>
    <t>7
吨</t>
    <phoneticPr fontId="7" type="noConversion"/>
  </si>
  <si>
    <t>400
袋</t>
    <phoneticPr fontId="7" type="noConversion"/>
  </si>
  <si>
    <t>10100
件</t>
    <phoneticPr fontId="7" type="noConversion"/>
  </si>
  <si>
    <t>ACC-SS8</t>
    <phoneticPr fontId="7" type="noConversion"/>
  </si>
  <si>
    <t>13
箱</t>
    <phoneticPr fontId="7" type="noConversion"/>
  </si>
  <si>
    <t>2026-5-20</t>
    <phoneticPr fontId="7" type="noConversion"/>
  </si>
  <si>
    <r>
      <t xml:space="preserve">DEL
</t>
    </r>
    <r>
      <rPr>
        <sz val="10"/>
        <color theme="1"/>
        <rFont val="宋体"/>
        <charset val="134"/>
        <scheme val="minor"/>
      </rPr>
      <t>190-1
Ss8
SDL</t>
    </r>
    <r>
      <rPr>
        <b/>
        <sz val="10"/>
        <color theme="1"/>
        <rFont val="宋体"/>
        <family val="3"/>
        <charset val="134"/>
        <scheme val="minor"/>
      </rPr>
      <t xml:space="preserve"> </t>
    </r>
    <r>
      <rPr>
        <sz val="10"/>
        <color theme="1"/>
        <rFont val="宋体"/>
        <charset val="134"/>
        <scheme val="minor"/>
      </rPr>
      <t>26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</si>
</sst>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_ "/>
    <numFmt numFmtId="180" formatCode="0_ "/>
  </numFmts>
  <fonts count="13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 applyAlignment="1">
      <alignment horizontal="right" wrapText="1"/>
    </xf>
    <xf numFmtId="14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49" fontId="11" fillId="3" borderId="4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7"/>
  <sheetViews>
    <sheetView tabSelected="1" workbookViewId="0">
      <selection activeCell="T7" sqref="T7"/>
    </sheetView>
  </sheetViews>
  <sheetFormatPr defaultColWidth="9" defaultRowHeight="13.5" x14ac:dyDescent="0.15"/>
  <cols>
    <col min="1" max="1" width="4.125" style="2" customWidth="1"/>
    <col min="2" max="2" width="6.5" style="2" customWidth="1"/>
    <col min="3" max="4" width="9.125" style="2" customWidth="1"/>
    <col min="5" max="5" width="5.875" style="2" customWidth="1"/>
    <col min="6" max="6" width="8" style="2" customWidth="1"/>
    <col min="7" max="7" width="6.25" style="2" customWidth="1"/>
    <col min="8" max="8" width="6.5" style="2" customWidth="1"/>
    <col min="9" max="9" width="5.625" style="2" customWidth="1"/>
    <col min="10" max="10" width="5.375" style="2" customWidth="1"/>
    <col min="11" max="11" width="6.125" style="2" customWidth="1"/>
    <col min="12" max="13" width="5.625" style="2" customWidth="1"/>
    <col min="14" max="14" width="4.375" style="2" customWidth="1"/>
    <col min="15" max="15" width="5.625" style="2" customWidth="1"/>
    <col min="16" max="16" width="4.875" style="2" customWidth="1"/>
    <col min="17" max="19" width="5.625" style="2" customWidth="1"/>
    <col min="20" max="20" width="5.125" style="2" customWidth="1"/>
    <col min="21" max="21" width="6.75" style="2" customWidth="1"/>
    <col min="22" max="22" width="5.625" style="2" customWidth="1"/>
    <col min="23" max="23" width="6.125" style="2" customWidth="1"/>
    <col min="24" max="16384" width="9" style="2"/>
  </cols>
  <sheetData>
    <row r="2" spans="1:23" ht="45" customHeight="1" x14ac:dyDescent="0.15">
      <c r="A2" s="18" t="s">
        <v>49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4" spans="1:23" s="1" customFormat="1" ht="22.5" customHeight="1" x14ac:dyDescent="0.15">
      <c r="B4" s="3" t="s">
        <v>0</v>
      </c>
      <c r="C4" s="3" t="s">
        <v>1</v>
      </c>
      <c r="D4" s="3"/>
      <c r="E4" s="3"/>
      <c r="F4" s="3"/>
      <c r="G4" s="3"/>
      <c r="H4" s="3"/>
      <c r="I4" s="10" t="s">
        <v>2</v>
      </c>
      <c r="J4" s="10"/>
      <c r="K4" s="3"/>
      <c r="L4" s="3"/>
      <c r="M4" s="3"/>
      <c r="N4" s="11" t="s">
        <v>3</v>
      </c>
      <c r="O4" s="11"/>
      <c r="P4" s="3"/>
      <c r="Q4" s="3"/>
      <c r="R4" s="3"/>
      <c r="S4" s="3"/>
      <c r="T4" s="12"/>
      <c r="U4" s="13"/>
      <c r="V4" s="13"/>
      <c r="W4" s="13"/>
    </row>
    <row r="5" spans="1:23" s="1" customFormat="1" ht="29.25" customHeight="1" x14ac:dyDescent="0.15">
      <c r="A5" s="14" t="s">
        <v>4</v>
      </c>
      <c r="B5" s="14" t="s">
        <v>5</v>
      </c>
      <c r="C5" s="14" t="s">
        <v>6</v>
      </c>
      <c r="D5" s="14" t="s">
        <v>7</v>
      </c>
      <c r="E5" s="14" t="s">
        <v>8</v>
      </c>
      <c r="F5" s="14" t="s">
        <v>9</v>
      </c>
      <c r="G5" s="14" t="s">
        <v>10</v>
      </c>
      <c r="H5" s="4" t="s">
        <v>11</v>
      </c>
      <c r="I5" s="14" t="s">
        <v>12</v>
      </c>
      <c r="J5" s="14"/>
      <c r="K5" s="14"/>
      <c r="L5" s="14" t="s">
        <v>13</v>
      </c>
      <c r="M5" s="14"/>
      <c r="N5" s="14"/>
      <c r="O5" s="14"/>
      <c r="P5" s="14"/>
      <c r="Q5" s="14"/>
      <c r="R5" s="14" t="s">
        <v>14</v>
      </c>
      <c r="S5" s="14"/>
      <c r="T5" s="14" t="s">
        <v>15</v>
      </c>
      <c r="U5" s="14" t="s">
        <v>16</v>
      </c>
      <c r="V5" s="14" t="s">
        <v>17</v>
      </c>
      <c r="W5" s="14" t="s">
        <v>18</v>
      </c>
    </row>
    <row r="6" spans="1:23" s="1" customFormat="1" ht="29.25" customHeight="1" x14ac:dyDescent="0.15">
      <c r="A6" s="14"/>
      <c r="B6" s="14"/>
      <c r="C6" s="14"/>
      <c r="D6" s="14"/>
      <c r="E6" s="14"/>
      <c r="F6" s="14"/>
      <c r="G6" s="14"/>
      <c r="H6" s="4" t="s">
        <v>19</v>
      </c>
      <c r="I6" s="4" t="s">
        <v>20</v>
      </c>
      <c r="J6" s="4" t="s">
        <v>21</v>
      </c>
      <c r="K6" s="5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4" t="s">
        <v>23</v>
      </c>
      <c r="S6" s="4" t="s">
        <v>24</v>
      </c>
      <c r="T6" s="14"/>
      <c r="U6" s="14"/>
      <c r="V6" s="14"/>
      <c r="W6" s="14"/>
    </row>
    <row r="7" spans="1:23" s="1" customFormat="1" ht="60" customHeight="1" x14ac:dyDescent="0.15">
      <c r="A7" s="4">
        <v>1</v>
      </c>
      <c r="B7" s="4" t="s">
        <v>34</v>
      </c>
      <c r="C7" s="4" t="s">
        <v>35</v>
      </c>
      <c r="D7" s="19" t="s">
        <v>50</v>
      </c>
      <c r="E7" s="4">
        <v>9577</v>
      </c>
      <c r="F7" s="4" t="s">
        <v>29</v>
      </c>
      <c r="G7" s="19" t="s">
        <v>56</v>
      </c>
      <c r="H7" s="4">
        <v>0.69</v>
      </c>
      <c r="I7" s="4" t="s">
        <v>30</v>
      </c>
      <c r="J7" s="4" t="s">
        <v>31</v>
      </c>
      <c r="K7" s="7">
        <f>M7/0.94</f>
        <v>7.3404255319148932</v>
      </c>
      <c r="L7" s="4">
        <v>10000</v>
      </c>
      <c r="M7" s="8">
        <f>H7*L7/1000</f>
        <v>6.8999999999999995</v>
      </c>
      <c r="N7" s="4">
        <v>25</v>
      </c>
      <c r="O7" s="4">
        <v>400</v>
      </c>
      <c r="P7" s="4">
        <v>32</v>
      </c>
      <c r="Q7" s="4">
        <v>13</v>
      </c>
      <c r="R7" s="4">
        <v>10100</v>
      </c>
      <c r="S7" s="7">
        <f>H7*R7/1000</f>
        <v>6.9689999999999994</v>
      </c>
      <c r="T7" s="21" t="s">
        <v>58</v>
      </c>
      <c r="U7" s="20" t="s">
        <v>59</v>
      </c>
      <c r="V7" s="5" t="s">
        <v>32</v>
      </c>
      <c r="W7" s="17" t="s">
        <v>33</v>
      </c>
    </row>
    <row r="8" spans="1:23" s="1" customFormat="1" ht="34.5" customHeight="1" x14ac:dyDescent="0.15">
      <c r="A8" s="14" t="s">
        <v>36</v>
      </c>
      <c r="B8" s="14"/>
      <c r="C8" s="4"/>
      <c r="D8" s="4"/>
      <c r="E8" s="4"/>
      <c r="F8" s="4"/>
      <c r="G8" s="4"/>
      <c r="H8" s="4"/>
      <c r="I8" s="4"/>
      <c r="J8" s="4"/>
      <c r="K8" s="19" t="s">
        <v>51</v>
      </c>
      <c r="L8" s="19" t="s">
        <v>52</v>
      </c>
      <c r="M8" s="19" t="s">
        <v>53</v>
      </c>
      <c r="N8" s="4"/>
      <c r="O8" s="19" t="s">
        <v>54</v>
      </c>
      <c r="P8" s="4"/>
      <c r="Q8" s="19" t="s">
        <v>57</v>
      </c>
      <c r="R8" s="19" t="s">
        <v>55</v>
      </c>
      <c r="S8" s="19" t="s">
        <v>53</v>
      </c>
      <c r="T8" s="4"/>
      <c r="U8" s="4" t="s">
        <v>37</v>
      </c>
      <c r="V8" s="4"/>
      <c r="W8" s="4"/>
    </row>
    <row r="9" spans="1:23" ht="17.25" customHeight="1" x14ac:dyDescent="0.15">
      <c r="H9" s="6"/>
    </row>
    <row r="10" spans="1:23" s="1" customFormat="1" ht="19.5" customHeight="1" x14ac:dyDescent="0.15">
      <c r="B10" s="1" t="s">
        <v>38</v>
      </c>
    </row>
    <row r="11" spans="1:23" s="1" customFormat="1" ht="19.5" customHeight="1" x14ac:dyDescent="0.15">
      <c r="A11" s="1" t="s">
        <v>39</v>
      </c>
      <c r="B11" s="15" t="s">
        <v>40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 s="1" customFormat="1" ht="19.5" customHeight="1" x14ac:dyDescent="0.15">
      <c r="B12" s="15" t="s">
        <v>41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 s="1" customFormat="1" ht="19.5" customHeight="1" x14ac:dyDescent="0.15">
      <c r="A13" s="1" t="s">
        <v>42</v>
      </c>
      <c r="B13" s="15" t="s">
        <v>43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s="1" customFormat="1" ht="19.5" customHeight="1" x14ac:dyDescent="0.15">
      <c r="A14" s="1" t="s">
        <v>44</v>
      </c>
      <c r="B14" s="15" t="s">
        <v>45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 s="1" customFormat="1" ht="19.5" customHeight="1" x14ac:dyDescent="0.15">
      <c r="A15" s="1" t="s">
        <v>46</v>
      </c>
      <c r="B15" s="15" t="s">
        <v>47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3" ht="42" customHeight="1" x14ac:dyDescent="0.15">
      <c r="T16" s="16">
        <v>46127</v>
      </c>
      <c r="U16" s="16"/>
      <c r="V16" s="16"/>
      <c r="W16" s="16"/>
    </row>
    <row r="17" spans="3:14" ht="20.25" customHeight="1" x14ac:dyDescent="0.15">
      <c r="C17" s="15" t="s">
        <v>48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</sheetData>
  <mergeCells count="26">
    <mergeCell ref="B15:W15"/>
    <mergeCell ref="T16:W16"/>
    <mergeCell ref="C17:N17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  <mergeCell ref="A8:B8"/>
    <mergeCell ref="B11:W11"/>
    <mergeCell ref="B12:W12"/>
    <mergeCell ref="B13:W13"/>
    <mergeCell ref="B14:W14"/>
    <mergeCell ref="A2:W2"/>
    <mergeCell ref="I4:J4"/>
    <mergeCell ref="N4:O4"/>
    <mergeCell ref="T4:W4"/>
    <mergeCell ref="I5:K5"/>
    <mergeCell ref="L5:Q5"/>
    <mergeCell ref="R5:S5"/>
  </mergeCells>
  <phoneticPr fontId="7" type="noConversion"/>
  <pageMargins left="0.7" right="0.7" top="0.75" bottom="0.75" header="0.3" footer="0.3"/>
  <pageSetup paperSize="9" scale="96" orientation="landscape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2026-04-15T03:23:10Z</cp:lastPrinted>
  <dcterms:created xsi:type="dcterms:W3CDTF">2006-09-13T11:21:00Z</dcterms:created>
  <dcterms:modified xsi:type="dcterms:W3CDTF">2026-04-15T03:23:30Z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335BD3378D2445A2A84FE61212D612EC_13</vt:lpwstr>
  </property>
</Properties>
</file>