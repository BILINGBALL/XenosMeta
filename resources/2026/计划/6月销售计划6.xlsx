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835874A-F376-4EF1-A573-E2CCC99D08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<sst xmlns="http://schemas.openxmlformats.org/spreadsheetml/2006/main" count="55" uniqueCount="53">
  <si>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</si>
  <si>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</si>
  <si>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</si>
  <si>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</si>
  <si>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</si>
  <si>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</si>
  <si>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</si>
  <si>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</si>
  <si>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</si>
  <si>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</si>
  <si>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</si>
  <si>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</si>
  <si>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</si>
  <si>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</si>
  <si>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</si>
  <si>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</si>
  <si>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</si>
  <si>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</si>
  <si>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</si>
  <si>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</si>
  <si>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</si>
  <si>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</si>
  <si>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</si>
  <si>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</si>
  <si>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</si>
  <si>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</si>
  <si>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</si>
  <si>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</si>
  <si>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</si>
  <si>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</si>
  <si>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E225054 
E225235</t>
  </si>
  <si>
    <t>35K</t>
  </si>
  <si>
    <r>
      <rPr>
        <b/>
        <sz val="10"/>
        <color rgb="FFFF0000"/>
        <rFont val="宋体"/>
        <family val="3"/>
        <charset val="134"/>
        <scheme val="minor"/>
      </rPr>
      <t>电镀白锌</t>
    </r>
    <r>
      <rPr>
        <sz val="10"/>
        <color theme="1"/>
        <rFont val="宋体"/>
        <family val="3"/>
        <charset val="134"/>
        <scheme val="minor"/>
      </rPr>
      <t>≥12μm
90小时无白锈，200小时无红锈</t>
    </r>
  </si>
  <si>
    <t>编织袋+欧式木箱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</si>
  <si>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</si>
  <si>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</si>
  <si>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</si>
  <si>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</si>
  <si>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</si>
  <si>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</si>
  <si>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</si>
  <si>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</si>
  <si>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包装物为编织袋加欧式木箱。 </t>
  </si>
  <si>
    <t>分发：总经理、总经办、品管部、生产部</t>
  </si>
  <si>
    <t>客户图纸
UIC864-1</t>
    <phoneticPr fontId="10" type="noConversion"/>
  </si>
  <si>
    <t>23*149</t>
    <phoneticPr fontId="10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</si>
  <si>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</si>
  <si>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6 月  份  销  售  计  划  6</t>
    <phoneticPr fontId="10" type="noConversion"/>
  </si>
  <si>
    <t>CA2602964</t>
    <phoneticPr fontId="10" type="noConversion"/>
  </si>
  <si>
    <t>2026-7-8</t>
    <phoneticPr fontId="10" type="noConversion"/>
  </si>
  <si>
    <r>
      <t xml:space="preserve">PANDROL
SDL
</t>
    </r>
    <r>
      <rPr>
        <b/>
        <sz val="12"/>
        <color theme="1"/>
        <rFont val="宋体"/>
        <family val="3"/>
        <charset val="134"/>
        <scheme val="minor"/>
      </rPr>
      <t>5.6</t>
    </r>
    <r>
      <rPr>
        <sz val="9"/>
        <color theme="1"/>
        <rFont val="宋体"/>
        <family val="3"/>
        <charset val="134"/>
        <scheme val="minor"/>
      </rPr>
      <t xml:space="preserve">
GS54-B5
26</t>
    </r>
    <phoneticPr fontId="10" type="noConversion"/>
  </si>
  <si>
    <t>FAT</t>
    <phoneticPr fontId="10" type="noConversion"/>
  </si>
  <si>
    <t>260608-1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</si>
</sst>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  <font>
      <b/>
      <sz val="14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7" workbookViewId="0">
      <selection activeCell="F9" sqref="F9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5" t="s">
        <v>47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4" spans="1:23" s="1" customFormat="1" ht="27.75" customHeight="1" x14ac:dyDescent="0.15">
      <c r="A4" s="26" t="s">
        <v>0</v>
      </c>
      <c r="B4" s="26"/>
      <c r="C4" s="1" t="s">
        <v>1</v>
      </c>
      <c r="H4" s="26" t="s">
        <v>2</v>
      </c>
      <c r="I4" s="26"/>
      <c r="O4" s="26" t="s">
        <v>3</v>
      </c>
      <c r="P4" s="26"/>
      <c r="U4" s="27"/>
      <c r="V4" s="28"/>
      <c r="W4" s="28"/>
    </row>
    <row r="5" spans="1:23" s="1" customFormat="1" ht="27" customHeight="1" x14ac:dyDescent="0.15">
      <c r="A5" s="19" t="s">
        <v>4</v>
      </c>
      <c r="B5" s="19" t="s">
        <v>5</v>
      </c>
      <c r="C5" s="19" t="s">
        <v>6</v>
      </c>
      <c r="D5" s="19" t="s">
        <v>7</v>
      </c>
      <c r="E5" s="19" t="s">
        <v>8</v>
      </c>
      <c r="F5" s="19" t="s">
        <v>9</v>
      </c>
      <c r="G5" s="19" t="s">
        <v>10</v>
      </c>
      <c r="H5" s="3" t="s">
        <v>11</v>
      </c>
      <c r="I5" s="21" t="s">
        <v>12</v>
      </c>
      <c r="J5" s="22"/>
      <c r="K5" s="22"/>
      <c r="L5" s="19" t="s">
        <v>13</v>
      </c>
      <c r="M5" s="19"/>
      <c r="N5" s="19"/>
      <c r="O5" s="19"/>
      <c r="P5" s="19"/>
      <c r="Q5" s="19"/>
      <c r="R5" s="19" t="s">
        <v>14</v>
      </c>
      <c r="S5" s="19"/>
      <c r="T5" s="19" t="s">
        <v>15</v>
      </c>
      <c r="U5" s="19" t="s">
        <v>16</v>
      </c>
      <c r="V5" s="19" t="s">
        <v>17</v>
      </c>
      <c r="W5" s="19" t="s">
        <v>18</v>
      </c>
    </row>
    <row r="6" spans="1:23" s="1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9"/>
      <c r="U6" s="19"/>
      <c r="V6" s="19"/>
      <c r="W6" s="19"/>
    </row>
    <row r="7" spans="1:23" s="1" customFormat="1" ht="105.75" customHeight="1" x14ac:dyDescent="0.15">
      <c r="A7" s="4">
        <v>1</v>
      </c>
      <c r="B7" s="3" t="s">
        <v>29</v>
      </c>
      <c r="C7" s="11" t="s">
        <v>45</v>
      </c>
      <c r="D7" s="3" t="s">
        <v>52</v>
      </c>
      <c r="E7" s="4" t="s">
        <v>48</v>
      </c>
      <c r="F7" s="12" t="s">
        <v>44</v>
      </c>
      <c r="G7" s="3" t="s">
        <v>30</v>
      </c>
      <c r="H7" s="3">
        <v>0.54</v>
      </c>
      <c r="I7" s="6" t="s">
        <v>31</v>
      </c>
      <c r="J7" s="14" t="s">
        <v>46</v>
      </c>
      <c r="K7" s="7">
        <f>M7/0.92</f>
        <v>35.217391304347828</v>
      </c>
      <c r="L7" s="3">
        <v>60000</v>
      </c>
      <c r="M7" s="8">
        <f>L7*H7/1000</f>
        <v>32.400000000000006</v>
      </c>
      <c r="N7" s="3">
        <v>35</v>
      </c>
      <c r="O7" s="3">
        <v>1714</v>
      </c>
      <c r="P7" s="3">
        <v>35</v>
      </c>
      <c r="Q7" s="3">
        <v>49</v>
      </c>
      <c r="R7" s="3">
        <v>60100</v>
      </c>
      <c r="S7" s="8">
        <f>R7*H7/1000</f>
        <v>32.454000000000001</v>
      </c>
      <c r="T7" s="16" t="s">
        <v>49</v>
      </c>
      <c r="U7" s="5" t="s">
        <v>50</v>
      </c>
      <c r="V7" s="13" t="s">
        <v>32</v>
      </c>
      <c r="W7" s="5" t="s">
        <v>33</v>
      </c>
    </row>
    <row r="8" spans="1:23" s="1" customFormat="1" ht="42" customHeight="1" x14ac:dyDescent="0.15">
      <c r="A8" s="21" t="s">
        <v>34</v>
      </c>
      <c r="B8" s="22"/>
      <c r="C8" s="22"/>
      <c r="D8" s="22"/>
      <c r="E8" s="22"/>
      <c r="F8" s="22"/>
      <c r="G8" s="23"/>
      <c r="H8" s="3"/>
      <c r="I8" s="3"/>
      <c r="J8" s="3"/>
      <c r="K8" s="8">
        <f>SUM(K7:K7)</f>
        <v>35.217391304347828</v>
      </c>
      <c r="L8" s="8">
        <f>SUM(L7:L7)</f>
        <v>60000</v>
      </c>
      <c r="M8" s="8">
        <f>SUM(M7:M7)</f>
        <v>32.400000000000006</v>
      </c>
      <c r="N8" s="3"/>
      <c r="O8" s="8">
        <f>SUM(O7:O7)</f>
        <v>1714</v>
      </c>
      <c r="P8" s="3"/>
      <c r="Q8" s="8">
        <f>SUM(Q7:Q7)</f>
        <v>49</v>
      </c>
      <c r="R8" s="3"/>
      <c r="S8" s="8">
        <f>SUM(S7:S7)</f>
        <v>32.454000000000001</v>
      </c>
      <c r="T8" s="10"/>
      <c r="U8" s="3" t="s">
        <v>35</v>
      </c>
      <c r="V8" s="3"/>
      <c r="W8" s="5"/>
    </row>
    <row r="9" spans="1:23" ht="19.5" customHeight="1" x14ac:dyDescent="0.15">
      <c r="U9" s="24" t="s">
        <v>51</v>
      </c>
      <c r="V9" s="24"/>
    </row>
    <row r="10" spans="1:23" s="1" customFormat="1" ht="19.5" customHeight="1" x14ac:dyDescent="0.15">
      <c r="B10" s="1" t="s">
        <v>36</v>
      </c>
      <c r="O10" s="9"/>
      <c r="S10"/>
      <c r="T10" s="15"/>
      <c r="U10" s="24"/>
      <c r="V10" s="24"/>
    </row>
    <row r="11" spans="1:23" s="1" customFormat="1" ht="19.5" customHeight="1" x14ac:dyDescent="0.15">
      <c r="A11" s="1" t="s">
        <v>37</v>
      </c>
      <c r="B11" s="17" t="s">
        <v>38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A12" s="1" t="s">
        <v>39</v>
      </c>
      <c r="B12" s="17" t="s">
        <v>40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41</v>
      </c>
      <c r="B13" s="17" t="s">
        <v>42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ht="42" customHeight="1" x14ac:dyDescent="0.15"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20.25" customHeight="1" x14ac:dyDescent="0.15">
      <c r="C15" s="17" t="s">
        <v>43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20"/>
      <c r="P15" s="20"/>
      <c r="Q15" s="20"/>
      <c r="R15" s="20"/>
      <c r="S15" s="20"/>
      <c r="T15" s="20"/>
      <c r="U15" s="20"/>
      <c r="V15" s="20"/>
      <c r="W15" s="20"/>
    </row>
    <row r="16" spans="1:23" x14ac:dyDescent="0.15">
      <c r="Q16" s="18">
        <v>46181</v>
      </c>
      <c r="R16" s="18"/>
      <c r="S16" s="18"/>
      <c r="T16" s="18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10" type="noConversion"/>
  <pageMargins left="0.7" right="0.7" top="0.75" bottom="0.75" header="0.3" footer="0.3"/>
  <pageSetup paperSize="9" scale="8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2025-02-19T03:07:26Z</cp:lastPrinted>
  <dcterms:created xsi:type="dcterms:W3CDTF">2006-09-13T11:21:00Z</dcterms:created>
  <dcterms:modified xsi:type="dcterms:W3CDTF">2026-06-08T02:30:51Z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