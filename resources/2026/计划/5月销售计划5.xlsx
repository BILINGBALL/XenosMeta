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5E7B10D6-86DB-4D4A-A7A4-B52DECE6A8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Q8" i="1"/>
  <c r="O8" i="1"/>
  <c r="L8" i="1"/>
  <c r="S7" i="1"/>
  <c r="S8" i="1" s="1"/>
  <c r="M7" i="1"/>
  <c r="M8" i="1" s="1"/>
  <c r="K7" i="1" l="1"/>
  <c r="K8" i="1" s="1"/>
</calcChain>
</file>

<file path=xl/sharedStrings.xml><?xml version="1.0" encoding="utf-8"?>
<sst xmlns="http://schemas.openxmlformats.org/spreadsheetml/2006/main" count="64" uniqueCount="55">
  <si>
    <t>编制：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</si>
  <si>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</si>
  <si>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</si>
  <si>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</si>
  <si>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</si>
  <si>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</si>
  <si>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</si>
  <si>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</si>
  <si>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</si>
  <si>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</si>
  <si>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</si>
  <si>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</si>
  <si>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</si>
  <si>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</si>
  <si>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</si>
  <si>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</si>
  <si>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</si>
  <si>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</si>
  <si>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</si>
  <si>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</si>
  <si>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</si>
  <si>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</si>
  <si>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</si>
  <si>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</si>
  <si>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</si>
  <si>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</si>
  <si>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</si>
  <si>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</si>
  <si>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</si>
  <si>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SS8-150
24X142</t>
  </si>
  <si>
    <t>5.6级</t>
  </si>
  <si>
    <t>6161/1</t>
  </si>
  <si>
    <t>35K</t>
  </si>
  <si>
    <t>Φ25</t>
  </si>
  <si>
    <t>热镀锌</t>
  </si>
  <si>
    <t>编织袋+免熏蒸木箱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</si>
  <si>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</si>
  <si>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</si>
  <si>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</si>
  <si>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</si>
  <si>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</si>
  <si>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</si>
  <si>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</si>
  <si>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</si>
  <si>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</si>
  <si>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</si>
  <si>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</si>
  <si>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高蕾</t>
    <phoneticPr fontId="9" type="noConversion"/>
  </si>
  <si>
    <t>5 月  份  销  售  计  划  5</t>
    <phoneticPr fontId="9" type="noConversion"/>
  </si>
  <si>
    <t>260512-1</t>
    <phoneticPr fontId="9" type="noConversion"/>
  </si>
  <si>
    <t>PO009733</t>
    <phoneticPr fontId="9" type="noConversion"/>
  </si>
  <si>
    <t>2026-6-5</t>
    <phoneticPr fontId="9" type="noConversion"/>
  </si>
  <si>
    <t>空运</t>
    <phoneticPr fontId="9" type="noConversion"/>
  </si>
  <si>
    <t>有库存</t>
    <phoneticPr fontId="9" type="noConversion"/>
  </si>
  <si>
    <t xml:space="preserve">包装物为编织袋加免熏蒸木箱。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</si>
</sst>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_ "/>
    <numFmt numFmtId="178" formatCode="0.00_ 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wrapText="1"/>
    </xf>
    <xf numFmtId="178" fontId="3" fillId="0" borderId="3" xfId="0" applyNumberFormat="1" applyFont="1" applyBorder="1" applyAlignment="1">
      <alignment horizontal="center" wrapText="1"/>
    </xf>
    <xf numFmtId="177" fontId="3" fillId="0" borderId="3" xfId="0" applyNumberFormat="1" applyFont="1" applyBorder="1" applyAlignment="1">
      <alignment horizontal="center" wrapText="1"/>
    </xf>
    <xf numFmtId="176" fontId="1" fillId="0" borderId="0" xfId="0" applyNumberFormat="1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17" fontId="1" fillId="0" borderId="2" xfId="0" quotePrefix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9"/>
  <sheetViews>
    <sheetView tabSelected="1" topLeftCell="A4" workbookViewId="0">
      <selection activeCell="B16" sqref="B16:W16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8.87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8.375" style="2" customWidth="1"/>
    <col min="9" max="11" width="5.625" style="2" customWidth="1"/>
    <col min="12" max="12" width="6.5" style="2" customWidth="1"/>
    <col min="13" max="13" width="7.25" style="2" customWidth="1"/>
    <col min="14" max="14" width="4" style="2" customWidth="1"/>
    <col min="15" max="15" width="6" style="2" customWidth="1"/>
    <col min="16" max="16" width="4.625" style="2" customWidth="1"/>
    <col min="17" max="17" width="4.125" style="2" customWidth="1"/>
    <col min="18" max="19" width="6.5" style="2" customWidth="1"/>
    <col min="20" max="20" width="6.375" style="2" customWidth="1"/>
    <col min="21" max="21" width="5.25" style="2" customWidth="1"/>
    <col min="22" max="22" width="5.125" style="2" customWidth="1"/>
    <col min="23" max="23" width="4.875" style="2" customWidth="1"/>
    <col min="24" max="16384" width="9" style="2"/>
  </cols>
  <sheetData>
    <row r="2" spans="1:23" ht="45" customHeight="1" x14ac:dyDescent="0.15">
      <c r="A2" s="38" t="s">
        <v>48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</row>
    <row r="4" spans="1:23" s="1" customFormat="1" ht="27.75" customHeight="1" x14ac:dyDescent="0.15">
      <c r="A4" s="40" t="s">
        <v>0</v>
      </c>
      <c r="B4" s="40"/>
      <c r="C4" s="22" t="s">
        <v>47</v>
      </c>
      <c r="H4" s="40" t="s">
        <v>1</v>
      </c>
      <c r="I4" s="40"/>
      <c r="O4" s="40" t="s">
        <v>2</v>
      </c>
      <c r="P4" s="40"/>
      <c r="U4" s="41"/>
      <c r="V4" s="42"/>
      <c r="W4" s="42"/>
    </row>
    <row r="5" spans="1:23" s="1" customFormat="1" ht="27" customHeight="1" x14ac:dyDescent="0.15">
      <c r="A5" s="26" t="s">
        <v>3</v>
      </c>
      <c r="B5" s="26" t="s">
        <v>4</v>
      </c>
      <c r="C5" s="26" t="s">
        <v>5</v>
      </c>
      <c r="D5" s="26" t="s">
        <v>6</v>
      </c>
      <c r="E5" s="26" t="s">
        <v>7</v>
      </c>
      <c r="F5" s="26" t="s">
        <v>8</v>
      </c>
      <c r="G5" s="26" t="s">
        <v>9</v>
      </c>
      <c r="H5" s="3" t="s">
        <v>10</v>
      </c>
      <c r="I5" s="30" t="s">
        <v>11</v>
      </c>
      <c r="J5" s="31"/>
      <c r="K5" s="31"/>
      <c r="L5" s="26" t="s">
        <v>12</v>
      </c>
      <c r="M5" s="26"/>
      <c r="N5" s="26"/>
      <c r="O5" s="26"/>
      <c r="P5" s="26"/>
      <c r="Q5" s="26"/>
      <c r="R5" s="26" t="s">
        <v>13</v>
      </c>
      <c r="S5" s="26"/>
      <c r="T5" s="26" t="s">
        <v>14</v>
      </c>
      <c r="U5" s="26" t="s">
        <v>15</v>
      </c>
      <c r="V5" s="26" t="s">
        <v>16</v>
      </c>
      <c r="W5" s="26" t="s">
        <v>17</v>
      </c>
    </row>
    <row r="6" spans="1:23" s="1" customFormat="1" ht="27.75" customHeight="1" x14ac:dyDescent="0.15">
      <c r="A6" s="26"/>
      <c r="B6" s="26"/>
      <c r="C6" s="26"/>
      <c r="D6" s="26"/>
      <c r="E6" s="26"/>
      <c r="F6" s="26"/>
      <c r="G6" s="26"/>
      <c r="H6" s="3" t="s">
        <v>18</v>
      </c>
      <c r="I6" s="3" t="s">
        <v>19</v>
      </c>
      <c r="J6" s="3" t="s">
        <v>20</v>
      </c>
      <c r="K6" s="4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  <c r="R6" s="3" t="s">
        <v>22</v>
      </c>
      <c r="S6" s="3" t="s">
        <v>23</v>
      </c>
      <c r="T6" s="26"/>
      <c r="U6" s="26"/>
      <c r="V6" s="26"/>
      <c r="W6" s="26"/>
    </row>
    <row r="7" spans="1:23" s="1" customFormat="1" ht="93.75" customHeight="1" x14ac:dyDescent="0.15">
      <c r="A7" s="3">
        <v>1</v>
      </c>
      <c r="B7" s="3" t="s">
        <v>28</v>
      </c>
      <c r="C7" s="3" t="s">
        <v>29</v>
      </c>
      <c r="D7" s="23" t="s">
        <v>49</v>
      </c>
      <c r="E7" s="24" t="s">
        <v>50</v>
      </c>
      <c r="F7" s="4" t="s">
        <v>30</v>
      </c>
      <c r="G7" s="21" t="s">
        <v>31</v>
      </c>
      <c r="H7" s="3">
        <v>0.56100000000000005</v>
      </c>
      <c r="I7" s="3" t="s">
        <v>32</v>
      </c>
      <c r="J7" s="8" t="s">
        <v>33</v>
      </c>
      <c r="K7" s="9">
        <f>M7/0.92</f>
        <v>0.2439130434782609</v>
      </c>
      <c r="L7" s="3">
        <v>400</v>
      </c>
      <c r="M7" s="10">
        <f>L7*H7/1000</f>
        <v>0.22440000000000004</v>
      </c>
      <c r="N7" s="3">
        <v>35</v>
      </c>
      <c r="O7" s="3">
        <v>12</v>
      </c>
      <c r="P7" s="3">
        <v>32</v>
      </c>
      <c r="Q7" s="3">
        <v>1</v>
      </c>
      <c r="R7" s="15">
        <v>400</v>
      </c>
      <c r="S7" s="16">
        <f>R7*H7/1000</f>
        <v>0.22440000000000004</v>
      </c>
      <c r="T7" s="25" t="s">
        <v>51</v>
      </c>
      <c r="U7" s="17"/>
      <c r="V7" s="3" t="s">
        <v>34</v>
      </c>
      <c r="W7" s="18" t="s">
        <v>35</v>
      </c>
    </row>
    <row r="8" spans="1:23" s="1" customFormat="1" ht="27" customHeight="1" x14ac:dyDescent="0.15">
      <c r="A8" s="34" t="s">
        <v>36</v>
      </c>
      <c r="B8" s="35"/>
      <c r="C8" s="5"/>
      <c r="D8" s="5"/>
      <c r="E8" s="5"/>
      <c r="F8" s="6"/>
      <c r="G8" s="6"/>
      <c r="H8" s="5"/>
      <c r="I8" s="5"/>
      <c r="J8" s="5"/>
      <c r="K8" s="11">
        <f>SUM(K7:K7)</f>
        <v>0.2439130434782609</v>
      </c>
      <c r="L8" s="13">
        <f>SUM(L7:L7)</f>
        <v>400</v>
      </c>
      <c r="M8" s="11">
        <f>SUM(M7:M7)</f>
        <v>0.22440000000000004</v>
      </c>
      <c r="N8" s="12"/>
      <c r="O8" s="13">
        <f>SUM(O7:O7)</f>
        <v>12</v>
      </c>
      <c r="P8" s="13"/>
      <c r="Q8" s="13">
        <f>SUM(Q7:Q7)</f>
        <v>1</v>
      </c>
      <c r="R8" s="13">
        <f>SUM(R7:R7)</f>
        <v>400</v>
      </c>
      <c r="S8" s="11">
        <f>SUM(S7:S7)</f>
        <v>0.22440000000000004</v>
      </c>
      <c r="T8" s="19"/>
      <c r="U8" s="32"/>
      <c r="V8" s="19"/>
      <c r="W8" s="19"/>
    </row>
    <row r="9" spans="1:23" s="1" customFormat="1" ht="27" customHeight="1" x14ac:dyDescent="0.15">
      <c r="A9" s="36"/>
      <c r="B9" s="37"/>
      <c r="C9" s="7"/>
      <c r="D9" s="7"/>
      <c r="E9" s="7"/>
      <c r="F9" s="7"/>
      <c r="G9" s="7"/>
      <c r="H9" s="7"/>
      <c r="I9" s="7"/>
      <c r="J9" s="7"/>
      <c r="K9" s="7" t="s">
        <v>23</v>
      </c>
      <c r="L9" s="7" t="s">
        <v>22</v>
      </c>
      <c r="M9" s="7" t="s">
        <v>23</v>
      </c>
      <c r="N9" s="7"/>
      <c r="O9" s="7" t="s">
        <v>25</v>
      </c>
      <c r="P9" s="7"/>
      <c r="Q9" s="7" t="s">
        <v>27</v>
      </c>
      <c r="R9" s="7" t="s">
        <v>22</v>
      </c>
      <c r="S9" s="7" t="s">
        <v>23</v>
      </c>
      <c r="T9" s="7"/>
      <c r="U9" s="33"/>
      <c r="V9" s="7"/>
      <c r="W9" s="7"/>
    </row>
    <row r="11" spans="1:23" s="1" customFormat="1" ht="19.5" customHeight="1" x14ac:dyDescent="0.15">
      <c r="B11" s="1" t="s">
        <v>37</v>
      </c>
      <c r="N11" s="43" t="s">
        <v>52</v>
      </c>
      <c r="O11" s="14"/>
      <c r="P11" s="43" t="s">
        <v>53</v>
      </c>
      <c r="T11" s="20"/>
    </row>
    <row r="12" spans="1:23" s="1" customFormat="1" ht="19.5" customHeight="1" x14ac:dyDescent="0.15">
      <c r="A12" s="1" t="s">
        <v>38</v>
      </c>
      <c r="B12" s="27" t="s">
        <v>39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</row>
    <row r="13" spans="1:23" s="1" customFormat="1" ht="19.5" customHeight="1" x14ac:dyDescent="0.15">
      <c r="B13" s="27" t="s">
        <v>40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</row>
    <row r="14" spans="1:23" s="1" customFormat="1" ht="19.5" customHeight="1" x14ac:dyDescent="0.15">
      <c r="A14" s="1" t="s">
        <v>41</v>
      </c>
      <c r="B14" s="27" t="s">
        <v>42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</row>
    <row r="15" spans="1:23" s="1" customFormat="1" ht="19.5" customHeight="1" x14ac:dyDescent="0.15">
      <c r="A15" s="1" t="s">
        <v>43</v>
      </c>
      <c r="B15" s="27" t="s">
        <v>44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</row>
    <row r="16" spans="1:23" s="1" customFormat="1" ht="19.5" customHeight="1" x14ac:dyDescent="0.15">
      <c r="A16" s="1" t="s">
        <v>45</v>
      </c>
      <c r="B16" s="44" t="s">
        <v>54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</row>
    <row r="17" spans="3:23" ht="42" customHeight="1" x14ac:dyDescent="0.15">
      <c r="O17" s="29"/>
      <c r="P17" s="29"/>
      <c r="Q17" s="29"/>
      <c r="R17" s="29"/>
      <c r="S17" s="29"/>
      <c r="T17" s="29"/>
      <c r="U17" s="29"/>
      <c r="V17" s="29"/>
      <c r="W17" s="29"/>
    </row>
    <row r="18" spans="3:23" ht="20.25" customHeight="1" x14ac:dyDescent="0.15">
      <c r="C18" s="27" t="s">
        <v>46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9"/>
      <c r="P18" s="29"/>
      <c r="Q18" s="29"/>
      <c r="R18" s="29"/>
      <c r="S18" s="29"/>
      <c r="T18" s="29"/>
      <c r="U18" s="29"/>
      <c r="V18" s="29"/>
      <c r="W18" s="29"/>
    </row>
    <row r="19" spans="3:23" x14ac:dyDescent="0.15">
      <c r="Q19" s="28">
        <v>46154</v>
      </c>
      <c r="R19" s="28"/>
      <c r="S19" s="28"/>
      <c r="T19" s="28"/>
    </row>
  </sheetData>
  <mergeCells count="29">
    <mergeCell ref="A5:A6"/>
    <mergeCell ref="B5:B6"/>
    <mergeCell ref="C5:C6"/>
    <mergeCell ref="A2:W2"/>
    <mergeCell ref="A4:B4"/>
    <mergeCell ref="H4:I4"/>
    <mergeCell ref="O4:P4"/>
    <mergeCell ref="U4:W4"/>
    <mergeCell ref="C18:N18"/>
    <mergeCell ref="Q19:T19"/>
    <mergeCell ref="O17:W18"/>
    <mergeCell ref="I5:K5"/>
    <mergeCell ref="L5:Q5"/>
    <mergeCell ref="R5:S5"/>
    <mergeCell ref="B12:W12"/>
    <mergeCell ref="B13:W13"/>
    <mergeCell ref="F5:F6"/>
    <mergeCell ref="G5:G6"/>
    <mergeCell ref="T5:T6"/>
    <mergeCell ref="U5:U6"/>
    <mergeCell ref="U8:U9"/>
    <mergeCell ref="V5:V6"/>
    <mergeCell ref="W5:W6"/>
    <mergeCell ref="A8:B9"/>
    <mergeCell ref="D5:D6"/>
    <mergeCell ref="E5:E6"/>
    <mergeCell ref="B14:W14"/>
    <mergeCell ref="B15:W15"/>
    <mergeCell ref="B16:W16"/>
  </mergeCells>
  <phoneticPr fontId="9" type="noConversion"/>
  <pageMargins left="0.7" right="0.7" top="0.75" bottom="0.75" header="0.3" footer="0.3"/>
  <pageSetup paperSize="9" scale="95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2026-05-12T06:03:53Z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501E0E5145E9490AB6C42DD1BD1F670C_12</vt:lpwstr>
  </property>
  <property fmtid="{D5CDD505-2E9C-101B-9397-08002B2CF9AE}" pid="3" name="KSOProductBuildVer">
    <vt:lpwstr>2052-12.1.0.17133</vt:lpwstr>
  </property>
</Properties>
</file>