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145" windowHeight="11145"/>
  </bookViews>
  <sheets>
    <sheet name="Sheet1" sheetId="1" r:id="rId1"/>
    <sheet name="Sheet4" sheetId="4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<sst xmlns="http://schemas.openxmlformats.org/spreadsheetml/2006/main" count="76" uniqueCount="64">
  <si>
    <t>4  月  份  销  售  计  划  13增</t>
  </si>
  <si>
    <t>编制：</t>
  </si>
  <si>
    <t>高蕾</t>
  </si>
  <si>
    <t>复核：</t>
  </si>
  <si>
    <t>批准：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</si>
  <si>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</si>
  <si>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</si>
  <si>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</si>
  <si>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</si>
  <si>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</si>
  <si>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</si>
  <si>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</si>
  <si>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</si>
  <si>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</si>
  <si>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</si>
  <si>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</si>
  <si>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</si>
  <si>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</si>
  <si>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</si>
  <si>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</si>
  <si>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</si>
  <si>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</si>
  <si>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</si>
  <si>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</si>
  <si>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</si>
  <si>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</si>
  <si>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件/袋</t>
  </si>
  <si>
    <t>袋</t>
  </si>
  <si>
    <t>袋/箱</t>
  </si>
  <si>
    <t>箱</t>
  </si>
  <si>
    <t>螺纹
道钉</t>
  </si>
  <si>
    <t>25X164</t>
  </si>
  <si>
    <t>260428-1</t>
  </si>
  <si>
    <t>PO009561</t>
  </si>
  <si>
    <t>UIC864-1
8.8级</t>
  </si>
  <si>
    <t>E225/195
E225/235</t>
  </si>
  <si>
    <t>45#</t>
  </si>
  <si>
    <r>
      <rPr>
        <sz val="10"/>
        <color indexed="8"/>
        <rFont val="Calibri"/>
        <family val="2"/>
        <charset val="0"/>
      </rPr>
      <t>Φ</t>
    </r>
    <r>
      <rPr>
        <sz val="10"/>
        <color indexed="8"/>
        <rFont val="宋体"/>
        <charset val="134"/>
      </rPr>
      <t>26</t>
    </r>
  </si>
  <si>
    <r>
      <t xml:space="preserve">PANDROL
26
</t>
    </r>
    <r>
      <rPr>
        <sz val="14"/>
        <color indexed="8"/>
        <rFont val="宋体"/>
        <charset val="134"/>
      </rPr>
      <t>8.8</t>
    </r>
    <r>
      <rPr>
        <sz val="9"/>
        <color indexed="8"/>
        <rFont val="宋体"/>
        <charset val="134"/>
      </rPr>
      <t xml:space="preserve">
GS195-J8
SDL</t>
    </r>
  </si>
  <si>
    <t>电镀锌</t>
  </si>
  <si>
    <t>编织袋+欧式木箱</t>
  </si>
  <si>
    <t>260506-1</t>
  </si>
  <si>
    <t>合计</t>
  </si>
  <si>
    <t>45.9
吨</t>
  </si>
  <si>
    <t>66960
件</t>
  </si>
  <si>
    <t>42.2
吨</t>
  </si>
  <si>
    <t>2093
袋</t>
  </si>
  <si>
    <t>60
箱</t>
  </si>
  <si>
    <t>67100
件</t>
  </si>
  <si>
    <t>42.3
吨</t>
  </si>
  <si>
    <t>详见图纸</t>
  </si>
  <si>
    <t>说明：</t>
  </si>
  <si>
    <t>冷弯15°</t>
  </si>
  <si>
    <t>包装待定</t>
  </si>
  <si>
    <t>1、</t>
  </si>
  <si>
    <t>对以上产品，生产部门应认真清查库存，适当调整生产计划数量，已减少及合理利用库存产品。</t>
  </si>
  <si>
    <t>注意：库存产品应是经品管部确认合格的产品。</t>
  </si>
  <si>
    <t>2、</t>
  </si>
  <si>
    <t>生产部门按生产工艺生产，加强自检，严格质量管理。</t>
  </si>
  <si>
    <t>3、</t>
  </si>
  <si>
    <t>品管部负责办理质量证明书，检测报告及相关数据，冷弯要求15°。</t>
  </si>
  <si>
    <t>4、</t>
  </si>
  <si>
    <t>包装为编织袋+欧式木箱。</t>
  </si>
  <si>
    <t>分发：总经理、总经办、品管部、生产部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</si>
</sst>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30">
    <font>
      <sz val="11"/>
      <color theme="1"/>
      <name val="宋体"/>
      <charset val="134"/>
      <scheme val="minor"/>
    </font>
    <font>
      <sz val="10"/>
      <color indexed="8"/>
      <name val="宋体"/>
      <charset val="134"/>
    </font>
    <font>
      <b/>
      <sz val="20"/>
      <color indexed="8"/>
      <name val="宋体"/>
      <charset val="134"/>
    </font>
    <font>
      <sz val="9"/>
      <color indexed="8"/>
      <name val="宋体"/>
      <charset val="134"/>
    </font>
    <font>
      <sz val="9"/>
      <color rgb="FF000000"/>
      <name val="宋体"/>
      <charset val="134"/>
    </font>
    <font>
      <sz val="14"/>
      <color theme="1"/>
      <name val="宋体"/>
      <charset val="134"/>
      <scheme val="minor"/>
    </font>
    <font>
      <sz val="12"/>
      <color indexed="8"/>
      <name val="宋体"/>
      <charset val="134"/>
    </font>
    <font>
      <b/>
      <sz val="14"/>
      <color indexed="8"/>
      <name val="宋体"/>
      <charset val="134"/>
    </font>
    <font>
      <sz val="16"/>
      <color indexed="8"/>
      <name val="宋体"/>
      <charset val="134"/>
    </font>
    <font>
      <sz val="11"/>
      <color indexed="8"/>
      <name val="宋体"/>
      <charset val="134"/>
    </font>
    <font>
      <u/>
      <sz val="11"/>
      <color indexed="12"/>
      <name val="宋体"/>
      <charset val="134"/>
    </font>
    <font>
      <u/>
      <sz val="11"/>
      <color indexed="36"/>
      <name val="宋体"/>
      <charset val="134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0"/>
      <color indexed="8"/>
      <name val="Calibri"/>
      <family val="2"/>
      <charset val="0"/>
    </font>
    <font>
      <sz val="14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9" fillId="3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20" fillId="5" borderId="8" applyNumberFormat="0" applyAlignment="0" applyProtection="0">
      <alignment vertical="center"/>
    </xf>
    <xf numFmtId="0" fontId="21" fillId="6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right" wrapText="1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14" fontId="3" fillId="0" borderId="3" xfId="0" applyNumberFormat="1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4" fontId="6" fillId="0" borderId="0" xfId="0" applyNumberFormat="1" applyFont="1" applyBorder="1" applyAlignment="1">
      <alignment horizontal="center" wrapText="1"/>
    </xf>
    <xf numFmtId="0" fontId="6" fillId="0" borderId="0" xfId="0" applyFont="1" applyBorder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X18"/>
  <sheetViews>
    <sheetView tabSelected="1" zoomScaleSheetLayoutView="60" topLeftCell="A5" workbookViewId="0">
      <selection activeCell="T18" sqref="T18"/>
    </sheetView>
  </sheetViews>
  <sheetFormatPr defaultColWidth="9" defaultRowHeight="13.5"/>
  <cols>
    <col min="1" max="1" width="4.125" style="2" customWidth="1"/>
    <col min="2" max="2" width="6.5" style="2" customWidth="1"/>
    <col min="3" max="3" width="9.125" style="2" customWidth="1"/>
    <col min="4" max="4" width="7.625" style="2" customWidth="1"/>
    <col min="5" max="5" width="5.875" style="2" customWidth="1"/>
    <col min="6" max="6" width="8.5" style="2" customWidth="1"/>
    <col min="7" max="7" width="8" style="2" customWidth="1"/>
    <col min="8" max="8" width="6.5" style="2" customWidth="1"/>
    <col min="9" max="9" width="5.625" style="2" customWidth="1"/>
    <col min="10" max="10" width="5.375" style="2" customWidth="1"/>
    <col min="11" max="11" width="6.125" style="2" customWidth="1"/>
    <col min="12" max="12" width="6.375" style="2" customWidth="1"/>
    <col min="13" max="13" width="7.125" style="2" customWidth="1"/>
    <col min="14" max="14" width="4.375" style="2" customWidth="1"/>
    <col min="15" max="15" width="5.625" style="2" customWidth="1"/>
    <col min="16" max="16" width="4.875" style="2" customWidth="1"/>
    <col min="17" max="17" width="5.625" style="2" customWidth="1"/>
    <col min="18" max="18" width="6.75" style="2" customWidth="1"/>
    <col min="19" max="19" width="7.375" style="2" customWidth="1"/>
    <col min="20" max="20" width="10.625" style="2" customWidth="1"/>
    <col min="21" max="21" width="9.5" style="2" customWidth="1"/>
    <col min="22" max="22" width="6.875" style="2" customWidth="1"/>
    <col min="23" max="23" width="6.125" style="2" customWidth="1"/>
    <col min="24" max="16384" width="9" style="2"/>
  </cols>
  <sheetData>
    <row r="2" ht="45" customHeight="1" spans="1:24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4" s="1" customFormat="1" ht="22.5" customHeight="1" spans="1:24">
      <c r="B4" s="4" t="s">
        <v>1</v>
      </c>
      <c r="C4" s="4" t="s">
        <v>2</v>
      </c>
      <c r="D4" s="4"/>
      <c r="E4" s="4"/>
      <c r="F4" s="4"/>
      <c r="G4" s="4"/>
      <c r="H4" s="4"/>
      <c r="I4" s="5" t="s">
        <v>3</v>
      </c>
      <c r="J4" s="5"/>
      <c r="K4" s="4"/>
      <c r="L4" s="4"/>
      <c r="M4" s="4"/>
      <c r="N4" s="6" t="s">
        <v>4</v>
      </c>
      <c r="O4" s="6"/>
      <c r="P4" s="4"/>
      <c r="Q4" s="4"/>
      <c r="R4" s="4"/>
      <c r="S4" s="4"/>
    </row>
    <row r="5" s="1" customFormat="1" ht="29.25" customHeight="1" spans="1:24">
      <c r="A5" s="7" t="s">
        <v>5</v>
      </c>
      <c r="B5" s="7" t="s">
        <v>6</v>
      </c>
      <c r="C5" s="7" t="s">
        <v>7</v>
      </c>
      <c r="D5" s="7" t="s">
        <v>8</v>
      </c>
      <c r="E5" s="7" t="s">
        <v>9</v>
      </c>
      <c r="F5" s="7" t="s">
        <v>10</v>
      </c>
      <c r="G5" s="7" t="s">
        <v>11</v>
      </c>
      <c r="H5" s="7" t="s">
        <v>12</v>
      </c>
      <c r="I5" s="7" t="s">
        <v>13</v>
      </c>
      <c r="J5" s="7"/>
      <c r="K5" s="7"/>
      <c r="L5" s="7" t="s">
        <v>14</v>
      </c>
      <c r="M5" s="7"/>
      <c r="N5" s="7"/>
      <c r="O5" s="7"/>
      <c r="P5" s="7"/>
      <c r="Q5" s="7"/>
      <c r="R5" s="7" t="s">
        <v>15</v>
      </c>
      <c r="S5" s="7"/>
      <c r="T5" s="7" t="s">
        <v>16</v>
      </c>
      <c r="U5" s="7" t="s">
        <v>17</v>
      </c>
      <c r="V5" s="7" t="s">
        <v>18</v>
      </c>
      <c r="W5" s="7" t="s">
        <v>19</v>
      </c>
    </row>
    <row r="6" s="1" customFormat="1" ht="29.25" customHeight="1" spans="1:24">
      <c r="A6" s="7"/>
      <c r="B6" s="7"/>
      <c r="C6" s="7"/>
      <c r="D6" s="7"/>
      <c r="E6" s="7"/>
      <c r="F6" s="7"/>
      <c r="G6" s="7"/>
      <c r="H6" s="7" t="s">
        <v>20</v>
      </c>
      <c r="I6" s="7" t="s">
        <v>21</v>
      </c>
      <c r="J6" s="7" t="s">
        <v>22</v>
      </c>
      <c r="K6" s="8" t="s">
        <v>23</v>
      </c>
      <c r="L6" s="7" t="s">
        <v>24</v>
      </c>
      <c r="M6" s="7" t="s">
        <v>25</v>
      </c>
      <c r="N6" s="7" t="s">
        <v>26</v>
      </c>
      <c r="O6" s="7" t="s">
        <v>27</v>
      </c>
      <c r="P6" s="7" t="s">
        <v>28</v>
      </c>
      <c r="Q6" s="7" t="s">
        <v>29</v>
      </c>
      <c r="R6" s="7" t="s">
        <v>24</v>
      </c>
      <c r="S6" s="7" t="s">
        <v>25</v>
      </c>
      <c r="T6" s="7"/>
      <c r="U6" s="7"/>
      <c r="V6" s="7"/>
      <c r="W6" s="7"/>
    </row>
    <row r="7" s="1" customFormat="1" ht="82.5" customHeight="1" spans="1:24">
      <c r="A7" s="7">
        <v>1</v>
      </c>
      <c r="B7" s="7" t="s">
        <v>30</v>
      </c>
      <c r="C7" s="7" t="s">
        <v>31</v>
      </c>
      <c r="D7" s="7" t="s">
        <v>32</v>
      </c>
      <c r="E7" s="9" t="s">
        <v>33</v>
      </c>
      <c r="F7" s="7" t="s">
        <v>34</v>
      </c>
      <c r="G7" s="10" t="s">
        <v>35</v>
      </c>
      <c r="H7" s="7">
        <v>0.63</v>
      </c>
      <c r="I7" s="7" t="s">
        <v>36</v>
      </c>
      <c r="J7" s="10" t="s">
        <v>37</v>
      </c>
      <c r="K7" s="11">
        <f>M7/0.92</f>
        <v>20.5434782608696</v>
      </c>
      <c r="L7" s="7">
        <v>30000</v>
      </c>
      <c r="M7" s="12">
        <f>L7*H7/1000</f>
        <v>18.9</v>
      </c>
      <c r="N7" s="7">
        <v>32</v>
      </c>
      <c r="O7" s="7">
        <v>938</v>
      </c>
      <c r="P7" s="7">
        <v>35</v>
      </c>
      <c r="Q7" s="7">
        <v>27</v>
      </c>
      <c r="R7" s="7">
        <v>30100</v>
      </c>
      <c r="S7" s="12">
        <f>R7*H7/1000</f>
        <v>18.963</v>
      </c>
      <c r="T7" s="13">
        <v>46154</v>
      </c>
      <c r="U7" s="14" t="s">
        <v>38</v>
      </c>
      <c r="V7" s="15" t="s">
        <v>39</v>
      </c>
      <c r="W7" s="16" t="s">
        <v>40</v>
      </c>
    </row>
    <row r="8" s="1" customFormat="1" ht="82.5" customHeight="1" spans="1:24">
      <c r="A8" s="7">
        <v>2</v>
      </c>
      <c r="B8" s="7" t="s">
        <v>30</v>
      </c>
      <c r="C8" s="7" t="s">
        <v>31</v>
      </c>
      <c r="D8" s="7" t="s">
        <v>41</v>
      </c>
      <c r="E8" s="9" t="s">
        <v>33</v>
      </c>
      <c r="F8" s="7" t="s">
        <v>34</v>
      </c>
      <c r="G8" s="10" t="s">
        <v>35</v>
      </c>
      <c r="H8" s="7">
        <v>0.63</v>
      </c>
      <c r="I8" s="7" t="s">
        <v>36</v>
      </c>
      <c r="J8" s="10" t="s">
        <v>37</v>
      </c>
      <c r="K8" s="11">
        <f>M8/0.92</f>
        <v>25.3095652173913</v>
      </c>
      <c r="L8" s="7">
        <v>36960</v>
      </c>
      <c r="M8" s="12">
        <f>L8*H8/1000</f>
        <v>23.2848</v>
      </c>
      <c r="N8" s="7">
        <v>32</v>
      </c>
      <c r="O8" s="7">
        <v>1155</v>
      </c>
      <c r="P8" s="7">
        <v>35</v>
      </c>
      <c r="Q8" s="7">
        <v>33</v>
      </c>
      <c r="R8" s="7">
        <v>37000</v>
      </c>
      <c r="S8" s="12">
        <f>R8*H8/1000</f>
        <v>23.31</v>
      </c>
      <c r="T8" s="13">
        <v>46170</v>
      </c>
      <c r="U8" s="14" t="s">
        <v>38</v>
      </c>
      <c r="V8" s="15" t="s">
        <v>39</v>
      </c>
      <c r="W8" s="16" t="s">
        <v>40</v>
      </c>
    </row>
    <row r="9" s="1" customFormat="1" ht="34.5" customHeight="1" spans="1:24">
      <c r="A9" s="7" t="s">
        <v>42</v>
      </c>
      <c r="B9" s="7"/>
      <c r="C9" s="7"/>
      <c r="D9" s="7"/>
      <c r="E9" s="7"/>
      <c r="F9" s="7"/>
      <c r="G9" s="7"/>
      <c r="H9" s="7"/>
      <c r="I9" s="7"/>
      <c r="J9" s="7"/>
      <c r="K9" s="7" t="s">
        <v>43</v>
      </c>
      <c r="L9" s="7" t="s">
        <v>44</v>
      </c>
      <c r="M9" s="7" t="s">
        <v>45</v>
      </c>
      <c r="N9" s="7"/>
      <c r="O9" s="7" t="s">
        <v>46</v>
      </c>
      <c r="P9" s="7"/>
      <c r="Q9" s="7" t="s">
        <v>47</v>
      </c>
      <c r="R9" s="7" t="s">
        <v>48</v>
      </c>
      <c r="S9" s="7" t="s">
        <v>49</v>
      </c>
      <c r="T9" s="7"/>
      <c r="U9" s="7" t="s">
        <v>50</v>
      </c>
      <c r="V9" s="7"/>
      <c r="W9" s="7"/>
    </row>
    <row r="10" ht="17.25" customHeight="1" spans="1:24">
      <c r="O10" s="17"/>
      <c r="U10" s="18"/>
    </row>
    <row r="11" s="1" customFormat="1" ht="19.5" customHeight="1" spans="1:24">
      <c r="B11" s="1" t="s">
        <v>51</v>
      </c>
      <c r="P11" s="19"/>
      <c r="R11" s="20" t="s">
        <v>52</v>
      </c>
      <c r="T11" s="21" t="s">
        <v>53</v>
      </c>
      <c r="U11" s="21"/>
      <c r="V11" s="21"/>
    </row>
    <row r="12" s="1" customFormat="1" ht="19.5" customHeight="1" spans="1:24">
      <c r="A12" s="1" t="s">
        <v>54</v>
      </c>
      <c r="B12" s="22" t="s">
        <v>55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</row>
    <row r="13" s="1" customFormat="1" ht="19.5" customHeight="1" spans="1:24">
      <c r="B13" s="22" t="s">
        <v>56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</row>
    <row r="14" s="1" customFormat="1" ht="19.5" customHeight="1" spans="1:24">
      <c r="A14" s="1" t="s">
        <v>57</v>
      </c>
      <c r="B14" s="22" t="s">
        <v>58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</row>
    <row r="15" s="1" customFormat="1" ht="19.5" customHeight="1" spans="1:24">
      <c r="A15" s="1" t="s">
        <v>59</v>
      </c>
      <c r="B15" s="22" t="s">
        <v>60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</row>
    <row r="16" s="1" customFormat="1" ht="19.5" customHeight="1" spans="1:24">
      <c r="A16" s="1" t="s">
        <v>61</v>
      </c>
      <c r="B16" s="22" t="s">
        <v>62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</row>
    <row r="17" ht="42" customHeight="1" spans="3:23">
      <c r="T17" s="23">
        <v>46148</v>
      </c>
      <c r="U17" s="24"/>
      <c r="V17" s="24"/>
      <c r="W17" s="24"/>
    </row>
    <row r="18" ht="20.25" customHeight="1" spans="3:23">
      <c r="C18" s="22" t="s">
        <v>63</v>
      </c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</row>
  </sheetData>
  <mergeCells count="26">
    <mergeCell ref="A2:W2"/>
    <mergeCell ref="I4:J4"/>
    <mergeCell ref="N4:O4"/>
    <mergeCell ref="I5:K5"/>
    <mergeCell ref="L5:Q5"/>
    <mergeCell ref="R5:S5"/>
    <mergeCell ref="A9:B9"/>
    <mergeCell ref="T11:V11"/>
    <mergeCell ref="B12:X12"/>
    <mergeCell ref="B13:X13"/>
    <mergeCell ref="B14:W14"/>
    <mergeCell ref="B15:W15"/>
    <mergeCell ref="B16:W16"/>
    <mergeCell ref="T17:W17"/>
    <mergeCell ref="C18:N18"/>
    <mergeCell ref="A5:A6"/>
    <mergeCell ref="B5:B6"/>
    <mergeCell ref="C5:C6"/>
    <mergeCell ref="D5:D6"/>
    <mergeCell ref="E5:E6"/>
    <mergeCell ref="F5:F6"/>
    <mergeCell ref="G5:G6"/>
    <mergeCell ref="T5:T6"/>
    <mergeCell ref="U5:U6"/>
    <mergeCell ref="V5:V6"/>
    <mergeCell ref="W5:W6"/>
  </mergeCells>
  <pageMargins left="0.7" right="0.7" top="0.75" bottom="0.75" header="0.3" footer="0.3"/>
  <pageSetup paperSize="9" scale="81" orientation="landscape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汪叽</cp:lastModifiedBy>
  <dcterms:created xsi:type="dcterms:W3CDTF">2006-09-13T11:21:51Z</dcterms:created>
  <cp:lastPrinted>2026-03-20T06:00:18Z</cp:lastPrinted>
  <dcterms:modified xsi:type="dcterms:W3CDTF">2026-07-20T14:36:49Z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C548F2954B7F4FBFBB64133CA62A9717_13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