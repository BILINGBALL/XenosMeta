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145" windowHeight="11145"/>
  </bookViews>
  <sheets>
    <sheet name="Sheet1" sheetId="1" r:id="rId1"/>
    <sheet name="Sheet4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<sst xmlns="http://schemas.openxmlformats.org/spreadsheetml/2006/main" count="64" uniqueCount="61">
  <si>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3  月  份  销  售  计  划  8</t>
  </si>
  <si>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</si>
  <si>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</si>
  <si>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</si>
  <si>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</si>
  <si>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</si>
  <si>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</si>
  <si>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</si>
  <si>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</si>
  <si>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</si>
  <si>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</si>
  <si>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</si>
  <si>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</si>
  <si>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</si>
  <si>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</si>
  <si>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</si>
  <si>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</si>
  <si>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</si>
  <si>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</si>
  <si>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</si>
  <si>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</si>
  <si>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</si>
  <si>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</si>
  <si>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</si>
  <si>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</si>
  <si>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</si>
  <si>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</si>
  <si>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</si>
  <si>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</si>
  <si>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</si>
  <si>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
道钉</t>
  </si>
  <si>
    <t>25X159</t>
  </si>
  <si>
    <t>260320-2</t>
  </si>
  <si>
    <t>PC26-00563</t>
  </si>
  <si>
    <t>5.6级</t>
  </si>
  <si>
    <t>E225/195
E225/235</t>
  </si>
  <si>
    <t>35K</t>
  </si>
  <si>
    <r>
      <rPr>
        <sz val="10"/>
        <color indexed="8"/>
        <rFont val="Calibri"/>
        <family val="2"/>
        <charset val="0"/>
      </rPr>
      <t>Φ</t>
    </r>
    <r>
      <rPr>
        <sz val="10"/>
        <color indexed="8"/>
        <rFont val="宋体"/>
        <charset val="134"/>
      </rPr>
      <t>26</t>
    </r>
  </si>
  <si>
    <r>
      <t xml:space="preserve">PANDROL
26
</t>
    </r>
    <r>
      <rPr>
        <sz val="14"/>
        <color indexed="8"/>
        <rFont val="宋体"/>
        <charset val="134"/>
      </rPr>
      <t>5.6</t>
    </r>
    <r>
      <rPr>
        <sz val="9"/>
        <color indexed="8"/>
        <rFont val="宋体"/>
        <charset val="134"/>
      </rPr>
      <t xml:space="preserve">
GS195-J7
SDL</t>
    </r>
  </si>
  <si>
    <r>
      <t>热镀锌
50</t>
    </r>
    <r>
      <rPr>
        <sz val="9"/>
        <color indexed="8"/>
        <rFont val="Calibri"/>
        <family val="2"/>
        <charset val="161"/>
      </rPr>
      <t>μ</t>
    </r>
    <r>
      <rPr>
        <sz val="9"/>
        <color indexed="8"/>
        <rFont val="宋体"/>
        <charset val="134"/>
      </rPr>
      <t>m</t>
    </r>
  </si>
  <si>
    <t>编织袋+欧式托盘</t>
  </si>
  <si>
    <t>合计</t>
  </si>
  <si>
    <t>4.8
吨</t>
  </si>
  <si>
    <t>7240
件</t>
  </si>
  <si>
    <t>4.5
吨</t>
  </si>
  <si>
    <t>227
袋</t>
  </si>
  <si>
    <t>7
箱</t>
  </si>
  <si>
    <t>7280
件</t>
  </si>
  <si>
    <t>详见图纸</t>
  </si>
  <si>
    <t>说明：</t>
  </si>
  <si>
    <t>包装待定</t>
  </si>
  <si>
    <t>1、</t>
  </si>
  <si>
    <t>对以上产品，生产部门应认真清查库存，适当调整生产计划数量，已减少及合理利用库存产品。</t>
  </si>
  <si>
    <t>注意：库存产品应是经品管部确认合格的产品。</t>
  </si>
  <si>
    <t>2、</t>
  </si>
  <si>
    <t>生产部门按生产工艺生产，加强自检，严格质量管理。</t>
  </si>
  <si>
    <t>3、</t>
  </si>
  <si>
    <t>品管部负责办理质量证明书，检测报告及相关数据，冷弯要求15°。</t>
  </si>
  <si>
    <t>4、</t>
  </si>
  <si>
    <t>包装为编织袋+欧式托盘。</t>
  </si>
  <si>
    <t>分发：总经理、总经办、品管部、生产部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</si>
</sst>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0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b/>
      <sz val="20"/>
      <color indexed="8"/>
      <name val="宋体"/>
      <charset val="134"/>
    </font>
    <font>
      <sz val="9"/>
      <color indexed="8"/>
      <name val="宋体"/>
      <charset val="134"/>
    </font>
    <font>
      <sz val="9"/>
      <color rgb="FF000000"/>
      <name val="宋体"/>
      <charset val="134"/>
    </font>
    <font>
      <sz val="14"/>
      <color theme="1"/>
      <name val="宋体"/>
      <charset val="134"/>
      <scheme val="minor"/>
    </font>
    <font>
      <sz val="12"/>
      <color indexed="8"/>
      <name val="宋体"/>
      <charset val="134"/>
    </font>
    <font>
      <sz val="16"/>
      <color indexed="8"/>
      <name val="宋体"/>
      <charset val="134"/>
    </font>
    <font>
      <sz val="11"/>
      <color indexed="8"/>
      <name val="宋体"/>
      <charset val="134"/>
    </font>
    <font>
      <u/>
      <sz val="11"/>
      <color indexed="12"/>
      <name val="宋体"/>
      <charset val="134"/>
    </font>
    <font>
      <u/>
      <sz val="11"/>
      <color indexed="36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9"/>
      <color indexed="8"/>
      <name val="Calibri"/>
      <family val="2"/>
      <charset val="161"/>
    </font>
    <font>
      <sz val="14"/>
      <color indexed="8"/>
      <name val="宋体"/>
      <charset val="134"/>
    </font>
    <font>
      <sz val="10"/>
      <color indexed="8"/>
      <name val="Calibri"/>
      <family val="2"/>
      <charset val="0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8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6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4" fontId="6" fillId="0" borderId="0" xfId="0" applyNumberFormat="1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2:X17"/>
  <sheetViews>
    <sheetView tabSelected="1" zoomScaleSheetLayoutView="60" workbookViewId="0">
      <selection activeCell="G7" sqref="G7"/>
    </sheetView>
  </sheetViews>
  <sheetFormatPr defaultColWidth="9" defaultRowHeight="13.5"/>
  <cols>
    <col min="1" max="1" width="4.125" style="2" customWidth="1"/>
    <col min="2" max="2" width="6.5" style="2" customWidth="1"/>
    <col min="3" max="3" width="9.125" style="2" customWidth="1"/>
    <col min="4" max="4" width="7.625" style="2" customWidth="1"/>
    <col min="5" max="5" width="5.875" style="2" customWidth="1"/>
    <col min="6" max="6" width="8.5" style="2" customWidth="1"/>
    <col min="7" max="7" width="8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2" width="6.375" style="2" customWidth="1"/>
    <col min="13" max="13" width="7.125" style="2" customWidth="1"/>
    <col min="14" max="14" width="4.375" style="2" customWidth="1"/>
    <col min="15" max="15" width="5.625" style="2" customWidth="1"/>
    <col min="16" max="16" width="4.875" style="2" customWidth="1"/>
    <col min="17" max="17" width="5.625" style="2" customWidth="1"/>
    <col min="18" max="18" width="6.75" style="2" customWidth="1"/>
    <col min="19" max="19" width="7.375" style="2" customWidth="1"/>
    <col min="20" max="20" width="10.625" style="2" customWidth="1"/>
    <col min="21" max="21" width="9.5" style="2" customWidth="1"/>
    <col min="22" max="22" width="6.875" style="2" customWidth="1"/>
    <col min="23" max="23" width="6.125" style="2" customWidth="1"/>
    <col min="24" max="16384" width="9" style="2"/>
  </cols>
  <sheetData>
    <row r="2" ht="45" customHeight="1" spans="1:24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s="1" customFormat="1" ht="22.5" customHeight="1" spans="1:24">
      <c r="B4" s="4" t="s">
        <v>1</v>
      </c>
      <c r="C4" s="4" t="s">
        <v>2</v>
      </c>
      <c r="D4" s="4"/>
      <c r="E4" s="4"/>
      <c r="F4" s="4"/>
      <c r="G4" s="4"/>
      <c r="H4" s="4"/>
      <c r="I4" s="5" t="s">
        <v>3</v>
      </c>
      <c r="J4" s="5"/>
      <c r="K4" s="4"/>
      <c r="L4" s="4"/>
      <c r="M4" s="4"/>
      <c r="N4" s="6" t="s">
        <v>4</v>
      </c>
      <c r="O4" s="6"/>
      <c r="P4" s="4"/>
      <c r="Q4" s="4"/>
      <c r="R4" s="4"/>
      <c r="S4" s="4"/>
    </row>
    <row r="5" s="1" customFormat="1" ht="29.25" customHeight="1" spans="1:24">
      <c r="A5" s="7" t="s">
        <v>5</v>
      </c>
      <c r="B5" s="7" t="s">
        <v>6</v>
      </c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/>
      <c r="K5" s="7"/>
      <c r="L5" s="7" t="s">
        <v>14</v>
      </c>
      <c r="M5" s="7"/>
      <c r="N5" s="7"/>
      <c r="O5" s="7"/>
      <c r="P5" s="7"/>
      <c r="Q5" s="7"/>
      <c r="R5" s="7" t="s">
        <v>15</v>
      </c>
      <c r="S5" s="7"/>
      <c r="T5" s="7" t="s">
        <v>16</v>
      </c>
      <c r="U5" s="7" t="s">
        <v>17</v>
      </c>
      <c r="V5" s="7" t="s">
        <v>18</v>
      </c>
      <c r="W5" s="7" t="s">
        <v>19</v>
      </c>
    </row>
    <row r="6" s="1" customFormat="1" ht="29.25" customHeight="1" spans="1:24">
      <c r="A6" s="7"/>
      <c r="B6" s="7"/>
      <c r="C6" s="7"/>
      <c r="D6" s="7"/>
      <c r="E6" s="7"/>
      <c r="F6" s="7"/>
      <c r="G6" s="7"/>
      <c r="H6" s="7" t="s">
        <v>20</v>
      </c>
      <c r="I6" s="7" t="s">
        <v>21</v>
      </c>
      <c r="J6" s="7" t="s">
        <v>22</v>
      </c>
      <c r="K6" s="8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  <c r="Q6" s="7" t="s">
        <v>29</v>
      </c>
      <c r="R6" s="7" t="s">
        <v>24</v>
      </c>
      <c r="S6" s="7" t="s">
        <v>25</v>
      </c>
      <c r="T6" s="7"/>
      <c r="U6" s="7"/>
      <c r="V6" s="7"/>
      <c r="W6" s="7"/>
    </row>
    <row r="7" s="1" customFormat="1" ht="82.5" customHeight="1" spans="1:24">
      <c r="A7" s="7">
        <v>1</v>
      </c>
      <c r="B7" s="7" t="s">
        <v>30</v>
      </c>
      <c r="C7" s="7" t="s">
        <v>31</v>
      </c>
      <c r="D7" s="7" t="s">
        <v>32</v>
      </c>
      <c r="E7" s="9" t="s">
        <v>33</v>
      </c>
      <c r="F7" s="7" t="s">
        <v>34</v>
      </c>
      <c r="G7" s="10" t="s">
        <v>35</v>
      </c>
      <c r="H7" s="7">
        <v>0.615</v>
      </c>
      <c r="I7" s="7" t="s">
        <v>36</v>
      </c>
      <c r="J7" s="10" t="s">
        <v>37</v>
      </c>
      <c r="K7" s="11">
        <f>M7/0.92</f>
        <v>4.83978260869565</v>
      </c>
      <c r="L7" s="7">
        <v>7240</v>
      </c>
      <c r="M7" s="12">
        <f>L7*H7/1000</f>
        <v>4.4526</v>
      </c>
      <c r="N7" s="7">
        <v>32</v>
      </c>
      <c r="O7" s="7">
        <v>227</v>
      </c>
      <c r="P7" s="7">
        <v>35</v>
      </c>
      <c r="Q7" s="7">
        <v>7</v>
      </c>
      <c r="R7" s="7">
        <v>7280</v>
      </c>
      <c r="S7" s="12">
        <f>R7*H7/1000</f>
        <v>4.4772</v>
      </c>
      <c r="T7" s="13">
        <v>46122</v>
      </c>
      <c r="U7" s="14" t="s">
        <v>38</v>
      </c>
      <c r="V7" s="15" t="s">
        <v>39</v>
      </c>
      <c r="W7" s="16" t="s">
        <v>40</v>
      </c>
    </row>
    <row r="8" s="1" customFormat="1" ht="34.5" customHeight="1" spans="1:24">
      <c r="A8" s="7" t="s">
        <v>41</v>
      </c>
      <c r="B8" s="7"/>
      <c r="C8" s="7"/>
      <c r="D8" s="7"/>
      <c r="E8" s="7"/>
      <c r="F8" s="7"/>
      <c r="G8" s="7"/>
      <c r="H8" s="7"/>
      <c r="I8" s="7"/>
      <c r="J8" s="7"/>
      <c r="K8" s="7" t="s">
        <v>42</v>
      </c>
      <c r="L8" s="7" t="s">
        <v>43</v>
      </c>
      <c r="M8" s="7" t="s">
        <v>44</v>
      </c>
      <c r="N8" s="7"/>
      <c r="O8" s="7" t="s">
        <v>45</v>
      </c>
      <c r="P8" s="7"/>
      <c r="Q8" s="7" t="s">
        <v>46</v>
      </c>
      <c r="R8" s="7" t="s">
        <v>47</v>
      </c>
      <c r="S8" s="7" t="s">
        <v>44</v>
      </c>
      <c r="T8" s="7"/>
      <c r="U8" s="7" t="s">
        <v>48</v>
      </c>
      <c r="V8" s="7"/>
      <c r="W8" s="7"/>
    </row>
    <row r="9" ht="17.25" customHeight="1" spans="1:24">
      <c r="O9" s="17"/>
      <c r="U9" s="18"/>
    </row>
    <row r="10" s="1" customFormat="1" ht="19.5" customHeight="1" spans="1:24">
      <c r="B10" s="1" t="s">
        <v>49</v>
      </c>
      <c r="P10" s="19"/>
      <c r="T10" s="20" t="s">
        <v>50</v>
      </c>
      <c r="U10" s="20"/>
      <c r="V10" s="20"/>
    </row>
    <row r="11" s="1" customFormat="1" ht="19.5" customHeight="1" spans="1:24">
      <c r="A11" s="1" t="s">
        <v>51</v>
      </c>
      <c r="B11" s="21" t="s">
        <v>52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="1" customFormat="1" ht="19.5" customHeight="1" spans="1:24">
      <c r="B12" s="21" t="s">
        <v>53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="1" customFormat="1" ht="19.5" customHeight="1" spans="1:24">
      <c r="A13" s="1" t="s">
        <v>54</v>
      </c>
      <c r="B13" s="21" t="s">
        <v>55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="1" customFormat="1" ht="19.5" customHeight="1" spans="1:24">
      <c r="A14" s="1" t="s">
        <v>56</v>
      </c>
      <c r="B14" s="21" t="s">
        <v>57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="1" customFormat="1" ht="19.5" customHeight="1" spans="1:24">
      <c r="A15" s="1" t="s">
        <v>58</v>
      </c>
      <c r="B15" s="21" t="s">
        <v>59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ht="42" customHeight="1" spans="1:24">
      <c r="T16" s="22">
        <v>46101</v>
      </c>
      <c r="U16" s="23"/>
      <c r="V16" s="23"/>
      <c r="W16" s="23"/>
    </row>
    <row r="17" ht="20.25" customHeight="1" spans="3:14">
      <c r="C17" s="21" t="s">
        <v>60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</sheetData>
  <mergeCells count="26">
    <mergeCell ref="A2:W2"/>
    <mergeCell ref="I4:J4"/>
    <mergeCell ref="N4:O4"/>
    <mergeCell ref="I5:K5"/>
    <mergeCell ref="L5:Q5"/>
    <mergeCell ref="R5:S5"/>
    <mergeCell ref="A8:B8"/>
    <mergeCell ref="T10:V10"/>
    <mergeCell ref="B11:X11"/>
    <mergeCell ref="B12:X12"/>
    <mergeCell ref="B13:W13"/>
    <mergeCell ref="B14:W14"/>
    <mergeCell ref="B15:W15"/>
    <mergeCell ref="T16:W16"/>
    <mergeCell ref="C17:N17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</mergeCells>
  <pageMargins left="0.7" right="0.7" top="0.75" bottom="0.75" header="0.3" footer="0.3"/>
  <pageSetup paperSize="9" scale="81" orientation="landscape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2006-09-13T11:21:51Z</dcterms:created>
  <cp:lastPrinted>2026-03-20T06:00:18Z</cp:lastPrinted>
  <dcterms:modified xsi:type="dcterms:W3CDTF">2026-07-20T14:35:30Z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EE68621BA06641BC81602FBC82A63DE4_13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