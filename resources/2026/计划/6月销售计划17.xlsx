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<sst xmlns="http://schemas.openxmlformats.org/spreadsheetml/2006/main" count="94" uniqueCount="60">
  <si>
    <t>6  月  份  销  售  计  划  17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</si>
  <si>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</si>
  <si>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</si>
  <si>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</si>
  <si>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</si>
  <si>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</si>
  <si>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</si>
  <si>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</si>
  <si>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</si>
  <si>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</si>
  <si>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</si>
  <si>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</si>
  <si>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</si>
  <si>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</si>
  <si>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</si>
  <si>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</si>
  <si>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</si>
  <si>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</si>
  <si>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</si>
  <si>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</si>
  <si>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</si>
  <si>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</si>
  <si>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</si>
  <si>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</si>
  <si>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</si>
  <si>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</si>
  <si>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</si>
  <si>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</si>
  <si>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</si>
  <si>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</si>
  <si>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</si>
  <si>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25X164</t>
  </si>
  <si>
    <t>260616-1</t>
  </si>
  <si>
    <t>PO010113</t>
  </si>
  <si>
    <t>UIC864-1
8.8级</t>
  </si>
  <si>
    <t>E225/195
E225/235</t>
  </si>
  <si>
    <t>45#</t>
  </si>
  <si>
    <r>
      <rPr>
        <sz val="10"/>
        <color indexed="8"/>
        <rFont val="Calibri"/>
        <family val="2"/>
        <charset val="0"/>
      </rPr>
      <t>Φ</t>
    </r>
    <r>
      <rPr>
        <sz val="10"/>
        <color indexed="8"/>
        <rFont val="宋体"/>
        <charset val="134"/>
      </rPr>
      <t>26</t>
    </r>
  </si>
  <si>
    <r>
      <t xml:space="preserve">PANDROL
26
</t>
    </r>
    <r>
      <rPr>
        <sz val="14"/>
        <color indexed="8"/>
        <rFont val="宋体"/>
        <charset val="134"/>
      </rPr>
      <t>8.8</t>
    </r>
    <r>
      <rPr>
        <sz val="9"/>
        <color indexed="8"/>
        <rFont val="宋体"/>
        <charset val="134"/>
      </rPr>
      <t xml:space="preserve">
GS195-J8
SDL</t>
    </r>
  </si>
  <si>
    <t>电镀锌</t>
  </si>
  <si>
    <t>编织袋+欧式木箱</t>
  </si>
  <si>
    <t>260616-2</t>
  </si>
  <si>
    <t>260616-3</t>
  </si>
  <si>
    <t>260616-4</t>
  </si>
  <si>
    <t>260616-5</t>
  </si>
  <si>
    <t>合计</t>
  </si>
  <si>
    <t>详见图纸</t>
  </si>
  <si>
    <t>说明：</t>
  </si>
  <si>
    <t>冷弯15°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</si>
  <si>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</si>
  <si>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</si>
  <si>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</si>
  <si>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</si>
  <si>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</si>
  <si>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</si>
  <si>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</si>
  <si>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</si>
  <si>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</si>
  <si>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包装为编织袋+欧式木箱。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</si>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</sst>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30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  <font>
      <sz val="10"/>
      <color indexed="8"/>
      <name val="Calibri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9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21"/>
  <sheetViews>
    <sheetView tabSelected="1" zoomScaleSheetLayoutView="60" topLeftCell="A7" workbookViewId="0">
      <selection activeCell="M9" sqref="M9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8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8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56.2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0.63</v>
      </c>
      <c r="I7" s="7" t="s">
        <v>36</v>
      </c>
      <c r="J7" s="10" t="s">
        <v>37</v>
      </c>
      <c r="K7" s="11">
        <f>M7/0.92</f>
        <v>3.23217391304348</v>
      </c>
      <c r="L7" s="7">
        <v>4720</v>
      </c>
      <c r="M7" s="12">
        <f>L7*H7/1000</f>
        <v>2.9736</v>
      </c>
      <c r="N7" s="7">
        <v>32</v>
      </c>
      <c r="O7" s="7">
        <v>148</v>
      </c>
      <c r="P7" s="7">
        <v>35</v>
      </c>
      <c r="Q7" s="7">
        <v>5</v>
      </c>
      <c r="R7" s="7">
        <v>4800</v>
      </c>
      <c r="S7" s="12">
        <f>R7*H7/1000</f>
        <v>3.024</v>
      </c>
      <c r="T7" s="13">
        <v>46233</v>
      </c>
      <c r="U7" s="14" t="s">
        <v>38</v>
      </c>
      <c r="V7" s="15" t="s">
        <v>39</v>
      </c>
      <c r="W7" s="16" t="s">
        <v>40</v>
      </c>
    </row>
    <row r="8" s="1" customFormat="1" ht="56.25" customHeight="1" spans="1:24">
      <c r="A8" s="7">
        <v>2</v>
      </c>
      <c r="B8" s="7" t="s">
        <v>30</v>
      </c>
      <c r="C8" s="7" t="s">
        <v>31</v>
      </c>
      <c r="D8" s="7" t="s">
        <v>41</v>
      </c>
      <c r="E8" s="17"/>
      <c r="F8" s="7" t="s">
        <v>34</v>
      </c>
      <c r="G8" s="10" t="s">
        <v>35</v>
      </c>
      <c r="H8" s="7">
        <v>0.63</v>
      </c>
      <c r="I8" s="7" t="s">
        <v>36</v>
      </c>
      <c r="J8" s="10" t="s">
        <v>37</v>
      </c>
      <c r="K8" s="11">
        <f>M8/0.92</f>
        <v>49.0852173913043</v>
      </c>
      <c r="L8" s="7">
        <v>71680</v>
      </c>
      <c r="M8" s="12">
        <f>L8*H8/1000</f>
        <v>45.1584</v>
      </c>
      <c r="N8" s="7">
        <v>32</v>
      </c>
      <c r="O8" s="7">
        <v>2240</v>
      </c>
      <c r="P8" s="7">
        <v>35</v>
      </c>
      <c r="Q8" s="7">
        <v>64</v>
      </c>
      <c r="R8" s="7">
        <v>71750</v>
      </c>
      <c r="S8" s="12">
        <f>R8*H8/1000</f>
        <v>45.2025</v>
      </c>
      <c r="T8" s="13">
        <v>46233</v>
      </c>
      <c r="U8" s="18"/>
      <c r="V8" s="15" t="s">
        <v>39</v>
      </c>
      <c r="W8" s="16" t="s">
        <v>40</v>
      </c>
    </row>
    <row r="9" s="1" customFormat="1" ht="56.25" customHeight="1" spans="1:24">
      <c r="A9" s="7">
        <v>3</v>
      </c>
      <c r="B9" s="7" t="s">
        <v>30</v>
      </c>
      <c r="C9" s="7" t="s">
        <v>31</v>
      </c>
      <c r="D9" s="7" t="s">
        <v>42</v>
      </c>
      <c r="E9" s="17"/>
      <c r="F9" s="7" t="s">
        <v>34</v>
      </c>
      <c r="G9" s="10" t="s">
        <v>35</v>
      </c>
      <c r="H9" s="7">
        <v>0.63</v>
      </c>
      <c r="I9" s="7" t="s">
        <v>36</v>
      </c>
      <c r="J9" s="10" t="s">
        <v>37</v>
      </c>
      <c r="K9" s="11">
        <f>M9/0.92</f>
        <v>24.5426086956522</v>
      </c>
      <c r="L9" s="7">
        <v>35840</v>
      </c>
      <c r="M9" s="12">
        <f>L9*H9/1000</f>
        <v>22.5792</v>
      </c>
      <c r="N9" s="7">
        <v>32</v>
      </c>
      <c r="O9" s="7">
        <v>1120</v>
      </c>
      <c r="P9" s="7">
        <v>35</v>
      </c>
      <c r="Q9" s="7">
        <v>32</v>
      </c>
      <c r="R9" s="7">
        <v>35900</v>
      </c>
      <c r="S9" s="12">
        <f>R9*H9/1000</f>
        <v>22.617</v>
      </c>
      <c r="T9" s="13">
        <v>46233</v>
      </c>
      <c r="U9" s="18"/>
      <c r="V9" s="15" t="s">
        <v>39</v>
      </c>
      <c r="W9" s="16" t="s">
        <v>40</v>
      </c>
    </row>
    <row r="10" s="1" customFormat="1" ht="56.25" customHeight="1" spans="1:24">
      <c r="A10" s="7">
        <v>4</v>
      </c>
      <c r="B10" s="7" t="s">
        <v>30</v>
      </c>
      <c r="C10" s="7" t="s">
        <v>31</v>
      </c>
      <c r="D10" s="7" t="s">
        <v>43</v>
      </c>
      <c r="E10" s="17"/>
      <c r="F10" s="7" t="s">
        <v>34</v>
      </c>
      <c r="G10" s="10" t="s">
        <v>35</v>
      </c>
      <c r="H10" s="7">
        <v>0.63</v>
      </c>
      <c r="I10" s="7" t="s">
        <v>36</v>
      </c>
      <c r="J10" s="10" t="s">
        <v>37</v>
      </c>
      <c r="K10" s="11">
        <f>M10/0.92</f>
        <v>24.5426086956522</v>
      </c>
      <c r="L10" s="7">
        <v>35840</v>
      </c>
      <c r="M10" s="12">
        <f>L10*H10/1000</f>
        <v>22.5792</v>
      </c>
      <c r="N10" s="7">
        <v>32</v>
      </c>
      <c r="O10" s="7">
        <v>1120</v>
      </c>
      <c r="P10" s="7">
        <v>35</v>
      </c>
      <c r="Q10" s="7">
        <v>32</v>
      </c>
      <c r="R10" s="7">
        <v>35900</v>
      </c>
      <c r="S10" s="12">
        <f>R10*H10/1000</f>
        <v>22.617</v>
      </c>
      <c r="T10" s="13">
        <v>46233</v>
      </c>
      <c r="U10" s="18"/>
      <c r="V10" s="15" t="s">
        <v>39</v>
      </c>
      <c r="W10" s="16" t="s">
        <v>40</v>
      </c>
    </row>
    <row r="11" s="1" customFormat="1" ht="56.25" customHeight="1" spans="1:24">
      <c r="A11" s="7">
        <v>5</v>
      </c>
      <c r="B11" s="7" t="s">
        <v>30</v>
      </c>
      <c r="C11" s="7" t="s">
        <v>31</v>
      </c>
      <c r="D11" s="7" t="s">
        <v>44</v>
      </c>
      <c r="E11" s="19"/>
      <c r="F11" s="7" t="s">
        <v>34</v>
      </c>
      <c r="G11" s="10" t="s">
        <v>35</v>
      </c>
      <c r="H11" s="7">
        <v>0.63</v>
      </c>
      <c r="I11" s="7" t="s">
        <v>36</v>
      </c>
      <c r="J11" s="10" t="s">
        <v>37</v>
      </c>
      <c r="K11" s="11">
        <f>M11/0.92</f>
        <v>24.5426086956522</v>
      </c>
      <c r="L11" s="7">
        <v>35840</v>
      </c>
      <c r="M11" s="12">
        <f>L11*H11/1000</f>
        <v>22.5792</v>
      </c>
      <c r="N11" s="7">
        <v>32</v>
      </c>
      <c r="O11" s="7">
        <v>1120</v>
      </c>
      <c r="P11" s="7">
        <v>35</v>
      </c>
      <c r="Q11" s="7">
        <v>32</v>
      </c>
      <c r="R11" s="7">
        <v>35900</v>
      </c>
      <c r="S11" s="12">
        <f>R11*H11/1000</f>
        <v>22.617</v>
      </c>
      <c r="T11" s="13">
        <v>46238</v>
      </c>
      <c r="U11" s="20"/>
      <c r="V11" s="15" t="s">
        <v>39</v>
      </c>
      <c r="W11" s="16" t="s">
        <v>40</v>
      </c>
    </row>
    <row r="12" s="1" customFormat="1" ht="34.5" customHeight="1" spans="1:24">
      <c r="A12" s="7" t="s">
        <v>45</v>
      </c>
      <c r="B12" s="7"/>
      <c r="C12" s="7"/>
      <c r="D12" s="7"/>
      <c r="E12" s="7"/>
      <c r="F12" s="7"/>
      <c r="G12" s="7"/>
      <c r="H12" s="7"/>
      <c r="I12" s="7"/>
      <c r="J12" s="7"/>
      <c r="K12" s="21">
        <f>SUM(K7:K11)</f>
        <v>125.945217391304</v>
      </c>
      <c r="L12" s="21">
        <f>SUM(L7:L11)</f>
        <v>183920</v>
      </c>
      <c r="M12" s="21">
        <f>SUM(M7:M11)</f>
        <v>115.8696</v>
      </c>
      <c r="N12" s="21"/>
      <c r="O12" s="21">
        <f>SUM(O7:O11)</f>
        <v>5748</v>
      </c>
      <c r="P12" s="21"/>
      <c r="Q12" s="21">
        <f>SUM(Q7:Q11)</f>
        <v>165</v>
      </c>
      <c r="R12" s="21">
        <f>SUM(R7:R11)</f>
        <v>184250</v>
      </c>
      <c r="S12" s="21">
        <f>SUM(S7:S11)</f>
        <v>116.0775</v>
      </c>
      <c r="T12" s="7"/>
      <c r="U12" s="7" t="s">
        <v>46</v>
      </c>
      <c r="V12" s="7"/>
      <c r="W12" s="7"/>
    </row>
    <row r="13" ht="17.25" customHeight="1" spans="1:24">
      <c r="O13" s="22"/>
      <c r="U13" s="23"/>
    </row>
    <row r="14" s="1" customFormat="1" ht="19.5" customHeight="1" spans="1:24">
      <c r="B14" s="1" t="s">
        <v>47</v>
      </c>
      <c r="P14" s="24"/>
      <c r="R14" s="25" t="s">
        <v>48</v>
      </c>
      <c r="T14" s="26" t="s">
        <v>49</v>
      </c>
      <c r="U14" s="26"/>
      <c r="V14" s="26"/>
    </row>
    <row r="15" s="1" customFormat="1" ht="19.5" customHeight="1" spans="1:24">
      <c r="A15" s="1" t="s">
        <v>50</v>
      </c>
      <c r="B15" s="27" t="s">
        <v>51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="1" customFormat="1" ht="19.5" customHeight="1" spans="1:24">
      <c r="B16" s="27" t="s">
        <v>52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="1" customFormat="1" ht="19.5" customHeight="1" spans="1:23">
      <c r="A17" s="1" t="s">
        <v>53</v>
      </c>
      <c r="B17" s="27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s="1" customFormat="1" ht="19.5" customHeight="1" spans="1:23">
      <c r="A18" s="1" t="s">
        <v>55</v>
      </c>
      <c r="B18" s="27" t="s">
        <v>56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="1" customFormat="1" ht="19.5" customHeight="1" spans="1:23">
      <c r="A19" s="1" t="s">
        <v>57</v>
      </c>
      <c r="B19" s="27" t="s">
        <v>58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ht="42" customHeight="1" spans="1:23">
      <c r="T20" s="28">
        <v>46189</v>
      </c>
      <c r="U20" s="29"/>
      <c r="V20" s="29"/>
      <c r="W20" s="29"/>
    </row>
    <row r="21" ht="20.25" customHeight="1" spans="1:23">
      <c r="C21" s="27" t="s">
        <v>59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</sheetData>
  <mergeCells count="28">
    <mergeCell ref="A2:W2"/>
    <mergeCell ref="I4:J4"/>
    <mergeCell ref="N4:O4"/>
    <mergeCell ref="I5:K5"/>
    <mergeCell ref="L5:Q5"/>
    <mergeCell ref="R5:S5"/>
    <mergeCell ref="A12:B12"/>
    <mergeCell ref="T14:V14"/>
    <mergeCell ref="B15:X15"/>
    <mergeCell ref="B16:X16"/>
    <mergeCell ref="B17:W17"/>
    <mergeCell ref="B18:W18"/>
    <mergeCell ref="B19:W19"/>
    <mergeCell ref="T20:W20"/>
    <mergeCell ref="C21:N21"/>
    <mergeCell ref="A5:A6"/>
    <mergeCell ref="B5:B6"/>
    <mergeCell ref="C5:C6"/>
    <mergeCell ref="D5:D6"/>
    <mergeCell ref="E5:E6"/>
    <mergeCell ref="E7:E11"/>
    <mergeCell ref="F5:F6"/>
    <mergeCell ref="G5:G6"/>
    <mergeCell ref="T5:T6"/>
    <mergeCell ref="U5:U6"/>
    <mergeCell ref="U7:U11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2026-03-20T06:00:18Z</cp:lastPrinted>
  <dcterms:modified xsi:type="dcterms:W3CDTF">2026-07-20T14:37:40Z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D9FDBF96C20E4609A524CF8225AAC5EC_13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