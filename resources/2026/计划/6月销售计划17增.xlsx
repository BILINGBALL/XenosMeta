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20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<sst xmlns="http://schemas.openxmlformats.org/spreadsheetml/2006/main" count="148" uniqueCount="66">
  <si>
    <t>6  月  份  销  售  计  划  17增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</si>
  <si>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</si>
  <si>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</si>
  <si>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</si>
  <si>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</si>
  <si>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</si>
  <si>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</si>
  <si>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</si>
  <si>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</si>
  <si>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</si>
  <si>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</si>
  <si>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</si>
  <si>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</si>
  <si>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</si>
  <si>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</si>
  <si>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</si>
  <si>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</si>
  <si>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</si>
  <si>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</si>
  <si>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</si>
  <si>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</si>
  <si>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</si>
  <si>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</si>
  <si>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</si>
  <si>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</si>
  <si>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</si>
  <si>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</si>
  <si>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</si>
  <si>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</si>
  <si>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</si>
  <si>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</si>
  <si>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25X164</t>
  </si>
  <si>
    <t>260616-1</t>
  </si>
  <si>
    <t>PO010113</t>
  </si>
  <si>
    <t>UIC864-1
8.8级</t>
  </si>
  <si>
    <t>E225/195
E225/235</t>
  </si>
  <si>
    <t>45#</t>
  </si>
  <si>
    <r>
      <rPr>
        <sz val="10"/>
        <color indexed="8"/>
        <rFont val="Calibri"/>
        <family val="2"/>
        <charset val="0"/>
      </rPr>
      <t>Φ</t>
    </r>
    <r>
      <rPr>
        <sz val="10"/>
        <color indexed="8"/>
        <rFont val="宋体"/>
        <charset val="134"/>
      </rPr>
      <t>26</t>
    </r>
  </si>
  <si>
    <r>
      <t xml:space="preserve">PANDROL
26
</t>
    </r>
    <r>
      <rPr>
        <sz val="14"/>
        <color indexed="8"/>
        <rFont val="宋体"/>
        <charset val="134"/>
      </rPr>
      <t>8.8</t>
    </r>
    <r>
      <rPr>
        <sz val="9"/>
        <color indexed="8"/>
        <rFont val="宋体"/>
        <charset val="134"/>
      </rPr>
      <t xml:space="preserve">
GS195-J8
SDL</t>
    </r>
  </si>
  <si>
    <t>电镀锌</t>
  </si>
  <si>
    <t>编织袋+欧式木箱</t>
  </si>
  <si>
    <t>260616-2</t>
  </si>
  <si>
    <t>260616-3</t>
  </si>
  <si>
    <t>260616-4</t>
  </si>
  <si>
    <t>260616-5</t>
  </si>
  <si>
    <t>260626-1</t>
  </si>
  <si>
    <t>260626-2</t>
  </si>
  <si>
    <t>260626-3</t>
  </si>
  <si>
    <t>260626-4</t>
  </si>
  <si>
    <t>260626-5</t>
  </si>
  <si>
    <t>260626-6</t>
  </si>
  <si>
    <t>合计</t>
  </si>
  <si>
    <t>详见图纸</t>
  </si>
  <si>
    <t>说明：</t>
  </si>
  <si>
    <t>冷弯15°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</si>
  <si>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</si>
  <si>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</si>
  <si>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</si>
  <si>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</si>
  <si>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</si>
  <si>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</si>
  <si>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</si>
  <si>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</si>
  <si>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</si>
  <si>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包装为编织袋+欧式木箱。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</si>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</sst>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9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indexed="8"/>
      <name val="Calibri"/>
      <family val="2"/>
      <charset val="0"/>
    </font>
    <font>
      <sz val="14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5" fillId="0" borderId="0" xfId="0" applyNumberFormat="1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4"/>
  <sheetViews>
    <sheetView tabSelected="1" zoomScaleSheetLayoutView="60" workbookViewId="0">
      <selection activeCell="A16" sqref="$A16:$XFD16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8.375" style="2" customWidth="1"/>
    <col min="13" max="13" width="7.125" style="2" customWidth="1"/>
    <col min="14" max="14" width="4.375" style="2" customWidth="1"/>
    <col min="15" max="15" width="8.125" style="2" customWidth="1"/>
    <col min="16" max="16" width="4.875" style="2" customWidth="1"/>
    <col min="17" max="17" width="5.625" style="2" customWidth="1"/>
    <col min="18" max="18" width="8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1" ht="45" customHeight="1" spans="1:2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="1" customFormat="1" ht="22.5" customHeight="1" spans="1:23">
      <c r="B2" s="4" t="s">
        <v>1</v>
      </c>
      <c r="C2" s="4" t="s">
        <v>2</v>
      </c>
      <c r="D2" s="4"/>
      <c r="E2" s="4"/>
      <c r="F2" s="4"/>
      <c r="G2" s="4"/>
      <c r="H2" s="4"/>
      <c r="I2" s="5" t="s">
        <v>3</v>
      </c>
      <c r="J2" s="5"/>
      <c r="K2" s="4"/>
      <c r="L2" s="4"/>
      <c r="M2" s="4"/>
      <c r="N2" s="6" t="s">
        <v>4</v>
      </c>
      <c r="O2" s="6"/>
      <c r="P2" s="4"/>
      <c r="Q2" s="4"/>
      <c r="R2" s="4"/>
      <c r="S2" s="4"/>
    </row>
    <row r="3" s="1" customFormat="1" ht="29.25" customHeight="1" spans="1:23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/>
      <c r="K3" s="7"/>
      <c r="L3" s="7" t="s">
        <v>14</v>
      </c>
      <c r="M3" s="7"/>
      <c r="N3" s="7"/>
      <c r="O3" s="7"/>
      <c r="P3" s="7"/>
      <c r="Q3" s="7"/>
      <c r="R3" s="7" t="s">
        <v>15</v>
      </c>
      <c r="S3" s="7"/>
      <c r="T3" s="7" t="s">
        <v>16</v>
      </c>
      <c r="U3" s="7" t="s">
        <v>17</v>
      </c>
      <c r="V3" s="7" t="s">
        <v>18</v>
      </c>
      <c r="W3" s="7" t="s">
        <v>19</v>
      </c>
    </row>
    <row r="4" s="1" customFormat="1" ht="29.25" customHeight="1" spans="1:23">
      <c r="A4" s="7"/>
      <c r="B4" s="7"/>
      <c r="C4" s="7"/>
      <c r="D4" s="7"/>
      <c r="E4" s="7"/>
      <c r="F4" s="7"/>
      <c r="G4" s="7"/>
      <c r="H4" s="7" t="s">
        <v>20</v>
      </c>
      <c r="I4" s="7" t="s">
        <v>21</v>
      </c>
      <c r="J4" s="7" t="s">
        <v>22</v>
      </c>
      <c r="K4" s="8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24</v>
      </c>
      <c r="S4" s="7" t="s">
        <v>25</v>
      </c>
      <c r="T4" s="7"/>
      <c r="U4" s="7"/>
      <c r="V4" s="7"/>
      <c r="W4" s="7"/>
    </row>
    <row r="5" s="1" customFormat="1" ht="39" customHeight="1" spans="1:23">
      <c r="A5" s="7">
        <v>1</v>
      </c>
      <c r="B5" s="7" t="s">
        <v>30</v>
      </c>
      <c r="C5" s="7" t="s">
        <v>31</v>
      </c>
      <c r="D5" s="7" t="s">
        <v>32</v>
      </c>
      <c r="E5" s="9" t="s">
        <v>33</v>
      </c>
      <c r="F5" s="7" t="s">
        <v>34</v>
      </c>
      <c r="G5" s="10" t="s">
        <v>35</v>
      </c>
      <c r="H5" s="7">
        <v>0.63</v>
      </c>
      <c r="I5" s="7" t="s">
        <v>36</v>
      </c>
      <c r="J5" s="10" t="s">
        <v>37</v>
      </c>
      <c r="K5" s="11">
        <f t="shared" ref="K5:K15" si="0">M5/0.92</f>
        <v>3.23217391304348</v>
      </c>
      <c r="L5" s="7">
        <v>4720</v>
      </c>
      <c r="M5" s="12">
        <f t="shared" ref="M5:M15" si="1">L5*H5/1000</f>
        <v>2.9736</v>
      </c>
      <c r="N5" s="7">
        <v>32</v>
      </c>
      <c r="O5" s="7">
        <v>148</v>
      </c>
      <c r="P5" s="7">
        <v>35</v>
      </c>
      <c r="Q5" s="7">
        <v>5</v>
      </c>
      <c r="R5" s="7">
        <v>4800</v>
      </c>
      <c r="S5" s="12">
        <f t="shared" ref="S5:S15" si="2">R5*H5/1000</f>
        <v>3.024</v>
      </c>
      <c r="T5" s="13">
        <v>46213</v>
      </c>
      <c r="U5" s="14" t="s">
        <v>38</v>
      </c>
      <c r="V5" s="15" t="s">
        <v>39</v>
      </c>
      <c r="W5" s="16" t="s">
        <v>40</v>
      </c>
    </row>
    <row r="6" s="1" customFormat="1" ht="39" customHeight="1" spans="1:23">
      <c r="A6" s="7">
        <v>2</v>
      </c>
      <c r="B6" s="7" t="s">
        <v>30</v>
      </c>
      <c r="C6" s="7" t="s">
        <v>31</v>
      </c>
      <c r="D6" s="7" t="s">
        <v>41</v>
      </c>
      <c r="E6" s="17"/>
      <c r="F6" s="7" t="s">
        <v>34</v>
      </c>
      <c r="G6" s="10" t="s">
        <v>35</v>
      </c>
      <c r="H6" s="7">
        <v>0.63</v>
      </c>
      <c r="I6" s="7" t="s">
        <v>36</v>
      </c>
      <c r="J6" s="10" t="s">
        <v>37</v>
      </c>
      <c r="K6" s="11">
        <f t="shared" si="0"/>
        <v>49.0852173913043</v>
      </c>
      <c r="L6" s="7">
        <v>71680</v>
      </c>
      <c r="M6" s="12">
        <f t="shared" si="1"/>
        <v>45.1584</v>
      </c>
      <c r="N6" s="7">
        <v>32</v>
      </c>
      <c r="O6" s="7">
        <v>2240</v>
      </c>
      <c r="P6" s="7">
        <v>35</v>
      </c>
      <c r="Q6" s="7">
        <v>64</v>
      </c>
      <c r="R6" s="7">
        <v>71750</v>
      </c>
      <c r="S6" s="12">
        <f t="shared" si="2"/>
        <v>45.2025</v>
      </c>
      <c r="T6" s="13">
        <v>46213</v>
      </c>
      <c r="U6" s="18"/>
      <c r="V6" s="15" t="s">
        <v>39</v>
      </c>
      <c r="W6" s="16" t="s">
        <v>40</v>
      </c>
    </row>
    <row r="7" s="1" customFormat="1" ht="39" customHeight="1" spans="1:23">
      <c r="A7" s="7">
        <v>3</v>
      </c>
      <c r="B7" s="7" t="s">
        <v>30</v>
      </c>
      <c r="C7" s="7" t="s">
        <v>31</v>
      </c>
      <c r="D7" s="7" t="s">
        <v>42</v>
      </c>
      <c r="E7" s="17"/>
      <c r="F7" s="7" t="s">
        <v>34</v>
      </c>
      <c r="G7" s="10" t="s">
        <v>35</v>
      </c>
      <c r="H7" s="7">
        <v>0.63</v>
      </c>
      <c r="I7" s="7" t="s">
        <v>36</v>
      </c>
      <c r="J7" s="10" t="s">
        <v>37</v>
      </c>
      <c r="K7" s="11">
        <f t="shared" si="0"/>
        <v>24.5426086956522</v>
      </c>
      <c r="L7" s="7">
        <v>35840</v>
      </c>
      <c r="M7" s="12">
        <f t="shared" si="1"/>
        <v>22.5792</v>
      </c>
      <c r="N7" s="7">
        <v>32</v>
      </c>
      <c r="O7" s="7">
        <v>1120</v>
      </c>
      <c r="P7" s="7">
        <v>35</v>
      </c>
      <c r="Q7" s="7">
        <v>32</v>
      </c>
      <c r="R7" s="7">
        <v>35900</v>
      </c>
      <c r="S7" s="12">
        <f t="shared" si="2"/>
        <v>22.617</v>
      </c>
      <c r="T7" s="13">
        <v>46213</v>
      </c>
      <c r="U7" s="18"/>
      <c r="V7" s="15" t="s">
        <v>39</v>
      </c>
      <c r="W7" s="16" t="s">
        <v>40</v>
      </c>
    </row>
    <row r="8" s="1" customFormat="1" ht="39" customHeight="1" spans="1:23">
      <c r="A8" s="7">
        <v>4</v>
      </c>
      <c r="B8" s="7" t="s">
        <v>30</v>
      </c>
      <c r="C8" s="7" t="s">
        <v>31</v>
      </c>
      <c r="D8" s="7" t="s">
        <v>43</v>
      </c>
      <c r="E8" s="17"/>
      <c r="F8" s="7" t="s">
        <v>34</v>
      </c>
      <c r="G8" s="10" t="s">
        <v>35</v>
      </c>
      <c r="H8" s="7">
        <v>0.63</v>
      </c>
      <c r="I8" s="7" t="s">
        <v>36</v>
      </c>
      <c r="J8" s="10" t="s">
        <v>37</v>
      </c>
      <c r="K8" s="11">
        <f t="shared" si="0"/>
        <v>24.5426086956522</v>
      </c>
      <c r="L8" s="7">
        <v>35840</v>
      </c>
      <c r="M8" s="12">
        <f t="shared" si="1"/>
        <v>22.5792</v>
      </c>
      <c r="N8" s="7">
        <v>32</v>
      </c>
      <c r="O8" s="7">
        <v>1120</v>
      </c>
      <c r="P8" s="7">
        <v>35</v>
      </c>
      <c r="Q8" s="7">
        <v>32</v>
      </c>
      <c r="R8" s="7">
        <v>35900</v>
      </c>
      <c r="S8" s="12">
        <f t="shared" si="2"/>
        <v>22.617</v>
      </c>
      <c r="T8" s="19">
        <v>46217</v>
      </c>
      <c r="U8" s="18"/>
      <c r="V8" s="15" t="s">
        <v>39</v>
      </c>
      <c r="W8" s="16" t="s">
        <v>40</v>
      </c>
    </row>
    <row r="9" s="1" customFormat="1" ht="39" customHeight="1" spans="1:23">
      <c r="A9" s="7">
        <v>5</v>
      </c>
      <c r="B9" s="7" t="s">
        <v>30</v>
      </c>
      <c r="C9" s="7" t="s">
        <v>31</v>
      </c>
      <c r="D9" s="7" t="s">
        <v>44</v>
      </c>
      <c r="E9" s="17"/>
      <c r="F9" s="7" t="s">
        <v>34</v>
      </c>
      <c r="G9" s="10" t="s">
        <v>35</v>
      </c>
      <c r="H9" s="7">
        <v>0.63</v>
      </c>
      <c r="I9" s="7" t="s">
        <v>36</v>
      </c>
      <c r="J9" s="10" t="s">
        <v>37</v>
      </c>
      <c r="K9" s="11">
        <f t="shared" si="0"/>
        <v>24.5426086956522</v>
      </c>
      <c r="L9" s="7">
        <v>35840</v>
      </c>
      <c r="M9" s="12">
        <f t="shared" si="1"/>
        <v>22.5792</v>
      </c>
      <c r="N9" s="7">
        <v>32</v>
      </c>
      <c r="O9" s="7">
        <v>1120</v>
      </c>
      <c r="P9" s="7">
        <v>35</v>
      </c>
      <c r="Q9" s="7">
        <v>32</v>
      </c>
      <c r="R9" s="7">
        <v>35900</v>
      </c>
      <c r="S9" s="12">
        <f t="shared" si="2"/>
        <v>22.617</v>
      </c>
      <c r="T9" s="19">
        <v>46238</v>
      </c>
      <c r="U9" s="18"/>
      <c r="V9" s="15" t="s">
        <v>39</v>
      </c>
      <c r="W9" s="16" t="s">
        <v>40</v>
      </c>
    </row>
    <row r="10" s="1" customFormat="1" ht="39" customHeight="1" spans="1:23">
      <c r="A10" s="7">
        <v>6</v>
      </c>
      <c r="B10" s="7" t="s">
        <v>30</v>
      </c>
      <c r="C10" s="7" t="s">
        <v>31</v>
      </c>
      <c r="D10" s="7" t="s">
        <v>45</v>
      </c>
      <c r="E10" s="17"/>
      <c r="F10" s="7" t="s">
        <v>34</v>
      </c>
      <c r="G10" s="10" t="s">
        <v>35</v>
      </c>
      <c r="H10" s="7">
        <v>0.63</v>
      </c>
      <c r="I10" s="7" t="s">
        <v>36</v>
      </c>
      <c r="J10" s="10" t="s">
        <v>37</v>
      </c>
      <c r="K10" s="11">
        <f t="shared" si="0"/>
        <v>24.5426086956522</v>
      </c>
      <c r="L10" s="7">
        <v>35840</v>
      </c>
      <c r="M10" s="12">
        <f t="shared" si="1"/>
        <v>22.5792</v>
      </c>
      <c r="N10" s="7">
        <v>32</v>
      </c>
      <c r="O10" s="7">
        <v>1120</v>
      </c>
      <c r="P10" s="7">
        <v>35</v>
      </c>
      <c r="Q10" s="7">
        <v>32</v>
      </c>
      <c r="R10" s="7">
        <v>35900</v>
      </c>
      <c r="S10" s="12">
        <f t="shared" si="2"/>
        <v>22.617</v>
      </c>
      <c r="T10" s="19">
        <v>46273</v>
      </c>
      <c r="U10" s="18"/>
      <c r="V10" s="15" t="s">
        <v>39</v>
      </c>
      <c r="W10" s="16" t="s">
        <v>40</v>
      </c>
    </row>
    <row r="11" s="1" customFormat="1" ht="39" customHeight="1" spans="1:23">
      <c r="A11" s="7">
        <v>7</v>
      </c>
      <c r="B11" s="7" t="s">
        <v>30</v>
      </c>
      <c r="C11" s="7" t="s">
        <v>31</v>
      </c>
      <c r="D11" s="7" t="s">
        <v>46</v>
      </c>
      <c r="E11" s="17"/>
      <c r="F11" s="7" t="s">
        <v>34</v>
      </c>
      <c r="G11" s="10" t="s">
        <v>35</v>
      </c>
      <c r="H11" s="7">
        <v>0.63</v>
      </c>
      <c r="I11" s="7" t="s">
        <v>36</v>
      </c>
      <c r="J11" s="10" t="s">
        <v>37</v>
      </c>
      <c r="K11" s="11">
        <f t="shared" si="0"/>
        <v>24.5426086956522</v>
      </c>
      <c r="L11" s="7">
        <v>35840</v>
      </c>
      <c r="M11" s="12">
        <f t="shared" si="1"/>
        <v>22.5792</v>
      </c>
      <c r="N11" s="7">
        <v>32</v>
      </c>
      <c r="O11" s="7">
        <v>1120</v>
      </c>
      <c r="P11" s="7">
        <v>35</v>
      </c>
      <c r="Q11" s="7">
        <v>32</v>
      </c>
      <c r="R11" s="7">
        <v>35900</v>
      </c>
      <c r="S11" s="12">
        <f t="shared" si="2"/>
        <v>22.617</v>
      </c>
      <c r="T11" s="19">
        <v>46309</v>
      </c>
      <c r="U11" s="18"/>
      <c r="V11" s="15" t="s">
        <v>39</v>
      </c>
      <c r="W11" s="16" t="s">
        <v>40</v>
      </c>
    </row>
    <row r="12" s="1" customFormat="1" ht="39" customHeight="1" spans="1:23">
      <c r="A12" s="7">
        <v>8</v>
      </c>
      <c r="B12" s="7" t="s">
        <v>30</v>
      </c>
      <c r="C12" s="7" t="s">
        <v>31</v>
      </c>
      <c r="D12" s="7" t="s">
        <v>47</v>
      </c>
      <c r="E12" s="17"/>
      <c r="F12" s="7" t="s">
        <v>34</v>
      </c>
      <c r="G12" s="10" t="s">
        <v>35</v>
      </c>
      <c r="H12" s="7">
        <v>0.63</v>
      </c>
      <c r="I12" s="7" t="s">
        <v>36</v>
      </c>
      <c r="J12" s="10" t="s">
        <v>37</v>
      </c>
      <c r="K12" s="11">
        <f t="shared" si="0"/>
        <v>24.5426086956522</v>
      </c>
      <c r="L12" s="7">
        <v>35840</v>
      </c>
      <c r="M12" s="12">
        <f t="shared" si="1"/>
        <v>22.5792</v>
      </c>
      <c r="N12" s="7">
        <v>32</v>
      </c>
      <c r="O12" s="7">
        <v>1120</v>
      </c>
      <c r="P12" s="7">
        <v>35</v>
      </c>
      <c r="Q12" s="7">
        <v>32</v>
      </c>
      <c r="R12" s="7">
        <v>35900</v>
      </c>
      <c r="S12" s="12">
        <f t="shared" si="2"/>
        <v>22.617</v>
      </c>
      <c r="T12" s="19">
        <v>46316</v>
      </c>
      <c r="U12" s="18"/>
      <c r="V12" s="15" t="s">
        <v>39</v>
      </c>
      <c r="W12" s="16" t="s">
        <v>40</v>
      </c>
    </row>
    <row r="13" s="1" customFormat="1" ht="39" customHeight="1" spans="1:23">
      <c r="A13" s="7">
        <v>9</v>
      </c>
      <c r="B13" s="7" t="s">
        <v>30</v>
      </c>
      <c r="C13" s="7" t="s">
        <v>31</v>
      </c>
      <c r="D13" s="7" t="s">
        <v>48</v>
      </c>
      <c r="E13" s="17"/>
      <c r="F13" s="7" t="s">
        <v>34</v>
      </c>
      <c r="G13" s="10" t="s">
        <v>35</v>
      </c>
      <c r="H13" s="7">
        <v>0.63</v>
      </c>
      <c r="I13" s="7" t="s">
        <v>36</v>
      </c>
      <c r="J13" s="10" t="s">
        <v>37</v>
      </c>
      <c r="K13" s="11">
        <f t="shared" si="0"/>
        <v>24.5426086956522</v>
      </c>
      <c r="L13" s="7">
        <v>35840</v>
      </c>
      <c r="M13" s="12">
        <f t="shared" si="1"/>
        <v>22.5792</v>
      </c>
      <c r="N13" s="7">
        <v>32</v>
      </c>
      <c r="O13" s="7">
        <v>1120</v>
      </c>
      <c r="P13" s="7">
        <v>35</v>
      </c>
      <c r="Q13" s="7">
        <v>32</v>
      </c>
      <c r="R13" s="7">
        <v>35900</v>
      </c>
      <c r="S13" s="12">
        <f t="shared" si="2"/>
        <v>22.617</v>
      </c>
      <c r="T13" s="19">
        <v>46363</v>
      </c>
      <c r="U13" s="18"/>
      <c r="V13" s="15" t="s">
        <v>39</v>
      </c>
      <c r="W13" s="16" t="s">
        <v>40</v>
      </c>
    </row>
    <row r="14" s="1" customFormat="1" ht="39" customHeight="1" spans="1:23">
      <c r="A14" s="7">
        <v>10</v>
      </c>
      <c r="B14" s="7" t="s">
        <v>30</v>
      </c>
      <c r="C14" s="7" t="s">
        <v>31</v>
      </c>
      <c r="D14" s="7" t="s">
        <v>49</v>
      </c>
      <c r="E14" s="17"/>
      <c r="F14" s="7" t="s">
        <v>34</v>
      </c>
      <c r="G14" s="10" t="s">
        <v>35</v>
      </c>
      <c r="H14" s="7">
        <v>0.63</v>
      </c>
      <c r="I14" s="7" t="s">
        <v>36</v>
      </c>
      <c r="J14" s="10" t="s">
        <v>37</v>
      </c>
      <c r="K14" s="11">
        <f t="shared" si="0"/>
        <v>24.5426086956522</v>
      </c>
      <c r="L14" s="7">
        <v>35840</v>
      </c>
      <c r="M14" s="12">
        <f t="shared" si="1"/>
        <v>22.5792</v>
      </c>
      <c r="N14" s="7">
        <v>32</v>
      </c>
      <c r="O14" s="7">
        <v>1120</v>
      </c>
      <c r="P14" s="7">
        <v>35</v>
      </c>
      <c r="Q14" s="7">
        <v>32</v>
      </c>
      <c r="R14" s="7">
        <v>35900</v>
      </c>
      <c r="S14" s="12">
        <f t="shared" si="2"/>
        <v>22.617</v>
      </c>
      <c r="T14" s="19">
        <v>46370</v>
      </c>
      <c r="U14" s="18"/>
      <c r="V14" s="15" t="s">
        <v>39</v>
      </c>
      <c r="W14" s="16" t="s">
        <v>40</v>
      </c>
    </row>
    <row r="15" s="1" customFormat="1" ht="39" customHeight="1" spans="1:23">
      <c r="A15" s="7">
        <v>11</v>
      </c>
      <c r="B15" s="7" t="s">
        <v>30</v>
      </c>
      <c r="C15" s="7" t="s">
        <v>31</v>
      </c>
      <c r="D15" s="7" t="s">
        <v>50</v>
      </c>
      <c r="E15" s="20"/>
      <c r="F15" s="7" t="s">
        <v>34</v>
      </c>
      <c r="G15" s="10" t="s">
        <v>35</v>
      </c>
      <c r="H15" s="7">
        <v>0.63</v>
      </c>
      <c r="I15" s="7" t="s">
        <v>36</v>
      </c>
      <c r="J15" s="10" t="s">
        <v>37</v>
      </c>
      <c r="K15" s="11">
        <f t="shared" si="0"/>
        <v>13.5039130434783</v>
      </c>
      <c r="L15" s="7">
        <v>19720</v>
      </c>
      <c r="M15" s="12">
        <f t="shared" si="1"/>
        <v>12.4236</v>
      </c>
      <c r="N15" s="7">
        <v>32</v>
      </c>
      <c r="O15" s="7">
        <v>617</v>
      </c>
      <c r="P15" s="7">
        <v>35</v>
      </c>
      <c r="Q15" s="7">
        <v>18</v>
      </c>
      <c r="R15" s="7">
        <v>19800</v>
      </c>
      <c r="S15" s="12">
        <f t="shared" si="2"/>
        <v>12.474</v>
      </c>
      <c r="T15" s="19">
        <v>46393</v>
      </c>
      <c r="U15" s="21"/>
      <c r="V15" s="15" t="s">
        <v>39</v>
      </c>
      <c r="W15" s="16" t="s">
        <v>40</v>
      </c>
    </row>
    <row r="16" s="1" customFormat="1" ht="28.5" customHeight="1" spans="1:23">
      <c r="A16" s="7" t="s">
        <v>51</v>
      </c>
      <c r="B16" s="7"/>
      <c r="C16" s="7"/>
      <c r="D16" s="7"/>
      <c r="E16" s="7"/>
      <c r="F16" s="7"/>
      <c r="G16" s="7"/>
      <c r="H16" s="7"/>
      <c r="I16" s="7"/>
      <c r="J16" s="7"/>
      <c r="K16" s="22">
        <f>SUM(K5:K15)</f>
        <v>262.162173913043</v>
      </c>
      <c r="L16" s="22">
        <f>SUM(L5:L15)</f>
        <v>382840</v>
      </c>
      <c r="M16" s="22">
        <f>SUM(M5:M15)</f>
        <v>241.1892</v>
      </c>
      <c r="N16" s="22"/>
      <c r="O16" s="22">
        <f>SUM(O5:O15)</f>
        <v>11965</v>
      </c>
      <c r="P16" s="22"/>
      <c r="Q16" s="22">
        <f>SUM(Q5:Q15)</f>
        <v>343</v>
      </c>
      <c r="R16" s="22">
        <f>SUM(R5:R15)</f>
        <v>383550</v>
      </c>
      <c r="S16" s="22">
        <f>SUM(S5:S15)</f>
        <v>241.6365</v>
      </c>
      <c r="T16" s="7"/>
      <c r="U16" s="7" t="s">
        <v>52</v>
      </c>
      <c r="V16" s="7"/>
      <c r="W16" s="7"/>
    </row>
    <row r="17" s="1" customFormat="1" ht="19.5" customHeight="1" spans="1:24">
      <c r="B17" s="1" t="s">
        <v>53</v>
      </c>
      <c r="P17" s="23"/>
      <c r="R17" s="24" t="s">
        <v>54</v>
      </c>
      <c r="T17" s="25" t="s">
        <v>55</v>
      </c>
      <c r="U17" s="25"/>
      <c r="V17" s="25"/>
    </row>
    <row r="18" s="1" customFormat="1" ht="19.5" customHeight="1" spans="1:24">
      <c r="A18" s="1" t="s">
        <v>56</v>
      </c>
      <c r="B18" s="26" t="s">
        <v>57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="1" customFormat="1" ht="19.5" customHeight="1" spans="1:24">
      <c r="B19" s="26" t="s">
        <v>58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="1" customFormat="1" ht="19.5" customHeight="1" spans="1:24">
      <c r="A20" s="1" t="s">
        <v>59</v>
      </c>
      <c r="B20" s="26" t="s">
        <v>60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="1" customFormat="1" ht="19.5" customHeight="1" spans="1:24">
      <c r="A21" s="1" t="s">
        <v>61</v>
      </c>
      <c r="B21" s="26" t="s">
        <v>62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="1" customFormat="1" ht="19.5" customHeight="1" spans="1:24">
      <c r="A22" s="1" t="s">
        <v>63</v>
      </c>
      <c r="B22" s="26" t="s">
        <v>64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18.75" customHeight="1" spans="1:24">
      <c r="T23" s="27">
        <v>46199</v>
      </c>
      <c r="U23" s="28"/>
      <c r="V23" s="28"/>
      <c r="W23" s="28"/>
    </row>
    <row r="24" ht="20.25" customHeight="1" spans="1:24">
      <c r="C24" s="26" t="s">
        <v>65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</sheetData>
  <mergeCells count="28">
    <mergeCell ref="A1:W1"/>
    <mergeCell ref="I2:J2"/>
    <mergeCell ref="N2:O2"/>
    <mergeCell ref="I3:K3"/>
    <mergeCell ref="L3:Q3"/>
    <mergeCell ref="R3:S3"/>
    <mergeCell ref="A16:B16"/>
    <mergeCell ref="T17:V17"/>
    <mergeCell ref="B18:X18"/>
    <mergeCell ref="B19:X19"/>
    <mergeCell ref="B20:W20"/>
    <mergeCell ref="B21:W21"/>
    <mergeCell ref="B22:W22"/>
    <mergeCell ref="T23:W23"/>
    <mergeCell ref="C24:N24"/>
    <mergeCell ref="A3:A4"/>
    <mergeCell ref="B3:B4"/>
    <mergeCell ref="C3:C4"/>
    <mergeCell ref="D3:D4"/>
    <mergeCell ref="E3:E4"/>
    <mergeCell ref="E5:E15"/>
    <mergeCell ref="F3:F4"/>
    <mergeCell ref="G3:G4"/>
    <mergeCell ref="T3:T4"/>
    <mergeCell ref="U3:U4"/>
    <mergeCell ref="U5:U15"/>
    <mergeCell ref="V3:V4"/>
    <mergeCell ref="W3:W4"/>
  </mergeCells>
  <pageMargins left="0.708661417322835" right="0.708661417322835" top="0.354330708661417" bottom="0.354330708661417" header="0.31496062992126" footer="0.31496062992126"/>
  <pageSetup paperSize="9" scale="73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2026-06-26T06:56:05Z</cp:lastPrinted>
  <dcterms:modified xsi:type="dcterms:W3CDTF">2026-07-20T14:38:00Z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90C5F8BFE735409F8BF2C54FC9BA2F7E_13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