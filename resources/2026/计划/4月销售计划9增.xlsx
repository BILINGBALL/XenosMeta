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<sst xmlns="http://schemas.openxmlformats.org/spreadsheetml/2006/main" count="76" uniqueCount="62">
  <si>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4  月  份  销  售  计  划  9增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</si>
  <si>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</si>
  <si>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</si>
  <si>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</si>
  <si>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</si>
  <si>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</si>
  <si>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</si>
  <si>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</si>
  <si>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</si>
  <si>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</si>
  <si>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</si>
  <si>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</si>
  <si>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</si>
  <si>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</si>
  <si>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</si>
  <si>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</si>
  <si>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</si>
  <si>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</si>
  <si>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</si>
  <si>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</si>
  <si>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</si>
  <si>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</si>
  <si>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</si>
  <si>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</si>
  <si>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</si>
  <si>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</si>
  <si>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</si>
  <si>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</si>
  <si>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</si>
  <si>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</si>
  <si>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</si>
  <si>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25X164</t>
  </si>
  <si>
    <t>260422-1</t>
  </si>
  <si>
    <t>PO009475</t>
  </si>
  <si>
    <t>UIC864-1
8.8级</t>
  </si>
  <si>
    <t>E225/195
E225/235</t>
  </si>
  <si>
    <t>45#</t>
  </si>
  <si>
    <r>
      <rPr>
        <sz val="10"/>
        <color indexed="8"/>
        <rFont val="Calibri"/>
        <family val="2"/>
        <charset val="0"/>
      </rPr>
      <t>Φ</t>
    </r>
    <r>
      <rPr>
        <sz val="10"/>
        <color indexed="8"/>
        <rFont val="宋体"/>
        <charset val="134"/>
      </rPr>
      <t>26</t>
    </r>
  </si>
  <si>
    <r>
      <t xml:space="preserve">PANDROL
26
</t>
    </r>
    <r>
      <rPr>
        <sz val="14"/>
        <color indexed="8"/>
        <rFont val="宋体"/>
        <charset val="134"/>
      </rPr>
      <t>8.8</t>
    </r>
    <r>
      <rPr>
        <sz val="9"/>
        <color indexed="8"/>
        <rFont val="宋体"/>
        <charset val="134"/>
      </rPr>
      <t xml:space="preserve">
GS195-J8
SDL</t>
    </r>
  </si>
  <si>
    <t>电镀锌</t>
  </si>
  <si>
    <t>纸箱</t>
  </si>
  <si>
    <t>260422-2</t>
  </si>
  <si>
    <t>合计</t>
  </si>
  <si>
    <t>0.11
吨</t>
  </si>
  <si>
    <t>144
件</t>
  </si>
  <si>
    <t>6
袋</t>
  </si>
  <si>
    <t>2
箱</t>
  </si>
  <si>
    <t>148
件</t>
  </si>
  <si>
    <t>详见图纸</t>
  </si>
  <si>
    <t>说明：</t>
  </si>
  <si>
    <t>冷弯15°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</si>
  <si>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</si>
  <si>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</si>
  <si>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</si>
  <si>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</si>
  <si>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</si>
  <si>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</si>
  <si>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</si>
  <si>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</si>
  <si>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</si>
  <si>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包装为纸箱。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</si>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</sst>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b/>
      <sz val="14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indexed="8"/>
      <name val="宋体"/>
      <charset val="134"/>
    </font>
    <font>
      <sz val="10"/>
      <color indexed="8"/>
      <name val="Calibri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6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18"/>
  <sheetViews>
    <sheetView tabSelected="1" zoomScaleSheetLayoutView="60" topLeftCell="A5" workbookViewId="0">
      <selection activeCell="O10" sqref="O10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75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82.5" customHeight="1" spans="1:24">
      <c r="A7" s="7">
        <v>1</v>
      </c>
      <c r="B7" s="7" t="s">
        <v>30</v>
      </c>
      <c r="C7" s="7" t="s">
        <v>31</v>
      </c>
      <c r="D7" s="7" t="s">
        <v>32</v>
      </c>
      <c r="E7" s="9" t="s">
        <v>33</v>
      </c>
      <c r="F7" s="7" t="s">
        <v>34</v>
      </c>
      <c r="G7" s="10" t="s">
        <v>35</v>
      </c>
      <c r="H7" s="7">
        <v>0.63</v>
      </c>
      <c r="I7" s="7" t="s">
        <v>36</v>
      </c>
      <c r="J7" s="10" t="s">
        <v>37</v>
      </c>
      <c r="K7" s="11">
        <f>M7/0.92</f>
        <v>0.00821739130434783</v>
      </c>
      <c r="L7" s="7">
        <v>12</v>
      </c>
      <c r="M7" s="12">
        <f>L7*H7/1000</f>
        <v>0.00756</v>
      </c>
      <c r="N7" s="7">
        <v>12</v>
      </c>
      <c r="O7" s="7">
        <v>1</v>
      </c>
      <c r="P7" s="7">
        <v>1</v>
      </c>
      <c r="Q7" s="7">
        <v>1</v>
      </c>
      <c r="R7" s="7">
        <v>13</v>
      </c>
      <c r="S7" s="12">
        <f>R7*H7/1000</f>
        <v>0.00819</v>
      </c>
      <c r="T7" s="13">
        <v>46152</v>
      </c>
      <c r="U7" s="14" t="s">
        <v>38</v>
      </c>
      <c r="V7" s="15" t="s">
        <v>39</v>
      </c>
      <c r="W7" s="16" t="s">
        <v>40</v>
      </c>
    </row>
    <row r="8" s="1" customFormat="1" ht="82.5" customHeight="1" spans="1:24">
      <c r="A8" s="7">
        <v>2</v>
      </c>
      <c r="B8" s="7" t="s">
        <v>30</v>
      </c>
      <c r="C8" s="7" t="s">
        <v>31</v>
      </c>
      <c r="D8" s="7" t="s">
        <v>41</v>
      </c>
      <c r="E8" s="9" t="s">
        <v>33</v>
      </c>
      <c r="F8" s="7" t="s">
        <v>34</v>
      </c>
      <c r="G8" s="10" t="s">
        <v>35</v>
      </c>
      <c r="H8" s="7">
        <v>0.63</v>
      </c>
      <c r="I8" s="7" t="s">
        <v>36</v>
      </c>
      <c r="J8" s="10" t="s">
        <v>37</v>
      </c>
      <c r="K8" s="11">
        <f>M8/0.92</f>
        <v>0.0903913043478261</v>
      </c>
      <c r="L8" s="7">
        <v>132</v>
      </c>
      <c r="M8" s="12">
        <f>L8*H8/1000</f>
        <v>0.08316</v>
      </c>
      <c r="N8" s="7">
        <v>32</v>
      </c>
      <c r="O8" s="7">
        <v>5</v>
      </c>
      <c r="P8" s="7">
        <v>5</v>
      </c>
      <c r="Q8" s="7">
        <v>1</v>
      </c>
      <c r="R8" s="7">
        <v>135</v>
      </c>
      <c r="S8" s="12">
        <f>R8*H8/1000</f>
        <v>0.08505</v>
      </c>
      <c r="T8" s="13">
        <v>46208</v>
      </c>
      <c r="U8" s="14" t="s">
        <v>38</v>
      </c>
      <c r="V8" s="15" t="s">
        <v>39</v>
      </c>
      <c r="W8" s="16" t="s">
        <v>40</v>
      </c>
    </row>
    <row r="9" s="1" customFormat="1" ht="34.5" customHeight="1" spans="1:24">
      <c r="A9" s="7" t="s">
        <v>42</v>
      </c>
      <c r="B9" s="7"/>
      <c r="C9" s="7"/>
      <c r="D9" s="7"/>
      <c r="E9" s="7"/>
      <c r="F9" s="7"/>
      <c r="G9" s="7"/>
      <c r="H9" s="7"/>
      <c r="I9" s="7"/>
      <c r="J9" s="7"/>
      <c r="K9" s="7" t="s">
        <v>43</v>
      </c>
      <c r="L9" s="7" t="s">
        <v>44</v>
      </c>
      <c r="M9" s="7" t="s">
        <v>43</v>
      </c>
      <c r="N9" s="7"/>
      <c r="O9" s="7" t="s">
        <v>45</v>
      </c>
      <c r="P9" s="7"/>
      <c r="Q9" s="7" t="s">
        <v>46</v>
      </c>
      <c r="R9" s="7" t="s">
        <v>47</v>
      </c>
      <c r="S9" s="7" t="s">
        <v>43</v>
      </c>
      <c r="T9" s="7"/>
      <c r="U9" s="7" t="s">
        <v>48</v>
      </c>
      <c r="V9" s="7"/>
      <c r="W9" s="7"/>
    </row>
    <row r="10" ht="17.25" customHeight="1" spans="1:24">
      <c r="O10" s="17"/>
      <c r="U10" s="18"/>
    </row>
    <row r="11" s="1" customFormat="1" ht="19.5" customHeight="1" spans="1:24">
      <c r="B11" s="1" t="s">
        <v>49</v>
      </c>
      <c r="P11" s="19"/>
      <c r="R11" s="20" t="s">
        <v>50</v>
      </c>
      <c r="T11" s="21" t="s">
        <v>51</v>
      </c>
      <c r="U11" s="21"/>
      <c r="V11" s="21"/>
    </row>
    <row r="12" s="1" customFormat="1" ht="19.5" customHeight="1" spans="1:24">
      <c r="A12" s="1" t="s">
        <v>52</v>
      </c>
      <c r="B12" s="22" t="s">
        <v>53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="1" customFormat="1" ht="19.5" customHeight="1" spans="1:24">
      <c r="B13" s="22" t="s">
        <v>54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="1" customFormat="1" ht="19.5" customHeight="1" spans="1:24">
      <c r="A14" s="1" t="s">
        <v>55</v>
      </c>
      <c r="B14" s="22" t="s">
        <v>56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="1" customFormat="1" ht="19.5" customHeight="1" spans="1:24">
      <c r="A15" s="1" t="s">
        <v>57</v>
      </c>
      <c r="B15" s="22" t="s">
        <v>58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="1" customFormat="1" ht="19.5" customHeight="1" spans="1:24">
      <c r="A16" s="1" t="s">
        <v>59</v>
      </c>
      <c r="B16" s="22" t="s">
        <v>60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ht="42" customHeight="1" spans="3:23">
      <c r="T17" s="23">
        <v>46148</v>
      </c>
      <c r="U17" s="24"/>
      <c r="V17" s="24"/>
      <c r="W17" s="24"/>
    </row>
    <row r="18" ht="20.25" customHeight="1" spans="3:23">
      <c r="C18" s="22" t="s">
        <v>61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</sheetData>
  <mergeCells count="26">
    <mergeCell ref="A2:W2"/>
    <mergeCell ref="I4:J4"/>
    <mergeCell ref="N4:O4"/>
    <mergeCell ref="I5:K5"/>
    <mergeCell ref="L5:Q5"/>
    <mergeCell ref="R5:S5"/>
    <mergeCell ref="A9:B9"/>
    <mergeCell ref="T11:V11"/>
    <mergeCell ref="B12:X12"/>
    <mergeCell ref="B13:X13"/>
    <mergeCell ref="B14:W14"/>
    <mergeCell ref="B15:W15"/>
    <mergeCell ref="B16:W16"/>
    <mergeCell ref="T17:W17"/>
    <mergeCell ref="C18:N18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</mergeCells>
  <pageMargins left="0.7" right="0.7" top="0.75" bottom="0.75" header="0.3" footer="0.3"/>
  <pageSetup paperSize="9" scale="81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2026-03-20T06:00:18Z</cp:lastPrinted>
  <dcterms:modified xsi:type="dcterms:W3CDTF">2026-07-20T14:36:34Z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97055AD5B8364772B42310A6F675819A_13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