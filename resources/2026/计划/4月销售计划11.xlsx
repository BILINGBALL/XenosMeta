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<sst xmlns="http://schemas.openxmlformats.org/spreadsheetml/2006/main" count="73" uniqueCount="63">
  <si>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4  月  份  销  售  计  划  11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</si>
  <si>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</si>
  <si>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</si>
  <si>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</si>
  <si>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</si>
  <si>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</si>
  <si>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</si>
  <si>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</si>
  <si>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</si>
  <si>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</si>
  <si>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</si>
  <si>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</si>
  <si>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</si>
  <si>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</si>
  <si>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</si>
  <si>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</si>
  <si>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</si>
  <si>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</si>
  <si>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</si>
  <si>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</si>
  <si>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</si>
  <si>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</si>
  <si>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</si>
  <si>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</si>
  <si>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</si>
  <si>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</si>
  <si>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</si>
  <si>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</si>
  <si>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</si>
  <si>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</si>
  <si>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</si>
  <si>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SS35
24X151</t>
  </si>
  <si>
    <t>260427-1</t>
  </si>
  <si>
    <t>CA2602419</t>
  </si>
  <si>
    <t>5.6级</t>
  </si>
  <si>
    <t>E225/243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</si>
  <si>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</si>
  <si>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</si>
  <si>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SS35-R6
SDL</t>
    </r>
  </si>
  <si>
    <t>电镀白锌≥12μm</t>
  </si>
  <si>
    <t>编织袋+纸箱</t>
  </si>
  <si>
    <t>SS35
24X156</t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</si>
  <si>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SS35-R7
SDL</t>
    </r>
  </si>
  <si>
    <t>有库存</t>
  </si>
  <si>
    <t>合计</t>
  </si>
  <si>
    <t>0.03
吨</t>
  </si>
  <si>
    <t>56
件</t>
  </si>
  <si>
    <t>3
袋</t>
  </si>
  <si>
    <t>1
箱</t>
  </si>
  <si>
    <t>70
件</t>
  </si>
  <si>
    <t>0.04
吨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</si>
  <si>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</si>
  <si>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</si>
  <si>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</si>
  <si>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</si>
  <si>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</si>
  <si>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</si>
  <si>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</si>
  <si>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</si>
  <si>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</si>
  <si>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</si>
  <si>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包装为编织袋+纸箱。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</si>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</sst>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9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b/>
      <sz val="10"/>
      <color indexed="8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7" fillId="0" borderId="0" xfId="0" applyNumberFormat="1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topLeftCell="A5" workbookViewId="0">
      <selection activeCell="G8" sqref="G8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8.7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9" t="s">
        <v>31</v>
      </c>
      <c r="D7" s="7" t="s">
        <v>32</v>
      </c>
      <c r="E7" s="10" t="s">
        <v>33</v>
      </c>
      <c r="F7" s="7" t="s">
        <v>34</v>
      </c>
      <c r="G7" s="9" t="s">
        <v>35</v>
      </c>
      <c r="H7" s="7">
        <v>0.6</v>
      </c>
      <c r="I7" s="7" t="s">
        <v>36</v>
      </c>
      <c r="J7" s="9" t="s">
        <v>37</v>
      </c>
      <c r="K7" s="11">
        <f>M7/0.92</f>
        <v>0.00260869565217391</v>
      </c>
      <c r="L7" s="7">
        <v>4</v>
      </c>
      <c r="M7" s="12">
        <f>L7*H7/1000</f>
        <v>0.0024</v>
      </c>
      <c r="N7" s="7">
        <v>4</v>
      </c>
      <c r="O7" s="7">
        <v>1</v>
      </c>
      <c r="P7" s="7">
        <v>1</v>
      </c>
      <c r="Q7" s="7">
        <v>1</v>
      </c>
      <c r="R7" s="7">
        <v>10</v>
      </c>
      <c r="S7" s="12">
        <f>R7*H7/1000</f>
        <v>0.006</v>
      </c>
      <c r="T7" s="13">
        <v>46175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30</v>
      </c>
      <c r="C8" s="9" t="s">
        <v>41</v>
      </c>
      <c r="D8" s="7"/>
      <c r="E8" s="17"/>
      <c r="F8" s="7" t="s">
        <v>34</v>
      </c>
      <c r="G8" s="9" t="s">
        <v>35</v>
      </c>
      <c r="H8" s="7">
        <v>0.6</v>
      </c>
      <c r="I8" s="7" t="s">
        <v>36</v>
      </c>
      <c r="J8" s="9" t="s">
        <v>37</v>
      </c>
      <c r="K8" s="11">
        <f>M8/0.92</f>
        <v>0.0339130434782609</v>
      </c>
      <c r="L8" s="7">
        <v>52</v>
      </c>
      <c r="M8" s="18">
        <f>L8*H8/1000</f>
        <v>0.0312</v>
      </c>
      <c r="N8" s="7">
        <v>26</v>
      </c>
      <c r="O8" s="7">
        <v>2</v>
      </c>
      <c r="P8" s="7">
        <v>2</v>
      </c>
      <c r="Q8" s="7">
        <v>1</v>
      </c>
      <c r="R8" s="7">
        <v>60</v>
      </c>
      <c r="S8" s="18">
        <f>R8*H8/1000</f>
        <v>0.036</v>
      </c>
      <c r="T8" s="13">
        <v>46175</v>
      </c>
      <c r="U8" s="14" t="s">
        <v>42</v>
      </c>
      <c r="V8" s="15" t="s">
        <v>39</v>
      </c>
      <c r="W8" s="16" t="s">
        <v>40</v>
      </c>
      <c r="X8" s="19" t="s">
        <v>43</v>
      </c>
    </row>
    <row r="9" s="1" customFormat="1" ht="46.5" customHeight="1" spans="1:24">
      <c r="A9" s="7" t="s">
        <v>44</v>
      </c>
      <c r="B9" s="7"/>
      <c r="C9" s="7"/>
      <c r="D9" s="7"/>
      <c r="E9" s="7"/>
      <c r="F9" s="7"/>
      <c r="G9" s="7"/>
      <c r="H9" s="7"/>
      <c r="I9" s="7"/>
      <c r="J9" s="7"/>
      <c r="K9" s="7" t="s">
        <v>45</v>
      </c>
      <c r="L9" s="7" t="s">
        <v>46</v>
      </c>
      <c r="M9" s="7" t="s">
        <v>45</v>
      </c>
      <c r="N9" s="7"/>
      <c r="O9" s="7" t="s">
        <v>47</v>
      </c>
      <c r="P9" s="7"/>
      <c r="Q9" s="7" t="s">
        <v>48</v>
      </c>
      <c r="R9" s="7" t="s">
        <v>49</v>
      </c>
      <c r="S9" s="7" t="s">
        <v>50</v>
      </c>
      <c r="T9" s="7"/>
      <c r="U9" s="9"/>
      <c r="V9" s="7"/>
      <c r="W9" s="7"/>
    </row>
    <row r="10" ht="17.25" customHeight="1" spans="1:24">
      <c r="O10" s="20"/>
      <c r="U10" s="21"/>
    </row>
    <row r="11" s="1" customFormat="1" ht="19.5" customHeight="1" spans="1:24">
      <c r="B11" s="1" t="s">
        <v>51</v>
      </c>
      <c r="P11" s="22"/>
      <c r="T11" s="23" t="s">
        <v>52</v>
      </c>
      <c r="U11" s="23"/>
      <c r="V11" s="23"/>
    </row>
    <row r="12" s="1" customFormat="1" ht="19.5" customHeight="1" spans="1:24">
      <c r="A12" s="1" t="s">
        <v>53</v>
      </c>
      <c r="B12" s="24" t="s">
        <v>54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="1" customFormat="1" ht="19.5" customHeight="1" spans="1:24">
      <c r="B13" s="24" t="s">
        <v>55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="1" customFormat="1" ht="19.5" customHeight="1" spans="1:24">
      <c r="A14" s="1" t="s">
        <v>56</v>
      </c>
      <c r="B14" s="24" t="s">
        <v>57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="1" customFormat="1" ht="19.5" customHeight="1" spans="1:24">
      <c r="A15" s="1" t="s">
        <v>58</v>
      </c>
      <c r="B15" s="24" t="s">
        <v>59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="1" customFormat="1" ht="19.5" customHeight="1" spans="1:24">
      <c r="A16" s="1" t="s">
        <v>60</v>
      </c>
      <c r="B16" s="24" t="s">
        <v>61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ht="42" customHeight="1" spans="3:23">
      <c r="T17" s="25">
        <v>46139</v>
      </c>
      <c r="U17" s="26"/>
      <c r="V17" s="26"/>
      <c r="W17" s="26"/>
    </row>
    <row r="18" ht="20.25" customHeight="1" spans="3:23">
      <c r="C18" s="24" t="s">
        <v>62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</sheetData>
  <mergeCells count="27">
    <mergeCell ref="A2:W2"/>
    <mergeCell ref="I4:J4"/>
    <mergeCell ref="N4:O4"/>
    <mergeCell ref="I5:K5"/>
    <mergeCell ref="L5:Q5"/>
    <mergeCell ref="R5:S5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E7:E8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4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dcterms:modified xsi:type="dcterms:W3CDTF">2026-07-20T14:36:41Z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100A2A2F12BA4865835293D9E831F8F3_13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