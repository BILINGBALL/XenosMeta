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13FCAD4A-98CD-4885-8CD4-7DAA84E979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L6" i="1"/>
  <c r="K7" i="1" l="1"/>
  <c r="P7" i="1"/>
  <c r="Q7" i="1"/>
  <c r="N7" i="1"/>
  <c r="R5" i="1"/>
  <c r="L5" i="1"/>
  <c r="J5" i="1" s="1"/>
  <c r="L7" i="1" l="1"/>
  <c r="R7" i="1"/>
  <c r="J7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<sst xmlns="http://schemas.openxmlformats.org/spreadsheetml/2006/main" count="72" uniqueCount="64">
  <si>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</si>
  <si>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</si>
  <si>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</si>
  <si>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</si>
  <si>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</si>
  <si>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</si>
  <si>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</si>
  <si>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</si>
  <si>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</si>
  <si>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</si>
  <si>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</si>
  <si>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</si>
  <si>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</si>
  <si>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</si>
  <si>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</si>
  <si>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</si>
  <si>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</si>
  <si>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</si>
  <si>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</si>
  <si>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</si>
  <si>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</si>
  <si>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</si>
  <si>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</si>
  <si>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</si>
  <si>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</si>
  <si>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</si>
  <si>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</si>
  <si>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</si>
  <si>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</si>
  <si>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</si>
  <si>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</si>
  <si>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</si>
  <si>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</si>
  <si>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</si>
  <si>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</si>
  <si>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</si>
  <si>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</si>
  <si>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</si>
  <si>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</si>
  <si>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</si>
  <si>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</si>
  <si>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</si>
  <si>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T型螺栓</t>
    <phoneticPr fontId="7" type="noConversion"/>
  </si>
  <si>
    <t>螺母</t>
  </si>
  <si>
    <t>35K</t>
    <phoneticPr fontId="7" type="noConversion"/>
  </si>
  <si>
    <t>编织袋+木箱（免熏蒸）</t>
    <phoneticPr fontId="7" type="noConversion"/>
  </si>
  <si>
    <t>TK
26
5.6</t>
    <phoneticPr fontId="7" type="noConversion"/>
  </si>
  <si>
    <t>M22</t>
    <phoneticPr fontId="7" type="noConversion"/>
  </si>
  <si>
    <t>TK
26
6</t>
    <phoneticPr fontId="7" type="noConversion"/>
  </si>
  <si>
    <t>外购</t>
    <phoneticPr fontId="7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</si>
  <si>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7" type="noConversion"/>
  </si>
  <si>
    <t>M22*65</t>
    <phoneticPr fontId="7" type="noConversion"/>
  </si>
  <si>
    <t>表面发黑</t>
    <phoneticPr fontId="7" type="noConversion"/>
  </si>
  <si>
    <t>生产部门按生产工艺生产，加强自检，严格质量管理。</t>
    <phoneticPr fontId="7" type="noConversion"/>
  </si>
  <si>
    <t>编织袋+木箱（免熏蒸材质）。包装足够结实，适合多次转运。木箱，1200mm长*800mm宽，高度别超过700mm, 一个木箱重量毛重不超过1050KG。</t>
    <phoneticPr fontId="7" type="noConversion"/>
  </si>
  <si>
    <t>螺纹通止规</t>
    <phoneticPr fontId="7" type="noConversion"/>
  </si>
  <si>
    <t>TYLS-10
5.6级</t>
    <phoneticPr fontId="7" type="noConversion"/>
  </si>
  <si>
    <t>TYLM-10
6级</t>
    <phoneticPr fontId="7" type="noConversion"/>
  </si>
  <si>
    <t>45#</t>
    <phoneticPr fontId="7" type="noConversion"/>
  </si>
  <si>
    <t>4 月  份  销  售  计  划  10</t>
    <phoneticPr fontId="7" type="noConversion"/>
  </si>
  <si>
    <t>260424-1</t>
    <phoneticPr fontId="7" type="noConversion"/>
  </si>
  <si>
    <t>260424-2</t>
  </si>
  <si>
    <t>ZSTL-CH2026041701-1</t>
    <phoneticPr fontId="7" type="noConversion"/>
  </si>
  <si>
    <t>2026-5-28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</si>
</sst>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58" fontId="1" fillId="0" borderId="2" xfId="0" quotePrefix="1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workbookViewId="0">
      <selection activeCell="L7" sqref="L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34" t="s">
        <v>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s="1" customFormat="1" ht="21" customHeight="1" x14ac:dyDescent="0.15">
      <c r="B2" s="1" t="s">
        <v>0</v>
      </c>
      <c r="C2" s="10" t="s">
        <v>33</v>
      </c>
      <c r="G2" s="35" t="s">
        <v>1</v>
      </c>
      <c r="H2" s="35"/>
      <c r="N2" s="35" t="s">
        <v>2</v>
      </c>
      <c r="O2" s="35"/>
      <c r="T2" s="36" t="s">
        <v>3</v>
      </c>
      <c r="U2" s="37"/>
      <c r="V2" s="37"/>
    </row>
    <row r="3" spans="1:22" s="1" customFormat="1" ht="27" customHeight="1" x14ac:dyDescent="0.15">
      <c r="A3" s="29" t="s">
        <v>4</v>
      </c>
      <c r="B3" s="29" t="s">
        <v>5</v>
      </c>
      <c r="C3" s="29" t="s">
        <v>6</v>
      </c>
      <c r="D3" s="29" t="s">
        <v>7</v>
      </c>
      <c r="E3" s="29" t="s">
        <v>8</v>
      </c>
      <c r="F3" s="40" t="s">
        <v>34</v>
      </c>
      <c r="G3" s="3" t="s">
        <v>9</v>
      </c>
      <c r="H3" s="38" t="s">
        <v>10</v>
      </c>
      <c r="I3" s="39"/>
      <c r="J3" s="39"/>
      <c r="K3" s="29" t="s">
        <v>11</v>
      </c>
      <c r="L3" s="29"/>
      <c r="M3" s="29"/>
      <c r="N3" s="29"/>
      <c r="O3" s="29"/>
      <c r="P3" s="29"/>
      <c r="Q3" s="29" t="s">
        <v>12</v>
      </c>
      <c r="R3" s="29"/>
      <c r="S3" s="29" t="s">
        <v>13</v>
      </c>
      <c r="T3" s="29" t="s">
        <v>14</v>
      </c>
      <c r="U3" s="29" t="s">
        <v>15</v>
      </c>
      <c r="V3" s="29" t="s">
        <v>16</v>
      </c>
    </row>
    <row r="4" spans="1:22" s="1" customFormat="1" ht="27.75" customHeight="1" x14ac:dyDescent="0.15">
      <c r="A4" s="29"/>
      <c r="B4" s="29"/>
      <c r="C4" s="29"/>
      <c r="D4" s="29"/>
      <c r="E4" s="29"/>
      <c r="F4" s="29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29"/>
      <c r="T4" s="29"/>
      <c r="U4" s="29"/>
      <c r="V4" s="29"/>
    </row>
    <row r="5" spans="1:22" s="1" customFormat="1" ht="40.5" customHeight="1" x14ac:dyDescent="0.15">
      <c r="A5" s="3">
        <v>1</v>
      </c>
      <c r="B5" s="3" t="s">
        <v>42</v>
      </c>
      <c r="C5" s="3" t="s">
        <v>51</v>
      </c>
      <c r="D5" s="13" t="s">
        <v>60</v>
      </c>
      <c r="E5" s="22" t="s">
        <v>62</v>
      </c>
      <c r="F5" s="3" t="s">
        <v>56</v>
      </c>
      <c r="G5" s="19">
        <v>0.3</v>
      </c>
      <c r="H5" s="3" t="s">
        <v>44</v>
      </c>
      <c r="I5" s="17" t="s">
        <v>50</v>
      </c>
      <c r="J5" s="11">
        <f>L5/0.9</f>
        <v>16.666666666666668</v>
      </c>
      <c r="K5" s="3">
        <v>50000</v>
      </c>
      <c r="L5" s="9">
        <f>K5*G5/1000</f>
        <v>15</v>
      </c>
      <c r="M5" s="3">
        <v>80</v>
      </c>
      <c r="N5" s="3">
        <v>625</v>
      </c>
      <c r="O5" s="3">
        <v>42</v>
      </c>
      <c r="P5" s="3">
        <v>15</v>
      </c>
      <c r="Q5" s="3">
        <v>50100</v>
      </c>
      <c r="R5" s="9">
        <f>Q5*G5/1000</f>
        <v>15.03</v>
      </c>
      <c r="S5" s="27" t="s">
        <v>63</v>
      </c>
      <c r="T5" s="3" t="s">
        <v>46</v>
      </c>
      <c r="U5" s="22" t="s">
        <v>52</v>
      </c>
      <c r="V5" s="22" t="s">
        <v>45</v>
      </c>
    </row>
    <row r="6" spans="1:22" s="1" customFormat="1" ht="40.5" customHeight="1" x14ac:dyDescent="0.15">
      <c r="A6" s="3">
        <v>2</v>
      </c>
      <c r="B6" s="15" t="s">
        <v>43</v>
      </c>
      <c r="C6" s="16" t="s">
        <v>47</v>
      </c>
      <c r="D6" s="13" t="s">
        <v>61</v>
      </c>
      <c r="E6" s="26"/>
      <c r="F6" s="3" t="s">
        <v>57</v>
      </c>
      <c r="G6" s="19">
        <v>0.19</v>
      </c>
      <c r="H6" s="3" t="s">
        <v>58</v>
      </c>
      <c r="I6" s="24" t="s">
        <v>49</v>
      </c>
      <c r="J6" s="25"/>
      <c r="K6" s="3">
        <v>50000</v>
      </c>
      <c r="L6" s="9">
        <f t="shared" ref="L6" si="0">K6*G6/1000</f>
        <v>9.5</v>
      </c>
      <c r="M6" s="9">
        <v>120</v>
      </c>
      <c r="N6" s="9">
        <v>417</v>
      </c>
      <c r="O6" s="9">
        <v>42</v>
      </c>
      <c r="P6" s="9">
        <v>10</v>
      </c>
      <c r="Q6" s="3">
        <v>50100</v>
      </c>
      <c r="R6" s="9">
        <f t="shared" ref="R6" si="1">Q6*G6/1000</f>
        <v>9.5190000000000001</v>
      </c>
      <c r="S6" s="28"/>
      <c r="T6" s="3" t="s">
        <v>48</v>
      </c>
      <c r="U6" s="26"/>
      <c r="V6" s="26"/>
    </row>
    <row r="7" spans="1:22" s="1" customFormat="1" ht="16.5" customHeight="1" x14ac:dyDescent="0.15">
      <c r="A7" s="24" t="s">
        <v>24</v>
      </c>
      <c r="B7" s="25"/>
      <c r="C7" s="22"/>
      <c r="D7" s="22"/>
      <c r="E7" s="22"/>
      <c r="F7" s="22"/>
      <c r="G7" s="22"/>
      <c r="H7" s="22"/>
      <c r="I7" s="22"/>
      <c r="J7" s="8">
        <f>SUM(J5:J6)</f>
        <v>16.666666666666668</v>
      </c>
      <c r="K7" s="8">
        <f>SUM(K5:K6)</f>
        <v>100000</v>
      </c>
      <c r="L7" s="8">
        <f>SUM(L5:L6)</f>
        <v>24.5</v>
      </c>
      <c r="M7" s="8"/>
      <c r="N7" s="8">
        <f>SUM(N5:N6)</f>
        <v>1042</v>
      </c>
      <c r="O7" s="8"/>
      <c r="P7" s="8">
        <f>SUM(P5:P6)</f>
        <v>25</v>
      </c>
      <c r="Q7" s="8">
        <f>SUM(Q5:Q6)</f>
        <v>100200</v>
      </c>
      <c r="R7" s="8">
        <f>SUM(R5:R6)</f>
        <v>24.548999999999999</v>
      </c>
      <c r="S7" s="4"/>
      <c r="T7" s="32" t="s">
        <v>36</v>
      </c>
      <c r="U7" s="4"/>
      <c r="V7" s="4"/>
    </row>
    <row r="8" spans="1:22" s="1" customFormat="1" ht="16.5" customHeight="1" x14ac:dyDescent="0.15">
      <c r="A8" s="30"/>
      <c r="B8" s="31"/>
      <c r="C8" s="23"/>
      <c r="D8" s="23"/>
      <c r="E8" s="23"/>
      <c r="F8" s="23"/>
      <c r="G8" s="23"/>
      <c r="H8" s="23"/>
      <c r="I8" s="23"/>
      <c r="J8" s="5" t="s">
        <v>22</v>
      </c>
      <c r="K8" s="12" t="s">
        <v>35</v>
      </c>
      <c r="L8" s="5" t="s">
        <v>22</v>
      </c>
      <c r="M8" s="5"/>
      <c r="N8" s="5" t="s">
        <v>40</v>
      </c>
      <c r="O8" s="5"/>
      <c r="P8" s="5" t="s">
        <v>23</v>
      </c>
      <c r="Q8" s="12" t="s">
        <v>35</v>
      </c>
      <c r="R8" s="6" t="s">
        <v>22</v>
      </c>
      <c r="S8" s="5"/>
      <c r="T8" s="33"/>
      <c r="U8" s="5"/>
      <c r="V8" s="5"/>
    </row>
    <row r="10" spans="1:22" s="1" customFormat="1" ht="19.5" customHeight="1" x14ac:dyDescent="0.15">
      <c r="B10" s="1" t="s">
        <v>25</v>
      </c>
      <c r="N10" s="18" t="s">
        <v>55</v>
      </c>
      <c r="R10" s="7"/>
      <c r="S10" s="14" t="s">
        <v>38</v>
      </c>
    </row>
    <row r="11" spans="1:22" s="1" customFormat="1" ht="19.5" customHeight="1" x14ac:dyDescent="0.15">
      <c r="A11" s="1" t="s">
        <v>26</v>
      </c>
      <c r="B11" s="21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s="1" customFormat="1" ht="19.5" customHeight="1" x14ac:dyDescent="0.15">
      <c r="B12" s="21" t="s">
        <v>28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s="1" customFormat="1" ht="19.5" customHeight="1" x14ac:dyDescent="0.15">
      <c r="A13" s="1" t="s">
        <v>29</v>
      </c>
      <c r="B13" s="21" t="s">
        <v>53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1" customFormat="1" ht="19.5" customHeight="1" x14ac:dyDescent="0.15">
      <c r="A14" s="1" t="s">
        <v>30</v>
      </c>
      <c r="B14" s="21" t="s">
        <v>31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s="1" customFormat="1" ht="31.5" customHeight="1" x14ac:dyDescent="0.15">
      <c r="A15" s="10" t="s">
        <v>37</v>
      </c>
      <c r="B15" s="21" t="s">
        <v>54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20.25" customHeight="1" x14ac:dyDescent="0.15">
      <c r="C16" s="21" t="s">
        <v>32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7:22" ht="22.5" x14ac:dyDescent="0.15">
      <c r="Q17" s="20">
        <v>46136</v>
      </c>
      <c r="R17" s="20"/>
      <c r="S17" s="20"/>
      <c r="T17" s="20"/>
      <c r="U17" s="20"/>
      <c r="V17" s="20"/>
    </row>
  </sheetData>
  <mergeCells count="38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D3:D4"/>
    <mergeCell ref="D7:D8"/>
    <mergeCell ref="A7:B8"/>
    <mergeCell ref="T7:T8"/>
    <mergeCell ref="E5:E6"/>
    <mergeCell ref="F7:F8"/>
    <mergeCell ref="G7:G8"/>
    <mergeCell ref="H7:H8"/>
    <mergeCell ref="I7:I8"/>
    <mergeCell ref="C7:C8"/>
    <mergeCell ref="Q17:V17"/>
    <mergeCell ref="B12:V12"/>
    <mergeCell ref="B13:V13"/>
    <mergeCell ref="E7:E8"/>
    <mergeCell ref="I6:J6"/>
    <mergeCell ref="V5:V6"/>
    <mergeCell ref="U5:U6"/>
    <mergeCell ref="S5:S6"/>
    <mergeCell ref="B14:V14"/>
    <mergeCell ref="C16:M16"/>
    <mergeCell ref="B11:V11"/>
    <mergeCell ref="B15:V15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2026-04-08T06:40:25Z</cp:lastPrinted>
  <dcterms:created xsi:type="dcterms:W3CDTF">2006-09-13T11:21:00Z</dcterms:created>
  <dcterms:modified xsi:type="dcterms:W3CDTF">2026-04-24T03:14:56Z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