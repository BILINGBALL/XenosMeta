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4D84B15F-42A0-46E7-8861-1298901E09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 l="1"/>
  <c r="Q10" i="1"/>
  <c r="O10" i="1"/>
  <c r="M10" i="1"/>
  <c r="K10" i="1"/>
  <c r="L10" i="1"/>
  <c r="S8" i="1"/>
  <c r="M8" i="1"/>
  <c r="K8" i="1" s="1"/>
  <c r="M7" i="1"/>
  <c r="K7" i="1" s="1"/>
  <c r="S9" i="1"/>
  <c r="M9" i="1"/>
  <c r="K9" i="1" s="1"/>
  <c r="S7" i="1"/>
  <c r="S10" i="1" s="1"/>
</calcChain>
</file>

<file path=xl/sharedStrings.xml><?xml version="1.0" encoding="utf-8"?>
<sst xmlns="http://schemas.openxmlformats.org/spreadsheetml/2006/main" count="80" uniqueCount="62">
  <si>
    <t>编制：</t>
    <phoneticPr fontId="1" type="noConversion"/>
  </si>
  <si>
    <t>序号</t>
    <phoneticPr fontId="1" type="noConversion"/>
  </si>
  <si>
    <t>型号及规格</t>
    <phoneticPr fontId="1" type="noConversion"/>
  </si>
  <si>
    <t>生产令号</t>
    <phoneticPr fontId="1" type="noConversion"/>
  </si>
  <si>
    <t>合同号P.O.</t>
    <phoneticPr fontId="1" type="noConversion"/>
  </si>
  <si>
    <t>产品图号</t>
    <phoneticPr fontId="1" type="noConversion"/>
  </si>
  <si>
    <t>净重</t>
    <phoneticPr fontId="1" type="noConversion"/>
  </si>
  <si>
    <t>原材料</t>
    <phoneticPr fontId="1" type="noConversion"/>
  </si>
  <si>
    <t>完成时间</t>
    <phoneticPr fontId="1" type="noConversion"/>
  </si>
  <si>
    <t>头部标记</t>
    <phoneticPr fontId="1" type="noConversion"/>
  </si>
  <si>
    <t>表面处理</t>
    <phoneticPr fontId="1" type="noConversion"/>
  </si>
  <si>
    <t>包装物</t>
    <phoneticPr fontId="1" type="noConversion"/>
  </si>
  <si>
    <t>KG/件</t>
    <phoneticPr fontId="1" type="noConversion"/>
  </si>
  <si>
    <t>材质</t>
    <phoneticPr fontId="1" type="noConversion"/>
  </si>
  <si>
    <t>规格</t>
    <phoneticPr fontId="1" type="noConversion"/>
  </si>
  <si>
    <t>数量（吨）</t>
    <phoneticPr fontId="1" type="noConversion"/>
  </si>
  <si>
    <t>件</t>
    <phoneticPr fontId="1" type="noConversion"/>
  </si>
  <si>
    <t>吨</t>
    <phoneticPr fontId="1" type="noConversion"/>
  </si>
  <si>
    <t>件/袋</t>
    <phoneticPr fontId="1" type="noConversion"/>
  </si>
  <si>
    <t>袋</t>
    <phoneticPr fontId="1" type="noConversion"/>
  </si>
  <si>
    <t>1、</t>
    <phoneticPr fontId="1" type="noConversion"/>
  </si>
  <si>
    <t>2、</t>
  </si>
  <si>
    <t>3、</t>
  </si>
  <si>
    <t>4、</t>
  </si>
  <si>
    <t>注意：库存产品应是经品管部确认合格的产品。</t>
    <phoneticPr fontId="1" type="noConversion"/>
  </si>
  <si>
    <t>生产部门按生产工艺生产，加强自检，严格质量管理。</t>
    <phoneticPr fontId="1" type="noConversion"/>
  </si>
  <si>
    <t>品管部负责办理质量证明书，检测报告及相关数据。</t>
    <phoneticPr fontId="1" type="noConversion"/>
  </si>
  <si>
    <t>分发：总经理、总经办、品管部、生产部</t>
    <phoneticPr fontId="1" type="noConversion"/>
  </si>
  <si>
    <t>说明：</t>
    <phoneticPr fontId="1" type="noConversion"/>
  </si>
  <si>
    <t>复核：</t>
    <phoneticPr fontId="1" type="noConversion"/>
  </si>
  <si>
    <t>合同要求量</t>
    <phoneticPr fontId="1" type="noConversion"/>
  </si>
  <si>
    <t>批准：</t>
    <phoneticPr fontId="1" type="noConversion"/>
  </si>
  <si>
    <t>产品
名称</t>
    <phoneticPr fontId="1" type="noConversion"/>
  </si>
  <si>
    <t>产品
标准</t>
    <phoneticPr fontId="1" type="noConversion"/>
  </si>
  <si>
    <t>螺纹
道钉</t>
    <phoneticPr fontId="1" type="noConversion"/>
  </si>
  <si>
    <t>计划生
产数量</t>
    <phoneticPr fontId="1" type="noConversion"/>
  </si>
  <si>
    <t>高蕾</t>
    <phoneticPr fontId="1" type="noConversion"/>
  </si>
  <si>
    <t>袋/箱</t>
    <phoneticPr fontId="1" type="noConversion"/>
  </si>
  <si>
    <t>箱</t>
    <phoneticPr fontId="1" type="noConversion"/>
  </si>
  <si>
    <t>合计</t>
    <phoneticPr fontId="1" type="noConversion"/>
  </si>
  <si>
    <t>详见
图纸</t>
    <phoneticPr fontId="1" type="noConversion"/>
  </si>
  <si>
    <t>袋</t>
    <phoneticPr fontId="1" type="noConversion"/>
  </si>
  <si>
    <t>托</t>
  </si>
  <si>
    <t>件</t>
    <phoneticPr fontId="1" type="noConversion"/>
  </si>
  <si>
    <t>对以上产品，生产部门应认真清查库存，适当调整生产计划数量，已减少及合理利用库存产品。</t>
    <phoneticPr fontId="1" type="noConversion"/>
  </si>
  <si>
    <t>35K</t>
    <phoneticPr fontId="1" type="noConversion"/>
  </si>
  <si>
    <t>热镀锌</t>
    <phoneticPr fontId="1" type="noConversion"/>
  </si>
  <si>
    <t>23X169</t>
    <phoneticPr fontId="1" type="noConversion"/>
  </si>
  <si>
    <t>5.6级</t>
    <phoneticPr fontId="1" type="noConversion"/>
  </si>
  <si>
    <t>Φ24</t>
    <phoneticPr fontId="1" type="noConversion"/>
  </si>
  <si>
    <t>AV1
17843
SDL
26</t>
    <phoneticPr fontId="1" type="noConversion"/>
  </si>
  <si>
    <t>24X142</t>
    <phoneticPr fontId="1" type="noConversion"/>
  </si>
  <si>
    <t>PO047663</t>
    <phoneticPr fontId="1" type="noConversion"/>
  </si>
  <si>
    <t>6161/1</t>
    <phoneticPr fontId="1" type="noConversion"/>
  </si>
  <si>
    <t>编织袋+欧式木箱</t>
    <phoneticPr fontId="1" type="noConversion"/>
  </si>
  <si>
    <t>包装不确定</t>
    <phoneticPr fontId="1" type="noConversion"/>
  </si>
  <si>
    <t>260429-1</t>
    <phoneticPr fontId="1" type="noConversion"/>
  </si>
  <si>
    <t>260429-2</t>
  </si>
  <si>
    <t>260429-3</t>
  </si>
  <si>
    <t>2026-6-15</t>
    <phoneticPr fontId="1" type="noConversion"/>
  </si>
  <si>
    <t>4 月  份  销  售  计  划  14</t>
    <phoneticPr fontId="1" type="noConversion"/>
  </si>
  <si>
    <t xml:space="preserve">包装物为编织袋+欧式木箱。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</si>
</sst>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0_ "/>
  </numFmts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16"/>
      <color theme="1"/>
      <name val="宋体"/>
      <family val="2"/>
      <charset val="134"/>
      <scheme val="minor"/>
    </font>
    <font>
      <sz val="20"/>
      <color theme="1"/>
      <name val="宋体"/>
      <family val="2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178" fontId="5" fillId="0" borderId="5" xfId="0" applyNumberFormat="1" applyFont="1" applyBorder="1" applyAlignment="1">
      <alignment horizontal="center" wrapText="1"/>
    </xf>
    <xf numFmtId="176" fontId="5" fillId="0" borderId="5" xfId="0" applyNumberFormat="1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9" fontId="9" fillId="3" borderId="5" xfId="0" applyNumberFormat="1" applyFont="1" applyFill="1" applyBorder="1" applyAlignment="1">
      <alignment horizontal="center" vertical="center" wrapText="1"/>
    </xf>
    <xf numFmtId="49" fontId="9" fillId="3" borderId="11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1"/>
  <sheetViews>
    <sheetView tabSelected="1" topLeftCell="A7" workbookViewId="0">
      <selection activeCell="L8" sqref="L8"/>
    </sheetView>
  </sheetViews>
  <sheetFormatPr defaultRowHeight="13.5" x14ac:dyDescent="0.15"/>
  <cols>
    <col min="1" max="1" width="4.125" style="1" customWidth="1"/>
    <col min="2" max="2" width="5.875" style="1" customWidth="1"/>
    <col min="3" max="3" width="8.875" style="1" customWidth="1"/>
    <col min="4" max="4" width="5.25" style="1" customWidth="1"/>
    <col min="5" max="5" width="6.5" style="1" customWidth="1"/>
    <col min="6" max="6" width="7" style="1" customWidth="1"/>
    <col min="7" max="7" width="8.75" style="1" customWidth="1"/>
    <col min="8" max="8" width="7.25" style="1" customWidth="1"/>
    <col min="9" max="11" width="5.625" style="1" customWidth="1"/>
    <col min="12" max="12" width="6.5" style="1" customWidth="1"/>
    <col min="13" max="13" width="7.25" style="1" customWidth="1"/>
    <col min="14" max="14" width="4" style="1" customWidth="1"/>
    <col min="15" max="15" width="6" style="1" customWidth="1"/>
    <col min="16" max="16" width="4.625" style="1" customWidth="1"/>
    <col min="17" max="17" width="4.125" style="1" customWidth="1"/>
    <col min="18" max="19" width="6.5" style="1" customWidth="1"/>
    <col min="20" max="20" width="6.375" style="1" customWidth="1"/>
    <col min="21" max="21" width="8" style="1" customWidth="1"/>
    <col min="22" max="22" width="5.125" style="1" customWidth="1"/>
    <col min="23" max="23" width="4.875" style="1" customWidth="1"/>
    <col min="24" max="16384" width="9" style="1"/>
  </cols>
  <sheetData>
    <row r="2" spans="1:23" ht="45" customHeight="1" x14ac:dyDescent="0.15">
      <c r="A2" s="28" t="s">
        <v>60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4" spans="1:23" s="2" customFormat="1" ht="27.75" customHeight="1" x14ac:dyDescent="0.15">
      <c r="A4" s="21" t="s">
        <v>0</v>
      </c>
      <c r="B4" s="21"/>
      <c r="C4" s="2" t="s">
        <v>36</v>
      </c>
      <c r="H4" s="21" t="s">
        <v>29</v>
      </c>
      <c r="I4" s="21"/>
      <c r="O4" s="21" t="s">
        <v>31</v>
      </c>
      <c r="P4" s="21"/>
      <c r="U4" s="30"/>
      <c r="V4" s="31"/>
      <c r="W4" s="31"/>
    </row>
    <row r="5" spans="1:23" s="2" customFormat="1" ht="27" customHeight="1" x14ac:dyDescent="0.15">
      <c r="A5" s="29" t="s">
        <v>1</v>
      </c>
      <c r="B5" s="29" t="s">
        <v>32</v>
      </c>
      <c r="C5" s="29" t="s">
        <v>2</v>
      </c>
      <c r="D5" s="29" t="s">
        <v>3</v>
      </c>
      <c r="E5" s="29" t="s">
        <v>4</v>
      </c>
      <c r="F5" s="29" t="s">
        <v>33</v>
      </c>
      <c r="G5" s="29" t="s">
        <v>5</v>
      </c>
      <c r="H5" s="3" t="s">
        <v>6</v>
      </c>
      <c r="I5" s="38" t="s">
        <v>7</v>
      </c>
      <c r="J5" s="39"/>
      <c r="K5" s="39"/>
      <c r="L5" s="29" t="s">
        <v>30</v>
      </c>
      <c r="M5" s="29"/>
      <c r="N5" s="29"/>
      <c r="O5" s="29"/>
      <c r="P5" s="29"/>
      <c r="Q5" s="29"/>
      <c r="R5" s="29" t="s">
        <v>35</v>
      </c>
      <c r="S5" s="29"/>
      <c r="T5" s="29" t="s">
        <v>8</v>
      </c>
      <c r="U5" s="29" t="s">
        <v>9</v>
      </c>
      <c r="V5" s="29" t="s">
        <v>10</v>
      </c>
      <c r="W5" s="29" t="s">
        <v>11</v>
      </c>
    </row>
    <row r="6" spans="1:23" s="2" customFormat="1" ht="27.75" customHeight="1" x14ac:dyDescent="0.15">
      <c r="A6" s="29"/>
      <c r="B6" s="29"/>
      <c r="C6" s="29"/>
      <c r="D6" s="29"/>
      <c r="E6" s="29"/>
      <c r="F6" s="29"/>
      <c r="G6" s="29"/>
      <c r="H6" s="3" t="s">
        <v>12</v>
      </c>
      <c r="I6" s="3" t="s">
        <v>13</v>
      </c>
      <c r="J6" s="3" t="s">
        <v>14</v>
      </c>
      <c r="K6" s="4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37</v>
      </c>
      <c r="Q6" s="3" t="s">
        <v>38</v>
      </c>
      <c r="R6" s="3" t="s">
        <v>16</v>
      </c>
      <c r="S6" s="3" t="s">
        <v>17</v>
      </c>
      <c r="T6" s="29"/>
      <c r="U6" s="29"/>
      <c r="V6" s="29"/>
      <c r="W6" s="29"/>
    </row>
    <row r="7" spans="1:23" s="2" customFormat="1" ht="63" customHeight="1" x14ac:dyDescent="0.15">
      <c r="A7" s="3">
        <v>1</v>
      </c>
      <c r="B7" s="3" t="s">
        <v>34</v>
      </c>
      <c r="C7" s="3" t="s">
        <v>47</v>
      </c>
      <c r="D7" s="3" t="s">
        <v>56</v>
      </c>
      <c r="E7" s="42" t="s">
        <v>52</v>
      </c>
      <c r="F7" s="4" t="s">
        <v>48</v>
      </c>
      <c r="G7" s="16">
        <v>17843</v>
      </c>
      <c r="H7" s="3">
        <v>0.58499999999999996</v>
      </c>
      <c r="I7" s="3" t="s">
        <v>45</v>
      </c>
      <c r="J7" s="15" t="s">
        <v>49</v>
      </c>
      <c r="K7" s="18">
        <f>M7/0.92</f>
        <v>6.1043478260869559</v>
      </c>
      <c r="L7" s="3">
        <v>9600</v>
      </c>
      <c r="M7" s="17">
        <f>L7*H7/1000</f>
        <v>5.6159999999999997</v>
      </c>
      <c r="N7" s="3">
        <v>35</v>
      </c>
      <c r="O7" s="3">
        <v>275</v>
      </c>
      <c r="P7" s="3">
        <v>34</v>
      </c>
      <c r="Q7" s="3">
        <v>8</v>
      </c>
      <c r="R7" s="11">
        <v>9650</v>
      </c>
      <c r="S7" s="19">
        <f>R7*H7/1000</f>
        <v>5.6452499999999999</v>
      </c>
      <c r="T7" s="32" t="s">
        <v>59</v>
      </c>
      <c r="U7" s="14" t="s">
        <v>50</v>
      </c>
      <c r="V7" s="3" t="s">
        <v>46</v>
      </c>
      <c r="W7" s="34" t="s">
        <v>54</v>
      </c>
    </row>
    <row r="8" spans="1:23" s="2" customFormat="1" ht="63" customHeight="1" x14ac:dyDescent="0.15">
      <c r="A8" s="3">
        <v>2</v>
      </c>
      <c r="B8" s="3" t="s">
        <v>34</v>
      </c>
      <c r="C8" s="3" t="s">
        <v>47</v>
      </c>
      <c r="D8" s="3" t="s">
        <v>57</v>
      </c>
      <c r="E8" s="43"/>
      <c r="F8" s="4" t="s">
        <v>48</v>
      </c>
      <c r="G8" s="16">
        <v>17843</v>
      </c>
      <c r="H8" s="3">
        <v>0.58499999999999996</v>
      </c>
      <c r="I8" s="3" t="s">
        <v>45</v>
      </c>
      <c r="J8" s="15" t="s">
        <v>49</v>
      </c>
      <c r="K8" s="18">
        <f>M8/0.92</f>
        <v>8.6478260869565204</v>
      </c>
      <c r="L8" s="3">
        <v>13600</v>
      </c>
      <c r="M8" s="17">
        <f>L8*H8/1000</f>
        <v>7.9559999999999995</v>
      </c>
      <c r="N8" s="3">
        <v>35</v>
      </c>
      <c r="O8" s="3">
        <v>389</v>
      </c>
      <c r="P8" s="3">
        <v>34</v>
      </c>
      <c r="Q8" s="3">
        <v>12</v>
      </c>
      <c r="R8" s="11">
        <v>13650</v>
      </c>
      <c r="S8" s="19">
        <f>R8*H8/1000</f>
        <v>7.9852499999999988</v>
      </c>
      <c r="T8" s="33"/>
      <c r="U8" s="14" t="s">
        <v>50</v>
      </c>
      <c r="V8" s="3" t="s">
        <v>46</v>
      </c>
      <c r="W8" s="35"/>
    </row>
    <row r="9" spans="1:23" s="2" customFormat="1" ht="63" customHeight="1" x14ac:dyDescent="0.15">
      <c r="A9" s="3">
        <v>3</v>
      </c>
      <c r="B9" s="3" t="s">
        <v>34</v>
      </c>
      <c r="C9" s="3" t="s">
        <v>51</v>
      </c>
      <c r="D9" s="3" t="s">
        <v>58</v>
      </c>
      <c r="E9" s="43"/>
      <c r="F9" s="4" t="s">
        <v>48</v>
      </c>
      <c r="G9" s="16" t="s">
        <v>53</v>
      </c>
      <c r="H9" s="3">
        <v>0.56100000000000005</v>
      </c>
      <c r="I9" s="3" t="s">
        <v>45</v>
      </c>
      <c r="J9" s="15" t="s">
        <v>49</v>
      </c>
      <c r="K9" s="18">
        <f>M9/0.92</f>
        <v>2.134239130434783</v>
      </c>
      <c r="L9" s="3">
        <v>3500</v>
      </c>
      <c r="M9" s="17">
        <f>L9*H9/1000</f>
        <v>1.9635000000000002</v>
      </c>
      <c r="N9" s="3">
        <v>35</v>
      </c>
      <c r="O9" s="3">
        <v>100</v>
      </c>
      <c r="P9" s="3">
        <v>35</v>
      </c>
      <c r="Q9" s="3">
        <v>3</v>
      </c>
      <c r="R9" s="11">
        <v>3550</v>
      </c>
      <c r="S9" s="19">
        <f>R9*H9/1000</f>
        <v>1.9915500000000002</v>
      </c>
      <c r="T9" s="33"/>
      <c r="U9" s="14"/>
      <c r="V9" s="3" t="s">
        <v>46</v>
      </c>
      <c r="W9" s="35"/>
    </row>
    <row r="10" spans="1:23" s="2" customFormat="1" ht="27" customHeight="1" x14ac:dyDescent="0.15">
      <c r="A10" s="22" t="s">
        <v>39</v>
      </c>
      <c r="B10" s="23"/>
      <c r="C10" s="5"/>
      <c r="D10" s="5"/>
      <c r="E10" s="5"/>
      <c r="F10" s="6"/>
      <c r="G10" s="6"/>
      <c r="H10" s="5"/>
      <c r="I10" s="5"/>
      <c r="J10" s="5"/>
      <c r="K10" s="7">
        <f t="shared" ref="K10" si="0">SUM(K7:K9)</f>
        <v>16.88641304347826</v>
      </c>
      <c r="L10" s="7">
        <f>SUM(L7:L9)</f>
        <v>26700</v>
      </c>
      <c r="M10" s="7">
        <f t="shared" ref="M10" si="1">SUM(M7:M9)</f>
        <v>15.535499999999999</v>
      </c>
      <c r="N10" s="8"/>
      <c r="O10" s="7">
        <f>SUM(O7:O9)</f>
        <v>764</v>
      </c>
      <c r="P10" s="7"/>
      <c r="Q10" s="7">
        <f>SUM(Q7:Q9)</f>
        <v>23</v>
      </c>
      <c r="R10" s="7">
        <f>SUM(R7:R9)</f>
        <v>26850</v>
      </c>
      <c r="S10" s="7">
        <f>SUM(S7:S9)</f>
        <v>15.622049999999998</v>
      </c>
      <c r="T10" s="9"/>
      <c r="U10" s="26" t="s">
        <v>40</v>
      </c>
      <c r="V10" s="9"/>
      <c r="W10" s="9"/>
    </row>
    <row r="11" spans="1:23" s="2" customFormat="1" ht="27" customHeight="1" x14ac:dyDescent="0.15">
      <c r="A11" s="24"/>
      <c r="B11" s="25"/>
      <c r="C11" s="10"/>
      <c r="D11" s="10"/>
      <c r="E11" s="10"/>
      <c r="F11" s="10"/>
      <c r="G11" s="10"/>
      <c r="H11" s="10"/>
      <c r="I11" s="10"/>
      <c r="J11" s="10"/>
      <c r="K11" s="10" t="s">
        <v>17</v>
      </c>
      <c r="L11" s="10" t="s">
        <v>43</v>
      </c>
      <c r="M11" s="10" t="s">
        <v>17</v>
      </c>
      <c r="N11" s="10"/>
      <c r="O11" s="10" t="s">
        <v>41</v>
      </c>
      <c r="P11" s="10"/>
      <c r="Q11" s="10" t="s">
        <v>42</v>
      </c>
      <c r="R11" s="10" t="s">
        <v>43</v>
      </c>
      <c r="S11" s="10" t="s">
        <v>17</v>
      </c>
      <c r="T11" s="10"/>
      <c r="U11" s="27"/>
      <c r="V11" s="10"/>
      <c r="W11" s="10"/>
    </row>
    <row r="13" spans="1:23" s="2" customFormat="1" ht="19.5" customHeight="1" x14ac:dyDescent="0.15">
      <c r="B13" s="2" t="s">
        <v>28</v>
      </c>
      <c r="N13" s="13"/>
      <c r="O13" s="20" t="s">
        <v>55</v>
      </c>
      <c r="T13" s="12"/>
    </row>
    <row r="14" spans="1:23" s="2" customFormat="1" ht="19.5" customHeight="1" x14ac:dyDescent="0.15">
      <c r="A14" s="2" t="s">
        <v>20</v>
      </c>
      <c r="B14" s="37" t="s">
        <v>44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</row>
    <row r="15" spans="1:23" s="2" customFormat="1" ht="19.5" customHeight="1" x14ac:dyDescent="0.15">
      <c r="B15" s="37" t="s">
        <v>24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</row>
    <row r="16" spans="1:23" s="2" customFormat="1" ht="19.5" customHeight="1" x14ac:dyDescent="0.15">
      <c r="A16" s="2" t="s">
        <v>21</v>
      </c>
      <c r="B16" s="37" t="s">
        <v>25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</row>
    <row r="17" spans="1:23" s="2" customFormat="1" ht="19.5" customHeight="1" x14ac:dyDescent="0.15">
      <c r="A17" s="2" t="s">
        <v>22</v>
      </c>
      <c r="B17" s="37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</row>
    <row r="18" spans="1:23" s="2" customFormat="1" ht="19.5" customHeight="1" x14ac:dyDescent="0.15">
      <c r="A18" s="2" t="s">
        <v>23</v>
      </c>
      <c r="B18" s="37" t="s">
        <v>61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19" spans="1:23" ht="42" customHeight="1" x14ac:dyDescent="0.15"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20.25" customHeight="1" x14ac:dyDescent="0.15">
      <c r="C20" s="40" t="s">
        <v>27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P20" s="41"/>
      <c r="Q20" s="41"/>
      <c r="R20" s="41"/>
      <c r="S20" s="41"/>
      <c r="T20" s="41"/>
      <c r="U20" s="41"/>
      <c r="V20" s="41"/>
      <c r="W20" s="41"/>
    </row>
    <row r="21" spans="1:23" x14ac:dyDescent="0.15">
      <c r="Q21" s="36">
        <v>46141</v>
      </c>
      <c r="R21" s="36"/>
      <c r="S21" s="36"/>
      <c r="T21" s="36"/>
    </row>
  </sheetData>
  <mergeCells count="32">
    <mergeCell ref="T7:T9"/>
    <mergeCell ref="W7:W9"/>
    <mergeCell ref="Q21:T21"/>
    <mergeCell ref="W5:W6"/>
    <mergeCell ref="B14:W14"/>
    <mergeCell ref="B15:W15"/>
    <mergeCell ref="B16:W16"/>
    <mergeCell ref="B17:W17"/>
    <mergeCell ref="I5:K5"/>
    <mergeCell ref="C20:N20"/>
    <mergeCell ref="T5:T6"/>
    <mergeCell ref="U5:U6"/>
    <mergeCell ref="V5:V6"/>
    <mergeCell ref="B18:W18"/>
    <mergeCell ref="O19:W20"/>
    <mergeCell ref="E7:E9"/>
    <mergeCell ref="A4:B4"/>
    <mergeCell ref="A10:B11"/>
    <mergeCell ref="U10:U11"/>
    <mergeCell ref="A2:W2"/>
    <mergeCell ref="L5:Q5"/>
    <mergeCell ref="R5:S5"/>
    <mergeCell ref="A5:A6"/>
    <mergeCell ref="B5:B6"/>
    <mergeCell ref="C5:C6"/>
    <mergeCell ref="D5:D6"/>
    <mergeCell ref="E5:E6"/>
    <mergeCell ref="F5:F6"/>
    <mergeCell ref="G5:G6"/>
    <mergeCell ref="H4:I4"/>
    <mergeCell ref="O4:P4"/>
    <mergeCell ref="U4:W4"/>
  </mergeCells>
  <phoneticPr fontId="1" type="noConversion"/>
  <pageMargins left="0.7" right="0.7" top="0.75" bottom="0.75" header="0.3" footer="0.3"/>
  <pageSetup paperSize="9" scale="95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2026-05-12T06:13:14Z</dcterms:modified>
</cp:coreProperties>
</file>