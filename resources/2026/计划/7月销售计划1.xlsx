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2A7E3FD-CAEF-453C-AAE4-67524745C2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Q11" i="1"/>
  <c r="O11" i="1"/>
  <c r="L11" i="1"/>
  <c r="S7" i="1"/>
  <c r="S10" i="1"/>
  <c r="M10" i="1"/>
  <c r="S9" i="1"/>
  <c r="M9" i="1"/>
  <c r="K9" i="1" s="1"/>
  <c r="S6" i="1"/>
  <c r="M6" i="1"/>
  <c r="S5" i="1"/>
  <c r="M5" i="1"/>
  <c r="K5" i="1" s="1"/>
  <c r="M8" i="1" l="1"/>
  <c r="M7" i="1"/>
  <c r="K7" i="1" s="1"/>
  <c r="K11" i="1" s="1"/>
  <c r="S8" i="1"/>
  <c r="S11" i="1" s="1"/>
  <c r="M11" i="1" l="1"/>
</calcChain>
</file>

<file path=xl/sharedStrings.xml><?xml version="1.0" encoding="utf-8"?>
<sst xmlns="http://schemas.openxmlformats.org/spreadsheetml/2006/main" count="109" uniqueCount="78">
  <si>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</si>
  <si>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</si>
  <si>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</si>
  <si>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</si>
  <si>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</si>
  <si>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</si>
  <si>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</si>
  <si>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</si>
  <si>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</si>
  <si>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</si>
  <si>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</si>
  <si>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</si>
  <si>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</si>
  <si>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</si>
  <si>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</si>
  <si>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</si>
  <si>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</si>
  <si>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</si>
  <si>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</si>
  <si>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</si>
  <si>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</si>
  <si>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</si>
  <si>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</si>
  <si>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</si>
  <si>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</si>
  <si>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</si>
  <si>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</si>
  <si>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</si>
  <si>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</si>
  <si>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</si>
  <si>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螺栓</t>
  </si>
  <si>
    <t>本色上油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</si>
  <si>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</si>
  <si>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</si>
  <si>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</si>
  <si>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</si>
  <si>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</si>
  <si>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</si>
  <si>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</si>
  <si>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</si>
  <si>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</si>
  <si>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</si>
  <si>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Q235</t>
    <phoneticPr fontId="9" type="noConversion"/>
  </si>
  <si>
    <t>UNC
7/8*115</t>
    <phoneticPr fontId="9" type="noConversion"/>
  </si>
  <si>
    <t>螺母</t>
    <phoneticPr fontId="9" type="noConversion"/>
  </si>
  <si>
    <t>7/8</t>
    <phoneticPr fontId="9" type="noConversion"/>
  </si>
  <si>
    <t>5级</t>
    <phoneticPr fontId="9" type="noConversion"/>
  </si>
  <si>
    <t>本色上油</t>
    <phoneticPr fontId="9" type="noConversion"/>
  </si>
  <si>
    <t>外购</t>
    <phoneticPr fontId="9" type="noConversion"/>
  </si>
  <si>
    <t>SDL25530A</t>
    <phoneticPr fontId="9" type="noConversion"/>
  </si>
  <si>
    <t>AO</t>
    <phoneticPr fontId="9" type="noConversion"/>
  </si>
  <si>
    <t>UNC
7/8*90</t>
    <phoneticPr fontId="9" type="noConversion"/>
  </si>
  <si>
    <t>4.6级</t>
    <phoneticPr fontId="9" type="noConversion"/>
  </si>
  <si>
    <t>Q235B</t>
    <phoneticPr fontId="9" type="noConversion"/>
  </si>
  <si>
    <t>Φ22</t>
  </si>
  <si>
    <t>编织袋
+
欧式托盘加围板</t>
    <phoneticPr fontId="9" type="noConversion"/>
  </si>
  <si>
    <t>UNC
7/8*125</t>
    <phoneticPr fontId="9" type="noConversion"/>
  </si>
  <si>
    <t>SF-27</t>
    <phoneticPr fontId="9" type="noConversion"/>
  </si>
  <si>
    <t>NFG
4.6
26</t>
    <phoneticPr fontId="9" type="noConversion"/>
  </si>
  <si>
    <t>SDL25611A</t>
    <phoneticPr fontId="9" type="noConversion"/>
  </si>
  <si>
    <t>CON-26JH-EXP-26153</t>
    <phoneticPr fontId="9" type="noConversion"/>
  </si>
  <si>
    <t>CON-26JH-EXP-26156</t>
    <phoneticPr fontId="9" type="noConversion"/>
  </si>
  <si>
    <t>A2963-3</t>
    <phoneticPr fontId="9" type="noConversion"/>
  </si>
  <si>
    <t>260706-1</t>
    <phoneticPr fontId="9" type="noConversion"/>
  </si>
  <si>
    <t>260706-2</t>
  </si>
  <si>
    <t>260706-3</t>
  </si>
  <si>
    <t>260706-4</t>
  </si>
  <si>
    <t>260706-5</t>
  </si>
  <si>
    <t>260706-6</t>
  </si>
  <si>
    <t>2026-8-12</t>
    <phoneticPr fontId="9" type="noConversion"/>
  </si>
  <si>
    <t>生产部门按生产工艺生产，加强自检，严格质量管理。</t>
    <phoneticPr fontId="9" type="noConversion"/>
  </si>
  <si>
    <t>4、</t>
    <phoneticPr fontId="9" type="noConversion"/>
  </si>
  <si>
    <t>每进一批材料必须提供该批次产品样品留样和试样块，合同签订后每周汇报一次生产进度，包括提供生产照片，录像。</t>
    <phoneticPr fontId="9" type="noConversion"/>
  </si>
  <si>
    <t>5、</t>
    <phoneticPr fontId="9" type="noConversion"/>
  </si>
  <si>
    <r>
      <t>包装：编织袋+欧式托盘加围板(欧式木熏蒸实木托盘必须加印 IPPC 标识)。</t>
    </r>
    <r>
      <rPr>
        <b/>
        <sz val="11"/>
        <color theme="1"/>
        <rFont val="宋体"/>
        <family val="3"/>
        <charset val="134"/>
        <scheme val="minor"/>
      </rPr>
      <t>备注：包装时，请拍摄录像和照片以供确认</t>
    </r>
    <phoneticPr fontId="9" type="noConversion"/>
  </si>
  <si>
    <t>螺纹通止规
7/8*90螺母粗牙,二端平面,内螺纹需要倒角
7/8*115和7/8*125螺母二端倒角角度为30°</t>
    <phoneticPr fontId="9" type="noConversion"/>
  </si>
  <si>
    <t>2026-8-18</t>
    <phoneticPr fontId="9" type="noConversion"/>
  </si>
  <si>
    <t>7 月  份  销  售  计  划  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</si>
</sst>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_ "/>
    <numFmt numFmtId="178" formatCode="[$-F800]dddd\,\ mmmm\ dd\,\ yyyy"/>
    <numFmt numFmtId="179" formatCode="0.000_ "/>
    <numFmt numFmtId="180" formatCode="0.00_ "/>
    <numFmt numFmtId="181" formatCode="0;_愇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quotePrefix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81" fontId="1" fillId="0" borderId="3" xfId="0" applyNumberFormat="1" applyFont="1" applyBorder="1" applyAlignment="1">
      <alignment horizontal="center" vertical="center" wrapText="1"/>
    </xf>
    <xf numFmtId="181" fontId="1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8" fontId="7" fillId="0" borderId="0" xfId="0" applyNumberFormat="1" applyFont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1"/>
  <sheetViews>
    <sheetView tabSelected="1" topLeftCell="A6" workbookViewId="0">
      <selection activeCell="I7" sqref="I7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1" spans="1:23" ht="33" customHeight="1" x14ac:dyDescent="0.15">
      <c r="A1" s="37" t="s">
        <v>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s="1" customFormat="1" ht="21" customHeight="1" x14ac:dyDescent="0.15">
      <c r="B2" s="1" t="s">
        <v>0</v>
      </c>
      <c r="C2" s="1" t="s">
        <v>1</v>
      </c>
      <c r="H2" s="38" t="s">
        <v>2</v>
      </c>
      <c r="I2" s="38"/>
      <c r="O2" s="38" t="s">
        <v>3</v>
      </c>
      <c r="P2" s="38"/>
      <c r="U2" s="39" t="s">
        <v>4</v>
      </c>
      <c r="V2" s="40"/>
      <c r="W2" s="40"/>
    </row>
    <row r="3" spans="1:23" s="1" customFormat="1" ht="27" customHeight="1" x14ac:dyDescent="0.15">
      <c r="A3" s="42" t="s">
        <v>5</v>
      </c>
      <c r="B3" s="42" t="s">
        <v>6</v>
      </c>
      <c r="C3" s="42" t="s">
        <v>7</v>
      </c>
      <c r="D3" s="42" t="s">
        <v>8</v>
      </c>
      <c r="E3" s="42" t="s">
        <v>9</v>
      </c>
      <c r="F3" s="42" t="s">
        <v>10</v>
      </c>
      <c r="G3" s="42" t="s">
        <v>11</v>
      </c>
      <c r="H3" s="3" t="s">
        <v>12</v>
      </c>
      <c r="I3" s="26" t="s">
        <v>13</v>
      </c>
      <c r="J3" s="41"/>
      <c r="K3" s="41"/>
      <c r="L3" s="42" t="s">
        <v>14</v>
      </c>
      <c r="M3" s="42"/>
      <c r="N3" s="42"/>
      <c r="O3" s="42"/>
      <c r="P3" s="42"/>
      <c r="Q3" s="42"/>
      <c r="R3" s="42" t="s">
        <v>15</v>
      </c>
      <c r="S3" s="42"/>
      <c r="T3" s="42" t="s">
        <v>16</v>
      </c>
      <c r="U3" s="42" t="s">
        <v>17</v>
      </c>
      <c r="V3" s="42" t="s">
        <v>18</v>
      </c>
      <c r="W3" s="42" t="s">
        <v>19</v>
      </c>
    </row>
    <row r="4" spans="1:23" s="1" customFormat="1" ht="27.75" customHeight="1" x14ac:dyDescent="0.15">
      <c r="A4" s="42"/>
      <c r="B4" s="42"/>
      <c r="C4" s="42"/>
      <c r="D4" s="42"/>
      <c r="E4" s="42"/>
      <c r="F4" s="42"/>
      <c r="G4" s="42"/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  <c r="R4" s="3" t="s">
        <v>24</v>
      </c>
      <c r="S4" s="3" t="s">
        <v>25</v>
      </c>
      <c r="T4" s="42"/>
      <c r="U4" s="42"/>
      <c r="V4" s="42"/>
      <c r="W4" s="42"/>
    </row>
    <row r="5" spans="1:23" s="1" customFormat="1" ht="40.5" customHeight="1" x14ac:dyDescent="0.15">
      <c r="A5" s="3">
        <v>1</v>
      </c>
      <c r="B5" s="3" t="s">
        <v>30</v>
      </c>
      <c r="C5" s="3" t="s">
        <v>51</v>
      </c>
      <c r="D5" s="4" t="s">
        <v>63</v>
      </c>
      <c r="E5" s="28" t="s">
        <v>60</v>
      </c>
      <c r="F5" s="6" t="s">
        <v>52</v>
      </c>
      <c r="G5" s="28" t="s">
        <v>62</v>
      </c>
      <c r="H5" s="19">
        <v>0.32</v>
      </c>
      <c r="I5" s="3" t="s">
        <v>53</v>
      </c>
      <c r="J5" s="3" t="s">
        <v>54</v>
      </c>
      <c r="K5" s="21">
        <f>M5/0.94</f>
        <v>6.8085106382978733</v>
      </c>
      <c r="L5" s="3">
        <v>20000</v>
      </c>
      <c r="M5" s="9">
        <f>L5*H5/1000</f>
        <v>6.4</v>
      </c>
      <c r="N5" s="28">
        <v>25</v>
      </c>
      <c r="O5" s="30">
        <v>800</v>
      </c>
      <c r="P5" s="28">
        <v>40</v>
      </c>
      <c r="Q5" s="28">
        <v>20</v>
      </c>
      <c r="R5" s="3">
        <v>20100</v>
      </c>
      <c r="S5" s="16">
        <f>H5*R5/1000</f>
        <v>6.4320000000000004</v>
      </c>
      <c r="T5" s="34" t="s">
        <v>69</v>
      </c>
      <c r="U5" s="3" t="s">
        <v>58</v>
      </c>
      <c r="V5" s="3" t="s">
        <v>47</v>
      </c>
      <c r="W5" s="32" t="s">
        <v>55</v>
      </c>
    </row>
    <row r="6" spans="1:23" s="1" customFormat="1" ht="40.5" customHeight="1" x14ac:dyDescent="0.15">
      <c r="A6" s="3">
        <v>2</v>
      </c>
      <c r="B6" s="3" t="s">
        <v>44</v>
      </c>
      <c r="C6" s="18" t="s">
        <v>45</v>
      </c>
      <c r="D6" s="4" t="s">
        <v>64</v>
      </c>
      <c r="E6" s="33"/>
      <c r="F6" s="6"/>
      <c r="G6" s="29"/>
      <c r="H6" s="20">
        <v>0.08</v>
      </c>
      <c r="I6" s="22"/>
      <c r="J6" s="26" t="s">
        <v>48</v>
      </c>
      <c r="K6" s="27"/>
      <c r="L6" s="3">
        <v>20000</v>
      </c>
      <c r="M6" s="9">
        <f>L6*H6/1000</f>
        <v>1.6</v>
      </c>
      <c r="N6" s="29"/>
      <c r="O6" s="31"/>
      <c r="P6" s="29"/>
      <c r="Q6" s="29"/>
      <c r="R6" s="3">
        <v>20100</v>
      </c>
      <c r="S6" s="16">
        <f>H6*R6/1000</f>
        <v>1.6080000000000001</v>
      </c>
      <c r="T6" s="35"/>
      <c r="U6" s="5"/>
      <c r="V6" s="3" t="s">
        <v>31</v>
      </c>
      <c r="W6" s="24"/>
    </row>
    <row r="7" spans="1:23" s="1" customFormat="1" ht="40.5" customHeight="1" x14ac:dyDescent="0.15">
      <c r="A7" s="3">
        <v>3</v>
      </c>
      <c r="B7" s="3" t="s">
        <v>30</v>
      </c>
      <c r="C7" s="3" t="s">
        <v>43</v>
      </c>
      <c r="D7" s="4" t="s">
        <v>65</v>
      </c>
      <c r="E7" s="33"/>
      <c r="F7" s="6" t="s">
        <v>52</v>
      </c>
      <c r="G7" s="3" t="s">
        <v>50</v>
      </c>
      <c r="H7" s="14">
        <v>0.45</v>
      </c>
      <c r="I7" s="3" t="s">
        <v>53</v>
      </c>
      <c r="J7" s="3" t="s">
        <v>54</v>
      </c>
      <c r="K7" s="21">
        <f>M7/0.94</f>
        <v>4.7872340425531918</v>
      </c>
      <c r="L7" s="14">
        <v>10000</v>
      </c>
      <c r="M7" s="15">
        <f>H7*L7/1000</f>
        <v>4.5</v>
      </c>
      <c r="N7" s="51">
        <v>25</v>
      </c>
      <c r="O7" s="51">
        <v>400</v>
      </c>
      <c r="P7" s="51">
        <v>40</v>
      </c>
      <c r="Q7" s="51">
        <v>10</v>
      </c>
      <c r="R7" s="14">
        <v>10100</v>
      </c>
      <c r="S7" s="15">
        <f>R7*H7/1000</f>
        <v>4.5449999999999999</v>
      </c>
      <c r="T7" s="35"/>
      <c r="U7" s="3" t="s">
        <v>58</v>
      </c>
      <c r="V7" s="3" t="s">
        <v>47</v>
      </c>
      <c r="W7" s="24"/>
    </row>
    <row r="8" spans="1:23" s="1" customFormat="1" ht="40.5" customHeight="1" x14ac:dyDescent="0.15">
      <c r="A8" s="3">
        <v>4</v>
      </c>
      <c r="B8" s="3" t="s">
        <v>44</v>
      </c>
      <c r="C8" s="18" t="s">
        <v>45</v>
      </c>
      <c r="D8" s="4" t="s">
        <v>66</v>
      </c>
      <c r="E8" s="29"/>
      <c r="F8" s="6" t="s">
        <v>46</v>
      </c>
      <c r="G8" s="3" t="s">
        <v>49</v>
      </c>
      <c r="H8" s="19">
        <v>0.22500000000000001</v>
      </c>
      <c r="I8" s="3" t="s">
        <v>42</v>
      </c>
      <c r="J8" s="26" t="s">
        <v>48</v>
      </c>
      <c r="K8" s="27"/>
      <c r="L8" s="3">
        <v>10000</v>
      </c>
      <c r="M8" s="9">
        <f>L8*H8/1000</f>
        <v>2.25</v>
      </c>
      <c r="N8" s="52"/>
      <c r="O8" s="52"/>
      <c r="P8" s="52"/>
      <c r="Q8" s="52"/>
      <c r="R8" s="3">
        <v>10100</v>
      </c>
      <c r="S8" s="16">
        <f>H8*R8/1000</f>
        <v>2.2725</v>
      </c>
      <c r="T8" s="36"/>
      <c r="U8" s="3"/>
      <c r="V8" s="3" t="s">
        <v>31</v>
      </c>
      <c r="W8" s="24"/>
    </row>
    <row r="9" spans="1:23" s="1" customFormat="1" ht="40.5" customHeight="1" x14ac:dyDescent="0.15">
      <c r="A9" s="3">
        <v>5</v>
      </c>
      <c r="B9" s="3" t="s">
        <v>30</v>
      </c>
      <c r="C9" s="3" t="s">
        <v>56</v>
      </c>
      <c r="D9" s="4" t="s">
        <v>67</v>
      </c>
      <c r="E9" s="28" t="s">
        <v>61</v>
      </c>
      <c r="F9" s="3" t="s">
        <v>52</v>
      </c>
      <c r="G9" s="3" t="s">
        <v>57</v>
      </c>
      <c r="H9" s="3">
        <v>0.56000000000000005</v>
      </c>
      <c r="I9" s="3" t="s">
        <v>42</v>
      </c>
      <c r="J9" s="3" t="s">
        <v>54</v>
      </c>
      <c r="K9" s="9">
        <f>M9/0.94</f>
        <v>5.9574468085106389</v>
      </c>
      <c r="L9" s="3">
        <v>10000</v>
      </c>
      <c r="M9" s="9">
        <f>L9*H9/1000</f>
        <v>5.6000000000000005</v>
      </c>
      <c r="N9" s="28">
        <v>25</v>
      </c>
      <c r="O9" s="28">
        <v>400</v>
      </c>
      <c r="P9" s="28">
        <v>40</v>
      </c>
      <c r="Q9" s="28">
        <v>10</v>
      </c>
      <c r="R9" s="3">
        <v>10100</v>
      </c>
      <c r="S9" s="16">
        <f>H9*R9/1000</f>
        <v>5.6560000000000006</v>
      </c>
      <c r="T9" s="34" t="s">
        <v>76</v>
      </c>
      <c r="U9" s="3" t="s">
        <v>58</v>
      </c>
      <c r="V9" s="3" t="s">
        <v>31</v>
      </c>
      <c r="W9" s="24"/>
    </row>
    <row r="10" spans="1:23" s="1" customFormat="1" ht="40.5" customHeight="1" x14ac:dyDescent="0.15">
      <c r="A10" s="3">
        <v>6</v>
      </c>
      <c r="B10" s="3" t="s">
        <v>44</v>
      </c>
      <c r="C10" s="18" t="s">
        <v>45</v>
      </c>
      <c r="D10" s="4" t="s">
        <v>68</v>
      </c>
      <c r="E10" s="29"/>
      <c r="F10" s="6" t="s">
        <v>46</v>
      </c>
      <c r="G10" s="3" t="s">
        <v>59</v>
      </c>
      <c r="H10" s="19">
        <v>0.23</v>
      </c>
      <c r="I10" s="3" t="s">
        <v>42</v>
      </c>
      <c r="J10" s="26" t="s">
        <v>48</v>
      </c>
      <c r="K10" s="27"/>
      <c r="L10" s="3">
        <v>10000</v>
      </c>
      <c r="M10" s="9">
        <f>L10*H10/1000</f>
        <v>2.2999999999999998</v>
      </c>
      <c r="N10" s="29"/>
      <c r="O10" s="29"/>
      <c r="P10" s="29"/>
      <c r="Q10" s="29"/>
      <c r="R10" s="3">
        <v>10100</v>
      </c>
      <c r="S10" s="16">
        <f>H10*R10/1000</f>
        <v>2.323</v>
      </c>
      <c r="T10" s="36"/>
      <c r="U10" s="12"/>
      <c r="V10" s="3" t="s">
        <v>31</v>
      </c>
      <c r="W10" s="25"/>
    </row>
    <row r="11" spans="1:23" s="1" customFormat="1" ht="16.5" customHeight="1" x14ac:dyDescent="0.15">
      <c r="A11" s="47" t="s">
        <v>32</v>
      </c>
      <c r="B11" s="48"/>
      <c r="C11" s="28"/>
      <c r="D11" s="28"/>
      <c r="E11" s="28"/>
      <c r="F11" s="28"/>
      <c r="G11" s="5"/>
      <c r="H11" s="28"/>
      <c r="I11" s="28"/>
      <c r="J11" s="28"/>
      <c r="K11" s="10">
        <f>K5+K7+K9</f>
        <v>17.553191489361705</v>
      </c>
      <c r="L11" s="11">
        <f>SUM(L5:L10)</f>
        <v>80000</v>
      </c>
      <c r="M11" s="11">
        <f>SUM(M5:M10)</f>
        <v>22.650000000000002</v>
      </c>
      <c r="N11" s="10"/>
      <c r="O11" s="11">
        <f>SUM(O5:O10)</f>
        <v>1600</v>
      </c>
      <c r="P11" s="10"/>
      <c r="Q11" s="11">
        <f>SUM(Q5:Q10)</f>
        <v>40</v>
      </c>
      <c r="R11" s="11">
        <f>SUM(R5:R10)</f>
        <v>80600</v>
      </c>
      <c r="S11" s="11">
        <f>SUM(S5:S10)</f>
        <v>22.836500000000001</v>
      </c>
      <c r="T11" s="5"/>
      <c r="U11" s="28" t="s">
        <v>33</v>
      </c>
      <c r="V11" s="5"/>
      <c r="W11" s="5"/>
    </row>
    <row r="12" spans="1:23" s="1" customFormat="1" ht="16.5" customHeight="1" x14ac:dyDescent="0.15">
      <c r="A12" s="49"/>
      <c r="B12" s="50"/>
      <c r="C12" s="29"/>
      <c r="D12" s="29"/>
      <c r="E12" s="29"/>
      <c r="F12" s="29"/>
      <c r="G12" s="7"/>
      <c r="H12" s="29"/>
      <c r="I12" s="29"/>
      <c r="J12" s="29"/>
      <c r="K12" s="7" t="s">
        <v>25</v>
      </c>
      <c r="L12" s="7" t="s">
        <v>24</v>
      </c>
      <c r="M12" s="7" t="s">
        <v>25</v>
      </c>
      <c r="N12" s="7"/>
      <c r="O12" s="7" t="s">
        <v>27</v>
      </c>
      <c r="P12" s="7"/>
      <c r="Q12" s="7" t="s">
        <v>29</v>
      </c>
      <c r="R12" s="7" t="s">
        <v>24</v>
      </c>
      <c r="S12" s="13" t="s">
        <v>25</v>
      </c>
      <c r="T12" s="7"/>
      <c r="U12" s="29"/>
      <c r="V12" s="7"/>
      <c r="W12" s="7"/>
    </row>
    <row r="13" spans="1:23" s="1" customFormat="1" ht="37.5" customHeight="1" x14ac:dyDescent="0.15">
      <c r="B13" s="1" t="s">
        <v>34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4" t="s">
        <v>75</v>
      </c>
      <c r="Q13" s="44"/>
      <c r="R13" s="44"/>
      <c r="S13" s="44"/>
      <c r="T13" s="44"/>
      <c r="U13" s="44"/>
      <c r="V13" s="44"/>
      <c r="W13" s="44"/>
    </row>
    <row r="14" spans="1:23" s="1" customFormat="1" ht="19.5" customHeight="1" x14ac:dyDescent="0.15">
      <c r="A14" s="1" t="s">
        <v>35</v>
      </c>
      <c r="B14" s="45" t="s">
        <v>36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5" spans="1:23" s="1" customFormat="1" ht="19.5" customHeight="1" x14ac:dyDescent="0.15">
      <c r="B15" s="45" t="s">
        <v>37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r="16" spans="1:23" s="1" customFormat="1" ht="19.5" customHeight="1" x14ac:dyDescent="0.15">
      <c r="A16" s="1" t="s">
        <v>38</v>
      </c>
      <c r="B16" s="45" t="s">
        <v>70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7" spans="1:23" s="1" customFormat="1" ht="19.5" customHeight="1" x14ac:dyDescent="0.15">
      <c r="A17" s="1" t="s">
        <v>39</v>
      </c>
      <c r="B17" s="45" t="s">
        <v>40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spans="1:23" s="1" customFormat="1" ht="19.5" customHeight="1" x14ac:dyDescent="0.15">
      <c r="A18" s="1" t="s">
        <v>71</v>
      </c>
      <c r="B18" s="23" t="s">
        <v>72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27.75" customHeight="1" x14ac:dyDescent="0.15">
      <c r="A19" s="1" t="s">
        <v>73</v>
      </c>
      <c r="B19" s="17" t="s">
        <v>74</v>
      </c>
    </row>
    <row r="20" spans="1:23" ht="20.25" customHeight="1" x14ac:dyDescent="0.15">
      <c r="C20" s="45" t="s">
        <v>41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1:23" ht="22.5" x14ac:dyDescent="0.15">
      <c r="R21" s="46">
        <v>46209</v>
      </c>
      <c r="S21" s="46"/>
      <c r="T21" s="46"/>
      <c r="U21" s="46"/>
      <c r="V21" s="46"/>
      <c r="W21" s="46"/>
    </row>
  </sheetData>
  <mergeCells count="56">
    <mergeCell ref="A11:B12"/>
    <mergeCell ref="I11:I12"/>
    <mergeCell ref="J11:J12"/>
    <mergeCell ref="T3:T4"/>
    <mergeCell ref="U3:U4"/>
    <mergeCell ref="U11:U12"/>
    <mergeCell ref="N7:N8"/>
    <mergeCell ref="O7:O8"/>
    <mergeCell ref="P7:P8"/>
    <mergeCell ref="Q7:Q8"/>
    <mergeCell ref="J8:K8"/>
    <mergeCell ref="E9:E10"/>
    <mergeCell ref="B17:W17"/>
    <mergeCell ref="C20:N20"/>
    <mergeCell ref="R21:W21"/>
    <mergeCell ref="A3:A4"/>
    <mergeCell ref="B3:B4"/>
    <mergeCell ref="C3:C4"/>
    <mergeCell ref="C11:C12"/>
    <mergeCell ref="D3:D4"/>
    <mergeCell ref="D11:D12"/>
    <mergeCell ref="E3:E4"/>
    <mergeCell ref="E11:E12"/>
    <mergeCell ref="F3:F4"/>
    <mergeCell ref="F11:F12"/>
    <mergeCell ref="G3:G4"/>
    <mergeCell ref="H11:H12"/>
    <mergeCell ref="D13:O13"/>
    <mergeCell ref="P13:W13"/>
    <mergeCell ref="B14:W14"/>
    <mergeCell ref="B15:W15"/>
    <mergeCell ref="B16:W16"/>
    <mergeCell ref="A1:W1"/>
    <mergeCell ref="H2:I2"/>
    <mergeCell ref="O2:P2"/>
    <mergeCell ref="U2:W2"/>
    <mergeCell ref="I3:K3"/>
    <mergeCell ref="L3:Q3"/>
    <mergeCell ref="R3:S3"/>
    <mergeCell ref="V3:V4"/>
    <mergeCell ref="W3:W4"/>
    <mergeCell ref="E5:E8"/>
    <mergeCell ref="T5:T8"/>
    <mergeCell ref="N9:N10"/>
    <mergeCell ref="O9:O10"/>
    <mergeCell ref="P9:P10"/>
    <mergeCell ref="Q9:Q10"/>
    <mergeCell ref="T9:T10"/>
    <mergeCell ref="J10:K10"/>
    <mergeCell ref="G5:G6"/>
    <mergeCell ref="N5:N6"/>
    <mergeCell ref="O5:O6"/>
    <mergeCell ref="P5:P6"/>
    <mergeCell ref="Q5:Q6"/>
    <mergeCell ref="J6:K6"/>
    <mergeCell ref="W5:W10"/>
  </mergeCells>
  <phoneticPr fontId="9" type="noConversion"/>
  <pageMargins left="0.7" right="0.7" top="0.75" bottom="0.75" header="0.3" footer="0.3"/>
  <pageSetup paperSize="9" scale="8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2026-07-06T07:59:57Z</cp:lastPrinted>
  <dcterms:created xsi:type="dcterms:W3CDTF">2006-09-13T11:21:00Z</dcterms:created>
  <dcterms:modified xsi:type="dcterms:W3CDTF">2026-07-06T08:03:16Z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