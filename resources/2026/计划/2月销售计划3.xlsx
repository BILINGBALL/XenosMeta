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3FF58FA0-08D5-4A43-B307-17CA091FDF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Q8" i="1"/>
  <c r="O8" i="1"/>
  <c r="S7" i="1"/>
  <c r="M7" i="1"/>
  <c r="M8" i="1" l="1"/>
  <c r="S8" i="1"/>
  <c r="K7" i="1"/>
  <c r="K8" i="1" s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<sst xmlns="http://schemas.openxmlformats.org/spreadsheetml/2006/main" count="55" uniqueCount="53">
  <si>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</si>
  <si>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</si>
  <si>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</si>
  <si>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</si>
  <si>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</si>
  <si>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</si>
  <si>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</si>
  <si>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</si>
  <si>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</si>
  <si>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</si>
  <si>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</si>
  <si>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</si>
  <si>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</si>
  <si>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</si>
  <si>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</si>
  <si>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</si>
  <si>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</si>
  <si>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</si>
  <si>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</si>
  <si>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</si>
  <si>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</si>
  <si>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</si>
  <si>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</si>
  <si>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</si>
  <si>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</si>
  <si>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</si>
  <si>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</si>
  <si>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</si>
  <si>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</si>
  <si>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</si>
  <si>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24*142</t>
  </si>
  <si>
    <t>ISO 898-1
UIC 864-1
5.6级</t>
  </si>
  <si>
    <t>I432116</t>
  </si>
  <si>
    <t>35K</t>
  </si>
  <si>
    <t>Φ24</t>
  </si>
  <si>
    <t>热镀锌
平均厚度50μm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</si>
  <si>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</si>
  <si>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</si>
  <si>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</si>
  <si>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</si>
  <si>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</si>
  <si>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</si>
  <si>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</si>
  <si>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</si>
  <si>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</si>
  <si>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>分发：总经理、总经办、品管部、生产部</t>
  </si>
  <si>
    <t xml:space="preserve">包装物为编织袋加免熏蒸木箱。 </t>
    <phoneticPr fontId="8" type="noConversion"/>
  </si>
  <si>
    <t>2 月  份  销  售  计  划  3</t>
    <phoneticPr fontId="8" type="noConversion"/>
  </si>
  <si>
    <t>260225-1</t>
    <phoneticPr fontId="8" type="noConversion"/>
  </si>
  <si>
    <t>PO001643</t>
    <phoneticPr fontId="8" type="noConversion"/>
  </si>
  <si>
    <t>2026-3-8完成</t>
    <phoneticPr fontId="8" type="noConversion"/>
  </si>
  <si>
    <t>SDL
26</t>
    <phoneticPr fontId="8" type="noConversion"/>
  </si>
  <si>
    <t>编织袋+熏蒸木箱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</si>
</sst>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4" workbookViewId="0">
      <selection activeCell="O7" sqref="O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25" t="s">
        <v>47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3" t="s">
        <v>11</v>
      </c>
      <c r="I5" s="22" t="s">
        <v>12</v>
      </c>
      <c r="J5" s="23"/>
      <c r="K5" s="23"/>
      <c r="L5" s="20" t="s">
        <v>13</v>
      </c>
      <c r="M5" s="20"/>
      <c r="N5" s="20"/>
      <c r="O5" s="20"/>
      <c r="P5" s="20"/>
      <c r="Q5" s="20"/>
      <c r="R5" s="20" t="s">
        <v>14</v>
      </c>
      <c r="S5" s="20"/>
      <c r="T5" s="20" t="s">
        <v>15</v>
      </c>
      <c r="U5" s="20" t="s">
        <v>16</v>
      </c>
      <c r="V5" s="20" t="s">
        <v>17</v>
      </c>
      <c r="W5" s="20" t="s">
        <v>18</v>
      </c>
    </row>
    <row r="6" spans="1:23" s="1" customFormat="1" ht="27.75" customHeight="1" x14ac:dyDescent="0.15">
      <c r="A6" s="20"/>
      <c r="B6" s="20"/>
      <c r="C6" s="20"/>
      <c r="D6" s="20"/>
      <c r="E6" s="20"/>
      <c r="F6" s="20"/>
      <c r="G6" s="20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0"/>
      <c r="U6" s="20"/>
      <c r="V6" s="20"/>
      <c r="W6" s="20"/>
    </row>
    <row r="7" spans="1:23" s="1" customFormat="1" ht="84" customHeight="1" x14ac:dyDescent="0.15">
      <c r="A7" s="4">
        <v>1</v>
      </c>
      <c r="B7" s="3" t="s">
        <v>29</v>
      </c>
      <c r="C7" s="3" t="s">
        <v>30</v>
      </c>
      <c r="D7" s="13" t="s">
        <v>48</v>
      </c>
      <c r="E7" s="14" t="s">
        <v>49</v>
      </c>
      <c r="F7" s="5" t="s">
        <v>31</v>
      </c>
      <c r="G7" s="6" t="s">
        <v>32</v>
      </c>
      <c r="H7" s="3">
        <v>0.55600000000000005</v>
      </c>
      <c r="I7" s="3" t="s">
        <v>33</v>
      </c>
      <c r="J7" s="3" t="s">
        <v>34</v>
      </c>
      <c r="K7" s="7">
        <f>M7/0.92</f>
        <v>12.086956521739131</v>
      </c>
      <c r="L7" s="3">
        <v>20000</v>
      </c>
      <c r="M7" s="8">
        <f>L7*H7/1000</f>
        <v>11.120000000000001</v>
      </c>
      <c r="N7" s="3">
        <v>40</v>
      </c>
      <c r="O7" s="3">
        <v>500</v>
      </c>
      <c r="P7" s="3">
        <v>32</v>
      </c>
      <c r="Q7" s="3">
        <v>16</v>
      </c>
      <c r="R7" s="3">
        <v>20100</v>
      </c>
      <c r="S7" s="8">
        <f>R7*H7/1000</f>
        <v>11.175600000000001</v>
      </c>
      <c r="T7" s="15" t="s">
        <v>50</v>
      </c>
      <c r="U7" s="5" t="s">
        <v>51</v>
      </c>
      <c r="V7" s="3" t="s">
        <v>35</v>
      </c>
      <c r="W7" s="16" t="s">
        <v>52</v>
      </c>
    </row>
    <row r="8" spans="1:23" s="1" customFormat="1" ht="47.25" customHeight="1" x14ac:dyDescent="0.15">
      <c r="A8" s="22" t="s">
        <v>36</v>
      </c>
      <c r="B8" s="23"/>
      <c r="C8" s="23"/>
      <c r="D8" s="23"/>
      <c r="E8" s="23"/>
      <c r="F8" s="23"/>
      <c r="G8" s="24"/>
      <c r="H8" s="3"/>
      <c r="I8" s="3"/>
      <c r="J8" s="3"/>
      <c r="K8" s="8">
        <f>SUM(K7:K7)</f>
        <v>12.086956521739131</v>
      </c>
      <c r="L8" s="9">
        <f>SUM(L7:L7)</f>
        <v>20000</v>
      </c>
      <c r="M8" s="8">
        <f>SUM(M7:M7)</f>
        <v>11.120000000000001</v>
      </c>
      <c r="N8" s="3"/>
      <c r="O8" s="9">
        <f>SUM(O7:O7)</f>
        <v>500</v>
      </c>
      <c r="P8" s="9"/>
      <c r="Q8" s="9">
        <f>SUM(Q7:Q7)</f>
        <v>16</v>
      </c>
      <c r="R8" s="3"/>
      <c r="S8" s="9">
        <f>SUM(S7:S7)</f>
        <v>11.175600000000001</v>
      </c>
      <c r="T8" s="11"/>
      <c r="U8" s="3" t="s">
        <v>37</v>
      </c>
      <c r="V8" s="3"/>
      <c r="W8" s="5"/>
    </row>
    <row r="9" spans="1:23" ht="29.25" customHeight="1" x14ac:dyDescent="0.15">
      <c r="T9" s="12" t="s">
        <v>38</v>
      </c>
    </row>
    <row r="10" spans="1:23" s="1" customFormat="1" ht="19.5" customHeight="1" x14ac:dyDescent="0.15">
      <c r="B10" s="1" t="s">
        <v>39</v>
      </c>
      <c r="O10" s="10"/>
    </row>
    <row r="11" spans="1:23" s="1" customFormat="1" ht="19.5" customHeight="1" x14ac:dyDescent="0.15">
      <c r="A11" s="1" t="s">
        <v>40</v>
      </c>
      <c r="B11" s="17" t="s">
        <v>41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42</v>
      </c>
      <c r="B12" s="17" t="s">
        <v>43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44</v>
      </c>
      <c r="B13" s="18" t="s">
        <v>46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12.75" customHeight="1" x14ac:dyDescent="0.15"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20.25" customHeight="1" x14ac:dyDescent="0.15">
      <c r="C15" s="18" t="s">
        <v>45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1"/>
      <c r="P15" s="21"/>
      <c r="Q15" s="21"/>
      <c r="R15" s="21"/>
      <c r="S15" s="21"/>
      <c r="T15" s="21"/>
      <c r="U15" s="21"/>
      <c r="V15" s="21"/>
      <c r="W15" s="21"/>
    </row>
    <row r="16" spans="1:23" x14ac:dyDescent="0.15">
      <c r="Q16" s="19">
        <v>46078</v>
      </c>
      <c r="R16" s="19"/>
      <c r="S16" s="19"/>
      <c r="T16" s="19"/>
    </row>
  </sheetData>
  <mergeCells count="26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8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2026-03-06T05:44:27Z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