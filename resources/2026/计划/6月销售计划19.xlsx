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8_{F5CDA6B0-03EC-4C4A-BFEB-A6AA635D25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P9" i="1"/>
  <c r="M9" i="1"/>
  <c r="S8" i="1"/>
  <c r="T8" i="1" s="1"/>
  <c r="M8" i="1"/>
  <c r="N8" i="1" s="1"/>
  <c r="T7" i="1"/>
  <c r="T9" i="1" s="1"/>
  <c r="N7" i="1"/>
  <c r="N9" i="1" l="1"/>
  <c r="K7" i="1"/>
  <c r="K9" i="1" s="1"/>
</calcChain>
</file>

<file path=xl/sharedStrings.xml><?xml version="1.0" encoding="utf-8"?>
<sst xmlns="http://schemas.openxmlformats.org/spreadsheetml/2006/main" count="75" uniqueCount="67">
  <si>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</si>
  <si>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</si>
  <si>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</si>
  <si>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</si>
  <si>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</si>
  <si>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</si>
  <si>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</si>
  <si>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</si>
  <si>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</si>
  <si>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</si>
  <si>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</si>
  <si>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</si>
  <si>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</si>
  <si>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</si>
  <si>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</si>
  <si>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</si>
  <si>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</si>
  <si>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</si>
  <si>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</si>
  <si>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</si>
  <si>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</si>
  <si>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</si>
  <si>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</si>
  <si>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冷拨
尺寸</t>
  </si>
  <si>
    <t>件</t>
  </si>
  <si>
    <t>吨</t>
  </si>
  <si>
    <t>件/袋</t>
  </si>
  <si>
    <t>袋</t>
  </si>
  <si>
    <t>袋/托</t>
  </si>
  <si>
    <t>托</t>
  </si>
  <si>
    <t>螺纹
道钉</t>
  </si>
  <si>
    <t>Ss25-161</t>
  </si>
  <si>
    <t>UIC864-1
5.6级</t>
  </si>
  <si>
    <t>35K</t>
  </si>
  <si>
    <t>Φ24</t>
  </si>
  <si>
    <t>Φ23.8</t>
  </si>
  <si>
    <t>本色
涂油</t>
  </si>
  <si>
    <t>平垫圈</t>
  </si>
  <si>
    <t>Uls7</t>
  </si>
  <si>
    <t>客户图纸</t>
  </si>
  <si>
    <t>Q235</t>
  </si>
  <si>
    <t>外购成本</t>
  </si>
  <si>
    <t>以上与道钉锚固配套</t>
  </si>
  <si>
    <t>无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</si>
  <si>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</si>
  <si>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</si>
  <si>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</si>
  <si>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</si>
  <si>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</si>
  <si>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</si>
  <si>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</si>
  <si>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</si>
  <si>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</si>
  <si>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</si>
  <si>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</si>
  <si>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</si>
  <si>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>分发：总经理、总经办、品管部、生产部</t>
  </si>
  <si>
    <t>编织袋+免熏蒸托盘</t>
    <phoneticPr fontId="7" type="noConversion"/>
  </si>
  <si>
    <t>包装物为编织袋加免熏蒸托盘</t>
    <phoneticPr fontId="7" type="noConversion"/>
  </si>
  <si>
    <t>GKSL20260101</t>
    <phoneticPr fontId="7" type="noConversion"/>
  </si>
  <si>
    <t>FM1 26
Ss25</t>
    <phoneticPr fontId="7" type="noConversion"/>
  </si>
  <si>
    <t>冷弯45°不断裂</t>
    <phoneticPr fontId="7" type="noConversion"/>
  </si>
  <si>
    <t>6 月  份  销  售  计  划  19</t>
    <phoneticPr fontId="7" type="noConversion"/>
  </si>
  <si>
    <t>260617-1</t>
    <phoneticPr fontId="7" type="noConversion"/>
  </si>
  <si>
    <t>260617-2</t>
  </si>
  <si>
    <t>XIFENG-20260616-06</t>
    <phoneticPr fontId="7" type="noConversion"/>
  </si>
  <si>
    <t>分批发货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</si>
</sst>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14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wrapText="1"/>
    </xf>
    <xf numFmtId="176" fontId="3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19"/>
  <sheetViews>
    <sheetView tabSelected="1" topLeftCell="A9" workbookViewId="0">
      <selection activeCell="B12" sqref="B12:X12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7" style="2" customWidth="1"/>
    <col min="8" max="8" width="5.625" style="2" customWidth="1"/>
    <col min="9" max="9" width="4.875" style="2" customWidth="1"/>
    <col min="10" max="10" width="4.5" style="2" customWidth="1"/>
    <col min="11" max="11" width="5" style="2" customWidth="1"/>
    <col min="12" max="12" width="5.875" style="2" customWidth="1"/>
    <col min="13" max="13" width="7.125" style="2" customWidth="1"/>
    <col min="14" max="14" width="5.625" style="2" customWidth="1"/>
    <col min="15" max="15" width="4" style="2" customWidth="1"/>
    <col min="16" max="16" width="6.25" style="2" customWidth="1"/>
    <col min="17" max="17" width="4.625" style="2" customWidth="1"/>
    <col min="18" max="18" width="4.125" style="2" customWidth="1"/>
    <col min="19" max="19" width="8.75" style="2" customWidth="1"/>
    <col min="20" max="20" width="6.25" style="2" customWidth="1"/>
    <col min="21" max="21" width="9.75" style="2" customWidth="1"/>
    <col min="22" max="22" width="8.125" style="2" customWidth="1"/>
    <col min="23" max="23" width="5.125" style="2" customWidth="1"/>
    <col min="24" max="24" width="4.875" style="2" customWidth="1"/>
    <col min="25" max="16384" width="9" style="2"/>
  </cols>
  <sheetData>
    <row r="2" spans="1:24" ht="45" customHeight="1" x14ac:dyDescent="0.15">
      <c r="A2" s="20" t="s">
        <v>62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4" spans="1:24" s="1" customFormat="1" ht="27.75" customHeight="1" x14ac:dyDescent="0.15">
      <c r="A4" s="22" t="s">
        <v>0</v>
      </c>
      <c r="B4" s="22"/>
      <c r="C4" s="1" t="s">
        <v>1</v>
      </c>
      <c r="H4" s="22" t="s">
        <v>2</v>
      </c>
      <c r="I4" s="22"/>
      <c r="P4" s="22" t="s">
        <v>3</v>
      </c>
      <c r="Q4" s="22"/>
      <c r="V4" s="23"/>
      <c r="W4" s="24"/>
      <c r="X4" s="24"/>
    </row>
    <row r="5" spans="1:24" s="1" customFormat="1" ht="27" customHeight="1" x14ac:dyDescent="0.15">
      <c r="A5" s="29" t="s">
        <v>4</v>
      </c>
      <c r="B5" s="29" t="s">
        <v>5</v>
      </c>
      <c r="C5" s="29" t="s">
        <v>6</v>
      </c>
      <c r="D5" s="29" t="s">
        <v>7</v>
      </c>
      <c r="E5" s="29" t="s">
        <v>8</v>
      </c>
      <c r="F5" s="29" t="s">
        <v>9</v>
      </c>
      <c r="G5" s="29" t="s">
        <v>10</v>
      </c>
      <c r="H5" s="3" t="s">
        <v>11</v>
      </c>
      <c r="I5" s="27" t="s">
        <v>12</v>
      </c>
      <c r="J5" s="28"/>
      <c r="K5" s="28"/>
      <c r="L5" s="9"/>
      <c r="M5" s="29" t="s">
        <v>13</v>
      </c>
      <c r="N5" s="29"/>
      <c r="O5" s="29"/>
      <c r="P5" s="29"/>
      <c r="Q5" s="29"/>
      <c r="R5" s="29"/>
      <c r="S5" s="29" t="s">
        <v>14</v>
      </c>
      <c r="T5" s="29"/>
      <c r="U5" s="29" t="s">
        <v>15</v>
      </c>
      <c r="V5" s="29" t="s">
        <v>16</v>
      </c>
      <c r="W5" s="29" t="s">
        <v>17</v>
      </c>
      <c r="X5" s="29" t="s">
        <v>18</v>
      </c>
    </row>
    <row r="6" spans="1:24" s="1" customFormat="1" ht="27.75" customHeight="1" x14ac:dyDescent="0.15">
      <c r="A6" s="29"/>
      <c r="B6" s="29"/>
      <c r="C6" s="29"/>
      <c r="D6" s="29"/>
      <c r="E6" s="29"/>
      <c r="F6" s="29"/>
      <c r="G6" s="29"/>
      <c r="H6" s="3" t="s">
        <v>19</v>
      </c>
      <c r="I6" s="3" t="s">
        <v>20</v>
      </c>
      <c r="J6" s="3" t="s">
        <v>21</v>
      </c>
      <c r="K6" s="4" t="s">
        <v>22</v>
      </c>
      <c r="L6" s="4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29</v>
      </c>
      <c r="S6" s="3" t="s">
        <v>24</v>
      </c>
      <c r="T6" s="3" t="s">
        <v>25</v>
      </c>
      <c r="U6" s="29"/>
      <c r="V6" s="29"/>
      <c r="W6" s="29"/>
      <c r="X6" s="29"/>
    </row>
    <row r="7" spans="1:24" s="1" customFormat="1" ht="63.95" customHeight="1" x14ac:dyDescent="0.15">
      <c r="A7" s="3">
        <v>1</v>
      </c>
      <c r="B7" s="3" t="s">
        <v>30</v>
      </c>
      <c r="C7" s="3" t="s">
        <v>31</v>
      </c>
      <c r="D7" s="17" t="s">
        <v>63</v>
      </c>
      <c r="E7" s="40" t="s">
        <v>65</v>
      </c>
      <c r="F7" s="3" t="s">
        <v>32</v>
      </c>
      <c r="G7" s="42" t="s">
        <v>59</v>
      </c>
      <c r="H7" s="3">
        <v>0.59</v>
      </c>
      <c r="I7" s="3" t="s">
        <v>33</v>
      </c>
      <c r="J7" s="3" t="s">
        <v>34</v>
      </c>
      <c r="K7" s="10">
        <f>N7/0.94</f>
        <v>269.89361702127661</v>
      </c>
      <c r="L7" s="3" t="s">
        <v>35</v>
      </c>
      <c r="M7" s="3">
        <v>430000</v>
      </c>
      <c r="N7" s="11">
        <f>M7*H7/1000</f>
        <v>253.7</v>
      </c>
      <c r="O7" s="3">
        <v>40</v>
      </c>
      <c r="P7" s="3">
        <v>10750</v>
      </c>
      <c r="Q7" s="3">
        <v>40</v>
      </c>
      <c r="R7" s="3">
        <v>269</v>
      </c>
      <c r="S7" s="3">
        <v>430500</v>
      </c>
      <c r="T7" s="11">
        <f>S7*H7/1000</f>
        <v>253.995</v>
      </c>
      <c r="U7" s="43" t="s">
        <v>66</v>
      </c>
      <c r="V7" s="18" t="s">
        <v>60</v>
      </c>
      <c r="W7" s="36" t="s">
        <v>36</v>
      </c>
      <c r="X7" s="38" t="s">
        <v>57</v>
      </c>
    </row>
    <row r="8" spans="1:24" s="1" customFormat="1" ht="63.95" customHeight="1" x14ac:dyDescent="0.15">
      <c r="A8" s="3">
        <v>2</v>
      </c>
      <c r="B8" s="3" t="s">
        <v>37</v>
      </c>
      <c r="C8" s="3" t="s">
        <v>38</v>
      </c>
      <c r="D8" s="17" t="s">
        <v>64</v>
      </c>
      <c r="E8" s="41"/>
      <c r="F8" s="4" t="s">
        <v>39</v>
      </c>
      <c r="G8" s="37"/>
      <c r="H8" s="5">
        <v>0.04</v>
      </c>
      <c r="I8" s="3" t="s">
        <v>40</v>
      </c>
      <c r="J8" s="30" t="s">
        <v>41</v>
      </c>
      <c r="K8" s="31"/>
      <c r="L8" s="32"/>
      <c r="M8" s="3">
        <f>M7</f>
        <v>430000</v>
      </c>
      <c r="N8" s="11">
        <f>M8*H8/1000</f>
        <v>17.2</v>
      </c>
      <c r="O8" s="27" t="s">
        <v>42</v>
      </c>
      <c r="P8" s="28"/>
      <c r="Q8" s="28"/>
      <c r="R8" s="33"/>
      <c r="S8" s="3">
        <f>S7</f>
        <v>430500</v>
      </c>
      <c r="T8" s="11">
        <f>S8*H8/1000</f>
        <v>17.22</v>
      </c>
      <c r="U8" s="44"/>
      <c r="V8" s="4" t="s">
        <v>43</v>
      </c>
      <c r="W8" s="37"/>
      <c r="X8" s="35"/>
    </row>
    <row r="9" spans="1:24" s="1" customFormat="1" ht="18" customHeight="1" x14ac:dyDescent="0.15">
      <c r="A9" s="46" t="s">
        <v>44</v>
      </c>
      <c r="B9" s="47"/>
      <c r="C9" s="6"/>
      <c r="D9" s="6"/>
      <c r="E9" s="6"/>
      <c r="F9" s="7"/>
      <c r="G9" s="6"/>
      <c r="H9" s="6"/>
      <c r="I9" s="6"/>
      <c r="J9" s="6"/>
      <c r="K9" s="12">
        <f t="shared" ref="K9:P9" si="0">K7</f>
        <v>269.89361702127661</v>
      </c>
      <c r="L9" s="13"/>
      <c r="M9" s="12">
        <f t="shared" si="0"/>
        <v>430000</v>
      </c>
      <c r="N9" s="12">
        <f>SUM(N7:N8)</f>
        <v>270.89999999999998</v>
      </c>
      <c r="O9" s="13"/>
      <c r="P9" s="12">
        <f t="shared" si="0"/>
        <v>10750</v>
      </c>
      <c r="Q9" s="13"/>
      <c r="R9" s="12">
        <f>R7</f>
        <v>269</v>
      </c>
      <c r="S9" s="12">
        <f>S7</f>
        <v>430500</v>
      </c>
      <c r="T9" s="12">
        <f>SUM(T7:T8)</f>
        <v>271.21500000000003</v>
      </c>
      <c r="U9" s="16"/>
      <c r="V9" s="34" t="s">
        <v>45</v>
      </c>
      <c r="W9" s="16"/>
      <c r="X9" s="16"/>
    </row>
    <row r="10" spans="1:24" ht="15" customHeight="1" x14ac:dyDescent="0.15">
      <c r="A10" s="48"/>
      <c r="B10" s="49"/>
      <c r="C10" s="8"/>
      <c r="D10" s="8"/>
      <c r="E10" s="8"/>
      <c r="F10" s="8"/>
      <c r="G10" s="8"/>
      <c r="H10" s="8"/>
      <c r="I10" s="8"/>
      <c r="J10" s="8"/>
      <c r="K10" s="8" t="s">
        <v>25</v>
      </c>
      <c r="L10" s="8"/>
      <c r="M10" s="8" t="s">
        <v>46</v>
      </c>
      <c r="N10" s="8" t="s">
        <v>25</v>
      </c>
      <c r="O10" s="8"/>
      <c r="P10" s="8" t="s">
        <v>27</v>
      </c>
      <c r="Q10" s="8"/>
      <c r="R10" s="8" t="s">
        <v>29</v>
      </c>
      <c r="S10" s="8" t="s">
        <v>46</v>
      </c>
      <c r="T10" s="8" t="s">
        <v>25</v>
      </c>
      <c r="U10" s="8"/>
      <c r="V10" s="35"/>
      <c r="W10" s="8"/>
      <c r="X10" s="8"/>
    </row>
    <row r="11" spans="1:24" s="1" customFormat="1" ht="19.5" customHeight="1" x14ac:dyDescent="0.15">
      <c r="B11" s="1" t="s">
        <v>47</v>
      </c>
      <c r="N11" s="14"/>
      <c r="P11" s="15"/>
      <c r="S11" s="19" t="s">
        <v>61</v>
      </c>
    </row>
    <row r="12" spans="1:24" s="1" customFormat="1" ht="19.5" customHeight="1" x14ac:dyDescent="0.15">
      <c r="A12" s="1" t="s">
        <v>48</v>
      </c>
      <c r="B12" s="25" t="s">
        <v>49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s="1" customFormat="1" ht="19.5" customHeight="1" x14ac:dyDescent="0.15">
      <c r="B13" s="25" t="s">
        <v>50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s="1" customFormat="1" ht="19.5" customHeight="1" x14ac:dyDescent="0.15">
      <c r="A14" s="1" t="s">
        <v>51</v>
      </c>
      <c r="B14" s="25" t="s">
        <v>52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s="1" customFormat="1" ht="19.5" customHeight="1" x14ac:dyDescent="0.15">
      <c r="A15" s="1" t="s">
        <v>53</v>
      </c>
      <c r="B15" s="25" t="s">
        <v>54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s="1" customFormat="1" ht="19.5" customHeight="1" x14ac:dyDescent="0.15">
      <c r="A16" s="1" t="s">
        <v>55</v>
      </c>
      <c r="B16" s="26" t="s">
        <v>58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3:24" ht="42" customHeight="1" x14ac:dyDescent="0.15">
      <c r="P17" s="45"/>
      <c r="Q17" s="45"/>
      <c r="R17" s="45"/>
      <c r="S17" s="45"/>
      <c r="T17" s="45"/>
      <c r="U17" s="45"/>
      <c r="V17" s="45"/>
      <c r="W17" s="45"/>
      <c r="X17" s="45"/>
    </row>
    <row r="18" spans="3:24" ht="20.25" customHeight="1" x14ac:dyDescent="0.15">
      <c r="C18" s="25" t="s">
        <v>56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45"/>
      <c r="Q18" s="45"/>
      <c r="R18" s="45"/>
      <c r="S18" s="45"/>
      <c r="T18" s="45"/>
      <c r="U18" s="45"/>
      <c r="V18" s="45"/>
      <c r="W18" s="45"/>
      <c r="X18" s="45"/>
    </row>
    <row r="19" spans="3:24" x14ac:dyDescent="0.15">
      <c r="R19" s="39">
        <v>46190</v>
      </c>
      <c r="S19" s="39"/>
      <c r="T19" s="39"/>
      <c r="U19" s="39"/>
    </row>
  </sheetData>
  <mergeCells count="36">
    <mergeCell ref="C18:O18"/>
    <mergeCell ref="R19:U19"/>
    <mergeCell ref="A5:A6"/>
    <mergeCell ref="B5:B6"/>
    <mergeCell ref="C5:C6"/>
    <mergeCell ref="D5:D6"/>
    <mergeCell ref="E5:E6"/>
    <mergeCell ref="E7:E8"/>
    <mergeCell ref="F5:F6"/>
    <mergeCell ref="G5:G6"/>
    <mergeCell ref="G7:G8"/>
    <mergeCell ref="U5:U6"/>
    <mergeCell ref="U7:U8"/>
    <mergeCell ref="P17:X18"/>
    <mergeCell ref="A9:B10"/>
    <mergeCell ref="B12:X12"/>
    <mergeCell ref="B13:X13"/>
    <mergeCell ref="B14:X14"/>
    <mergeCell ref="B15:X15"/>
    <mergeCell ref="B16:X16"/>
    <mergeCell ref="I5:K5"/>
    <mergeCell ref="M5:R5"/>
    <mergeCell ref="S5:T5"/>
    <mergeCell ref="J8:L8"/>
    <mergeCell ref="O8:R8"/>
    <mergeCell ref="V5:V6"/>
    <mergeCell ref="V9:V10"/>
    <mergeCell ref="W5:W6"/>
    <mergeCell ref="W7:W8"/>
    <mergeCell ref="X5:X6"/>
    <mergeCell ref="X7:X8"/>
    <mergeCell ref="A2:X2"/>
    <mergeCell ref="A4:B4"/>
    <mergeCell ref="H4:I4"/>
    <mergeCell ref="P4:Q4"/>
    <mergeCell ref="V4:X4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2026-06-17T02:27:32Z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ACF851D1C0524C3986694DC1AC193240_13</vt:lpwstr>
  </property>
  <property fmtid="{D5CDD505-2E9C-101B-9397-08002B2CF9AE}" pid="3" name="KSOProductBuildVer">
    <vt:lpwstr>2052-12.1.0.18240</vt:lpwstr>
  </property>
</Properties>
</file>