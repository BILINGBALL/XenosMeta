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计划\"/>
    </mc:Choice>
  </mc:AlternateContent>
  <xr:revisionPtr revIDLastSave="0" documentId="8_{BF63B0C8-37D7-461C-BB47-07EB28F40C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Q8" i="1"/>
  <c r="O8" i="1"/>
  <c r="L8" i="1"/>
  <c r="K8" i="1"/>
  <c r="R7" i="1" l="1"/>
  <c r="S7" i="1" s="1"/>
  <c r="L7" i="1"/>
  <c r="M7" i="1" s="1"/>
  <c r="S6" i="1"/>
  <c r="S8" i="1" s="1"/>
  <c r="M6" i="1"/>
  <c r="K6" i="1" s="1"/>
  <c r="M8" i="1" l="1"/>
</calcChain>
</file>

<file path=xl/sharedStrings.xml><?xml version="1.0" encoding="utf-8"?>
<sst xmlns="http://schemas.openxmlformats.org/spreadsheetml/2006/main" count="70" uniqueCount="62">
  <si>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</si>
  <si>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</si>
  <si>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</si>
  <si>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</si>
  <si>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</si>
  <si>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</si>
  <si>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</si>
  <si>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</si>
  <si>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</si>
  <si>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</si>
  <si>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</si>
  <si>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</si>
  <si>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</si>
  <si>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</si>
  <si>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</si>
  <si>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</si>
  <si>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</si>
  <si>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</si>
  <si>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</si>
  <si>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</si>
  <si>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</si>
  <si>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</si>
  <si>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</si>
  <si>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</si>
  <si>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</si>
  <si>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</si>
  <si>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</si>
  <si>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</si>
  <si>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袋/托</t>
  </si>
  <si>
    <t>托</t>
  </si>
  <si>
    <t>编织袋+托盘</t>
  </si>
  <si>
    <t>外购</t>
  </si>
  <si>
    <t>螺纹
道钉</t>
  </si>
  <si>
    <t>20 X 145</t>
  </si>
  <si>
    <t>4.6级</t>
  </si>
  <si>
    <t>Q235B</t>
  </si>
  <si>
    <t>Φ22</t>
  </si>
  <si>
    <t>KAI</t>
  </si>
  <si>
    <t>热镀锌</t>
  </si>
  <si>
    <t>弹簧
垫圈</t>
  </si>
  <si>
    <t>与以上道钉装配一起</t>
  </si>
  <si>
    <t>合计</t>
  </si>
  <si>
    <t>详见
图纸</t>
  </si>
  <si>
    <t>套</t>
  </si>
  <si>
    <t>说明：</t>
  </si>
  <si>
    <t>1、</t>
  </si>
  <si>
    <t>对以上产品，生产部门应认真清查库存，适当调整生产计划数量，已减少及合理利用库存产品。</t>
  </si>
  <si>
    <t>2、</t>
  </si>
  <si>
    <t>螺纹道钉螺纹部分经90°冷弯试验后不应折断，裂纹深度不大于0.75mm，防锈层和基材浅层允许有轻微的起皮、褶皱和裂纹。</t>
  </si>
  <si>
    <t>3、</t>
  </si>
  <si>
    <t>品管部负责办理质量证明书，检测报告及相关数据。</t>
  </si>
  <si>
    <t>4、</t>
  </si>
  <si>
    <t>包装物是：编织袋+托盘。</t>
  </si>
  <si>
    <t>分发：总经理、总经办、品管部、生产部、技术部</t>
  </si>
  <si>
    <t>6  月  份  销  售  计  划  21</t>
    <phoneticPr fontId="10" type="noConversion"/>
  </si>
  <si>
    <t>260623-1</t>
    <phoneticPr fontId="10" type="noConversion"/>
  </si>
  <si>
    <t>260623-2</t>
  </si>
  <si>
    <t>TR3H20230823001/P202606080001</t>
    <phoneticPr fontId="10" type="noConversion"/>
  </si>
  <si>
    <t>2026-7-22</t>
    <phoneticPr fontId="10" type="noConversion"/>
  </si>
  <si>
    <t>TRSC23010-1</t>
    <phoneticPr fontId="10" type="noConversion"/>
  </si>
  <si>
    <t>TRSC23002-1</t>
    <phoneticPr fontId="10" type="noConversion"/>
  </si>
  <si>
    <t>生产部门按生产工艺生产，加强自检，严格质量管理。技术要求及验收标准按《图纸》规定执行，编号：TRSC23010-1,TRSC230524001。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</si>
</sst>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0.0_ "/>
    <numFmt numFmtId="178" formatCode="0.00_ "/>
    <numFmt numFmtId="179" formatCode="0_ "/>
    <numFmt numFmtId="180" formatCode="[$-F800]dddd\,\ mmmm\ dd\,\ yyyy"/>
  </numFmts>
  <fonts count="11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7" fontId="1" fillId="0" borderId="2" xfId="0" applyNumberFormat="1" applyFont="1" applyBorder="1" applyAlignment="1">
      <alignment horizontal="center" vertical="center" wrapText="1"/>
    </xf>
    <xf numFmtId="177" fontId="5" fillId="0" borderId="2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wrapText="1"/>
    </xf>
    <xf numFmtId="179" fontId="5" fillId="0" borderId="3" xfId="0" applyNumberFormat="1" applyFont="1" applyBorder="1" applyAlignment="1">
      <alignment horizontal="center" wrapText="1"/>
    </xf>
    <xf numFmtId="178" fontId="5" fillId="0" borderId="3" xfId="0" applyNumberFormat="1" applyFont="1" applyBorder="1" applyAlignment="1">
      <alignment horizontal="center" wrapText="1"/>
    </xf>
    <xf numFmtId="0" fontId="8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80" fontId="9" fillId="0" borderId="0" xfId="0" applyNumberFormat="1" applyFont="1" applyAlignment="1">
      <alignment horizontal="center" vertical="center" wrapText="1"/>
    </xf>
    <xf numFmtId="178" fontId="1" fillId="0" borderId="11" xfId="0" applyNumberFormat="1" applyFont="1" applyBorder="1" applyAlignment="1">
      <alignment horizontal="center" vertical="center" wrapText="1"/>
    </xf>
    <xf numFmtId="178" fontId="1" fillId="0" borderId="12" xfId="0" applyNumberFormat="1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10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8"/>
  <sheetViews>
    <sheetView tabSelected="1" workbookViewId="0">
      <selection activeCell="S9" sqref="S9"/>
    </sheetView>
  </sheetViews>
  <sheetFormatPr defaultColWidth="9" defaultRowHeight="13.5" x14ac:dyDescent="0.15"/>
  <cols>
    <col min="1" max="1" width="4.125" style="4" customWidth="1"/>
    <col min="2" max="2" width="7.5" style="4" customWidth="1"/>
    <col min="3" max="3" width="10.375" style="4" customWidth="1"/>
    <col min="4" max="4" width="6.125" style="4" customWidth="1"/>
    <col min="5" max="5" width="5.875" style="4" customWidth="1"/>
    <col min="6" max="6" width="6.5" style="4" customWidth="1"/>
    <col min="7" max="7" width="6.25" style="4" customWidth="1"/>
    <col min="8" max="8" width="7.125" style="4" customWidth="1"/>
    <col min="9" max="9" width="7" style="4" customWidth="1"/>
    <col min="10" max="10" width="5.25" style="4" customWidth="1"/>
    <col min="11" max="11" width="6.375" style="4" customWidth="1"/>
    <col min="12" max="12" width="8.125" style="4" customWidth="1"/>
    <col min="13" max="13" width="6" style="4" customWidth="1"/>
    <col min="14" max="14" width="4.75" style="4" customWidth="1"/>
    <col min="15" max="15" width="5.625" style="4" customWidth="1"/>
    <col min="16" max="16" width="4.625" style="4" customWidth="1"/>
    <col min="17" max="17" width="6.125" style="4" customWidth="1"/>
    <col min="18" max="18" width="6.625" style="4" customWidth="1"/>
    <col min="19" max="19" width="6.875" style="4" customWidth="1"/>
    <col min="20" max="20" width="5.125" style="4" customWidth="1"/>
    <col min="21" max="21" width="7.5" style="4" customWidth="1"/>
    <col min="22" max="22" width="7.25" style="4" customWidth="1"/>
    <col min="23" max="23" width="7.375" style="4" customWidth="1"/>
    <col min="24" max="16384" width="9" style="4"/>
  </cols>
  <sheetData>
    <row r="2" spans="1:23" ht="45" customHeight="1" x14ac:dyDescent="0.15">
      <c r="A2" s="38" t="s">
        <v>54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23" s="1" customFormat="1" ht="27.75" customHeight="1" x14ac:dyDescent="0.15">
      <c r="B3" s="1" t="s">
        <v>0</v>
      </c>
      <c r="C3" s="1" t="s">
        <v>1</v>
      </c>
      <c r="H3" s="39" t="s">
        <v>2</v>
      </c>
      <c r="I3" s="39"/>
      <c r="O3" s="39" t="s">
        <v>3</v>
      </c>
      <c r="P3" s="39"/>
      <c r="U3" s="40" t="s">
        <v>4</v>
      </c>
      <c r="V3" s="41"/>
      <c r="W3" s="41"/>
    </row>
    <row r="4" spans="1:23" s="1" customFormat="1" ht="27" customHeight="1" x14ac:dyDescent="0.15">
      <c r="A4" s="24" t="s">
        <v>5</v>
      </c>
      <c r="B4" s="24" t="s">
        <v>6</v>
      </c>
      <c r="C4" s="24" t="s">
        <v>7</v>
      </c>
      <c r="D4" s="24" t="s">
        <v>8</v>
      </c>
      <c r="E4" s="24" t="s">
        <v>9</v>
      </c>
      <c r="F4" s="24" t="s">
        <v>10</v>
      </c>
      <c r="G4" s="24" t="s">
        <v>11</v>
      </c>
      <c r="H4" s="5" t="s">
        <v>12</v>
      </c>
      <c r="I4" s="24" t="s">
        <v>13</v>
      </c>
      <c r="J4" s="24"/>
      <c r="K4" s="24"/>
      <c r="L4" s="24" t="s">
        <v>14</v>
      </c>
      <c r="M4" s="24"/>
      <c r="N4" s="24"/>
      <c r="O4" s="24"/>
      <c r="P4" s="24"/>
      <c r="Q4" s="24"/>
      <c r="R4" s="24" t="s">
        <v>15</v>
      </c>
      <c r="S4" s="24"/>
      <c r="T4" s="24" t="s">
        <v>16</v>
      </c>
      <c r="U4" s="24" t="s">
        <v>17</v>
      </c>
      <c r="V4" s="24" t="s">
        <v>18</v>
      </c>
      <c r="W4" s="24" t="s">
        <v>19</v>
      </c>
    </row>
    <row r="5" spans="1:23" s="1" customFormat="1" ht="27.75" customHeight="1" x14ac:dyDescent="0.15">
      <c r="A5" s="27"/>
      <c r="B5" s="24"/>
      <c r="C5" s="24"/>
      <c r="D5" s="24"/>
      <c r="E5" s="24"/>
      <c r="F5" s="24"/>
      <c r="G5" s="24"/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  <c r="M5" s="5" t="s">
        <v>25</v>
      </c>
      <c r="N5" s="5" t="s">
        <v>26</v>
      </c>
      <c r="O5" s="5" t="s">
        <v>27</v>
      </c>
      <c r="P5" s="5" t="s">
        <v>28</v>
      </c>
      <c r="Q5" s="5" t="s">
        <v>29</v>
      </c>
      <c r="R5" s="5" t="s">
        <v>24</v>
      </c>
      <c r="S5" s="5" t="s">
        <v>25</v>
      </c>
      <c r="T5" s="24"/>
      <c r="U5" s="24"/>
      <c r="V5" s="24"/>
      <c r="W5" s="24"/>
    </row>
    <row r="6" spans="1:23" s="1" customFormat="1" ht="36" customHeight="1" x14ac:dyDescent="0.15">
      <c r="A6" s="5">
        <v>1</v>
      </c>
      <c r="B6" s="6" t="s">
        <v>32</v>
      </c>
      <c r="C6" s="5" t="s">
        <v>33</v>
      </c>
      <c r="D6" s="5" t="s">
        <v>55</v>
      </c>
      <c r="E6" s="30" t="s">
        <v>57</v>
      </c>
      <c r="F6" s="5" t="s">
        <v>34</v>
      </c>
      <c r="G6" s="7" t="s">
        <v>59</v>
      </c>
      <c r="H6" s="5">
        <v>0.43</v>
      </c>
      <c r="I6" s="5" t="s">
        <v>35</v>
      </c>
      <c r="J6" s="5" t="s">
        <v>36</v>
      </c>
      <c r="K6" s="14">
        <f>M6/0.88</f>
        <v>25.527829545454544</v>
      </c>
      <c r="L6" s="5">
        <v>52243</v>
      </c>
      <c r="M6" s="13">
        <f>L6*H6/1000</f>
        <v>22.464489999999998</v>
      </c>
      <c r="N6" s="5">
        <v>40</v>
      </c>
      <c r="O6" s="5">
        <v>1306</v>
      </c>
      <c r="P6" s="5">
        <v>40</v>
      </c>
      <c r="Q6" s="5">
        <v>33</v>
      </c>
      <c r="R6" s="5">
        <v>52300</v>
      </c>
      <c r="S6" s="13">
        <f>R6*H6/1000</f>
        <v>22.489000000000001</v>
      </c>
      <c r="T6" s="42" t="s">
        <v>58</v>
      </c>
      <c r="U6" s="5" t="s">
        <v>37</v>
      </c>
      <c r="V6" s="27" t="s">
        <v>38</v>
      </c>
      <c r="W6" s="25" t="s">
        <v>30</v>
      </c>
    </row>
    <row r="7" spans="1:23" s="1" customFormat="1" ht="36" customHeight="1" x14ac:dyDescent="0.15">
      <c r="A7" s="5">
        <v>2</v>
      </c>
      <c r="B7" s="6" t="s">
        <v>39</v>
      </c>
      <c r="C7" s="5">
        <v>23</v>
      </c>
      <c r="D7" s="5" t="s">
        <v>56</v>
      </c>
      <c r="E7" s="28"/>
      <c r="F7" s="5"/>
      <c r="G7" s="44" t="s">
        <v>60</v>
      </c>
      <c r="H7" s="5">
        <v>0.08</v>
      </c>
      <c r="I7" s="32" t="s">
        <v>31</v>
      </c>
      <c r="J7" s="33"/>
      <c r="K7" s="34"/>
      <c r="L7" s="5">
        <f>L6</f>
        <v>52243</v>
      </c>
      <c r="M7" s="13">
        <f t="shared" ref="M7" si="0">L7*H7/1000</f>
        <v>4.1794400000000005</v>
      </c>
      <c r="N7" s="35" t="s">
        <v>40</v>
      </c>
      <c r="O7" s="36"/>
      <c r="P7" s="36"/>
      <c r="Q7" s="37"/>
      <c r="R7" s="5">
        <f>R6</f>
        <v>52300</v>
      </c>
      <c r="S7" s="13">
        <f>R7*H7/1000</f>
        <v>4.1840000000000002</v>
      </c>
      <c r="T7" s="43"/>
      <c r="U7" s="18"/>
      <c r="V7" s="28"/>
      <c r="W7" s="26"/>
    </row>
    <row r="8" spans="1:23" s="2" customFormat="1" ht="21" customHeight="1" x14ac:dyDescent="0.15">
      <c r="A8" s="20" t="s">
        <v>41</v>
      </c>
      <c r="B8" s="21"/>
      <c r="C8" s="8"/>
      <c r="D8" s="8"/>
      <c r="E8" s="8"/>
      <c r="F8" s="9"/>
      <c r="G8" s="8"/>
      <c r="H8" s="8"/>
      <c r="I8" s="8"/>
      <c r="J8" s="8"/>
      <c r="K8" s="15">
        <f>K6</f>
        <v>25.527829545454544</v>
      </c>
      <c r="L8" s="16">
        <f>L6</f>
        <v>52243</v>
      </c>
      <c r="M8" s="15">
        <f>SUM(M6:M7)</f>
        <v>26.643929999999997</v>
      </c>
      <c r="N8" s="17"/>
      <c r="O8" s="16">
        <f>O6</f>
        <v>1306</v>
      </c>
      <c r="P8" s="17"/>
      <c r="Q8" s="16">
        <f>Q6</f>
        <v>33</v>
      </c>
      <c r="R8" s="16">
        <f>R6</f>
        <v>52300</v>
      </c>
      <c r="S8" s="15">
        <f>SUM(S6:S7)</f>
        <v>26.673000000000002</v>
      </c>
      <c r="T8" s="19"/>
      <c r="U8" s="25" t="s">
        <v>42</v>
      </c>
      <c r="V8" s="19"/>
      <c r="W8" s="19"/>
    </row>
    <row r="9" spans="1:23" s="3" customFormat="1" ht="21" customHeight="1" x14ac:dyDescent="0.15">
      <c r="A9" s="22"/>
      <c r="B9" s="23"/>
      <c r="C9" s="10"/>
      <c r="D9" s="10"/>
      <c r="E9" s="10"/>
      <c r="F9" s="10"/>
      <c r="G9" s="10"/>
      <c r="H9" s="10"/>
      <c r="I9" s="10"/>
      <c r="J9" s="10"/>
      <c r="K9" s="10" t="s">
        <v>25</v>
      </c>
      <c r="L9" s="10" t="s">
        <v>43</v>
      </c>
      <c r="M9" s="10" t="s">
        <v>25</v>
      </c>
      <c r="N9" s="10"/>
      <c r="O9" s="10" t="s">
        <v>27</v>
      </c>
      <c r="P9" s="10"/>
      <c r="Q9" s="10" t="s">
        <v>29</v>
      </c>
      <c r="R9" s="10" t="s">
        <v>43</v>
      </c>
      <c r="S9" s="10" t="s">
        <v>25</v>
      </c>
      <c r="T9" s="10"/>
      <c r="U9" s="26"/>
      <c r="V9" s="10"/>
      <c r="W9" s="10"/>
    </row>
    <row r="11" spans="1:23" s="1" customFormat="1" ht="19.5" customHeight="1" x14ac:dyDescent="0.15">
      <c r="B11" s="1" t="s">
        <v>44</v>
      </c>
    </row>
    <row r="12" spans="1:23" s="1" customFormat="1" ht="19.5" customHeight="1" x14ac:dyDescent="0.15">
      <c r="A12" s="1" t="s">
        <v>45</v>
      </c>
      <c r="B12" s="29" t="s">
        <v>46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</row>
    <row r="13" spans="1:23" s="1" customFormat="1" ht="19.5" customHeight="1" x14ac:dyDescent="0.15">
      <c r="A13" s="1" t="s">
        <v>47</v>
      </c>
      <c r="B13" s="29" t="s">
        <v>48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</row>
    <row r="14" spans="1:23" s="1" customFormat="1" ht="19.5" customHeight="1" x14ac:dyDescent="0.15">
      <c r="B14" s="29" t="s">
        <v>61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</row>
    <row r="15" spans="1:23" s="1" customFormat="1" ht="19.5" customHeight="1" x14ac:dyDescent="0.15">
      <c r="A15" s="1" t="s">
        <v>49</v>
      </c>
      <c r="B15" s="29" t="s">
        <v>50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 spans="1:23" s="1" customFormat="1" ht="19.5" customHeight="1" x14ac:dyDescent="0.15">
      <c r="A16" s="1" t="s">
        <v>51</v>
      </c>
      <c r="B16" s="12" t="s">
        <v>52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3:23" ht="23.25" customHeight="1" x14ac:dyDescent="0.15">
      <c r="T17" s="31">
        <v>46196</v>
      </c>
      <c r="U17" s="31"/>
      <c r="V17" s="31"/>
      <c r="W17" s="31"/>
    </row>
    <row r="18" spans="3:23" ht="20.25" customHeight="1" x14ac:dyDescent="0.15">
      <c r="C18" s="29" t="s">
        <v>53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</sheetData>
  <mergeCells count="32">
    <mergeCell ref="A2:W2"/>
    <mergeCell ref="H3:I3"/>
    <mergeCell ref="O3:P3"/>
    <mergeCell ref="U3:W3"/>
    <mergeCell ref="I4:K4"/>
    <mergeCell ref="L4:Q4"/>
    <mergeCell ref="R4:S4"/>
    <mergeCell ref="T4:T5"/>
    <mergeCell ref="W4:W5"/>
    <mergeCell ref="C18:N18"/>
    <mergeCell ref="A4:A5"/>
    <mergeCell ref="B4:B5"/>
    <mergeCell ref="C4:C5"/>
    <mergeCell ref="D4:D5"/>
    <mergeCell ref="E4:E5"/>
    <mergeCell ref="E6:E7"/>
    <mergeCell ref="F4:F5"/>
    <mergeCell ref="G4:G5"/>
    <mergeCell ref="B12:W12"/>
    <mergeCell ref="B13:W13"/>
    <mergeCell ref="B14:W14"/>
    <mergeCell ref="B15:W15"/>
    <mergeCell ref="T17:W17"/>
    <mergeCell ref="I7:K7"/>
    <mergeCell ref="N7:Q7"/>
    <mergeCell ref="A8:B9"/>
    <mergeCell ref="T6:T7"/>
    <mergeCell ref="U4:U5"/>
    <mergeCell ref="U8:U9"/>
    <mergeCell ref="V4:V5"/>
    <mergeCell ref="V6:V7"/>
    <mergeCell ref="W6:W7"/>
  </mergeCells>
  <phoneticPr fontId="10" type="noConversion"/>
  <pageMargins left="0.70069444444444495" right="0.70069444444444495" top="0.16111111111111101" bottom="0.16111111111111101" header="0.29861111111111099" footer="0.29861111111111099"/>
  <pageSetup paperSize="9" scale="83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2026-06-23T07:08:21Z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15D52DE1D9954D82BB0F8236EB88EE18_13</vt:lpwstr>
  </property>
  <property fmtid="{D5CDD505-2E9C-101B-9397-08002B2CF9AE}" pid="3" name="KSOProductBuildVer">
    <vt:lpwstr>2052-12.1.0.18276</vt:lpwstr>
  </property>
</Properties>
</file>