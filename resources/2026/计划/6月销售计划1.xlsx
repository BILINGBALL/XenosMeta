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<sst xmlns="http://schemas.openxmlformats.org/spreadsheetml/2006/main" count="65" uniqueCount="57">
  <si>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6 月  份  销  售  计  划 1</t>
  </si>
  <si>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</si>
  <si>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</si>
  <si>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</si>
  <si>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</si>
  <si>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</si>
  <si>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</si>
  <si>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</si>
  <si>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</si>
  <si>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</si>
  <si>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</si>
  <si>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标准</t>
  </si>
  <si>
    <t>图纸号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</si>
  <si>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</si>
  <si>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</si>
  <si>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</si>
  <si>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</si>
  <si>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</si>
  <si>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</si>
  <si>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</si>
  <si>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</si>
  <si>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</si>
  <si>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</si>
  <si>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</si>
  <si>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</si>
  <si>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</si>
  <si>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</si>
  <si>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</si>
  <si>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</si>
  <si>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</si>
  <si>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</si>
  <si>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螺母</t>
  </si>
  <si>
    <t>M24</t>
  </si>
  <si>
    <t>260602-1</t>
  </si>
  <si>
    <t>CA2602984</t>
  </si>
  <si>
    <t>NF F 50-007
8级</t>
  </si>
  <si>
    <t>LM-003</t>
  </si>
  <si>
    <t>45#</t>
  </si>
  <si>
    <t>外购</t>
  </si>
  <si>
    <t>2026-7-2</t>
  </si>
  <si>
    <r>
      <t>电镀白锌≥12</t>
    </r>
    <r>
      <rPr>
        <sz val="10"/>
        <color indexed="8"/>
        <rFont val="Calibri"/>
        <family val="2"/>
        <charset val="0"/>
      </rPr>
      <t>μ</t>
    </r>
    <r>
      <rPr>
        <sz val="10"/>
        <color indexed="8"/>
        <rFont val="宋体"/>
        <charset val="134"/>
      </rPr>
      <t>m
90小时无白锈，200小时无红锈</t>
    </r>
  </si>
  <si>
    <t>编织袋+木箱</t>
  </si>
  <si>
    <t>合计</t>
  </si>
  <si>
    <t>详见图纸</t>
  </si>
  <si>
    <t>箱子</t>
  </si>
  <si>
    <t>包装待定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</si>
  <si>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</si>
  <si>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</si>
  <si>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</si>
  <si>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</si>
  <si>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</si>
  <si>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r>
      <t>生产部门按生产工艺生产，加强自检，严格质量管理</t>
    </r>
    <r>
      <rPr>
        <sz val="10"/>
        <color indexed="8"/>
        <rFont val="宋体"/>
        <charset val="134"/>
      </rPr>
      <t>。</t>
    </r>
  </si>
  <si>
    <t>3、</t>
  </si>
  <si>
    <t>品管部负责办理质量证明书，检测报告及相关数据。</t>
  </si>
  <si>
    <t>4、</t>
  </si>
  <si>
    <t xml:space="preserve">包装物为编织袋加木箱。 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</si>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</sst>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0.0"/>
    <numFmt numFmtId="179" formatCode="0.00_ "/>
    <numFmt numFmtId="180" formatCode="[$-F800]dddd\,\ mmmm\ dd\,\ yyyy"/>
  </numFmts>
  <fonts count="31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rgb="FF000000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b/>
      <sz val="14"/>
      <color indexed="8"/>
      <name val="宋体"/>
      <charset val="134"/>
    </font>
    <font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8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color indexed="8"/>
      <name val="Calibri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1" fillId="3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8" fontId="6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79" fontId="1" fillId="0" borderId="5" xfId="0" applyNumberFormat="1" applyFont="1" applyBorder="1" applyAlignment="1">
      <alignment horizontal="center" vertical="center" wrapText="1"/>
    </xf>
    <xf numFmtId="178" fontId="1" fillId="0" borderId="5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80" fontId="10" fillId="0" borderId="0" xfId="0" applyNumberFormat="1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W18"/>
  <sheetViews>
    <sheetView tabSelected="1" zoomScaleSheetLayoutView="60" topLeftCell="A5" workbookViewId="0">
      <selection activeCell="R10" sqref="R10"/>
    </sheetView>
  </sheetViews>
  <sheetFormatPr defaultColWidth="9" defaultRowHeight="13.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10.375" style="2" customWidth="1"/>
    <col min="6" max="6" width="7.5" style="2" customWidth="1"/>
    <col min="7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7.5" style="2" customWidth="1"/>
    <col min="12" max="12" width="8.5" style="2" customWidth="1"/>
    <col min="13" max="13" width="5.87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7.125" style="2" customWidth="1"/>
    <col min="19" max="19" width="6.625" style="2" customWidth="1"/>
    <col min="20" max="20" width="6.875" style="2" customWidth="1"/>
    <col min="21" max="21" width="9.625" style="2" customWidth="1"/>
    <col min="22" max="22" width="8.25" style="2" customWidth="1"/>
    <col min="23" max="23" width="7.25" style="2" customWidth="1"/>
    <col min="24" max="16384" width="9" style="2"/>
  </cols>
  <sheetData>
    <row r="2" ht="53.1" customHeight="1" spans="1:23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idden="1"/>
    <row r="4" s="1" customFormat="1" ht="21" customHeight="1" spans="1:23">
      <c r="B4" s="1" t="s">
        <v>1</v>
      </c>
      <c r="C4" s="1" t="s">
        <v>2</v>
      </c>
      <c r="H4" s="5" t="s">
        <v>3</v>
      </c>
      <c r="I4" s="5"/>
      <c r="O4" s="5" t="s">
        <v>4</v>
      </c>
      <c r="P4" s="5"/>
      <c r="U4" s="6" t="s">
        <v>5</v>
      </c>
      <c r="V4" s="7"/>
      <c r="W4" s="7"/>
    </row>
    <row r="5" s="1" customFormat="1" ht="27" customHeight="1" spans="1:23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9" t="s">
        <v>14</v>
      </c>
      <c r="J5" s="10"/>
      <c r="K5" s="10"/>
      <c r="L5" s="8" t="s">
        <v>15</v>
      </c>
      <c r="M5" s="8"/>
      <c r="N5" s="8"/>
      <c r="O5" s="8"/>
      <c r="P5" s="8"/>
      <c r="Q5" s="8"/>
      <c r="R5" s="8" t="s">
        <v>16</v>
      </c>
      <c r="S5" s="8"/>
      <c r="T5" s="8" t="s">
        <v>17</v>
      </c>
      <c r="U5" s="8" t="s">
        <v>18</v>
      </c>
      <c r="V5" s="8" t="s">
        <v>19</v>
      </c>
      <c r="W5" s="8" t="s">
        <v>20</v>
      </c>
    </row>
    <row r="6" s="1" customFormat="1" ht="27.75" customHeight="1" spans="1:23">
      <c r="A6" s="8"/>
      <c r="B6" s="8"/>
      <c r="C6" s="8"/>
      <c r="D6" s="8"/>
      <c r="E6" s="8"/>
      <c r="F6" s="8"/>
      <c r="G6" s="8"/>
      <c r="H6" s="8" t="s">
        <v>21</v>
      </c>
      <c r="I6" s="8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8" t="s">
        <v>28</v>
      </c>
      <c r="P6" s="8" t="s">
        <v>29</v>
      </c>
      <c r="Q6" s="8" t="s">
        <v>30</v>
      </c>
      <c r="R6" s="8" t="s">
        <v>25</v>
      </c>
      <c r="S6" s="8" t="s">
        <v>26</v>
      </c>
      <c r="T6" s="8"/>
      <c r="U6" s="8"/>
      <c r="V6" s="8"/>
      <c r="W6" s="8"/>
    </row>
    <row r="7" s="1" customFormat="1" ht="77.25" customHeight="1" spans="1:23">
      <c r="A7" s="8">
        <v>1</v>
      </c>
      <c r="B7" s="8" t="s">
        <v>31</v>
      </c>
      <c r="C7" s="8" t="s">
        <v>32</v>
      </c>
      <c r="D7" s="11" t="s">
        <v>33</v>
      </c>
      <c r="E7" s="12" t="s">
        <v>34</v>
      </c>
      <c r="F7" s="8" t="s">
        <v>35</v>
      </c>
      <c r="G7" s="13" t="s">
        <v>36</v>
      </c>
      <c r="H7" s="14">
        <v>0.129</v>
      </c>
      <c r="I7" s="15" t="s">
        <v>37</v>
      </c>
      <c r="J7" s="16" t="s">
        <v>38</v>
      </c>
      <c r="K7" s="17"/>
      <c r="L7" s="8">
        <v>736</v>
      </c>
      <c r="M7" s="18">
        <f>L7*H7/1000</f>
        <v>0.094944</v>
      </c>
      <c r="N7" s="8">
        <v>150</v>
      </c>
      <c r="O7" s="8">
        <v>5</v>
      </c>
      <c r="P7" s="8">
        <v>5</v>
      </c>
      <c r="Q7" s="8">
        <v>1</v>
      </c>
      <c r="R7" s="8">
        <v>750</v>
      </c>
      <c r="S7" s="19">
        <f>H7*R7/1000</f>
        <v>0.09675</v>
      </c>
      <c r="T7" s="20" t="s">
        <v>39</v>
      </c>
      <c r="U7" s="13">
        <v>8</v>
      </c>
      <c r="V7" s="21" t="s">
        <v>40</v>
      </c>
      <c r="W7" s="22" t="s">
        <v>41</v>
      </c>
    </row>
    <row r="8" s="1" customFormat="1" ht="16.5" customHeight="1" spans="1:23">
      <c r="A8" s="23" t="s">
        <v>42</v>
      </c>
      <c r="B8" s="24"/>
      <c r="C8" s="12"/>
      <c r="D8" s="12"/>
      <c r="E8" s="12"/>
      <c r="F8" s="12"/>
      <c r="G8" s="12"/>
      <c r="H8" s="12"/>
      <c r="I8" s="12"/>
      <c r="J8" s="12"/>
      <c r="K8" s="25"/>
      <c r="L8" s="12">
        <f>SUM(L7:L7)</f>
        <v>736</v>
      </c>
      <c r="M8" s="26">
        <f>SUM(M7:M7)</f>
        <v>0.094944</v>
      </c>
      <c r="N8" s="12"/>
      <c r="O8" s="12">
        <f>SUM(O7:O7)</f>
        <v>5</v>
      </c>
      <c r="P8" s="12"/>
      <c r="Q8" s="12">
        <f>SUM(Q7:Q7)</f>
        <v>1</v>
      </c>
      <c r="R8" s="12">
        <f>SUM(R7:R7)</f>
        <v>750</v>
      </c>
      <c r="S8" s="26">
        <f>SUM(S7:S7)</f>
        <v>0.09675</v>
      </c>
      <c r="T8" s="12"/>
      <c r="U8" s="12" t="s">
        <v>43</v>
      </c>
      <c r="V8" s="12"/>
      <c r="W8" s="12"/>
    </row>
    <row r="9" s="1" customFormat="1" ht="16.5" customHeight="1" spans="1:23">
      <c r="A9" s="27"/>
      <c r="B9" s="28"/>
      <c r="C9" s="29"/>
      <c r="D9" s="29"/>
      <c r="E9" s="29"/>
      <c r="F9" s="29"/>
      <c r="G9" s="29"/>
      <c r="H9" s="29"/>
      <c r="I9" s="29"/>
      <c r="J9" s="29"/>
      <c r="K9" s="29" t="s">
        <v>26</v>
      </c>
      <c r="L9" s="29" t="s">
        <v>25</v>
      </c>
      <c r="M9" s="29" t="s">
        <v>26</v>
      </c>
      <c r="N9" s="29"/>
      <c r="O9" s="29" t="s">
        <v>28</v>
      </c>
      <c r="P9" s="29"/>
      <c r="Q9" s="29" t="s">
        <v>44</v>
      </c>
      <c r="R9" s="29" t="s">
        <v>25</v>
      </c>
      <c r="S9" s="30" t="s">
        <v>26</v>
      </c>
      <c r="T9" s="29"/>
      <c r="U9" s="29"/>
      <c r="V9" s="29"/>
      <c r="W9" s="29"/>
    </row>
    <row r="10" ht="18.75" spans="1:23">
      <c r="P10" s="31" t="s">
        <v>45</v>
      </c>
      <c r="U10" s="31"/>
    </row>
    <row r="11" s="1" customFormat="1" ht="19.5" customHeight="1" spans="1:23">
      <c r="B11" s="1" t="s">
        <v>46</v>
      </c>
    </row>
    <row r="12" s="1" customFormat="1" ht="19.5" customHeight="1" spans="1:23">
      <c r="A12" s="1" t="s">
        <v>47</v>
      </c>
      <c r="B12" s="32" t="s">
        <v>48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="1" customFormat="1" ht="19.5" customHeight="1" spans="1:23">
      <c r="B13" s="32" t="s">
        <v>49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="1" customFormat="1" ht="19.5" customHeight="1" spans="1:23">
      <c r="A14" s="1" t="s">
        <v>50</v>
      </c>
      <c r="B14" s="32" t="s">
        <v>51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="1" customFormat="1" ht="19.5" customHeight="1" spans="1:23">
      <c r="A15" s="1" t="s">
        <v>52</v>
      </c>
      <c r="B15" s="32" t="s">
        <v>53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</row>
    <row r="16" ht="27.75" customHeight="1" spans="1:23">
      <c r="A16" s="1" t="s">
        <v>54</v>
      </c>
      <c r="B16" s="33" t="s">
        <v>55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</row>
    <row r="17" ht="20.25" customHeight="1" spans="2:23">
      <c r="C17" s="32" t="s">
        <v>56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ht="22.5" spans="2:23"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R18" s="35">
        <v>46175</v>
      </c>
      <c r="S18" s="35"/>
      <c r="T18" s="35"/>
      <c r="U18" s="35"/>
      <c r="V18" s="35"/>
      <c r="W18" s="35"/>
    </row>
  </sheetData>
  <mergeCells count="36">
    <mergeCell ref="A2:W2"/>
    <mergeCell ref="H4:I4"/>
    <mergeCell ref="O4:P4"/>
    <mergeCell ref="U4:W4"/>
    <mergeCell ref="I5:K5"/>
    <mergeCell ref="L5:Q5"/>
    <mergeCell ref="R5:S5"/>
    <mergeCell ref="J7:K7"/>
    <mergeCell ref="B12:W12"/>
    <mergeCell ref="B13:W13"/>
    <mergeCell ref="B14:W14"/>
    <mergeCell ref="B15:W15"/>
    <mergeCell ref="B16:W16"/>
    <mergeCell ref="C17:N17"/>
    <mergeCell ref="B18:L18"/>
    <mergeCell ref="R18:W18"/>
    <mergeCell ref="A5:A6"/>
    <mergeCell ref="B5:B6"/>
    <mergeCell ref="C5:C6"/>
    <mergeCell ref="C8:C9"/>
    <mergeCell ref="D5:D6"/>
    <mergeCell ref="D8:D9"/>
    <mergeCell ref="E5:E6"/>
    <mergeCell ref="E8:E9"/>
    <mergeCell ref="F5:F6"/>
    <mergeCell ref="G5:G6"/>
    <mergeCell ref="G8:G9"/>
    <mergeCell ref="H8:H9"/>
    <mergeCell ref="I8:I9"/>
    <mergeCell ref="J8:J9"/>
    <mergeCell ref="T5:T6"/>
    <mergeCell ref="U5:U6"/>
    <mergeCell ref="U8:U9"/>
    <mergeCell ref="V5:V6"/>
    <mergeCell ref="W5:W6"/>
    <mergeCell ref="A8:B9"/>
  </mergeCells>
  <pageMargins left="0.7" right="0.7" top="0.75" bottom="0.75" header="0.3" footer="0.3"/>
  <pageSetup paperSize="9" scale="83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2026-06-02T06:03:09Z</cp:lastPrinted>
  <dcterms:modified xsi:type="dcterms:W3CDTF">2026-07-20T14:37:14Z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43D6D0C1068C455C9CF54985EF449307_13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