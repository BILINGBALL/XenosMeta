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6896CDDD-9A77-4910-8FE8-90E19BD852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P4" i="2" s="1"/>
  <c r="F4" i="2"/>
  <c r="Q4" i="2"/>
  <c r="O4" i="2"/>
  <c r="K6" i="2" l="1"/>
  <c r="Q3" i="2"/>
  <c r="O3" i="2"/>
  <c r="P3" i="2"/>
  <c r="J3" i="2"/>
  <c r="F3" i="2" s="1"/>
  <c r="H3" i="2"/>
  <c r="H6" i="2" l="1"/>
  <c r="O6" i="2"/>
  <c r="Q6" i="2"/>
  <c r="F6" i="2"/>
  <c r="P6" i="2"/>
</calcChain>
</file>

<file path=xl/sharedStrings.xml><?xml version="1.0" encoding="utf-8"?>
<sst xmlns="http://schemas.openxmlformats.org/spreadsheetml/2006/main" count="25" uniqueCount="23">
  <si>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</si>
  <si>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</si>
  <si>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</si>
  <si>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</si>
  <si>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</si>
  <si>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</si>
  <si>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</si>
  <si>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</si>
  <si>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</si>
  <si>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</si>
  <si>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</si>
  <si>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</si>
  <si>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</si>
  <si>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</si>
  <si>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</si>
  <si>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</si>
  <si>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</si>
  <si>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</si>
  <si>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</si>
  <si>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</si>
  <si>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1200*800*350
0.34</t>
    <phoneticPr fontId="13" type="noConversion"/>
  </si>
  <si>
    <t>24*142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</si>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</sst>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G3" sqref="G3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3.5" customHeight="1">
      <c r="A3" s="4">
        <v>1</v>
      </c>
      <c r="B3" s="14" t="s">
        <v>17</v>
      </c>
      <c r="C3" s="15" t="s">
        <v>21</v>
      </c>
      <c r="D3" s="23"/>
      <c r="E3" s="12"/>
      <c r="F3" s="4">
        <f>J3*K3</f>
        <v>19600</v>
      </c>
      <c r="G3" s="4">
        <v>35</v>
      </c>
      <c r="H3" s="4">
        <f>K3*I3</f>
        <v>560</v>
      </c>
      <c r="I3" s="4">
        <v>35</v>
      </c>
      <c r="J3" s="4">
        <f>G3*I3</f>
        <v>1225</v>
      </c>
      <c r="K3" s="4">
        <v>16</v>
      </c>
      <c r="L3" s="4">
        <v>673</v>
      </c>
      <c r="M3" s="4">
        <f>L3+42</f>
        <v>715</v>
      </c>
      <c r="N3" s="13" t="s">
        <v>19</v>
      </c>
      <c r="O3" s="4">
        <f>L3*K3</f>
        <v>10768</v>
      </c>
      <c r="P3" s="4">
        <f>M3*K3</f>
        <v>11440</v>
      </c>
      <c r="Q3" s="4">
        <f>0.53*K3</f>
        <v>8.48</v>
      </c>
    </row>
    <row r="4" spans="1:17" ht="43.5" customHeight="1">
      <c r="A4" s="24">
        <v>2</v>
      </c>
      <c r="B4" s="26" t="s">
        <v>17</v>
      </c>
      <c r="C4" s="28" t="s">
        <v>21</v>
      </c>
      <c r="D4" s="23"/>
      <c r="E4" s="30"/>
      <c r="F4" s="24">
        <f>J4*K4</f>
        <v>400</v>
      </c>
      <c r="G4" s="4">
        <v>35</v>
      </c>
      <c r="H4" s="4">
        <v>11</v>
      </c>
      <c r="I4" s="24">
        <v>12</v>
      </c>
      <c r="J4" s="24">
        <v>400</v>
      </c>
      <c r="K4" s="24">
        <v>1</v>
      </c>
      <c r="L4" s="24">
        <v>220</v>
      </c>
      <c r="M4" s="24">
        <f>L4+30</f>
        <v>250</v>
      </c>
      <c r="N4" s="32" t="s">
        <v>20</v>
      </c>
      <c r="O4" s="24">
        <f>L4*K4</f>
        <v>220</v>
      </c>
      <c r="P4" s="24">
        <f>M4*K4</f>
        <v>250</v>
      </c>
      <c r="Q4" s="24">
        <f>0.34*K4</f>
        <v>0.34</v>
      </c>
    </row>
    <row r="5" spans="1:17" ht="42" customHeight="1">
      <c r="A5" s="25"/>
      <c r="B5" s="27"/>
      <c r="C5" s="29"/>
      <c r="D5" s="23"/>
      <c r="E5" s="31"/>
      <c r="F5" s="25"/>
      <c r="G5" s="4">
        <v>15</v>
      </c>
      <c r="H5" s="4">
        <v>1</v>
      </c>
      <c r="I5" s="25"/>
      <c r="J5" s="25"/>
      <c r="K5" s="25"/>
      <c r="L5" s="25"/>
      <c r="M5" s="25"/>
      <c r="N5" s="33"/>
      <c r="O5" s="25"/>
      <c r="P5" s="25"/>
      <c r="Q5" s="25"/>
    </row>
    <row r="6" spans="1:17" ht="35.25" customHeight="1">
      <c r="A6" s="22" t="s">
        <v>18</v>
      </c>
      <c r="B6" s="22"/>
      <c r="C6" s="22"/>
      <c r="D6" s="16"/>
      <c r="E6" s="4"/>
      <c r="F6" s="4">
        <f>SUM(F3:F4)</f>
        <v>20000</v>
      </c>
      <c r="G6" s="4"/>
      <c r="H6" s="4">
        <f>SUM(H3:H5)</f>
        <v>572</v>
      </c>
      <c r="I6" s="4"/>
      <c r="J6" s="4"/>
      <c r="K6" s="4">
        <f>SUM(K3:K4)</f>
        <v>17</v>
      </c>
      <c r="L6" s="4"/>
      <c r="M6" s="4"/>
      <c r="N6" s="17"/>
      <c r="O6" s="4">
        <f>SUM(O3:O4)</f>
        <v>10988</v>
      </c>
      <c r="P6" s="4">
        <f>SUM(P3:P4)</f>
        <v>11690</v>
      </c>
      <c r="Q6" s="18">
        <f>SUM(Q3:Q4)</f>
        <v>8.82</v>
      </c>
    </row>
    <row r="7" spans="1:17" ht="14.45" customHeight="1">
      <c r="A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1" customHeight="1">
      <c r="A8" s="8"/>
      <c r="B8" s="9"/>
      <c r="C8" s="11"/>
      <c r="N8" s="8"/>
      <c r="O8" s="8"/>
      <c r="P8" s="8"/>
      <c r="Q8" s="8"/>
    </row>
    <row r="9" spans="1:17" ht="21" customHeight="1">
      <c r="A9" s="8"/>
      <c r="B9" s="10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18.75">
      <c r="A10" s="8"/>
      <c r="B10" s="8"/>
      <c r="C10" s="6"/>
      <c r="D10" s="8"/>
      <c r="E10" s="8"/>
      <c r="F10" s="8"/>
      <c r="G10" s="8"/>
      <c r="H10" s="8"/>
      <c r="I10" s="8"/>
      <c r="J10" s="8"/>
      <c r="K10" s="8"/>
      <c r="L10" s="8"/>
      <c r="M10" s="8"/>
      <c r="N10" s="19">
        <v>46058</v>
      </c>
      <c r="O10" s="19"/>
      <c r="P10" s="19"/>
      <c r="Q10" s="19"/>
    </row>
    <row r="11" spans="1:17">
      <c r="A11" s="7"/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18">
    <mergeCell ref="P4:P5"/>
    <mergeCell ref="Q4:Q5"/>
    <mergeCell ref="N10:Q10"/>
    <mergeCell ref="A1:Q1"/>
    <mergeCell ref="A6:C6"/>
    <mergeCell ref="D3:D5"/>
    <mergeCell ref="A4:A5"/>
    <mergeCell ref="B4:B5"/>
    <mergeCell ref="C4:C5"/>
    <mergeCell ref="E4:E5"/>
    <mergeCell ref="F4:F5"/>
    <mergeCell ref="I4:I5"/>
    <mergeCell ref="J4:J5"/>
    <mergeCell ref="K4:K5"/>
    <mergeCell ref="L4:L5"/>
    <mergeCell ref="M4:M5"/>
    <mergeCell ref="N4:N5"/>
    <mergeCell ref="O4:O5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2026-02-05T10:07:12Z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