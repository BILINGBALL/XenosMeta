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R:\Accounts\Kai's worksheet\Kai Shipping\Sydney\Sydney#19-TMT\"/>
    </mc:Choice>
  </mc:AlternateContent>
  <xr:revisionPtr revIDLastSave="0" documentId="8_{00233DB5-6F43-449D-BCE8-53C008537EB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7" i="1" l="1"/>
  <c r="N17" i="1" s="1"/>
  <c r="K17" i="1"/>
  <c r="F17" i="1"/>
  <c r="O17" i="1" l="1"/>
  <c r="D35" i="1" l="1"/>
  <c r="D24" i="1"/>
  <c r="L19" i="1"/>
  <c r="M18" i="1"/>
  <c r="K18" i="1"/>
  <c r="M16" i="1"/>
  <c r="N16" i="1" s="1"/>
  <c r="K16" i="1"/>
  <c r="O16" i="1" s="1"/>
  <c r="M15" i="1"/>
  <c r="N15" i="1" s="1"/>
  <c r="K15" i="1"/>
  <c r="O15" i="1" s="1"/>
  <c r="M14" i="1"/>
  <c r="K14" i="1"/>
  <c r="M13" i="1"/>
  <c r="K13" i="1"/>
  <c r="M12" i="1"/>
  <c r="K12" i="1"/>
  <c r="F12" i="1"/>
  <c r="M11" i="1"/>
  <c r="K11" i="1"/>
  <c r="F11" i="1"/>
  <c r="M10" i="1"/>
  <c r="N10" i="1" s="1"/>
  <c r="K10" i="1"/>
  <c r="F10" i="1"/>
  <c r="M9" i="1"/>
  <c r="K9" i="1"/>
  <c r="F9" i="1"/>
  <c r="M8" i="1"/>
  <c r="K8" i="1"/>
  <c r="F8" i="1"/>
  <c r="M7" i="1"/>
  <c r="K7" i="1"/>
  <c r="F7" i="1"/>
  <c r="M6" i="1"/>
  <c r="K6" i="1"/>
  <c r="F6" i="1"/>
  <c r="M5" i="1"/>
  <c r="K5" i="1"/>
  <c r="F5" i="1"/>
  <c r="M4" i="1"/>
  <c r="K4" i="1"/>
  <c r="F4" i="1"/>
  <c r="M3" i="1"/>
  <c r="N3" i="1" s="1"/>
  <c r="K3" i="1"/>
  <c r="F3" i="1"/>
  <c r="O5" i="1" l="1"/>
  <c r="O11" i="1"/>
  <c r="N11" i="1"/>
  <c r="O12" i="1"/>
  <c r="O4" i="1"/>
  <c r="O9" i="1"/>
  <c r="N4" i="1"/>
  <c r="O6" i="1"/>
  <c r="O7" i="1"/>
  <c r="O18" i="1"/>
  <c r="O13" i="1"/>
  <c r="O14" i="1"/>
  <c r="O8" i="1"/>
  <c r="N8" i="1"/>
  <c r="N5" i="1"/>
  <c r="N13" i="1"/>
  <c r="N6" i="1"/>
  <c r="N14" i="1"/>
  <c r="O3" i="1"/>
  <c r="N18" i="1"/>
  <c r="N12" i="1"/>
  <c r="N7" i="1"/>
  <c r="O10" i="1"/>
  <c r="N9" i="1"/>
  <c r="M19" i="1"/>
  <c r="O19" i="1" l="1"/>
  <c r="N19" i="1"/>
</calcChain>
</file>

<file path=xl/sharedStrings.xml><?xml version="1.0" encoding="utf-8"?>
<sst xmlns="http://schemas.openxmlformats.org/spreadsheetml/2006/main" count="91" uniqueCount="47">
  <si>
    <t>PO</t>
  </si>
  <si>
    <t>Supplier</t>
  </si>
  <si>
    <t>Description</t>
  </si>
  <si>
    <t>Qty / Package</t>
  </si>
  <si>
    <t>G.W. Kg</t>
  </si>
  <si>
    <t>Pack Weight</t>
  </si>
  <si>
    <t>N.W. Kg</t>
  </si>
  <si>
    <t>L (m)</t>
  </si>
  <si>
    <t>W (m)</t>
  </si>
  <si>
    <t>H (m)</t>
  </si>
  <si>
    <t>Volume Cbm</t>
  </si>
  <si>
    <t>Est. Qty</t>
  </si>
  <si>
    <t>Est. Packages</t>
  </si>
  <si>
    <t>Est. Weight</t>
  </si>
  <si>
    <t>Est CBM</t>
  </si>
  <si>
    <t>EXW DATE</t>
  </si>
  <si>
    <t>TMT</t>
  </si>
  <si>
    <t>MSP00871</t>
  </si>
  <si>
    <t>Air Bellows</t>
  </si>
  <si>
    <t>x4</t>
  </si>
  <si>
    <t>x3</t>
  </si>
  <si>
    <t>MSP801R2</t>
  </si>
  <si>
    <t>Primary Spring (4GT / TC)</t>
  </si>
  <si>
    <t>Primary Spring (WGT, SGT &amp; 4GT / MC)</t>
  </si>
  <si>
    <t>Bush Traction Beam</t>
  </si>
  <si>
    <t>Bush Traction Rod</t>
  </si>
  <si>
    <t>Bush Anti Roll Bar Rod Bottom</t>
  </si>
  <si>
    <t>Bush Anti Roll Bar Rod Top</t>
  </si>
  <si>
    <t>Lateral Bump Stop</t>
  </si>
  <si>
    <t>Anti Roll Bar Bush Torsion</t>
  </si>
  <si>
    <t>Anti Roll Bar Pad Thrust</t>
  </si>
  <si>
    <t>MSP804R6</t>
  </si>
  <si>
    <t>Air Bellow (MS9007TMT)</t>
  </si>
  <si>
    <t>MSP00922</t>
  </si>
  <si>
    <t>Conical Spring Motor Tangara</t>
  </si>
  <si>
    <t>MSP00928</t>
  </si>
  <si>
    <t>Pad, Centre Bearer</t>
  </si>
  <si>
    <t>Pad, Side Bearer</t>
  </si>
  <si>
    <t>MSP00924</t>
  </si>
  <si>
    <t>Suspension Bearer Pad</t>
  </si>
  <si>
    <t>x1</t>
  </si>
  <si>
    <t>x2+2</t>
  </si>
  <si>
    <t>x2</t>
  </si>
  <si>
    <t>40GP</t>
  </si>
  <si>
    <t>00009584</t>
  </si>
  <si>
    <t>Sudelan</t>
  </si>
  <si>
    <t>26 Dia x190 Long Hex Heads Screwspikes 8.8 Graded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</si>
</sst>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"/>
    <numFmt numFmtId="165" formatCode="[$-C09]dd\-mmm\-yy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2060"/>
      <name val="Arial"/>
      <family val="2"/>
    </font>
    <font>
      <sz val="11"/>
      <name val="Calibri"/>
      <family val="2"/>
      <scheme val="minor"/>
    </font>
    <font>
      <sz val="11"/>
      <color rgb="FF000000"/>
      <name val="Arial"/>
      <family val="2"/>
    </font>
    <font>
      <sz val="1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165" fontId="1" fillId="0" borderId="0"/>
  </cellStyleXfs>
  <cellXfs count="66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center" vertical="center" wrapText="1"/>
    </xf>
    <xf numFmtId="14" fontId="0" fillId="0" borderId="3" xfId="0" applyNumberFormat="1" applyBorder="1"/>
    <xf numFmtId="0" fontId="1" fillId="3" borderId="3" xfId="0" applyFont="1" applyFill="1" applyBorder="1" applyAlignment="1">
      <alignment horizontal="center" vertical="center"/>
    </xf>
    <xf numFmtId="2" fontId="0" fillId="3" borderId="3" xfId="1" applyNumberFormat="1" applyFont="1" applyFill="1" applyBorder="1" applyAlignment="1">
      <alignment horizontal="center" vertical="center"/>
    </xf>
    <xf numFmtId="164" fontId="0" fillId="3" borderId="3" xfId="0" applyNumberForma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/>
    </xf>
    <xf numFmtId="2" fontId="5" fillId="3" borderId="3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4" xfId="0" applyBorder="1"/>
    <xf numFmtId="0" fontId="0" fillId="5" borderId="3" xfId="0" applyFill="1" applyBorder="1" applyAlignment="1">
      <alignment horizontal="center" vertical="center"/>
    </xf>
    <xf numFmtId="2" fontId="0" fillId="5" borderId="3" xfId="0" applyNumberFormat="1" applyFill="1" applyBorder="1" applyAlignment="1">
      <alignment horizontal="center" vertical="center"/>
    </xf>
    <xf numFmtId="164" fontId="0" fillId="5" borderId="3" xfId="0" applyNumberForma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2" fontId="0" fillId="6" borderId="3" xfId="1" applyNumberFormat="1" applyFont="1" applyFill="1" applyBorder="1" applyAlignment="1">
      <alignment horizontal="center" vertical="center"/>
    </xf>
    <xf numFmtId="2" fontId="0" fillId="6" borderId="3" xfId="0" applyNumberFormat="1" applyFill="1" applyBorder="1" applyAlignment="1">
      <alignment horizontal="center" vertical="center"/>
    </xf>
    <xf numFmtId="164" fontId="0" fillId="6" borderId="3" xfId="0" applyNumberFormat="1" applyFill="1" applyBorder="1" applyAlignment="1">
      <alignment horizontal="center" vertical="center"/>
    </xf>
    <xf numFmtId="49" fontId="6" fillId="7" borderId="0" xfId="0" applyNumberFormat="1" applyFont="1" applyFill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0" xfId="0" applyFill="1" applyAlignment="1">
      <alignment horizontal="left" vertical="center"/>
    </xf>
    <xf numFmtId="0" fontId="0" fillId="7" borderId="3" xfId="0" applyFill="1" applyBorder="1" applyAlignment="1">
      <alignment horizontal="center" vertical="center"/>
    </xf>
    <xf numFmtId="0" fontId="0" fillId="7" borderId="3" xfId="0" applyFill="1" applyBorder="1" applyAlignment="1">
      <alignment horizontal="center"/>
    </xf>
    <xf numFmtId="2" fontId="0" fillId="7" borderId="3" xfId="0" applyNumberFormat="1" applyFill="1" applyBorder="1" applyAlignment="1">
      <alignment horizontal="center" vertical="center"/>
    </xf>
    <xf numFmtId="164" fontId="0" fillId="7" borderId="3" xfId="0" applyNumberFormat="1" applyFill="1" applyBorder="1" applyAlignment="1">
      <alignment horizontal="center" vertical="center"/>
    </xf>
    <xf numFmtId="2" fontId="0" fillId="7" borderId="3" xfId="0" applyNumberFormat="1" applyFill="1" applyBorder="1"/>
    <xf numFmtId="1" fontId="0" fillId="8" borderId="3" xfId="0" applyNumberFormat="1" applyFill="1" applyBorder="1" applyAlignment="1">
      <alignment horizontal="center" vertical="center"/>
    </xf>
    <xf numFmtId="2" fontId="0" fillId="8" borderId="3" xfId="0" applyNumberFormat="1" applyFill="1" applyBorder="1" applyAlignment="1">
      <alignment horizontal="center"/>
    </xf>
    <xf numFmtId="0" fontId="0" fillId="8" borderId="3" xfId="0" applyFill="1" applyBorder="1" applyAlignment="1">
      <alignment horizontal="left" vertical="center"/>
    </xf>
    <xf numFmtId="0" fontId="0" fillId="8" borderId="3" xfId="0" applyFill="1" applyBorder="1" applyAlignment="1">
      <alignment horizontal="center" vertical="center"/>
    </xf>
    <xf numFmtId="2" fontId="0" fillId="8" borderId="3" xfId="0" applyNumberFormat="1" applyFill="1" applyBorder="1" applyAlignment="1">
      <alignment horizontal="center" vertical="center"/>
    </xf>
    <xf numFmtId="164" fontId="0" fillId="8" borderId="3" xfId="0" applyNumberFormat="1" applyFill="1" applyBorder="1" applyAlignment="1">
      <alignment horizontal="center" vertical="center"/>
    </xf>
    <xf numFmtId="0" fontId="0" fillId="8" borderId="3" xfId="0" applyFill="1" applyBorder="1"/>
    <xf numFmtId="0" fontId="0" fillId="4" borderId="0" xfId="0" applyFill="1" applyAlignment="1">
      <alignment horizontal="center"/>
    </xf>
    <xf numFmtId="1" fontId="0" fillId="8" borderId="0" xfId="0" applyNumberFormat="1" applyFill="1" applyAlignment="1">
      <alignment horizontal="center" vertical="center"/>
    </xf>
    <xf numFmtId="165" fontId="6" fillId="8" borderId="0" xfId="0" applyNumberFormat="1" applyFont="1" applyFill="1" applyAlignment="1">
      <alignment horizontal="left" vertical="top" wrapText="1"/>
    </xf>
    <xf numFmtId="2" fontId="4" fillId="8" borderId="2" xfId="1" applyNumberFormat="1" applyFont="1" applyFill="1" applyBorder="1" applyAlignment="1">
      <alignment horizontal="center" vertical="center"/>
    </xf>
    <xf numFmtId="2" fontId="0" fillId="8" borderId="2" xfId="1" applyNumberFormat="1" applyFont="1" applyFill="1" applyBorder="1" applyAlignment="1">
      <alignment horizontal="center" vertical="center"/>
    </xf>
    <xf numFmtId="0" fontId="0" fillId="8" borderId="0" xfId="0" applyFill="1"/>
    <xf numFmtId="2" fontId="0" fillId="8" borderId="5" xfId="1" applyNumberFormat="1" applyFont="1" applyFill="1" applyBorder="1" applyAlignment="1">
      <alignment horizontal="center" vertical="center"/>
    </xf>
    <xf numFmtId="2" fontId="0" fillId="8" borderId="2" xfId="0" applyNumberFormat="1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2" fontId="0" fillId="8" borderId="0" xfId="0" applyNumberFormat="1" applyFill="1"/>
    <xf numFmtId="0" fontId="0" fillId="8" borderId="0" xfId="0" applyFill="1" applyAlignment="1">
      <alignment horizontal="center"/>
    </xf>
    <xf numFmtId="0" fontId="1" fillId="8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3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6" borderId="0" xfId="0" applyFont="1" applyFill="1" applyAlignment="1">
      <alignment horizontal="center"/>
    </xf>
    <xf numFmtId="49" fontId="6" fillId="4" borderId="0" xfId="0" applyNumberFormat="1" applyFont="1" applyFill="1" applyAlignment="1">
      <alignment horizontal="center" vertical="center"/>
    </xf>
    <xf numFmtId="0" fontId="0" fillId="4" borderId="0" xfId="0" applyFill="1" applyAlignment="1">
      <alignment horizontal="left" vertical="top"/>
    </xf>
    <xf numFmtId="2" fontId="4" fillId="4" borderId="1" xfId="1" applyNumberFormat="1" applyFont="1" applyFill="1" applyBorder="1" applyAlignment="1">
      <alignment horizontal="center" vertical="center"/>
    </xf>
    <xf numFmtId="2" fontId="0" fillId="4" borderId="1" xfId="1" applyNumberFormat="1" applyFont="1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2" fontId="1" fillId="4" borderId="1" xfId="0" applyNumberFormat="1" applyFont="1" applyFill="1" applyBorder="1" applyAlignment="1">
      <alignment horizontal="center" vertical="center"/>
    </xf>
    <xf numFmtId="2" fontId="1" fillId="4" borderId="1" xfId="0" applyNumberFormat="1" applyFont="1" applyFill="1" applyBorder="1"/>
  </cellXfs>
  <cellStyles count="2">
    <cellStyle name="Normal" xfId="0" builtinId="0"/>
    <cellStyle name="Normal 3 2" xfId="1" xr:uid="{D73178FC-7B31-4CFF-B760-7128307802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5"/>
  <sheetViews>
    <sheetView tabSelected="1" workbookViewId="0">
      <selection activeCell="A17" sqref="A17:O17"/>
    </sheetView>
  </sheetViews>
  <sheetFormatPr defaultRowHeight="14.4" x14ac:dyDescent="0.3"/>
  <cols>
    <col min="1" max="1" width="10.88671875" bestFit="1" customWidth="1"/>
    <col min="3" max="3" width="60.6640625" bestFit="1" customWidth="1"/>
    <col min="16" max="17" width="10.5546875" bestFit="1" customWidth="1"/>
  </cols>
  <sheetData>
    <row r="1" spans="1:16" x14ac:dyDescent="0.3">
      <c r="A1" s="1">
        <v>46186</v>
      </c>
      <c r="C1" t="s">
        <v>43</v>
      </c>
      <c r="D1" s="2"/>
    </row>
    <row r="2" spans="1:16" ht="41.4" x14ac:dyDescent="0.3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5" t="s">
        <v>15</v>
      </c>
    </row>
    <row r="3" spans="1:16" x14ac:dyDescent="0.3">
      <c r="A3" s="16" t="s">
        <v>21</v>
      </c>
      <c r="B3" s="16" t="s">
        <v>16</v>
      </c>
      <c r="C3" s="16" t="s">
        <v>22</v>
      </c>
      <c r="D3" s="16">
        <v>8</v>
      </c>
      <c r="E3" s="16">
        <v>227</v>
      </c>
      <c r="F3" s="16">
        <f>E3-G3</f>
        <v>37</v>
      </c>
      <c r="G3" s="16">
        <v>190</v>
      </c>
      <c r="H3" s="16">
        <v>1.06</v>
      </c>
      <c r="I3" s="16">
        <v>0.55000000000000004</v>
      </c>
      <c r="J3" s="16">
        <v>0.45</v>
      </c>
      <c r="K3" s="17">
        <f t="shared" ref="K3:K8" si="0">(H3*I3)*J3</f>
        <v>0.26235000000000003</v>
      </c>
      <c r="L3" s="18">
        <v>256</v>
      </c>
      <c r="M3" s="16">
        <f t="shared" ref="M3:M12" si="1">L3/D3</f>
        <v>32</v>
      </c>
      <c r="N3" s="16">
        <f>M3*E3</f>
        <v>7264</v>
      </c>
      <c r="O3" s="16">
        <f>M3*K3</f>
        <v>8.3952000000000009</v>
      </c>
      <c r="P3" s="6">
        <v>46186</v>
      </c>
    </row>
    <row r="4" spans="1:16" x14ac:dyDescent="0.3">
      <c r="A4" s="16" t="s">
        <v>21</v>
      </c>
      <c r="B4" s="16" t="s">
        <v>16</v>
      </c>
      <c r="C4" s="16" t="s">
        <v>23</v>
      </c>
      <c r="D4" s="16">
        <v>8</v>
      </c>
      <c r="E4" s="16">
        <v>227</v>
      </c>
      <c r="F4" s="16">
        <f t="shared" ref="F4:F8" si="2">E4-G4</f>
        <v>37</v>
      </c>
      <c r="G4" s="16">
        <v>190</v>
      </c>
      <c r="H4" s="16">
        <v>1.06</v>
      </c>
      <c r="I4" s="16">
        <v>0.55000000000000004</v>
      </c>
      <c r="J4" s="16">
        <v>0.45</v>
      </c>
      <c r="K4" s="17">
        <f t="shared" si="0"/>
        <v>0.26235000000000003</v>
      </c>
      <c r="L4" s="18"/>
      <c r="M4" s="16">
        <f t="shared" si="1"/>
        <v>0</v>
      </c>
      <c r="N4" s="16">
        <f t="shared" ref="N4:N8" si="3">M4*E4</f>
        <v>0</v>
      </c>
      <c r="O4" s="16">
        <f t="shared" ref="O4:O8" si="4">M4*K4</f>
        <v>0</v>
      </c>
      <c r="P4" s="6">
        <v>46186</v>
      </c>
    </row>
    <row r="5" spans="1:16" x14ac:dyDescent="0.3">
      <c r="A5" s="16" t="s">
        <v>21</v>
      </c>
      <c r="B5" s="16" t="s">
        <v>16</v>
      </c>
      <c r="C5" s="16" t="s">
        <v>24</v>
      </c>
      <c r="D5" s="16">
        <v>64</v>
      </c>
      <c r="E5" s="16">
        <v>254</v>
      </c>
      <c r="F5" s="16">
        <f t="shared" si="2"/>
        <v>62</v>
      </c>
      <c r="G5" s="16">
        <v>192</v>
      </c>
      <c r="H5" s="16">
        <v>1.05</v>
      </c>
      <c r="I5" s="16">
        <v>0.8</v>
      </c>
      <c r="J5" s="16">
        <v>0.63</v>
      </c>
      <c r="K5" s="17">
        <f t="shared" si="0"/>
        <v>0.5292</v>
      </c>
      <c r="L5" s="18">
        <v>64</v>
      </c>
      <c r="M5" s="16">
        <f t="shared" si="1"/>
        <v>1</v>
      </c>
      <c r="N5" s="16">
        <f t="shared" si="3"/>
        <v>254</v>
      </c>
      <c r="O5" s="16">
        <f t="shared" si="4"/>
        <v>0.5292</v>
      </c>
      <c r="P5" s="6">
        <v>46186</v>
      </c>
    </row>
    <row r="6" spans="1:16" x14ac:dyDescent="0.3">
      <c r="A6" s="16" t="s">
        <v>21</v>
      </c>
      <c r="B6" s="16" t="s">
        <v>16</v>
      </c>
      <c r="C6" s="16" t="s">
        <v>25</v>
      </c>
      <c r="D6" s="16">
        <v>128</v>
      </c>
      <c r="E6" s="16">
        <v>850</v>
      </c>
      <c r="F6" s="16">
        <f t="shared" si="2"/>
        <v>44</v>
      </c>
      <c r="G6" s="16">
        <v>806</v>
      </c>
      <c r="H6" s="16">
        <v>1.05</v>
      </c>
      <c r="I6" s="16">
        <v>0.8</v>
      </c>
      <c r="J6" s="16">
        <v>0.56000000000000005</v>
      </c>
      <c r="K6" s="17">
        <f t="shared" si="0"/>
        <v>0.4704000000000001</v>
      </c>
      <c r="L6" s="18"/>
      <c r="M6" s="16">
        <f t="shared" si="1"/>
        <v>0</v>
      </c>
      <c r="N6" s="16">
        <f t="shared" si="3"/>
        <v>0</v>
      </c>
      <c r="O6" s="16">
        <f t="shared" si="4"/>
        <v>0</v>
      </c>
      <c r="P6" s="6">
        <v>46186</v>
      </c>
    </row>
    <row r="7" spans="1:16" x14ac:dyDescent="0.3">
      <c r="A7" s="16" t="s">
        <v>21</v>
      </c>
      <c r="B7" s="16" t="s">
        <v>16</v>
      </c>
      <c r="C7" s="16" t="s">
        <v>26</v>
      </c>
      <c r="D7" s="16">
        <v>128</v>
      </c>
      <c r="E7" s="16">
        <v>474</v>
      </c>
      <c r="F7" s="16">
        <f t="shared" si="2"/>
        <v>38</v>
      </c>
      <c r="G7" s="16">
        <v>436</v>
      </c>
      <c r="H7" s="16">
        <v>1.05</v>
      </c>
      <c r="I7" s="16">
        <v>0.8</v>
      </c>
      <c r="J7" s="16">
        <v>0.5</v>
      </c>
      <c r="K7" s="17">
        <f t="shared" si="0"/>
        <v>0.42000000000000004</v>
      </c>
      <c r="L7" s="18"/>
      <c r="M7" s="16">
        <f t="shared" si="1"/>
        <v>0</v>
      </c>
      <c r="N7" s="16">
        <f t="shared" si="3"/>
        <v>0</v>
      </c>
      <c r="O7" s="16">
        <f t="shared" si="4"/>
        <v>0</v>
      </c>
      <c r="P7" s="6">
        <v>46186</v>
      </c>
    </row>
    <row r="8" spans="1:16" x14ac:dyDescent="0.3">
      <c r="A8" s="16" t="s">
        <v>21</v>
      </c>
      <c r="B8" s="16" t="s">
        <v>16</v>
      </c>
      <c r="C8" s="16" t="s">
        <v>27</v>
      </c>
      <c r="D8" s="16">
        <v>128</v>
      </c>
      <c r="E8" s="16">
        <v>654</v>
      </c>
      <c r="F8" s="16">
        <f t="shared" si="2"/>
        <v>38</v>
      </c>
      <c r="G8" s="16">
        <v>616</v>
      </c>
      <c r="H8" s="16">
        <v>1.05</v>
      </c>
      <c r="I8" s="16">
        <v>0.8</v>
      </c>
      <c r="J8" s="16">
        <v>0.5</v>
      </c>
      <c r="K8" s="17">
        <f t="shared" si="0"/>
        <v>0.42000000000000004</v>
      </c>
      <c r="L8" s="18"/>
      <c r="M8" s="16">
        <f t="shared" si="1"/>
        <v>0</v>
      </c>
      <c r="N8" s="16">
        <f t="shared" si="3"/>
        <v>0</v>
      </c>
      <c r="O8" s="16">
        <f t="shared" si="4"/>
        <v>0</v>
      </c>
      <c r="P8" s="6">
        <v>46186</v>
      </c>
    </row>
    <row r="9" spans="1:16" x14ac:dyDescent="0.3">
      <c r="A9" s="16" t="s">
        <v>21</v>
      </c>
      <c r="B9" s="16" t="s">
        <v>16</v>
      </c>
      <c r="C9" s="16" t="s">
        <v>28</v>
      </c>
      <c r="D9" s="16">
        <v>150</v>
      </c>
      <c r="E9" s="16">
        <v>360</v>
      </c>
      <c r="F9" s="16">
        <f>E9-G9</f>
        <v>39</v>
      </c>
      <c r="G9" s="16">
        <v>321</v>
      </c>
      <c r="H9" s="16">
        <v>1.02</v>
      </c>
      <c r="I9" s="16">
        <v>0.9</v>
      </c>
      <c r="J9" s="16">
        <v>0.45</v>
      </c>
      <c r="K9" s="17">
        <f>(H9*I9)*J9</f>
        <v>0.41310000000000002</v>
      </c>
      <c r="L9" s="18">
        <v>150</v>
      </c>
      <c r="M9" s="16">
        <f>L9/D9</f>
        <v>1</v>
      </c>
      <c r="N9" s="16">
        <f>M9*E9</f>
        <v>360</v>
      </c>
      <c r="O9" s="16">
        <f>M9*K9</f>
        <v>0.41310000000000002</v>
      </c>
      <c r="P9" s="6">
        <v>46186</v>
      </c>
    </row>
    <row r="10" spans="1:16" x14ac:dyDescent="0.3">
      <c r="A10" s="16" t="s">
        <v>21</v>
      </c>
      <c r="B10" s="16" t="s">
        <v>16</v>
      </c>
      <c r="C10" s="16" t="s">
        <v>29</v>
      </c>
      <c r="D10" s="16">
        <v>256</v>
      </c>
      <c r="E10" s="16">
        <v>428.4</v>
      </c>
      <c r="F10" s="16">
        <f t="shared" ref="F10:F12" si="5">E10-G10</f>
        <v>70</v>
      </c>
      <c r="G10" s="16">
        <v>358.4</v>
      </c>
      <c r="H10" s="16">
        <v>1.05</v>
      </c>
      <c r="I10" s="16">
        <v>0.8</v>
      </c>
      <c r="J10" s="16">
        <v>0.73</v>
      </c>
      <c r="K10" s="17">
        <f t="shared" ref="K10:K11" si="6">(H10*I10)*J10</f>
        <v>0.61320000000000008</v>
      </c>
      <c r="L10" s="18">
        <v>256</v>
      </c>
      <c r="M10" s="16">
        <f t="shared" ref="M10:M11" si="7">L10/D10</f>
        <v>1</v>
      </c>
      <c r="N10" s="16">
        <f t="shared" ref="N10:N12" si="8">M10*E10</f>
        <v>428.4</v>
      </c>
      <c r="O10" s="16">
        <f t="shared" ref="O10:O12" si="9">M10*K10</f>
        <v>0.61320000000000008</v>
      </c>
      <c r="P10" s="6">
        <v>46186</v>
      </c>
    </row>
    <row r="11" spans="1:16" x14ac:dyDescent="0.3">
      <c r="A11" s="16" t="s">
        <v>21</v>
      </c>
      <c r="B11" s="16" t="s">
        <v>16</v>
      </c>
      <c r="C11" s="16" t="s">
        <v>30</v>
      </c>
      <c r="D11" s="16">
        <v>256</v>
      </c>
      <c r="E11" s="16">
        <v>338</v>
      </c>
      <c r="F11" s="16">
        <f t="shared" si="5"/>
        <v>48</v>
      </c>
      <c r="G11" s="16">
        <v>290</v>
      </c>
      <c r="H11" s="16">
        <v>1.05</v>
      </c>
      <c r="I11" s="16">
        <v>0.8</v>
      </c>
      <c r="J11" s="16">
        <v>0.55000000000000004</v>
      </c>
      <c r="K11" s="17">
        <f t="shared" si="6"/>
        <v>0.46200000000000008</v>
      </c>
      <c r="L11" s="18">
        <v>256</v>
      </c>
      <c r="M11" s="16">
        <f t="shared" si="7"/>
        <v>1</v>
      </c>
      <c r="N11" s="16">
        <f t="shared" si="8"/>
        <v>338</v>
      </c>
      <c r="O11" s="16">
        <f t="shared" si="9"/>
        <v>0.46200000000000008</v>
      </c>
      <c r="P11" s="6">
        <v>46186</v>
      </c>
    </row>
    <row r="12" spans="1:16" x14ac:dyDescent="0.3">
      <c r="A12" s="19" t="s">
        <v>31</v>
      </c>
      <c r="B12" s="20" t="s">
        <v>16</v>
      </c>
      <c r="C12" s="20" t="s">
        <v>32</v>
      </c>
      <c r="D12" s="20">
        <v>4</v>
      </c>
      <c r="E12" s="21">
        <v>109</v>
      </c>
      <c r="F12" s="21">
        <f t="shared" si="5"/>
        <v>49.5</v>
      </c>
      <c r="G12" s="21">
        <v>59.5</v>
      </c>
      <c r="H12" s="21">
        <v>0.89</v>
      </c>
      <c r="I12" s="21">
        <v>0.89</v>
      </c>
      <c r="J12" s="21">
        <v>0.84</v>
      </c>
      <c r="K12" s="22">
        <f t="shared" ref="K12:K16" si="10">H12*I12*J12</f>
        <v>0.66536399999999996</v>
      </c>
      <c r="L12" s="23">
        <v>5</v>
      </c>
      <c r="M12" s="20">
        <f t="shared" si="1"/>
        <v>1.25</v>
      </c>
      <c r="N12" s="20">
        <f t="shared" si="8"/>
        <v>136.25</v>
      </c>
      <c r="O12" s="20">
        <f t="shared" si="9"/>
        <v>0.83170499999999992</v>
      </c>
      <c r="P12" s="6">
        <v>46035</v>
      </c>
    </row>
    <row r="13" spans="1:16" x14ac:dyDescent="0.3">
      <c r="A13" s="7" t="s">
        <v>17</v>
      </c>
      <c r="B13" s="10" t="s">
        <v>16</v>
      </c>
      <c r="C13" s="11" t="s">
        <v>18</v>
      </c>
      <c r="D13" s="12">
        <v>4</v>
      </c>
      <c r="E13" s="12">
        <v>80</v>
      </c>
      <c r="F13" s="12">
        <v>52</v>
      </c>
      <c r="G13" s="12">
        <v>28</v>
      </c>
      <c r="H13" s="8">
        <v>1.22</v>
      </c>
      <c r="I13" s="8">
        <v>0.67</v>
      </c>
      <c r="J13" s="8">
        <v>0.76</v>
      </c>
      <c r="K13" s="13">
        <f t="shared" si="10"/>
        <v>0.621224</v>
      </c>
      <c r="L13" s="9">
        <v>48</v>
      </c>
      <c r="M13" s="12">
        <f>L13/D13</f>
        <v>12</v>
      </c>
      <c r="N13" s="12">
        <f>M13*E13</f>
        <v>960</v>
      </c>
      <c r="O13" s="13">
        <f>M13*K13</f>
        <v>7.454688</v>
      </c>
      <c r="P13" s="6">
        <v>45999</v>
      </c>
    </row>
    <row r="14" spans="1:16" x14ac:dyDescent="0.3">
      <c r="A14" s="24" t="s">
        <v>33</v>
      </c>
      <c r="B14" s="25" t="s">
        <v>16</v>
      </c>
      <c r="C14" s="26" t="s">
        <v>34</v>
      </c>
      <c r="D14" s="27">
        <v>8</v>
      </c>
      <c r="E14" s="28">
        <v>249</v>
      </c>
      <c r="F14" s="28">
        <v>30</v>
      </c>
      <c r="G14" s="28">
        <v>219</v>
      </c>
      <c r="H14" s="28">
        <v>0.91</v>
      </c>
      <c r="I14" s="28">
        <v>0.91</v>
      </c>
      <c r="J14" s="28">
        <v>0.49</v>
      </c>
      <c r="K14" s="29">
        <f t="shared" si="10"/>
        <v>0.40576900000000005</v>
      </c>
      <c r="L14" s="30">
        <v>160</v>
      </c>
      <c r="M14" s="31">
        <f t="shared" ref="M14:M17" si="11">L14/D14</f>
        <v>20</v>
      </c>
      <c r="N14" s="31">
        <f t="shared" ref="N14:N17" si="12">M14*E14</f>
        <v>4980</v>
      </c>
      <c r="O14" s="31">
        <f>M14*K14</f>
        <v>8.1153800000000018</v>
      </c>
      <c r="P14" s="6">
        <v>46183</v>
      </c>
    </row>
    <row r="15" spans="1:16" x14ac:dyDescent="0.3">
      <c r="A15" s="32" t="s">
        <v>35</v>
      </c>
      <c r="B15" s="33" t="s">
        <v>16</v>
      </c>
      <c r="C15" s="34" t="s">
        <v>36</v>
      </c>
      <c r="D15" s="35">
        <v>8</v>
      </c>
      <c r="E15" s="35">
        <v>295</v>
      </c>
      <c r="F15" s="35">
        <v>47</v>
      </c>
      <c r="G15" s="35">
        <v>248</v>
      </c>
      <c r="H15" s="35">
        <v>1.06</v>
      </c>
      <c r="I15" s="35">
        <v>0.64</v>
      </c>
      <c r="J15" s="35">
        <v>0.47</v>
      </c>
      <c r="K15" s="36">
        <f t="shared" si="10"/>
        <v>0.31884799999999996</v>
      </c>
      <c r="L15" s="37">
        <v>14</v>
      </c>
      <c r="M15" s="38">
        <f t="shared" si="11"/>
        <v>1.75</v>
      </c>
      <c r="N15" s="38">
        <f t="shared" si="12"/>
        <v>516.25</v>
      </c>
      <c r="O15" s="38">
        <f>K15*M15</f>
        <v>0.55798399999999992</v>
      </c>
      <c r="P15" s="6">
        <v>46167</v>
      </c>
    </row>
    <row r="16" spans="1:16" x14ac:dyDescent="0.3">
      <c r="A16" s="32" t="s">
        <v>35</v>
      </c>
      <c r="B16" s="33" t="s">
        <v>16</v>
      </c>
      <c r="C16" s="34" t="s">
        <v>37</v>
      </c>
      <c r="D16" s="35">
        <v>4</v>
      </c>
      <c r="E16" s="35">
        <v>235</v>
      </c>
      <c r="F16" s="35">
        <v>46</v>
      </c>
      <c r="G16" s="35">
        <v>189</v>
      </c>
      <c r="H16" s="35">
        <v>0.81</v>
      </c>
      <c r="I16" s="35">
        <v>0.73</v>
      </c>
      <c r="J16" s="35">
        <v>0.56999999999999995</v>
      </c>
      <c r="K16" s="36">
        <f t="shared" si="10"/>
        <v>0.33704099999999998</v>
      </c>
      <c r="L16" s="37">
        <v>24</v>
      </c>
      <c r="M16" s="38">
        <f t="shared" si="11"/>
        <v>6</v>
      </c>
      <c r="N16" s="38">
        <f t="shared" si="12"/>
        <v>1410</v>
      </c>
      <c r="O16" s="38">
        <f>K16*M16</f>
        <v>2.022246</v>
      </c>
      <c r="P16" s="6">
        <v>46167</v>
      </c>
    </row>
    <row r="17" spans="1:19" x14ac:dyDescent="0.3">
      <c r="A17" s="58" t="s">
        <v>44</v>
      </c>
      <c r="B17" s="39" t="s">
        <v>45</v>
      </c>
      <c r="C17" s="59" t="s">
        <v>46</v>
      </c>
      <c r="D17" s="60">
        <v>800</v>
      </c>
      <c r="E17" s="61">
        <v>690</v>
      </c>
      <c r="F17" s="61">
        <f>E17-G17</f>
        <v>40</v>
      </c>
      <c r="G17" s="61">
        <v>650</v>
      </c>
      <c r="H17" s="61">
        <v>1.1000000000000001</v>
      </c>
      <c r="I17" s="61">
        <v>0.8</v>
      </c>
      <c r="J17" s="61">
        <v>0.55000000000000004</v>
      </c>
      <c r="K17" s="62">
        <f>H17*I17*J17</f>
        <v>0.4840000000000001</v>
      </c>
      <c r="L17" s="63">
        <v>8000</v>
      </c>
      <c r="M17" s="64">
        <f t="shared" si="11"/>
        <v>10</v>
      </c>
      <c r="N17" s="65">
        <f t="shared" si="12"/>
        <v>6900</v>
      </c>
      <c r="O17" s="65">
        <f t="shared" ref="O17" si="13">K17*M17</f>
        <v>4.8400000000000007</v>
      </c>
      <c r="P17" s="1">
        <v>46193</v>
      </c>
    </row>
    <row r="18" spans="1:19" x14ac:dyDescent="0.3">
      <c r="A18" s="40" t="s">
        <v>38</v>
      </c>
      <c r="B18" s="33" t="s">
        <v>16</v>
      </c>
      <c r="C18" s="41" t="s">
        <v>39</v>
      </c>
      <c r="D18" s="42">
        <v>8</v>
      </c>
      <c r="E18" s="43">
        <v>254</v>
      </c>
      <c r="F18" s="44">
        <v>34</v>
      </c>
      <c r="G18" s="43">
        <v>220</v>
      </c>
      <c r="H18" s="43">
        <v>1.1499999999999999</v>
      </c>
      <c r="I18" s="45">
        <v>0.59</v>
      </c>
      <c r="J18" s="43">
        <v>0.57999999999999996</v>
      </c>
      <c r="K18" s="46">
        <f t="shared" ref="K18" si="14">H18*I18*J18</f>
        <v>0.39352999999999988</v>
      </c>
      <c r="L18" s="47">
        <v>24</v>
      </c>
      <c r="M18" s="48">
        <f t="shared" ref="M18" si="15">L18/D18</f>
        <v>3</v>
      </c>
      <c r="N18" s="48">
        <f t="shared" ref="N18" si="16">M18*E18</f>
        <v>762</v>
      </c>
      <c r="O18" s="48">
        <f t="shared" ref="O18" si="17">M18*K18</f>
        <v>1.1805899999999996</v>
      </c>
      <c r="P18" s="1">
        <v>46183</v>
      </c>
    </row>
    <row r="19" spans="1:19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14">
        <f>SUM(L3:L18)</f>
        <v>9257</v>
      </c>
      <c r="M19" s="14">
        <f>SUM(M3:M18)</f>
        <v>90</v>
      </c>
      <c r="N19" s="14">
        <f>SUM(N3:N18)</f>
        <v>24308.9</v>
      </c>
      <c r="O19" s="14">
        <f>SUM(O3:O18)</f>
        <v>35.415293000000005</v>
      </c>
    </row>
    <row r="20" spans="1:19" x14ac:dyDescent="0.3">
      <c r="D20" s="2"/>
    </row>
    <row r="21" spans="1:19" x14ac:dyDescent="0.3">
      <c r="D21" s="2"/>
    </row>
    <row r="22" spans="1:19" x14ac:dyDescent="0.3">
      <c r="D22" s="2"/>
    </row>
    <row r="24" spans="1:19" ht="15" thickBot="1" x14ac:dyDescent="0.35">
      <c r="D24" s="51">
        <f>SUM(D25:S25)</f>
        <v>8.5399999999999991</v>
      </c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</row>
    <row r="25" spans="1:19" x14ac:dyDescent="0.3">
      <c r="E25" s="15"/>
      <c r="G25">
        <v>0.55000000000000004</v>
      </c>
      <c r="H25">
        <v>0.9</v>
      </c>
      <c r="I25">
        <v>0.55000000000000004</v>
      </c>
      <c r="J25">
        <v>0.55000000000000004</v>
      </c>
      <c r="K25">
        <v>0.55000000000000004</v>
      </c>
      <c r="L25">
        <v>0.55000000000000004</v>
      </c>
      <c r="M25">
        <v>0.59</v>
      </c>
      <c r="N25">
        <v>0.73</v>
      </c>
      <c r="O25">
        <v>0.89</v>
      </c>
      <c r="P25">
        <v>0.67</v>
      </c>
      <c r="Q25">
        <v>0.67</v>
      </c>
      <c r="R25">
        <v>0.67</v>
      </c>
      <c r="S25">
        <v>0.67</v>
      </c>
    </row>
    <row r="26" spans="1:19" x14ac:dyDescent="0.3">
      <c r="D26" s="56"/>
      <c r="E26" s="51"/>
      <c r="F26" s="56"/>
      <c r="G26" s="53" t="s">
        <v>19</v>
      </c>
      <c r="H26" s="53" t="s">
        <v>40</v>
      </c>
      <c r="I26" s="53" t="s">
        <v>19</v>
      </c>
      <c r="J26" s="53" t="s">
        <v>19</v>
      </c>
      <c r="K26" s="53" t="s">
        <v>19</v>
      </c>
      <c r="L26" s="53" t="s">
        <v>19</v>
      </c>
      <c r="M26" s="49" t="s">
        <v>20</v>
      </c>
      <c r="N26" s="50" t="s">
        <v>41</v>
      </c>
      <c r="O26" s="57" t="s">
        <v>42</v>
      </c>
      <c r="P26" s="52" t="s">
        <v>20</v>
      </c>
      <c r="Q26" s="52" t="s">
        <v>20</v>
      </c>
      <c r="R26" s="52" t="s">
        <v>20</v>
      </c>
      <c r="S26" s="52" t="s">
        <v>20</v>
      </c>
    </row>
    <row r="27" spans="1:19" x14ac:dyDescent="0.3">
      <c r="D27" s="56"/>
      <c r="E27" s="51"/>
      <c r="F27" s="56"/>
      <c r="G27" s="53"/>
      <c r="H27" s="53"/>
      <c r="I27" s="53"/>
      <c r="J27" s="53"/>
      <c r="K27" s="53"/>
      <c r="L27" s="53"/>
      <c r="M27" s="49"/>
      <c r="N27" s="50"/>
      <c r="O27" s="57"/>
      <c r="P27" s="52"/>
      <c r="Q27" s="52"/>
      <c r="R27" s="52"/>
      <c r="S27" s="52"/>
    </row>
    <row r="28" spans="1:19" x14ac:dyDescent="0.3">
      <c r="D28" s="56"/>
      <c r="E28" s="51"/>
      <c r="F28" s="56"/>
      <c r="G28" s="53"/>
      <c r="H28" s="53"/>
      <c r="I28" s="53"/>
      <c r="J28" s="53"/>
      <c r="K28" s="53"/>
      <c r="L28" s="53"/>
      <c r="M28" s="49"/>
      <c r="N28" s="50"/>
      <c r="O28" s="57"/>
      <c r="P28" s="52"/>
      <c r="Q28" s="52"/>
      <c r="R28" s="52"/>
      <c r="S28" s="52"/>
    </row>
    <row r="29" spans="1:19" x14ac:dyDescent="0.3">
      <c r="D29" s="56"/>
      <c r="E29" s="51"/>
      <c r="F29" s="56"/>
      <c r="G29" s="53"/>
      <c r="H29" s="53"/>
      <c r="I29" s="53"/>
      <c r="J29" s="53"/>
      <c r="K29" s="53"/>
      <c r="L29" s="53"/>
      <c r="M29" s="49"/>
      <c r="N29" s="50"/>
      <c r="O29" s="57"/>
      <c r="P29" s="52"/>
      <c r="Q29" s="52"/>
      <c r="R29" s="52"/>
      <c r="S29" s="52"/>
    </row>
    <row r="30" spans="1:19" x14ac:dyDescent="0.3">
      <c r="D30" s="51"/>
      <c r="E30" s="51"/>
      <c r="F30" s="51"/>
      <c r="G30" s="53" t="s">
        <v>19</v>
      </c>
      <c r="H30" s="53" t="s">
        <v>20</v>
      </c>
      <c r="I30" s="53" t="s">
        <v>19</v>
      </c>
      <c r="J30" s="53" t="s">
        <v>19</v>
      </c>
      <c r="K30" s="54" t="s">
        <v>20</v>
      </c>
      <c r="L30" s="54" t="s">
        <v>20</v>
      </c>
      <c r="M30" s="54" t="s">
        <v>19</v>
      </c>
      <c r="N30" s="50" t="s">
        <v>19</v>
      </c>
      <c r="O30" s="55" t="s">
        <v>19</v>
      </c>
      <c r="P30" s="55" t="s">
        <v>19</v>
      </c>
      <c r="Q30" s="55" t="s">
        <v>19</v>
      </c>
      <c r="R30" s="55" t="s">
        <v>19</v>
      </c>
      <c r="S30" s="55" t="s">
        <v>19</v>
      </c>
    </row>
    <row r="31" spans="1:19" x14ac:dyDescent="0.3">
      <c r="D31" s="51"/>
      <c r="E31" s="51"/>
      <c r="F31" s="51"/>
      <c r="G31" s="53"/>
      <c r="H31" s="53"/>
      <c r="I31" s="53"/>
      <c r="J31" s="53"/>
      <c r="K31" s="54"/>
      <c r="L31" s="54"/>
      <c r="M31" s="54"/>
      <c r="N31" s="50"/>
      <c r="O31" s="55"/>
      <c r="P31" s="55"/>
      <c r="Q31" s="55"/>
      <c r="R31" s="55"/>
      <c r="S31" s="55"/>
    </row>
    <row r="32" spans="1:19" x14ac:dyDescent="0.3">
      <c r="D32" s="51"/>
      <c r="E32" s="51"/>
      <c r="F32" s="51"/>
      <c r="G32" s="53"/>
      <c r="H32" s="53"/>
      <c r="I32" s="53"/>
      <c r="J32" s="53"/>
      <c r="K32" s="54"/>
      <c r="L32" s="54"/>
      <c r="M32" s="54"/>
      <c r="N32" s="50"/>
      <c r="O32" s="55"/>
      <c r="P32" s="55"/>
      <c r="Q32" s="55"/>
      <c r="R32" s="55"/>
      <c r="S32" s="55"/>
    </row>
    <row r="33" spans="4:19" ht="15" thickBot="1" x14ac:dyDescent="0.35">
      <c r="D33" s="51"/>
      <c r="E33" s="51"/>
      <c r="F33" s="51"/>
      <c r="G33" s="53"/>
      <c r="H33" s="53"/>
      <c r="I33" s="53"/>
      <c r="J33" s="53"/>
      <c r="K33" s="54"/>
      <c r="L33" s="54"/>
      <c r="M33" s="54"/>
      <c r="N33" s="50"/>
      <c r="O33" s="55"/>
      <c r="P33" s="55"/>
      <c r="Q33" s="55"/>
      <c r="R33" s="55"/>
      <c r="S33" s="55"/>
    </row>
    <row r="34" spans="4:19" x14ac:dyDescent="0.3">
      <c r="D34" s="15"/>
      <c r="E34" s="15"/>
      <c r="G34">
        <v>0.55000000000000004</v>
      </c>
      <c r="H34">
        <v>0.8</v>
      </c>
      <c r="I34">
        <v>0.55000000000000004</v>
      </c>
      <c r="J34">
        <v>0.55000000000000004</v>
      </c>
      <c r="K34">
        <v>0.8</v>
      </c>
      <c r="L34">
        <v>0.8</v>
      </c>
      <c r="M34">
        <v>0.8</v>
      </c>
      <c r="N34">
        <v>0.73</v>
      </c>
      <c r="O34">
        <v>0.91</v>
      </c>
      <c r="P34">
        <v>0.91</v>
      </c>
      <c r="Q34">
        <v>0.91</v>
      </c>
      <c r="R34">
        <v>0.91</v>
      </c>
      <c r="S34">
        <v>0.91</v>
      </c>
    </row>
    <row r="35" spans="4:19" x14ac:dyDescent="0.3">
      <c r="D35" s="51">
        <f>SUM(D34:S34)</f>
        <v>10.130000000000001</v>
      </c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</row>
  </sheetData>
  <mergeCells count="31">
    <mergeCell ref="S30:S33"/>
    <mergeCell ref="D24:R24"/>
    <mergeCell ref="D26:D29"/>
    <mergeCell ref="E26:E29"/>
    <mergeCell ref="F26:F29"/>
    <mergeCell ref="G26:G29"/>
    <mergeCell ref="H26:H29"/>
    <mergeCell ref="I26:I29"/>
    <mergeCell ref="J26:J29"/>
    <mergeCell ref="K26:K29"/>
    <mergeCell ref="L26:L29"/>
    <mergeCell ref="O26:O29"/>
    <mergeCell ref="P26:P29"/>
    <mergeCell ref="Q26:Q29"/>
    <mergeCell ref="R26:R29"/>
    <mergeCell ref="D35:R35"/>
    <mergeCell ref="S26:S29"/>
    <mergeCell ref="D30:D33"/>
    <mergeCell ref="E30:E33"/>
    <mergeCell ref="F30:F33"/>
    <mergeCell ref="G30:G33"/>
    <mergeCell ref="H30:H33"/>
    <mergeCell ref="I30:I33"/>
    <mergeCell ref="J30:J33"/>
    <mergeCell ref="K30:K33"/>
    <mergeCell ref="L30:L33"/>
    <mergeCell ref="M30:M33"/>
    <mergeCell ref="O30:O33"/>
    <mergeCell ref="P30:P33"/>
    <mergeCell ref="Q30:Q33"/>
    <mergeCell ref="R30:R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 Zhu</dc:creator>
  <cp:lastModifiedBy>Kai Zhu</cp:lastModifiedBy>
  <dcterms:created xsi:type="dcterms:W3CDTF">2015-06-05T18:17:20Z</dcterms:created>
  <dcterms:modified xsi:type="dcterms:W3CDTF">2026-06-10T05:15:03Z</dcterms:modified>
</cp:coreProperties>
</file>