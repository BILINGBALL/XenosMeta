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3-TMT\"/>
    </mc:Choice>
  </mc:AlternateContent>
  <xr:revisionPtr revIDLastSave="0" documentId="13_ncr:1_{2EDEB423-1B51-40BE-8965-38D07A6750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18" i="1"/>
  <c r="L13" i="1"/>
  <c r="M12" i="1"/>
  <c r="N12" i="1" s="1"/>
  <c r="K12" i="1"/>
  <c r="O12" i="1" s="1"/>
  <c r="F12" i="1"/>
  <c r="M11" i="1"/>
  <c r="N11" i="1" s="1"/>
  <c r="K11" i="1"/>
  <c r="F11" i="1"/>
  <c r="M10" i="1"/>
  <c r="N10" i="1" s="1"/>
  <c r="K10" i="1"/>
  <c r="O10" i="1" s="1"/>
  <c r="F10" i="1"/>
  <c r="R9" i="1"/>
  <c r="S9" i="1" s="1"/>
  <c r="R8" i="1"/>
  <c r="S8" i="1" s="1"/>
  <c r="M8" i="1"/>
  <c r="N8" i="1" s="1"/>
  <c r="K8" i="1"/>
  <c r="F8" i="1"/>
  <c r="R7" i="1"/>
  <c r="S7" i="1" s="1"/>
  <c r="R6" i="1"/>
  <c r="S6" i="1" s="1"/>
  <c r="M6" i="1"/>
  <c r="O6" i="1" s="1"/>
  <c r="K6" i="1"/>
  <c r="F6" i="1"/>
  <c r="R5" i="1"/>
  <c r="S5" i="1" s="1"/>
  <c r="M5" i="1"/>
  <c r="N5" i="1" s="1"/>
  <c r="K5" i="1"/>
  <c r="O5" i="1" s="1"/>
  <c r="F5" i="1"/>
  <c r="R4" i="1"/>
  <c r="S4" i="1" s="1"/>
  <c r="M4" i="1"/>
  <c r="N4" i="1" s="1"/>
  <c r="K4" i="1"/>
  <c r="S3" i="1"/>
  <c r="M3" i="1"/>
  <c r="K3" i="1"/>
  <c r="F3" i="1"/>
  <c r="O4" i="1" l="1"/>
  <c r="O3" i="1"/>
  <c r="O11" i="1"/>
  <c r="N3" i="1"/>
  <c r="M13" i="1"/>
  <c r="O13" i="1"/>
  <c r="N6" i="1"/>
  <c r="O8" i="1"/>
  <c r="N13" i="1" l="1"/>
</calcChain>
</file>

<file path=xl/sharedStrings.xml><?xml version="1.0" encoding="utf-8"?>
<sst xmlns="http://schemas.openxmlformats.org/spreadsheetml/2006/main" count="66" uniqueCount="39">
  <si>
    <t>40GP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</si>
  <si>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</si>
  <si>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</si>
  <si>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</si>
  <si>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</si>
  <si>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</si>
  <si>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</si>
  <si>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</si>
  <si>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</si>
  <si>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</si>
  <si>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</si>
  <si>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</si>
  <si>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</si>
  <si>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</si>
  <si>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</si>
  <si>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</si>
  <si>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</si>
  <si>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Customer Deadline</t>
  </si>
  <si>
    <t>latest EXW</t>
  </si>
  <si>
    <t>Estimated To Door</t>
  </si>
  <si>
    <t>Sudelan</t>
  </si>
  <si>
    <t>TMT</t>
  </si>
  <si>
    <t>Air Spring (WTP)</t>
  </si>
  <si>
    <t>MSP00871</t>
  </si>
  <si>
    <t>Air Bellows</t>
  </si>
  <si>
    <t>MSP00894</t>
  </si>
  <si>
    <t>Railteco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</si>
  <si>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</si>
  <si>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</si>
  <si>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</si>
  <si>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</si>
  <si>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</si>
  <si>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26 Dia x190 Long Hex Heads Screwspikes 8.8 Graded</t>
  </si>
  <si>
    <t>Ss8 Fe6 GAL SCREWSPIKE 24 x 165 WITH WASHER</t>
  </si>
  <si>
    <t>Std Alt 1 RF192 CUG Baseplate</t>
  </si>
  <si>
    <t>x4</t>
  </si>
  <si>
    <t>x1+2</t>
  </si>
  <si>
    <t>x3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</si>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</sst>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[$-C09]d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5" fontId="1" fillId="0" borderId="0"/>
  </cellStyleXfs>
  <cellXfs count="6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2" fontId="0" fillId="6" borderId="3" xfId="0" applyNumberFormat="1" applyFill="1" applyBorder="1" applyAlignment="1">
      <alignment horizontal="center" vertical="center"/>
    </xf>
    <xf numFmtId="14" fontId="0" fillId="6" borderId="3" xfId="0" applyNumberFormat="1" applyFill="1" applyBorder="1"/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0" fillId="7" borderId="3" xfId="0" applyNumberFormat="1" applyFill="1" applyBorder="1"/>
    <xf numFmtId="14" fontId="0" fillId="7" borderId="3" xfId="0" applyNumberForma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2" fontId="0" fillId="8" borderId="3" xfId="2" applyNumberFormat="1" applyFont="1" applyFill="1" applyBorder="1" applyAlignment="1">
      <alignment horizontal="center" vertical="center"/>
    </xf>
    <xf numFmtId="14" fontId="0" fillId="8" borderId="3" xfId="0" applyNumberFormat="1" applyFill="1" applyBorder="1"/>
    <xf numFmtId="14" fontId="0" fillId="8" borderId="3" xfId="0" applyNumberForma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165" fontId="0" fillId="9" borderId="3" xfId="2" applyFont="1" applyFill="1" applyBorder="1" applyAlignment="1">
      <alignment horizontal="center" vertical="center"/>
    </xf>
    <xf numFmtId="2" fontId="0" fillId="9" borderId="3" xfId="1" applyNumberFormat="1" applyFont="1" applyFill="1" applyBorder="1" applyAlignment="1">
      <alignment horizontal="center" vertical="center"/>
    </xf>
    <xf numFmtId="164" fontId="0" fillId="9" borderId="3" xfId="1" applyNumberFormat="1" applyFont="1" applyFill="1" applyBorder="1" applyAlignment="1">
      <alignment horizontal="center" vertical="center"/>
    </xf>
    <xf numFmtId="2" fontId="1" fillId="9" borderId="3" xfId="0" applyNumberFormat="1" applyFont="1" applyFill="1" applyBorder="1" applyAlignment="1">
      <alignment horizontal="center" vertical="center"/>
    </xf>
    <xf numFmtId="14" fontId="0" fillId="9" borderId="3" xfId="0" applyNumberFormat="1" applyFill="1" applyBorder="1" applyAlignment="1">
      <alignment horizontal="center" vertical="center"/>
    </xf>
    <xf numFmtId="14" fontId="0" fillId="9" borderId="3" xfId="0" applyNumberFormat="1" applyFill="1" applyBorder="1"/>
    <xf numFmtId="1" fontId="0" fillId="5" borderId="3" xfId="0" applyNumberFormat="1" applyFill="1" applyBorder="1" applyAlignment="1">
      <alignment horizontal="center" vertical="center"/>
    </xf>
    <xf numFmtId="165" fontId="0" fillId="5" borderId="3" xfId="2" applyFon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4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left" vertical="center"/>
    </xf>
    <xf numFmtId="2" fontId="5" fillId="5" borderId="3" xfId="2" applyNumberFormat="1" applyFont="1" applyFill="1" applyBorder="1" applyAlignment="1">
      <alignment horizontal="center" vertical="center"/>
    </xf>
    <xf numFmtId="2" fontId="0" fillId="5" borderId="3" xfId="2" applyNumberFormat="1" applyFon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/>
    <xf numFmtId="0" fontId="0" fillId="5" borderId="3" xfId="0" applyFill="1" applyBorder="1"/>
    <xf numFmtId="2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vertical="center"/>
    </xf>
    <xf numFmtId="2" fontId="0" fillId="6" borderId="3" xfId="2" applyNumberFormat="1" applyFon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2" fontId="1" fillId="6" borderId="3" xfId="0" applyNumberFormat="1" applyFont="1" applyFill="1" applyBorder="1"/>
    <xf numFmtId="0" fontId="0" fillId="6" borderId="3" xfId="0" applyFill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/>
    <xf numFmtId="0" fontId="1" fillId="5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3" xfId="0" applyFill="1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Good" xfId="1" builtinId="26"/>
    <cellStyle name="Normal" xfId="0" builtinId="0"/>
    <cellStyle name="Normal 3 2" xfId="2" xr:uid="{EEF62404-C81A-438C-A523-33E9A6646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zoomScale="85" zoomScaleNormal="85" workbookViewId="0">
      <selection activeCell="M16" sqref="M16"/>
    </sheetView>
  </sheetViews>
  <sheetFormatPr defaultRowHeight="14.4" x14ac:dyDescent="0.3"/>
  <cols>
    <col min="1" max="1" width="10.88671875" bestFit="1" customWidth="1"/>
    <col min="2" max="2" width="8.33203125" bestFit="1" customWidth="1"/>
    <col min="3" max="3" width="60.5546875" customWidth="1"/>
    <col min="16" max="19" width="10.5546875" bestFit="1" customWidth="1"/>
  </cols>
  <sheetData>
    <row r="1" spans="1:19" x14ac:dyDescent="0.3">
      <c r="A1" t="s">
        <v>0</v>
      </c>
      <c r="C1" s="1">
        <v>46157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ht="41.4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6" t="s">
        <v>18</v>
      </c>
      <c r="S2" s="5" t="s">
        <v>19</v>
      </c>
    </row>
    <row r="3" spans="1:19" x14ac:dyDescent="0.3">
      <c r="A3" s="9"/>
      <c r="B3" s="9" t="s">
        <v>21</v>
      </c>
      <c r="C3" s="9" t="s">
        <v>22</v>
      </c>
      <c r="D3" s="9">
        <v>1</v>
      </c>
      <c r="E3" s="9">
        <v>186</v>
      </c>
      <c r="F3" s="9">
        <f t="shared" ref="F3" si="0">E3-G3</f>
        <v>21</v>
      </c>
      <c r="G3" s="9">
        <v>165</v>
      </c>
      <c r="H3" s="9">
        <v>0.89</v>
      </c>
      <c r="I3" s="9">
        <v>0.89</v>
      </c>
      <c r="J3" s="9">
        <v>0.5</v>
      </c>
      <c r="K3" s="10">
        <f t="shared" ref="K3" si="1">(H3*I3)*J3</f>
        <v>0.39605000000000001</v>
      </c>
      <c r="L3" s="11">
        <v>24</v>
      </c>
      <c r="M3" s="12">
        <f t="shared" ref="M3" si="2">L3/D3</f>
        <v>24</v>
      </c>
      <c r="N3" s="9">
        <f t="shared" ref="N3" si="3">M3*E3</f>
        <v>4464</v>
      </c>
      <c r="O3" s="9">
        <f t="shared" ref="O3" si="4">M3*K3</f>
        <v>9.5052000000000003</v>
      </c>
      <c r="P3" s="13">
        <v>46111</v>
      </c>
      <c r="Q3" s="13">
        <v>46054</v>
      </c>
      <c r="R3" s="14">
        <v>46033</v>
      </c>
      <c r="S3" s="14">
        <f t="shared" ref="S3:S4" si="5">R3+30</f>
        <v>46063</v>
      </c>
    </row>
    <row r="4" spans="1:19" x14ac:dyDescent="0.3">
      <c r="A4" s="15" t="s">
        <v>23</v>
      </c>
      <c r="B4" s="19" t="s">
        <v>21</v>
      </c>
      <c r="C4" s="20" t="s">
        <v>24</v>
      </c>
      <c r="D4" s="21">
        <v>4</v>
      </c>
      <c r="E4" s="21">
        <v>80</v>
      </c>
      <c r="F4" s="21">
        <v>52</v>
      </c>
      <c r="G4" s="21">
        <v>28</v>
      </c>
      <c r="H4" s="16">
        <v>1.22</v>
      </c>
      <c r="I4" s="16">
        <v>0.67</v>
      </c>
      <c r="J4" s="16">
        <v>0.76</v>
      </c>
      <c r="K4" s="22">
        <f t="shared" ref="K4:K6" si="6">H4*I4*J4</f>
        <v>0.621224</v>
      </c>
      <c r="L4" s="23">
        <v>40</v>
      </c>
      <c r="M4" s="24">
        <f>L4/D4</f>
        <v>10</v>
      </c>
      <c r="N4" s="21">
        <f>M4*E4</f>
        <v>800</v>
      </c>
      <c r="O4" s="22">
        <f>M4*K4</f>
        <v>6.2122399999999995</v>
      </c>
      <c r="P4" s="17">
        <v>45999</v>
      </c>
      <c r="Q4" s="17">
        <v>46199</v>
      </c>
      <c r="R4" s="18">
        <f t="shared" ref="R4" si="7">Q4-3-4-21-4-3</f>
        <v>46164</v>
      </c>
      <c r="S4" s="18">
        <f t="shared" si="5"/>
        <v>46194</v>
      </c>
    </row>
    <row r="5" spans="1:19" x14ac:dyDescent="0.3">
      <c r="A5" s="25" t="s">
        <v>25</v>
      </c>
      <c r="B5" s="26" t="s">
        <v>26</v>
      </c>
      <c r="C5" s="27" t="s">
        <v>27</v>
      </c>
      <c r="D5" s="26">
        <v>8</v>
      </c>
      <c r="E5" s="26">
        <v>755</v>
      </c>
      <c r="F5" s="26">
        <f t="shared" ref="F5:F6" si="8">E5-G5</f>
        <v>102</v>
      </c>
      <c r="G5" s="26">
        <v>653</v>
      </c>
      <c r="H5" s="26">
        <v>1.74</v>
      </c>
      <c r="I5" s="26">
        <v>1.25</v>
      </c>
      <c r="J5" s="26">
        <v>0.69</v>
      </c>
      <c r="K5" s="28">
        <f t="shared" si="6"/>
        <v>1.5007499999999998</v>
      </c>
      <c r="L5" s="29">
        <v>77</v>
      </c>
      <c r="M5" s="30">
        <f t="shared" ref="M5" si="9">L5/D5</f>
        <v>9.625</v>
      </c>
      <c r="N5" s="30">
        <f t="shared" ref="N5" si="10">M5*E5</f>
        <v>7266.875</v>
      </c>
      <c r="O5" s="30">
        <f>K5*M5</f>
        <v>14.444718749999998</v>
      </c>
      <c r="P5" s="31">
        <v>46012</v>
      </c>
      <c r="Q5" s="32">
        <v>46062</v>
      </c>
      <c r="R5" s="31">
        <f t="shared" ref="R5:R9" si="11">Q5-3-4-21-4-3</f>
        <v>46027</v>
      </c>
      <c r="S5" s="31">
        <f t="shared" ref="S5:S9" si="12">R5+30</f>
        <v>46057</v>
      </c>
    </row>
    <row r="6" spans="1:19" x14ac:dyDescent="0.3">
      <c r="A6" s="25" t="s">
        <v>25</v>
      </c>
      <c r="B6" s="26" t="s">
        <v>26</v>
      </c>
      <c r="C6" s="27" t="s">
        <v>28</v>
      </c>
      <c r="D6" s="26">
        <v>9</v>
      </c>
      <c r="E6" s="64">
        <v>579</v>
      </c>
      <c r="F6" s="64">
        <f t="shared" si="8"/>
        <v>52</v>
      </c>
      <c r="G6" s="64">
        <v>527</v>
      </c>
      <c r="H6" s="64">
        <v>1.27</v>
      </c>
      <c r="I6" s="64">
        <v>0.87</v>
      </c>
      <c r="J6" s="64">
        <v>0.58499999999999996</v>
      </c>
      <c r="K6" s="64">
        <f t="shared" si="6"/>
        <v>0.64636649999999995</v>
      </c>
      <c r="L6" s="29">
        <v>25</v>
      </c>
      <c r="M6" s="65">
        <f>L6/D6</f>
        <v>2.7777777777777777</v>
      </c>
      <c r="N6" s="65">
        <f>M6*E6</f>
        <v>1608.3333333333333</v>
      </c>
      <c r="O6" s="65">
        <f>M6*J6</f>
        <v>1.6249999999999998</v>
      </c>
      <c r="P6" s="31">
        <v>46012</v>
      </c>
      <c r="Q6" s="32">
        <v>46062</v>
      </c>
      <c r="R6" s="31">
        <f t="shared" si="11"/>
        <v>46027</v>
      </c>
      <c r="S6" s="31">
        <f t="shared" si="12"/>
        <v>46057</v>
      </c>
    </row>
    <row r="7" spans="1:19" x14ac:dyDescent="0.3">
      <c r="A7" s="25" t="s">
        <v>25</v>
      </c>
      <c r="B7" s="26" t="s">
        <v>26</v>
      </c>
      <c r="C7" s="27" t="s">
        <v>29</v>
      </c>
      <c r="D7" s="26">
        <v>9</v>
      </c>
      <c r="E7" s="64"/>
      <c r="F7" s="64"/>
      <c r="G7" s="64"/>
      <c r="H7" s="64"/>
      <c r="I7" s="64"/>
      <c r="J7" s="64"/>
      <c r="K7" s="64"/>
      <c r="L7" s="29">
        <v>15</v>
      </c>
      <c r="M7" s="65"/>
      <c r="N7" s="65"/>
      <c r="O7" s="65"/>
      <c r="P7" s="31">
        <v>46012</v>
      </c>
      <c r="Q7" s="32">
        <v>46062</v>
      </c>
      <c r="R7" s="31">
        <f t="shared" si="11"/>
        <v>46027</v>
      </c>
      <c r="S7" s="31">
        <f t="shared" si="12"/>
        <v>46057</v>
      </c>
    </row>
    <row r="8" spans="1:19" x14ac:dyDescent="0.3">
      <c r="A8" s="25" t="s">
        <v>25</v>
      </c>
      <c r="B8" s="26" t="s">
        <v>26</v>
      </c>
      <c r="C8" s="27" t="s">
        <v>30</v>
      </c>
      <c r="D8" s="26">
        <v>56</v>
      </c>
      <c r="E8" s="64">
        <v>438</v>
      </c>
      <c r="F8" s="64">
        <f>E8-G8</f>
        <v>64</v>
      </c>
      <c r="G8" s="64">
        <v>374</v>
      </c>
      <c r="H8" s="64">
        <v>1.01</v>
      </c>
      <c r="I8" s="64">
        <v>0.77500000000000002</v>
      </c>
      <c r="J8" s="64">
        <v>0.625</v>
      </c>
      <c r="K8" s="64">
        <f>H8*I8*J8</f>
        <v>0.48921875000000004</v>
      </c>
      <c r="L8" s="29">
        <v>94</v>
      </c>
      <c r="M8" s="65">
        <f>L8/D8</f>
        <v>1.6785714285714286</v>
      </c>
      <c r="N8" s="65">
        <f>M8*E8</f>
        <v>735.21428571428578</v>
      </c>
      <c r="O8" s="65">
        <f>M8*J8</f>
        <v>1.0491071428571428</v>
      </c>
      <c r="P8" s="31">
        <v>46012</v>
      </c>
      <c r="Q8" s="32">
        <v>46062</v>
      </c>
      <c r="R8" s="31">
        <f t="shared" si="11"/>
        <v>46027</v>
      </c>
      <c r="S8" s="31">
        <f t="shared" si="12"/>
        <v>46057</v>
      </c>
    </row>
    <row r="9" spans="1:19" x14ac:dyDescent="0.3">
      <c r="A9" s="25" t="s">
        <v>25</v>
      </c>
      <c r="B9" s="26" t="s">
        <v>26</v>
      </c>
      <c r="C9" s="27" t="s">
        <v>31</v>
      </c>
      <c r="D9" s="26">
        <v>55</v>
      </c>
      <c r="E9" s="64"/>
      <c r="F9" s="64"/>
      <c r="G9" s="64"/>
      <c r="H9" s="64"/>
      <c r="I9" s="64"/>
      <c r="J9" s="64"/>
      <c r="K9" s="64"/>
      <c r="L9" s="29">
        <v>47</v>
      </c>
      <c r="M9" s="65"/>
      <c r="N9" s="65"/>
      <c r="O9" s="65"/>
      <c r="P9" s="31">
        <v>46012</v>
      </c>
      <c r="Q9" s="32">
        <v>46062</v>
      </c>
      <c r="R9" s="31">
        <f t="shared" si="11"/>
        <v>46027</v>
      </c>
      <c r="S9" s="31">
        <f t="shared" si="12"/>
        <v>46057</v>
      </c>
    </row>
    <row r="10" spans="1:19" x14ac:dyDescent="0.3">
      <c r="A10" s="33">
        <v>9556</v>
      </c>
      <c r="B10" s="37" t="s">
        <v>20</v>
      </c>
      <c r="C10" s="38" t="s">
        <v>32</v>
      </c>
      <c r="D10" s="39">
        <v>800</v>
      </c>
      <c r="E10" s="40">
        <v>690</v>
      </c>
      <c r="F10" s="40">
        <f>E10-G10</f>
        <v>40</v>
      </c>
      <c r="G10" s="40">
        <v>650</v>
      </c>
      <c r="H10" s="40">
        <v>1.1000000000000001</v>
      </c>
      <c r="I10" s="40">
        <v>0.8</v>
      </c>
      <c r="J10" s="40">
        <v>0.55000000000000004</v>
      </c>
      <c r="K10" s="35">
        <f>H10*I10*J10</f>
        <v>0.4840000000000001</v>
      </c>
      <c r="L10" s="41">
        <v>3200</v>
      </c>
      <c r="M10" s="42">
        <f t="shared" ref="M10:M12" si="13">L10/D10</f>
        <v>4</v>
      </c>
      <c r="N10" s="43">
        <f t="shared" ref="N10:N12" si="14">M10*E10</f>
        <v>2760</v>
      </c>
      <c r="O10" s="43">
        <f t="shared" ref="O10" si="15">K10*M10</f>
        <v>1.9360000000000004</v>
      </c>
      <c r="P10" s="36">
        <v>46122</v>
      </c>
      <c r="Q10" s="44"/>
      <c r="R10" s="44"/>
      <c r="S10" s="44"/>
    </row>
    <row r="11" spans="1:19" x14ac:dyDescent="0.3">
      <c r="A11" s="33">
        <v>9561</v>
      </c>
      <c r="B11" s="37" t="s">
        <v>20</v>
      </c>
      <c r="C11" s="34" t="s">
        <v>33</v>
      </c>
      <c r="D11" s="45">
        <v>800</v>
      </c>
      <c r="E11" s="45">
        <v>590</v>
      </c>
      <c r="F11" s="45">
        <f>E11-G11</f>
        <v>49</v>
      </c>
      <c r="G11" s="45">
        <v>541</v>
      </c>
      <c r="H11" s="45">
        <v>1.1000000000000001</v>
      </c>
      <c r="I11" s="45">
        <v>0.8</v>
      </c>
      <c r="J11" s="45">
        <v>0.55000000000000004</v>
      </c>
      <c r="K11" s="45">
        <f t="shared" ref="K11:K12" si="16">H11*I11*J11</f>
        <v>0.4840000000000001</v>
      </c>
      <c r="L11" s="46">
        <v>4800</v>
      </c>
      <c r="M11" s="12">
        <f t="shared" si="13"/>
        <v>6</v>
      </c>
      <c r="N11" s="35">
        <f t="shared" si="14"/>
        <v>3540</v>
      </c>
      <c r="O11" s="12">
        <f>M11*K11</f>
        <v>2.9040000000000008</v>
      </c>
      <c r="P11" s="36">
        <v>46136</v>
      </c>
      <c r="Q11" s="44"/>
      <c r="R11" s="44"/>
      <c r="S11" s="44"/>
    </row>
    <row r="12" spans="1:19" x14ac:dyDescent="0.3">
      <c r="A12" s="47">
        <v>9564</v>
      </c>
      <c r="B12" s="48" t="s">
        <v>21</v>
      </c>
      <c r="C12" s="49" t="s">
        <v>34</v>
      </c>
      <c r="D12" s="7">
        <v>32</v>
      </c>
      <c r="E12" s="7">
        <v>603</v>
      </c>
      <c r="F12" s="50">
        <f>E12-G12</f>
        <v>59</v>
      </c>
      <c r="G12" s="7">
        <v>544</v>
      </c>
      <c r="H12" s="7">
        <v>1.1599999999999999</v>
      </c>
      <c r="I12" s="7">
        <v>0.84</v>
      </c>
      <c r="J12" s="7">
        <v>0.51</v>
      </c>
      <c r="K12" s="7">
        <f t="shared" si="16"/>
        <v>0.496944</v>
      </c>
      <c r="L12" s="51">
        <v>128</v>
      </c>
      <c r="M12" s="52">
        <f t="shared" si="13"/>
        <v>4</v>
      </c>
      <c r="N12" s="52">
        <f t="shared" si="14"/>
        <v>2412</v>
      </c>
      <c r="O12" s="52">
        <f>K12*M12</f>
        <v>1.987776</v>
      </c>
      <c r="P12" s="8">
        <v>46157</v>
      </c>
      <c r="Q12" s="53"/>
      <c r="R12" s="53"/>
      <c r="S12" s="53"/>
    </row>
    <row r="13" spans="1:19" x14ac:dyDescent="0.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>
        <f>SUM(L3:L12)</f>
        <v>8450</v>
      </c>
      <c r="M13" s="55">
        <f>SUM(M3:M12)</f>
        <v>62.081349206349209</v>
      </c>
      <c r="N13" s="55">
        <f>SUM(N3:N12)</f>
        <v>23586.422619047618</v>
      </c>
      <c r="O13" s="55">
        <f>SUM(O3:O12)</f>
        <v>39.664041892857142</v>
      </c>
    </row>
    <row r="14" spans="1:19" x14ac:dyDescent="0.3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5"/>
      <c r="M14" s="55"/>
      <c r="N14" s="55"/>
      <c r="O14" s="55"/>
    </row>
    <row r="16" spans="1:19" x14ac:dyDescent="0.3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  <c r="M16" s="55"/>
      <c r="N16" s="55"/>
      <c r="O16" s="55"/>
    </row>
    <row r="18" spans="4:19" ht="15" thickBot="1" x14ac:dyDescent="0.35">
      <c r="D18" s="60">
        <f>SUM(D19:S19)</f>
        <v>11.13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4:19" x14ac:dyDescent="0.3">
      <c r="D19" s="56"/>
      <c r="E19" s="56"/>
      <c r="F19" s="56"/>
      <c r="H19">
        <v>0.89</v>
      </c>
      <c r="I19">
        <v>0.87</v>
      </c>
      <c r="J19">
        <v>1.25</v>
      </c>
      <c r="K19">
        <v>1.25</v>
      </c>
      <c r="L19">
        <v>1.25</v>
      </c>
      <c r="M19">
        <v>1.25</v>
      </c>
      <c r="N19">
        <v>0.8</v>
      </c>
      <c r="O19">
        <v>0.67</v>
      </c>
      <c r="P19">
        <v>0.67</v>
      </c>
      <c r="Q19">
        <v>0.67</v>
      </c>
      <c r="R19">
        <v>0.67</v>
      </c>
      <c r="S19">
        <v>0.89</v>
      </c>
    </row>
    <row r="20" spans="4:19" x14ac:dyDescent="0.3">
      <c r="D20" s="60"/>
      <c r="E20" s="60"/>
      <c r="F20" s="60"/>
      <c r="G20" s="66"/>
      <c r="H20" s="58" t="s">
        <v>35</v>
      </c>
      <c r="I20" s="62" t="s">
        <v>36</v>
      </c>
      <c r="J20" s="63" t="s">
        <v>36</v>
      </c>
      <c r="K20" s="63" t="s">
        <v>37</v>
      </c>
      <c r="L20" s="63" t="s">
        <v>37</v>
      </c>
      <c r="M20" s="63" t="s">
        <v>37</v>
      </c>
      <c r="N20" s="57" t="s">
        <v>37</v>
      </c>
      <c r="O20" s="61" t="s">
        <v>38</v>
      </c>
      <c r="P20" s="61" t="s">
        <v>37</v>
      </c>
      <c r="Q20" s="61" t="s">
        <v>37</v>
      </c>
      <c r="R20" s="61" t="s">
        <v>37</v>
      </c>
      <c r="S20" s="58" t="s">
        <v>35</v>
      </c>
    </row>
    <row r="21" spans="4:19" x14ac:dyDescent="0.3">
      <c r="D21" s="60"/>
      <c r="E21" s="60"/>
      <c r="F21" s="60"/>
      <c r="G21" s="60"/>
      <c r="H21" s="58"/>
      <c r="I21" s="62"/>
      <c r="J21" s="63"/>
      <c r="K21" s="63"/>
      <c r="L21" s="63"/>
      <c r="M21" s="63"/>
      <c r="N21" s="57"/>
      <c r="O21" s="61"/>
      <c r="P21" s="61"/>
      <c r="Q21" s="61"/>
      <c r="R21" s="61"/>
      <c r="S21" s="58"/>
    </row>
    <row r="22" spans="4:19" x14ac:dyDescent="0.3">
      <c r="D22" s="60"/>
      <c r="E22" s="60"/>
      <c r="F22" s="60"/>
      <c r="G22" s="60"/>
      <c r="H22" s="58"/>
      <c r="I22" s="62"/>
      <c r="J22" s="63"/>
      <c r="K22" s="63"/>
      <c r="L22" s="63"/>
      <c r="M22" s="63"/>
      <c r="N22" s="57"/>
      <c r="O22" s="61"/>
      <c r="P22" s="61"/>
      <c r="Q22" s="61"/>
      <c r="R22" s="61"/>
      <c r="S22" s="58"/>
    </row>
    <row r="23" spans="4:19" x14ac:dyDescent="0.3">
      <c r="D23" s="60"/>
      <c r="E23" s="60"/>
      <c r="F23" s="60"/>
      <c r="G23" s="60"/>
      <c r="H23" s="58"/>
      <c r="I23" s="62"/>
      <c r="J23" s="63"/>
      <c r="K23" s="63"/>
      <c r="L23" s="63"/>
      <c r="M23" s="63"/>
      <c r="N23" s="57"/>
      <c r="O23" s="61"/>
      <c r="P23" s="61"/>
      <c r="Q23" s="61"/>
      <c r="R23" s="61"/>
      <c r="S23" s="58"/>
    </row>
    <row r="24" spans="4:19" x14ac:dyDescent="0.3">
      <c r="D24" s="60"/>
      <c r="E24" s="60"/>
      <c r="F24" s="60"/>
      <c r="G24" s="60"/>
      <c r="H24" s="58" t="s">
        <v>35</v>
      </c>
      <c r="I24" s="58" t="s">
        <v>35</v>
      </c>
      <c r="J24" s="63"/>
      <c r="K24" s="63"/>
      <c r="L24" s="63"/>
      <c r="M24" s="63"/>
      <c r="N24" s="57" t="s">
        <v>35</v>
      </c>
      <c r="O24" s="57" t="s">
        <v>37</v>
      </c>
      <c r="P24" s="58" t="s">
        <v>35</v>
      </c>
      <c r="Q24" s="59" t="s">
        <v>35</v>
      </c>
      <c r="R24" s="59" t="s">
        <v>35</v>
      </c>
      <c r="S24" s="58" t="s">
        <v>35</v>
      </c>
    </row>
    <row r="25" spans="4:19" x14ac:dyDescent="0.3">
      <c r="D25" s="60"/>
      <c r="E25" s="60"/>
      <c r="F25" s="60"/>
      <c r="G25" s="60"/>
      <c r="H25" s="58"/>
      <c r="I25" s="58"/>
      <c r="J25" s="63"/>
      <c r="K25" s="63"/>
      <c r="L25" s="63"/>
      <c r="M25" s="63"/>
      <c r="N25" s="57"/>
      <c r="O25" s="57"/>
      <c r="P25" s="58"/>
      <c r="Q25" s="59"/>
      <c r="R25" s="59"/>
      <c r="S25" s="58"/>
    </row>
    <row r="26" spans="4:19" x14ac:dyDescent="0.3">
      <c r="D26" s="60"/>
      <c r="E26" s="60"/>
      <c r="F26" s="60"/>
      <c r="G26" s="60"/>
      <c r="H26" s="58"/>
      <c r="I26" s="58"/>
      <c r="J26" s="63"/>
      <c r="K26" s="63"/>
      <c r="L26" s="63"/>
      <c r="M26" s="63"/>
      <c r="N26" s="57"/>
      <c r="O26" s="57"/>
      <c r="P26" s="58"/>
      <c r="Q26" s="59"/>
      <c r="R26" s="59"/>
      <c r="S26" s="58"/>
    </row>
    <row r="27" spans="4:19" ht="15" thickBot="1" x14ac:dyDescent="0.35">
      <c r="D27" s="60"/>
      <c r="E27" s="60"/>
      <c r="F27" s="60"/>
      <c r="G27" s="60"/>
      <c r="H27" s="58"/>
      <c r="I27" s="58"/>
      <c r="J27" s="63"/>
      <c r="K27" s="63"/>
      <c r="L27" s="63"/>
      <c r="M27" s="63"/>
      <c r="N27" s="57"/>
      <c r="O27" s="57"/>
      <c r="P27" s="58"/>
      <c r="Q27" s="59"/>
      <c r="R27" s="59"/>
      <c r="S27" s="58"/>
    </row>
    <row r="28" spans="4:19" x14ac:dyDescent="0.3">
      <c r="D28" s="56"/>
      <c r="E28" s="56"/>
      <c r="F28" s="56"/>
      <c r="G28" s="56"/>
      <c r="H28">
        <v>0.89</v>
      </c>
      <c r="I28">
        <v>0.89</v>
      </c>
      <c r="J28">
        <v>1.25</v>
      </c>
      <c r="K28">
        <v>1.25</v>
      </c>
      <c r="L28">
        <v>1.25</v>
      </c>
      <c r="M28">
        <v>1.25</v>
      </c>
      <c r="N28">
        <v>0.8</v>
      </c>
      <c r="O28">
        <v>0.8</v>
      </c>
      <c r="P28">
        <v>0.89</v>
      </c>
      <c r="Q28">
        <v>0.84</v>
      </c>
      <c r="R28">
        <v>0.84</v>
      </c>
      <c r="S28">
        <v>0.89</v>
      </c>
    </row>
    <row r="29" spans="4:19" x14ac:dyDescent="0.3">
      <c r="D29" s="60">
        <f>SUM(D28:S28)</f>
        <v>11.840000000000002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</sheetData>
  <mergeCells count="50">
    <mergeCell ref="K6:K7"/>
    <mergeCell ref="M6:M7"/>
    <mergeCell ref="N6:N7"/>
    <mergeCell ref="O6:O7"/>
    <mergeCell ref="E8:E9"/>
    <mergeCell ref="F8:F9"/>
    <mergeCell ref="G8:G9"/>
    <mergeCell ref="H8:H9"/>
    <mergeCell ref="I8:I9"/>
    <mergeCell ref="J8:J9"/>
    <mergeCell ref="E6:E7"/>
    <mergeCell ref="F6:F7"/>
    <mergeCell ref="G6:G7"/>
    <mergeCell ref="H6:H7"/>
    <mergeCell ref="I6:I7"/>
    <mergeCell ref="J6:J7"/>
    <mergeCell ref="K8:K9"/>
    <mergeCell ref="M8:M9"/>
    <mergeCell ref="N8:N9"/>
    <mergeCell ref="O8:O9"/>
    <mergeCell ref="D18:R18"/>
    <mergeCell ref="S20:S23"/>
    <mergeCell ref="D24:D27"/>
    <mergeCell ref="E24:E27"/>
    <mergeCell ref="F24:F27"/>
    <mergeCell ref="G24:G27"/>
    <mergeCell ref="H24:H27"/>
    <mergeCell ref="I20:I23"/>
    <mergeCell ref="J20:J27"/>
    <mergeCell ref="K20:K27"/>
    <mergeCell ref="L20:L27"/>
    <mergeCell ref="M20:M27"/>
    <mergeCell ref="N20:N23"/>
    <mergeCell ref="I24:I27"/>
    <mergeCell ref="N24:N27"/>
    <mergeCell ref="D20:D23"/>
    <mergeCell ref="E20:E23"/>
    <mergeCell ref="D29:R29"/>
    <mergeCell ref="O20:O23"/>
    <mergeCell ref="P20:P23"/>
    <mergeCell ref="Q20:Q23"/>
    <mergeCell ref="R20:R23"/>
    <mergeCell ref="F20:F23"/>
    <mergeCell ref="G20:G23"/>
    <mergeCell ref="H20:H23"/>
    <mergeCell ref="O24:O27"/>
    <mergeCell ref="P24:P27"/>
    <mergeCell ref="Q24:Q27"/>
    <mergeCell ref="R24:R27"/>
    <mergeCell ref="S24:S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2026-05-11T22:50:03Z</dcterms:modified>
</cp:coreProperties>
</file>