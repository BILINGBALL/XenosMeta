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#11发货\"/>
    </mc:Choice>
  </mc:AlternateContent>
  <xr:revisionPtr revIDLastSave="0" documentId="13_ncr:1_{143A1B07-A3A9-467E-9519-E1F69726E4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O6" i="1"/>
  <c r="M6" i="1"/>
  <c r="P6" i="1" s="1"/>
  <c r="J6" i="1"/>
  <c r="H6" i="1"/>
  <c r="F6" i="1"/>
  <c r="Q5" i="1" l="1"/>
  <c r="O5" i="1"/>
  <c r="M5" i="1"/>
  <c r="P5" i="1" s="1"/>
  <c r="J5" i="1"/>
  <c r="H5" i="1"/>
  <c r="F5" i="1" s="1"/>
  <c r="Q4" i="1" l="1"/>
  <c r="O4" i="1"/>
  <c r="M4" i="1"/>
  <c r="P4" i="1" s="1"/>
  <c r="J4" i="1"/>
  <c r="H4" i="1"/>
  <c r="F4" i="1"/>
  <c r="K7" i="1" l="1"/>
  <c r="F7" i="1" l="1"/>
  <c r="Q7" i="1"/>
  <c r="P7" i="1"/>
  <c r="O7" i="1"/>
  <c r="H7" i="1"/>
</calcChain>
</file>

<file path=xl/sharedStrings.xml><?xml version="1.0" encoding="utf-8"?>
<sst xmlns="http://schemas.openxmlformats.org/spreadsheetml/2006/main" count="35" uniqueCount="32">
  <si>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</si>
  <si>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</si>
  <si>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</si>
  <si>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</si>
  <si>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</si>
  <si>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</si>
  <si>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</si>
  <si>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</si>
  <si>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</si>
  <si>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</si>
  <si>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</si>
  <si>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</si>
  <si>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</si>
  <si>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</si>
  <si>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</si>
  <si>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</si>
  <si>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</si>
  <si>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</si>
  <si>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</si>
  <si>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</si>
  <si>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</si>
  <si>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</si>
  <si>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</si>
  <si>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</si>
  <si>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t>26x190</t>
    <phoneticPr fontId="9" type="noConversion"/>
  </si>
  <si>
    <t>24x165</t>
  </si>
  <si>
    <t>#11</t>
    <phoneticPr fontId="9" type="noConversion"/>
  </si>
  <si>
    <t>螺纹道钉
配弹垫
SCREW SPIKE
with WASHER</t>
  </si>
  <si>
    <r>
      <rPr>
        <sz val="8"/>
        <color theme="1"/>
        <rFont val="宋体"/>
        <family val="3"/>
        <charset val="134"/>
        <scheme val="minor"/>
      </rP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</si>
  <si>
    <t>1/24-13/24</t>
    <phoneticPr fontId="9" type="noConversion"/>
  </si>
  <si>
    <t>14/24-19/24</t>
    <phoneticPr fontId="9" type="noConversion"/>
  </si>
  <si>
    <t>20/24-24/24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</si>
</sst>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4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8"/>
  <sheetViews>
    <sheetView tabSelected="1" workbookViewId="0">
      <selection activeCell="I7" sqref="I7"/>
    </sheetView>
  </sheetViews>
  <sheetFormatPr defaultColWidth="9" defaultRowHeight="13.5" x14ac:dyDescent="0.15"/>
  <cols>
    <col min="1" max="1" width="4.625" customWidth="1"/>
    <col min="2" max="2" width="10.25" customWidth="1"/>
    <col min="3" max="3" width="9.5" customWidth="1"/>
    <col min="4" max="4" width="9.625" customWidth="1"/>
    <col min="5" max="5" width="12.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8" ht="66.75" customHeight="1" x14ac:dyDescent="0.15">
      <c r="A1" s="20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8" ht="30.75" customHeight="1" x14ac:dyDescent="0.15">
      <c r="A2" s="14" t="s">
        <v>26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8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8" ht="51.75" customHeight="1" x14ac:dyDescent="0.15">
      <c r="A4" s="15">
        <v>1</v>
      </c>
      <c r="B4" s="4" t="s">
        <v>17</v>
      </c>
      <c r="C4" s="16" t="s">
        <v>24</v>
      </c>
      <c r="D4" s="17">
        <v>9556</v>
      </c>
      <c r="E4" s="18" t="s">
        <v>29</v>
      </c>
      <c r="F4" s="2">
        <f t="shared" ref="F4:F6" si="0">G4*H4</f>
        <v>10400</v>
      </c>
      <c r="G4" s="15">
        <v>25</v>
      </c>
      <c r="H4" s="15">
        <f t="shared" ref="H4:H6" si="1">I4*K4</f>
        <v>416</v>
      </c>
      <c r="I4" s="15">
        <v>32</v>
      </c>
      <c r="J4" s="15">
        <f t="shared" ref="J4:J6" si="2">G4*I4</f>
        <v>800</v>
      </c>
      <c r="K4" s="15">
        <v>13</v>
      </c>
      <c r="L4" s="15">
        <v>552</v>
      </c>
      <c r="M4" s="15">
        <f t="shared" ref="M4:M6" si="3">L4+42</f>
        <v>594</v>
      </c>
      <c r="N4" s="8" t="s">
        <v>23</v>
      </c>
      <c r="O4" s="15">
        <f t="shared" ref="O4:O6" si="4">L4*K4</f>
        <v>7176</v>
      </c>
      <c r="P4" s="15">
        <f t="shared" ref="P4:P6" si="5">M4*K4</f>
        <v>7722</v>
      </c>
      <c r="Q4" s="18">
        <f>0.48*K4</f>
        <v>6.24</v>
      </c>
      <c r="R4" s="12"/>
    </row>
    <row r="5" spans="1:18" ht="51.75" customHeight="1" x14ac:dyDescent="0.15">
      <c r="A5" s="15">
        <v>2</v>
      </c>
      <c r="B5" s="4" t="s">
        <v>17</v>
      </c>
      <c r="C5" s="16" t="s">
        <v>25</v>
      </c>
      <c r="D5" s="17">
        <v>9560</v>
      </c>
      <c r="E5" s="18" t="s">
        <v>30</v>
      </c>
      <c r="F5" s="2">
        <f t="shared" ref="F5" si="6">G5*H5</f>
        <v>6000</v>
      </c>
      <c r="G5" s="15">
        <v>25</v>
      </c>
      <c r="H5" s="15">
        <f t="shared" ref="H5" si="7">I5*K5</f>
        <v>240</v>
      </c>
      <c r="I5" s="15">
        <v>40</v>
      </c>
      <c r="J5" s="15">
        <f t="shared" ref="J5" si="8">G5*I5</f>
        <v>1000</v>
      </c>
      <c r="K5" s="15">
        <v>6</v>
      </c>
      <c r="L5" s="15">
        <v>600</v>
      </c>
      <c r="M5" s="15">
        <f t="shared" ref="M5" si="9">L5+42</f>
        <v>642</v>
      </c>
      <c r="N5" s="8" t="s">
        <v>23</v>
      </c>
      <c r="O5" s="15">
        <f t="shared" ref="O5" si="10">L5*K5</f>
        <v>3600</v>
      </c>
      <c r="P5" s="15">
        <f t="shared" ref="P5" si="11">M5*K5</f>
        <v>3852</v>
      </c>
      <c r="Q5" s="18">
        <f t="shared" ref="Q5" si="12">0.48*K5</f>
        <v>2.88</v>
      </c>
      <c r="R5" s="12"/>
    </row>
    <row r="6" spans="1:18" ht="51.75" customHeight="1" x14ac:dyDescent="0.15">
      <c r="A6" s="15">
        <v>3</v>
      </c>
      <c r="B6" s="8" t="s">
        <v>27</v>
      </c>
      <c r="C6" s="16" t="s">
        <v>25</v>
      </c>
      <c r="D6" s="23">
        <v>9561</v>
      </c>
      <c r="E6" s="18" t="s">
        <v>31</v>
      </c>
      <c r="F6" s="2">
        <f>G6*H6</f>
        <v>4000</v>
      </c>
      <c r="G6" s="15">
        <v>25</v>
      </c>
      <c r="H6" s="15">
        <f>I6*K6</f>
        <v>160</v>
      </c>
      <c r="I6" s="15">
        <v>32</v>
      </c>
      <c r="J6" s="15">
        <f>G6*I6</f>
        <v>800</v>
      </c>
      <c r="K6" s="15">
        <v>5</v>
      </c>
      <c r="L6" s="15">
        <v>544</v>
      </c>
      <c r="M6" s="15">
        <f>L6+42</f>
        <v>586</v>
      </c>
      <c r="N6" s="8" t="s">
        <v>28</v>
      </c>
      <c r="O6" s="15">
        <f>L6*K6</f>
        <v>2720</v>
      </c>
      <c r="P6" s="15">
        <f>M6*K6</f>
        <v>2930</v>
      </c>
      <c r="Q6" s="18">
        <f>0.48*K6</f>
        <v>2.4</v>
      </c>
      <c r="R6" s="12"/>
    </row>
    <row r="7" spans="1:18" ht="35.25" customHeight="1" x14ac:dyDescent="0.15">
      <c r="A7" s="22" t="s">
        <v>18</v>
      </c>
      <c r="B7" s="22"/>
      <c r="C7" s="22"/>
      <c r="D7" s="3"/>
      <c r="E7" s="1"/>
      <c r="F7" s="3">
        <f>SUM(F4:F6)</f>
        <v>20400</v>
      </c>
      <c r="G7" s="3"/>
      <c r="H7" s="3">
        <f>SUM(H4:H6)</f>
        <v>816</v>
      </c>
      <c r="I7" s="3"/>
      <c r="K7" s="3">
        <f>SUM(K4:K6)</f>
        <v>24</v>
      </c>
      <c r="L7" s="3"/>
      <c r="M7" s="3"/>
      <c r="N7" s="1"/>
      <c r="O7" s="3">
        <f>SUM(O4:O6)</f>
        <v>13496</v>
      </c>
      <c r="P7" s="3">
        <f>SUM(P4:P6)</f>
        <v>14504</v>
      </c>
      <c r="Q7" s="1">
        <f>SUM(Q4:Q6)</f>
        <v>11.520000000000001</v>
      </c>
    </row>
    <row r="8" spans="1:18" ht="21" customHeight="1" x14ac:dyDescent="0.15">
      <c r="A8" s="5"/>
      <c r="B8" s="5"/>
      <c r="C8" s="5"/>
      <c r="E8" s="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8" ht="21" customHeight="1" x14ac:dyDescent="0.15">
      <c r="A9" s="5"/>
      <c r="B9" s="6" t="s">
        <v>19</v>
      </c>
      <c r="C9" s="5" t="s">
        <v>20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8" ht="18.75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19" t="s">
        <v>21</v>
      </c>
      <c r="O10" s="19"/>
      <c r="P10" s="19"/>
      <c r="Q10" s="19"/>
    </row>
    <row r="11" spans="1:18" ht="18.75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19">
        <v>46142</v>
      </c>
      <c r="O11" s="19"/>
      <c r="P11" s="19"/>
      <c r="Q11" s="19"/>
    </row>
    <row r="12" spans="1:18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8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8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8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8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</sheetData>
  <mergeCells count="4">
    <mergeCell ref="N11:Q11"/>
    <mergeCell ref="A1:Q1"/>
    <mergeCell ref="A7:C7"/>
    <mergeCell ref="N10:Q10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2026-04-30T03:07:47Z</cp:lastPrinted>
  <dcterms:created xsi:type="dcterms:W3CDTF">2006-09-13T11:21:00Z</dcterms:created>
  <dcterms:modified xsi:type="dcterms:W3CDTF">2026-04-30T03:10:35Z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