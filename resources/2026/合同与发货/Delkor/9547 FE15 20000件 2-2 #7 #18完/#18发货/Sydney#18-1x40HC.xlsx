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R:\Accounts\Kai's worksheet\Kai Shipping\Sydney\Sydney#18-TMT\"/>
    </mc:Choice>
  </mc:AlternateContent>
  <xr:revisionPtr revIDLastSave="0" documentId="13_ncr:1_{58901F39-FDE6-47F7-8BC2-57911012438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D17" i="1"/>
  <c r="L12" i="1"/>
  <c r="M11" i="1"/>
  <c r="N11" i="1" s="1"/>
  <c r="K11" i="1"/>
  <c r="F11" i="1"/>
  <c r="M10" i="1"/>
  <c r="N10" i="1" s="1"/>
  <c r="K10" i="1"/>
  <c r="F10" i="1"/>
  <c r="M8" i="1"/>
  <c r="O8" i="1" s="1"/>
  <c r="K8" i="1"/>
  <c r="F8" i="1"/>
  <c r="M6" i="1"/>
  <c r="O6" i="1" s="1"/>
  <c r="K6" i="1"/>
  <c r="F6" i="1"/>
  <c r="M5" i="1"/>
  <c r="K5" i="1"/>
  <c r="F5" i="1"/>
  <c r="M4" i="1"/>
  <c r="N4" i="1" s="1"/>
  <c r="K4" i="1"/>
  <c r="M3" i="1"/>
  <c r="N3" i="1" s="1"/>
  <c r="K3" i="1"/>
  <c r="F3" i="1"/>
  <c r="O11" i="1" l="1"/>
  <c r="O5" i="1"/>
  <c r="N8" i="1"/>
  <c r="M12" i="1"/>
  <c r="O10" i="1"/>
  <c r="N6" i="1"/>
  <c r="O4" i="1"/>
  <c r="O3" i="1"/>
  <c r="N5" i="1"/>
  <c r="N12" i="1" l="1"/>
  <c r="O12" i="1"/>
</calcChain>
</file>

<file path=xl/sharedStrings.xml><?xml version="1.0" encoding="utf-8"?>
<sst xmlns="http://schemas.openxmlformats.org/spreadsheetml/2006/main" count="61" uniqueCount="35">
  <si>
    <t>40HC</t>
  </si>
  <si>
    <t>PO</t>
  </si>
  <si>
    <t>Supplier</t>
  </si>
  <si>
    <t>Description</t>
  </si>
  <si>
    <t>Qty / Package</t>
  </si>
  <si>
    <t>G.W. Kg</t>
  </si>
  <si>
    <t>Pack Weight</t>
  </si>
  <si>
    <t>N.W. Kg</t>
  </si>
  <si>
    <t>L (m)</t>
  </si>
  <si>
    <t>W (m)</t>
  </si>
  <si>
    <t>H (m)</t>
  </si>
  <si>
    <t>Volume Cbm</t>
  </si>
  <si>
    <t>Est. Qty</t>
  </si>
  <si>
    <t>Est. Packages</t>
  </si>
  <si>
    <t>Est. Weight</t>
  </si>
  <si>
    <t>Est CBM</t>
  </si>
  <si>
    <t>EXW DATE</t>
  </si>
  <si>
    <t>Sudelan</t>
  </si>
  <si>
    <t>TMT</t>
  </si>
  <si>
    <t>Air Spring (WTP)</t>
  </si>
  <si>
    <t>MSP00871</t>
  </si>
  <si>
    <t>Air Bellows</t>
  </si>
  <si>
    <t>MSP00894</t>
  </si>
  <si>
    <t>Railteco</t>
  </si>
  <si>
    <t>Axle Box Casting to Drawing # P230-01488</t>
  </si>
  <si>
    <t>Tie Bar Casting Detail to Drawing # P230-01496</t>
  </si>
  <si>
    <t>Tie Bar Casting OH to Drawing # P230-01515</t>
  </si>
  <si>
    <t>Lower Spring Seat to Drawing # P230-01561</t>
  </si>
  <si>
    <t>Upper Spring Seat to Drawing # P230-01562</t>
  </si>
  <si>
    <t>Fe 15 GAL DOUBLE HELLICAL SPRING WASHER</t>
  </si>
  <si>
    <t>26 Dia x190 Long Hex Heads Screwspikes 8.8 Graded</t>
  </si>
  <si>
    <t>x4</t>
  </si>
  <si>
    <t>x1+2</t>
  </si>
  <si>
    <t>x3</t>
  </si>
  <si>
    <t>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</si>
</sst>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_ "/>
    <numFmt numFmtId="167" formatCode="[$-C09]dd\-mmm\-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2060"/>
      <name val="Arial"/>
      <family val="2"/>
    </font>
    <font>
      <sz val="11"/>
      <name val="Calibri"/>
      <family val="2"/>
      <scheme val="minor"/>
    </font>
    <font>
      <sz val="11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/>
        <bgColor theme="8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167" fontId="1" fillId="0" borderId="0"/>
  </cellStyleXfs>
  <cellXfs count="4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4" fontId="0" fillId="0" borderId="3" xfId="0" applyNumberFormat="1" applyBorder="1"/>
    <xf numFmtId="0" fontId="0" fillId="4" borderId="3" xfId="0" applyFill="1" applyBorder="1" applyAlignment="1">
      <alignment horizontal="center" vertical="center"/>
    </xf>
    <xf numFmtId="2" fontId="0" fillId="4" borderId="3" xfId="0" applyNumberFormat="1" applyFill="1" applyBorder="1" applyAlignment="1">
      <alignment horizontal="center" vertical="center"/>
    </xf>
    <xf numFmtId="166" fontId="0" fillId="4" borderId="3" xfId="0" applyNumberForma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2" fontId="0" fillId="5" borderId="3" xfId="2" applyNumberFormat="1" applyFont="1" applyFill="1" applyBorder="1" applyAlignment="1">
      <alignment horizontal="center" vertical="center"/>
    </xf>
    <xf numFmtId="166" fontId="0" fillId="5" borderId="3" xfId="0" applyNumberForma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/>
    </xf>
    <xf numFmtId="2" fontId="6" fillId="5" borderId="3" xfId="0" applyNumberFormat="1" applyFont="1" applyFill="1" applyBorder="1" applyAlignment="1">
      <alignment horizontal="center" vertical="center"/>
    </xf>
    <xf numFmtId="1" fontId="0" fillId="6" borderId="3" xfId="0" applyNumberForma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167" fontId="0" fillId="6" borderId="3" xfId="2" applyFont="1" applyFill="1" applyBorder="1" applyAlignment="1">
      <alignment horizontal="center" vertical="center"/>
    </xf>
    <xf numFmtId="2" fontId="0" fillId="6" borderId="3" xfId="1" applyNumberFormat="1" applyFont="1" applyFill="1" applyBorder="1" applyAlignment="1">
      <alignment horizontal="center" vertical="center"/>
    </xf>
    <xf numFmtId="166" fontId="0" fillId="6" borderId="3" xfId="0" applyNumberFormat="1" applyFill="1" applyBorder="1" applyAlignment="1">
      <alignment horizontal="center" vertical="center"/>
    </xf>
    <xf numFmtId="2" fontId="1" fillId="6" borderId="3" xfId="0" applyNumberFormat="1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2" fontId="0" fillId="6" borderId="3" xfId="0" applyNumberFormat="1" applyFill="1" applyBorder="1" applyAlignment="1">
      <alignment horizontal="center" vertical="center"/>
    </xf>
    <xf numFmtId="1" fontId="0" fillId="7" borderId="3" xfId="0" applyNumberForma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2" fontId="5" fillId="7" borderId="3" xfId="0" applyNumberFormat="1" applyFont="1" applyFill="1" applyBorder="1" applyAlignment="1">
      <alignment horizontal="center" vertical="center"/>
    </xf>
    <xf numFmtId="166" fontId="0" fillId="7" borderId="3" xfId="0" applyNumberFormat="1" applyFill="1" applyBorder="1" applyAlignment="1">
      <alignment horizontal="center" vertical="center"/>
    </xf>
    <xf numFmtId="2" fontId="0" fillId="7" borderId="3" xfId="0" applyNumberFormat="1" applyFill="1" applyBorder="1" applyAlignment="1">
      <alignment horizontal="center" vertical="center"/>
    </xf>
    <xf numFmtId="0" fontId="0" fillId="7" borderId="3" xfId="0" applyFill="1" applyBorder="1" applyAlignment="1">
      <alignment horizontal="center"/>
    </xf>
    <xf numFmtId="0" fontId="0" fillId="7" borderId="3" xfId="0" applyFill="1" applyBorder="1" applyAlignment="1">
      <alignment horizontal="left" vertical="center"/>
    </xf>
    <xf numFmtId="2" fontId="5" fillId="7" borderId="3" xfId="2" applyNumberFormat="1" applyFont="1" applyFill="1" applyBorder="1" applyAlignment="1">
      <alignment horizontal="center" vertical="center"/>
    </xf>
    <xf numFmtId="2" fontId="0" fillId="7" borderId="3" xfId="2" applyNumberFormat="1" applyFont="1" applyFill="1" applyBorder="1" applyAlignment="1">
      <alignment horizontal="center" vertical="center"/>
    </xf>
    <xf numFmtId="2" fontId="1" fillId="7" borderId="3" xfId="0" applyNumberFormat="1" applyFont="1" applyFill="1" applyBorder="1" applyAlignment="1">
      <alignment horizontal="center" vertical="center"/>
    </xf>
    <xf numFmtId="2" fontId="1" fillId="7" borderId="3" xfId="0" applyNumberFormat="1" applyFont="1" applyFill="1" applyBorder="1"/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/>
    <xf numFmtId="0" fontId="1" fillId="0" borderId="0" xfId="0" applyFont="1" applyAlignment="1">
      <alignment horizontal="center"/>
    </xf>
    <xf numFmtId="0" fontId="1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3">
    <cellStyle name="Good" xfId="1" builtinId="26"/>
    <cellStyle name="Normal" xfId="0" builtinId="0"/>
    <cellStyle name="Normal 3 2" xfId="2" xr:uid="{D73178FC-7B31-4CFF-B760-7128307802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tabSelected="1" workbookViewId="0">
      <selection activeCell="C16" sqref="C16"/>
    </sheetView>
  </sheetViews>
  <sheetFormatPr defaultRowHeight="14.4" x14ac:dyDescent="0.3"/>
  <cols>
    <col min="1" max="1" width="10.88671875" bestFit="1" customWidth="1"/>
    <col min="3" max="3" width="60.6640625" bestFit="1" customWidth="1"/>
    <col min="16" max="17" width="10.5546875" bestFit="1" customWidth="1"/>
  </cols>
  <sheetData>
    <row r="1" spans="1:16" x14ac:dyDescent="0.3">
      <c r="A1" s="1">
        <v>46181</v>
      </c>
      <c r="C1" t="s">
        <v>0</v>
      </c>
      <c r="D1" s="2"/>
    </row>
    <row r="2" spans="1:16" ht="41.4" x14ac:dyDescent="0.3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5" t="s">
        <v>16</v>
      </c>
    </row>
    <row r="3" spans="1:16" x14ac:dyDescent="0.3">
      <c r="A3" s="8"/>
      <c r="B3" s="8" t="s">
        <v>18</v>
      </c>
      <c r="C3" s="8" t="s">
        <v>19</v>
      </c>
      <c r="D3" s="8">
        <v>1</v>
      </c>
      <c r="E3" s="8">
        <v>186</v>
      </c>
      <c r="F3" s="8">
        <f t="shared" ref="F3" si="0">E3-G3</f>
        <v>21</v>
      </c>
      <c r="G3" s="8">
        <v>165</v>
      </c>
      <c r="H3" s="8">
        <v>0.89</v>
      </c>
      <c r="I3" s="8">
        <v>0.89</v>
      </c>
      <c r="J3" s="8">
        <v>0.5</v>
      </c>
      <c r="K3" s="9">
        <f t="shared" ref="K3" si="1">(H3*I3)*J3</f>
        <v>0.39605000000000001</v>
      </c>
      <c r="L3" s="10">
        <v>40</v>
      </c>
      <c r="M3" s="8">
        <f t="shared" ref="M3" si="2">L3/D3</f>
        <v>40</v>
      </c>
      <c r="N3" s="8">
        <f t="shared" ref="N3" si="3">M3*E3</f>
        <v>7440</v>
      </c>
      <c r="O3" s="8">
        <f t="shared" ref="O3" si="4">M3*K3</f>
        <v>15.842000000000001</v>
      </c>
      <c r="P3" s="7">
        <v>46111</v>
      </c>
    </row>
    <row r="4" spans="1:16" x14ac:dyDescent="0.3">
      <c r="A4" s="11" t="s">
        <v>20</v>
      </c>
      <c r="B4" s="14" t="s">
        <v>18</v>
      </c>
      <c r="C4" s="15" t="s">
        <v>21</v>
      </c>
      <c r="D4" s="16">
        <v>4</v>
      </c>
      <c r="E4" s="16">
        <v>80</v>
      </c>
      <c r="F4" s="16">
        <v>52</v>
      </c>
      <c r="G4" s="16">
        <v>28</v>
      </c>
      <c r="H4" s="12">
        <v>1.22</v>
      </c>
      <c r="I4" s="12">
        <v>0.67</v>
      </c>
      <c r="J4" s="12">
        <v>0.76</v>
      </c>
      <c r="K4" s="17">
        <f t="shared" ref="K4" si="5">H4*I4*J4</f>
        <v>0.621224</v>
      </c>
      <c r="L4" s="13">
        <v>48</v>
      </c>
      <c r="M4" s="16">
        <f>L4/D4</f>
        <v>12</v>
      </c>
      <c r="N4" s="16">
        <f>M4*E4</f>
        <v>960</v>
      </c>
      <c r="O4" s="17">
        <f>M4*K4</f>
        <v>7.454688</v>
      </c>
      <c r="P4" s="7">
        <v>45999</v>
      </c>
    </row>
    <row r="5" spans="1:16" x14ac:dyDescent="0.3">
      <c r="A5" s="18" t="s">
        <v>22</v>
      </c>
      <c r="B5" s="19" t="s">
        <v>23</v>
      </c>
      <c r="C5" s="20" t="s">
        <v>24</v>
      </c>
      <c r="D5" s="19">
        <v>8</v>
      </c>
      <c r="E5" s="19">
        <v>755</v>
      </c>
      <c r="F5" s="19">
        <f t="shared" ref="F5:F6" si="6">E5-G5</f>
        <v>102</v>
      </c>
      <c r="G5" s="19">
        <v>653</v>
      </c>
      <c r="H5" s="19">
        <v>1.74</v>
      </c>
      <c r="I5" s="19">
        <v>1.25</v>
      </c>
      <c r="J5" s="19">
        <v>0.69</v>
      </c>
      <c r="K5" s="21">
        <f t="shared" ref="K5:K6" si="7">H5*I5*J5</f>
        <v>1.5007499999999998</v>
      </c>
      <c r="L5" s="22">
        <v>77</v>
      </c>
      <c r="M5" s="23">
        <f t="shared" ref="M5" si="8">L5/D5</f>
        <v>9.625</v>
      </c>
      <c r="N5" s="23">
        <f t="shared" ref="N5" si="9">M5*E5</f>
        <v>7266.875</v>
      </c>
      <c r="O5" s="23">
        <f>K5*M5</f>
        <v>14.444718749999998</v>
      </c>
      <c r="P5" s="6">
        <v>46157</v>
      </c>
    </row>
    <row r="6" spans="1:16" x14ac:dyDescent="0.3">
      <c r="A6" s="18" t="s">
        <v>22</v>
      </c>
      <c r="B6" s="19" t="s">
        <v>23</v>
      </c>
      <c r="C6" s="20" t="s">
        <v>25</v>
      </c>
      <c r="D6" s="19">
        <v>9</v>
      </c>
      <c r="E6" s="24">
        <v>579</v>
      </c>
      <c r="F6" s="24">
        <f t="shared" si="6"/>
        <v>52</v>
      </c>
      <c r="G6" s="24">
        <v>527</v>
      </c>
      <c r="H6" s="24">
        <v>1.27</v>
      </c>
      <c r="I6" s="24">
        <v>0.87</v>
      </c>
      <c r="J6" s="24">
        <v>0.58499999999999996</v>
      </c>
      <c r="K6" s="24">
        <f t="shared" si="7"/>
        <v>0.64636649999999995</v>
      </c>
      <c r="L6" s="22">
        <v>25</v>
      </c>
      <c r="M6" s="25">
        <f>L6/D6</f>
        <v>2.7777777777777777</v>
      </c>
      <c r="N6" s="25">
        <f>M6*E6</f>
        <v>1608.3333333333333</v>
      </c>
      <c r="O6" s="25">
        <f>M6*J6</f>
        <v>1.6249999999999998</v>
      </c>
      <c r="P6" s="6">
        <v>46157</v>
      </c>
    </row>
    <row r="7" spans="1:16" x14ac:dyDescent="0.3">
      <c r="A7" s="18" t="s">
        <v>22</v>
      </c>
      <c r="B7" s="19" t="s">
        <v>23</v>
      </c>
      <c r="C7" s="20" t="s">
        <v>26</v>
      </c>
      <c r="D7" s="19">
        <v>9</v>
      </c>
      <c r="E7" s="24"/>
      <c r="F7" s="24"/>
      <c r="G7" s="24"/>
      <c r="H7" s="24"/>
      <c r="I7" s="24"/>
      <c r="J7" s="24"/>
      <c r="K7" s="24"/>
      <c r="L7" s="22">
        <v>15</v>
      </c>
      <c r="M7" s="25"/>
      <c r="N7" s="25"/>
      <c r="O7" s="25"/>
      <c r="P7" s="6">
        <v>46157</v>
      </c>
    </row>
    <row r="8" spans="1:16" x14ac:dyDescent="0.3">
      <c r="A8" s="18" t="s">
        <v>22</v>
      </c>
      <c r="B8" s="19" t="s">
        <v>23</v>
      </c>
      <c r="C8" s="20" t="s">
        <v>27</v>
      </c>
      <c r="D8" s="19">
        <v>56</v>
      </c>
      <c r="E8" s="24">
        <v>438</v>
      </c>
      <c r="F8" s="24">
        <f>E8-G8</f>
        <v>64</v>
      </c>
      <c r="G8" s="24">
        <v>374</v>
      </c>
      <c r="H8" s="24">
        <v>1.01</v>
      </c>
      <c r="I8" s="24">
        <v>0.77500000000000002</v>
      </c>
      <c r="J8" s="24">
        <v>0.625</v>
      </c>
      <c r="K8" s="24">
        <f>H8*I8*J8</f>
        <v>0.48921875000000004</v>
      </c>
      <c r="L8" s="22">
        <v>94</v>
      </c>
      <c r="M8" s="25">
        <f>L8/D8</f>
        <v>1.6785714285714286</v>
      </c>
      <c r="N8" s="25">
        <f>M8*E8</f>
        <v>735.21428571428578</v>
      </c>
      <c r="O8" s="25">
        <f>M8*J8</f>
        <v>1.0491071428571428</v>
      </c>
      <c r="P8" s="6">
        <v>46157</v>
      </c>
    </row>
    <row r="9" spans="1:16" x14ac:dyDescent="0.3">
      <c r="A9" s="18" t="s">
        <v>22</v>
      </c>
      <c r="B9" s="19" t="s">
        <v>23</v>
      </c>
      <c r="C9" s="20" t="s">
        <v>28</v>
      </c>
      <c r="D9" s="19">
        <v>55</v>
      </c>
      <c r="E9" s="24"/>
      <c r="F9" s="24"/>
      <c r="G9" s="24"/>
      <c r="H9" s="24"/>
      <c r="I9" s="24"/>
      <c r="J9" s="24"/>
      <c r="K9" s="24"/>
      <c r="L9" s="22">
        <v>47</v>
      </c>
      <c r="M9" s="25"/>
      <c r="N9" s="25"/>
      <c r="O9" s="25"/>
      <c r="P9" s="6">
        <v>46157</v>
      </c>
    </row>
    <row r="10" spans="1:16" x14ac:dyDescent="0.3">
      <c r="A10" s="26">
        <v>9547</v>
      </c>
      <c r="B10" s="27" t="s">
        <v>17</v>
      </c>
      <c r="C10" s="27" t="s">
        <v>29</v>
      </c>
      <c r="D10" s="27">
        <v>4000</v>
      </c>
      <c r="E10" s="28">
        <v>424</v>
      </c>
      <c r="F10" s="28">
        <f>E10-G10</f>
        <v>52</v>
      </c>
      <c r="G10" s="28">
        <v>372</v>
      </c>
      <c r="H10" s="28">
        <v>1.1000000000000001</v>
      </c>
      <c r="I10" s="28">
        <v>0.8</v>
      </c>
      <c r="J10" s="28">
        <v>0.55000000000000004</v>
      </c>
      <c r="K10" s="28">
        <f t="shared" ref="K10" si="10">H10*I10*J10</f>
        <v>0.4840000000000001</v>
      </c>
      <c r="L10" s="29">
        <v>16000</v>
      </c>
      <c r="M10" s="30">
        <f t="shared" ref="M10:M11" si="11">L10/D10</f>
        <v>4</v>
      </c>
      <c r="N10" s="30">
        <f t="shared" ref="N10:N11" si="12">M10*E10</f>
        <v>1696</v>
      </c>
      <c r="O10" s="30">
        <f>M10*K10</f>
        <v>1.9360000000000004</v>
      </c>
      <c r="P10" s="7">
        <v>46112</v>
      </c>
    </row>
    <row r="11" spans="1:16" x14ac:dyDescent="0.3">
      <c r="A11" s="26">
        <v>9556</v>
      </c>
      <c r="B11" s="31" t="s">
        <v>17</v>
      </c>
      <c r="C11" s="32" t="s">
        <v>30</v>
      </c>
      <c r="D11" s="33">
        <v>800</v>
      </c>
      <c r="E11" s="34">
        <v>690</v>
      </c>
      <c r="F11" s="34">
        <f>E11-G11</f>
        <v>40</v>
      </c>
      <c r="G11" s="34">
        <v>650</v>
      </c>
      <c r="H11" s="34">
        <v>1.1000000000000001</v>
      </c>
      <c r="I11" s="34">
        <v>0.8</v>
      </c>
      <c r="J11" s="34">
        <v>0.55000000000000004</v>
      </c>
      <c r="K11" s="30">
        <f>H11*I11*J11</f>
        <v>0.4840000000000001</v>
      </c>
      <c r="L11" s="29">
        <v>5600</v>
      </c>
      <c r="M11" s="35">
        <f t="shared" si="11"/>
        <v>7</v>
      </c>
      <c r="N11" s="36">
        <f t="shared" si="12"/>
        <v>4830</v>
      </c>
      <c r="O11" s="36">
        <f t="shared" ref="O11" si="13">K11*M11</f>
        <v>3.3880000000000008</v>
      </c>
      <c r="P11" s="7">
        <v>46122</v>
      </c>
    </row>
    <row r="12" spans="1:16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37">
        <f>SUM(L3:L11)</f>
        <v>21946</v>
      </c>
      <c r="M12" s="37">
        <f>SUM(M3:M11)</f>
        <v>77.081349206349202</v>
      </c>
      <c r="N12" s="37">
        <f>SUM(N3:N11)</f>
        <v>24536.422619047618</v>
      </c>
      <c r="O12" s="37">
        <f>SUM(O3:O11)</f>
        <v>45.73951389285714</v>
      </c>
    </row>
    <row r="13" spans="1:16" x14ac:dyDescent="0.3">
      <c r="D13" s="2"/>
    </row>
    <row r="14" spans="1:16" x14ac:dyDescent="0.3">
      <c r="D14" s="2"/>
    </row>
    <row r="15" spans="1:16" x14ac:dyDescent="0.3">
      <c r="D15" s="2"/>
    </row>
    <row r="17" spans="4:19" ht="15" thickBot="1" x14ac:dyDescent="0.35">
      <c r="D17" s="38">
        <f>SUM(D18:S18)</f>
        <v>11.570000000000002</v>
      </c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</row>
    <row r="18" spans="4:19" x14ac:dyDescent="0.3">
      <c r="D18" s="39"/>
      <c r="E18" s="39"/>
      <c r="F18" s="39"/>
      <c r="H18">
        <v>0.8</v>
      </c>
      <c r="I18">
        <v>0.87</v>
      </c>
      <c r="J18">
        <v>1.25</v>
      </c>
      <c r="K18">
        <v>1.25</v>
      </c>
      <c r="L18">
        <v>1.25</v>
      </c>
      <c r="M18">
        <v>1.25</v>
      </c>
      <c r="N18">
        <v>0.67</v>
      </c>
      <c r="O18">
        <v>0.67</v>
      </c>
      <c r="P18">
        <v>0.89</v>
      </c>
      <c r="Q18">
        <v>0.89</v>
      </c>
      <c r="R18">
        <v>0.89</v>
      </c>
      <c r="S18">
        <v>0.89</v>
      </c>
    </row>
    <row r="19" spans="4:19" x14ac:dyDescent="0.3">
      <c r="D19" s="38"/>
      <c r="E19" s="38"/>
      <c r="F19" s="38"/>
      <c r="G19" s="40"/>
      <c r="H19" s="41" t="s">
        <v>31</v>
      </c>
      <c r="I19" s="42" t="s">
        <v>32</v>
      </c>
      <c r="J19" s="43" t="s">
        <v>32</v>
      </c>
      <c r="K19" s="43" t="s">
        <v>33</v>
      </c>
      <c r="L19" s="43" t="s">
        <v>33</v>
      </c>
      <c r="M19" s="43" t="s">
        <v>33</v>
      </c>
      <c r="N19" s="44" t="s">
        <v>33</v>
      </c>
      <c r="O19" s="44" t="s">
        <v>33</v>
      </c>
      <c r="P19" s="45" t="s">
        <v>34</v>
      </c>
      <c r="Q19" s="45" t="s">
        <v>34</v>
      </c>
      <c r="R19" s="45" t="s">
        <v>34</v>
      </c>
      <c r="S19" s="45" t="s">
        <v>34</v>
      </c>
    </row>
    <row r="20" spans="4:19" x14ac:dyDescent="0.3">
      <c r="D20" s="38"/>
      <c r="E20" s="38"/>
      <c r="F20" s="38"/>
      <c r="G20" s="38"/>
      <c r="H20" s="41"/>
      <c r="I20" s="42"/>
      <c r="J20" s="43"/>
      <c r="K20" s="43"/>
      <c r="L20" s="43"/>
      <c r="M20" s="43"/>
      <c r="N20" s="44"/>
      <c r="O20" s="44"/>
      <c r="P20" s="45"/>
      <c r="Q20" s="45"/>
      <c r="R20" s="45"/>
      <c r="S20" s="45"/>
    </row>
    <row r="21" spans="4:19" x14ac:dyDescent="0.3">
      <c r="D21" s="38"/>
      <c r="E21" s="38"/>
      <c r="F21" s="38"/>
      <c r="G21" s="38"/>
      <c r="H21" s="41"/>
      <c r="I21" s="42"/>
      <c r="J21" s="43"/>
      <c r="K21" s="43"/>
      <c r="L21" s="43"/>
      <c r="M21" s="43"/>
      <c r="N21" s="44"/>
      <c r="O21" s="44"/>
      <c r="P21" s="45"/>
      <c r="Q21" s="45"/>
      <c r="R21" s="45"/>
      <c r="S21" s="45"/>
    </row>
    <row r="22" spans="4:19" x14ac:dyDescent="0.3">
      <c r="D22" s="38"/>
      <c r="E22" s="38"/>
      <c r="F22" s="38"/>
      <c r="G22" s="38"/>
      <c r="H22" s="41"/>
      <c r="I22" s="42"/>
      <c r="J22" s="43"/>
      <c r="K22" s="43"/>
      <c r="L22" s="43"/>
      <c r="M22" s="43"/>
      <c r="N22" s="44"/>
      <c r="O22" s="44"/>
      <c r="P22" s="45"/>
      <c r="Q22" s="45"/>
      <c r="R22" s="45"/>
      <c r="S22" s="45"/>
    </row>
    <row r="23" spans="4:19" x14ac:dyDescent="0.3">
      <c r="D23" s="38"/>
      <c r="E23" s="38"/>
      <c r="F23" s="38"/>
      <c r="G23" s="38"/>
      <c r="H23" s="41" t="s">
        <v>31</v>
      </c>
      <c r="I23" s="41" t="s">
        <v>31</v>
      </c>
      <c r="J23" s="43"/>
      <c r="K23" s="43"/>
      <c r="L23" s="43"/>
      <c r="M23" s="43"/>
      <c r="N23" s="45" t="s">
        <v>34</v>
      </c>
      <c r="O23" s="45" t="s">
        <v>34</v>
      </c>
      <c r="P23" s="45" t="s">
        <v>34</v>
      </c>
      <c r="Q23" s="45" t="s">
        <v>34</v>
      </c>
      <c r="R23" s="44" t="s">
        <v>33</v>
      </c>
      <c r="S23" s="44" t="s">
        <v>33</v>
      </c>
    </row>
    <row r="24" spans="4:19" x14ac:dyDescent="0.3">
      <c r="D24" s="38"/>
      <c r="E24" s="38"/>
      <c r="F24" s="38"/>
      <c r="G24" s="38"/>
      <c r="H24" s="41"/>
      <c r="I24" s="41"/>
      <c r="J24" s="43"/>
      <c r="K24" s="43"/>
      <c r="L24" s="43"/>
      <c r="M24" s="43"/>
      <c r="N24" s="45"/>
      <c r="O24" s="45"/>
      <c r="P24" s="45"/>
      <c r="Q24" s="45"/>
      <c r="R24" s="44"/>
      <c r="S24" s="44"/>
    </row>
    <row r="25" spans="4:19" x14ac:dyDescent="0.3">
      <c r="D25" s="38"/>
      <c r="E25" s="38"/>
      <c r="F25" s="38"/>
      <c r="G25" s="38"/>
      <c r="H25" s="41"/>
      <c r="I25" s="41"/>
      <c r="J25" s="43"/>
      <c r="K25" s="43"/>
      <c r="L25" s="43"/>
      <c r="M25" s="43"/>
      <c r="N25" s="45"/>
      <c r="O25" s="45"/>
      <c r="P25" s="45"/>
      <c r="Q25" s="45"/>
      <c r="R25" s="44"/>
      <c r="S25" s="44"/>
    </row>
    <row r="26" spans="4:19" ht="15" thickBot="1" x14ac:dyDescent="0.35">
      <c r="D26" s="38"/>
      <c r="E26" s="38"/>
      <c r="F26" s="38"/>
      <c r="G26" s="38"/>
      <c r="H26" s="41"/>
      <c r="I26" s="41"/>
      <c r="J26" s="43"/>
      <c r="K26" s="43"/>
      <c r="L26" s="43"/>
      <c r="M26" s="43"/>
      <c r="N26" s="45"/>
      <c r="O26" s="45"/>
      <c r="P26" s="45"/>
      <c r="Q26" s="45"/>
      <c r="R26" s="44"/>
      <c r="S26" s="44"/>
    </row>
    <row r="27" spans="4:19" x14ac:dyDescent="0.3">
      <c r="D27" s="39"/>
      <c r="E27" s="39"/>
      <c r="F27" s="39"/>
      <c r="G27" s="39"/>
      <c r="H27">
        <v>0.8</v>
      </c>
      <c r="I27">
        <v>0.8</v>
      </c>
      <c r="J27">
        <v>1.25</v>
      </c>
      <c r="K27">
        <v>1.25</v>
      </c>
      <c r="L27">
        <v>1.25</v>
      </c>
      <c r="M27">
        <v>1.25</v>
      </c>
      <c r="N27">
        <v>0.89</v>
      </c>
      <c r="O27">
        <v>0.89</v>
      </c>
      <c r="P27">
        <v>0.89</v>
      </c>
      <c r="Q27">
        <v>0.89</v>
      </c>
      <c r="R27">
        <v>0.67</v>
      </c>
      <c r="S27">
        <v>0.67</v>
      </c>
    </row>
    <row r="28" spans="4:19" x14ac:dyDescent="0.3">
      <c r="D28" s="38">
        <f>SUM(D27:S27)</f>
        <v>11.5</v>
      </c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</row>
  </sheetData>
  <mergeCells count="50">
    <mergeCell ref="O23:O26"/>
    <mergeCell ref="P23:P26"/>
    <mergeCell ref="Q23:Q26"/>
    <mergeCell ref="R23:R26"/>
    <mergeCell ref="S23:S26"/>
    <mergeCell ref="D28:R28"/>
    <mergeCell ref="O19:O22"/>
    <mergeCell ref="P19:P22"/>
    <mergeCell ref="Q19:Q22"/>
    <mergeCell ref="R19:R22"/>
    <mergeCell ref="S19:S22"/>
    <mergeCell ref="D23:D26"/>
    <mergeCell ref="E23:E26"/>
    <mergeCell ref="F23:F26"/>
    <mergeCell ref="G23:G26"/>
    <mergeCell ref="H23:H26"/>
    <mergeCell ref="I19:I22"/>
    <mergeCell ref="J19:J26"/>
    <mergeCell ref="K19:K26"/>
    <mergeCell ref="L19:L26"/>
    <mergeCell ref="M19:M26"/>
    <mergeCell ref="N19:N22"/>
    <mergeCell ref="I23:I26"/>
    <mergeCell ref="N23:N26"/>
    <mergeCell ref="K8:K9"/>
    <mergeCell ref="M8:M9"/>
    <mergeCell ref="N8:N9"/>
    <mergeCell ref="O8:O9"/>
    <mergeCell ref="D17:R17"/>
    <mergeCell ref="D19:D22"/>
    <mergeCell ref="E19:E22"/>
    <mergeCell ref="F19:F22"/>
    <mergeCell ref="G19:G22"/>
    <mergeCell ref="H19:H22"/>
    <mergeCell ref="K6:K7"/>
    <mergeCell ref="M6:M7"/>
    <mergeCell ref="N6:N7"/>
    <mergeCell ref="O6:O7"/>
    <mergeCell ref="E8:E9"/>
    <mergeCell ref="F8:F9"/>
    <mergeCell ref="G8:G9"/>
    <mergeCell ref="H8:H9"/>
    <mergeCell ref="I8:I9"/>
    <mergeCell ref="J8:J9"/>
    <mergeCell ref="E6:E7"/>
    <mergeCell ref="F6:F7"/>
    <mergeCell ref="G6:G7"/>
    <mergeCell ref="H6:H7"/>
    <mergeCell ref="I6:I7"/>
    <mergeCell ref="J6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Kai Zhu</cp:lastModifiedBy>
  <dcterms:created xsi:type="dcterms:W3CDTF">2015-06-05T18:17:20Z</dcterms:created>
  <dcterms:modified xsi:type="dcterms:W3CDTF">2026-06-04T04:19:05Z</dcterms:modified>
</cp:coreProperties>
</file>