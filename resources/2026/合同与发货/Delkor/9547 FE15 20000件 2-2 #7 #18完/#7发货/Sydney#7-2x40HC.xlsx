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R:\Accounts\Kai's worksheet\Kai Shipping\Sydney\Sydney#7-TMT\"/>
    </mc:Choice>
  </mc:AlternateContent>
  <xr:revisionPtr revIDLastSave="0" documentId="13_ncr:1_{98CA70F3-6AEF-43FF-9509-7FB1E1FD458D}" xr6:coauthVersionLast="47" xr6:coauthVersionMax="47" xr10:uidLastSave="{00000000-0000-0000-0000-000000000000}"/>
  <bookViews>
    <workbookView xWindow="96" yWindow="744" windowWidth="22944" windowHeight="136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6" i="1" l="1"/>
  <c r="N56" i="1"/>
  <c r="M56" i="1"/>
  <c r="M51" i="1"/>
  <c r="N51" i="1" s="1"/>
  <c r="K51" i="1"/>
  <c r="M50" i="1"/>
  <c r="N50" i="1" s="1"/>
  <c r="K50" i="1"/>
  <c r="O50" i="1" s="1"/>
  <c r="M49" i="1"/>
  <c r="N49" i="1" s="1"/>
  <c r="K49" i="1"/>
  <c r="M48" i="1"/>
  <c r="N48" i="1" s="1"/>
  <c r="K48" i="1"/>
  <c r="M47" i="1"/>
  <c r="N47" i="1" s="1"/>
  <c r="K47" i="1"/>
  <c r="M13" i="1"/>
  <c r="N13" i="1" s="1"/>
  <c r="K13" i="1"/>
  <c r="O13" i="1" s="1"/>
  <c r="M14" i="1"/>
  <c r="N14" i="1" s="1"/>
  <c r="K14" i="1"/>
  <c r="M15" i="1"/>
  <c r="N15" i="1" s="1"/>
  <c r="K15" i="1"/>
  <c r="O47" i="1" l="1"/>
  <c r="O48" i="1"/>
  <c r="O51" i="1"/>
  <c r="O49" i="1"/>
  <c r="O15" i="1"/>
  <c r="O14" i="1"/>
  <c r="L56" i="1"/>
  <c r="D70" i="1"/>
  <c r="D59" i="1"/>
  <c r="M53" i="1"/>
  <c r="N53" i="1" s="1"/>
  <c r="K53" i="1"/>
  <c r="O53" i="1" s="1"/>
  <c r="F53" i="1"/>
  <c r="M52" i="1"/>
  <c r="K52" i="1"/>
  <c r="F52" i="1"/>
  <c r="M46" i="1"/>
  <c r="K46" i="1"/>
  <c r="M45" i="1"/>
  <c r="K45" i="1"/>
  <c r="F45" i="1"/>
  <c r="M44" i="1"/>
  <c r="K44" i="1"/>
  <c r="F44" i="1"/>
  <c r="M43" i="1"/>
  <c r="K43" i="1"/>
  <c r="F43" i="1"/>
  <c r="D37" i="1"/>
  <c r="D26" i="1"/>
  <c r="L23" i="1"/>
  <c r="M22" i="1"/>
  <c r="N22" i="1" s="1"/>
  <c r="K22" i="1"/>
  <c r="M21" i="1"/>
  <c r="N21" i="1" s="1"/>
  <c r="K21" i="1"/>
  <c r="M20" i="1"/>
  <c r="K20" i="1"/>
  <c r="M19" i="1"/>
  <c r="K19" i="1"/>
  <c r="M18" i="1"/>
  <c r="N18" i="1" s="1"/>
  <c r="K18" i="1"/>
  <c r="M17" i="1"/>
  <c r="K17" i="1"/>
  <c r="M16" i="1"/>
  <c r="N16" i="1" s="1"/>
  <c r="K16" i="1"/>
  <c r="M12" i="1"/>
  <c r="N12" i="1" s="1"/>
  <c r="K12" i="1"/>
  <c r="M11" i="1"/>
  <c r="N11" i="1" s="1"/>
  <c r="K11" i="1"/>
  <c r="M9" i="1"/>
  <c r="O9" i="1" s="1"/>
  <c r="K9" i="1"/>
  <c r="F9" i="1"/>
  <c r="M7" i="1"/>
  <c r="O7" i="1" s="1"/>
  <c r="K7" i="1"/>
  <c r="F7" i="1"/>
  <c r="M6" i="1"/>
  <c r="N6" i="1" s="1"/>
  <c r="K6" i="1"/>
  <c r="F6" i="1"/>
  <c r="M5" i="1"/>
  <c r="N5" i="1" s="1"/>
  <c r="K5" i="1"/>
  <c r="M4" i="1"/>
  <c r="N4" i="1" s="1"/>
  <c r="K4" i="1"/>
  <c r="F4" i="1"/>
  <c r="M3" i="1"/>
  <c r="N3" i="1" s="1"/>
  <c r="K3" i="1"/>
  <c r="F3" i="1"/>
  <c r="O21" i="1" l="1"/>
  <c r="O6" i="1"/>
  <c r="O22" i="1"/>
  <c r="O11" i="1"/>
  <c r="O12" i="1"/>
  <c r="O18" i="1"/>
  <c r="O52" i="1"/>
  <c r="O46" i="1"/>
  <c r="O45" i="1"/>
  <c r="O17" i="1"/>
  <c r="O43" i="1"/>
  <c r="O20" i="1"/>
  <c r="O19" i="1"/>
  <c r="N7" i="1"/>
  <c r="O44" i="1"/>
  <c r="O16" i="1"/>
  <c r="M23" i="1"/>
  <c r="O3" i="1"/>
  <c r="N20" i="1"/>
  <c r="N46" i="1"/>
  <c r="N44" i="1"/>
  <c r="O5" i="1"/>
  <c r="N19" i="1"/>
  <c r="N9" i="1"/>
  <c r="N17" i="1"/>
  <c r="N45" i="1"/>
  <c r="N52" i="1"/>
  <c r="O4" i="1"/>
  <c r="N43" i="1"/>
  <c r="O23" i="1" l="1"/>
  <c r="N23" i="1"/>
</calcChain>
</file>

<file path=xl/sharedStrings.xml><?xml version="1.0" encoding="utf-8"?>
<sst xmlns="http://schemas.openxmlformats.org/spreadsheetml/2006/main" count="163" uniqueCount="70">
  <si>
    <t>PO</t>
  </si>
  <si>
    <t>Supplier</t>
  </si>
  <si>
    <t>Description</t>
  </si>
  <si>
    <t>Qty / Package</t>
  </si>
  <si>
    <t>G.W. Kg</t>
  </si>
  <si>
    <t>Pack Weight</t>
  </si>
  <si>
    <t>N.W. Kg</t>
  </si>
  <si>
    <t>L (m)</t>
  </si>
  <si>
    <t>W (m)</t>
  </si>
  <si>
    <t>H (m)</t>
  </si>
  <si>
    <t>Volume Cbm</t>
  </si>
  <si>
    <t>Est. Qty</t>
  </si>
  <si>
    <t>Est. Packages</t>
  </si>
  <si>
    <t>Est. Weight</t>
  </si>
  <si>
    <t>Est CBM</t>
  </si>
  <si>
    <t>EXW DATE</t>
  </si>
  <si>
    <t>TMT</t>
  </si>
  <si>
    <t>Air Spring (WTP)</t>
  </si>
  <si>
    <t>MSP00871</t>
  </si>
  <si>
    <t>Air Bellows</t>
  </si>
  <si>
    <t>MSP00894</t>
  </si>
  <si>
    <t>Railteco</t>
  </si>
  <si>
    <t>Axle Box Casting to Drawing # P230-01488</t>
  </si>
  <si>
    <t>Tie Bar Casting Detail to Drawing # P230-01496</t>
  </si>
  <si>
    <t>Tie Bar Casting OH to Drawing # P230-01515</t>
  </si>
  <si>
    <t>Lower Spring Seat to Drawing # P230-01561</t>
  </si>
  <si>
    <t>Upper Spring Seat to Drawing # P230-01562</t>
  </si>
  <si>
    <t>x3</t>
  </si>
  <si>
    <t>X4</t>
  </si>
  <si>
    <t>x4</t>
  </si>
  <si>
    <t>Fosco</t>
  </si>
  <si>
    <t>Sudelan</t>
  </si>
  <si>
    <t>SsR 24 x 180 Hot Dipped Galvanised Screwspike</t>
  </si>
  <si>
    <t>MSP804R6</t>
  </si>
  <si>
    <t>Air Bellow CO</t>
  </si>
  <si>
    <t>Lynn</t>
  </si>
  <si>
    <t>2440 x 1050 x 5mm HDPE Sheets Black</t>
  </si>
  <si>
    <t>Fe 15 GAL DOUBLE HELLICAL SPRING WASHER</t>
  </si>
  <si>
    <t>MSP00920</t>
  </si>
  <si>
    <t>Primary Spring (UGL Part # 1000529236 )</t>
  </si>
  <si>
    <t>MSP00921</t>
  </si>
  <si>
    <t>Traction Centre Assembly</t>
  </si>
  <si>
    <t>Traction Centre Retaining Cap Casting</t>
  </si>
  <si>
    <t>Suspension Bearer Pad</t>
  </si>
  <si>
    <t>HDPE Rail Seat Pad 5mm</t>
  </si>
  <si>
    <t>40HC</t>
  </si>
  <si>
    <t>PO28659</t>
  </si>
  <si>
    <t>Winlane</t>
  </si>
  <si>
    <t>PBUR198KIT</t>
  </si>
  <si>
    <t>PO28664</t>
  </si>
  <si>
    <t>X2+1</t>
  </si>
  <si>
    <t>X5</t>
  </si>
  <si>
    <t>x3+1</t>
  </si>
  <si>
    <t>X1+1</t>
  </si>
  <si>
    <t>X3</t>
  </si>
  <si>
    <t>2440 x 1050 x 3mm HDPE Sheets Black</t>
  </si>
  <si>
    <t>2440 x 1050 x 7mm HDPE Sheets Black</t>
  </si>
  <si>
    <t>2440 x 1050 x 10mm HDPE Sheets Black</t>
  </si>
  <si>
    <t>2440 x 1050 x 20mm HDPE Sheets Black</t>
  </si>
  <si>
    <t>Fe6 Spring Wahser</t>
  </si>
  <si>
    <t>26 Dia x190 Long Hex Heads Screwspikes 8.8 Graded</t>
  </si>
  <si>
    <t>MSP00929</t>
  </si>
  <si>
    <t>Sliding Plate</t>
  </si>
  <si>
    <t>Nylon Bags</t>
  </si>
  <si>
    <t>x1</t>
  </si>
  <si>
    <t>Stock</t>
  </si>
  <si>
    <t>Container Door</t>
  </si>
  <si>
    <t>Bottom</t>
  </si>
  <si>
    <t>Top</t>
  </si>
  <si>
    <t>Top/Bottom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</si>
</sst>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C09]dd\-mmm\-yy;@"/>
    <numFmt numFmtId="165" formatCode="0.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2060"/>
      <name val="Arial"/>
      <family val="2"/>
    </font>
    <font>
      <sz val="11"/>
      <name val="Calibri"/>
      <family val="2"/>
      <scheme val="minor"/>
    </font>
    <font>
      <sz val="11"/>
      <color rgb="FF000000"/>
      <name val="Arial"/>
      <family val="2"/>
    </font>
    <font>
      <sz val="11"/>
      <color rgb="FFFF0000"/>
      <name val="Calibri"/>
      <family val="2"/>
      <scheme val="minor"/>
    </font>
    <font>
      <sz val="11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8"/>
        <bgColor theme="8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theme="8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auto="1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164" fontId="1" fillId="0" borderId="0"/>
  </cellStyleXfs>
  <cellXfs count="124">
    <xf numFmtId="0" fontId="0" fillId="0" borderId="0" xfId="0"/>
    <xf numFmtId="14" fontId="0" fillId="0" borderId="0" xfId="0" applyNumberFormat="1"/>
    <xf numFmtId="1" fontId="4" fillId="3" borderId="1" xfId="0" applyNumberFormat="1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 wrapText="1"/>
    </xf>
    <xf numFmtId="49" fontId="4" fillId="3" borderId="2" xfId="0" applyNumberFormat="1" applyFont="1" applyFill="1" applyBorder="1" applyAlignment="1">
      <alignment horizontal="center" vertical="center" wrapText="1"/>
    </xf>
    <xf numFmtId="1" fontId="0" fillId="4" borderId="3" xfId="0" applyNumberForma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2" fontId="0" fillId="4" borderId="3" xfId="0" applyNumberFormat="1" applyFill="1" applyBorder="1" applyAlignment="1">
      <alignment horizontal="center" vertical="center"/>
    </xf>
    <xf numFmtId="0" fontId="0" fillId="4" borderId="3" xfId="0" applyFill="1" applyBorder="1"/>
    <xf numFmtId="1" fontId="0" fillId="6" borderId="3" xfId="0" applyNumberFormat="1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164" fontId="0" fillId="6" borderId="3" xfId="2" applyFont="1" applyFill="1" applyBorder="1" applyAlignment="1">
      <alignment horizontal="center" vertical="center"/>
    </xf>
    <xf numFmtId="2" fontId="0" fillId="6" borderId="3" xfId="1" applyNumberFormat="1" applyFont="1" applyFill="1" applyBorder="1" applyAlignment="1">
      <alignment horizontal="center" vertical="center"/>
    </xf>
    <xf numFmtId="2" fontId="1" fillId="6" borderId="3" xfId="0" applyNumberFormat="1" applyFont="1" applyFill="1" applyBorder="1" applyAlignment="1">
      <alignment horizontal="center" vertical="center"/>
    </xf>
    <xf numFmtId="14" fontId="0" fillId="6" borderId="3" xfId="0" applyNumberFormat="1" applyFill="1" applyBorder="1" applyAlignment="1">
      <alignment horizontal="center" vertical="center"/>
    </xf>
    <xf numFmtId="164" fontId="0" fillId="4" borderId="3" xfId="2" applyFont="1" applyFill="1" applyBorder="1" applyAlignment="1">
      <alignment horizontal="center" vertical="center"/>
    </xf>
    <xf numFmtId="14" fontId="0" fillId="4" borderId="3" xfId="0" applyNumberFormat="1" applyFill="1" applyBorder="1"/>
    <xf numFmtId="0" fontId="0" fillId="4" borderId="3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2" fontId="0" fillId="7" borderId="3" xfId="0" applyNumberFormat="1" applyFill="1" applyBorder="1" applyAlignment="1">
      <alignment horizontal="center" vertical="center"/>
    </xf>
    <xf numFmtId="14" fontId="0" fillId="7" borderId="3" xfId="0" applyNumberFormat="1" applyFill="1" applyBorder="1"/>
    <xf numFmtId="0" fontId="0" fillId="8" borderId="3" xfId="0" applyFill="1" applyBorder="1" applyAlignment="1">
      <alignment horizontal="center" vertical="center"/>
    </xf>
    <xf numFmtId="2" fontId="0" fillId="8" borderId="3" xfId="0" applyNumberFormat="1" applyFill="1" applyBorder="1" applyAlignment="1">
      <alignment horizontal="center" vertical="center"/>
    </xf>
    <xf numFmtId="14" fontId="0" fillId="8" borderId="3" xfId="0" applyNumberFormat="1" applyFill="1" applyBorder="1"/>
    <xf numFmtId="0" fontId="0" fillId="0" borderId="4" xfId="0" applyBorder="1"/>
    <xf numFmtId="49" fontId="4" fillId="9" borderId="2" xfId="0" applyNumberFormat="1" applyFont="1" applyFill="1" applyBorder="1" applyAlignment="1">
      <alignment horizontal="center" vertical="center" wrapText="1"/>
    </xf>
    <xf numFmtId="0" fontId="0" fillId="5" borderId="0" xfId="0" applyFill="1"/>
    <xf numFmtId="2" fontId="5" fillId="4" borderId="3" xfId="2" applyNumberFormat="1" applyFont="1" applyFill="1" applyBorder="1" applyAlignment="1">
      <alignment horizontal="center" vertical="center"/>
    </xf>
    <xf numFmtId="2" fontId="0" fillId="4" borderId="3" xfId="2" applyNumberFormat="1" applyFont="1" applyFill="1" applyBorder="1" applyAlignment="1">
      <alignment horizontal="center" vertical="center"/>
    </xf>
    <xf numFmtId="14" fontId="0" fillId="4" borderId="3" xfId="0" applyNumberFormat="1" applyFill="1" applyBorder="1" applyAlignment="1">
      <alignment horizontal="center" vertical="center"/>
    </xf>
    <xf numFmtId="0" fontId="0" fillId="4" borderId="0" xfId="0" applyFill="1"/>
    <xf numFmtId="14" fontId="0" fillId="7" borderId="3" xfId="0" applyNumberFormat="1" applyFill="1" applyBorder="1" applyAlignment="1">
      <alignment horizontal="center" vertical="center"/>
    </xf>
    <xf numFmtId="0" fontId="0" fillId="7" borderId="0" xfId="0" applyFill="1"/>
    <xf numFmtId="14" fontId="0" fillId="8" borderId="3" xfId="0" applyNumberForma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 wrapText="1"/>
    </xf>
    <xf numFmtId="1" fontId="0" fillId="10" borderId="3" xfId="0" applyNumberFormat="1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2" fontId="0" fillId="10" borderId="3" xfId="0" applyNumberFormat="1" applyFill="1" applyBorder="1" applyAlignment="1">
      <alignment horizontal="center" vertical="center"/>
    </xf>
    <xf numFmtId="14" fontId="0" fillId="10" borderId="3" xfId="0" applyNumberFormat="1" applyFill="1" applyBorder="1"/>
    <xf numFmtId="0" fontId="0" fillId="10" borderId="3" xfId="0" applyFill="1" applyBorder="1"/>
    <xf numFmtId="0" fontId="0" fillId="10" borderId="0" xfId="0" applyFill="1"/>
    <xf numFmtId="1" fontId="0" fillId="7" borderId="0" xfId="0" applyNumberFormat="1" applyFill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0" xfId="0" applyFill="1" applyAlignment="1">
      <alignment horizontal="left" vertical="center"/>
    </xf>
    <xf numFmtId="2" fontId="5" fillId="7" borderId="2" xfId="2" applyNumberFormat="1" applyFont="1" applyFill="1" applyBorder="1" applyAlignment="1">
      <alignment horizontal="center" vertical="center"/>
    </xf>
    <xf numFmtId="2" fontId="0" fillId="7" borderId="2" xfId="2" applyNumberFormat="1" applyFont="1" applyFill="1" applyBorder="1" applyAlignment="1">
      <alignment horizontal="center" vertical="center"/>
    </xf>
    <xf numFmtId="2" fontId="0" fillId="7" borderId="2" xfId="0" applyNumberForma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2" fontId="0" fillId="7" borderId="0" xfId="0" applyNumberFormat="1" applyFill="1"/>
    <xf numFmtId="14" fontId="0" fillId="7" borderId="0" xfId="0" applyNumberFormat="1" applyFill="1"/>
    <xf numFmtId="1" fontId="0" fillId="7" borderId="3" xfId="0" applyNumberFormat="1" applyFill="1" applyBorder="1" applyAlignment="1">
      <alignment horizontal="center" vertical="center"/>
    </xf>
    <xf numFmtId="0" fontId="0" fillId="7" borderId="3" xfId="0" applyFill="1" applyBorder="1" applyAlignment="1">
      <alignment horizontal="center"/>
    </xf>
    <xf numFmtId="164" fontId="0" fillId="7" borderId="3" xfId="2" applyFont="1" applyFill="1" applyBorder="1" applyAlignment="1">
      <alignment horizontal="center" vertical="center"/>
    </xf>
    <xf numFmtId="2" fontId="5" fillId="7" borderId="3" xfId="2" applyNumberFormat="1" applyFont="1" applyFill="1" applyBorder="1" applyAlignment="1">
      <alignment horizontal="center" vertical="center"/>
    </xf>
    <xf numFmtId="2" fontId="0" fillId="7" borderId="3" xfId="2" applyNumberFormat="1" applyFont="1" applyFill="1" applyBorder="1" applyAlignment="1">
      <alignment horizontal="center" vertical="center"/>
    </xf>
    <xf numFmtId="0" fontId="0" fillId="7" borderId="3" xfId="0" applyFill="1" applyBorder="1"/>
    <xf numFmtId="2" fontId="0" fillId="7" borderId="3" xfId="0" applyNumberFormat="1" applyFill="1" applyBorder="1"/>
    <xf numFmtId="0" fontId="0" fillId="10" borderId="3" xfId="0" applyFill="1" applyBorder="1" applyAlignment="1">
      <alignment horizontal="center"/>
    </xf>
    <xf numFmtId="164" fontId="0" fillId="10" borderId="3" xfId="2" applyFont="1" applyFill="1" applyBorder="1" applyAlignment="1">
      <alignment horizontal="center" vertical="center"/>
    </xf>
    <xf numFmtId="2" fontId="1" fillId="10" borderId="3" xfId="0" applyNumberFormat="1" applyFont="1" applyFill="1" applyBorder="1" applyAlignment="1">
      <alignment horizontal="center" vertical="center"/>
    </xf>
    <xf numFmtId="2" fontId="1" fillId="10" borderId="3" xfId="0" applyNumberFormat="1" applyFont="1" applyFill="1" applyBorder="1"/>
    <xf numFmtId="1" fontId="7" fillId="10" borderId="3" xfId="0" applyNumberFormat="1" applyFont="1" applyFill="1" applyBorder="1" applyAlignment="1">
      <alignment horizontal="center" vertical="center"/>
    </xf>
    <xf numFmtId="0" fontId="7" fillId="10" borderId="3" xfId="0" applyFont="1" applyFill="1" applyBorder="1" applyAlignment="1">
      <alignment horizontal="center"/>
    </xf>
    <xf numFmtId="164" fontId="7" fillId="10" borderId="3" xfId="2" applyFont="1" applyFill="1" applyBorder="1" applyAlignment="1">
      <alignment horizontal="center" vertical="center"/>
    </xf>
    <xf numFmtId="0" fontId="7" fillId="10" borderId="1" xfId="0" applyFont="1" applyFill="1" applyBorder="1"/>
    <xf numFmtId="0" fontId="7" fillId="10" borderId="1" xfId="0" applyFont="1" applyFill="1" applyBorder="1" applyAlignment="1">
      <alignment horizontal="center" vertical="center"/>
    </xf>
    <xf numFmtId="2" fontId="7" fillId="10" borderId="1" xfId="0" applyNumberFormat="1" applyFont="1" applyFill="1" applyBorder="1" applyAlignment="1">
      <alignment horizontal="center" vertical="center"/>
    </xf>
    <xf numFmtId="2" fontId="7" fillId="10" borderId="1" xfId="0" applyNumberFormat="1" applyFont="1" applyFill="1" applyBorder="1"/>
    <xf numFmtId="14" fontId="7" fillId="10" borderId="3" xfId="0" applyNumberFormat="1" applyFont="1" applyFill="1" applyBorder="1"/>
    <xf numFmtId="0" fontId="7" fillId="10" borderId="3" xfId="0" applyFont="1" applyFill="1" applyBorder="1"/>
    <xf numFmtId="1" fontId="7" fillId="10" borderId="1" xfId="2" applyNumberFormat="1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 shrinkToFit="1"/>
    </xf>
    <xf numFmtId="2" fontId="5" fillId="4" borderId="3" xfId="0" applyNumberFormat="1" applyFont="1" applyFill="1" applyBorder="1" applyAlignment="1">
      <alignment horizontal="center" vertical="center"/>
    </xf>
    <xf numFmtId="14" fontId="0" fillId="6" borderId="3" xfId="0" applyNumberFormat="1" applyFill="1" applyBorder="1"/>
    <xf numFmtId="0" fontId="0" fillId="10" borderId="1" xfId="0" applyFill="1" applyBorder="1" applyAlignment="1">
      <alignment horizontal="center" vertical="center"/>
    </xf>
    <xf numFmtId="2" fontId="1" fillId="4" borderId="3" xfId="0" applyNumberFormat="1" applyFont="1" applyFill="1" applyBorder="1" applyAlignment="1">
      <alignment horizontal="center" vertical="center"/>
    </xf>
    <xf numFmtId="164" fontId="0" fillId="4" borderId="3" xfId="0" applyNumberFormat="1" applyFill="1" applyBorder="1" applyAlignment="1">
      <alignment horizontal="center" vertical="center"/>
    </xf>
    <xf numFmtId="0" fontId="0" fillId="4" borderId="3" xfId="0" applyFill="1" applyBorder="1" applyAlignment="1">
      <alignment horizontal="left" vertical="center"/>
    </xf>
    <xf numFmtId="2" fontId="1" fillId="4" borderId="3" xfId="0" applyNumberFormat="1" applyFont="1" applyFill="1" applyBorder="1"/>
    <xf numFmtId="1" fontId="0" fillId="12" borderId="0" xfId="0" applyNumberFormat="1" applyFill="1" applyAlignment="1">
      <alignment horizontal="center" vertical="center"/>
    </xf>
    <xf numFmtId="0" fontId="0" fillId="12" borderId="3" xfId="0" applyFill="1" applyBorder="1" applyAlignment="1">
      <alignment horizontal="center"/>
    </xf>
    <xf numFmtId="164" fontId="8" fillId="12" borderId="3" xfId="0" applyNumberFormat="1" applyFont="1" applyFill="1" applyBorder="1" applyAlignment="1">
      <alignment horizontal="left" vertical="center"/>
    </xf>
    <xf numFmtId="2" fontId="0" fillId="12" borderId="3" xfId="0" applyNumberFormat="1" applyFill="1" applyBorder="1" applyAlignment="1">
      <alignment horizontal="center" vertical="center"/>
    </xf>
    <xf numFmtId="2" fontId="0" fillId="12" borderId="3" xfId="2" applyNumberFormat="1" applyFont="1" applyFill="1" applyBorder="1" applyAlignment="1">
      <alignment horizontal="center" vertical="center"/>
    </xf>
    <xf numFmtId="165" fontId="0" fillId="12" borderId="3" xfId="0" applyNumberFormat="1" applyFill="1" applyBorder="1" applyAlignment="1">
      <alignment horizontal="center" vertical="center"/>
    </xf>
    <xf numFmtId="2" fontId="0" fillId="12" borderId="3" xfId="1" applyNumberFormat="1" applyFont="1" applyFill="1" applyBorder="1" applyAlignment="1">
      <alignment horizontal="center" vertical="center"/>
    </xf>
    <xf numFmtId="1" fontId="8" fillId="12" borderId="3" xfId="0" applyNumberFormat="1" applyFont="1" applyFill="1" applyBorder="1" applyAlignment="1">
      <alignment horizontal="center" vertical="center"/>
    </xf>
    <xf numFmtId="2" fontId="1" fillId="12" borderId="3" xfId="0" applyNumberFormat="1" applyFont="1" applyFill="1" applyBorder="1" applyAlignment="1">
      <alignment horizontal="center" vertical="center"/>
    </xf>
    <xf numFmtId="2" fontId="1" fillId="12" borderId="3" xfId="0" applyNumberFormat="1" applyFont="1" applyFill="1" applyBorder="1"/>
    <xf numFmtId="14" fontId="0" fillId="12" borderId="0" xfId="0" applyNumberFormat="1" applyFill="1"/>
    <xf numFmtId="0" fontId="0" fillId="12" borderId="0" xfId="0" applyFill="1"/>
    <xf numFmtId="0" fontId="1" fillId="13" borderId="3" xfId="0" applyFont="1" applyFill="1" applyBorder="1" applyAlignment="1">
      <alignment horizontal="center" vertical="center"/>
    </xf>
    <xf numFmtId="0" fontId="3" fillId="13" borderId="3" xfId="0" applyFont="1" applyFill="1" applyBorder="1" applyAlignment="1">
      <alignment horizontal="center" vertical="center"/>
    </xf>
    <xf numFmtId="0" fontId="6" fillId="13" borderId="3" xfId="0" applyFont="1" applyFill="1" applyBorder="1" applyAlignment="1">
      <alignment horizontal="center" vertical="center" wrapText="1"/>
    </xf>
    <xf numFmtId="0" fontId="6" fillId="13" borderId="3" xfId="0" applyFont="1" applyFill="1" applyBorder="1" applyAlignment="1">
      <alignment horizontal="center" vertical="center"/>
    </xf>
    <xf numFmtId="2" fontId="0" fillId="13" borderId="3" xfId="2" applyNumberFormat="1" applyFont="1" applyFill="1" applyBorder="1" applyAlignment="1">
      <alignment horizontal="center" vertical="center"/>
    </xf>
    <xf numFmtId="2" fontId="6" fillId="13" borderId="3" xfId="0" applyNumberFormat="1" applyFont="1" applyFill="1" applyBorder="1" applyAlignment="1">
      <alignment horizontal="center" vertical="center"/>
    </xf>
    <xf numFmtId="0" fontId="0" fillId="13" borderId="3" xfId="0" applyFill="1" applyBorder="1" applyAlignment="1">
      <alignment horizontal="center" vertical="center"/>
    </xf>
    <xf numFmtId="14" fontId="0" fillId="13" borderId="3" xfId="0" applyNumberFormat="1" applyFill="1" applyBorder="1"/>
    <xf numFmtId="14" fontId="0" fillId="13" borderId="3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1" fillId="11" borderId="0" xfId="0" applyFont="1" applyFill="1" applyAlignment="1">
      <alignment horizontal="center"/>
    </xf>
    <xf numFmtId="0" fontId="1" fillId="10" borderId="0" xfId="0" applyFont="1" applyFill="1" applyAlignment="1">
      <alignment horizontal="center"/>
    </xf>
    <xf numFmtId="0" fontId="0" fillId="10" borderId="0" xfId="0" applyFill="1" applyAlignment="1">
      <alignment horizontal="center"/>
    </xf>
    <xf numFmtId="0" fontId="1" fillId="13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0" fillId="13" borderId="0" xfId="0" applyFill="1" applyAlignment="1">
      <alignment horizontal="center"/>
    </xf>
    <xf numFmtId="0" fontId="1" fillId="6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7" borderId="0" xfId="0" applyFill="1" applyAlignment="1">
      <alignment horizontal="center"/>
    </xf>
    <xf numFmtId="0" fontId="0" fillId="7" borderId="5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8" borderId="0" xfId="0" applyFill="1" applyAlignment="1">
      <alignment horizontal="center"/>
    </xf>
    <xf numFmtId="2" fontId="0" fillId="6" borderId="3" xfId="0" applyNumberFormat="1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</cellXfs>
  <cellStyles count="3">
    <cellStyle name="Good" xfId="1" builtinId="26"/>
    <cellStyle name="Normal" xfId="0" builtinId="0"/>
    <cellStyle name="Normal 3 2" xfId="2" xr:uid="{85B1BD9F-733F-4610-A1F0-DEFB6E9BF3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P70"/>
  <sheetViews>
    <sheetView tabSelected="1" topLeftCell="A32" zoomScale="70" zoomScaleNormal="70" workbookViewId="0">
      <selection activeCell="A41" sqref="A41"/>
    </sheetView>
  </sheetViews>
  <sheetFormatPr defaultRowHeight="14.4" x14ac:dyDescent="0.3"/>
  <cols>
    <col min="1" max="1" width="11.5546875" bestFit="1" customWidth="1"/>
    <col min="3" max="3" width="53.33203125" bestFit="1" customWidth="1"/>
    <col min="12" max="12" width="9.5546875" bestFit="1" customWidth="1"/>
    <col min="14" max="14" width="9.5546875" customWidth="1"/>
    <col min="16" max="19" width="11.5546875" bestFit="1" customWidth="1"/>
    <col min="20" max="20" width="14.5546875" bestFit="1" customWidth="1"/>
  </cols>
  <sheetData>
    <row r="1" spans="1:94" x14ac:dyDescent="0.3">
      <c r="A1" s="1">
        <v>46132</v>
      </c>
      <c r="C1" t="s">
        <v>45</v>
      </c>
    </row>
    <row r="2" spans="1:94" ht="41.4" x14ac:dyDescent="0.3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4" t="s">
        <v>15</v>
      </c>
      <c r="Q2" s="4"/>
      <c r="R2" s="26"/>
      <c r="S2" s="4"/>
    </row>
    <row r="3" spans="1:94" x14ac:dyDescent="0.3">
      <c r="A3" s="22"/>
      <c r="B3" s="22" t="s">
        <v>16</v>
      </c>
      <c r="C3" s="22" t="s">
        <v>17</v>
      </c>
      <c r="D3" s="22">
        <v>1</v>
      </c>
      <c r="E3" s="22">
        <v>186</v>
      </c>
      <c r="F3" s="22">
        <f t="shared" ref="F3:F4" si="0">E3-G3</f>
        <v>21</v>
      </c>
      <c r="G3" s="22">
        <v>165</v>
      </c>
      <c r="H3" s="22">
        <v>0.89</v>
      </c>
      <c r="I3" s="22">
        <v>0.89</v>
      </c>
      <c r="J3" s="22">
        <v>0.5</v>
      </c>
      <c r="K3" s="23">
        <f t="shared" ref="K3" si="1">(H3*I3)*J3</f>
        <v>0.39605000000000001</v>
      </c>
      <c r="L3" s="22">
        <v>8</v>
      </c>
      <c r="M3" s="22">
        <f t="shared" ref="M3:M4" si="2">L3/D3</f>
        <v>8</v>
      </c>
      <c r="N3" s="22">
        <f t="shared" ref="N3:N4" si="3">M3*E3</f>
        <v>1488</v>
      </c>
      <c r="O3" s="22">
        <f t="shared" ref="O3:O4" si="4">M3*K3</f>
        <v>3.1684000000000001</v>
      </c>
      <c r="P3" s="24">
        <v>46111</v>
      </c>
      <c r="Q3" s="24"/>
      <c r="R3" s="34"/>
      <c r="S3" s="34"/>
    </row>
    <row r="4" spans="1:94" x14ac:dyDescent="0.3">
      <c r="A4" s="35" t="s">
        <v>33</v>
      </c>
      <c r="B4" s="6" t="s">
        <v>16</v>
      </c>
      <c r="C4" s="40" t="s">
        <v>34</v>
      </c>
      <c r="D4" s="6">
        <v>4</v>
      </c>
      <c r="E4" s="29">
        <v>109</v>
      </c>
      <c r="F4" s="29">
        <f t="shared" si="0"/>
        <v>49.5</v>
      </c>
      <c r="G4" s="29">
        <v>59.5</v>
      </c>
      <c r="H4" s="29">
        <v>1.1000000000000001</v>
      </c>
      <c r="I4" s="29">
        <v>1.1000000000000001</v>
      </c>
      <c r="J4" s="29">
        <v>1</v>
      </c>
      <c r="K4" s="7">
        <f t="shared" ref="K4:K7" si="5">H4*I4*J4</f>
        <v>1.2100000000000002</v>
      </c>
      <c r="L4" s="6">
        <v>16</v>
      </c>
      <c r="M4" s="6">
        <f t="shared" si="2"/>
        <v>4</v>
      </c>
      <c r="N4" s="6">
        <f t="shared" si="3"/>
        <v>436</v>
      </c>
      <c r="O4" s="6">
        <f t="shared" si="4"/>
        <v>4.8400000000000007</v>
      </c>
      <c r="P4" s="16">
        <v>46127</v>
      </c>
      <c r="Q4" s="16"/>
      <c r="R4" s="30"/>
      <c r="S4" s="30"/>
    </row>
    <row r="5" spans="1:94" x14ac:dyDescent="0.3">
      <c r="A5" s="35" t="s">
        <v>18</v>
      </c>
      <c r="B5" s="36" t="s">
        <v>16</v>
      </c>
      <c r="C5" s="37" t="s">
        <v>19</v>
      </c>
      <c r="D5" s="38">
        <v>4</v>
      </c>
      <c r="E5" s="38">
        <v>80</v>
      </c>
      <c r="F5" s="38">
        <v>52</v>
      </c>
      <c r="G5" s="38">
        <v>28</v>
      </c>
      <c r="H5" s="29">
        <v>1.22</v>
      </c>
      <c r="I5" s="29">
        <v>0.67</v>
      </c>
      <c r="J5" s="29">
        <v>0.76</v>
      </c>
      <c r="K5" s="39">
        <f t="shared" si="5"/>
        <v>0.621224</v>
      </c>
      <c r="L5" s="6">
        <v>16</v>
      </c>
      <c r="M5" s="38">
        <f>L5/D5</f>
        <v>4</v>
      </c>
      <c r="N5" s="38">
        <f>M5*E5</f>
        <v>320</v>
      </c>
      <c r="O5" s="39">
        <f>M5*K5</f>
        <v>2.484896</v>
      </c>
      <c r="P5" s="16">
        <v>45999</v>
      </c>
      <c r="Q5" s="16"/>
      <c r="R5" s="30"/>
      <c r="S5" s="30"/>
    </row>
    <row r="6" spans="1:94" x14ac:dyDescent="0.3">
      <c r="A6" s="9" t="s">
        <v>20</v>
      </c>
      <c r="B6" s="10" t="s">
        <v>21</v>
      </c>
      <c r="C6" s="11" t="s">
        <v>22</v>
      </c>
      <c r="D6" s="10">
        <v>8</v>
      </c>
      <c r="E6" s="10">
        <v>755</v>
      </c>
      <c r="F6" s="10">
        <f>E6-G6</f>
        <v>102</v>
      </c>
      <c r="G6" s="10">
        <v>653</v>
      </c>
      <c r="H6" s="10">
        <v>1.74</v>
      </c>
      <c r="I6" s="10">
        <v>1.25</v>
      </c>
      <c r="J6" s="10">
        <v>0.69</v>
      </c>
      <c r="K6" s="12">
        <f t="shared" si="5"/>
        <v>1.5007499999999998</v>
      </c>
      <c r="L6" s="10">
        <v>72</v>
      </c>
      <c r="M6" s="13">
        <f>L6/D6</f>
        <v>9</v>
      </c>
      <c r="N6" s="13">
        <f>M6*E6</f>
        <v>6795</v>
      </c>
      <c r="O6" s="13">
        <f>K6*M6</f>
        <v>13.506749999999998</v>
      </c>
      <c r="P6" s="14">
        <v>45991</v>
      </c>
      <c r="Q6" s="79"/>
      <c r="R6" s="14"/>
      <c r="S6" s="14"/>
    </row>
    <row r="7" spans="1:94" x14ac:dyDescent="0.3">
      <c r="A7" s="9" t="s">
        <v>20</v>
      </c>
      <c r="B7" s="10" t="s">
        <v>21</v>
      </c>
      <c r="C7" s="11" t="s">
        <v>23</v>
      </c>
      <c r="D7" s="10">
        <v>9</v>
      </c>
      <c r="E7" s="123">
        <v>579</v>
      </c>
      <c r="F7" s="123">
        <f>E7-G7</f>
        <v>52</v>
      </c>
      <c r="G7" s="123">
        <v>527</v>
      </c>
      <c r="H7" s="123">
        <v>1.27</v>
      </c>
      <c r="I7" s="123">
        <v>0.87</v>
      </c>
      <c r="J7" s="123">
        <v>0.58499999999999996</v>
      </c>
      <c r="K7" s="123">
        <f t="shared" si="5"/>
        <v>0.64636649999999995</v>
      </c>
      <c r="L7" s="10">
        <v>19</v>
      </c>
      <c r="M7" s="122">
        <f>L7/D7</f>
        <v>2.1111111111111112</v>
      </c>
      <c r="N7" s="122">
        <f>M7*E7</f>
        <v>1222.3333333333333</v>
      </c>
      <c r="O7" s="122">
        <f>M7*J7</f>
        <v>1.2349999999999999</v>
      </c>
      <c r="P7" s="14">
        <v>45991</v>
      </c>
      <c r="Q7" s="79"/>
      <c r="R7" s="14"/>
      <c r="S7" s="14"/>
    </row>
    <row r="8" spans="1:94" x14ac:dyDescent="0.3">
      <c r="A8" s="9" t="s">
        <v>20</v>
      </c>
      <c r="B8" s="10" t="s">
        <v>21</v>
      </c>
      <c r="C8" s="11" t="s">
        <v>24</v>
      </c>
      <c r="D8" s="10">
        <v>9</v>
      </c>
      <c r="E8" s="123"/>
      <c r="F8" s="123"/>
      <c r="G8" s="123"/>
      <c r="H8" s="123"/>
      <c r="I8" s="123"/>
      <c r="J8" s="123"/>
      <c r="K8" s="123"/>
      <c r="L8" s="10">
        <v>19</v>
      </c>
      <c r="M8" s="122"/>
      <c r="N8" s="122"/>
      <c r="O8" s="122"/>
      <c r="P8" s="14">
        <v>45991</v>
      </c>
      <c r="Q8" s="79"/>
      <c r="R8" s="14"/>
      <c r="S8" s="14"/>
    </row>
    <row r="9" spans="1:94" x14ac:dyDescent="0.3">
      <c r="A9" s="9" t="s">
        <v>20</v>
      </c>
      <c r="B9" s="10" t="s">
        <v>21</v>
      </c>
      <c r="C9" s="11" t="s">
        <v>25</v>
      </c>
      <c r="D9" s="10">
        <v>56</v>
      </c>
      <c r="E9" s="123">
        <v>438</v>
      </c>
      <c r="F9" s="123">
        <f>E9-G9</f>
        <v>64</v>
      </c>
      <c r="G9" s="123">
        <v>374</v>
      </c>
      <c r="H9" s="123">
        <v>1.01</v>
      </c>
      <c r="I9" s="123">
        <v>0.77500000000000002</v>
      </c>
      <c r="J9" s="123">
        <v>0.625</v>
      </c>
      <c r="K9" s="123">
        <f>H9*I9*J9</f>
        <v>0.48921875000000004</v>
      </c>
      <c r="L9" s="10">
        <v>56</v>
      </c>
      <c r="M9" s="122">
        <f>L9/D9</f>
        <v>1</v>
      </c>
      <c r="N9" s="122">
        <f>M9*E9</f>
        <v>438</v>
      </c>
      <c r="O9" s="122">
        <f>M9*J9</f>
        <v>0.625</v>
      </c>
      <c r="P9" s="14">
        <v>45991</v>
      </c>
      <c r="Q9" s="79"/>
      <c r="R9" s="14"/>
      <c r="S9" s="14"/>
    </row>
    <row r="10" spans="1:94" x14ac:dyDescent="0.3">
      <c r="A10" s="9" t="s">
        <v>20</v>
      </c>
      <c r="B10" s="10" t="s">
        <v>21</v>
      </c>
      <c r="C10" s="11" t="s">
        <v>26</v>
      </c>
      <c r="D10" s="10">
        <v>55</v>
      </c>
      <c r="E10" s="123"/>
      <c r="F10" s="123"/>
      <c r="G10" s="123"/>
      <c r="H10" s="123"/>
      <c r="I10" s="123"/>
      <c r="J10" s="123"/>
      <c r="K10" s="123"/>
      <c r="L10" s="10">
        <v>55</v>
      </c>
      <c r="M10" s="122"/>
      <c r="N10" s="122"/>
      <c r="O10" s="122"/>
      <c r="P10" s="14">
        <v>45991</v>
      </c>
      <c r="Q10" s="79"/>
      <c r="R10" s="14"/>
      <c r="S10" s="14"/>
    </row>
    <row r="11" spans="1:94" s="27" customFormat="1" x14ac:dyDescent="0.3">
      <c r="A11" s="85">
        <v>9569</v>
      </c>
      <c r="B11" s="86" t="s">
        <v>35</v>
      </c>
      <c r="C11" s="87" t="s">
        <v>55</v>
      </c>
      <c r="D11" s="88">
        <v>60</v>
      </c>
      <c r="E11" s="88">
        <v>940</v>
      </c>
      <c r="F11" s="89">
        <v>40</v>
      </c>
      <c r="G11" s="88">
        <v>900</v>
      </c>
      <c r="H11" s="88">
        <v>2.5</v>
      </c>
      <c r="I11" s="88">
        <v>1.1000000000000001</v>
      </c>
      <c r="J11" s="90">
        <v>0.52600000000000002</v>
      </c>
      <c r="K11" s="91">
        <f t="shared" ref="K11:K16" si="6">H11*I11*J11</f>
        <v>1.4465000000000001</v>
      </c>
      <c r="L11" s="92">
        <v>120</v>
      </c>
      <c r="M11" s="93">
        <f t="shared" ref="M11:M22" si="7">L11/D11</f>
        <v>2</v>
      </c>
      <c r="N11" s="94">
        <f t="shared" ref="N11:N22" si="8">M11*E11</f>
        <v>1880</v>
      </c>
      <c r="O11" s="94">
        <f t="shared" ref="O11:O14" si="9">K11*M11</f>
        <v>2.8930000000000002</v>
      </c>
      <c r="P11" s="95">
        <v>46091</v>
      </c>
      <c r="Q11" s="96" t="s">
        <v>68</v>
      </c>
      <c r="R11" s="96"/>
      <c r="S11" s="96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</row>
    <row r="12" spans="1:94" s="27" customFormat="1" x14ac:dyDescent="0.3">
      <c r="A12" s="85">
        <v>9569</v>
      </c>
      <c r="B12" s="86" t="s">
        <v>35</v>
      </c>
      <c r="C12" s="87" t="s">
        <v>36</v>
      </c>
      <c r="D12" s="88">
        <v>72</v>
      </c>
      <c r="E12" s="88">
        <v>940</v>
      </c>
      <c r="F12" s="89">
        <v>40</v>
      </c>
      <c r="G12" s="88">
        <v>900</v>
      </c>
      <c r="H12" s="88">
        <v>2.5</v>
      </c>
      <c r="I12" s="88">
        <v>1.1000000000000001</v>
      </c>
      <c r="J12" s="90">
        <v>0.52600000000000002</v>
      </c>
      <c r="K12" s="91">
        <f t="shared" si="6"/>
        <v>1.4465000000000001</v>
      </c>
      <c r="L12" s="92">
        <v>72</v>
      </c>
      <c r="M12" s="93">
        <f t="shared" si="7"/>
        <v>1</v>
      </c>
      <c r="N12" s="94">
        <f t="shared" si="8"/>
        <v>940</v>
      </c>
      <c r="O12" s="94">
        <f t="shared" si="9"/>
        <v>1.4465000000000001</v>
      </c>
      <c r="P12" s="95">
        <v>46091</v>
      </c>
      <c r="Q12" s="96" t="s">
        <v>68</v>
      </c>
      <c r="R12" s="96"/>
      <c r="S12" s="96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</row>
    <row r="13" spans="1:94" s="27" customFormat="1" x14ac:dyDescent="0.3">
      <c r="A13" s="85">
        <v>9569</v>
      </c>
      <c r="B13" s="86" t="s">
        <v>35</v>
      </c>
      <c r="C13" s="87" t="s">
        <v>56</v>
      </c>
      <c r="D13" s="88">
        <v>50</v>
      </c>
      <c r="E13" s="88">
        <v>940</v>
      </c>
      <c r="F13" s="89">
        <v>40</v>
      </c>
      <c r="G13" s="88">
        <v>900</v>
      </c>
      <c r="H13" s="88">
        <v>2.5</v>
      </c>
      <c r="I13" s="88">
        <v>1.1000000000000001</v>
      </c>
      <c r="J13" s="90">
        <v>0.52600000000000002</v>
      </c>
      <c r="K13" s="91">
        <f t="shared" ref="K13" si="10">H13*I13*J13</f>
        <v>1.4465000000000001</v>
      </c>
      <c r="L13" s="92">
        <v>100</v>
      </c>
      <c r="M13" s="93">
        <f t="shared" ref="M13" si="11">L13/D13</f>
        <v>2</v>
      </c>
      <c r="N13" s="94">
        <f t="shared" ref="N13" si="12">M13*E13</f>
        <v>1880</v>
      </c>
      <c r="O13" s="94">
        <f t="shared" ref="O13" si="13">K13*M13</f>
        <v>2.8930000000000002</v>
      </c>
      <c r="P13" s="95">
        <v>46091</v>
      </c>
      <c r="Q13" s="96" t="s">
        <v>69</v>
      </c>
      <c r="R13" s="96"/>
      <c r="S13" s="96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</row>
    <row r="14" spans="1:94" s="27" customFormat="1" x14ac:dyDescent="0.3">
      <c r="A14" s="85">
        <v>9569</v>
      </c>
      <c r="B14" s="86" t="s">
        <v>35</v>
      </c>
      <c r="C14" s="87" t="s">
        <v>57</v>
      </c>
      <c r="D14" s="88">
        <v>36</v>
      </c>
      <c r="E14" s="88">
        <v>940</v>
      </c>
      <c r="F14" s="89">
        <v>40</v>
      </c>
      <c r="G14" s="88">
        <v>900</v>
      </c>
      <c r="H14" s="88">
        <v>2.5</v>
      </c>
      <c r="I14" s="88">
        <v>1.1000000000000001</v>
      </c>
      <c r="J14" s="90">
        <v>0.52600000000000002</v>
      </c>
      <c r="K14" s="91">
        <f t="shared" si="6"/>
        <v>1.4465000000000001</v>
      </c>
      <c r="L14" s="92">
        <v>36</v>
      </c>
      <c r="M14" s="93">
        <f t="shared" si="7"/>
        <v>1</v>
      </c>
      <c r="N14" s="94">
        <f t="shared" si="8"/>
        <v>940</v>
      </c>
      <c r="O14" s="94">
        <f t="shared" si="9"/>
        <v>1.4465000000000001</v>
      </c>
      <c r="P14" s="95">
        <v>46091</v>
      </c>
      <c r="Q14" s="96" t="s">
        <v>67</v>
      </c>
      <c r="R14" s="96"/>
      <c r="S14" s="96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</row>
    <row r="15" spans="1:94" s="27" customFormat="1" x14ac:dyDescent="0.3">
      <c r="A15" s="85">
        <v>9569</v>
      </c>
      <c r="B15" s="86" t="s">
        <v>35</v>
      </c>
      <c r="C15" s="87" t="s">
        <v>58</v>
      </c>
      <c r="D15" s="88">
        <v>27</v>
      </c>
      <c r="E15" s="88">
        <v>940</v>
      </c>
      <c r="F15" s="89">
        <v>40</v>
      </c>
      <c r="G15" s="88">
        <v>900</v>
      </c>
      <c r="H15" s="88">
        <v>2.5</v>
      </c>
      <c r="I15" s="88">
        <v>1.1000000000000001</v>
      </c>
      <c r="J15" s="90">
        <v>0.52600000000000002</v>
      </c>
      <c r="K15" s="91">
        <f t="shared" ref="K15" si="14">H15*I15*J15</f>
        <v>1.4465000000000001</v>
      </c>
      <c r="L15" s="92">
        <v>54</v>
      </c>
      <c r="M15" s="93">
        <f t="shared" ref="M15" si="15">L15/D15</f>
        <v>2</v>
      </c>
      <c r="N15" s="94">
        <f t="shared" ref="N15" si="16">M15*E15</f>
        <v>1880</v>
      </c>
      <c r="O15" s="94">
        <f t="shared" ref="O15" si="17">K15*M15</f>
        <v>2.8930000000000002</v>
      </c>
      <c r="P15" s="95">
        <v>46091</v>
      </c>
      <c r="Q15" s="96" t="s">
        <v>67</v>
      </c>
      <c r="R15" s="96"/>
      <c r="S15" s="96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</row>
    <row r="16" spans="1:94" s="27" customFormat="1" x14ac:dyDescent="0.3">
      <c r="A16" s="47" t="s">
        <v>38</v>
      </c>
      <c r="B16" s="48" t="s">
        <v>21</v>
      </c>
      <c r="C16" s="49" t="s">
        <v>39</v>
      </c>
      <c r="D16" s="50">
        <v>12</v>
      </c>
      <c r="E16" s="51">
        <v>320</v>
      </c>
      <c r="F16" s="33">
        <v>30</v>
      </c>
      <c r="G16" s="51">
        <v>292.60000000000002</v>
      </c>
      <c r="H16" s="51">
        <v>0.93</v>
      </c>
      <c r="I16" s="51">
        <v>0.51</v>
      </c>
      <c r="J16" s="51">
        <v>0.65500000000000003</v>
      </c>
      <c r="K16" s="52">
        <f t="shared" si="6"/>
        <v>0.31066650000000007</v>
      </c>
      <c r="L16" s="53">
        <v>24</v>
      </c>
      <c r="M16" s="54">
        <f t="shared" si="7"/>
        <v>2</v>
      </c>
      <c r="N16" s="54">
        <f t="shared" si="8"/>
        <v>640</v>
      </c>
      <c r="O16" s="54">
        <f t="shared" ref="O16" si="18">M16*K16</f>
        <v>0.62133300000000014</v>
      </c>
      <c r="P16" s="55">
        <v>46120</v>
      </c>
      <c r="Q16" s="55"/>
      <c r="R16" s="32"/>
      <c r="S16" s="32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</row>
    <row r="17" spans="1:94" s="46" customFormat="1" x14ac:dyDescent="0.3">
      <c r="A17" s="56" t="s">
        <v>40</v>
      </c>
      <c r="B17" s="57" t="s">
        <v>16</v>
      </c>
      <c r="C17" s="58" t="s">
        <v>41</v>
      </c>
      <c r="D17" s="59">
        <v>4</v>
      </c>
      <c r="E17" s="60">
        <v>400</v>
      </c>
      <c r="F17" s="61">
        <v>70</v>
      </c>
      <c r="G17" s="60">
        <v>330</v>
      </c>
      <c r="H17" s="60">
        <v>1.17</v>
      </c>
      <c r="I17" s="19">
        <v>0.82</v>
      </c>
      <c r="J17" s="60">
        <v>0.38</v>
      </c>
      <c r="K17" s="20">
        <f t="shared" ref="K17:K20" si="19">H17*I17*J17</f>
        <v>0.36457199999999995</v>
      </c>
      <c r="L17" s="19">
        <v>20</v>
      </c>
      <c r="M17" s="62">
        <f t="shared" si="7"/>
        <v>5</v>
      </c>
      <c r="N17" s="62">
        <f t="shared" si="8"/>
        <v>2000</v>
      </c>
      <c r="O17" s="62">
        <f t="shared" ref="O17:O20" si="20">M17*K17</f>
        <v>1.8228599999999997</v>
      </c>
      <c r="P17" s="21">
        <v>46120</v>
      </c>
      <c r="Q17" s="55"/>
      <c r="R17" s="32"/>
      <c r="S17" s="32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</row>
    <row r="18" spans="1:94" s="31" customFormat="1" x14ac:dyDescent="0.3">
      <c r="A18" s="56" t="s">
        <v>40</v>
      </c>
      <c r="B18" s="57" t="s">
        <v>16</v>
      </c>
      <c r="C18" s="58" t="s">
        <v>42</v>
      </c>
      <c r="D18" s="59">
        <v>2</v>
      </c>
      <c r="E18" s="60">
        <v>195</v>
      </c>
      <c r="F18" s="61">
        <v>40</v>
      </c>
      <c r="G18" s="60">
        <v>155</v>
      </c>
      <c r="H18" s="60">
        <v>0.65</v>
      </c>
      <c r="I18" s="60">
        <v>0.63</v>
      </c>
      <c r="J18" s="60">
        <v>0.52</v>
      </c>
      <c r="K18" s="20">
        <f t="shared" si="19"/>
        <v>0.21294000000000002</v>
      </c>
      <c r="L18" s="19">
        <v>20</v>
      </c>
      <c r="M18" s="62">
        <f t="shared" si="7"/>
        <v>10</v>
      </c>
      <c r="N18" s="62">
        <f t="shared" si="8"/>
        <v>1950</v>
      </c>
      <c r="O18" s="62">
        <f t="shared" si="20"/>
        <v>2.1294000000000004</v>
      </c>
      <c r="P18" s="21">
        <v>46120</v>
      </c>
      <c r="Q18" s="55"/>
      <c r="R18" s="32"/>
      <c r="S18" s="32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</row>
    <row r="19" spans="1:94" x14ac:dyDescent="0.3">
      <c r="A19" s="56" t="s">
        <v>40</v>
      </c>
      <c r="B19" s="57" t="s">
        <v>16</v>
      </c>
      <c r="C19" s="58" t="s">
        <v>43</v>
      </c>
      <c r="D19" s="59">
        <v>8</v>
      </c>
      <c r="E19" s="60">
        <v>254</v>
      </c>
      <c r="F19" s="61">
        <v>34</v>
      </c>
      <c r="G19" s="60">
        <v>220</v>
      </c>
      <c r="H19" s="60">
        <v>1.1499999999999999</v>
      </c>
      <c r="I19" s="60">
        <v>0.59</v>
      </c>
      <c r="J19" s="60">
        <v>0.57999999999999996</v>
      </c>
      <c r="K19" s="20">
        <f t="shared" si="19"/>
        <v>0.39352999999999988</v>
      </c>
      <c r="L19" s="19">
        <v>24</v>
      </c>
      <c r="M19" s="62">
        <f t="shared" si="7"/>
        <v>3</v>
      </c>
      <c r="N19" s="62">
        <f t="shared" si="8"/>
        <v>762</v>
      </c>
      <c r="O19" s="62">
        <f t="shared" si="20"/>
        <v>1.1805899999999996</v>
      </c>
      <c r="P19" s="21">
        <v>46120</v>
      </c>
      <c r="Q19" s="55"/>
      <c r="R19" s="32"/>
      <c r="S19" s="32"/>
    </row>
    <row r="20" spans="1:94" x14ac:dyDescent="0.3">
      <c r="A20" s="56" t="s">
        <v>61</v>
      </c>
      <c r="B20" s="57" t="s">
        <v>16</v>
      </c>
      <c r="C20" s="58" t="s">
        <v>62</v>
      </c>
      <c r="D20" s="59">
        <v>10</v>
      </c>
      <c r="E20" s="60">
        <v>20</v>
      </c>
      <c r="F20" s="61"/>
      <c r="G20" s="60"/>
      <c r="H20" s="60">
        <v>0.55000000000000004</v>
      </c>
      <c r="I20" s="60">
        <v>0.36</v>
      </c>
      <c r="J20" s="60">
        <v>0.5</v>
      </c>
      <c r="K20" s="20">
        <f t="shared" si="19"/>
        <v>9.9000000000000005E-2</v>
      </c>
      <c r="L20" s="19">
        <v>10</v>
      </c>
      <c r="M20" s="62">
        <f t="shared" si="7"/>
        <v>1</v>
      </c>
      <c r="N20" s="62">
        <f t="shared" si="8"/>
        <v>20</v>
      </c>
      <c r="O20" s="62">
        <f t="shared" si="20"/>
        <v>9.9000000000000005E-2</v>
      </c>
      <c r="P20" s="21">
        <v>46132</v>
      </c>
      <c r="Q20" s="55"/>
      <c r="R20" s="32"/>
      <c r="S20" s="32"/>
    </row>
    <row r="21" spans="1:94" x14ac:dyDescent="0.3">
      <c r="A21" s="41">
        <v>9563</v>
      </c>
      <c r="B21" s="63" t="s">
        <v>30</v>
      </c>
      <c r="C21" s="64" t="s">
        <v>44</v>
      </c>
      <c r="D21" s="45">
        <v>5000</v>
      </c>
      <c r="E21" s="45">
        <v>535</v>
      </c>
      <c r="F21" s="45">
        <v>50</v>
      </c>
      <c r="G21" s="45">
        <v>485</v>
      </c>
      <c r="H21" s="45">
        <v>1.08</v>
      </c>
      <c r="I21" s="42">
        <v>0.94</v>
      </c>
      <c r="J21" s="45">
        <v>0.72</v>
      </c>
      <c r="K21" s="43">
        <f>H21*I21*J21</f>
        <v>0.73094400000000004</v>
      </c>
      <c r="L21" s="42">
        <v>10000</v>
      </c>
      <c r="M21" s="65">
        <f t="shared" si="7"/>
        <v>2</v>
      </c>
      <c r="N21" s="66">
        <f t="shared" si="8"/>
        <v>1070</v>
      </c>
      <c r="O21" s="66">
        <f t="shared" ref="O21:O22" si="21">K21*M21</f>
        <v>1.4618880000000001</v>
      </c>
      <c r="P21" s="44">
        <v>46136</v>
      </c>
      <c r="Q21" s="45"/>
      <c r="R21" s="45"/>
      <c r="S21" s="45"/>
    </row>
    <row r="22" spans="1:94" x14ac:dyDescent="0.3">
      <c r="A22" s="41" t="s">
        <v>65</v>
      </c>
      <c r="B22" s="63" t="s">
        <v>30</v>
      </c>
      <c r="C22" s="64" t="s">
        <v>63</v>
      </c>
      <c r="D22" s="45">
        <v>10000</v>
      </c>
      <c r="E22" s="45">
        <v>230</v>
      </c>
      <c r="F22" s="45">
        <v>50</v>
      </c>
      <c r="G22" s="45">
        <v>485</v>
      </c>
      <c r="H22" s="80">
        <v>1.1200000000000001</v>
      </c>
      <c r="I22" s="80">
        <v>1.1200000000000001</v>
      </c>
      <c r="J22" s="80">
        <v>0.66</v>
      </c>
      <c r="K22" s="43">
        <f>H22*I22*J22</f>
        <v>0.8279040000000002</v>
      </c>
      <c r="L22" s="42">
        <v>10000</v>
      </c>
      <c r="M22" s="65">
        <f t="shared" si="7"/>
        <v>1</v>
      </c>
      <c r="N22" s="66">
        <f t="shared" si="8"/>
        <v>230</v>
      </c>
      <c r="O22" s="66">
        <f t="shared" si="21"/>
        <v>0.8279040000000002</v>
      </c>
      <c r="P22" s="44">
        <v>46136</v>
      </c>
      <c r="Q22" s="45"/>
      <c r="R22" s="45"/>
      <c r="S22" s="45"/>
    </row>
    <row r="23" spans="1:94" x14ac:dyDescent="0.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>
        <f>SUM(L3:L22)</f>
        <v>20741</v>
      </c>
      <c r="M23" s="18">
        <f>SUM(M3:M22)</f>
        <v>60.111111111111114</v>
      </c>
      <c r="N23" s="18">
        <f>SUM(N3:N22)</f>
        <v>24891.333333333336</v>
      </c>
      <c r="O23" s="18">
        <f>SUM(O3:O22)</f>
        <v>45.575021000000007</v>
      </c>
    </row>
    <row r="26" spans="1:94" ht="15" thickBot="1" x14ac:dyDescent="0.35">
      <c r="D26" s="106">
        <f>SUM(D27:S27)</f>
        <v>11.17</v>
      </c>
      <c r="E26" s="106"/>
      <c r="F26" s="106"/>
      <c r="G26" s="106"/>
      <c r="H26" s="106"/>
      <c r="I26" s="106"/>
      <c r="J26" s="106"/>
      <c r="K26" s="106"/>
      <c r="L26" s="106"/>
      <c r="M26" s="106"/>
      <c r="N26" s="106"/>
      <c r="O26" s="106"/>
      <c r="P26" s="106"/>
      <c r="Q26" s="106"/>
      <c r="R26" s="106"/>
    </row>
    <row r="27" spans="1:94" x14ac:dyDescent="0.3">
      <c r="D27" s="25"/>
      <c r="E27" s="25"/>
      <c r="F27" s="25"/>
      <c r="I27" s="25">
        <v>0.63</v>
      </c>
      <c r="J27" s="25">
        <v>0.82</v>
      </c>
      <c r="K27" s="25">
        <v>0.59</v>
      </c>
      <c r="L27">
        <v>1.1000000000000001</v>
      </c>
      <c r="M27">
        <v>0.89</v>
      </c>
      <c r="N27">
        <v>0.89</v>
      </c>
      <c r="O27">
        <v>1.25</v>
      </c>
      <c r="P27">
        <v>1.25</v>
      </c>
      <c r="Q27">
        <v>1.25</v>
      </c>
      <c r="R27" s="106">
        <v>2.5</v>
      </c>
      <c r="S27" s="106"/>
    </row>
    <row r="28" spans="1:94" x14ac:dyDescent="0.3">
      <c r="D28" s="106"/>
      <c r="E28" s="106"/>
      <c r="F28" s="106"/>
      <c r="G28" s="116"/>
      <c r="H28" s="116"/>
      <c r="I28" s="117" t="s">
        <v>50</v>
      </c>
      <c r="J28" s="117" t="s">
        <v>51</v>
      </c>
      <c r="K28" s="117" t="s">
        <v>52</v>
      </c>
      <c r="L28" s="119" t="s">
        <v>27</v>
      </c>
      <c r="M28" s="112" t="s">
        <v>28</v>
      </c>
      <c r="N28" s="112" t="s">
        <v>28</v>
      </c>
      <c r="O28" s="115" t="s">
        <v>27</v>
      </c>
      <c r="P28" s="115" t="s">
        <v>27</v>
      </c>
      <c r="Q28" s="115" t="s">
        <v>27</v>
      </c>
      <c r="R28" s="108" t="s">
        <v>29</v>
      </c>
      <c r="S28" s="108"/>
      <c r="T28" s="107" t="s">
        <v>66</v>
      </c>
    </row>
    <row r="29" spans="1:94" x14ac:dyDescent="0.3">
      <c r="D29" s="106"/>
      <c r="E29" s="106"/>
      <c r="F29" s="106"/>
      <c r="G29" s="106"/>
      <c r="H29" s="106"/>
      <c r="I29" s="117"/>
      <c r="J29" s="117"/>
      <c r="K29" s="117"/>
      <c r="L29" s="119"/>
      <c r="M29" s="121"/>
      <c r="N29" s="112"/>
      <c r="O29" s="115"/>
      <c r="P29" s="115"/>
      <c r="Q29" s="115"/>
      <c r="R29" s="108"/>
      <c r="S29" s="108"/>
      <c r="T29" s="107"/>
    </row>
    <row r="30" spans="1:94" x14ac:dyDescent="0.3">
      <c r="D30" s="106"/>
      <c r="E30" s="106"/>
      <c r="F30" s="106"/>
      <c r="G30" s="106"/>
      <c r="H30" s="106"/>
      <c r="I30" s="117"/>
      <c r="J30" s="117"/>
      <c r="K30" s="117"/>
      <c r="L30" s="119"/>
      <c r="M30" s="121"/>
      <c r="N30" s="112"/>
      <c r="O30" s="115"/>
      <c r="P30" s="115"/>
      <c r="Q30" s="115"/>
      <c r="R30" s="108"/>
      <c r="S30" s="108"/>
      <c r="T30" s="107"/>
    </row>
    <row r="31" spans="1:94" x14ac:dyDescent="0.3">
      <c r="D31" s="106"/>
      <c r="E31" s="106"/>
      <c r="F31" s="106"/>
      <c r="G31" s="106"/>
      <c r="H31" s="106"/>
      <c r="I31" s="117"/>
      <c r="J31" s="117"/>
      <c r="K31" s="117"/>
      <c r="L31" s="119"/>
      <c r="M31" s="121"/>
      <c r="N31" s="112"/>
      <c r="O31" s="115"/>
      <c r="P31" s="115"/>
      <c r="Q31" s="115"/>
      <c r="R31" s="108"/>
      <c r="S31" s="108"/>
      <c r="T31" s="107"/>
    </row>
    <row r="32" spans="1:94" x14ac:dyDescent="0.3">
      <c r="D32" s="106"/>
      <c r="E32" s="106"/>
      <c r="F32" s="106"/>
      <c r="G32" s="116"/>
      <c r="H32" s="116"/>
      <c r="I32" s="117" t="s">
        <v>28</v>
      </c>
      <c r="J32" s="117" t="s">
        <v>28</v>
      </c>
      <c r="K32" s="119" t="s">
        <v>27</v>
      </c>
      <c r="L32" s="119" t="s">
        <v>53</v>
      </c>
      <c r="M32" s="109" t="s">
        <v>27</v>
      </c>
      <c r="N32" s="120" t="s">
        <v>27</v>
      </c>
      <c r="O32" s="115"/>
      <c r="P32" s="115"/>
      <c r="Q32" s="115"/>
      <c r="R32" s="108" t="s">
        <v>29</v>
      </c>
      <c r="S32" s="108"/>
      <c r="T32" s="107"/>
    </row>
    <row r="33" spans="1:52" x14ac:dyDescent="0.3">
      <c r="D33" s="106"/>
      <c r="E33" s="106"/>
      <c r="F33" s="106"/>
      <c r="G33" s="106"/>
      <c r="H33" s="106"/>
      <c r="I33" s="117"/>
      <c r="J33" s="117"/>
      <c r="K33" s="119"/>
      <c r="L33" s="119"/>
      <c r="M33" s="110"/>
      <c r="N33" s="120"/>
      <c r="O33" s="115"/>
      <c r="P33" s="115"/>
      <c r="Q33" s="115"/>
      <c r="R33" s="108"/>
      <c r="S33" s="108"/>
      <c r="T33" s="107"/>
    </row>
    <row r="34" spans="1:52" x14ac:dyDescent="0.3">
      <c r="D34" s="106"/>
      <c r="E34" s="106"/>
      <c r="F34" s="106"/>
      <c r="G34" s="106"/>
      <c r="H34" s="106"/>
      <c r="I34" s="117"/>
      <c r="J34" s="117"/>
      <c r="K34" s="119"/>
      <c r="L34" s="119"/>
      <c r="M34" s="110"/>
      <c r="N34" s="120"/>
      <c r="O34" s="115"/>
      <c r="P34" s="115"/>
      <c r="Q34" s="115"/>
      <c r="R34" s="108"/>
      <c r="S34" s="108"/>
      <c r="T34" s="107"/>
    </row>
    <row r="35" spans="1:52" ht="15" thickBot="1" x14ac:dyDescent="0.35">
      <c r="D35" s="106"/>
      <c r="E35" s="106"/>
      <c r="F35" s="106"/>
      <c r="G35" s="106"/>
      <c r="H35" s="106"/>
      <c r="I35" s="118"/>
      <c r="J35" s="118"/>
      <c r="K35" s="119"/>
      <c r="L35" s="119"/>
      <c r="M35" s="110"/>
      <c r="N35" s="120"/>
      <c r="O35" s="115"/>
      <c r="P35" s="115"/>
      <c r="Q35" s="115"/>
      <c r="R35" s="108"/>
      <c r="S35" s="108"/>
      <c r="T35" s="107"/>
    </row>
    <row r="36" spans="1:52" x14ac:dyDescent="0.3">
      <c r="D36" s="25"/>
      <c r="E36" s="25"/>
      <c r="I36" s="25">
        <v>0.63</v>
      </c>
      <c r="J36" s="25">
        <v>0.63</v>
      </c>
      <c r="K36">
        <v>0.67</v>
      </c>
      <c r="L36">
        <v>1.1000000000000001</v>
      </c>
      <c r="M36">
        <v>1.1200000000000001</v>
      </c>
      <c r="N36">
        <v>0.87</v>
      </c>
      <c r="O36">
        <v>1.25</v>
      </c>
      <c r="P36">
        <v>1.25</v>
      </c>
      <c r="Q36">
        <v>1.25</v>
      </c>
      <c r="R36" s="106">
        <v>2.5</v>
      </c>
      <c r="S36" s="106"/>
    </row>
    <row r="37" spans="1:52" x14ac:dyDescent="0.3">
      <c r="D37" s="106">
        <f>SUM(D36:S36)</f>
        <v>11.27</v>
      </c>
      <c r="E37" s="106"/>
      <c r="F37" s="106"/>
      <c r="G37" s="106"/>
      <c r="H37" s="106"/>
      <c r="I37" s="106"/>
      <c r="J37" s="106"/>
      <c r="K37" s="106"/>
      <c r="L37" s="106"/>
      <c r="M37" s="106"/>
      <c r="N37" s="106"/>
      <c r="O37" s="106"/>
      <c r="P37" s="106"/>
      <c r="Q37" s="106"/>
      <c r="R37" s="106"/>
    </row>
    <row r="41" spans="1:52" x14ac:dyDescent="0.3">
      <c r="A41" s="1">
        <v>46132</v>
      </c>
      <c r="C41" t="s">
        <v>45</v>
      </c>
    </row>
    <row r="42" spans="1:52" ht="41.4" x14ac:dyDescent="0.3">
      <c r="A42" s="2" t="s">
        <v>0</v>
      </c>
      <c r="B42" s="3" t="s">
        <v>1</v>
      </c>
      <c r="C42" s="3" t="s">
        <v>2</v>
      </c>
      <c r="D42" s="3" t="s">
        <v>3</v>
      </c>
      <c r="E42" s="3" t="s">
        <v>4</v>
      </c>
      <c r="F42" s="3" t="s">
        <v>5</v>
      </c>
      <c r="G42" s="3" t="s">
        <v>6</v>
      </c>
      <c r="H42" s="3" t="s">
        <v>7</v>
      </c>
      <c r="I42" s="3" t="s">
        <v>8</v>
      </c>
      <c r="J42" s="3" t="s">
        <v>9</v>
      </c>
      <c r="K42" s="3" t="s">
        <v>10</v>
      </c>
      <c r="L42" s="3" t="s">
        <v>11</v>
      </c>
      <c r="M42" s="3" t="s">
        <v>12</v>
      </c>
      <c r="N42" s="3" t="s">
        <v>13</v>
      </c>
      <c r="O42" s="3" t="s">
        <v>14</v>
      </c>
      <c r="P42" s="4" t="s">
        <v>15</v>
      </c>
      <c r="Q42" s="4"/>
      <c r="R42" s="26"/>
      <c r="S42" s="4"/>
    </row>
    <row r="43" spans="1:52" x14ac:dyDescent="0.3">
      <c r="A43" s="5">
        <v>9462</v>
      </c>
      <c r="B43" s="82" t="s">
        <v>31</v>
      </c>
      <c r="C43" s="15" t="s">
        <v>59</v>
      </c>
      <c r="D43" s="6">
        <v>4000</v>
      </c>
      <c r="E43" s="78">
        <v>424</v>
      </c>
      <c r="F43" s="78">
        <f t="shared" ref="F43" si="22">E43-G43</f>
        <v>52</v>
      </c>
      <c r="G43" s="78">
        <v>372</v>
      </c>
      <c r="H43" s="78">
        <v>1.1000000000000001</v>
      </c>
      <c r="I43" s="78">
        <v>0.8</v>
      </c>
      <c r="J43" s="78">
        <v>0.55000000000000004</v>
      </c>
      <c r="K43" s="78">
        <f t="shared" ref="K43:K44" si="23">H43*I43*J43</f>
        <v>0.4840000000000001</v>
      </c>
      <c r="L43" s="6">
        <v>20000</v>
      </c>
      <c r="M43" s="7">
        <f t="shared" ref="M43:M44" si="24">L43/D43</f>
        <v>5</v>
      </c>
      <c r="N43" s="7">
        <f t="shared" ref="N43:N44" si="25">M43*E43</f>
        <v>2120</v>
      </c>
      <c r="O43" s="7">
        <f>M43*K43</f>
        <v>2.4200000000000004</v>
      </c>
      <c r="P43" s="30">
        <v>45960</v>
      </c>
      <c r="Q43" s="30"/>
      <c r="R43" s="6"/>
      <c r="S43" s="6"/>
    </row>
    <row r="44" spans="1:52" x14ac:dyDescent="0.3">
      <c r="A44" s="5">
        <v>9502</v>
      </c>
      <c r="B44" s="6" t="s">
        <v>31</v>
      </c>
      <c r="C44" s="77" t="s">
        <v>32</v>
      </c>
      <c r="D44" s="28">
        <v>800</v>
      </c>
      <c r="E44" s="29">
        <v>690</v>
      </c>
      <c r="F44" s="29">
        <f>E44-G44</f>
        <v>40</v>
      </c>
      <c r="G44" s="29">
        <v>650</v>
      </c>
      <c r="H44" s="29">
        <v>1.1000000000000001</v>
      </c>
      <c r="I44" s="29">
        <v>0.8</v>
      </c>
      <c r="J44" s="29">
        <v>0.55000000000000004</v>
      </c>
      <c r="K44" s="7">
        <f t="shared" si="23"/>
        <v>0.4840000000000001</v>
      </c>
      <c r="L44" s="6">
        <v>2800</v>
      </c>
      <c r="M44" s="7">
        <f t="shared" si="24"/>
        <v>3.5</v>
      </c>
      <c r="N44" s="7">
        <f t="shared" si="25"/>
        <v>2415</v>
      </c>
      <c r="O44" s="7">
        <f t="shared" ref="O44" si="26">M44*K44</f>
        <v>1.6940000000000004</v>
      </c>
      <c r="P44" s="16">
        <v>46021</v>
      </c>
      <c r="Q44" s="8"/>
      <c r="R44" s="8"/>
      <c r="S44" s="8"/>
    </row>
    <row r="45" spans="1:52" x14ac:dyDescent="0.3">
      <c r="A45" s="22"/>
      <c r="B45" s="22" t="s">
        <v>16</v>
      </c>
      <c r="C45" s="22" t="s">
        <v>17</v>
      </c>
      <c r="D45" s="22">
        <v>1</v>
      </c>
      <c r="E45" s="22">
        <v>186</v>
      </c>
      <c r="F45" s="22">
        <f t="shared" ref="F45" si="27">E45-G45</f>
        <v>21</v>
      </c>
      <c r="G45" s="22">
        <v>165</v>
      </c>
      <c r="H45" s="22">
        <v>0.89</v>
      </c>
      <c r="I45" s="22">
        <v>0.89</v>
      </c>
      <c r="J45" s="22">
        <v>0.5</v>
      </c>
      <c r="K45" s="23">
        <f t="shared" ref="K45" si="28">(H45*I45)*J45</f>
        <v>0.39605000000000001</v>
      </c>
      <c r="L45" s="22">
        <v>48</v>
      </c>
      <c r="M45" s="22">
        <f t="shared" ref="M45" si="29">L45/D45</f>
        <v>48</v>
      </c>
      <c r="N45" s="22">
        <f t="shared" ref="N45" si="30">M45*E45</f>
        <v>8928</v>
      </c>
      <c r="O45" s="22">
        <f t="shared" ref="O45" si="31">M45*K45</f>
        <v>19.010400000000001</v>
      </c>
      <c r="P45" s="24">
        <v>46111</v>
      </c>
      <c r="Q45" s="24"/>
      <c r="R45" s="34"/>
      <c r="S45" s="34"/>
    </row>
    <row r="46" spans="1:52" x14ac:dyDescent="0.3">
      <c r="A46" s="97" t="s">
        <v>18</v>
      </c>
      <c r="B46" s="98" t="s">
        <v>16</v>
      </c>
      <c r="C46" s="99" t="s">
        <v>19</v>
      </c>
      <c r="D46" s="100">
        <v>4</v>
      </c>
      <c r="E46" s="100">
        <v>80</v>
      </c>
      <c r="F46" s="100">
        <v>52</v>
      </c>
      <c r="G46" s="100">
        <v>28</v>
      </c>
      <c r="H46" s="101">
        <v>1.22</v>
      </c>
      <c r="I46" s="101">
        <v>0.67</v>
      </c>
      <c r="J46" s="101">
        <v>0.76</v>
      </c>
      <c r="K46" s="102">
        <f t="shared" ref="K46:K51" si="32">H46*I46*J46</f>
        <v>0.621224</v>
      </c>
      <c r="L46" s="103">
        <v>40</v>
      </c>
      <c r="M46" s="100">
        <f>L46/D46</f>
        <v>10</v>
      </c>
      <c r="N46" s="100">
        <f>M46*E46</f>
        <v>800</v>
      </c>
      <c r="O46" s="102">
        <f>M46*K46</f>
        <v>6.2122399999999995</v>
      </c>
      <c r="P46" s="104">
        <v>45999</v>
      </c>
      <c r="Q46" s="104"/>
      <c r="R46" s="105"/>
      <c r="S46" s="105"/>
    </row>
    <row r="47" spans="1:52" s="27" customFormat="1" x14ac:dyDescent="0.3">
      <c r="A47" s="85">
        <v>9569</v>
      </c>
      <c r="B47" s="86" t="s">
        <v>35</v>
      </c>
      <c r="C47" s="87" t="s">
        <v>55</v>
      </c>
      <c r="D47" s="88">
        <v>60</v>
      </c>
      <c r="E47" s="88">
        <v>940</v>
      </c>
      <c r="F47" s="89">
        <v>40</v>
      </c>
      <c r="G47" s="88">
        <v>900</v>
      </c>
      <c r="H47" s="88">
        <v>2.5</v>
      </c>
      <c r="I47" s="88">
        <v>1.1000000000000001</v>
      </c>
      <c r="J47" s="90">
        <v>0.52600000000000002</v>
      </c>
      <c r="K47" s="91">
        <f t="shared" si="32"/>
        <v>1.4465000000000001</v>
      </c>
      <c r="L47" s="92">
        <v>0</v>
      </c>
      <c r="M47" s="93">
        <f t="shared" ref="M47:M51" si="33">L47/D47</f>
        <v>0</v>
      </c>
      <c r="N47" s="94">
        <f t="shared" ref="N47:N51" si="34">M47*E47</f>
        <v>0</v>
      </c>
      <c r="O47" s="94">
        <f t="shared" ref="O47:O51" si="35">K47*M47</f>
        <v>0</v>
      </c>
      <c r="P47" s="95">
        <v>46091</v>
      </c>
      <c r="Q47" s="96"/>
      <c r="R47" s="96"/>
      <c r="S47" s="96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</row>
    <row r="48" spans="1:52" s="27" customFormat="1" x14ac:dyDescent="0.3">
      <c r="A48" s="85">
        <v>9569</v>
      </c>
      <c r="B48" s="86" t="s">
        <v>35</v>
      </c>
      <c r="C48" s="87" t="s">
        <v>36</v>
      </c>
      <c r="D48" s="88">
        <v>72</v>
      </c>
      <c r="E48" s="88">
        <v>940</v>
      </c>
      <c r="F48" s="89">
        <v>40</v>
      </c>
      <c r="G48" s="88">
        <v>900</v>
      </c>
      <c r="H48" s="88">
        <v>2.5</v>
      </c>
      <c r="I48" s="88">
        <v>1.1000000000000001</v>
      </c>
      <c r="J48" s="90">
        <v>0.52600000000000002</v>
      </c>
      <c r="K48" s="91">
        <f t="shared" si="32"/>
        <v>1.4465000000000001</v>
      </c>
      <c r="L48" s="92">
        <v>576</v>
      </c>
      <c r="M48" s="93">
        <f t="shared" si="33"/>
        <v>8</v>
      </c>
      <c r="N48" s="94">
        <f t="shared" si="34"/>
        <v>7520</v>
      </c>
      <c r="O48" s="94">
        <f t="shared" si="35"/>
        <v>11.572000000000001</v>
      </c>
      <c r="P48" s="95">
        <v>46091</v>
      </c>
      <c r="Q48" s="96" t="s">
        <v>69</v>
      </c>
      <c r="R48" s="96"/>
      <c r="S48" s="96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</row>
    <row r="49" spans="1:52" s="27" customFormat="1" x14ac:dyDescent="0.3">
      <c r="A49" s="85">
        <v>9569</v>
      </c>
      <c r="B49" s="86" t="s">
        <v>35</v>
      </c>
      <c r="C49" s="87" t="s">
        <v>56</v>
      </c>
      <c r="D49" s="88">
        <v>50</v>
      </c>
      <c r="E49" s="88">
        <v>940</v>
      </c>
      <c r="F49" s="89">
        <v>40</v>
      </c>
      <c r="G49" s="88">
        <v>900</v>
      </c>
      <c r="H49" s="88">
        <v>2.5</v>
      </c>
      <c r="I49" s="88">
        <v>1.1000000000000001</v>
      </c>
      <c r="J49" s="90">
        <v>0.52600000000000002</v>
      </c>
      <c r="K49" s="91">
        <f t="shared" si="32"/>
        <v>1.4465000000000001</v>
      </c>
      <c r="L49" s="92">
        <v>0</v>
      </c>
      <c r="M49" s="93">
        <f t="shared" si="33"/>
        <v>0</v>
      </c>
      <c r="N49" s="94">
        <f t="shared" si="34"/>
        <v>0</v>
      </c>
      <c r="O49" s="94">
        <f t="shared" si="35"/>
        <v>0</v>
      </c>
      <c r="P49" s="95">
        <v>46091</v>
      </c>
      <c r="Q49" s="96"/>
      <c r="R49" s="96"/>
      <c r="S49" s="96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</row>
    <row r="50" spans="1:52" s="27" customFormat="1" x14ac:dyDescent="0.3">
      <c r="A50" s="85">
        <v>9569</v>
      </c>
      <c r="B50" s="86" t="s">
        <v>35</v>
      </c>
      <c r="C50" s="87" t="s">
        <v>57</v>
      </c>
      <c r="D50" s="88">
        <v>36</v>
      </c>
      <c r="E50" s="88">
        <v>940</v>
      </c>
      <c r="F50" s="89">
        <v>40</v>
      </c>
      <c r="G50" s="88">
        <v>900</v>
      </c>
      <c r="H50" s="88">
        <v>2.5</v>
      </c>
      <c r="I50" s="88">
        <v>1.1000000000000001</v>
      </c>
      <c r="J50" s="90">
        <v>0.52600000000000002</v>
      </c>
      <c r="K50" s="91">
        <f t="shared" si="32"/>
        <v>1.4465000000000001</v>
      </c>
      <c r="L50" s="92">
        <v>0</v>
      </c>
      <c r="M50" s="93">
        <f t="shared" si="33"/>
        <v>0</v>
      </c>
      <c r="N50" s="94">
        <f t="shared" si="34"/>
        <v>0</v>
      </c>
      <c r="O50" s="94">
        <f t="shared" si="35"/>
        <v>0</v>
      </c>
      <c r="P50" s="95">
        <v>46091</v>
      </c>
      <c r="Q50" s="96"/>
      <c r="R50" s="96"/>
      <c r="S50" s="96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</row>
    <row r="51" spans="1:52" s="27" customFormat="1" x14ac:dyDescent="0.3">
      <c r="A51" s="85">
        <v>9569</v>
      </c>
      <c r="B51" s="86" t="s">
        <v>35</v>
      </c>
      <c r="C51" s="87" t="s">
        <v>58</v>
      </c>
      <c r="D51" s="88">
        <v>27</v>
      </c>
      <c r="E51" s="88">
        <v>940</v>
      </c>
      <c r="F51" s="89">
        <v>40</v>
      </c>
      <c r="G51" s="88">
        <v>900</v>
      </c>
      <c r="H51" s="88">
        <v>2.5</v>
      </c>
      <c r="I51" s="88">
        <v>1.1000000000000001</v>
      </c>
      <c r="J51" s="90">
        <v>0.52600000000000002</v>
      </c>
      <c r="K51" s="91">
        <f t="shared" si="32"/>
        <v>1.4465000000000001</v>
      </c>
      <c r="L51" s="92">
        <v>0</v>
      </c>
      <c r="M51" s="93">
        <f t="shared" si="33"/>
        <v>0</v>
      </c>
      <c r="N51" s="94">
        <f t="shared" si="34"/>
        <v>0</v>
      </c>
      <c r="O51" s="94">
        <f t="shared" si="35"/>
        <v>0</v>
      </c>
      <c r="P51" s="95">
        <v>46091</v>
      </c>
      <c r="Q51" s="96"/>
      <c r="R51" s="96"/>
      <c r="S51" s="96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</row>
    <row r="52" spans="1:52" x14ac:dyDescent="0.3">
      <c r="A52" s="5">
        <v>9547</v>
      </c>
      <c r="B52" s="6" t="s">
        <v>31</v>
      </c>
      <c r="C52" s="6" t="s">
        <v>37</v>
      </c>
      <c r="D52" s="6">
        <v>4000</v>
      </c>
      <c r="E52" s="78">
        <v>424</v>
      </c>
      <c r="F52" s="78">
        <f>E52-G52</f>
        <v>52</v>
      </c>
      <c r="G52" s="78">
        <v>372</v>
      </c>
      <c r="H52" s="78">
        <v>1.1000000000000001</v>
      </c>
      <c r="I52" s="78">
        <v>0.8</v>
      </c>
      <c r="J52" s="78">
        <v>0.55000000000000004</v>
      </c>
      <c r="K52" s="78">
        <f t="shared" ref="K52" si="36">H52*I52*J52</f>
        <v>0.4840000000000001</v>
      </c>
      <c r="L52" s="6">
        <v>4000</v>
      </c>
      <c r="M52" s="7">
        <f t="shared" ref="M52:M53" si="37">L52/D52</f>
        <v>1</v>
      </c>
      <c r="N52" s="7">
        <f t="shared" ref="N52:N53" si="38">M52*E52</f>
        <v>424</v>
      </c>
      <c r="O52" s="7">
        <f>M52*K52</f>
        <v>0.4840000000000001</v>
      </c>
      <c r="P52" s="16">
        <v>46112</v>
      </c>
      <c r="Q52" s="8"/>
      <c r="R52" s="8"/>
      <c r="S52" s="8"/>
    </row>
    <row r="53" spans="1:52" x14ac:dyDescent="0.3">
      <c r="A53" s="5">
        <v>9556</v>
      </c>
      <c r="B53" s="17" t="s">
        <v>31</v>
      </c>
      <c r="C53" s="83" t="s">
        <v>60</v>
      </c>
      <c r="D53" s="28">
        <v>800</v>
      </c>
      <c r="E53" s="29">
        <v>690</v>
      </c>
      <c r="F53" s="29">
        <f>E53-G53</f>
        <v>40</v>
      </c>
      <c r="G53" s="29">
        <v>650</v>
      </c>
      <c r="H53" s="29">
        <v>1.1000000000000001</v>
      </c>
      <c r="I53" s="29">
        <v>0.8</v>
      </c>
      <c r="J53" s="29">
        <v>0.55000000000000004</v>
      </c>
      <c r="K53" s="7">
        <f>H53*I53*J53</f>
        <v>0.4840000000000001</v>
      </c>
      <c r="L53" s="6">
        <v>2400</v>
      </c>
      <c r="M53" s="81">
        <f t="shared" si="37"/>
        <v>3</v>
      </c>
      <c r="N53" s="84">
        <f t="shared" si="38"/>
        <v>2070</v>
      </c>
      <c r="O53" s="84">
        <f t="shared" ref="O53" si="39">K53*M53</f>
        <v>1.4520000000000004</v>
      </c>
      <c r="P53" s="16">
        <v>46122</v>
      </c>
      <c r="Q53" s="8"/>
      <c r="R53" s="8"/>
      <c r="S53" s="8"/>
    </row>
    <row r="54" spans="1:52" x14ac:dyDescent="0.3">
      <c r="A54" s="67" t="s">
        <v>46</v>
      </c>
      <c r="B54" s="68" t="s">
        <v>47</v>
      </c>
      <c r="C54" s="69" t="s">
        <v>48</v>
      </c>
      <c r="D54" s="70"/>
      <c r="E54" s="70"/>
      <c r="F54" s="70"/>
      <c r="G54" s="70"/>
      <c r="H54" s="70"/>
      <c r="I54" s="71"/>
      <c r="J54" s="70"/>
      <c r="K54" s="72"/>
      <c r="L54" s="71">
        <v>500</v>
      </c>
      <c r="M54" s="72"/>
      <c r="N54" s="73"/>
      <c r="O54" s="73"/>
      <c r="P54" s="74"/>
      <c r="Q54" s="75"/>
      <c r="R54" s="75"/>
      <c r="S54" s="75"/>
    </row>
    <row r="55" spans="1:52" x14ac:dyDescent="0.3">
      <c r="A55" s="67" t="s">
        <v>49</v>
      </c>
      <c r="B55" s="68" t="s">
        <v>47</v>
      </c>
      <c r="C55" s="76">
        <v>2080</v>
      </c>
      <c r="D55" s="70"/>
      <c r="E55" s="70"/>
      <c r="F55" s="70"/>
      <c r="G55" s="70"/>
      <c r="H55" s="70"/>
      <c r="I55" s="71"/>
      <c r="J55" s="70"/>
      <c r="K55" s="72"/>
      <c r="L55" s="71">
        <v>500</v>
      </c>
      <c r="M55" s="72"/>
      <c r="N55" s="73"/>
      <c r="O55" s="73"/>
      <c r="P55" s="74"/>
      <c r="Q55" s="75"/>
      <c r="R55" s="75"/>
      <c r="S55" s="75"/>
    </row>
    <row r="56" spans="1:52" x14ac:dyDescent="0.3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>
        <f>SUM(L43:L55)</f>
        <v>30864</v>
      </c>
      <c r="M56" s="18">
        <f t="shared" ref="M56:O56" si="40">SUM(M43:M55)</f>
        <v>78.5</v>
      </c>
      <c r="N56" s="18">
        <f t="shared" si="40"/>
        <v>24277</v>
      </c>
      <c r="O56" s="18">
        <f t="shared" si="40"/>
        <v>42.844640000000005</v>
      </c>
    </row>
    <row r="59" spans="1:52" ht="15" thickBot="1" x14ac:dyDescent="0.35">
      <c r="D59" s="106">
        <f>SUM(D60:S60)</f>
        <v>11.450000000000001</v>
      </c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</row>
    <row r="60" spans="1:52" x14ac:dyDescent="0.3">
      <c r="D60" s="25"/>
      <c r="E60" s="25"/>
      <c r="F60" s="25"/>
      <c r="G60">
        <v>0.67</v>
      </c>
      <c r="H60">
        <v>0.67</v>
      </c>
      <c r="I60">
        <v>0.67</v>
      </c>
      <c r="J60">
        <v>0.89</v>
      </c>
      <c r="K60">
        <v>0.89</v>
      </c>
      <c r="L60">
        <v>0.89</v>
      </c>
      <c r="M60">
        <v>0.89</v>
      </c>
      <c r="N60">
        <v>0.89</v>
      </c>
      <c r="O60">
        <v>0.89</v>
      </c>
      <c r="P60">
        <v>0.8</v>
      </c>
      <c r="Q60">
        <v>0.8</v>
      </c>
      <c r="R60" s="106">
        <v>2.5</v>
      </c>
      <c r="S60" s="106"/>
    </row>
    <row r="61" spans="1:52" x14ac:dyDescent="0.3">
      <c r="D61" s="106"/>
      <c r="E61" s="106"/>
      <c r="F61" s="106"/>
      <c r="G61" s="111" t="s">
        <v>64</v>
      </c>
      <c r="H61" s="111" t="s">
        <v>27</v>
      </c>
      <c r="I61" s="114" t="s">
        <v>27</v>
      </c>
      <c r="J61" s="112" t="s">
        <v>29</v>
      </c>
      <c r="K61" s="112" t="s">
        <v>29</v>
      </c>
      <c r="L61" s="112" t="s">
        <v>29</v>
      </c>
      <c r="M61" s="112" t="s">
        <v>29</v>
      </c>
      <c r="N61" s="112" t="s">
        <v>29</v>
      </c>
      <c r="O61" s="112" t="s">
        <v>29</v>
      </c>
      <c r="P61" s="113" t="s">
        <v>54</v>
      </c>
      <c r="Q61" s="113" t="s">
        <v>29</v>
      </c>
      <c r="R61" s="108" t="s">
        <v>29</v>
      </c>
      <c r="S61" s="108"/>
      <c r="T61" s="107" t="s">
        <v>66</v>
      </c>
    </row>
    <row r="62" spans="1:52" x14ac:dyDescent="0.3">
      <c r="D62" s="106"/>
      <c r="E62" s="106"/>
      <c r="F62" s="106"/>
      <c r="G62" s="114"/>
      <c r="H62" s="114"/>
      <c r="I62" s="114"/>
      <c r="J62" s="112"/>
      <c r="K62" s="112"/>
      <c r="L62" s="112"/>
      <c r="M62" s="112"/>
      <c r="N62" s="112"/>
      <c r="O62" s="112"/>
      <c r="P62" s="113"/>
      <c r="Q62" s="113"/>
      <c r="R62" s="108"/>
      <c r="S62" s="108"/>
      <c r="T62" s="107"/>
    </row>
    <row r="63" spans="1:52" x14ac:dyDescent="0.3">
      <c r="D63" s="106"/>
      <c r="E63" s="106"/>
      <c r="F63" s="106"/>
      <c r="G63" s="114"/>
      <c r="H63" s="114"/>
      <c r="I63" s="114"/>
      <c r="J63" s="112"/>
      <c r="K63" s="112"/>
      <c r="L63" s="112"/>
      <c r="M63" s="112"/>
      <c r="N63" s="112"/>
      <c r="O63" s="112"/>
      <c r="P63" s="113"/>
      <c r="Q63" s="113"/>
      <c r="R63" s="108"/>
      <c r="S63" s="108"/>
      <c r="T63" s="107"/>
    </row>
    <row r="64" spans="1:52" x14ac:dyDescent="0.3">
      <c r="D64" s="106"/>
      <c r="E64" s="106"/>
      <c r="F64" s="106"/>
      <c r="G64" s="114"/>
      <c r="H64" s="114"/>
      <c r="I64" s="114"/>
      <c r="J64" s="112"/>
      <c r="K64" s="112"/>
      <c r="L64" s="112"/>
      <c r="M64" s="112"/>
      <c r="N64" s="112"/>
      <c r="O64" s="112"/>
      <c r="P64" s="113"/>
      <c r="Q64" s="113"/>
      <c r="R64" s="108"/>
      <c r="S64" s="108"/>
      <c r="T64" s="107"/>
    </row>
    <row r="65" spans="4:20" x14ac:dyDescent="0.3">
      <c r="D65" s="106"/>
      <c r="E65" s="106"/>
      <c r="F65" s="106"/>
      <c r="G65" s="109" t="s">
        <v>47</v>
      </c>
      <c r="H65" s="111" t="s">
        <v>27</v>
      </c>
      <c r="I65" s="111"/>
      <c r="J65" s="112" t="s">
        <v>29</v>
      </c>
      <c r="K65" s="112" t="s">
        <v>29</v>
      </c>
      <c r="L65" s="112" t="s">
        <v>29</v>
      </c>
      <c r="M65" s="112" t="s">
        <v>29</v>
      </c>
      <c r="N65" s="112" t="s">
        <v>29</v>
      </c>
      <c r="O65" s="112" t="s">
        <v>29</v>
      </c>
      <c r="P65" s="113" t="s">
        <v>54</v>
      </c>
      <c r="Q65" s="113" t="s">
        <v>54</v>
      </c>
      <c r="R65" s="108" t="s">
        <v>29</v>
      </c>
      <c r="S65" s="108"/>
      <c r="T65" s="107"/>
    </row>
    <row r="66" spans="4:20" x14ac:dyDescent="0.3">
      <c r="D66" s="106"/>
      <c r="E66" s="106"/>
      <c r="F66" s="106"/>
      <c r="G66" s="110"/>
      <c r="H66" s="111"/>
      <c r="I66" s="111"/>
      <c r="J66" s="112"/>
      <c r="K66" s="112"/>
      <c r="L66" s="112"/>
      <c r="M66" s="112"/>
      <c r="N66" s="112"/>
      <c r="O66" s="112"/>
      <c r="P66" s="113"/>
      <c r="Q66" s="113"/>
      <c r="R66" s="108"/>
      <c r="S66" s="108"/>
      <c r="T66" s="107"/>
    </row>
    <row r="67" spans="4:20" x14ac:dyDescent="0.3">
      <c r="D67" s="106"/>
      <c r="E67" s="106"/>
      <c r="F67" s="106"/>
      <c r="G67" s="110"/>
      <c r="H67" s="111"/>
      <c r="I67" s="111"/>
      <c r="J67" s="112"/>
      <c r="K67" s="112"/>
      <c r="L67" s="112"/>
      <c r="M67" s="112"/>
      <c r="N67" s="112"/>
      <c r="O67" s="112"/>
      <c r="P67" s="113"/>
      <c r="Q67" s="113"/>
      <c r="R67" s="108"/>
      <c r="S67" s="108"/>
      <c r="T67" s="107"/>
    </row>
    <row r="68" spans="4:20" ht="15" thickBot="1" x14ac:dyDescent="0.35">
      <c r="D68" s="106"/>
      <c r="E68" s="106"/>
      <c r="F68" s="106"/>
      <c r="G68" s="110"/>
      <c r="H68" s="111"/>
      <c r="I68" s="111"/>
      <c r="J68" s="112"/>
      <c r="K68" s="112"/>
      <c r="L68" s="112"/>
      <c r="M68" s="112"/>
      <c r="N68" s="112"/>
      <c r="O68" s="112"/>
      <c r="P68" s="113"/>
      <c r="Q68" s="113"/>
      <c r="R68" s="108"/>
      <c r="S68" s="108"/>
      <c r="T68" s="107"/>
    </row>
    <row r="69" spans="4:20" x14ac:dyDescent="0.3">
      <c r="D69" s="25"/>
      <c r="E69" s="25"/>
      <c r="F69" s="25"/>
      <c r="H69" s="106">
        <v>1.22</v>
      </c>
      <c r="I69" s="106"/>
      <c r="J69">
        <v>0.89</v>
      </c>
      <c r="K69">
        <v>0.89</v>
      </c>
      <c r="L69">
        <v>0.89</v>
      </c>
      <c r="M69">
        <v>0.89</v>
      </c>
      <c r="N69">
        <v>0.89</v>
      </c>
      <c r="O69">
        <v>0.89</v>
      </c>
      <c r="P69">
        <v>0.8</v>
      </c>
      <c r="Q69">
        <v>0.8</v>
      </c>
      <c r="R69" s="106">
        <v>2.5</v>
      </c>
      <c r="S69" s="106"/>
    </row>
    <row r="70" spans="4:20" x14ac:dyDescent="0.3">
      <c r="D70" s="106">
        <f>SUM(D69:S69)</f>
        <v>10.66</v>
      </c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</row>
  </sheetData>
  <mergeCells count="87">
    <mergeCell ref="N7:N8"/>
    <mergeCell ref="O7:O8"/>
    <mergeCell ref="H7:H8"/>
    <mergeCell ref="I7:I8"/>
    <mergeCell ref="J7:J8"/>
    <mergeCell ref="K7:K8"/>
    <mergeCell ref="M7:M8"/>
    <mergeCell ref="E7:E8"/>
    <mergeCell ref="F7:F8"/>
    <mergeCell ref="G7:G8"/>
    <mergeCell ref="E9:E10"/>
    <mergeCell ref="F9:F10"/>
    <mergeCell ref="G9:G10"/>
    <mergeCell ref="N9:N10"/>
    <mergeCell ref="O9:O10"/>
    <mergeCell ref="H9:H10"/>
    <mergeCell ref="I9:I10"/>
    <mergeCell ref="J9:J10"/>
    <mergeCell ref="K9:K10"/>
    <mergeCell ref="M9:M10"/>
    <mergeCell ref="D26:R26"/>
    <mergeCell ref="R27:S27"/>
    <mergeCell ref="D28:D31"/>
    <mergeCell ref="E28:E31"/>
    <mergeCell ref="F28:F31"/>
    <mergeCell ref="G28:G31"/>
    <mergeCell ref="H28:H31"/>
    <mergeCell ref="I28:I31"/>
    <mergeCell ref="J28:J31"/>
    <mergeCell ref="K28:K31"/>
    <mergeCell ref="L28:L31"/>
    <mergeCell ref="M28:M31"/>
    <mergeCell ref="N28:N31"/>
    <mergeCell ref="O28:O35"/>
    <mergeCell ref="P28:P35"/>
    <mergeCell ref="Q28:Q35"/>
    <mergeCell ref="R28:S31"/>
    <mergeCell ref="D32:D35"/>
    <mergeCell ref="E32:E35"/>
    <mergeCell ref="F32:F35"/>
    <mergeCell ref="G32:G35"/>
    <mergeCell ref="H32:H35"/>
    <mergeCell ref="I32:I35"/>
    <mergeCell ref="J32:J35"/>
    <mergeCell ref="K32:K35"/>
    <mergeCell ref="L32:L35"/>
    <mergeCell ref="M32:M35"/>
    <mergeCell ref="N32:N35"/>
    <mergeCell ref="R32:S35"/>
    <mergeCell ref="N61:N64"/>
    <mergeCell ref="O61:O64"/>
    <mergeCell ref="P61:P64"/>
    <mergeCell ref="Q61:Q64"/>
    <mergeCell ref="R36:S36"/>
    <mergeCell ref="D37:R37"/>
    <mergeCell ref="O65:O68"/>
    <mergeCell ref="P65:P68"/>
    <mergeCell ref="Q65:Q68"/>
    <mergeCell ref="R65:S68"/>
    <mergeCell ref="D59:R59"/>
    <mergeCell ref="R60:S60"/>
    <mergeCell ref="D61:D64"/>
    <mergeCell ref="E61:E64"/>
    <mergeCell ref="F61:F64"/>
    <mergeCell ref="G61:G64"/>
    <mergeCell ref="H61:H64"/>
    <mergeCell ref="I61:I64"/>
    <mergeCell ref="J61:J64"/>
    <mergeCell ref="K61:K64"/>
    <mergeCell ref="L61:L64"/>
    <mergeCell ref="M61:M64"/>
    <mergeCell ref="H69:I69"/>
    <mergeCell ref="R69:S69"/>
    <mergeCell ref="D70:R70"/>
    <mergeCell ref="T28:T35"/>
    <mergeCell ref="T61:T68"/>
    <mergeCell ref="R61:S64"/>
    <mergeCell ref="D65:D68"/>
    <mergeCell ref="E65:E68"/>
    <mergeCell ref="F65:F68"/>
    <mergeCell ref="G65:G68"/>
    <mergeCell ref="H65:I68"/>
    <mergeCell ref="J65:J68"/>
    <mergeCell ref="K65:K68"/>
    <mergeCell ref="L65:L68"/>
    <mergeCell ref="M65:M68"/>
    <mergeCell ref="N65:N6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 Zhu</dc:creator>
  <cp:lastModifiedBy>Kai Zhu</cp:lastModifiedBy>
  <dcterms:created xsi:type="dcterms:W3CDTF">2015-06-05T18:17:20Z</dcterms:created>
  <dcterms:modified xsi:type="dcterms:W3CDTF">2026-04-10T06:30:20Z</dcterms:modified>
</cp:coreProperties>
</file>