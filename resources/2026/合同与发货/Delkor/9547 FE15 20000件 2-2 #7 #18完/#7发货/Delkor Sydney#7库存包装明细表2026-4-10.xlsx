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#7发货\"/>
    </mc:Choice>
  </mc:AlternateContent>
  <xr:revisionPtr revIDLastSave="0" documentId="13_ncr:1_{7F4A4AD6-B2AC-4A21-A06C-22196A0520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M8" i="1"/>
  <c r="P8" i="1" s="1"/>
  <c r="J8" i="1"/>
  <c r="H8" i="1"/>
  <c r="F8" i="1" s="1"/>
  <c r="Q7" i="1" l="1"/>
  <c r="O7" i="1"/>
  <c r="M7" i="1"/>
  <c r="P7" i="1" s="1"/>
  <c r="J7" i="1"/>
  <c r="H7" i="1"/>
  <c r="F7" i="1" s="1"/>
  <c r="Q6" i="1"/>
  <c r="M6" i="1"/>
  <c r="P6" i="1" s="1"/>
  <c r="Q5" i="1"/>
  <c r="O5" i="1"/>
  <c r="M5" i="1"/>
  <c r="P5" i="1" s="1"/>
  <c r="J5" i="1"/>
  <c r="H5" i="1"/>
  <c r="F5" i="1" s="1"/>
  <c r="Q4" i="1"/>
  <c r="O4" i="1"/>
  <c r="M4" i="1"/>
  <c r="P4" i="1" s="1"/>
  <c r="J4" i="1"/>
  <c r="H4" i="1"/>
  <c r="F4" i="1" s="1"/>
  <c r="O6" i="1"/>
  <c r="J6" i="1"/>
  <c r="H6" i="1"/>
  <c r="F6" i="1"/>
  <c r="K9" i="1" l="1"/>
  <c r="F9" i="1" l="1"/>
  <c r="Q9" i="1"/>
  <c r="P9" i="1"/>
  <c r="O9" i="1"/>
  <c r="H9" i="1"/>
</calcChain>
</file>

<file path=xl/sharedStrings.xml><?xml version="1.0" encoding="utf-8"?>
<sst xmlns="http://schemas.openxmlformats.org/spreadsheetml/2006/main" count="41" uniqueCount="36">
  <si>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</si>
  <si>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</si>
  <si>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</si>
  <si>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</si>
  <si>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</si>
  <si>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</si>
  <si>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</si>
  <si>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</si>
  <si>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</si>
  <si>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</si>
  <si>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</si>
  <si>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</si>
  <si>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</si>
  <si>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</si>
  <si>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</si>
  <si>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</si>
  <si>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</si>
  <si>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</si>
  <si>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</si>
  <si>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</si>
  <si>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</si>
  <si>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</si>
  <si>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</si>
  <si>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</si>
  <si>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24x180</t>
  </si>
  <si>
    <r>
      <t xml:space="preserve">1100*800*550
</t>
    </r>
    <r>
      <rPr>
        <sz val="10"/>
        <rFont val="宋体"/>
        <family val="3"/>
        <charset val="134"/>
        <scheme val="minor"/>
      </rPr>
      <t>0.48</t>
    </r>
    <phoneticPr fontId="9" type="noConversion"/>
  </si>
  <si>
    <t>#7</t>
    <phoneticPr fontId="9" type="noConversion"/>
  </si>
  <si>
    <r>
      <t xml:space="preserve">1100*800*350
</t>
    </r>
    <r>
      <rPr>
        <sz val="10"/>
        <rFont val="宋体"/>
        <family val="3"/>
        <charset val="134"/>
        <scheme val="minor"/>
      </rPr>
      <t>0.31</t>
    </r>
    <phoneticPr fontId="9" type="noConversion"/>
  </si>
  <si>
    <t>弹垫FE15
Spring Washer</t>
    <phoneticPr fontId="9" type="noConversion"/>
  </si>
  <si>
    <t>弹垫FE6
Spring Washer</t>
    <phoneticPr fontId="9" type="noConversion"/>
  </si>
  <si>
    <t>26x190</t>
    <phoneticPr fontId="9" type="noConversion"/>
  </si>
  <si>
    <t>1/13-5/13</t>
    <phoneticPr fontId="9" type="noConversion"/>
  </si>
  <si>
    <t>6/13-8/13</t>
    <phoneticPr fontId="9" type="noConversion"/>
  </si>
  <si>
    <t>9/13</t>
    <phoneticPr fontId="9" type="noConversion"/>
  </si>
  <si>
    <t>10/13</t>
    <phoneticPr fontId="9" type="noConversion"/>
  </si>
  <si>
    <t>11/13-13/13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</si>
</sst>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5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8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tabSelected="1" topLeftCell="A4" workbookViewId="0">
      <selection activeCell="E6" sqref="E6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5" t="s">
        <v>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9" ht="30.75" customHeight="1" x14ac:dyDescent="0.15">
      <c r="A2" s="14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29</v>
      </c>
      <c r="C4" s="19">
        <v>25</v>
      </c>
      <c r="D4" s="17">
        <v>9462</v>
      </c>
      <c r="E4" s="20" t="s">
        <v>31</v>
      </c>
      <c r="F4" s="2">
        <f t="shared" ref="F4:F5" si="0">G4*H4</f>
        <v>20000</v>
      </c>
      <c r="G4" s="15">
        <v>200</v>
      </c>
      <c r="H4" s="15">
        <f t="shared" ref="H4:H5" si="1">I4*K4</f>
        <v>100</v>
      </c>
      <c r="I4" s="15">
        <v>20</v>
      </c>
      <c r="J4" s="15">
        <f t="shared" ref="J4" si="2">G4*I4</f>
        <v>4000</v>
      </c>
      <c r="K4" s="15">
        <v>5</v>
      </c>
      <c r="L4" s="15">
        <v>365</v>
      </c>
      <c r="M4" s="15">
        <f t="shared" ref="M4" si="3">L4+42</f>
        <v>407</v>
      </c>
      <c r="N4" s="8" t="s">
        <v>23</v>
      </c>
      <c r="O4" s="15">
        <f t="shared" ref="O4" si="4">L4*K4</f>
        <v>1825</v>
      </c>
      <c r="P4" s="15">
        <f t="shared" ref="P4" si="5">M4*K4</f>
        <v>2035</v>
      </c>
      <c r="Q4" s="18">
        <f>0.48*K4</f>
        <v>2.4</v>
      </c>
      <c r="R4" s="12"/>
      <c r="S4" s="12"/>
    </row>
    <row r="5" spans="1:19" ht="51.75" customHeight="1" x14ac:dyDescent="0.15">
      <c r="A5" s="15">
        <v>2</v>
      </c>
      <c r="B5" s="4" t="s">
        <v>17</v>
      </c>
      <c r="C5" s="16" t="s">
        <v>24</v>
      </c>
      <c r="D5" s="17">
        <v>9502</v>
      </c>
      <c r="E5" s="18" t="s">
        <v>32</v>
      </c>
      <c r="F5" s="2">
        <f t="shared" si="0"/>
        <v>2400</v>
      </c>
      <c r="G5" s="2">
        <v>25</v>
      </c>
      <c r="H5" s="15">
        <f t="shared" si="1"/>
        <v>96</v>
      </c>
      <c r="I5" s="2">
        <v>32</v>
      </c>
      <c r="J5" s="2">
        <f>G5*I5</f>
        <v>800</v>
      </c>
      <c r="K5" s="2">
        <v>3</v>
      </c>
      <c r="L5" s="2">
        <v>645</v>
      </c>
      <c r="M5" s="22">
        <f>L5+46</f>
        <v>691</v>
      </c>
      <c r="N5" s="21" t="s">
        <v>25</v>
      </c>
      <c r="O5" s="2">
        <f>L5*K5</f>
        <v>1935</v>
      </c>
      <c r="P5" s="15">
        <f>M5*K5</f>
        <v>2073</v>
      </c>
      <c r="Q5" s="18">
        <f>0.48*K5</f>
        <v>1.44</v>
      </c>
      <c r="R5" s="12"/>
      <c r="S5" s="12"/>
    </row>
    <row r="6" spans="1:19" ht="51.75" customHeight="1" x14ac:dyDescent="0.15">
      <c r="A6" s="15">
        <v>3</v>
      </c>
      <c r="B6" s="4" t="s">
        <v>17</v>
      </c>
      <c r="C6" s="16" t="s">
        <v>24</v>
      </c>
      <c r="D6" s="17">
        <v>9502</v>
      </c>
      <c r="E6" s="23" t="s">
        <v>33</v>
      </c>
      <c r="F6" s="2">
        <f t="shared" ref="F6:F8" si="6">G6*H6</f>
        <v>400</v>
      </c>
      <c r="G6" s="2">
        <v>25</v>
      </c>
      <c r="H6" s="15">
        <f t="shared" ref="H6:H8" si="7">I6*K6</f>
        <v>16</v>
      </c>
      <c r="I6" s="2">
        <v>16</v>
      </c>
      <c r="J6" s="2">
        <f>G6*I6</f>
        <v>400</v>
      </c>
      <c r="K6" s="2">
        <v>1</v>
      </c>
      <c r="L6" s="2">
        <v>323</v>
      </c>
      <c r="M6" s="22">
        <f>L6+30</f>
        <v>353</v>
      </c>
      <c r="N6" s="21" t="s">
        <v>27</v>
      </c>
      <c r="O6" s="2">
        <f>L6*K6</f>
        <v>323</v>
      </c>
      <c r="P6" s="15">
        <f>M6*K6</f>
        <v>353</v>
      </c>
      <c r="Q6" s="18">
        <f>0.31*K6</f>
        <v>0.31</v>
      </c>
      <c r="R6" s="12"/>
      <c r="S6" s="12"/>
    </row>
    <row r="7" spans="1:19" ht="51.75" customHeight="1" x14ac:dyDescent="0.15">
      <c r="A7" s="15">
        <v>4</v>
      </c>
      <c r="B7" s="4" t="s">
        <v>28</v>
      </c>
      <c r="C7" s="19">
        <v>25</v>
      </c>
      <c r="D7" s="17">
        <v>9547</v>
      </c>
      <c r="E7" s="23" t="s">
        <v>34</v>
      </c>
      <c r="F7" s="2">
        <f t="shared" si="6"/>
        <v>4000</v>
      </c>
      <c r="G7" s="15">
        <v>200</v>
      </c>
      <c r="H7" s="15">
        <f t="shared" si="7"/>
        <v>20</v>
      </c>
      <c r="I7" s="15">
        <v>20</v>
      </c>
      <c r="J7" s="15">
        <f t="shared" ref="J7:J8" si="8">G7*I7</f>
        <v>4000</v>
      </c>
      <c r="K7" s="15">
        <v>1</v>
      </c>
      <c r="L7" s="15">
        <v>480</v>
      </c>
      <c r="M7" s="15">
        <f t="shared" ref="M7:M8" si="9">L7+42</f>
        <v>522</v>
      </c>
      <c r="N7" s="8" t="s">
        <v>23</v>
      </c>
      <c r="O7" s="15">
        <f t="shared" ref="O7:O8" si="10">L7*K7</f>
        <v>480</v>
      </c>
      <c r="P7" s="15">
        <f t="shared" ref="P7:P8" si="11">M7*K7</f>
        <v>522</v>
      </c>
      <c r="Q7" s="18">
        <f>0.48*K7</f>
        <v>0.48</v>
      </c>
      <c r="R7" s="12"/>
      <c r="S7" s="12"/>
    </row>
    <row r="8" spans="1:19" ht="51.75" customHeight="1" x14ac:dyDescent="0.15">
      <c r="A8" s="15">
        <v>5</v>
      </c>
      <c r="B8" s="4" t="s">
        <v>17</v>
      </c>
      <c r="C8" s="16" t="s">
        <v>30</v>
      </c>
      <c r="D8" s="17">
        <v>9556</v>
      </c>
      <c r="E8" s="18" t="s">
        <v>35</v>
      </c>
      <c r="F8" s="2">
        <f t="shared" si="6"/>
        <v>2400</v>
      </c>
      <c r="G8" s="15">
        <v>25</v>
      </c>
      <c r="H8" s="15">
        <f t="shared" si="7"/>
        <v>96</v>
      </c>
      <c r="I8" s="15">
        <v>32</v>
      </c>
      <c r="J8" s="15">
        <f t="shared" si="8"/>
        <v>800</v>
      </c>
      <c r="K8" s="15">
        <v>3</v>
      </c>
      <c r="L8" s="15">
        <v>552</v>
      </c>
      <c r="M8" s="15">
        <f t="shared" si="9"/>
        <v>594</v>
      </c>
      <c r="N8" s="8" t="s">
        <v>23</v>
      </c>
      <c r="O8" s="15">
        <f t="shared" si="10"/>
        <v>1656</v>
      </c>
      <c r="P8" s="15">
        <f t="shared" si="11"/>
        <v>1782</v>
      </c>
      <c r="Q8" s="18">
        <f>0.48*K8</f>
        <v>1.44</v>
      </c>
      <c r="R8" s="12"/>
      <c r="S8" s="12"/>
    </row>
    <row r="9" spans="1:19" ht="35.25" customHeight="1" x14ac:dyDescent="0.15">
      <c r="A9" s="27" t="s">
        <v>18</v>
      </c>
      <c r="B9" s="27"/>
      <c r="C9" s="27"/>
      <c r="D9" s="3"/>
      <c r="E9" s="1"/>
      <c r="F9" s="3">
        <f>SUM(F4:F8)</f>
        <v>29200</v>
      </c>
      <c r="G9" s="3"/>
      <c r="H9" s="3">
        <f>SUM(H4:H8)</f>
        <v>328</v>
      </c>
      <c r="I9" s="3"/>
      <c r="J9" s="3"/>
      <c r="K9" s="3">
        <f>SUM(K4:K8)</f>
        <v>13</v>
      </c>
      <c r="L9" s="3"/>
      <c r="M9" s="3"/>
      <c r="N9" s="1"/>
      <c r="O9" s="3">
        <f>SUM(O4:O8)</f>
        <v>6219</v>
      </c>
      <c r="P9" s="3">
        <f>SUM(P4:P8)</f>
        <v>6765</v>
      </c>
      <c r="Q9" s="1">
        <f>SUM(Q4:Q8)</f>
        <v>6.0699999999999985</v>
      </c>
      <c r="R9" s="12"/>
    </row>
    <row r="10" spans="1:19" ht="21" customHeight="1" x14ac:dyDescent="0.15">
      <c r="A10" s="5"/>
      <c r="B10" s="5"/>
      <c r="C10" s="5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9" ht="21" customHeight="1" x14ac:dyDescent="0.15">
      <c r="A11" s="5"/>
      <c r="B11" s="6" t="s">
        <v>19</v>
      </c>
      <c r="C11" s="5" t="s">
        <v>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9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4" t="s">
        <v>21</v>
      </c>
      <c r="O12" s="24"/>
      <c r="P12" s="24"/>
      <c r="Q12" s="24"/>
    </row>
    <row r="13" spans="1:19" ht="18.75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4">
        <v>46129</v>
      </c>
      <c r="O13" s="24"/>
      <c r="P13" s="24"/>
      <c r="Q13" s="24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</sheetData>
  <mergeCells count="4">
    <mergeCell ref="N13:Q13"/>
    <mergeCell ref="A1:Q1"/>
    <mergeCell ref="A9:C9"/>
    <mergeCell ref="N12:Q12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2026-04-17T06:38:45Z</cp:lastPrinted>
  <dcterms:created xsi:type="dcterms:W3CDTF">2006-09-13T11:21:00Z</dcterms:created>
  <dcterms:modified xsi:type="dcterms:W3CDTF">2026-04-17T09:38:16Z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