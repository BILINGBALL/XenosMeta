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苏铁\"/>
    </mc:Choice>
  </mc:AlternateContent>
  <xr:revisionPtr revIDLastSave="0" documentId="13_ncr:1_{0FDC3AA3-04EE-4751-A57E-A7A960E866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 s="1"/>
  <c r="I6" i="1"/>
  <c r="E6" i="1"/>
  <c r="O4" i="1" l="1"/>
  <c r="M4" i="1"/>
  <c r="K4" i="1"/>
  <c r="N4" i="1" s="1"/>
  <c r="H4" i="1"/>
  <c r="E4" i="1"/>
  <c r="O3" i="1"/>
  <c r="M3" i="1"/>
  <c r="K3" i="1"/>
  <c r="N3" i="1" s="1"/>
  <c r="H3" i="1"/>
  <c r="E3" i="1"/>
  <c r="M5" i="1"/>
  <c r="M6" i="1" s="1"/>
  <c r="K5" i="1"/>
  <c r="N5" i="1" s="1"/>
  <c r="H5" i="1"/>
  <c r="E5" i="1"/>
  <c r="N6" i="1" l="1"/>
</calcChain>
</file>

<file path=xl/sharedStrings.xml><?xml version="1.0" encoding="utf-8"?>
<sst xmlns="http://schemas.openxmlformats.org/spreadsheetml/2006/main" count="26" uniqueCount="25">
  <si>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</si>
  <si>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</si>
  <si>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</si>
  <si>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</si>
  <si>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</si>
  <si>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</si>
  <si>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</si>
  <si>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</si>
  <si>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</si>
  <si>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</si>
  <si>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</si>
  <si>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</si>
  <si>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</si>
  <si>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</si>
  <si>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</si>
  <si>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</si>
  <si>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螺纹道钉配弹垫</t>
  </si>
  <si>
    <t>20X145</t>
  </si>
  <si>
    <t>950*950*600
0.54</t>
  </si>
  <si>
    <t>合计</t>
  </si>
  <si>
    <t>苏州苏德兰铁路配套有限公司</t>
  </si>
  <si>
    <t xml:space="preserve">TR3H20230823001/P202410180001 </t>
    <phoneticPr fontId="6" type="noConversion"/>
  </si>
  <si>
    <t>螺栓配螺母垫圈</t>
    <phoneticPr fontId="6" type="noConversion"/>
  </si>
  <si>
    <t>18X270</t>
    <phoneticPr fontId="6" type="noConversion"/>
  </si>
  <si>
    <t>950*950*300
0.27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</si>
</sst>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23">
    <xf numFmtId="176" fontId="0" fillId="0" borderId="0" xfId="0">
      <alignment vertical="center"/>
    </xf>
    <xf numFmtId="178" fontId="1" fillId="0" borderId="0" xfId="0" applyNumberFormat="1" applyFont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176" fontId="4" fillId="0" borderId="1" xfId="0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6" fontId="3" fillId="0" borderId="0" xfId="0" applyFont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 wrapText="1"/>
    </xf>
    <xf numFmtId="177" fontId="7" fillId="0" borderId="4" xfId="0" applyNumberFormat="1" applyFont="1" applyBorder="1" applyAlignment="1">
      <alignment horizontal="center" vertical="center" wrapText="1"/>
    </xf>
    <xf numFmtId="177" fontId="7" fillId="0" borderId="5" xfId="0" applyNumberFormat="1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"/>
  <sheetViews>
    <sheetView tabSelected="1" topLeftCell="A3" zoomScale="115" zoomScaleNormal="115" workbookViewId="0">
      <selection activeCell="J5" sqref="J5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0.25" customWidth="1"/>
    <col min="14" max="14" width="7.875" customWidth="1"/>
    <col min="15" max="15" width="7.125" customWidth="1"/>
  </cols>
  <sheetData>
    <row r="1" spans="1:15" ht="65.2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2.25" customHeight="1" x14ac:dyDescent="0.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  <c r="K2" s="7" t="s">
        <v>11</v>
      </c>
      <c r="L2" s="5" t="s">
        <v>12</v>
      </c>
      <c r="M2" s="7" t="s">
        <v>13</v>
      </c>
      <c r="N2" s="7" t="s">
        <v>14</v>
      </c>
      <c r="O2" s="7" t="s">
        <v>15</v>
      </c>
    </row>
    <row r="3" spans="1:15" ht="51.75" customHeight="1" x14ac:dyDescent="0.15">
      <c r="A3" s="6">
        <v>1</v>
      </c>
      <c r="B3" s="11" t="s">
        <v>16</v>
      </c>
      <c r="C3" s="6" t="s">
        <v>17</v>
      </c>
      <c r="D3" s="18" t="s">
        <v>21</v>
      </c>
      <c r="E3" s="5">
        <f>I3*H3</f>
        <v>8000</v>
      </c>
      <c r="F3" s="5">
        <v>40</v>
      </c>
      <c r="G3" s="5">
        <v>40</v>
      </c>
      <c r="H3" s="5">
        <f>F3*G3</f>
        <v>1600</v>
      </c>
      <c r="I3" s="5">
        <v>5</v>
      </c>
      <c r="J3" s="7">
        <v>800</v>
      </c>
      <c r="K3" s="7">
        <f>J3+20</f>
        <v>820</v>
      </c>
      <c r="L3" s="7" t="s">
        <v>18</v>
      </c>
      <c r="M3" s="7">
        <f>J3*I3</f>
        <v>4000</v>
      </c>
      <c r="N3" s="7">
        <f>K3*I3</f>
        <v>4100</v>
      </c>
      <c r="O3" s="8">
        <f>0.54*I3</f>
        <v>2.7</v>
      </c>
    </row>
    <row r="4" spans="1:15" ht="51.75" customHeight="1" x14ac:dyDescent="0.15">
      <c r="A4" s="6">
        <v>2</v>
      </c>
      <c r="B4" s="18" t="s">
        <v>22</v>
      </c>
      <c r="C4" s="21" t="s">
        <v>23</v>
      </c>
      <c r="D4" s="19"/>
      <c r="E4" s="5">
        <f>I4*H4</f>
        <v>5000</v>
      </c>
      <c r="F4" s="5">
        <v>20</v>
      </c>
      <c r="G4" s="5">
        <v>50</v>
      </c>
      <c r="H4" s="5">
        <f>F4*G4</f>
        <v>1000</v>
      </c>
      <c r="I4" s="5">
        <v>5</v>
      </c>
      <c r="J4" s="7">
        <v>850</v>
      </c>
      <c r="K4" s="7">
        <f>J4+20</f>
        <v>870</v>
      </c>
      <c r="L4" s="7" t="s">
        <v>18</v>
      </c>
      <c r="M4" s="7">
        <f>J4*I4</f>
        <v>4250</v>
      </c>
      <c r="N4" s="7">
        <f>K4*I4</f>
        <v>4350</v>
      </c>
      <c r="O4" s="8">
        <f>0.54*I4</f>
        <v>2.7</v>
      </c>
    </row>
    <row r="5" spans="1:15" ht="51.75" customHeight="1" x14ac:dyDescent="0.15">
      <c r="A5" s="6">
        <v>3</v>
      </c>
      <c r="B5" s="20"/>
      <c r="C5" s="22"/>
      <c r="D5" s="20"/>
      <c r="E5" s="5">
        <f>I5*H5</f>
        <v>300</v>
      </c>
      <c r="F5" s="5">
        <v>20</v>
      </c>
      <c r="G5" s="5">
        <v>15</v>
      </c>
      <c r="H5" s="5">
        <f>F5*G5</f>
        <v>300</v>
      </c>
      <c r="I5" s="5">
        <v>1</v>
      </c>
      <c r="J5" s="7">
        <v>255</v>
      </c>
      <c r="K5" s="7">
        <f>J5+20</f>
        <v>275</v>
      </c>
      <c r="L5" s="12" t="s">
        <v>24</v>
      </c>
      <c r="M5" s="7">
        <f>J5*I5</f>
        <v>255</v>
      </c>
      <c r="N5" s="7">
        <f>K5*I5</f>
        <v>275</v>
      </c>
      <c r="O5" s="8">
        <f>0.27*I5</f>
        <v>0.27</v>
      </c>
    </row>
    <row r="6" spans="1:15" ht="35.25" customHeight="1" x14ac:dyDescent="0.15">
      <c r="A6" s="14" t="s">
        <v>19</v>
      </c>
      <c r="B6" s="15"/>
      <c r="C6" s="16"/>
      <c r="D6" s="5"/>
      <c r="E6" s="5">
        <f>SUM(E3:E5)</f>
        <v>13300</v>
      </c>
      <c r="F6" s="5"/>
      <c r="G6" s="5"/>
      <c r="H6" s="5"/>
      <c r="I6" s="5">
        <f>SUM(I3:I5)</f>
        <v>11</v>
      </c>
      <c r="J6" s="5"/>
      <c r="K6" s="5"/>
      <c r="L6" s="9"/>
      <c r="M6" s="5">
        <f t="shared" ref="M6:O6" si="0">SUM(M3:M5)</f>
        <v>8505</v>
      </c>
      <c r="N6" s="5">
        <f t="shared" si="0"/>
        <v>8725</v>
      </c>
      <c r="O6" s="10">
        <f t="shared" si="0"/>
        <v>5.67</v>
      </c>
    </row>
    <row r="7" spans="1:15" ht="14.25" x14ac:dyDescent="0.15">
      <c r="A7" s="3"/>
      <c r="B7" s="3"/>
      <c r="C7" s="1"/>
      <c r="D7" s="2"/>
      <c r="E7" s="2"/>
      <c r="F7" s="2"/>
      <c r="G7" s="2"/>
      <c r="H7" s="2"/>
      <c r="I7" s="2"/>
      <c r="J7" s="2"/>
      <c r="K7" s="2"/>
      <c r="L7" s="17" t="s">
        <v>20</v>
      </c>
      <c r="M7" s="17"/>
      <c r="N7" s="17"/>
      <c r="O7" s="17"/>
    </row>
    <row r="8" spans="1:15" ht="14.25" x14ac:dyDescent="0.15">
      <c r="A8" s="3"/>
      <c r="B8" s="3"/>
      <c r="C8" s="1"/>
      <c r="D8" s="2"/>
      <c r="E8" s="2"/>
      <c r="F8" s="2"/>
      <c r="G8" s="2"/>
      <c r="H8" s="2"/>
      <c r="I8" s="2"/>
      <c r="J8" s="2"/>
      <c r="K8" s="2"/>
      <c r="L8" s="17">
        <v>46204</v>
      </c>
      <c r="M8" s="17"/>
      <c r="N8" s="17"/>
      <c r="O8" s="17"/>
    </row>
    <row r="9" spans="1:15" x14ac:dyDescent="0.15">
      <c r="A9" s="4"/>
      <c r="B9" s="4"/>
      <c r="C9" s="2"/>
      <c r="D9" s="2"/>
      <c r="E9" s="2"/>
      <c r="F9" s="2"/>
      <c r="G9" s="4"/>
      <c r="H9" s="2"/>
      <c r="I9" s="2"/>
      <c r="J9" s="2"/>
      <c r="K9" s="2"/>
      <c r="L9" s="4"/>
      <c r="M9" s="4"/>
      <c r="N9" s="4"/>
      <c r="O9" s="4"/>
    </row>
    <row r="10" spans="1:15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15">
      <c r="A11" s="4"/>
      <c r="B11" s="4"/>
      <c r="C11" s="4"/>
      <c r="D11" s="4"/>
      <c r="E11" s="4"/>
      <c r="F11" s="4"/>
      <c r="H11" s="4"/>
      <c r="I11" s="4"/>
      <c r="J11" s="4"/>
      <c r="K11" s="4"/>
      <c r="L11" s="4"/>
      <c r="M11" s="4"/>
      <c r="N11" s="4"/>
      <c r="O11" s="4"/>
    </row>
    <row r="12" spans="1:15" x14ac:dyDescent="0.15">
      <c r="A12" s="4"/>
      <c r="B12" s="4"/>
      <c r="C12" s="4"/>
      <c r="D12" s="4"/>
      <c r="G12" s="4"/>
    </row>
    <row r="13" spans="1:15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15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</row>
  </sheetData>
  <mergeCells count="7">
    <mergeCell ref="A1:O1"/>
    <mergeCell ref="A6:C6"/>
    <mergeCell ref="L7:O7"/>
    <mergeCell ref="L8:O8"/>
    <mergeCell ref="D3:D5"/>
    <mergeCell ref="B4:B5"/>
    <mergeCell ref="C4:C5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2026-07-01T07:34:41Z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C94B9111453D4FE096BDAA7EC803EC7B_13</vt:lpwstr>
  </property>
  <property fmtid="{D5CDD505-2E9C-101B-9397-08002B2CF9AE}" pid="3" name="KSOProductBuildVer">
    <vt:lpwstr>2052-12.1.0.16929</vt:lpwstr>
  </property>
</Properties>
</file>