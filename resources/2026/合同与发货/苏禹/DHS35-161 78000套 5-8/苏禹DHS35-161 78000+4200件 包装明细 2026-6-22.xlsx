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苏禹\DHS35-161 78000套 5-8\"/>
    </mc:Choice>
  </mc:AlternateContent>
  <xr:revisionPtr revIDLastSave="0" documentId="13_ncr:1_{453D0A05-38C4-4958-ADA5-33F0E03A09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10" i="1"/>
  <c r="J12" i="1"/>
  <c r="J8" i="1"/>
  <c r="J6" i="1"/>
  <c r="J17" i="1"/>
  <c r="K18" i="1"/>
  <c r="Q17" i="1"/>
  <c r="O17" i="1"/>
  <c r="M17" i="1"/>
  <c r="P17" i="1" s="1"/>
  <c r="H17" i="1"/>
  <c r="F17" i="1" s="1"/>
  <c r="Q16" i="1"/>
  <c r="Q18" i="1" s="1"/>
  <c r="O16" i="1"/>
  <c r="M16" i="1"/>
  <c r="P16" i="1" s="1"/>
  <c r="J16" i="1"/>
  <c r="H16" i="1"/>
  <c r="Q4" i="1"/>
  <c r="O4" i="1"/>
  <c r="Q6" i="1"/>
  <c r="O6" i="1"/>
  <c r="Q8" i="1"/>
  <c r="O8" i="1"/>
  <c r="Q10" i="1"/>
  <c r="O10" i="1"/>
  <c r="Q12" i="1"/>
  <c r="K13" i="1"/>
  <c r="M4" i="1"/>
  <c r="P4" i="1" s="1"/>
  <c r="H4" i="1"/>
  <c r="F4" i="1"/>
  <c r="Q3" i="1"/>
  <c r="O3" i="1"/>
  <c r="M3" i="1"/>
  <c r="P3" i="1" s="1"/>
  <c r="J3" i="1"/>
  <c r="H3" i="1"/>
  <c r="F3" i="1" s="1"/>
  <c r="M6" i="1"/>
  <c r="P6" i="1" s="1"/>
  <c r="H6" i="1"/>
  <c r="F6" i="1"/>
  <c r="Q5" i="1"/>
  <c r="O5" i="1"/>
  <c r="M5" i="1"/>
  <c r="P5" i="1" s="1"/>
  <c r="J5" i="1"/>
  <c r="H5" i="1"/>
  <c r="F5" i="1" s="1"/>
  <c r="M8" i="1"/>
  <c r="P8" i="1" s="1"/>
  <c r="H8" i="1"/>
  <c r="F8" i="1" s="1"/>
  <c r="Q7" i="1"/>
  <c r="O7" i="1"/>
  <c r="M7" i="1"/>
  <c r="P7" i="1" s="1"/>
  <c r="J7" i="1"/>
  <c r="H7" i="1"/>
  <c r="F7" i="1" s="1"/>
  <c r="M10" i="1"/>
  <c r="P10" i="1" s="1"/>
  <c r="H10" i="1"/>
  <c r="F10" i="1" s="1"/>
  <c r="Q9" i="1"/>
  <c r="O9" i="1"/>
  <c r="M9" i="1"/>
  <c r="P9" i="1" s="1"/>
  <c r="J9" i="1"/>
  <c r="H9" i="1"/>
  <c r="F9" i="1" s="1"/>
  <c r="Q11" i="1"/>
  <c r="M12" i="1"/>
  <c r="P12" i="1" s="1"/>
  <c r="M11" i="1"/>
  <c r="P11" i="1" s="1"/>
  <c r="H12" i="1"/>
  <c r="F12" i="1" s="1"/>
  <c r="O12" i="1"/>
  <c r="O11" i="1"/>
  <c r="J11" i="1"/>
  <c r="H11" i="1"/>
  <c r="F11" i="1" s="1"/>
  <c r="H18" i="1" l="1"/>
  <c r="F13" i="1"/>
  <c r="P18" i="1"/>
  <c r="F16" i="1"/>
  <c r="F18" i="1" s="1"/>
  <c r="O18" i="1"/>
  <c r="Q13" i="1"/>
  <c r="H13" i="1"/>
  <c r="O13" i="1"/>
  <c r="P13" i="1"/>
</calcChain>
</file>

<file path=xl/sharedStrings.xml><?xml version="1.0" encoding="utf-8"?>
<sst xmlns="http://schemas.openxmlformats.org/spreadsheetml/2006/main" count="89" uniqueCount="36">
  <si>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</si>
  <si>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</si>
  <si>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</si>
  <si>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</si>
  <si>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</si>
  <si>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</si>
  <si>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</si>
  <si>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</si>
  <si>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</si>
  <si>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</si>
  <si>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</si>
  <si>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</si>
  <si>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</si>
  <si>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苏州苏德兰铁路配件有限公司
有限公司</t>
  </si>
  <si>
    <t>项号</t>
    <phoneticPr fontId="6" type="noConversion"/>
  </si>
  <si>
    <t>DHS35
24*161</t>
    <phoneticPr fontId="6" type="noConversion"/>
  </si>
  <si>
    <t>螺纹道钉</t>
    <phoneticPr fontId="6" type="noConversion"/>
  </si>
  <si>
    <t>件
/袋</t>
    <phoneticPr fontId="6" type="noConversion"/>
  </si>
  <si>
    <t>袋</t>
    <phoneticPr fontId="6" type="noConversion"/>
  </si>
  <si>
    <t>袋/托</t>
    <phoneticPr fontId="6" type="noConversion"/>
  </si>
  <si>
    <t>托号</t>
    <phoneticPr fontId="6" type="noConversion"/>
  </si>
  <si>
    <t>1-11~1-19</t>
    <phoneticPr fontId="6" type="noConversion"/>
  </si>
  <si>
    <t>1-20</t>
    <phoneticPr fontId="6" type="noConversion"/>
  </si>
  <si>
    <r>
      <t xml:space="preserve">950*950*650
</t>
    </r>
    <r>
      <rPr>
        <sz val="10"/>
        <color theme="1"/>
        <rFont val="宋体"/>
        <family val="3"/>
        <charset val="134"/>
        <scheme val="minor"/>
      </rPr>
      <t>0.59</t>
    </r>
    <phoneticPr fontId="6" type="noConversion"/>
  </si>
  <si>
    <t>2-11~2-19</t>
    <phoneticPr fontId="6" type="noConversion"/>
  </si>
  <si>
    <t>2-20</t>
    <phoneticPr fontId="6" type="noConversion"/>
  </si>
  <si>
    <t>3-11~3-19</t>
    <phoneticPr fontId="6" type="noConversion"/>
  </si>
  <si>
    <t>3-20</t>
    <phoneticPr fontId="6" type="noConversion"/>
  </si>
  <si>
    <t>4-11~4-19</t>
    <phoneticPr fontId="6" type="noConversion"/>
  </si>
  <si>
    <t>4-20</t>
    <phoneticPr fontId="6" type="noConversion"/>
  </si>
  <si>
    <t>5-11~5-19</t>
    <phoneticPr fontId="6" type="noConversion"/>
  </si>
  <si>
    <t>5-20</t>
    <phoneticPr fontId="6" type="noConversion"/>
  </si>
  <si>
    <r>
      <t xml:space="preserve">950*950*550
</t>
    </r>
    <r>
      <rPr>
        <sz val="10"/>
        <color theme="1"/>
        <rFont val="宋体"/>
        <family val="3"/>
        <charset val="134"/>
        <scheme val="minor"/>
      </rPr>
      <t>0.5</t>
    </r>
    <phoneticPr fontId="6" type="noConversion"/>
  </si>
  <si>
    <t>多出：</t>
    <phoneticPr fontId="6" type="noConversion"/>
  </si>
  <si>
    <t>包  装  明  细  表</t>
    <phoneticPr fontId="6" type="noConversion"/>
  </si>
  <si>
    <t>SUYU20260519-01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</si>
</sst>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8"/>
  <sheetViews>
    <sheetView tabSelected="1" topLeftCell="A13" zoomScale="115" zoomScaleNormal="115" workbookViewId="0">
      <selection activeCell="F19" sqref="F19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5" width="9.625" customWidth="1"/>
    <col min="6" max="8" width="6.625" customWidth="1"/>
    <col min="9" max="9" width="7.875" customWidth="1"/>
    <col min="10" max="11" width="7.125" customWidth="1"/>
    <col min="12" max="12" width="8.125" customWidth="1"/>
    <col min="13" max="13" width="8.5" customWidth="1"/>
    <col min="14" max="14" width="10.75" customWidth="1"/>
    <col min="15" max="17" width="9.5" customWidth="1"/>
  </cols>
  <sheetData>
    <row r="1" spans="1:17" ht="65.25" customHeight="1" x14ac:dyDescent="0.15">
      <c r="A1" s="19" t="s">
        <v>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42" customHeight="1" thickBot="1" x14ac:dyDescent="0.2">
      <c r="A2" s="1" t="s">
        <v>14</v>
      </c>
      <c r="B2" s="1" t="s">
        <v>0</v>
      </c>
      <c r="C2" s="1" t="s">
        <v>1</v>
      </c>
      <c r="D2" s="1" t="s">
        <v>2</v>
      </c>
      <c r="E2" s="1" t="s">
        <v>20</v>
      </c>
      <c r="F2" s="2" t="s">
        <v>3</v>
      </c>
      <c r="G2" s="2" t="s">
        <v>17</v>
      </c>
      <c r="H2" s="1" t="s">
        <v>18</v>
      </c>
      <c r="I2" s="1" t="s">
        <v>19</v>
      </c>
      <c r="J2" s="2" t="s">
        <v>4</v>
      </c>
      <c r="K2" s="1" t="s">
        <v>5</v>
      </c>
      <c r="L2" s="2" t="s">
        <v>6</v>
      </c>
      <c r="M2" s="2" t="s">
        <v>7</v>
      </c>
      <c r="N2" s="1" t="s">
        <v>8</v>
      </c>
      <c r="O2" s="2" t="s">
        <v>9</v>
      </c>
      <c r="P2" s="2" t="s">
        <v>10</v>
      </c>
      <c r="Q2" s="2" t="s">
        <v>11</v>
      </c>
    </row>
    <row r="3" spans="1:17" ht="41.25" customHeight="1" thickBot="1" x14ac:dyDescent="0.2">
      <c r="A3" s="3">
        <v>1</v>
      </c>
      <c r="B3" s="4" t="s">
        <v>16</v>
      </c>
      <c r="C3" s="4" t="s">
        <v>15</v>
      </c>
      <c r="D3" s="25" t="s">
        <v>35</v>
      </c>
      <c r="E3" s="10" t="s">
        <v>21</v>
      </c>
      <c r="F3" s="11">
        <f t="shared" ref="F3:F12" si="0">G3*H3</f>
        <v>14400</v>
      </c>
      <c r="G3" s="11">
        <v>40</v>
      </c>
      <c r="H3" s="11">
        <f t="shared" ref="H3:H12" si="1">I3*K3</f>
        <v>360</v>
      </c>
      <c r="I3" s="11">
        <v>40</v>
      </c>
      <c r="J3" s="11">
        <f t="shared" ref="J3:J12" si="2">I3*G3</f>
        <v>1600</v>
      </c>
      <c r="K3" s="11">
        <v>9</v>
      </c>
      <c r="L3" s="11">
        <v>1024</v>
      </c>
      <c r="M3" s="11">
        <f t="shared" ref="M3:M12" si="3">L3+20</f>
        <v>1044</v>
      </c>
      <c r="N3" s="12" t="s">
        <v>23</v>
      </c>
      <c r="O3" s="11">
        <f t="shared" ref="O3:O12" si="4">L3*K3</f>
        <v>9216</v>
      </c>
      <c r="P3" s="11">
        <f t="shared" ref="P3" si="5">M3*K3</f>
        <v>9396</v>
      </c>
      <c r="Q3" s="13">
        <f t="shared" ref="Q3:Q11" si="6">0.59*K3</f>
        <v>5.31</v>
      </c>
    </row>
    <row r="4" spans="1:17" ht="44.25" customHeight="1" thickBot="1" x14ac:dyDescent="0.2">
      <c r="A4" s="3">
        <v>2</v>
      </c>
      <c r="B4" s="4" t="s">
        <v>16</v>
      </c>
      <c r="C4" s="4" t="s">
        <v>15</v>
      </c>
      <c r="D4" s="26"/>
      <c r="E4" s="14" t="s">
        <v>22</v>
      </c>
      <c r="F4" s="15">
        <f t="shared" si="0"/>
        <v>1200</v>
      </c>
      <c r="G4" s="15">
        <v>40</v>
      </c>
      <c r="H4" s="15">
        <f t="shared" si="1"/>
        <v>30</v>
      </c>
      <c r="I4" s="15">
        <v>30</v>
      </c>
      <c r="J4" s="11">
        <f t="shared" si="2"/>
        <v>1200</v>
      </c>
      <c r="K4" s="15">
        <v>1</v>
      </c>
      <c r="L4" s="15">
        <v>768</v>
      </c>
      <c r="M4" s="15">
        <f t="shared" si="3"/>
        <v>788</v>
      </c>
      <c r="N4" s="16" t="s">
        <v>32</v>
      </c>
      <c r="O4" s="15">
        <f t="shared" ref="O4" si="7">L4*K4</f>
        <v>768</v>
      </c>
      <c r="P4" s="15">
        <f>M4*K4</f>
        <v>788</v>
      </c>
      <c r="Q4" s="17">
        <f>0.5*K4</f>
        <v>0.5</v>
      </c>
    </row>
    <row r="5" spans="1:17" ht="41.25" customHeight="1" thickBot="1" x14ac:dyDescent="0.2">
      <c r="A5" s="3">
        <v>3</v>
      </c>
      <c r="B5" s="4" t="s">
        <v>16</v>
      </c>
      <c r="C5" s="4" t="s">
        <v>15</v>
      </c>
      <c r="D5" s="26"/>
      <c r="E5" s="10" t="s">
        <v>24</v>
      </c>
      <c r="F5" s="11">
        <f t="shared" si="0"/>
        <v>14400</v>
      </c>
      <c r="G5" s="11">
        <v>40</v>
      </c>
      <c r="H5" s="11">
        <f t="shared" si="1"/>
        <v>360</v>
      </c>
      <c r="I5" s="11">
        <v>40</v>
      </c>
      <c r="J5" s="11">
        <f t="shared" si="2"/>
        <v>1600</v>
      </c>
      <c r="K5" s="11">
        <v>9</v>
      </c>
      <c r="L5" s="11">
        <v>1024</v>
      </c>
      <c r="M5" s="11">
        <f t="shared" si="3"/>
        <v>1044</v>
      </c>
      <c r="N5" s="12" t="s">
        <v>23</v>
      </c>
      <c r="O5" s="11">
        <f t="shared" si="4"/>
        <v>9216</v>
      </c>
      <c r="P5" s="11">
        <f t="shared" ref="P5" si="8">M5*K5</f>
        <v>9396</v>
      </c>
      <c r="Q5" s="13">
        <f t="shared" si="6"/>
        <v>5.31</v>
      </c>
    </row>
    <row r="6" spans="1:17" ht="44.25" customHeight="1" thickBot="1" x14ac:dyDescent="0.2">
      <c r="A6" s="3">
        <v>4</v>
      </c>
      <c r="B6" s="4" t="s">
        <v>16</v>
      </c>
      <c r="C6" s="4" t="s">
        <v>15</v>
      </c>
      <c r="D6" s="26"/>
      <c r="E6" s="14" t="s">
        <v>25</v>
      </c>
      <c r="F6" s="15">
        <f t="shared" si="0"/>
        <v>1200</v>
      </c>
      <c r="G6" s="15">
        <v>40</v>
      </c>
      <c r="H6" s="15">
        <f t="shared" si="1"/>
        <v>30</v>
      </c>
      <c r="I6" s="15">
        <v>30</v>
      </c>
      <c r="J6" s="11">
        <f t="shared" si="2"/>
        <v>1200</v>
      </c>
      <c r="K6" s="15">
        <v>1</v>
      </c>
      <c r="L6" s="15">
        <v>768</v>
      </c>
      <c r="M6" s="15">
        <f t="shared" si="3"/>
        <v>788</v>
      </c>
      <c r="N6" s="16" t="s">
        <v>32</v>
      </c>
      <c r="O6" s="15">
        <f t="shared" ref="O6" si="9">L6*K6</f>
        <v>768</v>
      </c>
      <c r="P6" s="15">
        <f>M6*K6</f>
        <v>788</v>
      </c>
      <c r="Q6" s="17">
        <f>0.5*K6</f>
        <v>0.5</v>
      </c>
    </row>
    <row r="7" spans="1:17" ht="41.25" customHeight="1" thickBot="1" x14ac:dyDescent="0.2">
      <c r="A7" s="3">
        <v>5</v>
      </c>
      <c r="B7" s="4" t="s">
        <v>16</v>
      </c>
      <c r="C7" s="4" t="s">
        <v>15</v>
      </c>
      <c r="D7" s="26"/>
      <c r="E7" s="10" t="s">
        <v>26</v>
      </c>
      <c r="F7" s="11">
        <f t="shared" si="0"/>
        <v>14400</v>
      </c>
      <c r="G7" s="11">
        <v>40</v>
      </c>
      <c r="H7" s="11">
        <f t="shared" si="1"/>
        <v>360</v>
      </c>
      <c r="I7" s="11">
        <v>40</v>
      </c>
      <c r="J7" s="11">
        <f t="shared" si="2"/>
        <v>1600</v>
      </c>
      <c r="K7" s="11">
        <v>9</v>
      </c>
      <c r="L7" s="11">
        <v>1024</v>
      </c>
      <c r="M7" s="11">
        <f t="shared" si="3"/>
        <v>1044</v>
      </c>
      <c r="N7" s="12" t="s">
        <v>23</v>
      </c>
      <c r="O7" s="11">
        <f t="shared" si="4"/>
        <v>9216</v>
      </c>
      <c r="P7" s="11">
        <f t="shared" ref="P7" si="10">M7*K7</f>
        <v>9396</v>
      </c>
      <c r="Q7" s="13">
        <f t="shared" si="6"/>
        <v>5.31</v>
      </c>
    </row>
    <row r="8" spans="1:17" ht="44.25" customHeight="1" thickBot="1" x14ac:dyDescent="0.2">
      <c r="A8" s="3">
        <v>6</v>
      </c>
      <c r="B8" s="4" t="s">
        <v>16</v>
      </c>
      <c r="C8" s="4" t="s">
        <v>15</v>
      </c>
      <c r="D8" s="26"/>
      <c r="E8" s="14" t="s">
        <v>27</v>
      </c>
      <c r="F8" s="15">
        <f t="shared" si="0"/>
        <v>1200</v>
      </c>
      <c r="G8" s="15">
        <v>40</v>
      </c>
      <c r="H8" s="15">
        <f t="shared" si="1"/>
        <v>30</v>
      </c>
      <c r="I8" s="15">
        <v>30</v>
      </c>
      <c r="J8" s="11">
        <f t="shared" si="2"/>
        <v>1200</v>
      </c>
      <c r="K8" s="15">
        <v>1</v>
      </c>
      <c r="L8" s="15">
        <v>768</v>
      </c>
      <c r="M8" s="15">
        <f t="shared" si="3"/>
        <v>788</v>
      </c>
      <c r="N8" s="16" t="s">
        <v>32</v>
      </c>
      <c r="O8" s="15">
        <f t="shared" ref="O8" si="11">L8*K8</f>
        <v>768</v>
      </c>
      <c r="P8" s="15">
        <f>M8*K8</f>
        <v>788</v>
      </c>
      <c r="Q8" s="17">
        <f>0.5*K8</f>
        <v>0.5</v>
      </c>
    </row>
    <row r="9" spans="1:17" ht="41.25" customHeight="1" thickBot="1" x14ac:dyDescent="0.2">
      <c r="A9" s="3">
        <v>7</v>
      </c>
      <c r="B9" s="4" t="s">
        <v>16</v>
      </c>
      <c r="C9" s="4" t="s">
        <v>15</v>
      </c>
      <c r="D9" s="26"/>
      <c r="E9" s="10" t="s">
        <v>28</v>
      </c>
      <c r="F9" s="11">
        <f t="shared" si="0"/>
        <v>14400</v>
      </c>
      <c r="G9" s="11">
        <v>40</v>
      </c>
      <c r="H9" s="11">
        <f t="shared" si="1"/>
        <v>360</v>
      </c>
      <c r="I9" s="11">
        <v>40</v>
      </c>
      <c r="J9" s="11">
        <f t="shared" si="2"/>
        <v>1600</v>
      </c>
      <c r="K9" s="11">
        <v>9</v>
      </c>
      <c r="L9" s="11">
        <v>1024</v>
      </c>
      <c r="M9" s="11">
        <f t="shared" si="3"/>
        <v>1044</v>
      </c>
      <c r="N9" s="12" t="s">
        <v>23</v>
      </c>
      <c r="O9" s="11">
        <f t="shared" si="4"/>
        <v>9216</v>
      </c>
      <c r="P9" s="11">
        <f t="shared" ref="P9" si="12">M9*K9</f>
        <v>9396</v>
      </c>
      <c r="Q9" s="13">
        <f t="shared" si="6"/>
        <v>5.31</v>
      </c>
    </row>
    <row r="10" spans="1:17" ht="44.25" customHeight="1" thickBot="1" x14ac:dyDescent="0.2">
      <c r="A10" s="3">
        <v>8</v>
      </c>
      <c r="B10" s="4" t="s">
        <v>16</v>
      </c>
      <c r="C10" s="4" t="s">
        <v>15</v>
      </c>
      <c r="D10" s="26"/>
      <c r="E10" s="14" t="s">
        <v>29</v>
      </c>
      <c r="F10" s="15">
        <f t="shared" si="0"/>
        <v>1200</v>
      </c>
      <c r="G10" s="15">
        <v>40</v>
      </c>
      <c r="H10" s="15">
        <f t="shared" si="1"/>
        <v>30</v>
      </c>
      <c r="I10" s="15">
        <v>30</v>
      </c>
      <c r="J10" s="11">
        <f t="shared" si="2"/>
        <v>1200</v>
      </c>
      <c r="K10" s="15">
        <v>1</v>
      </c>
      <c r="L10" s="15">
        <v>768</v>
      </c>
      <c r="M10" s="15">
        <f t="shared" si="3"/>
        <v>788</v>
      </c>
      <c r="N10" s="16" t="s">
        <v>32</v>
      </c>
      <c r="O10" s="15">
        <f t="shared" ref="O10" si="13">L10*K10</f>
        <v>768</v>
      </c>
      <c r="P10" s="15">
        <f>M10*K10</f>
        <v>788</v>
      </c>
      <c r="Q10" s="17">
        <f>0.5*K10</f>
        <v>0.5</v>
      </c>
    </row>
    <row r="11" spans="1:17" ht="41.25" customHeight="1" thickBot="1" x14ac:dyDescent="0.2">
      <c r="A11" s="3">
        <v>9</v>
      </c>
      <c r="B11" s="4" t="s">
        <v>16</v>
      </c>
      <c r="C11" s="4" t="s">
        <v>15</v>
      </c>
      <c r="D11" s="26"/>
      <c r="E11" s="10" t="s">
        <v>30</v>
      </c>
      <c r="F11" s="11">
        <f t="shared" si="0"/>
        <v>14400</v>
      </c>
      <c r="G11" s="11">
        <v>40</v>
      </c>
      <c r="H11" s="11">
        <f t="shared" si="1"/>
        <v>360</v>
      </c>
      <c r="I11" s="11">
        <v>40</v>
      </c>
      <c r="J11" s="11">
        <f t="shared" si="2"/>
        <v>1600</v>
      </c>
      <c r="K11" s="11">
        <v>9</v>
      </c>
      <c r="L11" s="11">
        <v>1024</v>
      </c>
      <c r="M11" s="11">
        <f t="shared" si="3"/>
        <v>1044</v>
      </c>
      <c r="N11" s="12" t="s">
        <v>23</v>
      </c>
      <c r="O11" s="11">
        <f t="shared" si="4"/>
        <v>9216</v>
      </c>
      <c r="P11" s="11">
        <f t="shared" ref="P11" si="14">M11*K11</f>
        <v>9396</v>
      </c>
      <c r="Q11" s="13">
        <f t="shared" si="6"/>
        <v>5.31</v>
      </c>
    </row>
    <row r="12" spans="1:17" ht="44.25" customHeight="1" thickBot="1" x14ac:dyDescent="0.2">
      <c r="A12" s="3">
        <v>10</v>
      </c>
      <c r="B12" s="4" t="s">
        <v>16</v>
      </c>
      <c r="C12" s="4" t="s">
        <v>15</v>
      </c>
      <c r="D12" s="27"/>
      <c r="E12" s="14" t="s">
        <v>31</v>
      </c>
      <c r="F12" s="15">
        <f t="shared" si="0"/>
        <v>1200</v>
      </c>
      <c r="G12" s="15">
        <v>40</v>
      </c>
      <c r="H12" s="15">
        <f t="shared" si="1"/>
        <v>30</v>
      </c>
      <c r="I12" s="15">
        <v>30</v>
      </c>
      <c r="J12" s="11">
        <f t="shared" si="2"/>
        <v>1200</v>
      </c>
      <c r="K12" s="15">
        <v>1</v>
      </c>
      <c r="L12" s="15">
        <v>768</v>
      </c>
      <c r="M12" s="15">
        <f t="shared" si="3"/>
        <v>788</v>
      </c>
      <c r="N12" s="16" t="s">
        <v>32</v>
      </c>
      <c r="O12" s="15">
        <f t="shared" si="4"/>
        <v>768</v>
      </c>
      <c r="P12" s="15">
        <f>M12*K12</f>
        <v>788</v>
      </c>
      <c r="Q12" s="17">
        <f>0.5*K12</f>
        <v>0.5</v>
      </c>
    </row>
    <row r="13" spans="1:17" ht="39" customHeight="1" x14ac:dyDescent="0.15">
      <c r="A13" s="20" t="s">
        <v>12</v>
      </c>
      <c r="B13" s="21"/>
      <c r="C13" s="22"/>
      <c r="D13" s="5"/>
      <c r="E13" s="5"/>
      <c r="F13" s="5">
        <f>SUM(F3:F12)</f>
        <v>78000</v>
      </c>
      <c r="G13" s="5"/>
      <c r="H13" s="5">
        <f>SUM(H3:H12)</f>
        <v>1950</v>
      </c>
      <c r="I13" s="5"/>
      <c r="J13" s="5"/>
      <c r="K13" s="5">
        <f>SUM(K3:K12)</f>
        <v>50</v>
      </c>
      <c r="L13" s="5"/>
      <c r="M13" s="5"/>
      <c r="N13" s="5"/>
      <c r="O13" s="5">
        <f t="shared" ref="O13:Q13" si="15">SUM(O3:O12)</f>
        <v>49920</v>
      </c>
      <c r="P13" s="5">
        <f t="shared" si="15"/>
        <v>50920</v>
      </c>
      <c r="Q13" s="5">
        <f t="shared" si="15"/>
        <v>29.049999999999997</v>
      </c>
    </row>
    <row r="14" spans="1:17" ht="21" customHeight="1" x14ac:dyDescent="0.15">
      <c r="A14" s="18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42" customHeight="1" thickBot="1" x14ac:dyDescent="0.2">
      <c r="A15" s="1" t="s">
        <v>14</v>
      </c>
      <c r="B15" s="1" t="s">
        <v>0</v>
      </c>
      <c r="C15" s="1" t="s">
        <v>1</v>
      </c>
      <c r="D15" s="1" t="s">
        <v>2</v>
      </c>
      <c r="E15" s="1" t="s">
        <v>20</v>
      </c>
      <c r="F15" s="2" t="s">
        <v>3</v>
      </c>
      <c r="G15" s="2" t="s">
        <v>17</v>
      </c>
      <c r="H15" s="1" t="s">
        <v>18</v>
      </c>
      <c r="I15" s="1" t="s">
        <v>19</v>
      </c>
      <c r="J15" s="2" t="s">
        <v>4</v>
      </c>
      <c r="K15" s="1" t="s">
        <v>5</v>
      </c>
      <c r="L15" s="2" t="s">
        <v>6</v>
      </c>
      <c r="M15" s="2" t="s">
        <v>7</v>
      </c>
      <c r="N15" s="1" t="s">
        <v>8</v>
      </c>
      <c r="O15" s="2" t="s">
        <v>9</v>
      </c>
      <c r="P15" s="2" t="s">
        <v>10</v>
      </c>
      <c r="Q15" s="2" t="s">
        <v>11</v>
      </c>
    </row>
    <row r="16" spans="1:17" ht="41.25" customHeight="1" thickBot="1" x14ac:dyDescent="0.2">
      <c r="A16" s="3">
        <v>1</v>
      </c>
      <c r="B16" s="4" t="s">
        <v>16</v>
      </c>
      <c r="C16" s="4" t="s">
        <v>15</v>
      </c>
      <c r="D16" s="25" t="s">
        <v>35</v>
      </c>
      <c r="E16" s="10" t="s">
        <v>21</v>
      </c>
      <c r="F16" s="11">
        <f t="shared" ref="F16:F17" si="16">G16*H16</f>
        <v>3200</v>
      </c>
      <c r="G16" s="11">
        <v>40</v>
      </c>
      <c r="H16" s="11">
        <f t="shared" ref="H16:H17" si="17">I16*K16</f>
        <v>80</v>
      </c>
      <c r="I16" s="11">
        <v>40</v>
      </c>
      <c r="J16" s="11">
        <f>I16*G16</f>
        <v>1600</v>
      </c>
      <c r="K16" s="11">
        <v>2</v>
      </c>
      <c r="L16" s="11">
        <v>1024</v>
      </c>
      <c r="M16" s="11">
        <f t="shared" ref="M16:M17" si="18">L16+20</f>
        <v>1044</v>
      </c>
      <c r="N16" s="12" t="s">
        <v>23</v>
      </c>
      <c r="O16" s="11">
        <f t="shared" ref="O16:O17" si="19">L16*K16</f>
        <v>2048</v>
      </c>
      <c r="P16" s="11">
        <f t="shared" ref="P16" si="20">M16*K16</f>
        <v>2088</v>
      </c>
      <c r="Q16" s="13">
        <f t="shared" ref="Q16" si="21">0.59*K16</f>
        <v>1.18</v>
      </c>
    </row>
    <row r="17" spans="1:17" ht="44.25" customHeight="1" thickBot="1" x14ac:dyDescent="0.2">
      <c r="A17" s="3">
        <v>2</v>
      </c>
      <c r="B17" s="4" t="s">
        <v>16</v>
      </c>
      <c r="C17" s="4" t="s">
        <v>15</v>
      </c>
      <c r="D17" s="26"/>
      <c r="E17" s="14" t="s">
        <v>22</v>
      </c>
      <c r="F17" s="15">
        <f t="shared" si="16"/>
        <v>1000</v>
      </c>
      <c r="G17" s="15">
        <v>40</v>
      </c>
      <c r="H17" s="15">
        <f t="shared" si="17"/>
        <v>25</v>
      </c>
      <c r="I17" s="15">
        <v>25</v>
      </c>
      <c r="J17" s="11">
        <f>I17*G17</f>
        <v>1000</v>
      </c>
      <c r="K17" s="15">
        <v>1</v>
      </c>
      <c r="L17" s="15">
        <v>640</v>
      </c>
      <c r="M17" s="15">
        <f t="shared" si="18"/>
        <v>660</v>
      </c>
      <c r="N17" s="16" t="s">
        <v>32</v>
      </c>
      <c r="O17" s="15">
        <f t="shared" si="19"/>
        <v>640</v>
      </c>
      <c r="P17" s="15">
        <f>M17*K17</f>
        <v>660</v>
      </c>
      <c r="Q17" s="17">
        <f>0.5*K17</f>
        <v>0.5</v>
      </c>
    </row>
    <row r="18" spans="1:17" ht="39" customHeight="1" x14ac:dyDescent="0.15">
      <c r="A18" s="20" t="s">
        <v>12</v>
      </c>
      <c r="B18" s="21"/>
      <c r="C18" s="22"/>
      <c r="D18" s="5"/>
      <c r="E18" s="5"/>
      <c r="F18" s="5">
        <f>SUM(F16:F17)</f>
        <v>4200</v>
      </c>
      <c r="G18" s="5"/>
      <c r="H18" s="5">
        <f>SUM(H16:H17)</f>
        <v>105</v>
      </c>
      <c r="I18" s="5"/>
      <c r="J18" s="5"/>
      <c r="K18" s="5">
        <f>SUM(K16:K17)</f>
        <v>3</v>
      </c>
      <c r="L18" s="5"/>
      <c r="M18" s="5"/>
      <c r="N18" s="5"/>
      <c r="O18" s="5">
        <f>SUM(O16:O17)</f>
        <v>2688</v>
      </c>
      <c r="P18" s="5">
        <f>SUM(P16:P17)</f>
        <v>2748</v>
      </c>
      <c r="Q18" s="5">
        <f>SUM(Q16:Q17)</f>
        <v>1.68</v>
      </c>
    </row>
    <row r="19" spans="1:17" ht="21" customHeight="1" x14ac:dyDescent="0.15">
      <c r="A19" s="6"/>
      <c r="B19" s="6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6"/>
      <c r="O19" s="6"/>
      <c r="P19" s="6"/>
      <c r="Q19" s="6"/>
    </row>
    <row r="20" spans="1:17" ht="14.25" x14ac:dyDescent="0.15">
      <c r="A20" s="6"/>
      <c r="B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23" t="s">
        <v>13</v>
      </c>
      <c r="O20" s="24"/>
      <c r="P20" s="24"/>
      <c r="Q20" s="24"/>
    </row>
    <row r="21" spans="1:17" ht="14.25" x14ac:dyDescent="0.15">
      <c r="A21" s="6"/>
      <c r="B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28">
        <v>46195</v>
      </c>
      <c r="O21" s="28"/>
      <c r="P21" s="28"/>
      <c r="Q21" s="28"/>
    </row>
    <row r="22" spans="1:17" x14ac:dyDescent="0.15">
      <c r="A22" s="9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/>
      <c r="O22" s="9"/>
      <c r="P22" s="9"/>
      <c r="Q22" s="9"/>
    </row>
    <row r="23" spans="1:17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</sheetData>
  <mergeCells count="7">
    <mergeCell ref="A1:Q1"/>
    <mergeCell ref="A13:C13"/>
    <mergeCell ref="N20:Q20"/>
    <mergeCell ref="D3:D12"/>
    <mergeCell ref="N21:Q21"/>
    <mergeCell ref="D16:D17"/>
    <mergeCell ref="A18:C18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2026-07-06T10:23:45Z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