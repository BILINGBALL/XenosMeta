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DD90289F-81B1-4AA8-894B-BC2525FF3F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K5" i="1" l="1"/>
  <c r="O4" i="1"/>
  <c r="P4" i="1"/>
  <c r="J4" i="1"/>
  <c r="H4" i="1"/>
  <c r="F4" i="1" l="1"/>
  <c r="F5" i="1" s="1"/>
  <c r="H5" i="1"/>
  <c r="Q5" i="1"/>
  <c r="P5" i="1"/>
  <c r="O5" i="1"/>
</calcChain>
</file>

<file path=xl/sharedStrings.xml><?xml version="1.0" encoding="utf-8"?>
<sst xmlns="http://schemas.openxmlformats.org/spreadsheetml/2006/main" count="25" uniqueCount="25">
  <si>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</si>
  <si>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</si>
  <si>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</si>
  <si>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</si>
  <si>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</si>
  <si>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</si>
  <si>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</si>
  <si>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</si>
  <si>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总净重
NW
（KG）</t>
  </si>
  <si>
    <t>总毛重
GW
(KG）</t>
  </si>
  <si>
    <t>总体积
M³</t>
  </si>
  <si>
    <t>合计</t>
  </si>
  <si>
    <t>备注：</t>
  </si>
  <si>
    <t>苏州苏德兰铁路配件有限公司</t>
  </si>
  <si>
    <t xml:space="preserve"> 包  装  明  细  表  
                           </t>
    <phoneticPr fontId="9" type="noConversion"/>
  </si>
  <si>
    <t>1-1</t>
    <phoneticPr fontId="9" type="noConversion"/>
  </si>
  <si>
    <t>弹垫</t>
    <phoneticPr fontId="9" type="noConversion"/>
  </si>
  <si>
    <t>袋/托
bag
/pl</t>
    <phoneticPr fontId="9" type="noConversion"/>
  </si>
  <si>
    <t>件/托
pcs
/pl</t>
    <phoneticPr fontId="9" type="noConversion"/>
  </si>
  <si>
    <t>托
pl</t>
    <phoneticPr fontId="9" type="noConversion"/>
  </si>
  <si>
    <t>体积/托 m³
M³/PL</t>
    <phoneticPr fontId="9" type="noConversion"/>
  </si>
  <si>
    <t>毛重/托
GW/PL
（KG）</t>
    <phoneticPr fontId="9" type="noConversion"/>
  </si>
  <si>
    <t>净重/托
NW/PL
（KG）</t>
    <phoneticPr fontId="9" type="noConversion"/>
  </si>
  <si>
    <r>
      <t xml:space="preserve">950*950*280
</t>
    </r>
    <r>
      <rPr>
        <sz val="10"/>
        <color theme="1"/>
        <rFont val="宋体"/>
        <family val="3"/>
        <charset val="134"/>
        <scheme val="minor"/>
      </rPr>
      <t>0.25</t>
    </r>
    <phoneticPr fontId="9" type="noConversion"/>
  </si>
  <si>
    <t>TZBC-SZSDL-01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</si>
</sst>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2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4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1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"/>
  <sheetViews>
    <sheetView tabSelected="1" workbookViewId="0">
      <selection activeCell="C6" sqref="C6"/>
    </sheetView>
  </sheetViews>
  <sheetFormatPr defaultColWidth="9" defaultRowHeight="13.5" x14ac:dyDescent="0.15"/>
  <cols>
    <col min="1" max="1" width="4.625" customWidth="1"/>
    <col min="2" max="2" width="10.5" customWidth="1"/>
    <col min="3" max="3" width="9.5" customWidth="1"/>
    <col min="4" max="4" width="9.625" customWidth="1"/>
    <col min="5" max="5" width="11.3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6.75" customHeight="1" x14ac:dyDescent="0.15">
      <c r="A1" s="21" t="s">
        <v>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8" ht="30.75" customHeight="1" x14ac:dyDescent="0.15">
      <c r="A2" s="1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0" t="s">
        <v>17</v>
      </c>
      <c r="J3" s="10" t="s">
        <v>18</v>
      </c>
      <c r="K3" s="10" t="s">
        <v>19</v>
      </c>
      <c r="L3" s="10" t="s">
        <v>22</v>
      </c>
      <c r="M3" s="10" t="s">
        <v>21</v>
      </c>
      <c r="N3" s="10" t="s">
        <v>20</v>
      </c>
      <c r="O3" s="11" t="s">
        <v>8</v>
      </c>
      <c r="P3" s="11" t="s">
        <v>9</v>
      </c>
      <c r="Q3" s="11" t="s">
        <v>10</v>
      </c>
    </row>
    <row r="4" spans="1:18" ht="43.5" customHeight="1" x14ac:dyDescent="0.15">
      <c r="A4" s="15">
        <v>1</v>
      </c>
      <c r="B4" s="4" t="s">
        <v>16</v>
      </c>
      <c r="C4" s="18">
        <v>25</v>
      </c>
      <c r="D4" s="16" t="s">
        <v>24</v>
      </c>
      <c r="E4" s="19" t="s">
        <v>15</v>
      </c>
      <c r="F4" s="2">
        <f t="shared" ref="F4" si="0">G4*H4</f>
        <v>2000</v>
      </c>
      <c r="G4" s="15">
        <v>200</v>
      </c>
      <c r="H4" s="15">
        <f t="shared" ref="H4" si="1">I4*K4</f>
        <v>10</v>
      </c>
      <c r="I4" s="15">
        <v>10</v>
      </c>
      <c r="J4" s="15">
        <f t="shared" ref="J4" si="2">G4*I4</f>
        <v>2000</v>
      </c>
      <c r="K4" s="15">
        <v>1</v>
      </c>
      <c r="L4" s="15">
        <v>180</v>
      </c>
      <c r="M4" s="15">
        <v>200</v>
      </c>
      <c r="N4" s="8" t="s">
        <v>23</v>
      </c>
      <c r="O4" s="15">
        <f t="shared" ref="O4" si="3">L4*K4</f>
        <v>180</v>
      </c>
      <c r="P4" s="15">
        <f t="shared" ref="P4" si="4">M4*K4</f>
        <v>200</v>
      </c>
      <c r="Q4" s="17">
        <f>0.25*K4</f>
        <v>0.25</v>
      </c>
    </row>
    <row r="5" spans="1:18" ht="35.25" customHeight="1" x14ac:dyDescent="0.15">
      <c r="A5" s="23" t="s">
        <v>11</v>
      </c>
      <c r="B5" s="23"/>
      <c r="C5" s="23"/>
      <c r="D5" s="3"/>
      <c r="E5" s="1"/>
      <c r="F5" s="3">
        <f>SUM(F4:F4)</f>
        <v>2000</v>
      </c>
      <c r="G5" s="3"/>
      <c r="H5" s="3">
        <f>SUM(H4:H4)</f>
        <v>10</v>
      </c>
      <c r="I5" s="3"/>
      <c r="J5" s="3"/>
      <c r="K5" s="3">
        <f>SUM(K4:K4)</f>
        <v>1</v>
      </c>
      <c r="L5" s="3"/>
      <c r="M5" s="3"/>
      <c r="N5" s="1"/>
      <c r="O5" s="3">
        <f>SUM(O4:O4)</f>
        <v>180</v>
      </c>
      <c r="P5" s="3">
        <f>SUM(P4:P4)</f>
        <v>200</v>
      </c>
      <c r="Q5" s="1">
        <f>SUM(Q4:Q4)</f>
        <v>0.25</v>
      </c>
      <c r="R5" s="12"/>
    </row>
    <row r="6" spans="1:18" ht="21" customHeight="1" x14ac:dyDescent="0.15">
      <c r="A6" s="5"/>
      <c r="B6" s="5"/>
      <c r="C6" s="5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8" ht="21" customHeight="1" x14ac:dyDescent="0.1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8" ht="18.75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0" t="s">
        <v>13</v>
      </c>
      <c r="O8" s="20"/>
      <c r="P8" s="20"/>
      <c r="Q8" s="20"/>
    </row>
    <row r="9" spans="1:18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0">
        <v>46029</v>
      </c>
      <c r="O9" s="20"/>
      <c r="P9" s="20"/>
      <c r="Q9" s="20"/>
    </row>
    <row r="10" spans="1:18" x14ac:dyDescent="0.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8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</sheetData>
  <mergeCells count="4">
    <mergeCell ref="N9:Q9"/>
    <mergeCell ref="A1:Q1"/>
    <mergeCell ref="A5:C5"/>
    <mergeCell ref="N8:Q8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2026-01-07T06:52:30Z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