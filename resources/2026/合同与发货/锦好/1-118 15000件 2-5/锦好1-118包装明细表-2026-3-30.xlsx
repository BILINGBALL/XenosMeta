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01BA9DF4-CD6C-4A6F-A5B1-6CD30B5BF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M3" i="1" l="1"/>
  <c r="P3" i="1" s="1"/>
  <c r="M4" i="1"/>
  <c r="P4" i="1" s="1"/>
  <c r="Q4" i="1"/>
  <c r="O4" i="1"/>
  <c r="Q3" i="1"/>
  <c r="O3" i="1"/>
  <c r="J3" i="1"/>
  <c r="F3" i="1" s="1"/>
  <c r="J4" i="1"/>
  <c r="F4" i="1" s="1"/>
  <c r="H3" i="1"/>
  <c r="H4" i="1"/>
  <c r="Q5" i="1" l="1"/>
  <c r="P5" i="1"/>
  <c r="O5" i="1"/>
  <c r="F5" i="1"/>
  <c r="H5" i="1"/>
</calcChain>
</file>

<file path=xl/sharedStrings.xml><?xml version="1.0" encoding="utf-8"?>
<sst xmlns="http://schemas.openxmlformats.org/spreadsheetml/2006/main" count="24" uniqueCount="23">
  <si>
    <t xml:space="preserve">
No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</si>
  <si>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</si>
  <si>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</si>
  <si>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螺栓</t>
  </si>
  <si>
    <t>UNC
1*118</t>
    <phoneticPr fontId="10" type="noConversion"/>
  </si>
  <si>
    <t xml:space="preserve">
品名</t>
    <phoneticPr fontId="10" type="noConversion"/>
  </si>
  <si>
    <t>规格</t>
    <phoneticPr fontId="10" type="noConversion"/>
  </si>
  <si>
    <t>合同</t>
    <phoneticPr fontId="10" type="noConversion"/>
  </si>
  <si>
    <t>托号</t>
    <phoneticPr fontId="10" type="noConversion"/>
  </si>
  <si>
    <t>数量</t>
    <phoneticPr fontId="10" type="noConversion"/>
  </si>
  <si>
    <t>件/包</t>
    <phoneticPr fontId="10" type="noConversion"/>
  </si>
  <si>
    <t>总袋数</t>
    <phoneticPr fontId="10" type="noConversion"/>
  </si>
  <si>
    <t>袋/箱</t>
    <phoneticPr fontId="10" type="noConversion"/>
  </si>
  <si>
    <t>件/箱</t>
    <phoneticPr fontId="10" type="noConversion"/>
  </si>
  <si>
    <t>托</t>
    <phoneticPr fontId="10" type="noConversion"/>
  </si>
  <si>
    <t>净重</t>
    <phoneticPr fontId="10" type="noConversion"/>
  </si>
  <si>
    <t>总重</t>
    <phoneticPr fontId="10" type="noConversion"/>
  </si>
  <si>
    <t>托盘尺寸</t>
    <phoneticPr fontId="10" type="noConversion"/>
  </si>
  <si>
    <t>总净重</t>
    <phoneticPr fontId="10" type="noConversion"/>
  </si>
  <si>
    <t>总毛重</t>
    <phoneticPr fontId="10" type="noConversion"/>
  </si>
  <si>
    <t>总体积</t>
    <phoneticPr fontId="10" type="noConversion"/>
  </si>
  <si>
    <t>包装明细表</t>
    <phoneticPr fontId="10" type="noConversion"/>
  </si>
  <si>
    <t>CON-26JH-EXP-26022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</si>
</sst>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58" fontId="3" fillId="0" borderId="2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workbookViewId="0">
      <selection activeCell="T3" sqref="T3"/>
    </sheetView>
  </sheetViews>
  <sheetFormatPr defaultColWidth="8.75" defaultRowHeight="13.5"/>
  <cols>
    <col min="1" max="1" width="4.625" customWidth="1"/>
    <col min="2" max="2" width="8.7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spans="1:17" ht="57.95" customHeight="1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80.099999999999994" customHeight="1">
      <c r="A2" s="1" t="s">
        <v>0</v>
      </c>
      <c r="B2" s="13" t="s">
        <v>5</v>
      </c>
      <c r="C2" s="13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14" t="s">
        <v>13</v>
      </c>
      <c r="K2" s="14" t="s">
        <v>14</v>
      </c>
      <c r="L2" s="14" t="s">
        <v>15</v>
      </c>
      <c r="M2" s="14" t="s">
        <v>16</v>
      </c>
      <c r="N2" s="14" t="s">
        <v>17</v>
      </c>
      <c r="O2" s="13" t="s">
        <v>18</v>
      </c>
      <c r="P2" s="13" t="s">
        <v>19</v>
      </c>
      <c r="Q2" s="13" t="s">
        <v>20</v>
      </c>
    </row>
    <row r="3" spans="1:17" ht="52.5" customHeight="1">
      <c r="A3" s="22">
        <v>1</v>
      </c>
      <c r="B3" s="20" t="s">
        <v>3</v>
      </c>
      <c r="C3" s="20" t="s">
        <v>4</v>
      </c>
      <c r="D3" s="20" t="s">
        <v>22</v>
      </c>
      <c r="E3" s="12"/>
      <c r="F3" s="2">
        <f t="shared" ref="F3:F4" si="0">J3*K3</f>
        <v>16000</v>
      </c>
      <c r="G3" s="3">
        <v>25</v>
      </c>
      <c r="H3" s="2">
        <f t="shared" ref="H3:H4" si="1">I3*K3</f>
        <v>640</v>
      </c>
      <c r="I3" s="2">
        <v>40</v>
      </c>
      <c r="J3" s="2">
        <f t="shared" ref="J3:J4" si="2">I3*G3</f>
        <v>1000</v>
      </c>
      <c r="K3" s="2">
        <v>16</v>
      </c>
      <c r="L3" s="2">
        <v>802</v>
      </c>
      <c r="M3" s="2">
        <f t="shared" ref="M3:M4" si="3">L3+42</f>
        <v>844</v>
      </c>
      <c r="N3" s="11" t="s">
        <v>1</v>
      </c>
      <c r="O3" s="2">
        <f t="shared" ref="O3:O4" si="4">L3*K3</f>
        <v>12832</v>
      </c>
      <c r="P3" s="2">
        <f t="shared" ref="P3:P4" si="5">M3*K3</f>
        <v>13504</v>
      </c>
      <c r="Q3" s="2">
        <f t="shared" ref="Q3:Q4" si="6">0.53*K3</f>
        <v>8.48</v>
      </c>
    </row>
    <row r="4" spans="1:17" ht="52.5" customHeight="1">
      <c r="A4" s="23"/>
      <c r="B4" s="21"/>
      <c r="C4" s="21"/>
      <c r="D4" s="21"/>
      <c r="E4" s="12"/>
      <c r="F4" s="2">
        <f t="shared" si="0"/>
        <v>550</v>
      </c>
      <c r="G4" s="3">
        <v>25</v>
      </c>
      <c r="H4" s="2">
        <f t="shared" si="1"/>
        <v>22</v>
      </c>
      <c r="I4" s="2">
        <v>22</v>
      </c>
      <c r="J4" s="2">
        <f t="shared" si="2"/>
        <v>550</v>
      </c>
      <c r="K4" s="2">
        <v>1</v>
      </c>
      <c r="L4" s="2">
        <v>441</v>
      </c>
      <c r="M4" s="2">
        <f t="shared" si="3"/>
        <v>483</v>
      </c>
      <c r="N4" s="11" t="s">
        <v>1</v>
      </c>
      <c r="O4" s="2">
        <f t="shared" si="4"/>
        <v>441</v>
      </c>
      <c r="P4" s="2">
        <f t="shared" si="5"/>
        <v>483</v>
      </c>
      <c r="Q4" s="2">
        <f t="shared" si="6"/>
        <v>0.53</v>
      </c>
    </row>
    <row r="5" spans="1:17" ht="57" customHeight="1">
      <c r="A5" s="17" t="s">
        <v>2</v>
      </c>
      <c r="B5" s="17"/>
      <c r="C5" s="17"/>
      <c r="D5" s="5"/>
      <c r="E5" s="4"/>
      <c r="F5" s="4">
        <f>SUM(F3:F4)</f>
        <v>16550</v>
      </c>
      <c r="G5" s="4"/>
      <c r="H5" s="4">
        <f>SUM(H3:H4)</f>
        <v>662</v>
      </c>
      <c r="I5" s="4"/>
      <c r="J5" s="4"/>
      <c r="K5" s="4">
        <f>SUM(K3:K4)</f>
        <v>17</v>
      </c>
      <c r="L5" s="4"/>
      <c r="M5" s="4"/>
      <c r="N5" s="4"/>
      <c r="O5" s="4">
        <f>SUM(O3:O4)</f>
        <v>13273</v>
      </c>
      <c r="P5" s="4">
        <f>SUM(P3:P4)</f>
        <v>13987</v>
      </c>
      <c r="Q5" s="4">
        <f>SUM(Q3:Q4)</f>
        <v>9.01</v>
      </c>
    </row>
    <row r="6" spans="1:17" ht="14.45" customHeight="1">
      <c r="A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1" customHeight="1">
      <c r="A7" s="6"/>
      <c r="B7" s="7"/>
      <c r="C7" s="8"/>
      <c r="N7" s="6"/>
      <c r="O7" s="6"/>
      <c r="P7" s="6"/>
      <c r="Q7" s="6"/>
    </row>
    <row r="8" spans="1:17" ht="21" customHeight="1">
      <c r="A8" s="6"/>
      <c r="B8" s="7"/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8.75">
      <c r="A9" s="6"/>
      <c r="B9" s="6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18">
        <v>46111</v>
      </c>
      <c r="O9" s="18"/>
      <c r="P9" s="18"/>
      <c r="Q9" s="18"/>
    </row>
    <row r="10" spans="1:17" ht="18.75">
      <c r="A10" s="6"/>
      <c r="B10" s="6"/>
      <c r="C10" s="9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19"/>
      <c r="P10" s="19"/>
      <c r="Q10" s="19"/>
    </row>
    <row r="11" spans="1:17">
      <c r="A11" s="10"/>
      <c r="B11" s="10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10"/>
      <c r="B12" s="10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10"/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</sheetData>
  <mergeCells count="8">
    <mergeCell ref="A1:Q1"/>
    <mergeCell ref="A5:C5"/>
    <mergeCell ref="N9:Q9"/>
    <mergeCell ref="N10:Q10"/>
    <mergeCell ref="B3:B4"/>
    <mergeCell ref="C3:C4"/>
    <mergeCell ref="D3:D4"/>
    <mergeCell ref="A3:A4"/>
  </mergeCells>
  <phoneticPr fontId="10" type="noConversion"/>
  <pageMargins left="0.90551181102362199" right="0.511811023622047" top="0.196850393700787" bottom="0.74803149606299202" header="0.31496062992126" footer="0.31496062992126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2026-03-30T06:33:09Z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