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5FA6139-5E94-44AE-9683-709CC54F81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P4" i="1"/>
  <c r="P5" i="1" s="1"/>
  <c r="N4" i="1"/>
  <c r="N5" i="1" s="1"/>
  <c r="L4" i="1"/>
  <c r="O4" i="1" s="1"/>
  <c r="O5" i="1" s="1"/>
  <c r="I4" i="1"/>
  <c r="F4" i="1" s="1"/>
  <c r="F5" i="1" s="1"/>
</calcChain>
</file>

<file path=xl/sharedStrings.xml><?xml version="1.0" encoding="utf-8"?>
<sst xmlns="http://schemas.openxmlformats.org/spreadsheetml/2006/main" count="24" uniqueCount="24">
  <si>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</si>
  <si>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</si>
  <si>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</si>
  <si>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</si>
  <si>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</si>
  <si>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</si>
  <si>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</si>
  <si>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</si>
  <si>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</si>
  <si>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</si>
  <si>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</si>
  <si>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</si>
  <si>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</si>
  <si>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</si>
  <si>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</si>
  <si>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</si>
  <si>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</si>
  <si>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勾头道钉</t>
  </si>
  <si>
    <t>16*16*170</t>
  </si>
  <si>
    <t>1200*800*550
0.53</t>
  </si>
  <si>
    <t>合计</t>
  </si>
  <si>
    <t>唛头：</t>
  </si>
  <si>
    <t>苏州苏德兰铁路配套有限公司</t>
  </si>
  <si>
    <t>CON-26JH-EXP-26102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</si>
</sst>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0.000_);[Red]\(0.000\)"/>
    <numFmt numFmtId="179" formatCode="0.00_);[Red]\(0.00\)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20">
    <xf numFmtId="176" fontId="0" fillId="0" borderId="0" xfId="0">
      <alignment vertical="center"/>
    </xf>
    <xf numFmtId="176" fontId="1" fillId="0" borderId="1" xfId="0" applyFont="1" applyBorder="1" applyAlignment="1">
      <alignment horizontal="center" vertical="center"/>
    </xf>
    <xf numFmtId="176" fontId="1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right" vertical="center"/>
    </xf>
    <xf numFmtId="177" fontId="4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6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workbookViewId="0">
      <selection activeCell="E4" sqref="E4"/>
    </sheetView>
  </sheetViews>
  <sheetFormatPr defaultColWidth="9" defaultRowHeight="13.5" x14ac:dyDescent="0.15"/>
  <cols>
    <col min="1" max="1" width="4.625" customWidth="1"/>
    <col min="2" max="2" width="9.125" customWidth="1"/>
    <col min="3" max="3" width="12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5" t="s">
        <v>14</v>
      </c>
      <c r="O3" s="5" t="s">
        <v>15</v>
      </c>
      <c r="P3" s="5" t="s">
        <v>16</v>
      </c>
    </row>
    <row r="4" spans="1:16" ht="59.25" customHeight="1" x14ac:dyDescent="0.15">
      <c r="A4" s="3">
        <v>1</v>
      </c>
      <c r="B4" s="4" t="s">
        <v>17</v>
      </c>
      <c r="C4" s="5" t="s">
        <v>18</v>
      </c>
      <c r="D4" s="14" t="s">
        <v>23</v>
      </c>
      <c r="E4" s="6"/>
      <c r="F4" s="3">
        <f>I4*J4</f>
        <v>60000</v>
      </c>
      <c r="G4" s="3">
        <v>50</v>
      </c>
      <c r="H4" s="3">
        <v>40</v>
      </c>
      <c r="I4" s="3">
        <f>G4*H4</f>
        <v>2000</v>
      </c>
      <c r="J4" s="3">
        <v>30</v>
      </c>
      <c r="K4" s="3">
        <v>664</v>
      </c>
      <c r="L4" s="3">
        <f>K4+42</f>
        <v>706</v>
      </c>
      <c r="M4" s="12" t="s">
        <v>19</v>
      </c>
      <c r="N4" s="3">
        <f>K4*J4</f>
        <v>19920</v>
      </c>
      <c r="O4" s="3">
        <f>L4*J4</f>
        <v>21180</v>
      </c>
      <c r="P4" s="13">
        <f>0.53*J4</f>
        <v>15.9</v>
      </c>
    </row>
    <row r="5" spans="1:16" ht="36" customHeight="1" x14ac:dyDescent="0.15">
      <c r="A5" s="16" t="s">
        <v>20</v>
      </c>
      <c r="B5" s="17"/>
      <c r="C5" s="18"/>
      <c r="D5" s="3"/>
      <c r="E5" s="3"/>
      <c r="F5" s="3">
        <f>SUM(F4:F4)</f>
        <v>60000</v>
      </c>
      <c r="G5" s="3"/>
      <c r="H5" s="3"/>
      <c r="I5" s="3"/>
      <c r="J5" s="3">
        <f>SUM(J4:J4)</f>
        <v>30</v>
      </c>
      <c r="K5" s="3"/>
      <c r="L5" s="3"/>
      <c r="M5" s="3"/>
      <c r="N5" s="3">
        <f>SUM(N4:N4)</f>
        <v>19920</v>
      </c>
      <c r="O5" s="3">
        <f>SUM(O4:O4)</f>
        <v>21180</v>
      </c>
      <c r="P5" s="13">
        <f>SUM(P4:P4)</f>
        <v>15.9</v>
      </c>
    </row>
    <row r="6" spans="1:16" ht="21" customHeight="1" x14ac:dyDescent="0.15">
      <c r="A6" s="7"/>
      <c r="B6" s="7" t="s">
        <v>21</v>
      </c>
      <c r="C6" s="8">
        <v>0.33200000000000002</v>
      </c>
      <c r="E6" s="9"/>
      <c r="F6" s="9"/>
      <c r="G6" s="9"/>
      <c r="H6" s="9"/>
      <c r="I6" s="9"/>
      <c r="J6" s="9"/>
      <c r="K6" s="9"/>
      <c r="L6" s="9"/>
      <c r="M6" s="7"/>
      <c r="N6" s="7"/>
      <c r="O6" s="7"/>
      <c r="P6" s="7"/>
    </row>
    <row r="7" spans="1:16" ht="14.25" x14ac:dyDescent="0.15">
      <c r="A7" s="7"/>
      <c r="B7" s="7"/>
      <c r="C7" s="8"/>
      <c r="E7" s="9"/>
      <c r="F7" s="9"/>
      <c r="G7" s="9"/>
      <c r="H7" s="9"/>
      <c r="I7" s="9"/>
      <c r="J7" s="9"/>
      <c r="K7" s="9"/>
      <c r="L7" s="9"/>
      <c r="M7" s="19" t="s">
        <v>22</v>
      </c>
      <c r="N7" s="19"/>
      <c r="O7" s="19"/>
      <c r="P7" s="19"/>
    </row>
    <row r="8" spans="1:16" ht="14.25" x14ac:dyDescent="0.15">
      <c r="A8" s="7"/>
      <c r="B8" s="7"/>
      <c r="C8" s="9"/>
      <c r="E8" s="9"/>
      <c r="F8" s="9"/>
      <c r="G8" s="9"/>
      <c r="H8" s="9"/>
      <c r="I8" s="9"/>
      <c r="J8" s="9"/>
      <c r="K8" s="9"/>
      <c r="L8" s="9"/>
      <c r="M8" s="19">
        <v>46203</v>
      </c>
      <c r="N8" s="19"/>
      <c r="O8" s="19"/>
      <c r="P8" s="19"/>
    </row>
    <row r="9" spans="1:16" x14ac:dyDescent="0.15">
      <c r="A9" s="10"/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10"/>
      <c r="N9" s="10"/>
      <c r="O9" s="10"/>
      <c r="P9" s="10"/>
    </row>
    <row r="10" spans="1:16" x14ac:dyDescent="0.1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</sheetData>
  <mergeCells count="4">
    <mergeCell ref="A1:P1"/>
    <mergeCell ref="A5:C5"/>
    <mergeCell ref="M7:P7"/>
    <mergeCell ref="M8:P8"/>
  </mergeCells>
  <phoneticPr fontId="6" type="noConversion"/>
  <pageMargins left="0.7" right="0.7" top="0.75" bottom="0.75" header="0.3" footer="0.3"/>
  <pageSetup paperSize="9" scale="76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2026-06-30T07:36:34Z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5130DEBE2CC94258A37845F38F8C839E_13</vt:lpwstr>
  </property>
  <property fmtid="{D5CDD505-2E9C-101B-9397-08002B2CF9AE}" pid="3" name="KSOProductBuildVer">
    <vt:lpwstr>2052-11.1.0.14309</vt:lpwstr>
  </property>
</Properties>
</file>