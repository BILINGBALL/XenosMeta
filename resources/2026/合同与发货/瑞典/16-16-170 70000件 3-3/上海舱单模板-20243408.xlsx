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\Desktop\瑞典4个柜\"/>
    </mc:Choice>
  </mc:AlternateContent>
  <xr:revisionPtr revIDLastSave="0" documentId="13_ncr:1_{3D7669B3-D0E2-4214-9980-C8B8D28A6ED1}" xr6:coauthVersionLast="47" xr6:coauthVersionMax="47" xr10:uidLastSave="{00000000-0000-0000-0000-000000000000}"/>
  <bookViews>
    <workbookView xWindow="-120" yWindow="-120" windowWidth="20730" windowHeight="11160" tabRatio="816" xr2:uid="{00000000-000D-0000-FFFF-FFFF00000000}"/>
  </bookViews>
  <sheets>
    <sheet name="舱单 " sheetId="12" r:id="rId1"/>
    <sheet name="船公司" sheetId="10" r:id="rId2"/>
    <sheet name="船代" sheetId="2" r:id="rId3"/>
    <sheet name="货物类型" sheetId="4" r:id="rId4"/>
    <sheet name="运输条款" sheetId="5" r:id="rId5"/>
    <sheet name="提单类型" sheetId="6" r:id="rId6"/>
    <sheet name="付款方式" sheetId="7" r:id="rId7"/>
    <sheet name="箱型" sheetId="8" r:id="rId8"/>
    <sheet name="货主箱标记" sheetId="3" r:id="rId9"/>
    <sheet name="国家代码" sheetId="11" r:id="rId10"/>
    <sheet name="包装单位" sheetId="9" r:id="rId11"/>
    <sheet name="oocl箱型" sheetId="13" r:id="rId12"/>
    <sheet name="oocl卸货港" sheetId="14" r:id="rId13"/>
    <sheet name="oocl包装单位" sheetId="15" r:id="rId14"/>
    <sheet name="vgm码头" sheetId="16" r:id="rId15"/>
  </sheets>
  <definedNames>
    <definedName name="oocl包装代码">oocl包装单位!$B$2:$B$252</definedName>
    <definedName name="oocl箱型尺寸">oocl箱型!$A$2:$A$19</definedName>
    <definedName name="oocl卸货港">oocl卸货港!$C$2:$C$578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12" l="1"/>
  <c r="R37" i="12"/>
  <c r="R36" i="12"/>
  <c r="R35" i="12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S13" i="12"/>
  <c r="R13" i="12"/>
</calcChain>
</file>

<file path=xl/sharedStrings.xml><?xml version="1.0" encoding="utf-8"?>
<sst xmlns="http://schemas.openxmlformats.org/spreadsheetml/2006/main" count="4071" uniqueCount="2855">
  <si>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主提单号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</si>
  <si>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船公司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</si>
  <si>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货物类型</t>
    </r>
  </si>
  <si>
    <t>委托信息</t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</si>
  <si>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运输条款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</si>
  <si>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付款方式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</si>
  <si>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提单类型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</si>
  <si>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提单份数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</si>
  <si>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签发地</t>
    </r>
  </si>
  <si>
    <t>付款地点</t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</si>
  <si>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船名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</si>
  <si>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航次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</si>
  <si>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船代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</si>
  <si>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Heiti SC Light"/>
        <family val="1"/>
      </rPr>
      <t>装货港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</si>
  <si>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卸货港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</si>
  <si>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目的港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</si>
  <si>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发货地</t>
    </r>
  </si>
  <si>
    <t>发货人</t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</si>
  <si>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名称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</si>
  <si>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地址</t>
    </r>
  </si>
  <si>
    <t>企业代码（无需填）</t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</si>
  <si>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国家代码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</si>
  <si>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联系电话</t>
    </r>
  </si>
  <si>
    <t>AEO企业编码（无需填）</t>
  </si>
  <si>
    <t>收货人</t>
  </si>
  <si>
    <t>实际联系人（无需填）</t>
  </si>
  <si>
    <t>联系人电话（无需填）</t>
  </si>
  <si>
    <t>通知人</t>
  </si>
  <si>
    <r>
      <rPr>
        <sz val="11"/>
        <color rgb="FFFF0000"/>
        <rFont val="黑体-简 细体"/>
        <charset val="134"/>
      </rPr>
      <t>*</t>
    </r>
    <r>
      <rPr>
        <sz val="11"/>
        <color rgb="FF000000"/>
        <rFont val="黑体-简 细体"/>
        <charset val="134"/>
      </rPr>
      <t>国家代码</t>
    </r>
  </si>
  <si>
    <t>明细品名及数据</t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</si>
  <si>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提单号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</si>
  <si>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箱号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</si>
  <si>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封号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</si>
  <si>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箱型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</si>
  <si>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货主箱标记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</si>
  <si>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英文品名</t>
    </r>
  </si>
  <si>
    <t>Hscode（无需填）</t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</si>
  <si>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件数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</si>
  <si>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包装单位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</si>
  <si>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毛重(KGS)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</si>
  <si>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体积(CBM)</t>
    </r>
  </si>
  <si>
    <r>
      <rPr>
        <sz val="11"/>
        <color rgb="FFFF0000"/>
        <rFont val="黑体-简 细体"/>
        <charset val="134"/>
      </rPr>
      <t>*</t>
    </r>
    <r>
      <rPr>
        <sz val="11"/>
        <color theme="1"/>
        <rFont val="黑体-简 细体"/>
        <charset val="134"/>
      </rPr>
      <t>唛头</t>
    </r>
  </si>
  <si>
    <t>UN Code(危)</t>
  </si>
  <si>
    <t>危险品等级</t>
  </si>
  <si>
    <t xml:space="preserve"> 空箱</t>
  </si>
  <si>
    <t>危品联系人</t>
  </si>
  <si>
    <t>危品联系人电话</t>
  </si>
  <si>
    <r>
      <rPr>
        <sz val="11"/>
        <color theme="1"/>
        <rFont val="黑体-简 细体"/>
        <charset val="134"/>
      </rPr>
      <t>VGM</t>
    </r>
    <r>
      <rPr>
        <sz val="11"/>
        <color theme="1"/>
        <rFont val="Microsoft YaHei UI"/>
        <family val="2"/>
        <charset val="134"/>
      </rPr>
      <t>重量（KGS）</t>
    </r>
  </si>
  <si>
    <t>签名</t>
  </si>
  <si>
    <t>码头</t>
  </si>
  <si>
    <t>请直接复制表格内的内容，不要填入其他格式。例如船公司为“达飞”，请复制“CMA—达飞”。</t>
  </si>
  <si>
    <t>船公司</t>
  </si>
  <si>
    <t>备注</t>
  </si>
  <si>
    <t>ALX—阿拉丁航运</t>
  </si>
  <si>
    <t/>
  </si>
  <si>
    <t>ANL—澳航</t>
  </si>
  <si>
    <t>APL—美国总统</t>
  </si>
  <si>
    <t>ASD—阿斯亚德航运有限公司</t>
  </si>
  <si>
    <t>ASL—亚海</t>
  </si>
  <si>
    <t>BAL—博亚</t>
  </si>
  <si>
    <t>BLPL—新加坡私立</t>
  </si>
  <si>
    <t>BSL—巴拉基</t>
  </si>
  <si>
    <t>BTLS—孟虎上海</t>
  </si>
  <si>
    <t>BTL—孟虎航运公司</t>
  </si>
  <si>
    <t>CDL—可达利航运私人有限公司</t>
  </si>
  <si>
    <t>CL—中通</t>
  </si>
  <si>
    <t>CMA—达飞</t>
  </si>
  <si>
    <t>CNC—正利</t>
  </si>
  <si>
    <t>“CNC—正利”的台湾线，船司代码请选择“CST—宝华”</t>
  </si>
  <si>
    <t>COH—京汉</t>
  </si>
  <si>
    <t>COSCO—中远海</t>
  </si>
  <si>
    <t>COT—中远海运特种运输股份有限公司</t>
  </si>
  <si>
    <t>CSL—晶品</t>
  </si>
  <si>
    <t>CST—宝华</t>
  </si>
  <si>
    <t>CUL—中联运通</t>
  </si>
  <si>
    <t>DY—东映</t>
  </si>
  <si>
    <t>EMC/EVG—长荣</t>
  </si>
  <si>
    <t>ESL—阿联酋</t>
  </si>
  <si>
    <t>FESCO/FSC—俄远东</t>
  </si>
  <si>
    <t>FSL—达飞伯辽兹</t>
  </si>
  <si>
    <t>FST—富星航运</t>
  </si>
  <si>
    <t>GFL—沃德菲航运</t>
  </si>
  <si>
    <t>GFS—格飞驰</t>
  </si>
  <si>
    <t>GLOS—格洛航运</t>
  </si>
  <si>
    <t>HAL—兴亚</t>
  </si>
  <si>
    <t>HDW—合德海运</t>
  </si>
  <si>
    <t>HLC/HPL—赫伯罗特</t>
  </si>
  <si>
    <t>HLD—海隆达</t>
  </si>
  <si>
    <t>HMM—现代</t>
  </si>
  <si>
    <t>HSD/HAM—汉堡南美</t>
  </si>
  <si>
    <t>HSLI—韩星海运株式会社</t>
  </si>
  <si>
    <t>HSL—瀚酋航运</t>
  </si>
  <si>
    <t>IAL—运达</t>
  </si>
  <si>
    <t>IDL—印达斯</t>
  </si>
  <si>
    <t>JHS—香港吉航</t>
  </si>
  <si>
    <t>KHA—香港森众</t>
  </si>
  <si>
    <t>KKC—神原</t>
  </si>
  <si>
    <t>KMTC/KMT—高丽</t>
  </si>
  <si>
    <t>KWS—嘉华船务</t>
  </si>
  <si>
    <t>MAS—马萨航运有限公司</t>
  </si>
  <si>
    <t>MAT—美森</t>
  </si>
  <si>
    <t>MBF—卡朋特</t>
  </si>
  <si>
    <t>MDL—麦迪航运</t>
  </si>
  <si>
    <t>MEL—玛丽安娜</t>
  </si>
  <si>
    <t>MIA—香港璟荣船务</t>
  </si>
  <si>
    <t>MSC—地中海</t>
  </si>
  <si>
    <t>MSK/MCC/SAF—马士基</t>
  </si>
  <si>
    <t>NDS—尼罗河</t>
  </si>
  <si>
    <t>NNS—洋浦良恩</t>
  </si>
  <si>
    <t>NOS—新东</t>
  </si>
  <si>
    <t>“NOS—新东”的韩国仁川线，船司代码请选择“NSI—宁波远洋”</t>
  </si>
  <si>
    <t>NSI—宁波远洋</t>
  </si>
  <si>
    <t>NZL—新西兰航运</t>
  </si>
  <si>
    <t>OEL—东速海运</t>
  </si>
  <si>
    <t>OKSNL—中外运集装箱运输有限公司</t>
  </si>
  <si>
    <t>ONE—海洋网联</t>
  </si>
  <si>
    <t>OOCL—东方海外</t>
  </si>
  <si>
    <t>OVP—海液通</t>
  </si>
  <si>
    <t>PDL—潘达航运有限公司</t>
  </si>
  <si>
    <t>PEL—新加坡</t>
  </si>
  <si>
    <t>PIL—太平</t>
  </si>
  <si>
    <t>PMA—普洱玛</t>
  </si>
  <si>
    <t>RCL—宏海箱运</t>
  </si>
  <si>
    <t>REL—阿联酋瑞欧航运</t>
  </si>
  <si>
    <t>SCI—印度国航</t>
  </si>
  <si>
    <t>SCOL—兴联海</t>
  </si>
  <si>
    <t>SCO—新加坡海运</t>
  </si>
  <si>
    <t>边航船公司子品牌，SEC开头的提单号可以发，船公司请选“SCO—新加坡海运”</t>
  </si>
  <si>
    <t>SFT—上海赛孚创思</t>
  </si>
  <si>
    <t>SLG—海杰航运</t>
  </si>
  <si>
    <t>SLS—新加坡海领船务</t>
  </si>
  <si>
    <t>FCSL-阿联酋瓦尔塔是VOLTA上海代理，船公司请选“SLS—新加坡海领船务”</t>
  </si>
  <si>
    <t>SMH—司马泰</t>
  </si>
  <si>
    <t>SML—森罗</t>
  </si>
  <si>
    <t>SNKO—长锦</t>
  </si>
  <si>
    <t>SNL—中外运</t>
  </si>
  <si>
    <t>SOF—顺发</t>
  </si>
  <si>
    <t>SSL—萨姆达拉</t>
  </si>
  <si>
    <t>STX/POL—泛奥昇</t>
  </si>
  <si>
    <t>SUM—萨米特</t>
  </si>
  <si>
    <t>SWIR—太古</t>
  </si>
  <si>
    <t>SWL—盛威航运</t>
  </si>
  <si>
    <t>SWU—海铁联捷(香港)船运有限公司</t>
  </si>
  <si>
    <t>TEH—德胜航运</t>
  </si>
  <si>
    <t>TJM—天津津海</t>
  </si>
  <si>
    <t>TSL/TSC—德翔</t>
  </si>
  <si>
    <t>TYS—太荣</t>
  </si>
  <si>
    <t>UAF—非洲联合海运</t>
  </si>
  <si>
    <t>UGL—联合环球航运</t>
  </si>
  <si>
    <t>UNL—联合航运</t>
  </si>
  <si>
    <t>VASI—维萨航运</t>
  </si>
  <si>
    <t>WHL—万海</t>
  </si>
  <si>
    <t>WOSCO—西联</t>
  </si>
  <si>
    <t>YML—阳明</t>
  </si>
  <si>
    <t>ZGXL—中谷东海</t>
  </si>
  <si>
    <t>ZIM/GOLD STAR—以星</t>
  </si>
  <si>
    <t>请直接复制表格内的内容，不要填入其他格式。例如“上海外代”，请复制“上海外代”。</t>
  </si>
  <si>
    <t>船代名称</t>
  </si>
  <si>
    <t>上海外代</t>
  </si>
  <si>
    <t>上海中外运</t>
  </si>
  <si>
    <t>上港联合</t>
  </si>
  <si>
    <t>上海华港</t>
  </si>
  <si>
    <t>上海顺德</t>
  </si>
  <si>
    <t>上海航华</t>
  </si>
  <si>
    <t>上海民生</t>
  </si>
  <si>
    <t>民生船公司的台湾线日本线禁止。万海WHL的台湾线可以发</t>
  </si>
  <si>
    <t>上海鹏华</t>
  </si>
  <si>
    <t>上海鹏海</t>
  </si>
  <si>
    <t>上海中联</t>
  </si>
  <si>
    <t>中联CUL、日照港RPS禁止</t>
  </si>
  <si>
    <t>上海振华</t>
  </si>
  <si>
    <t>东进DJS、安通ONTO、达通EAS、泛舟PCS禁止</t>
  </si>
  <si>
    <t>锦诚</t>
  </si>
  <si>
    <t>锦江轮船JJ禁止</t>
  </si>
  <si>
    <t>东方海外</t>
  </si>
  <si>
    <t>上海联东</t>
  </si>
  <si>
    <t>中远海</t>
  </si>
  <si>
    <t>请直接复制表格内的内容，不要填入其他格式。例如您的业务为“普通货物”，请复制“普通货物”，粘贴到舱单表格！</t>
  </si>
  <si>
    <t>中文全称</t>
  </si>
  <si>
    <t>普通货物</t>
  </si>
  <si>
    <t>冷冻品</t>
  </si>
  <si>
    <t>危险品</t>
  </si>
  <si>
    <t>请直接复制表格内的内容，不要填入其他格式。例如您的业务为“CY-CY”，请复制“CY-CY”，粘贴到舱单表格！</t>
  </si>
  <si>
    <t>运输条款</t>
  </si>
  <si>
    <t>CY-CY</t>
  </si>
  <si>
    <t>CY-CFS</t>
  </si>
  <si>
    <t>CFS-CY</t>
  </si>
  <si>
    <t>CFS-CFS</t>
  </si>
  <si>
    <t>CY-DOOR</t>
  </si>
  <si>
    <t>CFS-DOOR</t>
  </si>
  <si>
    <t>DOOR-CY</t>
  </si>
  <si>
    <t>DOOR-CFS</t>
  </si>
  <si>
    <t>DOOR-DOOR</t>
  </si>
  <si>
    <t>CY-RAMP</t>
  </si>
  <si>
    <t>CY-FREE OUT</t>
  </si>
  <si>
    <t>CY-LINER OUT</t>
  </si>
  <si>
    <t>DR-FREE OUT</t>
  </si>
  <si>
    <t>DR-LINER OUT</t>
  </si>
  <si>
    <t>TACKLE-CY</t>
  </si>
  <si>
    <t>CY-TACKLE</t>
  </si>
  <si>
    <t>TACKLE-CFS</t>
  </si>
  <si>
    <t>RAMP-CY</t>
  </si>
  <si>
    <t>FEE IN-CY</t>
  </si>
  <si>
    <t>FREE IN-D</t>
  </si>
  <si>
    <t>LINER IN-CY</t>
  </si>
  <si>
    <t>LINER IN-DR</t>
  </si>
  <si>
    <t>CY-SHIPS HOOK</t>
  </si>
  <si>
    <t>DOOR-RAMP</t>
  </si>
  <si>
    <t>RAMP-RAMP</t>
  </si>
  <si>
    <t>RAMP-CFS</t>
  </si>
  <si>
    <t>请直接复制表格内的内容，不要填入其他格式。例如您的业务为“海运单”，请复制“SWB-海运单”，粘贴到舱单表格！</t>
  </si>
  <si>
    <t>全称</t>
  </si>
  <si>
    <t>OBL-正本提单</t>
  </si>
  <si>
    <t>SWB-海运单</t>
  </si>
  <si>
    <t>TER-电放</t>
  </si>
  <si>
    <t>请直接复制表格内的内容，不要填入其他格式。例如您的业务为“预付”，请复制“预付”，粘贴到舱单表格！</t>
  </si>
  <si>
    <t>付款方式</t>
  </si>
  <si>
    <t>预付</t>
  </si>
  <si>
    <t>到付</t>
  </si>
  <si>
    <t>第三地付款</t>
  </si>
  <si>
    <t>请直接复制表格内的内容，不要填入其他格式。例如您的业务为“20GP”，请复制“20GP”，粘贴到舱单表格！</t>
  </si>
  <si>
    <t>箱型名称</t>
  </si>
  <si>
    <t>国家标准代码</t>
  </si>
  <si>
    <t>10RF</t>
  </si>
  <si>
    <t>12R1</t>
  </si>
  <si>
    <t>20FR</t>
  </si>
  <si>
    <t>22P1</t>
  </si>
  <si>
    <t>20GP</t>
  </si>
  <si>
    <t>22G1</t>
  </si>
  <si>
    <t>20HQ</t>
  </si>
  <si>
    <t>25G1</t>
  </si>
  <si>
    <t>20HT</t>
  </si>
  <si>
    <t>22V1</t>
  </si>
  <si>
    <t>20OT</t>
  </si>
  <si>
    <t>22U1</t>
  </si>
  <si>
    <t>20RF</t>
  </si>
  <si>
    <t>22R1</t>
  </si>
  <si>
    <t>20RH</t>
  </si>
  <si>
    <t>25R1</t>
  </si>
  <si>
    <t>20TK</t>
  </si>
  <si>
    <t>22T1</t>
  </si>
  <si>
    <t>40FR</t>
  </si>
  <si>
    <t>42P1</t>
  </si>
  <si>
    <t>40GP</t>
  </si>
  <si>
    <t>42G1</t>
  </si>
  <si>
    <t>40HC</t>
  </si>
  <si>
    <t>42U6</t>
  </si>
  <si>
    <t>40HQ</t>
  </si>
  <si>
    <t>45G1</t>
  </si>
  <si>
    <t>40HT</t>
  </si>
  <si>
    <t>42V1</t>
  </si>
  <si>
    <t>40OS</t>
  </si>
  <si>
    <t>40OT</t>
  </si>
  <si>
    <t>42U1</t>
  </si>
  <si>
    <t>40RF</t>
  </si>
  <si>
    <t>42R1</t>
  </si>
  <si>
    <t>40RH</t>
  </si>
  <si>
    <t>45R1</t>
  </si>
  <si>
    <t>40TK</t>
  </si>
  <si>
    <t>42T1</t>
  </si>
  <si>
    <t>45FR</t>
  </si>
  <si>
    <t>L2P1</t>
  </si>
  <si>
    <t>45GP</t>
  </si>
  <si>
    <t>L2G1</t>
  </si>
  <si>
    <t>45HQ</t>
  </si>
  <si>
    <t>L5G1</t>
  </si>
  <si>
    <t>45RF</t>
  </si>
  <si>
    <t>L2R1</t>
  </si>
  <si>
    <t>48HQ</t>
  </si>
  <si>
    <t>请直接复制表格内的内容，不要填入其他格式。例如您的业务为“SOC”，请复制“SOC”，粘贴到舱单表格！</t>
  </si>
  <si>
    <t>简称</t>
  </si>
  <si>
    <t>SOC</t>
  </si>
  <si>
    <t>货主箱</t>
  </si>
  <si>
    <t>COC</t>
  </si>
  <si>
    <t>承运人箱</t>
  </si>
  <si>
    <t>请直接复制表格第一列的内容，不要填入其他格式。例如您的发货人为“中国”，请复制“CN中国”。粘贴到舱单表格！</t>
  </si>
  <si>
    <t>列1</t>
  </si>
  <si>
    <t>国家（地区）代码—国家(地区）名称</t>
  </si>
  <si>
    <t>国家（地区）英文全称</t>
  </si>
  <si>
    <t>企业代码类型</t>
  </si>
  <si>
    <t>国家(地区）名称</t>
  </si>
  <si>
    <t>国家（地区）代码</t>
  </si>
  <si>
    <t>AD安道尔</t>
  </si>
  <si>
    <t>Andorra</t>
  </si>
  <si>
    <t>SIREN NUMBER</t>
  </si>
  <si>
    <t>安道尔</t>
  </si>
  <si>
    <t>AD</t>
  </si>
  <si>
    <t>AE阿拉伯联合酋长国</t>
  </si>
  <si>
    <t>United Arab Emirates</t>
  </si>
  <si>
    <t>,LEI</t>
  </si>
  <si>
    <t>AF阿富汗</t>
  </si>
  <si>
    <t>Afghanistan</t>
  </si>
  <si>
    <t>COMMERCIAL REGISTER NUMBER</t>
  </si>
  <si>
    <t>阿拉伯联合酋长国</t>
  </si>
  <si>
    <t>AE</t>
  </si>
  <si>
    <t>AG安提瓜和巴布达</t>
  </si>
  <si>
    <t>Antigua and Barbuda</t>
  </si>
  <si>
    <t>,CHAMBER OF COMMERCE NUMBER</t>
  </si>
  <si>
    <t>AI安圭拉</t>
  </si>
  <si>
    <t>Anguilla</t>
  </si>
  <si>
    <t>阿富汗</t>
  </si>
  <si>
    <t>AF</t>
  </si>
  <si>
    <t>AL阿尔巴尼亚</t>
  </si>
  <si>
    <t>Albania</t>
  </si>
  <si>
    <t>安提瓜和巴布达</t>
  </si>
  <si>
    <t>AG</t>
  </si>
  <si>
    <t>AM亚美尼亚</t>
  </si>
  <si>
    <t>Armenia</t>
  </si>
  <si>
    <t>CIK</t>
  </si>
  <si>
    <t>安圭拉</t>
  </si>
  <si>
    <t>AI</t>
  </si>
  <si>
    <t>AO安哥拉</t>
  </si>
  <si>
    <t>Angola</t>
  </si>
  <si>
    <t>NIPT</t>
  </si>
  <si>
    <t>阿尔巴尼亚</t>
  </si>
  <si>
    <t>AL</t>
  </si>
  <si>
    <t>AR阿根廷</t>
  </si>
  <si>
    <t>Argentina</t>
  </si>
  <si>
    <t>亚美尼亚</t>
  </si>
  <si>
    <t>AM</t>
  </si>
  <si>
    <t>AT奥地利</t>
  </si>
  <si>
    <t>Austria</t>
  </si>
  <si>
    <t>AU澳大利亚</t>
  </si>
  <si>
    <t>Australia</t>
  </si>
  <si>
    <t>NIF</t>
  </si>
  <si>
    <t>安哥拉</t>
  </si>
  <si>
    <t>AO</t>
  </si>
  <si>
    <t>AW阿鲁巴</t>
  </si>
  <si>
    <t>Aruba</t>
  </si>
  <si>
    <t>CUIT</t>
  </si>
  <si>
    <t>阿根廷</t>
  </si>
  <si>
    <t>AR</t>
  </si>
  <si>
    <t>AZ阿塞拜疆</t>
  </si>
  <si>
    <t>Azerbaijan</t>
  </si>
  <si>
    <t>TRADE REGISTER NUMBER</t>
  </si>
  <si>
    <t>奥地利</t>
  </si>
  <si>
    <t>AT</t>
  </si>
  <si>
    <t>BA波斯尼亚-黑塞哥维那</t>
  </si>
  <si>
    <t>Bosnia-Herzegovina</t>
  </si>
  <si>
    <t>,EUROPEAN VAT NUMBER</t>
  </si>
  <si>
    <t>BB巴巴多斯</t>
  </si>
  <si>
    <t>Barbados</t>
  </si>
  <si>
    <t>ABN</t>
  </si>
  <si>
    <t>澳大利亚</t>
  </si>
  <si>
    <t>AU</t>
  </si>
  <si>
    <t>BD孟加拉</t>
  </si>
  <si>
    <t>Bangladesh</t>
  </si>
  <si>
    <t>,ACN</t>
  </si>
  <si>
    <t>BE比利时</t>
  </si>
  <si>
    <t>Belgium</t>
  </si>
  <si>
    <t>COC-NUMBER</t>
  </si>
  <si>
    <t>阿鲁巴</t>
  </si>
  <si>
    <t>AW</t>
  </si>
  <si>
    <t>BF布基纳法索</t>
  </si>
  <si>
    <t>Burkina Faso</t>
  </si>
  <si>
    <t>,RSIN</t>
  </si>
  <si>
    <t>BG保加利亚</t>
  </si>
  <si>
    <t>Bulgaria</t>
  </si>
  <si>
    <t>COMPANY NUMBER</t>
  </si>
  <si>
    <t>阿塞拜疆</t>
  </si>
  <si>
    <t>AZ</t>
  </si>
  <si>
    <t>BH巴林</t>
  </si>
  <si>
    <t>Bahrain</t>
  </si>
  <si>
    <t>JIB</t>
  </si>
  <si>
    <t>波斯尼亚-黑塞哥维那</t>
  </si>
  <si>
    <t>BA</t>
  </si>
  <si>
    <t>BI布隆迪</t>
  </si>
  <si>
    <t>Burundi</t>
  </si>
  <si>
    <t>,UCN</t>
  </si>
  <si>
    <t>BJ贝宁</t>
  </si>
  <si>
    <t>Benin</t>
  </si>
  <si>
    <t>巴巴多斯</t>
  </si>
  <si>
    <t>BB</t>
  </si>
  <si>
    <t>BM百慕大群岛</t>
  </si>
  <si>
    <t>Bermuda</t>
  </si>
  <si>
    <t>孟加拉</t>
  </si>
  <si>
    <t>BD</t>
  </si>
  <si>
    <t>BN文莱</t>
  </si>
  <si>
    <t>Brunei Darussalam</t>
  </si>
  <si>
    <t>EUROPEAN VAT NUMBER</t>
  </si>
  <si>
    <t>比利时</t>
  </si>
  <si>
    <t>BE</t>
  </si>
  <si>
    <t>BO玻利维亚</t>
  </si>
  <si>
    <t>Bolivia</t>
  </si>
  <si>
    <t>,BELGIAN COMPANY NUMBER</t>
  </si>
  <si>
    <t>BR巴西</t>
  </si>
  <si>
    <t>Brazil</t>
  </si>
  <si>
    <t>布基纳法索</t>
  </si>
  <si>
    <t>BF</t>
  </si>
  <si>
    <t>BS巴哈马</t>
  </si>
  <si>
    <t>Bahamas</t>
  </si>
  <si>
    <t>PIN</t>
  </si>
  <si>
    <t>保加利亚</t>
  </si>
  <si>
    <t>BG</t>
  </si>
  <si>
    <t>BT不丹</t>
  </si>
  <si>
    <t>Bhutan</t>
  </si>
  <si>
    <t>,UIC</t>
  </si>
  <si>
    <t>BW博兹瓦纳</t>
  </si>
  <si>
    <t>Botswana</t>
  </si>
  <si>
    <t>巴林</t>
  </si>
  <si>
    <t>BH</t>
  </si>
  <si>
    <t>BY白俄罗斯</t>
  </si>
  <si>
    <t>Belarus</t>
  </si>
  <si>
    <t>,CR NUMBER</t>
  </si>
  <si>
    <t>BZ伯利兹</t>
  </si>
  <si>
    <t>Belize</t>
  </si>
  <si>
    <t>布隆迪</t>
  </si>
  <si>
    <t>BI</t>
  </si>
  <si>
    <t>CA加拿大</t>
  </si>
  <si>
    <t>Canada</t>
  </si>
  <si>
    <t>RCCM NUMBER</t>
  </si>
  <si>
    <t>贝宁</t>
  </si>
  <si>
    <t>BJ</t>
  </si>
  <si>
    <t>CD刚果(金)</t>
  </si>
  <si>
    <t>Congo, Democratic Republic of</t>
  </si>
  <si>
    <t>百慕大群岛</t>
  </si>
  <si>
    <t>BM</t>
  </si>
  <si>
    <t>CF中非</t>
  </si>
  <si>
    <t>Central African Republic</t>
  </si>
  <si>
    <t>文莱</t>
  </si>
  <si>
    <t>BN</t>
  </si>
  <si>
    <t>CG刚果</t>
  </si>
  <si>
    <t>Congo</t>
  </si>
  <si>
    <t>MATRICULA DE COMERCIO</t>
  </si>
  <si>
    <t>玻利维亚</t>
  </si>
  <si>
    <t>BO</t>
  </si>
  <si>
    <t>CH瑞士</t>
  </si>
  <si>
    <t>Switzerland</t>
  </si>
  <si>
    <t>,NIT</t>
  </si>
  <si>
    <t>CI科特迪瓦</t>
  </si>
  <si>
    <t>Côte d'Ivoire</t>
  </si>
  <si>
    <t>CNPJ</t>
  </si>
  <si>
    <t>巴西</t>
  </si>
  <si>
    <t>BR</t>
  </si>
  <si>
    <t>CL智利</t>
  </si>
  <si>
    <t>Chile</t>
  </si>
  <si>
    <t>,NIRE</t>
  </si>
  <si>
    <t>CM喀麦隆</t>
  </si>
  <si>
    <t>Cameroon</t>
  </si>
  <si>
    <t>巴哈马</t>
  </si>
  <si>
    <t>BS</t>
  </si>
  <si>
    <t>CN中国</t>
  </si>
  <si>
    <t>China</t>
  </si>
  <si>
    <t>TICKER SYMBOL</t>
  </si>
  <si>
    <t>不丹</t>
  </si>
  <si>
    <t>BT</t>
  </si>
  <si>
    <t>CO哥伦比亚</t>
  </si>
  <si>
    <t>Colombia</t>
  </si>
  <si>
    <t>ENTERPRISE NUMBER</t>
  </si>
  <si>
    <t>博兹瓦纳</t>
  </si>
  <si>
    <t>BW</t>
  </si>
  <si>
    <t>CR哥斯达黎加</t>
  </si>
  <si>
    <t>Costa Rica</t>
  </si>
  <si>
    <t>OKPO</t>
  </si>
  <si>
    <t>白俄罗斯</t>
  </si>
  <si>
    <t>BY</t>
  </si>
  <si>
    <t>CU古巴</t>
  </si>
  <si>
    <t>Cuba</t>
  </si>
  <si>
    <t>,INN</t>
  </si>
  <si>
    <t>CV佛得角</t>
  </si>
  <si>
    <t>Cape Verde</t>
  </si>
  <si>
    <t>伯利兹</t>
  </si>
  <si>
    <t>BZ</t>
  </si>
  <si>
    <t>CW库拉索</t>
  </si>
  <si>
    <t>Curaçao</t>
  </si>
  <si>
    <t>CY塞浦路斯</t>
  </si>
  <si>
    <t>Cyprus</t>
  </si>
  <si>
    <t>CORPORATION NUMBER</t>
  </si>
  <si>
    <t>加拿大</t>
  </si>
  <si>
    <t>CA</t>
  </si>
  <si>
    <t>CZ捷克</t>
  </si>
  <si>
    <t>Czech Republic</t>
  </si>
  <si>
    <t>,EIN</t>
  </si>
  <si>
    <t>DE德国</t>
  </si>
  <si>
    <t>Germany</t>
  </si>
  <si>
    <t>刚果(金)</t>
  </si>
  <si>
    <t>CD</t>
  </si>
  <si>
    <t>DJ吉布提</t>
  </si>
  <si>
    <t>Djibouti</t>
  </si>
  <si>
    <t>中非</t>
  </si>
  <si>
    <t>CF</t>
  </si>
  <si>
    <t>DK丹麦</t>
  </si>
  <si>
    <t>Denmark</t>
  </si>
  <si>
    <t>刚果</t>
  </si>
  <si>
    <t>CG</t>
  </si>
  <si>
    <t>DK丹麦(法罗群岛)</t>
  </si>
  <si>
    <t>Denmark (Faroe Islands)</t>
  </si>
  <si>
    <t>CH-NUMBER</t>
  </si>
  <si>
    <t>瑞士</t>
  </si>
  <si>
    <t>CH</t>
  </si>
  <si>
    <t>DM多米尼克</t>
  </si>
  <si>
    <t>Dominica</t>
  </si>
  <si>
    <t>,UID</t>
  </si>
  <si>
    <t>DO多米尼加</t>
  </si>
  <si>
    <t>Dominican Republic</t>
  </si>
  <si>
    <t>科特迪瓦</t>
  </si>
  <si>
    <t>CI</t>
  </si>
  <si>
    <t>DZ阿尔及利亚</t>
  </si>
  <si>
    <t>Algeria</t>
  </si>
  <si>
    <t>RUT</t>
  </si>
  <si>
    <t>智利</t>
  </si>
  <si>
    <t>CL</t>
  </si>
  <si>
    <t>EC厄瓜多尔</t>
  </si>
  <si>
    <t>Ecuador</t>
  </si>
  <si>
    <t>NIU</t>
  </si>
  <si>
    <t>喀麦隆</t>
  </si>
  <si>
    <t>CM</t>
  </si>
  <si>
    <t>EE爱沙尼亚</t>
  </si>
  <si>
    <t>Estonia</t>
  </si>
  <si>
    <t>USCI</t>
  </si>
  <si>
    <t>中国</t>
  </si>
  <si>
    <t>CN</t>
  </si>
  <si>
    <t>EG埃及</t>
  </si>
  <si>
    <t>Egypt</t>
  </si>
  <si>
    <t>,OC</t>
  </si>
  <si>
    <t>EL欧盟</t>
  </si>
  <si>
    <t>European Union</t>
  </si>
  <si>
    <t>NIT</t>
  </si>
  <si>
    <t>哥伦比亚</t>
  </si>
  <si>
    <t>CO</t>
  </si>
  <si>
    <t>ER厄立特里亚</t>
  </si>
  <si>
    <t>Eritrea</t>
  </si>
  <si>
    <t>哥斯达黎加</t>
  </si>
  <si>
    <t>CR</t>
  </si>
  <si>
    <t>ES西班牙</t>
  </si>
  <si>
    <t>Spain</t>
  </si>
  <si>
    <t>古巴</t>
  </si>
  <si>
    <t>CU</t>
  </si>
  <si>
    <t>ET埃塞俄比亚</t>
  </si>
  <si>
    <t>Ethiopia</t>
  </si>
  <si>
    <t>佛得角</t>
  </si>
  <si>
    <t>CV</t>
  </si>
  <si>
    <t>FI芬兰</t>
  </si>
  <si>
    <t>Finland</t>
  </si>
  <si>
    <t>库拉索</t>
  </si>
  <si>
    <t>CW</t>
  </si>
  <si>
    <t>FJ斐济</t>
  </si>
  <si>
    <t>Fiji</t>
  </si>
  <si>
    <t>,CIK</t>
  </si>
  <si>
    <t>FM密克罗尼西亚联邦</t>
  </si>
  <si>
    <t>Micronesia, Federated States of</t>
  </si>
  <si>
    <t>VAT NUMBER</t>
  </si>
  <si>
    <t>塞浦路斯</t>
  </si>
  <si>
    <t>CY</t>
  </si>
  <si>
    <t>FR法国</t>
  </si>
  <si>
    <t>France</t>
  </si>
  <si>
    <t>,TRADE REGISTER NUMBER</t>
  </si>
  <si>
    <t>GA加蓬</t>
  </si>
  <si>
    <t>Gabon</t>
  </si>
  <si>
    <t>捷克</t>
  </si>
  <si>
    <t>CZ</t>
  </si>
  <si>
    <t>GB泽西岛</t>
  </si>
  <si>
    <t>Jersey</t>
  </si>
  <si>
    <t>,VAT NUMBER</t>
  </si>
  <si>
    <t>GB英国</t>
  </si>
  <si>
    <t>United Kingdom</t>
  </si>
  <si>
    <t>UST-IDNR.</t>
  </si>
  <si>
    <t>德国</t>
  </si>
  <si>
    <t>DE</t>
  </si>
  <si>
    <t>GD格林纳达</t>
  </si>
  <si>
    <t>Grenada</t>
  </si>
  <si>
    <t>GE格鲁吉亚</t>
  </si>
  <si>
    <t>Georgia</t>
  </si>
  <si>
    <t>吉布提</t>
  </si>
  <si>
    <t>DJ</t>
  </si>
  <si>
    <t>GG根西岛</t>
  </si>
  <si>
    <t>Guernsey</t>
  </si>
  <si>
    <t>P-NUMBER</t>
  </si>
  <si>
    <t>丹麦</t>
  </si>
  <si>
    <t>DK</t>
  </si>
  <si>
    <t>GH加纳</t>
  </si>
  <si>
    <t>Ghana</t>
  </si>
  <si>
    <t>,CVR-NUMBER</t>
  </si>
  <si>
    <t>GI直布罗陀</t>
  </si>
  <si>
    <t>Gibraltar</t>
  </si>
  <si>
    <t>GM冈比亚</t>
  </si>
  <si>
    <t>Gambia</t>
  </si>
  <si>
    <t>CVR-NUMBER</t>
  </si>
  <si>
    <t>丹麦(法罗群岛)</t>
  </si>
  <si>
    <t>GN几内亚</t>
  </si>
  <si>
    <t>Guinea</t>
  </si>
  <si>
    <t>GQ赤道几内亚</t>
  </si>
  <si>
    <t>Equatorial Guinea</t>
  </si>
  <si>
    <t>,P-NUMBER</t>
  </si>
  <si>
    <t>GR希腊</t>
  </si>
  <si>
    <t>Greece</t>
  </si>
  <si>
    <t>LEI</t>
  </si>
  <si>
    <t>多米尼克</t>
  </si>
  <si>
    <t>DM</t>
  </si>
  <si>
    <t>GT危地马拉</t>
  </si>
  <si>
    <t>Guatemala</t>
  </si>
  <si>
    <t>,SIREN NUMBER</t>
  </si>
  <si>
    <t>GW几内亚比绍</t>
  </si>
  <si>
    <t>Guinea Bissau</t>
  </si>
  <si>
    <t>多米尼加</t>
  </si>
  <si>
    <t>DO</t>
  </si>
  <si>
    <t>GY圭亚那</t>
  </si>
  <si>
    <t>Guyana</t>
  </si>
  <si>
    <t>NRC NUMBER</t>
  </si>
  <si>
    <t>阿尔及利亚</t>
  </si>
  <si>
    <t>DZ</t>
  </si>
  <si>
    <t>HK香港</t>
  </si>
  <si>
    <t>Hong Kong</t>
  </si>
  <si>
    <t>RUC</t>
  </si>
  <si>
    <t>厄瓜多尔</t>
  </si>
  <si>
    <t>EC</t>
  </si>
  <si>
    <t>HN洪都拉斯</t>
  </si>
  <si>
    <t>Honduras</t>
  </si>
  <si>
    <t>爱沙尼亚</t>
  </si>
  <si>
    <t>EE</t>
  </si>
  <si>
    <t>HR克罗地亚</t>
  </si>
  <si>
    <t>Croatia</t>
  </si>
  <si>
    <t>HT海地</t>
  </si>
  <si>
    <t>Haiti</t>
  </si>
  <si>
    <t>INDUSTRIAL LICENSE</t>
  </si>
  <si>
    <t>埃及</t>
  </si>
  <si>
    <t>EG</t>
  </si>
  <si>
    <t>HU匈牙利</t>
  </si>
  <si>
    <t>Hungary</t>
  </si>
  <si>
    <t>,COMMERCIAL REGISTER NUMBER</t>
  </si>
  <si>
    <t>ID印度尼西亚</t>
  </si>
  <si>
    <t>Indonesia</t>
  </si>
  <si>
    <t>欧盟</t>
  </si>
  <si>
    <t>EL</t>
  </si>
  <si>
    <t>IE爱尔兰</t>
  </si>
  <si>
    <t>Ireland</t>
  </si>
  <si>
    <t>厄立特里亚</t>
  </si>
  <si>
    <t>ER</t>
  </si>
  <si>
    <t>IL以色列</t>
  </si>
  <si>
    <t>Israel</t>
  </si>
  <si>
    <t>西班牙</t>
  </si>
  <si>
    <t>ES</t>
  </si>
  <si>
    <t>IM马恩岛</t>
  </si>
  <si>
    <t>Isle of Man</t>
  </si>
  <si>
    <t>,NIF</t>
  </si>
  <si>
    <t>IN印度</t>
  </si>
  <si>
    <t>India</t>
  </si>
  <si>
    <t>埃塞俄比亚</t>
  </si>
  <si>
    <t>ET</t>
  </si>
  <si>
    <t>IQ伊拉克</t>
  </si>
  <si>
    <t>Iraq</t>
  </si>
  <si>
    <t>芬兰</t>
  </si>
  <si>
    <t>FI</t>
  </si>
  <si>
    <t>IR伊朗</t>
  </si>
  <si>
    <t>Iran</t>
  </si>
  <si>
    <t>,BUSINESS ID</t>
  </si>
  <si>
    <t>IS冰岛</t>
  </si>
  <si>
    <t>Iceland</t>
  </si>
  <si>
    <t>斐济</t>
  </si>
  <si>
    <t>FJ</t>
  </si>
  <si>
    <t>IT意大利</t>
  </si>
  <si>
    <t>Italy</t>
  </si>
  <si>
    <t>IMO NUMBER</t>
  </si>
  <si>
    <t>密克罗尼西亚联邦</t>
  </si>
  <si>
    <t>FM</t>
  </si>
  <si>
    <t>JM牙买加</t>
  </si>
  <si>
    <t>Jamaica</t>
  </si>
  <si>
    <t>法国</t>
  </si>
  <si>
    <t>FR</t>
  </si>
  <si>
    <t>JO约旦</t>
  </si>
  <si>
    <t>Jordan </t>
  </si>
  <si>
    <t>JP日本</t>
  </si>
  <si>
    <t>Japan</t>
  </si>
  <si>
    <t>加蓬</t>
  </si>
  <si>
    <t>GA</t>
  </si>
  <si>
    <t>KE肯尼亚</t>
  </si>
  <si>
    <t>Kenya</t>
  </si>
  <si>
    <t>泽西岛</t>
  </si>
  <si>
    <t>GB</t>
  </si>
  <si>
    <t>KG吉尔吉斯</t>
  </si>
  <si>
    <t>Kyrgyzstan</t>
  </si>
  <si>
    <t>KH柬埔寨</t>
  </si>
  <si>
    <t>Cambodia</t>
  </si>
  <si>
    <t>,COMPANY NUMBER</t>
  </si>
  <si>
    <t>KI基里巴斯</t>
  </si>
  <si>
    <t>Kiribati </t>
  </si>
  <si>
    <t>英国</t>
  </si>
  <si>
    <t>KM科摩罗</t>
  </si>
  <si>
    <t>Comoros</t>
  </si>
  <si>
    <t>KN圣基茨和尼维斯</t>
  </si>
  <si>
    <t>Saint Kitts and Nevis</t>
  </si>
  <si>
    <t>KP朝鲜</t>
  </si>
  <si>
    <t>Korea, Democratic People's Republic of</t>
  </si>
  <si>
    <t>格林纳达</t>
  </si>
  <si>
    <t>GD</t>
  </si>
  <si>
    <t>KR韩国</t>
  </si>
  <si>
    <t>Republic of Korea</t>
  </si>
  <si>
    <t>KV科索沃</t>
  </si>
  <si>
    <t>Kosovo</t>
  </si>
  <si>
    <t>SWIFT CODE</t>
  </si>
  <si>
    <t>格鲁吉亚</t>
  </si>
  <si>
    <t>GE</t>
  </si>
  <si>
    <t>KW科威特</t>
  </si>
  <si>
    <t>Kuwait</t>
  </si>
  <si>
    <t>根西岛</t>
  </si>
  <si>
    <t>GG</t>
  </si>
  <si>
    <t>KY开曼群岛</t>
  </si>
  <si>
    <t>Cayman Islands</t>
  </si>
  <si>
    <t>RGD NUMBER</t>
  </si>
  <si>
    <t>加纳</t>
  </si>
  <si>
    <t>GH</t>
  </si>
  <si>
    <t>KZ哈萨克斯坦</t>
  </si>
  <si>
    <t>Kazakhstan</t>
  </si>
  <si>
    <t>直布罗陀</t>
  </si>
  <si>
    <t>GI</t>
  </si>
  <si>
    <t>LA老挝</t>
  </si>
  <si>
    <t>Lao People's Democratic Republic</t>
  </si>
  <si>
    <t>LB黎巴嫩</t>
  </si>
  <si>
    <t>Lebanon</t>
  </si>
  <si>
    <t>冈比亚</t>
  </si>
  <si>
    <t>GM</t>
  </si>
  <si>
    <t>LC圣卢西亚</t>
  </si>
  <si>
    <t>Saint Lucia</t>
  </si>
  <si>
    <t>几内亚</t>
  </si>
  <si>
    <t>GN</t>
  </si>
  <si>
    <t>LI列支敦士登</t>
  </si>
  <si>
    <t>Liechtenstein</t>
  </si>
  <si>
    <t>赤道几内亚</t>
  </si>
  <si>
    <t>GQ</t>
  </si>
  <si>
    <t>LK斯里兰卡</t>
  </si>
  <si>
    <t>Sri Lanka</t>
  </si>
  <si>
    <t>AFM</t>
  </si>
  <si>
    <t>希腊</t>
  </si>
  <si>
    <t>GR</t>
  </si>
  <si>
    <t>LR利比里亚</t>
  </si>
  <si>
    <t>Liberia</t>
  </si>
  <si>
    <t>LS莱索托</t>
  </si>
  <si>
    <t>Lesotho</t>
  </si>
  <si>
    <t>危地马拉</t>
  </si>
  <si>
    <t>GT</t>
  </si>
  <si>
    <t>LT立陶宛</t>
  </si>
  <si>
    <t>Lithuania</t>
  </si>
  <si>
    <t>几内亚比绍</t>
  </si>
  <si>
    <t>GW</t>
  </si>
  <si>
    <t>LU卢森堡</t>
  </si>
  <si>
    <t>Luxembourg</t>
  </si>
  <si>
    <t>圭亚那</t>
  </si>
  <si>
    <t>GY</t>
  </si>
  <si>
    <t>LV拉脱维亚</t>
  </si>
  <si>
    <t>Latvia</t>
  </si>
  <si>
    <t>香港</t>
  </si>
  <si>
    <t>HK</t>
  </si>
  <si>
    <t>LY利比亚</t>
  </si>
  <si>
    <t>Libya</t>
  </si>
  <si>
    <t>洪都拉斯</t>
  </si>
  <si>
    <t>HN</t>
  </si>
  <si>
    <t>MA摩洛哥</t>
  </si>
  <si>
    <t>Morocco</t>
  </si>
  <si>
    <t>OIB</t>
  </si>
  <si>
    <t>克罗地亚</t>
  </si>
  <si>
    <t>HR</t>
  </si>
  <si>
    <t>MC摩纳哥</t>
  </si>
  <si>
    <t>Monaco</t>
  </si>
  <si>
    <t>,MBS</t>
  </si>
  <si>
    <t>MD摩尔多瓦</t>
  </si>
  <si>
    <t>Republic of Moldova</t>
  </si>
  <si>
    <t>海地</t>
  </si>
  <si>
    <t>HT</t>
  </si>
  <si>
    <t>ME黑山</t>
  </si>
  <si>
    <t>Montenegro</t>
  </si>
  <si>
    <t>匈牙利</t>
  </si>
  <si>
    <t>HU</t>
  </si>
  <si>
    <t>MG马达加斯加</t>
  </si>
  <si>
    <t>Madagascar</t>
  </si>
  <si>
    <t>,STATISTICAL NUMBER</t>
  </si>
  <si>
    <t>MH马绍尔群岛</t>
  </si>
  <si>
    <t>Marshall Islands</t>
  </si>
  <si>
    <t>TIN</t>
  </si>
  <si>
    <t>印度尼西亚</t>
  </si>
  <si>
    <t>ID</t>
  </si>
  <si>
    <t>MK马其顿</t>
  </si>
  <si>
    <t>Macedonia</t>
  </si>
  <si>
    <t>ML马里</t>
  </si>
  <si>
    <t>Mali</t>
  </si>
  <si>
    <t>爱尔兰</t>
  </si>
  <si>
    <t>IE</t>
  </si>
  <si>
    <t>MM缅甸</t>
  </si>
  <si>
    <t>Myanmar/Burma</t>
  </si>
  <si>
    <t>以色列</t>
  </si>
  <si>
    <t>IL</t>
  </si>
  <si>
    <t>MN蒙古</t>
  </si>
  <si>
    <t>Mongolia</t>
  </si>
  <si>
    <t>MO澳门</t>
  </si>
  <si>
    <t>Macao</t>
  </si>
  <si>
    <t>马恩岛</t>
  </si>
  <si>
    <t>IM</t>
  </si>
  <si>
    <t>MR毛里塔尼亚</t>
  </si>
  <si>
    <t>Mauritania</t>
  </si>
  <si>
    <t>印度</t>
  </si>
  <si>
    <t>IN</t>
  </si>
  <si>
    <t>MT马耳他</t>
  </si>
  <si>
    <t>Malta</t>
  </si>
  <si>
    <t>,CIN</t>
  </si>
  <si>
    <t>MU毛里求斯</t>
  </si>
  <si>
    <t>Mauritius</t>
  </si>
  <si>
    <t>CHAMBER OF COMMERCE NUMBER</t>
  </si>
  <si>
    <t>伊拉克</t>
  </si>
  <si>
    <t>IQ</t>
  </si>
  <si>
    <t>MV马尔代夫</t>
  </si>
  <si>
    <t>Maldives</t>
  </si>
  <si>
    <t>MW马拉维</t>
  </si>
  <si>
    <t>Malawi</t>
  </si>
  <si>
    <t>伊朗</t>
  </si>
  <si>
    <t>IR</t>
  </si>
  <si>
    <t>MX墨西哥</t>
  </si>
  <si>
    <t>Mexico</t>
  </si>
  <si>
    <t>MY马来西亚</t>
  </si>
  <si>
    <t>Malaysia</t>
  </si>
  <si>
    <t>冰岛</t>
  </si>
  <si>
    <t>IS</t>
  </si>
  <si>
    <t>MZ莫桑比克</t>
  </si>
  <si>
    <t>Mozambique</t>
  </si>
  <si>
    <t>,KENNITALA</t>
  </si>
  <si>
    <t>NA纳米比亚</t>
  </si>
  <si>
    <t>Namibia</t>
  </si>
  <si>
    <t>CCIAA</t>
  </si>
  <si>
    <t>意大利</t>
  </si>
  <si>
    <t>IT</t>
  </si>
  <si>
    <t>NE尼日尔</t>
  </si>
  <si>
    <t>Niger</t>
  </si>
  <si>
    <t>NG尼日利亚</t>
  </si>
  <si>
    <t>Nigeria</t>
  </si>
  <si>
    <t>BUSINESS REGISTRATION NUMBER</t>
  </si>
  <si>
    <t>牙买加</t>
  </si>
  <si>
    <t>JM</t>
  </si>
  <si>
    <t>NI尼加拉瓜</t>
  </si>
  <si>
    <t>Nicaragua</t>
  </si>
  <si>
    <t>NL荷兰</t>
  </si>
  <si>
    <t>Netherlands</t>
  </si>
  <si>
    <t>约旦</t>
  </si>
  <si>
    <t>JO</t>
  </si>
  <si>
    <t>NO挪威</t>
  </si>
  <si>
    <t>Norway</t>
  </si>
  <si>
    <t>NP尼泊尔</t>
  </si>
  <si>
    <t>Nepal</t>
  </si>
  <si>
    <t>日本</t>
  </si>
  <si>
    <t>JP</t>
  </si>
  <si>
    <t>NR瑙鲁</t>
  </si>
  <si>
    <t>Nauru</t>
  </si>
  <si>
    <t>NZ新西兰</t>
  </si>
  <si>
    <t>New Zealand</t>
  </si>
  <si>
    <t>肯尼亚</t>
  </si>
  <si>
    <t>KE</t>
  </si>
  <si>
    <t>OM阿曼</t>
  </si>
  <si>
    <t>Oman</t>
  </si>
  <si>
    <t>吉尔吉斯</t>
  </si>
  <si>
    <t>KG</t>
  </si>
  <si>
    <t>PA巴拿马</t>
  </si>
  <si>
    <t>Panama</t>
  </si>
  <si>
    <t>柬埔寨</t>
  </si>
  <si>
    <t>KH</t>
  </si>
  <si>
    <t>PE秘鲁</t>
  </si>
  <si>
    <t>Peru</t>
  </si>
  <si>
    <t>基里巴斯</t>
  </si>
  <si>
    <t>KI</t>
  </si>
  <si>
    <t>PG巴布亚新几内亚</t>
  </si>
  <si>
    <t>Papua New Guinea</t>
  </si>
  <si>
    <t>科摩罗</t>
  </si>
  <si>
    <t>KM</t>
  </si>
  <si>
    <t>PH菲律宾</t>
  </si>
  <si>
    <t>Philippines</t>
  </si>
  <si>
    <t>圣基茨和尼维斯</t>
  </si>
  <si>
    <t>KN</t>
  </si>
  <si>
    <t>PK巴基斯坦</t>
  </si>
  <si>
    <t>Pakistan</t>
  </si>
  <si>
    <t>朝鲜</t>
  </si>
  <si>
    <t>KP</t>
  </si>
  <si>
    <t>PL波兰</t>
  </si>
  <si>
    <t>Poland</t>
  </si>
  <si>
    <t>韩国</t>
  </si>
  <si>
    <t>KR</t>
  </si>
  <si>
    <t>PR美利坚合众国(波多黎各)</t>
  </si>
  <si>
    <t>United States of America (Puerto Rico)</t>
  </si>
  <si>
    <t>,CORPORATE REGISTERED NUMBER</t>
  </si>
  <si>
    <t>PS巴勒斯坦</t>
  </si>
  <si>
    <t>Palestinian Territory </t>
  </si>
  <si>
    <t>科索沃</t>
  </si>
  <si>
    <t>KV</t>
  </si>
  <si>
    <t>PT葡萄牙</t>
  </si>
  <si>
    <t>Portugal</t>
  </si>
  <si>
    <t>科威特</t>
  </si>
  <si>
    <t>KW</t>
  </si>
  <si>
    <t>PW帕劳</t>
  </si>
  <si>
    <t>Palau</t>
  </si>
  <si>
    <t>PY巴拉圭</t>
  </si>
  <si>
    <t>Paraguay</t>
  </si>
  <si>
    <t>开曼群岛</t>
  </si>
  <si>
    <t>KY</t>
  </si>
  <si>
    <t>QA卡塔尔</t>
  </si>
  <si>
    <t>Qatar</t>
  </si>
  <si>
    <t>RO罗马尼亚</t>
  </si>
  <si>
    <t>Romania</t>
  </si>
  <si>
    <t>哈萨克斯坦</t>
  </si>
  <si>
    <t>KZ</t>
  </si>
  <si>
    <t>RS塞尔维亚</t>
  </si>
  <si>
    <t>Serbia</t>
  </si>
  <si>
    <t>,BIN</t>
  </si>
  <si>
    <t>RU俄罗斯联邦</t>
  </si>
  <si>
    <t>Russian Federation</t>
  </si>
  <si>
    <t>老挝</t>
  </si>
  <si>
    <t>LA</t>
  </si>
  <si>
    <t>RW卢旺达</t>
  </si>
  <si>
    <t>Rwanda</t>
  </si>
  <si>
    <t>黎巴嫩</t>
  </si>
  <si>
    <t>LB</t>
  </si>
  <si>
    <t>SA沙特阿拉伯</t>
  </si>
  <si>
    <t>Saudi Arabia</t>
  </si>
  <si>
    <t>SB所罗门群岛</t>
  </si>
  <si>
    <t>Solomon Islands</t>
  </si>
  <si>
    <t>圣卢西亚</t>
  </si>
  <si>
    <t>LC</t>
  </si>
  <si>
    <t>SC塞舌尔</t>
  </si>
  <si>
    <t>Seychelles</t>
  </si>
  <si>
    <t>列支敦士登</t>
  </si>
  <si>
    <t>LI</t>
  </si>
  <si>
    <t>SD苏丹</t>
  </si>
  <si>
    <t>Sudan</t>
  </si>
  <si>
    <t>斯里兰卡</t>
  </si>
  <si>
    <t>LK</t>
  </si>
  <si>
    <t>SE瑞典</t>
  </si>
  <si>
    <t>Sweden</t>
  </si>
  <si>
    <t>利比里亚</t>
  </si>
  <si>
    <t>LR</t>
  </si>
  <si>
    <t>SG新加坡</t>
  </si>
  <si>
    <t>Singapore</t>
  </si>
  <si>
    <t>SI斯洛文尼亚</t>
  </si>
  <si>
    <t>Slovenia</t>
  </si>
  <si>
    <t>莱索托</t>
  </si>
  <si>
    <t>LS</t>
  </si>
  <si>
    <t>SK斯洛伐克</t>
  </si>
  <si>
    <t>Slovakia</t>
  </si>
  <si>
    <t>立陶宛</t>
  </si>
  <si>
    <t>LT</t>
  </si>
  <si>
    <t>SL塞拉利昂</t>
  </si>
  <si>
    <t>Sierra Leone</t>
  </si>
  <si>
    <t>SM圣马力诺</t>
  </si>
  <si>
    <t>San Marino</t>
  </si>
  <si>
    <t>卢森堡</t>
  </si>
  <si>
    <t>LU</t>
  </si>
  <si>
    <t>SN塞内加尔</t>
  </si>
  <si>
    <t>Senegal</t>
  </si>
  <si>
    <t>SO索马里</t>
  </si>
  <si>
    <t>Somalia</t>
  </si>
  <si>
    <t>拉脱维亚</t>
  </si>
  <si>
    <t>LV</t>
  </si>
  <si>
    <t>SR苏里南</t>
  </si>
  <si>
    <t>Suriname</t>
  </si>
  <si>
    <t>SS南苏丹</t>
  </si>
  <si>
    <t>South Sudan</t>
  </si>
  <si>
    <t>利比亚</t>
  </si>
  <si>
    <t>LY</t>
  </si>
  <si>
    <t>ST圣多美和普林西比</t>
  </si>
  <si>
    <t>Sao Tome and Principe</t>
  </si>
  <si>
    <t>摩洛哥</t>
  </si>
  <si>
    <t>MA</t>
  </si>
  <si>
    <t>SV萨尔瓦多</t>
  </si>
  <si>
    <t>El Salvador</t>
  </si>
  <si>
    <t>摩纳哥</t>
  </si>
  <si>
    <t>MC</t>
  </si>
  <si>
    <t>SX圣马丁岛</t>
  </si>
  <si>
    <t>Sint Maarten</t>
  </si>
  <si>
    <t>,RCI NUMBER</t>
  </si>
  <si>
    <t>SY叙利亚</t>
  </si>
  <si>
    <t>Syrian Arab Republic</t>
  </si>
  <si>
    <t>IDNO</t>
  </si>
  <si>
    <t>摩尔多瓦</t>
  </si>
  <si>
    <t>MD</t>
  </si>
  <si>
    <t>SZ斯威士兰</t>
  </si>
  <si>
    <t>Swaziland</t>
  </si>
  <si>
    <t>MATICNI BROJ</t>
  </si>
  <si>
    <t>黑山</t>
  </si>
  <si>
    <t>ME</t>
  </si>
  <si>
    <t>TD乍得</t>
  </si>
  <si>
    <t>Chad</t>
  </si>
  <si>
    <t>马达加斯加</t>
  </si>
  <si>
    <t>MG</t>
  </si>
  <si>
    <t>TG多哥</t>
  </si>
  <si>
    <t>Togo</t>
  </si>
  <si>
    <t>,RCS NUMBER</t>
  </si>
  <si>
    <t>TH泰国</t>
  </si>
  <si>
    <t>Thailand</t>
  </si>
  <si>
    <t>马绍尔群岛</t>
  </si>
  <si>
    <t>MH</t>
  </si>
  <si>
    <t>TJ塔吉克斯坦</t>
  </si>
  <si>
    <t>Tajikistan</t>
  </si>
  <si>
    <t>TL东帝汶</t>
  </si>
  <si>
    <t>Timor-Leste</t>
  </si>
  <si>
    <t>马其顿</t>
  </si>
  <si>
    <t>MK</t>
  </si>
  <si>
    <t>TM土库曼斯坦</t>
  </si>
  <si>
    <t>Turkmenistan</t>
  </si>
  <si>
    <t>,TIN</t>
  </si>
  <si>
    <t>TN突尼斯</t>
  </si>
  <si>
    <t>Tunisia</t>
  </si>
  <si>
    <t>马里</t>
  </si>
  <si>
    <t>ML</t>
  </si>
  <si>
    <t>TO汤加</t>
  </si>
  <si>
    <t>Tonga</t>
  </si>
  <si>
    <t>缅甸</t>
  </si>
  <si>
    <t>MM</t>
  </si>
  <si>
    <t>TR土耳其</t>
  </si>
  <si>
    <t>Turkey</t>
  </si>
  <si>
    <t>ISIN NUMBER</t>
  </si>
  <si>
    <t>蒙古</t>
  </si>
  <si>
    <t>MN</t>
  </si>
  <si>
    <t>TT特立尼达和多巴哥</t>
  </si>
  <si>
    <t>Trinidad and Tobago</t>
  </si>
  <si>
    <t>澳门</t>
  </si>
  <si>
    <t>MO</t>
  </si>
  <si>
    <t>TV图瓦卢</t>
  </si>
  <si>
    <t>Tuvalu</t>
  </si>
  <si>
    <t>TW台湾</t>
  </si>
  <si>
    <t>Taiwan</t>
  </si>
  <si>
    <t>毛里塔尼亚</t>
  </si>
  <si>
    <t>MR</t>
  </si>
  <si>
    <t>TZ坦桑尼亚</t>
  </si>
  <si>
    <t>Tanzania</t>
  </si>
  <si>
    <t>UA乌克兰</t>
  </si>
  <si>
    <t>Ukraine</t>
  </si>
  <si>
    <t>马耳他</t>
  </si>
  <si>
    <t>MT</t>
  </si>
  <si>
    <t>UG乌干达</t>
  </si>
  <si>
    <t>Uganda</t>
  </si>
  <si>
    <t>US美国</t>
  </si>
  <si>
    <t>United States of America</t>
  </si>
  <si>
    <t>毛里求斯</t>
  </si>
  <si>
    <t>MU</t>
  </si>
  <si>
    <t>UY乌拉圭</t>
  </si>
  <si>
    <t>Uruguay</t>
  </si>
  <si>
    <t>马尔代夫</t>
  </si>
  <si>
    <t>MV</t>
  </si>
  <si>
    <t>UZ乌兹别克斯坦</t>
  </si>
  <si>
    <t>Uzbekistan</t>
  </si>
  <si>
    <t>GIIN</t>
  </si>
  <si>
    <t>马拉维</t>
  </si>
  <si>
    <t>MW</t>
  </si>
  <si>
    <t>VA梵蒂冈</t>
  </si>
  <si>
    <t>Vatican City State/Holy See</t>
  </si>
  <si>
    <t>RFC</t>
  </si>
  <si>
    <t>墨西哥</t>
  </si>
  <si>
    <t>MX</t>
  </si>
  <si>
    <t>VC圣文森特和格林纳丁斯</t>
  </si>
  <si>
    <t>Saint Vincent and the Grenadines</t>
  </si>
  <si>
    <t>VE委内瑞拉</t>
  </si>
  <si>
    <t>Venezuela</t>
  </si>
  <si>
    <t>马来西亚</t>
  </si>
  <si>
    <t>MY</t>
  </si>
  <si>
    <t>VG英属维尔京群岛</t>
  </si>
  <si>
    <t>Virgin Islands (British)</t>
  </si>
  <si>
    <t>VN越南</t>
  </si>
  <si>
    <t>Vietnam</t>
  </si>
  <si>
    <t>莫桑比克</t>
  </si>
  <si>
    <t>MZ</t>
  </si>
  <si>
    <t>VU瓦努阿图</t>
  </si>
  <si>
    <t>Vanuatu</t>
  </si>
  <si>
    <t>纳米比亚</t>
  </si>
  <si>
    <t>NA</t>
  </si>
  <si>
    <t>WS萨摩亚群岛</t>
  </si>
  <si>
    <t>Samoa</t>
  </si>
  <si>
    <t>尼日尔</t>
  </si>
  <si>
    <t>NE</t>
  </si>
  <si>
    <t>YE也门</t>
  </si>
  <si>
    <t>Yemen </t>
  </si>
  <si>
    <t>ZA南非</t>
  </si>
  <si>
    <t>South Africa</t>
  </si>
  <si>
    <t>RC NUMBER</t>
  </si>
  <si>
    <t>尼日利亚</t>
  </si>
  <si>
    <t>NG</t>
  </si>
  <si>
    <t>ZM赞比亚</t>
  </si>
  <si>
    <t>Zambia</t>
  </si>
  <si>
    <t>,IMO NUMBER</t>
  </si>
  <si>
    <t>ZW津巴布韦</t>
  </si>
  <si>
    <t>Zimbabwe</t>
  </si>
  <si>
    <t>尼加拉瓜</t>
  </si>
  <si>
    <t>NI</t>
  </si>
  <si>
    <t>荷兰</t>
  </si>
  <si>
    <t>NL</t>
  </si>
  <si>
    <t>,COC-NUMBER</t>
  </si>
  <si>
    <t>ORGANIZATION NUMBER</t>
  </si>
  <si>
    <t>挪威</t>
  </si>
  <si>
    <t>NO</t>
  </si>
  <si>
    <t>尼泊尔</t>
  </si>
  <si>
    <t>NP</t>
  </si>
  <si>
    <t>瑙鲁</t>
  </si>
  <si>
    <t>NR</t>
  </si>
  <si>
    <t>新西兰</t>
  </si>
  <si>
    <t>NZ</t>
  </si>
  <si>
    <t>阿曼</t>
  </si>
  <si>
    <t>OM</t>
  </si>
  <si>
    <t>巴拿马</t>
  </si>
  <si>
    <t>PA</t>
  </si>
  <si>
    <t>秘鲁</t>
  </si>
  <si>
    <t>PE</t>
  </si>
  <si>
    <t>巴布亚新几内亚</t>
  </si>
  <si>
    <t>PG</t>
  </si>
  <si>
    <t>SEC REGISTRATION NUMBER</t>
  </si>
  <si>
    <t>菲律宾</t>
  </si>
  <si>
    <t>PH</t>
  </si>
  <si>
    <t>巴基斯坦</t>
  </si>
  <si>
    <t>PK</t>
  </si>
  <si>
    <t>NCR NUMBER</t>
  </si>
  <si>
    <t>波兰</t>
  </si>
  <si>
    <t>PL</t>
  </si>
  <si>
    <t>,REGON NUMBER</t>
  </si>
  <si>
    <t>美利坚合众国(波多黎各)</t>
  </si>
  <si>
    <t>PR</t>
  </si>
  <si>
    <t>巴勒斯坦</t>
  </si>
  <si>
    <t>PS</t>
  </si>
  <si>
    <t>葡萄牙</t>
  </si>
  <si>
    <t>PT</t>
  </si>
  <si>
    <t>帕劳</t>
  </si>
  <si>
    <t>PW</t>
  </si>
  <si>
    <t>巴拉圭</t>
  </si>
  <si>
    <t>PY</t>
  </si>
  <si>
    <t>卡塔尔</t>
  </si>
  <si>
    <t>QA</t>
  </si>
  <si>
    <t>罗马尼亚</t>
  </si>
  <si>
    <t>RO</t>
  </si>
  <si>
    <t>塞尔维亚</t>
  </si>
  <si>
    <t>RS</t>
  </si>
  <si>
    <t>INN</t>
  </si>
  <si>
    <t>俄罗斯联邦</t>
  </si>
  <si>
    <t>RU</t>
  </si>
  <si>
    <t>,OGRN</t>
  </si>
  <si>
    <t>ENTREPRISE CODE</t>
  </si>
  <si>
    <t>卢旺达</t>
  </si>
  <si>
    <t>RW</t>
  </si>
  <si>
    <t>沙特阿拉伯</t>
  </si>
  <si>
    <t>SA</t>
  </si>
  <si>
    <t>所罗门群岛</t>
  </si>
  <si>
    <t>SB</t>
  </si>
  <si>
    <t>塞舌尔</t>
  </si>
  <si>
    <t>SC</t>
  </si>
  <si>
    <t>苏丹</t>
  </si>
  <si>
    <t>SD</t>
  </si>
  <si>
    <t>瑞典</t>
  </si>
  <si>
    <t>SE</t>
  </si>
  <si>
    <t>UEN</t>
  </si>
  <si>
    <t>新加坡</t>
  </si>
  <si>
    <t>SG</t>
  </si>
  <si>
    <t>斯洛文尼亚</t>
  </si>
  <si>
    <t>SI</t>
  </si>
  <si>
    <t>斯洛伐克</t>
  </si>
  <si>
    <t>SK</t>
  </si>
  <si>
    <t>塞拉利昂</t>
  </si>
  <si>
    <t>SL</t>
  </si>
  <si>
    <t>圣马力诺</t>
  </si>
  <si>
    <t>SM</t>
  </si>
  <si>
    <t>CUCI NUMBER</t>
  </si>
  <si>
    <t>塞内加尔</t>
  </si>
  <si>
    <t>SN</t>
  </si>
  <si>
    <t>索马里</t>
  </si>
  <si>
    <t>SO</t>
  </si>
  <si>
    <t>苏里南</t>
  </si>
  <si>
    <t>SR</t>
  </si>
  <si>
    <t>南苏丹</t>
  </si>
  <si>
    <t>SS</t>
  </si>
  <si>
    <t>圣多美和普林西比</t>
  </si>
  <si>
    <t>ST</t>
  </si>
  <si>
    <t>萨尔瓦多</t>
  </si>
  <si>
    <t>SV</t>
  </si>
  <si>
    <t>圣马丁岛</t>
  </si>
  <si>
    <t>SX</t>
  </si>
  <si>
    <t>叙利亚</t>
  </si>
  <si>
    <t>SY</t>
  </si>
  <si>
    <t>斯威士兰</t>
  </si>
  <si>
    <t>SZ</t>
  </si>
  <si>
    <t>乍得</t>
  </si>
  <si>
    <t>TD</t>
  </si>
  <si>
    <t>多哥</t>
  </si>
  <si>
    <t>TG</t>
  </si>
  <si>
    <t>泰国</t>
  </si>
  <si>
    <t>TH</t>
  </si>
  <si>
    <t>塔吉克斯坦</t>
  </si>
  <si>
    <t>TJ</t>
  </si>
  <si>
    <t>东帝汶</t>
  </si>
  <si>
    <t>TL</t>
  </si>
  <si>
    <t>土库曼斯坦</t>
  </si>
  <si>
    <t>TM</t>
  </si>
  <si>
    <t>突尼斯</t>
  </si>
  <si>
    <t>TN</t>
  </si>
  <si>
    <t>汤加</t>
  </si>
  <si>
    <t>TO</t>
  </si>
  <si>
    <t>MERSIS NUMBER</t>
  </si>
  <si>
    <t>土耳其</t>
  </si>
  <si>
    <t>TR</t>
  </si>
  <si>
    <t>特立尼达和多巴哥</t>
  </si>
  <si>
    <t>TT</t>
  </si>
  <si>
    <t>图瓦卢</t>
  </si>
  <si>
    <t>TV</t>
  </si>
  <si>
    <t>UNIFORM INVOICE NUMBER</t>
  </si>
  <si>
    <t>台湾</t>
  </si>
  <si>
    <t>TW</t>
  </si>
  <si>
    <t>坦桑尼亚</t>
  </si>
  <si>
    <t>TZ</t>
  </si>
  <si>
    <t>EDRPOU CODE</t>
  </si>
  <si>
    <t>乌克兰</t>
  </si>
  <si>
    <t>UA</t>
  </si>
  <si>
    <t>乌干达</t>
  </si>
  <si>
    <t>UG</t>
  </si>
  <si>
    <t>EIN</t>
  </si>
  <si>
    <t>美国</t>
  </si>
  <si>
    <t>US</t>
  </si>
  <si>
    <t>乌拉圭</t>
  </si>
  <si>
    <t>UY</t>
  </si>
  <si>
    <t>乌兹别克斯坦</t>
  </si>
  <si>
    <t>UZ</t>
  </si>
  <si>
    <t>梵蒂冈</t>
  </si>
  <si>
    <t>VA</t>
  </si>
  <si>
    <t>圣文森特和格林纳丁斯</t>
  </si>
  <si>
    <t>VC</t>
  </si>
  <si>
    <t>RIF</t>
  </si>
  <si>
    <t>委内瑞拉</t>
  </si>
  <si>
    <t>VE</t>
  </si>
  <si>
    <t>英属维尔京群岛</t>
  </si>
  <si>
    <t>VG</t>
  </si>
  <si>
    <t>越南</t>
  </si>
  <si>
    <t>VN</t>
  </si>
  <si>
    <t>瓦努阿图</t>
  </si>
  <si>
    <t>VU</t>
  </si>
  <si>
    <t>萨摩亚群岛</t>
  </si>
  <si>
    <t>WS</t>
  </si>
  <si>
    <t>也门</t>
  </si>
  <si>
    <t>YE</t>
  </si>
  <si>
    <t>南非</t>
  </si>
  <si>
    <t>ZA</t>
  </si>
  <si>
    <t>,ENTERPRISE NUMBER</t>
  </si>
  <si>
    <t>赞比亚</t>
  </si>
  <si>
    <t>ZM</t>
  </si>
  <si>
    <t>津巴布韦</t>
  </si>
  <si>
    <t>ZW</t>
  </si>
  <si>
    <t>请直接复制表格内的内容，不要填入其他格式。例如您的包装单位为“BULK, LIQUID”，请复制“BULK, LIQUID”，粘贴到舱单表格！</t>
  </si>
  <si>
    <t>包装单位</t>
  </si>
  <si>
    <t>AEROSOL</t>
  </si>
  <si>
    <t>ALUMINIUM BOX W.WATER RESISTANT COATING (4B)</t>
  </si>
  <si>
    <t>ALUMINIUM DRUM-REMOVABLE HEAD (1B2)</t>
  </si>
  <si>
    <t>ALUMINIUM JERRICAN-REMOVABLE HEAD (3B2)</t>
  </si>
  <si>
    <t>AMPOULE, NON-PROTECTED</t>
  </si>
  <si>
    <t>ANGLE CRATE</t>
  </si>
  <si>
    <t>ATOMIZER</t>
  </si>
  <si>
    <t>BAG</t>
  </si>
  <si>
    <t>BALE</t>
  </si>
  <si>
    <t>BALLON, NON-PROTECTED</t>
  </si>
  <si>
    <t>BAR</t>
  </si>
  <si>
    <t>BARREL</t>
  </si>
  <si>
    <t>BARS, IN BUNDLE/BUNCH/TRUSS</t>
  </si>
  <si>
    <t>BASKET</t>
  </si>
  <si>
    <t>BEAM</t>
  </si>
  <si>
    <t>BEER CRATE</t>
  </si>
  <si>
    <t>BIN</t>
  </si>
  <si>
    <t>BOARD, IN BUNDLE/BUNCH/TRUSS</t>
  </si>
  <si>
    <t>BOBBIN</t>
  </si>
  <si>
    <t>BOLT</t>
  </si>
  <si>
    <t>BOTTLE CRATE, BOTTLERACK</t>
  </si>
  <si>
    <t>BOTTLE, NON-PROTECTED, CYL-INDRICA</t>
  </si>
  <si>
    <t>BOTTLE,PROTECTED CYLINDRICA</t>
  </si>
  <si>
    <t>BOX</t>
  </si>
  <si>
    <t>BUCKET</t>
  </si>
  <si>
    <t>BULK, LIQUID</t>
  </si>
  <si>
    <t>BULK, SOLID, FINE PARTICLES("POWDERS")</t>
  </si>
  <si>
    <t>BULK, SOLID, LARGE PARTICLES("NODULES")</t>
  </si>
  <si>
    <t>BULK,GAS(AT 1031 MBAR AND 15/C)</t>
  </si>
  <si>
    <t>BULK,LIQUEFIED GAS(AT ABNORMAL TEMPERATURE/PRESSURE</t>
  </si>
  <si>
    <t>BULK,SOLID, GRANULAR PARTICLES("GRAINS")</t>
  </si>
  <si>
    <t>BUNCH</t>
  </si>
  <si>
    <t>BUNDLE</t>
  </si>
  <si>
    <t>BUTT</t>
  </si>
  <si>
    <t>CAGE</t>
  </si>
  <si>
    <t>CAN, RECTANGULAR</t>
  </si>
  <si>
    <t>CANISTER</t>
  </si>
  <si>
    <t>CANVAS</t>
  </si>
  <si>
    <t>CARBOY, NON-PROTECTE</t>
  </si>
  <si>
    <t>CARCASS</t>
  </si>
  <si>
    <t>CARTON</t>
  </si>
  <si>
    <t>CASE</t>
  </si>
  <si>
    <t>CASK</t>
  </si>
  <si>
    <t>CHEST</t>
  </si>
  <si>
    <t>CHURN</t>
  </si>
  <si>
    <t>COFFER</t>
  </si>
  <si>
    <t>COFFIN</t>
  </si>
  <si>
    <t>COIL</t>
  </si>
  <si>
    <t>COLLAPSIBLE TUBE</t>
  </si>
  <si>
    <t>CONES</t>
  </si>
  <si>
    <t>CONTAINER</t>
  </si>
  <si>
    <t>COVER</t>
  </si>
  <si>
    <t>CRATE</t>
  </si>
  <si>
    <t>CREEL</t>
  </si>
  <si>
    <t>CTN</t>
  </si>
  <si>
    <t>CTNS</t>
  </si>
  <si>
    <t>CUP</t>
  </si>
  <si>
    <t>CYLINDER</t>
  </si>
  <si>
    <t>DEMIJOHN, NON-PROTECTED</t>
  </si>
  <si>
    <t>DIVIDING PARTITION</t>
  </si>
  <si>
    <t>DRUM</t>
  </si>
  <si>
    <t>DRUM CAN</t>
  </si>
  <si>
    <t>ENVELOPE</t>
  </si>
  <si>
    <t>EXPANDED PLASTIC DRUM</t>
  </si>
  <si>
    <t>FELCON BAG</t>
  </si>
  <si>
    <t>FIBRE BOARD DRUM</t>
  </si>
  <si>
    <t>FIBRE BOARD TRAY</t>
  </si>
  <si>
    <t>FIBRE KEG</t>
  </si>
  <si>
    <t>FIBREBOARD BOX</t>
  </si>
  <si>
    <t>FIBREBOARD BOX W.WATER RESISTANT COATING (4G)</t>
  </si>
  <si>
    <t>FILMPACK</t>
  </si>
  <si>
    <t>FIRKIN</t>
  </si>
  <si>
    <t>FLASK</t>
  </si>
  <si>
    <t>FLEXITANK</t>
  </si>
  <si>
    <t>FOOTLOCKER</t>
  </si>
  <si>
    <t>FRAME</t>
  </si>
  <si>
    <t>FRAMED CRATE</t>
  </si>
  <si>
    <t>FRUIT CRATE</t>
  </si>
  <si>
    <t>GAS BOTTLE</t>
  </si>
  <si>
    <t>GAS RECEPTACLE</t>
  </si>
  <si>
    <t>GIRDER</t>
  </si>
  <si>
    <t>GIRDERS,IN BUNDLE/BUNCH/TRUSS</t>
  </si>
  <si>
    <t>GLASS BOTTLE</t>
  </si>
  <si>
    <t>GLASS PACKAGING</t>
  </si>
  <si>
    <t>GLASS RECEPTACLE</t>
  </si>
  <si>
    <t>GUNNY BAG</t>
  </si>
  <si>
    <t>GUNNY BALE</t>
  </si>
  <si>
    <t>HAMPER</t>
  </si>
  <si>
    <t>HEAVYDUTY MULTIWALL FIBRE BOARD</t>
  </si>
  <si>
    <t>HEAVYDUTY MULTIWALL PLYWOOD BOX</t>
  </si>
  <si>
    <t>HESSIAN BUNDLE</t>
  </si>
  <si>
    <t>HOGSHEAD</t>
  </si>
  <si>
    <t>IBC</t>
  </si>
  <si>
    <t>INGOT</t>
  </si>
  <si>
    <t>INGOTS,IN BUNDLE/BUNCH/TRUSS</t>
  </si>
  <si>
    <t>INTERMEDIATE BULK CONTAINER</t>
  </si>
  <si>
    <t>IRON DRUM</t>
  </si>
  <si>
    <t>ISO CONTAINER</t>
  </si>
  <si>
    <t>ISO TANK</t>
  </si>
  <si>
    <t>JAR</t>
  </si>
  <si>
    <t>JERRICAN, RECTANGULAR</t>
  </si>
  <si>
    <t>JUG</t>
  </si>
  <si>
    <t>JUMBO BAG</t>
  </si>
  <si>
    <t>JUTEBAG</t>
  </si>
  <si>
    <t>KEG</t>
  </si>
  <si>
    <t>KIT</t>
  </si>
  <si>
    <t>KRAFT BAG</t>
  </si>
  <si>
    <t>LIFT VAN</t>
  </si>
  <si>
    <t>LOG</t>
  </si>
  <si>
    <t>LOGS,IN BUNDLE/BUNCH/TRUSS</t>
  </si>
  <si>
    <t>LOOSE</t>
  </si>
  <si>
    <t>MAT</t>
  </si>
  <si>
    <t>MATCH BOX</t>
  </si>
  <si>
    <t>METAL DRUM</t>
  </si>
  <si>
    <t>METAL JERRICAN</t>
  </si>
  <si>
    <t>MILK CRATE</t>
  </si>
  <si>
    <t>MULTI ELEMENT GAS CONTAINER</t>
  </si>
  <si>
    <t>MULTIPLY BAG</t>
  </si>
  <si>
    <t>MULTIWALL</t>
  </si>
  <si>
    <t>MULTIWALL SACK</t>
  </si>
  <si>
    <t>NATURAL WOOD BOX</t>
  </si>
  <si>
    <t>NATURAL WOOD BOX W.SIFT PROOF WALL (4C2)</t>
  </si>
  <si>
    <t>NEST</t>
  </si>
  <si>
    <t>NET</t>
  </si>
  <si>
    <t>NYLON BAG</t>
  </si>
  <si>
    <t>PACKAGE</t>
  </si>
  <si>
    <t>PACKED</t>
  </si>
  <si>
    <t>PACKET</t>
  </si>
  <si>
    <t>PAIL</t>
  </si>
  <si>
    <t>PAIR</t>
  </si>
  <si>
    <t>PALLET</t>
  </si>
  <si>
    <t>PALLET BOX</t>
  </si>
  <si>
    <t>PAPER BAG</t>
  </si>
  <si>
    <t>PAPER PACKAGING</t>
  </si>
  <si>
    <t>PAPER PALLET</t>
  </si>
  <si>
    <t>PARCEL</t>
  </si>
  <si>
    <t>PIECES</t>
  </si>
  <si>
    <t>PIPE</t>
  </si>
  <si>
    <t>PITCHER</t>
  </si>
  <si>
    <t>PKG</t>
  </si>
  <si>
    <t>PKGS</t>
  </si>
  <si>
    <t>PLANK</t>
  </si>
  <si>
    <t>PLANKS, IN BUNDLE/BUNCH/TRUSS</t>
  </si>
  <si>
    <t>PLASTIC BOTTLE</t>
  </si>
  <si>
    <t>PLASTIC BOX</t>
  </si>
  <si>
    <t>PLASTIC DRUM</t>
  </si>
  <si>
    <t>PLASTIC FILM BAG</t>
  </si>
  <si>
    <t>PLASTIC JERRICAN</t>
  </si>
  <si>
    <t>PLATE</t>
  </si>
  <si>
    <t>PLATES, IN BUNDLE/BUNCH/TRUSS</t>
  </si>
  <si>
    <t>PLYWOOD BOX</t>
  </si>
  <si>
    <t>POLYBAG</t>
  </si>
  <si>
    <t>PORCELAIN BOTTLE</t>
  </si>
  <si>
    <t>POT</t>
  </si>
  <si>
    <t>POUCH</t>
  </si>
  <si>
    <t>RACK</t>
  </si>
  <si>
    <t>RECONSTITUTED WOOD BOX</t>
  </si>
  <si>
    <t>REDNET</t>
  </si>
  <si>
    <t>REEL</t>
  </si>
  <si>
    <t>RING</t>
  </si>
  <si>
    <t>ROD</t>
  </si>
  <si>
    <t>RODS, IN BUNDLE/BUNCH/TRUSS</t>
  </si>
  <si>
    <t>ROLL</t>
  </si>
  <si>
    <t>RUBBER BAG-CONDUCTIVE</t>
  </si>
  <si>
    <t>RUBBER RECEPTACLE-CONDUCTIVE</t>
  </si>
  <si>
    <t>RUSH MATTING</t>
  </si>
  <si>
    <t>SACHET</t>
  </si>
  <si>
    <t>SACK</t>
  </si>
  <si>
    <t>SEA CHEST</t>
  </si>
  <si>
    <t>SEA-CHEST</t>
  </si>
  <si>
    <t>SET</t>
  </si>
  <si>
    <t>SHALLOW CRATE</t>
  </si>
  <si>
    <t>SHEET</t>
  </si>
  <si>
    <t>SHEETMETAL</t>
  </si>
  <si>
    <t>SHEETS, IN BUNDLE/BUNCH/TRUSS</t>
  </si>
  <si>
    <t>SHRINK PACK</t>
  </si>
  <si>
    <t>SHRINK-WRAPPED ON PALLET</t>
  </si>
  <si>
    <t>SHRINKWRAPPED</t>
  </si>
  <si>
    <t>SKELETON CASE</t>
  </si>
  <si>
    <t>SKID</t>
  </si>
  <si>
    <t>SKID CASE</t>
  </si>
  <si>
    <t>SLIPSHEET</t>
  </si>
  <si>
    <t>SOLID PLASTIC BOX</t>
  </si>
  <si>
    <t>SOLID PLASTIC DRUM</t>
  </si>
  <si>
    <t>SPINDLE</t>
  </si>
  <si>
    <t>STEEL BOX</t>
  </si>
  <si>
    <t>STEEL CONTAINER</t>
  </si>
  <si>
    <t>STEEL ENVELOPE</t>
  </si>
  <si>
    <t>STEEL JERRICAN-REMOVABLE HEAD (3A2)</t>
  </si>
  <si>
    <t>STONEWARE BOTTLE</t>
  </si>
  <si>
    <t>STRAPPED ON PALLET</t>
  </si>
  <si>
    <t>STRETCH-WRAPPED ON PALLET</t>
  </si>
  <si>
    <t>STRETCH-WRAPPED UNIT LOAD</t>
  </si>
  <si>
    <t>SUITCASE</t>
  </si>
  <si>
    <t>TANK</t>
  </si>
  <si>
    <t>TANK CONTAINER</t>
  </si>
  <si>
    <t>TANK, RECTANGULAR</t>
  </si>
  <si>
    <t>TEA BOX</t>
  </si>
  <si>
    <t>TEA-CHEST</t>
  </si>
  <si>
    <t>TEXTILE WATER-RESISTANT BAG</t>
  </si>
  <si>
    <t>TOTE BIN</t>
  </si>
  <si>
    <t>TRAY</t>
  </si>
  <si>
    <t>TRIWALL</t>
  </si>
  <si>
    <t>TRUNK</t>
  </si>
  <si>
    <t>TRUSS</t>
  </si>
  <si>
    <t>TUB</t>
  </si>
  <si>
    <t>TUBE</t>
  </si>
  <si>
    <t>TUBES, IN BUNDLE/BUNCH/TRUSS</t>
  </si>
  <si>
    <t>TUN</t>
  </si>
  <si>
    <t>UN TANK</t>
  </si>
  <si>
    <t>UNIT</t>
  </si>
  <si>
    <t>UNIT LOAD DEVICE</t>
  </si>
  <si>
    <t>UNPACKED</t>
  </si>
  <si>
    <t>UNPACKED OR UNPACKAGED</t>
  </si>
  <si>
    <t>VACUUMPACKED</t>
  </si>
  <si>
    <t>VAN</t>
  </si>
  <si>
    <t>VAN CASE</t>
  </si>
  <si>
    <t>VAT</t>
  </si>
  <si>
    <t>VEHICLE</t>
  </si>
  <si>
    <t>VIAL</t>
  </si>
  <si>
    <t>WICKER- WORK HAMPER</t>
  </si>
  <si>
    <t>WICKERBOTTLE</t>
  </si>
  <si>
    <t>WIRE CONTAINER</t>
  </si>
  <si>
    <t>WOOD DIVIDING PARTITION</t>
  </si>
  <si>
    <t>WOOD RECEPTACLE</t>
  </si>
  <si>
    <t>WOOD TRAY W.DIVIDING PARTITION</t>
  </si>
  <si>
    <t>WOODEN BARREL</t>
  </si>
  <si>
    <t>WOODEN BOX</t>
  </si>
  <si>
    <t>WOODEN BUCKET</t>
  </si>
  <si>
    <t>WOODEN CASE</t>
  </si>
  <si>
    <t>WOODEN CONTAINER</t>
  </si>
  <si>
    <t>WOODEN CRATE</t>
  </si>
  <si>
    <t>WOODEN KEG</t>
  </si>
  <si>
    <t>WOODEN ROLL</t>
  </si>
  <si>
    <t>WOVEN BAG</t>
  </si>
  <si>
    <t>WOVEN PLASTIC BAG</t>
  </si>
  <si>
    <t>WOVEN PLASTICS BAG</t>
  </si>
  <si>
    <t>箱型尺寸</t>
  </si>
  <si>
    <t>Description</t>
  </si>
  <si>
    <t>20FL</t>
  </si>
  <si>
    <t>20' FLATRACK - W/FOLD ENDS</t>
  </si>
  <si>
    <t>20' X 8'6 GENERAL PURPOSE</t>
  </si>
  <si>
    <t>20HG</t>
  </si>
  <si>
    <t>20' GP WITH HANGER BAR</t>
  </si>
  <si>
    <t>20' X9'6 GENERAL PURPOSE</t>
  </si>
  <si>
    <t>20' OT W/REMOVE TOP MEMBER</t>
  </si>
  <si>
    <t>20' REEFER</t>
  </si>
  <si>
    <t>20' TANK</t>
  </si>
  <si>
    <t>40FL</t>
  </si>
  <si>
    <t>40' FL W/TUNNEL &amp; FOLD ENDS</t>
  </si>
  <si>
    <t>40FQ</t>
  </si>
  <si>
    <t>40' FLAT RACK HIGH CUBE</t>
  </si>
  <si>
    <t>40 X 8'6 GENERAL PURPOSE</t>
  </si>
  <si>
    <t>40HG</t>
  </si>
  <si>
    <t>40' GENERAL PURPOSE WITH HANGE</t>
  </si>
  <si>
    <t>40 X 9'6 , VENT&lt;25CM2</t>
  </si>
  <si>
    <t>40OQ</t>
  </si>
  <si>
    <t>40' OPEN TOP HIGH CUBE</t>
  </si>
  <si>
    <t>40' OT W/REMOVE TOP MEMBER</t>
  </si>
  <si>
    <t>40RQ</t>
  </si>
  <si>
    <t>40 HQ REEFER - 9'6</t>
  </si>
  <si>
    <t>40SR</t>
  </si>
  <si>
    <t>40' SUPER FLAT RACK</t>
  </si>
  <si>
    <t>40' TANK</t>
  </si>
  <si>
    <t>45' GP W/TUNNEL VENT SECTION&lt;2</t>
  </si>
  <si>
    <t>five_code</t>
  </si>
  <si>
    <t>port_name</t>
  </si>
  <si>
    <t>卸货港</t>
  </si>
  <si>
    <t>DKAAL</t>
  </si>
  <si>
    <t>AALBORG</t>
  </si>
  <si>
    <t>DKAAR</t>
  </si>
  <si>
    <t>ARHUS</t>
  </si>
  <si>
    <t>GBABD</t>
  </si>
  <si>
    <t>ABERDEEN GB</t>
  </si>
  <si>
    <t>CIABJ</t>
  </si>
  <si>
    <t>ABIDJAN</t>
  </si>
  <si>
    <t>AEAUH</t>
  </si>
  <si>
    <t>ABU DHABI</t>
  </si>
  <si>
    <t>JPNIC</t>
  </si>
  <si>
    <t>NICHINAN</t>
  </si>
  <si>
    <t>AUADL</t>
  </si>
  <si>
    <t>ADELAIDE</t>
  </si>
  <si>
    <t>SEAHU</t>
  </si>
  <si>
    <t>AHUS</t>
  </si>
  <si>
    <t>AEAJM</t>
  </si>
  <si>
    <t>AJMAN</t>
  </si>
  <si>
    <t>JPAXT</t>
  </si>
  <si>
    <t>AKITA</t>
  </si>
  <si>
    <t>NOAES</t>
  </si>
  <si>
    <t>ALESUND</t>
  </si>
  <si>
    <t>EGALY</t>
  </si>
  <si>
    <t>EL ISKANDARIYA = AL</t>
  </si>
  <si>
    <t>ESALG</t>
  </si>
  <si>
    <t>ALGECIRAS</t>
  </si>
  <si>
    <t>DZALG</t>
  </si>
  <si>
    <t>ALGER</t>
  </si>
  <si>
    <t>MXATM</t>
  </si>
  <si>
    <t>ALTAMIRA MX</t>
  </si>
  <si>
    <t>NLAMS</t>
  </si>
  <si>
    <t>AMSTERDAM</t>
  </si>
  <si>
    <t>CNAQG</t>
  </si>
  <si>
    <t>ANQING</t>
  </si>
  <si>
    <t>CLANF</t>
  </si>
  <si>
    <t>ANTOFAGASTA</t>
  </si>
  <si>
    <t>BEANR</t>
  </si>
  <si>
    <t>ANTWERP</t>
  </si>
  <si>
    <t>NGAPP</t>
  </si>
  <si>
    <t>APAPA</t>
  </si>
  <si>
    <t>CLARI</t>
  </si>
  <si>
    <t>ARICA</t>
  </si>
  <si>
    <t>IRASA</t>
  </si>
  <si>
    <t>ASALOUYEH PARS PETROCHEMICAL PORT</t>
  </si>
  <si>
    <t>ILASH</t>
  </si>
  <si>
    <t>ASHDOD</t>
  </si>
  <si>
    <t>NZAKL</t>
  </si>
  <si>
    <t>AUCKLAND</t>
  </si>
  <si>
    <t>GBAVO</t>
  </si>
  <si>
    <t>AVONMOUTH</t>
  </si>
  <si>
    <t>PABLB</t>
  </si>
  <si>
    <t>BALBOA</t>
  </si>
  <si>
    <t>IDBPN</t>
  </si>
  <si>
    <t>BALIKPAPAN</t>
  </si>
  <si>
    <t>USBAL</t>
  </si>
  <si>
    <t>BALTIMORE US</t>
  </si>
  <si>
    <t>THBKK</t>
  </si>
  <si>
    <t>BANGKOK</t>
  </si>
  <si>
    <t>IDBDJ</t>
  </si>
  <si>
    <t>BANJARMASIN</t>
  </si>
  <si>
    <t>ESBCN</t>
  </si>
  <si>
    <t>BARCELONA</t>
  </si>
  <si>
    <t>COBAQ</t>
  </si>
  <si>
    <t>BARRANQUILLA</t>
  </si>
  <si>
    <t>PHBTG</t>
  </si>
  <si>
    <t>BATANGAS</t>
  </si>
  <si>
    <t>IDBUR</t>
  </si>
  <si>
    <t>BATU AMPAR</t>
  </si>
  <si>
    <t>MYBAT</t>
  </si>
  <si>
    <t>BATU PAHAT</t>
  </si>
  <si>
    <t>CNBHY</t>
  </si>
  <si>
    <t>BEIHAI</t>
  </si>
  <si>
    <t>IDBLW</t>
  </si>
  <si>
    <t>BELAWAN</t>
  </si>
  <si>
    <t>GBBEL</t>
  </si>
  <si>
    <t>BELFAST GB</t>
  </si>
  <si>
    <t>AUBEL</t>
  </si>
  <si>
    <t>BELL BAY</t>
  </si>
  <si>
    <t>IDBOA</t>
  </si>
  <si>
    <t>BENOA</t>
  </si>
  <si>
    <t>NOBGO</t>
  </si>
  <si>
    <t>BERGEN</t>
  </si>
  <si>
    <t>ESBIO</t>
  </si>
  <si>
    <t>BILBAO</t>
  </si>
  <si>
    <t>MYBTU</t>
  </si>
  <si>
    <t>BINTULU</t>
  </si>
  <si>
    <t>IDBIT</t>
  </si>
  <si>
    <t>BITUNG</t>
  </si>
  <si>
    <t>GBBLY</t>
  </si>
  <si>
    <t>BLYTH</t>
  </si>
  <si>
    <t>THSPR</t>
  </si>
  <si>
    <t>SAMUT PRAKARN</t>
  </si>
  <si>
    <t>FRBOD</t>
  </si>
  <si>
    <t>BORDEAUX</t>
  </si>
  <si>
    <t>TRIST</t>
  </si>
  <si>
    <t>ISTANBUL</t>
  </si>
  <si>
    <t>USBOS</t>
  </si>
  <si>
    <t>BOSTON US</t>
  </si>
  <si>
    <t>DEBRE</t>
  </si>
  <si>
    <t>BREMEN</t>
  </si>
  <si>
    <t>DEBRV</t>
  </si>
  <si>
    <t>BREMERHAVEN</t>
  </si>
  <si>
    <t>NOBVK</t>
  </si>
  <si>
    <t>BREVIK</t>
  </si>
  <si>
    <t>AUBNE</t>
  </si>
  <si>
    <t>BRISBANE</t>
  </si>
  <si>
    <t>IDBUN</t>
  </si>
  <si>
    <t>BUATAN</t>
  </si>
  <si>
    <t>COBUN</t>
  </si>
  <si>
    <t>BUENAVENTURA</t>
  </si>
  <si>
    <t>ARBUE</t>
  </si>
  <si>
    <t>BUENOS AIRES</t>
  </si>
  <si>
    <t>AUBWT</t>
  </si>
  <si>
    <t>BURNIE</t>
  </si>
  <si>
    <t>KRPUS</t>
  </si>
  <si>
    <t>BUSAN</t>
  </si>
  <si>
    <t>IRBUZ</t>
  </si>
  <si>
    <t>BUSHEHR</t>
  </si>
  <si>
    <t>PHCGY</t>
  </si>
  <si>
    <t>CAGAYAN DE ORO</t>
  </si>
  <si>
    <t>ITCAG</t>
  </si>
  <si>
    <t>CAGLIARI</t>
  </si>
  <si>
    <t>VNVUT</t>
  </si>
  <si>
    <t>VUNG TAU</t>
  </si>
  <si>
    <t>INCCU</t>
  </si>
  <si>
    <t>CALCUTTA</t>
  </si>
  <si>
    <t>PECLL</t>
  </si>
  <si>
    <t>CALLAO</t>
  </si>
  <si>
    <t>VNVCA</t>
  </si>
  <si>
    <t>CAN THO</t>
  </si>
  <si>
    <t>ZACPT</t>
  </si>
  <si>
    <t>CAPE TOWN</t>
  </si>
  <si>
    <t>COCTG</t>
  </si>
  <si>
    <t>CARTAGENA CO</t>
  </si>
  <si>
    <t>MACAS</t>
  </si>
  <si>
    <t>CASABLANCA</t>
  </si>
  <si>
    <t>PHCEB</t>
  </si>
  <si>
    <t>CEBU</t>
  </si>
  <si>
    <t>CNCDE</t>
  </si>
  <si>
    <t>CHANGDE</t>
  </si>
  <si>
    <t>CNCSX</t>
  </si>
  <si>
    <t>CHANGSHA</t>
  </si>
  <si>
    <t>CNCGS</t>
  </si>
  <si>
    <t>CHENGHAI</t>
  </si>
  <si>
    <t>CNCZX</t>
  </si>
  <si>
    <t>CHANGZHOU</t>
  </si>
  <si>
    <t>USCHS</t>
  </si>
  <si>
    <t>CHARLESTON US</t>
  </si>
  <si>
    <t>INMAA</t>
  </si>
  <si>
    <t>CHENNAI</t>
  </si>
  <si>
    <t>JPCHB</t>
  </si>
  <si>
    <t>CHIBA</t>
  </si>
  <si>
    <t>BDCGP</t>
  </si>
  <si>
    <t>CHITTAGONG</t>
  </si>
  <si>
    <t>CNCWN</t>
  </si>
  <si>
    <t>CHIWAN</t>
  </si>
  <si>
    <t>CNCKG</t>
  </si>
  <si>
    <t>CHONGQING</t>
  </si>
  <si>
    <t>NZCHC</t>
  </si>
  <si>
    <t>CHRISTCHURCH</t>
  </si>
  <si>
    <t>INCOK</t>
  </si>
  <si>
    <t>COCHIN</t>
  </si>
  <si>
    <t>LKCMB</t>
  </si>
  <si>
    <t>COLOMBO</t>
  </si>
  <si>
    <t>PAONX</t>
  </si>
  <si>
    <t>COLON</t>
  </si>
  <si>
    <t>ROCND</t>
  </si>
  <si>
    <t>CONSTANTA</t>
  </si>
  <si>
    <t>DKCPH</t>
  </si>
  <si>
    <t>COPENHAGEN</t>
  </si>
  <si>
    <t>USCDV</t>
  </si>
  <si>
    <t>CORDOVA</t>
  </si>
  <si>
    <t>IEORK</t>
  </si>
  <si>
    <t>CORK</t>
  </si>
  <si>
    <t>CACBK</t>
  </si>
  <si>
    <t>COMER BROOK</t>
  </si>
  <si>
    <t>CNDCB</t>
  </si>
  <si>
    <t>DA CHAN BAY</t>
  </si>
  <si>
    <t>CNDFG</t>
  </si>
  <si>
    <t>DAFENG</t>
  </si>
  <si>
    <t>CNDFE</t>
  </si>
  <si>
    <t>CNDLC</t>
  </si>
  <si>
    <t>DALIAN</t>
  </si>
  <si>
    <t>EGDAM</t>
  </si>
  <si>
    <t>DAMIETTA</t>
  </si>
  <si>
    <t>SADMM</t>
  </si>
  <si>
    <t>DAMMAN</t>
  </si>
  <si>
    <t>VNDAD</t>
  </si>
  <si>
    <t>DA-NANG</t>
  </si>
  <si>
    <t>CNDDG</t>
  </si>
  <si>
    <t>DANDONG</t>
  </si>
  <si>
    <t>TZDAR</t>
  </si>
  <si>
    <t>DAR ES SALAAM</t>
  </si>
  <si>
    <t>AUDRW</t>
  </si>
  <si>
    <t>DARWIN</t>
  </si>
  <si>
    <t>PHDVO</t>
  </si>
  <si>
    <t>DAVAO</t>
  </si>
  <si>
    <t>NLDZL</t>
  </si>
  <si>
    <t>DELFZYL</t>
  </si>
  <si>
    <t>AUDPO</t>
  </si>
  <si>
    <t>DEVONPORT</t>
  </si>
  <si>
    <t>VNHPH</t>
  </si>
  <si>
    <t>HAIPHONG</t>
  </si>
  <si>
    <t>DJJIB</t>
  </si>
  <si>
    <t>DJIBOUTI</t>
  </si>
  <si>
    <t>QADOH</t>
  </si>
  <si>
    <t>DOHA</t>
  </si>
  <si>
    <t>CNDGG</t>
  </si>
  <si>
    <t>DONGGUAN</t>
  </si>
  <si>
    <t>GBDGL</t>
  </si>
  <si>
    <t>DOUGLAS IOM</t>
  </si>
  <si>
    <t>IEDRO</t>
  </si>
  <si>
    <t>DROGHEDA</t>
  </si>
  <si>
    <t>AEDXB</t>
  </si>
  <si>
    <t>DUBAI</t>
  </si>
  <si>
    <t>IEDUB</t>
  </si>
  <si>
    <t>DUBLIN</t>
  </si>
  <si>
    <t>DEDUI</t>
  </si>
  <si>
    <t>DUISBURG</t>
  </si>
  <si>
    <t>FRDKK</t>
  </si>
  <si>
    <t>DUNKIRK</t>
  </si>
  <si>
    <t>ZADUR</t>
  </si>
  <si>
    <t>DURBAN</t>
  </si>
  <si>
    <t>DEDUS</t>
  </si>
  <si>
    <t>DUSSELDORF</t>
  </si>
  <si>
    <t>USDUT</t>
  </si>
  <si>
    <t>DUTCH HARBOUR</t>
  </si>
  <si>
    <t>EGEDK</t>
  </si>
  <si>
    <t>EL DEKHEILA</t>
  </si>
  <si>
    <t>GBELL</t>
  </si>
  <si>
    <t>ELLESMERE PORT</t>
  </si>
  <si>
    <t>DEELS</t>
  </si>
  <si>
    <t>ELSFLETH</t>
  </si>
  <si>
    <t>DEEMM</t>
  </si>
  <si>
    <t>EMMERICH</t>
  </si>
  <si>
    <t>CNENP</t>
  </si>
  <si>
    <t>ENPING</t>
  </si>
  <si>
    <t>MXESE</t>
  </si>
  <si>
    <t>ENSENADA</t>
  </si>
  <si>
    <t>DKEBJ</t>
  </si>
  <si>
    <t>ESBJERG</t>
  </si>
  <si>
    <t>CNFAN</t>
  </si>
  <si>
    <t>FANGCHENG</t>
  </si>
  <si>
    <t>GBFXT</t>
  </si>
  <si>
    <t>FELIXSTOWE</t>
  </si>
  <si>
    <t>NOFRO</t>
  </si>
  <si>
    <t>FLORO</t>
  </si>
  <si>
    <t>FRFOS</t>
  </si>
  <si>
    <t>FOS</t>
  </si>
  <si>
    <t>CNFOS</t>
  </si>
  <si>
    <t>FOSHAN</t>
  </si>
  <si>
    <t>DKFRC</t>
  </si>
  <si>
    <t>FREDERICIA</t>
  </si>
  <si>
    <t>NOFRK</t>
  </si>
  <si>
    <t>FREDRIKSTAD</t>
  </si>
  <si>
    <t>AUFRE</t>
  </si>
  <si>
    <t>FREMANTLE</t>
  </si>
  <si>
    <t>JPFKY</t>
  </si>
  <si>
    <t>FUKUYAMA</t>
  </si>
  <si>
    <t>CNFUG</t>
  </si>
  <si>
    <t>FUQING</t>
  </si>
  <si>
    <t>CNFUN</t>
  </si>
  <si>
    <t>FUYANG</t>
  </si>
  <si>
    <t>CNFNG</t>
  </si>
  <si>
    <t>FUYONG</t>
  </si>
  <si>
    <t>CNFOC</t>
  </si>
  <si>
    <t>FUZHOU</t>
  </si>
  <si>
    <t>CNGAY</t>
  </si>
  <si>
    <t>GAOYAO</t>
  </si>
  <si>
    <t>SEGVX</t>
  </si>
  <si>
    <t>GAVLE</t>
  </si>
  <si>
    <t>PLGDN</t>
  </si>
  <si>
    <t>GDANSK</t>
  </si>
  <si>
    <t>PLGDY</t>
  </si>
  <si>
    <t>GDYNIA</t>
  </si>
  <si>
    <t>TRGEB</t>
  </si>
  <si>
    <t>GEBZE</t>
  </si>
  <si>
    <t>PHGES</t>
  </si>
  <si>
    <t>GENERAL SANTOS</t>
  </si>
  <si>
    <t>BEGNK</t>
  </si>
  <si>
    <t>GENK</t>
  </si>
  <si>
    <t>ITGOA</t>
  </si>
  <si>
    <t>GENOVA</t>
  </si>
  <si>
    <t>GIGIB</t>
  </si>
  <si>
    <t>GIBRALTAR</t>
  </si>
  <si>
    <t>ITGIT</t>
  </si>
  <si>
    <t>GIOIA TAURO</t>
  </si>
  <si>
    <t>SEGOT</t>
  </si>
  <si>
    <t>GOTHENBURG</t>
  </si>
  <si>
    <t>GBGRG</t>
  </si>
  <si>
    <t>GRANGEMOUTH</t>
  </si>
  <si>
    <t>GBGRK</t>
  </si>
  <si>
    <t>GREENOCK</t>
  </si>
  <si>
    <t>GBGSY</t>
  </si>
  <si>
    <t>GRIMSBY</t>
  </si>
  <si>
    <t>MXGDL</t>
  </si>
  <si>
    <t>GUADALAJARA</t>
  </si>
  <si>
    <t>GUAPR</t>
  </si>
  <si>
    <t>APRA</t>
  </si>
  <si>
    <t>CNCAN</t>
  </si>
  <si>
    <t>GUANGZHOU</t>
  </si>
  <si>
    <t>ECGYE</t>
  </si>
  <si>
    <t>GUAYAQUIL</t>
  </si>
  <si>
    <t>CNGUG</t>
  </si>
  <si>
    <t>GUIGANG</t>
  </si>
  <si>
    <t>JPHHE</t>
  </si>
  <si>
    <t>HACHINOHE</t>
  </si>
  <si>
    <t>ILHFA</t>
  </si>
  <si>
    <t>HAIFA</t>
  </si>
  <si>
    <t>CNHAK</t>
  </si>
  <si>
    <t>HAIKOU</t>
  </si>
  <si>
    <t>CNHME</t>
  </si>
  <si>
    <t>HAIMEN</t>
  </si>
  <si>
    <t>JPHKT</t>
  </si>
  <si>
    <t>HAKATA</t>
  </si>
  <si>
    <t>NOHAL</t>
  </si>
  <si>
    <t>HALDEN</t>
  </si>
  <si>
    <t>INHAL</t>
  </si>
  <si>
    <t>HALDIA</t>
  </si>
  <si>
    <t>CAHAL</t>
  </si>
  <si>
    <t>HALIFAX</t>
  </si>
  <si>
    <t>SEHAD</t>
  </si>
  <si>
    <t>HALMSTAD</t>
  </si>
  <si>
    <t>QAWAK</t>
  </si>
  <si>
    <t>HAMAD PORT</t>
  </si>
  <si>
    <t>DEHAM</t>
  </si>
  <si>
    <t>HAMBURG</t>
  </si>
  <si>
    <t>BMBDA</t>
  </si>
  <si>
    <t>HAMILTON BM</t>
  </si>
  <si>
    <t>FIHMN</t>
  </si>
  <si>
    <t>HAMINA</t>
  </si>
  <si>
    <t>FIHKO</t>
  </si>
  <si>
    <t>HANKO</t>
  </si>
  <si>
    <t>GBHRW</t>
  </si>
  <si>
    <t>HARWICH</t>
  </si>
  <si>
    <t>NOHAU</t>
  </si>
  <si>
    <t>HAUGESUND</t>
  </si>
  <si>
    <t>INHZA</t>
  </si>
  <si>
    <t>HAZIRA</t>
  </si>
  <si>
    <t>CNHFE</t>
  </si>
  <si>
    <t>HEFEI</t>
  </si>
  <si>
    <t>SEHEL</t>
  </si>
  <si>
    <t>HELSINGBORG</t>
  </si>
  <si>
    <t>FIHEL</t>
  </si>
  <si>
    <t>HELSINKI</t>
  </si>
  <si>
    <t>NOHRY</t>
  </si>
  <si>
    <t>HEROYA</t>
  </si>
  <si>
    <t>CNHSN</t>
  </si>
  <si>
    <t>HESHAN</t>
  </si>
  <si>
    <t>JPKKJ</t>
  </si>
  <si>
    <t>KITAKYUSHU</t>
  </si>
  <si>
    <t>VNSGN</t>
  </si>
  <si>
    <t>HO CHI MINH CITY</t>
  </si>
  <si>
    <t>JPHIJ</t>
  </si>
  <si>
    <t>HIROSHIMA</t>
  </si>
  <si>
    <t>JPHTC</t>
  </si>
  <si>
    <t>HITACHI</t>
  </si>
  <si>
    <t>HKHKG</t>
  </si>
  <si>
    <t>HONG KONG</t>
  </si>
  <si>
    <t>USHNL</t>
  </si>
  <si>
    <t>HONOLULU</t>
  </si>
  <si>
    <t>JPHYU</t>
  </si>
  <si>
    <t>HOSOSHIMA</t>
  </si>
  <si>
    <t>USHOU</t>
  </si>
  <si>
    <t>HOUSTON</t>
  </si>
  <si>
    <t>CNHUA</t>
  </si>
  <si>
    <t>HUANGPU</t>
  </si>
  <si>
    <t>CNHSI</t>
  </si>
  <si>
    <t>HUANGSHI</t>
  </si>
  <si>
    <t>CNHUI</t>
  </si>
  <si>
    <t>HUIZHOU</t>
  </si>
  <si>
    <t>GBHUL</t>
  </si>
  <si>
    <t>HULL</t>
  </si>
  <si>
    <t>CNHMN</t>
  </si>
  <si>
    <t>HUMEN</t>
  </si>
  <si>
    <t>NOIKR</t>
  </si>
  <si>
    <t>IKORNNES</t>
  </si>
  <si>
    <t>UAILK</t>
  </si>
  <si>
    <t>CHORNOMORSK</t>
  </si>
  <si>
    <t>PHILO</t>
  </si>
  <si>
    <t>ILOILO</t>
  </si>
  <si>
    <t>JPIMB</t>
  </si>
  <si>
    <t>IMABARI</t>
  </si>
  <si>
    <t>IRMRX</t>
  </si>
  <si>
    <t>BANDAR MAHSHAHR</t>
  </si>
  <si>
    <t>JPIMI</t>
  </si>
  <si>
    <t>IMARI</t>
  </si>
  <si>
    <t>GBIMM</t>
  </si>
  <si>
    <t>IMMINGHAM</t>
  </si>
  <si>
    <t>KRINC</t>
  </si>
  <si>
    <t>INCHON</t>
  </si>
  <si>
    <t>IRBND</t>
  </si>
  <si>
    <t>BANDAR ABBAS</t>
  </si>
  <si>
    <t>JPISG</t>
  </si>
  <si>
    <t>ISHIGAKI</t>
  </si>
  <si>
    <t>BRIGI</t>
  </si>
  <si>
    <t>ITAGUAI</t>
  </si>
  <si>
    <t>BRITJ</t>
  </si>
  <si>
    <t>ITAJAI</t>
  </si>
  <si>
    <t>BRIOA</t>
  </si>
  <si>
    <t>ITAPOA</t>
  </si>
  <si>
    <t>JPIWK</t>
  </si>
  <si>
    <t>IWAKUNI</t>
  </si>
  <si>
    <t>JPIYM</t>
  </si>
  <si>
    <t>IYO MISHIMA</t>
  </si>
  <si>
    <t>TRIZM</t>
  </si>
  <si>
    <t>IZMIR</t>
  </si>
  <si>
    <t>TRIZT</t>
  </si>
  <si>
    <t>IZMIT</t>
  </si>
  <si>
    <t>USJAX</t>
  </si>
  <si>
    <t>JACKSONVILLE</t>
  </si>
  <si>
    <t>IDJKT</t>
  </si>
  <si>
    <t>JAKARTA</t>
  </si>
  <si>
    <t>IDDJB</t>
  </si>
  <si>
    <t>JAMBI</t>
  </si>
  <si>
    <t>AEJEA</t>
  </si>
  <si>
    <t>JEBEL ALI</t>
  </si>
  <si>
    <t>SAJED</t>
  </si>
  <si>
    <t>JEDDAH</t>
  </si>
  <si>
    <t>CNJMN</t>
  </si>
  <si>
    <t>JIANGMEN</t>
  </si>
  <si>
    <t>CNJIA</t>
  </si>
  <si>
    <t>JIANGYIN</t>
  </si>
  <si>
    <t>CNJIX</t>
  </si>
  <si>
    <t>JIAXING</t>
  </si>
  <si>
    <t>KRCHF</t>
  </si>
  <si>
    <t>JINHAE</t>
  </si>
  <si>
    <t>CNJNZ</t>
  </si>
  <si>
    <t>JINZHOU</t>
  </si>
  <si>
    <t>CNJJG</t>
  </si>
  <si>
    <t>JIUJIANG</t>
  </si>
  <si>
    <t>CNJIU</t>
  </si>
  <si>
    <t>SAJUB</t>
  </si>
  <si>
    <t>JUBAIL</t>
  </si>
  <si>
    <t>IDKAB</t>
  </si>
  <si>
    <t>KABIL</t>
  </si>
  <si>
    <t>CNKAP</t>
  </si>
  <si>
    <t>KAIPING</t>
  </si>
  <si>
    <t>RUKGD</t>
  </si>
  <si>
    <t>KALININGRAD</t>
  </si>
  <si>
    <t>JPKIS</t>
  </si>
  <si>
    <t>KAMAISHI</t>
  </si>
  <si>
    <t>CNDEQ</t>
  </si>
  <si>
    <t>DEQING</t>
  </si>
  <si>
    <t>TWKHH</t>
  </si>
  <si>
    <t>KAOHSIUNG</t>
  </si>
  <si>
    <t>SEKAN</t>
  </si>
  <si>
    <t>KARLSHAMN</t>
  </si>
  <si>
    <t>JPKSM</t>
  </si>
  <si>
    <t>KASHIMA</t>
  </si>
  <si>
    <t>INKAT</t>
  </si>
  <si>
    <t>KATHIAWAR</t>
  </si>
  <si>
    <t>JPKWS</t>
  </si>
  <si>
    <t>KAWASAKI</t>
  </si>
  <si>
    <t>PKKHI</t>
  </si>
  <si>
    <t>KARACHI</t>
  </si>
  <si>
    <t>TWKEL</t>
  </si>
  <si>
    <t>KEELUNG</t>
  </si>
  <si>
    <t>FIKEM</t>
  </si>
  <si>
    <t>KEMI</t>
  </si>
  <si>
    <t>BHAHD</t>
  </si>
  <si>
    <t>KHALIFA BIN SALMAN PORT</t>
  </si>
  <si>
    <t>AEKLF</t>
  </si>
  <si>
    <t>KHOR FAKKAN</t>
  </si>
  <si>
    <t>IRKHO</t>
  </si>
  <si>
    <t>KHORRAMSHAHR</t>
  </si>
  <si>
    <t>DEKEL</t>
  </si>
  <si>
    <t>KIEL</t>
  </si>
  <si>
    <t>JMKIN</t>
  </si>
  <si>
    <t>KINGSTON JM</t>
  </si>
  <si>
    <t>LTKLJ</t>
  </si>
  <si>
    <t>KLAIPEDA</t>
  </si>
  <si>
    <t>JPUKB</t>
  </si>
  <si>
    <t>KOBE</t>
  </si>
  <si>
    <t>JPKOK</t>
  </si>
  <si>
    <t>KOKURA</t>
  </si>
  <si>
    <t>SIKOP</t>
  </si>
  <si>
    <t>KOPER</t>
  </si>
  <si>
    <t>MYBKI</t>
  </si>
  <si>
    <t>KOTA KINABALU</t>
  </si>
  <si>
    <t>FIKTK</t>
  </si>
  <si>
    <t>KOTKA</t>
  </si>
  <si>
    <t>INKRI</t>
  </si>
  <si>
    <t>KRISHNAPATNAM</t>
  </si>
  <si>
    <t>NOKRS</t>
  </si>
  <si>
    <t>KRISTIANSAND S.</t>
  </si>
  <si>
    <t>NOKSU</t>
  </si>
  <si>
    <t>KRISTIANSUND N.</t>
  </si>
  <si>
    <t>IDKTK</t>
  </si>
  <si>
    <t>KUALA TUNGKAL</t>
  </si>
  <si>
    <t>MYKUA</t>
  </si>
  <si>
    <t>KUANTAN</t>
  </si>
  <si>
    <t>MYKCH</t>
  </si>
  <si>
    <t>KUCHING</t>
  </si>
  <si>
    <t>KWKWI</t>
  </si>
  <si>
    <t>KUWAIT</t>
  </si>
  <si>
    <t>KRKAN</t>
  </si>
  <si>
    <t>KWANGYANG</t>
  </si>
  <si>
    <t>FRLRH</t>
  </si>
  <si>
    <t>LA ROCHELLE</t>
  </si>
  <si>
    <t>ITSPE</t>
  </si>
  <si>
    <t>LA SPEZIA</t>
  </si>
  <si>
    <t>MYLBU</t>
  </si>
  <si>
    <t>LABUAN</t>
  </si>
  <si>
    <t>THLCH</t>
  </si>
  <si>
    <t>LAEM CHABANG</t>
  </si>
  <si>
    <t>CNLSI</t>
  </si>
  <si>
    <t>LANSHI</t>
  </si>
  <si>
    <t>NOLAR</t>
  </si>
  <si>
    <t>LARVIK</t>
  </si>
  <si>
    <t>MXLZC</t>
  </si>
  <si>
    <t>LAZARO CARDENAS</t>
  </si>
  <si>
    <t>FRLEH</t>
  </si>
  <si>
    <t>LE HAVRE</t>
  </si>
  <si>
    <t>FRLVE</t>
  </si>
  <si>
    <t>LE VERDON</t>
  </si>
  <si>
    <t>PTLEI</t>
  </si>
  <si>
    <t>LEIXOES</t>
  </si>
  <si>
    <t>CNLIH</t>
  </si>
  <si>
    <t>LIANHUASHAN</t>
  </si>
  <si>
    <t>CNLYG</t>
  </si>
  <si>
    <t>LIANYUNGANG</t>
  </si>
  <si>
    <t>CYLMS</t>
  </si>
  <si>
    <t>LIMASSOL</t>
  </si>
  <si>
    <t>CLLQN</t>
  </si>
  <si>
    <t>LIRQUEN</t>
  </si>
  <si>
    <t>PTLIS</t>
  </si>
  <si>
    <t>LISBON</t>
  </si>
  <si>
    <t>CNLUD</t>
  </si>
  <si>
    <t>LIUDU</t>
  </si>
  <si>
    <t>CNLZH</t>
  </si>
  <si>
    <t>LIUZHOU</t>
  </si>
  <si>
    <t>GBLIV</t>
  </si>
  <si>
    <t>LIVERPOOL GB</t>
  </si>
  <si>
    <t>ITLIV</t>
  </si>
  <si>
    <t>LEGHORN</t>
  </si>
  <si>
    <t>IDTUB</t>
  </si>
  <si>
    <t>TANJUNG UBAN</t>
  </si>
  <si>
    <t>GBLON</t>
  </si>
  <si>
    <t>LONDON</t>
  </si>
  <si>
    <t>USLGB</t>
  </si>
  <si>
    <t>LONG BEACH</t>
  </si>
  <si>
    <t>CNLKU</t>
  </si>
  <si>
    <t>LONGKOU</t>
  </si>
  <si>
    <t>USLAX</t>
  </si>
  <si>
    <t>LOS ANGELES</t>
  </si>
  <si>
    <t>AOLAD</t>
  </si>
  <si>
    <t>LUANDA</t>
  </si>
  <si>
    <t>DELBC</t>
  </si>
  <si>
    <t>LUBECK</t>
  </si>
  <si>
    <t>CNLZU</t>
  </si>
  <si>
    <t>LUZHOU</t>
  </si>
  <si>
    <t>NZLYT</t>
  </si>
  <si>
    <t>LYTTELTON</t>
  </si>
  <si>
    <t>CNMAA</t>
  </si>
  <si>
    <t>MAANSHAN</t>
  </si>
  <si>
    <t>MOMFM</t>
  </si>
  <si>
    <t>MACAU</t>
  </si>
  <si>
    <t>CNSIH</t>
  </si>
  <si>
    <t>SIHUI</t>
  </si>
  <si>
    <t>MHMAJ</t>
  </si>
  <si>
    <t>MAJURO</t>
  </si>
  <si>
    <t>SEMMA</t>
  </si>
  <si>
    <t>MALMO</t>
  </si>
  <si>
    <t>NOMAY</t>
  </si>
  <si>
    <t>MALOY</t>
  </si>
  <si>
    <t>INIXE</t>
  </si>
  <si>
    <t>MANGALORE</t>
  </si>
  <si>
    <t>PHMNL</t>
  </si>
  <si>
    <t>MANILA</t>
  </si>
  <si>
    <t>FIMTL</t>
  </si>
  <si>
    <t>MAENTYLUOTO</t>
  </si>
  <si>
    <t>MXZLO</t>
  </si>
  <si>
    <t>MANZANILLO MX</t>
  </si>
  <si>
    <t>PAMIT</t>
  </si>
  <si>
    <t>MANZANILLO</t>
  </si>
  <si>
    <t>CNSDG</t>
  </si>
  <si>
    <t>SHUIDONG</t>
  </si>
  <si>
    <t>MTMAR</t>
  </si>
  <si>
    <t>MARSAXLOKK</t>
  </si>
  <si>
    <t>JPMYJ</t>
  </si>
  <si>
    <t>MATSUYAMA</t>
  </si>
  <si>
    <t>CNFZH</t>
  </si>
  <si>
    <t>MAWEI</t>
  </si>
  <si>
    <t>CNMAW</t>
  </si>
  <si>
    <t>AUMEL</t>
  </si>
  <si>
    <t>MELBOURNE</t>
  </si>
  <si>
    <t>IDMRK</t>
  </si>
  <si>
    <t>MERAK</t>
  </si>
  <si>
    <t>TRMER</t>
  </si>
  <si>
    <t>MERSIN</t>
  </si>
  <si>
    <t>QAUMS</t>
  </si>
  <si>
    <t>UMM SAID</t>
  </si>
  <si>
    <t>USMIA</t>
  </si>
  <si>
    <t>MIAMI</t>
  </si>
  <si>
    <t>BHMIN</t>
  </si>
  <si>
    <t>MINA SULMAN</t>
  </si>
  <si>
    <t>MYMYY</t>
  </si>
  <si>
    <t>MIRI</t>
  </si>
  <si>
    <t>JPMIZ</t>
  </si>
  <si>
    <t>MIZUSHIMA</t>
  </si>
  <si>
    <t>USMOB</t>
  </si>
  <si>
    <t>MOBILE</t>
  </si>
  <si>
    <t>JPMOJ</t>
  </si>
  <si>
    <t>MOJI</t>
  </si>
  <si>
    <t>NOMOL</t>
  </si>
  <si>
    <t>MOLDE</t>
  </si>
  <si>
    <t>KEMBA</t>
  </si>
  <si>
    <t>MOMBASA</t>
  </si>
  <si>
    <t>BDMGL</t>
  </si>
  <si>
    <t>MONGLA</t>
  </si>
  <si>
    <t>LRMLW</t>
  </si>
  <si>
    <t>MONROVIA</t>
  </si>
  <si>
    <t>UYMVD</t>
  </si>
  <si>
    <t>MONTEVIDEO</t>
  </si>
  <si>
    <t>CAMTR</t>
  </si>
  <si>
    <t>MONTREAL</t>
  </si>
  <si>
    <t>INVGM</t>
  </si>
  <si>
    <t>MORMUGAO</t>
  </si>
  <si>
    <t>NOMSS</t>
  </si>
  <si>
    <t>MOSS</t>
  </si>
  <si>
    <t>BNMUA</t>
  </si>
  <si>
    <t>MUARA HARBOUR</t>
  </si>
  <si>
    <t>FRMLH</t>
  </si>
  <si>
    <t>MULHOUSE</t>
  </si>
  <si>
    <t>INBOM</t>
  </si>
  <si>
    <t>BOMBAY</t>
  </si>
  <si>
    <t>INMUN</t>
  </si>
  <si>
    <t>MUNDRA</t>
  </si>
  <si>
    <t>RUMMK</t>
  </si>
  <si>
    <t>MURMANSK</t>
  </si>
  <si>
    <t>OMMCT</t>
  </si>
  <si>
    <t>MUSCAT</t>
  </si>
  <si>
    <t>EEMUG</t>
  </si>
  <si>
    <t>MUUGA</t>
  </si>
  <si>
    <t>JPNGS</t>
  </si>
  <si>
    <t>NAGASAKI</t>
  </si>
  <si>
    <t>JPNGO</t>
  </si>
  <si>
    <t>NAGOYA</t>
  </si>
  <si>
    <t>JPNAH</t>
  </si>
  <si>
    <t>NAHA</t>
  </si>
  <si>
    <t>JPHOF</t>
  </si>
  <si>
    <t>NAKANOSEKI</t>
  </si>
  <si>
    <t>CNKHN</t>
  </si>
  <si>
    <t>NANCHANG</t>
  </si>
  <si>
    <t>CNNAH</t>
  </si>
  <si>
    <t>NANHAI</t>
  </si>
  <si>
    <t>CNNKG</t>
  </si>
  <si>
    <t>NANJING</t>
  </si>
  <si>
    <t>CNNNG</t>
  </si>
  <si>
    <t>NANNING</t>
  </si>
  <si>
    <t>CNNSA</t>
  </si>
  <si>
    <t>NANSHA</t>
  </si>
  <si>
    <t>CNNTG</t>
  </si>
  <si>
    <t>NANTONG</t>
  </si>
  <si>
    <t>NZNPE</t>
  </si>
  <si>
    <t>NAPIER</t>
  </si>
  <si>
    <t>BSNAS</t>
  </si>
  <si>
    <t>NASSAU</t>
  </si>
  <si>
    <t>BRNVT</t>
  </si>
  <si>
    <t>NAVEGANTES</t>
  </si>
  <si>
    <t>NZNSN</t>
  </si>
  <si>
    <t>NELSON</t>
  </si>
  <si>
    <t>USMSY</t>
  </si>
  <si>
    <t>NEW ORLEANS</t>
  </si>
  <si>
    <t>USNYC</t>
  </si>
  <si>
    <t>NEW YORK</t>
  </si>
  <si>
    <t>USNNS</t>
  </si>
  <si>
    <t>NEWPORT NEWS</t>
  </si>
  <si>
    <t>INNSA</t>
  </si>
  <si>
    <t>NHAVA SHEVA</t>
  </si>
  <si>
    <t>JPKIJ</t>
  </si>
  <si>
    <t>NIIGATA HIGASHI</t>
  </si>
  <si>
    <t>CNNGB</t>
  </si>
  <si>
    <t>NINGBO</t>
  </si>
  <si>
    <t>USORF</t>
  </si>
  <si>
    <t>NORFOLK</t>
  </si>
  <si>
    <t>SENRK</t>
  </si>
  <si>
    <t>NORRKOPING</t>
  </si>
  <si>
    <t>NCNOU</t>
  </si>
  <si>
    <t>NOUMEA</t>
  </si>
  <si>
    <t>RUNVS</t>
  </si>
  <si>
    <t>NOVOROSSISK</t>
  </si>
  <si>
    <t>USOAK</t>
  </si>
  <si>
    <t>OAKLAND</t>
  </si>
  <si>
    <t>UAODS</t>
  </si>
  <si>
    <t>ODESSA</t>
  </si>
  <si>
    <t>JPOIT</t>
  </si>
  <si>
    <t>OITA</t>
  </si>
  <si>
    <t>JPOMZ</t>
  </si>
  <si>
    <t>OMAEZAKI</t>
  </si>
  <si>
    <t>BEOST</t>
  </si>
  <si>
    <t>OSTEND</t>
  </si>
  <si>
    <t>NOORK</t>
  </si>
  <si>
    <t>ORKANGER</t>
  </si>
  <si>
    <t>JPOSA</t>
  </si>
  <si>
    <t>OSAKA</t>
  </si>
  <si>
    <t>SEOSK</t>
  </si>
  <si>
    <t>OSKARSHAMN</t>
  </si>
  <si>
    <t>NOOSL</t>
  </si>
  <si>
    <t>OSLO</t>
  </si>
  <si>
    <t>JPOTR</t>
  </si>
  <si>
    <t>OTARU</t>
  </si>
  <si>
    <t>FIOUL</t>
  </si>
  <si>
    <t>OULU</t>
  </si>
  <si>
    <t>IDPDG</t>
  </si>
  <si>
    <t>PADANG</t>
  </si>
  <si>
    <t>PEPAI</t>
  </si>
  <si>
    <t>PAITA</t>
  </si>
  <si>
    <t>EEPLA</t>
  </si>
  <si>
    <t>PALDISKI</t>
  </si>
  <si>
    <t>IDPLM</t>
  </si>
  <si>
    <t>PALEMBANG</t>
  </si>
  <si>
    <t>PHPAN</t>
  </si>
  <si>
    <t>PANABO</t>
  </si>
  <si>
    <t>PAPTY</t>
  </si>
  <si>
    <t>PANAMA</t>
  </si>
  <si>
    <t>IDPGK</t>
  </si>
  <si>
    <t>PANGKAL PINANG</t>
  </si>
  <si>
    <t>IDPNJ</t>
  </si>
  <si>
    <t>PANJANG</t>
  </si>
  <si>
    <t>INPPT</t>
  </si>
  <si>
    <t>PARADIP</t>
  </si>
  <si>
    <t>BRPNG</t>
  </si>
  <si>
    <t>PARANAGUA</t>
  </si>
  <si>
    <t>MYPGU</t>
  </si>
  <si>
    <t>PASIR GUDANG</t>
  </si>
  <si>
    <t>IDPKU</t>
  </si>
  <si>
    <t>PEKANBARU</t>
  </si>
  <si>
    <t>MYPEN</t>
  </si>
  <si>
    <t>PENANG</t>
  </si>
  <si>
    <t>IDPER</t>
  </si>
  <si>
    <t>PERAWANG</t>
  </si>
  <si>
    <t>KHPNH</t>
  </si>
  <si>
    <t>PHNOM-PENH</t>
  </si>
  <si>
    <t>INRJU</t>
  </si>
  <si>
    <t>PIPAVAV</t>
  </si>
  <si>
    <t>GRPIR</t>
  </si>
  <si>
    <t>PIRAEUS</t>
  </si>
  <si>
    <t>IDPNK</t>
  </si>
  <si>
    <t>PONTIANAK</t>
  </si>
  <si>
    <t>FIPOR</t>
  </si>
  <si>
    <t>PORI</t>
  </si>
  <si>
    <t>USCPV</t>
  </si>
  <si>
    <t>CAPE CANAVERAL</t>
  </si>
  <si>
    <t>NZPOE</t>
  </si>
  <si>
    <t>PORT CHALMERS</t>
  </si>
  <si>
    <t>NGPHC</t>
  </si>
  <si>
    <t>PORT HARCOURT</t>
  </si>
  <si>
    <t>USPEF</t>
  </si>
  <si>
    <t>PORT EVERGLADES</t>
  </si>
  <si>
    <t>MYPKG</t>
  </si>
  <si>
    <t>PORT KLANG</t>
  </si>
  <si>
    <t>MUPLU</t>
  </si>
  <si>
    <t>PORT LOUIS</t>
  </si>
  <si>
    <t>YEADE</t>
  </si>
  <si>
    <t>ADEN</t>
  </si>
  <si>
    <t>JOAQJ</t>
  </si>
  <si>
    <t>AQABA</t>
  </si>
  <si>
    <t>LBBEY</t>
  </si>
  <si>
    <t>BEIRUT</t>
  </si>
  <si>
    <t>PHCBO</t>
  </si>
  <si>
    <t>COTABATO</t>
  </si>
  <si>
    <t>TRISK</t>
  </si>
  <si>
    <t>ISKENDERUN</t>
  </si>
  <si>
    <t>LULUX</t>
  </si>
  <si>
    <t>LUXEMBOURG</t>
  </si>
  <si>
    <t>USPWM</t>
  </si>
  <si>
    <t>PORTLAND</t>
  </si>
  <si>
    <t>CNQZH</t>
  </si>
  <si>
    <t>QINZHOU</t>
  </si>
  <si>
    <t>PKBQM</t>
  </si>
  <si>
    <t>MUHAMMAD BIN QASIM</t>
  </si>
  <si>
    <t>EGPSD</t>
  </si>
  <si>
    <t>PORT SAID</t>
  </si>
  <si>
    <t>EGPSE</t>
  </si>
  <si>
    <t>SDPZU</t>
  </si>
  <si>
    <t>PORT SUDAN</t>
  </si>
  <si>
    <t>USPDX</t>
  </si>
  <si>
    <t>PORTLAND US YML</t>
  </si>
  <si>
    <t>CAPRR</t>
  </si>
  <si>
    <t>PRINCE RUPERT</t>
  </si>
  <si>
    <t>CNTAO</t>
  </si>
  <si>
    <t>QINGDAO</t>
  </si>
  <si>
    <t>CNQGY</t>
  </si>
  <si>
    <t>QINGYUAN</t>
  </si>
  <si>
    <t>CNSHP</t>
  </si>
  <si>
    <t>QINHUANGDAO</t>
  </si>
  <si>
    <t>CNQZJ</t>
  </si>
  <si>
    <t>QUANZHOU</t>
  </si>
  <si>
    <t>VNUIH</t>
  </si>
  <si>
    <t>QUI NHON</t>
  </si>
  <si>
    <t>TNRDS</t>
  </si>
  <si>
    <t>RADES TUNIS</t>
  </si>
  <si>
    <t>FIRAU</t>
  </si>
  <si>
    <t>RAUMA</t>
  </si>
  <si>
    <t>DEREN</t>
  </si>
  <si>
    <t>RENDSBURG</t>
  </si>
  <si>
    <t>LVRIX</t>
  </si>
  <si>
    <t>RIGA</t>
  </si>
  <si>
    <t>HRRJK</t>
  </si>
  <si>
    <t>RIJEKA</t>
  </si>
  <si>
    <t>BRRIO</t>
  </si>
  <si>
    <t>RIO DE JANEIRO</t>
  </si>
  <si>
    <t>BRRIG</t>
  </si>
  <si>
    <t>RIO GRANDE BR</t>
  </si>
  <si>
    <t>CNROQ</t>
  </si>
  <si>
    <t>RONGQI</t>
  </si>
  <si>
    <t>NLRTM</t>
  </si>
  <si>
    <t>ROTTERDAM</t>
  </si>
  <si>
    <t>THPRG</t>
  </si>
  <si>
    <t>SAHATHAI PORT</t>
  </si>
  <si>
    <t>CASJB</t>
  </si>
  <si>
    <t>ST. JOHN N.B</t>
  </si>
  <si>
    <t>AGSJO</t>
  </si>
  <si>
    <t>ST. JOHNS AG</t>
  </si>
  <si>
    <t>CASJF</t>
  </si>
  <si>
    <t>ST. JOHN'S NF.</t>
  </si>
  <si>
    <t>RULED</t>
  </si>
  <si>
    <t>ST.PETERSBURG</t>
  </si>
  <si>
    <t>OMSLL</t>
  </si>
  <si>
    <t>SALALAH</t>
  </si>
  <si>
    <t>ITSAL</t>
  </si>
  <si>
    <t>SALERNO</t>
  </si>
  <si>
    <t>IDSRI</t>
  </si>
  <si>
    <t>SAMARINDA</t>
  </si>
  <si>
    <t>CLSAI</t>
  </si>
  <si>
    <t>SAN ANTONIO</t>
  </si>
  <si>
    <t>USSPQ</t>
  </si>
  <si>
    <t>SAN PEDRO</t>
  </si>
  <si>
    <t>MYSDK</t>
  </si>
  <si>
    <t>SANDAKAN</t>
  </si>
  <si>
    <t>CNZQG</t>
  </si>
  <si>
    <t>ZHAOQING</t>
  </si>
  <si>
    <t>CNSJQ</t>
  </si>
  <si>
    <t>SANSHUI</t>
  </si>
  <si>
    <t>BRSSZ</t>
  </si>
  <si>
    <t>SANTOS</t>
  </si>
  <si>
    <t>USSAV</t>
  </si>
  <si>
    <t>SAVANNAH</t>
  </si>
  <si>
    <t>USSEA</t>
  </si>
  <si>
    <t>SEATTLE</t>
  </si>
  <si>
    <t>IDSKP</t>
  </si>
  <si>
    <t>SEKUPANG</t>
  </si>
  <si>
    <t>IDSRG</t>
  </si>
  <si>
    <t>SEMARANG</t>
  </si>
  <si>
    <t>PJSBK</t>
  </si>
  <si>
    <t>SENBOKU</t>
  </si>
  <si>
    <t>JPSDJ</t>
  </si>
  <si>
    <t>SENDAI1</t>
  </si>
  <si>
    <t>PTSET</t>
  </si>
  <si>
    <t>SETUBAL</t>
  </si>
  <si>
    <t>CNSHA</t>
  </si>
  <si>
    <t>SHANGHAI</t>
  </si>
  <si>
    <t>CNSWA</t>
  </si>
  <si>
    <t>SHANTOU</t>
  </si>
  <si>
    <t>AESHJ</t>
  </si>
  <si>
    <t>SHARJAH</t>
  </si>
  <si>
    <t>CNJGZ</t>
  </si>
  <si>
    <t>JINGZHOU</t>
  </si>
  <si>
    <t>CNSTI</t>
  </si>
  <si>
    <t>SHATIAN</t>
  </si>
  <si>
    <t>CNSHK</t>
  </si>
  <si>
    <t>SHEKOU</t>
  </si>
  <si>
    <t>CNSZX</t>
  </si>
  <si>
    <t>SHENZHEN</t>
  </si>
  <si>
    <t>JPSBS</t>
  </si>
  <si>
    <t>SHIBUSHI</t>
  </si>
  <si>
    <t>CNRCG</t>
  </si>
  <si>
    <t>SHIDAO PORT</t>
  </si>
  <si>
    <t>JPSMZ</t>
  </si>
  <si>
    <t>SHIMIZU</t>
  </si>
  <si>
    <t>JPSHS</t>
  </si>
  <si>
    <t>SHIMONOSEKI</t>
  </si>
  <si>
    <t>KWSAA</t>
  </si>
  <si>
    <t>SHUAIBA</t>
  </si>
  <si>
    <t>CNSUD</t>
  </si>
  <si>
    <t>SHUNDE</t>
  </si>
  <si>
    <t>MYSBW</t>
  </si>
  <si>
    <t>SIBU</t>
  </si>
  <si>
    <t>KHKOS</t>
  </si>
  <si>
    <t>SIHANOUKVILLE</t>
  </si>
  <si>
    <t>SGSIN</t>
  </si>
  <si>
    <t>SINGAPORE</t>
  </si>
  <si>
    <t>DKSKA</t>
  </si>
  <si>
    <t>SKAGEN</t>
  </si>
  <si>
    <t>SESOE</t>
  </si>
  <si>
    <t>SODERTALJE</t>
  </si>
  <si>
    <t>OMSOH</t>
  </si>
  <si>
    <t>SOHAR</t>
  </si>
  <si>
    <t>EGSOK</t>
  </si>
  <si>
    <t>SOKHNA</t>
  </si>
  <si>
    <t>THSGZ</t>
  </si>
  <si>
    <t>SONGKHLA</t>
  </si>
  <si>
    <t>GBSOU</t>
  </si>
  <si>
    <t>SOUTHAMPTON</t>
  </si>
  <si>
    <t>DESTA</t>
  </si>
  <si>
    <t>STADE</t>
  </si>
  <si>
    <t>NOSVG</t>
  </si>
  <si>
    <t>STAVANGER</t>
  </si>
  <si>
    <t>SESTO</t>
  </si>
  <si>
    <t>STOCKHOLM</t>
  </si>
  <si>
    <t>FRSXB</t>
  </si>
  <si>
    <t>STRASBOURG</t>
  </si>
  <si>
    <t>EGSUZ</t>
  </si>
  <si>
    <t>SUEZ</t>
  </si>
  <si>
    <t>IDSUB</t>
  </si>
  <si>
    <t>SURABAYA</t>
  </si>
  <si>
    <t>PHCNT</t>
  </si>
  <si>
    <t>CANTILAN SURIGAO</t>
  </si>
  <si>
    <t>FJSUV</t>
  </si>
  <si>
    <t>SUVA</t>
  </si>
  <si>
    <t>AUSYD</t>
  </si>
  <si>
    <t>SYDNEY</t>
  </si>
  <si>
    <t>PLSZZ</t>
  </si>
  <si>
    <t>SZCZECIN</t>
  </si>
  <si>
    <t>USTIW</t>
  </si>
  <si>
    <t>TACOMA</t>
  </si>
  <si>
    <t>CNTCG</t>
  </si>
  <si>
    <t>TAICANG</t>
  </si>
  <si>
    <t>CNTAC</t>
  </si>
  <si>
    <t>TWTXG</t>
  </si>
  <si>
    <t>TAICHUNG</t>
  </si>
  <si>
    <t>TWTPE</t>
  </si>
  <si>
    <t>TAIPEI</t>
  </si>
  <si>
    <t>CNTHG</t>
  </si>
  <si>
    <t>TAICHENG</t>
  </si>
  <si>
    <t>CNTZO</t>
  </si>
  <si>
    <t>JPTAK</t>
  </si>
  <si>
    <t>TAKAMATSU</t>
  </si>
  <si>
    <t>EETLL</t>
  </si>
  <si>
    <t>TALLINN</t>
  </si>
  <si>
    <t>USTPA</t>
  </si>
  <si>
    <t>TAMPA</t>
  </si>
  <si>
    <t>MATNG</t>
  </si>
  <si>
    <t>TANGIER</t>
  </si>
  <si>
    <t>MYTMP</t>
  </si>
  <si>
    <t>TANJUNG MANIS</t>
  </si>
  <si>
    <t>MYTPP</t>
  </si>
  <si>
    <t>TANJUNG PELEPAS</t>
  </si>
  <si>
    <t>IDTNJ</t>
  </si>
  <si>
    <t>TANJUNG PINANG</t>
  </si>
  <si>
    <t>IDBJU</t>
  </si>
  <si>
    <t>BANYUWANGI</t>
  </si>
  <si>
    <t>NZTRG</t>
  </si>
  <si>
    <t>TAURANGA</t>
  </si>
  <si>
    <t>MYTWU</t>
  </si>
  <si>
    <t>TAWAU</t>
  </si>
  <si>
    <t>GBMID</t>
  </si>
  <si>
    <t>MIDDLESBROUGH</t>
  </si>
  <si>
    <t>GHTEM</t>
  </si>
  <si>
    <t>TEMA</t>
  </si>
  <si>
    <t>GBTHP</t>
  </si>
  <si>
    <t>THAMESPORT</t>
  </si>
  <si>
    <t>GRSKG</t>
  </si>
  <si>
    <t>THESSALONIKI</t>
  </si>
  <si>
    <t>CNTSN</t>
  </si>
  <si>
    <t>TIANJIN</t>
  </si>
  <si>
    <t>NLTLB</t>
  </si>
  <si>
    <t>TILBURG</t>
  </si>
  <si>
    <t>GBTIL</t>
  </si>
  <si>
    <t>TILBURY</t>
  </si>
  <si>
    <t>NGTIN</t>
  </si>
  <si>
    <t>TINCAN LAGOS</t>
  </si>
  <si>
    <t>JPTKS</t>
  </si>
  <si>
    <t>TOKUSHIMA</t>
  </si>
  <si>
    <t>JPTKY</t>
  </si>
  <si>
    <t>TOKUYAMA</t>
  </si>
  <si>
    <t>JPTYO</t>
  </si>
  <si>
    <t>TOKYO</t>
  </si>
  <si>
    <t>JPTMK</t>
  </si>
  <si>
    <t>TOMAKOMAI</t>
  </si>
  <si>
    <t>CNTOL</t>
  </si>
  <si>
    <t>TONGLING</t>
  </si>
  <si>
    <t>JPTOY</t>
  </si>
  <si>
    <t>TOYAMA</t>
  </si>
  <si>
    <t>JPTOU</t>
  </si>
  <si>
    <t>TOUYO</t>
  </si>
  <si>
    <t>JPTHS</t>
  </si>
  <si>
    <t>TOYOHASHI</t>
  </si>
  <si>
    <t>TPT PORT</t>
  </si>
  <si>
    <t>ITTRS</t>
  </si>
  <si>
    <t>TRIESTE</t>
  </si>
  <si>
    <t>NOTOS</t>
  </si>
  <si>
    <t>TROMSO</t>
  </si>
  <si>
    <t>NOTRD</t>
  </si>
  <si>
    <t>TRONDHEIM</t>
  </si>
  <si>
    <t>FITKU</t>
  </si>
  <si>
    <t>TURKU</t>
  </si>
  <si>
    <t>INTUT</t>
  </si>
  <si>
    <t>TUTICORIN</t>
  </si>
  <si>
    <t>GBSSH</t>
  </si>
  <si>
    <t>SOUTH SHIELDS</t>
  </si>
  <si>
    <t>JPUBJ</t>
  </si>
  <si>
    <t>UBE</t>
  </si>
  <si>
    <t>IDUPG</t>
  </si>
  <si>
    <t>UJUNG PANDANG</t>
  </si>
  <si>
    <t>AEQIW</t>
  </si>
  <si>
    <t>UMM AL QUWAIN</t>
  </si>
  <si>
    <t>IQUQR</t>
  </si>
  <si>
    <t>UMM QASR</t>
  </si>
  <si>
    <t>RUULU</t>
  </si>
  <si>
    <t>UST'-LUGA</t>
  </si>
  <si>
    <t>USVDZ</t>
  </si>
  <si>
    <t>VALDEZ</t>
  </si>
  <si>
    <t>ESVLC</t>
  </si>
  <si>
    <t>VALENCIA</t>
  </si>
  <si>
    <t>MTMLA</t>
  </si>
  <si>
    <t>MALTA</t>
  </si>
  <si>
    <t>CLVAP</t>
  </si>
  <si>
    <t>VALPARAISO</t>
  </si>
  <si>
    <t>CAVAN</t>
  </si>
  <si>
    <t>VANCOUVER CA</t>
  </si>
  <si>
    <t>BGVAR</t>
  </si>
  <si>
    <t>VARNA</t>
  </si>
  <si>
    <t>SEVST</t>
  </si>
  <si>
    <t>VASTERAS</t>
  </si>
  <si>
    <t>ITPMA</t>
  </si>
  <si>
    <t>PORTO MARGHERA</t>
  </si>
  <si>
    <t>MXVER</t>
  </si>
  <si>
    <t>VERACRUZ</t>
  </si>
  <si>
    <t>ESVGO</t>
  </si>
  <si>
    <t>VIGO</t>
  </si>
  <si>
    <t>INVTZ</t>
  </si>
  <si>
    <t>VISAKHAPATNAM</t>
  </si>
  <si>
    <t>JPWAK</t>
  </si>
  <si>
    <t>WAKAYAMA</t>
  </si>
  <si>
    <t xml:space="preserve">NAWVB </t>
  </si>
  <si>
    <t>WALVIS BAY</t>
  </si>
  <si>
    <t>IEWAT</t>
  </si>
  <si>
    <t>WATERFORD</t>
  </si>
  <si>
    <t>CNWEI</t>
  </si>
  <si>
    <t>WEIHAI</t>
  </si>
  <si>
    <t>NZWLG</t>
  </si>
  <si>
    <t>WELLINGTON</t>
  </si>
  <si>
    <t>CNWEN</t>
  </si>
  <si>
    <t>WENLING</t>
  </si>
  <si>
    <t>CNWNZ</t>
  </si>
  <si>
    <t>WENZHOU</t>
  </si>
  <si>
    <t>USPBI</t>
  </si>
  <si>
    <t>WEST PALM BEACH</t>
  </si>
  <si>
    <t>DEWVN</t>
  </si>
  <si>
    <t>WILHELMSHAVEN</t>
  </si>
  <si>
    <t>BEWLB</t>
  </si>
  <si>
    <t>WILLEBROEK</t>
  </si>
  <si>
    <t>CNWUH</t>
  </si>
  <si>
    <t>WUHAN</t>
  </si>
  <si>
    <t>CNWHI</t>
  </si>
  <si>
    <t>WUHU</t>
  </si>
  <si>
    <t>CNWUX</t>
  </si>
  <si>
    <t>WUXI</t>
  </si>
  <si>
    <t>CNWUZ</t>
  </si>
  <si>
    <t>WUZHOU</t>
  </si>
  <si>
    <t>CNXMN</t>
  </si>
  <si>
    <t>XIAMEN</t>
  </si>
  <si>
    <t>CNTXG</t>
  </si>
  <si>
    <t>XINGANG</t>
  </si>
  <si>
    <t>CNXIT</t>
  </si>
  <si>
    <t>XINTANG</t>
  </si>
  <si>
    <t>MMRGN</t>
  </si>
  <si>
    <t>RANGOON</t>
  </si>
  <si>
    <t>CNYPG</t>
  </si>
  <si>
    <t>YANGPU</t>
  </si>
  <si>
    <t>CNYZH</t>
  </si>
  <si>
    <t>YANGZHOU</t>
  </si>
  <si>
    <t>CNYNT</t>
  </si>
  <si>
    <t>YANTAI</t>
  </si>
  <si>
    <t>CNYTN</t>
  </si>
  <si>
    <t>YANTIAN</t>
  </si>
  <si>
    <t>CNYIC</t>
  </si>
  <si>
    <t>YICHANG</t>
  </si>
  <si>
    <t>CNYIK</t>
  </si>
  <si>
    <t>YINGKOU</t>
  </si>
  <si>
    <t>JPYKK</t>
  </si>
  <si>
    <t>YOKKAICHI</t>
  </si>
  <si>
    <t>JPYOK</t>
  </si>
  <si>
    <t>YOKOHAMA</t>
  </si>
  <si>
    <t>CNYUY</t>
  </si>
  <si>
    <t>YUEYANG</t>
  </si>
  <si>
    <t>PHZAM</t>
  </si>
  <si>
    <t>ZAMBOANGA</t>
  </si>
  <si>
    <t>BEZEE</t>
  </si>
  <si>
    <t>ZEEBRUGGE</t>
  </si>
  <si>
    <t>CNZJG</t>
  </si>
  <si>
    <t>ZHANGJIAGANG</t>
  </si>
  <si>
    <t>CNZZU</t>
  </si>
  <si>
    <t>ZHANGZHOU</t>
  </si>
  <si>
    <t>CNZHA</t>
  </si>
  <si>
    <t>ZHANJIANG</t>
  </si>
  <si>
    <t>CNDGH</t>
  </si>
  <si>
    <t>ZHAOQING XINGANG</t>
  </si>
  <si>
    <t>CNZAP</t>
  </si>
  <si>
    <t>ZHAPU</t>
  </si>
  <si>
    <t>CNCGO</t>
  </si>
  <si>
    <t>ZHENGZHOU</t>
  </si>
  <si>
    <t>CNZHE</t>
  </si>
  <si>
    <t>ZHENJIANG</t>
  </si>
  <si>
    <t>CNZSN</t>
  </si>
  <si>
    <t>ZHONGSHAN</t>
  </si>
  <si>
    <t>CNZOS</t>
  </si>
  <si>
    <t>ZHOUSHAN</t>
  </si>
  <si>
    <t>CNZUH</t>
  </si>
  <si>
    <t>ZHUHAI</t>
  </si>
  <si>
    <t>包装代码</t>
  </si>
  <si>
    <t>包装名称</t>
  </si>
  <si>
    <t>AA</t>
  </si>
  <si>
    <t>ALUMINIUM CRATE</t>
  </si>
  <si>
    <t>AB</t>
  </si>
  <si>
    <t>AC</t>
  </si>
  <si>
    <t>TEXTILE BAG</t>
  </si>
  <si>
    <t>AJ</t>
  </si>
  <si>
    <t>AMPOULE</t>
  </si>
  <si>
    <t>AS</t>
  </si>
  <si>
    <t>STEEL CRATE</t>
  </si>
  <si>
    <t>BC</t>
  </si>
  <si>
    <t>BULK CARTON</t>
  </si>
  <si>
    <t>BOARD FOOT</t>
  </si>
  <si>
    <t>BOTTLE RACK</t>
  </si>
  <si>
    <t>BK</t>
  </si>
  <si>
    <t>BLOCK</t>
  </si>
  <si>
    <t>BL</t>
  </si>
  <si>
    <t>BP</t>
  </si>
  <si>
    <t>BULK PACK</t>
  </si>
  <si>
    <t>BOTTLE</t>
  </si>
  <si>
    <t>BU</t>
  </si>
  <si>
    <t>BULK</t>
  </si>
  <si>
    <t>BX</t>
  </si>
  <si>
    <t>BOX PALLET</t>
  </si>
  <si>
    <t>CAN</t>
  </si>
  <si>
    <t>CB</t>
  </si>
  <si>
    <t>CARTON BOX</t>
  </si>
  <si>
    <t>CC</t>
  </si>
  <si>
    <t>CARDBOARD CARTON</t>
  </si>
  <si>
    <t>CE</t>
  </si>
  <si>
    <t>CRADLE</t>
  </si>
  <si>
    <t>CARTON CASE</t>
  </si>
  <si>
    <t>CHEMICAL DRUM</t>
  </si>
  <si>
    <t>CJ</t>
  </si>
  <si>
    <t>CK</t>
  </si>
  <si>
    <t>CQ</t>
  </si>
  <si>
    <t>CARBOY</t>
  </si>
  <si>
    <t>CS</t>
  </si>
  <si>
    <t>CT</t>
  </si>
  <si>
    <t>CX</t>
  </si>
  <si>
    <t>CONE</t>
  </si>
  <si>
    <t>DC</t>
  </si>
  <si>
    <t>DL</t>
  </si>
  <si>
    <t>DP</t>
  </si>
  <si>
    <t>PLYWOOD DRUM</t>
  </si>
  <si>
    <t>DR</t>
  </si>
  <si>
    <t>DS</t>
  </si>
  <si>
    <t>DT</t>
  </si>
  <si>
    <t>ED</t>
  </si>
  <si>
    <t>EN</t>
  </si>
  <si>
    <t>FA</t>
  </si>
  <si>
    <t>FB</t>
  </si>
  <si>
    <t>FD</t>
  </si>
  <si>
    <t>FIBRE DRUM</t>
  </si>
  <si>
    <t>FK</t>
  </si>
  <si>
    <t>FL</t>
  </si>
  <si>
    <t>FO</t>
  </si>
  <si>
    <t>FOOT LOCKER</t>
  </si>
  <si>
    <t>FP</t>
  </si>
  <si>
    <t>FIBRE PACKAGING</t>
  </si>
  <si>
    <t>FIBRE RECEPTACLE</t>
  </si>
  <si>
    <t>FT</t>
  </si>
  <si>
    <t>FU</t>
  </si>
  <si>
    <t>FX</t>
  </si>
  <si>
    <t>GO</t>
  </si>
  <si>
    <t>GP</t>
  </si>
  <si>
    <t>GLASS RECEPTACLE IN ALUMINIUM BOX (6PB2)</t>
  </si>
  <si>
    <t>GLASS RECEPTACLE IN ALUMINIUM CRATE (6PB2)</t>
  </si>
  <si>
    <t>GLASS RECEPTACLE IN ALUMINIUM DRUM (6PB1)</t>
  </si>
  <si>
    <t>GLASS RECEPTACLE IN EXPANDED PLASTICS PACKAGING (6PH1)</t>
  </si>
  <si>
    <t>GLASS RECEPTACLE IN FIBRE DRUM (6PG1)</t>
  </si>
  <si>
    <t>GLASS RECEPTACLE IN FIBREBOARD BOX (6PG2)</t>
  </si>
  <si>
    <t>GLASS RECEPTACLE IN PLYWOOD DRUM (6PD1)</t>
  </si>
  <si>
    <t>GLASS RECEPTACLE IN SOLID PLASTICS PACKAGING (6PH2)</t>
  </si>
  <si>
    <t>GLASS RECEPTACLE IN STEEL BOX (6PA2)</t>
  </si>
  <si>
    <t>GLASS RECEPTACLE IN STEEL CRATE (6PA2)</t>
  </si>
  <si>
    <t>GLASS RECEPTACLE IN STEEL DRUM (6PA1)</t>
  </si>
  <si>
    <t>GLASS RECEPTACLE IN WICKERWORK HAMPER (6PD2)</t>
  </si>
  <si>
    <t>GLASS RECEPTACLE IN WOODEN BOX (6PC)</t>
  </si>
  <si>
    <t>GS</t>
  </si>
  <si>
    <t>HB</t>
  </si>
  <si>
    <t>HF</t>
  </si>
  <si>
    <t>HH</t>
  </si>
  <si>
    <t>HO</t>
  </si>
  <si>
    <t>IB</t>
  </si>
  <si>
    <t>IC</t>
  </si>
  <si>
    <t>JB</t>
  </si>
  <si>
    <t>JC</t>
  </si>
  <si>
    <t>JERRICAN</t>
  </si>
  <si>
    <t>JG</t>
  </si>
  <si>
    <t>JR</t>
  </si>
  <si>
    <t>JT</t>
  </si>
  <si>
    <t>KB</t>
  </si>
  <si>
    <t>KT</t>
  </si>
  <si>
    <t>LO</t>
  </si>
  <si>
    <t>LP</t>
  </si>
  <si>
    <t>LIFTVAN</t>
  </si>
  <si>
    <t>MB</t>
  </si>
  <si>
    <t>MOULDED EXPANDED PLASTIC BOX</t>
  </si>
  <si>
    <t>MASTER CARTON</t>
  </si>
  <si>
    <t>METAL DRUM-NON REMOVABLE HEAD (1N1)</t>
  </si>
  <si>
    <t>METAL DRUM-REMOVABLE HEAD (1N2)</t>
  </si>
  <si>
    <t>MJ</t>
  </si>
  <si>
    <t>METAL JERRICAN-NON REMOVABLE HEAD (3N1)</t>
  </si>
  <si>
    <t>METAL JERRICAN-REMOVABLE HEAD (3N2)</t>
  </si>
  <si>
    <t>MP</t>
  </si>
  <si>
    <t>MULTIWALL, WATER RESISTANT PAPERBAG</t>
  </si>
  <si>
    <t>IMO TANK</t>
  </si>
  <si>
    <t>METAL CAN</t>
  </si>
  <si>
    <t>METAL DIVIDING PARTITION</t>
  </si>
  <si>
    <t>METAL PACKAGING</t>
  </si>
  <si>
    <t>METAL PACKAGING-WATER RESISTANT</t>
  </si>
  <si>
    <t>METAL RECEPTACLE</t>
  </si>
  <si>
    <t>METAL TUBE</t>
  </si>
  <si>
    <t>NB</t>
  </si>
  <si>
    <t>NS</t>
  </si>
  <si>
    <t>NT</t>
  </si>
  <si>
    <t>NW</t>
  </si>
  <si>
    <t>NATURAL WOOD BOX W.SIFT PROOF WALLS W.PLASTIC FILM LINING (4C2)</t>
  </si>
  <si>
    <t>NATURAL WOOD BOX W.SIFT PROOF WALLS W.WATER RESISTANT BAG (4C2)</t>
  </si>
  <si>
    <t>NATURAL WOOD BOX W.SIFT PROOF WALLS W.WATER RESISTANT COATING (4C2)</t>
  </si>
  <si>
    <t>NATURAL WOOD BOX-ORDINARY (4C1)</t>
  </si>
  <si>
    <t>NATURAL WOOD BOX-ORDINARY W.METAL LINER (4C1)</t>
  </si>
  <si>
    <t>NATURAL WOOD BOX-ORDINARY W.PLASTIC FILM LINING (4C1)</t>
  </si>
  <si>
    <t>NATURAL WOOD BOX-ORDINARY W.WATER RESISTANT BAG (4C1)</t>
  </si>
  <si>
    <t>NATURAL WOOD BOX-ORDINARY W.WATER RESISTANT COATING (4C1)</t>
  </si>
  <si>
    <t>OA</t>
  </si>
  <si>
    <t>OP</t>
  </si>
  <si>
    <t>P1</t>
  </si>
  <si>
    <t>PB</t>
  </si>
  <si>
    <t>PAPER CARBOY</t>
  </si>
  <si>
    <t>PC</t>
  </si>
  <si>
    <t>PIECE</t>
  </si>
  <si>
    <t>PD</t>
  </si>
  <si>
    <t>PF</t>
  </si>
  <si>
    <t>PI</t>
  </si>
  <si>
    <t>PLASTIC BAG</t>
  </si>
  <si>
    <t>PJ</t>
  </si>
  <si>
    <t>PM</t>
  </si>
  <si>
    <t>PN</t>
  </si>
  <si>
    <t>PAIL CAN</t>
  </si>
  <si>
    <t>PO</t>
  </si>
  <si>
    <t>PORCELAIN RECEPTACLE</t>
  </si>
  <si>
    <t>PP</t>
  </si>
  <si>
    <t>PLASTIC CAN</t>
  </si>
  <si>
    <t>PLASTIC TANK</t>
  </si>
  <si>
    <t>PU</t>
  </si>
  <si>
    <t>PX</t>
  </si>
  <si>
    <t>POLY CONTAINER</t>
  </si>
  <si>
    <t>RB</t>
  </si>
  <si>
    <t>RE</t>
  </si>
  <si>
    <t>RG</t>
  </si>
  <si>
    <t>RK</t>
  </si>
  <si>
    <t>RL</t>
  </si>
  <si>
    <t>RM</t>
  </si>
  <si>
    <t>RP</t>
  </si>
  <si>
    <t>RR</t>
  </si>
  <si>
    <t>RECONSTITUTED WOOD BOX (4F)</t>
  </si>
  <si>
    <t>RECONSTITUTED WOOD BOX W.METAL LINER (4F)</t>
  </si>
  <si>
    <t>RECONSTITUTED WOOD BOX W.PLASTIC FILM LINING (4F)</t>
  </si>
  <si>
    <t>RECONSTITUTED WOOD BOX W.WATER RESISTANT BAG (4F)</t>
  </si>
  <si>
    <t>RECONSTITUTED WOOD BOX W.WATER RESISTANT COATING (4F)</t>
  </si>
  <si>
    <t>S1</t>
  </si>
  <si>
    <t>STACK</t>
  </si>
  <si>
    <t>STEEL CASE</t>
  </si>
  <si>
    <t>SH</t>
  </si>
  <si>
    <t>SIDE</t>
  </si>
  <si>
    <t>SJ</t>
  </si>
  <si>
    <t>SHRINK-WRAPPED UNIT LOAD</t>
  </si>
  <si>
    <t>SP</t>
  </si>
  <si>
    <t>SW</t>
  </si>
  <si>
    <t>SHRINK WRAPPED</t>
  </si>
  <si>
    <t>T1</t>
  </si>
  <si>
    <t>TA</t>
  </si>
  <si>
    <t>TB</t>
  </si>
  <si>
    <t>TC</t>
  </si>
  <si>
    <t>TIN CAN</t>
  </si>
  <si>
    <t>STEEL DRUM</t>
  </si>
  <si>
    <t>TE</t>
  </si>
  <si>
    <t>TF</t>
  </si>
  <si>
    <t>TI</t>
  </si>
  <si>
    <t>TK</t>
  </si>
  <si>
    <t>TOWBALE</t>
  </si>
  <si>
    <t>TP</t>
  </si>
  <si>
    <t>TS</t>
  </si>
  <si>
    <t>TEXTILE SHEET-RUBBERIZED</t>
  </si>
  <si>
    <t>TU</t>
  </si>
  <si>
    <t>TX</t>
  </si>
  <si>
    <t>UL</t>
  </si>
  <si>
    <t>UN</t>
  </si>
  <si>
    <t>UP</t>
  </si>
  <si>
    <t>UT</t>
  </si>
  <si>
    <t>VI</t>
  </si>
  <si>
    <t>VP</t>
  </si>
  <si>
    <t>VAN PACK</t>
  </si>
  <si>
    <t>WA</t>
  </si>
  <si>
    <t>WB</t>
  </si>
  <si>
    <t>WOOD BOX</t>
  </si>
  <si>
    <t>WC</t>
  </si>
  <si>
    <t>WD</t>
  </si>
  <si>
    <t>WE</t>
  </si>
  <si>
    <t>WH</t>
  </si>
  <si>
    <t>WI</t>
  </si>
  <si>
    <t>WK</t>
  </si>
  <si>
    <t>WL</t>
  </si>
  <si>
    <t>WN</t>
  </si>
  <si>
    <t>WP</t>
  </si>
  <si>
    <t>WR</t>
  </si>
  <si>
    <t>WT</t>
  </si>
  <si>
    <t>WX</t>
  </si>
  <si>
    <t>WZ</t>
  </si>
  <si>
    <t>上海国际港务（集团）股份有限公司宜东集装箱码头分公司</t>
  </si>
  <si>
    <t>(外一)上海浦东国际集装箱码头有限公司</t>
  </si>
  <si>
    <t>(洋一)上海盛东国际集装箱码头有限公司</t>
  </si>
  <si>
    <t>(外四)上海沪东集装箱码头管理有限公司</t>
  </si>
  <si>
    <t>(外五)上海明东集装箱码头有限公司</t>
  </si>
  <si>
    <t>(洋三)上海冠东国际集装箱码头有限公司</t>
  </si>
  <si>
    <t>(外二)上海国际港务（集团）股份有限公司振东集装箱码头分公司</t>
  </si>
  <si>
    <t>上海国际港务（集团）股份有限公司罗泾分公司（散货）</t>
  </si>
  <si>
    <t>(洋四)上海国际港务（集团）股份有限公司尚东集装箱码头分公司</t>
  </si>
  <si>
    <t>非上海码头</t>
  </si>
  <si>
    <t>SNLHN—外运集运海南</t>
  </si>
  <si>
    <t>SNLHW—外运集运海外</t>
  </si>
  <si>
    <t>MIL—米拉哈国际航运有限公司</t>
  </si>
  <si>
    <t>VOL—阿联酋瓦尔塔船务有限公司</t>
  </si>
  <si>
    <t>SIF—仁川轮渡</t>
  </si>
  <si>
    <t>海管家上海港舱单模板 v20240614       建议用 excel 2010 以上版本或 WPS 编辑        * 星号必填</t>
  </si>
  <si>
    <t>HLCUSHA250138924</t>
    <phoneticPr fontId="27" type="noConversion"/>
  </si>
  <si>
    <t xml:space="preserve">HMM SOUTHAMPTON </t>
    <phoneticPr fontId="27" type="noConversion"/>
  </si>
  <si>
    <t>015W</t>
    <phoneticPr fontId="27" type="noConversion"/>
  </si>
  <si>
    <t>SHANGHAI</t>
    <phoneticPr fontId="27" type="noConversion"/>
  </si>
  <si>
    <t>SUZHOU SUDELAN RAILWAY PARTS CO.,LTD.</t>
    <phoneticPr fontId="27" type="noConversion"/>
  </si>
  <si>
    <t>112#,XINJIANG ROAD,FUQIAO,TAICANG CITY JIANGSU PROVINCE,P.R.CHINA</t>
    <phoneticPr fontId="27" type="noConversion"/>
  </si>
  <si>
    <t>TEL:+8651253703217</t>
    <phoneticPr fontId="27" type="noConversion"/>
  </si>
  <si>
    <t>SKELLEFTEHAMN</t>
  </si>
  <si>
    <t>SKELLEFTEHAMN</t>
    <phoneticPr fontId="27" type="noConversion"/>
  </si>
  <si>
    <t>EUROMEX PARTS AB</t>
    <phoneticPr fontId="27" type="noConversion"/>
  </si>
  <si>
    <t>GULAKRAVAGEN 10 271 73 KOPINGEBRO SWEDEN</t>
    <phoneticPr fontId="27" type="noConversion"/>
  </si>
  <si>
    <t>46 070 665 90 06</t>
    <phoneticPr fontId="27" type="noConversion"/>
  </si>
  <si>
    <t>太仓</t>
    <phoneticPr fontId="27" type="noConversion"/>
  </si>
  <si>
    <t xml:space="preserve">RAIL SPIKE 16x16x170 </t>
    <phoneticPr fontId="27" type="noConversion"/>
  </si>
  <si>
    <t>Art.Nr 0128051  
RAIL Spike 16x16x170
2000 st</t>
    <phoneticPr fontId="27" type="noConversion"/>
  </si>
  <si>
    <t>FANU1364940</t>
    <phoneticPr fontId="31" type="noConversion"/>
  </si>
  <si>
    <t>HLG8203106</t>
    <phoneticPr fontId="31" type="noConversion"/>
  </si>
  <si>
    <t>HLBU3700785</t>
    <phoneticPr fontId="31" type="noConversion"/>
  </si>
  <si>
    <t>HLG8202048</t>
    <phoneticPr fontId="31" type="noConversion"/>
  </si>
  <si>
    <t>GCXU2491230</t>
    <phoneticPr fontId="31" type="noConversion"/>
  </si>
  <si>
    <t>HLG8202049</t>
    <phoneticPr fontId="31" type="noConversion"/>
  </si>
  <si>
    <t>CAIU6301739</t>
    <phoneticPr fontId="31" type="noConversion"/>
  </si>
  <si>
    <t>HLG8203109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</si>
</sst>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黑体-简 细体"/>
      <charset val="134"/>
    </font>
    <font>
      <sz val="11"/>
      <color theme="1"/>
      <name val="黑体-简 细体"/>
      <charset val="134"/>
    </font>
    <font>
      <sz val="16"/>
      <color rgb="FFFF0000"/>
      <name val="黑体-简 细体"/>
      <charset val="134"/>
    </font>
    <font>
      <sz val="11"/>
      <name val="黑体-简 细体"/>
      <charset val="134"/>
    </font>
    <font>
      <sz val="11"/>
      <color rgb="FFFF0000"/>
      <name val="黑体-简 细体"/>
      <charset val="134"/>
    </font>
    <font>
      <sz val="11"/>
      <color theme="1"/>
      <name val="Microsoft YaHei"/>
      <charset val="134"/>
    </font>
    <font>
      <sz val="16"/>
      <color theme="1"/>
      <name val="黑体-简 细体"/>
      <charset val="134"/>
    </font>
    <font>
      <sz val="10"/>
      <name val="黑体-简 细体"/>
      <charset val="134"/>
    </font>
    <font>
      <sz val="16"/>
      <color rgb="FFFF0000"/>
      <name val="Microsoft YaHei"/>
      <charset val="134"/>
    </font>
    <font>
      <sz val="11"/>
      <color theme="1"/>
      <name val="宋体"/>
      <family val="3"/>
      <charset val="134"/>
    </font>
    <font>
      <sz val="16"/>
      <color theme="0"/>
      <name val="宋体"/>
      <family val="3"/>
      <charset val="134"/>
    </font>
    <font>
      <sz val="11"/>
      <color theme="1"/>
      <name val="Heiti SC Light"/>
      <family val="1"/>
    </font>
    <font>
      <sz val="11"/>
      <color rgb="FF474747"/>
      <name val="黑体-简 细体"/>
      <charset val="134"/>
    </font>
    <font>
      <sz val="10"/>
      <name val="Arial"/>
      <family val="2"/>
    </font>
    <font>
      <sz val="11"/>
      <color rgb="FF000000"/>
      <name val="黑体-简 细体"/>
      <charset val="134"/>
    </font>
    <font>
      <sz val="11"/>
      <color theme="1"/>
      <name val="Microsoft YaHei UI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DE7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38DD6"/>
        <bgColor indexed="64"/>
      </patternFill>
    </fill>
    <fill>
      <patternFill patternType="solid">
        <fgColor rgb="FFDCE7F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95B2D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6" fillId="0" borderId="0">
      <alignment vertical="center"/>
    </xf>
    <xf numFmtId="0" fontId="26" fillId="0" borderId="0" applyBorder="0"/>
    <xf numFmtId="0" fontId="26" fillId="0" borderId="0"/>
    <xf numFmtId="0" fontId="23" fillId="0" borderId="0"/>
    <xf numFmtId="0" fontId="29" fillId="0" borderId="0" applyNumberFormat="0" applyFill="0" applyBorder="0" applyAlignment="0" applyProtection="0"/>
  </cellStyleXfs>
  <cellXfs count="1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5" fillId="2" borderId="1" xfId="0" applyFont="1" applyFill="1" applyBorder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1" xfId="0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5" borderId="1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7" fillId="0" borderId="1" xfId="3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13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4" fillId="8" borderId="2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1" fillId="8" borderId="7" xfId="0" applyFont="1" applyFill="1" applyBorder="1" applyAlignment="1">
      <alignment vertical="center"/>
    </xf>
    <xf numFmtId="0" fontId="21" fillId="9" borderId="7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0" borderId="1" xfId="0" applyFont="1" applyBorder="1" applyProtection="1">
      <protection locked="0"/>
    </xf>
    <xf numFmtId="49" fontId="11" fillId="0" borderId="1" xfId="0" applyNumberFormat="1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9" fillId="9" borderId="7" xfId="0" applyFont="1" applyFill="1" applyBorder="1" applyAlignment="1">
      <alignment vertical="center"/>
    </xf>
    <xf numFmtId="0" fontId="11" fillId="11" borderId="1" xfId="0" applyFont="1" applyFill="1" applyBorder="1" applyAlignment="1">
      <alignment horizontal="left" vertical="center"/>
    </xf>
    <xf numFmtId="0" fontId="22" fillId="0" borderId="0" xfId="0" applyFont="1"/>
    <xf numFmtId="0" fontId="13" fillId="0" borderId="1" xfId="0" applyFont="1" applyBorder="1" applyAlignment="1" applyProtection="1">
      <alignment wrapText="1"/>
      <protection locked="0"/>
    </xf>
    <xf numFmtId="0" fontId="0" fillId="0" borderId="18" xfId="0" applyBorder="1"/>
    <xf numFmtId="0" fontId="19" fillId="0" borderId="1" xfId="0" applyFont="1" applyBorder="1" applyAlignment="1" applyProtection="1">
      <alignment horizontal="left" vertical="center" wrapText="1"/>
      <protection locked="0"/>
    </xf>
    <xf numFmtId="49" fontId="19" fillId="0" borderId="1" xfId="0" applyNumberFormat="1" applyFont="1" applyBorder="1" applyAlignment="1" applyProtection="1">
      <alignment horizontal="left" vertical="center" wrapText="1"/>
      <protection locked="0"/>
    </xf>
    <xf numFmtId="0" fontId="28" fillId="0" borderId="1" xfId="0" applyFont="1" applyBorder="1" applyAlignment="1" applyProtection="1">
      <alignment horizontal="left" vertical="center" wrapText="1"/>
      <protection locked="0"/>
    </xf>
    <xf numFmtId="49" fontId="28" fillId="0" borderId="1" xfId="0" applyNumberFormat="1" applyFont="1" applyBorder="1" applyAlignment="1" applyProtection="1">
      <alignment horizontal="left" vertical="center" wrapText="1"/>
      <protection locked="0"/>
    </xf>
    <xf numFmtId="49" fontId="14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26" fillId="0" borderId="18" xfId="0" applyFont="1" applyBorder="1" applyAlignment="1">
      <alignment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49" fontId="11" fillId="0" borderId="5" xfId="0" applyNumberFormat="1" applyFont="1" applyBorder="1" applyAlignment="1" applyProtection="1">
      <alignment horizontal="left" vertical="center"/>
      <protection locked="0"/>
    </xf>
    <xf numFmtId="49" fontId="11" fillId="0" borderId="16" xfId="0" applyNumberFormat="1" applyFont="1" applyBorder="1" applyAlignment="1" applyProtection="1">
      <alignment horizontal="left" vertical="center"/>
      <protection locked="0"/>
    </xf>
    <xf numFmtId="49" fontId="11" fillId="0" borderId="17" xfId="0" applyNumberFormat="1" applyFont="1" applyBorder="1" applyAlignment="1" applyProtection="1">
      <alignment horizontal="left" vertical="center"/>
      <protection locked="0"/>
    </xf>
    <xf numFmtId="0" fontId="11" fillId="9" borderId="5" xfId="0" applyFont="1" applyFill="1" applyBorder="1" applyAlignment="1" applyProtection="1">
      <alignment horizontal="left" vertical="center"/>
      <protection locked="0"/>
    </xf>
    <xf numFmtId="0" fontId="11" fillId="9" borderId="7" xfId="0" applyFont="1" applyFill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left" vertical="center"/>
      <protection locked="0"/>
    </xf>
    <xf numFmtId="0" fontId="11" fillId="10" borderId="5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6" xfId="0" applyFont="1" applyBorder="1" applyAlignment="1" applyProtection="1">
      <alignment horizontal="left" vertical="center"/>
      <protection locked="0"/>
    </xf>
    <xf numFmtId="0" fontId="11" fillId="0" borderId="17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0" fontId="11" fillId="0" borderId="16" xfId="0" applyFont="1" applyBorder="1" applyAlignment="1" applyProtection="1">
      <alignment horizontal="left" vertical="center" wrapText="1"/>
      <protection locked="0"/>
    </xf>
    <xf numFmtId="0" fontId="11" fillId="0" borderId="17" xfId="0" applyFont="1" applyBorder="1" applyAlignment="1" applyProtection="1">
      <alignment horizontal="left" vertical="center" wrapText="1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11" fillId="9" borderId="5" xfId="0" applyFont="1" applyFill="1" applyBorder="1" applyAlignment="1" applyProtection="1">
      <alignment horizontal="center" vertical="center"/>
      <protection locked="0"/>
    </xf>
    <xf numFmtId="0" fontId="11" fillId="9" borderId="7" xfId="0" applyFont="1" applyFill="1" applyBorder="1" applyAlignment="1" applyProtection="1">
      <alignment horizontal="center" vertical="center"/>
      <protection locked="0"/>
    </xf>
    <xf numFmtId="0" fontId="11" fillId="9" borderId="6" xfId="0" applyFont="1" applyFill="1" applyBorder="1" applyAlignment="1" applyProtection="1">
      <alignment horizontal="center" vertical="center"/>
      <protection locked="0"/>
    </xf>
    <xf numFmtId="49" fontId="11" fillId="9" borderId="5" xfId="0" applyNumberFormat="1" applyFont="1" applyFill="1" applyBorder="1" applyAlignment="1" applyProtection="1">
      <alignment horizontal="left" vertical="center"/>
      <protection locked="0"/>
    </xf>
    <xf numFmtId="49" fontId="11" fillId="9" borderId="7" xfId="0" applyNumberFormat="1" applyFont="1" applyFill="1" applyBorder="1" applyAlignment="1" applyProtection="1">
      <alignment horizontal="left" vertical="center"/>
      <protection locked="0"/>
    </xf>
    <xf numFmtId="49" fontId="11" fillId="9" borderId="6" xfId="0" applyNumberFormat="1" applyFont="1" applyFill="1" applyBorder="1" applyAlignment="1" applyProtection="1">
      <alignment horizontal="left" vertical="center"/>
      <protection locked="0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49" fontId="29" fillId="0" borderId="5" xfId="5" applyNumberFormat="1" applyBorder="1" applyAlignment="1" applyProtection="1">
      <alignment horizontal="left" vertical="center"/>
      <protection locked="0"/>
    </xf>
    <xf numFmtId="49" fontId="19" fillId="0" borderId="3" xfId="0" applyNumberFormat="1" applyFont="1" applyBorder="1" applyAlignment="1" applyProtection="1">
      <alignment horizontal="left" vertical="center"/>
      <protection locked="0"/>
    </xf>
    <xf numFmtId="49" fontId="11" fillId="0" borderId="4" xfId="0" applyNumberFormat="1" applyFont="1" applyBorder="1" applyAlignment="1" applyProtection="1">
      <alignment horizontal="left" vertical="center"/>
      <protection locked="0"/>
    </xf>
    <xf numFmtId="0" fontId="11" fillId="9" borderId="5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0" borderId="6" xfId="0" applyFont="1" applyBorder="1" applyAlignment="1" applyProtection="1">
      <alignment horizontal="left" vertical="center"/>
      <protection locked="0"/>
    </xf>
    <xf numFmtId="49" fontId="28" fillId="0" borderId="3" xfId="0" applyNumberFormat="1" applyFont="1" applyBorder="1" applyAlignment="1" applyProtection="1">
      <alignment horizontal="left" vertical="center"/>
      <protection locked="0"/>
    </xf>
    <xf numFmtId="49" fontId="14" fillId="0" borderId="4" xfId="0" applyNumberFormat="1" applyFont="1" applyBorder="1" applyAlignment="1" applyProtection="1">
      <alignment horizontal="left" vertical="center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49" fontId="11" fillId="0" borderId="3" xfId="0" applyNumberFormat="1" applyFont="1" applyBorder="1" applyAlignment="1" applyProtection="1">
      <alignment horizontal="left" vertical="center"/>
      <protection locked="0"/>
    </xf>
    <xf numFmtId="0" fontId="20" fillId="7" borderId="0" xfId="0" applyFont="1" applyFill="1" applyAlignment="1" applyProtection="1">
      <alignment horizontal="center" vertical="center" wrapText="1"/>
      <protection locked="0"/>
    </xf>
    <xf numFmtId="0" fontId="20" fillId="7" borderId="14" xfId="0" applyFont="1" applyFill="1" applyBorder="1" applyAlignment="1" applyProtection="1">
      <alignment horizontal="center" vertical="center" wrapText="1"/>
      <protection locked="0"/>
    </xf>
    <xf numFmtId="49" fontId="11" fillId="0" borderId="10" xfId="0" applyNumberFormat="1" applyFont="1" applyBorder="1" applyAlignment="1" applyProtection="1">
      <alignment horizontal="left" vertical="center"/>
      <protection locked="0"/>
    </xf>
    <xf numFmtId="49" fontId="11" fillId="0" borderId="7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horizontal="left" vertical="center"/>
    </xf>
    <xf numFmtId="0" fontId="30" fillId="0" borderId="18" xfId="0" applyFont="1" applyBorder="1" applyAlignment="1">
      <alignment vertical="center" wrapText="1"/>
    </xf>
    <xf numFmtId="0" fontId="13" fillId="12" borderId="0" xfId="0" applyFont="1" applyFill="1" applyProtection="1">
      <protection locked="0"/>
    </xf>
  </cellXfs>
  <cellStyles count="6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  <cellStyle name="常规 7" xfId="4" xr:uid="{00000000-0005-0000-0000-000034000000}"/>
    <cellStyle name="超链接" xfId="5" builtinId="8"/>
  </cellStyles>
  <dxfs count="5">
    <dxf>
      <fill>
        <patternFill patternType="solid">
          <bgColor rgb="FFFFFF00"/>
        </patternFill>
      </fill>
    </dxf>
    <dxf>
      <font>
        <b val="0"/>
        <i val="0"/>
        <strike val="0"/>
        <u val="none"/>
        <sz val="11"/>
        <color theme="1"/>
        <name val="Arial"/>
        <charset val="134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Arial"/>
        <charset val="134"/>
        <scheme val="none"/>
      </font>
      <fill>
        <patternFill patternType="solid">
          <bgColor rgb="FFFFDE7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黑体-简 细体"/>
        <charset val="134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黑体-简 细体"/>
        <charset val="134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EEEEEE"/>
      <color rgb="FF88A2C9"/>
      <color rgb="FF95B2D9"/>
      <color rgb="FF95B3D8"/>
      <color rgb="FFEBEBEB"/>
      <color rgb="FFDCE7F1"/>
      <color rgb="FF538DD6"/>
      <color rgb="FF98B6DE"/>
      <color rgb="FF457BD6"/>
      <color rgb="FF1859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B215" totalsRowShown="0">
  <autoFilter ref="A1:B215" xr:uid="{00000000-0009-0000-0100-000001000000}"/>
  <tableColumns count="2">
    <tableColumn id="1" xr3:uid="{00000000-0010-0000-0000-000001000000}" name="请直接复制表格第一列的内容，不要填入其他格式。例如您的发货人为“中国”，请复制“CN中国”。粘贴到舱单表格！" dataDxfId="4"/>
    <tableColumn id="2" xr3:uid="{00000000-0010-0000-0000-000002000000}" name="列1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2" displayName="表2" ref="A1:B252" totalsRowShown="0">
  <autoFilter ref="A1:B252" xr:uid="{00000000-0009-0000-0100-000002000000}"/>
  <tableColumns count="2">
    <tableColumn id="1" xr3:uid="{00000000-0010-0000-0100-000001000000}" name="包装代码" dataDxfId="2"/>
    <tableColumn id="2" xr3:uid="{00000000-0010-0000-0100-000002000000}" name="包装名称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+8651253703217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javascript:ModifyWithoutAjax(%22Current.%7b411a1fd7-9985-43c0-91ff-67d7569ac89e%7d0%22);" TargetMode="External"/><Relationship Id="rId2" Type="http://schemas.openxmlformats.org/officeDocument/2006/relationships/hyperlink" Target="javascript:ModifyWithoutAjax(%22Current.%7b411a1fd7-9985-43c0-91ff-67d7569ac89e%7d0%22);" TargetMode="External"/><Relationship Id="rId1" Type="http://schemas.openxmlformats.org/officeDocument/2006/relationships/hyperlink" Target="javascript:ModifyWithoutAjax(%22Current.%7b411a1fd7-9985-43c0-91ff-67d7569ac89e%7d0%22);" TargetMode="External"/><Relationship Id="rId4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6"/>
  <sheetViews>
    <sheetView tabSelected="1" topLeftCell="E27" zoomScale="85" zoomScaleNormal="85" workbookViewId="0">
      <selection activeCell="D40" sqref="D40"/>
    </sheetView>
  </sheetViews>
  <sheetFormatPr defaultColWidth="9" defaultRowHeight="13.5"/>
  <cols>
    <col min="1" max="1" width="27.5" style="38" customWidth="1" collapsed="1"/>
    <col min="2" max="2" width="23.5" style="38" customWidth="1" collapsed="1"/>
    <col min="3" max="3" width="13.625" style="38" customWidth="1" collapsed="1"/>
    <col min="4" max="4" width="11.5" style="38" customWidth="1" collapsed="1"/>
    <col min="5" max="5" width="12" style="38" customWidth="1" collapsed="1"/>
    <col min="6" max="6" width="25.5" style="38" customWidth="1" collapsed="1"/>
    <col min="7" max="7" width="16.625" style="38" customWidth="1" collapsed="1"/>
    <col min="8" max="8" width="6.875" style="38" customWidth="1" collapsed="1"/>
    <col min="9" max="9" width="12.5" style="38" customWidth="1" collapsed="1"/>
    <col min="10" max="10" width="11.375" style="38" customWidth="1" collapsed="1"/>
    <col min="11" max="11" width="11.875" style="38" customWidth="1" collapsed="1"/>
    <col min="12" max="12" width="8.5" style="38" customWidth="1" collapsed="1"/>
    <col min="13" max="13" width="12.875" style="38" customWidth="1" collapsed="1"/>
    <col min="14" max="14" width="11.125" style="38" customWidth="1" collapsed="1"/>
    <col min="15" max="15" width="11.75" style="38" customWidth="1" collapsed="1"/>
    <col min="16" max="16" width="11.125" style="38" customWidth="1" collapsed="1"/>
    <col min="17" max="17" width="13.75" style="38" customWidth="1" collapsed="1"/>
    <col min="18" max="18" width="8.875" style="38" customWidth="1" collapsed="1"/>
    <col min="19" max="19" width="9" style="38" collapsed="1"/>
    <col min="20" max="20" width="19.5" style="38" customWidth="1" collapsed="1"/>
    <col min="21" max="16384" width="9" style="38" collapsed="1"/>
  </cols>
  <sheetData>
    <row r="1" spans="1:19" s="25" customFormat="1" ht="32.1" customHeight="1">
      <c r="A1" s="116" t="s">
        <v>2831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7"/>
    </row>
    <row r="2" spans="1:19" s="25" customFormat="1" ht="18" customHeight="1">
      <c r="A2" s="39" t="s">
        <v>0</v>
      </c>
      <c r="B2" s="103" t="s">
        <v>2832</v>
      </c>
      <c r="C2" s="104"/>
      <c r="D2" s="39" t="s">
        <v>1</v>
      </c>
      <c r="E2" s="115"/>
      <c r="F2" s="104"/>
      <c r="G2" s="40" t="s">
        <v>2</v>
      </c>
      <c r="H2" s="115" t="s">
        <v>179</v>
      </c>
      <c r="I2" s="118"/>
      <c r="J2" s="118"/>
      <c r="K2" s="51" t="s">
        <v>3</v>
      </c>
      <c r="L2" s="119" t="s">
        <v>54</v>
      </c>
      <c r="M2" s="120"/>
      <c r="N2" s="65"/>
      <c r="O2" s="65"/>
      <c r="P2" s="65"/>
      <c r="Q2" s="66"/>
    </row>
    <row r="3" spans="1:19" s="25" customFormat="1" ht="18" customHeight="1">
      <c r="A3" s="41" t="s">
        <v>4</v>
      </c>
      <c r="B3" s="115"/>
      <c r="C3" s="104"/>
      <c r="D3" s="41" t="s">
        <v>5</v>
      </c>
      <c r="E3" s="86" t="s">
        <v>218</v>
      </c>
      <c r="F3" s="111"/>
      <c r="G3" s="42" t="s">
        <v>6</v>
      </c>
      <c r="H3" s="86" t="s">
        <v>214</v>
      </c>
      <c r="I3" s="92"/>
      <c r="J3" s="111"/>
      <c r="K3" s="64"/>
      <c r="L3" s="65"/>
      <c r="M3" s="65"/>
      <c r="N3" s="65"/>
      <c r="O3" s="65"/>
      <c r="P3" s="65"/>
      <c r="Q3" s="66"/>
    </row>
    <row r="4" spans="1:19" s="25" customFormat="1" ht="18" customHeight="1">
      <c r="A4" s="41" t="s">
        <v>7</v>
      </c>
      <c r="B4" s="86"/>
      <c r="C4" s="111"/>
      <c r="D4" s="41" t="s">
        <v>8</v>
      </c>
      <c r="E4" s="114"/>
      <c r="F4" s="111"/>
      <c r="G4" s="43" t="s">
        <v>9</v>
      </c>
      <c r="H4" s="86" t="s">
        <v>54</v>
      </c>
      <c r="I4" s="92"/>
      <c r="J4" s="111"/>
      <c r="K4" s="67"/>
      <c r="L4" s="68"/>
      <c r="M4" s="68"/>
      <c r="N4" s="68"/>
      <c r="O4" s="68"/>
      <c r="P4" s="68"/>
      <c r="Q4" s="69"/>
    </row>
    <row r="5" spans="1:19" s="25" customFormat="1" ht="18" customHeight="1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8"/>
    </row>
    <row r="6" spans="1:19" s="25" customFormat="1" ht="18" customHeight="1">
      <c r="A6" s="41" t="s">
        <v>10</v>
      </c>
      <c r="B6" s="103" t="s">
        <v>2833</v>
      </c>
      <c r="C6" s="104"/>
      <c r="D6" s="41" t="s">
        <v>11</v>
      </c>
      <c r="E6" s="103" t="s">
        <v>2834</v>
      </c>
      <c r="F6" s="104"/>
      <c r="G6" s="42" t="s">
        <v>12</v>
      </c>
      <c r="H6" s="86"/>
      <c r="I6" s="92"/>
      <c r="J6" s="111"/>
      <c r="K6" s="108"/>
      <c r="L6" s="109"/>
      <c r="M6" s="109"/>
      <c r="N6" s="109"/>
      <c r="O6" s="109"/>
      <c r="P6" s="109"/>
      <c r="Q6" s="110"/>
    </row>
    <row r="7" spans="1:19" s="25" customFormat="1" ht="18" customHeight="1">
      <c r="A7" s="41" t="s">
        <v>13</v>
      </c>
      <c r="B7" s="103" t="s">
        <v>2835</v>
      </c>
      <c r="C7" s="104"/>
      <c r="D7" s="41" t="s">
        <v>14</v>
      </c>
      <c r="E7" s="112" t="s">
        <v>2839</v>
      </c>
      <c r="F7" s="113"/>
      <c r="G7" s="42" t="s">
        <v>15</v>
      </c>
      <c r="H7" s="114" t="s">
        <v>2840</v>
      </c>
      <c r="I7" s="92"/>
      <c r="J7" s="111"/>
      <c r="K7" s="64"/>
      <c r="L7" s="65"/>
      <c r="M7" s="65"/>
      <c r="N7" s="65"/>
      <c r="O7" s="65"/>
      <c r="P7" s="65"/>
      <c r="Q7" s="66"/>
    </row>
    <row r="8" spans="1:19" s="25" customFormat="1" ht="18" customHeight="1">
      <c r="A8" s="41" t="s">
        <v>16</v>
      </c>
      <c r="B8" s="103" t="s">
        <v>2844</v>
      </c>
      <c r="C8" s="104"/>
      <c r="D8" s="105"/>
      <c r="E8" s="106"/>
      <c r="F8" s="106"/>
      <c r="G8" s="106"/>
      <c r="H8" s="106"/>
      <c r="I8" s="106"/>
      <c r="J8" s="107"/>
      <c r="K8" s="67"/>
      <c r="L8" s="68"/>
      <c r="M8" s="68"/>
      <c r="N8" s="68"/>
      <c r="O8" s="68"/>
      <c r="P8" s="68"/>
      <c r="Q8" s="69"/>
    </row>
    <row r="9" spans="1:19" s="25" customFormat="1" ht="18" customHeight="1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9" s="25" customFormat="1" ht="18" customHeight="1">
      <c r="A10" s="82" t="s">
        <v>17</v>
      </c>
      <c r="B10" s="41" t="s">
        <v>18</v>
      </c>
      <c r="C10" s="86" t="s">
        <v>2836</v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8"/>
    </row>
    <row r="11" spans="1:19" s="25" customFormat="1" ht="18" customHeight="1">
      <c r="A11" s="83"/>
      <c r="B11" s="41" t="s">
        <v>19</v>
      </c>
      <c r="C11" s="89" t="s">
        <v>2837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1"/>
    </row>
    <row r="12" spans="1:19" s="25" customFormat="1" ht="18" customHeight="1">
      <c r="A12" s="83"/>
      <c r="B12" s="44" t="s">
        <v>20</v>
      </c>
      <c r="C12" s="73" t="s">
        <v>54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5"/>
    </row>
    <row r="13" spans="1:19" s="25" customFormat="1" ht="18" customHeight="1">
      <c r="A13" s="83"/>
      <c r="B13" s="41" t="s">
        <v>21</v>
      </c>
      <c r="C13" s="86" t="s">
        <v>441</v>
      </c>
      <c r="D13" s="92"/>
      <c r="E13" s="73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5"/>
      <c r="R13" s="53" t="str">
        <f>IFERROR(VLOOKUP(D13&amp;COLUMN(国家代码!#REF!),国家代码!#REF!,3,0),"")</f>
        <v/>
      </c>
      <c r="S13" s="53" t="str">
        <f>IFERROR(VLOOKUP(F13&amp;COLUMN(国家代码!C3),国家代码!#REF!,3,0),"")</f>
        <v/>
      </c>
    </row>
    <row r="14" spans="1:19" s="25" customFormat="1" ht="18" customHeight="1">
      <c r="A14" s="83"/>
      <c r="B14" s="41" t="s">
        <v>22</v>
      </c>
      <c r="C14" s="102" t="s">
        <v>2838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2"/>
    </row>
    <row r="15" spans="1:19" s="25" customFormat="1" ht="18" customHeight="1">
      <c r="A15" s="84"/>
      <c r="B15" s="44" t="s">
        <v>23</v>
      </c>
      <c r="C15" s="73" t="s">
        <v>54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5"/>
    </row>
    <row r="16" spans="1:19" s="25" customFormat="1" ht="18" customHeight="1">
      <c r="A16" s="99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</row>
    <row r="17" spans="1:17" s="25" customFormat="1" ht="18" customHeight="1">
      <c r="A17" s="85" t="s">
        <v>24</v>
      </c>
      <c r="B17" s="41" t="s">
        <v>18</v>
      </c>
      <c r="C17" s="86" t="s">
        <v>2841</v>
      </c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8"/>
    </row>
    <row r="18" spans="1:17" s="25" customFormat="1" ht="18" customHeight="1">
      <c r="A18" s="85"/>
      <c r="B18" s="41" t="s">
        <v>19</v>
      </c>
      <c r="C18" s="89" t="s">
        <v>2842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1"/>
    </row>
    <row r="19" spans="1:17" s="25" customFormat="1" ht="18" customHeight="1">
      <c r="A19" s="85"/>
      <c r="B19" s="44" t="s">
        <v>20</v>
      </c>
      <c r="C19" s="73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</row>
    <row r="20" spans="1:17" s="25" customFormat="1" ht="18" customHeight="1">
      <c r="A20" s="85"/>
      <c r="B20" s="41" t="s">
        <v>21</v>
      </c>
      <c r="C20" s="86" t="s">
        <v>919</v>
      </c>
      <c r="D20" s="92"/>
      <c r="E20" s="93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5"/>
    </row>
    <row r="21" spans="1:17" s="25" customFormat="1" ht="18" customHeight="1">
      <c r="A21" s="85"/>
      <c r="B21" s="41" t="s">
        <v>22</v>
      </c>
      <c r="C21" s="70" t="s">
        <v>2843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</row>
    <row r="22" spans="1:17" s="25" customFormat="1" ht="18" customHeight="1">
      <c r="A22" s="85"/>
      <c r="B22" s="44" t="s">
        <v>23</v>
      </c>
      <c r="C22" s="73" t="s">
        <v>54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</row>
    <row r="23" spans="1:17" s="25" customFormat="1" ht="18" customHeight="1">
      <c r="A23" s="85"/>
      <c r="B23" s="44" t="s">
        <v>25</v>
      </c>
      <c r="C23" s="73" t="s">
        <v>54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</row>
    <row r="24" spans="1:17" s="25" customFormat="1" ht="18" customHeight="1">
      <c r="A24" s="85"/>
      <c r="B24" s="44" t="s">
        <v>26</v>
      </c>
      <c r="C24" s="96" t="s">
        <v>54</v>
      </c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8"/>
    </row>
    <row r="25" spans="1:17" s="25" customFormat="1" ht="18" customHeight="1">
      <c r="A25" s="99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1"/>
    </row>
    <row r="26" spans="1:17" s="25" customFormat="1" ht="18" customHeight="1">
      <c r="A26" s="85" t="s">
        <v>27</v>
      </c>
      <c r="B26" s="41" t="s">
        <v>18</v>
      </c>
      <c r="C26" s="86" t="s">
        <v>2841</v>
      </c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8"/>
    </row>
    <row r="27" spans="1:17" s="25" customFormat="1" ht="18" customHeight="1">
      <c r="A27" s="85"/>
      <c r="B27" s="41" t="s">
        <v>19</v>
      </c>
      <c r="C27" s="89" t="s">
        <v>2842</v>
      </c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1"/>
    </row>
    <row r="28" spans="1:17" s="25" customFormat="1" ht="18" customHeight="1">
      <c r="A28" s="85"/>
      <c r="B28" s="44" t="s">
        <v>20</v>
      </c>
      <c r="C28" s="73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5"/>
    </row>
    <row r="29" spans="1:17" s="25" customFormat="1" ht="18" customHeight="1">
      <c r="A29" s="85"/>
      <c r="B29" s="41" t="s">
        <v>28</v>
      </c>
      <c r="C29" s="86" t="s">
        <v>919</v>
      </c>
      <c r="D29" s="92"/>
      <c r="E29" s="93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5"/>
    </row>
    <row r="30" spans="1:17" s="25" customFormat="1" ht="18" customHeight="1">
      <c r="A30" s="85"/>
      <c r="B30" s="41" t="s">
        <v>22</v>
      </c>
      <c r="C30" s="70" t="s">
        <v>2843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2"/>
    </row>
    <row r="31" spans="1:17" s="25" customFormat="1" ht="18" customHeight="1">
      <c r="A31" s="85"/>
      <c r="B31" s="44" t="s">
        <v>23</v>
      </c>
      <c r="C31" s="73" t="s">
        <v>54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5"/>
    </row>
    <row r="32" spans="1:17" s="25" customFormat="1" ht="18" customHeight="1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8"/>
    </row>
    <row r="33" spans="1:20" s="25" customFormat="1" ht="18" customHeight="1">
      <c r="A33" s="79" t="s">
        <v>29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1"/>
    </row>
    <row r="34" spans="1:20" s="25" customFormat="1" ht="18" customHeight="1">
      <c r="A34" s="45" t="s">
        <v>30</v>
      </c>
      <c r="B34" s="45" t="s">
        <v>31</v>
      </c>
      <c r="C34" s="45" t="s">
        <v>32</v>
      </c>
      <c r="D34" s="45" t="s">
        <v>33</v>
      </c>
      <c r="E34" s="45" t="s">
        <v>34</v>
      </c>
      <c r="F34" s="45" t="s">
        <v>35</v>
      </c>
      <c r="G34" s="46" t="s">
        <v>36</v>
      </c>
      <c r="H34" s="45" t="s">
        <v>37</v>
      </c>
      <c r="I34" s="45" t="s">
        <v>38</v>
      </c>
      <c r="J34" s="45" t="s">
        <v>39</v>
      </c>
      <c r="K34" s="45" t="s">
        <v>40</v>
      </c>
      <c r="L34" s="45" t="s">
        <v>41</v>
      </c>
      <c r="M34" s="46" t="s">
        <v>42</v>
      </c>
      <c r="N34" s="46" t="s">
        <v>43</v>
      </c>
      <c r="O34" s="52" t="s">
        <v>44</v>
      </c>
      <c r="P34" s="46" t="s">
        <v>45</v>
      </c>
      <c r="Q34" s="46" t="s">
        <v>46</v>
      </c>
      <c r="R34" s="46" t="s">
        <v>47</v>
      </c>
      <c r="S34" s="46" t="s">
        <v>48</v>
      </c>
      <c r="T34" s="46" t="s">
        <v>49</v>
      </c>
    </row>
    <row r="35" spans="1:20" s="37" customFormat="1" ht="37.9" customHeight="1">
      <c r="A35" s="63" t="s">
        <v>2832</v>
      </c>
      <c r="B35" s="121" t="s">
        <v>2847</v>
      </c>
      <c r="C35" s="121" t="s">
        <v>2848</v>
      </c>
      <c r="D35" s="48" t="s">
        <v>227</v>
      </c>
      <c r="E35" s="49"/>
      <c r="F35" s="63" t="s">
        <v>2845</v>
      </c>
      <c r="G35" s="50"/>
      <c r="H35" s="62">
        <v>35</v>
      </c>
      <c r="I35" s="50" t="s">
        <v>1363</v>
      </c>
      <c r="J35" s="62">
        <v>24430</v>
      </c>
      <c r="K35" s="62">
        <v>15.75</v>
      </c>
      <c r="L35" s="56" t="s">
        <v>2846</v>
      </c>
      <c r="M35" s="48"/>
      <c r="N35" s="50"/>
      <c r="O35" s="47"/>
      <c r="P35" s="50"/>
      <c r="Q35" s="54"/>
      <c r="R35" s="122">
        <f>J35+2080</f>
        <v>26510</v>
      </c>
    </row>
    <row r="36" spans="1:20" ht="37.9" customHeight="1">
      <c r="A36" s="63" t="s">
        <v>2832</v>
      </c>
      <c r="B36" s="121" t="s">
        <v>2849</v>
      </c>
      <c r="C36" s="121" t="s">
        <v>2850</v>
      </c>
      <c r="D36" s="48" t="s">
        <v>227</v>
      </c>
      <c r="E36" s="49"/>
      <c r="F36" s="63" t="s">
        <v>2845</v>
      </c>
      <c r="G36" s="50"/>
      <c r="H36" s="62">
        <v>35</v>
      </c>
      <c r="I36" s="50" t="s">
        <v>1363</v>
      </c>
      <c r="J36" s="62">
        <v>24430</v>
      </c>
      <c r="K36" s="62">
        <v>15.75</v>
      </c>
      <c r="L36" s="56" t="s">
        <v>2846</v>
      </c>
      <c r="M36" s="48"/>
      <c r="N36" s="50"/>
      <c r="O36" s="47"/>
      <c r="P36" s="50"/>
      <c r="Q36" s="47"/>
      <c r="R36" s="122">
        <f>J36+2200</f>
        <v>26630</v>
      </c>
      <c r="T36" s="37"/>
    </row>
    <row r="37" spans="1:20" ht="37.9" customHeight="1">
      <c r="A37" s="63" t="s">
        <v>2832</v>
      </c>
      <c r="B37" s="121" t="s">
        <v>2851</v>
      </c>
      <c r="C37" s="121" t="s">
        <v>2852</v>
      </c>
      <c r="D37" s="48" t="s">
        <v>227</v>
      </c>
      <c r="E37" s="49"/>
      <c r="F37" s="63" t="s">
        <v>2845</v>
      </c>
      <c r="G37" s="50"/>
      <c r="H37" s="62">
        <v>35</v>
      </c>
      <c r="I37" s="50" t="s">
        <v>1363</v>
      </c>
      <c r="J37" s="62">
        <v>24430</v>
      </c>
      <c r="K37" s="62">
        <v>15.75</v>
      </c>
      <c r="L37" s="56" t="s">
        <v>2846</v>
      </c>
      <c r="M37" s="48"/>
      <c r="N37" s="50"/>
      <c r="O37" s="47"/>
      <c r="P37" s="50"/>
      <c r="Q37" s="47"/>
      <c r="R37" s="122">
        <f>J37+2100</f>
        <v>26530</v>
      </c>
      <c r="T37" s="37"/>
    </row>
    <row r="38" spans="1:20" ht="37.9" customHeight="1">
      <c r="A38" s="63" t="s">
        <v>2832</v>
      </c>
      <c r="B38" s="121" t="s">
        <v>2853</v>
      </c>
      <c r="C38" s="121" t="s">
        <v>2854</v>
      </c>
      <c r="D38" s="48" t="s">
        <v>227</v>
      </c>
      <c r="E38" s="49"/>
      <c r="F38" s="63" t="s">
        <v>2845</v>
      </c>
      <c r="G38" s="50"/>
      <c r="H38" s="62">
        <v>35</v>
      </c>
      <c r="I38" s="50" t="s">
        <v>1363</v>
      </c>
      <c r="J38" s="62">
        <v>24430</v>
      </c>
      <c r="K38" s="62">
        <v>15.75</v>
      </c>
      <c r="L38" s="56" t="s">
        <v>2846</v>
      </c>
      <c r="M38" s="48"/>
      <c r="N38" s="50"/>
      <c r="O38" s="47"/>
      <c r="P38" s="50"/>
      <c r="Q38" s="47"/>
      <c r="R38" s="122">
        <f>J38+2150</f>
        <v>26580</v>
      </c>
      <c r="T38" s="37"/>
    </row>
    <row r="39" spans="1:20" ht="30" customHeight="1">
      <c r="A39" s="61"/>
      <c r="B39" s="57"/>
      <c r="C39" s="57"/>
      <c r="D39" s="48"/>
      <c r="E39" s="49"/>
      <c r="F39" s="61"/>
      <c r="G39" s="50"/>
      <c r="H39" s="62"/>
      <c r="I39" s="50"/>
      <c r="J39" s="62"/>
      <c r="K39" s="62"/>
      <c r="L39" s="56"/>
      <c r="M39" s="48"/>
      <c r="N39" s="50"/>
      <c r="O39" s="47"/>
      <c r="P39" s="50"/>
      <c r="Q39" s="47"/>
      <c r="R39" s="37"/>
      <c r="T39" s="37"/>
    </row>
    <row r="40" spans="1:20" ht="30" customHeight="1">
      <c r="A40" s="58"/>
      <c r="B40" s="59"/>
      <c r="C40" s="60"/>
      <c r="D40" s="48"/>
      <c r="E40" s="49"/>
      <c r="F40" s="50"/>
      <c r="G40" s="50"/>
      <c r="H40" s="50"/>
      <c r="I40" s="50"/>
      <c r="J40" s="50"/>
      <c r="K40" s="50"/>
      <c r="L40" s="50"/>
      <c r="M40" s="48"/>
      <c r="N40" s="50"/>
      <c r="O40" s="47"/>
      <c r="P40" s="50"/>
      <c r="Q40" s="47"/>
      <c r="T40" s="37"/>
    </row>
    <row r="41" spans="1:20" ht="18" customHeight="1">
      <c r="A41" s="50"/>
      <c r="B41" s="48"/>
      <c r="C41" s="48"/>
      <c r="D41" s="48"/>
      <c r="E41" s="49"/>
      <c r="F41" s="50"/>
      <c r="G41" s="50"/>
      <c r="H41" s="50"/>
      <c r="I41" s="50"/>
      <c r="J41" s="50"/>
      <c r="K41" s="50"/>
      <c r="L41" s="50"/>
      <c r="M41" s="48"/>
      <c r="N41" s="50"/>
      <c r="O41" s="47"/>
      <c r="P41" s="50"/>
      <c r="Q41" s="47"/>
      <c r="T41" s="37"/>
    </row>
    <row r="42" spans="1:20" ht="18" customHeight="1">
      <c r="A42" s="50"/>
      <c r="B42" s="48"/>
      <c r="C42" s="48"/>
      <c r="D42" s="48"/>
      <c r="E42" s="49"/>
      <c r="F42" s="50"/>
      <c r="G42" s="50"/>
      <c r="H42" s="50"/>
      <c r="I42" s="50"/>
      <c r="J42" s="50"/>
      <c r="K42" s="50"/>
      <c r="L42" s="50"/>
      <c r="M42" s="48"/>
      <c r="N42" s="50"/>
      <c r="O42" s="47"/>
      <c r="P42" s="50"/>
      <c r="Q42" s="47"/>
      <c r="T42" s="37"/>
    </row>
    <row r="43" spans="1:20" ht="18" customHeight="1">
      <c r="A43" s="50"/>
      <c r="B43" s="48"/>
      <c r="C43" s="48"/>
      <c r="D43" s="48"/>
      <c r="E43" s="49"/>
      <c r="F43" s="50"/>
      <c r="G43" s="50"/>
      <c r="H43" s="50"/>
      <c r="I43" s="50"/>
      <c r="J43" s="50"/>
      <c r="K43" s="50"/>
      <c r="L43" s="50"/>
      <c r="M43" s="48"/>
      <c r="N43" s="50"/>
      <c r="O43" s="47"/>
      <c r="P43" s="50"/>
      <c r="Q43" s="47"/>
      <c r="T43" s="37"/>
    </row>
    <row r="44" spans="1:20" ht="18" customHeight="1">
      <c r="A44" s="50"/>
      <c r="B44" s="48"/>
      <c r="C44" s="48"/>
      <c r="D44" s="48"/>
      <c r="E44" s="49"/>
      <c r="F44" s="50"/>
      <c r="G44" s="50"/>
      <c r="H44" s="50"/>
      <c r="I44" s="50"/>
      <c r="J44" s="50"/>
      <c r="K44" s="50"/>
      <c r="L44" s="50"/>
      <c r="M44" s="48"/>
      <c r="N44" s="50"/>
      <c r="O44" s="47"/>
      <c r="P44" s="50"/>
      <c r="Q44" s="47"/>
      <c r="T44" s="37"/>
    </row>
    <row r="45" spans="1:20" ht="18" customHeight="1">
      <c r="A45" s="50"/>
      <c r="B45" s="48"/>
      <c r="C45" s="48"/>
      <c r="D45" s="48"/>
      <c r="E45" s="49"/>
      <c r="F45" s="50"/>
      <c r="G45" s="50"/>
      <c r="H45" s="50"/>
      <c r="I45" s="50"/>
      <c r="J45" s="50"/>
      <c r="K45" s="50"/>
      <c r="L45" s="50"/>
      <c r="M45" s="48"/>
      <c r="N45" s="50"/>
      <c r="O45" s="47"/>
      <c r="P45" s="50"/>
      <c r="Q45" s="47"/>
      <c r="T45" s="37"/>
    </row>
    <row r="46" spans="1:20" ht="18" customHeight="1">
      <c r="A46" s="50"/>
      <c r="B46" s="48"/>
      <c r="C46" s="48"/>
      <c r="D46" s="48"/>
      <c r="E46" s="49"/>
      <c r="F46" s="50"/>
      <c r="G46" s="50"/>
      <c r="H46" s="50"/>
      <c r="I46" s="50"/>
      <c r="J46" s="50"/>
      <c r="K46" s="50"/>
      <c r="L46" s="50"/>
      <c r="M46" s="48"/>
      <c r="N46" s="50"/>
      <c r="O46" s="47"/>
      <c r="P46" s="50"/>
      <c r="Q46" s="47"/>
      <c r="T46" s="37"/>
    </row>
    <row r="47" spans="1:20" ht="18" customHeight="1">
      <c r="A47" s="50"/>
      <c r="B47" s="48"/>
      <c r="C47" s="48"/>
      <c r="D47" s="48"/>
      <c r="E47" s="49"/>
      <c r="F47" s="50"/>
      <c r="G47" s="50"/>
      <c r="H47" s="50"/>
      <c r="I47" s="50"/>
      <c r="J47" s="50"/>
      <c r="K47" s="50"/>
      <c r="L47" s="50"/>
      <c r="M47" s="48"/>
      <c r="N47" s="50"/>
      <c r="O47" s="47"/>
      <c r="P47" s="50"/>
      <c r="Q47" s="47"/>
      <c r="T47" s="37"/>
    </row>
    <row r="48" spans="1:20" ht="18" customHeight="1">
      <c r="A48" s="50"/>
      <c r="B48" s="48"/>
      <c r="C48" s="48"/>
      <c r="D48" s="48"/>
      <c r="E48" s="49"/>
      <c r="F48" s="50"/>
      <c r="G48" s="50"/>
      <c r="H48" s="50"/>
      <c r="I48" s="50"/>
      <c r="J48" s="50"/>
      <c r="K48" s="50"/>
      <c r="L48" s="50"/>
      <c r="M48" s="48"/>
      <c r="N48" s="50"/>
      <c r="O48" s="47"/>
      <c r="P48" s="50"/>
      <c r="Q48" s="47"/>
      <c r="T48" s="37"/>
    </row>
    <row r="49" spans="1:20" ht="18" customHeight="1">
      <c r="A49" s="50"/>
      <c r="B49" s="48"/>
      <c r="C49" s="48"/>
      <c r="D49" s="48"/>
      <c r="E49" s="49"/>
      <c r="F49" s="50"/>
      <c r="G49" s="50"/>
      <c r="H49" s="50"/>
      <c r="I49" s="50"/>
      <c r="J49" s="50"/>
      <c r="K49" s="50"/>
      <c r="L49" s="50"/>
      <c r="M49" s="48"/>
      <c r="N49" s="50"/>
      <c r="O49" s="47"/>
      <c r="P49" s="50"/>
      <c r="Q49" s="47"/>
      <c r="T49" s="37"/>
    </row>
    <row r="50" spans="1:20" ht="18" customHeight="1">
      <c r="A50" s="50"/>
      <c r="B50" s="48"/>
      <c r="C50" s="48"/>
      <c r="D50" s="48"/>
      <c r="E50" s="49"/>
      <c r="F50" s="50"/>
      <c r="G50" s="50"/>
      <c r="H50" s="50"/>
      <c r="I50" s="50"/>
      <c r="J50" s="50"/>
      <c r="K50" s="50"/>
      <c r="L50" s="50"/>
      <c r="M50" s="48"/>
      <c r="N50" s="50"/>
      <c r="O50" s="47"/>
      <c r="P50" s="50"/>
      <c r="Q50" s="47"/>
      <c r="T50" s="37"/>
    </row>
    <row r="51" spans="1:20" ht="18" customHeight="1">
      <c r="A51" s="50"/>
      <c r="B51" s="48"/>
      <c r="C51" s="48"/>
      <c r="D51" s="48"/>
      <c r="E51" s="49"/>
      <c r="F51" s="50"/>
      <c r="G51" s="50"/>
      <c r="H51" s="50"/>
      <c r="I51" s="50"/>
      <c r="J51" s="50"/>
      <c r="K51" s="50"/>
      <c r="L51" s="50"/>
      <c r="M51" s="48"/>
      <c r="N51" s="50"/>
      <c r="O51" s="47"/>
      <c r="P51" s="50"/>
      <c r="Q51" s="47"/>
      <c r="T51" s="37"/>
    </row>
    <row r="52" spans="1:20" ht="18" customHeight="1">
      <c r="A52" s="50"/>
      <c r="B52" s="48"/>
      <c r="C52" s="48"/>
      <c r="D52" s="48"/>
      <c r="E52" s="49"/>
      <c r="F52" s="50"/>
      <c r="G52" s="50"/>
      <c r="H52" s="50"/>
      <c r="I52" s="50"/>
      <c r="J52" s="50"/>
      <c r="K52" s="50"/>
      <c r="L52" s="50"/>
      <c r="M52" s="48"/>
      <c r="N52" s="50"/>
      <c r="O52" s="47"/>
      <c r="P52" s="50"/>
      <c r="Q52" s="47"/>
      <c r="T52" s="37"/>
    </row>
    <row r="53" spans="1:20" ht="18" customHeight="1">
      <c r="A53" s="50"/>
      <c r="B53" s="48"/>
      <c r="C53" s="48"/>
      <c r="D53" s="48"/>
      <c r="E53" s="49"/>
      <c r="F53" s="50"/>
      <c r="G53" s="50"/>
      <c r="H53" s="50"/>
      <c r="I53" s="50"/>
      <c r="J53" s="50"/>
      <c r="K53" s="50"/>
      <c r="L53" s="50"/>
      <c r="M53" s="48"/>
      <c r="N53" s="50"/>
      <c r="O53" s="47"/>
      <c r="P53" s="50"/>
      <c r="Q53" s="47"/>
      <c r="T53" s="37"/>
    </row>
    <row r="54" spans="1:20" ht="18" customHeight="1">
      <c r="A54" s="50"/>
      <c r="B54" s="48"/>
      <c r="C54" s="48"/>
      <c r="D54" s="48"/>
      <c r="E54" s="49"/>
      <c r="F54" s="50"/>
      <c r="G54" s="50"/>
      <c r="H54" s="50"/>
      <c r="I54" s="50"/>
      <c r="J54" s="50"/>
      <c r="K54" s="50"/>
      <c r="L54" s="50"/>
      <c r="M54" s="48"/>
      <c r="N54" s="50"/>
      <c r="O54" s="47"/>
      <c r="P54" s="50"/>
      <c r="Q54" s="47"/>
      <c r="T54" s="37"/>
    </row>
    <row r="55" spans="1:20" ht="18" customHeight="1">
      <c r="A55" s="50"/>
      <c r="B55" s="48"/>
      <c r="C55" s="48"/>
      <c r="D55" s="48"/>
      <c r="E55" s="49"/>
      <c r="F55" s="50"/>
      <c r="G55" s="50"/>
      <c r="H55" s="50"/>
      <c r="I55" s="50"/>
      <c r="J55" s="50"/>
      <c r="K55" s="50"/>
      <c r="L55" s="50"/>
      <c r="M55" s="48"/>
      <c r="N55" s="50"/>
      <c r="O55" s="47"/>
      <c r="P55" s="50"/>
      <c r="Q55" s="47"/>
      <c r="T55" s="37"/>
    </row>
    <row r="56" spans="1:20" ht="18" customHeight="1">
      <c r="A56" s="50"/>
      <c r="B56" s="48"/>
      <c r="C56" s="48"/>
      <c r="D56" s="48"/>
      <c r="E56" s="49"/>
      <c r="F56" s="50"/>
      <c r="G56" s="50"/>
      <c r="H56" s="50"/>
      <c r="I56" s="50"/>
      <c r="J56" s="50"/>
      <c r="K56" s="50"/>
      <c r="L56" s="50"/>
      <c r="M56" s="48"/>
      <c r="N56" s="50"/>
      <c r="O56" s="47"/>
      <c r="P56" s="50"/>
      <c r="Q56" s="47"/>
      <c r="T56" s="37"/>
    </row>
    <row r="57" spans="1:20" ht="18" customHeight="1">
      <c r="A57" s="50"/>
      <c r="B57" s="48"/>
      <c r="C57" s="48"/>
      <c r="D57" s="48"/>
      <c r="E57" s="49"/>
      <c r="F57" s="50"/>
      <c r="G57" s="50"/>
      <c r="H57" s="50"/>
      <c r="I57" s="50"/>
      <c r="J57" s="50"/>
      <c r="K57" s="50"/>
      <c r="L57" s="50"/>
      <c r="M57" s="48"/>
      <c r="N57" s="50"/>
      <c r="O57" s="47"/>
      <c r="P57" s="50"/>
      <c r="Q57" s="47"/>
      <c r="T57" s="37"/>
    </row>
    <row r="58" spans="1:20" ht="18" customHeight="1">
      <c r="A58" s="50"/>
      <c r="B58" s="48"/>
      <c r="C58" s="48"/>
      <c r="D58" s="48"/>
      <c r="E58" s="49"/>
      <c r="F58" s="50"/>
      <c r="G58" s="50"/>
      <c r="H58" s="50"/>
      <c r="I58" s="50"/>
      <c r="J58" s="50"/>
      <c r="K58" s="50"/>
      <c r="L58" s="50"/>
      <c r="M58" s="48"/>
      <c r="N58" s="50"/>
      <c r="O58" s="47"/>
      <c r="P58" s="50"/>
      <c r="Q58" s="47"/>
      <c r="T58" s="37"/>
    </row>
    <row r="59" spans="1:20" ht="18" customHeight="1">
      <c r="A59" s="50"/>
      <c r="B59" s="48"/>
      <c r="C59" s="48"/>
      <c r="D59" s="48"/>
      <c r="E59" s="49"/>
      <c r="F59" s="50"/>
      <c r="G59" s="50"/>
      <c r="H59" s="50"/>
      <c r="I59" s="50"/>
      <c r="J59" s="50"/>
      <c r="K59" s="50"/>
      <c r="L59" s="50"/>
      <c r="M59" s="48"/>
      <c r="N59" s="50"/>
      <c r="O59" s="47"/>
      <c r="P59" s="50"/>
      <c r="Q59" s="47"/>
      <c r="T59" s="37"/>
    </row>
    <row r="60" spans="1:20" ht="18" customHeight="1">
      <c r="A60" s="50"/>
      <c r="B60" s="48"/>
      <c r="C60" s="48"/>
      <c r="D60" s="48"/>
      <c r="E60" s="49"/>
      <c r="F60" s="50"/>
      <c r="G60" s="50"/>
      <c r="H60" s="50"/>
      <c r="I60" s="50"/>
      <c r="J60" s="50"/>
      <c r="K60" s="50"/>
      <c r="L60" s="50"/>
      <c r="M60" s="48"/>
      <c r="N60" s="50"/>
      <c r="O60" s="47"/>
      <c r="P60" s="50"/>
      <c r="Q60" s="47"/>
      <c r="T60" s="37"/>
    </row>
    <row r="61" spans="1:20" ht="18" customHeight="1">
      <c r="A61" s="50"/>
      <c r="B61" s="48"/>
      <c r="C61" s="48"/>
      <c r="D61" s="48"/>
      <c r="E61" s="49"/>
      <c r="F61" s="50"/>
      <c r="G61" s="50"/>
      <c r="H61" s="50"/>
      <c r="I61" s="50"/>
      <c r="J61" s="50"/>
      <c r="K61" s="50"/>
      <c r="L61" s="50"/>
      <c r="M61" s="48"/>
      <c r="N61" s="50"/>
      <c r="O61" s="47"/>
      <c r="P61" s="50"/>
      <c r="Q61" s="47"/>
      <c r="T61" s="37"/>
    </row>
    <row r="62" spans="1:20" ht="18" customHeight="1">
      <c r="A62" s="50"/>
      <c r="B62" s="48"/>
      <c r="C62" s="48"/>
      <c r="D62" s="48"/>
      <c r="E62" s="49"/>
      <c r="F62" s="50"/>
      <c r="G62" s="50"/>
      <c r="H62" s="50"/>
      <c r="I62" s="50"/>
      <c r="J62" s="50"/>
      <c r="K62" s="50"/>
      <c r="L62" s="50"/>
      <c r="M62" s="48"/>
      <c r="N62" s="50"/>
      <c r="O62" s="47"/>
      <c r="P62" s="50"/>
      <c r="Q62" s="47"/>
      <c r="T62" s="37"/>
    </row>
    <row r="63" spans="1:20" ht="18" customHeight="1">
      <c r="A63" s="50"/>
      <c r="B63" s="48"/>
      <c r="C63" s="48"/>
      <c r="D63" s="48"/>
      <c r="E63" s="49"/>
      <c r="F63" s="50"/>
      <c r="G63" s="50"/>
      <c r="H63" s="50"/>
      <c r="I63" s="50"/>
      <c r="J63" s="50"/>
      <c r="K63" s="50"/>
      <c r="L63" s="50"/>
      <c r="M63" s="48"/>
      <c r="N63" s="50"/>
      <c r="O63" s="47"/>
      <c r="P63" s="50"/>
      <c r="Q63" s="47"/>
      <c r="T63" s="37"/>
    </row>
    <row r="64" spans="1:20" ht="18" customHeight="1">
      <c r="A64" s="50"/>
      <c r="B64" s="48"/>
      <c r="C64" s="48"/>
      <c r="D64" s="48"/>
      <c r="E64" s="49"/>
      <c r="F64" s="50"/>
      <c r="G64" s="50"/>
      <c r="H64" s="50"/>
      <c r="I64" s="50"/>
      <c r="J64" s="50"/>
      <c r="K64" s="50"/>
      <c r="L64" s="50"/>
      <c r="M64" s="48"/>
      <c r="N64" s="50"/>
      <c r="O64" s="47"/>
      <c r="P64" s="50"/>
      <c r="Q64" s="47"/>
      <c r="T64" s="37"/>
    </row>
    <row r="65" spans="1:17" ht="18" customHeight="1">
      <c r="A65" s="50"/>
      <c r="B65" s="48"/>
      <c r="C65" s="48"/>
      <c r="D65" s="48"/>
      <c r="E65" s="49"/>
      <c r="F65" s="50"/>
      <c r="G65" s="50"/>
      <c r="H65" s="50"/>
      <c r="I65" s="50"/>
      <c r="J65" s="50"/>
      <c r="K65" s="50"/>
      <c r="L65" s="50"/>
      <c r="M65" s="48"/>
      <c r="N65" s="50"/>
      <c r="O65" s="47"/>
      <c r="P65" s="50"/>
      <c r="Q65" s="47"/>
    </row>
    <row r="66" spans="1:17" ht="18" customHeight="1">
      <c r="A66" s="50"/>
      <c r="B66" s="48"/>
      <c r="C66" s="48"/>
      <c r="D66" s="48"/>
      <c r="E66" s="49"/>
      <c r="F66" s="50"/>
      <c r="G66" s="50"/>
      <c r="H66" s="50"/>
      <c r="I66" s="50"/>
      <c r="J66" s="50"/>
      <c r="K66" s="50"/>
      <c r="L66" s="50"/>
      <c r="M66" s="48"/>
      <c r="N66" s="50"/>
      <c r="O66" s="47"/>
      <c r="P66" s="50"/>
      <c r="Q66" s="47"/>
    </row>
    <row r="67" spans="1:17" ht="18" customHeight="1">
      <c r="A67" s="50"/>
      <c r="B67" s="48"/>
      <c r="C67" s="48"/>
      <c r="D67" s="48"/>
      <c r="E67" s="49"/>
      <c r="F67" s="50"/>
      <c r="G67" s="50"/>
      <c r="H67" s="50"/>
      <c r="I67" s="50"/>
      <c r="J67" s="50"/>
      <c r="K67" s="50"/>
      <c r="L67" s="50"/>
      <c r="M67" s="48"/>
      <c r="N67" s="50"/>
      <c r="O67" s="47"/>
      <c r="P67" s="50"/>
      <c r="Q67" s="47"/>
    </row>
    <row r="68" spans="1:17" ht="18" customHeight="1">
      <c r="A68" s="50"/>
      <c r="B68" s="48"/>
      <c r="C68" s="48"/>
      <c r="D68" s="48"/>
      <c r="E68" s="49"/>
      <c r="F68" s="50"/>
      <c r="G68" s="50"/>
      <c r="H68" s="50"/>
      <c r="I68" s="50"/>
      <c r="J68" s="50"/>
      <c r="K68" s="50"/>
      <c r="L68" s="50"/>
      <c r="M68" s="48"/>
      <c r="N68" s="50"/>
      <c r="O68" s="47"/>
      <c r="P68" s="50"/>
      <c r="Q68" s="47"/>
    </row>
    <row r="69" spans="1:17" ht="18" customHeight="1">
      <c r="A69" s="50"/>
      <c r="B69" s="48"/>
      <c r="C69" s="48"/>
      <c r="D69" s="48"/>
      <c r="E69" s="49"/>
      <c r="F69" s="50"/>
      <c r="G69" s="50"/>
      <c r="H69" s="50"/>
      <c r="I69" s="50"/>
      <c r="J69" s="50"/>
      <c r="K69" s="50"/>
      <c r="L69" s="50"/>
      <c r="M69" s="48"/>
      <c r="N69" s="50"/>
      <c r="O69" s="47"/>
      <c r="P69" s="50"/>
      <c r="Q69" s="47"/>
    </row>
    <row r="70" spans="1:17" ht="18" customHeight="1">
      <c r="A70" s="50"/>
      <c r="B70" s="48"/>
      <c r="C70" s="48"/>
      <c r="D70" s="48"/>
      <c r="E70" s="49"/>
      <c r="F70" s="50"/>
      <c r="G70" s="50"/>
      <c r="H70" s="50"/>
      <c r="I70" s="50"/>
      <c r="J70" s="50"/>
      <c r="K70" s="50"/>
      <c r="L70" s="50"/>
      <c r="M70" s="48"/>
      <c r="N70" s="50"/>
      <c r="O70" s="47"/>
      <c r="P70" s="50"/>
      <c r="Q70" s="47"/>
    </row>
    <row r="71" spans="1:17" ht="18" customHeight="1">
      <c r="A71" s="50"/>
      <c r="B71" s="48"/>
      <c r="C71" s="48"/>
      <c r="D71" s="48"/>
      <c r="E71" s="49"/>
      <c r="F71" s="50"/>
      <c r="G71" s="50"/>
      <c r="H71" s="50"/>
      <c r="I71" s="50"/>
      <c r="J71" s="50"/>
      <c r="K71" s="50"/>
      <c r="L71" s="50"/>
      <c r="M71" s="48"/>
      <c r="N71" s="50"/>
      <c r="O71" s="47"/>
      <c r="P71" s="50"/>
      <c r="Q71" s="47"/>
    </row>
    <row r="72" spans="1:17" ht="18" customHeight="1">
      <c r="A72" s="50"/>
      <c r="B72" s="48"/>
      <c r="C72" s="48"/>
      <c r="D72" s="48"/>
      <c r="E72" s="49"/>
      <c r="F72" s="50"/>
      <c r="G72" s="50"/>
      <c r="H72" s="50"/>
      <c r="I72" s="50"/>
      <c r="J72" s="50"/>
      <c r="K72" s="50"/>
      <c r="L72" s="50"/>
      <c r="M72" s="48"/>
      <c r="N72" s="50"/>
      <c r="O72" s="47"/>
      <c r="P72" s="50"/>
      <c r="Q72" s="47"/>
    </row>
    <row r="73" spans="1:17" ht="18" customHeight="1">
      <c r="A73" s="50"/>
      <c r="B73" s="48"/>
      <c r="C73" s="48"/>
      <c r="D73" s="48"/>
      <c r="E73" s="49"/>
      <c r="F73" s="50"/>
      <c r="G73" s="50"/>
      <c r="H73" s="50"/>
      <c r="I73" s="50"/>
      <c r="J73" s="50"/>
      <c r="K73" s="50"/>
      <c r="L73" s="50"/>
      <c r="M73" s="48"/>
      <c r="N73" s="50"/>
      <c r="O73" s="47"/>
      <c r="P73" s="50"/>
      <c r="Q73" s="47"/>
    </row>
    <row r="74" spans="1:17" ht="18" customHeight="1">
      <c r="A74" s="50"/>
      <c r="B74" s="48"/>
      <c r="C74" s="48"/>
      <c r="D74" s="48"/>
      <c r="E74" s="49"/>
      <c r="F74" s="50"/>
      <c r="G74" s="50"/>
      <c r="H74" s="50"/>
      <c r="I74" s="50"/>
      <c r="J74" s="50"/>
      <c r="K74" s="50"/>
      <c r="L74" s="50"/>
      <c r="M74" s="48"/>
      <c r="N74" s="50"/>
      <c r="O74" s="47"/>
      <c r="P74" s="50"/>
      <c r="Q74" s="47"/>
    </row>
    <row r="75" spans="1:17" ht="18" customHeight="1">
      <c r="A75" s="50"/>
      <c r="B75" s="48"/>
      <c r="C75" s="48"/>
      <c r="D75" s="48"/>
      <c r="E75" s="49"/>
      <c r="F75" s="50"/>
      <c r="G75" s="50"/>
      <c r="H75" s="50"/>
      <c r="I75" s="50"/>
      <c r="J75" s="50"/>
      <c r="K75" s="50"/>
      <c r="L75" s="50"/>
      <c r="M75" s="48"/>
      <c r="N75" s="50"/>
      <c r="O75" s="47"/>
      <c r="P75" s="50"/>
      <c r="Q75" s="47"/>
    </row>
    <row r="76" spans="1:17" ht="18" customHeight="1">
      <c r="A76" s="50"/>
      <c r="B76" s="48"/>
      <c r="C76" s="48"/>
      <c r="D76" s="48"/>
      <c r="E76" s="49"/>
      <c r="F76" s="50"/>
      <c r="G76" s="50"/>
      <c r="H76" s="50"/>
      <c r="I76" s="50"/>
      <c r="J76" s="50"/>
      <c r="K76" s="50"/>
      <c r="L76" s="50"/>
      <c r="M76" s="48"/>
      <c r="N76" s="50"/>
      <c r="O76" s="47"/>
      <c r="P76" s="50"/>
      <c r="Q76" s="47"/>
    </row>
    <row r="77" spans="1:17" ht="18" customHeight="1">
      <c r="A77" s="50"/>
      <c r="B77" s="48"/>
      <c r="C77" s="48"/>
      <c r="D77" s="48"/>
      <c r="E77" s="49"/>
      <c r="F77" s="50"/>
      <c r="G77" s="50"/>
      <c r="H77" s="50"/>
      <c r="I77" s="50"/>
      <c r="J77" s="50"/>
      <c r="K77" s="50"/>
      <c r="L77" s="50"/>
      <c r="M77" s="48"/>
      <c r="N77" s="50"/>
      <c r="O77" s="47"/>
      <c r="P77" s="50"/>
      <c r="Q77" s="47"/>
    </row>
    <row r="78" spans="1:17" ht="18" customHeight="1">
      <c r="A78" s="50"/>
      <c r="B78" s="48"/>
      <c r="C78" s="48"/>
      <c r="D78" s="48"/>
      <c r="E78" s="49"/>
      <c r="F78" s="50"/>
      <c r="G78" s="50"/>
      <c r="H78" s="50"/>
      <c r="I78" s="50"/>
      <c r="J78" s="50"/>
      <c r="K78" s="50"/>
      <c r="L78" s="50"/>
      <c r="M78" s="48"/>
      <c r="N78" s="50"/>
      <c r="O78" s="47"/>
      <c r="P78" s="50"/>
      <c r="Q78" s="47"/>
    </row>
    <row r="79" spans="1:17" ht="18" customHeight="1">
      <c r="A79" s="50"/>
      <c r="B79" s="48"/>
      <c r="C79" s="48"/>
      <c r="D79" s="48"/>
      <c r="E79" s="49"/>
      <c r="F79" s="50"/>
      <c r="G79" s="50"/>
      <c r="H79" s="50"/>
      <c r="I79" s="50"/>
      <c r="J79" s="50"/>
      <c r="K79" s="50"/>
      <c r="L79" s="50"/>
      <c r="M79" s="48"/>
      <c r="N79" s="50"/>
      <c r="O79" s="47"/>
      <c r="P79" s="50"/>
      <c r="Q79" s="47"/>
    </row>
    <row r="80" spans="1:17" ht="18" customHeight="1">
      <c r="A80" s="50"/>
      <c r="B80" s="48"/>
      <c r="C80" s="48"/>
      <c r="D80" s="48"/>
      <c r="E80" s="49"/>
      <c r="F80" s="50"/>
      <c r="G80" s="50"/>
      <c r="H80" s="50"/>
      <c r="I80" s="50"/>
      <c r="J80" s="50"/>
      <c r="K80" s="50"/>
      <c r="L80" s="50"/>
      <c r="M80" s="48"/>
      <c r="N80" s="50"/>
      <c r="O80" s="47"/>
      <c r="P80" s="50"/>
      <c r="Q80" s="47"/>
    </row>
    <row r="81" spans="1:17" ht="18" customHeight="1">
      <c r="A81" s="50"/>
      <c r="B81" s="48"/>
      <c r="C81" s="48"/>
      <c r="D81" s="48"/>
      <c r="E81" s="49"/>
      <c r="F81" s="50"/>
      <c r="G81" s="50"/>
      <c r="H81" s="50"/>
      <c r="I81" s="50"/>
      <c r="J81" s="50"/>
      <c r="K81" s="50"/>
      <c r="L81" s="50"/>
      <c r="M81" s="48"/>
      <c r="N81" s="50"/>
      <c r="O81" s="47"/>
      <c r="P81" s="50"/>
      <c r="Q81" s="47"/>
    </row>
    <row r="82" spans="1:17" ht="18" customHeight="1">
      <c r="A82" s="50"/>
      <c r="B82" s="48"/>
      <c r="C82" s="48"/>
      <c r="D82" s="48"/>
      <c r="E82" s="49"/>
      <c r="F82" s="50"/>
      <c r="G82" s="50"/>
      <c r="H82" s="50"/>
      <c r="I82" s="50"/>
      <c r="J82" s="50"/>
      <c r="K82" s="50"/>
      <c r="L82" s="50"/>
      <c r="M82" s="48"/>
      <c r="N82" s="50"/>
      <c r="O82" s="47"/>
      <c r="P82" s="50"/>
      <c r="Q82" s="47"/>
    </row>
    <row r="83" spans="1:17" ht="18" customHeight="1">
      <c r="A83" s="50"/>
      <c r="B83" s="48"/>
      <c r="C83" s="48"/>
      <c r="D83" s="48"/>
      <c r="E83" s="49"/>
      <c r="F83" s="50"/>
      <c r="G83" s="50"/>
      <c r="H83" s="50"/>
      <c r="I83" s="50"/>
      <c r="J83" s="50"/>
      <c r="K83" s="50"/>
      <c r="L83" s="50"/>
      <c r="M83" s="48"/>
      <c r="N83" s="50"/>
      <c r="O83" s="47"/>
      <c r="P83" s="50"/>
      <c r="Q83" s="47"/>
    </row>
    <row r="84" spans="1:17" ht="18" customHeight="1">
      <c r="A84" s="50"/>
      <c r="B84" s="48"/>
      <c r="C84" s="48"/>
      <c r="D84" s="48"/>
      <c r="E84" s="49"/>
      <c r="F84" s="50"/>
      <c r="G84" s="50"/>
      <c r="H84" s="50"/>
      <c r="I84" s="50"/>
      <c r="J84" s="50"/>
      <c r="K84" s="50"/>
      <c r="L84" s="50"/>
      <c r="M84" s="48"/>
      <c r="N84" s="50"/>
      <c r="O84" s="47"/>
      <c r="P84" s="50"/>
      <c r="Q84" s="47"/>
    </row>
    <row r="85" spans="1:17" ht="18" customHeight="1">
      <c r="A85" s="50"/>
      <c r="B85" s="48"/>
      <c r="C85" s="48"/>
      <c r="D85" s="48"/>
      <c r="E85" s="49"/>
      <c r="F85" s="50"/>
      <c r="G85" s="50"/>
      <c r="H85" s="50"/>
      <c r="I85" s="50"/>
      <c r="J85" s="50"/>
      <c r="K85" s="50"/>
      <c r="L85" s="50"/>
      <c r="M85" s="48"/>
      <c r="N85" s="50"/>
      <c r="O85" s="47"/>
      <c r="P85" s="50"/>
      <c r="Q85" s="47"/>
    </row>
    <row r="86" spans="1:17" ht="18" customHeight="1">
      <c r="A86" s="50"/>
      <c r="B86" s="48"/>
      <c r="C86" s="48"/>
      <c r="D86" s="48"/>
      <c r="E86" s="49"/>
      <c r="F86" s="50"/>
      <c r="G86" s="50"/>
      <c r="H86" s="50"/>
      <c r="I86" s="50"/>
      <c r="J86" s="50"/>
      <c r="K86" s="50"/>
      <c r="L86" s="50"/>
      <c r="M86" s="48"/>
      <c r="N86" s="50"/>
      <c r="O86" s="47"/>
      <c r="P86" s="50"/>
      <c r="Q86" s="47"/>
    </row>
    <row r="87" spans="1:17" ht="18" customHeight="1">
      <c r="A87" s="50"/>
      <c r="B87" s="48"/>
      <c r="C87" s="48"/>
      <c r="D87" s="48"/>
      <c r="E87" s="49"/>
      <c r="F87" s="50"/>
      <c r="G87" s="50"/>
      <c r="H87" s="50"/>
      <c r="I87" s="50"/>
      <c r="J87" s="50"/>
      <c r="K87" s="50"/>
      <c r="L87" s="50"/>
      <c r="M87" s="48"/>
      <c r="N87" s="50"/>
      <c r="O87" s="47"/>
      <c r="P87" s="50"/>
      <c r="Q87" s="47"/>
    </row>
    <row r="88" spans="1:17" ht="18" customHeight="1">
      <c r="A88" s="50"/>
      <c r="B88" s="48"/>
      <c r="C88" s="48"/>
      <c r="D88" s="48"/>
      <c r="E88" s="49"/>
      <c r="F88" s="50"/>
      <c r="G88" s="50"/>
      <c r="H88" s="50"/>
      <c r="I88" s="50"/>
      <c r="J88" s="50"/>
      <c r="K88" s="50"/>
      <c r="L88" s="50"/>
      <c r="M88" s="48"/>
      <c r="N88" s="50"/>
      <c r="O88" s="47"/>
      <c r="P88" s="50"/>
      <c r="Q88" s="47"/>
    </row>
    <row r="89" spans="1:17" ht="18" customHeight="1">
      <c r="A89" s="50"/>
      <c r="B89" s="48"/>
      <c r="C89" s="48"/>
      <c r="D89" s="48"/>
      <c r="E89" s="49"/>
      <c r="F89" s="50"/>
      <c r="G89" s="50"/>
      <c r="H89" s="50"/>
      <c r="I89" s="50"/>
      <c r="J89" s="50"/>
      <c r="K89" s="50"/>
      <c r="L89" s="50"/>
      <c r="M89" s="48"/>
      <c r="N89" s="50"/>
      <c r="O89" s="47"/>
      <c r="P89" s="50"/>
      <c r="Q89" s="47"/>
    </row>
    <row r="90" spans="1:17" ht="18" customHeight="1">
      <c r="A90" s="50"/>
      <c r="B90" s="48"/>
      <c r="C90" s="48"/>
      <c r="D90" s="48"/>
      <c r="E90" s="49"/>
      <c r="F90" s="50"/>
      <c r="G90" s="50"/>
      <c r="H90" s="50"/>
      <c r="I90" s="50"/>
      <c r="J90" s="50"/>
      <c r="K90" s="50"/>
      <c r="L90" s="50"/>
      <c r="M90" s="48"/>
      <c r="N90" s="50"/>
      <c r="O90" s="47"/>
      <c r="P90" s="50"/>
      <c r="Q90" s="47"/>
    </row>
    <row r="91" spans="1:17" ht="18" customHeight="1">
      <c r="A91" s="50"/>
      <c r="B91" s="48"/>
      <c r="C91" s="48"/>
      <c r="D91" s="48"/>
      <c r="E91" s="49"/>
      <c r="F91" s="50"/>
      <c r="G91" s="50"/>
      <c r="H91" s="50"/>
      <c r="I91" s="50"/>
      <c r="J91" s="50"/>
      <c r="K91" s="50"/>
      <c r="L91" s="50"/>
      <c r="M91" s="48"/>
      <c r="N91" s="50"/>
      <c r="O91" s="47"/>
      <c r="P91" s="50"/>
      <c r="Q91" s="47"/>
    </row>
    <row r="92" spans="1:17" ht="18" customHeight="1">
      <c r="A92" s="50"/>
      <c r="B92" s="48"/>
      <c r="C92" s="48"/>
      <c r="D92" s="48"/>
      <c r="E92" s="49"/>
      <c r="F92" s="50"/>
      <c r="G92" s="50"/>
      <c r="H92" s="50"/>
      <c r="I92" s="50"/>
      <c r="J92" s="50"/>
      <c r="K92" s="50"/>
      <c r="L92" s="50"/>
      <c r="M92" s="48"/>
      <c r="N92" s="50"/>
      <c r="O92" s="47"/>
      <c r="P92" s="50"/>
      <c r="Q92" s="47"/>
    </row>
    <row r="93" spans="1:17" ht="18" customHeight="1">
      <c r="A93" s="50"/>
      <c r="B93" s="48"/>
      <c r="C93" s="48"/>
      <c r="D93" s="48"/>
      <c r="E93" s="49"/>
      <c r="F93" s="50"/>
      <c r="G93" s="50"/>
      <c r="H93" s="50"/>
      <c r="I93" s="50"/>
      <c r="J93" s="50"/>
      <c r="K93" s="50"/>
      <c r="L93" s="50"/>
      <c r="M93" s="48"/>
      <c r="N93" s="50"/>
      <c r="O93" s="47"/>
      <c r="P93" s="50"/>
      <c r="Q93" s="47"/>
    </row>
    <row r="94" spans="1:17" ht="18" customHeight="1">
      <c r="A94" s="50"/>
      <c r="B94" s="48"/>
      <c r="C94" s="48"/>
      <c r="D94" s="48"/>
      <c r="E94" s="49"/>
      <c r="F94" s="50"/>
      <c r="G94" s="50"/>
      <c r="H94" s="50"/>
      <c r="I94" s="50"/>
      <c r="J94" s="50"/>
      <c r="K94" s="50"/>
      <c r="L94" s="50"/>
      <c r="M94" s="48"/>
      <c r="N94" s="50"/>
      <c r="O94" s="47"/>
      <c r="P94" s="50"/>
      <c r="Q94" s="47"/>
    </row>
    <row r="95" spans="1:17" ht="18" customHeight="1">
      <c r="A95" s="50"/>
      <c r="B95" s="48"/>
      <c r="C95" s="48"/>
      <c r="D95" s="48"/>
      <c r="E95" s="49"/>
      <c r="F95" s="50"/>
      <c r="G95" s="50"/>
      <c r="H95" s="50"/>
      <c r="I95" s="50"/>
      <c r="J95" s="50"/>
      <c r="K95" s="50"/>
      <c r="L95" s="50"/>
      <c r="M95" s="48"/>
      <c r="N95" s="50"/>
      <c r="O95" s="47"/>
      <c r="P95" s="50"/>
      <c r="Q95" s="47"/>
    </row>
    <row r="96" spans="1:17" ht="18" customHeight="1">
      <c r="A96" s="50"/>
      <c r="B96" s="48"/>
      <c r="C96" s="48"/>
      <c r="D96" s="48"/>
      <c r="E96" s="49"/>
      <c r="F96" s="50"/>
      <c r="G96" s="50"/>
      <c r="H96" s="50"/>
      <c r="I96" s="50"/>
      <c r="J96" s="50"/>
      <c r="K96" s="50"/>
      <c r="L96" s="50"/>
      <c r="M96" s="48"/>
      <c r="N96" s="50"/>
      <c r="O96" s="47"/>
      <c r="P96" s="50"/>
      <c r="Q96" s="47"/>
    </row>
    <row r="97" spans="1:17" ht="18" customHeight="1">
      <c r="A97" s="50"/>
      <c r="B97" s="48"/>
      <c r="C97" s="48"/>
      <c r="D97" s="48"/>
      <c r="E97" s="49"/>
      <c r="F97" s="50"/>
      <c r="G97" s="50"/>
      <c r="H97" s="50"/>
      <c r="I97" s="50"/>
      <c r="J97" s="50"/>
      <c r="K97" s="50"/>
      <c r="L97" s="50"/>
      <c r="M97" s="48"/>
      <c r="N97" s="50"/>
      <c r="O97" s="47"/>
      <c r="P97" s="50"/>
      <c r="Q97" s="47"/>
    </row>
    <row r="98" spans="1:17" ht="18" customHeight="1">
      <c r="A98" s="50"/>
      <c r="B98" s="48"/>
      <c r="C98" s="48"/>
      <c r="D98" s="48"/>
      <c r="E98" s="49"/>
      <c r="F98" s="50"/>
      <c r="G98" s="50"/>
      <c r="H98" s="50"/>
      <c r="I98" s="50"/>
      <c r="J98" s="50"/>
      <c r="K98" s="50"/>
      <c r="L98" s="50"/>
      <c r="M98" s="48"/>
      <c r="N98" s="50"/>
      <c r="O98" s="47"/>
      <c r="P98" s="50"/>
      <c r="Q98" s="47"/>
    </row>
    <row r="99" spans="1:17" ht="18" customHeight="1">
      <c r="A99" s="50"/>
      <c r="B99" s="48"/>
      <c r="C99" s="48"/>
      <c r="D99" s="48"/>
      <c r="E99" s="49"/>
      <c r="F99" s="50"/>
      <c r="G99" s="50"/>
      <c r="H99" s="50"/>
      <c r="I99" s="50"/>
      <c r="J99" s="50"/>
      <c r="K99" s="50"/>
      <c r="L99" s="50"/>
      <c r="M99" s="48"/>
      <c r="N99" s="50"/>
      <c r="O99" s="47"/>
      <c r="P99" s="50"/>
      <c r="Q99" s="47"/>
    </row>
    <row r="100" spans="1:17" ht="18" customHeight="1">
      <c r="A100" s="50"/>
      <c r="B100" s="48"/>
      <c r="C100" s="48"/>
      <c r="D100" s="48"/>
      <c r="E100" s="49"/>
      <c r="F100" s="50"/>
      <c r="G100" s="50"/>
      <c r="H100" s="50"/>
      <c r="I100" s="50"/>
      <c r="J100" s="50"/>
      <c r="K100" s="50"/>
      <c r="L100" s="50"/>
      <c r="M100" s="48"/>
      <c r="N100" s="50"/>
      <c r="O100" s="47"/>
      <c r="P100" s="50"/>
      <c r="Q100" s="47"/>
    </row>
    <row r="101" spans="1:17" ht="18" customHeight="1">
      <c r="A101" s="50"/>
      <c r="B101" s="48"/>
      <c r="C101" s="48"/>
      <c r="D101" s="48"/>
      <c r="E101" s="49"/>
      <c r="F101" s="50"/>
      <c r="G101" s="50"/>
      <c r="H101" s="50"/>
      <c r="I101" s="50"/>
      <c r="J101" s="50"/>
      <c r="K101" s="50"/>
      <c r="L101" s="50"/>
      <c r="M101" s="48"/>
      <c r="N101" s="50"/>
      <c r="O101" s="47"/>
      <c r="P101" s="50"/>
      <c r="Q101" s="47"/>
    </row>
    <row r="102" spans="1:17" ht="18" customHeight="1">
      <c r="A102" s="50"/>
      <c r="B102" s="48"/>
      <c r="C102" s="48"/>
      <c r="D102" s="48"/>
      <c r="E102" s="49"/>
      <c r="F102" s="50"/>
      <c r="G102" s="50"/>
      <c r="H102" s="50"/>
      <c r="I102" s="50"/>
      <c r="J102" s="50"/>
      <c r="K102" s="50"/>
      <c r="L102" s="50"/>
      <c r="M102" s="48"/>
      <c r="N102" s="50"/>
      <c r="O102" s="47"/>
      <c r="P102" s="50"/>
      <c r="Q102" s="47"/>
    </row>
    <row r="103" spans="1:17" ht="18" customHeight="1">
      <c r="A103" s="50"/>
      <c r="B103" s="48"/>
      <c r="C103" s="48"/>
      <c r="D103" s="48"/>
      <c r="E103" s="49"/>
      <c r="F103" s="50"/>
      <c r="G103" s="50"/>
      <c r="H103" s="50"/>
      <c r="I103" s="50"/>
      <c r="J103" s="50"/>
      <c r="K103" s="50"/>
      <c r="L103" s="50"/>
      <c r="M103" s="48"/>
      <c r="N103" s="50"/>
      <c r="O103" s="47"/>
      <c r="P103" s="50"/>
      <c r="Q103" s="47"/>
    </row>
    <row r="104" spans="1:17" ht="18" customHeight="1">
      <c r="A104" s="50"/>
      <c r="B104" s="48"/>
      <c r="C104" s="48"/>
      <c r="D104" s="48"/>
      <c r="E104" s="49"/>
      <c r="F104" s="50"/>
      <c r="G104" s="50"/>
      <c r="H104" s="50"/>
      <c r="I104" s="50"/>
      <c r="J104" s="50"/>
      <c r="K104" s="50"/>
      <c r="L104" s="50"/>
      <c r="M104" s="48"/>
      <c r="N104" s="50"/>
      <c r="O104" s="47"/>
      <c r="P104" s="50"/>
      <c r="Q104" s="47"/>
    </row>
    <row r="105" spans="1:17" ht="18" customHeight="1">
      <c r="A105" s="50"/>
      <c r="B105" s="48"/>
      <c r="C105" s="48"/>
      <c r="D105" s="48"/>
      <c r="E105" s="49"/>
      <c r="F105" s="50"/>
      <c r="G105" s="50"/>
      <c r="H105" s="50"/>
      <c r="I105" s="50"/>
      <c r="J105" s="50"/>
      <c r="K105" s="50"/>
      <c r="L105" s="50"/>
      <c r="M105" s="48"/>
      <c r="N105" s="50"/>
      <c r="O105" s="47"/>
      <c r="P105" s="50"/>
      <c r="Q105" s="47"/>
    </row>
    <row r="106" spans="1:17" ht="18" customHeight="1">
      <c r="A106" s="50"/>
      <c r="B106" s="48"/>
      <c r="C106" s="48"/>
      <c r="D106" s="48"/>
      <c r="E106" s="49"/>
      <c r="F106" s="50"/>
      <c r="G106" s="50"/>
      <c r="H106" s="50"/>
      <c r="I106" s="50"/>
      <c r="J106" s="50"/>
      <c r="K106" s="50"/>
      <c r="L106" s="50"/>
      <c r="M106" s="48"/>
      <c r="N106" s="50"/>
      <c r="O106" s="47"/>
      <c r="P106" s="50"/>
      <c r="Q106" s="47"/>
    </row>
    <row r="107" spans="1:17" ht="18" customHeight="1">
      <c r="A107" s="50"/>
      <c r="B107" s="48"/>
      <c r="C107" s="48"/>
      <c r="D107" s="48"/>
      <c r="E107" s="49"/>
      <c r="F107" s="50"/>
      <c r="G107" s="50"/>
      <c r="H107" s="50"/>
      <c r="I107" s="50"/>
      <c r="J107" s="50"/>
      <c r="K107" s="50"/>
      <c r="L107" s="50"/>
      <c r="M107" s="48"/>
      <c r="N107" s="50"/>
      <c r="O107" s="47"/>
      <c r="P107" s="50"/>
      <c r="Q107" s="47"/>
    </row>
    <row r="108" spans="1:17" ht="18" customHeight="1">
      <c r="A108" s="50"/>
      <c r="B108" s="48"/>
      <c r="C108" s="48"/>
      <c r="D108" s="48"/>
      <c r="E108" s="49"/>
      <c r="F108" s="50"/>
      <c r="G108" s="50"/>
      <c r="H108" s="50"/>
      <c r="I108" s="50"/>
      <c r="J108" s="50"/>
      <c r="K108" s="50"/>
      <c r="L108" s="50"/>
      <c r="M108" s="48"/>
      <c r="N108" s="50"/>
      <c r="O108" s="47"/>
      <c r="P108" s="50"/>
      <c r="Q108" s="47"/>
    </row>
    <row r="109" spans="1:17" ht="18" customHeight="1">
      <c r="A109" s="50"/>
      <c r="B109" s="48"/>
      <c r="C109" s="48"/>
      <c r="D109" s="48"/>
      <c r="E109" s="49"/>
      <c r="F109" s="50"/>
      <c r="G109" s="50"/>
      <c r="H109" s="50"/>
      <c r="I109" s="50"/>
      <c r="J109" s="50"/>
      <c r="K109" s="50"/>
      <c r="L109" s="50"/>
      <c r="M109" s="48"/>
      <c r="N109" s="50"/>
      <c r="O109" s="47"/>
      <c r="P109" s="50"/>
      <c r="Q109" s="47"/>
    </row>
    <row r="110" spans="1:17" ht="18" customHeight="1">
      <c r="A110" s="50"/>
      <c r="B110" s="48"/>
      <c r="C110" s="48"/>
      <c r="D110" s="48"/>
      <c r="E110" s="49"/>
      <c r="F110" s="50"/>
      <c r="G110" s="50"/>
      <c r="H110" s="50"/>
      <c r="I110" s="50"/>
      <c r="J110" s="50"/>
      <c r="K110" s="50"/>
      <c r="L110" s="50"/>
      <c r="M110" s="48"/>
      <c r="N110" s="50"/>
      <c r="O110" s="47"/>
      <c r="P110" s="50"/>
      <c r="Q110" s="47"/>
    </row>
    <row r="111" spans="1:17" ht="18" customHeight="1">
      <c r="A111" s="50"/>
      <c r="B111" s="48"/>
      <c r="C111" s="48"/>
      <c r="D111" s="48"/>
      <c r="E111" s="49"/>
      <c r="F111" s="50"/>
      <c r="G111" s="50"/>
      <c r="H111" s="50"/>
      <c r="I111" s="50"/>
      <c r="J111" s="50"/>
      <c r="K111" s="50"/>
      <c r="L111" s="50"/>
      <c r="M111" s="48"/>
      <c r="N111" s="50"/>
      <c r="O111" s="47"/>
      <c r="P111" s="50"/>
      <c r="Q111" s="47"/>
    </row>
    <row r="112" spans="1:17" ht="18" customHeight="1">
      <c r="A112" s="50"/>
      <c r="B112" s="48"/>
      <c r="C112" s="48"/>
      <c r="D112" s="48"/>
      <c r="E112" s="49"/>
      <c r="F112" s="50"/>
      <c r="G112" s="50"/>
      <c r="H112" s="50"/>
      <c r="I112" s="50"/>
      <c r="J112" s="50"/>
      <c r="K112" s="50"/>
      <c r="L112" s="50"/>
      <c r="M112" s="48"/>
      <c r="N112" s="50"/>
      <c r="O112" s="47"/>
      <c r="P112" s="50"/>
      <c r="Q112" s="47"/>
    </row>
    <row r="113" spans="1:17" ht="18" customHeight="1">
      <c r="A113" s="50"/>
      <c r="B113" s="48"/>
      <c r="C113" s="48"/>
      <c r="D113" s="48"/>
      <c r="E113" s="49"/>
      <c r="F113" s="50"/>
      <c r="G113" s="50"/>
      <c r="H113" s="50"/>
      <c r="I113" s="50"/>
      <c r="J113" s="50"/>
      <c r="K113" s="50"/>
      <c r="L113" s="50"/>
      <c r="M113" s="48"/>
      <c r="N113" s="50"/>
      <c r="O113" s="47"/>
      <c r="P113" s="50"/>
      <c r="Q113" s="47"/>
    </row>
    <row r="114" spans="1:17" ht="18" customHeight="1">
      <c r="A114" s="50"/>
      <c r="B114" s="48"/>
      <c r="C114" s="48"/>
      <c r="D114" s="48"/>
      <c r="E114" s="49"/>
      <c r="F114" s="50"/>
      <c r="G114" s="50"/>
      <c r="H114" s="50"/>
      <c r="I114" s="50"/>
      <c r="J114" s="50"/>
      <c r="K114" s="50"/>
      <c r="L114" s="50"/>
      <c r="M114" s="48"/>
      <c r="N114" s="50"/>
      <c r="O114" s="47"/>
      <c r="P114" s="50"/>
      <c r="Q114" s="47"/>
    </row>
    <row r="115" spans="1:17" ht="18" customHeight="1">
      <c r="A115" s="50"/>
      <c r="B115" s="48"/>
      <c r="C115" s="48"/>
      <c r="D115" s="48"/>
      <c r="E115" s="49"/>
      <c r="F115" s="50"/>
      <c r="G115" s="50"/>
      <c r="H115" s="50"/>
      <c r="I115" s="50"/>
      <c r="J115" s="50"/>
      <c r="K115" s="50"/>
      <c r="L115" s="50"/>
      <c r="M115" s="48"/>
      <c r="N115" s="50"/>
      <c r="O115" s="47"/>
      <c r="P115" s="50"/>
      <c r="Q115" s="47"/>
    </row>
    <row r="116" spans="1:17" ht="18" customHeight="1">
      <c r="A116" s="50"/>
      <c r="B116" s="48"/>
      <c r="C116" s="48"/>
      <c r="D116" s="48"/>
      <c r="E116" s="49"/>
      <c r="F116" s="50"/>
      <c r="G116" s="50"/>
      <c r="H116" s="50"/>
      <c r="I116" s="50"/>
      <c r="J116" s="50"/>
      <c r="K116" s="50"/>
      <c r="L116" s="50"/>
      <c r="M116" s="48"/>
      <c r="N116" s="50"/>
      <c r="O116" s="47"/>
      <c r="P116" s="50"/>
      <c r="Q116" s="47"/>
    </row>
    <row r="117" spans="1:17" ht="18" customHeight="1">
      <c r="A117" s="50"/>
      <c r="B117" s="48"/>
      <c r="C117" s="48"/>
      <c r="D117" s="48"/>
      <c r="E117" s="49"/>
      <c r="F117" s="50"/>
      <c r="G117" s="50"/>
      <c r="H117" s="50"/>
      <c r="I117" s="50"/>
      <c r="J117" s="50"/>
      <c r="K117" s="50"/>
      <c r="L117" s="50"/>
      <c r="M117" s="48"/>
      <c r="N117" s="50"/>
      <c r="O117" s="47"/>
      <c r="P117" s="50"/>
      <c r="Q117" s="47"/>
    </row>
    <row r="118" spans="1:17" ht="18" customHeight="1">
      <c r="A118" s="50"/>
      <c r="B118" s="48"/>
      <c r="C118" s="48"/>
      <c r="D118" s="48"/>
      <c r="E118" s="49"/>
      <c r="F118" s="50"/>
      <c r="G118" s="50"/>
      <c r="H118" s="50"/>
      <c r="I118" s="50"/>
      <c r="J118" s="50"/>
      <c r="K118" s="50"/>
      <c r="L118" s="50"/>
      <c r="M118" s="48"/>
      <c r="N118" s="50"/>
      <c r="O118" s="47"/>
      <c r="P118" s="50"/>
      <c r="Q118" s="47"/>
    </row>
    <row r="119" spans="1:17" ht="18" customHeight="1">
      <c r="A119" s="50"/>
      <c r="B119" s="48"/>
      <c r="C119" s="48"/>
      <c r="D119" s="48"/>
      <c r="E119" s="49"/>
      <c r="F119" s="50"/>
      <c r="G119" s="50"/>
      <c r="H119" s="50"/>
      <c r="I119" s="50"/>
      <c r="J119" s="50"/>
      <c r="K119" s="50"/>
      <c r="L119" s="50"/>
      <c r="M119" s="48"/>
      <c r="N119" s="50"/>
      <c r="O119" s="47"/>
      <c r="P119" s="50"/>
      <c r="Q119" s="47"/>
    </row>
    <row r="120" spans="1:17" ht="18" customHeight="1">
      <c r="A120" s="50"/>
      <c r="B120" s="48"/>
      <c r="C120" s="48"/>
      <c r="D120" s="48"/>
      <c r="E120" s="49"/>
      <c r="F120" s="50"/>
      <c r="G120" s="50"/>
      <c r="H120" s="50"/>
      <c r="I120" s="50"/>
      <c r="J120" s="50"/>
      <c r="K120" s="50"/>
      <c r="L120" s="50"/>
      <c r="M120" s="48"/>
      <c r="N120" s="50"/>
      <c r="O120" s="47"/>
      <c r="P120" s="50"/>
      <c r="Q120" s="47"/>
    </row>
    <row r="121" spans="1:17" ht="18" customHeight="1">
      <c r="A121" s="50"/>
      <c r="B121" s="48"/>
      <c r="C121" s="48"/>
      <c r="D121" s="48"/>
      <c r="E121" s="49"/>
      <c r="F121" s="50"/>
      <c r="G121" s="50"/>
      <c r="H121" s="50"/>
      <c r="I121" s="50"/>
      <c r="J121" s="50"/>
      <c r="K121" s="50"/>
      <c r="L121" s="50"/>
      <c r="M121" s="48"/>
      <c r="N121" s="50"/>
      <c r="O121" s="47"/>
      <c r="P121" s="50"/>
      <c r="Q121" s="47"/>
    </row>
    <row r="122" spans="1:17" ht="18" customHeight="1">
      <c r="A122" s="50"/>
      <c r="B122" s="48"/>
      <c r="C122" s="48"/>
      <c r="D122" s="48"/>
      <c r="E122" s="49"/>
      <c r="F122" s="50"/>
      <c r="G122" s="50"/>
      <c r="H122" s="50"/>
      <c r="I122" s="50"/>
      <c r="J122" s="50"/>
      <c r="K122" s="50"/>
      <c r="L122" s="50"/>
      <c r="M122" s="48"/>
      <c r="N122" s="50"/>
      <c r="O122" s="47"/>
      <c r="P122" s="50"/>
      <c r="Q122" s="47"/>
    </row>
    <row r="123" spans="1:17" ht="18" customHeight="1">
      <c r="A123" s="50"/>
      <c r="B123" s="48"/>
      <c r="C123" s="48"/>
      <c r="D123" s="48"/>
      <c r="E123" s="49"/>
      <c r="F123" s="50"/>
      <c r="G123" s="50"/>
      <c r="H123" s="50"/>
      <c r="I123" s="50"/>
      <c r="J123" s="50"/>
      <c r="K123" s="50"/>
      <c r="L123" s="50"/>
      <c r="M123" s="48"/>
      <c r="N123" s="50"/>
      <c r="O123" s="47"/>
      <c r="P123" s="50"/>
      <c r="Q123" s="47"/>
    </row>
    <row r="124" spans="1:17" ht="18" customHeight="1">
      <c r="A124" s="50"/>
      <c r="B124" s="48"/>
      <c r="C124" s="48"/>
      <c r="D124" s="48"/>
      <c r="E124" s="49"/>
      <c r="F124" s="50"/>
      <c r="G124" s="50"/>
      <c r="H124" s="50"/>
      <c r="I124" s="50"/>
      <c r="J124" s="50"/>
      <c r="K124" s="50"/>
      <c r="L124" s="50"/>
      <c r="M124" s="48"/>
      <c r="N124" s="50"/>
      <c r="O124" s="47"/>
      <c r="P124" s="50"/>
      <c r="Q124" s="47"/>
    </row>
    <row r="125" spans="1:17" ht="18" customHeight="1">
      <c r="A125" s="50"/>
      <c r="B125" s="48"/>
      <c r="C125" s="48"/>
      <c r="D125" s="48"/>
      <c r="E125" s="49"/>
      <c r="F125" s="50"/>
      <c r="G125" s="50"/>
      <c r="H125" s="50"/>
      <c r="I125" s="50"/>
      <c r="J125" s="50"/>
      <c r="K125" s="50"/>
      <c r="L125" s="50"/>
      <c r="M125" s="48"/>
      <c r="N125" s="50"/>
      <c r="O125" s="47"/>
      <c r="P125" s="50"/>
      <c r="Q125" s="47"/>
    </row>
    <row r="126" spans="1:17" ht="18" customHeight="1">
      <c r="A126" s="50"/>
      <c r="B126" s="48"/>
      <c r="C126" s="48"/>
      <c r="D126" s="48"/>
      <c r="E126" s="49"/>
      <c r="F126" s="50"/>
      <c r="G126" s="50"/>
      <c r="H126" s="50"/>
      <c r="I126" s="50"/>
      <c r="J126" s="50"/>
      <c r="K126" s="50"/>
      <c r="L126" s="50"/>
      <c r="M126" s="48"/>
      <c r="N126" s="50"/>
      <c r="O126" s="47"/>
      <c r="P126" s="50"/>
      <c r="Q126" s="47"/>
    </row>
    <row r="127" spans="1:17" ht="18" customHeight="1">
      <c r="A127" s="50"/>
      <c r="B127" s="48"/>
      <c r="C127" s="48"/>
      <c r="D127" s="48"/>
      <c r="E127" s="49"/>
      <c r="F127" s="50"/>
      <c r="G127" s="50"/>
      <c r="H127" s="50"/>
      <c r="I127" s="50"/>
      <c r="J127" s="50"/>
      <c r="K127" s="50"/>
      <c r="L127" s="50"/>
      <c r="M127" s="48"/>
      <c r="N127" s="50"/>
      <c r="O127" s="47"/>
      <c r="P127" s="50"/>
      <c r="Q127" s="47"/>
    </row>
    <row r="128" spans="1:17" ht="18" customHeight="1">
      <c r="A128" s="50"/>
      <c r="B128" s="48"/>
      <c r="C128" s="48"/>
      <c r="D128" s="48"/>
      <c r="E128" s="49"/>
      <c r="F128" s="50"/>
      <c r="G128" s="50"/>
      <c r="H128" s="50"/>
      <c r="I128" s="50"/>
      <c r="J128" s="50"/>
      <c r="K128" s="50"/>
      <c r="L128" s="50"/>
      <c r="M128" s="48"/>
      <c r="N128" s="50"/>
      <c r="O128" s="47"/>
      <c r="P128" s="50"/>
      <c r="Q128" s="47"/>
    </row>
    <row r="129" spans="1:17" ht="18" customHeight="1">
      <c r="A129" s="50"/>
      <c r="B129" s="48"/>
      <c r="C129" s="48"/>
      <c r="D129" s="48"/>
      <c r="E129" s="49"/>
      <c r="F129" s="50"/>
      <c r="G129" s="50"/>
      <c r="H129" s="50"/>
      <c r="I129" s="50"/>
      <c r="J129" s="50"/>
      <c r="K129" s="50"/>
      <c r="L129" s="50"/>
      <c r="M129" s="48"/>
      <c r="N129" s="50"/>
      <c r="O129" s="47"/>
      <c r="P129" s="50"/>
      <c r="Q129" s="47"/>
    </row>
    <row r="130" spans="1:17" ht="18" customHeight="1">
      <c r="A130" s="50"/>
      <c r="B130" s="48"/>
      <c r="C130" s="48"/>
      <c r="D130" s="48"/>
      <c r="E130" s="49"/>
      <c r="F130" s="50"/>
      <c r="G130" s="50"/>
      <c r="H130" s="50"/>
      <c r="I130" s="50"/>
      <c r="J130" s="50"/>
      <c r="K130" s="50"/>
      <c r="L130" s="50"/>
      <c r="M130" s="48"/>
      <c r="N130" s="50"/>
      <c r="O130" s="47"/>
      <c r="P130" s="50"/>
      <c r="Q130" s="47"/>
    </row>
    <row r="131" spans="1:17" ht="18" customHeight="1">
      <c r="A131" s="50"/>
      <c r="B131" s="48"/>
      <c r="C131" s="48"/>
      <c r="D131" s="48"/>
      <c r="E131" s="49"/>
      <c r="F131" s="50"/>
      <c r="G131" s="50"/>
      <c r="H131" s="50"/>
      <c r="I131" s="50"/>
      <c r="J131" s="50"/>
      <c r="K131" s="50"/>
      <c r="L131" s="50"/>
      <c r="M131" s="48"/>
      <c r="N131" s="50"/>
      <c r="O131" s="47"/>
      <c r="P131" s="50"/>
      <c r="Q131" s="47"/>
    </row>
    <row r="132" spans="1:17" ht="18" customHeight="1">
      <c r="A132" s="50"/>
      <c r="B132" s="48"/>
      <c r="C132" s="48"/>
      <c r="D132" s="48"/>
      <c r="E132" s="49"/>
      <c r="F132" s="50"/>
      <c r="G132" s="50"/>
      <c r="H132" s="50"/>
      <c r="I132" s="50"/>
      <c r="J132" s="50"/>
      <c r="K132" s="50"/>
      <c r="L132" s="50"/>
      <c r="M132" s="48"/>
      <c r="N132" s="50"/>
      <c r="O132" s="47"/>
      <c r="P132" s="50"/>
      <c r="Q132" s="47"/>
    </row>
    <row r="133" spans="1:17" ht="18" customHeight="1">
      <c r="A133" s="50"/>
      <c r="B133" s="48"/>
      <c r="C133" s="48"/>
      <c r="D133" s="48"/>
      <c r="E133" s="49"/>
      <c r="F133" s="50"/>
      <c r="G133" s="50"/>
      <c r="H133" s="50"/>
      <c r="I133" s="50"/>
      <c r="J133" s="50"/>
      <c r="K133" s="50"/>
      <c r="L133" s="50"/>
      <c r="M133" s="48"/>
      <c r="N133" s="50"/>
      <c r="O133" s="47"/>
      <c r="P133" s="50"/>
      <c r="Q133" s="47"/>
    </row>
    <row r="134" spans="1:17" ht="18" customHeight="1">
      <c r="A134" s="50"/>
      <c r="B134" s="48"/>
      <c r="C134" s="48"/>
      <c r="D134" s="48"/>
      <c r="E134" s="49"/>
      <c r="F134" s="50"/>
      <c r="G134" s="50"/>
      <c r="H134" s="50"/>
      <c r="I134" s="50"/>
      <c r="J134" s="50"/>
      <c r="K134" s="50"/>
      <c r="L134" s="50"/>
      <c r="M134" s="48"/>
      <c r="N134" s="50"/>
      <c r="O134" s="47"/>
      <c r="P134" s="50"/>
      <c r="Q134" s="47"/>
    </row>
    <row r="135" spans="1:17" ht="18" customHeight="1">
      <c r="A135" s="50"/>
      <c r="B135" s="48"/>
      <c r="C135" s="48"/>
      <c r="D135" s="48"/>
      <c r="E135" s="49"/>
      <c r="F135" s="50"/>
      <c r="G135" s="50"/>
      <c r="H135" s="50"/>
      <c r="I135" s="50"/>
      <c r="J135" s="50"/>
      <c r="K135" s="50"/>
      <c r="L135" s="50"/>
      <c r="M135" s="48"/>
      <c r="N135" s="50"/>
      <c r="O135" s="47"/>
      <c r="P135" s="50"/>
      <c r="Q135" s="47"/>
    </row>
    <row r="136" spans="1:17" ht="18" customHeight="1">
      <c r="A136" s="50"/>
      <c r="B136" s="48"/>
      <c r="C136" s="48"/>
      <c r="D136" s="48"/>
      <c r="E136" s="49"/>
      <c r="F136" s="50"/>
      <c r="G136" s="50"/>
      <c r="H136" s="50"/>
      <c r="I136" s="50"/>
      <c r="J136" s="50"/>
      <c r="K136" s="50"/>
      <c r="L136" s="50"/>
      <c r="M136" s="48"/>
      <c r="N136" s="50"/>
      <c r="O136" s="47"/>
      <c r="P136" s="50"/>
      <c r="Q136" s="47"/>
    </row>
    <row r="137" spans="1:17" ht="18" customHeight="1">
      <c r="A137" s="50"/>
      <c r="B137" s="48"/>
      <c r="C137" s="48"/>
      <c r="D137" s="48"/>
      <c r="E137" s="49"/>
      <c r="F137" s="50"/>
      <c r="G137" s="50"/>
      <c r="H137" s="50"/>
      <c r="I137" s="50"/>
      <c r="J137" s="50"/>
      <c r="K137" s="50"/>
      <c r="L137" s="50"/>
      <c r="M137" s="48"/>
      <c r="N137" s="50"/>
      <c r="O137" s="47"/>
      <c r="P137" s="50"/>
      <c r="Q137" s="47"/>
    </row>
    <row r="138" spans="1:17" ht="18" customHeight="1">
      <c r="A138" s="50"/>
      <c r="B138" s="48"/>
      <c r="C138" s="48"/>
      <c r="D138" s="48"/>
      <c r="E138" s="49"/>
      <c r="F138" s="50"/>
      <c r="G138" s="50"/>
      <c r="H138" s="50"/>
      <c r="I138" s="50"/>
      <c r="J138" s="50"/>
      <c r="K138" s="50"/>
      <c r="L138" s="50"/>
      <c r="M138" s="48"/>
      <c r="N138" s="50"/>
      <c r="O138" s="47"/>
      <c r="P138" s="50"/>
      <c r="Q138" s="47"/>
    </row>
    <row r="139" spans="1:17" ht="18" customHeight="1">
      <c r="A139" s="50"/>
      <c r="B139" s="48"/>
      <c r="C139" s="48"/>
      <c r="D139" s="48"/>
      <c r="E139" s="49"/>
      <c r="F139" s="50"/>
      <c r="G139" s="50"/>
      <c r="H139" s="50"/>
      <c r="I139" s="50"/>
      <c r="J139" s="50"/>
      <c r="K139" s="50"/>
      <c r="L139" s="50"/>
      <c r="M139" s="48"/>
      <c r="N139" s="50"/>
      <c r="O139" s="47"/>
      <c r="P139" s="50"/>
      <c r="Q139" s="47"/>
    </row>
    <row r="140" spans="1:17" ht="18" customHeight="1">
      <c r="A140" s="50"/>
      <c r="B140" s="48"/>
      <c r="C140" s="48"/>
      <c r="D140" s="48"/>
      <c r="E140" s="49"/>
      <c r="F140" s="50"/>
      <c r="G140" s="50"/>
      <c r="H140" s="50"/>
      <c r="I140" s="50"/>
      <c r="J140" s="50"/>
      <c r="K140" s="50"/>
      <c r="L140" s="50"/>
      <c r="M140" s="48"/>
      <c r="N140" s="50"/>
      <c r="O140" s="47"/>
      <c r="P140" s="50"/>
      <c r="Q140" s="47"/>
    </row>
    <row r="141" spans="1:17" ht="18" customHeight="1">
      <c r="A141" s="50"/>
      <c r="B141" s="48"/>
      <c r="C141" s="48"/>
      <c r="D141" s="48"/>
      <c r="E141" s="49"/>
      <c r="F141" s="50"/>
      <c r="G141" s="50"/>
      <c r="H141" s="50"/>
      <c r="I141" s="50"/>
      <c r="J141" s="50"/>
      <c r="K141" s="50"/>
      <c r="L141" s="50"/>
      <c r="M141" s="48"/>
      <c r="N141" s="50"/>
      <c r="O141" s="47"/>
      <c r="P141" s="50"/>
      <c r="Q141" s="47"/>
    </row>
    <row r="142" spans="1:17" ht="18" customHeight="1">
      <c r="A142" s="50"/>
      <c r="B142" s="48"/>
      <c r="C142" s="48"/>
      <c r="D142" s="48"/>
      <c r="E142" s="49"/>
      <c r="F142" s="50"/>
      <c r="G142" s="50"/>
      <c r="H142" s="50"/>
      <c r="I142" s="50"/>
      <c r="J142" s="50"/>
      <c r="K142" s="50"/>
      <c r="L142" s="50"/>
      <c r="M142" s="48"/>
      <c r="N142" s="50"/>
      <c r="O142" s="47"/>
      <c r="P142" s="50"/>
      <c r="Q142" s="47"/>
    </row>
    <row r="143" spans="1:17" ht="18" customHeight="1">
      <c r="A143" s="50"/>
      <c r="B143" s="48"/>
      <c r="C143" s="48"/>
      <c r="D143" s="48"/>
      <c r="E143" s="49"/>
      <c r="F143" s="50"/>
      <c r="G143" s="50"/>
      <c r="H143" s="50"/>
      <c r="I143" s="50"/>
      <c r="J143" s="50"/>
      <c r="K143" s="50"/>
      <c r="L143" s="50"/>
      <c r="M143" s="48"/>
      <c r="N143" s="50"/>
      <c r="O143" s="47"/>
      <c r="P143" s="50"/>
      <c r="Q143" s="47"/>
    </row>
    <row r="144" spans="1:17" ht="18" customHeight="1">
      <c r="A144" s="50"/>
      <c r="B144" s="48"/>
      <c r="C144" s="48"/>
      <c r="D144" s="48"/>
      <c r="E144" s="49"/>
      <c r="F144" s="50"/>
      <c r="G144" s="50"/>
      <c r="H144" s="50"/>
      <c r="I144" s="50"/>
      <c r="J144" s="50"/>
      <c r="K144" s="50"/>
      <c r="L144" s="50"/>
      <c r="M144" s="48"/>
      <c r="N144" s="50"/>
      <c r="O144" s="47"/>
      <c r="P144" s="50"/>
      <c r="Q144" s="47"/>
    </row>
    <row r="145" spans="1:17" ht="18" customHeight="1">
      <c r="A145" s="50"/>
      <c r="B145" s="48"/>
      <c r="C145" s="48"/>
      <c r="D145" s="48"/>
      <c r="E145" s="49"/>
      <c r="F145" s="50"/>
      <c r="G145" s="50"/>
      <c r="H145" s="50"/>
      <c r="I145" s="50"/>
      <c r="J145" s="50"/>
      <c r="K145" s="50"/>
      <c r="L145" s="50"/>
      <c r="M145" s="48"/>
      <c r="N145" s="50"/>
      <c r="O145" s="47"/>
      <c r="P145" s="50"/>
      <c r="Q145" s="47"/>
    </row>
    <row r="146" spans="1:17" ht="18" customHeight="1">
      <c r="A146" s="50"/>
      <c r="B146" s="48"/>
      <c r="C146" s="48"/>
      <c r="D146" s="48"/>
      <c r="E146" s="49"/>
      <c r="F146" s="50"/>
      <c r="G146" s="50"/>
      <c r="H146" s="50"/>
      <c r="I146" s="50"/>
      <c r="J146" s="50"/>
      <c r="K146" s="50"/>
      <c r="L146" s="50"/>
      <c r="M146" s="48"/>
      <c r="N146" s="50"/>
      <c r="O146" s="47"/>
      <c r="P146" s="50"/>
      <c r="Q146" s="47"/>
    </row>
    <row r="147" spans="1:17" ht="18" customHeight="1">
      <c r="A147" s="50"/>
      <c r="B147" s="48"/>
      <c r="C147" s="48"/>
      <c r="D147" s="48"/>
      <c r="E147" s="49"/>
      <c r="F147" s="50"/>
      <c r="G147" s="50"/>
      <c r="H147" s="50"/>
      <c r="I147" s="50"/>
      <c r="J147" s="50"/>
      <c r="K147" s="50"/>
      <c r="L147" s="50"/>
      <c r="M147" s="48"/>
      <c r="N147" s="50"/>
      <c r="O147" s="47"/>
      <c r="P147" s="50"/>
      <c r="Q147" s="47"/>
    </row>
    <row r="148" spans="1:17" ht="18" customHeight="1">
      <c r="A148" s="50"/>
      <c r="B148" s="48"/>
      <c r="C148" s="48"/>
      <c r="D148" s="48"/>
      <c r="E148" s="49"/>
      <c r="F148" s="50"/>
      <c r="G148" s="50"/>
      <c r="H148" s="50"/>
      <c r="I148" s="50"/>
      <c r="J148" s="50"/>
      <c r="K148" s="50"/>
      <c r="L148" s="50"/>
      <c r="M148" s="48"/>
      <c r="N148" s="50"/>
      <c r="O148" s="47"/>
      <c r="P148" s="50"/>
      <c r="Q148" s="47"/>
    </row>
    <row r="149" spans="1:17" ht="18" customHeight="1">
      <c r="A149" s="50"/>
      <c r="B149" s="48"/>
      <c r="C149" s="48"/>
      <c r="D149" s="48"/>
      <c r="E149" s="49"/>
      <c r="F149" s="50"/>
      <c r="G149" s="50"/>
      <c r="H149" s="50"/>
      <c r="I149" s="50"/>
      <c r="J149" s="50"/>
      <c r="K149" s="50"/>
      <c r="L149" s="50"/>
      <c r="M149" s="48"/>
      <c r="N149" s="50"/>
      <c r="O149" s="47"/>
      <c r="P149" s="50"/>
      <c r="Q149" s="47"/>
    </row>
    <row r="150" spans="1:17" ht="18" customHeight="1">
      <c r="A150" s="50"/>
      <c r="B150" s="48"/>
      <c r="C150" s="48"/>
      <c r="D150" s="48"/>
      <c r="E150" s="49"/>
      <c r="F150" s="50"/>
      <c r="G150" s="50"/>
      <c r="H150" s="50"/>
      <c r="I150" s="50"/>
      <c r="J150" s="50"/>
      <c r="K150" s="50"/>
      <c r="L150" s="50"/>
      <c r="M150" s="48"/>
      <c r="N150" s="50"/>
      <c r="O150" s="47"/>
      <c r="P150" s="50"/>
      <c r="Q150" s="47"/>
    </row>
    <row r="151" spans="1:17" ht="18" customHeight="1">
      <c r="A151" s="50"/>
      <c r="B151" s="48"/>
      <c r="C151" s="48"/>
      <c r="D151" s="48"/>
      <c r="E151" s="49"/>
      <c r="F151" s="50"/>
      <c r="G151" s="50"/>
      <c r="H151" s="50"/>
      <c r="I151" s="50"/>
      <c r="J151" s="50"/>
      <c r="K151" s="50"/>
      <c r="L151" s="50"/>
      <c r="M151" s="48"/>
      <c r="N151" s="50"/>
      <c r="O151" s="47"/>
      <c r="P151" s="50"/>
      <c r="Q151" s="47"/>
    </row>
    <row r="152" spans="1:17" ht="18" customHeight="1">
      <c r="A152" s="50"/>
      <c r="B152" s="48"/>
      <c r="C152" s="48"/>
      <c r="D152" s="48"/>
      <c r="E152" s="49"/>
      <c r="F152" s="50"/>
      <c r="G152" s="50"/>
      <c r="H152" s="50"/>
      <c r="I152" s="50"/>
      <c r="J152" s="50"/>
      <c r="K152" s="50"/>
      <c r="L152" s="50"/>
      <c r="M152" s="48"/>
      <c r="N152" s="50"/>
      <c r="O152" s="47"/>
      <c r="P152" s="50"/>
      <c r="Q152" s="47"/>
    </row>
    <row r="153" spans="1:17" ht="18" customHeight="1">
      <c r="A153" s="50"/>
      <c r="B153" s="48"/>
      <c r="C153" s="48"/>
      <c r="D153" s="48"/>
      <c r="E153" s="49"/>
      <c r="F153" s="50"/>
      <c r="G153" s="50"/>
      <c r="H153" s="50"/>
      <c r="I153" s="50"/>
      <c r="J153" s="50"/>
      <c r="K153" s="50"/>
      <c r="L153" s="50"/>
      <c r="M153" s="48"/>
      <c r="N153" s="50"/>
      <c r="O153" s="47"/>
      <c r="P153" s="50"/>
      <c r="Q153" s="47"/>
    </row>
    <row r="154" spans="1:17" ht="18" customHeight="1">
      <c r="A154" s="50"/>
      <c r="B154" s="48"/>
      <c r="C154" s="48"/>
      <c r="D154" s="48"/>
      <c r="E154" s="49"/>
      <c r="F154" s="50"/>
      <c r="G154" s="50"/>
      <c r="H154" s="50"/>
      <c r="I154" s="50"/>
      <c r="J154" s="50"/>
      <c r="K154" s="50"/>
      <c r="L154" s="50"/>
      <c r="M154" s="48"/>
      <c r="N154" s="50"/>
      <c r="O154" s="47"/>
      <c r="P154" s="50"/>
      <c r="Q154" s="47"/>
    </row>
    <row r="155" spans="1:17" ht="18" customHeight="1">
      <c r="A155" s="50"/>
      <c r="B155" s="48"/>
      <c r="C155" s="48"/>
      <c r="D155" s="48"/>
      <c r="E155" s="49"/>
      <c r="F155" s="50"/>
      <c r="G155" s="50"/>
      <c r="H155" s="50"/>
      <c r="I155" s="50"/>
      <c r="J155" s="50"/>
      <c r="K155" s="50"/>
      <c r="L155" s="50"/>
      <c r="M155" s="48"/>
      <c r="N155" s="50"/>
      <c r="O155" s="47"/>
      <c r="P155" s="50"/>
      <c r="Q155" s="47"/>
    </row>
    <row r="156" spans="1:17" ht="18" customHeight="1">
      <c r="A156" s="50"/>
      <c r="B156" s="48"/>
      <c r="C156" s="48"/>
      <c r="D156" s="48"/>
      <c r="E156" s="49"/>
      <c r="F156" s="50"/>
      <c r="G156" s="50"/>
      <c r="H156" s="50"/>
      <c r="I156" s="50"/>
      <c r="J156" s="50"/>
      <c r="K156" s="50"/>
      <c r="L156" s="50"/>
      <c r="M156" s="48"/>
      <c r="N156" s="50"/>
      <c r="O156" s="47"/>
      <c r="P156" s="50"/>
      <c r="Q156" s="47"/>
    </row>
    <row r="157" spans="1:17" ht="18" customHeight="1">
      <c r="A157" s="50"/>
      <c r="B157" s="48"/>
      <c r="C157" s="48"/>
      <c r="D157" s="48"/>
      <c r="E157" s="49"/>
      <c r="F157" s="50"/>
      <c r="G157" s="50"/>
      <c r="H157" s="50"/>
      <c r="I157" s="50"/>
      <c r="J157" s="50"/>
      <c r="K157" s="50"/>
      <c r="L157" s="50"/>
      <c r="M157" s="48"/>
      <c r="N157" s="50"/>
      <c r="O157" s="47"/>
      <c r="P157" s="50"/>
      <c r="Q157" s="47"/>
    </row>
    <row r="158" spans="1:17" ht="18" customHeight="1">
      <c r="A158" s="50"/>
      <c r="B158" s="48"/>
      <c r="C158" s="48"/>
      <c r="D158" s="48"/>
      <c r="E158" s="49"/>
      <c r="F158" s="50"/>
      <c r="G158" s="50"/>
      <c r="H158" s="50"/>
      <c r="I158" s="50"/>
      <c r="J158" s="50"/>
      <c r="K158" s="50"/>
      <c r="L158" s="50"/>
      <c r="M158" s="48"/>
      <c r="N158" s="50"/>
      <c r="O158" s="47"/>
      <c r="P158" s="50"/>
      <c r="Q158" s="47"/>
    </row>
    <row r="159" spans="1:17" ht="18" customHeight="1">
      <c r="A159" s="50"/>
      <c r="B159" s="48"/>
      <c r="C159" s="48"/>
      <c r="D159" s="48"/>
      <c r="E159" s="49"/>
      <c r="F159" s="50"/>
      <c r="G159" s="50"/>
      <c r="H159" s="50"/>
      <c r="I159" s="50"/>
      <c r="J159" s="50"/>
      <c r="K159" s="50"/>
      <c r="L159" s="50"/>
      <c r="M159" s="48"/>
      <c r="N159" s="50"/>
      <c r="O159" s="47"/>
      <c r="P159" s="50"/>
      <c r="Q159" s="47"/>
    </row>
    <row r="160" spans="1:17" ht="18" customHeight="1">
      <c r="A160" s="50"/>
      <c r="B160" s="48"/>
      <c r="C160" s="48"/>
      <c r="D160" s="48"/>
      <c r="E160" s="49"/>
      <c r="F160" s="50"/>
      <c r="G160" s="50"/>
      <c r="H160" s="50"/>
      <c r="I160" s="50"/>
      <c r="J160" s="50"/>
      <c r="K160" s="50"/>
      <c r="L160" s="50"/>
      <c r="M160" s="48"/>
      <c r="N160" s="50"/>
      <c r="O160" s="47"/>
      <c r="P160" s="50"/>
      <c r="Q160" s="47"/>
    </row>
    <row r="161" spans="1:17" ht="18" customHeight="1">
      <c r="A161" s="50"/>
      <c r="B161" s="48"/>
      <c r="C161" s="48"/>
      <c r="D161" s="48"/>
      <c r="E161" s="49"/>
      <c r="F161" s="50"/>
      <c r="G161" s="50"/>
      <c r="H161" s="50"/>
      <c r="I161" s="50"/>
      <c r="J161" s="50"/>
      <c r="K161" s="50"/>
      <c r="L161" s="50"/>
      <c r="M161" s="48"/>
      <c r="N161" s="50"/>
      <c r="O161" s="47"/>
      <c r="P161" s="50"/>
      <c r="Q161" s="47"/>
    </row>
    <row r="162" spans="1:17" ht="18" customHeight="1">
      <c r="A162" s="50"/>
      <c r="B162" s="48"/>
      <c r="C162" s="48"/>
      <c r="D162" s="48"/>
      <c r="E162" s="49"/>
      <c r="F162" s="50"/>
      <c r="G162" s="50"/>
      <c r="H162" s="50"/>
      <c r="I162" s="50"/>
      <c r="J162" s="50"/>
      <c r="K162" s="50"/>
      <c r="L162" s="50"/>
      <c r="M162" s="48"/>
      <c r="N162" s="50"/>
      <c r="O162" s="47"/>
      <c r="P162" s="50"/>
      <c r="Q162" s="47"/>
    </row>
    <row r="163" spans="1:17" ht="18" customHeight="1">
      <c r="A163" s="50"/>
      <c r="B163" s="48"/>
      <c r="C163" s="48"/>
      <c r="D163" s="48"/>
      <c r="E163" s="49"/>
      <c r="F163" s="50"/>
      <c r="G163" s="50"/>
      <c r="H163" s="50"/>
      <c r="I163" s="50"/>
      <c r="J163" s="50"/>
      <c r="K163" s="50"/>
      <c r="L163" s="50"/>
      <c r="M163" s="48"/>
      <c r="N163" s="50"/>
      <c r="O163" s="47"/>
      <c r="P163" s="50"/>
      <c r="Q163" s="47"/>
    </row>
    <row r="164" spans="1:17" ht="18" customHeight="1">
      <c r="A164" s="50"/>
      <c r="B164" s="48"/>
      <c r="C164" s="48"/>
      <c r="D164" s="48"/>
      <c r="E164" s="49"/>
      <c r="F164" s="50"/>
      <c r="G164" s="50"/>
      <c r="H164" s="50"/>
      <c r="I164" s="50"/>
      <c r="J164" s="50"/>
      <c r="K164" s="50"/>
      <c r="L164" s="50"/>
      <c r="M164" s="48"/>
      <c r="N164" s="50"/>
      <c r="O164" s="47"/>
      <c r="P164" s="50"/>
      <c r="Q164" s="47"/>
    </row>
    <row r="165" spans="1:17" ht="18" customHeight="1">
      <c r="A165" s="50"/>
      <c r="B165" s="48"/>
      <c r="C165" s="48"/>
      <c r="D165" s="48"/>
      <c r="E165" s="49"/>
      <c r="F165" s="50"/>
      <c r="G165" s="50"/>
      <c r="H165" s="50"/>
      <c r="I165" s="50"/>
      <c r="J165" s="50"/>
      <c r="K165" s="50"/>
      <c r="L165" s="50"/>
      <c r="M165" s="48"/>
      <c r="N165" s="50"/>
      <c r="O165" s="47"/>
      <c r="P165" s="50"/>
      <c r="Q165" s="47"/>
    </row>
    <row r="166" spans="1:17" ht="18" customHeight="1">
      <c r="A166" s="50"/>
      <c r="B166" s="48"/>
      <c r="C166" s="48"/>
      <c r="D166" s="48"/>
      <c r="E166" s="49"/>
      <c r="F166" s="50"/>
      <c r="G166" s="50"/>
      <c r="H166" s="50"/>
      <c r="I166" s="50"/>
      <c r="J166" s="50"/>
      <c r="K166" s="50"/>
      <c r="L166" s="50"/>
      <c r="M166" s="48"/>
      <c r="N166" s="50"/>
      <c r="O166" s="47"/>
      <c r="P166" s="50"/>
      <c r="Q166" s="47"/>
    </row>
    <row r="167" spans="1:17" ht="18" customHeight="1">
      <c r="A167" s="50"/>
      <c r="B167" s="48"/>
      <c r="C167" s="48"/>
      <c r="D167" s="48"/>
      <c r="E167" s="49"/>
      <c r="F167" s="50"/>
      <c r="G167" s="50"/>
      <c r="H167" s="50"/>
      <c r="I167" s="50"/>
      <c r="J167" s="50"/>
      <c r="K167" s="50"/>
      <c r="L167" s="50"/>
      <c r="M167" s="48"/>
      <c r="N167" s="50"/>
      <c r="O167" s="47"/>
      <c r="P167" s="50"/>
      <c r="Q167" s="47"/>
    </row>
    <row r="168" spans="1:17" ht="18" customHeight="1">
      <c r="A168" s="50"/>
      <c r="B168" s="48"/>
      <c r="C168" s="48"/>
      <c r="D168" s="48"/>
      <c r="E168" s="49"/>
      <c r="F168" s="50"/>
      <c r="G168" s="50"/>
      <c r="H168" s="50"/>
      <c r="I168" s="50"/>
      <c r="J168" s="50"/>
      <c r="K168" s="50"/>
      <c r="L168" s="50"/>
      <c r="M168" s="48"/>
      <c r="N168" s="50"/>
      <c r="O168" s="47"/>
      <c r="P168" s="50"/>
      <c r="Q168" s="47"/>
    </row>
    <row r="169" spans="1:17" ht="18" customHeight="1">
      <c r="A169" s="50"/>
      <c r="B169" s="48"/>
      <c r="C169" s="48"/>
      <c r="D169" s="48"/>
      <c r="E169" s="49"/>
      <c r="F169" s="50"/>
      <c r="G169" s="50"/>
      <c r="H169" s="50"/>
      <c r="I169" s="50"/>
      <c r="J169" s="50"/>
      <c r="K169" s="50"/>
      <c r="L169" s="50"/>
      <c r="M169" s="48"/>
      <c r="N169" s="50"/>
      <c r="O169" s="47"/>
      <c r="P169" s="50"/>
      <c r="Q169" s="47"/>
    </row>
    <row r="170" spans="1:17" ht="18" customHeight="1">
      <c r="A170" s="50"/>
      <c r="B170" s="48"/>
      <c r="C170" s="48"/>
      <c r="D170" s="48"/>
      <c r="E170" s="49"/>
      <c r="F170" s="50"/>
      <c r="G170" s="50"/>
      <c r="H170" s="50"/>
      <c r="I170" s="50"/>
      <c r="J170" s="50"/>
      <c r="K170" s="50"/>
      <c r="L170" s="50"/>
      <c r="M170" s="48"/>
      <c r="N170" s="50"/>
      <c r="O170" s="47"/>
      <c r="P170" s="50"/>
      <c r="Q170" s="47"/>
    </row>
    <row r="171" spans="1:17" ht="18" customHeight="1">
      <c r="A171" s="50"/>
      <c r="B171" s="48"/>
      <c r="C171" s="48"/>
      <c r="D171" s="48"/>
      <c r="E171" s="49"/>
      <c r="F171" s="50"/>
      <c r="G171" s="50"/>
      <c r="H171" s="50"/>
      <c r="I171" s="50"/>
      <c r="J171" s="50"/>
      <c r="K171" s="50"/>
      <c r="L171" s="50"/>
      <c r="M171" s="48"/>
      <c r="N171" s="50"/>
      <c r="O171" s="47"/>
      <c r="P171" s="50"/>
      <c r="Q171" s="47"/>
    </row>
    <row r="172" spans="1:17" ht="18" customHeight="1">
      <c r="A172" s="50"/>
      <c r="B172" s="48"/>
      <c r="C172" s="48"/>
      <c r="D172" s="48"/>
      <c r="E172" s="49"/>
      <c r="F172" s="50"/>
      <c r="G172" s="50"/>
      <c r="H172" s="50"/>
      <c r="I172" s="50"/>
      <c r="J172" s="50"/>
      <c r="K172" s="50"/>
      <c r="L172" s="50"/>
      <c r="M172" s="48"/>
      <c r="N172" s="50"/>
      <c r="O172" s="47"/>
      <c r="P172" s="50"/>
      <c r="Q172" s="47"/>
    </row>
    <row r="173" spans="1:17" ht="18" customHeight="1">
      <c r="A173" s="50"/>
      <c r="B173" s="48"/>
      <c r="C173" s="48"/>
      <c r="D173" s="48"/>
      <c r="E173" s="49"/>
      <c r="F173" s="50"/>
      <c r="G173" s="50"/>
      <c r="H173" s="50"/>
      <c r="I173" s="50"/>
      <c r="J173" s="50"/>
      <c r="K173" s="50"/>
      <c r="L173" s="50"/>
      <c r="M173" s="48"/>
      <c r="N173" s="50"/>
      <c r="O173" s="47"/>
      <c r="P173" s="50"/>
      <c r="Q173" s="47"/>
    </row>
    <row r="174" spans="1:17" ht="18" customHeight="1">
      <c r="A174" s="50"/>
      <c r="B174" s="48"/>
      <c r="C174" s="48"/>
      <c r="D174" s="48"/>
      <c r="E174" s="49"/>
      <c r="F174" s="50"/>
      <c r="G174" s="50"/>
      <c r="H174" s="50"/>
      <c r="I174" s="50"/>
      <c r="J174" s="50"/>
      <c r="K174" s="50"/>
      <c r="L174" s="50"/>
      <c r="M174" s="48"/>
      <c r="N174" s="50"/>
      <c r="O174" s="47"/>
      <c r="P174" s="50"/>
      <c r="Q174" s="47"/>
    </row>
    <row r="175" spans="1:17" ht="18" customHeight="1">
      <c r="A175" s="50"/>
      <c r="B175" s="48"/>
      <c r="C175" s="48"/>
      <c r="D175" s="48"/>
      <c r="E175" s="49"/>
      <c r="F175" s="50"/>
      <c r="G175" s="50"/>
      <c r="H175" s="50"/>
      <c r="I175" s="50"/>
      <c r="J175" s="50"/>
      <c r="K175" s="50"/>
      <c r="L175" s="50"/>
      <c r="M175" s="48"/>
      <c r="N175" s="50"/>
      <c r="O175" s="47"/>
      <c r="P175" s="50"/>
      <c r="Q175" s="47"/>
    </row>
    <row r="176" spans="1:17" ht="18" customHeight="1">
      <c r="A176" s="50"/>
      <c r="B176" s="48"/>
      <c r="C176" s="48"/>
      <c r="D176" s="48"/>
      <c r="E176" s="49"/>
      <c r="F176" s="50"/>
      <c r="G176" s="50"/>
      <c r="H176" s="50"/>
      <c r="I176" s="50"/>
      <c r="J176" s="50"/>
      <c r="K176" s="50"/>
      <c r="L176" s="50"/>
      <c r="M176" s="48"/>
      <c r="N176" s="50"/>
      <c r="O176" s="47"/>
      <c r="P176" s="50"/>
      <c r="Q176" s="47"/>
    </row>
    <row r="177" spans="1:17" ht="18" customHeight="1">
      <c r="A177" s="50"/>
      <c r="B177" s="48"/>
      <c r="C177" s="48"/>
      <c r="D177" s="48"/>
      <c r="E177" s="49"/>
      <c r="F177" s="50"/>
      <c r="G177" s="50"/>
      <c r="H177" s="50"/>
      <c r="I177" s="50"/>
      <c r="J177" s="50"/>
      <c r="K177" s="50"/>
      <c r="L177" s="50"/>
      <c r="M177" s="48"/>
      <c r="N177" s="50"/>
      <c r="O177" s="47"/>
      <c r="P177" s="50"/>
      <c r="Q177" s="47"/>
    </row>
    <row r="178" spans="1:17" ht="18" customHeight="1">
      <c r="A178" s="50"/>
      <c r="B178" s="48"/>
      <c r="C178" s="48"/>
      <c r="D178" s="48"/>
      <c r="E178" s="49"/>
      <c r="F178" s="50"/>
      <c r="G178" s="50"/>
      <c r="H178" s="50"/>
      <c r="I178" s="50"/>
      <c r="J178" s="50"/>
      <c r="K178" s="50"/>
      <c r="L178" s="50"/>
      <c r="M178" s="48"/>
      <c r="N178" s="50"/>
      <c r="O178" s="47"/>
      <c r="P178" s="50"/>
      <c r="Q178" s="47"/>
    </row>
    <row r="179" spans="1:17" ht="18" customHeight="1">
      <c r="A179" s="50"/>
      <c r="B179" s="48"/>
      <c r="C179" s="48"/>
      <c r="D179" s="48"/>
      <c r="E179" s="49"/>
      <c r="F179" s="50"/>
      <c r="G179" s="50"/>
      <c r="H179" s="50"/>
      <c r="I179" s="50"/>
      <c r="J179" s="50"/>
      <c r="K179" s="50"/>
      <c r="L179" s="50"/>
      <c r="M179" s="48"/>
      <c r="N179" s="50"/>
      <c r="O179" s="47"/>
      <c r="P179" s="50"/>
      <c r="Q179" s="47"/>
    </row>
    <row r="180" spans="1:17" ht="18" customHeight="1">
      <c r="A180" s="50"/>
      <c r="B180" s="48"/>
      <c r="C180" s="48"/>
      <c r="D180" s="48"/>
      <c r="E180" s="49"/>
      <c r="F180" s="50"/>
      <c r="G180" s="50"/>
      <c r="H180" s="50"/>
      <c r="I180" s="50"/>
      <c r="J180" s="50"/>
      <c r="K180" s="50"/>
      <c r="L180" s="50"/>
      <c r="M180" s="48"/>
      <c r="N180" s="50"/>
      <c r="O180" s="47"/>
      <c r="P180" s="50"/>
      <c r="Q180" s="47"/>
    </row>
    <row r="181" spans="1:17" ht="18" customHeight="1">
      <c r="A181" s="50"/>
      <c r="B181" s="48"/>
      <c r="C181" s="48"/>
      <c r="D181" s="48"/>
      <c r="E181" s="49"/>
      <c r="F181" s="50"/>
      <c r="G181" s="50"/>
      <c r="H181" s="50"/>
      <c r="I181" s="50"/>
      <c r="J181" s="50"/>
      <c r="K181" s="50"/>
      <c r="L181" s="50"/>
      <c r="M181" s="48"/>
      <c r="N181" s="50"/>
      <c r="O181" s="47"/>
      <c r="P181" s="50"/>
      <c r="Q181" s="47"/>
    </row>
    <row r="182" spans="1:17" ht="18" customHeight="1">
      <c r="A182" s="50"/>
      <c r="B182" s="48"/>
      <c r="C182" s="48"/>
      <c r="D182" s="48"/>
      <c r="E182" s="49"/>
      <c r="F182" s="50"/>
      <c r="G182" s="50"/>
      <c r="H182" s="50"/>
      <c r="I182" s="50"/>
      <c r="J182" s="50"/>
      <c r="K182" s="50"/>
      <c r="L182" s="50"/>
      <c r="M182" s="48"/>
      <c r="N182" s="50"/>
      <c r="O182" s="47"/>
      <c r="P182" s="50"/>
      <c r="Q182" s="47"/>
    </row>
    <row r="183" spans="1:17" ht="18" customHeight="1">
      <c r="A183" s="50"/>
      <c r="B183" s="48"/>
      <c r="C183" s="48"/>
      <c r="D183" s="48"/>
      <c r="E183" s="49"/>
      <c r="F183" s="50"/>
      <c r="G183" s="50"/>
      <c r="H183" s="50"/>
      <c r="I183" s="50"/>
      <c r="J183" s="50"/>
      <c r="K183" s="50"/>
      <c r="L183" s="50"/>
      <c r="M183" s="48"/>
      <c r="N183" s="50"/>
      <c r="O183" s="47"/>
      <c r="P183" s="50"/>
      <c r="Q183" s="47"/>
    </row>
    <row r="184" spans="1:17" ht="18" customHeight="1">
      <c r="A184" s="50"/>
      <c r="B184" s="48"/>
      <c r="C184" s="48"/>
      <c r="D184" s="48"/>
      <c r="E184" s="49"/>
      <c r="F184" s="50"/>
      <c r="G184" s="50"/>
      <c r="H184" s="50"/>
      <c r="I184" s="50"/>
      <c r="J184" s="50"/>
      <c r="K184" s="50"/>
      <c r="L184" s="50"/>
      <c r="M184" s="48"/>
      <c r="N184" s="50"/>
      <c r="O184" s="47"/>
      <c r="P184" s="50"/>
      <c r="Q184" s="47"/>
    </row>
    <row r="185" spans="1:17" ht="18" customHeight="1">
      <c r="A185" s="50"/>
      <c r="B185" s="48"/>
      <c r="C185" s="48"/>
      <c r="D185" s="48"/>
      <c r="E185" s="49"/>
      <c r="F185" s="50"/>
      <c r="G185" s="50"/>
      <c r="H185" s="50"/>
      <c r="I185" s="50"/>
      <c r="J185" s="50"/>
      <c r="K185" s="50"/>
      <c r="L185" s="50"/>
      <c r="M185" s="48"/>
      <c r="N185" s="50"/>
      <c r="O185" s="47"/>
      <c r="P185" s="50"/>
      <c r="Q185" s="47"/>
    </row>
    <row r="186" spans="1:17">
      <c r="A186" s="50"/>
      <c r="B186" s="48"/>
      <c r="C186" s="48"/>
      <c r="D186" s="48"/>
      <c r="E186" s="49"/>
      <c r="F186" s="50"/>
      <c r="G186" s="50"/>
      <c r="H186" s="50"/>
      <c r="I186" s="50"/>
      <c r="J186" s="50"/>
      <c r="K186" s="50"/>
      <c r="L186" s="50"/>
      <c r="M186" s="48"/>
      <c r="N186" s="50"/>
      <c r="O186" s="47"/>
      <c r="P186" s="50"/>
      <c r="Q186" s="47"/>
    </row>
    <row r="187" spans="1:17">
      <c r="A187" s="50"/>
      <c r="B187" s="48"/>
      <c r="C187" s="48"/>
      <c r="D187" s="48"/>
      <c r="E187" s="49"/>
      <c r="F187" s="50"/>
      <c r="G187" s="50"/>
      <c r="H187" s="50"/>
      <c r="I187" s="50"/>
      <c r="J187" s="50"/>
      <c r="K187" s="50"/>
      <c r="L187" s="50"/>
      <c r="M187" s="48"/>
      <c r="N187" s="50"/>
      <c r="O187" s="47"/>
      <c r="P187" s="50"/>
      <c r="Q187" s="47"/>
    </row>
    <row r="188" spans="1:17">
      <c r="A188" s="50"/>
      <c r="B188" s="48"/>
      <c r="C188" s="48"/>
      <c r="D188" s="48"/>
      <c r="E188" s="49"/>
      <c r="F188" s="50"/>
      <c r="G188" s="50"/>
      <c r="H188" s="50"/>
      <c r="I188" s="50"/>
      <c r="J188" s="50"/>
      <c r="K188" s="50"/>
      <c r="L188" s="50"/>
      <c r="M188" s="48"/>
      <c r="N188" s="50"/>
      <c r="O188" s="47"/>
      <c r="P188" s="50"/>
      <c r="Q188" s="47"/>
    </row>
    <row r="189" spans="1:17">
      <c r="A189" s="50"/>
      <c r="B189" s="48"/>
      <c r="C189" s="48"/>
      <c r="D189" s="48"/>
      <c r="E189" s="49"/>
      <c r="F189" s="50"/>
      <c r="G189" s="50"/>
      <c r="H189" s="50"/>
      <c r="I189" s="50"/>
      <c r="J189" s="50"/>
      <c r="K189" s="50"/>
      <c r="L189" s="50"/>
      <c r="M189" s="48"/>
      <c r="N189" s="50"/>
      <c r="O189" s="47"/>
      <c r="P189" s="50"/>
      <c r="Q189" s="47"/>
    </row>
    <row r="190" spans="1:17">
      <c r="A190" s="50"/>
      <c r="B190" s="48"/>
      <c r="C190" s="48"/>
      <c r="D190" s="48"/>
      <c r="E190" s="49"/>
      <c r="F190" s="50"/>
      <c r="G190" s="50"/>
      <c r="H190" s="50"/>
      <c r="I190" s="50"/>
      <c r="J190" s="50"/>
      <c r="K190" s="50"/>
      <c r="L190" s="50"/>
      <c r="M190" s="48"/>
      <c r="N190" s="50"/>
      <c r="O190" s="47"/>
      <c r="P190" s="50"/>
      <c r="Q190" s="47"/>
    </row>
    <row r="191" spans="1:17">
      <c r="A191" s="50"/>
      <c r="B191" s="48"/>
      <c r="C191" s="48"/>
      <c r="D191" s="48"/>
      <c r="E191" s="49"/>
      <c r="F191" s="50"/>
      <c r="G191" s="50"/>
      <c r="H191" s="50"/>
      <c r="I191" s="50"/>
      <c r="J191" s="50"/>
      <c r="K191" s="50"/>
      <c r="L191" s="50"/>
      <c r="M191" s="48"/>
      <c r="N191" s="50"/>
      <c r="O191" s="47"/>
      <c r="P191" s="50"/>
      <c r="Q191" s="47"/>
    </row>
    <row r="192" spans="1:17">
      <c r="A192" s="50"/>
      <c r="B192" s="48"/>
      <c r="C192" s="48"/>
      <c r="D192" s="48"/>
      <c r="E192" s="49"/>
      <c r="F192" s="50"/>
      <c r="G192" s="50"/>
      <c r="H192" s="50"/>
      <c r="I192" s="50"/>
      <c r="J192" s="50"/>
      <c r="K192" s="50"/>
      <c r="L192" s="50"/>
      <c r="M192" s="48"/>
      <c r="N192" s="50"/>
      <c r="O192" s="47"/>
      <c r="P192" s="50"/>
      <c r="Q192" s="47"/>
    </row>
    <row r="193" spans="1:17">
      <c r="A193" s="50"/>
      <c r="B193" s="48"/>
      <c r="C193" s="48"/>
      <c r="D193" s="48"/>
      <c r="E193" s="49"/>
      <c r="F193" s="50"/>
      <c r="G193" s="50"/>
      <c r="H193" s="50"/>
      <c r="I193" s="50"/>
      <c r="J193" s="50"/>
      <c r="K193" s="50"/>
      <c r="L193" s="50"/>
      <c r="M193" s="48"/>
      <c r="N193" s="50"/>
      <c r="O193" s="47"/>
      <c r="P193" s="50"/>
      <c r="Q193" s="47"/>
    </row>
    <row r="194" spans="1:17">
      <c r="A194" s="50"/>
      <c r="B194" s="48"/>
      <c r="C194" s="48"/>
      <c r="D194" s="48"/>
      <c r="E194" s="49"/>
      <c r="F194" s="50"/>
      <c r="G194" s="50"/>
      <c r="H194" s="50"/>
      <c r="I194" s="50"/>
      <c r="J194" s="50"/>
      <c r="K194" s="50"/>
      <c r="L194" s="50"/>
      <c r="M194" s="48"/>
      <c r="N194" s="50"/>
      <c r="O194" s="47"/>
      <c r="P194" s="50"/>
      <c r="Q194" s="47"/>
    </row>
    <row r="195" spans="1:17">
      <c r="A195" s="50"/>
      <c r="B195" s="48"/>
      <c r="C195" s="48"/>
      <c r="D195" s="48"/>
      <c r="E195" s="49"/>
      <c r="F195" s="50"/>
      <c r="G195" s="50"/>
      <c r="H195" s="50"/>
      <c r="I195" s="50"/>
      <c r="J195" s="50"/>
      <c r="K195" s="50"/>
      <c r="L195" s="50"/>
      <c r="M195" s="48"/>
      <c r="N195" s="50"/>
      <c r="O195" s="47"/>
      <c r="P195" s="50"/>
      <c r="Q195" s="47"/>
    </row>
    <row r="196" spans="1:17">
      <c r="A196" s="50"/>
      <c r="B196" s="48"/>
      <c r="C196" s="48"/>
      <c r="D196" s="48"/>
      <c r="E196" s="49"/>
      <c r="F196" s="50"/>
      <c r="G196" s="50"/>
      <c r="H196" s="50"/>
      <c r="I196" s="50"/>
      <c r="J196" s="50"/>
      <c r="K196" s="50"/>
      <c r="L196" s="50"/>
      <c r="M196" s="48"/>
      <c r="N196" s="50"/>
      <c r="O196" s="47"/>
      <c r="P196" s="50"/>
      <c r="Q196" s="47"/>
    </row>
    <row r="197" spans="1:17">
      <c r="A197" s="50"/>
      <c r="B197" s="48"/>
      <c r="C197" s="48"/>
      <c r="D197" s="48"/>
      <c r="E197" s="49"/>
      <c r="F197" s="50"/>
      <c r="G197" s="50"/>
      <c r="H197" s="50"/>
      <c r="I197" s="50"/>
      <c r="J197" s="50"/>
      <c r="K197" s="50"/>
      <c r="L197" s="50"/>
      <c r="M197" s="48"/>
      <c r="N197" s="50"/>
      <c r="O197" s="47"/>
      <c r="P197" s="50"/>
      <c r="Q197" s="47"/>
    </row>
    <row r="198" spans="1:17">
      <c r="A198" s="50"/>
      <c r="B198" s="48"/>
      <c r="C198" s="48"/>
      <c r="D198" s="48"/>
      <c r="E198" s="49"/>
      <c r="F198" s="50"/>
      <c r="G198" s="50"/>
      <c r="H198" s="50"/>
      <c r="I198" s="50"/>
      <c r="J198" s="50"/>
      <c r="K198" s="50"/>
      <c r="L198" s="50"/>
      <c r="M198" s="48"/>
      <c r="N198" s="50"/>
      <c r="O198" s="47"/>
      <c r="P198" s="50"/>
      <c r="Q198" s="47"/>
    </row>
    <row r="199" spans="1:17">
      <c r="A199" s="50"/>
      <c r="B199" s="48"/>
      <c r="C199" s="48"/>
      <c r="D199" s="48"/>
      <c r="E199" s="49"/>
      <c r="F199" s="50"/>
      <c r="G199" s="50"/>
      <c r="H199" s="50"/>
      <c r="I199" s="50"/>
      <c r="J199" s="50"/>
      <c r="K199" s="50"/>
      <c r="L199" s="50"/>
      <c r="M199" s="48"/>
      <c r="N199" s="50"/>
      <c r="O199" s="47"/>
      <c r="P199" s="50"/>
      <c r="Q199" s="47"/>
    </row>
    <row r="200" spans="1:17">
      <c r="A200" s="50"/>
      <c r="B200" s="48"/>
      <c r="C200" s="48"/>
      <c r="D200" s="48"/>
      <c r="E200" s="49"/>
      <c r="F200" s="50"/>
      <c r="G200" s="50"/>
      <c r="H200" s="50"/>
      <c r="I200" s="50"/>
      <c r="J200" s="50"/>
      <c r="K200" s="50"/>
      <c r="L200" s="50"/>
      <c r="M200" s="48"/>
      <c r="N200" s="50"/>
      <c r="O200" s="47"/>
      <c r="P200" s="50"/>
      <c r="Q200" s="47"/>
    </row>
    <row r="201" spans="1:17">
      <c r="A201" s="50"/>
      <c r="B201" s="48"/>
      <c r="C201" s="48"/>
      <c r="D201" s="48"/>
      <c r="E201" s="49"/>
      <c r="F201" s="50"/>
      <c r="G201" s="50"/>
      <c r="H201" s="50"/>
      <c r="I201" s="50"/>
      <c r="J201" s="50"/>
      <c r="K201" s="50"/>
      <c r="L201" s="50"/>
      <c r="M201" s="48"/>
      <c r="N201" s="50"/>
      <c r="O201" s="47"/>
      <c r="P201" s="50"/>
      <c r="Q201" s="47"/>
    </row>
    <row r="202" spans="1:17">
      <c r="A202" s="50"/>
      <c r="B202" s="48"/>
      <c r="C202" s="48"/>
      <c r="D202" s="48"/>
      <c r="E202" s="49"/>
      <c r="F202" s="50"/>
      <c r="G202" s="50"/>
      <c r="H202" s="50"/>
      <c r="I202" s="50"/>
      <c r="J202" s="50"/>
      <c r="K202" s="50"/>
      <c r="L202" s="50"/>
      <c r="M202" s="48"/>
      <c r="N202" s="50"/>
      <c r="O202" s="47"/>
      <c r="P202" s="50"/>
      <c r="Q202" s="47"/>
    </row>
    <row r="203" spans="1:17">
      <c r="A203" s="50"/>
      <c r="B203" s="48"/>
      <c r="C203" s="48"/>
      <c r="D203" s="48"/>
      <c r="E203" s="49"/>
      <c r="F203" s="50"/>
      <c r="G203" s="50"/>
      <c r="H203" s="50"/>
      <c r="I203" s="50"/>
      <c r="J203" s="50"/>
      <c r="K203" s="50"/>
      <c r="L203" s="50"/>
      <c r="M203" s="48"/>
      <c r="N203" s="50"/>
      <c r="O203" s="47"/>
      <c r="P203" s="50"/>
      <c r="Q203" s="47"/>
    </row>
    <row r="204" spans="1:17">
      <c r="A204" s="50"/>
      <c r="B204" s="48"/>
      <c r="C204" s="48"/>
      <c r="D204" s="48"/>
      <c r="E204" s="49"/>
      <c r="F204" s="50"/>
      <c r="G204" s="50"/>
      <c r="H204" s="50"/>
      <c r="I204" s="50"/>
      <c r="J204" s="50"/>
      <c r="K204" s="50"/>
      <c r="L204" s="50"/>
      <c r="M204" s="48"/>
      <c r="N204" s="50"/>
      <c r="O204" s="47"/>
      <c r="P204" s="50"/>
      <c r="Q204" s="47"/>
    </row>
    <row r="205" spans="1:17">
      <c r="A205" s="50"/>
      <c r="B205" s="48"/>
      <c r="C205" s="48"/>
      <c r="D205" s="48"/>
      <c r="E205" s="49"/>
      <c r="F205" s="50"/>
      <c r="G205" s="50"/>
      <c r="H205" s="50"/>
      <c r="I205" s="50"/>
      <c r="J205" s="50"/>
      <c r="K205" s="50"/>
      <c r="L205" s="50"/>
      <c r="M205" s="48"/>
      <c r="N205" s="50"/>
      <c r="O205" s="47"/>
      <c r="P205" s="50"/>
      <c r="Q205" s="47"/>
    </row>
    <row r="206" spans="1:17">
      <c r="A206" s="50"/>
      <c r="B206" s="48"/>
      <c r="C206" s="48"/>
      <c r="D206" s="48"/>
      <c r="E206" s="49"/>
      <c r="F206" s="50"/>
      <c r="G206" s="50"/>
      <c r="H206" s="50"/>
      <c r="I206" s="50"/>
      <c r="J206" s="50"/>
      <c r="K206" s="50"/>
      <c r="L206" s="50"/>
      <c r="M206" s="48"/>
      <c r="N206" s="50"/>
      <c r="O206" s="47"/>
      <c r="P206" s="50"/>
      <c r="Q206" s="47"/>
    </row>
    <row r="207" spans="1:17">
      <c r="A207" s="50"/>
      <c r="B207" s="48"/>
      <c r="C207" s="48"/>
      <c r="D207" s="48"/>
      <c r="E207" s="49"/>
      <c r="F207" s="50"/>
      <c r="G207" s="50"/>
      <c r="H207" s="50"/>
      <c r="I207" s="50"/>
      <c r="J207" s="50"/>
      <c r="K207" s="50"/>
      <c r="L207" s="50"/>
      <c r="M207" s="48"/>
      <c r="N207" s="50"/>
      <c r="O207" s="47"/>
      <c r="P207" s="50"/>
      <c r="Q207" s="47"/>
    </row>
    <row r="208" spans="1:17">
      <c r="A208" s="50"/>
      <c r="B208" s="48"/>
      <c r="C208" s="48"/>
      <c r="D208" s="48"/>
      <c r="E208" s="49"/>
      <c r="F208" s="50"/>
      <c r="G208" s="50"/>
      <c r="H208" s="50"/>
      <c r="I208" s="50"/>
      <c r="J208" s="50"/>
      <c r="K208" s="50"/>
      <c r="L208" s="50"/>
      <c r="M208" s="48"/>
      <c r="N208" s="50"/>
      <c r="O208" s="47"/>
      <c r="P208" s="50"/>
      <c r="Q208" s="47"/>
    </row>
    <row r="209" spans="1:17">
      <c r="A209" s="50"/>
      <c r="B209" s="48"/>
      <c r="C209" s="48"/>
      <c r="D209" s="48"/>
      <c r="E209" s="49"/>
      <c r="F209" s="50"/>
      <c r="G209" s="50"/>
      <c r="H209" s="50"/>
      <c r="I209" s="50"/>
      <c r="J209" s="50"/>
      <c r="K209" s="50"/>
      <c r="L209" s="50"/>
      <c r="M209" s="48"/>
      <c r="N209" s="50"/>
      <c r="O209" s="47"/>
      <c r="P209" s="50"/>
      <c r="Q209" s="47"/>
    </row>
    <row r="210" spans="1:17">
      <c r="A210" s="50"/>
      <c r="B210" s="48"/>
      <c r="C210" s="48"/>
      <c r="D210" s="48"/>
      <c r="E210" s="49"/>
      <c r="F210" s="50"/>
      <c r="G210" s="50"/>
      <c r="H210" s="50"/>
      <c r="I210" s="50"/>
      <c r="J210" s="50"/>
      <c r="K210" s="50"/>
      <c r="L210" s="50"/>
      <c r="M210" s="48"/>
      <c r="N210" s="50"/>
      <c r="O210" s="47"/>
      <c r="P210" s="50"/>
      <c r="Q210" s="47"/>
    </row>
    <row r="211" spans="1:17">
      <c r="A211" s="50"/>
      <c r="B211" s="48"/>
      <c r="C211" s="48"/>
      <c r="D211" s="48"/>
      <c r="E211" s="49"/>
      <c r="F211" s="50"/>
      <c r="G211" s="50"/>
      <c r="H211" s="50"/>
      <c r="I211" s="50"/>
      <c r="J211" s="50"/>
      <c r="K211" s="50"/>
      <c r="L211" s="50"/>
      <c r="M211" s="48"/>
      <c r="N211" s="50"/>
      <c r="O211" s="47"/>
      <c r="P211" s="50"/>
      <c r="Q211" s="47"/>
    </row>
    <row r="212" spans="1:17">
      <c r="A212" s="50"/>
      <c r="B212" s="48"/>
      <c r="C212" s="48"/>
      <c r="D212" s="48"/>
      <c r="E212" s="49"/>
      <c r="F212" s="50"/>
      <c r="G212" s="50"/>
      <c r="H212" s="50"/>
      <c r="I212" s="50"/>
      <c r="J212" s="50"/>
      <c r="K212" s="50"/>
      <c r="L212" s="50"/>
      <c r="M212" s="48"/>
      <c r="N212" s="50"/>
      <c r="O212" s="47"/>
      <c r="P212" s="50"/>
      <c r="Q212" s="47"/>
    </row>
    <row r="213" spans="1:17">
      <c r="A213" s="50"/>
      <c r="B213" s="48"/>
      <c r="C213" s="48"/>
      <c r="D213" s="48"/>
      <c r="E213" s="49"/>
      <c r="F213" s="50"/>
      <c r="G213" s="50"/>
      <c r="H213" s="50"/>
      <c r="I213" s="50"/>
      <c r="J213" s="50"/>
      <c r="K213" s="50"/>
      <c r="L213" s="50"/>
      <c r="M213" s="48"/>
      <c r="N213" s="50"/>
      <c r="O213" s="47"/>
      <c r="P213" s="50"/>
      <c r="Q213" s="47"/>
    </row>
    <row r="214" spans="1:17">
      <c r="A214" s="50"/>
      <c r="B214" s="48"/>
      <c r="C214" s="48"/>
      <c r="D214" s="48"/>
      <c r="E214" s="49"/>
      <c r="F214" s="50"/>
      <c r="G214" s="50"/>
      <c r="H214" s="50"/>
      <c r="I214" s="50"/>
      <c r="J214" s="50"/>
      <c r="K214" s="50"/>
      <c r="L214" s="50"/>
      <c r="M214" s="48"/>
      <c r="N214" s="50"/>
      <c r="O214" s="47"/>
      <c r="P214" s="50"/>
      <c r="Q214" s="47"/>
    </row>
    <row r="215" spans="1:17">
      <c r="A215" s="50"/>
      <c r="B215" s="48"/>
      <c r="C215" s="48"/>
      <c r="D215" s="48"/>
      <c r="E215" s="49"/>
      <c r="F215" s="50"/>
      <c r="G215" s="50"/>
      <c r="H215" s="50"/>
      <c r="I215" s="50"/>
      <c r="J215" s="50"/>
      <c r="K215" s="50"/>
      <c r="L215" s="50"/>
      <c r="M215" s="48"/>
      <c r="N215" s="50"/>
      <c r="O215" s="47"/>
      <c r="P215" s="50"/>
      <c r="Q215" s="47"/>
    </row>
    <row r="216" spans="1:17">
      <c r="A216" s="50"/>
      <c r="B216" s="48"/>
      <c r="C216" s="48"/>
      <c r="D216" s="48"/>
      <c r="E216" s="49"/>
      <c r="F216" s="50"/>
      <c r="G216" s="50"/>
      <c r="H216" s="50"/>
      <c r="I216" s="50"/>
      <c r="J216" s="50"/>
      <c r="K216" s="50"/>
      <c r="L216" s="50"/>
      <c r="M216" s="48"/>
      <c r="N216" s="50"/>
      <c r="O216" s="47"/>
      <c r="P216" s="50"/>
      <c r="Q216" s="47"/>
    </row>
    <row r="217" spans="1:17">
      <c r="A217" s="50"/>
      <c r="B217" s="48"/>
      <c r="C217" s="48"/>
      <c r="D217" s="48"/>
      <c r="E217" s="49"/>
      <c r="F217" s="50"/>
      <c r="G217" s="50"/>
      <c r="H217" s="50"/>
      <c r="I217" s="50"/>
      <c r="J217" s="50"/>
      <c r="K217" s="50"/>
      <c r="L217" s="50"/>
      <c r="M217" s="48"/>
      <c r="N217" s="50"/>
      <c r="O217" s="47"/>
      <c r="P217" s="50"/>
      <c r="Q217" s="47"/>
    </row>
    <row r="218" spans="1:17">
      <c r="A218" s="50"/>
      <c r="B218" s="48"/>
      <c r="C218" s="48"/>
      <c r="D218" s="48"/>
      <c r="E218" s="49"/>
      <c r="F218" s="50"/>
      <c r="G218" s="50"/>
      <c r="H218" s="50"/>
      <c r="I218" s="50"/>
      <c r="J218" s="50"/>
      <c r="K218" s="50"/>
      <c r="L218" s="50"/>
      <c r="M218" s="48"/>
      <c r="N218" s="50"/>
      <c r="O218" s="47"/>
      <c r="P218" s="50"/>
      <c r="Q218" s="47"/>
    </row>
    <row r="219" spans="1:17">
      <c r="A219" s="50"/>
      <c r="B219" s="48"/>
      <c r="C219" s="48"/>
      <c r="D219" s="48"/>
      <c r="E219" s="49"/>
      <c r="F219" s="50"/>
      <c r="G219" s="50"/>
      <c r="H219" s="50"/>
      <c r="I219" s="50"/>
      <c r="J219" s="50"/>
      <c r="K219" s="50"/>
      <c r="L219" s="50"/>
      <c r="M219" s="48"/>
      <c r="N219" s="50"/>
      <c r="O219" s="47"/>
      <c r="P219" s="50"/>
      <c r="Q219" s="47"/>
    </row>
    <row r="220" spans="1:17">
      <c r="A220" s="50"/>
      <c r="B220" s="48"/>
      <c r="C220" s="48"/>
      <c r="D220" s="48"/>
      <c r="E220" s="49"/>
      <c r="F220" s="50"/>
      <c r="G220" s="50"/>
      <c r="H220" s="50"/>
      <c r="I220" s="50"/>
      <c r="J220" s="50"/>
      <c r="K220" s="50"/>
      <c r="L220" s="50"/>
      <c r="M220" s="48"/>
      <c r="N220" s="50"/>
      <c r="O220" s="47"/>
      <c r="P220" s="50"/>
      <c r="Q220" s="47"/>
    </row>
    <row r="221" spans="1:17">
      <c r="A221" s="50"/>
      <c r="B221" s="48"/>
      <c r="C221" s="48"/>
      <c r="D221" s="48"/>
      <c r="E221" s="49"/>
      <c r="F221" s="50"/>
      <c r="G221" s="50"/>
      <c r="H221" s="50"/>
      <c r="I221" s="50"/>
      <c r="J221" s="50"/>
      <c r="K221" s="50"/>
      <c r="L221" s="50"/>
      <c r="M221" s="48"/>
      <c r="N221" s="50"/>
      <c r="O221" s="47"/>
      <c r="P221" s="50"/>
      <c r="Q221" s="47"/>
    </row>
    <row r="222" spans="1:17">
      <c r="A222" s="50"/>
      <c r="B222" s="48"/>
      <c r="C222" s="48"/>
      <c r="D222" s="48"/>
      <c r="E222" s="49"/>
      <c r="F222" s="50"/>
      <c r="G222" s="50"/>
      <c r="H222" s="50"/>
      <c r="I222" s="50"/>
      <c r="J222" s="50"/>
      <c r="K222" s="50"/>
      <c r="L222" s="50"/>
      <c r="M222" s="48"/>
      <c r="N222" s="50"/>
      <c r="O222" s="47"/>
      <c r="P222" s="50"/>
      <c r="Q222" s="47"/>
    </row>
    <row r="223" spans="1:17">
      <c r="A223" s="50"/>
      <c r="B223" s="48"/>
      <c r="C223" s="48"/>
      <c r="D223" s="48"/>
      <c r="E223" s="49"/>
      <c r="F223" s="50"/>
      <c r="G223" s="50"/>
      <c r="H223" s="50"/>
      <c r="I223" s="50"/>
      <c r="J223" s="50"/>
      <c r="K223" s="50"/>
      <c r="L223" s="50"/>
      <c r="M223" s="48"/>
      <c r="N223" s="50"/>
      <c r="O223" s="47"/>
      <c r="P223" s="50"/>
      <c r="Q223" s="47"/>
    </row>
    <row r="224" spans="1:17">
      <c r="A224" s="50"/>
      <c r="B224" s="48"/>
      <c r="C224" s="48"/>
      <c r="D224" s="48"/>
      <c r="E224" s="49"/>
      <c r="F224" s="50"/>
      <c r="G224" s="50"/>
      <c r="H224" s="50"/>
      <c r="I224" s="50"/>
      <c r="J224" s="50"/>
      <c r="K224" s="50"/>
      <c r="L224" s="50"/>
      <c r="M224" s="48"/>
      <c r="N224" s="50"/>
      <c r="O224" s="47"/>
      <c r="P224" s="50"/>
      <c r="Q224" s="47"/>
    </row>
    <row r="225" spans="1:17">
      <c r="A225" s="50"/>
      <c r="B225" s="48"/>
      <c r="C225" s="48"/>
      <c r="D225" s="48"/>
      <c r="E225" s="49"/>
      <c r="F225" s="50"/>
      <c r="G225" s="50"/>
      <c r="H225" s="50"/>
      <c r="I225" s="50"/>
      <c r="J225" s="50"/>
      <c r="K225" s="50"/>
      <c r="L225" s="50"/>
      <c r="M225" s="48"/>
      <c r="N225" s="50"/>
      <c r="O225" s="47"/>
      <c r="P225" s="50"/>
      <c r="Q225" s="47"/>
    </row>
    <row r="226" spans="1:17">
      <c r="A226" s="50"/>
      <c r="B226" s="48"/>
      <c r="C226" s="48"/>
      <c r="D226" s="48"/>
      <c r="E226" s="49"/>
      <c r="F226" s="50"/>
      <c r="G226" s="50"/>
      <c r="H226" s="50"/>
      <c r="I226" s="50"/>
      <c r="J226" s="50"/>
      <c r="K226" s="50"/>
      <c r="L226" s="50"/>
      <c r="M226" s="48"/>
      <c r="N226" s="50"/>
      <c r="O226" s="47"/>
      <c r="P226" s="50"/>
      <c r="Q226" s="47"/>
    </row>
    <row r="227" spans="1:17">
      <c r="A227" s="50"/>
      <c r="B227" s="48"/>
      <c r="C227" s="48"/>
      <c r="D227" s="48"/>
      <c r="E227" s="49"/>
      <c r="F227" s="50"/>
      <c r="G227" s="50"/>
      <c r="H227" s="50"/>
      <c r="I227" s="50"/>
      <c r="J227" s="50"/>
      <c r="K227" s="50"/>
      <c r="L227" s="50"/>
      <c r="M227" s="48"/>
      <c r="N227" s="50"/>
      <c r="O227" s="47"/>
      <c r="P227" s="50"/>
      <c r="Q227" s="47"/>
    </row>
    <row r="228" spans="1:17">
      <c r="A228" s="50"/>
      <c r="B228" s="48"/>
      <c r="C228" s="48"/>
      <c r="D228" s="48"/>
      <c r="E228" s="49"/>
      <c r="F228" s="50"/>
      <c r="G228" s="50"/>
      <c r="H228" s="50"/>
      <c r="I228" s="50"/>
      <c r="J228" s="50"/>
      <c r="K228" s="50"/>
      <c r="L228" s="50"/>
      <c r="M228" s="48"/>
      <c r="N228" s="50"/>
      <c r="O228" s="47"/>
      <c r="P228" s="50"/>
      <c r="Q228" s="47"/>
    </row>
    <row r="229" spans="1:17">
      <c r="A229" s="50"/>
      <c r="B229" s="48"/>
      <c r="C229" s="48"/>
      <c r="D229" s="48"/>
      <c r="E229" s="49"/>
      <c r="F229" s="50"/>
      <c r="G229" s="50"/>
      <c r="H229" s="50"/>
      <c r="I229" s="50"/>
      <c r="J229" s="50"/>
      <c r="K229" s="50"/>
      <c r="L229" s="50"/>
      <c r="M229" s="48"/>
      <c r="N229" s="50"/>
      <c r="O229" s="47"/>
      <c r="P229" s="50"/>
      <c r="Q229" s="47"/>
    </row>
    <row r="230" spans="1:17">
      <c r="A230" s="50"/>
      <c r="B230" s="48"/>
      <c r="C230" s="48"/>
      <c r="D230" s="48"/>
      <c r="E230" s="49"/>
      <c r="F230" s="50"/>
      <c r="G230" s="50"/>
      <c r="H230" s="50"/>
      <c r="I230" s="50"/>
      <c r="J230" s="50"/>
      <c r="K230" s="50"/>
      <c r="L230" s="50"/>
      <c r="M230" s="48"/>
      <c r="N230" s="50"/>
      <c r="O230" s="47"/>
      <c r="P230" s="50"/>
      <c r="Q230" s="47"/>
    </row>
    <row r="231" spans="1:17">
      <c r="A231" s="50"/>
      <c r="B231" s="48"/>
      <c r="C231" s="48"/>
      <c r="D231" s="48"/>
      <c r="E231" s="49"/>
      <c r="F231" s="50"/>
      <c r="G231" s="50"/>
      <c r="H231" s="50"/>
      <c r="I231" s="50"/>
      <c r="J231" s="50"/>
      <c r="K231" s="50"/>
      <c r="L231" s="50"/>
      <c r="M231" s="48"/>
      <c r="N231" s="50"/>
      <c r="O231" s="47"/>
      <c r="P231" s="50"/>
      <c r="Q231" s="47"/>
    </row>
    <row r="232" spans="1:17">
      <c r="A232" s="50"/>
      <c r="B232" s="48"/>
      <c r="C232" s="48"/>
      <c r="D232" s="48"/>
      <c r="E232" s="49"/>
      <c r="F232" s="50"/>
      <c r="G232" s="50"/>
      <c r="H232" s="50"/>
      <c r="I232" s="50"/>
      <c r="J232" s="50"/>
      <c r="K232" s="50"/>
      <c r="L232" s="50"/>
      <c r="M232" s="48"/>
      <c r="N232" s="50"/>
      <c r="O232" s="47"/>
      <c r="P232" s="50"/>
      <c r="Q232" s="47"/>
    </row>
    <row r="233" spans="1:17">
      <c r="A233" s="50"/>
      <c r="B233" s="48"/>
      <c r="C233" s="48"/>
      <c r="D233" s="48"/>
      <c r="E233" s="49"/>
      <c r="F233" s="50"/>
      <c r="G233" s="50"/>
      <c r="H233" s="50"/>
      <c r="I233" s="50"/>
      <c r="J233" s="50"/>
      <c r="K233" s="50"/>
      <c r="L233" s="50"/>
      <c r="M233" s="48"/>
      <c r="N233" s="50"/>
      <c r="O233" s="47"/>
      <c r="P233" s="50"/>
      <c r="Q233" s="47"/>
    </row>
    <row r="234" spans="1:17">
      <c r="A234" s="50"/>
      <c r="B234" s="48"/>
      <c r="C234" s="48"/>
      <c r="D234" s="48"/>
      <c r="E234" s="49"/>
      <c r="F234" s="50"/>
      <c r="G234" s="50"/>
      <c r="H234" s="50"/>
      <c r="I234" s="50"/>
      <c r="J234" s="50"/>
      <c r="K234" s="50"/>
      <c r="L234" s="50"/>
      <c r="M234" s="48"/>
      <c r="N234" s="50"/>
      <c r="O234" s="47"/>
      <c r="P234" s="50"/>
      <c r="Q234" s="47"/>
    </row>
    <row r="235" spans="1:17">
      <c r="A235" s="50"/>
      <c r="B235" s="48"/>
      <c r="C235" s="48"/>
      <c r="D235" s="48"/>
      <c r="E235" s="49"/>
      <c r="F235" s="50"/>
      <c r="G235" s="50"/>
      <c r="H235" s="50"/>
      <c r="I235" s="50"/>
      <c r="J235" s="50"/>
      <c r="K235" s="50"/>
      <c r="L235" s="50"/>
      <c r="M235" s="48"/>
      <c r="N235" s="50"/>
      <c r="O235" s="47"/>
      <c r="P235" s="50"/>
      <c r="Q235" s="47"/>
    </row>
    <row r="236" spans="1:17">
      <c r="A236" s="50"/>
      <c r="B236" s="48"/>
      <c r="C236" s="48"/>
      <c r="D236" s="48"/>
      <c r="E236" s="49"/>
      <c r="F236" s="50"/>
      <c r="G236" s="50"/>
      <c r="H236" s="50"/>
      <c r="I236" s="50"/>
      <c r="J236" s="50"/>
      <c r="K236" s="50"/>
      <c r="L236" s="50"/>
      <c r="M236" s="48"/>
      <c r="N236" s="50"/>
      <c r="O236" s="47"/>
      <c r="P236" s="50"/>
      <c r="Q236" s="47"/>
    </row>
    <row r="237" spans="1:17">
      <c r="A237" s="50"/>
      <c r="B237" s="48"/>
      <c r="C237" s="48"/>
      <c r="D237" s="48"/>
      <c r="E237" s="49"/>
      <c r="F237" s="50"/>
      <c r="G237" s="50"/>
      <c r="H237" s="50"/>
      <c r="I237" s="50"/>
      <c r="J237" s="50"/>
      <c r="K237" s="50"/>
      <c r="L237" s="50"/>
      <c r="M237" s="48"/>
      <c r="N237" s="50"/>
      <c r="O237" s="47"/>
      <c r="P237" s="50"/>
      <c r="Q237" s="47"/>
    </row>
    <row r="238" spans="1:17">
      <c r="A238" s="50"/>
      <c r="B238" s="48"/>
      <c r="C238" s="48"/>
      <c r="D238" s="48"/>
      <c r="E238" s="49"/>
      <c r="F238" s="50"/>
      <c r="G238" s="50"/>
      <c r="H238" s="50"/>
      <c r="I238" s="50"/>
      <c r="J238" s="50"/>
      <c r="K238" s="50"/>
      <c r="L238" s="50"/>
      <c r="M238" s="48"/>
      <c r="N238" s="50"/>
      <c r="O238" s="47"/>
      <c r="P238" s="50"/>
      <c r="Q238" s="47"/>
    </row>
    <row r="239" spans="1:17">
      <c r="A239" s="50"/>
      <c r="B239" s="48"/>
      <c r="C239" s="48"/>
      <c r="D239" s="48"/>
      <c r="E239" s="49"/>
      <c r="F239" s="50"/>
      <c r="G239" s="50"/>
      <c r="H239" s="50"/>
      <c r="I239" s="50"/>
      <c r="J239" s="50"/>
      <c r="K239" s="50"/>
      <c r="L239" s="50"/>
      <c r="M239" s="48"/>
      <c r="N239" s="50"/>
      <c r="O239" s="47"/>
      <c r="P239" s="50"/>
      <c r="Q239" s="47"/>
    </row>
    <row r="240" spans="1:17">
      <c r="A240" s="50"/>
      <c r="B240" s="48"/>
      <c r="C240" s="48"/>
      <c r="D240" s="48"/>
      <c r="E240" s="49"/>
      <c r="F240" s="50"/>
      <c r="G240" s="50"/>
      <c r="H240" s="50"/>
      <c r="I240" s="50"/>
      <c r="J240" s="50"/>
      <c r="K240" s="50"/>
      <c r="L240" s="50"/>
      <c r="M240" s="48"/>
      <c r="N240" s="50"/>
      <c r="O240" s="47"/>
      <c r="P240" s="50"/>
      <c r="Q240" s="47"/>
    </row>
    <row r="241" spans="1:17">
      <c r="A241" s="50"/>
      <c r="B241" s="48"/>
      <c r="C241" s="48"/>
      <c r="D241" s="48"/>
      <c r="E241" s="49"/>
      <c r="F241" s="50"/>
      <c r="G241" s="50"/>
      <c r="H241" s="50"/>
      <c r="I241" s="50"/>
      <c r="J241" s="50"/>
      <c r="K241" s="50"/>
      <c r="L241" s="50"/>
      <c r="M241" s="48"/>
      <c r="N241" s="50"/>
      <c r="O241" s="47"/>
      <c r="P241" s="50"/>
      <c r="Q241" s="47"/>
    </row>
    <row r="242" spans="1:17">
      <c r="A242" s="50"/>
      <c r="B242" s="48"/>
      <c r="C242" s="48"/>
      <c r="D242" s="48"/>
      <c r="E242" s="49"/>
      <c r="F242" s="50"/>
      <c r="G242" s="50"/>
      <c r="H242" s="50"/>
      <c r="I242" s="50"/>
      <c r="J242" s="50"/>
      <c r="K242" s="50"/>
      <c r="L242" s="50"/>
      <c r="M242" s="48"/>
      <c r="N242" s="50"/>
      <c r="O242" s="47"/>
      <c r="P242" s="50"/>
      <c r="Q242" s="47"/>
    </row>
    <row r="243" spans="1:17">
      <c r="A243" s="50"/>
      <c r="B243" s="48"/>
      <c r="C243" s="48"/>
      <c r="D243" s="48"/>
      <c r="E243" s="49"/>
      <c r="F243" s="50"/>
      <c r="G243" s="50"/>
      <c r="H243" s="50"/>
      <c r="I243" s="50"/>
      <c r="J243" s="50"/>
      <c r="K243" s="50"/>
      <c r="L243" s="50"/>
      <c r="M243" s="48"/>
      <c r="N243" s="50"/>
      <c r="O243" s="47"/>
      <c r="P243" s="50"/>
      <c r="Q243" s="47"/>
    </row>
    <row r="244" spans="1:17">
      <c r="A244" s="50"/>
      <c r="B244" s="48"/>
      <c r="C244" s="48"/>
      <c r="D244" s="48"/>
      <c r="E244" s="49"/>
      <c r="F244" s="50"/>
      <c r="G244" s="50"/>
      <c r="H244" s="50"/>
      <c r="I244" s="50"/>
      <c r="J244" s="50"/>
      <c r="K244" s="50"/>
      <c r="L244" s="50"/>
      <c r="M244" s="48"/>
      <c r="N244" s="50"/>
      <c r="O244" s="47"/>
      <c r="P244" s="50"/>
      <c r="Q244" s="47"/>
    </row>
    <row r="245" spans="1:17">
      <c r="A245" s="50"/>
      <c r="B245" s="48"/>
      <c r="C245" s="48"/>
      <c r="D245" s="48"/>
      <c r="E245" s="49"/>
      <c r="F245" s="50"/>
      <c r="G245" s="50"/>
      <c r="H245" s="50"/>
      <c r="I245" s="50"/>
      <c r="J245" s="50"/>
      <c r="K245" s="50"/>
      <c r="L245" s="50"/>
      <c r="M245" s="48"/>
      <c r="N245" s="50"/>
      <c r="O245" s="47"/>
      <c r="P245" s="50"/>
      <c r="Q245" s="47"/>
    </row>
    <row r="246" spans="1:17">
      <c r="A246" s="50"/>
      <c r="B246" s="48"/>
      <c r="C246" s="48"/>
      <c r="D246" s="48"/>
      <c r="E246" s="49"/>
      <c r="F246" s="50"/>
      <c r="G246" s="50"/>
      <c r="H246" s="50"/>
      <c r="I246" s="50"/>
      <c r="J246" s="50"/>
      <c r="K246" s="50"/>
      <c r="L246" s="50"/>
      <c r="M246" s="48"/>
      <c r="N246" s="50"/>
      <c r="O246" s="47"/>
      <c r="P246" s="50"/>
      <c r="Q246" s="47"/>
    </row>
    <row r="247" spans="1:17">
      <c r="A247" s="50"/>
      <c r="B247" s="48"/>
      <c r="C247" s="48"/>
      <c r="D247" s="48"/>
      <c r="E247" s="49"/>
      <c r="F247" s="50"/>
      <c r="G247" s="50"/>
      <c r="H247" s="50"/>
      <c r="I247" s="50"/>
      <c r="J247" s="50"/>
      <c r="K247" s="50"/>
      <c r="L247" s="50"/>
      <c r="M247" s="48"/>
      <c r="N247" s="50"/>
      <c r="O247" s="47"/>
      <c r="P247" s="50"/>
      <c r="Q247" s="47"/>
    </row>
    <row r="248" spans="1:17">
      <c r="A248" s="50"/>
      <c r="B248" s="48"/>
      <c r="C248" s="48"/>
      <c r="D248" s="48"/>
      <c r="E248" s="49"/>
      <c r="F248" s="50"/>
      <c r="G248" s="50"/>
      <c r="H248" s="50"/>
      <c r="I248" s="50"/>
      <c r="J248" s="50"/>
      <c r="K248" s="50"/>
      <c r="L248" s="50"/>
      <c r="M248" s="48"/>
      <c r="N248" s="50"/>
      <c r="O248" s="47"/>
      <c r="P248" s="50"/>
      <c r="Q248" s="47"/>
    </row>
    <row r="249" spans="1:17">
      <c r="A249" s="50"/>
      <c r="B249" s="48"/>
      <c r="C249" s="48"/>
      <c r="D249" s="48"/>
      <c r="E249" s="49"/>
      <c r="F249" s="50"/>
      <c r="G249" s="50"/>
      <c r="H249" s="50"/>
      <c r="I249" s="50"/>
      <c r="J249" s="50"/>
      <c r="K249" s="50"/>
      <c r="L249" s="50"/>
      <c r="M249" s="48"/>
      <c r="N249" s="50"/>
      <c r="O249" s="47"/>
      <c r="P249" s="50"/>
      <c r="Q249" s="47"/>
    </row>
    <row r="250" spans="1:17">
      <c r="A250" s="50"/>
      <c r="B250" s="48"/>
      <c r="C250" s="48"/>
      <c r="D250" s="48"/>
      <c r="E250" s="49"/>
      <c r="F250" s="50"/>
      <c r="G250" s="50"/>
      <c r="H250" s="50"/>
      <c r="I250" s="50"/>
      <c r="J250" s="50"/>
      <c r="K250" s="50"/>
      <c r="L250" s="50"/>
      <c r="M250" s="48"/>
      <c r="N250" s="50"/>
      <c r="O250" s="47"/>
      <c r="P250" s="50"/>
      <c r="Q250" s="47"/>
    </row>
    <row r="251" spans="1:17">
      <c r="A251" s="50"/>
      <c r="B251" s="48"/>
      <c r="C251" s="48"/>
      <c r="D251" s="48"/>
      <c r="E251" s="49"/>
      <c r="F251" s="50"/>
      <c r="G251" s="50"/>
      <c r="H251" s="50"/>
      <c r="I251" s="50"/>
      <c r="J251" s="50"/>
      <c r="K251" s="50"/>
      <c r="L251" s="50"/>
      <c r="M251" s="48"/>
      <c r="N251" s="50"/>
      <c r="O251" s="47"/>
      <c r="P251" s="50"/>
      <c r="Q251" s="47"/>
    </row>
    <row r="252" spans="1:17">
      <c r="A252" s="50"/>
      <c r="B252" s="48"/>
      <c r="C252" s="48"/>
      <c r="D252" s="48"/>
      <c r="E252" s="49"/>
      <c r="F252" s="50"/>
      <c r="G252" s="50"/>
      <c r="H252" s="50"/>
      <c r="I252" s="50"/>
      <c r="J252" s="50"/>
      <c r="K252" s="50"/>
      <c r="L252" s="50"/>
      <c r="M252" s="48"/>
      <c r="N252" s="50"/>
      <c r="O252" s="47"/>
      <c r="P252" s="50"/>
      <c r="Q252" s="47"/>
    </row>
    <row r="253" spans="1:17">
      <c r="A253" s="50"/>
      <c r="B253" s="48"/>
      <c r="C253" s="48"/>
      <c r="D253" s="48"/>
      <c r="E253" s="49"/>
      <c r="F253" s="50"/>
      <c r="G253" s="50"/>
      <c r="H253" s="50"/>
      <c r="I253" s="50"/>
      <c r="J253" s="50"/>
      <c r="K253" s="50"/>
      <c r="L253" s="50"/>
      <c r="M253" s="48"/>
      <c r="N253" s="50"/>
      <c r="O253" s="47"/>
      <c r="P253" s="50"/>
      <c r="Q253" s="47"/>
    </row>
    <row r="254" spans="1:17">
      <c r="A254" s="50"/>
      <c r="B254" s="48"/>
      <c r="C254" s="48"/>
      <c r="D254" s="48"/>
      <c r="E254" s="49"/>
      <c r="F254" s="50"/>
      <c r="G254" s="50"/>
      <c r="H254" s="50"/>
      <c r="I254" s="50"/>
      <c r="J254" s="50"/>
      <c r="K254" s="50"/>
      <c r="L254" s="50"/>
      <c r="M254" s="48"/>
      <c r="N254" s="50"/>
      <c r="O254" s="47"/>
      <c r="P254" s="50"/>
      <c r="Q254" s="47"/>
    </row>
    <row r="255" spans="1:17">
      <c r="A255" s="50"/>
      <c r="B255" s="48"/>
      <c r="C255" s="48"/>
      <c r="D255" s="48"/>
      <c r="E255" s="49"/>
      <c r="F255" s="50"/>
      <c r="G255" s="50"/>
      <c r="H255" s="50"/>
      <c r="I255" s="50"/>
      <c r="J255" s="50"/>
      <c r="K255" s="50"/>
      <c r="L255" s="50"/>
      <c r="M255" s="48"/>
      <c r="N255" s="50"/>
      <c r="O255" s="47"/>
      <c r="P255" s="50"/>
      <c r="Q255" s="47"/>
    </row>
    <row r="256" spans="1:17">
      <c r="A256" s="50"/>
      <c r="B256" s="48"/>
      <c r="C256" s="48"/>
      <c r="D256" s="48"/>
      <c r="E256" s="49"/>
      <c r="F256" s="50"/>
      <c r="G256" s="50"/>
      <c r="H256" s="50"/>
      <c r="I256" s="50"/>
      <c r="J256" s="50"/>
      <c r="K256" s="50"/>
      <c r="L256" s="50"/>
      <c r="M256" s="48"/>
      <c r="N256" s="50"/>
      <c r="O256" s="47"/>
      <c r="P256" s="50"/>
      <c r="Q256" s="47"/>
    </row>
    <row r="257" spans="1:17">
      <c r="A257" s="50"/>
      <c r="B257" s="48"/>
      <c r="C257" s="48"/>
      <c r="D257" s="48"/>
      <c r="E257" s="49"/>
      <c r="F257" s="50"/>
      <c r="G257" s="50"/>
      <c r="H257" s="50"/>
      <c r="I257" s="50"/>
      <c r="J257" s="50"/>
      <c r="K257" s="50"/>
      <c r="L257" s="50"/>
      <c r="M257" s="48"/>
      <c r="N257" s="50"/>
      <c r="O257" s="47"/>
      <c r="P257" s="50"/>
      <c r="Q257" s="47"/>
    </row>
    <row r="258" spans="1:17">
      <c r="A258" s="50"/>
      <c r="B258" s="48"/>
      <c r="C258" s="48"/>
      <c r="D258" s="48"/>
      <c r="E258" s="49"/>
      <c r="F258" s="50"/>
      <c r="G258" s="50"/>
      <c r="H258" s="50"/>
      <c r="I258" s="50"/>
      <c r="J258" s="50"/>
      <c r="K258" s="50"/>
      <c r="L258" s="50"/>
      <c r="M258" s="48"/>
      <c r="N258" s="50"/>
      <c r="O258" s="47"/>
      <c r="P258" s="50"/>
      <c r="Q258" s="47"/>
    </row>
    <row r="259" spans="1:17">
      <c r="A259" s="50"/>
      <c r="B259" s="48"/>
      <c r="C259" s="48"/>
      <c r="D259" s="48"/>
      <c r="E259" s="49"/>
      <c r="F259" s="50"/>
      <c r="G259" s="50"/>
      <c r="H259" s="50"/>
      <c r="I259" s="50"/>
      <c r="J259" s="50"/>
      <c r="K259" s="50"/>
      <c r="L259" s="50"/>
      <c r="M259" s="48"/>
      <c r="N259" s="50"/>
      <c r="O259" s="47"/>
      <c r="P259" s="50"/>
      <c r="Q259" s="47"/>
    </row>
    <row r="260" spans="1:17">
      <c r="A260" s="50"/>
      <c r="B260" s="48"/>
      <c r="C260" s="48"/>
      <c r="D260" s="48"/>
      <c r="E260" s="49"/>
      <c r="F260" s="50"/>
      <c r="G260" s="50"/>
      <c r="H260" s="50"/>
      <c r="I260" s="50"/>
      <c r="J260" s="50"/>
      <c r="K260" s="50"/>
      <c r="L260" s="50"/>
      <c r="M260" s="48"/>
      <c r="N260" s="50"/>
      <c r="O260" s="47"/>
      <c r="P260" s="50"/>
      <c r="Q260" s="47"/>
    </row>
    <row r="261" spans="1:17">
      <c r="A261" s="50"/>
      <c r="B261" s="48"/>
      <c r="C261" s="48"/>
      <c r="D261" s="48"/>
      <c r="E261" s="49"/>
      <c r="F261" s="50"/>
      <c r="G261" s="50"/>
      <c r="H261" s="50"/>
      <c r="I261" s="50"/>
      <c r="J261" s="50"/>
      <c r="K261" s="50"/>
      <c r="L261" s="50"/>
      <c r="M261" s="48"/>
      <c r="N261" s="50"/>
      <c r="O261" s="47"/>
      <c r="P261" s="50"/>
      <c r="Q261" s="47"/>
    </row>
    <row r="262" spans="1:17">
      <c r="A262" s="50"/>
      <c r="B262" s="48"/>
      <c r="C262" s="48"/>
      <c r="D262" s="48"/>
      <c r="E262" s="49"/>
      <c r="F262" s="50"/>
      <c r="G262" s="50"/>
      <c r="H262" s="50"/>
      <c r="I262" s="50"/>
      <c r="J262" s="50"/>
      <c r="K262" s="50"/>
      <c r="L262" s="50"/>
      <c r="M262" s="48"/>
      <c r="N262" s="50"/>
      <c r="O262" s="47"/>
      <c r="P262" s="50"/>
      <c r="Q262" s="47"/>
    </row>
    <row r="263" spans="1:17">
      <c r="A263" s="50"/>
      <c r="B263" s="48"/>
      <c r="C263" s="48"/>
      <c r="D263" s="48"/>
      <c r="E263" s="49"/>
      <c r="F263" s="50"/>
      <c r="G263" s="50"/>
      <c r="H263" s="50"/>
      <c r="I263" s="50"/>
      <c r="J263" s="50"/>
      <c r="K263" s="50"/>
      <c r="L263" s="50"/>
      <c r="M263" s="48"/>
      <c r="N263" s="50"/>
      <c r="O263" s="47"/>
      <c r="P263" s="50"/>
      <c r="Q263" s="47"/>
    </row>
    <row r="264" spans="1:17">
      <c r="A264" s="50"/>
      <c r="B264" s="48"/>
      <c r="C264" s="48"/>
      <c r="D264" s="48"/>
      <c r="E264" s="49"/>
      <c r="F264" s="50"/>
      <c r="G264" s="50"/>
      <c r="H264" s="50"/>
      <c r="I264" s="50"/>
      <c r="J264" s="50"/>
      <c r="K264" s="50"/>
      <c r="L264" s="50"/>
      <c r="M264" s="48"/>
      <c r="N264" s="50"/>
      <c r="O264" s="47"/>
      <c r="P264" s="50"/>
      <c r="Q264" s="47"/>
    </row>
    <row r="265" spans="1:17">
      <c r="A265" s="50"/>
      <c r="B265" s="48"/>
      <c r="C265" s="48"/>
      <c r="D265" s="48"/>
      <c r="E265" s="49"/>
      <c r="F265" s="50"/>
      <c r="G265" s="50"/>
      <c r="H265" s="50"/>
      <c r="I265" s="50"/>
      <c r="J265" s="50"/>
      <c r="K265" s="50"/>
      <c r="L265" s="50"/>
      <c r="M265" s="48"/>
      <c r="N265" s="50"/>
      <c r="O265" s="47"/>
      <c r="P265" s="50"/>
      <c r="Q265" s="47"/>
    </row>
    <row r="266" spans="1:17">
      <c r="A266" s="50"/>
      <c r="B266" s="48"/>
      <c r="C266" s="48"/>
      <c r="D266" s="48"/>
      <c r="E266" s="49"/>
      <c r="F266" s="50"/>
      <c r="G266" s="50"/>
      <c r="H266" s="50"/>
      <c r="I266" s="50"/>
      <c r="J266" s="50"/>
      <c r="K266" s="50"/>
      <c r="L266" s="50"/>
      <c r="M266" s="48"/>
      <c r="N266" s="50"/>
      <c r="O266" s="47"/>
      <c r="P266" s="50"/>
      <c r="Q266" s="47"/>
    </row>
    <row r="267" spans="1:17">
      <c r="A267" s="50"/>
      <c r="B267" s="48"/>
      <c r="C267" s="48"/>
      <c r="D267" s="48"/>
      <c r="E267" s="49"/>
      <c r="F267" s="50"/>
      <c r="G267" s="50"/>
      <c r="H267" s="50"/>
      <c r="I267" s="50"/>
      <c r="J267" s="50"/>
      <c r="K267" s="50"/>
      <c r="L267" s="50"/>
      <c r="M267" s="48"/>
      <c r="N267" s="50"/>
      <c r="O267" s="47"/>
      <c r="P267" s="50"/>
      <c r="Q267" s="47"/>
    </row>
    <row r="268" spans="1:17">
      <c r="A268" s="50"/>
      <c r="B268" s="48"/>
      <c r="C268" s="48"/>
      <c r="D268" s="48"/>
      <c r="E268" s="49"/>
      <c r="F268" s="50"/>
      <c r="G268" s="50"/>
      <c r="H268" s="50"/>
      <c r="I268" s="50"/>
      <c r="J268" s="50"/>
      <c r="K268" s="50"/>
      <c r="L268" s="50"/>
      <c r="M268" s="48"/>
      <c r="N268" s="50"/>
      <c r="O268" s="47"/>
      <c r="P268" s="50"/>
      <c r="Q268" s="47"/>
    </row>
    <row r="269" spans="1:17">
      <c r="A269" s="50"/>
      <c r="B269" s="48"/>
      <c r="C269" s="48"/>
      <c r="D269" s="48"/>
      <c r="E269" s="49"/>
      <c r="F269" s="50"/>
      <c r="G269" s="50"/>
      <c r="H269" s="50"/>
      <c r="I269" s="50"/>
      <c r="J269" s="50"/>
      <c r="K269" s="50"/>
      <c r="L269" s="50"/>
      <c r="M269" s="48"/>
      <c r="N269" s="50"/>
      <c r="O269" s="47"/>
      <c r="P269" s="50"/>
      <c r="Q269" s="47"/>
    </row>
    <row r="270" spans="1:17">
      <c r="A270" s="50"/>
      <c r="B270" s="48"/>
      <c r="C270" s="48"/>
      <c r="D270" s="48"/>
      <c r="E270" s="49"/>
      <c r="F270" s="50"/>
      <c r="G270" s="50"/>
      <c r="H270" s="50"/>
      <c r="I270" s="50"/>
      <c r="J270" s="50"/>
      <c r="K270" s="50"/>
      <c r="L270" s="50"/>
      <c r="M270" s="48"/>
      <c r="N270" s="50"/>
      <c r="O270" s="47"/>
      <c r="P270" s="50"/>
      <c r="Q270" s="47"/>
    </row>
    <row r="271" spans="1:17">
      <c r="A271" s="50"/>
      <c r="B271" s="48"/>
      <c r="C271" s="48"/>
      <c r="D271" s="48"/>
      <c r="E271" s="49"/>
      <c r="F271" s="50"/>
      <c r="G271" s="50"/>
      <c r="H271" s="50"/>
      <c r="I271" s="50"/>
      <c r="J271" s="50"/>
      <c r="K271" s="50"/>
      <c r="L271" s="50"/>
      <c r="M271" s="48"/>
      <c r="N271" s="50"/>
      <c r="O271" s="47"/>
      <c r="P271" s="50"/>
      <c r="Q271" s="47"/>
    </row>
    <row r="272" spans="1:17">
      <c r="A272" s="50"/>
      <c r="B272" s="48"/>
      <c r="C272" s="48"/>
      <c r="D272" s="48"/>
      <c r="E272" s="49"/>
      <c r="F272" s="50"/>
      <c r="G272" s="50"/>
      <c r="H272" s="50"/>
      <c r="I272" s="50"/>
      <c r="J272" s="50"/>
      <c r="K272" s="50"/>
      <c r="L272" s="50"/>
      <c r="M272" s="48"/>
      <c r="N272" s="50"/>
      <c r="O272" s="47"/>
      <c r="P272" s="50"/>
      <c r="Q272" s="47"/>
    </row>
    <row r="273" spans="1:17">
      <c r="A273" s="50"/>
      <c r="B273" s="48"/>
      <c r="C273" s="48"/>
      <c r="D273" s="48"/>
      <c r="E273" s="49"/>
      <c r="F273" s="50"/>
      <c r="G273" s="50"/>
      <c r="H273" s="50"/>
      <c r="I273" s="50"/>
      <c r="J273" s="50"/>
      <c r="K273" s="50"/>
      <c r="L273" s="50"/>
      <c r="M273" s="48"/>
      <c r="N273" s="50"/>
      <c r="O273" s="47"/>
      <c r="P273" s="50"/>
      <c r="Q273" s="47"/>
    </row>
    <row r="274" spans="1:17">
      <c r="A274" s="50"/>
      <c r="B274" s="48"/>
      <c r="C274" s="48"/>
      <c r="D274" s="48"/>
      <c r="E274" s="49"/>
      <c r="F274" s="50"/>
      <c r="G274" s="50"/>
      <c r="H274" s="50"/>
      <c r="I274" s="50"/>
      <c r="J274" s="50"/>
      <c r="K274" s="50"/>
      <c r="L274" s="50"/>
      <c r="M274" s="48"/>
      <c r="N274" s="50"/>
      <c r="O274" s="47"/>
      <c r="P274" s="50"/>
      <c r="Q274" s="47"/>
    </row>
    <row r="275" spans="1:17">
      <c r="A275" s="50"/>
      <c r="B275" s="48"/>
      <c r="C275" s="48"/>
      <c r="D275" s="48"/>
      <c r="E275" s="49"/>
      <c r="F275" s="50"/>
      <c r="G275" s="50"/>
      <c r="H275" s="50"/>
      <c r="I275" s="50"/>
      <c r="J275" s="50"/>
      <c r="K275" s="50"/>
      <c r="L275" s="50"/>
      <c r="M275" s="48"/>
      <c r="N275" s="50"/>
      <c r="O275" s="47"/>
      <c r="P275" s="50"/>
      <c r="Q275" s="47"/>
    </row>
    <row r="276" spans="1:17">
      <c r="A276" s="50"/>
      <c r="B276" s="48"/>
      <c r="C276" s="48"/>
      <c r="D276" s="48"/>
      <c r="E276" s="49"/>
      <c r="F276" s="50"/>
      <c r="G276" s="50"/>
      <c r="H276" s="50"/>
      <c r="I276" s="50"/>
      <c r="J276" s="50"/>
      <c r="K276" s="50"/>
      <c r="L276" s="50"/>
      <c r="M276" s="48"/>
      <c r="N276" s="50"/>
      <c r="O276" s="47"/>
      <c r="P276" s="50"/>
      <c r="Q276" s="47"/>
    </row>
    <row r="277" spans="1:17">
      <c r="A277" s="50"/>
      <c r="B277" s="48"/>
      <c r="C277" s="48"/>
      <c r="D277" s="48"/>
      <c r="E277" s="49"/>
      <c r="F277" s="50"/>
      <c r="G277" s="50"/>
      <c r="H277" s="50"/>
      <c r="I277" s="50"/>
      <c r="J277" s="50"/>
      <c r="K277" s="50"/>
      <c r="L277" s="50"/>
      <c r="M277" s="48"/>
      <c r="N277" s="50"/>
      <c r="O277" s="47"/>
      <c r="P277" s="50"/>
      <c r="Q277" s="47"/>
    </row>
    <row r="278" spans="1:17">
      <c r="A278" s="50"/>
      <c r="B278" s="48"/>
      <c r="C278" s="48"/>
      <c r="D278" s="48"/>
      <c r="E278" s="49"/>
      <c r="F278" s="50"/>
      <c r="G278" s="50"/>
      <c r="H278" s="50"/>
      <c r="I278" s="50"/>
      <c r="J278" s="50"/>
      <c r="K278" s="50"/>
      <c r="L278" s="50"/>
      <c r="M278" s="48"/>
      <c r="N278" s="50"/>
      <c r="O278" s="47"/>
      <c r="P278" s="50"/>
      <c r="Q278" s="47"/>
    </row>
    <row r="279" spans="1:17">
      <c r="A279" s="50"/>
      <c r="B279" s="48"/>
      <c r="C279" s="48"/>
      <c r="D279" s="48"/>
      <c r="E279" s="49"/>
      <c r="F279" s="50"/>
      <c r="G279" s="50"/>
      <c r="H279" s="50"/>
      <c r="I279" s="50"/>
      <c r="J279" s="50"/>
      <c r="K279" s="50"/>
      <c r="L279" s="50"/>
      <c r="M279" s="48"/>
      <c r="N279" s="50"/>
      <c r="O279" s="47"/>
      <c r="P279" s="50"/>
      <c r="Q279" s="47"/>
    </row>
    <row r="280" spans="1:17">
      <c r="A280" s="50"/>
      <c r="B280" s="48"/>
      <c r="C280" s="48"/>
      <c r="D280" s="48"/>
      <c r="E280" s="49"/>
      <c r="F280" s="50"/>
      <c r="G280" s="50"/>
      <c r="H280" s="50"/>
      <c r="I280" s="50"/>
      <c r="J280" s="50"/>
      <c r="K280" s="50"/>
      <c r="L280" s="50"/>
      <c r="M280" s="48"/>
      <c r="N280" s="50"/>
      <c r="O280" s="47"/>
      <c r="P280" s="50"/>
      <c r="Q280" s="47"/>
    </row>
    <row r="281" spans="1:17">
      <c r="A281" s="50"/>
      <c r="B281" s="48"/>
      <c r="C281" s="48"/>
      <c r="D281" s="48"/>
      <c r="E281" s="49"/>
      <c r="F281" s="50"/>
      <c r="G281" s="50"/>
      <c r="H281" s="50"/>
      <c r="I281" s="50"/>
      <c r="J281" s="50"/>
      <c r="K281" s="50"/>
      <c r="L281" s="50"/>
      <c r="M281" s="48"/>
      <c r="N281" s="50"/>
      <c r="O281" s="47"/>
      <c r="P281" s="50"/>
      <c r="Q281" s="47"/>
    </row>
    <row r="282" spans="1:17">
      <c r="A282" s="50"/>
      <c r="B282" s="48"/>
      <c r="C282" s="48"/>
      <c r="D282" s="48"/>
      <c r="E282" s="49"/>
      <c r="F282" s="50"/>
      <c r="G282" s="50"/>
      <c r="H282" s="50"/>
      <c r="I282" s="50"/>
      <c r="J282" s="50"/>
      <c r="K282" s="50"/>
      <c r="L282" s="50"/>
      <c r="M282" s="48"/>
      <c r="N282" s="50"/>
      <c r="O282" s="47"/>
      <c r="P282" s="50"/>
      <c r="Q282" s="47"/>
    </row>
    <row r="283" spans="1:17">
      <c r="A283" s="50"/>
      <c r="B283" s="48"/>
      <c r="C283" s="48"/>
      <c r="D283" s="48"/>
      <c r="E283" s="49"/>
      <c r="F283" s="50"/>
      <c r="G283" s="50"/>
      <c r="H283" s="50"/>
      <c r="I283" s="50"/>
      <c r="J283" s="50"/>
      <c r="K283" s="50"/>
      <c r="L283" s="50"/>
      <c r="M283" s="48"/>
      <c r="N283" s="50"/>
      <c r="O283" s="47"/>
      <c r="P283" s="50"/>
      <c r="Q283" s="47"/>
    </row>
    <row r="284" spans="1:17">
      <c r="A284" s="50"/>
      <c r="B284" s="48"/>
      <c r="C284" s="48"/>
      <c r="D284" s="48"/>
      <c r="E284" s="49"/>
      <c r="F284" s="50"/>
      <c r="G284" s="50"/>
      <c r="H284" s="50"/>
      <c r="I284" s="50"/>
      <c r="J284" s="50"/>
      <c r="K284" s="50"/>
      <c r="L284" s="50"/>
      <c r="M284" s="48"/>
      <c r="N284" s="50"/>
      <c r="O284" s="47"/>
      <c r="P284" s="50"/>
      <c r="Q284" s="47"/>
    </row>
    <row r="285" spans="1:17">
      <c r="A285" s="50"/>
      <c r="B285" s="48"/>
      <c r="C285" s="48"/>
      <c r="D285" s="48"/>
      <c r="E285" s="49"/>
      <c r="F285" s="50"/>
      <c r="G285" s="50"/>
      <c r="H285" s="50"/>
      <c r="I285" s="50"/>
      <c r="J285" s="50"/>
      <c r="K285" s="50"/>
      <c r="L285" s="50"/>
      <c r="M285" s="48"/>
      <c r="N285" s="50"/>
      <c r="O285" s="47"/>
      <c r="P285" s="50"/>
      <c r="Q285" s="47"/>
    </row>
    <row r="286" spans="1:17">
      <c r="A286" s="50"/>
      <c r="B286" s="48"/>
      <c r="C286" s="48"/>
      <c r="D286" s="48"/>
      <c r="E286" s="49"/>
      <c r="F286" s="50"/>
      <c r="G286" s="50"/>
      <c r="H286" s="50"/>
      <c r="I286" s="50"/>
      <c r="J286" s="50"/>
      <c r="K286" s="50"/>
      <c r="L286" s="50"/>
      <c r="M286" s="48"/>
      <c r="N286" s="50"/>
      <c r="O286" s="47"/>
      <c r="P286" s="50"/>
      <c r="Q286" s="47"/>
    </row>
    <row r="287" spans="1:17">
      <c r="A287" s="50"/>
      <c r="B287" s="48"/>
      <c r="C287" s="48"/>
      <c r="D287" s="48"/>
      <c r="E287" s="49"/>
      <c r="F287" s="50"/>
      <c r="G287" s="50"/>
      <c r="H287" s="50"/>
      <c r="I287" s="50"/>
      <c r="J287" s="50"/>
      <c r="K287" s="50"/>
      <c r="L287" s="50"/>
      <c r="M287" s="48"/>
      <c r="N287" s="50"/>
      <c r="O287" s="47"/>
      <c r="P287" s="50"/>
      <c r="Q287" s="47"/>
    </row>
    <row r="288" spans="1:17">
      <c r="A288" s="50"/>
      <c r="B288" s="48"/>
      <c r="C288" s="48"/>
      <c r="D288" s="48"/>
      <c r="E288" s="49"/>
      <c r="F288" s="50"/>
      <c r="G288" s="50"/>
      <c r="H288" s="50"/>
      <c r="I288" s="50"/>
      <c r="J288" s="50"/>
      <c r="K288" s="50"/>
      <c r="L288" s="50"/>
      <c r="M288" s="48"/>
      <c r="N288" s="50"/>
      <c r="O288" s="47"/>
      <c r="P288" s="50"/>
      <c r="Q288" s="47"/>
    </row>
    <row r="289" spans="1:17">
      <c r="A289" s="50"/>
      <c r="B289" s="48"/>
      <c r="C289" s="48"/>
      <c r="D289" s="48"/>
      <c r="E289" s="49"/>
      <c r="F289" s="50"/>
      <c r="G289" s="50"/>
      <c r="H289" s="50"/>
      <c r="I289" s="50"/>
      <c r="J289" s="50"/>
      <c r="K289" s="50"/>
      <c r="L289" s="50"/>
      <c r="M289" s="48"/>
      <c r="N289" s="50"/>
      <c r="O289" s="47"/>
      <c r="P289" s="50"/>
      <c r="Q289" s="47"/>
    </row>
    <row r="290" spans="1:17">
      <c r="A290" s="50"/>
      <c r="B290" s="48"/>
      <c r="C290" s="48"/>
      <c r="D290" s="48"/>
      <c r="E290" s="49"/>
      <c r="F290" s="50"/>
      <c r="G290" s="50"/>
      <c r="H290" s="50"/>
      <c r="I290" s="50"/>
      <c r="J290" s="50"/>
      <c r="K290" s="50"/>
      <c r="L290" s="50"/>
      <c r="M290" s="48"/>
      <c r="N290" s="50"/>
      <c r="O290" s="47"/>
      <c r="P290" s="50"/>
      <c r="Q290" s="47"/>
    </row>
    <row r="291" spans="1:17">
      <c r="A291" s="50"/>
      <c r="B291" s="48"/>
      <c r="C291" s="48"/>
      <c r="D291" s="48"/>
      <c r="E291" s="49"/>
      <c r="F291" s="50"/>
      <c r="G291" s="50"/>
      <c r="H291" s="50"/>
      <c r="I291" s="50"/>
      <c r="J291" s="50"/>
      <c r="K291" s="50"/>
      <c r="L291" s="50"/>
      <c r="M291" s="48"/>
      <c r="N291" s="50"/>
      <c r="O291" s="47"/>
      <c r="P291" s="50"/>
      <c r="Q291" s="47"/>
    </row>
    <row r="292" spans="1:17">
      <c r="A292" s="50"/>
      <c r="B292" s="48"/>
      <c r="C292" s="48"/>
      <c r="D292" s="48"/>
      <c r="E292" s="49"/>
      <c r="F292" s="50"/>
      <c r="G292" s="50"/>
      <c r="H292" s="50"/>
      <c r="I292" s="50"/>
      <c r="J292" s="50"/>
      <c r="K292" s="50"/>
      <c r="L292" s="50"/>
      <c r="M292" s="48"/>
      <c r="N292" s="50"/>
      <c r="O292" s="47"/>
      <c r="P292" s="50"/>
      <c r="Q292" s="47"/>
    </row>
    <row r="293" spans="1:17">
      <c r="A293" s="50"/>
      <c r="B293" s="48"/>
      <c r="C293" s="48"/>
      <c r="D293" s="48"/>
      <c r="E293" s="49"/>
      <c r="F293" s="50"/>
      <c r="G293" s="50"/>
      <c r="H293" s="50"/>
      <c r="I293" s="50"/>
      <c r="J293" s="50"/>
      <c r="K293" s="50"/>
      <c r="L293" s="50"/>
      <c r="M293" s="48"/>
      <c r="N293" s="50"/>
      <c r="O293" s="47"/>
      <c r="P293" s="50"/>
      <c r="Q293" s="47"/>
    </row>
    <row r="294" spans="1:17">
      <c r="A294" s="50"/>
      <c r="B294" s="48"/>
      <c r="C294" s="48"/>
      <c r="D294" s="48"/>
      <c r="E294" s="49"/>
      <c r="F294" s="50"/>
      <c r="G294" s="50"/>
      <c r="H294" s="50"/>
      <c r="I294" s="50"/>
      <c r="J294" s="50"/>
      <c r="K294" s="50"/>
      <c r="L294" s="50"/>
      <c r="M294" s="48"/>
      <c r="N294" s="50"/>
      <c r="O294" s="47"/>
      <c r="P294" s="50"/>
      <c r="Q294" s="47"/>
    </row>
    <row r="295" spans="1:17">
      <c r="A295" s="50"/>
      <c r="B295" s="48"/>
      <c r="C295" s="48"/>
      <c r="D295" s="48"/>
      <c r="E295" s="49"/>
      <c r="F295" s="50"/>
      <c r="G295" s="50"/>
      <c r="H295" s="50"/>
      <c r="I295" s="50"/>
      <c r="J295" s="50"/>
      <c r="K295" s="50"/>
      <c r="L295" s="50"/>
      <c r="M295" s="48"/>
      <c r="N295" s="50"/>
      <c r="O295" s="47"/>
      <c r="P295" s="50"/>
      <c r="Q295" s="47"/>
    </row>
    <row r="296" spans="1:17">
      <c r="A296" s="50"/>
      <c r="B296" s="48"/>
      <c r="C296" s="48"/>
      <c r="D296" s="48"/>
      <c r="E296" s="49"/>
      <c r="F296" s="50"/>
      <c r="G296" s="50"/>
      <c r="H296" s="50"/>
      <c r="I296" s="50"/>
      <c r="J296" s="50"/>
      <c r="K296" s="50"/>
      <c r="L296" s="50"/>
      <c r="M296" s="48"/>
      <c r="N296" s="50"/>
      <c r="O296" s="47"/>
      <c r="P296" s="50"/>
      <c r="Q296" s="47"/>
    </row>
    <row r="297" spans="1:17">
      <c r="A297" s="50"/>
      <c r="B297" s="48"/>
      <c r="C297" s="48"/>
      <c r="D297" s="48"/>
      <c r="E297" s="49"/>
      <c r="F297" s="50"/>
      <c r="G297" s="50"/>
      <c r="H297" s="50"/>
      <c r="I297" s="50"/>
      <c r="J297" s="50"/>
      <c r="K297" s="50"/>
      <c r="L297" s="50"/>
      <c r="M297" s="48"/>
      <c r="N297" s="50"/>
      <c r="O297" s="47"/>
      <c r="P297" s="50"/>
      <c r="Q297" s="47"/>
    </row>
    <row r="298" spans="1:17">
      <c r="A298" s="50"/>
      <c r="B298" s="48"/>
      <c r="C298" s="48"/>
      <c r="D298" s="48"/>
      <c r="E298" s="49"/>
      <c r="F298" s="50"/>
      <c r="G298" s="50"/>
      <c r="H298" s="50"/>
      <c r="I298" s="50"/>
      <c r="J298" s="50"/>
      <c r="K298" s="50"/>
      <c r="L298" s="50"/>
      <c r="M298" s="48"/>
      <c r="N298" s="50"/>
      <c r="O298" s="47"/>
      <c r="P298" s="50"/>
      <c r="Q298" s="47"/>
    </row>
    <row r="299" spans="1:17">
      <c r="A299" s="50"/>
      <c r="B299" s="48"/>
      <c r="C299" s="48"/>
      <c r="D299" s="48"/>
      <c r="E299" s="49"/>
      <c r="F299" s="50"/>
      <c r="G299" s="50"/>
      <c r="H299" s="50"/>
      <c r="I299" s="50"/>
      <c r="J299" s="50"/>
      <c r="K299" s="50"/>
      <c r="L299" s="50"/>
      <c r="M299" s="48"/>
      <c r="N299" s="50"/>
      <c r="O299" s="47"/>
      <c r="P299" s="50"/>
      <c r="Q299" s="47"/>
    </row>
    <row r="300" spans="1:17">
      <c r="A300" s="50"/>
      <c r="B300" s="48"/>
      <c r="C300" s="48"/>
      <c r="D300" s="48"/>
      <c r="E300" s="49"/>
      <c r="F300" s="50"/>
      <c r="G300" s="50"/>
      <c r="H300" s="50"/>
      <c r="I300" s="50"/>
      <c r="J300" s="50"/>
      <c r="K300" s="50"/>
      <c r="L300" s="50"/>
      <c r="M300" s="48"/>
      <c r="N300" s="50"/>
      <c r="O300" s="47"/>
      <c r="P300" s="50"/>
      <c r="Q300" s="47"/>
    </row>
    <row r="301" spans="1:17">
      <c r="A301" s="50"/>
      <c r="B301" s="48"/>
      <c r="C301" s="48"/>
      <c r="D301" s="48"/>
      <c r="E301" s="49"/>
      <c r="F301" s="50"/>
      <c r="G301" s="50"/>
      <c r="H301" s="50"/>
      <c r="I301" s="50"/>
      <c r="J301" s="50"/>
      <c r="K301" s="50"/>
      <c r="L301" s="50"/>
      <c r="M301" s="48"/>
      <c r="N301" s="50"/>
      <c r="O301" s="47"/>
      <c r="P301" s="50"/>
      <c r="Q301" s="47"/>
    </row>
    <row r="302" spans="1:17">
      <c r="A302" s="50"/>
      <c r="B302" s="48"/>
      <c r="C302" s="48"/>
      <c r="D302" s="48"/>
      <c r="E302" s="49"/>
      <c r="F302" s="50"/>
      <c r="G302" s="50"/>
      <c r="H302" s="50"/>
      <c r="I302" s="50"/>
      <c r="J302" s="50"/>
      <c r="K302" s="50"/>
      <c r="L302" s="50"/>
      <c r="M302" s="48"/>
      <c r="N302" s="50"/>
      <c r="O302" s="47"/>
      <c r="P302" s="50"/>
      <c r="Q302" s="47"/>
    </row>
    <row r="303" spans="1:17">
      <c r="A303" s="50"/>
      <c r="B303" s="48"/>
      <c r="C303" s="48"/>
      <c r="D303" s="48"/>
      <c r="E303" s="49"/>
      <c r="F303" s="50"/>
      <c r="G303" s="50"/>
      <c r="H303" s="50"/>
      <c r="I303" s="50"/>
      <c r="J303" s="50"/>
      <c r="K303" s="50"/>
      <c r="L303" s="50"/>
      <c r="M303" s="48"/>
      <c r="N303" s="50"/>
      <c r="O303" s="47"/>
      <c r="P303" s="50"/>
      <c r="Q303" s="47"/>
    </row>
    <row r="304" spans="1:17">
      <c r="A304" s="50"/>
      <c r="B304" s="48"/>
      <c r="C304" s="48"/>
      <c r="D304" s="48"/>
      <c r="E304" s="49"/>
      <c r="F304" s="50"/>
      <c r="G304" s="50"/>
      <c r="H304" s="50"/>
      <c r="I304" s="50"/>
      <c r="J304" s="50"/>
      <c r="K304" s="50"/>
      <c r="L304" s="50"/>
      <c r="M304" s="48"/>
      <c r="N304" s="50"/>
      <c r="O304" s="47"/>
      <c r="P304" s="50"/>
      <c r="Q304" s="47"/>
    </row>
    <row r="305" spans="1:17">
      <c r="A305" s="50"/>
      <c r="B305" s="48"/>
      <c r="C305" s="48"/>
      <c r="D305" s="48"/>
      <c r="E305" s="49"/>
      <c r="F305" s="50"/>
      <c r="G305" s="50"/>
      <c r="H305" s="50"/>
      <c r="I305" s="50"/>
      <c r="J305" s="50"/>
      <c r="K305" s="50"/>
      <c r="L305" s="50"/>
      <c r="M305" s="48"/>
      <c r="N305" s="50"/>
      <c r="O305" s="47"/>
      <c r="P305" s="50"/>
      <c r="Q305" s="47"/>
    </row>
    <row r="306" spans="1:17">
      <c r="A306" s="50"/>
      <c r="B306" s="48"/>
      <c r="C306" s="48"/>
      <c r="D306" s="48"/>
      <c r="E306" s="49"/>
      <c r="F306" s="50"/>
      <c r="G306" s="50"/>
      <c r="H306" s="50"/>
      <c r="I306" s="50"/>
      <c r="J306" s="50"/>
      <c r="K306" s="50"/>
      <c r="L306" s="50"/>
      <c r="M306" s="48"/>
      <c r="N306" s="50"/>
      <c r="O306" s="47"/>
      <c r="P306" s="50"/>
      <c r="Q306" s="47"/>
    </row>
    <row r="307" spans="1:17">
      <c r="A307" s="50"/>
      <c r="B307" s="48"/>
      <c r="C307" s="48"/>
      <c r="D307" s="48"/>
      <c r="E307" s="49"/>
      <c r="F307" s="50"/>
      <c r="G307" s="50"/>
      <c r="H307" s="50"/>
      <c r="I307" s="50"/>
      <c r="J307" s="50"/>
      <c r="K307" s="50"/>
      <c r="L307" s="50"/>
      <c r="M307" s="48"/>
      <c r="N307" s="50"/>
      <c r="O307" s="47"/>
      <c r="P307" s="50"/>
      <c r="Q307" s="47"/>
    </row>
    <row r="308" spans="1:17">
      <c r="A308" s="50"/>
      <c r="B308" s="48"/>
      <c r="C308" s="48"/>
      <c r="D308" s="48"/>
      <c r="E308" s="49"/>
      <c r="F308" s="50"/>
      <c r="G308" s="50"/>
      <c r="H308" s="50"/>
      <c r="I308" s="50"/>
      <c r="J308" s="50"/>
      <c r="K308" s="50"/>
      <c r="L308" s="50"/>
      <c r="M308" s="48"/>
      <c r="N308" s="50"/>
      <c r="O308" s="47"/>
      <c r="P308" s="50"/>
      <c r="Q308" s="47"/>
    </row>
    <row r="309" spans="1:17">
      <c r="A309" s="50"/>
      <c r="B309" s="48"/>
      <c r="C309" s="48"/>
      <c r="D309" s="48"/>
      <c r="E309" s="49"/>
      <c r="F309" s="50"/>
      <c r="G309" s="50"/>
      <c r="H309" s="50"/>
      <c r="I309" s="50"/>
      <c r="J309" s="50"/>
      <c r="K309" s="50"/>
      <c r="L309" s="50"/>
      <c r="M309" s="48"/>
      <c r="N309" s="50"/>
      <c r="O309" s="47"/>
      <c r="P309" s="50"/>
      <c r="Q309" s="47"/>
    </row>
    <row r="310" spans="1:17">
      <c r="A310" s="50"/>
      <c r="B310" s="48"/>
      <c r="C310" s="48"/>
      <c r="D310" s="48"/>
      <c r="E310" s="49"/>
      <c r="F310" s="50"/>
      <c r="G310" s="50"/>
      <c r="H310" s="50"/>
      <c r="I310" s="50"/>
      <c r="J310" s="50"/>
      <c r="K310" s="50"/>
      <c r="L310" s="50"/>
      <c r="M310" s="48"/>
      <c r="N310" s="50"/>
      <c r="O310" s="47"/>
      <c r="P310" s="50"/>
      <c r="Q310" s="47"/>
    </row>
    <row r="311" spans="1:17">
      <c r="A311" s="50"/>
      <c r="B311" s="48"/>
      <c r="C311" s="48"/>
      <c r="D311" s="48"/>
      <c r="E311" s="49"/>
      <c r="F311" s="50"/>
      <c r="G311" s="50"/>
      <c r="H311" s="50"/>
      <c r="I311" s="50"/>
      <c r="J311" s="50"/>
      <c r="K311" s="50"/>
      <c r="L311" s="50"/>
      <c r="M311" s="48"/>
      <c r="N311" s="50"/>
      <c r="O311" s="47"/>
      <c r="P311" s="50"/>
      <c r="Q311" s="47"/>
    </row>
    <row r="312" spans="1:17">
      <c r="A312" s="50"/>
      <c r="B312" s="48"/>
      <c r="C312" s="48"/>
      <c r="D312" s="48"/>
      <c r="E312" s="49"/>
      <c r="F312" s="50"/>
      <c r="G312" s="50"/>
      <c r="H312" s="50"/>
      <c r="I312" s="50"/>
      <c r="J312" s="50"/>
      <c r="K312" s="50"/>
      <c r="L312" s="50"/>
      <c r="M312" s="48"/>
      <c r="N312" s="50"/>
      <c r="O312" s="47"/>
      <c r="P312" s="50"/>
      <c r="Q312" s="47"/>
    </row>
    <row r="313" spans="1:17">
      <c r="A313" s="50"/>
      <c r="B313" s="48"/>
      <c r="C313" s="48"/>
      <c r="D313" s="48"/>
      <c r="E313" s="49"/>
      <c r="F313" s="50"/>
      <c r="G313" s="50"/>
      <c r="H313" s="50"/>
      <c r="I313" s="50"/>
      <c r="J313" s="50"/>
      <c r="K313" s="50"/>
      <c r="L313" s="50"/>
      <c r="M313" s="48"/>
      <c r="N313" s="50"/>
      <c r="O313" s="47"/>
      <c r="P313" s="50"/>
      <c r="Q313" s="47"/>
    </row>
    <row r="314" spans="1:17">
      <c r="A314" s="50"/>
      <c r="B314" s="48"/>
      <c r="C314" s="48"/>
      <c r="D314" s="48"/>
      <c r="E314" s="49"/>
      <c r="F314" s="50"/>
      <c r="G314" s="50"/>
      <c r="H314" s="50"/>
      <c r="I314" s="50"/>
      <c r="J314" s="50"/>
      <c r="K314" s="50"/>
      <c r="L314" s="50"/>
      <c r="M314" s="48"/>
      <c r="N314" s="50"/>
      <c r="O314" s="47"/>
      <c r="P314" s="50"/>
      <c r="Q314" s="47"/>
    </row>
    <row r="315" spans="1:17">
      <c r="A315" s="50"/>
      <c r="B315" s="48"/>
      <c r="C315" s="48"/>
      <c r="D315" s="48"/>
      <c r="E315" s="49"/>
      <c r="F315" s="50"/>
      <c r="G315" s="50"/>
      <c r="H315" s="50"/>
      <c r="I315" s="50"/>
      <c r="J315" s="50"/>
      <c r="K315" s="50"/>
      <c r="L315" s="50"/>
      <c r="M315" s="48"/>
      <c r="N315" s="50"/>
      <c r="O315" s="47"/>
      <c r="P315" s="50"/>
      <c r="Q315" s="47"/>
    </row>
    <row r="316" spans="1:17">
      <c r="A316" s="50"/>
      <c r="B316" s="48"/>
      <c r="C316" s="48"/>
      <c r="D316" s="48"/>
      <c r="E316" s="49"/>
      <c r="F316" s="50"/>
      <c r="G316" s="50"/>
      <c r="H316" s="50"/>
      <c r="I316" s="50"/>
      <c r="J316" s="50"/>
      <c r="K316" s="50"/>
      <c r="L316" s="50"/>
      <c r="M316" s="48"/>
      <c r="N316" s="50"/>
      <c r="O316" s="47"/>
      <c r="P316" s="50"/>
      <c r="Q316" s="47"/>
    </row>
    <row r="317" spans="1:17">
      <c r="A317" s="50"/>
      <c r="B317" s="48"/>
      <c r="C317" s="48"/>
      <c r="D317" s="48"/>
      <c r="E317" s="49"/>
      <c r="F317" s="50"/>
      <c r="G317" s="50"/>
      <c r="H317" s="50"/>
      <c r="I317" s="50"/>
      <c r="J317" s="50"/>
      <c r="K317" s="50"/>
      <c r="L317" s="50"/>
      <c r="M317" s="48"/>
      <c r="N317" s="50"/>
      <c r="O317" s="47"/>
      <c r="P317" s="50"/>
      <c r="Q317" s="47"/>
    </row>
    <row r="318" spans="1:17">
      <c r="A318" s="50"/>
      <c r="B318" s="48"/>
      <c r="C318" s="48"/>
      <c r="D318" s="48"/>
      <c r="E318" s="49"/>
      <c r="F318" s="50"/>
      <c r="G318" s="50"/>
      <c r="H318" s="50"/>
      <c r="I318" s="50"/>
      <c r="J318" s="50"/>
      <c r="K318" s="50"/>
      <c r="L318" s="50"/>
      <c r="M318" s="48"/>
      <c r="N318" s="50"/>
      <c r="O318" s="47"/>
      <c r="P318" s="50"/>
      <c r="Q318" s="47"/>
    </row>
    <row r="319" spans="1:17">
      <c r="A319" s="50"/>
      <c r="B319" s="48"/>
      <c r="C319" s="48"/>
      <c r="D319" s="48"/>
      <c r="E319" s="49"/>
      <c r="F319" s="50"/>
      <c r="G319" s="50"/>
      <c r="H319" s="50"/>
      <c r="I319" s="50"/>
      <c r="J319" s="50"/>
      <c r="K319" s="50"/>
      <c r="L319" s="50"/>
      <c r="M319" s="48"/>
      <c r="N319" s="50"/>
      <c r="O319" s="47"/>
      <c r="P319" s="50"/>
      <c r="Q319" s="47"/>
    </row>
    <row r="320" spans="1:17">
      <c r="A320" s="50"/>
      <c r="B320" s="48"/>
      <c r="C320" s="48"/>
      <c r="D320" s="48"/>
      <c r="E320" s="49"/>
      <c r="F320" s="50"/>
      <c r="G320" s="50"/>
      <c r="H320" s="50"/>
      <c r="I320" s="50"/>
      <c r="J320" s="50"/>
      <c r="K320" s="50"/>
      <c r="L320" s="50"/>
      <c r="M320" s="48"/>
      <c r="N320" s="50"/>
      <c r="O320" s="47"/>
      <c r="P320" s="50"/>
      <c r="Q320" s="47"/>
    </row>
    <row r="321" spans="1:17">
      <c r="A321" s="50"/>
      <c r="B321" s="48"/>
      <c r="C321" s="48"/>
      <c r="D321" s="48"/>
      <c r="E321" s="49"/>
      <c r="F321" s="50"/>
      <c r="G321" s="50"/>
      <c r="H321" s="50"/>
      <c r="I321" s="50"/>
      <c r="J321" s="50"/>
      <c r="K321" s="50"/>
      <c r="L321" s="50"/>
      <c r="M321" s="48"/>
      <c r="N321" s="50"/>
      <c r="O321" s="47"/>
      <c r="P321" s="50"/>
      <c r="Q321" s="47"/>
    </row>
    <row r="322" spans="1:17">
      <c r="A322" s="50"/>
      <c r="B322" s="48"/>
      <c r="C322" s="48"/>
      <c r="D322" s="48"/>
      <c r="E322" s="49"/>
      <c r="F322" s="50"/>
      <c r="G322" s="50"/>
      <c r="H322" s="50"/>
      <c r="I322" s="50"/>
      <c r="J322" s="50"/>
      <c r="K322" s="50"/>
      <c r="L322" s="50"/>
      <c r="M322" s="48"/>
      <c r="N322" s="50"/>
      <c r="O322" s="47"/>
      <c r="P322" s="50"/>
      <c r="Q322" s="47"/>
    </row>
    <row r="323" spans="1:17">
      <c r="A323" s="50"/>
      <c r="B323" s="48"/>
      <c r="C323" s="48"/>
      <c r="D323" s="48"/>
      <c r="E323" s="49"/>
      <c r="F323" s="50"/>
      <c r="G323" s="50"/>
      <c r="H323" s="50"/>
      <c r="I323" s="50"/>
      <c r="J323" s="50"/>
      <c r="K323" s="50"/>
      <c r="L323" s="50"/>
      <c r="M323" s="48"/>
      <c r="N323" s="50"/>
      <c r="O323" s="47"/>
      <c r="P323" s="50"/>
      <c r="Q323" s="47"/>
    </row>
    <row r="324" spans="1:17">
      <c r="A324" s="50"/>
      <c r="B324" s="48"/>
      <c r="C324" s="48"/>
      <c r="D324" s="48"/>
      <c r="E324" s="49"/>
      <c r="F324" s="50"/>
      <c r="G324" s="50"/>
      <c r="H324" s="50"/>
      <c r="I324" s="50"/>
      <c r="J324" s="50"/>
      <c r="K324" s="50"/>
      <c r="L324" s="50"/>
      <c r="M324" s="48"/>
      <c r="N324" s="50"/>
      <c r="O324" s="47"/>
      <c r="P324" s="50"/>
      <c r="Q324" s="47"/>
    </row>
    <row r="325" spans="1:17">
      <c r="A325" s="50"/>
      <c r="B325" s="48"/>
      <c r="C325" s="48"/>
      <c r="D325" s="48"/>
      <c r="E325" s="49"/>
      <c r="F325" s="50"/>
      <c r="G325" s="50"/>
      <c r="H325" s="50"/>
      <c r="I325" s="50"/>
      <c r="J325" s="50"/>
      <c r="K325" s="50"/>
      <c r="L325" s="50"/>
      <c r="M325" s="48"/>
      <c r="N325" s="50"/>
      <c r="O325" s="47"/>
      <c r="P325" s="50"/>
      <c r="Q325" s="47"/>
    </row>
    <row r="326" spans="1:17">
      <c r="A326" s="50"/>
      <c r="B326" s="48"/>
      <c r="C326" s="48"/>
      <c r="D326" s="48"/>
      <c r="E326" s="49"/>
      <c r="F326" s="50"/>
      <c r="G326" s="50"/>
      <c r="H326" s="50"/>
      <c r="I326" s="50"/>
      <c r="J326" s="50"/>
      <c r="K326" s="50"/>
      <c r="L326" s="50"/>
      <c r="M326" s="48"/>
      <c r="N326" s="50"/>
      <c r="O326" s="47"/>
      <c r="P326" s="50"/>
      <c r="Q326" s="47"/>
    </row>
    <row r="327" spans="1:17">
      <c r="A327" s="50"/>
      <c r="B327" s="48"/>
      <c r="C327" s="48"/>
      <c r="D327" s="48"/>
      <c r="E327" s="49"/>
      <c r="F327" s="50"/>
      <c r="G327" s="50"/>
      <c r="H327" s="50"/>
      <c r="I327" s="50"/>
      <c r="J327" s="50"/>
      <c r="K327" s="50"/>
      <c r="L327" s="50"/>
      <c r="M327" s="48"/>
      <c r="N327" s="50"/>
      <c r="O327" s="47"/>
      <c r="P327" s="50"/>
      <c r="Q327" s="47"/>
    </row>
    <row r="328" spans="1:17">
      <c r="A328" s="50"/>
      <c r="B328" s="48"/>
      <c r="C328" s="48"/>
      <c r="D328" s="48"/>
      <c r="E328" s="49"/>
      <c r="F328" s="50"/>
      <c r="G328" s="50"/>
      <c r="H328" s="50"/>
      <c r="I328" s="50"/>
      <c r="J328" s="50"/>
      <c r="K328" s="50"/>
      <c r="L328" s="50"/>
      <c r="M328" s="48"/>
      <c r="N328" s="50"/>
      <c r="O328" s="47"/>
      <c r="P328" s="50"/>
      <c r="Q328" s="47"/>
    </row>
    <row r="329" spans="1:17">
      <c r="A329" s="50"/>
      <c r="B329" s="48"/>
      <c r="C329" s="48"/>
      <c r="D329" s="48"/>
      <c r="E329" s="49"/>
      <c r="F329" s="50"/>
      <c r="G329" s="50"/>
      <c r="H329" s="50"/>
      <c r="I329" s="50"/>
      <c r="J329" s="50"/>
      <c r="K329" s="50"/>
      <c r="L329" s="50"/>
      <c r="M329" s="48"/>
      <c r="N329" s="50"/>
      <c r="O329" s="47"/>
      <c r="P329" s="50"/>
      <c r="Q329" s="47"/>
    </row>
    <row r="330" spans="1:17">
      <c r="A330" s="50"/>
      <c r="B330" s="48"/>
      <c r="C330" s="48"/>
      <c r="D330" s="48"/>
      <c r="E330" s="49"/>
      <c r="F330" s="50"/>
      <c r="G330" s="50"/>
      <c r="H330" s="50"/>
      <c r="I330" s="50"/>
      <c r="J330" s="50"/>
      <c r="K330" s="50"/>
      <c r="L330" s="50"/>
      <c r="M330" s="48"/>
      <c r="N330" s="50"/>
      <c r="O330" s="47"/>
      <c r="P330" s="50"/>
      <c r="Q330" s="47"/>
    </row>
    <row r="331" spans="1:17">
      <c r="A331" s="50"/>
      <c r="B331" s="48"/>
      <c r="C331" s="48"/>
      <c r="D331" s="48"/>
      <c r="E331" s="49"/>
      <c r="F331" s="50"/>
      <c r="G331" s="50"/>
      <c r="H331" s="50"/>
      <c r="I331" s="50"/>
      <c r="J331" s="50"/>
      <c r="K331" s="50"/>
      <c r="L331" s="50"/>
      <c r="M331" s="48"/>
      <c r="N331" s="50"/>
      <c r="O331" s="47"/>
      <c r="P331" s="50"/>
      <c r="Q331" s="47"/>
    </row>
    <row r="332" spans="1:17">
      <c r="A332" s="50"/>
      <c r="B332" s="48"/>
      <c r="C332" s="48"/>
      <c r="D332" s="48"/>
      <c r="E332" s="49"/>
      <c r="F332" s="50"/>
      <c r="G332" s="50"/>
      <c r="H332" s="50"/>
      <c r="I332" s="50"/>
      <c r="J332" s="50"/>
      <c r="K332" s="50"/>
      <c r="L332" s="50"/>
      <c r="M332" s="48"/>
      <c r="N332" s="50"/>
      <c r="O332" s="47"/>
      <c r="P332" s="50"/>
      <c r="Q332" s="47"/>
    </row>
    <row r="333" spans="1:17">
      <c r="A333" s="50"/>
      <c r="B333" s="48"/>
      <c r="C333" s="48"/>
      <c r="D333" s="48"/>
      <c r="E333" s="49"/>
      <c r="F333" s="50"/>
      <c r="G333" s="50"/>
      <c r="H333" s="50"/>
      <c r="I333" s="50"/>
      <c r="J333" s="50"/>
      <c r="K333" s="50"/>
      <c r="L333" s="50"/>
      <c r="M333" s="48"/>
      <c r="N333" s="50"/>
      <c r="O333" s="47"/>
      <c r="P333" s="50"/>
      <c r="Q333" s="47"/>
    </row>
    <row r="334" spans="1:17">
      <c r="A334" s="50"/>
      <c r="B334" s="48"/>
      <c r="C334" s="48"/>
      <c r="D334" s="48"/>
      <c r="E334" s="49"/>
      <c r="F334" s="50"/>
      <c r="G334" s="50"/>
      <c r="H334" s="50"/>
      <c r="I334" s="50"/>
      <c r="J334" s="50"/>
      <c r="K334" s="50"/>
      <c r="L334" s="50"/>
      <c r="M334" s="48"/>
      <c r="N334" s="50"/>
      <c r="O334" s="47"/>
      <c r="P334" s="50"/>
      <c r="Q334" s="47"/>
    </row>
    <row r="335" spans="1:17">
      <c r="A335" s="50"/>
      <c r="B335" s="48"/>
      <c r="C335" s="48"/>
      <c r="D335" s="48"/>
      <c r="E335" s="49"/>
      <c r="F335" s="50"/>
      <c r="G335" s="50"/>
      <c r="H335" s="50"/>
      <c r="I335" s="50"/>
      <c r="J335" s="50"/>
      <c r="K335" s="50"/>
      <c r="L335" s="50"/>
      <c r="M335" s="48"/>
      <c r="N335" s="50"/>
      <c r="O335" s="47"/>
      <c r="P335" s="50"/>
      <c r="Q335" s="47"/>
    </row>
    <row r="336" spans="1:17">
      <c r="A336" s="50"/>
      <c r="B336" s="48"/>
      <c r="C336" s="48"/>
      <c r="D336" s="48"/>
      <c r="E336" s="49"/>
      <c r="F336" s="50"/>
      <c r="G336" s="50"/>
      <c r="H336" s="50"/>
      <c r="I336" s="50"/>
      <c r="J336" s="50"/>
      <c r="K336" s="50"/>
      <c r="L336" s="50"/>
      <c r="M336" s="48"/>
      <c r="N336" s="50"/>
      <c r="O336" s="47"/>
      <c r="P336" s="50"/>
      <c r="Q336" s="47"/>
    </row>
    <row r="337" spans="1:17">
      <c r="A337" s="50"/>
      <c r="B337" s="48"/>
      <c r="C337" s="48"/>
      <c r="D337" s="48"/>
      <c r="E337" s="49"/>
      <c r="F337" s="50"/>
      <c r="G337" s="50"/>
      <c r="H337" s="50"/>
      <c r="I337" s="50"/>
      <c r="J337" s="50"/>
      <c r="K337" s="50"/>
      <c r="L337" s="50"/>
      <c r="M337" s="48"/>
      <c r="N337" s="50"/>
      <c r="O337" s="47"/>
      <c r="P337" s="50"/>
      <c r="Q337" s="47"/>
    </row>
    <row r="338" spans="1:17">
      <c r="A338" s="50"/>
      <c r="B338" s="48"/>
      <c r="C338" s="48"/>
      <c r="D338" s="48"/>
      <c r="E338" s="49"/>
      <c r="F338" s="50"/>
      <c r="G338" s="50"/>
      <c r="H338" s="50"/>
      <c r="I338" s="50"/>
      <c r="J338" s="50"/>
      <c r="K338" s="50"/>
      <c r="L338" s="50"/>
      <c r="M338" s="48"/>
      <c r="N338" s="50"/>
      <c r="O338" s="47"/>
      <c r="P338" s="50"/>
      <c r="Q338" s="47"/>
    </row>
    <row r="339" spans="1:17">
      <c r="A339" s="50"/>
      <c r="B339" s="48"/>
      <c r="C339" s="48"/>
      <c r="D339" s="48"/>
      <c r="E339" s="49"/>
      <c r="F339" s="50"/>
      <c r="G339" s="50"/>
      <c r="H339" s="50"/>
      <c r="I339" s="50"/>
      <c r="J339" s="50"/>
      <c r="K339" s="50"/>
      <c r="L339" s="50"/>
      <c r="M339" s="48"/>
      <c r="N339" s="50"/>
      <c r="O339" s="47"/>
      <c r="P339" s="50"/>
      <c r="Q339" s="47"/>
    </row>
    <row r="340" spans="1:17">
      <c r="A340" s="50"/>
      <c r="B340" s="48"/>
      <c r="C340" s="48"/>
      <c r="D340" s="48"/>
      <c r="E340" s="49"/>
      <c r="F340" s="50"/>
      <c r="G340" s="50"/>
      <c r="H340" s="50"/>
      <c r="I340" s="50"/>
      <c r="J340" s="50"/>
      <c r="K340" s="50"/>
      <c r="L340" s="50"/>
      <c r="M340" s="48"/>
      <c r="N340" s="50"/>
      <c r="O340" s="47"/>
      <c r="P340" s="50"/>
      <c r="Q340" s="47"/>
    </row>
    <row r="341" spans="1:17">
      <c r="A341" s="50"/>
      <c r="B341" s="48"/>
      <c r="C341" s="48"/>
      <c r="D341" s="48"/>
      <c r="E341" s="49"/>
      <c r="F341" s="50"/>
      <c r="G341" s="50"/>
      <c r="H341" s="50"/>
      <c r="I341" s="50"/>
      <c r="J341" s="50"/>
      <c r="K341" s="50"/>
      <c r="L341" s="50"/>
      <c r="M341" s="48"/>
      <c r="N341" s="50"/>
      <c r="O341" s="47"/>
      <c r="P341" s="50"/>
      <c r="Q341" s="47"/>
    </row>
    <row r="342" spans="1:17">
      <c r="A342" s="50"/>
      <c r="B342" s="48"/>
      <c r="C342" s="48"/>
      <c r="D342" s="48"/>
      <c r="E342" s="49"/>
      <c r="F342" s="50"/>
      <c r="G342" s="50"/>
      <c r="H342" s="50"/>
      <c r="I342" s="50"/>
      <c r="J342" s="50"/>
      <c r="K342" s="50"/>
      <c r="L342" s="50"/>
      <c r="M342" s="48"/>
      <c r="N342" s="50"/>
      <c r="O342" s="47"/>
      <c r="P342" s="50"/>
      <c r="Q342" s="47"/>
    </row>
    <row r="343" spans="1:17">
      <c r="A343" s="50"/>
      <c r="B343" s="48"/>
      <c r="C343" s="48"/>
      <c r="D343" s="48"/>
      <c r="E343" s="49"/>
      <c r="F343" s="50"/>
      <c r="G343" s="50"/>
      <c r="H343" s="50"/>
      <c r="I343" s="50"/>
      <c r="J343" s="50"/>
      <c r="K343" s="50"/>
      <c r="L343" s="50"/>
      <c r="M343" s="48"/>
      <c r="N343" s="50"/>
      <c r="O343" s="47"/>
      <c r="P343" s="50"/>
      <c r="Q343" s="47"/>
    </row>
    <row r="344" spans="1:17">
      <c r="A344" s="50"/>
      <c r="B344" s="48"/>
      <c r="C344" s="48"/>
      <c r="D344" s="48"/>
      <c r="E344" s="49"/>
      <c r="F344" s="50"/>
      <c r="G344" s="50"/>
      <c r="H344" s="50"/>
      <c r="I344" s="50"/>
      <c r="J344" s="50"/>
      <c r="K344" s="50"/>
      <c r="L344" s="50"/>
      <c r="M344" s="48"/>
      <c r="N344" s="50"/>
      <c r="O344" s="47"/>
      <c r="P344" s="50"/>
      <c r="Q344" s="47"/>
    </row>
    <row r="345" spans="1:17">
      <c r="A345" s="50"/>
      <c r="B345" s="48"/>
      <c r="C345" s="48"/>
      <c r="D345" s="48"/>
      <c r="E345" s="49"/>
      <c r="F345" s="50"/>
      <c r="G345" s="50"/>
      <c r="H345" s="50"/>
      <c r="I345" s="50"/>
      <c r="J345" s="50"/>
      <c r="K345" s="50"/>
      <c r="L345" s="50"/>
      <c r="M345" s="48"/>
      <c r="N345" s="50"/>
      <c r="O345" s="47"/>
      <c r="P345" s="50"/>
      <c r="Q345" s="47"/>
    </row>
    <row r="346" spans="1:17">
      <c r="A346" s="50"/>
      <c r="B346" s="48"/>
      <c r="C346" s="48"/>
      <c r="D346" s="48"/>
      <c r="E346" s="49"/>
      <c r="F346" s="50"/>
      <c r="G346" s="50"/>
      <c r="H346" s="50"/>
      <c r="I346" s="50"/>
      <c r="J346" s="50"/>
      <c r="K346" s="50"/>
      <c r="L346" s="50"/>
      <c r="M346" s="48"/>
      <c r="N346" s="50"/>
      <c r="O346" s="47"/>
      <c r="P346" s="50"/>
      <c r="Q346" s="47"/>
    </row>
    <row r="347" spans="1:17">
      <c r="A347" s="50"/>
      <c r="B347" s="48"/>
      <c r="C347" s="48"/>
      <c r="D347" s="48"/>
      <c r="E347" s="49"/>
      <c r="F347" s="50"/>
      <c r="G347" s="50"/>
      <c r="H347" s="50"/>
      <c r="I347" s="50"/>
      <c r="J347" s="50"/>
      <c r="K347" s="50"/>
      <c r="L347" s="50"/>
      <c r="M347" s="48"/>
      <c r="N347" s="50"/>
      <c r="O347" s="47"/>
      <c r="P347" s="50"/>
      <c r="Q347" s="47"/>
    </row>
    <row r="348" spans="1:17">
      <c r="A348" s="50"/>
      <c r="B348" s="48"/>
      <c r="C348" s="48"/>
      <c r="D348" s="48"/>
      <c r="E348" s="49"/>
      <c r="F348" s="50"/>
      <c r="G348" s="50"/>
      <c r="H348" s="50"/>
      <c r="I348" s="50"/>
      <c r="J348" s="50"/>
      <c r="K348" s="50"/>
      <c r="L348" s="50"/>
      <c r="M348" s="48"/>
      <c r="N348" s="50"/>
      <c r="O348" s="47"/>
      <c r="P348" s="50"/>
      <c r="Q348" s="47"/>
    </row>
    <row r="349" spans="1:17">
      <c r="A349" s="50"/>
      <c r="B349" s="48"/>
      <c r="C349" s="48"/>
      <c r="D349" s="48"/>
      <c r="E349" s="49"/>
      <c r="F349" s="50"/>
      <c r="G349" s="50"/>
      <c r="H349" s="50"/>
      <c r="I349" s="50"/>
      <c r="J349" s="50"/>
      <c r="K349" s="50"/>
      <c r="L349" s="50"/>
      <c r="M349" s="48"/>
      <c r="N349" s="50"/>
      <c r="O349" s="47"/>
      <c r="P349" s="50"/>
      <c r="Q349" s="47"/>
    </row>
    <row r="350" spans="1:17">
      <c r="A350" s="50"/>
      <c r="B350" s="48"/>
      <c r="C350" s="48"/>
      <c r="D350" s="48"/>
      <c r="E350" s="49"/>
      <c r="F350" s="50"/>
      <c r="G350" s="50"/>
      <c r="H350" s="50"/>
      <c r="I350" s="50"/>
      <c r="J350" s="50"/>
      <c r="K350" s="50"/>
      <c r="L350" s="50"/>
      <c r="M350" s="48"/>
      <c r="N350" s="50"/>
      <c r="O350" s="47"/>
      <c r="P350" s="50"/>
      <c r="Q350" s="47"/>
    </row>
    <row r="351" spans="1:17">
      <c r="A351" s="50"/>
      <c r="B351" s="48"/>
      <c r="C351" s="48"/>
      <c r="D351" s="48"/>
      <c r="E351" s="49"/>
      <c r="F351" s="50"/>
      <c r="G351" s="50"/>
      <c r="H351" s="50"/>
      <c r="I351" s="50"/>
      <c r="J351" s="50"/>
      <c r="K351" s="50"/>
      <c r="L351" s="50"/>
      <c r="M351" s="48"/>
      <c r="N351" s="50"/>
      <c r="O351" s="47"/>
      <c r="P351" s="50"/>
      <c r="Q351" s="47"/>
    </row>
    <row r="352" spans="1:17">
      <c r="A352" s="50"/>
      <c r="B352" s="48"/>
      <c r="C352" s="48"/>
      <c r="D352" s="48"/>
      <c r="E352" s="49"/>
      <c r="F352" s="50"/>
      <c r="G352" s="50"/>
      <c r="H352" s="50"/>
      <c r="I352" s="50"/>
      <c r="J352" s="50"/>
      <c r="K352" s="50"/>
      <c r="L352" s="50"/>
      <c r="M352" s="48"/>
      <c r="N352" s="50"/>
      <c r="O352" s="47"/>
      <c r="P352" s="50"/>
      <c r="Q352" s="47"/>
    </row>
    <row r="353" spans="1:17">
      <c r="A353" s="50"/>
      <c r="B353" s="48"/>
      <c r="C353" s="48"/>
      <c r="D353" s="48"/>
      <c r="E353" s="49"/>
      <c r="F353" s="50"/>
      <c r="G353" s="50"/>
      <c r="H353" s="50"/>
      <c r="I353" s="50"/>
      <c r="J353" s="50"/>
      <c r="K353" s="50"/>
      <c r="L353" s="50"/>
      <c r="M353" s="48"/>
      <c r="N353" s="50"/>
      <c r="O353" s="47"/>
      <c r="P353" s="50"/>
      <c r="Q353" s="47"/>
    </row>
    <row r="354" spans="1:17">
      <c r="A354" s="50"/>
      <c r="B354" s="48"/>
      <c r="C354" s="48"/>
      <c r="D354" s="48"/>
      <c r="E354" s="49"/>
      <c r="F354" s="50"/>
      <c r="G354" s="50"/>
      <c r="H354" s="50"/>
      <c r="I354" s="50"/>
      <c r="J354" s="50"/>
      <c r="K354" s="50"/>
      <c r="L354" s="50"/>
      <c r="M354" s="48"/>
      <c r="N354" s="50"/>
      <c r="O354" s="47"/>
      <c r="P354" s="50"/>
      <c r="Q354" s="47"/>
    </row>
    <row r="355" spans="1:17">
      <c r="A355" s="50"/>
      <c r="B355" s="48"/>
      <c r="C355" s="48"/>
      <c r="D355" s="48"/>
      <c r="E355" s="49"/>
      <c r="F355" s="50"/>
      <c r="G355" s="50"/>
      <c r="H355" s="50"/>
      <c r="I355" s="50"/>
      <c r="J355" s="50"/>
      <c r="K355" s="50"/>
      <c r="L355" s="50"/>
      <c r="M355" s="48"/>
      <c r="N355" s="50"/>
      <c r="O355" s="47"/>
      <c r="P355" s="50"/>
      <c r="Q355" s="47"/>
    </row>
    <row r="356" spans="1:17">
      <c r="A356" s="50"/>
      <c r="B356" s="48"/>
      <c r="C356" s="48"/>
      <c r="D356" s="48"/>
      <c r="E356" s="49"/>
      <c r="F356" s="50"/>
      <c r="G356" s="50"/>
      <c r="H356" s="50"/>
      <c r="I356" s="50"/>
      <c r="J356" s="50"/>
      <c r="K356" s="50"/>
      <c r="L356" s="50"/>
      <c r="M356" s="48"/>
      <c r="N356" s="50"/>
      <c r="O356" s="47"/>
      <c r="P356" s="50"/>
      <c r="Q356" s="47"/>
    </row>
    <row r="357" spans="1:17">
      <c r="A357" s="50"/>
      <c r="B357" s="48"/>
      <c r="C357" s="48"/>
      <c r="D357" s="48"/>
      <c r="E357" s="49"/>
      <c r="F357" s="50"/>
      <c r="G357" s="50"/>
      <c r="H357" s="50"/>
      <c r="I357" s="50"/>
      <c r="J357" s="50"/>
      <c r="K357" s="50"/>
      <c r="L357" s="50"/>
      <c r="M357" s="48"/>
      <c r="N357" s="50"/>
      <c r="O357" s="47"/>
      <c r="P357" s="50"/>
      <c r="Q357" s="47"/>
    </row>
    <row r="358" spans="1:17">
      <c r="A358" s="50"/>
      <c r="B358" s="48"/>
      <c r="C358" s="48"/>
      <c r="D358" s="48"/>
      <c r="E358" s="49"/>
      <c r="F358" s="50"/>
      <c r="G358" s="50"/>
      <c r="H358" s="50"/>
      <c r="I358" s="50"/>
      <c r="J358" s="50"/>
      <c r="K358" s="50"/>
      <c r="L358" s="50"/>
      <c r="M358" s="48"/>
      <c r="N358" s="50"/>
      <c r="O358" s="47"/>
      <c r="P358" s="50"/>
      <c r="Q358" s="47"/>
    </row>
    <row r="359" spans="1:17">
      <c r="A359" s="50"/>
      <c r="B359" s="48"/>
      <c r="C359" s="48"/>
      <c r="D359" s="48"/>
      <c r="E359" s="49"/>
      <c r="F359" s="50"/>
      <c r="G359" s="50"/>
      <c r="H359" s="50"/>
      <c r="I359" s="50"/>
      <c r="J359" s="50"/>
      <c r="K359" s="50"/>
      <c r="L359" s="50"/>
      <c r="M359" s="48"/>
      <c r="N359" s="50"/>
      <c r="O359" s="47"/>
      <c r="P359" s="50"/>
      <c r="Q359" s="47"/>
    </row>
    <row r="360" spans="1:17">
      <c r="A360" s="50"/>
      <c r="B360" s="48"/>
      <c r="C360" s="48"/>
      <c r="D360" s="48"/>
      <c r="E360" s="49"/>
      <c r="F360" s="50"/>
      <c r="G360" s="50"/>
      <c r="H360" s="50"/>
      <c r="I360" s="50"/>
      <c r="J360" s="50"/>
      <c r="K360" s="50"/>
      <c r="L360" s="50"/>
      <c r="M360" s="48"/>
      <c r="N360" s="50"/>
      <c r="O360" s="47"/>
      <c r="P360" s="50"/>
      <c r="Q360" s="47"/>
    </row>
    <row r="361" spans="1:17">
      <c r="A361" s="50"/>
      <c r="B361" s="48"/>
      <c r="C361" s="48"/>
      <c r="D361" s="48"/>
      <c r="E361" s="49"/>
      <c r="F361" s="50"/>
      <c r="G361" s="50"/>
      <c r="H361" s="50"/>
      <c r="I361" s="50"/>
      <c r="J361" s="50"/>
      <c r="K361" s="50"/>
      <c r="L361" s="50"/>
      <c r="M361" s="48"/>
      <c r="N361" s="50"/>
      <c r="O361" s="47"/>
      <c r="P361" s="50"/>
      <c r="Q361" s="47"/>
    </row>
    <row r="362" spans="1:17">
      <c r="A362" s="50"/>
      <c r="B362" s="48"/>
      <c r="C362" s="48"/>
      <c r="D362" s="48"/>
      <c r="E362" s="49"/>
      <c r="F362" s="50"/>
      <c r="G362" s="50"/>
      <c r="H362" s="50"/>
      <c r="I362" s="50"/>
      <c r="J362" s="50"/>
      <c r="K362" s="50"/>
      <c r="L362" s="50"/>
      <c r="M362" s="48"/>
      <c r="N362" s="50"/>
      <c r="O362" s="47"/>
      <c r="P362" s="50"/>
      <c r="Q362" s="47"/>
    </row>
    <row r="363" spans="1:17">
      <c r="A363" s="50"/>
      <c r="B363" s="48"/>
      <c r="C363" s="48"/>
      <c r="D363" s="48"/>
      <c r="E363" s="49"/>
      <c r="F363" s="50"/>
      <c r="G363" s="50"/>
      <c r="H363" s="50"/>
      <c r="I363" s="50"/>
      <c r="J363" s="50"/>
      <c r="K363" s="50"/>
      <c r="L363" s="50"/>
      <c r="M363" s="48"/>
      <c r="N363" s="50"/>
      <c r="O363" s="47"/>
      <c r="P363" s="50"/>
      <c r="Q363" s="47"/>
    </row>
    <row r="364" spans="1:17">
      <c r="A364" s="50"/>
      <c r="B364" s="48"/>
      <c r="C364" s="48"/>
      <c r="D364" s="48"/>
      <c r="E364" s="49"/>
      <c r="F364" s="50"/>
      <c r="G364" s="50"/>
      <c r="H364" s="50"/>
      <c r="I364" s="50"/>
      <c r="J364" s="50"/>
      <c r="K364" s="50"/>
      <c r="L364" s="50"/>
      <c r="M364" s="48"/>
      <c r="N364" s="50"/>
      <c r="O364" s="47"/>
      <c r="P364" s="50"/>
      <c r="Q364" s="47"/>
    </row>
    <row r="365" spans="1:17">
      <c r="A365" s="50"/>
      <c r="B365" s="48"/>
      <c r="C365" s="48"/>
      <c r="D365" s="48"/>
      <c r="E365" s="49"/>
      <c r="F365" s="50"/>
      <c r="G365" s="50"/>
      <c r="H365" s="50"/>
      <c r="I365" s="50"/>
      <c r="J365" s="50"/>
      <c r="K365" s="50"/>
      <c r="L365" s="50"/>
      <c r="M365" s="48"/>
      <c r="N365" s="50"/>
      <c r="O365" s="47"/>
      <c r="P365" s="50"/>
      <c r="Q365" s="47"/>
    </row>
    <row r="366" spans="1:17">
      <c r="A366" s="50"/>
      <c r="B366" s="48"/>
      <c r="C366" s="48"/>
      <c r="D366" s="48"/>
      <c r="E366" s="49"/>
      <c r="F366" s="50"/>
      <c r="G366" s="50"/>
      <c r="H366" s="50"/>
      <c r="I366" s="50"/>
      <c r="J366" s="50"/>
      <c r="K366" s="50"/>
      <c r="L366" s="50"/>
      <c r="M366" s="48"/>
      <c r="N366" s="50"/>
      <c r="O366" s="47"/>
      <c r="P366" s="50"/>
      <c r="Q366" s="47"/>
    </row>
    <row r="367" spans="1:17">
      <c r="A367" s="50"/>
      <c r="B367" s="48"/>
      <c r="C367" s="48"/>
      <c r="D367" s="48"/>
      <c r="E367" s="49"/>
      <c r="F367" s="50"/>
      <c r="G367" s="50"/>
      <c r="H367" s="50"/>
      <c r="I367" s="50"/>
      <c r="J367" s="50"/>
      <c r="K367" s="50"/>
      <c r="L367" s="50"/>
      <c r="M367" s="48"/>
      <c r="N367" s="50"/>
      <c r="O367" s="47"/>
      <c r="P367" s="50"/>
      <c r="Q367" s="47"/>
    </row>
    <row r="368" spans="1:17">
      <c r="A368" s="50"/>
      <c r="B368" s="48"/>
      <c r="C368" s="48"/>
      <c r="D368" s="48"/>
      <c r="E368" s="49"/>
      <c r="F368" s="50"/>
      <c r="G368" s="50"/>
      <c r="H368" s="50"/>
      <c r="I368" s="50"/>
      <c r="J368" s="50"/>
      <c r="K368" s="50"/>
      <c r="L368" s="50"/>
      <c r="M368" s="48"/>
      <c r="N368" s="50"/>
      <c r="O368" s="47"/>
      <c r="P368" s="50"/>
      <c r="Q368" s="47"/>
    </row>
    <row r="369" spans="1:17">
      <c r="A369" s="50"/>
      <c r="B369" s="48"/>
      <c r="C369" s="48"/>
      <c r="D369" s="48"/>
      <c r="E369" s="49"/>
      <c r="F369" s="50"/>
      <c r="G369" s="50"/>
      <c r="H369" s="50"/>
      <c r="I369" s="50"/>
      <c r="J369" s="50"/>
      <c r="K369" s="50"/>
      <c r="L369" s="50"/>
      <c r="M369" s="48"/>
      <c r="N369" s="50"/>
      <c r="O369" s="47"/>
      <c r="P369" s="50"/>
      <c r="Q369" s="47"/>
    </row>
    <row r="370" spans="1:17">
      <c r="A370" s="50"/>
      <c r="B370" s="48"/>
      <c r="C370" s="48"/>
      <c r="D370" s="48"/>
      <c r="E370" s="49"/>
      <c r="F370" s="50"/>
      <c r="G370" s="50"/>
      <c r="H370" s="50"/>
      <c r="I370" s="50"/>
      <c r="J370" s="50"/>
      <c r="K370" s="50"/>
      <c r="L370" s="50"/>
      <c r="M370" s="48"/>
      <c r="N370" s="50"/>
      <c r="O370" s="47"/>
      <c r="P370" s="50"/>
      <c r="Q370" s="47"/>
    </row>
    <row r="371" spans="1:17">
      <c r="A371" s="50"/>
      <c r="B371" s="48"/>
      <c r="C371" s="48"/>
      <c r="D371" s="48"/>
      <c r="E371" s="49"/>
      <c r="F371" s="50"/>
      <c r="G371" s="50"/>
      <c r="H371" s="50"/>
      <c r="I371" s="50"/>
      <c r="J371" s="50"/>
      <c r="K371" s="50"/>
      <c r="L371" s="50"/>
      <c r="M371" s="48"/>
      <c r="N371" s="50"/>
      <c r="O371" s="47"/>
      <c r="P371" s="50"/>
      <c r="Q371" s="47"/>
    </row>
    <row r="372" spans="1:17">
      <c r="A372" s="50"/>
      <c r="B372" s="48"/>
      <c r="C372" s="48"/>
      <c r="D372" s="48"/>
      <c r="E372" s="49"/>
      <c r="F372" s="50"/>
      <c r="G372" s="50"/>
      <c r="H372" s="50"/>
      <c r="I372" s="50"/>
      <c r="J372" s="50"/>
      <c r="K372" s="50"/>
      <c r="L372" s="50"/>
      <c r="M372" s="48"/>
      <c r="N372" s="50"/>
      <c r="O372" s="47"/>
      <c r="P372" s="50"/>
      <c r="Q372" s="47"/>
    </row>
    <row r="373" spans="1:17">
      <c r="A373" s="50"/>
      <c r="B373" s="48"/>
      <c r="C373" s="48"/>
      <c r="D373" s="48"/>
      <c r="E373" s="49"/>
      <c r="F373" s="50"/>
      <c r="G373" s="50"/>
      <c r="H373" s="50"/>
      <c r="I373" s="50"/>
      <c r="J373" s="50"/>
      <c r="K373" s="50"/>
      <c r="L373" s="50"/>
      <c r="M373" s="48"/>
      <c r="N373" s="50"/>
      <c r="O373" s="47"/>
      <c r="P373" s="50"/>
      <c r="Q373" s="47"/>
    </row>
    <row r="374" spans="1:17">
      <c r="A374" s="50"/>
      <c r="B374" s="48"/>
      <c r="C374" s="48"/>
      <c r="D374" s="48"/>
      <c r="E374" s="49"/>
      <c r="F374" s="50"/>
      <c r="G374" s="50"/>
      <c r="H374" s="50"/>
      <c r="I374" s="50"/>
      <c r="J374" s="50"/>
      <c r="K374" s="50"/>
      <c r="L374" s="50"/>
      <c r="M374" s="48"/>
      <c r="N374" s="50"/>
      <c r="O374" s="47"/>
      <c r="P374" s="50"/>
      <c r="Q374" s="47"/>
    </row>
    <row r="375" spans="1:17">
      <c r="A375" s="50"/>
      <c r="B375" s="48"/>
      <c r="C375" s="48"/>
      <c r="D375" s="48"/>
      <c r="E375" s="49"/>
      <c r="F375" s="50"/>
      <c r="G375" s="50"/>
      <c r="H375" s="50"/>
      <c r="I375" s="50"/>
      <c r="J375" s="50"/>
      <c r="K375" s="50"/>
      <c r="L375" s="50"/>
      <c r="M375" s="48"/>
      <c r="N375" s="50"/>
      <c r="O375" s="47"/>
      <c r="P375" s="50"/>
      <c r="Q375" s="47"/>
    </row>
    <row r="376" spans="1:17">
      <c r="A376" s="50"/>
      <c r="B376" s="48"/>
      <c r="C376" s="48"/>
      <c r="D376" s="48"/>
      <c r="E376" s="49"/>
      <c r="F376" s="50"/>
      <c r="G376" s="50"/>
      <c r="H376" s="50"/>
      <c r="I376" s="50"/>
      <c r="J376" s="50"/>
      <c r="K376" s="50"/>
      <c r="L376" s="50"/>
      <c r="M376" s="48"/>
      <c r="N376" s="50"/>
      <c r="O376" s="47"/>
      <c r="P376" s="50"/>
      <c r="Q376" s="47"/>
    </row>
    <row r="377" spans="1:17">
      <c r="A377" s="50"/>
      <c r="B377" s="48"/>
      <c r="C377" s="48"/>
      <c r="D377" s="48"/>
      <c r="E377" s="49"/>
      <c r="F377" s="50"/>
      <c r="G377" s="50"/>
      <c r="H377" s="50"/>
      <c r="I377" s="50"/>
      <c r="J377" s="50"/>
      <c r="K377" s="50"/>
      <c r="L377" s="50"/>
      <c r="M377" s="48"/>
      <c r="N377" s="50"/>
      <c r="O377" s="47"/>
      <c r="P377" s="50"/>
      <c r="Q377" s="47"/>
    </row>
    <row r="378" spans="1:17">
      <c r="A378" s="50"/>
      <c r="B378" s="48"/>
      <c r="C378" s="48"/>
      <c r="D378" s="48"/>
      <c r="E378" s="49"/>
      <c r="F378" s="50"/>
      <c r="G378" s="50"/>
      <c r="H378" s="50"/>
      <c r="I378" s="50"/>
      <c r="J378" s="50"/>
      <c r="K378" s="50"/>
      <c r="L378" s="50"/>
      <c r="M378" s="48"/>
      <c r="N378" s="50"/>
      <c r="O378" s="47"/>
      <c r="P378" s="50"/>
      <c r="Q378" s="47"/>
    </row>
    <row r="379" spans="1:17">
      <c r="A379" s="50"/>
      <c r="B379" s="48"/>
      <c r="C379" s="48"/>
      <c r="D379" s="48"/>
      <c r="E379" s="49"/>
      <c r="F379" s="50"/>
      <c r="G379" s="50"/>
      <c r="H379" s="50"/>
      <c r="I379" s="50"/>
      <c r="J379" s="50"/>
      <c r="K379" s="50"/>
      <c r="L379" s="50"/>
      <c r="M379" s="48"/>
      <c r="N379" s="50"/>
      <c r="O379" s="47"/>
      <c r="P379" s="50"/>
      <c r="Q379" s="47"/>
    </row>
    <row r="380" spans="1:17">
      <c r="A380" s="50"/>
      <c r="B380" s="48"/>
      <c r="C380" s="48"/>
      <c r="D380" s="48"/>
      <c r="E380" s="49"/>
      <c r="F380" s="50"/>
      <c r="G380" s="50"/>
      <c r="H380" s="50"/>
      <c r="I380" s="50"/>
      <c r="J380" s="50"/>
      <c r="K380" s="50"/>
      <c r="L380" s="50"/>
      <c r="M380" s="48"/>
      <c r="N380" s="50"/>
      <c r="O380" s="47"/>
      <c r="P380" s="50"/>
      <c r="Q380" s="47"/>
    </row>
    <row r="381" spans="1:17">
      <c r="A381" s="50"/>
      <c r="B381" s="48"/>
      <c r="C381" s="48"/>
      <c r="D381" s="48"/>
      <c r="E381" s="49"/>
      <c r="F381" s="50"/>
      <c r="G381" s="50"/>
      <c r="H381" s="50"/>
      <c r="I381" s="50"/>
      <c r="J381" s="50"/>
      <c r="K381" s="50"/>
      <c r="L381" s="50"/>
      <c r="M381" s="48"/>
      <c r="N381" s="50"/>
      <c r="O381" s="47"/>
      <c r="P381" s="50"/>
      <c r="Q381" s="47"/>
    </row>
    <row r="382" spans="1:17">
      <c r="A382" s="50"/>
      <c r="B382" s="48"/>
      <c r="C382" s="48"/>
      <c r="D382" s="48"/>
      <c r="E382" s="49"/>
      <c r="F382" s="50"/>
      <c r="G382" s="50"/>
      <c r="H382" s="50"/>
      <c r="I382" s="50"/>
      <c r="J382" s="50"/>
      <c r="K382" s="50"/>
      <c r="L382" s="50"/>
      <c r="M382" s="48"/>
      <c r="N382" s="50"/>
      <c r="O382" s="47"/>
      <c r="P382" s="50"/>
      <c r="Q382" s="47"/>
    </row>
    <row r="383" spans="1:17">
      <c r="A383" s="50"/>
      <c r="B383" s="48"/>
      <c r="C383" s="48"/>
      <c r="D383" s="48"/>
      <c r="E383" s="49"/>
      <c r="F383" s="50"/>
      <c r="G383" s="50"/>
      <c r="H383" s="50"/>
      <c r="I383" s="50"/>
      <c r="J383" s="50"/>
      <c r="K383" s="50"/>
      <c r="L383" s="50"/>
      <c r="M383" s="48"/>
      <c r="N383" s="50"/>
      <c r="O383" s="47"/>
      <c r="P383" s="50"/>
      <c r="Q383" s="47"/>
    </row>
    <row r="384" spans="1:17">
      <c r="A384" s="50"/>
      <c r="B384" s="48"/>
      <c r="C384" s="48"/>
      <c r="D384" s="48"/>
      <c r="E384" s="49"/>
      <c r="F384" s="50"/>
      <c r="G384" s="50"/>
      <c r="H384" s="50"/>
      <c r="I384" s="50"/>
      <c r="J384" s="50"/>
      <c r="K384" s="50"/>
      <c r="L384" s="50"/>
      <c r="M384" s="48"/>
      <c r="N384" s="50"/>
      <c r="O384" s="47"/>
      <c r="P384" s="50"/>
      <c r="Q384" s="47"/>
    </row>
    <row r="385" spans="1:17">
      <c r="A385" s="50"/>
      <c r="B385" s="48"/>
      <c r="C385" s="48"/>
      <c r="D385" s="48"/>
      <c r="E385" s="49"/>
      <c r="F385" s="50"/>
      <c r="G385" s="50"/>
      <c r="H385" s="50"/>
      <c r="I385" s="50"/>
      <c r="J385" s="50"/>
      <c r="K385" s="50"/>
      <c r="L385" s="50"/>
      <c r="M385" s="48"/>
      <c r="N385" s="50"/>
      <c r="O385" s="47"/>
      <c r="P385" s="50"/>
      <c r="Q385" s="47"/>
    </row>
    <row r="386" spans="1:17">
      <c r="A386" s="50"/>
      <c r="B386" s="48"/>
      <c r="C386" s="48"/>
      <c r="D386" s="48"/>
      <c r="E386" s="49"/>
      <c r="F386" s="50"/>
      <c r="G386" s="50"/>
      <c r="H386" s="50"/>
      <c r="I386" s="50"/>
      <c r="J386" s="50"/>
      <c r="K386" s="50"/>
      <c r="L386" s="50"/>
      <c r="M386" s="48"/>
      <c r="N386" s="50"/>
      <c r="O386" s="47"/>
      <c r="P386" s="50"/>
      <c r="Q386" s="47"/>
    </row>
    <row r="387" spans="1:17">
      <c r="A387" s="50"/>
      <c r="B387" s="48"/>
      <c r="C387" s="48"/>
      <c r="D387" s="48"/>
      <c r="E387" s="49"/>
      <c r="F387" s="50"/>
      <c r="G387" s="50"/>
      <c r="H387" s="50"/>
      <c r="I387" s="50"/>
      <c r="J387" s="50"/>
      <c r="K387" s="50"/>
      <c r="L387" s="50"/>
      <c r="M387" s="48"/>
      <c r="N387" s="50"/>
      <c r="O387" s="47"/>
      <c r="P387" s="50"/>
      <c r="Q387" s="47"/>
    </row>
    <row r="388" spans="1:17">
      <c r="A388" s="50"/>
      <c r="B388" s="48"/>
      <c r="C388" s="48"/>
      <c r="D388" s="48"/>
      <c r="E388" s="49"/>
      <c r="F388" s="50"/>
      <c r="G388" s="50"/>
      <c r="H388" s="50"/>
      <c r="I388" s="50"/>
      <c r="J388" s="50"/>
      <c r="K388" s="50"/>
      <c r="L388" s="50"/>
      <c r="M388" s="48"/>
      <c r="N388" s="50"/>
      <c r="O388" s="47"/>
      <c r="P388" s="50"/>
      <c r="Q388" s="47"/>
    </row>
    <row r="389" spans="1:17">
      <c r="A389" s="50"/>
      <c r="B389" s="48"/>
      <c r="C389" s="48"/>
      <c r="D389" s="48"/>
      <c r="E389" s="49"/>
      <c r="F389" s="50"/>
      <c r="G389" s="50"/>
      <c r="H389" s="50"/>
      <c r="I389" s="50"/>
      <c r="J389" s="50"/>
      <c r="K389" s="50"/>
      <c r="L389" s="50"/>
      <c r="M389" s="48"/>
      <c r="N389" s="50"/>
      <c r="O389" s="47"/>
      <c r="P389" s="50"/>
      <c r="Q389" s="47"/>
    </row>
    <row r="390" spans="1:17">
      <c r="A390" s="50"/>
      <c r="B390" s="48"/>
      <c r="C390" s="48"/>
      <c r="D390" s="48"/>
      <c r="E390" s="49"/>
      <c r="F390" s="50"/>
      <c r="G390" s="50"/>
      <c r="H390" s="50"/>
      <c r="I390" s="50"/>
      <c r="J390" s="50"/>
      <c r="K390" s="50"/>
      <c r="L390" s="50"/>
      <c r="M390" s="48"/>
      <c r="N390" s="50"/>
      <c r="O390" s="47"/>
      <c r="P390" s="50"/>
      <c r="Q390" s="47"/>
    </row>
    <row r="391" spans="1:17">
      <c r="A391" s="50"/>
      <c r="B391" s="48"/>
      <c r="C391" s="48"/>
      <c r="D391" s="48"/>
      <c r="E391" s="49"/>
      <c r="F391" s="50"/>
      <c r="G391" s="50"/>
      <c r="H391" s="50"/>
      <c r="I391" s="50"/>
      <c r="J391" s="50"/>
      <c r="K391" s="50"/>
      <c r="L391" s="50"/>
      <c r="M391" s="48"/>
      <c r="N391" s="50"/>
      <c r="O391" s="47"/>
      <c r="P391" s="50"/>
      <c r="Q391" s="47"/>
    </row>
    <row r="392" spans="1:17">
      <c r="A392" s="50"/>
      <c r="B392" s="48"/>
      <c r="C392" s="48"/>
      <c r="D392" s="48"/>
      <c r="E392" s="49"/>
      <c r="F392" s="50"/>
      <c r="G392" s="50"/>
      <c r="H392" s="50"/>
      <c r="I392" s="50"/>
      <c r="J392" s="50"/>
      <c r="K392" s="50"/>
      <c r="L392" s="50"/>
      <c r="M392" s="48"/>
      <c r="N392" s="50"/>
      <c r="O392" s="47"/>
      <c r="P392" s="50"/>
      <c r="Q392" s="47"/>
    </row>
    <row r="393" spans="1:17">
      <c r="A393" s="50"/>
      <c r="B393" s="48"/>
      <c r="C393" s="48"/>
      <c r="D393" s="48"/>
      <c r="E393" s="49"/>
      <c r="F393" s="50"/>
      <c r="G393" s="50"/>
      <c r="H393" s="50"/>
      <c r="I393" s="50"/>
      <c r="J393" s="50"/>
      <c r="K393" s="50"/>
      <c r="L393" s="50"/>
      <c r="M393" s="48"/>
      <c r="N393" s="50"/>
      <c r="O393" s="47"/>
      <c r="P393" s="50"/>
      <c r="Q393" s="47"/>
    </row>
    <row r="394" spans="1:17">
      <c r="A394" s="50"/>
      <c r="B394" s="48"/>
      <c r="C394" s="48"/>
      <c r="D394" s="48"/>
      <c r="E394" s="49"/>
      <c r="F394" s="50"/>
      <c r="G394" s="50"/>
      <c r="H394" s="50"/>
      <c r="I394" s="50"/>
      <c r="J394" s="50"/>
      <c r="K394" s="50"/>
      <c r="L394" s="50"/>
      <c r="M394" s="48"/>
      <c r="N394" s="50"/>
      <c r="O394" s="47"/>
      <c r="P394" s="50"/>
      <c r="Q394" s="47"/>
    </row>
    <row r="395" spans="1:17">
      <c r="A395" s="50"/>
      <c r="B395" s="48"/>
      <c r="C395" s="48"/>
      <c r="D395" s="48"/>
      <c r="E395" s="49"/>
      <c r="F395" s="50"/>
      <c r="G395" s="50"/>
      <c r="H395" s="50"/>
      <c r="I395" s="50"/>
      <c r="J395" s="50"/>
      <c r="K395" s="50"/>
      <c r="L395" s="50"/>
      <c r="M395" s="48"/>
      <c r="N395" s="50"/>
      <c r="O395" s="47"/>
      <c r="P395" s="50"/>
      <c r="Q395" s="47"/>
    </row>
    <row r="396" spans="1:17">
      <c r="A396" s="50"/>
      <c r="B396" s="48"/>
      <c r="C396" s="48"/>
      <c r="D396" s="48"/>
      <c r="E396" s="49"/>
      <c r="F396" s="50"/>
      <c r="G396" s="50"/>
      <c r="H396" s="50"/>
      <c r="I396" s="50"/>
      <c r="J396" s="50"/>
      <c r="K396" s="50"/>
      <c r="L396" s="50"/>
      <c r="M396" s="48"/>
      <c r="N396" s="50"/>
      <c r="O396" s="47"/>
      <c r="P396" s="50"/>
      <c r="Q396" s="47"/>
    </row>
    <row r="397" spans="1:17">
      <c r="A397" s="50"/>
      <c r="B397" s="48"/>
      <c r="C397" s="48"/>
      <c r="D397" s="48"/>
      <c r="E397" s="49"/>
      <c r="F397" s="50"/>
      <c r="G397" s="50"/>
      <c r="H397" s="50"/>
      <c r="I397" s="50"/>
      <c r="J397" s="50"/>
      <c r="K397" s="50"/>
      <c r="L397" s="50"/>
      <c r="M397" s="48"/>
      <c r="N397" s="50"/>
      <c r="O397" s="47"/>
      <c r="P397" s="50"/>
      <c r="Q397" s="47"/>
    </row>
    <row r="398" spans="1:17">
      <c r="A398" s="50"/>
      <c r="B398" s="48"/>
      <c r="C398" s="48"/>
      <c r="D398" s="48"/>
      <c r="E398" s="49"/>
      <c r="F398" s="50"/>
      <c r="G398" s="50"/>
      <c r="H398" s="50"/>
      <c r="I398" s="50"/>
      <c r="J398" s="50"/>
      <c r="K398" s="50"/>
      <c r="L398" s="50"/>
      <c r="M398" s="48"/>
      <c r="N398" s="50"/>
      <c r="O398" s="47"/>
      <c r="P398" s="50"/>
      <c r="Q398" s="47"/>
    </row>
    <row r="399" spans="1:17">
      <c r="A399" s="50"/>
      <c r="B399" s="48"/>
      <c r="C399" s="48"/>
      <c r="D399" s="48"/>
      <c r="E399" s="49"/>
      <c r="F399" s="50"/>
      <c r="G399" s="50"/>
      <c r="H399" s="50"/>
      <c r="I399" s="50"/>
      <c r="J399" s="50"/>
      <c r="K399" s="50"/>
      <c r="L399" s="50"/>
      <c r="M399" s="48"/>
      <c r="N399" s="50"/>
      <c r="O399" s="47"/>
      <c r="P399" s="50"/>
      <c r="Q399" s="47"/>
    </row>
    <row r="400" spans="1:17">
      <c r="A400" s="50"/>
      <c r="B400" s="48"/>
      <c r="C400" s="48"/>
      <c r="D400" s="48"/>
      <c r="E400" s="49"/>
      <c r="F400" s="50"/>
      <c r="G400" s="50"/>
      <c r="H400" s="50"/>
      <c r="I400" s="50"/>
      <c r="J400" s="50"/>
      <c r="K400" s="50"/>
      <c r="L400" s="50"/>
      <c r="M400" s="48"/>
      <c r="N400" s="50"/>
      <c r="O400" s="47"/>
      <c r="P400" s="50"/>
      <c r="Q400" s="47"/>
    </row>
    <row r="401" spans="1:17">
      <c r="A401" s="50"/>
      <c r="B401" s="48"/>
      <c r="C401" s="48"/>
      <c r="D401" s="48"/>
      <c r="E401" s="49"/>
      <c r="F401" s="50"/>
      <c r="G401" s="50"/>
      <c r="H401" s="50"/>
      <c r="I401" s="50"/>
      <c r="J401" s="50"/>
      <c r="K401" s="50"/>
      <c r="L401" s="50"/>
      <c r="M401" s="48"/>
      <c r="N401" s="50"/>
      <c r="O401" s="47"/>
      <c r="P401" s="50"/>
      <c r="Q401" s="47"/>
    </row>
    <row r="402" spans="1:17">
      <c r="A402" s="50"/>
      <c r="B402" s="48"/>
      <c r="C402" s="48"/>
      <c r="D402" s="48"/>
      <c r="E402" s="49"/>
      <c r="F402" s="50"/>
      <c r="G402" s="50"/>
      <c r="H402" s="50"/>
      <c r="I402" s="50"/>
      <c r="J402" s="50"/>
      <c r="K402" s="50"/>
      <c r="L402" s="50"/>
      <c r="M402" s="48"/>
      <c r="N402" s="50"/>
      <c r="O402" s="47"/>
      <c r="P402" s="50"/>
      <c r="Q402" s="47"/>
    </row>
    <row r="403" spans="1:17">
      <c r="A403" s="50"/>
      <c r="B403" s="48"/>
      <c r="C403" s="48"/>
      <c r="D403" s="48"/>
      <c r="E403" s="49"/>
      <c r="F403" s="50"/>
      <c r="G403" s="50"/>
      <c r="H403" s="50"/>
      <c r="I403" s="50"/>
      <c r="J403" s="50"/>
      <c r="K403" s="50"/>
      <c r="L403" s="50"/>
      <c r="M403" s="48"/>
      <c r="N403" s="50"/>
      <c r="O403" s="47"/>
      <c r="P403" s="50"/>
      <c r="Q403" s="47"/>
    </row>
    <row r="404" spans="1:17">
      <c r="A404" s="50"/>
      <c r="B404" s="48"/>
      <c r="C404" s="48"/>
      <c r="D404" s="48"/>
      <c r="E404" s="49"/>
      <c r="F404" s="50"/>
      <c r="G404" s="50"/>
      <c r="H404" s="50"/>
      <c r="I404" s="50"/>
      <c r="J404" s="50"/>
      <c r="K404" s="50"/>
      <c r="L404" s="50"/>
      <c r="M404" s="48"/>
      <c r="N404" s="50"/>
      <c r="O404" s="47"/>
      <c r="P404" s="50"/>
      <c r="Q404" s="47"/>
    </row>
    <row r="405" spans="1:17">
      <c r="A405" s="50"/>
      <c r="B405" s="48"/>
      <c r="C405" s="48"/>
      <c r="D405" s="48"/>
      <c r="E405" s="49"/>
      <c r="F405" s="50"/>
      <c r="G405" s="50"/>
      <c r="H405" s="50"/>
      <c r="I405" s="50"/>
      <c r="J405" s="50"/>
      <c r="K405" s="50"/>
      <c r="L405" s="50"/>
      <c r="M405" s="48"/>
      <c r="N405" s="50"/>
      <c r="O405" s="47"/>
      <c r="P405" s="50"/>
      <c r="Q405" s="47"/>
    </row>
    <row r="406" spans="1:17">
      <c r="A406" s="50"/>
      <c r="B406" s="48"/>
      <c r="C406" s="48"/>
      <c r="D406" s="48"/>
      <c r="E406" s="49"/>
      <c r="F406" s="50"/>
      <c r="G406" s="50"/>
      <c r="H406" s="50"/>
      <c r="I406" s="50"/>
      <c r="J406" s="50"/>
      <c r="K406" s="50"/>
      <c r="L406" s="50"/>
      <c r="M406" s="48"/>
      <c r="N406" s="50"/>
      <c r="O406" s="47"/>
      <c r="P406" s="50"/>
      <c r="Q406" s="47"/>
    </row>
    <row r="407" spans="1:17">
      <c r="A407" s="50"/>
      <c r="B407" s="48"/>
      <c r="C407" s="48"/>
      <c r="D407" s="48"/>
      <c r="E407" s="49"/>
      <c r="F407" s="50"/>
      <c r="G407" s="50"/>
      <c r="H407" s="50"/>
      <c r="I407" s="50"/>
      <c r="J407" s="50"/>
      <c r="K407" s="50"/>
      <c r="L407" s="50"/>
      <c r="M407" s="48"/>
      <c r="N407" s="50"/>
      <c r="O407" s="47"/>
      <c r="P407" s="50"/>
      <c r="Q407" s="47"/>
    </row>
    <row r="408" spans="1:17">
      <c r="A408" s="50"/>
      <c r="B408" s="48"/>
      <c r="C408" s="48"/>
      <c r="D408" s="48"/>
      <c r="E408" s="49"/>
      <c r="F408" s="50"/>
      <c r="G408" s="50"/>
      <c r="H408" s="50"/>
      <c r="I408" s="50"/>
      <c r="J408" s="50"/>
      <c r="K408" s="50"/>
      <c r="L408" s="50"/>
      <c r="M408" s="48"/>
      <c r="N408" s="50"/>
      <c r="O408" s="47"/>
      <c r="P408" s="50"/>
      <c r="Q408" s="47"/>
    </row>
    <row r="409" spans="1:17">
      <c r="A409" s="50"/>
      <c r="B409" s="48"/>
      <c r="C409" s="48"/>
      <c r="D409" s="48"/>
      <c r="E409" s="49"/>
      <c r="F409" s="50"/>
      <c r="G409" s="50"/>
      <c r="H409" s="50"/>
      <c r="I409" s="50"/>
      <c r="J409" s="50"/>
      <c r="K409" s="50"/>
      <c r="L409" s="50"/>
      <c r="M409" s="48"/>
      <c r="N409" s="50"/>
      <c r="O409" s="47"/>
      <c r="P409" s="50"/>
      <c r="Q409" s="47"/>
    </row>
    <row r="410" spans="1:17">
      <c r="A410" s="50"/>
      <c r="B410" s="48"/>
      <c r="C410" s="48"/>
      <c r="D410" s="48"/>
      <c r="E410" s="49"/>
      <c r="F410" s="50"/>
      <c r="G410" s="50"/>
      <c r="H410" s="50"/>
      <c r="I410" s="50"/>
      <c r="J410" s="50"/>
      <c r="K410" s="50"/>
      <c r="L410" s="50"/>
      <c r="M410" s="48"/>
      <c r="N410" s="50"/>
      <c r="O410" s="47"/>
      <c r="P410" s="50"/>
      <c r="Q410" s="47"/>
    </row>
    <row r="411" spans="1:17">
      <c r="A411" s="50"/>
      <c r="B411" s="48"/>
      <c r="C411" s="48"/>
      <c r="D411" s="48"/>
      <c r="E411" s="49"/>
      <c r="F411" s="50"/>
      <c r="G411" s="50"/>
      <c r="H411" s="50"/>
      <c r="I411" s="50"/>
      <c r="J411" s="50"/>
      <c r="K411" s="50"/>
      <c r="L411" s="50"/>
      <c r="M411" s="48"/>
      <c r="N411" s="50"/>
      <c r="O411" s="47"/>
      <c r="P411" s="50"/>
      <c r="Q411" s="47"/>
    </row>
    <row r="412" spans="1:17">
      <c r="A412" s="50"/>
      <c r="B412" s="48"/>
      <c r="C412" s="48"/>
      <c r="D412" s="48"/>
      <c r="E412" s="49"/>
      <c r="F412" s="50"/>
      <c r="G412" s="50"/>
      <c r="H412" s="50"/>
      <c r="I412" s="50"/>
      <c r="J412" s="50"/>
      <c r="K412" s="50"/>
      <c r="L412" s="50"/>
      <c r="M412" s="48"/>
      <c r="N412" s="50"/>
      <c r="O412" s="47"/>
      <c r="P412" s="50"/>
      <c r="Q412" s="47"/>
    </row>
    <row r="413" spans="1:17">
      <c r="A413" s="50"/>
      <c r="B413" s="48"/>
      <c r="C413" s="48"/>
      <c r="D413" s="48"/>
      <c r="E413" s="49"/>
      <c r="F413" s="50"/>
      <c r="G413" s="50"/>
      <c r="H413" s="50"/>
      <c r="I413" s="50"/>
      <c r="J413" s="50"/>
      <c r="K413" s="50"/>
      <c r="L413" s="50"/>
      <c r="M413" s="48"/>
      <c r="N413" s="50"/>
      <c r="O413" s="47"/>
      <c r="P413" s="50"/>
      <c r="Q413" s="47"/>
    </row>
    <row r="414" spans="1:17">
      <c r="A414" s="50"/>
      <c r="B414" s="48"/>
      <c r="C414" s="48"/>
      <c r="D414" s="48"/>
      <c r="E414" s="49"/>
      <c r="F414" s="50"/>
      <c r="G414" s="50"/>
      <c r="H414" s="50"/>
      <c r="I414" s="50"/>
      <c r="J414" s="50"/>
      <c r="K414" s="50"/>
      <c r="L414" s="50"/>
      <c r="M414" s="48"/>
      <c r="N414" s="50"/>
      <c r="O414" s="47"/>
      <c r="P414" s="50"/>
      <c r="Q414" s="47"/>
    </row>
    <row r="415" spans="1:17">
      <c r="A415" s="50"/>
      <c r="B415" s="48"/>
      <c r="C415" s="48"/>
      <c r="D415" s="48"/>
      <c r="E415" s="49"/>
      <c r="F415" s="50"/>
      <c r="G415" s="50"/>
      <c r="H415" s="50"/>
      <c r="I415" s="50"/>
      <c r="J415" s="50"/>
      <c r="K415" s="50"/>
      <c r="L415" s="50"/>
      <c r="M415" s="48"/>
      <c r="N415" s="50"/>
      <c r="O415" s="47"/>
      <c r="P415" s="50"/>
      <c r="Q415" s="47"/>
    </row>
    <row r="416" spans="1:17">
      <c r="A416" s="50"/>
      <c r="B416" s="48"/>
      <c r="C416" s="48"/>
      <c r="D416" s="48"/>
      <c r="E416" s="49"/>
      <c r="F416" s="50"/>
      <c r="G416" s="50"/>
      <c r="H416" s="50"/>
      <c r="I416" s="50"/>
      <c r="J416" s="50"/>
      <c r="K416" s="50"/>
      <c r="L416" s="50"/>
      <c r="M416" s="48"/>
      <c r="N416" s="50"/>
      <c r="O416" s="47"/>
      <c r="P416" s="50"/>
      <c r="Q416" s="47"/>
    </row>
    <row r="417" spans="1:17">
      <c r="A417" s="50"/>
      <c r="B417" s="48"/>
      <c r="C417" s="48"/>
      <c r="D417" s="48"/>
      <c r="E417" s="49"/>
      <c r="F417" s="50"/>
      <c r="G417" s="50"/>
      <c r="H417" s="50"/>
      <c r="I417" s="50"/>
      <c r="J417" s="50"/>
      <c r="K417" s="50"/>
      <c r="L417" s="50"/>
      <c r="M417" s="48"/>
      <c r="N417" s="50"/>
      <c r="O417" s="47"/>
      <c r="P417" s="50"/>
      <c r="Q417" s="47"/>
    </row>
    <row r="418" spans="1:17">
      <c r="A418" s="50"/>
      <c r="B418" s="48"/>
      <c r="C418" s="48"/>
      <c r="D418" s="48"/>
      <c r="E418" s="49"/>
      <c r="F418" s="50"/>
      <c r="G418" s="50"/>
      <c r="H418" s="50"/>
      <c r="I418" s="50"/>
      <c r="J418" s="50"/>
      <c r="K418" s="50"/>
      <c r="L418" s="50"/>
      <c r="M418" s="48"/>
      <c r="N418" s="50"/>
      <c r="O418" s="47"/>
      <c r="P418" s="50"/>
      <c r="Q418" s="47"/>
    </row>
    <row r="419" spans="1:17">
      <c r="A419" s="50"/>
      <c r="B419" s="48"/>
      <c r="C419" s="48"/>
      <c r="D419" s="48"/>
      <c r="E419" s="49"/>
      <c r="F419" s="50"/>
      <c r="G419" s="50"/>
      <c r="H419" s="50"/>
      <c r="I419" s="50"/>
      <c r="J419" s="50"/>
      <c r="K419" s="50"/>
      <c r="L419" s="50"/>
      <c r="M419" s="48"/>
      <c r="N419" s="50"/>
      <c r="O419" s="47"/>
      <c r="P419" s="50"/>
      <c r="Q419" s="47"/>
    </row>
    <row r="420" spans="1:17">
      <c r="A420" s="50"/>
      <c r="B420" s="48"/>
      <c r="C420" s="48"/>
      <c r="D420" s="48"/>
      <c r="E420" s="49"/>
      <c r="F420" s="50"/>
      <c r="G420" s="50"/>
      <c r="H420" s="50"/>
      <c r="I420" s="50"/>
      <c r="J420" s="50"/>
      <c r="K420" s="50"/>
      <c r="L420" s="50"/>
      <c r="M420" s="48"/>
      <c r="N420" s="50"/>
      <c r="O420" s="47"/>
      <c r="P420" s="50"/>
      <c r="Q420" s="47"/>
    </row>
    <row r="421" spans="1:17">
      <c r="A421" s="50"/>
      <c r="B421" s="48"/>
      <c r="C421" s="48"/>
      <c r="D421" s="48"/>
      <c r="E421" s="49"/>
      <c r="F421" s="50"/>
      <c r="G421" s="50"/>
      <c r="H421" s="50"/>
      <c r="I421" s="50"/>
      <c r="J421" s="50"/>
      <c r="K421" s="50"/>
      <c r="L421" s="50"/>
      <c r="M421" s="48"/>
      <c r="N421" s="50"/>
      <c r="O421" s="47"/>
      <c r="P421" s="50"/>
      <c r="Q421" s="47"/>
    </row>
    <row r="422" spans="1:17">
      <c r="A422" s="50"/>
      <c r="B422" s="48"/>
      <c r="C422" s="48"/>
      <c r="D422" s="48"/>
      <c r="E422" s="49"/>
      <c r="F422" s="50"/>
      <c r="G422" s="50"/>
      <c r="H422" s="50"/>
      <c r="I422" s="50"/>
      <c r="J422" s="50"/>
      <c r="K422" s="50"/>
      <c r="L422" s="50"/>
      <c r="M422" s="48"/>
      <c r="N422" s="50"/>
      <c r="O422" s="47"/>
      <c r="P422" s="50"/>
      <c r="Q422" s="47"/>
    </row>
    <row r="423" spans="1:17">
      <c r="A423" s="50"/>
      <c r="B423" s="48"/>
      <c r="C423" s="48"/>
      <c r="D423" s="48"/>
      <c r="E423" s="49"/>
      <c r="F423" s="50"/>
      <c r="G423" s="50"/>
      <c r="H423" s="50"/>
      <c r="I423" s="50"/>
      <c r="J423" s="50"/>
      <c r="K423" s="50"/>
      <c r="L423" s="50"/>
      <c r="M423" s="48"/>
      <c r="N423" s="50"/>
      <c r="O423" s="47"/>
      <c r="P423" s="50"/>
      <c r="Q423" s="47"/>
    </row>
    <row r="424" spans="1:17">
      <c r="A424" s="50"/>
      <c r="B424" s="48"/>
      <c r="C424" s="48"/>
      <c r="D424" s="48"/>
      <c r="E424" s="49"/>
      <c r="F424" s="50"/>
      <c r="G424" s="50"/>
      <c r="H424" s="50"/>
      <c r="I424" s="50"/>
      <c r="J424" s="50"/>
      <c r="K424" s="50"/>
      <c r="L424" s="50"/>
      <c r="M424" s="48"/>
      <c r="N424" s="50"/>
      <c r="O424" s="47"/>
      <c r="P424" s="50"/>
      <c r="Q424" s="47"/>
    </row>
    <row r="425" spans="1:17">
      <c r="A425" s="50"/>
      <c r="B425" s="48"/>
      <c r="C425" s="48"/>
      <c r="D425" s="48"/>
      <c r="E425" s="49"/>
      <c r="F425" s="50"/>
      <c r="G425" s="50"/>
      <c r="H425" s="50"/>
      <c r="I425" s="50"/>
      <c r="J425" s="50"/>
      <c r="K425" s="50"/>
      <c r="L425" s="50"/>
      <c r="M425" s="48"/>
      <c r="N425" s="50"/>
      <c r="O425" s="47"/>
      <c r="P425" s="50"/>
      <c r="Q425" s="47"/>
    </row>
    <row r="426" spans="1:17">
      <c r="A426" s="50"/>
      <c r="B426" s="48"/>
      <c r="C426" s="48"/>
      <c r="D426" s="48"/>
      <c r="E426" s="49"/>
      <c r="F426" s="50"/>
      <c r="G426" s="50"/>
      <c r="H426" s="50"/>
      <c r="I426" s="50"/>
      <c r="J426" s="50"/>
      <c r="K426" s="50"/>
      <c r="L426" s="50"/>
      <c r="M426" s="48"/>
      <c r="N426" s="50"/>
      <c r="O426" s="47"/>
      <c r="P426" s="50"/>
      <c r="Q426" s="47"/>
    </row>
    <row r="427" spans="1:17">
      <c r="A427" s="50"/>
      <c r="B427" s="48"/>
      <c r="C427" s="48"/>
      <c r="D427" s="48"/>
      <c r="E427" s="49"/>
      <c r="F427" s="50"/>
      <c r="G427" s="50"/>
      <c r="H427" s="50"/>
      <c r="I427" s="50"/>
      <c r="J427" s="50"/>
      <c r="K427" s="50"/>
      <c r="L427" s="50"/>
      <c r="M427" s="48"/>
      <c r="N427" s="50"/>
      <c r="O427" s="47"/>
      <c r="P427" s="50"/>
      <c r="Q427" s="47"/>
    </row>
    <row r="428" spans="1:17">
      <c r="A428" s="50"/>
      <c r="B428" s="48"/>
      <c r="C428" s="48"/>
      <c r="D428" s="48"/>
      <c r="E428" s="49"/>
      <c r="F428" s="50"/>
      <c r="G428" s="50"/>
      <c r="H428" s="50"/>
      <c r="I428" s="50"/>
      <c r="J428" s="50"/>
      <c r="K428" s="50"/>
      <c r="L428" s="50"/>
      <c r="M428" s="48"/>
      <c r="N428" s="50"/>
      <c r="O428" s="47"/>
      <c r="P428" s="50"/>
      <c r="Q428" s="47"/>
    </row>
    <row r="429" spans="1:17">
      <c r="A429" s="50"/>
      <c r="B429" s="48"/>
      <c r="C429" s="48"/>
      <c r="D429" s="48"/>
      <c r="E429" s="49"/>
      <c r="F429" s="50"/>
      <c r="G429" s="50"/>
      <c r="H429" s="50"/>
      <c r="I429" s="50"/>
      <c r="J429" s="50"/>
      <c r="K429" s="50"/>
      <c r="L429" s="50"/>
      <c r="M429" s="48"/>
      <c r="N429" s="50"/>
      <c r="O429" s="47"/>
      <c r="P429" s="50"/>
      <c r="Q429" s="47"/>
    </row>
    <row r="430" spans="1:17">
      <c r="A430" s="50"/>
      <c r="B430" s="48"/>
      <c r="C430" s="48"/>
      <c r="D430" s="48"/>
      <c r="E430" s="49"/>
      <c r="F430" s="50"/>
      <c r="G430" s="50"/>
      <c r="H430" s="50"/>
      <c r="I430" s="50"/>
      <c r="J430" s="50"/>
      <c r="K430" s="50"/>
      <c r="L430" s="50"/>
      <c r="M430" s="48"/>
      <c r="N430" s="50"/>
      <c r="O430" s="47"/>
      <c r="P430" s="50"/>
      <c r="Q430" s="47"/>
    </row>
    <row r="431" spans="1:17">
      <c r="A431" s="50"/>
      <c r="B431" s="48"/>
      <c r="C431" s="48"/>
      <c r="D431" s="48"/>
      <c r="E431" s="49"/>
      <c r="F431" s="50"/>
      <c r="G431" s="50"/>
      <c r="H431" s="50"/>
      <c r="I431" s="50"/>
      <c r="J431" s="50"/>
      <c r="K431" s="50"/>
      <c r="L431" s="50"/>
      <c r="M431" s="48"/>
      <c r="N431" s="50"/>
      <c r="O431" s="47"/>
      <c r="P431" s="50"/>
      <c r="Q431" s="47"/>
    </row>
    <row r="432" spans="1:17">
      <c r="A432" s="50"/>
      <c r="B432" s="48"/>
      <c r="C432" s="48"/>
      <c r="D432" s="48"/>
      <c r="E432" s="49"/>
      <c r="F432" s="50"/>
      <c r="G432" s="50"/>
      <c r="H432" s="50"/>
      <c r="I432" s="50"/>
      <c r="J432" s="50"/>
      <c r="K432" s="50"/>
      <c r="L432" s="50"/>
      <c r="M432" s="48"/>
      <c r="N432" s="50"/>
      <c r="O432" s="47"/>
      <c r="P432" s="50"/>
      <c r="Q432" s="47"/>
    </row>
    <row r="433" spans="1:17">
      <c r="A433" s="50"/>
      <c r="B433" s="48"/>
      <c r="C433" s="48"/>
      <c r="D433" s="48"/>
      <c r="E433" s="49"/>
      <c r="F433" s="50"/>
      <c r="G433" s="50"/>
      <c r="H433" s="50"/>
      <c r="I433" s="50"/>
      <c r="J433" s="50"/>
      <c r="K433" s="50"/>
      <c r="L433" s="50"/>
      <c r="M433" s="48"/>
      <c r="N433" s="50"/>
      <c r="O433" s="47"/>
      <c r="P433" s="50"/>
      <c r="Q433" s="47"/>
    </row>
    <row r="434" spans="1:17">
      <c r="A434" s="50"/>
      <c r="B434" s="48"/>
      <c r="C434" s="48"/>
      <c r="D434" s="48"/>
      <c r="E434" s="49"/>
      <c r="F434" s="50"/>
      <c r="G434" s="50"/>
      <c r="H434" s="50"/>
      <c r="I434" s="50"/>
      <c r="J434" s="50"/>
      <c r="K434" s="50"/>
      <c r="L434" s="50"/>
      <c r="M434" s="48"/>
      <c r="N434" s="50"/>
      <c r="O434" s="47"/>
      <c r="P434" s="50"/>
      <c r="Q434" s="47"/>
    </row>
    <row r="435" spans="1:17">
      <c r="A435" s="50"/>
      <c r="B435" s="48"/>
      <c r="C435" s="48"/>
      <c r="D435" s="48"/>
      <c r="E435" s="49"/>
      <c r="F435" s="50"/>
      <c r="G435" s="50"/>
      <c r="H435" s="50"/>
      <c r="I435" s="50"/>
      <c r="J435" s="50"/>
      <c r="K435" s="50"/>
      <c r="L435" s="50"/>
      <c r="M435" s="48"/>
      <c r="N435" s="50"/>
      <c r="O435" s="47"/>
      <c r="P435" s="50"/>
      <c r="Q435" s="47"/>
    </row>
    <row r="436" spans="1:17">
      <c r="A436" s="50"/>
      <c r="B436" s="48"/>
      <c r="C436" s="48"/>
      <c r="D436" s="48"/>
      <c r="E436" s="49"/>
      <c r="F436" s="50"/>
      <c r="G436" s="50"/>
      <c r="H436" s="50"/>
      <c r="I436" s="50"/>
      <c r="J436" s="50"/>
      <c r="K436" s="50"/>
      <c r="L436" s="50"/>
      <c r="M436" s="48"/>
      <c r="N436" s="50"/>
      <c r="O436" s="47"/>
      <c r="P436" s="50"/>
      <c r="Q436" s="47"/>
    </row>
    <row r="437" spans="1:17">
      <c r="A437" s="50"/>
      <c r="B437" s="48"/>
      <c r="C437" s="48"/>
      <c r="D437" s="48"/>
      <c r="E437" s="49"/>
      <c r="F437" s="50"/>
      <c r="G437" s="50"/>
      <c r="H437" s="50"/>
      <c r="I437" s="50"/>
      <c r="J437" s="50"/>
      <c r="K437" s="50"/>
      <c r="L437" s="50"/>
      <c r="M437" s="48"/>
      <c r="N437" s="50"/>
      <c r="O437" s="47"/>
      <c r="P437" s="50"/>
      <c r="Q437" s="47"/>
    </row>
    <row r="438" spans="1:17">
      <c r="A438" s="50"/>
      <c r="B438" s="48"/>
      <c r="C438" s="48"/>
      <c r="D438" s="48"/>
      <c r="E438" s="49"/>
      <c r="F438" s="50"/>
      <c r="G438" s="50"/>
      <c r="H438" s="50"/>
      <c r="I438" s="50"/>
      <c r="J438" s="50"/>
      <c r="K438" s="50"/>
      <c r="L438" s="50"/>
      <c r="M438" s="48"/>
      <c r="N438" s="50"/>
      <c r="O438" s="47"/>
      <c r="P438" s="50"/>
      <c r="Q438" s="47"/>
    </row>
    <row r="439" spans="1:17">
      <c r="A439" s="50"/>
      <c r="B439" s="48"/>
      <c r="C439" s="48"/>
      <c r="D439" s="48"/>
      <c r="E439" s="49"/>
      <c r="F439" s="50"/>
      <c r="G439" s="50"/>
      <c r="H439" s="50"/>
      <c r="I439" s="50"/>
      <c r="J439" s="50"/>
      <c r="K439" s="50"/>
      <c r="L439" s="50"/>
      <c r="M439" s="48"/>
      <c r="N439" s="50"/>
      <c r="O439" s="47"/>
      <c r="P439" s="50"/>
      <c r="Q439" s="47"/>
    </row>
    <row r="440" spans="1:17">
      <c r="A440" s="50"/>
      <c r="B440" s="48"/>
      <c r="C440" s="48"/>
      <c r="D440" s="48"/>
      <c r="E440" s="49"/>
      <c r="F440" s="50"/>
      <c r="G440" s="50"/>
      <c r="H440" s="50"/>
      <c r="I440" s="50"/>
      <c r="J440" s="50"/>
      <c r="K440" s="50"/>
      <c r="L440" s="50"/>
      <c r="M440" s="48"/>
      <c r="N440" s="50"/>
      <c r="O440" s="47"/>
      <c r="P440" s="50"/>
      <c r="Q440" s="47"/>
    </row>
    <row r="441" spans="1:17">
      <c r="A441" s="50"/>
      <c r="B441" s="48"/>
      <c r="C441" s="48"/>
      <c r="D441" s="48"/>
      <c r="E441" s="49"/>
      <c r="F441" s="50"/>
      <c r="G441" s="50"/>
      <c r="H441" s="50"/>
      <c r="I441" s="50"/>
      <c r="J441" s="50"/>
      <c r="K441" s="50"/>
      <c r="L441" s="50"/>
      <c r="M441" s="48"/>
      <c r="N441" s="50"/>
      <c r="O441" s="47"/>
      <c r="P441" s="50"/>
      <c r="Q441" s="47"/>
    </row>
    <row r="442" spans="1:17">
      <c r="A442" s="50"/>
      <c r="B442" s="48"/>
      <c r="C442" s="48"/>
      <c r="D442" s="48"/>
      <c r="E442" s="49"/>
      <c r="F442" s="50"/>
      <c r="G442" s="50"/>
      <c r="H442" s="50"/>
      <c r="I442" s="50"/>
      <c r="J442" s="50"/>
      <c r="K442" s="50"/>
      <c r="L442" s="50"/>
      <c r="M442" s="48"/>
      <c r="N442" s="50"/>
      <c r="O442" s="47"/>
      <c r="P442" s="50"/>
      <c r="Q442" s="47"/>
    </row>
    <row r="443" spans="1:17">
      <c r="A443" s="50"/>
      <c r="B443" s="48"/>
      <c r="C443" s="48"/>
      <c r="D443" s="48"/>
      <c r="E443" s="49"/>
      <c r="F443" s="50"/>
      <c r="G443" s="50"/>
      <c r="H443" s="50"/>
      <c r="I443" s="50"/>
      <c r="J443" s="50"/>
      <c r="K443" s="50"/>
      <c r="L443" s="50"/>
      <c r="M443" s="48"/>
      <c r="N443" s="50"/>
      <c r="O443" s="47"/>
      <c r="P443" s="50"/>
      <c r="Q443" s="47"/>
    </row>
    <row r="444" spans="1:17">
      <c r="A444" s="50"/>
      <c r="B444" s="48"/>
      <c r="C444" s="48"/>
      <c r="D444" s="48"/>
      <c r="E444" s="49"/>
      <c r="F444" s="50"/>
      <c r="G444" s="50"/>
      <c r="H444" s="50"/>
      <c r="I444" s="50"/>
      <c r="J444" s="50"/>
      <c r="K444" s="50"/>
      <c r="L444" s="50"/>
      <c r="M444" s="48"/>
      <c r="N444" s="50"/>
      <c r="O444" s="47"/>
      <c r="P444" s="50"/>
      <c r="Q444" s="47"/>
    </row>
    <row r="445" spans="1:17">
      <c r="A445" s="50"/>
      <c r="B445" s="48"/>
      <c r="C445" s="48"/>
      <c r="D445" s="48"/>
      <c r="E445" s="49"/>
      <c r="F445" s="50"/>
      <c r="G445" s="50"/>
      <c r="H445" s="50"/>
      <c r="I445" s="50"/>
      <c r="J445" s="50"/>
      <c r="K445" s="50"/>
      <c r="L445" s="50"/>
      <c r="M445" s="48"/>
      <c r="N445" s="50"/>
      <c r="O445" s="47"/>
      <c r="P445" s="50"/>
      <c r="Q445" s="47"/>
    </row>
    <row r="446" spans="1:17">
      <c r="A446" s="50"/>
      <c r="B446" s="48"/>
      <c r="C446" s="48"/>
      <c r="D446" s="48"/>
      <c r="E446" s="49"/>
      <c r="F446" s="50"/>
      <c r="G446" s="50"/>
      <c r="H446" s="50"/>
      <c r="I446" s="50"/>
      <c r="J446" s="50"/>
      <c r="K446" s="50"/>
      <c r="L446" s="50"/>
      <c r="M446" s="48"/>
      <c r="N446" s="50"/>
      <c r="O446" s="47"/>
      <c r="P446" s="50"/>
      <c r="Q446" s="47"/>
    </row>
    <row r="447" spans="1:17">
      <c r="A447" s="50"/>
      <c r="B447" s="48"/>
      <c r="C447" s="48"/>
      <c r="D447" s="48"/>
      <c r="E447" s="49"/>
      <c r="F447" s="50"/>
      <c r="G447" s="50"/>
      <c r="H447" s="50"/>
      <c r="I447" s="50"/>
      <c r="J447" s="50"/>
      <c r="K447" s="50"/>
      <c r="L447" s="50"/>
      <c r="M447" s="48"/>
      <c r="N447" s="50"/>
      <c r="O447" s="47"/>
      <c r="P447" s="50"/>
      <c r="Q447" s="47"/>
    </row>
    <row r="448" spans="1:17">
      <c r="A448" s="50"/>
      <c r="B448" s="48"/>
      <c r="C448" s="48"/>
      <c r="D448" s="48"/>
      <c r="E448" s="49"/>
      <c r="F448" s="50"/>
      <c r="G448" s="50"/>
      <c r="H448" s="50"/>
      <c r="I448" s="50"/>
      <c r="J448" s="50"/>
      <c r="K448" s="50"/>
      <c r="L448" s="50"/>
      <c r="M448" s="48"/>
      <c r="N448" s="50"/>
      <c r="O448" s="47"/>
      <c r="P448" s="50"/>
      <c r="Q448" s="47"/>
    </row>
    <row r="449" spans="1:17">
      <c r="A449" s="50"/>
      <c r="B449" s="48"/>
      <c r="C449" s="48"/>
      <c r="D449" s="48"/>
      <c r="E449" s="49"/>
      <c r="F449" s="50"/>
      <c r="G449" s="50"/>
      <c r="H449" s="50"/>
      <c r="I449" s="50"/>
      <c r="J449" s="50"/>
      <c r="K449" s="50"/>
      <c r="L449" s="50"/>
      <c r="M449" s="48"/>
      <c r="N449" s="50"/>
      <c r="O449" s="47"/>
      <c r="P449" s="50"/>
      <c r="Q449" s="47"/>
    </row>
    <row r="450" spans="1:17">
      <c r="A450" s="50"/>
      <c r="B450" s="48"/>
      <c r="C450" s="48"/>
      <c r="D450" s="48"/>
      <c r="E450" s="49"/>
      <c r="F450" s="50"/>
      <c r="G450" s="50"/>
      <c r="H450" s="50"/>
      <c r="I450" s="50"/>
      <c r="J450" s="50"/>
      <c r="K450" s="50"/>
      <c r="L450" s="50"/>
      <c r="M450" s="48"/>
      <c r="N450" s="50"/>
      <c r="O450" s="47"/>
      <c r="P450" s="50"/>
      <c r="Q450" s="47"/>
    </row>
    <row r="451" spans="1:17">
      <c r="A451" s="50"/>
      <c r="B451" s="48"/>
      <c r="C451" s="48"/>
      <c r="D451" s="48"/>
      <c r="E451" s="49"/>
      <c r="F451" s="50"/>
      <c r="G451" s="50"/>
      <c r="H451" s="50"/>
      <c r="I451" s="50"/>
      <c r="J451" s="50"/>
      <c r="K451" s="50"/>
      <c r="L451" s="50"/>
      <c r="M451" s="48"/>
      <c r="N451" s="50"/>
      <c r="O451" s="47"/>
      <c r="P451" s="50"/>
      <c r="Q451" s="47"/>
    </row>
    <row r="452" spans="1:17">
      <c r="A452" s="50"/>
      <c r="B452" s="48"/>
      <c r="C452" s="48"/>
      <c r="D452" s="48"/>
      <c r="E452" s="49"/>
      <c r="F452" s="50"/>
      <c r="G452" s="50"/>
      <c r="H452" s="50"/>
      <c r="I452" s="50"/>
      <c r="J452" s="50"/>
      <c r="K452" s="50"/>
      <c r="L452" s="50"/>
      <c r="M452" s="48"/>
      <c r="N452" s="50"/>
      <c r="O452" s="47"/>
      <c r="P452" s="50"/>
      <c r="Q452" s="47"/>
    </row>
    <row r="453" spans="1:17">
      <c r="A453" s="50"/>
      <c r="B453" s="48"/>
      <c r="C453" s="48"/>
      <c r="D453" s="48"/>
      <c r="E453" s="49"/>
      <c r="F453" s="50"/>
      <c r="G453" s="50"/>
      <c r="H453" s="50"/>
      <c r="I453" s="50"/>
      <c r="J453" s="50"/>
      <c r="K453" s="50"/>
      <c r="L453" s="50"/>
      <c r="M453" s="48"/>
      <c r="N453" s="50"/>
      <c r="O453" s="47"/>
      <c r="P453" s="50"/>
      <c r="Q453" s="47"/>
    </row>
    <row r="454" spans="1:17">
      <c r="A454" s="50"/>
      <c r="B454" s="48"/>
      <c r="C454" s="48"/>
      <c r="D454" s="48"/>
      <c r="E454" s="49"/>
      <c r="F454" s="50"/>
      <c r="G454" s="50"/>
      <c r="H454" s="50"/>
      <c r="I454" s="50"/>
      <c r="J454" s="50"/>
      <c r="K454" s="50"/>
      <c r="L454" s="50"/>
      <c r="M454" s="48"/>
      <c r="N454" s="50"/>
      <c r="O454" s="47"/>
      <c r="P454" s="50"/>
      <c r="Q454" s="47"/>
    </row>
    <row r="455" spans="1:17">
      <c r="A455" s="50"/>
      <c r="B455" s="48"/>
      <c r="C455" s="48"/>
      <c r="D455" s="48"/>
      <c r="E455" s="49"/>
      <c r="F455" s="50"/>
      <c r="G455" s="50"/>
      <c r="H455" s="50"/>
      <c r="I455" s="50"/>
      <c r="J455" s="50"/>
      <c r="K455" s="50"/>
      <c r="L455" s="50"/>
      <c r="M455" s="48"/>
      <c r="N455" s="50"/>
      <c r="O455" s="47"/>
      <c r="P455" s="50"/>
      <c r="Q455" s="47"/>
    </row>
    <row r="456" spans="1:17">
      <c r="A456" s="50"/>
      <c r="B456" s="48"/>
      <c r="C456" s="48"/>
      <c r="D456" s="48"/>
      <c r="E456" s="49"/>
      <c r="F456" s="50"/>
      <c r="G456" s="50"/>
      <c r="H456" s="50"/>
      <c r="I456" s="50"/>
      <c r="J456" s="50"/>
      <c r="K456" s="50"/>
      <c r="L456" s="50"/>
      <c r="M456" s="48"/>
      <c r="N456" s="50"/>
      <c r="O456" s="47"/>
      <c r="P456" s="50"/>
      <c r="Q456" s="47"/>
    </row>
    <row r="457" spans="1:17">
      <c r="A457" s="50"/>
      <c r="B457" s="48"/>
      <c r="C457" s="48"/>
      <c r="D457" s="48"/>
      <c r="E457" s="49"/>
      <c r="F457" s="50"/>
      <c r="G457" s="50"/>
      <c r="H457" s="50"/>
      <c r="I457" s="50"/>
      <c r="J457" s="50"/>
      <c r="K457" s="50"/>
      <c r="L457" s="50"/>
      <c r="M457" s="48"/>
      <c r="N457" s="50"/>
      <c r="O457" s="47"/>
      <c r="P457" s="50"/>
      <c r="Q457" s="47"/>
    </row>
    <row r="458" spans="1:17">
      <c r="A458" s="50"/>
      <c r="B458" s="48"/>
      <c r="C458" s="48"/>
      <c r="D458" s="48"/>
      <c r="E458" s="49"/>
      <c r="F458" s="50"/>
      <c r="G458" s="50"/>
      <c r="H458" s="50"/>
      <c r="I458" s="50"/>
      <c r="J458" s="50"/>
      <c r="K458" s="50"/>
      <c r="L458" s="50"/>
      <c r="M458" s="48"/>
      <c r="N458" s="50"/>
      <c r="O458" s="47"/>
      <c r="P458" s="50"/>
      <c r="Q458" s="47"/>
    </row>
    <row r="459" spans="1:17">
      <c r="A459" s="50"/>
      <c r="B459" s="48"/>
      <c r="C459" s="48"/>
      <c r="D459" s="48"/>
      <c r="E459" s="49"/>
      <c r="F459" s="50"/>
      <c r="G459" s="50"/>
      <c r="H459" s="50"/>
      <c r="I459" s="50"/>
      <c r="J459" s="50"/>
      <c r="K459" s="50"/>
      <c r="L459" s="50"/>
      <c r="M459" s="48"/>
      <c r="N459" s="50"/>
      <c r="O459" s="47"/>
      <c r="P459" s="50"/>
      <c r="Q459" s="47"/>
    </row>
    <row r="460" spans="1:17">
      <c r="A460" s="50"/>
      <c r="B460" s="48"/>
      <c r="C460" s="48"/>
      <c r="D460" s="48"/>
      <c r="E460" s="49"/>
      <c r="F460" s="50"/>
      <c r="G460" s="50"/>
      <c r="H460" s="50"/>
      <c r="I460" s="50"/>
      <c r="J460" s="50"/>
      <c r="K460" s="50"/>
      <c r="L460" s="50"/>
      <c r="M460" s="48"/>
      <c r="N460" s="50"/>
      <c r="O460" s="47"/>
      <c r="P460" s="50"/>
      <c r="Q460" s="47"/>
    </row>
    <row r="461" spans="1:17">
      <c r="A461" s="50"/>
      <c r="B461" s="48"/>
      <c r="C461" s="48"/>
      <c r="D461" s="48"/>
      <c r="E461" s="49"/>
      <c r="F461" s="50"/>
      <c r="G461" s="50"/>
      <c r="H461" s="50"/>
      <c r="I461" s="50"/>
      <c r="J461" s="50"/>
      <c r="K461" s="50"/>
      <c r="L461" s="50"/>
      <c r="M461" s="48"/>
      <c r="N461" s="50"/>
      <c r="O461" s="47"/>
      <c r="P461" s="50"/>
      <c r="Q461" s="47"/>
    </row>
    <row r="462" spans="1:17">
      <c r="A462" s="50"/>
      <c r="B462" s="48"/>
      <c r="C462" s="48"/>
      <c r="D462" s="48"/>
      <c r="E462" s="49"/>
      <c r="F462" s="50"/>
      <c r="G462" s="50"/>
      <c r="H462" s="50"/>
      <c r="I462" s="50"/>
      <c r="J462" s="50"/>
      <c r="K462" s="50"/>
      <c r="L462" s="50"/>
      <c r="M462" s="48"/>
      <c r="N462" s="50"/>
      <c r="O462" s="47"/>
      <c r="P462" s="50"/>
      <c r="Q462" s="47"/>
    </row>
    <row r="463" spans="1:17">
      <c r="A463" s="50"/>
      <c r="B463" s="48"/>
      <c r="C463" s="48"/>
      <c r="D463" s="48"/>
      <c r="E463" s="49"/>
      <c r="F463" s="50"/>
      <c r="G463" s="50"/>
      <c r="H463" s="50"/>
      <c r="I463" s="50"/>
      <c r="J463" s="50"/>
      <c r="K463" s="50"/>
      <c r="L463" s="50"/>
      <c r="M463" s="48"/>
      <c r="N463" s="50"/>
      <c r="O463" s="47"/>
      <c r="P463" s="50"/>
      <c r="Q463" s="47"/>
    </row>
    <row r="464" spans="1:17">
      <c r="A464" s="50"/>
      <c r="B464" s="48"/>
      <c r="C464" s="48"/>
      <c r="D464" s="48"/>
      <c r="E464" s="49"/>
      <c r="F464" s="50"/>
      <c r="G464" s="50"/>
      <c r="H464" s="50"/>
      <c r="I464" s="50"/>
      <c r="J464" s="50"/>
      <c r="K464" s="50"/>
      <c r="L464" s="50"/>
      <c r="M464" s="48"/>
      <c r="N464" s="50"/>
      <c r="O464" s="47"/>
      <c r="P464" s="50"/>
      <c r="Q464" s="47"/>
    </row>
    <row r="465" spans="1:17">
      <c r="A465" s="50"/>
      <c r="B465" s="48"/>
      <c r="C465" s="48"/>
      <c r="D465" s="48"/>
      <c r="E465" s="49"/>
      <c r="F465" s="50"/>
      <c r="G465" s="50"/>
      <c r="H465" s="50"/>
      <c r="I465" s="50"/>
      <c r="J465" s="50"/>
      <c r="K465" s="50"/>
      <c r="L465" s="50"/>
      <c r="M465" s="48"/>
      <c r="N465" s="50"/>
      <c r="O465" s="47"/>
      <c r="P465" s="50"/>
      <c r="Q465" s="47"/>
    </row>
    <row r="466" spans="1:17">
      <c r="A466" s="50"/>
      <c r="B466" s="48"/>
      <c r="C466" s="48"/>
      <c r="D466" s="48"/>
      <c r="E466" s="49"/>
      <c r="F466" s="50"/>
      <c r="G466" s="50"/>
      <c r="H466" s="50"/>
      <c r="I466" s="50"/>
      <c r="J466" s="50"/>
      <c r="K466" s="50"/>
      <c r="L466" s="50"/>
      <c r="M466" s="48"/>
      <c r="N466" s="50"/>
      <c r="O466" s="47"/>
      <c r="P466" s="50"/>
      <c r="Q466" s="47"/>
    </row>
    <row r="467" spans="1:17">
      <c r="A467" s="50"/>
      <c r="B467" s="48"/>
      <c r="C467" s="48"/>
      <c r="D467" s="48"/>
      <c r="E467" s="49"/>
      <c r="F467" s="50"/>
      <c r="G467" s="50"/>
      <c r="H467" s="50"/>
      <c r="I467" s="50"/>
      <c r="J467" s="50"/>
      <c r="K467" s="50"/>
      <c r="L467" s="50"/>
      <c r="M467" s="48"/>
      <c r="N467" s="50"/>
      <c r="O467" s="47"/>
      <c r="P467" s="50"/>
      <c r="Q467" s="47"/>
    </row>
    <row r="468" spans="1:17">
      <c r="A468" s="50"/>
      <c r="B468" s="48"/>
      <c r="C468" s="48"/>
      <c r="D468" s="48"/>
      <c r="E468" s="49"/>
      <c r="F468" s="50"/>
      <c r="G468" s="50"/>
      <c r="H468" s="50"/>
      <c r="I468" s="50"/>
      <c r="J468" s="50"/>
      <c r="K468" s="50"/>
      <c r="L468" s="50"/>
      <c r="M468" s="48"/>
      <c r="N468" s="50"/>
      <c r="O468" s="47"/>
      <c r="P468" s="50"/>
      <c r="Q468" s="47"/>
    </row>
    <row r="469" spans="1:17">
      <c r="A469" s="50"/>
      <c r="B469" s="48"/>
      <c r="C469" s="48"/>
      <c r="D469" s="48"/>
      <c r="E469" s="49"/>
      <c r="F469" s="50"/>
      <c r="G469" s="50"/>
      <c r="H469" s="50"/>
      <c r="I469" s="50"/>
      <c r="J469" s="50"/>
      <c r="K469" s="50"/>
      <c r="L469" s="50"/>
      <c r="M469" s="48"/>
      <c r="N469" s="50"/>
      <c r="O469" s="47"/>
      <c r="P469" s="50"/>
      <c r="Q469" s="47"/>
    </row>
    <row r="470" spans="1:17">
      <c r="A470" s="50"/>
      <c r="B470" s="48"/>
      <c r="C470" s="48"/>
      <c r="D470" s="48"/>
      <c r="E470" s="49"/>
      <c r="F470" s="50"/>
      <c r="G470" s="50"/>
      <c r="H470" s="50"/>
      <c r="I470" s="50"/>
      <c r="J470" s="50"/>
      <c r="K470" s="50"/>
      <c r="L470" s="50"/>
      <c r="M470" s="48"/>
      <c r="N470" s="50"/>
      <c r="O470" s="47"/>
      <c r="P470" s="50"/>
      <c r="Q470" s="47"/>
    </row>
    <row r="471" spans="1:17">
      <c r="A471" s="50"/>
      <c r="B471" s="48"/>
      <c r="C471" s="48"/>
      <c r="D471" s="48"/>
      <c r="E471" s="49"/>
      <c r="F471" s="50"/>
      <c r="G471" s="50"/>
      <c r="H471" s="50"/>
      <c r="I471" s="50"/>
      <c r="J471" s="50"/>
      <c r="K471" s="50"/>
      <c r="L471" s="50"/>
      <c r="M471" s="48"/>
      <c r="N471" s="50"/>
      <c r="O471" s="47"/>
      <c r="P471" s="50"/>
      <c r="Q471" s="47"/>
    </row>
    <row r="472" spans="1:17">
      <c r="A472" s="50"/>
      <c r="B472" s="48"/>
      <c r="C472" s="48"/>
      <c r="D472" s="48"/>
      <c r="E472" s="49"/>
      <c r="F472" s="50"/>
      <c r="G472" s="50"/>
      <c r="H472" s="50"/>
      <c r="I472" s="50"/>
      <c r="J472" s="50"/>
      <c r="K472" s="50"/>
      <c r="L472" s="50"/>
      <c r="M472" s="48"/>
      <c r="N472" s="50"/>
      <c r="O472" s="47"/>
      <c r="P472" s="50"/>
      <c r="Q472" s="47"/>
    </row>
    <row r="473" spans="1:17">
      <c r="A473" s="50"/>
      <c r="B473" s="48"/>
      <c r="C473" s="48"/>
      <c r="D473" s="48"/>
      <c r="E473" s="49"/>
      <c r="F473" s="50"/>
      <c r="G473" s="50"/>
      <c r="H473" s="50"/>
      <c r="I473" s="50"/>
      <c r="J473" s="50"/>
      <c r="K473" s="50"/>
      <c r="L473" s="50"/>
      <c r="M473" s="48"/>
      <c r="N473" s="50"/>
      <c r="O473" s="47"/>
      <c r="P473" s="50"/>
      <c r="Q473" s="47"/>
    </row>
    <row r="474" spans="1:17">
      <c r="A474" s="50"/>
      <c r="B474" s="48"/>
      <c r="C474" s="48"/>
      <c r="D474" s="48"/>
      <c r="E474" s="49"/>
      <c r="F474" s="50"/>
      <c r="G474" s="50"/>
      <c r="H474" s="50"/>
      <c r="I474" s="50"/>
      <c r="J474" s="50"/>
      <c r="K474" s="50"/>
      <c r="L474" s="50"/>
      <c r="M474" s="48"/>
      <c r="N474" s="50"/>
      <c r="O474" s="47"/>
      <c r="P474" s="50"/>
      <c r="Q474" s="47"/>
    </row>
    <row r="475" spans="1:17">
      <c r="A475" s="50"/>
      <c r="B475" s="48"/>
      <c r="C475" s="48"/>
      <c r="D475" s="48"/>
      <c r="E475" s="49"/>
      <c r="F475" s="50"/>
      <c r="G475" s="50"/>
      <c r="H475" s="50"/>
      <c r="I475" s="50"/>
      <c r="J475" s="50"/>
      <c r="K475" s="50"/>
      <c r="L475" s="50"/>
      <c r="M475" s="48"/>
      <c r="N475" s="50"/>
      <c r="O475" s="47"/>
      <c r="P475" s="50"/>
      <c r="Q475" s="47"/>
    </row>
    <row r="476" spans="1:17">
      <c r="A476" s="50"/>
      <c r="B476" s="48"/>
      <c r="C476" s="48"/>
      <c r="D476" s="48"/>
      <c r="E476" s="49"/>
      <c r="F476" s="50"/>
      <c r="G476" s="50"/>
      <c r="H476" s="50"/>
      <c r="I476" s="50"/>
      <c r="J476" s="50"/>
      <c r="K476" s="50"/>
      <c r="L476" s="50"/>
      <c r="M476" s="48"/>
      <c r="N476" s="50"/>
      <c r="O476" s="47"/>
      <c r="P476" s="50"/>
      <c r="Q476" s="47"/>
    </row>
    <row r="477" spans="1:17">
      <c r="A477" s="50"/>
      <c r="B477" s="48"/>
      <c r="C477" s="48"/>
      <c r="D477" s="48"/>
      <c r="E477" s="49"/>
      <c r="F477" s="50"/>
      <c r="G477" s="50"/>
      <c r="H477" s="50"/>
      <c r="I477" s="50"/>
      <c r="J477" s="50"/>
      <c r="K477" s="50"/>
      <c r="L477" s="50"/>
      <c r="M477" s="48"/>
      <c r="N477" s="50"/>
      <c r="O477" s="47"/>
      <c r="P477" s="50"/>
      <c r="Q477" s="47"/>
    </row>
    <row r="478" spans="1:17">
      <c r="A478" s="50"/>
      <c r="B478" s="48"/>
      <c r="C478" s="48"/>
      <c r="D478" s="48"/>
      <c r="E478" s="49"/>
      <c r="F478" s="50"/>
      <c r="G478" s="50"/>
      <c r="H478" s="50"/>
      <c r="I478" s="50"/>
      <c r="J478" s="50"/>
      <c r="K478" s="50"/>
      <c r="L478" s="50"/>
      <c r="M478" s="48"/>
      <c r="N478" s="50"/>
      <c r="O478" s="47"/>
      <c r="P478" s="50"/>
      <c r="Q478" s="47"/>
    </row>
    <row r="479" spans="1:17">
      <c r="A479" s="50"/>
      <c r="B479" s="48"/>
      <c r="C479" s="48"/>
      <c r="D479" s="48"/>
      <c r="E479" s="49"/>
      <c r="F479" s="50"/>
      <c r="G479" s="50"/>
      <c r="H479" s="50"/>
      <c r="I479" s="50"/>
      <c r="J479" s="50"/>
      <c r="K479" s="50"/>
      <c r="L479" s="50"/>
      <c r="M479" s="48"/>
      <c r="N479" s="50"/>
      <c r="O479" s="47"/>
      <c r="P479" s="50"/>
      <c r="Q479" s="47"/>
    </row>
    <row r="480" spans="1:17">
      <c r="A480" s="50"/>
      <c r="B480" s="48"/>
      <c r="C480" s="48"/>
      <c r="D480" s="48"/>
      <c r="E480" s="49"/>
      <c r="F480" s="50"/>
      <c r="G480" s="50"/>
      <c r="H480" s="50"/>
      <c r="I480" s="50"/>
      <c r="J480" s="50"/>
      <c r="K480" s="50"/>
      <c r="L480" s="50"/>
      <c r="M480" s="48"/>
      <c r="N480" s="50"/>
      <c r="O480" s="47"/>
      <c r="P480" s="50"/>
      <c r="Q480" s="47"/>
    </row>
    <row r="481" spans="1:17">
      <c r="A481" s="50"/>
      <c r="B481" s="48"/>
      <c r="C481" s="48"/>
      <c r="D481" s="48"/>
      <c r="E481" s="49"/>
      <c r="F481" s="50"/>
      <c r="G481" s="50"/>
      <c r="H481" s="50"/>
      <c r="I481" s="50"/>
      <c r="J481" s="50"/>
      <c r="K481" s="50"/>
      <c r="L481" s="50"/>
      <c r="M481" s="48"/>
      <c r="N481" s="50"/>
      <c r="O481" s="47"/>
      <c r="P481" s="50"/>
      <c r="Q481" s="47"/>
    </row>
    <row r="482" spans="1:17">
      <c r="A482" s="50"/>
      <c r="B482" s="48"/>
      <c r="C482" s="48"/>
      <c r="D482" s="48"/>
      <c r="E482" s="49"/>
      <c r="F482" s="50"/>
      <c r="G482" s="50"/>
      <c r="H482" s="50"/>
      <c r="I482" s="50"/>
      <c r="J482" s="50"/>
      <c r="K482" s="50"/>
      <c r="L482" s="50"/>
      <c r="M482" s="48"/>
      <c r="N482" s="50"/>
      <c r="O482" s="47"/>
      <c r="P482" s="50"/>
      <c r="Q482" s="47"/>
    </row>
    <row r="483" spans="1:17">
      <c r="A483" s="50"/>
      <c r="B483" s="48"/>
      <c r="C483" s="48"/>
      <c r="D483" s="48"/>
      <c r="E483" s="49"/>
      <c r="F483" s="50"/>
      <c r="G483" s="50"/>
      <c r="H483" s="50"/>
      <c r="I483" s="50"/>
      <c r="J483" s="50"/>
      <c r="K483" s="50"/>
      <c r="L483" s="50"/>
      <c r="M483" s="48"/>
      <c r="N483" s="50"/>
      <c r="O483" s="47"/>
      <c r="P483" s="50"/>
      <c r="Q483" s="47"/>
    </row>
    <row r="484" spans="1:17">
      <c r="A484" s="50"/>
      <c r="B484" s="48"/>
      <c r="C484" s="48"/>
      <c r="D484" s="48"/>
      <c r="E484" s="49"/>
      <c r="F484" s="50"/>
      <c r="G484" s="50"/>
      <c r="H484" s="50"/>
      <c r="I484" s="50"/>
      <c r="J484" s="50"/>
      <c r="K484" s="50"/>
      <c r="L484" s="50"/>
      <c r="M484" s="48"/>
      <c r="N484" s="50"/>
      <c r="O484" s="47"/>
      <c r="P484" s="50"/>
      <c r="Q484" s="47"/>
    </row>
    <row r="485" spans="1:17">
      <c r="A485" s="50"/>
      <c r="B485" s="48"/>
      <c r="C485" s="48"/>
      <c r="D485" s="48"/>
      <c r="E485" s="49"/>
      <c r="F485" s="50"/>
      <c r="G485" s="50"/>
      <c r="H485" s="50"/>
      <c r="I485" s="50"/>
      <c r="J485" s="50"/>
      <c r="K485" s="50"/>
      <c r="L485" s="50"/>
      <c r="M485" s="48"/>
      <c r="N485" s="50"/>
      <c r="O485" s="47"/>
      <c r="P485" s="50"/>
      <c r="Q485" s="47"/>
    </row>
    <row r="486" spans="1:17">
      <c r="K486" s="50"/>
    </row>
  </sheetData>
  <mergeCells count="54">
    <mergeCell ref="A1:Q1"/>
    <mergeCell ref="B2:C2"/>
    <mergeCell ref="E2:F2"/>
    <mergeCell ref="H2:J2"/>
    <mergeCell ref="L2:M2"/>
    <mergeCell ref="N2:Q2"/>
    <mergeCell ref="B3:C3"/>
    <mergeCell ref="E3:F3"/>
    <mergeCell ref="H3:J3"/>
    <mergeCell ref="B4:C4"/>
    <mergeCell ref="E4:F4"/>
    <mergeCell ref="H4:J4"/>
    <mergeCell ref="A5:Q5"/>
    <mergeCell ref="B6:C6"/>
    <mergeCell ref="E6:F6"/>
    <mergeCell ref="H6:J6"/>
    <mergeCell ref="B7:C7"/>
    <mergeCell ref="E7:F7"/>
    <mergeCell ref="H7:J7"/>
    <mergeCell ref="B8:C8"/>
    <mergeCell ref="D8:J8"/>
    <mergeCell ref="A9:Q9"/>
    <mergeCell ref="C10:Q10"/>
    <mergeCell ref="C11:Q11"/>
    <mergeCell ref="K6:Q8"/>
    <mergeCell ref="C12:Q12"/>
    <mergeCell ref="C13:D13"/>
    <mergeCell ref="E13:Q13"/>
    <mergeCell ref="C14:Q14"/>
    <mergeCell ref="C15:Q15"/>
    <mergeCell ref="C24:Q24"/>
    <mergeCell ref="A25:Q25"/>
    <mergeCell ref="A16:Q16"/>
    <mergeCell ref="C17:Q17"/>
    <mergeCell ref="C18:Q18"/>
    <mergeCell ref="C19:Q19"/>
    <mergeCell ref="C20:D20"/>
    <mergeCell ref="E20:Q20"/>
    <mergeCell ref="K3:Q4"/>
    <mergeCell ref="C30:Q30"/>
    <mergeCell ref="C31:Q31"/>
    <mergeCell ref="A32:Q32"/>
    <mergeCell ref="A33:Q33"/>
    <mergeCell ref="A10:A15"/>
    <mergeCell ref="A17:A24"/>
    <mergeCell ref="A26:A31"/>
    <mergeCell ref="C26:Q26"/>
    <mergeCell ref="C27:Q27"/>
    <mergeCell ref="C28:Q28"/>
    <mergeCell ref="C29:D29"/>
    <mergeCell ref="E29:Q29"/>
    <mergeCell ref="C21:Q21"/>
    <mergeCell ref="C22:Q22"/>
    <mergeCell ref="C23:Q23"/>
  </mergeCells>
  <phoneticPr fontId="27" type="noConversion"/>
  <conditionalFormatting sqref="M35:N485 P35:P485">
    <cfRule type="expression" dxfId="0" priority="1">
      <formula>$E$2=DR</formula>
    </cfRule>
  </conditionalFormatting>
  <dataValidations xWindow="871" yWindow="770" count="33">
    <dataValidation type="whole" allowBlank="1" showInputMessage="1" showErrorMessage="1" error="只能输入大于0的整数！" prompt="请填入数字，不要有任何中文！例如“三正三副”就填3。" sqref="B4:C4" xr:uid="{00000000-0002-0000-0000-000001000000}">
      <formula1>1</formula1>
      <formula2>99</formula2>
    </dataValidation>
    <dataValidation allowBlank="1" showInputMessage="1" showErrorMessage="1" prompt="只能是大写字母和数字" sqref="B2:C2" xr:uid="{00000000-0002-0000-0000-000004000000}"/>
    <dataValidation allowBlank="1" showInputMessage="1" showErrorMessage="1" prompt="不可超过14位； 不可输空格或特殊字符； 没有封号请填 000000或W" sqref="C35:C39" xr:uid="{00000000-0002-0000-0000-00000A000000}"/>
    <dataValidation allowBlank="1" showInputMessage="1" showErrorMessage="1" prompt="20个字符内，不可以有&quot;V.&quot;" sqref="E6:F6" xr:uid="{00000000-0002-0000-0000-00000B000000}"/>
    <dataValidation type="custom" allowBlank="1" showInputMessage="1" showErrorMessage="1" errorTitle="报错" error="此港只有空运港才有。" prompt="请输入港口英文大写全称！" sqref="H4:J4 H7:J7" xr:uid="{00000000-0002-0000-0000-00000F000000}">
      <formula1>ISERROR(SEARCH("CNPVG",H4))</formula1>
    </dataValidation>
    <dataValidation allowBlank="1" showInputMessage="1" showErrorMessage="1" prompt="选填项！可以不填！多个HS CODE时，仅需任意填写一个。" sqref="G37:G485" xr:uid="{00000000-0002-0000-0000-000011000000}"/>
    <dataValidation allowBlank="1" showInputMessage="1" showErrorMessage="1" prompt="请输入港口英文大写全称！" sqref="B7:C7" xr:uid="{00000000-0002-0000-0000-000012000000}"/>
    <dataValidation allowBlank="1" showInputMessage="1" showErrorMessage="1" prompt="请输入港口英文大写全称！中转请填中转港，直达请填目的港！" sqref="E7:F7" xr:uid="{00000000-0002-0000-0000-000013000000}"/>
    <dataValidation type="custom" allowBlank="1" showInputMessage="1" showErrorMessage="1" errorTitle="报错" error="此港只有空运港才有。" prompt="请输入国内港口英文大写全称！内支线填写时请注意！例如南京收货经上海出，发货地（也称“收货地”）为南京。上海本地出货为上海（SHANGHAI）。" sqref="B8:C8" xr:uid="{00000000-0002-0000-0000-000014000000}">
      <formula1>ISERROR(SEARCH("CNPVG",B8))</formula1>
    </dataValidation>
    <dataValidation allowBlank="1" showInputMessage="1" showErrorMessage="1" prompt="选填项！需含“+”，不能含空格" sqref="C12 C19 C28" xr:uid="{00000000-0002-0000-0000-000015000000}"/>
    <dataValidation allowBlank="1" showInputMessage="1" showErrorMessage="1" prompt="纯数字，不能含空格，例如：01-1（23），需填为：01123。" sqref="C21 C14 C30" xr:uid="{00000000-0002-0000-0000-000016000000}"/>
    <dataValidation allowBlank="1" showInputMessage="1" showErrorMessage="1" prompt="没有AEO资质的不要乱填！！！留空！！不要写任何内容！！" sqref="C15 C22 C31" xr:uid="{00000000-0002-0000-0000-000017000000}"/>
    <dataValidation allowBlank="1" showInputMessage="1" showErrorMessage="1" prompt="选填项！，填一个人名就行。必须是英文！" sqref="C23" xr:uid="{00000000-0002-0000-0000-000018000000}"/>
    <dataValidation allowBlank="1" showInputMessage="1" showErrorMessage="1" prompt="条件性选填！如果填了实际联系人，该电话就需要填！纯数字，不能含空格，例如：01-1（23），需填为：01123。" sqref="C24" xr:uid="{00000000-0002-0000-0000-000019000000}"/>
    <dataValidation type="textLength" operator="lessThanOrEqual" allowBlank="1" showInputMessage="1" showErrorMessage="1" errorTitle="箱号错误" error="箱号最多为11位" prompt="只能是大写字母和数字，通常为11位" sqref="B35:B39" xr:uid="{00000000-0002-0000-0000-00001C000000}">
      <formula1>11</formula1>
    </dataValidation>
    <dataValidation type="textLength" operator="equal" allowBlank="1" showInputMessage="1" prompt="危险品必填！多个危险品混装时，请就最高原则任意填写一个UN代码和类别，不必全写！范围：0001-9999。" sqref="M35" xr:uid="{00000000-0002-0000-0000-00001D000000}">
      <formula1>4</formula1>
    </dataValidation>
    <dataValidation allowBlank="1" showInputMessage="1" showErrorMessage="1" prompt="可不填； 多个 HS Code 任填一个即可" sqref="G35:G36" xr:uid="{00000000-0002-0000-0000-000021000000}"/>
    <dataValidation type="textLength" showInputMessage="1" showErrorMessage="1" error="字符超过140个字上限！若有回车符号请删除，并用斜杠代替！" prompt="最多140个字符，若有回车符号请删除，并用斜杠代替！" sqref="C17:C18 C10:C11 C26:C27" xr:uid="{00000000-0002-0000-0000-000027000000}">
      <formula1>0</formula1>
      <formula2>140</formula2>
    </dataValidation>
    <dataValidation type="whole" allowBlank="1" showInputMessage="1" showErrorMessage="1" error="UN代码为4位数字！" prompt="危险品必填！多个危险品混装时，请就最高原则任意填写一个UN代码和类别，不必全写！范围：0001-9999。" sqref="M91:M485" xr:uid="{00000000-0002-0000-0000-000028000000}">
      <formula1>1</formula1>
      <formula2>9999</formula2>
    </dataValidation>
    <dataValidation type="decimal" allowBlank="1" showInputMessage="1" showErrorMessage="1" error="请输入数字，录入时，请注意不要有空格和回车换行。" prompt="请输入数字，不要有空格和回车换行，不要用求和公式录入数据！" sqref="J35:K38 J39:J485 K39:K486" xr:uid="{00000000-0002-0000-0000-00001E000000}">
      <formula1>0</formula1>
      <formula2>99999.999</formula2>
    </dataValidation>
    <dataValidation allowBlank="1" showInputMessage="1" showErrorMessage="1" prompt="只能是大写字符和数字" sqref="A35:A39" xr:uid="{00000000-0002-0000-0000-00001A000000}"/>
    <dataValidation type="decimal" allowBlank="1" showInputMessage="1" showErrorMessage="1" errorTitle="出错" error="请输入数字，不要有空格和回车换行，不要用求和公式录入数据！" promptTitle="提示" prompt="箱号相同可只录入一条VGM数据，如同箱号录入多条上传后页面展示第一条" sqref="R35:R39" xr:uid="{00000000-0002-0000-0000-00002C000000}">
      <formula1>0</formula1>
      <formula2>999999.99</formula2>
    </dataValidation>
    <dataValidation type="textLength" operator="equal" allowBlank="1" showInputMessage="1" showErrorMessage="1" error="箱号错误，请重新输入！" prompt="箱号绝对不可错填！只能为11位！" sqref="B40:B485" xr:uid="{00000000-0002-0000-0000-000026000000}">
      <formula1>11</formula1>
    </dataValidation>
    <dataValidation type="textLength" operator="lessThanOrEqual" allowBlank="1" showInputMessage="1" showErrorMessage="1" error="封号超长，请重新输入！" prompt="封号不允许超过20位，不可以带空格或特殊字符！没有填NONE" sqref="C40:C485" xr:uid="{00000000-0002-0000-0000-000029000000}">
      <formula1>20</formula1>
    </dataValidation>
    <dataValidation type="whole" allowBlank="1" showInputMessage="1" showErrorMessage="1" error="请输入数字，录入时，请注意不要有空格和回车换行。" prompt="请输入数字，不要有空格和回车换行，不要用求和公式录入数据！" sqref="H35:H485" xr:uid="{00000000-0002-0000-0000-000002000000}">
      <formula1>0</formula1>
      <formula2>99999</formula2>
    </dataValidation>
    <dataValidation allowBlank="1" showInputMessage="1" showErrorMessage="1" prompt="危险品必填！多个危险品混装时，请就最高原则任意填写一个UN代码和类别，不必全写！范围：1-9.9。" sqref="N35:N485" xr:uid="{00000000-0002-0000-0000-000005000000}"/>
    <dataValidation allowBlank="1" showInputMessage="1" showErrorMessage="1" sqref="Q36:Q485" xr:uid="{00000000-0002-0000-0000-000009000000}"/>
    <dataValidation type="list" allowBlank="1" showInputMessage="1" showErrorMessage="1" prompt="自备箱选SOC，承运人箱（船公司箱）选COC" sqref="E35:E485" xr:uid="{00000000-0002-0000-0000-00001B000000}">
      <formula1>"货主箱 SOC,承运人箱 COC"</formula1>
    </dataValidation>
    <dataValidation type="textLength" allowBlank="1" showInputMessage="1" showErrorMessage="1" error="品名最长256个字符，不允许中文，符号算2个字符" prompt="不要输入任何中文字符！不要输入额外的回车符号！最多允许256个字符，不可超长！" sqref="F35:F485" xr:uid="{00000000-0002-0000-0000-00001F000000}">
      <formula1>0</formula1>
      <formula2>256</formula2>
    </dataValidation>
    <dataValidation type="textLength" allowBlank="1" showInputMessage="1" showErrorMessage="1" error="字符超过256个字上限！若有回车符号请删除，并用斜杠代替！" prompt="不要输入任何中文字符！！不要输入额外的回车符号！！" sqref="L35:L485" xr:uid="{00000000-0002-0000-0000-000023000000}">
      <formula1>0</formula1>
      <formula2>256</formula2>
    </dataValidation>
    <dataValidation type="list" allowBlank="1" showInputMessage="1" showErrorMessage="1" sqref="O35:O485" xr:uid="{00000000-0002-0000-0000-000024000000}">
      <formula1>",空箱"</formula1>
    </dataValidation>
    <dataValidation allowBlank="1" prompt="危险品必填！多个危险品混装时，请就最高原则任意填写一个UN代码和类别，不必全写！范围：1-9.9。" sqref="P35:P1048576" xr:uid="{00000000-0002-0000-0000-000025000000}"/>
    <dataValidation type="textLength" operator="equal" allowBlank="1" showInputMessage="1" error="UN代码为4位数字！" prompt="危险品必填！多个危险品混装时，请就最高原则任意填写一个UN代码和类别，不必全写！范围：0001-9999。" sqref="M36:M90" xr:uid="{00000000-0002-0000-0000-00002B000000}">
      <formula1>4</formula1>
    </dataValidation>
  </dataValidations>
  <hyperlinks>
    <hyperlink ref="C14" r:id="rId1" xr:uid="{D25A3509-9827-4004-9016-CF3A64954556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xWindow="871" yWindow="770" count="12">
        <x14:dataValidation type="list" allowBlank="1" showInputMessage="1" showErrorMessage="1" xr:uid="{00000000-0002-0000-0000-000000000000}">
          <x14:formula1>
            <xm:f>国家代码!$A$3:$A$215</xm:f>
          </x14:formula1>
          <xm:sqref>C13:D13 C20:D20 C29:D29</xm:sqref>
        </x14:dataValidation>
        <x14:dataValidation type="list" allowBlank="1" showInputMessage="1" showErrorMessage="1" prompt="货物类型为“危险品”时，货物明细中的“UN代码”和“危险品等级”必填！" xr:uid="{00000000-0002-0000-0000-000003000000}">
          <x14:formula1>
            <xm:f>货物类型!$A$3:$A$30</xm:f>
          </x14:formula1>
          <xm:sqref>H2:J2</xm:sqref>
        </x14:dataValidation>
        <x14:dataValidation type="list" allowBlank="1" showInputMessage="1" showErrorMessage="1" xr:uid="{00000000-0002-0000-0000-000006000000}">
          <x14:formula1>
            <xm:f>船公司!$A$3:$A$300</xm:f>
          </x14:formula1>
          <xm:sqref>E2:F2</xm:sqref>
        </x14:dataValidation>
        <x14:dataValidation type="list" allowBlank="1" showInputMessage="1" showErrorMessage="1" xr:uid="{00000000-0002-0000-0000-000007000000}">
          <x14:formula1>
            <xm:f>付款方式!$A$3:$A$20</xm:f>
          </x14:formula1>
          <xm:sqref>E3:F3</xm:sqref>
        </x14:dataValidation>
        <x14:dataValidation type="list" allowBlank="1" showInputMessage="1" showErrorMessage="1" xr:uid="{00000000-0002-0000-0000-000008000000}">
          <x14:formula1>
            <xm:f>提单类型!$A$3:$A$20</xm:f>
          </x14:formula1>
          <xm:sqref>H3:J3</xm:sqref>
        </x14:dataValidation>
        <x14:dataValidation type="list" allowBlank="1" showInputMessage="1" showErrorMessage="1" xr:uid="{00000000-0002-0000-0000-00000D000000}">
          <x14:formula1>
            <xm:f>船代!$A$3:$A$50</xm:f>
          </x14:formula1>
          <xm:sqref>H6:J6</xm:sqref>
        </x14:dataValidation>
        <x14:dataValidation type="list" allowBlank="1" showInputMessage="1" showErrorMessage="1" xr:uid="{00000000-0002-0000-0000-00000E000000}">
          <x14:formula1>
            <xm:f>运输条款!$A$3:$A$50</xm:f>
          </x14:formula1>
          <xm:sqref>B3:C3</xm:sqref>
        </x14:dataValidation>
        <x14:dataValidation type="list" allowBlank="1" showInputMessage="1" showErrorMessage="1" xr:uid="{00000000-0002-0000-0000-00000C000000}">
          <x14:formula1>
            <xm:f>箱型!$A$3:$A$50</xm:f>
          </x14:formula1>
          <xm:sqref>D35:D39</xm:sqref>
        </x14:dataValidation>
        <x14:dataValidation type="list" allowBlank="1" showInputMessage="1" showErrorMessage="1" prompt="请按包装单位表规范下拉选择" xr:uid="{00000000-0002-0000-0000-000022000000}">
          <x14:formula1>
            <xm:f>IF($E$2="OOCL—东方海外",INDIRECT("oocl包装代码"),包装单位!$A$3:$A$440)</xm:f>
          </x14:formula1>
          <xm:sqref>I35:I39</xm:sqref>
        </x14:dataValidation>
        <x14:dataValidation type="list" allowBlank="1" showInputMessage="1" showErrorMessage="1" prompt="请按包装单位表规范下拉选择" xr:uid="{00000000-0002-0000-0000-000010000000}">
          <x14:formula1>
            <xm:f>包装单位!$A$3:$A$240</xm:f>
          </x14:formula1>
          <xm:sqref>I40:I485</xm:sqref>
        </x14:dataValidation>
        <x14:dataValidation type="list" allowBlank="1" showInputMessage="1" showErrorMessage="1" xr:uid="{00000000-0002-0000-0000-000020000000}">
          <x14:formula1>
            <xm:f>箱型!$A$3:$A$23</xm:f>
          </x14:formula1>
          <xm:sqref>D40:D485</xm:sqref>
        </x14:dataValidation>
        <x14:dataValidation type="list" allowBlank="1" showInputMessage="1" showErrorMessage="1" xr:uid="{00000000-0002-0000-0000-00002A000000}">
          <x14:formula1>
            <xm:f>vgm码头!$A$2:$A$11</xm:f>
          </x14:formula1>
          <xm:sqref>T35:T64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5"/>
  <sheetViews>
    <sheetView topLeftCell="A76" workbookViewId="0">
      <selection activeCell="A100" sqref="A100"/>
    </sheetView>
  </sheetViews>
  <sheetFormatPr defaultColWidth="9" defaultRowHeight="18" customHeight="1"/>
  <cols>
    <col min="1" max="1" width="32.5" style="33" customWidth="1" collapsed="1"/>
    <col min="2" max="2" width="71.625" style="15" customWidth="1" collapsed="1"/>
    <col min="3" max="16384" width="9" style="15" collapsed="1"/>
  </cols>
  <sheetData>
    <row r="1" spans="1:3" ht="27.95" customHeight="1">
      <c r="A1" s="34" t="s">
        <v>50</v>
      </c>
      <c r="B1" s="16"/>
      <c r="C1" s="16"/>
    </row>
    <row r="2" spans="1:3" s="17" customFormat="1" ht="18" customHeight="1">
      <c r="A2" s="35" t="s">
        <v>51</v>
      </c>
      <c r="B2" s="36" t="s">
        <v>52</v>
      </c>
    </row>
    <row r="3" spans="1:3" ht="13.5">
      <c r="A3" s="55" t="s">
        <v>53</v>
      </c>
      <c r="B3" s="55" t="s">
        <v>54</v>
      </c>
    </row>
    <row r="4" spans="1:3" ht="13.5">
      <c r="A4" s="55" t="s">
        <v>55</v>
      </c>
      <c r="B4" s="55" t="s">
        <v>54</v>
      </c>
    </row>
    <row r="5" spans="1:3" ht="13.5">
      <c r="A5" s="55" t="s">
        <v>56</v>
      </c>
      <c r="B5" s="55" t="s">
        <v>54</v>
      </c>
    </row>
    <row r="6" spans="1:3" ht="13.5">
      <c r="A6" s="55" t="s">
        <v>57</v>
      </c>
      <c r="B6" s="55" t="s">
        <v>54</v>
      </c>
    </row>
    <row r="7" spans="1:3" ht="13.5">
      <c r="A7" s="55" t="s">
        <v>58</v>
      </c>
      <c r="B7" s="55" t="s">
        <v>54</v>
      </c>
    </row>
    <row r="8" spans="1:3" ht="13.5">
      <c r="A8" s="55" t="s">
        <v>59</v>
      </c>
      <c r="B8" s="55" t="s">
        <v>54</v>
      </c>
    </row>
    <row r="9" spans="1:3" ht="13.5">
      <c r="A9" s="55" t="s">
        <v>60</v>
      </c>
      <c r="B9" s="55" t="s">
        <v>54</v>
      </c>
    </row>
    <row r="10" spans="1:3" ht="13.5">
      <c r="A10" s="55" t="s">
        <v>61</v>
      </c>
      <c r="B10" s="55" t="s">
        <v>54</v>
      </c>
    </row>
    <row r="11" spans="1:3" ht="13.5">
      <c r="A11" s="55" t="s">
        <v>62</v>
      </c>
      <c r="B11" s="55" t="s">
        <v>54</v>
      </c>
    </row>
    <row r="12" spans="1:3" ht="13.5">
      <c r="A12" s="55" t="s">
        <v>63</v>
      </c>
      <c r="B12" s="55" t="s">
        <v>54</v>
      </c>
    </row>
    <row r="13" spans="1:3" ht="13.5">
      <c r="A13" s="55" t="s">
        <v>64</v>
      </c>
      <c r="B13" s="55" t="s">
        <v>54</v>
      </c>
    </row>
    <row r="14" spans="1:3" ht="13.5">
      <c r="A14" s="55" t="s">
        <v>65</v>
      </c>
      <c r="B14" s="55" t="s">
        <v>54</v>
      </c>
    </row>
    <row r="15" spans="1:3" ht="13.5">
      <c r="A15" s="55" t="s">
        <v>66</v>
      </c>
      <c r="B15" s="55" t="s">
        <v>54</v>
      </c>
    </row>
    <row r="16" spans="1:3" ht="13.5">
      <c r="A16" s="55" t="s">
        <v>67</v>
      </c>
      <c r="B16" s="55" t="s">
        <v>68</v>
      </c>
    </row>
    <row r="17" spans="1:2" ht="13.5">
      <c r="A17" s="55" t="s">
        <v>69</v>
      </c>
      <c r="B17" s="55" t="s">
        <v>54</v>
      </c>
    </row>
    <row r="18" spans="1:2" ht="13.5">
      <c r="A18" s="55" t="s">
        <v>70</v>
      </c>
      <c r="B18" s="55" t="s">
        <v>54</v>
      </c>
    </row>
    <row r="19" spans="1:2" ht="13.5">
      <c r="A19" s="55" t="s">
        <v>71</v>
      </c>
      <c r="B19" s="55" t="s">
        <v>54</v>
      </c>
    </row>
    <row r="20" spans="1:2" ht="13.5">
      <c r="A20" s="55" t="s">
        <v>72</v>
      </c>
      <c r="B20" s="55" t="s">
        <v>54</v>
      </c>
    </row>
    <row r="21" spans="1:2" ht="13.5">
      <c r="A21" s="55" t="s">
        <v>73</v>
      </c>
      <c r="B21" s="55" t="s">
        <v>54</v>
      </c>
    </row>
    <row r="22" spans="1:2" ht="13.5">
      <c r="A22" s="55" t="s">
        <v>74</v>
      </c>
      <c r="B22" s="55" t="s">
        <v>54</v>
      </c>
    </row>
    <row r="23" spans="1:2" ht="13.5">
      <c r="A23" s="55" t="s">
        <v>75</v>
      </c>
      <c r="B23" s="55" t="s">
        <v>54</v>
      </c>
    </row>
    <row r="24" spans="1:2" ht="13.5">
      <c r="A24" s="55" t="s">
        <v>76</v>
      </c>
      <c r="B24" s="55" t="s">
        <v>54</v>
      </c>
    </row>
    <row r="25" spans="1:2" ht="13.5">
      <c r="A25" s="55" t="s">
        <v>77</v>
      </c>
      <c r="B25" s="55" t="s">
        <v>54</v>
      </c>
    </row>
    <row r="26" spans="1:2" ht="13.5">
      <c r="A26" s="55" t="s">
        <v>78</v>
      </c>
      <c r="B26" s="55" t="s">
        <v>54</v>
      </c>
    </row>
    <row r="27" spans="1:2" ht="13.5">
      <c r="A27" s="55" t="s">
        <v>79</v>
      </c>
      <c r="B27" s="55" t="s">
        <v>54</v>
      </c>
    </row>
    <row r="28" spans="1:2" ht="13.5">
      <c r="A28" s="55" t="s">
        <v>80</v>
      </c>
      <c r="B28" s="55" t="s">
        <v>54</v>
      </c>
    </row>
    <row r="29" spans="1:2" ht="13.5">
      <c r="A29" s="55" t="s">
        <v>81</v>
      </c>
      <c r="B29" s="55" t="s">
        <v>54</v>
      </c>
    </row>
    <row r="30" spans="1:2" ht="13.5">
      <c r="A30" s="55" t="s">
        <v>82</v>
      </c>
      <c r="B30" s="55" t="s">
        <v>54</v>
      </c>
    </row>
    <row r="31" spans="1:2" ht="13.5">
      <c r="A31" s="55" t="s">
        <v>83</v>
      </c>
      <c r="B31" s="55" t="s">
        <v>54</v>
      </c>
    </row>
    <row r="32" spans="1:2" ht="13.5">
      <c r="A32" s="55" t="s">
        <v>84</v>
      </c>
      <c r="B32" s="55" t="s">
        <v>54</v>
      </c>
    </row>
    <row r="33" spans="1:2" ht="13.5">
      <c r="A33" s="55" t="s">
        <v>85</v>
      </c>
      <c r="B33" s="55" t="s">
        <v>54</v>
      </c>
    </row>
    <row r="34" spans="1:2" ht="13.5">
      <c r="A34" s="55" t="s">
        <v>86</v>
      </c>
      <c r="B34" s="55" t="s">
        <v>54</v>
      </c>
    </row>
    <row r="35" spans="1:2" ht="13.5">
      <c r="A35" s="55" t="s">
        <v>87</v>
      </c>
      <c r="B35" s="55" t="s">
        <v>54</v>
      </c>
    </row>
    <row r="36" spans="1:2" ht="13.5">
      <c r="A36" s="55" t="s">
        <v>88</v>
      </c>
      <c r="B36" s="55" t="s">
        <v>54</v>
      </c>
    </row>
    <row r="37" spans="1:2" ht="13.5">
      <c r="A37" s="55" t="s">
        <v>89</v>
      </c>
      <c r="B37" s="55" t="s">
        <v>54</v>
      </c>
    </row>
    <row r="38" spans="1:2" ht="13.5">
      <c r="A38" s="55" t="s">
        <v>90</v>
      </c>
      <c r="B38" s="55" t="s">
        <v>54</v>
      </c>
    </row>
    <row r="39" spans="1:2" ht="13.5">
      <c r="A39" s="55" t="s">
        <v>91</v>
      </c>
      <c r="B39" s="55" t="s">
        <v>54</v>
      </c>
    </row>
    <row r="40" spans="1:2" ht="13.5">
      <c r="A40" s="55" t="s">
        <v>92</v>
      </c>
      <c r="B40" s="55" t="s">
        <v>54</v>
      </c>
    </row>
    <row r="41" spans="1:2" ht="13.5">
      <c r="A41" s="55" t="s">
        <v>93</v>
      </c>
      <c r="B41" s="55" t="s">
        <v>54</v>
      </c>
    </row>
    <row r="42" spans="1:2" ht="13.5">
      <c r="A42" s="55" t="s">
        <v>94</v>
      </c>
      <c r="B42" s="55" t="s">
        <v>54</v>
      </c>
    </row>
    <row r="43" spans="1:2" ht="13.5">
      <c r="A43" s="55" t="s">
        <v>95</v>
      </c>
      <c r="B43" s="55" t="s">
        <v>54</v>
      </c>
    </row>
    <row r="44" spans="1:2" ht="13.5">
      <c r="A44" s="55" t="s">
        <v>96</v>
      </c>
      <c r="B44" s="55" t="s">
        <v>54</v>
      </c>
    </row>
    <row r="45" spans="1:2" ht="13.5">
      <c r="A45" s="55" t="s">
        <v>97</v>
      </c>
      <c r="B45" s="55" t="s">
        <v>54</v>
      </c>
    </row>
    <row r="46" spans="1:2" ht="13.5">
      <c r="A46" s="55" t="s">
        <v>98</v>
      </c>
      <c r="B46" s="55" t="s">
        <v>54</v>
      </c>
    </row>
    <row r="47" spans="1:2" ht="13.5">
      <c r="A47" s="55" t="s">
        <v>99</v>
      </c>
      <c r="B47" s="55" t="s">
        <v>54</v>
      </c>
    </row>
    <row r="48" spans="1:2" ht="13.5">
      <c r="A48" s="55" t="s">
        <v>100</v>
      </c>
      <c r="B48" s="55" t="s">
        <v>54</v>
      </c>
    </row>
    <row r="49" spans="1:2" ht="13.5">
      <c r="A49" s="55" t="s">
        <v>101</v>
      </c>
      <c r="B49" s="55" t="s">
        <v>54</v>
      </c>
    </row>
    <row r="50" spans="1:2" ht="13.5">
      <c r="A50" s="55" t="s">
        <v>102</v>
      </c>
      <c r="B50" s="55" t="s">
        <v>54</v>
      </c>
    </row>
    <row r="51" spans="1:2" ht="13.5">
      <c r="A51" s="55" t="s">
        <v>103</v>
      </c>
      <c r="B51" s="55" t="s">
        <v>54</v>
      </c>
    </row>
    <row r="52" spans="1:2" ht="13.5">
      <c r="A52" s="55" t="s">
        <v>104</v>
      </c>
      <c r="B52" s="55" t="s">
        <v>54</v>
      </c>
    </row>
    <row r="53" spans="1:2" ht="13.5">
      <c r="A53" s="55" t="s">
        <v>2828</v>
      </c>
      <c r="B53" s="55" t="s">
        <v>54</v>
      </c>
    </row>
    <row r="54" spans="1:2" ht="13.5">
      <c r="A54" s="55" t="s">
        <v>105</v>
      </c>
      <c r="B54" s="55" t="s">
        <v>54</v>
      </c>
    </row>
    <row r="55" spans="1:2" ht="13.5">
      <c r="A55" s="55" t="s">
        <v>106</v>
      </c>
      <c r="B55" s="55" t="s">
        <v>54</v>
      </c>
    </row>
    <row r="56" spans="1:2" ht="13.5">
      <c r="A56" s="55" t="s">
        <v>107</v>
      </c>
      <c r="B56" s="55" t="s">
        <v>54</v>
      </c>
    </row>
    <row r="57" spans="1:2" ht="13.5">
      <c r="A57" s="55" t="s">
        <v>108</v>
      </c>
      <c r="B57" s="55" t="s">
        <v>54</v>
      </c>
    </row>
    <row r="58" spans="1:2" ht="13.5">
      <c r="A58" s="55" t="s">
        <v>109</v>
      </c>
      <c r="B58" s="55" t="s">
        <v>110</v>
      </c>
    </row>
    <row r="59" spans="1:2" ht="13.5">
      <c r="A59" s="55" t="s">
        <v>111</v>
      </c>
      <c r="B59" s="55" t="s">
        <v>54</v>
      </c>
    </row>
    <row r="60" spans="1:2" ht="13.5">
      <c r="A60" s="55" t="s">
        <v>112</v>
      </c>
      <c r="B60" s="55" t="s">
        <v>54</v>
      </c>
    </row>
    <row r="61" spans="1:2" ht="13.5">
      <c r="A61" s="55" t="s">
        <v>113</v>
      </c>
      <c r="B61" s="55" t="s">
        <v>54</v>
      </c>
    </row>
    <row r="62" spans="1:2" ht="13.5">
      <c r="A62" s="55" t="s">
        <v>114</v>
      </c>
      <c r="B62" s="55" t="s">
        <v>54</v>
      </c>
    </row>
    <row r="63" spans="1:2" ht="13.5">
      <c r="A63" s="55" t="s">
        <v>115</v>
      </c>
      <c r="B63" s="55" t="s">
        <v>54</v>
      </c>
    </row>
    <row r="64" spans="1:2" ht="13.5">
      <c r="A64" s="55" t="s">
        <v>116</v>
      </c>
      <c r="B64" s="55" t="s">
        <v>54</v>
      </c>
    </row>
    <row r="65" spans="1:2" ht="13.5">
      <c r="A65" s="55" t="s">
        <v>117</v>
      </c>
      <c r="B65" s="55" t="s">
        <v>54</v>
      </c>
    </row>
    <row r="66" spans="1:2" ht="13.5">
      <c r="A66" s="55" t="s">
        <v>118</v>
      </c>
      <c r="B66" s="55" t="s">
        <v>54</v>
      </c>
    </row>
    <row r="67" spans="1:2" ht="13.5">
      <c r="A67" s="55" t="s">
        <v>119</v>
      </c>
      <c r="B67" s="55" t="s">
        <v>54</v>
      </c>
    </row>
    <row r="68" spans="1:2" ht="13.5">
      <c r="A68" s="55" t="s">
        <v>120</v>
      </c>
      <c r="B68" s="55" t="s">
        <v>54</v>
      </c>
    </row>
    <row r="69" spans="1:2" ht="13.5">
      <c r="A69" s="55" t="s">
        <v>121</v>
      </c>
      <c r="B69" s="55" t="s">
        <v>54</v>
      </c>
    </row>
    <row r="70" spans="1:2" ht="13.5">
      <c r="A70" s="55" t="s">
        <v>122</v>
      </c>
      <c r="B70" s="55" t="s">
        <v>54</v>
      </c>
    </row>
    <row r="71" spans="1:2" ht="13.5">
      <c r="A71" s="55" t="s">
        <v>123</v>
      </c>
      <c r="B71" s="55" t="s">
        <v>54</v>
      </c>
    </row>
    <row r="72" spans="1:2" ht="13.5">
      <c r="A72" s="55" t="s">
        <v>124</v>
      </c>
      <c r="B72" s="55" t="s">
        <v>54</v>
      </c>
    </row>
    <row r="73" spans="1:2" ht="13.5">
      <c r="A73" s="55" t="s">
        <v>125</v>
      </c>
      <c r="B73" s="55" t="s">
        <v>54</v>
      </c>
    </row>
    <row r="74" spans="1:2" ht="13.5">
      <c r="A74" s="55" t="s">
        <v>126</v>
      </c>
      <c r="B74" s="55" t="s">
        <v>127</v>
      </c>
    </row>
    <row r="75" spans="1:2" ht="13.5">
      <c r="A75" s="55" t="s">
        <v>128</v>
      </c>
      <c r="B75" s="55" t="s">
        <v>54</v>
      </c>
    </row>
    <row r="76" spans="1:2" ht="13.5">
      <c r="A76" s="55" t="s">
        <v>2830</v>
      </c>
      <c r="B76" s="55" t="s">
        <v>54</v>
      </c>
    </row>
    <row r="77" spans="1:2" ht="13.5">
      <c r="A77" s="55" t="s">
        <v>129</v>
      </c>
      <c r="B77" s="55" t="s">
        <v>54</v>
      </c>
    </row>
    <row r="78" spans="1:2" ht="13.5">
      <c r="A78" s="55" t="s">
        <v>130</v>
      </c>
      <c r="B78" s="55" t="s">
        <v>131</v>
      </c>
    </row>
    <row r="79" spans="1:2" ht="13.5">
      <c r="A79" s="55" t="s">
        <v>132</v>
      </c>
      <c r="B79" s="55" t="s">
        <v>54</v>
      </c>
    </row>
    <row r="80" spans="1:2" ht="13.5">
      <c r="A80" s="55" t="s">
        <v>133</v>
      </c>
      <c r="B80" s="55" t="s">
        <v>54</v>
      </c>
    </row>
    <row r="81" spans="1:2" ht="13.5">
      <c r="A81" s="55" t="s">
        <v>134</v>
      </c>
      <c r="B81" s="55" t="s">
        <v>54</v>
      </c>
    </row>
    <row r="82" spans="1:2" ht="13.5">
      <c r="A82" s="55" t="s">
        <v>2826</v>
      </c>
      <c r="B82" s="55" t="s">
        <v>54</v>
      </c>
    </row>
    <row r="83" spans="1:2" ht="13.5">
      <c r="A83" s="55" t="s">
        <v>2827</v>
      </c>
      <c r="B83" s="55" t="s">
        <v>54</v>
      </c>
    </row>
    <row r="84" spans="1:2" ht="13.5">
      <c r="A84" s="55" t="s">
        <v>135</v>
      </c>
      <c r="B84" s="55" t="s">
        <v>54</v>
      </c>
    </row>
    <row r="85" spans="1:2" ht="13.5">
      <c r="A85" s="55" t="s">
        <v>136</v>
      </c>
      <c r="B85" s="55" t="s">
        <v>54</v>
      </c>
    </row>
    <row r="86" spans="1:2" ht="13.5">
      <c r="A86" s="55" t="s">
        <v>137</v>
      </c>
      <c r="B86" s="55" t="s">
        <v>54</v>
      </c>
    </row>
    <row r="87" spans="1:2" ht="13.5">
      <c r="A87" s="55" t="s">
        <v>138</v>
      </c>
      <c r="B87" s="55" t="s">
        <v>54</v>
      </c>
    </row>
    <row r="88" spans="1:2" ht="13.5">
      <c r="A88" s="55" t="s">
        <v>139</v>
      </c>
      <c r="B88" s="55" t="s">
        <v>54</v>
      </c>
    </row>
    <row r="89" spans="1:2" ht="13.5">
      <c r="A89" s="55" t="s">
        <v>140</v>
      </c>
      <c r="B89" s="55" t="s">
        <v>54</v>
      </c>
    </row>
    <row r="90" spans="1:2" ht="13.5">
      <c r="A90" s="55" t="s">
        <v>141</v>
      </c>
      <c r="B90" s="55" t="s">
        <v>54</v>
      </c>
    </row>
    <row r="91" spans="1:2" ht="13.5">
      <c r="A91" s="55" t="s">
        <v>142</v>
      </c>
      <c r="B91" s="55" t="s">
        <v>54</v>
      </c>
    </row>
    <row r="92" spans="1:2" ht="13.5">
      <c r="A92" s="55" t="s">
        <v>143</v>
      </c>
      <c r="B92" s="55" t="s">
        <v>54</v>
      </c>
    </row>
    <row r="93" spans="1:2" ht="13.5">
      <c r="A93" s="55" t="s">
        <v>144</v>
      </c>
      <c r="B93" s="55" t="s">
        <v>54</v>
      </c>
    </row>
    <row r="94" spans="1:2" ht="13.5">
      <c r="A94" s="55" t="s">
        <v>145</v>
      </c>
      <c r="B94" s="55" t="s">
        <v>54</v>
      </c>
    </row>
    <row r="95" spans="1:2" ht="13.5">
      <c r="A95" s="55" t="s">
        <v>146</v>
      </c>
      <c r="B95" s="55" t="s">
        <v>54</v>
      </c>
    </row>
    <row r="96" spans="1:2" ht="13.5">
      <c r="A96" s="55" t="s">
        <v>147</v>
      </c>
      <c r="B96" s="55" t="s">
        <v>54</v>
      </c>
    </row>
    <row r="97" spans="1:2" ht="13.5">
      <c r="A97" s="55" t="s">
        <v>148</v>
      </c>
      <c r="B97" s="55" t="s">
        <v>54</v>
      </c>
    </row>
    <row r="98" spans="1:2" ht="13.5">
      <c r="A98" s="55" t="s">
        <v>149</v>
      </c>
      <c r="B98" s="55" t="s">
        <v>54</v>
      </c>
    </row>
    <row r="99" spans="1:2" ht="13.5">
      <c r="A99" s="55" t="s">
        <v>150</v>
      </c>
      <c r="B99" s="55" t="s">
        <v>54</v>
      </c>
    </row>
    <row r="100" spans="1:2" ht="13.5">
      <c r="A100" s="55" t="s">
        <v>2829</v>
      </c>
      <c r="B100" s="55" t="s">
        <v>54</v>
      </c>
    </row>
    <row r="101" spans="1:2" ht="13.5">
      <c r="A101" s="55" t="s">
        <v>151</v>
      </c>
      <c r="B101" s="55" t="s">
        <v>54</v>
      </c>
    </row>
    <row r="102" spans="1:2" ht="13.5">
      <c r="A102" s="55" t="s">
        <v>152</v>
      </c>
      <c r="B102" s="55" t="s">
        <v>54</v>
      </c>
    </row>
    <row r="103" spans="1:2" ht="13.5">
      <c r="A103" s="55" t="s">
        <v>153</v>
      </c>
      <c r="B103" s="55" t="s">
        <v>54</v>
      </c>
    </row>
    <row r="104" spans="1:2" ht="13.5">
      <c r="A104" s="55" t="s">
        <v>154</v>
      </c>
      <c r="B104" s="55" t="s">
        <v>54</v>
      </c>
    </row>
    <row r="105" spans="1:2" ht="13.5">
      <c r="A105" s="55" t="s">
        <v>155</v>
      </c>
      <c r="B105" s="55" t="s">
        <v>54</v>
      </c>
    </row>
  </sheetData>
  <sortState xmlns:xlrd2="http://schemas.microsoft.com/office/spreadsheetml/2017/richdata2" ref="A3:B88">
    <sortCondition ref="A4:A88"/>
  </sortState>
  <phoneticPr fontId="2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>
      <selection activeCell="A2" sqref="A2"/>
    </sheetView>
  </sheetViews>
  <sheetFormatPr defaultColWidth="9" defaultRowHeight="18" customHeight="1"/>
  <cols>
    <col min="1" max="1" width="26.375" style="17" customWidth="1" collapsed="1"/>
    <col min="2" max="2" width="72.375" style="17" customWidth="1" collapsed="1"/>
    <col min="3" max="16384" width="9" style="15" collapsed="1"/>
  </cols>
  <sheetData>
    <row r="1" spans="1:15" ht="27.95" customHeight="1">
      <c r="A1" s="32" t="s">
        <v>156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8" customHeight="1">
      <c r="A2" s="29" t="s">
        <v>157</v>
      </c>
      <c r="B2" s="29" t="s">
        <v>52</v>
      </c>
    </row>
    <row r="3" spans="1:15" ht="13.5">
      <c r="A3" s="23" t="s">
        <v>158</v>
      </c>
      <c r="B3" s="23" t="s">
        <v>54</v>
      </c>
    </row>
    <row r="4" spans="1:15" ht="13.5">
      <c r="A4" s="23" t="s">
        <v>159</v>
      </c>
      <c r="B4" s="23" t="s">
        <v>54</v>
      </c>
    </row>
    <row r="5" spans="1:15" ht="13.5">
      <c r="A5" s="23" t="s">
        <v>160</v>
      </c>
      <c r="B5" s="23" t="s">
        <v>54</v>
      </c>
    </row>
    <row r="6" spans="1:15" ht="13.5">
      <c r="A6" s="23" t="s">
        <v>161</v>
      </c>
      <c r="B6" s="23" t="s">
        <v>54</v>
      </c>
    </row>
    <row r="7" spans="1:15" ht="13.5">
      <c r="A7" s="23" t="s">
        <v>162</v>
      </c>
      <c r="B7" s="23" t="s">
        <v>54</v>
      </c>
    </row>
    <row r="8" spans="1:15" ht="13.5">
      <c r="A8" s="23" t="s">
        <v>163</v>
      </c>
      <c r="B8" s="23" t="s">
        <v>54</v>
      </c>
    </row>
    <row r="9" spans="1:15" ht="13.5">
      <c r="A9" s="23" t="s">
        <v>164</v>
      </c>
      <c r="B9" s="23" t="s">
        <v>165</v>
      </c>
    </row>
    <row r="10" spans="1:15" ht="13.5">
      <c r="A10" s="23" t="s">
        <v>166</v>
      </c>
      <c r="B10" s="23" t="s">
        <v>54</v>
      </c>
    </row>
    <row r="11" spans="1:15" ht="13.5">
      <c r="A11" s="23" t="s">
        <v>167</v>
      </c>
      <c r="B11" s="23" t="s">
        <v>54</v>
      </c>
    </row>
    <row r="12" spans="1:15" ht="13.5">
      <c r="A12" s="23" t="s">
        <v>168</v>
      </c>
      <c r="B12" s="23" t="s">
        <v>169</v>
      </c>
    </row>
    <row r="13" spans="1:15" ht="13.5">
      <c r="A13" s="23" t="s">
        <v>170</v>
      </c>
      <c r="B13" s="23" t="s">
        <v>171</v>
      </c>
    </row>
    <row r="14" spans="1:15" ht="13.5">
      <c r="A14" s="23" t="s">
        <v>172</v>
      </c>
      <c r="B14" s="23" t="s">
        <v>173</v>
      </c>
    </row>
    <row r="15" spans="1:15" ht="13.5">
      <c r="A15" s="23" t="s">
        <v>174</v>
      </c>
      <c r="B15" s="23" t="s">
        <v>54</v>
      </c>
    </row>
    <row r="16" spans="1:15" ht="13.5">
      <c r="A16" s="23" t="s">
        <v>175</v>
      </c>
      <c r="B16" s="23" t="s">
        <v>54</v>
      </c>
    </row>
    <row r="17" spans="1:2" ht="13.5">
      <c r="A17" s="23" t="s">
        <v>176</v>
      </c>
      <c r="B17" s="23" t="s">
        <v>54</v>
      </c>
    </row>
  </sheetData>
  <sortState xmlns:xlrd2="http://schemas.microsoft.com/office/spreadsheetml/2017/richdata2" ref="A3:O15">
    <sortCondition ref="A3:A15"/>
  </sortState>
  <phoneticPr fontId="2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>
      <selection sqref="A1:N1"/>
    </sheetView>
  </sheetViews>
  <sheetFormatPr defaultColWidth="9" defaultRowHeight="18.95" customHeight="1"/>
  <cols>
    <col min="1" max="1" width="61.875" style="15" customWidth="1" collapsed="1"/>
    <col min="2" max="16384" width="9" style="15" collapsed="1"/>
  </cols>
  <sheetData>
    <row r="1" spans="1:14" ht="27.95" customHeight="1">
      <c r="A1" s="16" t="s">
        <v>177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.95" customHeight="1">
      <c r="A2" s="29" t="s">
        <v>178</v>
      </c>
    </row>
    <row r="3" spans="1:14" ht="18.95" customHeight="1">
      <c r="A3" s="30" t="s">
        <v>179</v>
      </c>
    </row>
    <row r="4" spans="1:14" ht="18.95" customHeight="1">
      <c r="A4" s="30" t="s">
        <v>180</v>
      </c>
    </row>
    <row r="5" spans="1:14" ht="18.95" customHeight="1">
      <c r="A5" s="30" t="s">
        <v>181</v>
      </c>
    </row>
  </sheetData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8"/>
  <sheetViews>
    <sheetView workbookViewId="0"/>
  </sheetViews>
  <sheetFormatPr defaultColWidth="9" defaultRowHeight="13.5"/>
  <cols>
    <col min="1" max="1" width="42.625" style="25" customWidth="1" collapsed="1"/>
    <col min="2" max="16384" width="9" style="25" collapsed="1"/>
  </cols>
  <sheetData>
    <row r="1" spans="1:15" ht="27.95" customHeight="1">
      <c r="A1" s="16" t="s">
        <v>182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>
      <c r="A2" s="17" t="s">
        <v>183</v>
      </c>
    </row>
    <row r="3" spans="1:15">
      <c r="A3" s="18" t="s">
        <v>184</v>
      </c>
    </row>
    <row r="4" spans="1:15">
      <c r="A4" s="18" t="s">
        <v>185</v>
      </c>
    </row>
    <row r="5" spans="1:15">
      <c r="A5" s="18" t="s">
        <v>186</v>
      </c>
    </row>
    <row r="6" spans="1:15">
      <c r="A6" s="18" t="s">
        <v>187</v>
      </c>
    </row>
    <row r="7" spans="1:15">
      <c r="A7" s="18" t="s">
        <v>188</v>
      </c>
    </row>
    <row r="8" spans="1:15">
      <c r="A8" s="18" t="s">
        <v>189</v>
      </c>
    </row>
    <row r="9" spans="1:15">
      <c r="A9" s="18" t="s">
        <v>190</v>
      </c>
    </row>
    <row r="10" spans="1:15">
      <c r="A10" s="18" t="s">
        <v>191</v>
      </c>
    </row>
    <row r="11" spans="1:15">
      <c r="A11" s="18" t="s">
        <v>192</v>
      </c>
    </row>
    <row r="12" spans="1:15">
      <c r="A12" s="18" t="s">
        <v>193</v>
      </c>
    </row>
    <row r="13" spans="1:15">
      <c r="A13" s="18" t="s">
        <v>194</v>
      </c>
    </row>
    <row r="14" spans="1:15">
      <c r="A14" s="18" t="s">
        <v>195</v>
      </c>
    </row>
    <row r="15" spans="1:15">
      <c r="A15" s="18" t="s">
        <v>196</v>
      </c>
    </row>
    <row r="16" spans="1:15">
      <c r="A16" s="18" t="s">
        <v>197</v>
      </c>
    </row>
    <row r="17" spans="1:1">
      <c r="A17" s="18" t="s">
        <v>198</v>
      </c>
    </row>
    <row r="18" spans="1:1">
      <c r="A18" s="18" t="s">
        <v>199</v>
      </c>
    </row>
    <row r="19" spans="1:1">
      <c r="A19" s="18" t="s">
        <v>200</v>
      </c>
    </row>
    <row r="20" spans="1:1">
      <c r="A20" s="18" t="s">
        <v>201</v>
      </c>
    </row>
    <row r="21" spans="1:1">
      <c r="A21" s="18" t="s">
        <v>202</v>
      </c>
    </row>
    <row r="22" spans="1:1">
      <c r="A22" s="18" t="s">
        <v>203</v>
      </c>
    </row>
    <row r="23" spans="1:1">
      <c r="A23" s="18" t="s">
        <v>204</v>
      </c>
    </row>
    <row r="24" spans="1:1">
      <c r="A24" s="18" t="s">
        <v>205</v>
      </c>
    </row>
    <row r="25" spans="1:1">
      <c r="A25" s="18" t="s">
        <v>206</v>
      </c>
    </row>
    <row r="26" spans="1:1">
      <c r="A26" s="18" t="s">
        <v>207</v>
      </c>
    </row>
    <row r="27" spans="1:1">
      <c r="A27" s="18" t="s">
        <v>208</v>
      </c>
    </row>
    <row r="28" spans="1:1">
      <c r="A28" s="18" t="s">
        <v>209</v>
      </c>
    </row>
  </sheetData>
  <sortState xmlns:xlrd2="http://schemas.microsoft.com/office/spreadsheetml/2017/richdata2" ref="A3:O28">
    <sortCondition ref="A28"/>
  </sortState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ColWidth="9" defaultRowHeight="13.5"/>
  <cols>
    <col min="1" max="1" width="45.875" style="24" customWidth="1" collapsed="1"/>
    <col min="2" max="16384" width="9" style="25" collapsed="1"/>
  </cols>
  <sheetData>
    <row r="1" spans="1:15" ht="27.95" customHeight="1">
      <c r="A1" s="16" t="s">
        <v>210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8" customHeight="1">
      <c r="A2" s="29" t="s">
        <v>211</v>
      </c>
    </row>
    <row r="3" spans="1:15">
      <c r="A3" s="31" t="s">
        <v>212</v>
      </c>
    </row>
    <row r="4" spans="1:15">
      <c r="A4" s="31" t="s">
        <v>213</v>
      </c>
    </row>
    <row r="5" spans="1:15">
      <c r="A5" s="31" t="s">
        <v>214</v>
      </c>
    </row>
  </sheetData>
  <phoneticPr fontId="2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/>
  </sheetViews>
  <sheetFormatPr defaultColWidth="9" defaultRowHeight="13.5"/>
  <cols>
    <col min="1" max="1" width="50.625" style="24" customWidth="1" collapsed="1"/>
    <col min="2" max="16384" width="9" style="25" collapsed="1"/>
  </cols>
  <sheetData>
    <row r="1" spans="1:14" ht="27.95" customHeight="1">
      <c r="A1" s="16" t="s">
        <v>215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" customHeight="1">
      <c r="A2" s="29" t="s">
        <v>216</v>
      </c>
    </row>
    <row r="3" spans="1:14" ht="18" customHeight="1">
      <c r="A3" s="30" t="s">
        <v>217</v>
      </c>
    </row>
    <row r="4" spans="1:14" ht="18" customHeight="1">
      <c r="A4" s="30" t="s">
        <v>218</v>
      </c>
    </row>
    <row r="5" spans="1:14" ht="18" customHeight="1">
      <c r="A5" s="30" t="s">
        <v>219</v>
      </c>
    </row>
  </sheetData>
  <phoneticPr fontId="2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topLeftCell="A13" workbookViewId="0">
      <selection activeCell="B21" sqref="B21"/>
    </sheetView>
  </sheetViews>
  <sheetFormatPr defaultColWidth="9" defaultRowHeight="13.5"/>
  <cols>
    <col min="1" max="1" width="36.5" style="28" customWidth="1" collapsed="1"/>
    <col min="2" max="2" width="24" style="28" customWidth="1" collapsed="1"/>
    <col min="3" max="16384" width="9" style="15" collapsed="1"/>
  </cols>
  <sheetData>
    <row r="1" spans="1:14" s="27" customFormat="1" ht="27.95" customHeight="1">
      <c r="A1" s="16" t="s">
        <v>220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s="27" customFormat="1" ht="18" customHeight="1">
      <c r="A2" s="29" t="s">
        <v>221</v>
      </c>
      <c r="B2" s="29" t="s">
        <v>222</v>
      </c>
    </row>
    <row r="3" spans="1:14">
      <c r="A3" s="23" t="s">
        <v>223</v>
      </c>
      <c r="B3" s="23" t="s">
        <v>224</v>
      </c>
    </row>
    <row r="4" spans="1:14">
      <c r="A4" s="23" t="s">
        <v>225</v>
      </c>
      <c r="B4" s="23" t="s">
        <v>226</v>
      </c>
    </row>
    <row r="5" spans="1:14">
      <c r="A5" s="23" t="s">
        <v>227</v>
      </c>
      <c r="B5" s="23" t="s">
        <v>228</v>
      </c>
    </row>
    <row r="6" spans="1:14">
      <c r="A6" s="23" t="s">
        <v>229</v>
      </c>
      <c r="B6" s="23" t="s">
        <v>230</v>
      </c>
    </row>
    <row r="7" spans="1:14">
      <c r="A7" s="23" t="s">
        <v>231</v>
      </c>
      <c r="B7" s="23" t="s">
        <v>232</v>
      </c>
    </row>
    <row r="8" spans="1:14">
      <c r="A8" s="23" t="s">
        <v>233</v>
      </c>
      <c r="B8" s="23" t="s">
        <v>234</v>
      </c>
    </row>
    <row r="9" spans="1:14">
      <c r="A9" s="23" t="s">
        <v>235</v>
      </c>
      <c r="B9" s="23" t="s">
        <v>236</v>
      </c>
    </row>
    <row r="10" spans="1:14">
      <c r="A10" s="23" t="s">
        <v>237</v>
      </c>
      <c r="B10" s="23" t="s">
        <v>238</v>
      </c>
    </row>
    <row r="11" spans="1:14">
      <c r="A11" s="23" t="s">
        <v>239</v>
      </c>
      <c r="B11" s="23" t="s">
        <v>240</v>
      </c>
    </row>
    <row r="12" spans="1:14">
      <c r="A12" s="23" t="s">
        <v>241</v>
      </c>
      <c r="B12" s="23" t="s">
        <v>242</v>
      </c>
    </row>
    <row r="13" spans="1:14">
      <c r="A13" s="23" t="s">
        <v>243</v>
      </c>
      <c r="B13" s="23" t="s">
        <v>244</v>
      </c>
    </row>
    <row r="14" spans="1:14">
      <c r="A14" s="23" t="s">
        <v>245</v>
      </c>
      <c r="B14" s="23" t="s">
        <v>246</v>
      </c>
    </row>
    <row r="15" spans="1:14">
      <c r="A15" s="23" t="s">
        <v>247</v>
      </c>
      <c r="B15" s="23" t="s">
        <v>248</v>
      </c>
    </row>
    <row r="16" spans="1:14">
      <c r="A16" s="23" t="s">
        <v>249</v>
      </c>
      <c r="B16" s="23" t="s">
        <v>250</v>
      </c>
    </row>
    <row r="17" spans="1:2">
      <c r="A17" s="23" t="s">
        <v>251</v>
      </c>
      <c r="B17" s="23" t="s">
        <v>251</v>
      </c>
    </row>
    <row r="18" spans="1:2">
      <c r="A18" s="23" t="s">
        <v>252</v>
      </c>
      <c r="B18" s="23" t="s">
        <v>253</v>
      </c>
    </row>
    <row r="19" spans="1:2">
      <c r="A19" s="23" t="s">
        <v>254</v>
      </c>
      <c r="B19" s="23" t="s">
        <v>255</v>
      </c>
    </row>
    <row r="20" spans="1:2">
      <c r="A20" s="23" t="s">
        <v>256</v>
      </c>
      <c r="B20" s="23" t="s">
        <v>257</v>
      </c>
    </row>
    <row r="21" spans="1:2">
      <c r="A21" s="23" t="s">
        <v>258</v>
      </c>
      <c r="B21" s="23" t="s">
        <v>259</v>
      </c>
    </row>
    <row r="22" spans="1:2">
      <c r="A22" s="23" t="s">
        <v>260</v>
      </c>
      <c r="B22" s="23" t="s">
        <v>261</v>
      </c>
    </row>
    <row r="23" spans="1:2">
      <c r="A23" s="23" t="s">
        <v>262</v>
      </c>
      <c r="B23" s="23" t="s">
        <v>263</v>
      </c>
    </row>
    <row r="24" spans="1:2">
      <c r="A24" s="23" t="s">
        <v>264</v>
      </c>
      <c r="B24" s="23" t="s">
        <v>265</v>
      </c>
    </row>
    <row r="25" spans="1:2">
      <c r="A25" s="23" t="s">
        <v>266</v>
      </c>
      <c r="B25" s="23" t="s">
        <v>267</v>
      </c>
    </row>
    <row r="26" spans="1:2">
      <c r="A26" s="23" t="s">
        <v>268</v>
      </c>
      <c r="B26" s="23" t="s">
        <v>268</v>
      </c>
    </row>
  </sheetData>
  <phoneticPr fontId="2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"/>
  <sheetViews>
    <sheetView workbookViewId="0">
      <selection activeCell="B4" sqref="B4"/>
    </sheetView>
  </sheetViews>
  <sheetFormatPr defaultColWidth="9" defaultRowHeight="13.5"/>
  <cols>
    <col min="1" max="1" width="35.125" style="24" customWidth="1" collapsed="1"/>
    <col min="2" max="2" width="32.125" style="24" customWidth="1" collapsed="1"/>
    <col min="3" max="16384" width="9" style="25" collapsed="1"/>
  </cols>
  <sheetData>
    <row r="1" spans="1:14" ht="35.450000000000003" customHeight="1">
      <c r="A1" s="16" t="s">
        <v>269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" customHeight="1">
      <c r="A2" s="17" t="s">
        <v>270</v>
      </c>
      <c r="B2" s="17" t="s">
        <v>178</v>
      </c>
    </row>
    <row r="3" spans="1:14" ht="18" customHeight="1">
      <c r="A3" s="17" t="s">
        <v>271</v>
      </c>
      <c r="B3" s="17" t="s">
        <v>272</v>
      </c>
    </row>
    <row r="4" spans="1:14" ht="18" customHeight="1">
      <c r="A4" s="17" t="s">
        <v>273</v>
      </c>
      <c r="B4" s="26" t="s">
        <v>274</v>
      </c>
    </row>
  </sheetData>
  <phoneticPr fontId="2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08"/>
  <sheetViews>
    <sheetView workbookViewId="0">
      <selection activeCell="F27" sqref="F27"/>
    </sheetView>
  </sheetViews>
  <sheetFormatPr defaultColWidth="9" defaultRowHeight="18" customHeight="1"/>
  <cols>
    <col min="1" max="1" width="38.625" style="17" customWidth="1" collapsed="1"/>
    <col min="2" max="2" width="28.625" style="17" customWidth="1" collapsed="1"/>
    <col min="3" max="3" width="9" style="15" collapsed="1"/>
    <col min="4" max="4" width="38.625" style="17" customWidth="1" collapsed="1"/>
    <col min="5" max="5" width="26.5" style="17" customWidth="1" collapsed="1"/>
    <col min="6" max="6" width="34.125" style="17" customWidth="1" collapsed="1"/>
    <col min="7" max="7" width="17.5" style="17" customWidth="1" collapsed="1"/>
    <col min="8" max="16384" width="9" style="15" collapsed="1"/>
  </cols>
  <sheetData>
    <row r="1" spans="1:15" ht="27.95" customHeight="1">
      <c r="A1" s="16" t="s">
        <v>275</v>
      </c>
      <c r="B1" s="20" t="s">
        <v>276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s="19" customFormat="1" ht="18" customHeight="1">
      <c r="A2" s="21" t="s">
        <v>277</v>
      </c>
      <c r="B2" s="22" t="s">
        <v>278</v>
      </c>
      <c r="D2" s="22" t="s">
        <v>279</v>
      </c>
      <c r="E2" s="22" t="s">
        <v>280</v>
      </c>
      <c r="F2" s="22" t="s">
        <v>278</v>
      </c>
      <c r="G2" s="22" t="s">
        <v>281</v>
      </c>
    </row>
    <row r="3" spans="1:15" ht="13.5">
      <c r="A3" s="23" t="s">
        <v>282</v>
      </c>
      <c r="B3" s="23" t="s">
        <v>283</v>
      </c>
      <c r="D3" s="23" t="s">
        <v>284</v>
      </c>
      <c r="E3" s="23" t="s">
        <v>285</v>
      </c>
      <c r="F3" s="23" t="s">
        <v>283</v>
      </c>
      <c r="G3" s="23" t="s">
        <v>286</v>
      </c>
    </row>
    <row r="4" spans="1:15" ht="13.5">
      <c r="A4" s="23" t="s">
        <v>287</v>
      </c>
      <c r="B4" s="23" t="s">
        <v>288</v>
      </c>
      <c r="D4" s="23" t="s">
        <v>289</v>
      </c>
      <c r="E4" s="23" t="s">
        <v>285</v>
      </c>
      <c r="F4" s="23" t="s">
        <v>283</v>
      </c>
      <c r="G4" s="23" t="s">
        <v>286</v>
      </c>
    </row>
    <row r="5" spans="1:15" ht="13.5">
      <c r="A5" s="23" t="s">
        <v>290</v>
      </c>
      <c r="B5" s="23" t="s">
        <v>291</v>
      </c>
      <c r="D5" s="23" t="s">
        <v>292</v>
      </c>
      <c r="E5" s="23" t="s">
        <v>293</v>
      </c>
      <c r="F5" s="23" t="s">
        <v>288</v>
      </c>
      <c r="G5" s="23" t="s">
        <v>294</v>
      </c>
    </row>
    <row r="6" spans="1:15" ht="13.5">
      <c r="A6" s="23" t="s">
        <v>295</v>
      </c>
      <c r="B6" s="23" t="s">
        <v>296</v>
      </c>
      <c r="D6" s="23" t="s">
        <v>297</v>
      </c>
      <c r="E6" s="23" t="s">
        <v>293</v>
      </c>
      <c r="F6" s="23" t="s">
        <v>288</v>
      </c>
      <c r="G6" s="23" t="s">
        <v>294</v>
      </c>
    </row>
    <row r="7" spans="1:15" ht="13.5">
      <c r="A7" s="23" t="s">
        <v>298</v>
      </c>
      <c r="B7" s="23" t="s">
        <v>299</v>
      </c>
      <c r="D7" s="23" t="s">
        <v>284</v>
      </c>
      <c r="E7" s="23" t="s">
        <v>300</v>
      </c>
      <c r="F7" s="23" t="s">
        <v>291</v>
      </c>
      <c r="G7" s="23" t="s">
        <v>301</v>
      </c>
    </row>
    <row r="8" spans="1:15" ht="13.5">
      <c r="A8" s="23" t="s">
        <v>302</v>
      </c>
      <c r="B8" s="23" t="s">
        <v>303</v>
      </c>
      <c r="D8" s="23" t="s">
        <v>284</v>
      </c>
      <c r="E8" s="23" t="s">
        <v>304</v>
      </c>
      <c r="F8" s="23" t="s">
        <v>296</v>
      </c>
      <c r="G8" s="23" t="s">
        <v>305</v>
      </c>
    </row>
    <row r="9" spans="1:15" ht="13.5">
      <c r="A9" s="23" t="s">
        <v>306</v>
      </c>
      <c r="B9" s="23" t="s">
        <v>307</v>
      </c>
      <c r="D9" s="23" t="s">
        <v>308</v>
      </c>
      <c r="E9" s="23" t="s">
        <v>309</v>
      </c>
      <c r="F9" s="23" t="s">
        <v>299</v>
      </c>
      <c r="G9" s="23" t="s">
        <v>310</v>
      </c>
    </row>
    <row r="10" spans="1:15" ht="13.5">
      <c r="A10" s="23" t="s">
        <v>311</v>
      </c>
      <c r="B10" s="23" t="s">
        <v>312</v>
      </c>
      <c r="D10" s="23" t="s">
        <v>313</v>
      </c>
      <c r="E10" s="23" t="s">
        <v>314</v>
      </c>
      <c r="F10" s="23" t="s">
        <v>303</v>
      </c>
      <c r="G10" s="23" t="s">
        <v>315</v>
      </c>
    </row>
    <row r="11" spans="1:15" ht="13.5">
      <c r="A11" s="23" t="s">
        <v>316</v>
      </c>
      <c r="B11" s="23" t="s">
        <v>317</v>
      </c>
      <c r="D11" s="23" t="s">
        <v>284</v>
      </c>
      <c r="E11" s="23" t="s">
        <v>318</v>
      </c>
      <c r="F11" s="23" t="s">
        <v>307</v>
      </c>
      <c r="G11" s="23" t="s">
        <v>319</v>
      </c>
    </row>
    <row r="12" spans="1:15" ht="13.5">
      <c r="A12" s="23" t="s">
        <v>320</v>
      </c>
      <c r="B12" s="23" t="s">
        <v>321</v>
      </c>
      <c r="D12" s="23" t="s">
        <v>289</v>
      </c>
      <c r="E12" s="23" t="s">
        <v>318</v>
      </c>
      <c r="F12" s="23" t="s">
        <v>307</v>
      </c>
      <c r="G12" s="23" t="s">
        <v>319</v>
      </c>
    </row>
    <row r="13" spans="1:15" ht="13.5">
      <c r="A13" s="23" t="s">
        <v>322</v>
      </c>
      <c r="B13" s="23" t="s">
        <v>323</v>
      </c>
      <c r="D13" s="23" t="s">
        <v>324</v>
      </c>
      <c r="E13" s="23" t="s">
        <v>325</v>
      </c>
      <c r="F13" s="23" t="s">
        <v>312</v>
      </c>
      <c r="G13" s="23" t="s">
        <v>326</v>
      </c>
    </row>
    <row r="14" spans="1:15" ht="13.5">
      <c r="A14" s="23" t="s">
        <v>327</v>
      </c>
      <c r="B14" s="23" t="s">
        <v>328</v>
      </c>
      <c r="D14" s="23" t="s">
        <v>329</v>
      </c>
      <c r="E14" s="23" t="s">
        <v>330</v>
      </c>
      <c r="F14" s="23" t="s">
        <v>317</v>
      </c>
      <c r="G14" s="23" t="s">
        <v>331</v>
      </c>
    </row>
    <row r="15" spans="1:15" ht="13.5">
      <c r="A15" s="23" t="s">
        <v>332</v>
      </c>
      <c r="B15" s="23" t="s">
        <v>333</v>
      </c>
      <c r="D15" s="23" t="s">
        <v>334</v>
      </c>
      <c r="E15" s="23" t="s">
        <v>335</v>
      </c>
      <c r="F15" s="23" t="s">
        <v>321</v>
      </c>
      <c r="G15" s="23" t="s">
        <v>336</v>
      </c>
    </row>
    <row r="16" spans="1:15" ht="13.5">
      <c r="A16" s="23" t="s">
        <v>337</v>
      </c>
      <c r="B16" s="23" t="s">
        <v>338</v>
      </c>
      <c r="D16" s="23" t="s">
        <v>339</v>
      </c>
      <c r="E16" s="23" t="s">
        <v>335</v>
      </c>
      <c r="F16" s="23" t="s">
        <v>321</v>
      </c>
      <c r="G16" s="23" t="s">
        <v>336</v>
      </c>
    </row>
    <row r="17" spans="1:7" ht="13.5">
      <c r="A17" s="23" t="s">
        <v>340</v>
      </c>
      <c r="B17" s="23" t="s">
        <v>341</v>
      </c>
      <c r="D17" s="23" t="s">
        <v>342</v>
      </c>
      <c r="E17" s="23" t="s">
        <v>343</v>
      </c>
      <c r="F17" s="23" t="s">
        <v>323</v>
      </c>
      <c r="G17" s="23" t="s">
        <v>344</v>
      </c>
    </row>
    <row r="18" spans="1:7" ht="13.5">
      <c r="A18" s="23" t="s">
        <v>345</v>
      </c>
      <c r="B18" s="23" t="s">
        <v>346</v>
      </c>
      <c r="D18" s="23" t="s">
        <v>347</v>
      </c>
      <c r="E18" s="23" t="s">
        <v>343</v>
      </c>
      <c r="F18" s="23" t="s">
        <v>323</v>
      </c>
      <c r="G18" s="23" t="s">
        <v>344</v>
      </c>
    </row>
    <row r="19" spans="1:7" ht="13.5">
      <c r="A19" s="23" t="s">
        <v>348</v>
      </c>
      <c r="B19" s="23" t="s">
        <v>349</v>
      </c>
      <c r="D19" s="23" t="s">
        <v>350</v>
      </c>
      <c r="E19" s="23" t="s">
        <v>351</v>
      </c>
      <c r="F19" s="23" t="s">
        <v>328</v>
      </c>
      <c r="G19" s="23" t="s">
        <v>352</v>
      </c>
    </row>
    <row r="20" spans="1:7" ht="13.5">
      <c r="A20" s="23" t="s">
        <v>353</v>
      </c>
      <c r="B20" s="23" t="s">
        <v>354</v>
      </c>
      <c r="D20" s="23" t="s">
        <v>355</v>
      </c>
      <c r="E20" s="23" t="s">
        <v>351</v>
      </c>
      <c r="F20" s="23" t="s">
        <v>328</v>
      </c>
      <c r="G20" s="23" t="s">
        <v>352</v>
      </c>
    </row>
    <row r="21" spans="1:7" ht="13.5">
      <c r="A21" s="23" t="s">
        <v>356</v>
      </c>
      <c r="B21" s="23" t="s">
        <v>357</v>
      </c>
      <c r="D21" s="23" t="s">
        <v>358</v>
      </c>
      <c r="E21" s="23" t="s">
        <v>359</v>
      </c>
      <c r="F21" s="23" t="s">
        <v>333</v>
      </c>
      <c r="G21" s="23" t="s">
        <v>360</v>
      </c>
    </row>
    <row r="22" spans="1:7" ht="13.5">
      <c r="A22" s="23" t="s">
        <v>361</v>
      </c>
      <c r="B22" s="23" t="s">
        <v>362</v>
      </c>
      <c r="D22" s="23" t="s">
        <v>363</v>
      </c>
      <c r="E22" s="23" t="s">
        <v>364</v>
      </c>
      <c r="F22" s="23" t="s">
        <v>338</v>
      </c>
      <c r="G22" s="23" t="s">
        <v>365</v>
      </c>
    </row>
    <row r="23" spans="1:7" ht="13.5">
      <c r="A23" s="23" t="s">
        <v>366</v>
      </c>
      <c r="B23" s="23" t="s">
        <v>367</v>
      </c>
      <c r="D23" s="23" t="s">
        <v>368</v>
      </c>
      <c r="E23" s="23" t="s">
        <v>364</v>
      </c>
      <c r="F23" s="23" t="s">
        <v>338</v>
      </c>
      <c r="G23" s="23" t="s">
        <v>365</v>
      </c>
    </row>
    <row r="24" spans="1:7" ht="13.5">
      <c r="A24" s="23" t="s">
        <v>369</v>
      </c>
      <c r="B24" s="23" t="s">
        <v>370</v>
      </c>
      <c r="D24" s="23" t="s">
        <v>358</v>
      </c>
      <c r="E24" s="23" t="s">
        <v>371</v>
      </c>
      <c r="F24" s="23" t="s">
        <v>341</v>
      </c>
      <c r="G24" s="23" t="s">
        <v>372</v>
      </c>
    </row>
    <row r="25" spans="1:7" ht="13.5">
      <c r="A25" s="23" t="s">
        <v>373</v>
      </c>
      <c r="B25" s="23" t="s">
        <v>374</v>
      </c>
      <c r="D25" s="23" t="s">
        <v>358</v>
      </c>
      <c r="E25" s="23" t="s">
        <v>375</v>
      </c>
      <c r="F25" s="23" t="s">
        <v>346</v>
      </c>
      <c r="G25" s="23" t="s">
        <v>376</v>
      </c>
    </row>
    <row r="26" spans="1:7" ht="13.5">
      <c r="A26" s="23" t="s">
        <v>377</v>
      </c>
      <c r="B26" s="23" t="s">
        <v>378</v>
      </c>
      <c r="D26" s="23" t="s">
        <v>379</v>
      </c>
      <c r="E26" s="23" t="s">
        <v>380</v>
      </c>
      <c r="F26" s="23" t="s">
        <v>349</v>
      </c>
      <c r="G26" s="23" t="s">
        <v>381</v>
      </c>
    </row>
    <row r="27" spans="1:7" ht="13.5">
      <c r="A27" s="23" t="s">
        <v>382</v>
      </c>
      <c r="B27" s="23" t="s">
        <v>383</v>
      </c>
      <c r="D27" s="23" t="s">
        <v>384</v>
      </c>
      <c r="E27" s="23" t="s">
        <v>380</v>
      </c>
      <c r="F27" s="23" t="s">
        <v>349</v>
      </c>
      <c r="G27" s="23" t="s">
        <v>381</v>
      </c>
    </row>
    <row r="28" spans="1:7" ht="13.5">
      <c r="A28" s="23" t="s">
        <v>385</v>
      </c>
      <c r="B28" s="23" t="s">
        <v>386</v>
      </c>
      <c r="D28" s="23" t="s">
        <v>284</v>
      </c>
      <c r="E28" s="23" t="s">
        <v>387</v>
      </c>
      <c r="F28" s="23" t="s">
        <v>354</v>
      </c>
      <c r="G28" s="23" t="s">
        <v>388</v>
      </c>
    </row>
    <row r="29" spans="1:7" ht="13.5">
      <c r="A29" s="23" t="s">
        <v>389</v>
      </c>
      <c r="B29" s="23" t="s">
        <v>390</v>
      </c>
      <c r="D29" s="23" t="s">
        <v>391</v>
      </c>
      <c r="E29" s="23" t="s">
        <v>392</v>
      </c>
      <c r="F29" s="23" t="s">
        <v>357</v>
      </c>
      <c r="G29" s="23" t="s">
        <v>393</v>
      </c>
    </row>
    <row r="30" spans="1:7" ht="13.5">
      <c r="A30" s="23" t="s">
        <v>394</v>
      </c>
      <c r="B30" s="23" t="s">
        <v>395</v>
      </c>
      <c r="D30" s="23" t="s">
        <v>396</v>
      </c>
      <c r="E30" s="23" t="s">
        <v>392</v>
      </c>
      <c r="F30" s="23" t="s">
        <v>357</v>
      </c>
      <c r="G30" s="23" t="s">
        <v>393</v>
      </c>
    </row>
    <row r="31" spans="1:7" ht="13.5">
      <c r="A31" s="23" t="s">
        <v>397</v>
      </c>
      <c r="B31" s="23" t="s">
        <v>398</v>
      </c>
      <c r="D31" s="23" t="s">
        <v>292</v>
      </c>
      <c r="E31" s="23" t="s">
        <v>399</v>
      </c>
      <c r="F31" s="23" t="s">
        <v>362</v>
      </c>
      <c r="G31" s="23" t="s">
        <v>400</v>
      </c>
    </row>
    <row r="32" spans="1:7" ht="13.5">
      <c r="A32" s="23" t="s">
        <v>401</v>
      </c>
      <c r="B32" s="23" t="s">
        <v>402</v>
      </c>
      <c r="D32" s="23" t="s">
        <v>403</v>
      </c>
      <c r="E32" s="23" t="s">
        <v>399</v>
      </c>
      <c r="F32" s="23" t="s">
        <v>362</v>
      </c>
      <c r="G32" s="23" t="s">
        <v>400</v>
      </c>
    </row>
    <row r="33" spans="1:7" ht="13.5">
      <c r="A33" s="23" t="s">
        <v>404</v>
      </c>
      <c r="B33" s="23" t="s">
        <v>405</v>
      </c>
      <c r="D33" s="23" t="s">
        <v>284</v>
      </c>
      <c r="E33" s="23" t="s">
        <v>406</v>
      </c>
      <c r="F33" s="23" t="s">
        <v>367</v>
      </c>
      <c r="G33" s="23" t="s">
        <v>407</v>
      </c>
    </row>
    <row r="34" spans="1:7" ht="13.5">
      <c r="A34" s="23" t="s">
        <v>408</v>
      </c>
      <c r="B34" s="23" t="s">
        <v>409</v>
      </c>
      <c r="D34" s="23" t="s">
        <v>410</v>
      </c>
      <c r="E34" s="23" t="s">
        <v>411</v>
      </c>
      <c r="F34" s="23" t="s">
        <v>370</v>
      </c>
      <c r="G34" s="23" t="s">
        <v>412</v>
      </c>
    </row>
    <row r="35" spans="1:7" ht="13.5">
      <c r="A35" s="23" t="s">
        <v>413</v>
      </c>
      <c r="B35" s="23" t="s">
        <v>414</v>
      </c>
      <c r="D35" s="23" t="s">
        <v>334</v>
      </c>
      <c r="E35" s="23" t="s">
        <v>415</v>
      </c>
      <c r="F35" s="23" t="s">
        <v>374</v>
      </c>
      <c r="G35" s="23" t="s">
        <v>416</v>
      </c>
    </row>
    <row r="36" spans="1:7" ht="13.5">
      <c r="A36" s="23" t="s">
        <v>417</v>
      </c>
      <c r="B36" s="23" t="s">
        <v>418</v>
      </c>
      <c r="D36" s="23" t="s">
        <v>284</v>
      </c>
      <c r="E36" s="23" t="s">
        <v>419</v>
      </c>
      <c r="F36" s="23" t="s">
        <v>378</v>
      </c>
      <c r="G36" s="23" t="s">
        <v>420</v>
      </c>
    </row>
    <row r="37" spans="1:7" ht="13.5">
      <c r="A37" s="23" t="s">
        <v>421</v>
      </c>
      <c r="B37" s="23" t="s">
        <v>422</v>
      </c>
      <c r="D37" s="23" t="s">
        <v>423</v>
      </c>
      <c r="E37" s="23" t="s">
        <v>424</v>
      </c>
      <c r="F37" s="23" t="s">
        <v>383</v>
      </c>
      <c r="G37" s="23" t="s">
        <v>425</v>
      </c>
    </row>
    <row r="38" spans="1:7" ht="13.5">
      <c r="A38" s="23" t="s">
        <v>426</v>
      </c>
      <c r="B38" s="23" t="s">
        <v>427</v>
      </c>
      <c r="D38" s="23" t="s">
        <v>428</v>
      </c>
      <c r="E38" s="23" t="s">
        <v>424</v>
      </c>
      <c r="F38" s="23" t="s">
        <v>383</v>
      </c>
      <c r="G38" s="23" t="s">
        <v>425</v>
      </c>
    </row>
    <row r="39" spans="1:7" ht="13.5">
      <c r="A39" s="23" t="s">
        <v>429</v>
      </c>
      <c r="B39" s="23" t="s">
        <v>430</v>
      </c>
      <c r="D39" s="23" t="s">
        <v>431</v>
      </c>
      <c r="E39" s="23" t="s">
        <v>432</v>
      </c>
      <c r="F39" s="23" t="s">
        <v>386</v>
      </c>
      <c r="G39" s="23" t="s">
        <v>433</v>
      </c>
    </row>
    <row r="40" spans="1:7" ht="13.5">
      <c r="A40" s="23" t="s">
        <v>434</v>
      </c>
      <c r="B40" s="23" t="s">
        <v>435</v>
      </c>
      <c r="D40" s="23" t="s">
        <v>436</v>
      </c>
      <c r="E40" s="23" t="s">
        <v>432</v>
      </c>
      <c r="F40" s="23" t="s">
        <v>386</v>
      </c>
      <c r="G40" s="23" t="s">
        <v>433</v>
      </c>
    </row>
    <row r="41" spans="1:7" ht="13.5">
      <c r="A41" s="23" t="s">
        <v>437</v>
      </c>
      <c r="B41" s="23" t="s">
        <v>438</v>
      </c>
      <c r="D41" s="23" t="s">
        <v>334</v>
      </c>
      <c r="E41" s="23" t="s">
        <v>439</v>
      </c>
      <c r="F41" s="23" t="s">
        <v>390</v>
      </c>
      <c r="G41" s="23" t="s">
        <v>440</v>
      </c>
    </row>
    <row r="42" spans="1:7" ht="13.5">
      <c r="A42" s="23" t="s">
        <v>441</v>
      </c>
      <c r="B42" s="23" t="s">
        <v>442</v>
      </c>
      <c r="D42" s="23" t="s">
        <v>443</v>
      </c>
      <c r="E42" s="23" t="s">
        <v>444</v>
      </c>
      <c r="F42" s="23" t="s">
        <v>395</v>
      </c>
      <c r="G42" s="23" t="s">
        <v>445</v>
      </c>
    </row>
    <row r="43" spans="1:7" ht="13.5">
      <c r="A43" s="23" t="s">
        <v>446</v>
      </c>
      <c r="B43" s="23" t="s">
        <v>447</v>
      </c>
      <c r="D43" s="23" t="s">
        <v>448</v>
      </c>
      <c r="E43" s="23" t="s">
        <v>449</v>
      </c>
      <c r="F43" s="23" t="s">
        <v>398</v>
      </c>
      <c r="G43" s="23" t="s">
        <v>450</v>
      </c>
    </row>
    <row r="44" spans="1:7" ht="13.5">
      <c r="A44" s="23" t="s">
        <v>451</v>
      </c>
      <c r="B44" s="23" t="s">
        <v>452</v>
      </c>
      <c r="D44" s="23" t="s">
        <v>453</v>
      </c>
      <c r="E44" s="23" t="s">
        <v>454</v>
      </c>
      <c r="F44" s="23" t="s">
        <v>402</v>
      </c>
      <c r="G44" s="23" t="s">
        <v>455</v>
      </c>
    </row>
    <row r="45" spans="1:7" ht="13.5">
      <c r="A45" s="23" t="s">
        <v>456</v>
      </c>
      <c r="B45" s="23" t="s">
        <v>457</v>
      </c>
      <c r="D45" s="23" t="s">
        <v>458</v>
      </c>
      <c r="E45" s="23" t="s">
        <v>454</v>
      </c>
      <c r="F45" s="23" t="s">
        <v>402</v>
      </c>
      <c r="G45" s="23" t="s">
        <v>455</v>
      </c>
    </row>
    <row r="46" spans="1:7" ht="13.5">
      <c r="A46" s="23" t="s">
        <v>459</v>
      </c>
      <c r="B46" s="23" t="s">
        <v>460</v>
      </c>
      <c r="D46" s="23" t="s">
        <v>308</v>
      </c>
      <c r="E46" s="23" t="s">
        <v>461</v>
      </c>
      <c r="F46" s="23" t="s">
        <v>405</v>
      </c>
      <c r="G46" s="23" t="s">
        <v>462</v>
      </c>
    </row>
    <row r="47" spans="1:7" ht="13.5">
      <c r="A47" s="23" t="s">
        <v>463</v>
      </c>
      <c r="B47" s="23" t="s">
        <v>464</v>
      </c>
      <c r="D47" s="23" t="s">
        <v>289</v>
      </c>
      <c r="E47" s="23" t="s">
        <v>461</v>
      </c>
      <c r="F47" s="23" t="s">
        <v>405</v>
      </c>
      <c r="G47" s="23" t="s">
        <v>462</v>
      </c>
    </row>
    <row r="48" spans="1:7" ht="13.5">
      <c r="A48" s="23" t="s">
        <v>465</v>
      </c>
      <c r="B48" s="23" t="s">
        <v>466</v>
      </c>
      <c r="D48" s="23" t="s">
        <v>467</v>
      </c>
      <c r="E48" s="23" t="s">
        <v>468</v>
      </c>
      <c r="F48" s="23" t="s">
        <v>409</v>
      </c>
      <c r="G48" s="23" t="s">
        <v>469</v>
      </c>
    </row>
    <row r="49" spans="1:7" ht="13.5">
      <c r="A49" s="23" t="s">
        <v>470</v>
      </c>
      <c r="B49" s="23" t="s">
        <v>471</v>
      </c>
      <c r="D49" s="23" t="s">
        <v>472</v>
      </c>
      <c r="E49" s="23" t="s">
        <v>468</v>
      </c>
      <c r="F49" s="23" t="s">
        <v>409</v>
      </c>
      <c r="G49" s="23" t="s">
        <v>469</v>
      </c>
    </row>
    <row r="50" spans="1:7" ht="13.5">
      <c r="A50" s="23" t="s">
        <v>473</v>
      </c>
      <c r="B50" s="23" t="s">
        <v>474</v>
      </c>
      <c r="D50" s="23" t="s">
        <v>284</v>
      </c>
      <c r="E50" s="23" t="s">
        <v>475</v>
      </c>
      <c r="F50" s="23" t="s">
        <v>414</v>
      </c>
      <c r="G50" s="23" t="s">
        <v>476</v>
      </c>
    </row>
    <row r="51" spans="1:7" ht="13.5">
      <c r="A51" s="23" t="s">
        <v>477</v>
      </c>
      <c r="B51" s="23" t="s">
        <v>478</v>
      </c>
      <c r="D51" s="23" t="s">
        <v>284</v>
      </c>
      <c r="E51" s="23" t="s">
        <v>479</v>
      </c>
      <c r="F51" s="23" t="s">
        <v>418</v>
      </c>
      <c r="G51" s="23" t="s">
        <v>480</v>
      </c>
    </row>
    <row r="52" spans="1:7" ht="13.5">
      <c r="A52" s="23" t="s">
        <v>481</v>
      </c>
      <c r="B52" s="23" t="s">
        <v>482</v>
      </c>
      <c r="D52" s="23" t="s">
        <v>284</v>
      </c>
      <c r="E52" s="23" t="s">
        <v>483</v>
      </c>
      <c r="F52" s="23" t="s">
        <v>422</v>
      </c>
      <c r="G52" s="23" t="s">
        <v>484</v>
      </c>
    </row>
    <row r="53" spans="1:7" ht="13.5">
      <c r="A53" s="23" t="s">
        <v>485</v>
      </c>
      <c r="B53" s="23" t="s">
        <v>486</v>
      </c>
      <c r="D53" s="23" t="s">
        <v>487</v>
      </c>
      <c r="E53" s="23" t="s">
        <v>488</v>
      </c>
      <c r="F53" s="23" t="s">
        <v>427</v>
      </c>
      <c r="G53" s="23" t="s">
        <v>489</v>
      </c>
    </row>
    <row r="54" spans="1:7" ht="13.5">
      <c r="A54" s="23" t="s">
        <v>490</v>
      </c>
      <c r="B54" s="23" t="s">
        <v>491</v>
      </c>
      <c r="D54" s="23" t="s">
        <v>492</v>
      </c>
      <c r="E54" s="23" t="s">
        <v>488</v>
      </c>
      <c r="F54" s="23" t="s">
        <v>427</v>
      </c>
      <c r="G54" s="23" t="s">
        <v>489</v>
      </c>
    </row>
    <row r="55" spans="1:7" ht="13.5">
      <c r="A55" s="23" t="s">
        <v>493</v>
      </c>
      <c r="B55" s="23" t="s">
        <v>494</v>
      </c>
      <c r="D55" s="23" t="s">
        <v>284</v>
      </c>
      <c r="E55" s="23" t="s">
        <v>495</v>
      </c>
      <c r="F55" s="23" t="s">
        <v>430</v>
      </c>
      <c r="G55" s="23" t="s">
        <v>496</v>
      </c>
    </row>
    <row r="56" spans="1:7" ht="13.5">
      <c r="A56" s="23" t="s">
        <v>497</v>
      </c>
      <c r="B56" s="23" t="s">
        <v>498</v>
      </c>
      <c r="D56" s="23" t="s">
        <v>499</v>
      </c>
      <c r="E56" s="23" t="s">
        <v>500</v>
      </c>
      <c r="F56" s="23" t="s">
        <v>435</v>
      </c>
      <c r="G56" s="23" t="s">
        <v>501</v>
      </c>
    </row>
    <row r="57" spans="1:7" ht="13.5">
      <c r="A57" s="23" t="s">
        <v>502</v>
      </c>
      <c r="B57" s="23" t="s">
        <v>503</v>
      </c>
      <c r="D57" s="23" t="s">
        <v>504</v>
      </c>
      <c r="E57" s="23" t="s">
        <v>505</v>
      </c>
      <c r="F57" s="23" t="s">
        <v>438</v>
      </c>
      <c r="G57" s="23" t="s">
        <v>506</v>
      </c>
    </row>
    <row r="58" spans="1:7" ht="13.5">
      <c r="A58" s="23" t="s">
        <v>507</v>
      </c>
      <c r="B58" s="23" t="s">
        <v>508</v>
      </c>
      <c r="D58" s="23" t="s">
        <v>509</v>
      </c>
      <c r="E58" s="23" t="s">
        <v>510</v>
      </c>
      <c r="F58" s="23" t="s">
        <v>442</v>
      </c>
      <c r="G58" s="23" t="s">
        <v>511</v>
      </c>
    </row>
    <row r="59" spans="1:7" ht="13.5">
      <c r="A59" s="23" t="s">
        <v>512</v>
      </c>
      <c r="B59" s="23" t="s">
        <v>513</v>
      </c>
      <c r="D59" s="23" t="s">
        <v>514</v>
      </c>
      <c r="E59" s="23" t="s">
        <v>510</v>
      </c>
      <c r="F59" s="23" t="s">
        <v>442</v>
      </c>
      <c r="G59" s="23" t="s">
        <v>511</v>
      </c>
    </row>
    <row r="60" spans="1:7" ht="13.5">
      <c r="A60" s="23" t="s">
        <v>515</v>
      </c>
      <c r="B60" s="23" t="s">
        <v>516</v>
      </c>
      <c r="D60" s="23" t="s">
        <v>517</v>
      </c>
      <c r="E60" s="23" t="s">
        <v>518</v>
      </c>
      <c r="F60" s="23" t="s">
        <v>447</v>
      </c>
      <c r="G60" s="23" t="s">
        <v>519</v>
      </c>
    </row>
    <row r="61" spans="1:7" ht="13.5">
      <c r="A61" s="23" t="s">
        <v>520</v>
      </c>
      <c r="B61" s="23" t="s">
        <v>521</v>
      </c>
      <c r="D61" s="23" t="s">
        <v>334</v>
      </c>
      <c r="E61" s="23" t="s">
        <v>522</v>
      </c>
      <c r="F61" s="23" t="s">
        <v>452</v>
      </c>
      <c r="G61" s="23" t="s">
        <v>523</v>
      </c>
    </row>
    <row r="62" spans="1:7" ht="13.5">
      <c r="A62" s="23" t="s">
        <v>524</v>
      </c>
      <c r="B62" s="23" t="s">
        <v>525</v>
      </c>
      <c r="D62" s="23" t="s">
        <v>284</v>
      </c>
      <c r="E62" s="23" t="s">
        <v>526</v>
      </c>
      <c r="F62" s="23" t="s">
        <v>457</v>
      </c>
      <c r="G62" s="23" t="s">
        <v>527</v>
      </c>
    </row>
    <row r="63" spans="1:7" ht="13.5">
      <c r="A63" s="23" t="s">
        <v>528</v>
      </c>
      <c r="B63" s="23" t="s">
        <v>529</v>
      </c>
      <c r="D63" s="23" t="s">
        <v>284</v>
      </c>
      <c r="E63" s="23" t="s">
        <v>530</v>
      </c>
      <c r="F63" s="23" t="s">
        <v>460</v>
      </c>
      <c r="G63" s="23" t="s">
        <v>531</v>
      </c>
    </row>
    <row r="64" spans="1:7" ht="13.5">
      <c r="A64" s="23" t="s">
        <v>532</v>
      </c>
      <c r="B64" s="23" t="s">
        <v>533</v>
      </c>
      <c r="D64" s="23" t="s">
        <v>350</v>
      </c>
      <c r="E64" s="23" t="s">
        <v>534</v>
      </c>
      <c r="F64" s="23" t="s">
        <v>464</v>
      </c>
      <c r="G64" s="23" t="s">
        <v>535</v>
      </c>
    </row>
    <row r="65" spans="1:7" ht="13.5">
      <c r="A65" s="23" t="s">
        <v>536</v>
      </c>
      <c r="B65" s="23" t="s">
        <v>537</v>
      </c>
      <c r="D65" s="23" t="s">
        <v>538</v>
      </c>
      <c r="E65" s="23" t="s">
        <v>534</v>
      </c>
      <c r="F65" s="23" t="s">
        <v>464</v>
      </c>
      <c r="G65" s="23" t="s">
        <v>535</v>
      </c>
    </row>
    <row r="66" spans="1:7" ht="13.5">
      <c r="A66" s="23" t="s">
        <v>539</v>
      </c>
      <c r="B66" s="23" t="s">
        <v>540</v>
      </c>
      <c r="D66" s="23" t="s">
        <v>541</v>
      </c>
      <c r="E66" s="23" t="s">
        <v>542</v>
      </c>
      <c r="F66" s="23" t="s">
        <v>466</v>
      </c>
      <c r="G66" s="23" t="s">
        <v>543</v>
      </c>
    </row>
    <row r="67" spans="1:7" ht="13.5">
      <c r="A67" s="23" t="s">
        <v>544</v>
      </c>
      <c r="B67" s="23" t="s">
        <v>545</v>
      </c>
      <c r="D67" s="23" t="s">
        <v>546</v>
      </c>
      <c r="E67" s="23" t="s">
        <v>542</v>
      </c>
      <c r="F67" s="23" t="s">
        <v>466</v>
      </c>
      <c r="G67" s="23" t="s">
        <v>543</v>
      </c>
    </row>
    <row r="68" spans="1:7" ht="13.5">
      <c r="A68" s="23" t="s">
        <v>547</v>
      </c>
      <c r="B68" s="23" t="s">
        <v>548</v>
      </c>
      <c r="D68" s="23" t="s">
        <v>334</v>
      </c>
      <c r="E68" s="23" t="s">
        <v>549</v>
      </c>
      <c r="F68" s="23" t="s">
        <v>471</v>
      </c>
      <c r="G68" s="23" t="s">
        <v>550</v>
      </c>
    </row>
    <row r="69" spans="1:7" ht="13.5">
      <c r="A69" s="23" t="s">
        <v>551</v>
      </c>
      <c r="B69" s="23" t="s">
        <v>552</v>
      </c>
      <c r="D69" s="23" t="s">
        <v>553</v>
      </c>
      <c r="E69" s="23" t="s">
        <v>549</v>
      </c>
      <c r="F69" s="23" t="s">
        <v>471</v>
      </c>
      <c r="G69" s="23" t="s">
        <v>550</v>
      </c>
    </row>
    <row r="70" spans="1:7" ht="13.5">
      <c r="A70" s="23" t="s">
        <v>554</v>
      </c>
      <c r="B70" s="23" t="s">
        <v>555</v>
      </c>
      <c r="D70" s="23" t="s">
        <v>556</v>
      </c>
      <c r="E70" s="23" t="s">
        <v>557</v>
      </c>
      <c r="F70" s="23" t="s">
        <v>474</v>
      </c>
      <c r="G70" s="23" t="s">
        <v>558</v>
      </c>
    </row>
    <row r="71" spans="1:7" ht="13.5">
      <c r="A71" s="23" t="s">
        <v>559</v>
      </c>
      <c r="B71" s="23" t="s">
        <v>560</v>
      </c>
      <c r="D71" s="23" t="s">
        <v>339</v>
      </c>
      <c r="E71" s="23" t="s">
        <v>557</v>
      </c>
      <c r="F71" s="23" t="s">
        <v>474</v>
      </c>
      <c r="G71" s="23" t="s">
        <v>558</v>
      </c>
    </row>
    <row r="72" spans="1:7" ht="13.5">
      <c r="A72" s="23" t="s">
        <v>561</v>
      </c>
      <c r="B72" s="23" t="s">
        <v>562</v>
      </c>
      <c r="D72" s="23" t="s">
        <v>334</v>
      </c>
      <c r="E72" s="23" t="s">
        <v>563</v>
      </c>
      <c r="F72" s="23" t="s">
        <v>478</v>
      </c>
      <c r="G72" s="23" t="s">
        <v>564</v>
      </c>
    </row>
    <row r="73" spans="1:7" ht="13.5">
      <c r="A73" s="23" t="s">
        <v>565</v>
      </c>
      <c r="B73" s="23" t="s">
        <v>566</v>
      </c>
      <c r="D73" s="23" t="s">
        <v>567</v>
      </c>
      <c r="E73" s="23" t="s">
        <v>568</v>
      </c>
      <c r="F73" s="23" t="s">
        <v>482</v>
      </c>
      <c r="G73" s="23" t="s">
        <v>569</v>
      </c>
    </row>
    <row r="74" spans="1:7" ht="13.5">
      <c r="A74" s="23" t="s">
        <v>570</v>
      </c>
      <c r="B74" s="23" t="s">
        <v>571</v>
      </c>
      <c r="D74" s="23" t="s">
        <v>572</v>
      </c>
      <c r="E74" s="23" t="s">
        <v>568</v>
      </c>
      <c r="F74" s="23" t="s">
        <v>482</v>
      </c>
      <c r="G74" s="23" t="s">
        <v>569</v>
      </c>
    </row>
    <row r="75" spans="1:7" ht="13.5">
      <c r="A75" s="23" t="s">
        <v>573</v>
      </c>
      <c r="B75" s="23" t="s">
        <v>574</v>
      </c>
      <c r="D75" s="23" t="s">
        <v>546</v>
      </c>
      <c r="E75" s="23" t="s">
        <v>568</v>
      </c>
      <c r="F75" s="23" t="s">
        <v>482</v>
      </c>
      <c r="G75" s="23" t="s">
        <v>569</v>
      </c>
    </row>
    <row r="76" spans="1:7" ht="13.5">
      <c r="A76" s="23" t="s">
        <v>575</v>
      </c>
      <c r="B76" s="23" t="s">
        <v>576</v>
      </c>
      <c r="D76" s="23" t="s">
        <v>577</v>
      </c>
      <c r="E76" s="23" t="s">
        <v>578</v>
      </c>
      <c r="F76" s="23" t="s">
        <v>486</v>
      </c>
      <c r="G76" s="23" t="s">
        <v>569</v>
      </c>
    </row>
    <row r="77" spans="1:7" ht="13.5">
      <c r="A77" s="23" t="s">
        <v>579</v>
      </c>
      <c r="B77" s="23" t="s">
        <v>580</v>
      </c>
      <c r="D77" s="23" t="s">
        <v>546</v>
      </c>
      <c r="E77" s="23" t="s">
        <v>578</v>
      </c>
      <c r="F77" s="23" t="s">
        <v>486</v>
      </c>
      <c r="G77" s="23" t="s">
        <v>569</v>
      </c>
    </row>
    <row r="78" spans="1:7" ht="13.5">
      <c r="A78" s="23" t="s">
        <v>581</v>
      </c>
      <c r="B78" s="23" t="s">
        <v>582</v>
      </c>
      <c r="D78" s="23" t="s">
        <v>583</v>
      </c>
      <c r="E78" s="23" t="s">
        <v>578</v>
      </c>
      <c r="F78" s="23" t="s">
        <v>486</v>
      </c>
      <c r="G78" s="23" t="s">
        <v>569</v>
      </c>
    </row>
    <row r="79" spans="1:7" ht="13.5">
      <c r="A79" s="23" t="s">
        <v>584</v>
      </c>
      <c r="B79" s="23" t="s">
        <v>585</v>
      </c>
      <c r="D79" s="23" t="s">
        <v>586</v>
      </c>
      <c r="E79" s="23" t="s">
        <v>587</v>
      </c>
      <c r="F79" s="23" t="s">
        <v>491</v>
      </c>
      <c r="G79" s="23" t="s">
        <v>588</v>
      </c>
    </row>
    <row r="80" spans="1:7" ht="13.5">
      <c r="A80" s="23" t="s">
        <v>589</v>
      </c>
      <c r="B80" s="23" t="s">
        <v>590</v>
      </c>
      <c r="D80" s="23" t="s">
        <v>591</v>
      </c>
      <c r="E80" s="23" t="s">
        <v>587</v>
      </c>
      <c r="F80" s="23" t="s">
        <v>491</v>
      </c>
      <c r="G80" s="23" t="s">
        <v>588</v>
      </c>
    </row>
    <row r="81" spans="1:7" ht="13.5">
      <c r="A81" s="23" t="s">
        <v>592</v>
      </c>
      <c r="B81" s="23" t="s">
        <v>593</v>
      </c>
      <c r="D81" s="23" t="s">
        <v>334</v>
      </c>
      <c r="E81" s="23" t="s">
        <v>594</v>
      </c>
      <c r="F81" s="23" t="s">
        <v>494</v>
      </c>
      <c r="G81" s="23" t="s">
        <v>595</v>
      </c>
    </row>
    <row r="82" spans="1:7" ht="13.5">
      <c r="A82" s="23" t="s">
        <v>596</v>
      </c>
      <c r="B82" s="23" t="s">
        <v>597</v>
      </c>
      <c r="D82" s="23" t="s">
        <v>598</v>
      </c>
      <c r="E82" s="23" t="s">
        <v>599</v>
      </c>
      <c r="F82" s="23" t="s">
        <v>498</v>
      </c>
      <c r="G82" s="23" t="s">
        <v>600</v>
      </c>
    </row>
    <row r="83" spans="1:7" ht="13.5">
      <c r="A83" s="23" t="s">
        <v>601</v>
      </c>
      <c r="B83" s="23" t="s">
        <v>602</v>
      </c>
      <c r="D83" s="23" t="s">
        <v>603</v>
      </c>
      <c r="E83" s="23" t="s">
        <v>604</v>
      </c>
      <c r="F83" s="23" t="s">
        <v>503</v>
      </c>
      <c r="G83" s="23" t="s">
        <v>605</v>
      </c>
    </row>
    <row r="84" spans="1:7" ht="13.5">
      <c r="A84" s="23" t="s">
        <v>606</v>
      </c>
      <c r="B84" s="23" t="s">
        <v>607</v>
      </c>
      <c r="D84" s="23" t="s">
        <v>334</v>
      </c>
      <c r="E84" s="23" t="s">
        <v>608</v>
      </c>
      <c r="F84" s="23" t="s">
        <v>508</v>
      </c>
      <c r="G84" s="23" t="s">
        <v>609</v>
      </c>
    </row>
    <row r="85" spans="1:7" ht="13.5">
      <c r="A85" s="23" t="s">
        <v>610</v>
      </c>
      <c r="B85" s="23" t="s">
        <v>611</v>
      </c>
      <c r="D85" s="23" t="s">
        <v>553</v>
      </c>
      <c r="E85" s="23" t="s">
        <v>608</v>
      </c>
      <c r="F85" s="23" t="s">
        <v>508</v>
      </c>
      <c r="G85" s="23" t="s">
        <v>609</v>
      </c>
    </row>
    <row r="86" spans="1:7" ht="13.5">
      <c r="A86" s="23" t="s">
        <v>612</v>
      </c>
      <c r="B86" s="23" t="s">
        <v>613</v>
      </c>
      <c r="D86" s="23" t="s">
        <v>614</v>
      </c>
      <c r="E86" s="23" t="s">
        <v>615</v>
      </c>
      <c r="F86" s="23" t="s">
        <v>513</v>
      </c>
      <c r="G86" s="23" t="s">
        <v>616</v>
      </c>
    </row>
    <row r="87" spans="1:7" ht="13.5">
      <c r="A87" s="23" t="s">
        <v>617</v>
      </c>
      <c r="B87" s="23" t="s">
        <v>618</v>
      </c>
      <c r="D87" s="23" t="s">
        <v>619</v>
      </c>
      <c r="E87" s="23" t="s">
        <v>615</v>
      </c>
      <c r="F87" s="23" t="s">
        <v>513</v>
      </c>
      <c r="G87" s="23" t="s">
        <v>616</v>
      </c>
    </row>
    <row r="88" spans="1:7" ht="13.5">
      <c r="A88" s="23" t="s">
        <v>620</v>
      </c>
      <c r="B88" s="23" t="s">
        <v>621</v>
      </c>
      <c r="D88" s="23" t="s">
        <v>379</v>
      </c>
      <c r="E88" s="23" t="s">
        <v>622</v>
      </c>
      <c r="F88" s="23" t="s">
        <v>516</v>
      </c>
      <c r="G88" s="23" t="s">
        <v>623</v>
      </c>
    </row>
    <row r="89" spans="1:7" ht="13.5">
      <c r="A89" s="23" t="s">
        <v>624</v>
      </c>
      <c r="B89" s="23" t="s">
        <v>625</v>
      </c>
      <c r="D89" s="23" t="s">
        <v>284</v>
      </c>
      <c r="E89" s="23" t="s">
        <v>626</v>
      </c>
      <c r="F89" s="23" t="s">
        <v>521</v>
      </c>
      <c r="G89" s="23" t="s">
        <v>627</v>
      </c>
    </row>
    <row r="90" spans="1:7" ht="13.5">
      <c r="A90" s="23" t="s">
        <v>628</v>
      </c>
      <c r="B90" s="23" t="s">
        <v>629</v>
      </c>
      <c r="D90" s="23" t="s">
        <v>379</v>
      </c>
      <c r="E90" s="23" t="s">
        <v>630</v>
      </c>
      <c r="F90" s="23" t="s">
        <v>525</v>
      </c>
      <c r="G90" s="23" t="s">
        <v>631</v>
      </c>
    </row>
    <row r="91" spans="1:7" ht="13.5">
      <c r="A91" s="23" t="s">
        <v>632</v>
      </c>
      <c r="B91" s="23" t="s">
        <v>633</v>
      </c>
      <c r="D91" s="23" t="s">
        <v>634</v>
      </c>
      <c r="E91" s="23" t="s">
        <v>630</v>
      </c>
      <c r="F91" s="23" t="s">
        <v>525</v>
      </c>
      <c r="G91" s="23" t="s">
        <v>631</v>
      </c>
    </row>
    <row r="92" spans="1:7" ht="13.5">
      <c r="A92" s="23" t="s">
        <v>635</v>
      </c>
      <c r="B92" s="23" t="s">
        <v>636</v>
      </c>
      <c r="D92" s="23" t="s">
        <v>284</v>
      </c>
      <c r="E92" s="23" t="s">
        <v>637</v>
      </c>
      <c r="F92" s="23" t="s">
        <v>529</v>
      </c>
      <c r="G92" s="23" t="s">
        <v>638</v>
      </c>
    </row>
    <row r="93" spans="1:7" ht="13.5">
      <c r="A93" s="23" t="s">
        <v>639</v>
      </c>
      <c r="B93" s="23" t="s">
        <v>640</v>
      </c>
      <c r="D93" s="23" t="s">
        <v>379</v>
      </c>
      <c r="E93" s="23" t="s">
        <v>641</v>
      </c>
      <c r="F93" s="23" t="s">
        <v>533</v>
      </c>
      <c r="G93" s="23" t="s">
        <v>642</v>
      </c>
    </row>
    <row r="94" spans="1:7" ht="13.5">
      <c r="A94" s="23" t="s">
        <v>643</v>
      </c>
      <c r="B94" s="23" t="s">
        <v>644</v>
      </c>
      <c r="D94" s="23" t="s">
        <v>645</v>
      </c>
      <c r="E94" s="23" t="s">
        <v>641</v>
      </c>
      <c r="F94" s="23" t="s">
        <v>533</v>
      </c>
      <c r="G94" s="23" t="s">
        <v>642</v>
      </c>
    </row>
    <row r="95" spans="1:7" ht="13.5">
      <c r="A95" s="23" t="s">
        <v>646</v>
      </c>
      <c r="B95" s="23" t="s">
        <v>647</v>
      </c>
      <c r="D95" s="23" t="s">
        <v>586</v>
      </c>
      <c r="E95" s="23" t="s">
        <v>648</v>
      </c>
      <c r="F95" s="23" t="s">
        <v>537</v>
      </c>
      <c r="G95" s="23" t="s">
        <v>649</v>
      </c>
    </row>
    <row r="96" spans="1:7" ht="13.5">
      <c r="A96" s="23" t="s">
        <v>650</v>
      </c>
      <c r="B96" s="23" t="s">
        <v>651</v>
      </c>
      <c r="D96" s="23" t="s">
        <v>652</v>
      </c>
      <c r="E96" s="23" t="s">
        <v>653</v>
      </c>
      <c r="F96" s="23" t="s">
        <v>540</v>
      </c>
      <c r="G96" s="23" t="s">
        <v>654</v>
      </c>
    </row>
    <row r="97" spans="1:7" ht="13.5">
      <c r="A97" s="23" t="s">
        <v>655</v>
      </c>
      <c r="B97" s="23" t="s">
        <v>656</v>
      </c>
      <c r="D97" s="23" t="s">
        <v>379</v>
      </c>
      <c r="E97" s="23" t="s">
        <v>657</v>
      </c>
      <c r="F97" s="23" t="s">
        <v>545</v>
      </c>
      <c r="G97" s="23" t="s">
        <v>658</v>
      </c>
    </row>
    <row r="98" spans="1:7" ht="13.5">
      <c r="A98" s="23" t="s">
        <v>659</v>
      </c>
      <c r="B98" s="23" t="s">
        <v>660</v>
      </c>
      <c r="D98" s="23" t="s">
        <v>591</v>
      </c>
      <c r="E98" s="23" t="s">
        <v>657</v>
      </c>
      <c r="F98" s="23" t="s">
        <v>545</v>
      </c>
      <c r="G98" s="23" t="s">
        <v>658</v>
      </c>
    </row>
    <row r="99" spans="1:7" ht="13.5">
      <c r="A99" s="23" t="s">
        <v>661</v>
      </c>
      <c r="B99" s="23" t="s">
        <v>662</v>
      </c>
      <c r="D99" s="23" t="s">
        <v>284</v>
      </c>
      <c r="E99" s="23" t="s">
        <v>663</v>
      </c>
      <c r="F99" s="23" t="s">
        <v>548</v>
      </c>
      <c r="G99" s="23" t="s">
        <v>664</v>
      </c>
    </row>
    <row r="100" spans="1:7" ht="13.5">
      <c r="A100" s="23" t="s">
        <v>665</v>
      </c>
      <c r="B100" s="23" t="s">
        <v>666</v>
      </c>
      <c r="D100" s="23" t="s">
        <v>541</v>
      </c>
      <c r="E100" s="23" t="s">
        <v>667</v>
      </c>
      <c r="F100" s="23" t="s">
        <v>552</v>
      </c>
      <c r="G100" s="23" t="s">
        <v>668</v>
      </c>
    </row>
    <row r="101" spans="1:7" ht="13.5">
      <c r="A101" s="23" t="s">
        <v>669</v>
      </c>
      <c r="B101" s="23" t="s">
        <v>670</v>
      </c>
      <c r="D101" s="23" t="s">
        <v>546</v>
      </c>
      <c r="E101" s="23" t="s">
        <v>667</v>
      </c>
      <c r="F101" s="23" t="s">
        <v>552</v>
      </c>
      <c r="G101" s="23" t="s">
        <v>668</v>
      </c>
    </row>
    <row r="102" spans="1:7" ht="13.5">
      <c r="A102" s="23" t="s">
        <v>671</v>
      </c>
      <c r="B102" s="23" t="s">
        <v>672</v>
      </c>
      <c r="D102" s="23" t="s">
        <v>673</v>
      </c>
      <c r="E102" s="23" t="s">
        <v>667</v>
      </c>
      <c r="F102" s="23" t="s">
        <v>552</v>
      </c>
      <c r="G102" s="23" t="s">
        <v>668</v>
      </c>
    </row>
    <row r="103" spans="1:7" ht="13.5">
      <c r="A103" s="23" t="s">
        <v>674</v>
      </c>
      <c r="B103" s="23" t="s">
        <v>675</v>
      </c>
      <c r="D103" s="23" t="s">
        <v>334</v>
      </c>
      <c r="E103" s="23" t="s">
        <v>676</v>
      </c>
      <c r="F103" s="23" t="s">
        <v>555</v>
      </c>
      <c r="G103" s="23" t="s">
        <v>668</v>
      </c>
    </row>
    <row r="104" spans="1:7" ht="13.5">
      <c r="A104" s="23" t="s">
        <v>677</v>
      </c>
      <c r="B104" s="23" t="s">
        <v>678</v>
      </c>
      <c r="D104" s="23" t="s">
        <v>673</v>
      </c>
      <c r="E104" s="23" t="s">
        <v>676</v>
      </c>
      <c r="F104" s="23" t="s">
        <v>555</v>
      </c>
      <c r="G104" s="23" t="s">
        <v>668</v>
      </c>
    </row>
    <row r="105" spans="1:7" ht="13.5">
      <c r="A105" s="23" t="s">
        <v>679</v>
      </c>
      <c r="B105" s="23" t="s">
        <v>680</v>
      </c>
      <c r="D105" s="23" t="s">
        <v>553</v>
      </c>
      <c r="E105" s="23" t="s">
        <v>676</v>
      </c>
      <c r="F105" s="23" t="s">
        <v>555</v>
      </c>
      <c r="G105" s="23" t="s">
        <v>668</v>
      </c>
    </row>
    <row r="106" spans="1:7" ht="13.5">
      <c r="A106" s="23" t="s">
        <v>681</v>
      </c>
      <c r="B106" s="23" t="s">
        <v>682</v>
      </c>
      <c r="D106" s="23" t="s">
        <v>284</v>
      </c>
      <c r="E106" s="23" t="s">
        <v>683</v>
      </c>
      <c r="F106" s="23" t="s">
        <v>560</v>
      </c>
      <c r="G106" s="23" t="s">
        <v>684</v>
      </c>
    </row>
    <row r="107" spans="1:7" ht="13.5">
      <c r="A107" s="23" t="s">
        <v>685</v>
      </c>
      <c r="B107" s="23" t="s">
        <v>686</v>
      </c>
      <c r="D107" s="23" t="s">
        <v>289</v>
      </c>
      <c r="E107" s="23" t="s">
        <v>683</v>
      </c>
      <c r="F107" s="23" t="s">
        <v>560</v>
      </c>
      <c r="G107" s="23" t="s">
        <v>684</v>
      </c>
    </row>
    <row r="108" spans="1:7" ht="13.5">
      <c r="A108" s="23" t="s">
        <v>687</v>
      </c>
      <c r="B108" s="23" t="s">
        <v>688</v>
      </c>
      <c r="D108" s="23" t="s">
        <v>689</v>
      </c>
      <c r="E108" s="23" t="s">
        <v>690</v>
      </c>
      <c r="F108" s="23" t="s">
        <v>562</v>
      </c>
      <c r="G108" s="23" t="s">
        <v>691</v>
      </c>
    </row>
    <row r="109" spans="1:7" ht="13.5">
      <c r="A109" s="23" t="s">
        <v>692</v>
      </c>
      <c r="B109" s="23" t="s">
        <v>693</v>
      </c>
      <c r="D109" s="23" t="s">
        <v>334</v>
      </c>
      <c r="E109" s="23" t="s">
        <v>694</v>
      </c>
      <c r="F109" s="23" t="s">
        <v>566</v>
      </c>
      <c r="G109" s="23" t="s">
        <v>695</v>
      </c>
    </row>
    <row r="110" spans="1:7" ht="13.5">
      <c r="A110" s="23" t="s">
        <v>696</v>
      </c>
      <c r="B110" s="23" t="s">
        <v>697</v>
      </c>
      <c r="D110" s="23" t="s">
        <v>698</v>
      </c>
      <c r="E110" s="23" t="s">
        <v>699</v>
      </c>
      <c r="F110" s="23" t="s">
        <v>571</v>
      </c>
      <c r="G110" s="23" t="s">
        <v>700</v>
      </c>
    </row>
    <row r="111" spans="1:7" ht="13.5">
      <c r="A111" s="23" t="s">
        <v>701</v>
      </c>
      <c r="B111" s="23" t="s">
        <v>702</v>
      </c>
      <c r="D111" s="23" t="s">
        <v>586</v>
      </c>
      <c r="E111" s="23" t="s">
        <v>703</v>
      </c>
      <c r="F111" s="23" t="s">
        <v>574</v>
      </c>
      <c r="G111" s="23" t="s">
        <v>704</v>
      </c>
    </row>
    <row r="112" spans="1:7" ht="13.5">
      <c r="A112" s="23" t="s">
        <v>705</v>
      </c>
      <c r="B112" s="23" t="s">
        <v>706</v>
      </c>
      <c r="D112" s="23" t="s">
        <v>673</v>
      </c>
      <c r="E112" s="23" t="s">
        <v>703</v>
      </c>
      <c r="F112" s="23" t="s">
        <v>574</v>
      </c>
      <c r="G112" s="23" t="s">
        <v>704</v>
      </c>
    </row>
    <row r="113" spans="1:7" ht="13.5">
      <c r="A113" s="23" t="s">
        <v>707</v>
      </c>
      <c r="B113" s="23" t="s">
        <v>708</v>
      </c>
      <c r="D113" s="23" t="s">
        <v>284</v>
      </c>
      <c r="E113" s="23" t="s">
        <v>709</v>
      </c>
      <c r="F113" s="23" t="s">
        <v>576</v>
      </c>
      <c r="G113" s="23" t="s">
        <v>710</v>
      </c>
    </row>
    <row r="114" spans="1:7" ht="13.5">
      <c r="A114" s="23" t="s">
        <v>711</v>
      </c>
      <c r="B114" s="23" t="s">
        <v>712</v>
      </c>
      <c r="D114" s="23" t="s">
        <v>284</v>
      </c>
      <c r="E114" s="23" t="s">
        <v>713</v>
      </c>
      <c r="F114" s="23" t="s">
        <v>580</v>
      </c>
      <c r="G114" s="23" t="s">
        <v>714</v>
      </c>
    </row>
    <row r="115" spans="1:7" ht="13.5">
      <c r="A115" s="23" t="s">
        <v>715</v>
      </c>
      <c r="B115" s="23" t="s">
        <v>716</v>
      </c>
      <c r="D115" s="23" t="s">
        <v>284</v>
      </c>
      <c r="E115" s="23" t="s">
        <v>717</v>
      </c>
      <c r="F115" s="23" t="s">
        <v>582</v>
      </c>
      <c r="G115" s="23" t="s">
        <v>718</v>
      </c>
    </row>
    <row r="116" spans="1:7" ht="13.5">
      <c r="A116" s="23" t="s">
        <v>719</v>
      </c>
      <c r="B116" s="23" t="s">
        <v>720</v>
      </c>
      <c r="D116" s="23" t="s">
        <v>721</v>
      </c>
      <c r="E116" s="23" t="s">
        <v>722</v>
      </c>
      <c r="F116" s="23" t="s">
        <v>585</v>
      </c>
      <c r="G116" s="23" t="s">
        <v>723</v>
      </c>
    </row>
    <row r="117" spans="1:7" ht="13.5">
      <c r="A117" s="23" t="s">
        <v>724</v>
      </c>
      <c r="B117" s="23" t="s">
        <v>725</v>
      </c>
      <c r="D117" s="23" t="s">
        <v>339</v>
      </c>
      <c r="E117" s="23" t="s">
        <v>722</v>
      </c>
      <c r="F117" s="23" t="s">
        <v>585</v>
      </c>
      <c r="G117" s="23" t="s">
        <v>723</v>
      </c>
    </row>
    <row r="118" spans="1:7" ht="13.5">
      <c r="A118" s="23" t="s">
        <v>726</v>
      </c>
      <c r="B118" s="23" t="s">
        <v>727</v>
      </c>
      <c r="D118" s="23" t="s">
        <v>517</v>
      </c>
      <c r="E118" s="23" t="s">
        <v>728</v>
      </c>
      <c r="F118" s="23" t="s">
        <v>590</v>
      </c>
      <c r="G118" s="23" t="s">
        <v>729</v>
      </c>
    </row>
    <row r="119" spans="1:7" ht="13.5">
      <c r="A119" s="23" t="s">
        <v>730</v>
      </c>
      <c r="B119" s="23" t="s">
        <v>731</v>
      </c>
      <c r="D119" s="23" t="s">
        <v>284</v>
      </c>
      <c r="E119" s="23" t="s">
        <v>732</v>
      </c>
      <c r="F119" s="23" t="s">
        <v>593</v>
      </c>
      <c r="G119" s="23" t="s">
        <v>733</v>
      </c>
    </row>
    <row r="120" spans="1:7" ht="13.5">
      <c r="A120" s="23" t="s">
        <v>734</v>
      </c>
      <c r="B120" s="23" t="s">
        <v>735</v>
      </c>
      <c r="D120" s="23" t="s">
        <v>586</v>
      </c>
      <c r="E120" s="23" t="s">
        <v>736</v>
      </c>
      <c r="F120" s="23" t="s">
        <v>597</v>
      </c>
      <c r="G120" s="23" t="s">
        <v>737</v>
      </c>
    </row>
    <row r="121" spans="1:7" ht="13.5">
      <c r="A121" s="23" t="s">
        <v>738</v>
      </c>
      <c r="B121" s="23" t="s">
        <v>739</v>
      </c>
      <c r="D121" s="23" t="s">
        <v>334</v>
      </c>
      <c r="E121" s="23" t="s">
        <v>740</v>
      </c>
      <c r="F121" s="23" t="s">
        <v>602</v>
      </c>
      <c r="G121" s="23" t="s">
        <v>741</v>
      </c>
    </row>
    <row r="122" spans="1:7" ht="13.5">
      <c r="A122" s="23" t="s">
        <v>742</v>
      </c>
      <c r="B122" s="23" t="s">
        <v>743</v>
      </c>
      <c r="D122" s="23" t="s">
        <v>586</v>
      </c>
      <c r="E122" s="23" t="s">
        <v>744</v>
      </c>
      <c r="F122" s="23" t="s">
        <v>607</v>
      </c>
      <c r="G122" s="23" t="s">
        <v>745</v>
      </c>
    </row>
    <row r="123" spans="1:7" ht="13.5">
      <c r="A123" s="23" t="s">
        <v>746</v>
      </c>
      <c r="B123" s="23" t="s">
        <v>747</v>
      </c>
      <c r="D123" s="23" t="s">
        <v>748</v>
      </c>
      <c r="E123" s="23" t="s">
        <v>749</v>
      </c>
      <c r="F123" s="23" t="s">
        <v>611</v>
      </c>
      <c r="G123" s="23" t="s">
        <v>750</v>
      </c>
    </row>
    <row r="124" spans="1:7" ht="13.5">
      <c r="A124" s="23" t="s">
        <v>751</v>
      </c>
      <c r="B124" s="23" t="s">
        <v>752</v>
      </c>
      <c r="D124" s="23" t="s">
        <v>753</v>
      </c>
      <c r="E124" s="23" t="s">
        <v>749</v>
      </c>
      <c r="F124" s="23" t="s">
        <v>611</v>
      </c>
      <c r="G124" s="23" t="s">
        <v>750</v>
      </c>
    </row>
    <row r="125" spans="1:7" ht="13.5">
      <c r="A125" s="23" t="s">
        <v>754</v>
      </c>
      <c r="B125" s="23" t="s">
        <v>755</v>
      </c>
      <c r="D125" s="23" t="s">
        <v>284</v>
      </c>
      <c r="E125" s="23" t="s">
        <v>756</v>
      </c>
      <c r="F125" s="23" t="s">
        <v>613</v>
      </c>
      <c r="G125" s="23" t="s">
        <v>757</v>
      </c>
    </row>
    <row r="126" spans="1:7" ht="13.5">
      <c r="A126" s="23" t="s">
        <v>758</v>
      </c>
      <c r="B126" s="23" t="s">
        <v>759</v>
      </c>
      <c r="D126" s="23" t="s">
        <v>334</v>
      </c>
      <c r="E126" s="23" t="s">
        <v>760</v>
      </c>
      <c r="F126" s="23" t="s">
        <v>618</v>
      </c>
      <c r="G126" s="23" t="s">
        <v>761</v>
      </c>
    </row>
    <row r="127" spans="1:7" ht="13.5">
      <c r="A127" s="23" t="s">
        <v>762</v>
      </c>
      <c r="B127" s="23" t="s">
        <v>763</v>
      </c>
      <c r="D127" s="23" t="s">
        <v>764</v>
      </c>
      <c r="E127" s="23" t="s">
        <v>760</v>
      </c>
      <c r="F127" s="23" t="s">
        <v>618</v>
      </c>
      <c r="G127" s="23" t="s">
        <v>761</v>
      </c>
    </row>
    <row r="128" spans="1:7" ht="13.5">
      <c r="A128" s="23" t="s">
        <v>765</v>
      </c>
      <c r="B128" s="23" t="s">
        <v>766</v>
      </c>
      <c r="D128" s="23" t="s">
        <v>767</v>
      </c>
      <c r="E128" s="23" t="s">
        <v>768</v>
      </c>
      <c r="F128" s="23" t="s">
        <v>621</v>
      </c>
      <c r="G128" s="23" t="s">
        <v>769</v>
      </c>
    </row>
    <row r="129" spans="1:7" ht="13.5">
      <c r="A129" s="23" t="s">
        <v>770</v>
      </c>
      <c r="B129" s="23" t="s">
        <v>771</v>
      </c>
      <c r="D129" s="23" t="s">
        <v>538</v>
      </c>
      <c r="E129" s="23" t="s">
        <v>768</v>
      </c>
      <c r="F129" s="23" t="s">
        <v>621</v>
      </c>
      <c r="G129" s="23" t="s">
        <v>769</v>
      </c>
    </row>
    <row r="130" spans="1:7" ht="13.5">
      <c r="A130" s="23" t="s">
        <v>772</v>
      </c>
      <c r="B130" s="23" t="s">
        <v>773</v>
      </c>
      <c r="D130" s="23" t="s">
        <v>334</v>
      </c>
      <c r="E130" s="23" t="s">
        <v>774</v>
      </c>
      <c r="F130" s="23" t="s">
        <v>625</v>
      </c>
      <c r="G130" s="23" t="s">
        <v>775</v>
      </c>
    </row>
    <row r="131" spans="1:7" ht="13.5">
      <c r="A131" s="23" t="s">
        <v>776</v>
      </c>
      <c r="B131" s="23" t="s">
        <v>777</v>
      </c>
      <c r="D131" s="23" t="s">
        <v>334</v>
      </c>
      <c r="E131" s="23" t="s">
        <v>778</v>
      </c>
      <c r="F131" s="23" t="s">
        <v>629</v>
      </c>
      <c r="G131" s="23" t="s">
        <v>779</v>
      </c>
    </row>
    <row r="132" spans="1:7" ht="13.5">
      <c r="A132" s="23" t="s">
        <v>780</v>
      </c>
      <c r="B132" s="23" t="s">
        <v>781</v>
      </c>
      <c r="D132" s="23" t="s">
        <v>538</v>
      </c>
      <c r="E132" s="23" t="s">
        <v>778</v>
      </c>
      <c r="F132" s="23" t="s">
        <v>629</v>
      </c>
      <c r="G132" s="23" t="s">
        <v>779</v>
      </c>
    </row>
    <row r="133" spans="1:7" ht="13.5">
      <c r="A133" s="23" t="s">
        <v>782</v>
      </c>
      <c r="B133" s="23" t="s">
        <v>783</v>
      </c>
      <c r="D133" s="23" t="s">
        <v>334</v>
      </c>
      <c r="E133" s="23" t="s">
        <v>784</v>
      </c>
      <c r="F133" s="23" t="s">
        <v>633</v>
      </c>
      <c r="G133" s="23" t="s">
        <v>785</v>
      </c>
    </row>
    <row r="134" spans="1:7" ht="13.5">
      <c r="A134" s="23" t="s">
        <v>786</v>
      </c>
      <c r="B134" s="23" t="s">
        <v>787</v>
      </c>
      <c r="D134" s="23" t="s">
        <v>334</v>
      </c>
      <c r="E134" s="23" t="s">
        <v>788</v>
      </c>
      <c r="F134" s="23" t="s">
        <v>636</v>
      </c>
      <c r="G134" s="23" t="s">
        <v>789</v>
      </c>
    </row>
    <row r="135" spans="1:7" ht="13.5">
      <c r="A135" s="23" t="s">
        <v>790</v>
      </c>
      <c r="B135" s="23" t="s">
        <v>791</v>
      </c>
      <c r="D135" s="23" t="s">
        <v>792</v>
      </c>
      <c r="E135" s="23" t="s">
        <v>788</v>
      </c>
      <c r="F135" s="23" t="s">
        <v>636</v>
      </c>
      <c r="G135" s="23" t="s">
        <v>789</v>
      </c>
    </row>
    <row r="136" spans="1:7" ht="13.5">
      <c r="A136" s="23" t="s">
        <v>793</v>
      </c>
      <c r="B136" s="23" t="s">
        <v>794</v>
      </c>
      <c r="D136" s="23" t="s">
        <v>795</v>
      </c>
      <c r="E136" s="23" t="s">
        <v>796</v>
      </c>
      <c r="F136" s="23" t="s">
        <v>640</v>
      </c>
      <c r="G136" s="23" t="s">
        <v>797</v>
      </c>
    </row>
    <row r="137" spans="1:7" ht="13.5">
      <c r="A137" s="23" t="s">
        <v>798</v>
      </c>
      <c r="B137" s="23" t="s">
        <v>799</v>
      </c>
      <c r="D137" s="23" t="s">
        <v>619</v>
      </c>
      <c r="E137" s="23" t="s">
        <v>796</v>
      </c>
      <c r="F137" s="23" t="s">
        <v>640</v>
      </c>
      <c r="G137" s="23" t="s">
        <v>797</v>
      </c>
    </row>
    <row r="138" spans="1:7" ht="13.5">
      <c r="A138" s="23" t="s">
        <v>800</v>
      </c>
      <c r="B138" s="23" t="s">
        <v>801</v>
      </c>
      <c r="D138" s="23" t="s">
        <v>292</v>
      </c>
      <c r="E138" s="23" t="s">
        <v>802</v>
      </c>
      <c r="F138" s="23" t="s">
        <v>644</v>
      </c>
      <c r="G138" s="23" t="s">
        <v>803</v>
      </c>
    </row>
    <row r="139" spans="1:7" ht="13.5">
      <c r="A139" s="23" t="s">
        <v>804</v>
      </c>
      <c r="B139" s="23" t="s">
        <v>805</v>
      </c>
      <c r="D139" s="23" t="s">
        <v>297</v>
      </c>
      <c r="E139" s="23" t="s">
        <v>802</v>
      </c>
      <c r="F139" s="23" t="s">
        <v>644</v>
      </c>
      <c r="G139" s="23" t="s">
        <v>803</v>
      </c>
    </row>
    <row r="140" spans="1:7" ht="13.5">
      <c r="A140" s="23" t="s">
        <v>806</v>
      </c>
      <c r="B140" s="23" t="s">
        <v>807</v>
      </c>
      <c r="D140" s="23" t="s">
        <v>541</v>
      </c>
      <c r="E140" s="23" t="s">
        <v>808</v>
      </c>
      <c r="F140" s="23" t="s">
        <v>647</v>
      </c>
      <c r="G140" s="23" t="s">
        <v>809</v>
      </c>
    </row>
    <row r="141" spans="1:7" ht="13.5">
      <c r="A141" s="23" t="s">
        <v>810</v>
      </c>
      <c r="B141" s="23" t="s">
        <v>811</v>
      </c>
      <c r="D141" s="23" t="s">
        <v>812</v>
      </c>
      <c r="E141" s="23" t="s">
        <v>808</v>
      </c>
      <c r="F141" s="23" t="s">
        <v>647</v>
      </c>
      <c r="G141" s="23" t="s">
        <v>809</v>
      </c>
    </row>
    <row r="142" spans="1:7" ht="13.5">
      <c r="A142" s="23" t="s">
        <v>813</v>
      </c>
      <c r="B142" s="23" t="s">
        <v>814</v>
      </c>
      <c r="D142" s="23" t="s">
        <v>815</v>
      </c>
      <c r="E142" s="23" t="s">
        <v>816</v>
      </c>
      <c r="F142" s="23" t="s">
        <v>651</v>
      </c>
      <c r="G142" s="23" t="s">
        <v>817</v>
      </c>
    </row>
    <row r="143" spans="1:7" ht="13.5">
      <c r="A143" s="23" t="s">
        <v>818</v>
      </c>
      <c r="B143" s="23" t="s">
        <v>819</v>
      </c>
      <c r="D143" s="23" t="s">
        <v>339</v>
      </c>
      <c r="E143" s="23" t="s">
        <v>816</v>
      </c>
      <c r="F143" s="23" t="s">
        <v>651</v>
      </c>
      <c r="G143" s="23" t="s">
        <v>817</v>
      </c>
    </row>
    <row r="144" spans="1:7" ht="13.5">
      <c r="A144" s="23" t="s">
        <v>820</v>
      </c>
      <c r="B144" s="23" t="s">
        <v>821</v>
      </c>
      <c r="D144" s="23" t="s">
        <v>822</v>
      </c>
      <c r="E144" s="23" t="s">
        <v>823</v>
      </c>
      <c r="F144" s="23" t="s">
        <v>656</v>
      </c>
      <c r="G144" s="23" t="s">
        <v>824</v>
      </c>
    </row>
    <row r="145" spans="1:7" ht="13.5">
      <c r="A145" s="23" t="s">
        <v>825</v>
      </c>
      <c r="B145" s="23" t="s">
        <v>826</v>
      </c>
      <c r="D145" s="23" t="s">
        <v>673</v>
      </c>
      <c r="E145" s="23" t="s">
        <v>823</v>
      </c>
      <c r="F145" s="23" t="s">
        <v>656</v>
      </c>
      <c r="G145" s="23" t="s">
        <v>824</v>
      </c>
    </row>
    <row r="146" spans="1:7" ht="13.5">
      <c r="A146" s="23" t="s">
        <v>827</v>
      </c>
      <c r="B146" s="23" t="s">
        <v>828</v>
      </c>
      <c r="D146" s="23" t="s">
        <v>292</v>
      </c>
      <c r="E146" s="23" t="s">
        <v>829</v>
      </c>
      <c r="F146" s="23" t="s">
        <v>660</v>
      </c>
      <c r="G146" s="23" t="s">
        <v>830</v>
      </c>
    </row>
    <row r="147" spans="1:7" ht="13.5">
      <c r="A147" s="23" t="s">
        <v>831</v>
      </c>
      <c r="B147" s="23" t="s">
        <v>832</v>
      </c>
      <c r="D147" s="23" t="s">
        <v>297</v>
      </c>
      <c r="E147" s="23" t="s">
        <v>829</v>
      </c>
      <c r="F147" s="23" t="s">
        <v>660</v>
      </c>
      <c r="G147" s="23" t="s">
        <v>830</v>
      </c>
    </row>
    <row r="148" spans="1:7" ht="13.5">
      <c r="A148" s="23" t="s">
        <v>833</v>
      </c>
      <c r="B148" s="23" t="s">
        <v>834</v>
      </c>
      <c r="D148" s="23" t="s">
        <v>308</v>
      </c>
      <c r="E148" s="23" t="s">
        <v>835</v>
      </c>
      <c r="F148" s="23" t="s">
        <v>662</v>
      </c>
      <c r="G148" s="23" t="s">
        <v>836</v>
      </c>
    </row>
    <row r="149" spans="1:7" ht="13.5">
      <c r="A149" s="23" t="s">
        <v>837</v>
      </c>
      <c r="B149" s="23" t="s">
        <v>838</v>
      </c>
      <c r="D149" s="23" t="s">
        <v>289</v>
      </c>
      <c r="E149" s="23" t="s">
        <v>835</v>
      </c>
      <c r="F149" s="23" t="s">
        <v>662</v>
      </c>
      <c r="G149" s="23" t="s">
        <v>836</v>
      </c>
    </row>
    <row r="150" spans="1:7" ht="13.5">
      <c r="A150" s="23" t="s">
        <v>839</v>
      </c>
      <c r="B150" s="23" t="s">
        <v>840</v>
      </c>
      <c r="D150" s="23" t="s">
        <v>334</v>
      </c>
      <c r="E150" s="23" t="s">
        <v>841</v>
      </c>
      <c r="F150" s="23" t="s">
        <v>666</v>
      </c>
      <c r="G150" s="23" t="s">
        <v>842</v>
      </c>
    </row>
    <row r="151" spans="1:7" ht="13.5">
      <c r="A151" s="23" t="s">
        <v>843</v>
      </c>
      <c r="B151" s="23" t="s">
        <v>844</v>
      </c>
      <c r="D151" s="23" t="s">
        <v>586</v>
      </c>
      <c r="E151" s="23" t="s">
        <v>845</v>
      </c>
      <c r="F151" s="23" t="s">
        <v>670</v>
      </c>
      <c r="G151" s="23" t="s">
        <v>846</v>
      </c>
    </row>
    <row r="152" spans="1:7" ht="13.5">
      <c r="A152" s="23" t="s">
        <v>847</v>
      </c>
      <c r="B152" s="23" t="s">
        <v>848</v>
      </c>
      <c r="D152" s="23" t="s">
        <v>284</v>
      </c>
      <c r="E152" s="23" t="s">
        <v>849</v>
      </c>
      <c r="F152" s="23" t="s">
        <v>672</v>
      </c>
      <c r="G152" s="23" t="s">
        <v>850</v>
      </c>
    </row>
    <row r="153" spans="1:7" ht="13.5">
      <c r="A153" s="23" t="s">
        <v>851</v>
      </c>
      <c r="B153" s="23" t="s">
        <v>852</v>
      </c>
      <c r="D153" s="23" t="s">
        <v>586</v>
      </c>
      <c r="E153" s="23" t="s">
        <v>853</v>
      </c>
      <c r="F153" s="23" t="s">
        <v>675</v>
      </c>
      <c r="G153" s="23" t="s">
        <v>854</v>
      </c>
    </row>
    <row r="154" spans="1:7" ht="13.5">
      <c r="A154" s="23" t="s">
        <v>855</v>
      </c>
      <c r="B154" s="23" t="s">
        <v>856</v>
      </c>
      <c r="D154" s="23" t="s">
        <v>284</v>
      </c>
      <c r="E154" s="23" t="s">
        <v>857</v>
      </c>
      <c r="F154" s="23" t="s">
        <v>678</v>
      </c>
      <c r="G154" s="23" t="s">
        <v>858</v>
      </c>
    </row>
    <row r="155" spans="1:7" ht="13.5">
      <c r="A155" s="23" t="s">
        <v>859</v>
      </c>
      <c r="B155" s="23" t="s">
        <v>860</v>
      </c>
      <c r="D155" s="23" t="s">
        <v>586</v>
      </c>
      <c r="E155" s="23" t="s">
        <v>861</v>
      </c>
      <c r="F155" s="23" t="s">
        <v>680</v>
      </c>
      <c r="G155" s="23" t="s">
        <v>862</v>
      </c>
    </row>
    <row r="156" spans="1:7" ht="13.5">
      <c r="A156" s="23" t="s">
        <v>863</v>
      </c>
      <c r="B156" s="23" t="s">
        <v>864</v>
      </c>
      <c r="D156" s="23" t="s">
        <v>284</v>
      </c>
      <c r="E156" s="23" t="s">
        <v>865</v>
      </c>
      <c r="F156" s="23" t="s">
        <v>682</v>
      </c>
      <c r="G156" s="23" t="s">
        <v>866</v>
      </c>
    </row>
    <row r="157" spans="1:7" ht="13.5">
      <c r="A157" s="23" t="s">
        <v>867</v>
      </c>
      <c r="B157" s="23" t="s">
        <v>868</v>
      </c>
      <c r="D157" s="23" t="s">
        <v>541</v>
      </c>
      <c r="E157" s="23" t="s">
        <v>869</v>
      </c>
      <c r="F157" s="23" t="s">
        <v>686</v>
      </c>
      <c r="G157" s="23" t="s">
        <v>870</v>
      </c>
    </row>
    <row r="158" spans="1:7" ht="13.5">
      <c r="A158" s="23" t="s">
        <v>871</v>
      </c>
      <c r="B158" s="23" t="s">
        <v>872</v>
      </c>
      <c r="D158" s="23" t="s">
        <v>873</v>
      </c>
      <c r="E158" s="23" t="s">
        <v>869</v>
      </c>
      <c r="F158" s="23" t="s">
        <v>686</v>
      </c>
      <c r="G158" s="23" t="s">
        <v>870</v>
      </c>
    </row>
    <row r="159" spans="1:7" ht="13.5">
      <c r="A159" s="23" t="s">
        <v>874</v>
      </c>
      <c r="B159" s="23" t="s">
        <v>875</v>
      </c>
      <c r="D159" s="23" t="s">
        <v>334</v>
      </c>
      <c r="E159" s="23" t="s">
        <v>876</v>
      </c>
      <c r="F159" s="23" t="s">
        <v>688</v>
      </c>
      <c r="G159" s="23" t="s">
        <v>877</v>
      </c>
    </row>
    <row r="160" spans="1:7" ht="13.5">
      <c r="A160" s="23" t="s">
        <v>878</v>
      </c>
      <c r="B160" s="23" t="s">
        <v>879</v>
      </c>
      <c r="D160" s="23" t="s">
        <v>795</v>
      </c>
      <c r="E160" s="23" t="s">
        <v>880</v>
      </c>
      <c r="F160" s="23" t="s">
        <v>693</v>
      </c>
      <c r="G160" s="23" t="s">
        <v>881</v>
      </c>
    </row>
    <row r="161" spans="1:7" ht="13.5">
      <c r="A161" s="23" t="s">
        <v>882</v>
      </c>
      <c r="B161" s="23" t="s">
        <v>883</v>
      </c>
      <c r="D161" s="23" t="s">
        <v>619</v>
      </c>
      <c r="E161" s="23" t="s">
        <v>880</v>
      </c>
      <c r="F161" s="23" t="s">
        <v>693</v>
      </c>
      <c r="G161" s="23" t="s">
        <v>881</v>
      </c>
    </row>
    <row r="162" spans="1:7" ht="13.5">
      <c r="A162" s="23" t="s">
        <v>884</v>
      </c>
      <c r="B162" s="23" t="s">
        <v>885</v>
      </c>
      <c r="D162" s="23" t="s">
        <v>308</v>
      </c>
      <c r="E162" s="23" t="s">
        <v>886</v>
      </c>
      <c r="F162" s="23" t="s">
        <v>697</v>
      </c>
      <c r="G162" s="23" t="s">
        <v>887</v>
      </c>
    </row>
    <row r="163" spans="1:7" ht="13.5">
      <c r="A163" s="23" t="s">
        <v>888</v>
      </c>
      <c r="B163" s="23" t="s">
        <v>889</v>
      </c>
      <c r="D163" s="23" t="s">
        <v>546</v>
      </c>
      <c r="E163" s="23" t="s">
        <v>886</v>
      </c>
      <c r="F163" s="23" t="s">
        <v>697</v>
      </c>
      <c r="G163" s="23" t="s">
        <v>887</v>
      </c>
    </row>
    <row r="164" spans="1:7" ht="13.5">
      <c r="A164" s="23" t="s">
        <v>890</v>
      </c>
      <c r="B164" s="23" t="s">
        <v>891</v>
      </c>
      <c r="D164" s="23" t="s">
        <v>453</v>
      </c>
      <c r="E164" s="23" t="s">
        <v>892</v>
      </c>
      <c r="F164" s="23" t="s">
        <v>702</v>
      </c>
      <c r="G164" s="23" t="s">
        <v>893</v>
      </c>
    </row>
    <row r="165" spans="1:7" ht="13.5">
      <c r="A165" s="23" t="s">
        <v>894</v>
      </c>
      <c r="B165" s="23" t="s">
        <v>895</v>
      </c>
      <c r="D165" s="23" t="s">
        <v>896</v>
      </c>
      <c r="E165" s="23" t="s">
        <v>892</v>
      </c>
      <c r="F165" s="23" t="s">
        <v>702</v>
      </c>
      <c r="G165" s="23" t="s">
        <v>893</v>
      </c>
    </row>
    <row r="166" spans="1:7" ht="13.5">
      <c r="A166" s="23" t="s">
        <v>897</v>
      </c>
      <c r="B166" s="23" t="s">
        <v>898</v>
      </c>
      <c r="D166" s="23" t="s">
        <v>586</v>
      </c>
      <c r="E166" s="23" t="s">
        <v>899</v>
      </c>
      <c r="F166" s="23" t="s">
        <v>706</v>
      </c>
      <c r="G166" s="23" t="s">
        <v>900</v>
      </c>
    </row>
    <row r="167" spans="1:7" ht="13.5">
      <c r="A167" s="23" t="s">
        <v>901</v>
      </c>
      <c r="B167" s="23" t="s">
        <v>902</v>
      </c>
      <c r="D167" s="23" t="s">
        <v>292</v>
      </c>
      <c r="E167" s="23" t="s">
        <v>903</v>
      </c>
      <c r="F167" s="23" t="s">
        <v>708</v>
      </c>
      <c r="G167" s="23" t="s">
        <v>904</v>
      </c>
    </row>
    <row r="168" spans="1:7" ht="13.5">
      <c r="A168" s="23" t="s">
        <v>905</v>
      </c>
      <c r="B168" s="23" t="s">
        <v>906</v>
      </c>
      <c r="D168" s="23" t="s">
        <v>297</v>
      </c>
      <c r="E168" s="23" t="s">
        <v>903</v>
      </c>
      <c r="F168" s="23" t="s">
        <v>708</v>
      </c>
      <c r="G168" s="23" t="s">
        <v>904</v>
      </c>
    </row>
    <row r="169" spans="1:7" ht="13.5">
      <c r="A169" s="23" t="s">
        <v>907</v>
      </c>
      <c r="B169" s="23" t="s">
        <v>908</v>
      </c>
      <c r="D169" s="23" t="s">
        <v>586</v>
      </c>
      <c r="E169" s="23" t="s">
        <v>909</v>
      </c>
      <c r="F169" s="23" t="s">
        <v>712</v>
      </c>
      <c r="G169" s="23" t="s">
        <v>910</v>
      </c>
    </row>
    <row r="170" spans="1:7" ht="13.5">
      <c r="A170" s="23" t="s">
        <v>911</v>
      </c>
      <c r="B170" s="23" t="s">
        <v>912</v>
      </c>
      <c r="D170" s="23" t="s">
        <v>334</v>
      </c>
      <c r="E170" s="23" t="s">
        <v>913</v>
      </c>
      <c r="F170" s="23" t="s">
        <v>716</v>
      </c>
      <c r="G170" s="23" t="s">
        <v>914</v>
      </c>
    </row>
    <row r="171" spans="1:7" ht="13.5">
      <c r="A171" s="23" t="s">
        <v>915</v>
      </c>
      <c r="B171" s="23" t="s">
        <v>916</v>
      </c>
      <c r="D171" s="23" t="s">
        <v>334</v>
      </c>
      <c r="E171" s="23" t="s">
        <v>917</v>
      </c>
      <c r="F171" s="23" t="s">
        <v>720</v>
      </c>
      <c r="G171" s="23" t="s">
        <v>918</v>
      </c>
    </row>
    <row r="172" spans="1:7" ht="13.5">
      <c r="A172" s="23" t="s">
        <v>919</v>
      </c>
      <c r="B172" s="23" t="s">
        <v>920</v>
      </c>
      <c r="D172" s="23" t="s">
        <v>284</v>
      </c>
      <c r="E172" s="23" t="s">
        <v>921</v>
      </c>
      <c r="F172" s="23" t="s">
        <v>725</v>
      </c>
      <c r="G172" s="23" t="s">
        <v>922</v>
      </c>
    </row>
    <row r="173" spans="1:7" ht="13.5">
      <c r="A173" s="23" t="s">
        <v>923</v>
      </c>
      <c r="B173" s="23" t="s">
        <v>924</v>
      </c>
      <c r="D173" s="23" t="s">
        <v>289</v>
      </c>
      <c r="E173" s="23" t="s">
        <v>921</v>
      </c>
      <c r="F173" s="23" t="s">
        <v>725</v>
      </c>
      <c r="G173" s="23" t="s">
        <v>922</v>
      </c>
    </row>
    <row r="174" spans="1:7" ht="13.5">
      <c r="A174" s="23" t="s">
        <v>925</v>
      </c>
      <c r="B174" s="23" t="s">
        <v>926</v>
      </c>
      <c r="D174" s="23" t="s">
        <v>334</v>
      </c>
      <c r="E174" s="23" t="s">
        <v>927</v>
      </c>
      <c r="F174" s="23" t="s">
        <v>727</v>
      </c>
      <c r="G174" s="23" t="s">
        <v>928</v>
      </c>
    </row>
    <row r="175" spans="1:7" ht="13.5">
      <c r="A175" s="23" t="s">
        <v>929</v>
      </c>
      <c r="B175" s="23" t="s">
        <v>930</v>
      </c>
      <c r="D175" s="23" t="s">
        <v>541</v>
      </c>
      <c r="E175" s="23" t="s">
        <v>931</v>
      </c>
      <c r="F175" s="23" t="s">
        <v>731</v>
      </c>
      <c r="G175" s="23" t="s">
        <v>932</v>
      </c>
    </row>
    <row r="176" spans="1:7" ht="13.5">
      <c r="A176" s="23" t="s">
        <v>933</v>
      </c>
      <c r="B176" s="23" t="s">
        <v>934</v>
      </c>
      <c r="D176" s="23" t="s">
        <v>546</v>
      </c>
      <c r="E176" s="23" t="s">
        <v>931</v>
      </c>
      <c r="F176" s="23" t="s">
        <v>731</v>
      </c>
      <c r="G176" s="23" t="s">
        <v>932</v>
      </c>
    </row>
    <row r="177" spans="1:7" ht="13.5">
      <c r="A177" s="23" t="s">
        <v>935</v>
      </c>
      <c r="B177" s="23" t="s">
        <v>936</v>
      </c>
      <c r="D177" s="23" t="s">
        <v>334</v>
      </c>
      <c r="E177" s="23" t="s">
        <v>937</v>
      </c>
      <c r="F177" s="23" t="s">
        <v>735</v>
      </c>
      <c r="G177" s="23" t="s">
        <v>938</v>
      </c>
    </row>
    <row r="178" spans="1:7" ht="13.5">
      <c r="A178" s="23" t="s">
        <v>939</v>
      </c>
      <c r="B178" s="23" t="s">
        <v>940</v>
      </c>
      <c r="D178" s="23" t="s">
        <v>339</v>
      </c>
      <c r="E178" s="23" t="s">
        <v>937</v>
      </c>
      <c r="F178" s="23" t="s">
        <v>735</v>
      </c>
      <c r="G178" s="23" t="s">
        <v>938</v>
      </c>
    </row>
    <row r="179" spans="1:7" ht="13.5">
      <c r="A179" s="23" t="s">
        <v>941</v>
      </c>
      <c r="B179" s="23" t="s">
        <v>942</v>
      </c>
      <c r="D179" s="23" t="s">
        <v>541</v>
      </c>
      <c r="E179" s="23" t="s">
        <v>943</v>
      </c>
      <c r="F179" s="23" t="s">
        <v>739</v>
      </c>
      <c r="G179" s="23" t="s">
        <v>944</v>
      </c>
    </row>
    <row r="180" spans="1:7" ht="13.5">
      <c r="A180" s="23" t="s">
        <v>945</v>
      </c>
      <c r="B180" s="23" t="s">
        <v>946</v>
      </c>
      <c r="D180" s="23" t="s">
        <v>546</v>
      </c>
      <c r="E180" s="23" t="s">
        <v>943</v>
      </c>
      <c r="F180" s="23" t="s">
        <v>739</v>
      </c>
      <c r="G180" s="23" t="s">
        <v>944</v>
      </c>
    </row>
    <row r="181" spans="1:7" ht="13.5">
      <c r="A181" s="23" t="s">
        <v>947</v>
      </c>
      <c r="B181" s="23" t="s">
        <v>948</v>
      </c>
      <c r="D181" s="23" t="s">
        <v>284</v>
      </c>
      <c r="E181" s="23" t="s">
        <v>949</v>
      </c>
      <c r="F181" s="23" t="s">
        <v>743</v>
      </c>
      <c r="G181" s="23" t="s">
        <v>950</v>
      </c>
    </row>
    <row r="182" spans="1:7" ht="13.5">
      <c r="A182" s="23" t="s">
        <v>951</v>
      </c>
      <c r="B182" s="23" t="s">
        <v>952</v>
      </c>
      <c r="D182" s="23" t="s">
        <v>334</v>
      </c>
      <c r="E182" s="23" t="s">
        <v>953</v>
      </c>
      <c r="F182" s="23" t="s">
        <v>747</v>
      </c>
      <c r="G182" s="23" t="s">
        <v>954</v>
      </c>
    </row>
    <row r="183" spans="1:7" ht="13.5">
      <c r="A183" s="23" t="s">
        <v>955</v>
      </c>
      <c r="B183" s="23" t="s">
        <v>956</v>
      </c>
      <c r="D183" s="23" t="s">
        <v>284</v>
      </c>
      <c r="E183" s="23" t="s">
        <v>957</v>
      </c>
      <c r="F183" s="23" t="s">
        <v>752</v>
      </c>
      <c r="G183" s="23" t="s">
        <v>958</v>
      </c>
    </row>
    <row r="184" spans="1:7" ht="13.5">
      <c r="A184" s="23" t="s">
        <v>959</v>
      </c>
      <c r="B184" s="23" t="s">
        <v>960</v>
      </c>
      <c r="D184" s="23" t="s">
        <v>961</v>
      </c>
      <c r="E184" s="23" t="s">
        <v>957</v>
      </c>
      <c r="F184" s="23" t="s">
        <v>752</v>
      </c>
      <c r="G184" s="23" t="s">
        <v>958</v>
      </c>
    </row>
    <row r="185" spans="1:7" ht="13.5">
      <c r="A185" s="23" t="s">
        <v>962</v>
      </c>
      <c r="B185" s="23" t="s">
        <v>963</v>
      </c>
      <c r="D185" s="23" t="s">
        <v>964</v>
      </c>
      <c r="E185" s="23" t="s">
        <v>965</v>
      </c>
      <c r="F185" s="23" t="s">
        <v>755</v>
      </c>
      <c r="G185" s="23" t="s">
        <v>966</v>
      </c>
    </row>
    <row r="186" spans="1:7" ht="13.5">
      <c r="A186" s="23" t="s">
        <v>967</v>
      </c>
      <c r="B186" s="23" t="s">
        <v>968</v>
      </c>
      <c r="D186" s="23" t="s">
        <v>969</v>
      </c>
      <c r="E186" s="23" t="s">
        <v>970</v>
      </c>
      <c r="F186" s="23" t="s">
        <v>759</v>
      </c>
      <c r="G186" s="23" t="s">
        <v>971</v>
      </c>
    </row>
    <row r="187" spans="1:7" ht="13.5">
      <c r="A187" s="23" t="s">
        <v>972</v>
      </c>
      <c r="B187" s="23" t="s">
        <v>973</v>
      </c>
      <c r="D187" s="23" t="s">
        <v>284</v>
      </c>
      <c r="E187" s="23" t="s">
        <v>974</v>
      </c>
      <c r="F187" s="23" t="s">
        <v>763</v>
      </c>
      <c r="G187" s="23" t="s">
        <v>975</v>
      </c>
    </row>
    <row r="188" spans="1:7" ht="13.5">
      <c r="A188" s="23" t="s">
        <v>976</v>
      </c>
      <c r="B188" s="23" t="s">
        <v>977</v>
      </c>
      <c r="D188" s="23" t="s">
        <v>978</v>
      </c>
      <c r="E188" s="23" t="s">
        <v>974</v>
      </c>
      <c r="F188" s="23" t="s">
        <v>763</v>
      </c>
      <c r="G188" s="23" t="s">
        <v>975</v>
      </c>
    </row>
    <row r="189" spans="1:7" ht="13.5">
      <c r="A189" s="23" t="s">
        <v>979</v>
      </c>
      <c r="B189" s="23" t="s">
        <v>980</v>
      </c>
      <c r="D189" s="23" t="s">
        <v>586</v>
      </c>
      <c r="E189" s="23" t="s">
        <v>981</v>
      </c>
      <c r="F189" s="23" t="s">
        <v>766</v>
      </c>
      <c r="G189" s="23" t="s">
        <v>982</v>
      </c>
    </row>
    <row r="190" spans="1:7" ht="13.5">
      <c r="A190" s="23" t="s">
        <v>983</v>
      </c>
      <c r="B190" s="23" t="s">
        <v>984</v>
      </c>
      <c r="D190" s="23" t="s">
        <v>538</v>
      </c>
      <c r="E190" s="23" t="s">
        <v>981</v>
      </c>
      <c r="F190" s="23" t="s">
        <v>766</v>
      </c>
      <c r="G190" s="23" t="s">
        <v>982</v>
      </c>
    </row>
    <row r="191" spans="1:7" ht="13.5">
      <c r="A191" s="23" t="s">
        <v>985</v>
      </c>
      <c r="B191" s="23" t="s">
        <v>986</v>
      </c>
      <c r="D191" s="23" t="s">
        <v>391</v>
      </c>
      <c r="E191" s="23" t="s">
        <v>987</v>
      </c>
      <c r="F191" s="23" t="s">
        <v>771</v>
      </c>
      <c r="G191" s="23" t="s">
        <v>988</v>
      </c>
    </row>
    <row r="192" spans="1:7" ht="13.5">
      <c r="A192" s="23" t="s">
        <v>989</v>
      </c>
      <c r="B192" s="23" t="s">
        <v>990</v>
      </c>
      <c r="D192" s="23" t="s">
        <v>991</v>
      </c>
      <c r="E192" s="23" t="s">
        <v>987</v>
      </c>
      <c r="F192" s="23" t="s">
        <v>771</v>
      </c>
      <c r="G192" s="23" t="s">
        <v>988</v>
      </c>
    </row>
    <row r="193" spans="1:7" ht="13.5">
      <c r="A193" s="23" t="s">
        <v>992</v>
      </c>
      <c r="B193" s="23" t="s">
        <v>993</v>
      </c>
      <c r="D193" s="23" t="s">
        <v>334</v>
      </c>
      <c r="E193" s="23" t="s">
        <v>994</v>
      </c>
      <c r="F193" s="23" t="s">
        <v>773</v>
      </c>
      <c r="G193" s="23" t="s">
        <v>995</v>
      </c>
    </row>
    <row r="194" spans="1:7" ht="13.5">
      <c r="A194" s="23" t="s">
        <v>996</v>
      </c>
      <c r="B194" s="23" t="s">
        <v>997</v>
      </c>
      <c r="D194" s="23" t="s">
        <v>334</v>
      </c>
      <c r="E194" s="23" t="s">
        <v>998</v>
      </c>
      <c r="F194" s="23" t="s">
        <v>777</v>
      </c>
      <c r="G194" s="23" t="s">
        <v>999</v>
      </c>
    </row>
    <row r="195" spans="1:7" ht="13.5">
      <c r="A195" s="23" t="s">
        <v>1000</v>
      </c>
      <c r="B195" s="23" t="s">
        <v>1001</v>
      </c>
      <c r="D195" s="23" t="s">
        <v>1002</v>
      </c>
      <c r="E195" s="23" t="s">
        <v>1003</v>
      </c>
      <c r="F195" s="23" t="s">
        <v>781</v>
      </c>
      <c r="G195" s="23" t="s">
        <v>1004</v>
      </c>
    </row>
    <row r="196" spans="1:7" ht="13.5">
      <c r="A196" s="23" t="s">
        <v>1005</v>
      </c>
      <c r="B196" s="23" t="s">
        <v>1006</v>
      </c>
      <c r="D196" s="23" t="s">
        <v>358</v>
      </c>
      <c r="E196" s="23" t="s">
        <v>1007</v>
      </c>
      <c r="F196" s="23" t="s">
        <v>783</v>
      </c>
      <c r="G196" s="23" t="s">
        <v>1008</v>
      </c>
    </row>
    <row r="197" spans="1:7" ht="13.5">
      <c r="A197" s="23" t="s">
        <v>1009</v>
      </c>
      <c r="B197" s="23" t="s">
        <v>1010</v>
      </c>
      <c r="D197" s="23" t="s">
        <v>384</v>
      </c>
      <c r="E197" s="23" t="s">
        <v>1007</v>
      </c>
      <c r="F197" s="23" t="s">
        <v>783</v>
      </c>
      <c r="G197" s="23" t="s">
        <v>1008</v>
      </c>
    </row>
    <row r="198" spans="1:7" ht="13.5">
      <c r="A198" s="23" t="s">
        <v>1011</v>
      </c>
      <c r="B198" s="23" t="s">
        <v>1012</v>
      </c>
      <c r="D198" s="23" t="s">
        <v>586</v>
      </c>
      <c r="E198" s="23" t="s">
        <v>1013</v>
      </c>
      <c r="F198" s="23" t="s">
        <v>787</v>
      </c>
      <c r="G198" s="23" t="s">
        <v>1014</v>
      </c>
    </row>
    <row r="199" spans="1:7" ht="13.5">
      <c r="A199" s="23" t="s">
        <v>1015</v>
      </c>
      <c r="B199" s="23" t="s">
        <v>1016</v>
      </c>
      <c r="D199" s="23" t="s">
        <v>591</v>
      </c>
      <c r="E199" s="23" t="s">
        <v>1013</v>
      </c>
      <c r="F199" s="23" t="s">
        <v>787</v>
      </c>
      <c r="G199" s="23" t="s">
        <v>1014</v>
      </c>
    </row>
    <row r="200" spans="1:7" ht="13.5">
      <c r="A200" s="23" t="s">
        <v>1017</v>
      </c>
      <c r="B200" s="23" t="s">
        <v>1018</v>
      </c>
      <c r="D200" s="23" t="s">
        <v>541</v>
      </c>
      <c r="E200" s="23" t="s">
        <v>1019</v>
      </c>
      <c r="F200" s="23" t="s">
        <v>791</v>
      </c>
      <c r="G200" s="23" t="s">
        <v>1020</v>
      </c>
    </row>
    <row r="201" spans="1:7" ht="13.5">
      <c r="A201" s="23" t="s">
        <v>1021</v>
      </c>
      <c r="B201" s="23" t="s">
        <v>1022</v>
      </c>
      <c r="D201" s="23" t="s">
        <v>546</v>
      </c>
      <c r="E201" s="23" t="s">
        <v>1019</v>
      </c>
      <c r="F201" s="23" t="s">
        <v>791</v>
      </c>
      <c r="G201" s="23" t="s">
        <v>1020</v>
      </c>
    </row>
    <row r="202" spans="1:7" ht="13.5">
      <c r="A202" s="23" t="s">
        <v>1023</v>
      </c>
      <c r="B202" s="23" t="s">
        <v>1024</v>
      </c>
      <c r="D202" s="23" t="s">
        <v>334</v>
      </c>
      <c r="E202" s="23" t="s">
        <v>1025</v>
      </c>
      <c r="F202" s="23" t="s">
        <v>794</v>
      </c>
      <c r="G202" s="23" t="s">
        <v>1026</v>
      </c>
    </row>
    <row r="203" spans="1:7" ht="13.5">
      <c r="A203" s="23" t="s">
        <v>1027</v>
      </c>
      <c r="B203" s="23" t="s">
        <v>1028</v>
      </c>
      <c r="D203" s="23" t="s">
        <v>284</v>
      </c>
      <c r="E203" s="23" t="s">
        <v>1029</v>
      </c>
      <c r="F203" s="23" t="s">
        <v>799</v>
      </c>
      <c r="G203" s="23" t="s">
        <v>1030</v>
      </c>
    </row>
    <row r="204" spans="1:7" ht="13.5">
      <c r="A204" s="23" t="s">
        <v>1031</v>
      </c>
      <c r="B204" s="23" t="s">
        <v>1032</v>
      </c>
      <c r="D204" s="23" t="s">
        <v>1033</v>
      </c>
      <c r="E204" s="23" t="s">
        <v>1034</v>
      </c>
      <c r="F204" s="23" t="s">
        <v>801</v>
      </c>
      <c r="G204" s="23" t="s">
        <v>1035</v>
      </c>
    </row>
    <row r="205" spans="1:7" ht="13.5">
      <c r="A205" s="23" t="s">
        <v>1036</v>
      </c>
      <c r="B205" s="23" t="s">
        <v>1037</v>
      </c>
      <c r="D205" s="23" t="s">
        <v>1038</v>
      </c>
      <c r="E205" s="23" t="s">
        <v>1039</v>
      </c>
      <c r="F205" s="23" t="s">
        <v>805</v>
      </c>
      <c r="G205" s="23" t="s">
        <v>1040</v>
      </c>
    </row>
    <row r="206" spans="1:7" ht="13.5">
      <c r="A206" s="23" t="s">
        <v>1041</v>
      </c>
      <c r="B206" s="23" t="s">
        <v>1042</v>
      </c>
      <c r="D206" s="23" t="s">
        <v>538</v>
      </c>
      <c r="E206" s="23" t="s">
        <v>1039</v>
      </c>
      <c r="F206" s="23" t="s">
        <v>805</v>
      </c>
      <c r="G206" s="23" t="s">
        <v>1040</v>
      </c>
    </row>
    <row r="207" spans="1:7" ht="13.5">
      <c r="A207" s="23" t="s">
        <v>1043</v>
      </c>
      <c r="B207" s="23" t="s">
        <v>1044</v>
      </c>
      <c r="D207" s="23" t="s">
        <v>334</v>
      </c>
      <c r="E207" s="23" t="s">
        <v>1045</v>
      </c>
      <c r="F207" s="23" t="s">
        <v>807</v>
      </c>
      <c r="G207" s="23" t="s">
        <v>1046</v>
      </c>
    </row>
    <row r="208" spans="1:7" ht="13.5">
      <c r="A208" s="23" t="s">
        <v>1047</v>
      </c>
      <c r="B208" s="23" t="s">
        <v>1048</v>
      </c>
      <c r="D208" s="23" t="s">
        <v>538</v>
      </c>
      <c r="E208" s="23" t="s">
        <v>1045</v>
      </c>
      <c r="F208" s="23" t="s">
        <v>807</v>
      </c>
      <c r="G208" s="23" t="s">
        <v>1046</v>
      </c>
    </row>
    <row r="209" spans="1:7" ht="13.5">
      <c r="A209" s="23" t="s">
        <v>1049</v>
      </c>
      <c r="B209" s="23" t="s">
        <v>1050</v>
      </c>
      <c r="D209" s="23" t="s">
        <v>586</v>
      </c>
      <c r="E209" s="23" t="s">
        <v>1051</v>
      </c>
      <c r="F209" s="23" t="s">
        <v>811</v>
      </c>
      <c r="G209" s="23" t="s">
        <v>1052</v>
      </c>
    </row>
    <row r="210" spans="1:7" ht="13.5">
      <c r="A210" s="23" t="s">
        <v>1053</v>
      </c>
      <c r="B210" s="23" t="s">
        <v>1054</v>
      </c>
      <c r="D210" s="23" t="s">
        <v>334</v>
      </c>
      <c r="E210" s="23" t="s">
        <v>1055</v>
      </c>
      <c r="F210" s="23" t="s">
        <v>814</v>
      </c>
      <c r="G210" s="23" t="s">
        <v>1056</v>
      </c>
    </row>
    <row r="211" spans="1:7" ht="13.5">
      <c r="A211" s="23" t="s">
        <v>1057</v>
      </c>
      <c r="B211" s="23" t="s">
        <v>1058</v>
      </c>
      <c r="D211" s="23" t="s">
        <v>410</v>
      </c>
      <c r="E211" s="23" t="s">
        <v>1059</v>
      </c>
      <c r="F211" s="23" t="s">
        <v>819</v>
      </c>
      <c r="G211" s="23" t="s">
        <v>1060</v>
      </c>
    </row>
    <row r="212" spans="1:7" ht="13.5">
      <c r="A212" s="23" t="s">
        <v>1061</v>
      </c>
      <c r="B212" s="23" t="s">
        <v>1062</v>
      </c>
      <c r="D212" s="23" t="s">
        <v>634</v>
      </c>
      <c r="E212" s="23" t="s">
        <v>1059</v>
      </c>
      <c r="F212" s="23" t="s">
        <v>819</v>
      </c>
      <c r="G212" s="23" t="s">
        <v>1060</v>
      </c>
    </row>
    <row r="213" spans="1:7" ht="13.5">
      <c r="A213" s="23" t="s">
        <v>1063</v>
      </c>
      <c r="B213" s="23" t="s">
        <v>1064</v>
      </c>
      <c r="D213" s="23" t="s">
        <v>1065</v>
      </c>
      <c r="E213" s="23" t="s">
        <v>1066</v>
      </c>
      <c r="F213" s="23" t="s">
        <v>821</v>
      </c>
      <c r="G213" s="23" t="s">
        <v>1067</v>
      </c>
    </row>
    <row r="214" spans="1:7" ht="13.5">
      <c r="A214" s="23" t="s">
        <v>1068</v>
      </c>
      <c r="B214" s="23" t="s">
        <v>1069</v>
      </c>
      <c r="D214" s="23" t="s">
        <v>1070</v>
      </c>
      <c r="E214" s="23" t="s">
        <v>1066</v>
      </c>
      <c r="F214" s="23" t="s">
        <v>821</v>
      </c>
      <c r="G214" s="23" t="s">
        <v>1067</v>
      </c>
    </row>
    <row r="215" spans="1:7" ht="13.5">
      <c r="A215" s="23" t="s">
        <v>1071</v>
      </c>
      <c r="B215" s="23" t="s">
        <v>1072</v>
      </c>
      <c r="D215" s="23" t="s">
        <v>586</v>
      </c>
      <c r="E215" s="23" t="s">
        <v>1073</v>
      </c>
      <c r="F215" s="23" t="s">
        <v>826</v>
      </c>
      <c r="G215" s="23" t="s">
        <v>1074</v>
      </c>
    </row>
    <row r="216" spans="1:7" ht="13.5">
      <c r="D216" s="23" t="s">
        <v>379</v>
      </c>
      <c r="E216" s="23" t="s">
        <v>1075</v>
      </c>
      <c r="F216" s="23" t="s">
        <v>828</v>
      </c>
      <c r="G216" s="23" t="s">
        <v>1076</v>
      </c>
    </row>
    <row r="217" spans="1:7" ht="13.5">
      <c r="D217" s="23" t="s">
        <v>1077</v>
      </c>
      <c r="E217" s="23" t="s">
        <v>1075</v>
      </c>
      <c r="F217" s="23" t="s">
        <v>828</v>
      </c>
      <c r="G217" s="23" t="s">
        <v>1076</v>
      </c>
    </row>
    <row r="218" spans="1:7" ht="13.5">
      <c r="D218" s="23" t="s">
        <v>1078</v>
      </c>
      <c r="E218" s="23" t="s">
        <v>1079</v>
      </c>
      <c r="F218" s="23" t="s">
        <v>832</v>
      </c>
      <c r="G218" s="23" t="s">
        <v>1080</v>
      </c>
    </row>
    <row r="219" spans="1:7" ht="13.5">
      <c r="D219" s="23" t="s">
        <v>1002</v>
      </c>
      <c r="E219" s="23" t="s">
        <v>1081</v>
      </c>
      <c r="F219" s="23" t="s">
        <v>834</v>
      </c>
      <c r="G219" s="23" t="s">
        <v>1082</v>
      </c>
    </row>
    <row r="220" spans="1:7" ht="13.5">
      <c r="D220" s="23" t="s">
        <v>284</v>
      </c>
      <c r="E220" s="23" t="s">
        <v>1083</v>
      </c>
      <c r="F220" s="23" t="s">
        <v>838</v>
      </c>
      <c r="G220" s="23" t="s">
        <v>1084</v>
      </c>
    </row>
    <row r="221" spans="1:7" ht="13.5">
      <c r="D221" s="23" t="s">
        <v>358</v>
      </c>
      <c r="E221" s="23" t="s">
        <v>1085</v>
      </c>
      <c r="F221" s="23" t="s">
        <v>840</v>
      </c>
      <c r="G221" s="23" t="s">
        <v>1086</v>
      </c>
    </row>
    <row r="222" spans="1:7" ht="13.5">
      <c r="D222" s="23" t="s">
        <v>292</v>
      </c>
      <c r="E222" s="23" t="s">
        <v>1087</v>
      </c>
      <c r="F222" s="23" t="s">
        <v>844</v>
      </c>
      <c r="G222" s="23" t="s">
        <v>1088</v>
      </c>
    </row>
    <row r="223" spans="1:7" ht="13.5">
      <c r="D223" s="23" t="s">
        <v>297</v>
      </c>
      <c r="E223" s="23" t="s">
        <v>1087</v>
      </c>
      <c r="F223" s="23" t="s">
        <v>844</v>
      </c>
      <c r="G223" s="23" t="s">
        <v>1088</v>
      </c>
    </row>
    <row r="224" spans="1:7" ht="13.5">
      <c r="D224" s="23" t="s">
        <v>334</v>
      </c>
      <c r="E224" s="23" t="s">
        <v>1089</v>
      </c>
      <c r="F224" s="23" t="s">
        <v>848</v>
      </c>
      <c r="G224" s="23" t="s">
        <v>1090</v>
      </c>
    </row>
    <row r="225" spans="4:7" ht="13.5">
      <c r="D225" s="23" t="s">
        <v>603</v>
      </c>
      <c r="E225" s="23" t="s">
        <v>1091</v>
      </c>
      <c r="F225" s="23" t="s">
        <v>852</v>
      </c>
      <c r="G225" s="23" t="s">
        <v>1092</v>
      </c>
    </row>
    <row r="226" spans="4:7" ht="13.5">
      <c r="D226" s="23" t="s">
        <v>334</v>
      </c>
      <c r="E226" s="23" t="s">
        <v>1093</v>
      </c>
      <c r="F226" s="23" t="s">
        <v>856</v>
      </c>
      <c r="G226" s="23" t="s">
        <v>1094</v>
      </c>
    </row>
    <row r="227" spans="4:7" ht="13.5">
      <c r="D227" s="23" t="s">
        <v>1095</v>
      </c>
      <c r="E227" s="23" t="s">
        <v>1096</v>
      </c>
      <c r="F227" s="23" t="s">
        <v>860</v>
      </c>
      <c r="G227" s="23" t="s">
        <v>1097</v>
      </c>
    </row>
    <row r="228" spans="4:7" ht="13.5">
      <c r="D228" s="23" t="s">
        <v>334</v>
      </c>
      <c r="E228" s="23" t="s">
        <v>1098</v>
      </c>
      <c r="F228" s="23" t="s">
        <v>864</v>
      </c>
      <c r="G228" s="23" t="s">
        <v>1099</v>
      </c>
    </row>
    <row r="229" spans="4:7" ht="13.5">
      <c r="D229" s="23" t="s">
        <v>1100</v>
      </c>
      <c r="E229" s="23" t="s">
        <v>1101</v>
      </c>
      <c r="F229" s="23" t="s">
        <v>868</v>
      </c>
      <c r="G229" s="23" t="s">
        <v>1102</v>
      </c>
    </row>
    <row r="230" spans="4:7" ht="13.5">
      <c r="D230" s="23" t="s">
        <v>1103</v>
      </c>
      <c r="E230" s="23" t="s">
        <v>1101</v>
      </c>
      <c r="F230" s="23" t="s">
        <v>868</v>
      </c>
      <c r="G230" s="23" t="s">
        <v>1102</v>
      </c>
    </row>
    <row r="231" spans="4:7" ht="13.5">
      <c r="D231" s="23" t="s">
        <v>334</v>
      </c>
      <c r="E231" s="23" t="s">
        <v>1104</v>
      </c>
      <c r="F231" s="23" t="s">
        <v>872</v>
      </c>
      <c r="G231" s="23" t="s">
        <v>1105</v>
      </c>
    </row>
    <row r="232" spans="4:7" ht="13.5">
      <c r="D232" s="23" t="s">
        <v>472</v>
      </c>
      <c r="E232" s="23" t="s">
        <v>1104</v>
      </c>
      <c r="F232" s="23" t="s">
        <v>872</v>
      </c>
      <c r="G232" s="23" t="s">
        <v>1105</v>
      </c>
    </row>
    <row r="233" spans="4:7" ht="13.5">
      <c r="D233" s="23" t="s">
        <v>292</v>
      </c>
      <c r="E233" s="23" t="s">
        <v>1106</v>
      </c>
      <c r="F233" s="23" t="s">
        <v>875</v>
      </c>
      <c r="G233" s="23" t="s">
        <v>1107</v>
      </c>
    </row>
    <row r="234" spans="4:7" ht="13.5">
      <c r="D234" s="23" t="s">
        <v>297</v>
      </c>
      <c r="E234" s="23" t="s">
        <v>1106</v>
      </c>
      <c r="F234" s="23" t="s">
        <v>875</v>
      </c>
      <c r="G234" s="23" t="s">
        <v>1107</v>
      </c>
    </row>
    <row r="235" spans="4:7" ht="13.5">
      <c r="D235" s="23" t="s">
        <v>379</v>
      </c>
      <c r="E235" s="23" t="s">
        <v>1108</v>
      </c>
      <c r="F235" s="23" t="s">
        <v>879</v>
      </c>
      <c r="G235" s="23" t="s">
        <v>1109</v>
      </c>
    </row>
    <row r="236" spans="4:7" ht="13.5">
      <c r="D236" s="23" t="s">
        <v>634</v>
      </c>
      <c r="E236" s="23" t="s">
        <v>1108</v>
      </c>
      <c r="F236" s="23" t="s">
        <v>879</v>
      </c>
      <c r="G236" s="23" t="s">
        <v>1109</v>
      </c>
    </row>
    <row r="237" spans="4:7" ht="13.5">
      <c r="D237" s="23" t="s">
        <v>652</v>
      </c>
      <c r="E237" s="23" t="s">
        <v>1110</v>
      </c>
      <c r="F237" s="23" t="s">
        <v>883</v>
      </c>
      <c r="G237" s="23" t="s">
        <v>1111</v>
      </c>
    </row>
    <row r="238" spans="4:7" ht="13.5">
      <c r="D238" s="23" t="s">
        <v>603</v>
      </c>
      <c r="E238" s="23" t="s">
        <v>1112</v>
      </c>
      <c r="F238" s="23" t="s">
        <v>885</v>
      </c>
      <c r="G238" s="23" t="s">
        <v>1113</v>
      </c>
    </row>
    <row r="239" spans="4:7" ht="13.5">
      <c r="D239" s="23" t="s">
        <v>292</v>
      </c>
      <c r="E239" s="23" t="s">
        <v>1114</v>
      </c>
      <c r="F239" s="23" t="s">
        <v>889</v>
      </c>
      <c r="G239" s="23" t="s">
        <v>1115</v>
      </c>
    </row>
    <row r="240" spans="4:7" ht="13.5">
      <c r="D240" s="23" t="s">
        <v>297</v>
      </c>
      <c r="E240" s="23" t="s">
        <v>1114</v>
      </c>
      <c r="F240" s="23" t="s">
        <v>889</v>
      </c>
      <c r="G240" s="23" t="s">
        <v>1115</v>
      </c>
    </row>
    <row r="241" spans="4:7" ht="13.5">
      <c r="D241" s="23" t="s">
        <v>541</v>
      </c>
      <c r="E241" s="23" t="s">
        <v>1116</v>
      </c>
      <c r="F241" s="23" t="s">
        <v>891</v>
      </c>
      <c r="G241" s="23" t="s">
        <v>1117</v>
      </c>
    </row>
    <row r="242" spans="4:7" ht="13.5">
      <c r="D242" s="23" t="s">
        <v>339</v>
      </c>
      <c r="E242" s="23" t="s">
        <v>1116</v>
      </c>
      <c r="F242" s="23" t="s">
        <v>891</v>
      </c>
      <c r="G242" s="23" t="s">
        <v>1117</v>
      </c>
    </row>
    <row r="243" spans="4:7" ht="13.5">
      <c r="D243" s="23" t="s">
        <v>541</v>
      </c>
      <c r="E243" s="23" t="s">
        <v>1118</v>
      </c>
      <c r="F243" s="23" t="s">
        <v>895</v>
      </c>
      <c r="G243" s="23" t="s">
        <v>1119</v>
      </c>
    </row>
    <row r="244" spans="4:7" ht="13.5">
      <c r="D244" s="23" t="s">
        <v>546</v>
      </c>
      <c r="E244" s="23" t="s">
        <v>1118</v>
      </c>
      <c r="F244" s="23" t="s">
        <v>895</v>
      </c>
      <c r="G244" s="23" t="s">
        <v>1119</v>
      </c>
    </row>
    <row r="245" spans="4:7" ht="13.5">
      <c r="D245" s="23" t="s">
        <v>1120</v>
      </c>
      <c r="E245" s="23" t="s">
        <v>1121</v>
      </c>
      <c r="F245" s="23" t="s">
        <v>898</v>
      </c>
      <c r="G245" s="23" t="s">
        <v>1122</v>
      </c>
    </row>
    <row r="246" spans="4:7" ht="13.5">
      <c r="D246" s="23" t="s">
        <v>1123</v>
      </c>
      <c r="E246" s="23" t="s">
        <v>1121</v>
      </c>
      <c r="F246" s="23" t="s">
        <v>898</v>
      </c>
      <c r="G246" s="23" t="s">
        <v>1122</v>
      </c>
    </row>
    <row r="247" spans="4:7" ht="13.5">
      <c r="D247" s="23" t="s">
        <v>1124</v>
      </c>
      <c r="E247" s="23" t="s">
        <v>1125</v>
      </c>
      <c r="F247" s="23" t="s">
        <v>902</v>
      </c>
      <c r="G247" s="23" t="s">
        <v>1126</v>
      </c>
    </row>
    <row r="248" spans="4:7" ht="13.5">
      <c r="D248" s="23" t="s">
        <v>795</v>
      </c>
      <c r="E248" s="23" t="s">
        <v>1127</v>
      </c>
      <c r="F248" s="23" t="s">
        <v>906</v>
      </c>
      <c r="G248" s="23" t="s">
        <v>1128</v>
      </c>
    </row>
    <row r="249" spans="4:7" ht="13.5">
      <c r="D249" s="23" t="s">
        <v>619</v>
      </c>
      <c r="E249" s="23" t="s">
        <v>1127</v>
      </c>
      <c r="F249" s="23" t="s">
        <v>906</v>
      </c>
      <c r="G249" s="23" t="s">
        <v>1128</v>
      </c>
    </row>
    <row r="250" spans="4:7" ht="13.5">
      <c r="D250" s="23" t="s">
        <v>284</v>
      </c>
      <c r="E250" s="23" t="s">
        <v>1129</v>
      </c>
      <c r="F250" s="23" t="s">
        <v>908</v>
      </c>
      <c r="G250" s="23" t="s">
        <v>1130</v>
      </c>
    </row>
    <row r="251" spans="4:7" ht="13.5">
      <c r="D251" s="23" t="s">
        <v>1078</v>
      </c>
      <c r="E251" s="23" t="s">
        <v>1131</v>
      </c>
      <c r="F251" s="23" t="s">
        <v>912</v>
      </c>
      <c r="G251" s="23" t="s">
        <v>1132</v>
      </c>
    </row>
    <row r="252" spans="4:7" ht="13.5">
      <c r="D252" s="23" t="s">
        <v>591</v>
      </c>
      <c r="E252" s="23" t="s">
        <v>1131</v>
      </c>
      <c r="F252" s="23" t="s">
        <v>912</v>
      </c>
      <c r="G252" s="23" t="s">
        <v>1132</v>
      </c>
    </row>
    <row r="253" spans="4:7" ht="13.5">
      <c r="D253" s="23" t="s">
        <v>284</v>
      </c>
      <c r="E253" s="23" t="s">
        <v>1133</v>
      </c>
      <c r="F253" s="23" t="s">
        <v>916</v>
      </c>
      <c r="G253" s="23" t="s">
        <v>1134</v>
      </c>
    </row>
    <row r="254" spans="4:7" ht="13.5">
      <c r="D254" s="23" t="s">
        <v>334</v>
      </c>
      <c r="E254" s="23" t="s">
        <v>1135</v>
      </c>
      <c r="F254" s="23" t="s">
        <v>920</v>
      </c>
      <c r="G254" s="23" t="s">
        <v>1136</v>
      </c>
    </row>
    <row r="255" spans="4:7" ht="13.5">
      <c r="D255" s="23" t="s">
        <v>339</v>
      </c>
      <c r="E255" s="23" t="s">
        <v>1135</v>
      </c>
      <c r="F255" s="23" t="s">
        <v>920</v>
      </c>
      <c r="G255" s="23" t="s">
        <v>1136</v>
      </c>
    </row>
    <row r="256" spans="4:7" ht="13.5">
      <c r="D256" s="23" t="s">
        <v>1137</v>
      </c>
      <c r="E256" s="23" t="s">
        <v>1138</v>
      </c>
      <c r="F256" s="23" t="s">
        <v>924</v>
      </c>
      <c r="G256" s="23" t="s">
        <v>1139</v>
      </c>
    </row>
    <row r="257" spans="4:7" ht="13.5">
      <c r="D257" s="23" t="s">
        <v>541</v>
      </c>
      <c r="E257" s="23" t="s">
        <v>1140</v>
      </c>
      <c r="F257" s="23" t="s">
        <v>926</v>
      </c>
      <c r="G257" s="23" t="s">
        <v>1141</v>
      </c>
    </row>
    <row r="258" spans="4:7" ht="13.5">
      <c r="D258" s="23" t="s">
        <v>339</v>
      </c>
      <c r="E258" s="23" t="s">
        <v>1140</v>
      </c>
      <c r="F258" s="23" t="s">
        <v>926</v>
      </c>
      <c r="G258" s="23" t="s">
        <v>1141</v>
      </c>
    </row>
    <row r="259" spans="4:7" ht="13.5">
      <c r="D259" s="23" t="s">
        <v>379</v>
      </c>
      <c r="E259" s="23" t="s">
        <v>1142</v>
      </c>
      <c r="F259" s="23" t="s">
        <v>930</v>
      </c>
      <c r="G259" s="23" t="s">
        <v>1143</v>
      </c>
    </row>
    <row r="260" spans="4:7" ht="13.5">
      <c r="D260" s="23" t="s">
        <v>553</v>
      </c>
      <c r="E260" s="23" t="s">
        <v>1142</v>
      </c>
      <c r="F260" s="23" t="s">
        <v>930</v>
      </c>
      <c r="G260" s="23" t="s">
        <v>1143</v>
      </c>
    </row>
    <row r="261" spans="4:7" ht="13.5">
      <c r="D261" s="23" t="s">
        <v>652</v>
      </c>
      <c r="E261" s="23" t="s">
        <v>1144</v>
      </c>
      <c r="F261" s="23" t="s">
        <v>934</v>
      </c>
      <c r="G261" s="23" t="s">
        <v>1145</v>
      </c>
    </row>
    <row r="262" spans="4:7" ht="13.5">
      <c r="D262" s="23" t="s">
        <v>586</v>
      </c>
      <c r="E262" s="23" t="s">
        <v>1146</v>
      </c>
      <c r="F262" s="23" t="s">
        <v>936</v>
      </c>
      <c r="G262" s="23" t="s">
        <v>1147</v>
      </c>
    </row>
    <row r="263" spans="4:7" ht="13.5">
      <c r="D263" s="23" t="s">
        <v>1148</v>
      </c>
      <c r="E263" s="23" t="s">
        <v>1149</v>
      </c>
      <c r="F263" s="23" t="s">
        <v>940</v>
      </c>
      <c r="G263" s="23" t="s">
        <v>1150</v>
      </c>
    </row>
    <row r="264" spans="4:7" ht="13.5">
      <c r="D264" s="23" t="s">
        <v>652</v>
      </c>
      <c r="E264" s="23" t="s">
        <v>1151</v>
      </c>
      <c r="F264" s="23" t="s">
        <v>942</v>
      </c>
      <c r="G264" s="23" t="s">
        <v>1152</v>
      </c>
    </row>
    <row r="265" spans="4:7" ht="13.5">
      <c r="D265" s="23" t="s">
        <v>284</v>
      </c>
      <c r="E265" s="23" t="s">
        <v>1153</v>
      </c>
      <c r="F265" s="23" t="s">
        <v>946</v>
      </c>
      <c r="G265" s="23" t="s">
        <v>1154</v>
      </c>
    </row>
    <row r="266" spans="4:7" ht="13.5">
      <c r="D266" s="23" t="s">
        <v>1033</v>
      </c>
      <c r="E266" s="23" t="s">
        <v>1155</v>
      </c>
      <c r="F266" s="23" t="s">
        <v>948</v>
      </c>
      <c r="G266" s="23" t="s">
        <v>1156</v>
      </c>
    </row>
    <row r="267" spans="4:7" ht="13.5">
      <c r="D267" s="23" t="s">
        <v>652</v>
      </c>
      <c r="E267" s="23" t="s">
        <v>1157</v>
      </c>
      <c r="F267" s="23" t="s">
        <v>952</v>
      </c>
      <c r="G267" s="23" t="s">
        <v>1158</v>
      </c>
    </row>
    <row r="268" spans="4:7" ht="13.5">
      <c r="D268" s="23" t="s">
        <v>517</v>
      </c>
      <c r="E268" s="23" t="s">
        <v>1159</v>
      </c>
      <c r="F268" s="23" t="s">
        <v>956</v>
      </c>
      <c r="G268" s="23" t="s">
        <v>1160</v>
      </c>
    </row>
    <row r="269" spans="4:7" ht="13.5">
      <c r="D269" s="23" t="s">
        <v>284</v>
      </c>
      <c r="E269" s="23" t="s">
        <v>1161</v>
      </c>
      <c r="F269" s="23" t="s">
        <v>960</v>
      </c>
      <c r="G269" s="23" t="s">
        <v>1162</v>
      </c>
    </row>
    <row r="270" spans="4:7" ht="13.5">
      <c r="D270" s="23" t="s">
        <v>292</v>
      </c>
      <c r="E270" s="23" t="s">
        <v>1163</v>
      </c>
      <c r="F270" s="23" t="s">
        <v>963</v>
      </c>
      <c r="G270" s="23" t="s">
        <v>1164</v>
      </c>
    </row>
    <row r="271" spans="4:7" ht="13.5">
      <c r="D271" s="23" t="s">
        <v>297</v>
      </c>
      <c r="E271" s="23" t="s">
        <v>1163</v>
      </c>
      <c r="F271" s="23" t="s">
        <v>963</v>
      </c>
      <c r="G271" s="23" t="s">
        <v>1164</v>
      </c>
    </row>
    <row r="272" spans="4:7" ht="13.5">
      <c r="D272" s="23" t="s">
        <v>448</v>
      </c>
      <c r="E272" s="23" t="s">
        <v>1165</v>
      </c>
      <c r="F272" s="23" t="s">
        <v>968</v>
      </c>
      <c r="G272" s="23" t="s">
        <v>1166</v>
      </c>
    </row>
    <row r="273" spans="4:7" ht="13.5">
      <c r="D273" s="23" t="s">
        <v>284</v>
      </c>
      <c r="E273" s="23" t="s">
        <v>1167</v>
      </c>
      <c r="F273" s="23" t="s">
        <v>973</v>
      </c>
      <c r="G273" s="23" t="s">
        <v>1168</v>
      </c>
    </row>
    <row r="274" spans="4:7" ht="13.5">
      <c r="D274" s="23" t="s">
        <v>334</v>
      </c>
      <c r="E274" s="23" t="s">
        <v>1169</v>
      </c>
      <c r="F274" s="23" t="s">
        <v>977</v>
      </c>
      <c r="G274" s="23" t="s">
        <v>1170</v>
      </c>
    </row>
    <row r="275" spans="4:7" ht="13.5">
      <c r="D275" s="23" t="s">
        <v>334</v>
      </c>
      <c r="E275" s="23" t="s">
        <v>1171</v>
      </c>
      <c r="F275" s="23" t="s">
        <v>980</v>
      </c>
      <c r="G275" s="23" t="s">
        <v>1172</v>
      </c>
    </row>
    <row r="276" spans="4:7" ht="13.5">
      <c r="D276" s="23" t="s">
        <v>284</v>
      </c>
      <c r="E276" s="23" t="s">
        <v>1173</v>
      </c>
      <c r="F276" s="23" t="s">
        <v>984</v>
      </c>
      <c r="G276" s="23" t="s">
        <v>1174</v>
      </c>
    </row>
    <row r="277" spans="4:7" ht="13.5">
      <c r="D277" s="23" t="s">
        <v>586</v>
      </c>
      <c r="E277" s="23" t="s">
        <v>1175</v>
      </c>
      <c r="F277" s="23" t="s">
        <v>986</v>
      </c>
      <c r="G277" s="23" t="s">
        <v>1176</v>
      </c>
    </row>
    <row r="278" spans="4:7" ht="13.5">
      <c r="D278" s="23" t="s">
        <v>284</v>
      </c>
      <c r="E278" s="23" t="s">
        <v>1177</v>
      </c>
      <c r="F278" s="23" t="s">
        <v>990</v>
      </c>
      <c r="G278" s="23" t="s">
        <v>1178</v>
      </c>
    </row>
    <row r="279" spans="4:7" ht="13.5">
      <c r="D279" s="23" t="s">
        <v>334</v>
      </c>
      <c r="E279" s="23" t="s">
        <v>1179</v>
      </c>
      <c r="F279" s="23" t="s">
        <v>993</v>
      </c>
      <c r="G279" s="23" t="s">
        <v>1180</v>
      </c>
    </row>
    <row r="280" spans="4:7" ht="13.5">
      <c r="D280" s="23" t="s">
        <v>652</v>
      </c>
      <c r="E280" s="23" t="s">
        <v>1181</v>
      </c>
      <c r="F280" s="23" t="s">
        <v>997</v>
      </c>
      <c r="G280" s="23" t="s">
        <v>1182</v>
      </c>
    </row>
    <row r="281" spans="4:7" ht="13.5">
      <c r="D281" s="23" t="s">
        <v>1183</v>
      </c>
      <c r="E281" s="23" t="s">
        <v>1184</v>
      </c>
      <c r="F281" s="23" t="s">
        <v>1001</v>
      </c>
      <c r="G281" s="23" t="s">
        <v>1185</v>
      </c>
    </row>
    <row r="282" spans="4:7" ht="13.5">
      <c r="D282" s="23" t="s">
        <v>546</v>
      </c>
      <c r="E282" s="23" t="s">
        <v>1184</v>
      </c>
      <c r="F282" s="23" t="s">
        <v>1001</v>
      </c>
      <c r="G282" s="23" t="s">
        <v>1185</v>
      </c>
    </row>
    <row r="283" spans="4:7" ht="13.5">
      <c r="D283" s="23" t="s">
        <v>586</v>
      </c>
      <c r="E283" s="23" t="s">
        <v>1186</v>
      </c>
      <c r="F283" s="23" t="s">
        <v>1006</v>
      </c>
      <c r="G283" s="23" t="s">
        <v>1187</v>
      </c>
    </row>
    <row r="284" spans="4:7" ht="13.5">
      <c r="D284" s="23" t="s">
        <v>652</v>
      </c>
      <c r="E284" s="23" t="s">
        <v>1188</v>
      </c>
      <c r="F284" s="23" t="s">
        <v>1010</v>
      </c>
      <c r="G284" s="23" t="s">
        <v>1189</v>
      </c>
    </row>
    <row r="285" spans="4:7" ht="13.5">
      <c r="D285" s="23" t="s">
        <v>1190</v>
      </c>
      <c r="E285" s="23" t="s">
        <v>1191</v>
      </c>
      <c r="F285" s="23" t="s">
        <v>1012</v>
      </c>
      <c r="G285" s="23" t="s">
        <v>1192</v>
      </c>
    </row>
    <row r="286" spans="4:7" ht="13.5">
      <c r="D286" s="23" t="s">
        <v>538</v>
      </c>
      <c r="E286" s="23" t="s">
        <v>1191</v>
      </c>
      <c r="F286" s="23" t="s">
        <v>1012</v>
      </c>
      <c r="G286" s="23" t="s">
        <v>1192</v>
      </c>
    </row>
    <row r="287" spans="4:7" ht="13.5">
      <c r="D287" s="23" t="s">
        <v>334</v>
      </c>
      <c r="E287" s="23" t="s">
        <v>1193</v>
      </c>
      <c r="F287" s="23" t="s">
        <v>1016</v>
      </c>
      <c r="G287" s="23" t="s">
        <v>1194</v>
      </c>
    </row>
    <row r="288" spans="4:7" ht="13.5">
      <c r="D288" s="23" t="s">
        <v>1195</v>
      </c>
      <c r="E288" s="23" t="s">
        <v>1196</v>
      </c>
      <c r="F288" s="23" t="s">
        <v>1018</v>
      </c>
      <c r="G288" s="23" t="s">
        <v>1197</v>
      </c>
    </row>
    <row r="289" spans="4:7" ht="13.5">
      <c r="D289" s="23" t="s">
        <v>553</v>
      </c>
      <c r="E289" s="23" t="s">
        <v>1196</v>
      </c>
      <c r="F289" s="23" t="s">
        <v>1018</v>
      </c>
      <c r="G289" s="23" t="s">
        <v>1197</v>
      </c>
    </row>
    <row r="290" spans="4:7" ht="13.5">
      <c r="D290" s="23" t="s">
        <v>334</v>
      </c>
      <c r="E290" s="23" t="s">
        <v>1198</v>
      </c>
      <c r="F290" s="23" t="s">
        <v>1022</v>
      </c>
      <c r="G290" s="23" t="s">
        <v>1199</v>
      </c>
    </row>
    <row r="291" spans="4:7" ht="13.5">
      <c r="D291" s="23" t="s">
        <v>1200</v>
      </c>
      <c r="E291" s="23" t="s">
        <v>1201</v>
      </c>
      <c r="F291" s="23" t="s">
        <v>1024</v>
      </c>
      <c r="G291" s="23" t="s">
        <v>1202</v>
      </c>
    </row>
    <row r="292" spans="4:7" ht="13.5">
      <c r="D292" s="23" t="s">
        <v>538</v>
      </c>
      <c r="E292" s="23" t="s">
        <v>1201</v>
      </c>
      <c r="F292" s="23" t="s">
        <v>1024</v>
      </c>
      <c r="G292" s="23" t="s">
        <v>1202</v>
      </c>
    </row>
    <row r="293" spans="4:7" ht="13.5">
      <c r="D293" s="23" t="s">
        <v>499</v>
      </c>
      <c r="E293" s="23" t="s">
        <v>1203</v>
      </c>
      <c r="F293" s="23" t="s">
        <v>1028</v>
      </c>
      <c r="G293" s="23" t="s">
        <v>1204</v>
      </c>
    </row>
    <row r="294" spans="4:7" ht="13.5">
      <c r="D294" s="23" t="s">
        <v>334</v>
      </c>
      <c r="E294" s="23" t="s">
        <v>1205</v>
      </c>
      <c r="F294" s="23" t="s">
        <v>1032</v>
      </c>
      <c r="G294" s="23" t="s">
        <v>1206</v>
      </c>
    </row>
    <row r="295" spans="4:7" ht="13.5">
      <c r="D295" s="23" t="s">
        <v>284</v>
      </c>
      <c r="E295" s="23" t="s">
        <v>1207</v>
      </c>
      <c r="F295" s="23" t="s">
        <v>1037</v>
      </c>
      <c r="G295" s="23" t="s">
        <v>1208</v>
      </c>
    </row>
    <row r="296" spans="4:7" ht="13.5">
      <c r="D296" s="23" t="s">
        <v>586</v>
      </c>
      <c r="E296" s="23" t="s">
        <v>1209</v>
      </c>
      <c r="F296" s="23" t="s">
        <v>1042</v>
      </c>
      <c r="G296" s="23" t="s">
        <v>1210</v>
      </c>
    </row>
    <row r="297" spans="4:7" ht="13.5">
      <c r="D297" s="23" t="s">
        <v>1211</v>
      </c>
      <c r="E297" s="23" t="s">
        <v>1212</v>
      </c>
      <c r="F297" s="23" t="s">
        <v>1044</v>
      </c>
      <c r="G297" s="23" t="s">
        <v>1213</v>
      </c>
    </row>
    <row r="298" spans="4:7" ht="13.5">
      <c r="D298" s="23" t="s">
        <v>586</v>
      </c>
      <c r="E298" s="23" t="s">
        <v>1214</v>
      </c>
      <c r="F298" s="23" t="s">
        <v>1048</v>
      </c>
      <c r="G298" s="23" t="s">
        <v>1215</v>
      </c>
    </row>
    <row r="299" spans="4:7" ht="13.5">
      <c r="D299" s="23" t="s">
        <v>538</v>
      </c>
      <c r="E299" s="23" t="s">
        <v>1214</v>
      </c>
      <c r="F299" s="23" t="s">
        <v>1048</v>
      </c>
      <c r="G299" s="23" t="s">
        <v>1215</v>
      </c>
    </row>
    <row r="300" spans="4:7" ht="13.5">
      <c r="D300" s="23" t="s">
        <v>334</v>
      </c>
      <c r="E300" s="23" t="s">
        <v>1216</v>
      </c>
      <c r="F300" s="23" t="s">
        <v>1050</v>
      </c>
      <c r="G300" s="23" t="s">
        <v>1217</v>
      </c>
    </row>
    <row r="301" spans="4:7" ht="13.5">
      <c r="D301" s="23" t="s">
        <v>586</v>
      </c>
      <c r="E301" s="23" t="s">
        <v>1218</v>
      </c>
      <c r="F301" s="23" t="s">
        <v>1054</v>
      </c>
      <c r="G301" s="23" t="s">
        <v>1219</v>
      </c>
    </row>
    <row r="302" spans="4:7" ht="13.5">
      <c r="D302" s="23" t="s">
        <v>586</v>
      </c>
      <c r="E302" s="23" t="s">
        <v>1220</v>
      </c>
      <c r="F302" s="23" t="s">
        <v>1058</v>
      </c>
      <c r="G302" s="23" t="s">
        <v>1221</v>
      </c>
    </row>
    <row r="303" spans="4:7" ht="13.5">
      <c r="D303" s="23" t="s">
        <v>292</v>
      </c>
      <c r="E303" s="23" t="s">
        <v>1222</v>
      </c>
      <c r="F303" s="23" t="s">
        <v>1062</v>
      </c>
      <c r="G303" s="23" t="s">
        <v>1223</v>
      </c>
    </row>
    <row r="304" spans="4:7" ht="13.5">
      <c r="D304" s="23" t="s">
        <v>297</v>
      </c>
      <c r="E304" s="23" t="s">
        <v>1222</v>
      </c>
      <c r="F304" s="23" t="s">
        <v>1062</v>
      </c>
      <c r="G304" s="23" t="s">
        <v>1223</v>
      </c>
    </row>
    <row r="305" spans="4:7" ht="13.5">
      <c r="D305" s="23" t="s">
        <v>541</v>
      </c>
      <c r="E305" s="23" t="s">
        <v>1224</v>
      </c>
      <c r="F305" s="23" t="s">
        <v>1064</v>
      </c>
      <c r="G305" s="23" t="s">
        <v>1225</v>
      </c>
    </row>
    <row r="306" spans="4:7" ht="13.5">
      <c r="D306" s="23" t="s">
        <v>1226</v>
      </c>
      <c r="E306" s="23" t="s">
        <v>1224</v>
      </c>
      <c r="F306" s="23" t="s">
        <v>1064</v>
      </c>
      <c r="G306" s="23" t="s">
        <v>1225</v>
      </c>
    </row>
    <row r="307" spans="4:7" ht="13.5">
      <c r="D307" s="23" t="s">
        <v>586</v>
      </c>
      <c r="E307" s="23" t="s">
        <v>1227</v>
      </c>
      <c r="F307" s="23" t="s">
        <v>1069</v>
      </c>
      <c r="G307" s="23" t="s">
        <v>1228</v>
      </c>
    </row>
    <row r="308" spans="4:7" ht="13.5">
      <c r="D308" s="23" t="s">
        <v>586</v>
      </c>
      <c r="E308" s="23" t="s">
        <v>1229</v>
      </c>
      <c r="F308" s="23" t="s">
        <v>1072</v>
      </c>
      <c r="G308" s="23" t="s">
        <v>1230</v>
      </c>
    </row>
  </sheetData>
  <phoneticPr fontId="27" type="noConversion"/>
  <hyperlinks>
    <hyperlink ref="B4" r:id="rId1" xr:uid="{00000000-0004-0000-0900-000000000000}"/>
    <hyperlink ref="F4" r:id="rId2" xr:uid="{00000000-0004-0000-0900-000001000000}"/>
    <hyperlink ref="F5" r:id="rId3" xr:uid="{00000000-0004-0000-0900-000002000000}"/>
  </hyperlinks>
  <pageMargins left="0.7" right="0.7" top="0.75" bottom="0.75" header="0.3" footer="0.3"/>
  <pageSetup paperSize="9" orientation="portrait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40"/>
  <sheetViews>
    <sheetView topLeftCell="A224" workbookViewId="0"/>
  </sheetViews>
  <sheetFormatPr defaultColWidth="9" defaultRowHeight="13.5"/>
  <cols>
    <col min="1" max="1" width="54.5" style="14" customWidth="1" collapsed="1"/>
    <col min="2" max="16384" width="9" style="15" collapsed="1"/>
  </cols>
  <sheetData>
    <row r="1" spans="1:14" ht="27.95" customHeight="1">
      <c r="A1" s="16" t="s">
        <v>1231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17" t="s">
        <v>1232</v>
      </c>
    </row>
    <row r="3" spans="1:14">
      <c r="A3" s="18" t="s">
        <v>1233</v>
      </c>
    </row>
    <row r="4" spans="1:14">
      <c r="A4" s="18" t="s">
        <v>1234</v>
      </c>
    </row>
    <row r="5" spans="1:14">
      <c r="A5" s="18" t="s">
        <v>1235</v>
      </c>
    </row>
    <row r="6" spans="1:14">
      <c r="A6" s="18" t="s">
        <v>1236</v>
      </c>
    </row>
    <row r="7" spans="1:14">
      <c r="A7" s="18" t="s">
        <v>1237</v>
      </c>
    </row>
    <row r="8" spans="1:14">
      <c r="A8" s="18" t="s">
        <v>1238</v>
      </c>
    </row>
    <row r="9" spans="1:14">
      <c r="A9" s="18" t="s">
        <v>1239</v>
      </c>
    </row>
    <row r="10" spans="1:14">
      <c r="A10" s="18" t="s">
        <v>1240</v>
      </c>
    </row>
    <row r="11" spans="1:14">
      <c r="A11" s="18" t="s">
        <v>1241</v>
      </c>
    </row>
    <row r="12" spans="1:14">
      <c r="A12" s="18" t="s">
        <v>1242</v>
      </c>
    </row>
    <row r="13" spans="1:14">
      <c r="A13" s="18" t="s">
        <v>1243</v>
      </c>
    </row>
    <row r="14" spans="1:14">
      <c r="A14" s="18" t="s">
        <v>1244</v>
      </c>
    </row>
    <row r="15" spans="1:14">
      <c r="A15" s="18" t="s">
        <v>1245</v>
      </c>
    </row>
    <row r="16" spans="1:14">
      <c r="A16" s="18" t="s">
        <v>1246</v>
      </c>
    </row>
    <row r="17" spans="1:1">
      <c r="A17" s="18" t="s">
        <v>1247</v>
      </c>
    </row>
    <row r="18" spans="1:1">
      <c r="A18" s="18" t="s">
        <v>1248</v>
      </c>
    </row>
    <row r="19" spans="1:1">
      <c r="A19" s="18" t="s">
        <v>1249</v>
      </c>
    </row>
    <row r="20" spans="1:1">
      <c r="A20" s="18" t="s">
        <v>1250</v>
      </c>
    </row>
    <row r="21" spans="1:1">
      <c r="A21" s="18" t="s">
        <v>1251</v>
      </c>
    </row>
    <row r="22" spans="1:1">
      <c r="A22" s="18" t="s">
        <v>1252</v>
      </c>
    </row>
    <row r="23" spans="1:1">
      <c r="A23" s="18" t="s">
        <v>1253</v>
      </c>
    </row>
    <row r="24" spans="1:1">
      <c r="A24" s="18" t="s">
        <v>1254</v>
      </c>
    </row>
    <row r="25" spans="1:1">
      <c r="A25" s="18" t="s">
        <v>1255</v>
      </c>
    </row>
    <row r="26" spans="1:1">
      <c r="A26" s="18" t="s">
        <v>1256</v>
      </c>
    </row>
    <row r="27" spans="1:1">
      <c r="A27" s="18" t="s">
        <v>1257</v>
      </c>
    </row>
    <row r="28" spans="1:1">
      <c r="A28" s="18" t="s">
        <v>1258</v>
      </c>
    </row>
    <row r="29" spans="1:1">
      <c r="A29" s="18" t="s">
        <v>1259</v>
      </c>
    </row>
    <row r="30" spans="1:1">
      <c r="A30" s="18" t="s">
        <v>1260</v>
      </c>
    </row>
    <row r="31" spans="1:1">
      <c r="A31" s="18" t="s">
        <v>1261</v>
      </c>
    </row>
    <row r="32" spans="1:1">
      <c r="A32" s="18" t="s">
        <v>1262</v>
      </c>
    </row>
    <row r="33" spans="1:1">
      <c r="A33" s="18" t="s">
        <v>1263</v>
      </c>
    </row>
    <row r="34" spans="1:1">
      <c r="A34" s="18" t="s">
        <v>1264</v>
      </c>
    </row>
    <row r="35" spans="1:1">
      <c r="A35" s="18" t="s">
        <v>1265</v>
      </c>
    </row>
    <row r="36" spans="1:1">
      <c r="A36" s="18" t="s">
        <v>1266</v>
      </c>
    </row>
    <row r="37" spans="1:1">
      <c r="A37" s="18" t="s">
        <v>1267</v>
      </c>
    </row>
    <row r="38" spans="1:1">
      <c r="A38" s="18" t="s">
        <v>1268</v>
      </c>
    </row>
    <row r="39" spans="1:1">
      <c r="A39" s="18" t="s">
        <v>1269</v>
      </c>
    </row>
    <row r="40" spans="1:1">
      <c r="A40" s="18" t="s">
        <v>1270</v>
      </c>
    </row>
    <row r="41" spans="1:1">
      <c r="A41" s="18" t="s">
        <v>1271</v>
      </c>
    </row>
    <row r="42" spans="1:1">
      <c r="A42" s="18" t="s">
        <v>1272</v>
      </c>
    </row>
    <row r="43" spans="1:1">
      <c r="A43" s="18" t="s">
        <v>1273</v>
      </c>
    </row>
    <row r="44" spans="1:1">
      <c r="A44" s="18" t="s">
        <v>1274</v>
      </c>
    </row>
    <row r="45" spans="1:1">
      <c r="A45" s="18" t="s">
        <v>1275</v>
      </c>
    </row>
    <row r="46" spans="1:1">
      <c r="A46" s="18" t="s">
        <v>1276</v>
      </c>
    </row>
    <row r="47" spans="1:1">
      <c r="A47" s="18" t="s">
        <v>1277</v>
      </c>
    </row>
    <row r="48" spans="1:1">
      <c r="A48" s="18" t="s">
        <v>1278</v>
      </c>
    </row>
    <row r="49" spans="1:1">
      <c r="A49" s="18" t="s">
        <v>1279</v>
      </c>
    </row>
    <row r="50" spans="1:1">
      <c r="A50" s="18" t="s">
        <v>1280</v>
      </c>
    </row>
    <row r="51" spans="1:1">
      <c r="A51" s="18" t="s">
        <v>1281</v>
      </c>
    </row>
    <row r="52" spans="1:1">
      <c r="A52" s="18" t="s">
        <v>1282</v>
      </c>
    </row>
    <row r="53" spans="1:1">
      <c r="A53" s="18" t="s">
        <v>1283</v>
      </c>
    </row>
    <row r="54" spans="1:1">
      <c r="A54" s="18" t="s">
        <v>1284</v>
      </c>
    </row>
    <row r="55" spans="1:1">
      <c r="A55" s="18" t="s">
        <v>1285</v>
      </c>
    </row>
    <row r="56" spans="1:1">
      <c r="A56" s="18" t="s">
        <v>1286</v>
      </c>
    </row>
    <row r="57" spans="1:1">
      <c r="A57" s="18" t="s">
        <v>1287</v>
      </c>
    </row>
    <row r="58" spans="1:1">
      <c r="A58" s="18" t="s">
        <v>1288</v>
      </c>
    </row>
    <row r="59" spans="1:1">
      <c r="A59" s="18" t="s">
        <v>1289</v>
      </c>
    </row>
    <row r="60" spans="1:1">
      <c r="A60" s="18" t="s">
        <v>1290</v>
      </c>
    </row>
    <row r="61" spans="1:1">
      <c r="A61" s="18" t="s">
        <v>1291</v>
      </c>
    </row>
    <row r="62" spans="1:1">
      <c r="A62" s="18" t="s">
        <v>1292</v>
      </c>
    </row>
    <row r="63" spans="1:1">
      <c r="A63" s="18" t="s">
        <v>1293</v>
      </c>
    </row>
    <row r="64" spans="1:1">
      <c r="A64" s="18" t="s">
        <v>1294</v>
      </c>
    </row>
    <row r="65" spans="1:1">
      <c r="A65" s="18" t="s">
        <v>1295</v>
      </c>
    </row>
    <row r="66" spans="1:1">
      <c r="A66" s="18" t="s">
        <v>1296</v>
      </c>
    </row>
    <row r="67" spans="1:1">
      <c r="A67" s="18" t="s">
        <v>1297</v>
      </c>
    </row>
    <row r="68" spans="1:1">
      <c r="A68" s="18" t="s">
        <v>1298</v>
      </c>
    </row>
    <row r="69" spans="1:1">
      <c r="A69" s="18" t="s">
        <v>1299</v>
      </c>
    </row>
    <row r="70" spans="1:1">
      <c r="A70" s="18" t="s">
        <v>1300</v>
      </c>
    </row>
    <row r="71" spans="1:1">
      <c r="A71" s="18" t="s">
        <v>1301</v>
      </c>
    </row>
    <row r="72" spans="1:1">
      <c r="A72" s="18" t="s">
        <v>1302</v>
      </c>
    </row>
    <row r="73" spans="1:1">
      <c r="A73" s="18" t="s">
        <v>1303</v>
      </c>
    </row>
    <row r="74" spans="1:1">
      <c r="A74" s="18" t="s">
        <v>1304</v>
      </c>
    </row>
    <row r="75" spans="1:1">
      <c r="A75" s="18" t="s">
        <v>1305</v>
      </c>
    </row>
    <row r="76" spans="1:1">
      <c r="A76" s="18" t="s">
        <v>1306</v>
      </c>
    </row>
    <row r="77" spans="1:1">
      <c r="A77" s="18" t="s">
        <v>1307</v>
      </c>
    </row>
    <row r="78" spans="1:1">
      <c r="A78" s="18" t="s">
        <v>1308</v>
      </c>
    </row>
    <row r="79" spans="1:1">
      <c r="A79" s="18" t="s">
        <v>1309</v>
      </c>
    </row>
    <row r="80" spans="1:1">
      <c r="A80" s="18" t="s">
        <v>1310</v>
      </c>
    </row>
    <row r="81" spans="1:1">
      <c r="A81" s="18" t="s">
        <v>1311</v>
      </c>
    </row>
    <row r="82" spans="1:1">
      <c r="A82" s="18" t="s">
        <v>1312</v>
      </c>
    </row>
    <row r="83" spans="1:1">
      <c r="A83" s="18" t="s">
        <v>1313</v>
      </c>
    </row>
    <row r="84" spans="1:1">
      <c r="A84" s="18" t="s">
        <v>1314</v>
      </c>
    </row>
    <row r="85" spans="1:1">
      <c r="A85" s="18" t="s">
        <v>1315</v>
      </c>
    </row>
    <row r="86" spans="1:1">
      <c r="A86" s="18" t="s">
        <v>1316</v>
      </c>
    </row>
    <row r="87" spans="1:1">
      <c r="A87" s="18" t="s">
        <v>1317</v>
      </c>
    </row>
    <row r="88" spans="1:1">
      <c r="A88" s="18" t="s">
        <v>1318</v>
      </c>
    </row>
    <row r="89" spans="1:1">
      <c r="A89" s="18" t="s">
        <v>1319</v>
      </c>
    </row>
    <row r="90" spans="1:1">
      <c r="A90" s="18" t="s">
        <v>1320</v>
      </c>
    </row>
    <row r="91" spans="1:1">
      <c r="A91" s="18" t="s">
        <v>1321</v>
      </c>
    </row>
    <row r="92" spans="1:1">
      <c r="A92" s="18" t="s">
        <v>1322</v>
      </c>
    </row>
    <row r="93" spans="1:1">
      <c r="A93" s="18" t="s">
        <v>1323</v>
      </c>
    </row>
    <row r="94" spans="1:1">
      <c r="A94" s="18" t="s">
        <v>1324</v>
      </c>
    </row>
    <row r="95" spans="1:1">
      <c r="A95" s="18" t="s">
        <v>1325</v>
      </c>
    </row>
    <row r="96" spans="1:1">
      <c r="A96" s="18" t="s">
        <v>1326</v>
      </c>
    </row>
    <row r="97" spans="1:1">
      <c r="A97" s="18" t="s">
        <v>1327</v>
      </c>
    </row>
    <row r="98" spans="1:1">
      <c r="A98" s="18" t="s">
        <v>1328</v>
      </c>
    </row>
    <row r="99" spans="1:1">
      <c r="A99" s="18" t="s">
        <v>1329</v>
      </c>
    </row>
    <row r="100" spans="1:1">
      <c r="A100" s="18" t="s">
        <v>1330</v>
      </c>
    </row>
    <row r="101" spans="1:1">
      <c r="A101" s="18" t="s">
        <v>1331</v>
      </c>
    </row>
    <row r="102" spans="1:1">
      <c r="A102" s="18" t="s">
        <v>1332</v>
      </c>
    </row>
    <row r="103" spans="1:1">
      <c r="A103" s="18" t="s">
        <v>1333</v>
      </c>
    </row>
    <row r="104" spans="1:1">
      <c r="A104" s="18" t="s">
        <v>1334</v>
      </c>
    </row>
    <row r="105" spans="1:1">
      <c r="A105" s="18" t="s">
        <v>1335</v>
      </c>
    </row>
    <row r="106" spans="1:1">
      <c r="A106" s="18" t="s">
        <v>1336</v>
      </c>
    </row>
    <row r="107" spans="1:1">
      <c r="A107" s="18" t="s">
        <v>1337</v>
      </c>
    </row>
    <row r="108" spans="1:1">
      <c r="A108" s="18" t="s">
        <v>1338</v>
      </c>
    </row>
    <row r="109" spans="1:1">
      <c r="A109" s="18" t="s">
        <v>1339</v>
      </c>
    </row>
    <row r="110" spans="1:1">
      <c r="A110" s="18" t="s">
        <v>1340</v>
      </c>
    </row>
    <row r="111" spans="1:1">
      <c r="A111" s="18" t="s">
        <v>1341</v>
      </c>
    </row>
    <row r="112" spans="1:1">
      <c r="A112" s="18" t="s">
        <v>1342</v>
      </c>
    </row>
    <row r="113" spans="1:1">
      <c r="A113" s="18" t="s">
        <v>1343</v>
      </c>
    </row>
    <row r="114" spans="1:1">
      <c r="A114" s="18" t="s">
        <v>1344</v>
      </c>
    </row>
    <row r="115" spans="1:1">
      <c r="A115" s="18" t="s">
        <v>1345</v>
      </c>
    </row>
    <row r="116" spans="1:1">
      <c r="A116" s="18" t="s">
        <v>1346</v>
      </c>
    </row>
    <row r="117" spans="1:1">
      <c r="A117" s="18" t="s">
        <v>1347</v>
      </c>
    </row>
    <row r="118" spans="1:1">
      <c r="A118" s="18" t="s">
        <v>1348</v>
      </c>
    </row>
    <row r="119" spans="1:1">
      <c r="A119" s="18" t="s">
        <v>1349</v>
      </c>
    </row>
    <row r="120" spans="1:1">
      <c r="A120" s="18" t="s">
        <v>1350</v>
      </c>
    </row>
    <row r="121" spans="1:1">
      <c r="A121" s="18" t="s">
        <v>1351</v>
      </c>
    </row>
    <row r="122" spans="1:1">
      <c r="A122" s="18" t="s">
        <v>1352</v>
      </c>
    </row>
    <row r="123" spans="1:1">
      <c r="A123" s="18" t="s">
        <v>1353</v>
      </c>
    </row>
    <row r="124" spans="1:1">
      <c r="A124" s="18" t="s">
        <v>1354</v>
      </c>
    </row>
    <row r="125" spans="1:1">
      <c r="A125" s="18" t="s">
        <v>1355</v>
      </c>
    </row>
    <row r="126" spans="1:1">
      <c r="A126" s="18" t="s">
        <v>1356</v>
      </c>
    </row>
    <row r="127" spans="1:1">
      <c r="A127" s="18" t="s">
        <v>1357</v>
      </c>
    </row>
    <row r="128" spans="1:1">
      <c r="A128" s="18" t="s">
        <v>1358</v>
      </c>
    </row>
    <row r="129" spans="1:1">
      <c r="A129" s="18" t="s">
        <v>1359</v>
      </c>
    </row>
    <row r="130" spans="1:1">
      <c r="A130" s="18" t="s">
        <v>1360</v>
      </c>
    </row>
    <row r="131" spans="1:1">
      <c r="A131" s="18" t="s">
        <v>1361</v>
      </c>
    </row>
    <row r="132" spans="1:1">
      <c r="A132" s="18" t="s">
        <v>1362</v>
      </c>
    </row>
    <row r="133" spans="1:1">
      <c r="A133" s="18" t="s">
        <v>1363</v>
      </c>
    </row>
    <row r="134" spans="1:1">
      <c r="A134" s="18" t="s">
        <v>1364</v>
      </c>
    </row>
    <row r="135" spans="1:1">
      <c r="A135" s="18" t="s">
        <v>1365</v>
      </c>
    </row>
    <row r="136" spans="1:1">
      <c r="A136" s="18" t="s">
        <v>1366</v>
      </c>
    </row>
    <row r="137" spans="1:1">
      <c r="A137" s="18" t="s">
        <v>1367</v>
      </c>
    </row>
    <row r="138" spans="1:1">
      <c r="A138" s="18" t="s">
        <v>1368</v>
      </c>
    </row>
    <row r="139" spans="1:1">
      <c r="A139" s="18" t="s">
        <v>1369</v>
      </c>
    </row>
    <row r="140" spans="1:1">
      <c r="A140" s="18" t="s">
        <v>1370</v>
      </c>
    </row>
    <row r="141" spans="1:1">
      <c r="A141" s="18" t="s">
        <v>1371</v>
      </c>
    </row>
    <row r="142" spans="1:1">
      <c r="A142" s="18" t="s">
        <v>1372</v>
      </c>
    </row>
    <row r="143" spans="1:1">
      <c r="A143" s="18" t="s">
        <v>1373</v>
      </c>
    </row>
    <row r="144" spans="1:1">
      <c r="A144" s="18" t="s">
        <v>1374</v>
      </c>
    </row>
    <row r="145" spans="1:1">
      <c r="A145" s="18" t="s">
        <v>1375</v>
      </c>
    </row>
    <row r="146" spans="1:1">
      <c r="A146" s="18" t="s">
        <v>1376</v>
      </c>
    </row>
    <row r="147" spans="1:1">
      <c r="A147" s="18" t="s">
        <v>1377</v>
      </c>
    </row>
    <row r="148" spans="1:1">
      <c r="A148" s="18" t="s">
        <v>1378</v>
      </c>
    </row>
    <row r="149" spans="1:1">
      <c r="A149" s="18" t="s">
        <v>1379</v>
      </c>
    </row>
    <row r="150" spans="1:1">
      <c r="A150" s="18" t="s">
        <v>1380</v>
      </c>
    </row>
    <row r="151" spans="1:1">
      <c r="A151" s="18" t="s">
        <v>1381</v>
      </c>
    </row>
    <row r="152" spans="1:1">
      <c r="A152" s="18" t="s">
        <v>1382</v>
      </c>
    </row>
    <row r="153" spans="1:1">
      <c r="A153" s="18" t="s">
        <v>1383</v>
      </c>
    </row>
    <row r="154" spans="1:1">
      <c r="A154" s="18" t="s">
        <v>1384</v>
      </c>
    </row>
    <row r="155" spans="1:1">
      <c r="A155" s="18" t="s">
        <v>1385</v>
      </c>
    </row>
    <row r="156" spans="1:1">
      <c r="A156" s="18" t="s">
        <v>1386</v>
      </c>
    </row>
    <row r="157" spans="1:1">
      <c r="A157" s="18" t="s">
        <v>1387</v>
      </c>
    </row>
    <row r="158" spans="1:1">
      <c r="A158" s="18" t="s">
        <v>1388</v>
      </c>
    </row>
    <row r="159" spans="1:1">
      <c r="A159" s="18" t="s">
        <v>1389</v>
      </c>
    </row>
    <row r="160" spans="1:1">
      <c r="A160" s="18" t="s">
        <v>1390</v>
      </c>
    </row>
    <row r="161" spans="1:1">
      <c r="A161" s="18" t="s">
        <v>1391</v>
      </c>
    </row>
    <row r="162" spans="1:1">
      <c r="A162" s="18" t="s">
        <v>1392</v>
      </c>
    </row>
    <row r="163" spans="1:1">
      <c r="A163" s="18" t="s">
        <v>1393</v>
      </c>
    </row>
    <row r="164" spans="1:1">
      <c r="A164" s="18" t="s">
        <v>1394</v>
      </c>
    </row>
    <row r="165" spans="1:1">
      <c r="A165" s="18" t="s">
        <v>1395</v>
      </c>
    </row>
    <row r="166" spans="1:1">
      <c r="A166" s="18" t="s">
        <v>1396</v>
      </c>
    </row>
    <row r="167" spans="1:1">
      <c r="A167" s="18" t="s">
        <v>1397</v>
      </c>
    </row>
    <row r="168" spans="1:1">
      <c r="A168" s="18" t="s">
        <v>1398</v>
      </c>
    </row>
    <row r="169" spans="1:1">
      <c r="A169" s="18" t="s">
        <v>1399</v>
      </c>
    </row>
    <row r="170" spans="1:1">
      <c r="A170" s="18" t="s">
        <v>1400</v>
      </c>
    </row>
    <row r="171" spans="1:1">
      <c r="A171" s="18" t="s">
        <v>1401</v>
      </c>
    </row>
    <row r="172" spans="1:1">
      <c r="A172" s="18" t="s">
        <v>1402</v>
      </c>
    </row>
    <row r="173" spans="1:1">
      <c r="A173" s="18" t="s">
        <v>1403</v>
      </c>
    </row>
    <row r="174" spans="1:1">
      <c r="A174" s="18" t="s">
        <v>1404</v>
      </c>
    </row>
    <row r="175" spans="1:1">
      <c r="A175" s="18" t="s">
        <v>1405</v>
      </c>
    </row>
    <row r="176" spans="1:1">
      <c r="A176" s="18" t="s">
        <v>1406</v>
      </c>
    </row>
    <row r="177" spans="1:1">
      <c r="A177" s="18" t="s">
        <v>1407</v>
      </c>
    </row>
    <row r="178" spans="1:1">
      <c r="A178" s="18" t="s">
        <v>1408</v>
      </c>
    </row>
    <row r="179" spans="1:1">
      <c r="A179" s="18" t="s">
        <v>1409</v>
      </c>
    </row>
    <row r="180" spans="1:1">
      <c r="A180" s="18" t="s">
        <v>1410</v>
      </c>
    </row>
    <row r="181" spans="1:1">
      <c r="A181" s="18" t="s">
        <v>1411</v>
      </c>
    </row>
    <row r="182" spans="1:1">
      <c r="A182" s="18" t="s">
        <v>1412</v>
      </c>
    </row>
    <row r="183" spans="1:1">
      <c r="A183" s="18" t="s">
        <v>1413</v>
      </c>
    </row>
    <row r="184" spans="1:1">
      <c r="A184" s="18" t="s">
        <v>1414</v>
      </c>
    </row>
    <row r="185" spans="1:1">
      <c r="A185" s="18" t="s">
        <v>1415</v>
      </c>
    </row>
    <row r="186" spans="1:1">
      <c r="A186" s="18" t="s">
        <v>1416</v>
      </c>
    </row>
    <row r="187" spans="1:1">
      <c r="A187" s="18" t="s">
        <v>1417</v>
      </c>
    </row>
    <row r="188" spans="1:1">
      <c r="A188" s="18" t="s">
        <v>1418</v>
      </c>
    </row>
    <row r="189" spans="1:1">
      <c r="A189" s="18" t="s">
        <v>1419</v>
      </c>
    </row>
    <row r="190" spans="1:1">
      <c r="A190" s="18" t="s">
        <v>1420</v>
      </c>
    </row>
    <row r="191" spans="1:1">
      <c r="A191" s="18" t="s">
        <v>1421</v>
      </c>
    </row>
    <row r="192" spans="1:1">
      <c r="A192" s="18" t="s">
        <v>1422</v>
      </c>
    </row>
    <row r="193" spans="1:1">
      <c r="A193" s="18" t="s">
        <v>1423</v>
      </c>
    </row>
    <row r="194" spans="1:1">
      <c r="A194" s="18" t="s">
        <v>1424</v>
      </c>
    </row>
    <row r="195" spans="1:1">
      <c r="A195" s="18" t="s">
        <v>1425</v>
      </c>
    </row>
    <row r="196" spans="1:1">
      <c r="A196" s="18" t="s">
        <v>1426</v>
      </c>
    </row>
    <row r="197" spans="1:1">
      <c r="A197" s="18" t="s">
        <v>1427</v>
      </c>
    </row>
    <row r="198" spans="1:1">
      <c r="A198" s="18" t="s">
        <v>1428</v>
      </c>
    </row>
    <row r="199" spans="1:1">
      <c r="A199" s="18" t="s">
        <v>1429</v>
      </c>
    </row>
    <row r="200" spans="1:1">
      <c r="A200" s="18" t="s">
        <v>1430</v>
      </c>
    </row>
    <row r="201" spans="1:1">
      <c r="A201" s="18" t="s">
        <v>1431</v>
      </c>
    </row>
    <row r="202" spans="1:1">
      <c r="A202" s="18" t="s">
        <v>1432</v>
      </c>
    </row>
    <row r="203" spans="1:1">
      <c r="A203" s="18" t="s">
        <v>767</v>
      </c>
    </row>
    <row r="204" spans="1:1">
      <c r="A204" s="18" t="s">
        <v>1433</v>
      </c>
    </row>
    <row r="205" spans="1:1">
      <c r="A205" s="18" t="s">
        <v>1434</v>
      </c>
    </row>
    <row r="206" spans="1:1">
      <c r="A206" s="18" t="s">
        <v>1435</v>
      </c>
    </row>
    <row r="207" spans="1:1">
      <c r="A207" s="18" t="s">
        <v>1436</v>
      </c>
    </row>
    <row r="208" spans="1:1">
      <c r="A208" s="18" t="s">
        <v>1437</v>
      </c>
    </row>
    <row r="209" spans="1:1">
      <c r="A209" s="18" t="s">
        <v>1438</v>
      </c>
    </row>
    <row r="210" spans="1:1">
      <c r="A210" s="18" t="s">
        <v>1439</v>
      </c>
    </row>
    <row r="211" spans="1:1">
      <c r="A211" s="18" t="s">
        <v>1440</v>
      </c>
    </row>
    <row r="212" spans="1:1">
      <c r="A212" s="18" t="s">
        <v>1441</v>
      </c>
    </row>
    <row r="213" spans="1:1">
      <c r="A213" s="18" t="s">
        <v>1442</v>
      </c>
    </row>
    <row r="214" spans="1:1">
      <c r="A214" s="18" t="s">
        <v>1443</v>
      </c>
    </row>
    <row r="215" spans="1:1">
      <c r="A215" s="18" t="s">
        <v>1444</v>
      </c>
    </row>
    <row r="216" spans="1:1">
      <c r="A216" s="18" t="s">
        <v>1445</v>
      </c>
    </row>
    <row r="217" spans="1:1">
      <c r="A217" s="18" t="s">
        <v>1446</v>
      </c>
    </row>
    <row r="218" spans="1:1">
      <c r="A218" s="18" t="s">
        <v>1447</v>
      </c>
    </row>
    <row r="219" spans="1:1">
      <c r="A219" s="18" t="s">
        <v>1448</v>
      </c>
    </row>
    <row r="220" spans="1:1">
      <c r="A220" s="18" t="s">
        <v>1449</v>
      </c>
    </row>
    <row r="221" spans="1:1">
      <c r="A221" s="18" t="s">
        <v>1450</v>
      </c>
    </row>
    <row r="222" spans="1:1">
      <c r="A222" s="18" t="s">
        <v>1451</v>
      </c>
    </row>
    <row r="223" spans="1:1">
      <c r="A223" s="18" t="s">
        <v>1452</v>
      </c>
    </row>
    <row r="224" spans="1:1">
      <c r="A224" s="18" t="s">
        <v>1453</v>
      </c>
    </row>
    <row r="225" spans="1:1">
      <c r="A225" s="18" t="s">
        <v>1454</v>
      </c>
    </row>
    <row r="226" spans="1:1">
      <c r="A226" s="18" t="s">
        <v>1455</v>
      </c>
    </row>
    <row r="227" spans="1:1">
      <c r="A227" s="18" t="s">
        <v>1456</v>
      </c>
    </row>
    <row r="228" spans="1:1">
      <c r="A228" s="18" t="s">
        <v>1457</v>
      </c>
    </row>
    <row r="229" spans="1:1">
      <c r="A229" s="18" t="s">
        <v>1458</v>
      </c>
    </row>
    <row r="230" spans="1:1">
      <c r="A230" s="18" t="s">
        <v>1459</v>
      </c>
    </row>
    <row r="231" spans="1:1">
      <c r="A231" s="18" t="s">
        <v>1460</v>
      </c>
    </row>
    <row r="232" spans="1:1">
      <c r="A232" s="18" t="s">
        <v>1461</v>
      </c>
    </row>
    <row r="233" spans="1:1">
      <c r="A233" s="18" t="s">
        <v>1462</v>
      </c>
    </row>
    <row r="234" spans="1:1">
      <c r="A234" s="18" t="s">
        <v>1463</v>
      </c>
    </row>
    <row r="235" spans="1:1">
      <c r="A235" s="18" t="s">
        <v>1464</v>
      </c>
    </row>
    <row r="236" spans="1:1">
      <c r="A236" s="18" t="s">
        <v>1465</v>
      </c>
    </row>
    <row r="237" spans="1:1">
      <c r="A237" s="18" t="s">
        <v>1466</v>
      </c>
    </row>
    <row r="238" spans="1:1">
      <c r="A238" s="18" t="s">
        <v>1467</v>
      </c>
    </row>
    <row r="239" spans="1:1">
      <c r="A239" s="18" t="s">
        <v>1468</v>
      </c>
    </row>
    <row r="240" spans="1:1">
      <c r="A240" s="18" t="s">
        <v>1469</v>
      </c>
    </row>
  </sheetData>
  <phoneticPr fontId="27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9"/>
  <sheetViews>
    <sheetView workbookViewId="0">
      <selection activeCell="A17" sqref="A17"/>
    </sheetView>
  </sheetViews>
  <sheetFormatPr defaultColWidth="9" defaultRowHeight="13.5"/>
  <cols>
    <col min="1" max="1" width="12.625" customWidth="1" collapsed="1"/>
    <col min="2" max="2" width="59.625" customWidth="1" collapsed="1"/>
  </cols>
  <sheetData>
    <row r="1" spans="1:2" ht="14.25">
      <c r="A1" s="10" t="s">
        <v>1470</v>
      </c>
      <c r="B1" s="11" t="s">
        <v>1471</v>
      </c>
    </row>
    <row r="2" spans="1:2" ht="14.25">
      <c r="A2" s="12" t="s">
        <v>1472</v>
      </c>
      <c r="B2" s="13" t="s">
        <v>1473</v>
      </c>
    </row>
    <row r="3" spans="1:2" ht="14.25">
      <c r="A3" s="12" t="s">
        <v>227</v>
      </c>
      <c r="B3" s="13" t="s">
        <v>1474</v>
      </c>
    </row>
    <row r="4" spans="1:2" ht="14.25">
      <c r="A4" s="12" t="s">
        <v>1475</v>
      </c>
      <c r="B4" s="13" t="s">
        <v>1476</v>
      </c>
    </row>
    <row r="5" spans="1:2" ht="14.25">
      <c r="A5" s="12" t="s">
        <v>229</v>
      </c>
      <c r="B5" s="13" t="s">
        <v>1477</v>
      </c>
    </row>
    <row r="6" spans="1:2" ht="14.25">
      <c r="A6" s="12" t="s">
        <v>233</v>
      </c>
      <c r="B6" s="13" t="s">
        <v>1478</v>
      </c>
    </row>
    <row r="7" spans="1:2" ht="14.25">
      <c r="A7" s="12" t="s">
        <v>235</v>
      </c>
      <c r="B7" s="13" t="s">
        <v>1479</v>
      </c>
    </row>
    <row r="8" spans="1:2" ht="14.25">
      <c r="A8" s="12" t="s">
        <v>239</v>
      </c>
      <c r="B8" s="13" t="s">
        <v>1480</v>
      </c>
    </row>
    <row r="9" spans="1:2" ht="14.25">
      <c r="A9" s="12" t="s">
        <v>1481</v>
      </c>
      <c r="B9" s="13" t="s">
        <v>1482</v>
      </c>
    </row>
    <row r="10" spans="1:2" ht="14.25">
      <c r="A10" s="12" t="s">
        <v>1483</v>
      </c>
      <c r="B10" s="13" t="s">
        <v>1484</v>
      </c>
    </row>
    <row r="11" spans="1:2" ht="14.25">
      <c r="A11" s="12" t="s">
        <v>243</v>
      </c>
      <c r="B11" s="13" t="s">
        <v>1485</v>
      </c>
    </row>
    <row r="12" spans="1:2" ht="14.25">
      <c r="A12" s="12" t="s">
        <v>1486</v>
      </c>
      <c r="B12" s="13" t="s">
        <v>1487</v>
      </c>
    </row>
    <row r="13" spans="1:2" ht="14.25">
      <c r="A13" s="12" t="s">
        <v>247</v>
      </c>
      <c r="B13" s="13" t="s">
        <v>1488</v>
      </c>
    </row>
    <row r="14" spans="1:2" ht="14.25">
      <c r="A14" s="12" t="s">
        <v>1489</v>
      </c>
      <c r="B14" s="13" t="s">
        <v>1490</v>
      </c>
    </row>
    <row r="15" spans="1:2" ht="14.25">
      <c r="A15" s="12" t="s">
        <v>252</v>
      </c>
      <c r="B15" s="13" t="s">
        <v>1491</v>
      </c>
    </row>
    <row r="16" spans="1:2" ht="14.25">
      <c r="A16" s="12" t="s">
        <v>1492</v>
      </c>
      <c r="B16" s="13" t="s">
        <v>1493</v>
      </c>
    </row>
    <row r="17" spans="1:2" ht="14.25">
      <c r="A17" s="12" t="s">
        <v>1494</v>
      </c>
      <c r="B17" s="13" t="s">
        <v>1495</v>
      </c>
    </row>
    <row r="18" spans="1:2" ht="14.25">
      <c r="A18" s="12" t="s">
        <v>258</v>
      </c>
      <c r="B18" s="13" t="s">
        <v>1496</v>
      </c>
    </row>
    <row r="19" spans="1:2" ht="14.25">
      <c r="A19" s="12" t="s">
        <v>264</v>
      </c>
      <c r="B19" s="13" t="s">
        <v>1497</v>
      </c>
    </row>
  </sheetData>
  <phoneticPr fontId="2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78"/>
  <sheetViews>
    <sheetView workbookViewId="0">
      <selection activeCell="B13" sqref="B13"/>
    </sheetView>
  </sheetViews>
  <sheetFormatPr defaultColWidth="9" defaultRowHeight="15"/>
  <cols>
    <col min="1" max="2" width="18.75" style="8" customWidth="1" collapsed="1"/>
    <col min="3" max="3" width="28.25" style="8" customWidth="1" collapsed="1"/>
    <col min="4" max="16384" width="9" style="8" collapsed="1"/>
  </cols>
  <sheetData>
    <row r="1" spans="1:3">
      <c r="A1" s="8" t="s">
        <v>1498</v>
      </c>
      <c r="B1" s="8" t="s">
        <v>1499</v>
      </c>
      <c r="C1" s="9" t="s">
        <v>1500</v>
      </c>
    </row>
    <row r="2" spans="1:3">
      <c r="A2" s="8" t="s">
        <v>1501</v>
      </c>
      <c r="B2" s="8" t="s">
        <v>1502</v>
      </c>
      <c r="C2" s="8" t="str">
        <f>B2&amp;"|"&amp;A2</f>
        <v>AALBORG|DKAAL</v>
      </c>
    </row>
    <row r="3" spans="1:3">
      <c r="A3" s="8" t="s">
        <v>1503</v>
      </c>
      <c r="B3" s="8" t="s">
        <v>1504</v>
      </c>
      <c r="C3" s="8" t="str">
        <f t="shared" ref="C3:C66" si="0">B3&amp;"|"&amp;A3</f>
        <v>ARHUS|DKAAR</v>
      </c>
    </row>
    <row r="4" spans="1:3">
      <c r="A4" s="8" t="s">
        <v>1505</v>
      </c>
      <c r="B4" s="8" t="s">
        <v>1506</v>
      </c>
      <c r="C4" s="8" t="str">
        <f t="shared" si="0"/>
        <v>ABERDEEN GB|GBABD</v>
      </c>
    </row>
    <row r="5" spans="1:3">
      <c r="A5" s="8" t="s">
        <v>1507</v>
      </c>
      <c r="B5" s="8" t="s">
        <v>1508</v>
      </c>
      <c r="C5" s="8" t="str">
        <f t="shared" si="0"/>
        <v>ABIDJAN|CIABJ</v>
      </c>
    </row>
    <row r="6" spans="1:3">
      <c r="A6" s="8" t="s">
        <v>1509</v>
      </c>
      <c r="B6" s="8" t="s">
        <v>1510</v>
      </c>
      <c r="C6" s="8" t="str">
        <f t="shared" si="0"/>
        <v>ABU DHABI|AEAUH</v>
      </c>
    </row>
    <row r="7" spans="1:3">
      <c r="A7" s="8" t="s">
        <v>1511</v>
      </c>
      <c r="B7" s="8" t="s">
        <v>1512</v>
      </c>
      <c r="C7" s="8" t="str">
        <f t="shared" si="0"/>
        <v>NICHINAN|JPNIC</v>
      </c>
    </row>
    <row r="8" spans="1:3">
      <c r="A8" s="8" t="s">
        <v>1513</v>
      </c>
      <c r="B8" s="8" t="s">
        <v>1514</v>
      </c>
      <c r="C8" s="8" t="str">
        <f t="shared" si="0"/>
        <v>ADELAIDE|AUADL</v>
      </c>
    </row>
    <row r="9" spans="1:3">
      <c r="A9" s="8" t="s">
        <v>1515</v>
      </c>
      <c r="B9" s="8" t="s">
        <v>1516</v>
      </c>
      <c r="C9" s="8" t="str">
        <f t="shared" si="0"/>
        <v>AHUS|SEAHU</v>
      </c>
    </row>
    <row r="10" spans="1:3">
      <c r="A10" s="8" t="s">
        <v>1517</v>
      </c>
      <c r="B10" s="8" t="s">
        <v>1518</v>
      </c>
      <c r="C10" s="8" t="str">
        <f t="shared" si="0"/>
        <v>AJMAN|AEAJM</v>
      </c>
    </row>
    <row r="11" spans="1:3">
      <c r="A11" s="8" t="s">
        <v>1519</v>
      </c>
      <c r="B11" s="8" t="s">
        <v>1520</v>
      </c>
      <c r="C11" s="8" t="str">
        <f t="shared" si="0"/>
        <v>AKITA|JPAXT</v>
      </c>
    </row>
    <row r="12" spans="1:3">
      <c r="A12" s="8" t="s">
        <v>1521</v>
      </c>
      <c r="B12" s="8" t="s">
        <v>1522</v>
      </c>
      <c r="C12" s="8" t="str">
        <f t="shared" si="0"/>
        <v>ALESUND|NOAES</v>
      </c>
    </row>
    <row r="13" spans="1:3">
      <c r="A13" s="8" t="s">
        <v>1523</v>
      </c>
      <c r="B13" s="8" t="s">
        <v>1524</v>
      </c>
      <c r="C13" s="8" t="str">
        <f t="shared" si="0"/>
        <v>EL ISKANDARIYA = AL|EGALY</v>
      </c>
    </row>
    <row r="14" spans="1:3">
      <c r="A14" s="8" t="s">
        <v>1525</v>
      </c>
      <c r="B14" s="8" t="s">
        <v>1526</v>
      </c>
      <c r="C14" s="8" t="str">
        <f t="shared" si="0"/>
        <v>ALGECIRAS|ESALG</v>
      </c>
    </row>
    <row r="15" spans="1:3">
      <c r="A15" s="8" t="s">
        <v>1527</v>
      </c>
      <c r="B15" s="8" t="s">
        <v>1528</v>
      </c>
      <c r="C15" s="8" t="str">
        <f t="shared" si="0"/>
        <v>ALGER|DZALG</v>
      </c>
    </row>
    <row r="16" spans="1:3">
      <c r="A16" s="8" t="s">
        <v>1529</v>
      </c>
      <c r="B16" s="8" t="s">
        <v>1530</v>
      </c>
      <c r="C16" s="8" t="str">
        <f t="shared" si="0"/>
        <v>ALTAMIRA MX|MXATM</v>
      </c>
    </row>
    <row r="17" spans="1:3">
      <c r="A17" s="8" t="s">
        <v>1531</v>
      </c>
      <c r="B17" s="8" t="s">
        <v>1532</v>
      </c>
      <c r="C17" s="8" t="str">
        <f t="shared" si="0"/>
        <v>AMSTERDAM|NLAMS</v>
      </c>
    </row>
    <row r="18" spans="1:3">
      <c r="A18" s="8" t="s">
        <v>1533</v>
      </c>
      <c r="B18" s="8" t="s">
        <v>1534</v>
      </c>
      <c r="C18" s="8" t="str">
        <f t="shared" si="0"/>
        <v>ANQING|CNAQG</v>
      </c>
    </row>
    <row r="19" spans="1:3">
      <c r="A19" s="8" t="s">
        <v>1535</v>
      </c>
      <c r="B19" s="8" t="s">
        <v>1536</v>
      </c>
      <c r="C19" s="8" t="str">
        <f t="shared" si="0"/>
        <v>ANTOFAGASTA|CLANF</v>
      </c>
    </row>
    <row r="20" spans="1:3">
      <c r="A20" s="8" t="s">
        <v>1537</v>
      </c>
      <c r="B20" s="8" t="s">
        <v>1538</v>
      </c>
      <c r="C20" s="8" t="str">
        <f t="shared" si="0"/>
        <v>ANTWERP|BEANR</v>
      </c>
    </row>
    <row r="21" spans="1:3">
      <c r="A21" s="8" t="s">
        <v>1539</v>
      </c>
      <c r="B21" s="8" t="s">
        <v>1540</v>
      </c>
      <c r="C21" s="8" t="str">
        <f t="shared" si="0"/>
        <v>APAPA|NGAPP</v>
      </c>
    </row>
    <row r="22" spans="1:3">
      <c r="A22" s="8" t="s">
        <v>1541</v>
      </c>
      <c r="B22" s="8" t="s">
        <v>1542</v>
      </c>
      <c r="C22" s="8" t="str">
        <f t="shared" si="0"/>
        <v>ARICA|CLARI</v>
      </c>
    </row>
    <row r="23" spans="1:3">
      <c r="A23" s="8" t="s">
        <v>1543</v>
      </c>
      <c r="B23" s="8" t="s">
        <v>1544</v>
      </c>
      <c r="C23" s="8" t="str">
        <f t="shared" si="0"/>
        <v>ASALOUYEH PARS PETROCHEMICAL PORT|IRASA</v>
      </c>
    </row>
    <row r="24" spans="1:3">
      <c r="A24" s="8" t="s">
        <v>1545</v>
      </c>
      <c r="B24" s="8" t="s">
        <v>1546</v>
      </c>
      <c r="C24" s="8" t="str">
        <f t="shared" si="0"/>
        <v>ASHDOD|ILASH</v>
      </c>
    </row>
    <row r="25" spans="1:3">
      <c r="A25" s="8" t="s">
        <v>1547</v>
      </c>
      <c r="B25" s="8" t="s">
        <v>1548</v>
      </c>
      <c r="C25" s="8" t="str">
        <f t="shared" si="0"/>
        <v>AUCKLAND|NZAKL</v>
      </c>
    </row>
    <row r="26" spans="1:3">
      <c r="A26" s="8" t="s">
        <v>1549</v>
      </c>
      <c r="B26" s="8" t="s">
        <v>1550</v>
      </c>
      <c r="C26" s="8" t="str">
        <f t="shared" si="0"/>
        <v>AVONMOUTH|GBAVO</v>
      </c>
    </row>
    <row r="27" spans="1:3">
      <c r="A27" s="8" t="s">
        <v>1551</v>
      </c>
      <c r="B27" s="8" t="s">
        <v>1552</v>
      </c>
      <c r="C27" s="8" t="str">
        <f t="shared" si="0"/>
        <v>BALBOA|PABLB</v>
      </c>
    </row>
    <row r="28" spans="1:3">
      <c r="A28" s="8" t="s">
        <v>1553</v>
      </c>
      <c r="B28" s="8" t="s">
        <v>1554</v>
      </c>
      <c r="C28" s="8" t="str">
        <f t="shared" si="0"/>
        <v>BALIKPAPAN|IDBPN</v>
      </c>
    </row>
    <row r="29" spans="1:3">
      <c r="A29" s="8" t="s">
        <v>1555</v>
      </c>
      <c r="B29" s="8" t="s">
        <v>1556</v>
      </c>
      <c r="C29" s="8" t="str">
        <f t="shared" si="0"/>
        <v>BALTIMORE US|USBAL</v>
      </c>
    </row>
    <row r="30" spans="1:3">
      <c r="A30" s="8" t="s">
        <v>1557</v>
      </c>
      <c r="B30" s="8" t="s">
        <v>1558</v>
      </c>
      <c r="C30" s="8" t="str">
        <f t="shared" si="0"/>
        <v>BANGKOK|THBKK</v>
      </c>
    </row>
    <row r="31" spans="1:3">
      <c r="A31" s="8" t="s">
        <v>1559</v>
      </c>
      <c r="B31" s="8" t="s">
        <v>1560</v>
      </c>
      <c r="C31" s="8" t="str">
        <f t="shared" si="0"/>
        <v>BANJARMASIN|IDBDJ</v>
      </c>
    </row>
    <row r="32" spans="1:3">
      <c r="A32" s="8" t="s">
        <v>1561</v>
      </c>
      <c r="B32" s="8" t="s">
        <v>1562</v>
      </c>
      <c r="C32" s="8" t="str">
        <f t="shared" si="0"/>
        <v>BARCELONA|ESBCN</v>
      </c>
    </row>
    <row r="33" spans="1:3">
      <c r="A33" s="8" t="s">
        <v>1563</v>
      </c>
      <c r="B33" s="8" t="s">
        <v>1564</v>
      </c>
      <c r="C33" s="8" t="str">
        <f t="shared" si="0"/>
        <v>BARRANQUILLA|COBAQ</v>
      </c>
    </row>
    <row r="34" spans="1:3">
      <c r="A34" s="8" t="s">
        <v>1565</v>
      </c>
      <c r="B34" s="8" t="s">
        <v>1566</v>
      </c>
      <c r="C34" s="8" t="str">
        <f t="shared" si="0"/>
        <v>BATANGAS|PHBTG</v>
      </c>
    </row>
    <row r="35" spans="1:3">
      <c r="A35" s="8" t="s">
        <v>1567</v>
      </c>
      <c r="B35" s="8" t="s">
        <v>1568</v>
      </c>
      <c r="C35" s="8" t="str">
        <f t="shared" si="0"/>
        <v>BATU AMPAR|IDBUR</v>
      </c>
    </row>
    <row r="36" spans="1:3">
      <c r="A36" s="8" t="s">
        <v>1569</v>
      </c>
      <c r="B36" s="8" t="s">
        <v>1570</v>
      </c>
      <c r="C36" s="8" t="str">
        <f t="shared" si="0"/>
        <v>BATU PAHAT|MYBAT</v>
      </c>
    </row>
    <row r="37" spans="1:3">
      <c r="A37" s="8" t="s">
        <v>1571</v>
      </c>
      <c r="B37" s="8" t="s">
        <v>1572</v>
      </c>
      <c r="C37" s="8" t="str">
        <f t="shared" si="0"/>
        <v>BEIHAI|CNBHY</v>
      </c>
    </row>
    <row r="38" spans="1:3">
      <c r="A38" s="8" t="s">
        <v>1573</v>
      </c>
      <c r="B38" s="8" t="s">
        <v>1574</v>
      </c>
      <c r="C38" s="8" t="str">
        <f t="shared" si="0"/>
        <v>BELAWAN|IDBLW</v>
      </c>
    </row>
    <row r="39" spans="1:3">
      <c r="A39" s="8" t="s">
        <v>1575</v>
      </c>
      <c r="B39" s="8" t="s">
        <v>1576</v>
      </c>
      <c r="C39" s="8" t="str">
        <f t="shared" si="0"/>
        <v>BELFAST GB|GBBEL</v>
      </c>
    </row>
    <row r="40" spans="1:3">
      <c r="A40" s="8" t="s">
        <v>1577</v>
      </c>
      <c r="B40" s="8" t="s">
        <v>1578</v>
      </c>
      <c r="C40" s="8" t="str">
        <f t="shared" si="0"/>
        <v>BELL BAY|AUBEL</v>
      </c>
    </row>
    <row r="41" spans="1:3">
      <c r="A41" s="8" t="s">
        <v>1579</v>
      </c>
      <c r="B41" s="8" t="s">
        <v>1580</v>
      </c>
      <c r="C41" s="8" t="str">
        <f t="shared" si="0"/>
        <v>BENOA|IDBOA</v>
      </c>
    </row>
    <row r="42" spans="1:3">
      <c r="A42" s="8" t="s">
        <v>1581</v>
      </c>
      <c r="B42" s="8" t="s">
        <v>1582</v>
      </c>
      <c r="C42" s="8" t="str">
        <f t="shared" si="0"/>
        <v>BERGEN|NOBGO</v>
      </c>
    </row>
    <row r="43" spans="1:3">
      <c r="A43" s="8" t="s">
        <v>1583</v>
      </c>
      <c r="B43" s="8" t="s">
        <v>1584</v>
      </c>
      <c r="C43" s="8" t="str">
        <f t="shared" si="0"/>
        <v>BILBAO|ESBIO</v>
      </c>
    </row>
    <row r="44" spans="1:3">
      <c r="A44" s="8" t="s">
        <v>1585</v>
      </c>
      <c r="B44" s="8" t="s">
        <v>1586</v>
      </c>
      <c r="C44" s="8" t="str">
        <f t="shared" si="0"/>
        <v>BINTULU|MYBTU</v>
      </c>
    </row>
    <row r="45" spans="1:3">
      <c r="A45" s="8" t="s">
        <v>1587</v>
      </c>
      <c r="B45" s="8" t="s">
        <v>1588</v>
      </c>
      <c r="C45" s="8" t="str">
        <f t="shared" si="0"/>
        <v>BITUNG|IDBIT</v>
      </c>
    </row>
    <row r="46" spans="1:3">
      <c r="A46" s="8" t="s">
        <v>1589</v>
      </c>
      <c r="B46" s="8" t="s">
        <v>1590</v>
      </c>
      <c r="C46" s="8" t="str">
        <f t="shared" si="0"/>
        <v>BLYTH|GBBLY</v>
      </c>
    </row>
    <row r="47" spans="1:3">
      <c r="A47" s="8" t="s">
        <v>1591</v>
      </c>
      <c r="B47" s="8" t="s">
        <v>1592</v>
      </c>
      <c r="C47" s="8" t="str">
        <f t="shared" si="0"/>
        <v>SAMUT PRAKARN|THSPR</v>
      </c>
    </row>
    <row r="48" spans="1:3">
      <c r="A48" s="8" t="s">
        <v>1593</v>
      </c>
      <c r="B48" s="8" t="s">
        <v>1594</v>
      </c>
      <c r="C48" s="8" t="str">
        <f t="shared" si="0"/>
        <v>BORDEAUX|FRBOD</v>
      </c>
    </row>
    <row r="49" spans="1:3">
      <c r="A49" s="8" t="s">
        <v>1595</v>
      </c>
      <c r="B49" s="8" t="s">
        <v>1596</v>
      </c>
      <c r="C49" s="8" t="str">
        <f t="shared" si="0"/>
        <v>ISTANBUL|TRIST</v>
      </c>
    </row>
    <row r="50" spans="1:3">
      <c r="A50" s="8" t="s">
        <v>1597</v>
      </c>
      <c r="B50" s="8" t="s">
        <v>1598</v>
      </c>
      <c r="C50" s="8" t="str">
        <f t="shared" si="0"/>
        <v>BOSTON US|USBOS</v>
      </c>
    </row>
    <row r="51" spans="1:3">
      <c r="A51" s="8" t="s">
        <v>1599</v>
      </c>
      <c r="B51" s="8" t="s">
        <v>1600</v>
      </c>
      <c r="C51" s="8" t="str">
        <f t="shared" si="0"/>
        <v>BREMEN|DEBRE</v>
      </c>
    </row>
    <row r="52" spans="1:3">
      <c r="A52" s="8" t="s">
        <v>1601</v>
      </c>
      <c r="B52" s="8" t="s">
        <v>1602</v>
      </c>
      <c r="C52" s="8" t="str">
        <f t="shared" si="0"/>
        <v>BREMERHAVEN|DEBRV</v>
      </c>
    </row>
    <row r="53" spans="1:3">
      <c r="A53" s="8" t="s">
        <v>1603</v>
      </c>
      <c r="B53" s="8" t="s">
        <v>1604</v>
      </c>
      <c r="C53" s="8" t="str">
        <f t="shared" si="0"/>
        <v>BREVIK|NOBVK</v>
      </c>
    </row>
    <row r="54" spans="1:3">
      <c r="A54" s="8" t="s">
        <v>1605</v>
      </c>
      <c r="B54" s="8" t="s">
        <v>1606</v>
      </c>
      <c r="C54" s="8" t="str">
        <f t="shared" si="0"/>
        <v>BRISBANE|AUBNE</v>
      </c>
    </row>
    <row r="55" spans="1:3">
      <c r="A55" s="8" t="s">
        <v>1607</v>
      </c>
      <c r="B55" s="8" t="s">
        <v>1608</v>
      </c>
      <c r="C55" s="8" t="str">
        <f t="shared" si="0"/>
        <v>BUATAN|IDBUN</v>
      </c>
    </row>
    <row r="56" spans="1:3">
      <c r="A56" s="8" t="s">
        <v>1609</v>
      </c>
      <c r="B56" s="8" t="s">
        <v>1610</v>
      </c>
      <c r="C56" s="8" t="str">
        <f t="shared" si="0"/>
        <v>BUENAVENTURA|COBUN</v>
      </c>
    </row>
    <row r="57" spans="1:3">
      <c r="A57" s="8" t="s">
        <v>1611</v>
      </c>
      <c r="B57" s="8" t="s">
        <v>1612</v>
      </c>
      <c r="C57" s="8" t="str">
        <f t="shared" si="0"/>
        <v>BUENOS AIRES|ARBUE</v>
      </c>
    </row>
    <row r="58" spans="1:3">
      <c r="A58" s="8" t="s">
        <v>1613</v>
      </c>
      <c r="B58" s="8" t="s">
        <v>1614</v>
      </c>
      <c r="C58" s="8" t="str">
        <f t="shared" si="0"/>
        <v>BURNIE|AUBWT</v>
      </c>
    </row>
    <row r="59" spans="1:3">
      <c r="A59" s="8" t="s">
        <v>1615</v>
      </c>
      <c r="B59" s="8" t="s">
        <v>1616</v>
      </c>
      <c r="C59" s="8" t="str">
        <f t="shared" si="0"/>
        <v>BUSAN|KRPUS</v>
      </c>
    </row>
    <row r="60" spans="1:3">
      <c r="A60" s="8" t="s">
        <v>1617</v>
      </c>
      <c r="B60" s="8" t="s">
        <v>1618</v>
      </c>
      <c r="C60" s="8" t="str">
        <f t="shared" si="0"/>
        <v>BUSHEHR|IRBUZ</v>
      </c>
    </row>
    <row r="61" spans="1:3">
      <c r="A61" s="8" t="s">
        <v>1619</v>
      </c>
      <c r="B61" s="8" t="s">
        <v>1620</v>
      </c>
      <c r="C61" s="8" t="str">
        <f t="shared" si="0"/>
        <v>CAGAYAN DE ORO|PHCGY</v>
      </c>
    </row>
    <row r="62" spans="1:3">
      <c r="A62" s="8" t="s">
        <v>1621</v>
      </c>
      <c r="B62" s="8" t="s">
        <v>1622</v>
      </c>
      <c r="C62" s="8" t="str">
        <f t="shared" si="0"/>
        <v>CAGLIARI|ITCAG</v>
      </c>
    </row>
    <row r="63" spans="1:3">
      <c r="A63" s="8" t="s">
        <v>1623</v>
      </c>
      <c r="B63" s="8" t="s">
        <v>1624</v>
      </c>
      <c r="C63" s="8" t="str">
        <f t="shared" si="0"/>
        <v>VUNG TAU|VNVUT</v>
      </c>
    </row>
    <row r="64" spans="1:3">
      <c r="A64" s="8" t="s">
        <v>1625</v>
      </c>
      <c r="B64" s="8" t="s">
        <v>1626</v>
      </c>
      <c r="C64" s="8" t="str">
        <f t="shared" si="0"/>
        <v>CALCUTTA|INCCU</v>
      </c>
    </row>
    <row r="65" spans="1:3">
      <c r="A65" s="8" t="s">
        <v>1627</v>
      </c>
      <c r="B65" s="8" t="s">
        <v>1628</v>
      </c>
      <c r="C65" s="8" t="str">
        <f t="shared" si="0"/>
        <v>CALLAO|PECLL</v>
      </c>
    </row>
    <row r="66" spans="1:3">
      <c r="A66" s="8" t="s">
        <v>1629</v>
      </c>
      <c r="B66" s="8" t="s">
        <v>1630</v>
      </c>
      <c r="C66" s="8" t="str">
        <f t="shared" si="0"/>
        <v>CAN THO|VNVCA</v>
      </c>
    </row>
    <row r="67" spans="1:3">
      <c r="A67" s="8" t="s">
        <v>1631</v>
      </c>
      <c r="B67" s="8" t="s">
        <v>1632</v>
      </c>
      <c r="C67" s="8" t="str">
        <f t="shared" ref="C67:C130" si="1">B67&amp;"|"&amp;A67</f>
        <v>CAPE TOWN|ZACPT</v>
      </c>
    </row>
    <row r="68" spans="1:3">
      <c r="A68" s="8" t="s">
        <v>1633</v>
      </c>
      <c r="B68" s="8" t="s">
        <v>1634</v>
      </c>
      <c r="C68" s="8" t="str">
        <f t="shared" si="1"/>
        <v>CARTAGENA CO|COCTG</v>
      </c>
    </row>
    <row r="69" spans="1:3">
      <c r="A69" s="8" t="s">
        <v>1635</v>
      </c>
      <c r="B69" s="8" t="s">
        <v>1636</v>
      </c>
      <c r="C69" s="8" t="str">
        <f t="shared" si="1"/>
        <v>CASABLANCA|MACAS</v>
      </c>
    </row>
    <row r="70" spans="1:3">
      <c r="A70" s="8" t="s">
        <v>1637</v>
      </c>
      <c r="B70" s="8" t="s">
        <v>1638</v>
      </c>
      <c r="C70" s="8" t="str">
        <f t="shared" si="1"/>
        <v>CEBU|PHCEB</v>
      </c>
    </row>
    <row r="71" spans="1:3">
      <c r="A71" s="8" t="s">
        <v>1639</v>
      </c>
      <c r="B71" s="8" t="s">
        <v>1640</v>
      </c>
      <c r="C71" s="8" t="str">
        <f t="shared" si="1"/>
        <v>CHANGDE|CNCDE</v>
      </c>
    </row>
    <row r="72" spans="1:3">
      <c r="A72" s="8" t="s">
        <v>1641</v>
      </c>
      <c r="B72" s="8" t="s">
        <v>1642</v>
      </c>
      <c r="C72" s="8" t="str">
        <f t="shared" si="1"/>
        <v>CHANGSHA|CNCSX</v>
      </c>
    </row>
    <row r="73" spans="1:3">
      <c r="A73" s="8" t="s">
        <v>1643</v>
      </c>
      <c r="B73" s="8" t="s">
        <v>1644</v>
      </c>
      <c r="C73" s="8" t="str">
        <f t="shared" si="1"/>
        <v>CHENGHAI|CNCGS</v>
      </c>
    </row>
    <row r="74" spans="1:3">
      <c r="A74" s="8" t="s">
        <v>1645</v>
      </c>
      <c r="B74" s="8" t="s">
        <v>1646</v>
      </c>
      <c r="C74" s="8" t="str">
        <f t="shared" si="1"/>
        <v>CHANGZHOU|CNCZX</v>
      </c>
    </row>
    <row r="75" spans="1:3">
      <c r="A75" s="8" t="s">
        <v>1647</v>
      </c>
      <c r="B75" s="8" t="s">
        <v>1648</v>
      </c>
      <c r="C75" s="8" t="str">
        <f t="shared" si="1"/>
        <v>CHARLESTON US|USCHS</v>
      </c>
    </row>
    <row r="76" spans="1:3">
      <c r="A76" s="8" t="s">
        <v>1649</v>
      </c>
      <c r="B76" s="8" t="s">
        <v>1650</v>
      </c>
      <c r="C76" s="8" t="str">
        <f t="shared" si="1"/>
        <v>CHENNAI|INMAA</v>
      </c>
    </row>
    <row r="77" spans="1:3">
      <c r="A77" s="8" t="s">
        <v>1651</v>
      </c>
      <c r="B77" s="8" t="s">
        <v>1652</v>
      </c>
      <c r="C77" s="8" t="str">
        <f t="shared" si="1"/>
        <v>CHIBA|JPCHB</v>
      </c>
    </row>
    <row r="78" spans="1:3">
      <c r="A78" s="8" t="s">
        <v>1653</v>
      </c>
      <c r="B78" s="8" t="s">
        <v>1654</v>
      </c>
      <c r="C78" s="8" t="str">
        <f t="shared" si="1"/>
        <v>CHITTAGONG|BDCGP</v>
      </c>
    </row>
    <row r="79" spans="1:3">
      <c r="A79" s="8" t="s">
        <v>1655</v>
      </c>
      <c r="B79" s="8" t="s">
        <v>1656</v>
      </c>
      <c r="C79" s="8" t="str">
        <f t="shared" si="1"/>
        <v>CHIWAN|CNCWN</v>
      </c>
    </row>
    <row r="80" spans="1:3">
      <c r="A80" s="8" t="s">
        <v>1657</v>
      </c>
      <c r="B80" s="8" t="s">
        <v>1658</v>
      </c>
      <c r="C80" s="8" t="str">
        <f t="shared" si="1"/>
        <v>CHONGQING|CNCKG</v>
      </c>
    </row>
    <row r="81" spans="1:3">
      <c r="A81" s="8" t="s">
        <v>1659</v>
      </c>
      <c r="B81" s="8" t="s">
        <v>1660</v>
      </c>
      <c r="C81" s="8" t="str">
        <f t="shared" si="1"/>
        <v>CHRISTCHURCH|NZCHC</v>
      </c>
    </row>
    <row r="82" spans="1:3">
      <c r="A82" s="8" t="s">
        <v>1661</v>
      </c>
      <c r="B82" s="8" t="s">
        <v>1662</v>
      </c>
      <c r="C82" s="8" t="str">
        <f t="shared" si="1"/>
        <v>COCHIN|INCOK</v>
      </c>
    </row>
    <row r="83" spans="1:3">
      <c r="A83" s="8" t="s">
        <v>1663</v>
      </c>
      <c r="B83" s="8" t="s">
        <v>1664</v>
      </c>
      <c r="C83" s="8" t="str">
        <f t="shared" si="1"/>
        <v>COLOMBO|LKCMB</v>
      </c>
    </row>
    <row r="84" spans="1:3">
      <c r="A84" s="8" t="s">
        <v>1665</v>
      </c>
      <c r="B84" s="8" t="s">
        <v>1666</v>
      </c>
      <c r="C84" s="8" t="str">
        <f t="shared" si="1"/>
        <v>COLON|PAONX</v>
      </c>
    </row>
    <row r="85" spans="1:3">
      <c r="A85" s="8" t="s">
        <v>1667</v>
      </c>
      <c r="B85" s="8" t="s">
        <v>1668</v>
      </c>
      <c r="C85" s="8" t="str">
        <f t="shared" si="1"/>
        <v>CONSTANTA|ROCND</v>
      </c>
    </row>
    <row r="86" spans="1:3">
      <c r="A86" s="8" t="s">
        <v>1669</v>
      </c>
      <c r="B86" s="8" t="s">
        <v>1670</v>
      </c>
      <c r="C86" s="8" t="str">
        <f t="shared" si="1"/>
        <v>COPENHAGEN|DKCPH</v>
      </c>
    </row>
    <row r="87" spans="1:3">
      <c r="A87" s="8" t="s">
        <v>1671</v>
      </c>
      <c r="B87" s="8" t="s">
        <v>1672</v>
      </c>
      <c r="C87" s="8" t="str">
        <f t="shared" si="1"/>
        <v>CORDOVA|USCDV</v>
      </c>
    </row>
    <row r="88" spans="1:3">
      <c r="A88" s="8" t="s">
        <v>1673</v>
      </c>
      <c r="B88" s="8" t="s">
        <v>1674</v>
      </c>
      <c r="C88" s="8" t="str">
        <f t="shared" si="1"/>
        <v>CORK|IEORK</v>
      </c>
    </row>
    <row r="89" spans="1:3">
      <c r="A89" s="8" t="s">
        <v>1675</v>
      </c>
      <c r="B89" s="8" t="s">
        <v>1676</v>
      </c>
      <c r="C89" s="8" t="str">
        <f t="shared" si="1"/>
        <v>COMER BROOK|CACBK</v>
      </c>
    </row>
    <row r="90" spans="1:3">
      <c r="A90" s="8" t="s">
        <v>1677</v>
      </c>
      <c r="B90" s="8" t="s">
        <v>1678</v>
      </c>
      <c r="C90" s="8" t="str">
        <f t="shared" si="1"/>
        <v>DA CHAN BAY|CNDCB</v>
      </c>
    </row>
    <row r="91" spans="1:3">
      <c r="A91" s="8" t="s">
        <v>1679</v>
      </c>
      <c r="B91" s="8" t="s">
        <v>1680</v>
      </c>
      <c r="C91" s="8" t="str">
        <f t="shared" si="1"/>
        <v>DAFENG|CNDFG</v>
      </c>
    </row>
    <row r="92" spans="1:3">
      <c r="A92" s="8" t="s">
        <v>1681</v>
      </c>
      <c r="B92" s="8" t="s">
        <v>1680</v>
      </c>
      <c r="C92" s="8" t="str">
        <f t="shared" si="1"/>
        <v>DAFENG|CNDFE</v>
      </c>
    </row>
    <row r="93" spans="1:3">
      <c r="A93" s="8" t="s">
        <v>1682</v>
      </c>
      <c r="B93" s="8" t="s">
        <v>1683</v>
      </c>
      <c r="C93" s="8" t="str">
        <f t="shared" si="1"/>
        <v>DALIAN|CNDLC</v>
      </c>
    </row>
    <row r="94" spans="1:3">
      <c r="A94" s="8" t="s">
        <v>1684</v>
      </c>
      <c r="B94" s="8" t="s">
        <v>1685</v>
      </c>
      <c r="C94" s="8" t="str">
        <f t="shared" si="1"/>
        <v>DAMIETTA|EGDAM</v>
      </c>
    </row>
    <row r="95" spans="1:3">
      <c r="A95" s="8" t="s">
        <v>1686</v>
      </c>
      <c r="B95" s="8" t="s">
        <v>1687</v>
      </c>
      <c r="C95" s="8" t="str">
        <f t="shared" si="1"/>
        <v>DAMMAN|SADMM</v>
      </c>
    </row>
    <row r="96" spans="1:3">
      <c r="A96" s="8" t="s">
        <v>1688</v>
      </c>
      <c r="B96" s="8" t="s">
        <v>1689</v>
      </c>
      <c r="C96" s="8" t="str">
        <f t="shared" si="1"/>
        <v>DA-NANG|VNDAD</v>
      </c>
    </row>
    <row r="97" spans="1:3">
      <c r="A97" s="8" t="s">
        <v>1690</v>
      </c>
      <c r="B97" s="8" t="s">
        <v>1691</v>
      </c>
      <c r="C97" s="8" t="str">
        <f t="shared" si="1"/>
        <v>DANDONG|CNDDG</v>
      </c>
    </row>
    <row r="98" spans="1:3">
      <c r="A98" s="8" t="s">
        <v>1692</v>
      </c>
      <c r="B98" s="8" t="s">
        <v>1693</v>
      </c>
      <c r="C98" s="8" t="str">
        <f t="shared" si="1"/>
        <v>DAR ES SALAAM|TZDAR</v>
      </c>
    </row>
    <row r="99" spans="1:3">
      <c r="A99" s="8" t="s">
        <v>1694</v>
      </c>
      <c r="B99" s="8" t="s">
        <v>1695</v>
      </c>
      <c r="C99" s="8" t="str">
        <f t="shared" si="1"/>
        <v>DARWIN|AUDRW</v>
      </c>
    </row>
    <row r="100" spans="1:3">
      <c r="A100" s="8" t="s">
        <v>1696</v>
      </c>
      <c r="B100" s="8" t="s">
        <v>1697</v>
      </c>
      <c r="C100" s="8" t="str">
        <f t="shared" si="1"/>
        <v>DAVAO|PHDVO</v>
      </c>
    </row>
    <row r="101" spans="1:3">
      <c r="A101" s="8" t="s">
        <v>1698</v>
      </c>
      <c r="B101" s="8" t="s">
        <v>1699</v>
      </c>
      <c r="C101" s="8" t="str">
        <f t="shared" si="1"/>
        <v>DELFZYL|NLDZL</v>
      </c>
    </row>
    <row r="102" spans="1:3">
      <c r="A102" s="8" t="s">
        <v>1700</v>
      </c>
      <c r="B102" s="8" t="s">
        <v>1701</v>
      </c>
      <c r="C102" s="8" t="str">
        <f t="shared" si="1"/>
        <v>DEVONPORT|AUDPO</v>
      </c>
    </row>
    <row r="103" spans="1:3">
      <c r="A103" s="8" t="s">
        <v>1702</v>
      </c>
      <c r="B103" s="8" t="s">
        <v>1703</v>
      </c>
      <c r="C103" s="8" t="str">
        <f t="shared" si="1"/>
        <v>HAIPHONG|VNHPH</v>
      </c>
    </row>
    <row r="104" spans="1:3">
      <c r="A104" s="8" t="s">
        <v>1704</v>
      </c>
      <c r="B104" s="8" t="s">
        <v>1705</v>
      </c>
      <c r="C104" s="8" t="str">
        <f t="shared" si="1"/>
        <v>DJIBOUTI|DJJIB</v>
      </c>
    </row>
    <row r="105" spans="1:3">
      <c r="A105" s="8" t="s">
        <v>1702</v>
      </c>
      <c r="B105" s="8" t="s">
        <v>1703</v>
      </c>
      <c r="C105" s="8" t="str">
        <f t="shared" si="1"/>
        <v>HAIPHONG|VNHPH</v>
      </c>
    </row>
    <row r="106" spans="1:3">
      <c r="A106" s="8" t="s">
        <v>1706</v>
      </c>
      <c r="B106" s="8" t="s">
        <v>1707</v>
      </c>
      <c r="C106" s="8" t="str">
        <f t="shared" si="1"/>
        <v>DOHA|QADOH</v>
      </c>
    </row>
    <row r="107" spans="1:3">
      <c r="A107" s="8" t="s">
        <v>1708</v>
      </c>
      <c r="B107" s="8" t="s">
        <v>1709</v>
      </c>
      <c r="C107" s="8" t="str">
        <f t="shared" si="1"/>
        <v>DONGGUAN|CNDGG</v>
      </c>
    </row>
    <row r="108" spans="1:3">
      <c r="A108" s="8" t="s">
        <v>1710</v>
      </c>
      <c r="B108" s="8" t="s">
        <v>1711</v>
      </c>
      <c r="C108" s="8" t="str">
        <f t="shared" si="1"/>
        <v>DOUGLAS IOM|GBDGL</v>
      </c>
    </row>
    <row r="109" spans="1:3">
      <c r="A109" s="8" t="s">
        <v>1712</v>
      </c>
      <c r="B109" s="8" t="s">
        <v>1713</v>
      </c>
      <c r="C109" s="8" t="str">
        <f t="shared" si="1"/>
        <v>DROGHEDA|IEDRO</v>
      </c>
    </row>
    <row r="110" spans="1:3">
      <c r="A110" s="8" t="s">
        <v>1714</v>
      </c>
      <c r="B110" s="8" t="s">
        <v>1715</v>
      </c>
      <c r="C110" s="8" t="str">
        <f t="shared" si="1"/>
        <v>DUBAI|AEDXB</v>
      </c>
    </row>
    <row r="111" spans="1:3">
      <c r="A111" s="8" t="s">
        <v>1716</v>
      </c>
      <c r="B111" s="8" t="s">
        <v>1717</v>
      </c>
      <c r="C111" s="8" t="str">
        <f t="shared" si="1"/>
        <v>DUBLIN|IEDUB</v>
      </c>
    </row>
    <row r="112" spans="1:3">
      <c r="A112" s="8" t="s">
        <v>1718</v>
      </c>
      <c r="B112" s="8" t="s">
        <v>1719</v>
      </c>
      <c r="C112" s="8" t="str">
        <f t="shared" si="1"/>
        <v>DUISBURG|DEDUI</v>
      </c>
    </row>
    <row r="113" spans="1:3">
      <c r="A113" s="8" t="s">
        <v>1720</v>
      </c>
      <c r="B113" s="8" t="s">
        <v>1721</v>
      </c>
      <c r="C113" s="8" t="str">
        <f t="shared" si="1"/>
        <v>DUNKIRK|FRDKK</v>
      </c>
    </row>
    <row r="114" spans="1:3">
      <c r="A114" s="8" t="s">
        <v>1722</v>
      </c>
      <c r="B114" s="8" t="s">
        <v>1723</v>
      </c>
      <c r="C114" s="8" t="str">
        <f t="shared" si="1"/>
        <v>DURBAN|ZADUR</v>
      </c>
    </row>
    <row r="115" spans="1:3">
      <c r="A115" s="8" t="s">
        <v>1724</v>
      </c>
      <c r="B115" s="8" t="s">
        <v>1725</v>
      </c>
      <c r="C115" s="8" t="str">
        <f t="shared" si="1"/>
        <v>DUSSELDORF|DEDUS</v>
      </c>
    </row>
    <row r="116" spans="1:3">
      <c r="A116" s="8" t="s">
        <v>1726</v>
      </c>
      <c r="B116" s="8" t="s">
        <v>1727</v>
      </c>
      <c r="C116" s="8" t="str">
        <f t="shared" si="1"/>
        <v>DUTCH HARBOUR|USDUT</v>
      </c>
    </row>
    <row r="117" spans="1:3">
      <c r="A117" s="8" t="s">
        <v>1728</v>
      </c>
      <c r="B117" s="8" t="s">
        <v>1729</v>
      </c>
      <c r="C117" s="8" t="str">
        <f t="shared" si="1"/>
        <v>EL DEKHEILA|EGEDK</v>
      </c>
    </row>
    <row r="118" spans="1:3">
      <c r="A118" s="8" t="s">
        <v>1730</v>
      </c>
      <c r="B118" s="8" t="s">
        <v>1731</v>
      </c>
      <c r="C118" s="8" t="str">
        <f t="shared" si="1"/>
        <v>ELLESMERE PORT|GBELL</v>
      </c>
    </row>
    <row r="119" spans="1:3">
      <c r="A119" s="8" t="s">
        <v>1732</v>
      </c>
      <c r="B119" s="8" t="s">
        <v>1733</v>
      </c>
      <c r="C119" s="8" t="str">
        <f t="shared" si="1"/>
        <v>ELSFLETH|DEELS</v>
      </c>
    </row>
    <row r="120" spans="1:3">
      <c r="A120" s="8" t="s">
        <v>1734</v>
      </c>
      <c r="B120" s="8" t="s">
        <v>1735</v>
      </c>
      <c r="C120" s="8" t="str">
        <f t="shared" si="1"/>
        <v>EMMERICH|DEEMM</v>
      </c>
    </row>
    <row r="121" spans="1:3">
      <c r="A121" s="8" t="s">
        <v>1736</v>
      </c>
      <c r="B121" s="8" t="s">
        <v>1737</v>
      </c>
      <c r="C121" s="8" t="str">
        <f t="shared" si="1"/>
        <v>ENPING|CNENP</v>
      </c>
    </row>
    <row r="122" spans="1:3">
      <c r="A122" s="8" t="s">
        <v>1738</v>
      </c>
      <c r="B122" s="8" t="s">
        <v>1739</v>
      </c>
      <c r="C122" s="8" t="str">
        <f t="shared" si="1"/>
        <v>ENSENADA|MXESE</v>
      </c>
    </row>
    <row r="123" spans="1:3">
      <c r="A123" s="8" t="s">
        <v>1740</v>
      </c>
      <c r="B123" s="8" t="s">
        <v>1741</v>
      </c>
      <c r="C123" s="8" t="str">
        <f t="shared" si="1"/>
        <v>ESBJERG|DKEBJ</v>
      </c>
    </row>
    <row r="124" spans="1:3">
      <c r="A124" s="8" t="s">
        <v>1742</v>
      </c>
      <c r="B124" s="8" t="s">
        <v>1743</v>
      </c>
      <c r="C124" s="8" t="str">
        <f t="shared" si="1"/>
        <v>FANGCHENG|CNFAN</v>
      </c>
    </row>
    <row r="125" spans="1:3">
      <c r="A125" s="8" t="s">
        <v>1744</v>
      </c>
      <c r="B125" s="8" t="s">
        <v>1745</v>
      </c>
      <c r="C125" s="8" t="str">
        <f t="shared" si="1"/>
        <v>FELIXSTOWE|GBFXT</v>
      </c>
    </row>
    <row r="126" spans="1:3">
      <c r="A126" s="8" t="s">
        <v>1746</v>
      </c>
      <c r="B126" s="8" t="s">
        <v>1747</v>
      </c>
      <c r="C126" s="8" t="str">
        <f t="shared" si="1"/>
        <v>FLORO|NOFRO</v>
      </c>
    </row>
    <row r="127" spans="1:3">
      <c r="A127" s="8" t="s">
        <v>1748</v>
      </c>
      <c r="B127" s="8" t="s">
        <v>1749</v>
      </c>
      <c r="C127" s="8" t="str">
        <f t="shared" si="1"/>
        <v>FOS|FRFOS</v>
      </c>
    </row>
    <row r="128" spans="1:3">
      <c r="A128" s="8" t="s">
        <v>1750</v>
      </c>
      <c r="B128" s="8" t="s">
        <v>1751</v>
      </c>
      <c r="C128" s="8" t="str">
        <f t="shared" si="1"/>
        <v>FOSHAN|CNFOS</v>
      </c>
    </row>
    <row r="129" spans="1:3">
      <c r="A129" s="8" t="s">
        <v>1752</v>
      </c>
      <c r="B129" s="8" t="s">
        <v>1753</v>
      </c>
      <c r="C129" s="8" t="str">
        <f t="shared" si="1"/>
        <v>FREDERICIA|DKFRC</v>
      </c>
    </row>
    <row r="130" spans="1:3">
      <c r="A130" s="8" t="s">
        <v>1754</v>
      </c>
      <c r="B130" s="8" t="s">
        <v>1755</v>
      </c>
      <c r="C130" s="8" t="str">
        <f t="shared" si="1"/>
        <v>FREDRIKSTAD|NOFRK</v>
      </c>
    </row>
    <row r="131" spans="1:3">
      <c r="A131" s="8" t="s">
        <v>1756</v>
      </c>
      <c r="B131" s="8" t="s">
        <v>1757</v>
      </c>
      <c r="C131" s="8" t="str">
        <f t="shared" ref="C131:C194" si="2">B131&amp;"|"&amp;A131</f>
        <v>FREMANTLE|AUFRE</v>
      </c>
    </row>
    <row r="132" spans="1:3">
      <c r="A132" s="8" t="s">
        <v>1758</v>
      </c>
      <c r="B132" s="8" t="s">
        <v>1759</v>
      </c>
      <c r="C132" s="8" t="str">
        <f t="shared" si="2"/>
        <v>FUKUYAMA|JPFKY</v>
      </c>
    </row>
    <row r="133" spans="1:3">
      <c r="A133" s="8" t="s">
        <v>1760</v>
      </c>
      <c r="B133" s="8" t="s">
        <v>1761</v>
      </c>
      <c r="C133" s="8" t="str">
        <f t="shared" si="2"/>
        <v>FUQING|CNFUG</v>
      </c>
    </row>
    <row r="134" spans="1:3">
      <c r="A134" s="8" t="s">
        <v>1762</v>
      </c>
      <c r="B134" s="8" t="s">
        <v>1763</v>
      </c>
      <c r="C134" s="8" t="str">
        <f t="shared" si="2"/>
        <v>FUYANG|CNFUN</v>
      </c>
    </row>
    <row r="135" spans="1:3">
      <c r="A135" s="8" t="s">
        <v>1764</v>
      </c>
      <c r="B135" s="8" t="s">
        <v>1765</v>
      </c>
      <c r="C135" s="8" t="str">
        <f t="shared" si="2"/>
        <v>FUYONG|CNFNG</v>
      </c>
    </row>
    <row r="136" spans="1:3">
      <c r="A136" s="8" t="s">
        <v>1766</v>
      </c>
      <c r="B136" s="8" t="s">
        <v>1767</v>
      </c>
      <c r="C136" s="8" t="str">
        <f t="shared" si="2"/>
        <v>FUZHOU|CNFOC</v>
      </c>
    </row>
    <row r="137" spans="1:3">
      <c r="A137" s="8" t="s">
        <v>1768</v>
      </c>
      <c r="B137" s="8" t="s">
        <v>1769</v>
      </c>
      <c r="C137" s="8" t="str">
        <f t="shared" si="2"/>
        <v>GAOYAO|CNGAY</v>
      </c>
    </row>
    <row r="138" spans="1:3">
      <c r="A138" s="8" t="s">
        <v>1770</v>
      </c>
      <c r="B138" s="8" t="s">
        <v>1771</v>
      </c>
      <c r="C138" s="8" t="str">
        <f t="shared" si="2"/>
        <v>GAVLE|SEGVX</v>
      </c>
    </row>
    <row r="139" spans="1:3">
      <c r="A139" s="8" t="s">
        <v>1772</v>
      </c>
      <c r="B139" s="8" t="s">
        <v>1773</v>
      </c>
      <c r="C139" s="8" t="str">
        <f t="shared" si="2"/>
        <v>GDANSK|PLGDN</v>
      </c>
    </row>
    <row r="140" spans="1:3">
      <c r="A140" s="8" t="s">
        <v>1774</v>
      </c>
      <c r="B140" s="8" t="s">
        <v>1775</v>
      </c>
      <c r="C140" s="8" t="str">
        <f t="shared" si="2"/>
        <v>GDYNIA|PLGDY</v>
      </c>
    </row>
    <row r="141" spans="1:3">
      <c r="A141" s="8" t="s">
        <v>1774</v>
      </c>
      <c r="B141" s="8" t="s">
        <v>1775</v>
      </c>
      <c r="C141" s="8" t="str">
        <f t="shared" si="2"/>
        <v>GDYNIA|PLGDY</v>
      </c>
    </row>
    <row r="142" spans="1:3">
      <c r="A142" s="8" t="s">
        <v>1776</v>
      </c>
      <c r="B142" s="8" t="s">
        <v>1777</v>
      </c>
      <c r="C142" s="8" t="str">
        <f t="shared" si="2"/>
        <v>GEBZE|TRGEB</v>
      </c>
    </row>
    <row r="143" spans="1:3">
      <c r="A143" s="8" t="s">
        <v>1778</v>
      </c>
      <c r="B143" s="8" t="s">
        <v>1779</v>
      </c>
      <c r="C143" s="8" t="str">
        <f t="shared" si="2"/>
        <v>GENERAL SANTOS|PHGES</v>
      </c>
    </row>
    <row r="144" spans="1:3">
      <c r="A144" s="8" t="s">
        <v>1780</v>
      </c>
      <c r="B144" s="8" t="s">
        <v>1781</v>
      </c>
      <c r="C144" s="8" t="str">
        <f t="shared" si="2"/>
        <v>GENK|BEGNK</v>
      </c>
    </row>
    <row r="145" spans="1:3">
      <c r="A145" s="8" t="s">
        <v>1782</v>
      </c>
      <c r="B145" s="8" t="s">
        <v>1783</v>
      </c>
      <c r="C145" s="8" t="str">
        <f t="shared" si="2"/>
        <v>GENOVA|ITGOA</v>
      </c>
    </row>
    <row r="146" spans="1:3">
      <c r="A146" s="8" t="s">
        <v>1784</v>
      </c>
      <c r="B146" s="8" t="s">
        <v>1785</v>
      </c>
      <c r="C146" s="8" t="str">
        <f t="shared" si="2"/>
        <v>GIBRALTAR|GIGIB</v>
      </c>
    </row>
    <row r="147" spans="1:3">
      <c r="A147" s="8" t="s">
        <v>1786</v>
      </c>
      <c r="B147" s="8" t="s">
        <v>1787</v>
      </c>
      <c r="C147" s="8" t="str">
        <f t="shared" si="2"/>
        <v>GIOIA TAURO|ITGIT</v>
      </c>
    </row>
    <row r="148" spans="1:3">
      <c r="A148" s="8" t="s">
        <v>1788</v>
      </c>
      <c r="B148" s="8" t="s">
        <v>1789</v>
      </c>
      <c r="C148" s="8" t="str">
        <f t="shared" si="2"/>
        <v>GOTHENBURG|SEGOT</v>
      </c>
    </row>
    <row r="149" spans="1:3">
      <c r="A149" s="8" t="s">
        <v>1790</v>
      </c>
      <c r="B149" s="8" t="s">
        <v>1791</v>
      </c>
      <c r="C149" s="8" t="str">
        <f t="shared" si="2"/>
        <v>GRANGEMOUTH|GBGRG</v>
      </c>
    </row>
    <row r="150" spans="1:3">
      <c r="A150" s="8" t="s">
        <v>1702</v>
      </c>
      <c r="B150" s="8" t="s">
        <v>1703</v>
      </c>
      <c r="C150" s="8" t="str">
        <f t="shared" si="2"/>
        <v>HAIPHONG|VNHPH</v>
      </c>
    </row>
    <row r="151" spans="1:3">
      <c r="A151" s="8" t="s">
        <v>1792</v>
      </c>
      <c r="B151" s="8" t="s">
        <v>1793</v>
      </c>
      <c r="C151" s="8" t="str">
        <f t="shared" si="2"/>
        <v>GREENOCK|GBGRK</v>
      </c>
    </row>
    <row r="152" spans="1:3">
      <c r="A152" s="8" t="s">
        <v>1794</v>
      </c>
      <c r="B152" s="8" t="s">
        <v>1795</v>
      </c>
      <c r="C152" s="8" t="str">
        <f t="shared" si="2"/>
        <v>GRIMSBY|GBGSY</v>
      </c>
    </row>
    <row r="153" spans="1:3">
      <c r="A153" s="8" t="s">
        <v>1796</v>
      </c>
      <c r="B153" s="8" t="s">
        <v>1797</v>
      </c>
      <c r="C153" s="8" t="str">
        <f t="shared" si="2"/>
        <v>GUADALAJARA|MXGDL</v>
      </c>
    </row>
    <row r="154" spans="1:3">
      <c r="A154" s="8" t="s">
        <v>1798</v>
      </c>
      <c r="B154" s="8" t="s">
        <v>1799</v>
      </c>
      <c r="C154" s="8" t="str">
        <f t="shared" si="2"/>
        <v>APRA|GUAPR</v>
      </c>
    </row>
    <row r="155" spans="1:3">
      <c r="A155" s="8" t="s">
        <v>1800</v>
      </c>
      <c r="B155" s="8" t="s">
        <v>1801</v>
      </c>
      <c r="C155" s="8" t="str">
        <f t="shared" si="2"/>
        <v>GUANGZHOU|CNCAN</v>
      </c>
    </row>
    <row r="156" spans="1:3">
      <c r="A156" s="8" t="s">
        <v>1802</v>
      </c>
      <c r="B156" s="8" t="s">
        <v>1803</v>
      </c>
      <c r="C156" s="8" t="str">
        <f t="shared" si="2"/>
        <v>GUAYAQUIL|ECGYE</v>
      </c>
    </row>
    <row r="157" spans="1:3">
      <c r="A157" s="8" t="s">
        <v>1804</v>
      </c>
      <c r="B157" s="8" t="s">
        <v>1805</v>
      </c>
      <c r="C157" s="8" t="str">
        <f t="shared" si="2"/>
        <v>GUIGANG|CNGUG</v>
      </c>
    </row>
    <row r="158" spans="1:3">
      <c r="A158" s="8" t="s">
        <v>1806</v>
      </c>
      <c r="B158" s="8" t="s">
        <v>1807</v>
      </c>
      <c r="C158" s="8" t="str">
        <f t="shared" si="2"/>
        <v>HACHINOHE|JPHHE</v>
      </c>
    </row>
    <row r="159" spans="1:3">
      <c r="A159" s="8" t="s">
        <v>1702</v>
      </c>
      <c r="B159" s="8" t="s">
        <v>1703</v>
      </c>
      <c r="C159" s="8" t="str">
        <f t="shared" si="2"/>
        <v>HAIPHONG|VNHPH</v>
      </c>
    </row>
    <row r="160" spans="1:3">
      <c r="A160" s="8" t="s">
        <v>1702</v>
      </c>
      <c r="B160" s="8" t="s">
        <v>1703</v>
      </c>
      <c r="C160" s="8" t="str">
        <f t="shared" si="2"/>
        <v>HAIPHONG|VNHPH</v>
      </c>
    </row>
    <row r="161" spans="1:3">
      <c r="A161" s="8" t="s">
        <v>1808</v>
      </c>
      <c r="B161" s="8" t="s">
        <v>1809</v>
      </c>
      <c r="C161" s="8" t="str">
        <f t="shared" si="2"/>
        <v>HAIFA|ILHFA</v>
      </c>
    </row>
    <row r="162" spans="1:3">
      <c r="A162" s="8" t="s">
        <v>1810</v>
      </c>
      <c r="B162" s="8" t="s">
        <v>1811</v>
      </c>
      <c r="C162" s="8" t="str">
        <f t="shared" si="2"/>
        <v>HAIKOU|CNHAK</v>
      </c>
    </row>
    <row r="163" spans="1:3">
      <c r="A163" s="8" t="s">
        <v>1812</v>
      </c>
      <c r="B163" s="8" t="s">
        <v>1813</v>
      </c>
      <c r="C163" s="8" t="str">
        <f t="shared" si="2"/>
        <v>HAIMEN|CNHME</v>
      </c>
    </row>
    <row r="164" spans="1:3">
      <c r="A164" s="8" t="s">
        <v>1814</v>
      </c>
      <c r="B164" s="8" t="s">
        <v>1815</v>
      </c>
      <c r="C164" s="8" t="str">
        <f t="shared" si="2"/>
        <v>HAKATA|JPHKT</v>
      </c>
    </row>
    <row r="165" spans="1:3">
      <c r="A165" s="8" t="s">
        <v>1816</v>
      </c>
      <c r="B165" s="8" t="s">
        <v>1817</v>
      </c>
      <c r="C165" s="8" t="str">
        <f t="shared" si="2"/>
        <v>HALDEN|NOHAL</v>
      </c>
    </row>
    <row r="166" spans="1:3">
      <c r="A166" s="8" t="s">
        <v>1818</v>
      </c>
      <c r="B166" s="8" t="s">
        <v>1819</v>
      </c>
      <c r="C166" s="8" t="str">
        <f t="shared" si="2"/>
        <v>HALDIA|INHAL</v>
      </c>
    </row>
    <row r="167" spans="1:3">
      <c r="A167" s="8" t="s">
        <v>1820</v>
      </c>
      <c r="B167" s="8" t="s">
        <v>1821</v>
      </c>
      <c r="C167" s="8" t="str">
        <f t="shared" si="2"/>
        <v>HALIFAX|CAHAL</v>
      </c>
    </row>
    <row r="168" spans="1:3">
      <c r="A168" s="8" t="s">
        <v>1822</v>
      </c>
      <c r="B168" s="8" t="s">
        <v>1823</v>
      </c>
      <c r="C168" s="8" t="str">
        <f t="shared" si="2"/>
        <v>HALMSTAD|SEHAD</v>
      </c>
    </row>
    <row r="169" spans="1:3">
      <c r="A169" s="8" t="s">
        <v>1824</v>
      </c>
      <c r="B169" s="8" t="s">
        <v>1825</v>
      </c>
      <c r="C169" s="8" t="str">
        <f t="shared" si="2"/>
        <v>HAMAD PORT|QAWAK</v>
      </c>
    </row>
    <row r="170" spans="1:3">
      <c r="A170" s="8" t="s">
        <v>1826</v>
      </c>
      <c r="B170" s="8" t="s">
        <v>1827</v>
      </c>
      <c r="C170" s="8" t="str">
        <f t="shared" si="2"/>
        <v>HAMBURG|DEHAM</v>
      </c>
    </row>
    <row r="171" spans="1:3">
      <c r="A171" s="8" t="s">
        <v>1828</v>
      </c>
      <c r="B171" s="8" t="s">
        <v>1829</v>
      </c>
      <c r="C171" s="8" t="str">
        <f t="shared" si="2"/>
        <v>HAMILTON BM|BMBDA</v>
      </c>
    </row>
    <row r="172" spans="1:3">
      <c r="A172" s="8" t="s">
        <v>1830</v>
      </c>
      <c r="B172" s="8" t="s">
        <v>1831</v>
      </c>
      <c r="C172" s="8" t="str">
        <f t="shared" si="2"/>
        <v>HAMINA|FIHMN</v>
      </c>
    </row>
    <row r="173" spans="1:3">
      <c r="A173" s="8" t="s">
        <v>1832</v>
      </c>
      <c r="B173" s="8" t="s">
        <v>1833</v>
      </c>
      <c r="C173" s="8" t="str">
        <f t="shared" si="2"/>
        <v>HANKO|FIHKO</v>
      </c>
    </row>
    <row r="174" spans="1:3">
      <c r="A174" s="8" t="s">
        <v>1834</v>
      </c>
      <c r="B174" s="8" t="s">
        <v>1835</v>
      </c>
      <c r="C174" s="8" t="str">
        <f t="shared" si="2"/>
        <v>HARWICH|GBHRW</v>
      </c>
    </row>
    <row r="175" spans="1:3">
      <c r="A175" s="8" t="s">
        <v>1836</v>
      </c>
      <c r="B175" s="8" t="s">
        <v>1837</v>
      </c>
      <c r="C175" s="8" t="str">
        <f t="shared" si="2"/>
        <v>HAUGESUND|NOHAU</v>
      </c>
    </row>
    <row r="176" spans="1:3">
      <c r="A176" s="8" t="s">
        <v>1838</v>
      </c>
      <c r="B176" s="8" t="s">
        <v>1839</v>
      </c>
      <c r="C176" s="8" t="str">
        <f t="shared" si="2"/>
        <v>HAZIRA|INHZA</v>
      </c>
    </row>
    <row r="177" spans="1:3">
      <c r="A177" s="8" t="s">
        <v>1840</v>
      </c>
      <c r="B177" s="8" t="s">
        <v>1841</v>
      </c>
      <c r="C177" s="8" t="str">
        <f t="shared" si="2"/>
        <v>HEFEI|CNHFE</v>
      </c>
    </row>
    <row r="178" spans="1:3">
      <c r="A178" s="8" t="s">
        <v>1842</v>
      </c>
      <c r="B178" s="8" t="s">
        <v>1843</v>
      </c>
      <c r="C178" s="8" t="str">
        <f t="shared" si="2"/>
        <v>HELSINGBORG|SEHEL</v>
      </c>
    </row>
    <row r="179" spans="1:3">
      <c r="A179" s="8" t="s">
        <v>1844</v>
      </c>
      <c r="B179" s="8" t="s">
        <v>1845</v>
      </c>
      <c r="C179" s="8" t="str">
        <f t="shared" si="2"/>
        <v>HELSINKI|FIHEL</v>
      </c>
    </row>
    <row r="180" spans="1:3">
      <c r="A180" s="8" t="s">
        <v>1846</v>
      </c>
      <c r="B180" s="8" t="s">
        <v>1847</v>
      </c>
      <c r="C180" s="8" t="str">
        <f t="shared" si="2"/>
        <v>HEROYA|NOHRY</v>
      </c>
    </row>
    <row r="181" spans="1:3">
      <c r="A181" s="8" t="s">
        <v>1848</v>
      </c>
      <c r="B181" s="8" t="s">
        <v>1849</v>
      </c>
      <c r="C181" s="8" t="str">
        <f t="shared" si="2"/>
        <v>HESHAN|CNHSN</v>
      </c>
    </row>
    <row r="182" spans="1:3">
      <c r="A182" s="8" t="s">
        <v>1850</v>
      </c>
      <c r="B182" s="8" t="s">
        <v>1851</v>
      </c>
      <c r="C182" s="8" t="str">
        <f t="shared" si="2"/>
        <v>KITAKYUSHU|JPKKJ</v>
      </c>
    </row>
    <row r="183" spans="1:3">
      <c r="A183" s="8" t="s">
        <v>1852</v>
      </c>
      <c r="B183" s="8" t="s">
        <v>1853</v>
      </c>
      <c r="C183" s="8" t="str">
        <f t="shared" si="2"/>
        <v>HO CHI MINH CITY|VNSGN</v>
      </c>
    </row>
    <row r="184" spans="1:3">
      <c r="A184" s="8" t="s">
        <v>1854</v>
      </c>
      <c r="B184" s="8" t="s">
        <v>1855</v>
      </c>
      <c r="C184" s="8" t="str">
        <f t="shared" si="2"/>
        <v>HIROSHIMA|JPHIJ</v>
      </c>
    </row>
    <row r="185" spans="1:3">
      <c r="A185" s="8" t="s">
        <v>1856</v>
      </c>
      <c r="B185" s="8" t="s">
        <v>1857</v>
      </c>
      <c r="C185" s="8" t="str">
        <f t="shared" si="2"/>
        <v>HITACHI|JPHTC</v>
      </c>
    </row>
    <row r="186" spans="1:3">
      <c r="A186" s="8" t="s">
        <v>1852</v>
      </c>
      <c r="B186" s="8" t="s">
        <v>1853</v>
      </c>
      <c r="C186" s="8" t="str">
        <f t="shared" si="2"/>
        <v>HO CHI MINH CITY|VNSGN</v>
      </c>
    </row>
    <row r="187" spans="1:3">
      <c r="A187" s="8" t="s">
        <v>1852</v>
      </c>
      <c r="B187" s="8" t="s">
        <v>1853</v>
      </c>
      <c r="C187" s="8" t="str">
        <f t="shared" si="2"/>
        <v>HO CHI MINH CITY|VNSGN</v>
      </c>
    </row>
    <row r="188" spans="1:3">
      <c r="A188" s="8" t="s">
        <v>1852</v>
      </c>
      <c r="B188" s="8" t="s">
        <v>1853</v>
      </c>
      <c r="C188" s="8" t="str">
        <f t="shared" si="2"/>
        <v>HO CHI MINH CITY|VNSGN</v>
      </c>
    </row>
    <row r="189" spans="1:3">
      <c r="A189" s="8" t="s">
        <v>1858</v>
      </c>
      <c r="B189" s="8" t="s">
        <v>1859</v>
      </c>
      <c r="C189" s="8" t="str">
        <f t="shared" si="2"/>
        <v>HONG KONG|HKHKG</v>
      </c>
    </row>
    <row r="190" spans="1:3">
      <c r="A190" s="8" t="s">
        <v>1860</v>
      </c>
      <c r="B190" s="8" t="s">
        <v>1861</v>
      </c>
      <c r="C190" s="8" t="str">
        <f t="shared" si="2"/>
        <v>HONOLULU|USHNL</v>
      </c>
    </row>
    <row r="191" spans="1:3">
      <c r="A191" s="8" t="s">
        <v>1862</v>
      </c>
      <c r="B191" s="8" t="s">
        <v>1863</v>
      </c>
      <c r="C191" s="8" t="str">
        <f t="shared" si="2"/>
        <v>HOSOSHIMA|JPHYU</v>
      </c>
    </row>
    <row r="192" spans="1:3">
      <c r="A192" s="8" t="s">
        <v>1864</v>
      </c>
      <c r="B192" s="8" t="s">
        <v>1865</v>
      </c>
      <c r="C192" s="8" t="str">
        <f t="shared" si="2"/>
        <v>HOUSTON|USHOU</v>
      </c>
    </row>
    <row r="193" spans="1:3">
      <c r="A193" s="8" t="s">
        <v>1866</v>
      </c>
      <c r="B193" s="8" t="s">
        <v>1867</v>
      </c>
      <c r="C193" s="8" t="str">
        <f t="shared" si="2"/>
        <v>HUANGPU|CNHUA</v>
      </c>
    </row>
    <row r="194" spans="1:3">
      <c r="A194" s="8" t="s">
        <v>1868</v>
      </c>
      <c r="B194" s="8" t="s">
        <v>1869</v>
      </c>
      <c r="C194" s="8" t="str">
        <f t="shared" si="2"/>
        <v>HUANGSHI|CNHSI</v>
      </c>
    </row>
    <row r="195" spans="1:3">
      <c r="A195" s="8" t="s">
        <v>1870</v>
      </c>
      <c r="B195" s="8" t="s">
        <v>1871</v>
      </c>
      <c r="C195" s="8" t="str">
        <f t="shared" ref="C195:C258" si="3">B195&amp;"|"&amp;A195</f>
        <v>HUIZHOU|CNHUI</v>
      </c>
    </row>
    <row r="196" spans="1:3">
      <c r="A196" s="8" t="s">
        <v>1872</v>
      </c>
      <c r="B196" s="8" t="s">
        <v>1873</v>
      </c>
      <c r="C196" s="8" t="str">
        <f t="shared" si="3"/>
        <v>HULL|GBHUL</v>
      </c>
    </row>
    <row r="197" spans="1:3">
      <c r="A197" s="8" t="s">
        <v>1874</v>
      </c>
      <c r="B197" s="8" t="s">
        <v>1875</v>
      </c>
      <c r="C197" s="8" t="str">
        <f t="shared" si="3"/>
        <v>HUMEN|CNHMN</v>
      </c>
    </row>
    <row r="198" spans="1:3">
      <c r="A198" s="8" t="s">
        <v>1876</v>
      </c>
      <c r="B198" s="8" t="s">
        <v>1877</v>
      </c>
      <c r="C198" s="8" t="str">
        <f t="shared" si="3"/>
        <v>IKORNNES|NOIKR</v>
      </c>
    </row>
    <row r="199" spans="1:3">
      <c r="A199" s="8" t="s">
        <v>1878</v>
      </c>
      <c r="B199" s="8" t="s">
        <v>1879</v>
      </c>
      <c r="C199" s="8" t="str">
        <f t="shared" si="3"/>
        <v>CHORNOMORSK|UAILK</v>
      </c>
    </row>
    <row r="200" spans="1:3">
      <c r="A200" s="8" t="s">
        <v>1880</v>
      </c>
      <c r="B200" s="8" t="s">
        <v>1881</v>
      </c>
      <c r="C200" s="8" t="str">
        <f t="shared" si="3"/>
        <v>ILOILO|PHILO</v>
      </c>
    </row>
    <row r="201" spans="1:3">
      <c r="A201" s="8" t="s">
        <v>1882</v>
      </c>
      <c r="B201" s="8" t="s">
        <v>1883</v>
      </c>
      <c r="C201" s="8" t="str">
        <f t="shared" si="3"/>
        <v>IMABARI|JPIMB</v>
      </c>
    </row>
    <row r="202" spans="1:3">
      <c r="A202" s="8" t="s">
        <v>1884</v>
      </c>
      <c r="B202" s="8" t="s">
        <v>1885</v>
      </c>
      <c r="C202" s="8" t="str">
        <f t="shared" si="3"/>
        <v>BANDAR MAHSHAHR|IRMRX</v>
      </c>
    </row>
    <row r="203" spans="1:3">
      <c r="A203" s="8" t="s">
        <v>1886</v>
      </c>
      <c r="B203" s="8" t="s">
        <v>1887</v>
      </c>
      <c r="C203" s="8" t="str">
        <f t="shared" si="3"/>
        <v>IMARI|JPIMI</v>
      </c>
    </row>
    <row r="204" spans="1:3">
      <c r="A204" s="8" t="s">
        <v>1888</v>
      </c>
      <c r="B204" s="8" t="s">
        <v>1889</v>
      </c>
      <c r="C204" s="8" t="str">
        <f t="shared" si="3"/>
        <v>IMMINGHAM|GBIMM</v>
      </c>
    </row>
    <row r="205" spans="1:3">
      <c r="A205" s="8" t="s">
        <v>1890</v>
      </c>
      <c r="B205" s="8" t="s">
        <v>1891</v>
      </c>
      <c r="C205" s="8" t="str">
        <f t="shared" si="3"/>
        <v>INCHON|KRINC</v>
      </c>
    </row>
    <row r="206" spans="1:3">
      <c r="A206" s="8" t="s">
        <v>1892</v>
      </c>
      <c r="B206" s="8" t="s">
        <v>1893</v>
      </c>
      <c r="C206" s="8" t="str">
        <f t="shared" si="3"/>
        <v>BANDAR ABBAS|IRBND</v>
      </c>
    </row>
    <row r="207" spans="1:3">
      <c r="A207" s="8" t="s">
        <v>1894</v>
      </c>
      <c r="B207" s="8" t="s">
        <v>1895</v>
      </c>
      <c r="C207" s="8" t="str">
        <f t="shared" si="3"/>
        <v>ISHIGAKI|JPISG</v>
      </c>
    </row>
    <row r="208" spans="1:3">
      <c r="A208" s="8" t="s">
        <v>1595</v>
      </c>
      <c r="B208" s="8" t="s">
        <v>1596</v>
      </c>
      <c r="C208" s="8" t="str">
        <f t="shared" si="3"/>
        <v>ISTANBUL|TRIST</v>
      </c>
    </row>
    <row r="209" spans="1:3">
      <c r="A209" s="8" t="s">
        <v>1595</v>
      </c>
      <c r="B209" s="8" t="s">
        <v>1596</v>
      </c>
      <c r="C209" s="8" t="str">
        <f t="shared" si="3"/>
        <v>ISTANBUL|TRIST</v>
      </c>
    </row>
    <row r="210" spans="1:3">
      <c r="A210" s="8" t="s">
        <v>1896</v>
      </c>
      <c r="B210" s="8" t="s">
        <v>1897</v>
      </c>
      <c r="C210" s="8" t="str">
        <f t="shared" si="3"/>
        <v>ITAGUAI|BRIGI</v>
      </c>
    </row>
    <row r="211" spans="1:3">
      <c r="A211" s="8" t="s">
        <v>1898</v>
      </c>
      <c r="B211" s="8" t="s">
        <v>1899</v>
      </c>
      <c r="C211" s="8" t="str">
        <f t="shared" si="3"/>
        <v>ITAJAI|BRITJ</v>
      </c>
    </row>
    <row r="212" spans="1:3">
      <c r="A212" s="8" t="s">
        <v>1900</v>
      </c>
      <c r="B212" s="8" t="s">
        <v>1901</v>
      </c>
      <c r="C212" s="8" t="str">
        <f t="shared" si="3"/>
        <v>ITAPOA|BRIOA</v>
      </c>
    </row>
    <row r="213" spans="1:3">
      <c r="A213" s="8" t="s">
        <v>1902</v>
      </c>
      <c r="B213" s="8" t="s">
        <v>1903</v>
      </c>
      <c r="C213" s="8" t="str">
        <f t="shared" si="3"/>
        <v>IWAKUNI|JPIWK</v>
      </c>
    </row>
    <row r="214" spans="1:3">
      <c r="A214" s="8" t="s">
        <v>1904</v>
      </c>
      <c r="B214" s="8" t="s">
        <v>1905</v>
      </c>
      <c r="C214" s="8" t="str">
        <f t="shared" si="3"/>
        <v>IYO MISHIMA|JPIYM</v>
      </c>
    </row>
    <row r="215" spans="1:3">
      <c r="A215" s="8" t="s">
        <v>1906</v>
      </c>
      <c r="B215" s="8" t="s">
        <v>1907</v>
      </c>
      <c r="C215" s="8" t="str">
        <f t="shared" si="3"/>
        <v>IZMIR|TRIZM</v>
      </c>
    </row>
    <row r="216" spans="1:3">
      <c r="A216" s="8" t="s">
        <v>1908</v>
      </c>
      <c r="B216" s="8" t="s">
        <v>1909</v>
      </c>
      <c r="C216" s="8" t="str">
        <f t="shared" si="3"/>
        <v>IZMIT|TRIZT</v>
      </c>
    </row>
    <row r="217" spans="1:3">
      <c r="A217" s="8" t="s">
        <v>1910</v>
      </c>
      <c r="B217" s="8" t="s">
        <v>1911</v>
      </c>
      <c r="C217" s="8" t="str">
        <f t="shared" si="3"/>
        <v>JACKSONVILLE|USJAX</v>
      </c>
    </row>
    <row r="218" spans="1:3">
      <c r="A218" s="8" t="s">
        <v>1912</v>
      </c>
      <c r="B218" s="8" t="s">
        <v>1913</v>
      </c>
      <c r="C218" s="8" t="str">
        <f t="shared" si="3"/>
        <v>JAKARTA|IDJKT</v>
      </c>
    </row>
    <row r="219" spans="1:3">
      <c r="A219" s="8" t="s">
        <v>1914</v>
      </c>
      <c r="B219" s="8" t="s">
        <v>1915</v>
      </c>
      <c r="C219" s="8" t="str">
        <f t="shared" si="3"/>
        <v>JAMBI|IDDJB</v>
      </c>
    </row>
    <row r="220" spans="1:3">
      <c r="A220" s="8" t="s">
        <v>1916</v>
      </c>
      <c r="B220" s="8" t="s">
        <v>1917</v>
      </c>
      <c r="C220" s="8" t="str">
        <f t="shared" si="3"/>
        <v>JEBEL ALI|AEJEA</v>
      </c>
    </row>
    <row r="221" spans="1:3">
      <c r="A221" s="8" t="s">
        <v>1918</v>
      </c>
      <c r="B221" s="8" t="s">
        <v>1919</v>
      </c>
      <c r="C221" s="8" t="str">
        <f t="shared" si="3"/>
        <v>JEDDAH|SAJED</v>
      </c>
    </row>
    <row r="222" spans="1:3">
      <c r="A222" s="8" t="s">
        <v>1920</v>
      </c>
      <c r="B222" s="8" t="s">
        <v>1921</v>
      </c>
      <c r="C222" s="8" t="str">
        <f t="shared" si="3"/>
        <v>JIANGMEN|CNJMN</v>
      </c>
    </row>
    <row r="223" spans="1:3">
      <c r="A223" s="8" t="s">
        <v>1922</v>
      </c>
      <c r="B223" s="8" t="s">
        <v>1923</v>
      </c>
      <c r="C223" s="8" t="str">
        <f t="shared" si="3"/>
        <v>JIANGYIN|CNJIA</v>
      </c>
    </row>
    <row r="224" spans="1:3">
      <c r="A224" s="8" t="s">
        <v>1924</v>
      </c>
      <c r="B224" s="8" t="s">
        <v>1925</v>
      </c>
      <c r="C224" s="8" t="str">
        <f t="shared" si="3"/>
        <v>JIAXING|CNJIX</v>
      </c>
    </row>
    <row r="225" spans="1:3">
      <c r="A225" s="8" t="s">
        <v>1926</v>
      </c>
      <c r="B225" s="8" t="s">
        <v>1927</v>
      </c>
      <c r="C225" s="8" t="str">
        <f t="shared" si="3"/>
        <v>JINHAE|KRCHF</v>
      </c>
    </row>
    <row r="226" spans="1:3">
      <c r="A226" s="8" t="s">
        <v>1928</v>
      </c>
      <c r="B226" s="8" t="s">
        <v>1929</v>
      </c>
      <c r="C226" s="8" t="str">
        <f t="shared" si="3"/>
        <v>JINZHOU|CNJNZ</v>
      </c>
    </row>
    <row r="227" spans="1:3">
      <c r="A227" s="8" t="s">
        <v>1930</v>
      </c>
      <c r="B227" s="8" t="s">
        <v>1931</v>
      </c>
      <c r="C227" s="8" t="str">
        <f t="shared" si="3"/>
        <v>JIUJIANG|CNJJG</v>
      </c>
    </row>
    <row r="228" spans="1:3">
      <c r="A228" s="8" t="s">
        <v>1932</v>
      </c>
      <c r="B228" s="8" t="s">
        <v>1931</v>
      </c>
      <c r="C228" s="8" t="str">
        <f t="shared" si="3"/>
        <v>JIUJIANG|CNJIU</v>
      </c>
    </row>
    <row r="229" spans="1:3">
      <c r="A229" s="8" t="s">
        <v>1933</v>
      </c>
      <c r="B229" s="8" t="s">
        <v>1934</v>
      </c>
      <c r="C229" s="8" t="str">
        <f t="shared" si="3"/>
        <v>JUBAIL|SAJUB</v>
      </c>
    </row>
    <row r="230" spans="1:3">
      <c r="A230" s="8" t="s">
        <v>1935</v>
      </c>
      <c r="B230" s="8" t="s">
        <v>1936</v>
      </c>
      <c r="C230" s="8" t="str">
        <f t="shared" si="3"/>
        <v>KABIL|IDKAB</v>
      </c>
    </row>
    <row r="231" spans="1:3">
      <c r="A231" s="8" t="s">
        <v>1937</v>
      </c>
      <c r="B231" s="8" t="s">
        <v>1938</v>
      </c>
      <c r="C231" s="8" t="str">
        <f t="shared" si="3"/>
        <v>KAIPING|CNKAP</v>
      </c>
    </row>
    <row r="232" spans="1:3">
      <c r="A232" s="8" t="s">
        <v>1939</v>
      </c>
      <c r="B232" s="8" t="s">
        <v>1940</v>
      </c>
      <c r="C232" s="8" t="str">
        <f t="shared" si="3"/>
        <v>KALININGRAD|RUKGD</v>
      </c>
    </row>
    <row r="233" spans="1:3">
      <c r="A233" s="8" t="s">
        <v>1941</v>
      </c>
      <c r="B233" s="8" t="s">
        <v>1942</v>
      </c>
      <c r="C233" s="8" t="str">
        <f t="shared" si="3"/>
        <v>KAMAISHI|JPKIS</v>
      </c>
    </row>
    <row r="234" spans="1:3">
      <c r="A234" s="8" t="s">
        <v>1943</v>
      </c>
      <c r="B234" s="8" t="s">
        <v>1944</v>
      </c>
      <c r="C234" s="8" t="str">
        <f t="shared" si="3"/>
        <v>DEQING|CNDEQ</v>
      </c>
    </row>
    <row r="235" spans="1:3">
      <c r="A235" s="8" t="s">
        <v>1945</v>
      </c>
      <c r="B235" s="8" t="s">
        <v>1946</v>
      </c>
      <c r="C235" s="8" t="str">
        <f t="shared" si="3"/>
        <v>KAOHSIUNG|TWKHH</v>
      </c>
    </row>
    <row r="236" spans="1:3">
      <c r="A236" s="8" t="s">
        <v>1945</v>
      </c>
      <c r="B236" s="8" t="s">
        <v>1946</v>
      </c>
      <c r="C236" s="8" t="str">
        <f t="shared" si="3"/>
        <v>KAOHSIUNG|TWKHH</v>
      </c>
    </row>
    <row r="237" spans="1:3">
      <c r="A237" s="8" t="s">
        <v>1947</v>
      </c>
      <c r="B237" s="8" t="s">
        <v>1948</v>
      </c>
      <c r="C237" s="8" t="str">
        <f t="shared" si="3"/>
        <v>KARLSHAMN|SEKAN</v>
      </c>
    </row>
    <row r="238" spans="1:3">
      <c r="A238" s="8" t="s">
        <v>1949</v>
      </c>
      <c r="B238" s="8" t="s">
        <v>1950</v>
      </c>
      <c r="C238" s="8" t="str">
        <f t="shared" si="3"/>
        <v>KASHIMA|JPKSM</v>
      </c>
    </row>
    <row r="239" spans="1:3">
      <c r="A239" s="8" t="s">
        <v>1951</v>
      </c>
      <c r="B239" s="8" t="s">
        <v>1952</v>
      </c>
      <c r="C239" s="8" t="str">
        <f t="shared" si="3"/>
        <v>KATHIAWAR|INKAT</v>
      </c>
    </row>
    <row r="240" spans="1:3">
      <c r="A240" s="8" t="s">
        <v>1953</v>
      </c>
      <c r="B240" s="8" t="s">
        <v>1954</v>
      </c>
      <c r="C240" s="8" t="str">
        <f t="shared" si="3"/>
        <v>KAWASAKI|JPKWS</v>
      </c>
    </row>
    <row r="241" spans="1:3">
      <c r="A241" s="8" t="s">
        <v>1955</v>
      </c>
      <c r="B241" s="8" t="s">
        <v>1956</v>
      </c>
      <c r="C241" s="8" t="str">
        <f t="shared" si="3"/>
        <v>KARACHI|PKKHI</v>
      </c>
    </row>
    <row r="242" spans="1:3">
      <c r="A242" s="8" t="s">
        <v>1957</v>
      </c>
      <c r="B242" s="8" t="s">
        <v>1958</v>
      </c>
      <c r="C242" s="8" t="str">
        <f t="shared" si="3"/>
        <v>KEELUNG|TWKEL</v>
      </c>
    </row>
    <row r="243" spans="1:3">
      <c r="A243" s="8" t="s">
        <v>1959</v>
      </c>
      <c r="B243" s="8" t="s">
        <v>1960</v>
      </c>
      <c r="C243" s="8" t="str">
        <f t="shared" si="3"/>
        <v>KEMI|FIKEM</v>
      </c>
    </row>
    <row r="244" spans="1:3">
      <c r="A244" s="8" t="s">
        <v>1509</v>
      </c>
      <c r="B244" s="8" t="s">
        <v>1510</v>
      </c>
      <c r="C244" s="8" t="str">
        <f t="shared" si="3"/>
        <v>ABU DHABI|AEAUH</v>
      </c>
    </row>
    <row r="245" spans="1:3">
      <c r="A245" s="8" t="s">
        <v>1961</v>
      </c>
      <c r="B245" s="8" t="s">
        <v>1962</v>
      </c>
      <c r="C245" s="8" t="str">
        <f t="shared" si="3"/>
        <v>KHALIFA BIN SALMAN PORT|BHAHD</v>
      </c>
    </row>
    <row r="246" spans="1:3">
      <c r="A246" s="8" t="s">
        <v>1963</v>
      </c>
      <c r="B246" s="8" t="s">
        <v>1964</v>
      </c>
      <c r="C246" s="8" t="str">
        <f t="shared" si="3"/>
        <v>KHOR FAKKAN|AEKLF</v>
      </c>
    </row>
    <row r="247" spans="1:3">
      <c r="A247" s="8" t="s">
        <v>1965</v>
      </c>
      <c r="B247" s="8" t="s">
        <v>1966</v>
      </c>
      <c r="C247" s="8" t="str">
        <f t="shared" si="3"/>
        <v>KHORRAMSHAHR|IRKHO</v>
      </c>
    </row>
    <row r="248" spans="1:3">
      <c r="A248" s="8" t="s">
        <v>1967</v>
      </c>
      <c r="B248" s="8" t="s">
        <v>1968</v>
      </c>
      <c r="C248" s="8" t="str">
        <f t="shared" si="3"/>
        <v>KIEL|DEKEL</v>
      </c>
    </row>
    <row r="249" spans="1:3">
      <c r="A249" s="8" t="s">
        <v>1969</v>
      </c>
      <c r="B249" s="8" t="s">
        <v>1970</v>
      </c>
      <c r="C249" s="8" t="str">
        <f t="shared" si="3"/>
        <v>KINGSTON JM|JMKIN</v>
      </c>
    </row>
    <row r="250" spans="1:3">
      <c r="A250" s="8" t="s">
        <v>1850</v>
      </c>
      <c r="B250" s="8" t="s">
        <v>1851</v>
      </c>
      <c r="C250" s="8" t="str">
        <f t="shared" si="3"/>
        <v>KITAKYUSHU|JPKKJ</v>
      </c>
    </row>
    <row r="251" spans="1:3">
      <c r="A251" s="8" t="s">
        <v>1971</v>
      </c>
      <c r="B251" s="8" t="s">
        <v>1972</v>
      </c>
      <c r="C251" s="8" t="str">
        <f t="shared" si="3"/>
        <v>KLAIPEDA|LTKLJ</v>
      </c>
    </row>
    <row r="252" spans="1:3">
      <c r="A252" s="8" t="s">
        <v>1973</v>
      </c>
      <c r="B252" s="8" t="s">
        <v>1974</v>
      </c>
      <c r="C252" s="8" t="str">
        <f t="shared" si="3"/>
        <v>KOBE|JPUKB</v>
      </c>
    </row>
    <row r="253" spans="1:3">
      <c r="A253" s="8" t="s">
        <v>1975</v>
      </c>
      <c r="B253" s="8" t="s">
        <v>1976</v>
      </c>
      <c r="C253" s="8" t="str">
        <f t="shared" si="3"/>
        <v>KOKURA|JPKOK</v>
      </c>
    </row>
    <row r="254" spans="1:3">
      <c r="A254" s="8" t="s">
        <v>1977</v>
      </c>
      <c r="B254" s="8" t="s">
        <v>1978</v>
      </c>
      <c r="C254" s="8" t="str">
        <f t="shared" si="3"/>
        <v>KOPER|SIKOP</v>
      </c>
    </row>
    <row r="255" spans="1:3">
      <c r="A255" s="8" t="s">
        <v>1979</v>
      </c>
      <c r="B255" s="8" t="s">
        <v>1980</v>
      </c>
      <c r="C255" s="8" t="str">
        <f t="shared" si="3"/>
        <v>KOTA KINABALU|MYBKI</v>
      </c>
    </row>
    <row r="256" spans="1:3">
      <c r="A256" s="8" t="s">
        <v>1981</v>
      </c>
      <c r="B256" s="8" t="s">
        <v>1982</v>
      </c>
      <c r="C256" s="8" t="str">
        <f t="shared" si="3"/>
        <v>KOTKA|FIKTK</v>
      </c>
    </row>
    <row r="257" spans="1:3">
      <c r="A257" s="8" t="s">
        <v>1983</v>
      </c>
      <c r="B257" s="8" t="s">
        <v>1984</v>
      </c>
      <c r="C257" s="8" t="str">
        <f t="shared" si="3"/>
        <v>KRISHNAPATNAM|INKRI</v>
      </c>
    </row>
    <row r="258" spans="1:3">
      <c r="A258" s="8" t="s">
        <v>1985</v>
      </c>
      <c r="B258" s="8" t="s">
        <v>1986</v>
      </c>
      <c r="C258" s="8" t="str">
        <f t="shared" si="3"/>
        <v>KRISTIANSAND S.|NOKRS</v>
      </c>
    </row>
    <row r="259" spans="1:3">
      <c r="A259" s="8" t="s">
        <v>1987</v>
      </c>
      <c r="B259" s="8" t="s">
        <v>1988</v>
      </c>
      <c r="C259" s="8" t="str">
        <f t="shared" ref="C259:C322" si="4">B259&amp;"|"&amp;A259</f>
        <v>KRISTIANSUND N.|NOKSU</v>
      </c>
    </row>
    <row r="260" spans="1:3">
      <c r="A260" s="8" t="s">
        <v>1989</v>
      </c>
      <c r="B260" s="8" t="s">
        <v>1990</v>
      </c>
      <c r="C260" s="8" t="str">
        <f t="shared" si="4"/>
        <v>KUALA TUNGKAL|IDKTK</v>
      </c>
    </row>
    <row r="261" spans="1:3">
      <c r="A261" s="8" t="s">
        <v>1991</v>
      </c>
      <c r="B261" s="8" t="s">
        <v>1992</v>
      </c>
      <c r="C261" s="8" t="str">
        <f t="shared" si="4"/>
        <v>KUANTAN|MYKUA</v>
      </c>
    </row>
    <row r="262" spans="1:3">
      <c r="A262" s="8" t="s">
        <v>1993</v>
      </c>
      <c r="B262" s="8" t="s">
        <v>1994</v>
      </c>
      <c r="C262" s="8" t="str">
        <f t="shared" si="4"/>
        <v>KUCHING|MYKCH</v>
      </c>
    </row>
    <row r="263" spans="1:3">
      <c r="A263" s="8" t="s">
        <v>1995</v>
      </c>
      <c r="B263" s="8" t="s">
        <v>1996</v>
      </c>
      <c r="C263" s="8" t="str">
        <f t="shared" si="4"/>
        <v>KUWAIT|KWKWI</v>
      </c>
    </row>
    <row r="264" spans="1:3">
      <c r="A264" s="8" t="s">
        <v>1997</v>
      </c>
      <c r="B264" s="8" t="s">
        <v>1998</v>
      </c>
      <c r="C264" s="8" t="str">
        <f t="shared" si="4"/>
        <v>KWANGYANG|KRKAN</v>
      </c>
    </row>
    <row r="265" spans="1:3">
      <c r="A265" s="8" t="s">
        <v>1999</v>
      </c>
      <c r="B265" s="8" t="s">
        <v>2000</v>
      </c>
      <c r="C265" s="8" t="str">
        <f t="shared" si="4"/>
        <v>LA ROCHELLE|FRLRH</v>
      </c>
    </row>
    <row r="266" spans="1:3">
      <c r="A266" s="8" t="s">
        <v>2001</v>
      </c>
      <c r="B266" s="8" t="s">
        <v>2002</v>
      </c>
      <c r="C266" s="8" t="str">
        <f t="shared" si="4"/>
        <v>LA SPEZIA|ITSPE</v>
      </c>
    </row>
    <row r="267" spans="1:3">
      <c r="A267" s="8" t="s">
        <v>2003</v>
      </c>
      <c r="B267" s="8" t="s">
        <v>2004</v>
      </c>
      <c r="C267" s="8" t="str">
        <f t="shared" si="4"/>
        <v>LABUAN|MYLBU</v>
      </c>
    </row>
    <row r="268" spans="1:3">
      <c r="A268" s="8" t="s">
        <v>2005</v>
      </c>
      <c r="B268" s="8" t="s">
        <v>2006</v>
      </c>
      <c r="C268" s="8" t="str">
        <f t="shared" si="4"/>
        <v>LAEM CHABANG|THLCH</v>
      </c>
    </row>
    <row r="269" spans="1:3">
      <c r="A269" s="8" t="s">
        <v>2007</v>
      </c>
      <c r="B269" s="8" t="s">
        <v>2008</v>
      </c>
      <c r="C269" s="8" t="str">
        <f t="shared" si="4"/>
        <v>LANSHI|CNLSI</v>
      </c>
    </row>
    <row r="270" spans="1:3">
      <c r="A270" s="8" t="s">
        <v>2009</v>
      </c>
      <c r="B270" s="8" t="s">
        <v>2010</v>
      </c>
      <c r="C270" s="8" t="str">
        <f t="shared" si="4"/>
        <v>LARVIK|NOLAR</v>
      </c>
    </row>
    <row r="271" spans="1:3">
      <c r="A271" s="8" t="s">
        <v>2011</v>
      </c>
      <c r="B271" s="8" t="s">
        <v>2012</v>
      </c>
      <c r="C271" s="8" t="str">
        <f t="shared" si="4"/>
        <v>LAZARO CARDENAS|MXLZC</v>
      </c>
    </row>
    <row r="272" spans="1:3">
      <c r="A272" s="8" t="s">
        <v>2013</v>
      </c>
      <c r="B272" s="8" t="s">
        <v>2014</v>
      </c>
      <c r="C272" s="8" t="str">
        <f t="shared" si="4"/>
        <v>LE HAVRE|FRLEH</v>
      </c>
    </row>
    <row r="273" spans="1:3">
      <c r="A273" s="8" t="s">
        <v>2015</v>
      </c>
      <c r="B273" s="8" t="s">
        <v>2016</v>
      </c>
      <c r="C273" s="8" t="str">
        <f t="shared" si="4"/>
        <v>LE VERDON|FRLVE</v>
      </c>
    </row>
    <row r="274" spans="1:3">
      <c r="A274" s="8" t="s">
        <v>2017</v>
      </c>
      <c r="B274" s="8" t="s">
        <v>2018</v>
      </c>
      <c r="C274" s="8" t="str">
        <f t="shared" si="4"/>
        <v>LEIXOES|PTLEI</v>
      </c>
    </row>
    <row r="275" spans="1:3">
      <c r="A275" s="8" t="s">
        <v>2019</v>
      </c>
      <c r="B275" s="8" t="s">
        <v>2020</v>
      </c>
      <c r="C275" s="8" t="str">
        <f t="shared" si="4"/>
        <v>LIANHUASHAN|CNLIH</v>
      </c>
    </row>
    <row r="276" spans="1:3">
      <c r="A276" s="8" t="s">
        <v>2021</v>
      </c>
      <c r="B276" s="8" t="s">
        <v>2022</v>
      </c>
      <c r="C276" s="8" t="str">
        <f t="shared" si="4"/>
        <v>LIANYUNGANG|CNLYG</v>
      </c>
    </row>
    <row r="277" spans="1:3">
      <c r="A277" s="8" t="s">
        <v>2023</v>
      </c>
      <c r="B277" s="8" t="s">
        <v>2024</v>
      </c>
      <c r="C277" s="8" t="str">
        <f t="shared" si="4"/>
        <v>LIMASSOL|CYLMS</v>
      </c>
    </row>
    <row r="278" spans="1:3">
      <c r="A278" s="8" t="s">
        <v>2025</v>
      </c>
      <c r="B278" s="8" t="s">
        <v>2026</v>
      </c>
      <c r="C278" s="8" t="str">
        <f t="shared" si="4"/>
        <v>LIRQUEN|CLLQN</v>
      </c>
    </row>
    <row r="279" spans="1:3">
      <c r="A279" s="8" t="s">
        <v>2027</v>
      </c>
      <c r="B279" s="8" t="s">
        <v>2028</v>
      </c>
      <c r="C279" s="8" t="str">
        <f t="shared" si="4"/>
        <v>LISBON|PTLIS</v>
      </c>
    </row>
    <row r="280" spans="1:3">
      <c r="A280" s="8" t="s">
        <v>2029</v>
      </c>
      <c r="B280" s="8" t="s">
        <v>2030</v>
      </c>
      <c r="C280" s="8" t="str">
        <f t="shared" si="4"/>
        <v>LIUDU|CNLUD</v>
      </c>
    </row>
    <row r="281" spans="1:3">
      <c r="A281" s="8" t="s">
        <v>2031</v>
      </c>
      <c r="B281" s="8" t="s">
        <v>2032</v>
      </c>
      <c r="C281" s="8" t="str">
        <f t="shared" si="4"/>
        <v>LIUZHOU|CNLZH</v>
      </c>
    </row>
    <row r="282" spans="1:3">
      <c r="A282" s="8" t="s">
        <v>2033</v>
      </c>
      <c r="B282" s="8" t="s">
        <v>2034</v>
      </c>
      <c r="C282" s="8" t="str">
        <f t="shared" si="4"/>
        <v>LIVERPOOL GB|GBLIV</v>
      </c>
    </row>
    <row r="283" spans="1:3">
      <c r="A283" s="8" t="s">
        <v>2035</v>
      </c>
      <c r="B283" s="8" t="s">
        <v>2036</v>
      </c>
      <c r="C283" s="8" t="str">
        <f t="shared" si="4"/>
        <v>LEGHORN|ITLIV</v>
      </c>
    </row>
    <row r="284" spans="1:3">
      <c r="A284" s="8" t="s">
        <v>2037</v>
      </c>
      <c r="B284" s="8" t="s">
        <v>2038</v>
      </c>
      <c r="C284" s="8" t="str">
        <f t="shared" si="4"/>
        <v>TANJUNG UBAN|IDTUB</v>
      </c>
    </row>
    <row r="285" spans="1:3">
      <c r="A285" s="8" t="s">
        <v>2039</v>
      </c>
      <c r="B285" s="8" t="s">
        <v>2040</v>
      </c>
      <c r="C285" s="8" t="str">
        <f t="shared" si="4"/>
        <v>LONDON|GBLON</v>
      </c>
    </row>
    <row r="286" spans="1:3">
      <c r="A286" s="8" t="s">
        <v>2041</v>
      </c>
      <c r="B286" s="8" t="s">
        <v>2042</v>
      </c>
      <c r="C286" s="8" t="str">
        <f t="shared" si="4"/>
        <v>LONG BEACH|USLGB</v>
      </c>
    </row>
    <row r="287" spans="1:3">
      <c r="A287" s="8" t="s">
        <v>2043</v>
      </c>
      <c r="B287" s="8" t="s">
        <v>2044</v>
      </c>
      <c r="C287" s="8" t="str">
        <f t="shared" si="4"/>
        <v>LONGKOU|CNLKU</v>
      </c>
    </row>
    <row r="288" spans="1:3">
      <c r="A288" s="8" t="s">
        <v>2045</v>
      </c>
      <c r="B288" s="8" t="s">
        <v>2046</v>
      </c>
      <c r="C288" s="8" t="str">
        <f t="shared" si="4"/>
        <v>LOS ANGELES|USLAX</v>
      </c>
    </row>
    <row r="289" spans="1:3">
      <c r="A289" s="8" t="s">
        <v>2047</v>
      </c>
      <c r="B289" s="8" t="s">
        <v>2048</v>
      </c>
      <c r="C289" s="8" t="str">
        <f t="shared" si="4"/>
        <v>LUANDA|AOLAD</v>
      </c>
    </row>
    <row r="290" spans="1:3">
      <c r="A290" s="8" t="s">
        <v>2049</v>
      </c>
      <c r="B290" s="8" t="s">
        <v>2050</v>
      </c>
      <c r="C290" s="8" t="str">
        <f t="shared" si="4"/>
        <v>LUBECK|DELBC</v>
      </c>
    </row>
    <row r="291" spans="1:3">
      <c r="A291" s="8" t="s">
        <v>2051</v>
      </c>
      <c r="B291" s="8" t="s">
        <v>2052</v>
      </c>
      <c r="C291" s="8" t="str">
        <f t="shared" si="4"/>
        <v>LUZHOU|CNLZU</v>
      </c>
    </row>
    <row r="292" spans="1:3">
      <c r="A292" s="8" t="s">
        <v>2053</v>
      </c>
      <c r="B292" s="8" t="s">
        <v>2054</v>
      </c>
      <c r="C292" s="8" t="str">
        <f t="shared" si="4"/>
        <v>LYTTELTON|NZLYT</v>
      </c>
    </row>
    <row r="293" spans="1:3">
      <c r="A293" s="8" t="s">
        <v>2055</v>
      </c>
      <c r="B293" s="8" t="s">
        <v>2056</v>
      </c>
      <c r="C293" s="8" t="str">
        <f t="shared" si="4"/>
        <v>MAANSHAN|CNMAA</v>
      </c>
    </row>
    <row r="294" spans="1:3">
      <c r="A294" s="8" t="s">
        <v>2057</v>
      </c>
      <c r="B294" s="8" t="s">
        <v>2058</v>
      </c>
      <c r="C294" s="8" t="str">
        <f t="shared" si="4"/>
        <v>MACAU|MOMFM</v>
      </c>
    </row>
    <row r="295" spans="1:3">
      <c r="A295" s="8" t="s">
        <v>2059</v>
      </c>
      <c r="B295" s="8" t="s">
        <v>2060</v>
      </c>
      <c r="C295" s="8" t="str">
        <f t="shared" si="4"/>
        <v>SIHUI|CNSIH</v>
      </c>
    </row>
    <row r="296" spans="1:3">
      <c r="A296" s="8" t="s">
        <v>2061</v>
      </c>
      <c r="B296" s="8" t="s">
        <v>2062</v>
      </c>
      <c r="C296" s="8" t="str">
        <f t="shared" si="4"/>
        <v>MAJURO|MHMAJ</v>
      </c>
    </row>
    <row r="297" spans="1:3">
      <c r="A297" s="8" t="s">
        <v>2063</v>
      </c>
      <c r="B297" s="8" t="s">
        <v>2064</v>
      </c>
      <c r="C297" s="8" t="str">
        <f t="shared" si="4"/>
        <v>MALMO|SEMMA</v>
      </c>
    </row>
    <row r="298" spans="1:3">
      <c r="A298" s="8" t="s">
        <v>2065</v>
      </c>
      <c r="B298" s="8" t="s">
        <v>2066</v>
      </c>
      <c r="C298" s="8" t="str">
        <f t="shared" si="4"/>
        <v>MALOY|NOMAY</v>
      </c>
    </row>
    <row r="299" spans="1:3">
      <c r="A299" s="8" t="s">
        <v>2067</v>
      </c>
      <c r="B299" s="8" t="s">
        <v>2068</v>
      </c>
      <c r="C299" s="8" t="str">
        <f t="shared" si="4"/>
        <v>MANGALORE|INIXE</v>
      </c>
    </row>
    <row r="300" spans="1:3">
      <c r="A300" s="8" t="s">
        <v>2069</v>
      </c>
      <c r="B300" s="8" t="s">
        <v>2070</v>
      </c>
      <c r="C300" s="8" t="str">
        <f t="shared" si="4"/>
        <v>MANILA|PHMNL</v>
      </c>
    </row>
    <row r="301" spans="1:3">
      <c r="A301" s="8" t="s">
        <v>2069</v>
      </c>
      <c r="B301" s="8" t="s">
        <v>2070</v>
      </c>
      <c r="C301" s="8" t="str">
        <f t="shared" si="4"/>
        <v>MANILA|PHMNL</v>
      </c>
    </row>
    <row r="302" spans="1:3">
      <c r="A302" s="8" t="s">
        <v>2071</v>
      </c>
      <c r="B302" s="8" t="s">
        <v>2072</v>
      </c>
      <c r="C302" s="8" t="str">
        <f t="shared" si="4"/>
        <v>MAENTYLUOTO|FIMTL</v>
      </c>
    </row>
    <row r="303" spans="1:3">
      <c r="A303" s="8" t="s">
        <v>2073</v>
      </c>
      <c r="B303" s="8" t="s">
        <v>2074</v>
      </c>
      <c r="C303" s="8" t="str">
        <f t="shared" si="4"/>
        <v>MANZANILLO MX|MXZLO</v>
      </c>
    </row>
    <row r="304" spans="1:3">
      <c r="A304" s="8" t="s">
        <v>2073</v>
      </c>
      <c r="B304" s="8" t="s">
        <v>2074</v>
      </c>
      <c r="C304" s="8" t="str">
        <f t="shared" si="4"/>
        <v>MANZANILLO MX|MXZLO</v>
      </c>
    </row>
    <row r="305" spans="1:3">
      <c r="A305" s="8" t="s">
        <v>2075</v>
      </c>
      <c r="B305" s="8" t="s">
        <v>2076</v>
      </c>
      <c r="C305" s="8" t="str">
        <f t="shared" si="4"/>
        <v>MANZANILLO|PAMIT</v>
      </c>
    </row>
    <row r="306" spans="1:3">
      <c r="A306" s="8" t="s">
        <v>2075</v>
      </c>
      <c r="B306" s="8" t="s">
        <v>2076</v>
      </c>
      <c r="C306" s="8" t="str">
        <f t="shared" si="4"/>
        <v>MANZANILLO|PAMIT</v>
      </c>
    </row>
    <row r="307" spans="1:3">
      <c r="A307" s="8" t="s">
        <v>2077</v>
      </c>
      <c r="B307" s="8" t="s">
        <v>2078</v>
      </c>
      <c r="C307" s="8" t="str">
        <f t="shared" si="4"/>
        <v>SHUIDONG|CNSDG</v>
      </c>
    </row>
    <row r="308" spans="1:3">
      <c r="A308" s="8" t="s">
        <v>2079</v>
      </c>
      <c r="B308" s="8" t="s">
        <v>2080</v>
      </c>
      <c r="C308" s="8" t="str">
        <f t="shared" si="4"/>
        <v>MARSAXLOKK|MTMAR</v>
      </c>
    </row>
    <row r="309" spans="1:3">
      <c r="A309" s="8" t="s">
        <v>2081</v>
      </c>
      <c r="B309" s="8" t="s">
        <v>2082</v>
      </c>
      <c r="C309" s="8" t="str">
        <f t="shared" si="4"/>
        <v>MATSUYAMA|JPMYJ</v>
      </c>
    </row>
    <row r="310" spans="1:3">
      <c r="A310" s="8" t="s">
        <v>2083</v>
      </c>
      <c r="B310" s="8" t="s">
        <v>2084</v>
      </c>
      <c r="C310" s="8" t="str">
        <f t="shared" si="4"/>
        <v>MAWEI|CNFZH</v>
      </c>
    </row>
    <row r="311" spans="1:3">
      <c r="A311" s="8" t="s">
        <v>2085</v>
      </c>
      <c r="B311" s="8" t="s">
        <v>2084</v>
      </c>
      <c r="C311" s="8" t="str">
        <f t="shared" si="4"/>
        <v>MAWEI|CNMAW</v>
      </c>
    </row>
    <row r="312" spans="1:3">
      <c r="A312" s="8" t="s">
        <v>2086</v>
      </c>
      <c r="B312" s="8" t="s">
        <v>2087</v>
      </c>
      <c r="C312" s="8" t="str">
        <f t="shared" si="4"/>
        <v>MELBOURNE|AUMEL</v>
      </c>
    </row>
    <row r="313" spans="1:3">
      <c r="A313" s="8" t="s">
        <v>2088</v>
      </c>
      <c r="B313" s="8" t="s">
        <v>2089</v>
      </c>
      <c r="C313" s="8" t="str">
        <f t="shared" si="4"/>
        <v>MERAK|IDMRK</v>
      </c>
    </row>
    <row r="314" spans="1:3">
      <c r="A314" s="8" t="s">
        <v>2090</v>
      </c>
      <c r="B314" s="8" t="s">
        <v>2091</v>
      </c>
      <c r="C314" s="8" t="str">
        <f t="shared" si="4"/>
        <v>MERSIN|TRMER</v>
      </c>
    </row>
    <row r="315" spans="1:3">
      <c r="A315" s="8" t="s">
        <v>2092</v>
      </c>
      <c r="B315" s="8" t="s">
        <v>2093</v>
      </c>
      <c r="C315" s="8" t="str">
        <f t="shared" si="4"/>
        <v>UMM SAID|QAUMS</v>
      </c>
    </row>
    <row r="316" spans="1:3">
      <c r="A316" s="8" t="s">
        <v>2094</v>
      </c>
      <c r="B316" s="8" t="s">
        <v>2095</v>
      </c>
      <c r="C316" s="8" t="str">
        <f t="shared" si="4"/>
        <v>MIAMI|USMIA</v>
      </c>
    </row>
    <row r="317" spans="1:3">
      <c r="A317" s="8" t="s">
        <v>2096</v>
      </c>
      <c r="B317" s="8" t="s">
        <v>2097</v>
      </c>
      <c r="C317" s="8" t="str">
        <f t="shared" si="4"/>
        <v>MINA SULMAN|BHMIN</v>
      </c>
    </row>
    <row r="318" spans="1:3">
      <c r="A318" s="8" t="s">
        <v>2098</v>
      </c>
      <c r="B318" s="8" t="s">
        <v>2099</v>
      </c>
      <c r="C318" s="8" t="str">
        <f t="shared" si="4"/>
        <v>MIRI|MYMYY</v>
      </c>
    </row>
    <row r="319" spans="1:3">
      <c r="A319" s="8" t="s">
        <v>2100</v>
      </c>
      <c r="B319" s="8" t="s">
        <v>2101</v>
      </c>
      <c r="C319" s="8" t="str">
        <f t="shared" si="4"/>
        <v>MIZUSHIMA|JPMIZ</v>
      </c>
    </row>
    <row r="320" spans="1:3">
      <c r="A320" s="8" t="s">
        <v>2102</v>
      </c>
      <c r="B320" s="8" t="s">
        <v>2103</v>
      </c>
      <c r="C320" s="8" t="str">
        <f t="shared" si="4"/>
        <v>MOBILE|USMOB</v>
      </c>
    </row>
    <row r="321" spans="1:3">
      <c r="A321" s="8" t="s">
        <v>2104</v>
      </c>
      <c r="B321" s="8" t="s">
        <v>2105</v>
      </c>
      <c r="C321" s="8" t="str">
        <f t="shared" si="4"/>
        <v>MOJI|JPMOJ</v>
      </c>
    </row>
    <row r="322" spans="1:3">
      <c r="A322" s="8" t="s">
        <v>2106</v>
      </c>
      <c r="B322" s="8" t="s">
        <v>2107</v>
      </c>
      <c r="C322" s="8" t="str">
        <f t="shared" si="4"/>
        <v>MOLDE|NOMOL</v>
      </c>
    </row>
    <row r="323" spans="1:3">
      <c r="A323" s="8" t="s">
        <v>2108</v>
      </c>
      <c r="B323" s="8" t="s">
        <v>2109</v>
      </c>
      <c r="C323" s="8" t="str">
        <f t="shared" ref="C323:C386" si="5">B323&amp;"|"&amp;A323</f>
        <v>MOMBASA|KEMBA</v>
      </c>
    </row>
    <row r="324" spans="1:3">
      <c r="A324" s="8" t="s">
        <v>2110</v>
      </c>
      <c r="B324" s="8" t="s">
        <v>2111</v>
      </c>
      <c r="C324" s="8" t="str">
        <f t="shared" si="5"/>
        <v>MONGLA|BDMGL</v>
      </c>
    </row>
    <row r="325" spans="1:3">
      <c r="A325" s="8" t="s">
        <v>2112</v>
      </c>
      <c r="B325" s="8" t="s">
        <v>2113</v>
      </c>
      <c r="C325" s="8" t="str">
        <f t="shared" si="5"/>
        <v>MONROVIA|LRMLW</v>
      </c>
    </row>
    <row r="326" spans="1:3">
      <c r="A326" s="8" t="s">
        <v>2114</v>
      </c>
      <c r="B326" s="8" t="s">
        <v>2115</v>
      </c>
      <c r="C326" s="8" t="str">
        <f t="shared" si="5"/>
        <v>MONTEVIDEO|UYMVD</v>
      </c>
    </row>
    <row r="327" spans="1:3">
      <c r="A327" s="8" t="s">
        <v>2116</v>
      </c>
      <c r="B327" s="8" t="s">
        <v>2117</v>
      </c>
      <c r="C327" s="8" t="str">
        <f t="shared" si="5"/>
        <v>MONTREAL|CAMTR</v>
      </c>
    </row>
    <row r="328" spans="1:3">
      <c r="A328" s="8" t="s">
        <v>2118</v>
      </c>
      <c r="B328" s="8" t="s">
        <v>2119</v>
      </c>
      <c r="C328" s="8" t="str">
        <f t="shared" si="5"/>
        <v>MORMUGAO|INVGM</v>
      </c>
    </row>
    <row r="329" spans="1:3">
      <c r="A329" s="8" t="s">
        <v>2120</v>
      </c>
      <c r="B329" s="8" t="s">
        <v>2121</v>
      </c>
      <c r="C329" s="8" t="str">
        <f t="shared" si="5"/>
        <v>MOSS|NOMSS</v>
      </c>
    </row>
    <row r="330" spans="1:3">
      <c r="A330" s="8" t="s">
        <v>2122</v>
      </c>
      <c r="B330" s="8" t="s">
        <v>2123</v>
      </c>
      <c r="C330" s="8" t="str">
        <f t="shared" si="5"/>
        <v>MUARA HARBOUR|BNMUA</v>
      </c>
    </row>
    <row r="331" spans="1:3">
      <c r="A331" s="8" t="s">
        <v>2124</v>
      </c>
      <c r="B331" s="8" t="s">
        <v>2125</v>
      </c>
      <c r="C331" s="8" t="str">
        <f t="shared" si="5"/>
        <v>MULHOUSE|FRMLH</v>
      </c>
    </row>
    <row r="332" spans="1:3">
      <c r="A332" s="8" t="s">
        <v>2126</v>
      </c>
      <c r="B332" s="8" t="s">
        <v>2127</v>
      </c>
      <c r="C332" s="8" t="str">
        <f t="shared" si="5"/>
        <v>BOMBAY|INBOM</v>
      </c>
    </row>
    <row r="333" spans="1:3">
      <c r="A333" s="8" t="s">
        <v>2128</v>
      </c>
      <c r="B333" s="8" t="s">
        <v>2129</v>
      </c>
      <c r="C333" s="8" t="str">
        <f t="shared" si="5"/>
        <v>MUNDRA|INMUN</v>
      </c>
    </row>
    <row r="334" spans="1:3">
      <c r="A334" s="8" t="s">
        <v>2130</v>
      </c>
      <c r="B334" s="8" t="s">
        <v>2131</v>
      </c>
      <c r="C334" s="8" t="str">
        <f t="shared" si="5"/>
        <v>MURMANSK|RUMMK</v>
      </c>
    </row>
    <row r="335" spans="1:3">
      <c r="A335" s="8" t="s">
        <v>2132</v>
      </c>
      <c r="B335" s="8" t="s">
        <v>2133</v>
      </c>
      <c r="C335" s="8" t="str">
        <f t="shared" si="5"/>
        <v>MUSCAT|OMMCT</v>
      </c>
    </row>
    <row r="336" spans="1:3">
      <c r="A336" s="8" t="s">
        <v>2134</v>
      </c>
      <c r="B336" s="8" t="s">
        <v>2135</v>
      </c>
      <c r="C336" s="8" t="str">
        <f t="shared" si="5"/>
        <v>MUUGA|EEMUG</v>
      </c>
    </row>
    <row r="337" spans="1:3">
      <c r="A337" s="8" t="s">
        <v>2136</v>
      </c>
      <c r="B337" s="8" t="s">
        <v>2137</v>
      </c>
      <c r="C337" s="8" t="str">
        <f t="shared" si="5"/>
        <v>NAGASAKI|JPNGS</v>
      </c>
    </row>
    <row r="338" spans="1:3">
      <c r="A338" s="8" t="s">
        <v>2138</v>
      </c>
      <c r="B338" s="8" t="s">
        <v>2139</v>
      </c>
      <c r="C338" s="8" t="str">
        <f t="shared" si="5"/>
        <v>NAGOYA|JPNGO</v>
      </c>
    </row>
    <row r="339" spans="1:3">
      <c r="A339" s="8" t="s">
        <v>2140</v>
      </c>
      <c r="B339" s="8" t="s">
        <v>2141</v>
      </c>
      <c r="C339" s="8" t="str">
        <f t="shared" si="5"/>
        <v>NAHA|JPNAH</v>
      </c>
    </row>
    <row r="340" spans="1:3">
      <c r="A340" s="8" t="s">
        <v>2142</v>
      </c>
      <c r="B340" s="8" t="s">
        <v>2143</v>
      </c>
      <c r="C340" s="8" t="str">
        <f t="shared" si="5"/>
        <v>NAKANOSEKI|JPHOF</v>
      </c>
    </row>
    <row r="341" spans="1:3">
      <c r="A341" s="8" t="s">
        <v>2144</v>
      </c>
      <c r="B341" s="8" t="s">
        <v>2145</v>
      </c>
      <c r="C341" s="8" t="str">
        <f t="shared" si="5"/>
        <v>NANCHANG|CNKHN</v>
      </c>
    </row>
    <row r="342" spans="1:3">
      <c r="A342" s="8" t="s">
        <v>2146</v>
      </c>
      <c r="B342" s="8" t="s">
        <v>2147</v>
      </c>
      <c r="C342" s="8" t="str">
        <f t="shared" si="5"/>
        <v>NANHAI|CNNAH</v>
      </c>
    </row>
    <row r="343" spans="1:3">
      <c r="A343" s="8" t="s">
        <v>2148</v>
      </c>
      <c r="B343" s="8" t="s">
        <v>2149</v>
      </c>
      <c r="C343" s="8" t="str">
        <f t="shared" si="5"/>
        <v>NANJING|CNNKG</v>
      </c>
    </row>
    <row r="344" spans="1:3">
      <c r="A344" s="8" t="s">
        <v>2150</v>
      </c>
      <c r="B344" s="8" t="s">
        <v>2151</v>
      </c>
      <c r="C344" s="8" t="str">
        <f t="shared" si="5"/>
        <v>NANNING|CNNNG</v>
      </c>
    </row>
    <row r="345" spans="1:3">
      <c r="A345" s="8" t="s">
        <v>2152</v>
      </c>
      <c r="B345" s="8" t="s">
        <v>2153</v>
      </c>
      <c r="C345" s="8" t="str">
        <f t="shared" si="5"/>
        <v>NANSHA|CNNSA</v>
      </c>
    </row>
    <row r="346" spans="1:3">
      <c r="A346" s="8" t="s">
        <v>2154</v>
      </c>
      <c r="B346" s="8" t="s">
        <v>2155</v>
      </c>
      <c r="C346" s="8" t="str">
        <f t="shared" si="5"/>
        <v>NANTONG|CNNTG</v>
      </c>
    </row>
    <row r="347" spans="1:3">
      <c r="A347" s="8" t="s">
        <v>2156</v>
      </c>
      <c r="B347" s="8" t="s">
        <v>2157</v>
      </c>
      <c r="C347" s="8" t="str">
        <f t="shared" si="5"/>
        <v>NAPIER|NZNPE</v>
      </c>
    </row>
    <row r="348" spans="1:3">
      <c r="A348" s="8" t="s">
        <v>2158</v>
      </c>
      <c r="B348" s="8" t="s">
        <v>2159</v>
      </c>
      <c r="C348" s="8" t="str">
        <f t="shared" si="5"/>
        <v>NASSAU|BSNAS</v>
      </c>
    </row>
    <row r="349" spans="1:3">
      <c r="A349" s="8" t="s">
        <v>2160</v>
      </c>
      <c r="B349" s="8" t="s">
        <v>2161</v>
      </c>
      <c r="C349" s="8" t="str">
        <f t="shared" si="5"/>
        <v>NAVEGANTES|BRNVT</v>
      </c>
    </row>
    <row r="350" spans="1:3">
      <c r="A350" s="8" t="s">
        <v>2162</v>
      </c>
      <c r="B350" s="8" t="s">
        <v>2163</v>
      </c>
      <c r="C350" s="8" t="str">
        <f t="shared" si="5"/>
        <v>NELSON|NZNSN</v>
      </c>
    </row>
    <row r="351" spans="1:3">
      <c r="A351" s="8" t="s">
        <v>2164</v>
      </c>
      <c r="B351" s="8" t="s">
        <v>2165</v>
      </c>
      <c r="C351" s="8" t="str">
        <f t="shared" si="5"/>
        <v>NEW ORLEANS|USMSY</v>
      </c>
    </row>
    <row r="352" spans="1:3">
      <c r="A352" s="8" t="s">
        <v>2166</v>
      </c>
      <c r="B352" s="8" t="s">
        <v>2167</v>
      </c>
      <c r="C352" s="8" t="str">
        <f t="shared" si="5"/>
        <v>NEW YORK|USNYC</v>
      </c>
    </row>
    <row r="353" spans="1:3">
      <c r="A353" s="8" t="s">
        <v>2168</v>
      </c>
      <c r="B353" s="8" t="s">
        <v>2169</v>
      </c>
      <c r="C353" s="8" t="str">
        <f t="shared" si="5"/>
        <v>NEWPORT NEWS|USNNS</v>
      </c>
    </row>
    <row r="354" spans="1:3">
      <c r="A354" s="8" t="s">
        <v>2170</v>
      </c>
      <c r="B354" s="8" t="s">
        <v>2171</v>
      </c>
      <c r="C354" s="8" t="str">
        <f t="shared" si="5"/>
        <v>NHAVA SHEVA|INNSA</v>
      </c>
    </row>
    <row r="355" spans="1:3">
      <c r="A355" s="8" t="s">
        <v>2172</v>
      </c>
      <c r="B355" s="8" t="s">
        <v>2173</v>
      </c>
      <c r="C355" s="8" t="str">
        <f t="shared" si="5"/>
        <v>NIIGATA HIGASHI|JPKIJ</v>
      </c>
    </row>
    <row r="356" spans="1:3">
      <c r="A356" s="8" t="s">
        <v>2174</v>
      </c>
      <c r="B356" s="8" t="s">
        <v>2175</v>
      </c>
      <c r="C356" s="8" t="str">
        <f t="shared" si="5"/>
        <v>NINGBO|CNNGB</v>
      </c>
    </row>
    <row r="357" spans="1:3">
      <c r="A357" s="8" t="s">
        <v>2176</v>
      </c>
      <c r="B357" s="8" t="s">
        <v>2177</v>
      </c>
      <c r="C357" s="8" t="str">
        <f t="shared" si="5"/>
        <v>NORFOLK|USORF</v>
      </c>
    </row>
    <row r="358" spans="1:3">
      <c r="A358" s="8" t="s">
        <v>2178</v>
      </c>
      <c r="B358" s="8" t="s">
        <v>2179</v>
      </c>
      <c r="C358" s="8" t="str">
        <f t="shared" si="5"/>
        <v>NORRKOPING|SENRK</v>
      </c>
    </row>
    <row r="359" spans="1:3">
      <c r="A359" s="8" t="s">
        <v>2180</v>
      </c>
      <c r="B359" s="8" t="s">
        <v>2181</v>
      </c>
      <c r="C359" s="8" t="str">
        <f t="shared" si="5"/>
        <v>NOUMEA|NCNOU</v>
      </c>
    </row>
    <row r="360" spans="1:3">
      <c r="A360" s="8" t="s">
        <v>2182</v>
      </c>
      <c r="B360" s="8" t="s">
        <v>2183</v>
      </c>
      <c r="C360" s="8" t="str">
        <f t="shared" si="5"/>
        <v>NOVOROSSISK|RUNVS</v>
      </c>
    </row>
    <row r="361" spans="1:3">
      <c r="A361" s="8" t="s">
        <v>2184</v>
      </c>
      <c r="B361" s="8" t="s">
        <v>2185</v>
      </c>
      <c r="C361" s="8" t="str">
        <f t="shared" si="5"/>
        <v>OAKLAND|USOAK</v>
      </c>
    </row>
    <row r="362" spans="1:3">
      <c r="A362" s="8" t="s">
        <v>2186</v>
      </c>
      <c r="B362" s="8" t="s">
        <v>2187</v>
      </c>
      <c r="C362" s="8" t="str">
        <f t="shared" si="5"/>
        <v>ODESSA|UAODS</v>
      </c>
    </row>
    <row r="363" spans="1:3">
      <c r="A363" s="8" t="s">
        <v>2188</v>
      </c>
      <c r="B363" s="8" t="s">
        <v>2189</v>
      </c>
      <c r="C363" s="8" t="str">
        <f t="shared" si="5"/>
        <v>OITA|JPOIT</v>
      </c>
    </row>
    <row r="364" spans="1:3">
      <c r="A364" s="8" t="s">
        <v>2190</v>
      </c>
      <c r="B364" s="8" t="s">
        <v>2191</v>
      </c>
      <c r="C364" s="8" t="str">
        <f t="shared" si="5"/>
        <v>OMAEZAKI|JPOMZ</v>
      </c>
    </row>
    <row r="365" spans="1:3">
      <c r="A365" s="8" t="s">
        <v>2192</v>
      </c>
      <c r="B365" s="8" t="s">
        <v>2193</v>
      </c>
      <c r="C365" s="8" t="str">
        <f t="shared" si="5"/>
        <v>OSTEND|BEOST</v>
      </c>
    </row>
    <row r="366" spans="1:3">
      <c r="A366" s="8" t="s">
        <v>2194</v>
      </c>
      <c r="B366" s="8" t="s">
        <v>2195</v>
      </c>
      <c r="C366" s="8" t="str">
        <f t="shared" si="5"/>
        <v>ORKANGER|NOORK</v>
      </c>
    </row>
    <row r="367" spans="1:3">
      <c r="A367" s="8" t="s">
        <v>2196</v>
      </c>
      <c r="B367" s="8" t="s">
        <v>2197</v>
      </c>
      <c r="C367" s="8" t="str">
        <f t="shared" si="5"/>
        <v>OSAKA|JPOSA</v>
      </c>
    </row>
    <row r="368" spans="1:3">
      <c r="A368" s="8" t="s">
        <v>2198</v>
      </c>
      <c r="B368" s="8" t="s">
        <v>2199</v>
      </c>
      <c r="C368" s="8" t="str">
        <f t="shared" si="5"/>
        <v>OSKARSHAMN|SEOSK</v>
      </c>
    </row>
    <row r="369" spans="1:3">
      <c r="A369" s="8" t="s">
        <v>2200</v>
      </c>
      <c r="B369" s="8" t="s">
        <v>2201</v>
      </c>
      <c r="C369" s="8" t="str">
        <f t="shared" si="5"/>
        <v>OSLO|NOOSL</v>
      </c>
    </row>
    <row r="370" spans="1:3">
      <c r="A370" s="8" t="s">
        <v>2202</v>
      </c>
      <c r="B370" s="8" t="s">
        <v>2203</v>
      </c>
      <c r="C370" s="8" t="str">
        <f t="shared" si="5"/>
        <v>OTARU|JPOTR</v>
      </c>
    </row>
    <row r="371" spans="1:3">
      <c r="A371" s="8" t="s">
        <v>2204</v>
      </c>
      <c r="B371" s="8" t="s">
        <v>2205</v>
      </c>
      <c r="C371" s="8" t="str">
        <f t="shared" si="5"/>
        <v>OULU|FIOUL</v>
      </c>
    </row>
    <row r="372" spans="1:3">
      <c r="A372" s="8" t="s">
        <v>2206</v>
      </c>
      <c r="B372" s="8" t="s">
        <v>2207</v>
      </c>
      <c r="C372" s="8" t="str">
        <f t="shared" si="5"/>
        <v>PADANG|IDPDG</v>
      </c>
    </row>
    <row r="373" spans="1:3">
      <c r="A373" s="8" t="s">
        <v>2208</v>
      </c>
      <c r="B373" s="8" t="s">
        <v>2209</v>
      </c>
      <c r="C373" s="8" t="str">
        <f t="shared" si="5"/>
        <v>PAITA|PEPAI</v>
      </c>
    </row>
    <row r="374" spans="1:3">
      <c r="A374" s="8" t="s">
        <v>2210</v>
      </c>
      <c r="B374" s="8" t="s">
        <v>2211</v>
      </c>
      <c r="C374" s="8" t="str">
        <f t="shared" si="5"/>
        <v>PALDISKI|EEPLA</v>
      </c>
    </row>
    <row r="375" spans="1:3">
      <c r="A375" s="8" t="s">
        <v>2212</v>
      </c>
      <c r="B375" s="8" t="s">
        <v>2213</v>
      </c>
      <c r="C375" s="8" t="str">
        <f t="shared" si="5"/>
        <v>PALEMBANG|IDPLM</v>
      </c>
    </row>
    <row r="376" spans="1:3">
      <c r="A376" s="8" t="s">
        <v>2214</v>
      </c>
      <c r="B376" s="8" t="s">
        <v>2215</v>
      </c>
      <c r="C376" s="8" t="str">
        <f t="shared" si="5"/>
        <v>PANABO|PHPAN</v>
      </c>
    </row>
    <row r="377" spans="1:3">
      <c r="A377" s="8" t="s">
        <v>2216</v>
      </c>
      <c r="B377" s="8" t="s">
        <v>2217</v>
      </c>
      <c r="C377" s="8" t="str">
        <f t="shared" si="5"/>
        <v>PANAMA|PAPTY</v>
      </c>
    </row>
    <row r="378" spans="1:3">
      <c r="A378" s="8" t="s">
        <v>1551</v>
      </c>
      <c r="B378" s="8" t="s">
        <v>1552</v>
      </c>
      <c r="C378" s="8" t="str">
        <f t="shared" si="5"/>
        <v>BALBOA|PABLB</v>
      </c>
    </row>
    <row r="379" spans="1:3">
      <c r="A379" s="8" t="s">
        <v>2218</v>
      </c>
      <c r="B379" s="8" t="s">
        <v>2219</v>
      </c>
      <c r="C379" s="8" t="str">
        <f t="shared" si="5"/>
        <v>PANGKAL PINANG|IDPGK</v>
      </c>
    </row>
    <row r="380" spans="1:3">
      <c r="A380" s="8" t="s">
        <v>2220</v>
      </c>
      <c r="B380" s="8" t="s">
        <v>2221</v>
      </c>
      <c r="C380" s="8" t="str">
        <f t="shared" si="5"/>
        <v>PANJANG|IDPNJ</v>
      </c>
    </row>
    <row r="381" spans="1:3">
      <c r="A381" s="8" t="s">
        <v>2222</v>
      </c>
      <c r="B381" s="8" t="s">
        <v>2223</v>
      </c>
      <c r="C381" s="8" t="str">
        <f t="shared" si="5"/>
        <v>PARADIP|INPPT</v>
      </c>
    </row>
    <row r="382" spans="1:3">
      <c r="A382" s="8" t="s">
        <v>2224</v>
      </c>
      <c r="B382" s="8" t="s">
        <v>2225</v>
      </c>
      <c r="C382" s="8" t="str">
        <f t="shared" si="5"/>
        <v>PARANAGUA|BRPNG</v>
      </c>
    </row>
    <row r="383" spans="1:3">
      <c r="A383" s="8" t="s">
        <v>2226</v>
      </c>
      <c r="B383" s="8" t="s">
        <v>2227</v>
      </c>
      <c r="C383" s="8" t="str">
        <f t="shared" si="5"/>
        <v>PASIR GUDANG|MYPGU</v>
      </c>
    </row>
    <row r="384" spans="1:3">
      <c r="A384" s="8" t="s">
        <v>2228</v>
      </c>
      <c r="B384" s="8" t="s">
        <v>2229</v>
      </c>
      <c r="C384" s="8" t="str">
        <f t="shared" si="5"/>
        <v>PEKANBARU|IDPKU</v>
      </c>
    </row>
    <row r="385" spans="1:3">
      <c r="A385" s="8" t="s">
        <v>2230</v>
      </c>
      <c r="B385" s="8" t="s">
        <v>2231</v>
      </c>
      <c r="C385" s="8" t="str">
        <f t="shared" si="5"/>
        <v>PENANG|MYPEN</v>
      </c>
    </row>
    <row r="386" spans="1:3">
      <c r="A386" s="8" t="s">
        <v>2232</v>
      </c>
      <c r="B386" s="8" t="s">
        <v>2233</v>
      </c>
      <c r="C386" s="8" t="str">
        <f t="shared" si="5"/>
        <v>PERAWANG|IDPER</v>
      </c>
    </row>
    <row r="387" spans="1:3">
      <c r="A387" s="8" t="s">
        <v>2234</v>
      </c>
      <c r="B387" s="8" t="s">
        <v>2235</v>
      </c>
      <c r="C387" s="8" t="str">
        <f t="shared" ref="C387:C450" si="6">B387&amp;"|"&amp;A387</f>
        <v>PHNOM-PENH|KHPNH</v>
      </c>
    </row>
    <row r="388" spans="1:3">
      <c r="A388" s="8" t="s">
        <v>2236</v>
      </c>
      <c r="B388" s="8" t="s">
        <v>2237</v>
      </c>
      <c r="C388" s="8" t="str">
        <f t="shared" si="6"/>
        <v>PIPAVAV|INRJU</v>
      </c>
    </row>
    <row r="389" spans="1:3">
      <c r="A389" s="8" t="s">
        <v>2238</v>
      </c>
      <c r="B389" s="8" t="s">
        <v>2239</v>
      </c>
      <c r="C389" s="8" t="str">
        <f t="shared" si="6"/>
        <v>PIRAEUS|GRPIR</v>
      </c>
    </row>
    <row r="390" spans="1:3">
      <c r="A390" s="8" t="s">
        <v>2240</v>
      </c>
      <c r="B390" s="8" t="s">
        <v>2241</v>
      </c>
      <c r="C390" s="8" t="str">
        <f t="shared" si="6"/>
        <v>PONTIANAK|IDPNK</v>
      </c>
    </row>
    <row r="391" spans="1:3">
      <c r="A391" s="8" t="s">
        <v>2242</v>
      </c>
      <c r="B391" s="8" t="s">
        <v>2243</v>
      </c>
      <c r="C391" s="8" t="str">
        <f t="shared" si="6"/>
        <v>PORI|FIPOR</v>
      </c>
    </row>
    <row r="392" spans="1:3">
      <c r="A392" s="8" t="s">
        <v>2244</v>
      </c>
      <c r="B392" s="8" t="s">
        <v>2245</v>
      </c>
      <c r="C392" s="8" t="str">
        <f t="shared" si="6"/>
        <v>CAPE CANAVERAL|USCPV</v>
      </c>
    </row>
    <row r="393" spans="1:3">
      <c r="A393" s="8" t="s">
        <v>2246</v>
      </c>
      <c r="B393" s="8" t="s">
        <v>2247</v>
      </c>
      <c r="C393" s="8" t="str">
        <f t="shared" si="6"/>
        <v>PORT CHALMERS|NZPOE</v>
      </c>
    </row>
    <row r="394" spans="1:3">
      <c r="A394" s="8" t="s">
        <v>2248</v>
      </c>
      <c r="B394" s="8" t="s">
        <v>2249</v>
      </c>
      <c r="C394" s="8" t="str">
        <f t="shared" si="6"/>
        <v>PORT HARCOURT|NGPHC</v>
      </c>
    </row>
    <row r="395" spans="1:3">
      <c r="A395" s="8" t="s">
        <v>2250</v>
      </c>
      <c r="B395" s="8" t="s">
        <v>2251</v>
      </c>
      <c r="C395" s="8" t="str">
        <f t="shared" si="6"/>
        <v>PORT EVERGLADES|USPEF</v>
      </c>
    </row>
    <row r="396" spans="1:3">
      <c r="A396" s="8" t="s">
        <v>2252</v>
      </c>
      <c r="B396" s="8" t="s">
        <v>2253</v>
      </c>
      <c r="C396" s="8" t="str">
        <f t="shared" si="6"/>
        <v>PORT KLANG|MYPKG</v>
      </c>
    </row>
    <row r="397" spans="1:3">
      <c r="A397" s="8" t="s">
        <v>2254</v>
      </c>
      <c r="B397" s="8" t="s">
        <v>2255</v>
      </c>
      <c r="C397" s="8" t="str">
        <f t="shared" si="6"/>
        <v>PORT LOUIS|MUPLU</v>
      </c>
    </row>
    <row r="398" spans="1:3">
      <c r="A398" s="8" t="s">
        <v>2256</v>
      </c>
      <c r="B398" s="8" t="s">
        <v>2257</v>
      </c>
      <c r="C398" s="8" t="str">
        <f t="shared" si="6"/>
        <v>ADEN|YEADE</v>
      </c>
    </row>
    <row r="399" spans="1:3">
      <c r="A399" s="8" t="s">
        <v>2258</v>
      </c>
      <c r="B399" s="8" t="s">
        <v>2259</v>
      </c>
      <c r="C399" s="8" t="str">
        <f t="shared" si="6"/>
        <v>AQABA|JOAQJ</v>
      </c>
    </row>
    <row r="400" spans="1:3">
      <c r="A400" s="8" t="s">
        <v>2260</v>
      </c>
      <c r="B400" s="8" t="s">
        <v>2261</v>
      </c>
      <c r="C400" s="8" t="str">
        <f t="shared" si="6"/>
        <v>BEIRUT|LBBEY</v>
      </c>
    </row>
    <row r="401" spans="1:3">
      <c r="A401" s="8" t="s">
        <v>1633</v>
      </c>
      <c r="B401" s="8" t="s">
        <v>1634</v>
      </c>
      <c r="C401" s="8" t="str">
        <f t="shared" si="6"/>
        <v>CARTAGENA CO|COCTG</v>
      </c>
    </row>
    <row r="402" spans="1:3">
      <c r="A402" s="8" t="s">
        <v>2262</v>
      </c>
      <c r="B402" s="8" t="s">
        <v>2263</v>
      </c>
      <c r="C402" s="8" t="str">
        <f t="shared" si="6"/>
        <v>COTABATO|PHCBO</v>
      </c>
    </row>
    <row r="403" spans="1:3">
      <c r="A403" s="8" t="s">
        <v>2264</v>
      </c>
      <c r="B403" s="8" t="s">
        <v>2265</v>
      </c>
      <c r="C403" s="8" t="str">
        <f t="shared" si="6"/>
        <v>ISKENDERUN|TRISK</v>
      </c>
    </row>
    <row r="404" spans="1:3">
      <c r="A404" s="8" t="s">
        <v>2266</v>
      </c>
      <c r="B404" s="8" t="s">
        <v>2267</v>
      </c>
      <c r="C404" s="8" t="str">
        <f t="shared" si="6"/>
        <v>LUXEMBOURG|LULUX</v>
      </c>
    </row>
    <row r="405" spans="1:3">
      <c r="A405" s="8" t="s">
        <v>2268</v>
      </c>
      <c r="B405" s="8" t="s">
        <v>2269</v>
      </c>
      <c r="C405" s="8" t="str">
        <f t="shared" si="6"/>
        <v>PORTLAND|USPWM</v>
      </c>
    </row>
    <row r="406" spans="1:3">
      <c r="A406" s="8" t="s">
        <v>2270</v>
      </c>
      <c r="B406" s="8" t="s">
        <v>2271</v>
      </c>
      <c r="C406" s="8" t="str">
        <f t="shared" si="6"/>
        <v>QINZHOU|CNQZH</v>
      </c>
    </row>
    <row r="407" spans="1:3">
      <c r="A407" s="8" t="s">
        <v>2246</v>
      </c>
      <c r="B407" s="8" t="s">
        <v>2247</v>
      </c>
      <c r="C407" s="8" t="str">
        <f t="shared" si="6"/>
        <v>PORT CHALMERS|NZPOE</v>
      </c>
    </row>
    <row r="408" spans="1:3">
      <c r="A408" s="8" t="s">
        <v>2272</v>
      </c>
      <c r="B408" s="8" t="s">
        <v>2273</v>
      </c>
      <c r="C408" s="8" t="str">
        <f t="shared" si="6"/>
        <v>MUHAMMAD BIN QASIM|PKBQM</v>
      </c>
    </row>
    <row r="409" spans="1:3">
      <c r="A409" s="8" t="s">
        <v>2274</v>
      </c>
      <c r="B409" s="8" t="s">
        <v>2275</v>
      </c>
      <c r="C409" s="8" t="str">
        <f t="shared" si="6"/>
        <v>PORT SAID|EGPSD</v>
      </c>
    </row>
    <row r="410" spans="1:3">
      <c r="A410" s="8" t="s">
        <v>2276</v>
      </c>
      <c r="B410" s="8" t="s">
        <v>2275</v>
      </c>
      <c r="C410" s="8" t="str">
        <f t="shared" si="6"/>
        <v>PORT SAID|EGPSE</v>
      </c>
    </row>
    <row r="411" spans="1:3">
      <c r="A411" s="8" t="s">
        <v>2277</v>
      </c>
      <c r="B411" s="8" t="s">
        <v>2278</v>
      </c>
      <c r="C411" s="8" t="str">
        <f t="shared" si="6"/>
        <v>PORT SUDAN|SDPZU</v>
      </c>
    </row>
    <row r="412" spans="1:3">
      <c r="A412" s="8" t="s">
        <v>2279</v>
      </c>
      <c r="B412" s="8" t="s">
        <v>2280</v>
      </c>
      <c r="C412" s="8" t="str">
        <f t="shared" si="6"/>
        <v>PORTLAND US YML|USPDX</v>
      </c>
    </row>
    <row r="413" spans="1:3">
      <c r="A413" s="8" t="s">
        <v>2281</v>
      </c>
      <c r="B413" s="8" t="s">
        <v>2282</v>
      </c>
      <c r="C413" s="8" t="str">
        <f t="shared" si="6"/>
        <v>PRINCE RUPERT|CAPRR</v>
      </c>
    </row>
    <row r="414" spans="1:3">
      <c r="A414" s="8" t="s">
        <v>2283</v>
      </c>
      <c r="B414" s="8" t="s">
        <v>2284</v>
      </c>
      <c r="C414" s="8" t="str">
        <f t="shared" si="6"/>
        <v>QINGDAO|CNTAO</v>
      </c>
    </row>
    <row r="415" spans="1:3">
      <c r="A415" s="8" t="s">
        <v>2285</v>
      </c>
      <c r="B415" s="8" t="s">
        <v>2286</v>
      </c>
      <c r="C415" s="8" t="str">
        <f t="shared" si="6"/>
        <v>QINGYUAN|CNQGY</v>
      </c>
    </row>
    <row r="416" spans="1:3">
      <c r="A416" s="8" t="s">
        <v>2287</v>
      </c>
      <c r="B416" s="8" t="s">
        <v>2288</v>
      </c>
      <c r="C416" s="8" t="str">
        <f t="shared" si="6"/>
        <v>QINHUANGDAO|CNSHP</v>
      </c>
    </row>
    <row r="417" spans="1:3">
      <c r="A417" s="8" t="s">
        <v>2270</v>
      </c>
      <c r="B417" s="8" t="s">
        <v>2271</v>
      </c>
      <c r="C417" s="8" t="str">
        <f t="shared" si="6"/>
        <v>QINZHOU|CNQZH</v>
      </c>
    </row>
    <row r="418" spans="1:3">
      <c r="A418" s="8" t="s">
        <v>2289</v>
      </c>
      <c r="B418" s="8" t="s">
        <v>2290</v>
      </c>
      <c r="C418" s="8" t="str">
        <f t="shared" si="6"/>
        <v>QUANZHOU|CNQZJ</v>
      </c>
    </row>
    <row r="419" spans="1:3">
      <c r="A419" s="8" t="s">
        <v>2291</v>
      </c>
      <c r="B419" s="8" t="s">
        <v>2292</v>
      </c>
      <c r="C419" s="8" t="str">
        <f t="shared" si="6"/>
        <v>QUI NHON|VNUIH</v>
      </c>
    </row>
    <row r="420" spans="1:3">
      <c r="A420" s="8" t="s">
        <v>2293</v>
      </c>
      <c r="B420" s="8" t="s">
        <v>2294</v>
      </c>
      <c r="C420" s="8" t="str">
        <f t="shared" si="6"/>
        <v>RADES TUNIS|TNRDS</v>
      </c>
    </row>
    <row r="421" spans="1:3">
      <c r="A421" s="8" t="s">
        <v>2295</v>
      </c>
      <c r="B421" s="8" t="s">
        <v>2296</v>
      </c>
      <c r="C421" s="8" t="str">
        <f t="shared" si="6"/>
        <v>RAUMA|FIRAU</v>
      </c>
    </row>
    <row r="422" spans="1:3">
      <c r="A422" s="8" t="s">
        <v>2297</v>
      </c>
      <c r="B422" s="8" t="s">
        <v>2298</v>
      </c>
      <c r="C422" s="8" t="str">
        <f t="shared" si="6"/>
        <v>RENDSBURG|DEREN</v>
      </c>
    </row>
    <row r="423" spans="1:3">
      <c r="A423" s="8" t="s">
        <v>2299</v>
      </c>
      <c r="B423" s="8" t="s">
        <v>2300</v>
      </c>
      <c r="C423" s="8" t="str">
        <f t="shared" si="6"/>
        <v>RIGA|LVRIX</v>
      </c>
    </row>
    <row r="424" spans="1:3">
      <c r="A424" s="8" t="s">
        <v>2301</v>
      </c>
      <c r="B424" s="8" t="s">
        <v>2302</v>
      </c>
      <c r="C424" s="8" t="str">
        <f t="shared" si="6"/>
        <v>RIJEKA|HRRJK</v>
      </c>
    </row>
    <row r="425" spans="1:3">
      <c r="A425" s="8" t="s">
        <v>2303</v>
      </c>
      <c r="B425" s="8" t="s">
        <v>2304</v>
      </c>
      <c r="C425" s="8" t="str">
        <f t="shared" si="6"/>
        <v>RIO DE JANEIRO|BRRIO</v>
      </c>
    </row>
    <row r="426" spans="1:3">
      <c r="A426" s="8" t="s">
        <v>2305</v>
      </c>
      <c r="B426" s="8" t="s">
        <v>2306</v>
      </c>
      <c r="C426" s="8" t="str">
        <f t="shared" si="6"/>
        <v>RIO GRANDE BR|BRRIG</v>
      </c>
    </row>
    <row r="427" spans="1:3">
      <c r="A427" s="8" t="s">
        <v>2307</v>
      </c>
      <c r="B427" s="8" t="s">
        <v>2308</v>
      </c>
      <c r="C427" s="8" t="str">
        <f t="shared" si="6"/>
        <v>RONGQI|CNROQ</v>
      </c>
    </row>
    <row r="428" spans="1:3">
      <c r="A428" s="8" t="s">
        <v>2309</v>
      </c>
      <c r="B428" s="8" t="s">
        <v>2310</v>
      </c>
      <c r="C428" s="8" t="str">
        <f t="shared" si="6"/>
        <v>ROTTERDAM|NLRTM</v>
      </c>
    </row>
    <row r="429" spans="1:3">
      <c r="A429" s="8" t="s">
        <v>2311</v>
      </c>
      <c r="B429" s="8" t="s">
        <v>2312</v>
      </c>
      <c r="C429" s="8" t="str">
        <f t="shared" si="6"/>
        <v>SAHATHAI PORT|THPRG</v>
      </c>
    </row>
    <row r="430" spans="1:3">
      <c r="A430" s="8" t="s">
        <v>2313</v>
      </c>
      <c r="B430" s="8" t="s">
        <v>2314</v>
      </c>
      <c r="C430" s="8" t="str">
        <f t="shared" si="6"/>
        <v>ST. JOHN N.B|CASJB</v>
      </c>
    </row>
    <row r="431" spans="1:3">
      <c r="A431" s="8" t="s">
        <v>2315</v>
      </c>
      <c r="B431" s="8" t="s">
        <v>2316</v>
      </c>
      <c r="C431" s="8" t="str">
        <f t="shared" si="6"/>
        <v>ST. JOHNS AG|AGSJO</v>
      </c>
    </row>
    <row r="432" spans="1:3">
      <c r="A432" s="8" t="s">
        <v>2317</v>
      </c>
      <c r="B432" s="8" t="s">
        <v>2318</v>
      </c>
      <c r="C432" s="8" t="str">
        <f t="shared" si="6"/>
        <v>ST. JOHN'S NF.|CASJF</v>
      </c>
    </row>
    <row r="433" spans="1:3">
      <c r="A433" s="8" t="s">
        <v>2319</v>
      </c>
      <c r="B433" s="8" t="s">
        <v>2320</v>
      </c>
      <c r="C433" s="8" t="str">
        <f t="shared" si="6"/>
        <v>ST.PETERSBURG|RULED</v>
      </c>
    </row>
    <row r="434" spans="1:3">
      <c r="A434" s="8" t="s">
        <v>2321</v>
      </c>
      <c r="B434" s="8" t="s">
        <v>2322</v>
      </c>
      <c r="C434" s="8" t="str">
        <f t="shared" si="6"/>
        <v>SALALAH|OMSLL</v>
      </c>
    </row>
    <row r="435" spans="1:3">
      <c r="A435" s="8" t="s">
        <v>2323</v>
      </c>
      <c r="B435" s="8" t="s">
        <v>2324</v>
      </c>
      <c r="C435" s="8" t="str">
        <f t="shared" si="6"/>
        <v>SALERNO|ITSAL</v>
      </c>
    </row>
    <row r="436" spans="1:3">
      <c r="A436" s="8" t="s">
        <v>2325</v>
      </c>
      <c r="B436" s="8" t="s">
        <v>2326</v>
      </c>
      <c r="C436" s="8" t="str">
        <f t="shared" si="6"/>
        <v>SAMARINDA|IDSRI</v>
      </c>
    </row>
    <row r="437" spans="1:3">
      <c r="A437" s="8" t="s">
        <v>2327</v>
      </c>
      <c r="B437" s="8" t="s">
        <v>2328</v>
      </c>
      <c r="C437" s="8" t="str">
        <f t="shared" si="6"/>
        <v>SAN ANTONIO|CLSAI</v>
      </c>
    </row>
    <row r="438" spans="1:3">
      <c r="A438" s="8" t="s">
        <v>2329</v>
      </c>
      <c r="B438" s="8" t="s">
        <v>2330</v>
      </c>
      <c r="C438" s="8" t="str">
        <f t="shared" si="6"/>
        <v>SAN PEDRO|USSPQ</v>
      </c>
    </row>
    <row r="439" spans="1:3">
      <c r="A439" s="8" t="s">
        <v>2331</v>
      </c>
      <c r="B439" s="8" t="s">
        <v>2332</v>
      </c>
      <c r="C439" s="8" t="str">
        <f t="shared" si="6"/>
        <v>SANDAKAN|MYSDK</v>
      </c>
    </row>
    <row r="440" spans="1:3">
      <c r="A440" s="8" t="s">
        <v>2333</v>
      </c>
      <c r="B440" s="8" t="s">
        <v>2334</v>
      </c>
      <c r="C440" s="8" t="str">
        <f t="shared" si="6"/>
        <v>ZHAOQING|CNZQG</v>
      </c>
    </row>
    <row r="441" spans="1:3">
      <c r="A441" s="8" t="s">
        <v>2335</v>
      </c>
      <c r="B441" s="8" t="s">
        <v>2336</v>
      </c>
      <c r="C441" s="8" t="str">
        <f t="shared" si="6"/>
        <v>SANSHUI|CNSJQ</v>
      </c>
    </row>
    <row r="442" spans="1:3">
      <c r="A442" s="8" t="s">
        <v>2337</v>
      </c>
      <c r="B442" s="8" t="s">
        <v>2338</v>
      </c>
      <c r="C442" s="8" t="str">
        <f t="shared" si="6"/>
        <v>SANTOS|BRSSZ</v>
      </c>
    </row>
    <row r="443" spans="1:3">
      <c r="A443" s="8" t="s">
        <v>2339</v>
      </c>
      <c r="B443" s="8" t="s">
        <v>2340</v>
      </c>
      <c r="C443" s="8" t="str">
        <f t="shared" si="6"/>
        <v>SAVANNAH|USSAV</v>
      </c>
    </row>
    <row r="444" spans="1:3">
      <c r="A444" s="8" t="s">
        <v>2341</v>
      </c>
      <c r="B444" s="8" t="s">
        <v>2342</v>
      </c>
      <c r="C444" s="8" t="str">
        <f t="shared" si="6"/>
        <v>SEATTLE|USSEA</v>
      </c>
    </row>
    <row r="445" spans="1:3">
      <c r="A445" s="8" t="s">
        <v>2343</v>
      </c>
      <c r="B445" s="8" t="s">
        <v>2344</v>
      </c>
      <c r="C445" s="8" t="str">
        <f t="shared" si="6"/>
        <v>SEKUPANG|IDSKP</v>
      </c>
    </row>
    <row r="446" spans="1:3">
      <c r="A446" s="8" t="s">
        <v>2345</v>
      </c>
      <c r="B446" s="8" t="s">
        <v>2346</v>
      </c>
      <c r="C446" s="8" t="str">
        <f t="shared" si="6"/>
        <v>SEMARANG|IDSRG</v>
      </c>
    </row>
    <row r="447" spans="1:3">
      <c r="A447" s="8" t="s">
        <v>2347</v>
      </c>
      <c r="B447" s="8" t="s">
        <v>2348</v>
      </c>
      <c r="C447" s="8" t="str">
        <f t="shared" si="6"/>
        <v>SENBOKU|PJSBK</v>
      </c>
    </row>
    <row r="448" spans="1:3">
      <c r="A448" s="8" t="s">
        <v>2349</v>
      </c>
      <c r="B448" s="8" t="s">
        <v>2350</v>
      </c>
      <c r="C448" s="8" t="str">
        <f t="shared" si="6"/>
        <v>SENDAI1|JPSDJ</v>
      </c>
    </row>
    <row r="449" spans="1:3">
      <c r="A449" s="8" t="s">
        <v>2351</v>
      </c>
      <c r="B449" s="8" t="s">
        <v>2352</v>
      </c>
      <c r="C449" s="8" t="str">
        <f t="shared" si="6"/>
        <v>SETUBAL|PTSET</v>
      </c>
    </row>
    <row r="450" spans="1:3">
      <c r="A450" s="8" t="s">
        <v>2353</v>
      </c>
      <c r="B450" s="8" t="s">
        <v>2354</v>
      </c>
      <c r="C450" s="8" t="str">
        <f t="shared" si="6"/>
        <v>SHANGHAI|CNSHA</v>
      </c>
    </row>
    <row r="451" spans="1:3">
      <c r="A451" s="8" t="s">
        <v>2355</v>
      </c>
      <c r="B451" s="8" t="s">
        <v>2356</v>
      </c>
      <c r="C451" s="8" t="str">
        <f t="shared" ref="C451:C514" si="7">B451&amp;"|"&amp;A451</f>
        <v>SHANTOU|CNSWA</v>
      </c>
    </row>
    <row r="452" spans="1:3">
      <c r="A452" s="8" t="s">
        <v>2357</v>
      </c>
      <c r="B452" s="8" t="s">
        <v>2358</v>
      </c>
      <c r="C452" s="8" t="str">
        <f t="shared" si="7"/>
        <v>SHARJAH|AESHJ</v>
      </c>
    </row>
    <row r="453" spans="1:3">
      <c r="A453" s="8" t="s">
        <v>2359</v>
      </c>
      <c r="B453" s="8" t="s">
        <v>2360</v>
      </c>
      <c r="C453" s="8" t="str">
        <f t="shared" si="7"/>
        <v>JINGZHOU|CNJGZ</v>
      </c>
    </row>
    <row r="454" spans="1:3">
      <c r="A454" s="8" t="s">
        <v>2361</v>
      </c>
      <c r="B454" s="8" t="s">
        <v>2362</v>
      </c>
      <c r="C454" s="8" t="str">
        <f t="shared" si="7"/>
        <v>SHATIAN|CNSTI</v>
      </c>
    </row>
    <row r="455" spans="1:3">
      <c r="A455" s="8" t="s">
        <v>2363</v>
      </c>
      <c r="B455" s="8" t="s">
        <v>2364</v>
      </c>
      <c r="C455" s="8" t="str">
        <f t="shared" si="7"/>
        <v>SHEKOU|CNSHK</v>
      </c>
    </row>
    <row r="456" spans="1:3">
      <c r="A456" s="8" t="s">
        <v>2365</v>
      </c>
      <c r="B456" s="8" t="s">
        <v>2366</v>
      </c>
      <c r="C456" s="8" t="str">
        <f t="shared" si="7"/>
        <v>SHENZHEN|CNSZX</v>
      </c>
    </row>
    <row r="457" spans="1:3">
      <c r="A457" s="8" t="s">
        <v>2367</v>
      </c>
      <c r="B457" s="8" t="s">
        <v>2368</v>
      </c>
      <c r="C457" s="8" t="str">
        <f t="shared" si="7"/>
        <v>SHIBUSHI|JPSBS</v>
      </c>
    </row>
    <row r="458" spans="1:3">
      <c r="A458" s="8" t="s">
        <v>2369</v>
      </c>
      <c r="B458" s="8" t="s">
        <v>2370</v>
      </c>
      <c r="C458" s="8" t="str">
        <f t="shared" si="7"/>
        <v>SHIDAO PORT|CNRCG</v>
      </c>
    </row>
    <row r="459" spans="1:3">
      <c r="A459" s="8" t="s">
        <v>2371</v>
      </c>
      <c r="B459" s="8" t="s">
        <v>2372</v>
      </c>
      <c r="C459" s="8" t="str">
        <f t="shared" si="7"/>
        <v>SHIMIZU|JPSMZ</v>
      </c>
    </row>
    <row r="460" spans="1:3">
      <c r="A460" s="8" t="s">
        <v>2373</v>
      </c>
      <c r="B460" s="8" t="s">
        <v>2374</v>
      </c>
      <c r="C460" s="8" t="str">
        <f t="shared" si="7"/>
        <v>SHIMONOSEKI|JPSHS</v>
      </c>
    </row>
    <row r="461" spans="1:3">
      <c r="A461" s="8" t="s">
        <v>2375</v>
      </c>
      <c r="B461" s="8" t="s">
        <v>2376</v>
      </c>
      <c r="C461" s="8" t="str">
        <f t="shared" si="7"/>
        <v>SHUAIBA|KWSAA</v>
      </c>
    </row>
    <row r="462" spans="1:3">
      <c r="A462" s="8" t="s">
        <v>2377</v>
      </c>
      <c r="B462" s="8" t="s">
        <v>2378</v>
      </c>
      <c r="C462" s="8" t="str">
        <f t="shared" si="7"/>
        <v>SHUNDE|CNSUD</v>
      </c>
    </row>
    <row r="463" spans="1:3">
      <c r="A463" s="8" t="s">
        <v>2379</v>
      </c>
      <c r="B463" s="8" t="s">
        <v>2380</v>
      </c>
      <c r="C463" s="8" t="str">
        <f t="shared" si="7"/>
        <v>SIBU|MYSBW</v>
      </c>
    </row>
    <row r="464" spans="1:3">
      <c r="A464" s="8" t="s">
        <v>2381</v>
      </c>
      <c r="B464" s="8" t="s">
        <v>2382</v>
      </c>
      <c r="C464" s="8" t="str">
        <f t="shared" si="7"/>
        <v>SIHANOUKVILLE|KHKOS</v>
      </c>
    </row>
    <row r="465" spans="1:3">
      <c r="A465" s="8" t="s">
        <v>2383</v>
      </c>
      <c r="B465" s="8" t="s">
        <v>2384</v>
      </c>
      <c r="C465" s="8" t="str">
        <f t="shared" si="7"/>
        <v>SINGAPORE|SGSIN</v>
      </c>
    </row>
    <row r="466" spans="1:3">
      <c r="A466" s="8" t="s">
        <v>2385</v>
      </c>
      <c r="B466" s="8" t="s">
        <v>2386</v>
      </c>
      <c r="C466" s="8" t="str">
        <f t="shared" si="7"/>
        <v>SKAGEN|DKSKA</v>
      </c>
    </row>
    <row r="467" spans="1:3">
      <c r="A467" s="8" t="s">
        <v>2387</v>
      </c>
      <c r="B467" s="8" t="s">
        <v>2388</v>
      </c>
      <c r="C467" s="8" t="str">
        <f t="shared" si="7"/>
        <v>SODERTALJE|SESOE</v>
      </c>
    </row>
    <row r="468" spans="1:3">
      <c r="A468" s="8" t="s">
        <v>2389</v>
      </c>
      <c r="B468" s="8" t="s">
        <v>2390</v>
      </c>
      <c r="C468" s="8" t="str">
        <f t="shared" si="7"/>
        <v>SOHAR|OMSOH</v>
      </c>
    </row>
    <row r="469" spans="1:3">
      <c r="A469" s="8" t="s">
        <v>2391</v>
      </c>
      <c r="B469" s="8" t="s">
        <v>2392</v>
      </c>
      <c r="C469" s="8" t="str">
        <f t="shared" si="7"/>
        <v>SOKHNA|EGSOK</v>
      </c>
    </row>
    <row r="470" spans="1:3">
      <c r="A470" s="8" t="s">
        <v>2393</v>
      </c>
      <c r="B470" s="8" t="s">
        <v>2394</v>
      </c>
      <c r="C470" s="8" t="str">
        <f t="shared" si="7"/>
        <v>SONGKHLA|THSGZ</v>
      </c>
    </row>
    <row r="471" spans="1:3">
      <c r="A471" s="8" t="s">
        <v>2395</v>
      </c>
      <c r="B471" s="8" t="s">
        <v>2396</v>
      </c>
      <c r="C471" s="8" t="str">
        <f t="shared" si="7"/>
        <v>SOUTHAMPTON|GBSOU</v>
      </c>
    </row>
    <row r="472" spans="1:3">
      <c r="A472" s="8" t="s">
        <v>2397</v>
      </c>
      <c r="B472" s="8" t="s">
        <v>2398</v>
      </c>
      <c r="C472" s="8" t="str">
        <f t="shared" si="7"/>
        <v>STADE|DESTA</v>
      </c>
    </row>
    <row r="473" spans="1:3">
      <c r="A473" s="8" t="s">
        <v>2399</v>
      </c>
      <c r="B473" s="8" t="s">
        <v>2400</v>
      </c>
      <c r="C473" s="8" t="str">
        <f t="shared" si="7"/>
        <v>STAVANGER|NOSVG</v>
      </c>
    </row>
    <row r="474" spans="1:3">
      <c r="A474" s="8" t="s">
        <v>2401</v>
      </c>
      <c r="B474" s="8" t="s">
        <v>2402</v>
      </c>
      <c r="C474" s="8" t="str">
        <f t="shared" si="7"/>
        <v>STOCKHOLM|SESTO</v>
      </c>
    </row>
    <row r="475" spans="1:3">
      <c r="A475" s="8" t="s">
        <v>2403</v>
      </c>
      <c r="B475" s="8" t="s">
        <v>2404</v>
      </c>
      <c r="C475" s="8" t="str">
        <f t="shared" si="7"/>
        <v>STRASBOURG|FRSXB</v>
      </c>
    </row>
    <row r="476" spans="1:3">
      <c r="A476" s="8" t="s">
        <v>2405</v>
      </c>
      <c r="B476" s="8" t="s">
        <v>2406</v>
      </c>
      <c r="C476" s="8" t="str">
        <f t="shared" si="7"/>
        <v>SUEZ|EGSUZ</v>
      </c>
    </row>
    <row r="477" spans="1:3">
      <c r="A477" s="8" t="s">
        <v>2407</v>
      </c>
      <c r="B477" s="8" t="s">
        <v>2408</v>
      </c>
      <c r="C477" s="8" t="str">
        <f t="shared" si="7"/>
        <v>SURABAYA|IDSUB</v>
      </c>
    </row>
    <row r="478" spans="1:3">
      <c r="A478" s="8" t="s">
        <v>2409</v>
      </c>
      <c r="B478" s="8" t="s">
        <v>2410</v>
      </c>
      <c r="C478" s="8" t="str">
        <f t="shared" si="7"/>
        <v>CANTILAN SURIGAO|PHCNT</v>
      </c>
    </row>
    <row r="479" spans="1:3">
      <c r="A479" s="8" t="s">
        <v>2411</v>
      </c>
      <c r="B479" s="8" t="s">
        <v>2412</v>
      </c>
      <c r="C479" s="8" t="str">
        <f t="shared" si="7"/>
        <v>SUVA|FJSUV</v>
      </c>
    </row>
    <row r="480" spans="1:3">
      <c r="A480" s="8" t="s">
        <v>2413</v>
      </c>
      <c r="B480" s="8" t="s">
        <v>2414</v>
      </c>
      <c r="C480" s="8" t="str">
        <f t="shared" si="7"/>
        <v>SYDNEY|AUSYD</v>
      </c>
    </row>
    <row r="481" spans="1:3">
      <c r="A481" s="8" t="s">
        <v>2415</v>
      </c>
      <c r="B481" s="8" t="s">
        <v>2416</v>
      </c>
      <c r="C481" s="8" t="str">
        <f t="shared" si="7"/>
        <v>SZCZECIN|PLSZZ</v>
      </c>
    </row>
    <row r="482" spans="1:3">
      <c r="A482" s="8" t="s">
        <v>2417</v>
      </c>
      <c r="B482" s="8" t="s">
        <v>2418</v>
      </c>
      <c r="C482" s="8" t="str">
        <f t="shared" si="7"/>
        <v>TACOMA|USTIW</v>
      </c>
    </row>
    <row r="483" spans="1:3">
      <c r="A483" s="8" t="s">
        <v>2419</v>
      </c>
      <c r="B483" s="8" t="s">
        <v>2420</v>
      </c>
      <c r="C483" s="8" t="str">
        <f t="shared" si="7"/>
        <v>TAICANG|CNTCG</v>
      </c>
    </row>
    <row r="484" spans="1:3">
      <c r="A484" s="8" t="s">
        <v>2421</v>
      </c>
      <c r="B484" s="8" t="s">
        <v>2420</v>
      </c>
      <c r="C484" s="8" t="str">
        <f t="shared" si="7"/>
        <v>TAICANG|CNTAC</v>
      </c>
    </row>
    <row r="485" spans="1:3">
      <c r="A485" s="8" t="s">
        <v>2422</v>
      </c>
      <c r="B485" s="8" t="s">
        <v>2423</v>
      </c>
      <c r="C485" s="8" t="str">
        <f t="shared" si="7"/>
        <v>TAICHUNG|TWTXG</v>
      </c>
    </row>
    <row r="486" spans="1:3">
      <c r="A486" s="8" t="s">
        <v>2424</v>
      </c>
      <c r="B486" s="8" t="s">
        <v>2425</v>
      </c>
      <c r="C486" s="8" t="str">
        <f t="shared" si="7"/>
        <v>TAIPEI|TWTPE</v>
      </c>
    </row>
    <row r="487" spans="1:3">
      <c r="A487" s="8" t="s">
        <v>2426</v>
      </c>
      <c r="B487" s="8" t="s">
        <v>2427</v>
      </c>
      <c r="C487" s="8" t="str">
        <f t="shared" si="7"/>
        <v>TAICHENG|CNTHG</v>
      </c>
    </row>
    <row r="488" spans="1:3">
      <c r="A488" s="8" t="s">
        <v>2428</v>
      </c>
      <c r="B488" s="8" t="s">
        <v>2428</v>
      </c>
      <c r="C488" s="8" t="str">
        <f t="shared" si="7"/>
        <v>CNTZO|CNTZO</v>
      </c>
    </row>
    <row r="489" spans="1:3">
      <c r="A489" s="8" t="s">
        <v>2429</v>
      </c>
      <c r="B489" s="8" t="s">
        <v>2430</v>
      </c>
      <c r="C489" s="8" t="str">
        <f t="shared" si="7"/>
        <v>TAKAMATSU|JPTAK</v>
      </c>
    </row>
    <row r="490" spans="1:3">
      <c r="A490" s="8" t="s">
        <v>2431</v>
      </c>
      <c r="B490" s="8" t="s">
        <v>2432</v>
      </c>
      <c r="C490" s="8" t="str">
        <f t="shared" si="7"/>
        <v>TALLINN|EETLL</v>
      </c>
    </row>
    <row r="491" spans="1:3">
      <c r="A491" s="8" t="s">
        <v>2433</v>
      </c>
      <c r="B491" s="8" t="s">
        <v>2434</v>
      </c>
      <c r="C491" s="8" t="str">
        <f t="shared" si="7"/>
        <v>TAMPA|USTPA</v>
      </c>
    </row>
    <row r="492" spans="1:3">
      <c r="A492" s="8" t="s">
        <v>1852</v>
      </c>
      <c r="B492" s="8" t="s">
        <v>1853</v>
      </c>
      <c r="C492" s="8" t="str">
        <f t="shared" si="7"/>
        <v>HO CHI MINH CITY|VNSGN</v>
      </c>
    </row>
    <row r="493" spans="1:3">
      <c r="A493" s="8" t="s">
        <v>2435</v>
      </c>
      <c r="B493" s="8" t="s">
        <v>2436</v>
      </c>
      <c r="C493" s="8" t="str">
        <f t="shared" si="7"/>
        <v>TANGIER|MATNG</v>
      </c>
    </row>
    <row r="494" spans="1:3">
      <c r="A494" s="8" t="s">
        <v>2437</v>
      </c>
      <c r="B494" s="8" t="s">
        <v>2438</v>
      </c>
      <c r="C494" s="8" t="str">
        <f t="shared" si="7"/>
        <v>TANJUNG MANIS|MYTMP</v>
      </c>
    </row>
    <row r="495" spans="1:3">
      <c r="A495" s="8" t="s">
        <v>2439</v>
      </c>
      <c r="B495" s="8" t="s">
        <v>2440</v>
      </c>
      <c r="C495" s="8" t="str">
        <f t="shared" si="7"/>
        <v>TANJUNG PELEPAS|MYTPP</v>
      </c>
    </row>
    <row r="496" spans="1:3">
      <c r="A496" s="8" t="s">
        <v>2441</v>
      </c>
      <c r="B496" s="8" t="s">
        <v>2442</v>
      </c>
      <c r="C496" s="8" t="str">
        <f t="shared" si="7"/>
        <v>TANJUNG PINANG|IDTNJ</v>
      </c>
    </row>
    <row r="497" spans="1:3">
      <c r="A497" s="8" t="s">
        <v>2443</v>
      </c>
      <c r="B497" s="8" t="s">
        <v>2444</v>
      </c>
      <c r="C497" s="8" t="str">
        <f t="shared" si="7"/>
        <v>BANYUWANGI|IDBJU</v>
      </c>
    </row>
    <row r="498" spans="1:3">
      <c r="A498" s="8" t="s">
        <v>2445</v>
      </c>
      <c r="B498" s="8" t="s">
        <v>2446</v>
      </c>
      <c r="C498" s="8" t="str">
        <f t="shared" si="7"/>
        <v>TAURANGA|NZTRG</v>
      </c>
    </row>
    <row r="499" spans="1:3">
      <c r="A499" s="8" t="s">
        <v>2447</v>
      </c>
      <c r="B499" s="8" t="s">
        <v>2448</v>
      </c>
      <c r="C499" s="8" t="str">
        <f t="shared" si="7"/>
        <v>TAWAU|MYTWU</v>
      </c>
    </row>
    <row r="500" spans="1:3">
      <c r="A500" s="8" t="s">
        <v>2449</v>
      </c>
      <c r="B500" s="8" t="s">
        <v>2450</v>
      </c>
      <c r="C500" s="8" t="str">
        <f t="shared" si="7"/>
        <v>MIDDLESBROUGH|GBMID</v>
      </c>
    </row>
    <row r="501" spans="1:3">
      <c r="A501" s="8" t="s">
        <v>2451</v>
      </c>
      <c r="B501" s="8" t="s">
        <v>2452</v>
      </c>
      <c r="C501" s="8" t="str">
        <f t="shared" si="7"/>
        <v>TEMA|GHTEM</v>
      </c>
    </row>
    <row r="502" spans="1:3">
      <c r="A502" s="8" t="s">
        <v>2453</v>
      </c>
      <c r="B502" s="8" t="s">
        <v>2454</v>
      </c>
      <c r="C502" s="8" t="str">
        <f t="shared" si="7"/>
        <v>THAMESPORT|GBTHP</v>
      </c>
    </row>
    <row r="503" spans="1:3">
      <c r="A503" s="8" t="s">
        <v>2455</v>
      </c>
      <c r="B503" s="8" t="s">
        <v>2456</v>
      </c>
      <c r="C503" s="8" t="str">
        <f t="shared" si="7"/>
        <v>THESSALONIKI|GRSKG</v>
      </c>
    </row>
    <row r="504" spans="1:3">
      <c r="A504" s="8" t="s">
        <v>2457</v>
      </c>
      <c r="B504" s="8" t="s">
        <v>2458</v>
      </c>
      <c r="C504" s="8" t="str">
        <f t="shared" si="7"/>
        <v>TIANJIN|CNTSN</v>
      </c>
    </row>
    <row r="505" spans="1:3">
      <c r="A505" s="8" t="s">
        <v>2459</v>
      </c>
      <c r="B505" s="8" t="s">
        <v>2460</v>
      </c>
      <c r="C505" s="8" t="str">
        <f t="shared" si="7"/>
        <v>TILBURG|NLTLB</v>
      </c>
    </row>
    <row r="506" spans="1:3">
      <c r="A506" s="8" t="s">
        <v>2461</v>
      </c>
      <c r="B506" s="8" t="s">
        <v>2462</v>
      </c>
      <c r="C506" s="8" t="str">
        <f t="shared" si="7"/>
        <v>TILBURY|GBTIL</v>
      </c>
    </row>
    <row r="507" spans="1:3">
      <c r="A507" s="8" t="s">
        <v>2463</v>
      </c>
      <c r="B507" s="8" t="s">
        <v>2464</v>
      </c>
      <c r="C507" s="8" t="str">
        <f t="shared" si="7"/>
        <v>TINCAN LAGOS|NGTIN</v>
      </c>
    </row>
    <row r="508" spans="1:3">
      <c r="A508" s="8" t="s">
        <v>2465</v>
      </c>
      <c r="B508" s="8" t="s">
        <v>2466</v>
      </c>
      <c r="C508" s="8" t="str">
        <f t="shared" si="7"/>
        <v>TOKUSHIMA|JPTKS</v>
      </c>
    </row>
    <row r="509" spans="1:3">
      <c r="A509" s="8" t="s">
        <v>2467</v>
      </c>
      <c r="B509" s="8" t="s">
        <v>2468</v>
      </c>
      <c r="C509" s="8" t="str">
        <f t="shared" si="7"/>
        <v>TOKUYAMA|JPTKY</v>
      </c>
    </row>
    <row r="510" spans="1:3">
      <c r="A510" s="8" t="s">
        <v>2469</v>
      </c>
      <c r="B510" s="8" t="s">
        <v>2470</v>
      </c>
      <c r="C510" s="8" t="str">
        <f t="shared" si="7"/>
        <v>TOKYO|JPTYO</v>
      </c>
    </row>
    <row r="511" spans="1:3">
      <c r="A511" s="8" t="s">
        <v>2471</v>
      </c>
      <c r="B511" s="8" t="s">
        <v>2472</v>
      </c>
      <c r="C511" s="8" t="str">
        <f t="shared" si="7"/>
        <v>TOMAKOMAI|JPTMK</v>
      </c>
    </row>
    <row r="512" spans="1:3">
      <c r="A512" s="8" t="s">
        <v>2473</v>
      </c>
      <c r="B512" s="8" t="s">
        <v>2474</v>
      </c>
      <c r="C512" s="8" t="str">
        <f t="shared" si="7"/>
        <v>TONGLING|CNTOL</v>
      </c>
    </row>
    <row r="513" spans="1:3">
      <c r="A513" s="8" t="s">
        <v>2475</v>
      </c>
      <c r="B513" s="8" t="s">
        <v>2476</v>
      </c>
      <c r="C513" s="8" t="str">
        <f t="shared" si="7"/>
        <v>TOYAMA|JPTOY</v>
      </c>
    </row>
    <row r="514" spans="1:3">
      <c r="A514" s="8" t="s">
        <v>2477</v>
      </c>
      <c r="B514" s="8" t="s">
        <v>2478</v>
      </c>
      <c r="C514" s="8" t="str">
        <f t="shared" si="7"/>
        <v>TOUYO|JPTOU</v>
      </c>
    </row>
    <row r="515" spans="1:3">
      <c r="A515" s="8" t="s">
        <v>2479</v>
      </c>
      <c r="B515" s="8" t="s">
        <v>2480</v>
      </c>
      <c r="C515" s="8" t="str">
        <f t="shared" ref="C515:C578" si="8">B515&amp;"|"&amp;A515</f>
        <v>TOYOHASHI|JPTHS</v>
      </c>
    </row>
    <row r="516" spans="1:3">
      <c r="A516" s="8" t="s">
        <v>2311</v>
      </c>
      <c r="B516" s="8" t="s">
        <v>2481</v>
      </c>
      <c r="C516" s="8" t="str">
        <f t="shared" si="8"/>
        <v>TPT PORT|THPRG</v>
      </c>
    </row>
    <row r="517" spans="1:3">
      <c r="A517" s="8" t="s">
        <v>2482</v>
      </c>
      <c r="B517" s="8" t="s">
        <v>2483</v>
      </c>
      <c r="C517" s="8" t="str">
        <f t="shared" si="8"/>
        <v>TRIESTE|ITTRS</v>
      </c>
    </row>
    <row r="518" spans="1:3">
      <c r="A518" s="8" t="s">
        <v>2484</v>
      </c>
      <c r="B518" s="8" t="s">
        <v>2485</v>
      </c>
      <c r="C518" s="8" t="str">
        <f t="shared" si="8"/>
        <v>TROMSO|NOTOS</v>
      </c>
    </row>
    <row r="519" spans="1:3">
      <c r="A519" s="8" t="s">
        <v>2486</v>
      </c>
      <c r="B519" s="8" t="s">
        <v>2487</v>
      </c>
      <c r="C519" s="8" t="str">
        <f t="shared" si="8"/>
        <v>TRONDHEIM|NOTRD</v>
      </c>
    </row>
    <row r="520" spans="1:3">
      <c r="A520" s="8" t="s">
        <v>2488</v>
      </c>
      <c r="B520" s="8" t="s">
        <v>2489</v>
      </c>
      <c r="C520" s="8" t="str">
        <f t="shared" si="8"/>
        <v>TURKU|FITKU</v>
      </c>
    </row>
    <row r="521" spans="1:3">
      <c r="A521" s="8" t="s">
        <v>2490</v>
      </c>
      <c r="B521" s="8" t="s">
        <v>2491</v>
      </c>
      <c r="C521" s="8" t="str">
        <f t="shared" si="8"/>
        <v>TUTICORIN|INTUT</v>
      </c>
    </row>
    <row r="522" spans="1:3">
      <c r="A522" s="8" t="s">
        <v>2492</v>
      </c>
      <c r="B522" s="8" t="s">
        <v>2493</v>
      </c>
      <c r="C522" s="8" t="str">
        <f t="shared" si="8"/>
        <v>SOUTH SHIELDS|GBSSH</v>
      </c>
    </row>
    <row r="523" spans="1:3">
      <c r="A523" s="8" t="s">
        <v>2494</v>
      </c>
      <c r="B523" s="8" t="s">
        <v>2495</v>
      </c>
      <c r="C523" s="8" t="str">
        <f t="shared" si="8"/>
        <v>UBE|JPUBJ</v>
      </c>
    </row>
    <row r="524" spans="1:3">
      <c r="A524" s="8" t="s">
        <v>2496</v>
      </c>
      <c r="B524" s="8" t="s">
        <v>2497</v>
      </c>
      <c r="C524" s="8" t="str">
        <f t="shared" si="8"/>
        <v>UJUNG PANDANG|IDUPG</v>
      </c>
    </row>
    <row r="525" spans="1:3">
      <c r="A525" s="8" t="s">
        <v>2498</v>
      </c>
      <c r="B525" s="8" t="s">
        <v>2499</v>
      </c>
      <c r="C525" s="8" t="str">
        <f t="shared" si="8"/>
        <v>UMM AL QUWAIN|AEQIW</v>
      </c>
    </row>
    <row r="526" spans="1:3">
      <c r="A526" s="8" t="s">
        <v>2500</v>
      </c>
      <c r="B526" s="8" t="s">
        <v>2501</v>
      </c>
      <c r="C526" s="8" t="str">
        <f t="shared" si="8"/>
        <v>UMM QASR|IQUQR</v>
      </c>
    </row>
    <row r="527" spans="1:3">
      <c r="A527" s="8" t="s">
        <v>2502</v>
      </c>
      <c r="B527" s="8" t="s">
        <v>2503</v>
      </c>
      <c r="C527" s="8" t="str">
        <f t="shared" si="8"/>
        <v>UST'-LUGA|RUULU</v>
      </c>
    </row>
    <row r="528" spans="1:3">
      <c r="A528" s="8" t="s">
        <v>2504</v>
      </c>
      <c r="B528" s="8" t="s">
        <v>2505</v>
      </c>
      <c r="C528" s="8" t="str">
        <f t="shared" si="8"/>
        <v>VALDEZ|USVDZ</v>
      </c>
    </row>
    <row r="529" spans="1:3">
      <c r="A529" s="8" t="s">
        <v>2506</v>
      </c>
      <c r="B529" s="8" t="s">
        <v>2507</v>
      </c>
      <c r="C529" s="8" t="str">
        <f t="shared" si="8"/>
        <v>VALENCIA|ESVLC</v>
      </c>
    </row>
    <row r="530" spans="1:3">
      <c r="A530" s="8" t="s">
        <v>2508</v>
      </c>
      <c r="B530" s="8" t="s">
        <v>2509</v>
      </c>
      <c r="C530" s="8" t="str">
        <f t="shared" si="8"/>
        <v>MALTA|MTMLA</v>
      </c>
    </row>
    <row r="531" spans="1:3">
      <c r="A531" s="8" t="s">
        <v>2510</v>
      </c>
      <c r="B531" s="8" t="s">
        <v>2511</v>
      </c>
      <c r="C531" s="8" t="str">
        <f t="shared" si="8"/>
        <v>VALPARAISO|CLVAP</v>
      </c>
    </row>
    <row r="532" spans="1:3">
      <c r="A532" s="8" t="s">
        <v>2512</v>
      </c>
      <c r="B532" s="8" t="s">
        <v>2513</v>
      </c>
      <c r="C532" s="8" t="str">
        <f t="shared" si="8"/>
        <v>VANCOUVER CA|CAVAN</v>
      </c>
    </row>
    <row r="533" spans="1:3">
      <c r="A533" s="8" t="s">
        <v>2514</v>
      </c>
      <c r="B533" s="8" t="s">
        <v>2515</v>
      </c>
      <c r="C533" s="8" t="str">
        <f t="shared" si="8"/>
        <v>VARNA|BGVAR</v>
      </c>
    </row>
    <row r="534" spans="1:3">
      <c r="A534" s="8" t="s">
        <v>2516</v>
      </c>
      <c r="B534" s="8" t="s">
        <v>2517</v>
      </c>
      <c r="C534" s="8" t="str">
        <f t="shared" si="8"/>
        <v>VASTERAS|SEVST</v>
      </c>
    </row>
    <row r="535" spans="1:3">
      <c r="A535" s="8" t="s">
        <v>2518</v>
      </c>
      <c r="B535" s="8" t="s">
        <v>2519</v>
      </c>
      <c r="C535" s="8" t="str">
        <f t="shared" si="8"/>
        <v>PORTO MARGHERA|ITPMA</v>
      </c>
    </row>
    <row r="536" spans="1:3">
      <c r="A536" s="8" t="s">
        <v>2520</v>
      </c>
      <c r="B536" s="8" t="s">
        <v>2521</v>
      </c>
      <c r="C536" s="8" t="str">
        <f t="shared" si="8"/>
        <v>VERACRUZ|MXVER</v>
      </c>
    </row>
    <row r="537" spans="1:3">
      <c r="A537" s="8" t="s">
        <v>2522</v>
      </c>
      <c r="B537" s="8" t="s">
        <v>2523</v>
      </c>
      <c r="C537" s="8" t="str">
        <f t="shared" si="8"/>
        <v>VIGO|ESVGO</v>
      </c>
    </row>
    <row r="538" spans="1:3">
      <c r="A538" s="8" t="s">
        <v>2524</v>
      </c>
      <c r="B538" s="8" t="s">
        <v>2525</v>
      </c>
      <c r="C538" s="8" t="str">
        <f t="shared" si="8"/>
        <v>VISAKHAPATNAM|INVTZ</v>
      </c>
    </row>
    <row r="539" spans="1:3">
      <c r="A539" s="8" t="s">
        <v>2526</v>
      </c>
      <c r="B539" s="8" t="s">
        <v>2527</v>
      </c>
      <c r="C539" s="8" t="str">
        <f t="shared" si="8"/>
        <v>WAKAYAMA|JPWAK</v>
      </c>
    </row>
    <row r="540" spans="1:3">
      <c r="A540" s="8" t="s">
        <v>2528</v>
      </c>
      <c r="B540" s="8" t="s">
        <v>2529</v>
      </c>
      <c r="C540" s="8" t="str">
        <f t="shared" si="8"/>
        <v xml:space="preserve">WALVIS BAY|NAWVB </v>
      </c>
    </row>
    <row r="541" spans="1:3">
      <c r="A541" s="8" t="s">
        <v>2530</v>
      </c>
      <c r="B541" s="8" t="s">
        <v>2531</v>
      </c>
      <c r="C541" s="8" t="str">
        <f t="shared" si="8"/>
        <v>WATERFORD|IEWAT</v>
      </c>
    </row>
    <row r="542" spans="1:3">
      <c r="A542" s="8" t="s">
        <v>2532</v>
      </c>
      <c r="B542" s="8" t="s">
        <v>2533</v>
      </c>
      <c r="C542" s="8" t="str">
        <f t="shared" si="8"/>
        <v>WEIHAI|CNWEI</v>
      </c>
    </row>
    <row r="543" spans="1:3">
      <c r="A543" s="8" t="s">
        <v>2534</v>
      </c>
      <c r="B543" s="8" t="s">
        <v>2535</v>
      </c>
      <c r="C543" s="8" t="str">
        <f t="shared" si="8"/>
        <v>WELLINGTON|NZWLG</v>
      </c>
    </row>
    <row r="544" spans="1:3">
      <c r="A544" s="8" t="s">
        <v>2536</v>
      </c>
      <c r="B544" s="8" t="s">
        <v>2537</v>
      </c>
      <c r="C544" s="8" t="str">
        <f t="shared" si="8"/>
        <v>WENLING|CNWEN</v>
      </c>
    </row>
    <row r="545" spans="1:3">
      <c r="A545" s="8" t="s">
        <v>2538</v>
      </c>
      <c r="B545" s="8" t="s">
        <v>2539</v>
      </c>
      <c r="C545" s="8" t="str">
        <f t="shared" si="8"/>
        <v>WENZHOU|CNWNZ</v>
      </c>
    </row>
    <row r="546" spans="1:3">
      <c r="A546" s="8" t="s">
        <v>2540</v>
      </c>
      <c r="B546" s="8" t="s">
        <v>2541</v>
      </c>
      <c r="C546" s="8" t="str">
        <f t="shared" si="8"/>
        <v>WEST PALM BEACH|USPBI</v>
      </c>
    </row>
    <row r="547" spans="1:3">
      <c r="A547" s="8" t="s">
        <v>2542</v>
      </c>
      <c r="B547" s="8" t="s">
        <v>2543</v>
      </c>
      <c r="C547" s="8" t="str">
        <f t="shared" si="8"/>
        <v>WILHELMSHAVEN|DEWVN</v>
      </c>
    </row>
    <row r="548" spans="1:3">
      <c r="A548" s="8" t="s">
        <v>2544</v>
      </c>
      <c r="B548" s="8" t="s">
        <v>2545</v>
      </c>
      <c r="C548" s="8" t="str">
        <f t="shared" si="8"/>
        <v>WILLEBROEK|BEWLB</v>
      </c>
    </row>
    <row r="549" spans="1:3">
      <c r="A549" s="8" t="s">
        <v>2546</v>
      </c>
      <c r="B549" s="8" t="s">
        <v>2547</v>
      </c>
      <c r="C549" s="8" t="str">
        <f t="shared" si="8"/>
        <v>WUHAN|CNWUH</v>
      </c>
    </row>
    <row r="550" spans="1:3">
      <c r="A550" s="8" t="s">
        <v>2548</v>
      </c>
      <c r="B550" s="8" t="s">
        <v>2549</v>
      </c>
      <c r="C550" s="8" t="str">
        <f t="shared" si="8"/>
        <v>WUHU|CNWHI</v>
      </c>
    </row>
    <row r="551" spans="1:3">
      <c r="A551" s="8" t="s">
        <v>2550</v>
      </c>
      <c r="B551" s="8" t="s">
        <v>2551</v>
      </c>
      <c r="C551" s="8" t="str">
        <f t="shared" si="8"/>
        <v>WUXI|CNWUX</v>
      </c>
    </row>
    <row r="552" spans="1:3">
      <c r="A552" s="8" t="s">
        <v>2552</v>
      </c>
      <c r="B552" s="8" t="s">
        <v>2553</v>
      </c>
      <c r="C552" s="8" t="str">
        <f t="shared" si="8"/>
        <v>WUZHOU|CNWUZ</v>
      </c>
    </row>
    <row r="553" spans="1:3">
      <c r="A553" s="8" t="s">
        <v>2554</v>
      </c>
      <c r="B553" s="8" t="s">
        <v>2555</v>
      </c>
      <c r="C553" s="8" t="str">
        <f t="shared" si="8"/>
        <v>XIAMEN|CNXMN</v>
      </c>
    </row>
    <row r="554" spans="1:3">
      <c r="A554" s="8" t="s">
        <v>2556</v>
      </c>
      <c r="B554" s="8" t="s">
        <v>2557</v>
      </c>
      <c r="C554" s="8" t="str">
        <f t="shared" si="8"/>
        <v>XINGANG|CNTXG</v>
      </c>
    </row>
    <row r="555" spans="1:3">
      <c r="A555" s="8" t="s">
        <v>2558</v>
      </c>
      <c r="B555" s="8" t="s">
        <v>2559</v>
      </c>
      <c r="C555" s="8" t="str">
        <f t="shared" si="8"/>
        <v>XINTANG|CNXIT</v>
      </c>
    </row>
    <row r="556" spans="1:3">
      <c r="A556" s="8" t="s">
        <v>2560</v>
      </c>
      <c r="B556" s="8" t="s">
        <v>2561</v>
      </c>
      <c r="C556" s="8" t="str">
        <f t="shared" si="8"/>
        <v>RANGOON|MMRGN</v>
      </c>
    </row>
    <row r="557" spans="1:3">
      <c r="A557" s="8" t="s">
        <v>2562</v>
      </c>
      <c r="B557" s="8" t="s">
        <v>2563</v>
      </c>
      <c r="C557" s="8" t="str">
        <f t="shared" si="8"/>
        <v>YANGPU|CNYPG</v>
      </c>
    </row>
    <row r="558" spans="1:3">
      <c r="A558" s="8" t="s">
        <v>2564</v>
      </c>
      <c r="B558" s="8" t="s">
        <v>2565</v>
      </c>
      <c r="C558" s="8" t="str">
        <f t="shared" si="8"/>
        <v>YANGZHOU|CNYZH</v>
      </c>
    </row>
    <row r="559" spans="1:3">
      <c r="A559" s="8" t="s">
        <v>2566</v>
      </c>
      <c r="B559" s="8" t="s">
        <v>2567</v>
      </c>
      <c r="C559" s="8" t="str">
        <f t="shared" si="8"/>
        <v>YANTAI|CNYNT</v>
      </c>
    </row>
    <row r="560" spans="1:3">
      <c r="A560" s="8" t="s">
        <v>2568</v>
      </c>
      <c r="B560" s="8" t="s">
        <v>2569</v>
      </c>
      <c r="C560" s="8" t="str">
        <f t="shared" si="8"/>
        <v>YANTIAN|CNYTN</v>
      </c>
    </row>
    <row r="561" spans="1:3">
      <c r="A561" s="8" t="s">
        <v>2570</v>
      </c>
      <c r="B561" s="8" t="s">
        <v>2571</v>
      </c>
      <c r="C561" s="8" t="str">
        <f t="shared" si="8"/>
        <v>YICHANG|CNYIC</v>
      </c>
    </row>
    <row r="562" spans="1:3">
      <c r="A562" s="8" t="s">
        <v>2572</v>
      </c>
      <c r="B562" s="8" t="s">
        <v>2573</v>
      </c>
      <c r="C562" s="8" t="str">
        <f t="shared" si="8"/>
        <v>YINGKOU|CNYIK</v>
      </c>
    </row>
    <row r="563" spans="1:3">
      <c r="A563" s="8" t="s">
        <v>2574</v>
      </c>
      <c r="B563" s="8" t="s">
        <v>2575</v>
      </c>
      <c r="C563" s="8" t="str">
        <f t="shared" si="8"/>
        <v>YOKKAICHI|JPYKK</v>
      </c>
    </row>
    <row r="564" spans="1:3">
      <c r="A564" s="8" t="s">
        <v>2576</v>
      </c>
      <c r="B564" s="8" t="s">
        <v>2577</v>
      </c>
      <c r="C564" s="8" t="str">
        <f t="shared" si="8"/>
        <v>YOKOHAMA|JPYOK</v>
      </c>
    </row>
    <row r="565" spans="1:3">
      <c r="A565" s="8" t="s">
        <v>2578</v>
      </c>
      <c r="B565" s="8" t="s">
        <v>2579</v>
      </c>
      <c r="C565" s="8" t="str">
        <f t="shared" si="8"/>
        <v>YUEYANG|CNYUY</v>
      </c>
    </row>
    <row r="566" spans="1:3">
      <c r="A566" s="8" t="s">
        <v>2580</v>
      </c>
      <c r="B566" s="8" t="s">
        <v>2581</v>
      </c>
      <c r="C566" s="8" t="str">
        <f t="shared" si="8"/>
        <v>ZAMBOANGA|PHZAM</v>
      </c>
    </row>
    <row r="567" spans="1:3">
      <c r="A567" s="8" t="s">
        <v>2582</v>
      </c>
      <c r="B567" s="8" t="s">
        <v>2583</v>
      </c>
      <c r="C567" s="8" t="str">
        <f t="shared" si="8"/>
        <v>ZEEBRUGGE|BEZEE</v>
      </c>
    </row>
    <row r="568" spans="1:3">
      <c r="A568" s="8" t="s">
        <v>2584</v>
      </c>
      <c r="B568" s="8" t="s">
        <v>2585</v>
      </c>
      <c r="C568" s="8" t="str">
        <f t="shared" si="8"/>
        <v>ZHANGJIAGANG|CNZJG</v>
      </c>
    </row>
    <row r="569" spans="1:3">
      <c r="A569" s="8" t="s">
        <v>2586</v>
      </c>
      <c r="B569" s="8" t="s">
        <v>2587</v>
      </c>
      <c r="C569" s="8" t="str">
        <f t="shared" si="8"/>
        <v>ZHANGZHOU|CNZZU</v>
      </c>
    </row>
    <row r="570" spans="1:3">
      <c r="A570" s="8" t="s">
        <v>2588</v>
      </c>
      <c r="B570" s="8" t="s">
        <v>2589</v>
      </c>
      <c r="C570" s="8" t="str">
        <f t="shared" si="8"/>
        <v>ZHANJIANG|CNZHA</v>
      </c>
    </row>
    <row r="571" spans="1:3">
      <c r="A571" s="8" t="s">
        <v>2333</v>
      </c>
      <c r="B571" s="8" t="s">
        <v>2334</v>
      </c>
      <c r="C571" s="8" t="str">
        <f t="shared" si="8"/>
        <v>ZHAOQING|CNZQG</v>
      </c>
    </row>
    <row r="572" spans="1:3">
      <c r="A572" s="8" t="s">
        <v>2590</v>
      </c>
      <c r="B572" s="8" t="s">
        <v>2591</v>
      </c>
      <c r="C572" s="8" t="str">
        <f t="shared" si="8"/>
        <v>ZHAOQING XINGANG|CNDGH</v>
      </c>
    </row>
    <row r="573" spans="1:3">
      <c r="A573" s="8" t="s">
        <v>2592</v>
      </c>
      <c r="B573" s="8" t="s">
        <v>2593</v>
      </c>
      <c r="C573" s="8" t="str">
        <f t="shared" si="8"/>
        <v>ZHAPU|CNZAP</v>
      </c>
    </row>
    <row r="574" spans="1:3">
      <c r="A574" s="8" t="s">
        <v>2594</v>
      </c>
      <c r="B574" s="8" t="s">
        <v>2595</v>
      </c>
      <c r="C574" s="8" t="str">
        <f t="shared" si="8"/>
        <v>ZHENGZHOU|CNCGO</v>
      </c>
    </row>
    <row r="575" spans="1:3">
      <c r="A575" s="8" t="s">
        <v>2596</v>
      </c>
      <c r="B575" s="8" t="s">
        <v>2597</v>
      </c>
      <c r="C575" s="8" t="str">
        <f t="shared" si="8"/>
        <v>ZHENJIANG|CNZHE</v>
      </c>
    </row>
    <row r="576" spans="1:3">
      <c r="A576" s="8" t="s">
        <v>2598</v>
      </c>
      <c r="B576" s="8" t="s">
        <v>2599</v>
      </c>
      <c r="C576" s="8" t="str">
        <f t="shared" si="8"/>
        <v>ZHONGSHAN|CNZSN</v>
      </c>
    </row>
    <row r="577" spans="1:3">
      <c r="A577" s="8" t="s">
        <v>2600</v>
      </c>
      <c r="B577" s="8" t="s">
        <v>2601</v>
      </c>
      <c r="C577" s="8" t="str">
        <f t="shared" si="8"/>
        <v>ZHOUSHAN|CNZOS</v>
      </c>
    </row>
    <row r="578" spans="1:3">
      <c r="A578" s="8" t="s">
        <v>2602</v>
      </c>
      <c r="B578" s="8" t="s">
        <v>2603</v>
      </c>
      <c r="C578" s="8" t="str">
        <f t="shared" si="8"/>
        <v>ZHUHAI|CNZUH</v>
      </c>
    </row>
  </sheetData>
  <phoneticPr fontId="2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52"/>
  <sheetViews>
    <sheetView workbookViewId="0">
      <selection sqref="A1:B252"/>
    </sheetView>
  </sheetViews>
  <sheetFormatPr defaultColWidth="8.75" defaultRowHeight="13.5"/>
  <cols>
    <col min="2" max="2" width="54.875" customWidth="1" collapsed="1"/>
  </cols>
  <sheetData>
    <row r="1" spans="1:2" ht="14.25">
      <c r="A1" s="4" t="s">
        <v>2604</v>
      </c>
      <c r="B1" s="5" t="s">
        <v>2605</v>
      </c>
    </row>
    <row r="2" spans="1:2" ht="14.25">
      <c r="A2" s="6" t="s">
        <v>2606</v>
      </c>
      <c r="B2" s="7" t="s">
        <v>2607</v>
      </c>
    </row>
    <row r="3" spans="1:2" ht="14.25">
      <c r="A3" s="6" t="s">
        <v>2608</v>
      </c>
      <c r="B3" s="7" t="s">
        <v>1234</v>
      </c>
    </row>
    <row r="4" spans="1:2" ht="14.25">
      <c r="A4" s="6" t="s">
        <v>2609</v>
      </c>
      <c r="B4" s="7" t="s">
        <v>1238</v>
      </c>
    </row>
    <row r="5" spans="1:2" ht="14.25">
      <c r="A5" s="6" t="s">
        <v>286</v>
      </c>
      <c r="B5" s="7" t="s">
        <v>1235</v>
      </c>
    </row>
    <row r="6" spans="1:2" ht="14.25">
      <c r="A6" s="6" t="s">
        <v>294</v>
      </c>
      <c r="B6" s="7" t="s">
        <v>2610</v>
      </c>
    </row>
    <row r="7" spans="1:2" ht="14.25">
      <c r="A7" s="6" t="s">
        <v>310</v>
      </c>
      <c r="B7" s="7" t="s">
        <v>1415</v>
      </c>
    </row>
    <row r="8" spans="1:2" ht="14.25">
      <c r="A8" s="6" t="s">
        <v>2611</v>
      </c>
      <c r="B8" s="7" t="s">
        <v>1236</v>
      </c>
    </row>
    <row r="9" spans="1:2" ht="14.25">
      <c r="A9" s="6" t="s">
        <v>319</v>
      </c>
      <c r="B9" s="7" t="s">
        <v>2612</v>
      </c>
    </row>
    <row r="10" spans="1:2" ht="14.25">
      <c r="A10" s="6" t="s">
        <v>331</v>
      </c>
      <c r="B10" s="7" t="s">
        <v>1243</v>
      </c>
    </row>
    <row r="11" spans="1:2" ht="14.25">
      <c r="A11" s="6" t="s">
        <v>2613</v>
      </c>
      <c r="B11" s="7" t="s">
        <v>1272</v>
      </c>
    </row>
    <row r="12" spans="1:2" ht="14.25">
      <c r="A12" s="6" t="s">
        <v>336</v>
      </c>
      <c r="B12" s="7" t="s">
        <v>2614</v>
      </c>
    </row>
    <row r="13" spans="1:2" ht="14.25">
      <c r="A13" s="6" t="s">
        <v>352</v>
      </c>
      <c r="B13" s="7" t="s">
        <v>1468</v>
      </c>
    </row>
    <row r="14" spans="1:2" ht="14.25">
      <c r="A14" s="6" t="s">
        <v>2615</v>
      </c>
      <c r="B14" s="7" t="s">
        <v>2616</v>
      </c>
    </row>
    <row r="15" spans="1:2" ht="14.25">
      <c r="A15" s="6" t="s">
        <v>376</v>
      </c>
      <c r="B15" s="7" t="s">
        <v>1265</v>
      </c>
    </row>
    <row r="16" spans="1:2" ht="14.25">
      <c r="A16" s="6" t="s">
        <v>381</v>
      </c>
      <c r="B16" s="7" t="s">
        <v>1257</v>
      </c>
    </row>
    <row r="17" spans="1:2" ht="14.25">
      <c r="A17" s="6" t="s">
        <v>388</v>
      </c>
      <c r="B17" s="7" t="s">
        <v>2617</v>
      </c>
    </row>
    <row r="18" spans="1:2" ht="14.25">
      <c r="A18" s="6" t="s">
        <v>393</v>
      </c>
      <c r="B18" s="7" t="s">
        <v>1240</v>
      </c>
    </row>
    <row r="19" spans="1:2" ht="14.25">
      <c r="A19" s="6" t="s">
        <v>400</v>
      </c>
      <c r="B19" s="7" t="s">
        <v>1264</v>
      </c>
    </row>
    <row r="20" spans="1:2" ht="14.25">
      <c r="A20" s="6" t="s">
        <v>407</v>
      </c>
      <c r="B20" s="7" t="s">
        <v>1251</v>
      </c>
    </row>
    <row r="21" spans="1:2" ht="14.25">
      <c r="A21" s="6" t="s">
        <v>412</v>
      </c>
      <c r="B21" s="7" t="s">
        <v>2618</v>
      </c>
    </row>
    <row r="22" spans="1:2" ht="14.25">
      <c r="A22" s="6" t="s">
        <v>2619</v>
      </c>
      <c r="B22" s="7" t="s">
        <v>2620</v>
      </c>
    </row>
    <row r="23" spans="1:2" ht="14.25">
      <c r="A23" s="6" t="s">
        <v>2621</v>
      </c>
      <c r="B23" s="7" t="s">
        <v>1241</v>
      </c>
    </row>
    <row r="24" spans="1:2" ht="14.25">
      <c r="A24" s="6" t="s">
        <v>416</v>
      </c>
      <c r="B24" s="7" t="s">
        <v>1247</v>
      </c>
    </row>
    <row r="25" spans="1:2" ht="14.25">
      <c r="A25" s="6" t="s">
        <v>420</v>
      </c>
      <c r="B25" s="7" t="s">
        <v>1249</v>
      </c>
    </row>
    <row r="26" spans="1:2" ht="14.25">
      <c r="A26" s="6" t="s">
        <v>2622</v>
      </c>
      <c r="B26" s="7" t="s">
        <v>2623</v>
      </c>
    </row>
    <row r="27" spans="1:2" ht="14.25">
      <c r="A27" s="6" t="s">
        <v>433</v>
      </c>
      <c r="B27" s="7" t="s">
        <v>1244</v>
      </c>
    </row>
    <row r="28" spans="1:2" ht="14.25">
      <c r="A28" s="6" t="s">
        <v>440</v>
      </c>
      <c r="B28" s="7" t="s">
        <v>1246</v>
      </c>
    </row>
    <row r="29" spans="1:2" ht="14.25">
      <c r="A29" s="6" t="s">
        <v>445</v>
      </c>
      <c r="B29" s="7" t="s">
        <v>2624</v>
      </c>
    </row>
    <row r="30" spans="1:2" ht="14.25">
      <c r="A30" s="6" t="s">
        <v>2625</v>
      </c>
      <c r="B30" s="7" t="s">
        <v>2626</v>
      </c>
    </row>
    <row r="31" spans="1:2" ht="14.25">
      <c r="A31" s="6" t="s">
        <v>450</v>
      </c>
      <c r="B31" s="7" t="s">
        <v>1459</v>
      </c>
    </row>
    <row r="32" spans="1:2" ht="14.25">
      <c r="A32" s="6" t="s">
        <v>2627</v>
      </c>
      <c r="B32" s="7" t="s">
        <v>1256</v>
      </c>
    </row>
    <row r="33" spans="1:2" ht="14.25">
      <c r="A33" s="6" t="s">
        <v>455</v>
      </c>
      <c r="B33" s="7" t="s">
        <v>1383</v>
      </c>
    </row>
    <row r="34" spans="1:2" ht="14.25">
      <c r="A34" s="6" t="s">
        <v>462</v>
      </c>
      <c r="B34" s="7" t="s">
        <v>2628</v>
      </c>
    </row>
    <row r="35" spans="1:2" ht="14.25">
      <c r="A35" s="6" t="s">
        <v>469</v>
      </c>
      <c r="B35" s="7" t="s">
        <v>2629</v>
      </c>
    </row>
    <row r="36" spans="1:2" ht="14.25">
      <c r="A36" s="6" t="s">
        <v>2630</v>
      </c>
      <c r="B36" s="7" t="s">
        <v>2631</v>
      </c>
    </row>
    <row r="37" spans="1:2" ht="14.25">
      <c r="A37" s="6" t="s">
        <v>2632</v>
      </c>
      <c r="B37" s="7" t="s">
        <v>2633</v>
      </c>
    </row>
    <row r="38" spans="1:2" ht="14.25">
      <c r="A38" s="6" t="s">
        <v>476</v>
      </c>
      <c r="B38" s="7" t="s">
        <v>1290</v>
      </c>
    </row>
    <row r="39" spans="1:2" ht="14.25">
      <c r="A39" s="6" t="s">
        <v>2634</v>
      </c>
      <c r="B39" s="7" t="s">
        <v>2635</v>
      </c>
    </row>
    <row r="40" spans="1:2" ht="14.25">
      <c r="A40" s="6" t="s">
        <v>480</v>
      </c>
      <c r="B40" s="7" t="s">
        <v>2636</v>
      </c>
    </row>
    <row r="41" spans="1:2" ht="14.25">
      <c r="A41" s="6" t="s">
        <v>484</v>
      </c>
      <c r="B41" s="7" t="s">
        <v>2637</v>
      </c>
    </row>
    <row r="42" spans="1:2" ht="14.25">
      <c r="A42" s="6" t="s">
        <v>489</v>
      </c>
      <c r="B42" s="7" t="s">
        <v>1276</v>
      </c>
    </row>
    <row r="43" spans="1:2" ht="14.25">
      <c r="A43" s="6" t="s">
        <v>2638</v>
      </c>
      <c r="B43" s="7" t="s">
        <v>1267</v>
      </c>
    </row>
    <row r="44" spans="1:2" ht="14.25">
      <c r="A44" s="6" t="s">
        <v>2639</v>
      </c>
      <c r="B44" s="7" t="s">
        <v>1275</v>
      </c>
    </row>
    <row r="45" spans="1:2" ht="14.25">
      <c r="A45" s="6" t="s">
        <v>501</v>
      </c>
      <c r="B45" s="7" t="s">
        <v>1280</v>
      </c>
    </row>
    <row r="46" spans="1:2" ht="14.25">
      <c r="A46" s="6" t="s">
        <v>511</v>
      </c>
      <c r="B46" s="7" t="s">
        <v>1283</v>
      </c>
    </row>
    <row r="47" spans="1:2" ht="14.25">
      <c r="A47" s="6" t="s">
        <v>2640</v>
      </c>
      <c r="B47" s="7" t="s">
        <v>2641</v>
      </c>
    </row>
    <row r="48" spans="1:2" ht="14.25">
      <c r="A48" s="6" t="s">
        <v>523</v>
      </c>
      <c r="B48" s="7" t="s">
        <v>1285</v>
      </c>
    </row>
    <row r="49" spans="1:2" ht="14.25">
      <c r="A49" s="6" t="s">
        <v>2642</v>
      </c>
      <c r="B49" s="7" t="s">
        <v>1274</v>
      </c>
    </row>
    <row r="50" spans="1:2" ht="14.25">
      <c r="A50" s="6" t="s">
        <v>2643</v>
      </c>
      <c r="B50" s="7" t="s">
        <v>1273</v>
      </c>
    </row>
    <row r="51" spans="1:2" ht="14.25">
      <c r="A51" s="6" t="s">
        <v>527</v>
      </c>
      <c r="B51" s="7" t="s">
        <v>1277</v>
      </c>
    </row>
    <row r="52" spans="1:2" ht="14.25">
      <c r="A52" s="6" t="s">
        <v>531</v>
      </c>
      <c r="B52" s="7" t="s">
        <v>1278</v>
      </c>
    </row>
    <row r="53" spans="1:2" ht="14.25">
      <c r="A53" s="6" t="s">
        <v>535</v>
      </c>
      <c r="B53" s="7" t="s">
        <v>1279</v>
      </c>
    </row>
    <row r="54" spans="1:2" ht="14.25">
      <c r="A54" s="6" t="s">
        <v>2644</v>
      </c>
      <c r="B54" s="7" t="s">
        <v>1269</v>
      </c>
    </row>
    <row r="55" spans="1:2" ht="14.25">
      <c r="A55" s="6" t="s">
        <v>543</v>
      </c>
      <c r="B55" s="7" t="s">
        <v>1290</v>
      </c>
    </row>
    <row r="56" spans="1:2" ht="14.25">
      <c r="A56" s="6" t="s">
        <v>550</v>
      </c>
      <c r="B56" s="7" t="s">
        <v>2645</v>
      </c>
    </row>
    <row r="57" spans="1:2" ht="14.25">
      <c r="A57" s="6" t="s">
        <v>2646</v>
      </c>
      <c r="B57" s="7" t="s">
        <v>1294</v>
      </c>
    </row>
    <row r="58" spans="1:2" ht="14.25">
      <c r="A58" s="6" t="s">
        <v>2647</v>
      </c>
      <c r="B58" s="7" t="s">
        <v>1378</v>
      </c>
    </row>
    <row r="59" spans="1:2" ht="14.25">
      <c r="A59" s="6" t="s">
        <v>2648</v>
      </c>
      <c r="B59" s="7" t="s">
        <v>2649</v>
      </c>
    </row>
    <row r="60" spans="1:2" ht="14.25">
      <c r="A60" s="6" t="s">
        <v>2650</v>
      </c>
      <c r="B60" s="7" t="s">
        <v>1293</v>
      </c>
    </row>
    <row r="61" spans="1:2" ht="14.25">
      <c r="A61" s="6" t="s">
        <v>2651</v>
      </c>
      <c r="B61" s="7" t="s">
        <v>1416</v>
      </c>
    </row>
    <row r="62" spans="1:2" ht="14.25">
      <c r="A62" s="6" t="s">
        <v>2652</v>
      </c>
      <c r="B62" s="7" t="s">
        <v>1292</v>
      </c>
    </row>
    <row r="63" spans="1:2" ht="14.25">
      <c r="A63" s="6" t="s">
        <v>2653</v>
      </c>
      <c r="B63" s="7" t="s">
        <v>1296</v>
      </c>
    </row>
    <row r="64" spans="1:2" ht="14.25">
      <c r="A64" s="6" t="s">
        <v>609</v>
      </c>
      <c r="B64" s="7" t="s">
        <v>1286</v>
      </c>
    </row>
    <row r="65" spans="1:2" ht="14.25">
      <c r="A65" s="6" t="s">
        <v>2654</v>
      </c>
      <c r="B65" s="7" t="s">
        <v>1295</v>
      </c>
    </row>
    <row r="66" spans="1:2" ht="14.25">
      <c r="A66" s="6" t="s">
        <v>2655</v>
      </c>
      <c r="B66" s="7" t="s">
        <v>1297</v>
      </c>
    </row>
    <row r="67" spans="1:2" ht="14.25">
      <c r="A67" s="6" t="s">
        <v>2656</v>
      </c>
      <c r="B67" s="7" t="s">
        <v>1301</v>
      </c>
    </row>
    <row r="68" spans="1:2" ht="14.25">
      <c r="A68" s="6" t="s">
        <v>2657</v>
      </c>
      <c r="B68" s="7" t="s">
        <v>2658</v>
      </c>
    </row>
    <row r="69" spans="1:2" ht="14.25">
      <c r="A69" s="6" t="s">
        <v>2659</v>
      </c>
      <c r="B69" s="7" t="s">
        <v>1300</v>
      </c>
    </row>
    <row r="70" spans="1:2" ht="14.25">
      <c r="A70" s="6" t="s">
        <v>2660</v>
      </c>
      <c r="B70" s="7" t="s">
        <v>1305</v>
      </c>
    </row>
    <row r="71" spans="1:2" ht="14.25">
      <c r="A71" s="6" t="s">
        <v>2661</v>
      </c>
      <c r="B71" s="7" t="s">
        <v>2662</v>
      </c>
    </row>
    <row r="72" spans="1:2" ht="14.25">
      <c r="A72" s="6" t="s">
        <v>2663</v>
      </c>
      <c r="B72" s="7" t="s">
        <v>2664</v>
      </c>
    </row>
    <row r="73" spans="1:2" ht="14.25">
      <c r="A73" s="6" t="s">
        <v>658</v>
      </c>
      <c r="B73" s="7" t="s">
        <v>2665</v>
      </c>
    </row>
    <row r="74" spans="1:2" ht="14.25">
      <c r="A74" s="6" t="s">
        <v>2666</v>
      </c>
      <c r="B74" s="7" t="s">
        <v>1306</v>
      </c>
    </row>
    <row r="75" spans="1:2" ht="14.25">
      <c r="A75" s="6" t="s">
        <v>2667</v>
      </c>
      <c r="B75" s="7" t="s">
        <v>1298</v>
      </c>
    </row>
    <row r="76" spans="1:2" ht="14.25">
      <c r="A76" s="6" t="s">
        <v>2668</v>
      </c>
      <c r="B76" s="7" t="s">
        <v>1302</v>
      </c>
    </row>
    <row r="77" spans="1:2" ht="14.25">
      <c r="A77" s="6" t="s">
        <v>664</v>
      </c>
      <c r="B77" s="7" t="s">
        <v>1312</v>
      </c>
    </row>
    <row r="78" spans="1:2" ht="14.25">
      <c r="A78" s="6" t="s">
        <v>664</v>
      </c>
      <c r="B78" s="7" t="s">
        <v>1312</v>
      </c>
    </row>
    <row r="79" spans="1:2" ht="14.25">
      <c r="A79" s="6" t="s">
        <v>668</v>
      </c>
      <c r="B79" s="7" t="s">
        <v>1318</v>
      </c>
    </row>
    <row r="80" spans="1:2" ht="14.25">
      <c r="A80" s="6" t="s">
        <v>2669</v>
      </c>
      <c r="B80" s="7" t="s">
        <v>1315</v>
      </c>
    </row>
    <row r="81" spans="1:2" ht="14.25">
      <c r="A81" s="6" t="s">
        <v>2670</v>
      </c>
      <c r="B81" s="7" t="s">
        <v>1316</v>
      </c>
    </row>
    <row r="82" spans="1:2" ht="14.25">
      <c r="A82" s="6" t="s">
        <v>723</v>
      </c>
      <c r="B82" s="7" t="s">
        <v>1317</v>
      </c>
    </row>
    <row r="83" spans="1:2" ht="14.25">
      <c r="A83" s="6" t="s">
        <v>723</v>
      </c>
      <c r="B83" s="7" t="s">
        <v>2671</v>
      </c>
    </row>
    <row r="84" spans="1:2" ht="14.25">
      <c r="A84" s="6" t="s">
        <v>723</v>
      </c>
      <c r="B84" s="7" t="s">
        <v>2672</v>
      </c>
    </row>
    <row r="85" spans="1:2" ht="14.25">
      <c r="A85" s="6" t="s">
        <v>723</v>
      </c>
      <c r="B85" s="7" t="s">
        <v>2673</v>
      </c>
    </row>
    <row r="86" spans="1:2" ht="14.25">
      <c r="A86" s="6" t="s">
        <v>723</v>
      </c>
      <c r="B86" s="7" t="s">
        <v>2674</v>
      </c>
    </row>
    <row r="87" spans="1:2" ht="14.25">
      <c r="A87" s="6" t="s">
        <v>723</v>
      </c>
      <c r="B87" s="7" t="s">
        <v>2675</v>
      </c>
    </row>
    <row r="88" spans="1:2" ht="14.25">
      <c r="A88" s="6" t="s">
        <v>723</v>
      </c>
      <c r="B88" s="7" t="s">
        <v>2676</v>
      </c>
    </row>
    <row r="89" spans="1:2" ht="14.25">
      <c r="A89" s="6" t="s">
        <v>723</v>
      </c>
      <c r="B89" s="7" t="s">
        <v>2677</v>
      </c>
    </row>
    <row r="90" spans="1:2" ht="14.25">
      <c r="A90" s="6" t="s">
        <v>723</v>
      </c>
      <c r="B90" s="7" t="s">
        <v>2678</v>
      </c>
    </row>
    <row r="91" spans="1:2" ht="14.25">
      <c r="A91" s="6" t="s">
        <v>723</v>
      </c>
      <c r="B91" s="7" t="s">
        <v>2679</v>
      </c>
    </row>
    <row r="92" spans="1:2" ht="14.25">
      <c r="A92" s="6" t="s">
        <v>723</v>
      </c>
      <c r="B92" s="7" t="s">
        <v>2680</v>
      </c>
    </row>
    <row r="93" spans="1:2" ht="14.25">
      <c r="A93" s="6" t="s">
        <v>723</v>
      </c>
      <c r="B93" s="7" t="s">
        <v>2681</v>
      </c>
    </row>
    <row r="94" spans="1:2" ht="14.25">
      <c r="A94" s="6" t="s">
        <v>723</v>
      </c>
      <c r="B94" s="7" t="s">
        <v>2682</v>
      </c>
    </row>
    <row r="95" spans="1:2" ht="14.25">
      <c r="A95" s="6" t="s">
        <v>723</v>
      </c>
      <c r="B95" s="7" t="s">
        <v>2683</v>
      </c>
    </row>
    <row r="96" spans="1:2" ht="14.25">
      <c r="A96" s="6" t="s">
        <v>2684</v>
      </c>
      <c r="B96" s="7" t="s">
        <v>1311</v>
      </c>
    </row>
    <row r="97" spans="1:2" ht="14.25">
      <c r="A97" s="6" t="s">
        <v>729</v>
      </c>
      <c r="B97" s="7" t="s">
        <v>1349</v>
      </c>
    </row>
    <row r="98" spans="1:2" ht="14.25">
      <c r="A98" s="6" t="s">
        <v>2685</v>
      </c>
      <c r="B98" s="7" t="s">
        <v>1323</v>
      </c>
    </row>
    <row r="99" spans="1:2" ht="14.25">
      <c r="A99" s="6" t="s">
        <v>2686</v>
      </c>
      <c r="B99" s="7" t="s">
        <v>1321</v>
      </c>
    </row>
    <row r="100" spans="1:2" ht="14.25">
      <c r="A100" s="6" t="s">
        <v>2687</v>
      </c>
      <c r="B100" s="7" t="s">
        <v>1324</v>
      </c>
    </row>
    <row r="101" spans="1:2" ht="14.25">
      <c r="A101" s="6" t="s">
        <v>2688</v>
      </c>
      <c r="B101" s="7" t="s">
        <v>1322</v>
      </c>
    </row>
    <row r="102" spans="1:2" ht="14.25">
      <c r="A102" s="6" t="s">
        <v>750</v>
      </c>
      <c r="B102" s="7" t="s">
        <v>1320</v>
      </c>
    </row>
    <row r="103" spans="1:2" ht="14.25">
      <c r="A103" s="6" t="s">
        <v>2689</v>
      </c>
      <c r="B103" s="7" t="s">
        <v>1325</v>
      </c>
    </row>
    <row r="104" spans="1:2" ht="14.25">
      <c r="A104" s="6" t="s">
        <v>2690</v>
      </c>
      <c r="B104" s="7" t="s">
        <v>1330</v>
      </c>
    </row>
    <row r="105" spans="1:2" ht="14.25">
      <c r="A105" s="6" t="s">
        <v>769</v>
      </c>
      <c r="B105" s="7" t="s">
        <v>1329</v>
      </c>
    </row>
    <row r="106" spans="1:2" ht="14.25">
      <c r="A106" s="6" t="s">
        <v>789</v>
      </c>
      <c r="B106" s="7" t="s">
        <v>1417</v>
      </c>
    </row>
    <row r="107" spans="1:2" ht="14.25">
      <c r="A107" s="6" t="s">
        <v>817</v>
      </c>
      <c r="B107" s="7" t="s">
        <v>1331</v>
      </c>
    </row>
    <row r="108" spans="1:2" ht="14.25">
      <c r="A108" s="6" t="s">
        <v>2691</v>
      </c>
      <c r="B108" s="7" t="s">
        <v>1335</v>
      </c>
    </row>
    <row r="109" spans="1:2" ht="14.25">
      <c r="A109" s="6" t="s">
        <v>2692</v>
      </c>
      <c r="B109" s="7" t="s">
        <v>2693</v>
      </c>
    </row>
    <row r="110" spans="1:2" ht="14.25">
      <c r="A110" s="6" t="s">
        <v>2694</v>
      </c>
      <c r="B110" s="7" t="s">
        <v>1334</v>
      </c>
    </row>
    <row r="111" spans="1:2" ht="14.25">
      <c r="A111" s="6" t="s">
        <v>836</v>
      </c>
      <c r="B111" s="7" t="s">
        <v>1380</v>
      </c>
    </row>
    <row r="112" spans="1:2" ht="14.25">
      <c r="A112" s="6" t="s">
        <v>2695</v>
      </c>
      <c r="B112" s="7" t="s">
        <v>1332</v>
      </c>
    </row>
    <row r="113" spans="1:2" ht="14.25">
      <c r="A113" s="6" t="s">
        <v>2696</v>
      </c>
      <c r="B113" s="7" t="s">
        <v>1336</v>
      </c>
    </row>
    <row r="114" spans="1:2" ht="14.25">
      <c r="A114" s="6" t="s">
        <v>2697</v>
      </c>
      <c r="B114" s="7" t="s">
        <v>1339</v>
      </c>
    </row>
    <row r="115" spans="1:2" ht="14.25">
      <c r="A115" s="6" t="s">
        <v>842</v>
      </c>
      <c r="B115" s="7" t="s">
        <v>1337</v>
      </c>
    </row>
    <row r="116" spans="1:2" ht="14.25">
      <c r="A116" s="6" t="s">
        <v>2698</v>
      </c>
      <c r="B116" s="7" t="s">
        <v>1338</v>
      </c>
    </row>
    <row r="117" spans="1:2" ht="14.25">
      <c r="A117" s="6" t="s">
        <v>2699</v>
      </c>
      <c r="B117" s="7" t="s">
        <v>1343</v>
      </c>
    </row>
    <row r="118" spans="1:2" ht="14.25">
      <c r="A118" s="6" t="s">
        <v>2700</v>
      </c>
      <c r="B118" s="7" t="s">
        <v>1376</v>
      </c>
    </row>
    <row r="119" spans="1:2" ht="14.25">
      <c r="A119" s="6" t="s">
        <v>944</v>
      </c>
      <c r="B119" s="7" t="s">
        <v>2701</v>
      </c>
    </row>
    <row r="120" spans="1:2" ht="14.25">
      <c r="A120" s="6" t="s">
        <v>2702</v>
      </c>
      <c r="B120" s="7" t="s">
        <v>2703</v>
      </c>
    </row>
    <row r="121" spans="1:2" ht="14.25">
      <c r="A121" s="6" t="s">
        <v>958</v>
      </c>
      <c r="B121" s="7" t="s">
        <v>2704</v>
      </c>
    </row>
    <row r="122" spans="1:2" ht="14.25">
      <c r="A122" s="6" t="s">
        <v>966</v>
      </c>
      <c r="B122" s="7" t="s">
        <v>1346</v>
      </c>
    </row>
    <row r="123" spans="1:2" ht="14.25">
      <c r="A123" s="6" t="s">
        <v>966</v>
      </c>
      <c r="B123" s="7" t="s">
        <v>2705</v>
      </c>
    </row>
    <row r="124" spans="1:2" ht="14.25">
      <c r="A124" s="6" t="s">
        <v>966</v>
      </c>
      <c r="B124" s="7" t="s">
        <v>2706</v>
      </c>
    </row>
    <row r="125" spans="1:2" ht="14.25">
      <c r="A125" s="6" t="s">
        <v>2707</v>
      </c>
      <c r="B125" s="7" t="s">
        <v>1347</v>
      </c>
    </row>
    <row r="126" spans="1:2" ht="14.25">
      <c r="A126" s="6" t="s">
        <v>2707</v>
      </c>
      <c r="B126" s="7" t="s">
        <v>2708</v>
      </c>
    </row>
    <row r="127" spans="1:2" ht="14.25">
      <c r="A127" s="6" t="s">
        <v>2707</v>
      </c>
      <c r="B127" s="7" t="s">
        <v>2709</v>
      </c>
    </row>
    <row r="128" spans="1:2" ht="14.25">
      <c r="A128" s="6" t="s">
        <v>2710</v>
      </c>
      <c r="B128" s="7" t="s">
        <v>2711</v>
      </c>
    </row>
    <row r="129" spans="1:2" ht="14.25">
      <c r="A129" s="6" t="s">
        <v>1020</v>
      </c>
      <c r="B129" s="7" t="s">
        <v>2712</v>
      </c>
    </row>
    <row r="130" spans="1:2" ht="14.25">
      <c r="A130" s="6" t="s">
        <v>1020</v>
      </c>
      <c r="B130" s="7" t="s">
        <v>2713</v>
      </c>
    </row>
    <row r="131" spans="1:2" ht="14.25">
      <c r="A131" s="6" t="s">
        <v>1020</v>
      </c>
      <c r="B131" s="7" t="s">
        <v>2714</v>
      </c>
    </row>
    <row r="132" spans="1:2" ht="14.25">
      <c r="A132" s="6" t="s">
        <v>1020</v>
      </c>
      <c r="B132" s="7" t="s">
        <v>1346</v>
      </c>
    </row>
    <row r="133" spans="1:2" ht="14.25">
      <c r="A133" s="6" t="s">
        <v>1020</v>
      </c>
      <c r="B133" s="7" t="s">
        <v>2715</v>
      </c>
    </row>
    <row r="134" spans="1:2" ht="14.25">
      <c r="A134" s="6" t="s">
        <v>1020</v>
      </c>
      <c r="B134" s="7" t="s">
        <v>2716</v>
      </c>
    </row>
    <row r="135" spans="1:2" ht="14.25">
      <c r="A135" s="6" t="s">
        <v>1020</v>
      </c>
      <c r="B135" s="7" t="s">
        <v>2717</v>
      </c>
    </row>
    <row r="136" spans="1:2" ht="14.25">
      <c r="A136" s="6" t="s">
        <v>1020</v>
      </c>
      <c r="B136" s="7" t="s">
        <v>2718</v>
      </c>
    </row>
    <row r="137" spans="1:2" ht="14.25">
      <c r="A137" s="6" t="s">
        <v>2719</v>
      </c>
      <c r="B137" s="7" t="s">
        <v>1357</v>
      </c>
    </row>
    <row r="138" spans="1:2" ht="14.25">
      <c r="A138" s="6" t="s">
        <v>1080</v>
      </c>
      <c r="B138" s="7" t="s">
        <v>1353</v>
      </c>
    </row>
    <row r="139" spans="1:2" ht="14.25">
      <c r="A139" s="6" t="s">
        <v>2720</v>
      </c>
      <c r="B139" s="7" t="s">
        <v>1355</v>
      </c>
    </row>
    <row r="140" spans="1:2" ht="14.25">
      <c r="A140" s="6" t="s">
        <v>2721</v>
      </c>
      <c r="B140" s="7" t="s">
        <v>1356</v>
      </c>
    </row>
    <row r="141" spans="1:2" ht="14.25">
      <c r="A141" s="6" t="s">
        <v>2722</v>
      </c>
      <c r="B141" s="7" t="s">
        <v>1354</v>
      </c>
    </row>
    <row r="142" spans="1:2" ht="14.25">
      <c r="A142" s="6" t="s">
        <v>2722</v>
      </c>
      <c r="B142" s="7" t="s">
        <v>2723</v>
      </c>
    </row>
    <row r="143" spans="1:2" ht="14.25">
      <c r="A143" s="6" t="s">
        <v>2722</v>
      </c>
      <c r="B143" s="7" t="s">
        <v>2724</v>
      </c>
    </row>
    <row r="144" spans="1:2" ht="14.25">
      <c r="A144" s="6" t="s">
        <v>2722</v>
      </c>
      <c r="B144" s="7" t="s">
        <v>2725</v>
      </c>
    </row>
    <row r="145" spans="1:2" ht="14.25">
      <c r="A145" s="6" t="s">
        <v>2722</v>
      </c>
      <c r="B145" s="7" t="s">
        <v>2726</v>
      </c>
    </row>
    <row r="146" spans="1:2" ht="14.25">
      <c r="A146" s="6" t="s">
        <v>2722</v>
      </c>
      <c r="B146" s="7" t="s">
        <v>2727</v>
      </c>
    </row>
    <row r="147" spans="1:2" ht="14.25">
      <c r="A147" s="6" t="s">
        <v>2722</v>
      </c>
      <c r="B147" s="7" t="s">
        <v>2728</v>
      </c>
    </row>
    <row r="148" spans="1:2" ht="14.25">
      <c r="A148" s="6" t="s">
        <v>2722</v>
      </c>
      <c r="B148" s="7" t="s">
        <v>2729</v>
      </c>
    </row>
    <row r="149" spans="1:2" ht="14.25">
      <c r="A149" s="6" t="s">
        <v>2722</v>
      </c>
      <c r="B149" s="7" t="s">
        <v>2730</v>
      </c>
    </row>
    <row r="150" spans="1:2" ht="14.25">
      <c r="A150" s="6" t="s">
        <v>2731</v>
      </c>
      <c r="B150" s="7" t="s">
        <v>1364</v>
      </c>
    </row>
    <row r="151" spans="1:2" ht="14.25">
      <c r="A151" s="6" t="s">
        <v>2732</v>
      </c>
      <c r="B151" s="7" t="s">
        <v>1385</v>
      </c>
    </row>
    <row r="152" spans="1:2" ht="14.25">
      <c r="A152" s="6" t="s">
        <v>2733</v>
      </c>
      <c r="B152" s="7" t="s">
        <v>1359</v>
      </c>
    </row>
    <row r="153" spans="1:2" ht="14.25">
      <c r="A153" s="6" t="s">
        <v>1090</v>
      </c>
      <c r="B153" s="7" t="s">
        <v>1361</v>
      </c>
    </row>
    <row r="154" spans="1:2" ht="14.25">
      <c r="A154" s="6" t="s">
        <v>2734</v>
      </c>
      <c r="B154" s="7" t="s">
        <v>2735</v>
      </c>
    </row>
    <row r="155" spans="1:2" ht="14.25">
      <c r="A155" s="6" t="s">
        <v>2736</v>
      </c>
      <c r="B155" s="7" t="s">
        <v>2737</v>
      </c>
    </row>
    <row r="156" spans="1:2" ht="14.25">
      <c r="A156" s="6" t="s">
        <v>2738</v>
      </c>
      <c r="B156" s="7" t="s">
        <v>1360</v>
      </c>
    </row>
    <row r="157" spans="1:2" ht="14.25">
      <c r="A157" s="6" t="s">
        <v>1092</v>
      </c>
      <c r="B157" s="7" t="s">
        <v>1368</v>
      </c>
    </row>
    <row r="158" spans="1:2" ht="14.25">
      <c r="A158" s="6" t="s">
        <v>2739</v>
      </c>
      <c r="B158" s="7" t="s">
        <v>1367</v>
      </c>
    </row>
    <row r="159" spans="1:2" ht="14.25">
      <c r="A159" s="6" t="s">
        <v>1094</v>
      </c>
      <c r="B159" s="7" t="s">
        <v>1365</v>
      </c>
    </row>
    <row r="160" spans="1:2" ht="14.25">
      <c r="A160" s="6" t="s">
        <v>1097</v>
      </c>
      <c r="B160" s="7" t="s">
        <v>1371</v>
      </c>
    </row>
    <row r="161" spans="1:2" ht="14.25">
      <c r="A161" s="6" t="s">
        <v>2740</v>
      </c>
      <c r="B161" s="7" t="s">
        <v>2741</v>
      </c>
    </row>
    <row r="162" spans="1:2" ht="14.25">
      <c r="A162" s="6" t="s">
        <v>2742</v>
      </c>
      <c r="B162" s="7" t="s">
        <v>1370</v>
      </c>
    </row>
    <row r="163" spans="1:2" ht="14.25">
      <c r="A163" s="6" t="s">
        <v>1099</v>
      </c>
      <c r="B163" s="7" t="s">
        <v>1358</v>
      </c>
    </row>
    <row r="164" spans="1:2" ht="14.25">
      <c r="A164" s="6" t="s">
        <v>1102</v>
      </c>
      <c r="B164" s="7" t="s">
        <v>1363</v>
      </c>
    </row>
    <row r="165" spans="1:2" ht="14.25">
      <c r="A165" s="6" t="s">
        <v>2743</v>
      </c>
      <c r="B165" s="7" t="s">
        <v>1379</v>
      </c>
    </row>
    <row r="166" spans="1:2" ht="14.25">
      <c r="A166" s="6" t="s">
        <v>2744</v>
      </c>
      <c r="B166" s="7" t="s">
        <v>2745</v>
      </c>
    </row>
    <row r="167" spans="1:2" ht="14.25">
      <c r="A167" s="6" t="s">
        <v>2746</v>
      </c>
      <c r="B167" s="7" t="s">
        <v>2747</v>
      </c>
    </row>
    <row r="168" spans="1:2" ht="14.25">
      <c r="A168" s="6" t="s">
        <v>2748</v>
      </c>
      <c r="B168" s="7" t="s">
        <v>1366</v>
      </c>
    </row>
    <row r="169" spans="1:2" ht="14.25">
      <c r="A169" s="6" t="s">
        <v>1105</v>
      </c>
      <c r="B169" s="7" t="s">
        <v>1362</v>
      </c>
    </row>
    <row r="170" spans="1:2" ht="14.25">
      <c r="A170" s="6" t="s">
        <v>1107</v>
      </c>
      <c r="B170" s="7" t="s">
        <v>2749</v>
      </c>
    </row>
    <row r="171" spans="1:2" ht="14.25">
      <c r="A171" s="6" t="s">
        <v>1109</v>
      </c>
      <c r="B171" s="7" t="s">
        <v>2750</v>
      </c>
    </row>
    <row r="172" spans="1:2" ht="14.25">
      <c r="A172" s="6" t="s">
        <v>2751</v>
      </c>
      <c r="B172" s="7" t="s">
        <v>1387</v>
      </c>
    </row>
    <row r="173" spans="1:2" ht="14.25">
      <c r="A173" s="6" t="s">
        <v>1111</v>
      </c>
      <c r="B173" s="7" t="s">
        <v>1383</v>
      </c>
    </row>
    <row r="174" spans="1:2" ht="14.25">
      <c r="A174" s="6" t="s">
        <v>2752</v>
      </c>
      <c r="B174" s="7" t="s">
        <v>1377</v>
      </c>
    </row>
    <row r="175" spans="1:2" ht="14.25">
      <c r="A175" s="6" t="s">
        <v>1113</v>
      </c>
      <c r="B175" s="7" t="s">
        <v>2753</v>
      </c>
    </row>
    <row r="176" spans="1:2" ht="14.25">
      <c r="A176" s="6" t="s">
        <v>2754</v>
      </c>
      <c r="B176" s="7" t="s">
        <v>1396</v>
      </c>
    </row>
    <row r="177" spans="1:2" ht="14.25">
      <c r="A177" s="6" t="s">
        <v>2755</v>
      </c>
      <c r="B177" s="7" t="s">
        <v>1391</v>
      </c>
    </row>
    <row r="178" spans="1:2" ht="14.25">
      <c r="A178" s="6" t="s">
        <v>2756</v>
      </c>
      <c r="B178" s="7" t="s">
        <v>1392</v>
      </c>
    </row>
    <row r="179" spans="1:2" ht="14.25">
      <c r="A179" s="6" t="s">
        <v>2757</v>
      </c>
      <c r="B179" s="7" t="s">
        <v>1388</v>
      </c>
    </row>
    <row r="180" spans="1:2" ht="14.25">
      <c r="A180" s="6" t="s">
        <v>2758</v>
      </c>
      <c r="B180" s="7" t="s">
        <v>1395</v>
      </c>
    </row>
    <row r="181" spans="1:2" ht="14.25">
      <c r="A181" s="6" t="s">
        <v>2759</v>
      </c>
      <c r="B181" s="7" t="s">
        <v>1398</v>
      </c>
    </row>
    <row r="182" spans="1:2" ht="14.25">
      <c r="A182" s="6" t="s">
        <v>2760</v>
      </c>
      <c r="B182" s="7" t="s">
        <v>1423</v>
      </c>
    </row>
    <row r="183" spans="1:2" ht="14.25">
      <c r="A183" s="6" t="s">
        <v>2761</v>
      </c>
      <c r="B183" s="7" t="s">
        <v>1397</v>
      </c>
    </row>
    <row r="184" spans="1:2" ht="14.25">
      <c r="A184" s="6" t="s">
        <v>1126</v>
      </c>
      <c r="B184" s="7" t="s">
        <v>1389</v>
      </c>
    </row>
    <row r="185" spans="1:2" ht="14.25">
      <c r="A185" s="6" t="s">
        <v>1126</v>
      </c>
      <c r="B185" s="7" t="s">
        <v>2762</v>
      </c>
    </row>
    <row r="186" spans="1:2" ht="14.25">
      <c r="A186" s="6" t="s">
        <v>1126</v>
      </c>
      <c r="B186" s="7" t="s">
        <v>2763</v>
      </c>
    </row>
    <row r="187" spans="1:2" ht="14.25">
      <c r="A187" s="6" t="s">
        <v>1126</v>
      </c>
      <c r="B187" s="7" t="s">
        <v>2764</v>
      </c>
    </row>
    <row r="188" spans="1:2" ht="14.25">
      <c r="A188" s="6" t="s">
        <v>1126</v>
      </c>
      <c r="B188" s="7" t="s">
        <v>2765</v>
      </c>
    </row>
    <row r="189" spans="1:2" ht="14.25">
      <c r="A189" s="6" t="s">
        <v>1126</v>
      </c>
      <c r="B189" s="7" t="s">
        <v>2766</v>
      </c>
    </row>
    <row r="190" spans="1:2" ht="14.25">
      <c r="A190" s="6" t="s">
        <v>2767</v>
      </c>
      <c r="B190" s="7" t="s">
        <v>1401</v>
      </c>
    </row>
    <row r="191" spans="1:2" ht="14.25">
      <c r="A191" s="6" t="s">
        <v>1128</v>
      </c>
      <c r="B191" s="7" t="s">
        <v>1399</v>
      </c>
    </row>
    <row r="192" spans="1:2" ht="14.25">
      <c r="A192" s="6" t="s">
        <v>1130</v>
      </c>
      <c r="B192" s="7" t="s">
        <v>1418</v>
      </c>
    </row>
    <row r="193" spans="1:2" ht="14.25">
      <c r="A193" s="6" t="s">
        <v>1132</v>
      </c>
      <c r="B193" s="7" t="s">
        <v>2768</v>
      </c>
    </row>
    <row r="194" spans="1:2" ht="14.25">
      <c r="A194" s="6" t="s">
        <v>1134</v>
      </c>
      <c r="B194" s="7" t="s">
        <v>1412</v>
      </c>
    </row>
    <row r="195" spans="1:2" ht="14.25">
      <c r="A195" s="6" t="s">
        <v>1136</v>
      </c>
      <c r="B195" s="7" t="s">
        <v>2769</v>
      </c>
    </row>
    <row r="196" spans="1:2" ht="14.25">
      <c r="A196" s="6" t="s">
        <v>2770</v>
      </c>
      <c r="B196" s="7" t="s">
        <v>1405</v>
      </c>
    </row>
    <row r="197" spans="1:2" ht="14.25">
      <c r="A197" s="6" t="s">
        <v>1141</v>
      </c>
      <c r="B197" s="7" t="s">
        <v>2771</v>
      </c>
    </row>
    <row r="198" spans="1:2" ht="14.25">
      <c r="A198" s="6" t="s">
        <v>2772</v>
      </c>
      <c r="B198" s="7" t="s">
        <v>1421</v>
      </c>
    </row>
    <row r="199" spans="1:2" ht="14.25">
      <c r="A199" s="6" t="s">
        <v>1143</v>
      </c>
      <c r="B199" s="7" t="s">
        <v>1400</v>
      </c>
    </row>
    <row r="200" spans="1:2" ht="14.25">
      <c r="A200" s="6" t="s">
        <v>1145</v>
      </c>
      <c r="B200" s="7" t="s">
        <v>2773</v>
      </c>
    </row>
    <row r="201" spans="1:2" ht="14.25">
      <c r="A201" s="6" t="s">
        <v>1150</v>
      </c>
      <c r="B201" s="7" t="s">
        <v>1419</v>
      </c>
    </row>
    <row r="202" spans="1:2" ht="14.25">
      <c r="A202" s="6" t="s">
        <v>1152</v>
      </c>
      <c r="B202" s="7" t="s">
        <v>1422</v>
      </c>
    </row>
    <row r="203" spans="1:2" ht="14.25">
      <c r="A203" s="6" t="s">
        <v>2774</v>
      </c>
      <c r="B203" s="7" t="s">
        <v>1409</v>
      </c>
    </row>
    <row r="204" spans="1:2" ht="14.25">
      <c r="A204" s="6" t="s">
        <v>1154</v>
      </c>
      <c r="B204" s="7" t="s">
        <v>1408</v>
      </c>
    </row>
    <row r="205" spans="1:2" ht="14.25">
      <c r="A205" s="6" t="s">
        <v>1156</v>
      </c>
      <c r="B205" s="7" t="s">
        <v>1413</v>
      </c>
    </row>
    <row r="206" spans="1:2" ht="14.25">
      <c r="A206" s="6" t="s">
        <v>1158</v>
      </c>
      <c r="B206" s="7" t="s">
        <v>1403</v>
      </c>
    </row>
    <row r="207" spans="1:2" ht="14.25">
      <c r="A207" s="6" t="s">
        <v>1160</v>
      </c>
      <c r="B207" s="7" t="s">
        <v>1420</v>
      </c>
    </row>
    <row r="208" spans="1:2" ht="14.25">
      <c r="A208" s="6" t="s">
        <v>2775</v>
      </c>
      <c r="B208" s="7" t="s">
        <v>2776</v>
      </c>
    </row>
    <row r="209" spans="1:2" ht="14.25">
      <c r="A209" s="6" t="s">
        <v>2777</v>
      </c>
      <c r="B209" s="7" t="s">
        <v>1433</v>
      </c>
    </row>
    <row r="210" spans="1:2" ht="14.25">
      <c r="A210" s="6" t="s">
        <v>2778</v>
      </c>
      <c r="B210" s="7" t="s">
        <v>1434</v>
      </c>
    </row>
    <row r="211" spans="1:2" ht="14.25">
      <c r="A211" s="6" t="s">
        <v>2779</v>
      </c>
      <c r="B211" s="7" t="s">
        <v>2610</v>
      </c>
    </row>
    <row r="212" spans="1:2" ht="14.25">
      <c r="A212" s="6" t="s">
        <v>2780</v>
      </c>
      <c r="B212" s="7" t="s">
        <v>2781</v>
      </c>
    </row>
    <row r="213" spans="1:2" ht="14.25">
      <c r="A213" s="6" t="s">
        <v>1168</v>
      </c>
      <c r="B213" s="7" t="s">
        <v>2782</v>
      </c>
    </row>
    <row r="214" spans="1:2" ht="14.25">
      <c r="A214" s="6" t="s">
        <v>2783</v>
      </c>
      <c r="B214" s="7" t="s">
        <v>1437</v>
      </c>
    </row>
    <row r="215" spans="1:2" ht="14.25">
      <c r="A215" s="6" t="s">
        <v>2784</v>
      </c>
      <c r="B215" s="7" t="s">
        <v>1438</v>
      </c>
    </row>
    <row r="216" spans="1:2" ht="14.25">
      <c r="A216" s="6" t="s">
        <v>2785</v>
      </c>
      <c r="B216" s="7" t="s">
        <v>1299</v>
      </c>
    </row>
    <row r="217" spans="1:2" ht="14.25">
      <c r="A217" s="6" t="s">
        <v>2786</v>
      </c>
      <c r="B217" s="7" t="s">
        <v>1427</v>
      </c>
    </row>
    <row r="218" spans="1:2" ht="14.25">
      <c r="A218" s="6" t="s">
        <v>1176</v>
      </c>
      <c r="B218" s="7" t="s">
        <v>1425</v>
      </c>
    </row>
    <row r="219" spans="1:2" ht="14.25">
      <c r="A219" s="6" t="s">
        <v>1180</v>
      </c>
      <c r="B219" s="7" t="s">
        <v>767</v>
      </c>
    </row>
    <row r="220" spans="1:2" ht="14.25">
      <c r="A220" s="6" t="s">
        <v>1182</v>
      </c>
      <c r="B220" s="7" t="s">
        <v>2787</v>
      </c>
    </row>
    <row r="221" spans="1:2" ht="14.25">
      <c r="A221" s="6" t="s">
        <v>2788</v>
      </c>
      <c r="B221" s="7" t="s">
        <v>1424</v>
      </c>
    </row>
    <row r="222" spans="1:2" ht="14.25">
      <c r="A222" s="6" t="s">
        <v>1185</v>
      </c>
      <c r="B222" s="7" t="s">
        <v>1436</v>
      </c>
    </row>
    <row r="223" spans="1:2" ht="14.25">
      <c r="A223" s="6" t="s">
        <v>2789</v>
      </c>
      <c r="B223" s="7" t="s">
        <v>2790</v>
      </c>
    </row>
    <row r="224" spans="1:2" ht="14.25">
      <c r="A224" s="6" t="s">
        <v>1187</v>
      </c>
      <c r="B224" s="7" t="s">
        <v>1428</v>
      </c>
    </row>
    <row r="225" spans="1:2" ht="14.25">
      <c r="A225" s="6" t="s">
        <v>2791</v>
      </c>
      <c r="B225" s="7" t="s">
        <v>1439</v>
      </c>
    </row>
    <row r="226" spans="1:2" ht="14.25">
      <c r="A226" s="6" t="s">
        <v>1192</v>
      </c>
      <c r="B226" s="7" t="s">
        <v>1435</v>
      </c>
    </row>
    <row r="227" spans="1:2" ht="14.25">
      <c r="A227" s="6" t="s">
        <v>2792</v>
      </c>
      <c r="B227" s="7" t="s">
        <v>1430</v>
      </c>
    </row>
    <row r="228" spans="1:2" ht="14.25">
      <c r="A228" s="6" t="s">
        <v>2793</v>
      </c>
      <c r="B228" s="7" t="s">
        <v>1444</v>
      </c>
    </row>
    <row r="229" spans="1:2" ht="14.25">
      <c r="A229" s="6" t="s">
        <v>2794</v>
      </c>
      <c r="B229" s="7" t="s">
        <v>1441</v>
      </c>
    </row>
    <row r="230" spans="1:2" ht="14.25">
      <c r="A230" s="6" t="s">
        <v>2795</v>
      </c>
      <c r="B230" s="7" t="s">
        <v>1445</v>
      </c>
    </row>
    <row r="231" spans="1:2" ht="14.25">
      <c r="A231" s="6" t="s">
        <v>2796</v>
      </c>
      <c r="B231" s="7" t="s">
        <v>1442</v>
      </c>
    </row>
    <row r="232" spans="1:2" ht="14.25">
      <c r="A232" s="6" t="s">
        <v>1208</v>
      </c>
      <c r="B232" s="7" t="s">
        <v>1450</v>
      </c>
    </row>
    <row r="233" spans="1:2" ht="14.25">
      <c r="A233" s="6" t="s">
        <v>1210</v>
      </c>
      <c r="B233" s="7" t="s">
        <v>1449</v>
      </c>
    </row>
    <row r="234" spans="1:2" ht="14.25">
      <c r="A234" s="6" t="s">
        <v>1213</v>
      </c>
      <c r="B234" s="7" t="s">
        <v>1451</v>
      </c>
    </row>
    <row r="235" spans="1:2" ht="14.25">
      <c r="A235" s="6" t="s">
        <v>2797</v>
      </c>
      <c r="B235" s="7" t="s">
        <v>1452</v>
      </c>
    </row>
    <row r="236" spans="1:2" ht="14.25">
      <c r="A236" s="6" t="s">
        <v>1217</v>
      </c>
      <c r="B236" s="7" t="s">
        <v>1448</v>
      </c>
    </row>
    <row r="237" spans="1:2" ht="14.25">
      <c r="A237" s="6" t="s">
        <v>2798</v>
      </c>
      <c r="B237" s="7" t="s">
        <v>2799</v>
      </c>
    </row>
    <row r="238" spans="1:2" ht="14.25">
      <c r="A238" s="6" t="s">
        <v>2800</v>
      </c>
      <c r="B238" s="7" t="s">
        <v>1458</v>
      </c>
    </row>
    <row r="239" spans="1:2" ht="14.25">
      <c r="A239" s="6" t="s">
        <v>2801</v>
      </c>
      <c r="B239" s="7" t="s">
        <v>2802</v>
      </c>
    </row>
    <row r="240" spans="1:2" ht="14.25">
      <c r="A240" s="6" t="s">
        <v>2803</v>
      </c>
      <c r="B240" s="7" t="s">
        <v>1462</v>
      </c>
    </row>
    <row r="241" spans="1:2" ht="14.25">
      <c r="A241" s="6" t="s">
        <v>2804</v>
      </c>
      <c r="B241" s="7" t="s">
        <v>1456</v>
      </c>
    </row>
    <row r="242" spans="1:2" ht="14.25">
      <c r="A242" s="6" t="s">
        <v>2805</v>
      </c>
      <c r="B242" s="7" t="s">
        <v>1461</v>
      </c>
    </row>
    <row r="243" spans="1:2" ht="14.25">
      <c r="A243" s="6" t="s">
        <v>2806</v>
      </c>
      <c r="B243" s="7" t="s">
        <v>1453</v>
      </c>
    </row>
    <row r="244" spans="1:2" ht="14.25">
      <c r="A244" s="6" t="s">
        <v>2807</v>
      </c>
      <c r="B244" s="7" t="s">
        <v>1455</v>
      </c>
    </row>
    <row r="245" spans="1:2" ht="14.25">
      <c r="A245" s="6" t="s">
        <v>2808</v>
      </c>
      <c r="B245" s="7" t="s">
        <v>1465</v>
      </c>
    </row>
    <row r="246" spans="1:2" ht="14.25">
      <c r="A246" s="6" t="s">
        <v>2809</v>
      </c>
      <c r="B246" s="7" t="s">
        <v>1466</v>
      </c>
    </row>
    <row r="247" spans="1:2" ht="14.25">
      <c r="A247" s="6" t="s">
        <v>2810</v>
      </c>
      <c r="B247" s="7" t="s">
        <v>1463</v>
      </c>
    </row>
    <row r="248" spans="1:2" ht="14.25">
      <c r="A248" s="6" t="s">
        <v>2811</v>
      </c>
      <c r="B248" s="7" t="s">
        <v>1469</v>
      </c>
    </row>
    <row r="249" spans="1:2" ht="14.25">
      <c r="A249" s="6" t="s">
        <v>2812</v>
      </c>
      <c r="B249" s="7" t="s">
        <v>1457</v>
      </c>
    </row>
    <row r="250" spans="1:2" ht="14.25">
      <c r="A250" s="6" t="s">
        <v>2813</v>
      </c>
      <c r="B250" s="7" t="s">
        <v>1464</v>
      </c>
    </row>
    <row r="251" spans="1:2" ht="14.25">
      <c r="A251" s="6" t="s">
        <v>2814</v>
      </c>
      <c r="B251" s="7" t="s">
        <v>1432</v>
      </c>
    </row>
    <row r="252" spans="1:2" ht="14.25">
      <c r="A252" s="6" t="s">
        <v>2815</v>
      </c>
      <c r="B252" s="7" t="s">
        <v>1460</v>
      </c>
    </row>
  </sheetData>
  <phoneticPr fontId="27" type="noConversion"/>
  <pageMargins left="0.75" right="0.75" top="1" bottom="1" header="0.5" footer="0.5"/>
  <pageSetup paperSize="9"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11"/>
  <sheetViews>
    <sheetView workbookViewId="0">
      <selection activeCell="A12" sqref="A12"/>
    </sheetView>
  </sheetViews>
  <sheetFormatPr defaultColWidth="8.875" defaultRowHeight="13.5"/>
  <cols>
    <col min="1" max="1" width="133.375" customWidth="1" collapsed="1"/>
  </cols>
  <sheetData>
    <row r="1" spans="1:1">
      <c r="A1" s="1" t="s">
        <v>49</v>
      </c>
    </row>
    <row r="2" spans="1:1" ht="14.25">
      <c r="A2" s="2" t="s">
        <v>2816</v>
      </c>
    </row>
    <row r="3" spans="1:1" ht="14.25">
      <c r="A3" s="3" t="s">
        <v>2817</v>
      </c>
    </row>
    <row r="4" spans="1:1" ht="14.25">
      <c r="A4" s="3" t="s">
        <v>2818</v>
      </c>
    </row>
    <row r="5" spans="1:1" ht="14.25">
      <c r="A5" s="3" t="s">
        <v>2819</v>
      </c>
    </row>
    <row r="6" spans="1:1" ht="14.25">
      <c r="A6" s="3" t="s">
        <v>2820</v>
      </c>
    </row>
    <row r="7" spans="1:1" ht="14.25">
      <c r="A7" s="3" t="s">
        <v>2821</v>
      </c>
    </row>
    <row r="8" spans="1:1" ht="14.25">
      <c r="A8" s="3" t="s">
        <v>2822</v>
      </c>
    </row>
    <row r="9" spans="1:1" ht="14.25">
      <c r="A9" s="3" t="s">
        <v>2823</v>
      </c>
    </row>
    <row r="10" spans="1:1" ht="14.25">
      <c r="A10" s="3" t="s">
        <v>2824</v>
      </c>
    </row>
    <row r="11" spans="1:1" ht="14.25">
      <c r="A11" s="3" t="s">
        <v>2825</v>
      </c>
    </row>
  </sheetData>
  <phoneticPr fontId="2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3</vt:i4>
      </vt:variant>
    </vt:vector>
  </HeadingPairs>
  <TitlesOfParts>
    <vt:vector size="18" baseType="lpstr">
      <vt:lpstr>舱单 </vt:lpstr>
      <vt:lpstr>船公司</vt:lpstr>
      <vt:lpstr>船代</vt:lpstr>
      <vt:lpstr>货物类型</vt:lpstr>
      <vt:lpstr>运输条款</vt:lpstr>
      <vt:lpstr>提单类型</vt:lpstr>
      <vt:lpstr>付款方式</vt:lpstr>
      <vt:lpstr>箱型</vt:lpstr>
      <vt:lpstr>货主箱标记</vt:lpstr>
      <vt:lpstr>国家代码</vt:lpstr>
      <vt:lpstr>包装单位</vt:lpstr>
      <vt:lpstr>oocl箱型</vt:lpstr>
      <vt:lpstr>oocl卸货港</vt:lpstr>
      <vt:lpstr>oocl包装单位</vt:lpstr>
      <vt:lpstr>vgm码头</vt:lpstr>
      <vt:lpstr>oocl包装代码</vt:lpstr>
      <vt:lpstr>oocl箱型尺寸</vt:lpstr>
      <vt:lpstr>oocl卸货港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hgj</dc:creator>
  <cp:lastModifiedBy>lu@sudelan.cn</cp:lastModifiedBy>
  <dcterms:created xsi:type="dcterms:W3CDTF">2006-09-16T16:00:00Z</dcterms:created>
  <dcterms:modified xsi:type="dcterms:W3CDTF">2025-01-13T02:44:17Z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  <property fmtid="{D5CDD505-2E9C-101B-9397-08002B2CF9AE}" pid="3" name="ICV">
    <vt:lpwstr>0C8AF759593740D284EA6A84B4F6AD82_13</vt:lpwstr>
  </property>
</Properties>
</file>