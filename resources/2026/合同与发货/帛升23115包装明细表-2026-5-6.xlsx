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17178CC1-C49E-4F4D-A6EF-B360704B78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M3" i="1" l="1"/>
  <c r="P3" i="1" s="1"/>
  <c r="M4" i="1"/>
  <c r="P4" i="1" s="1"/>
  <c r="Q4" i="1"/>
  <c r="O4" i="1"/>
  <c r="Q3" i="1"/>
  <c r="O3" i="1"/>
  <c r="J3" i="1"/>
  <c r="F3" i="1" s="1"/>
  <c r="J4" i="1"/>
  <c r="F4" i="1" s="1"/>
  <c r="H3" i="1"/>
  <c r="H4" i="1"/>
  <c r="Q5" i="1" l="1"/>
  <c r="P5" i="1"/>
  <c r="O5" i="1"/>
  <c r="F5" i="1"/>
  <c r="H5" i="1"/>
</calcChain>
</file>

<file path=xl/sharedStrings.xml><?xml version="1.0" encoding="utf-8"?>
<sst xmlns="http://schemas.openxmlformats.org/spreadsheetml/2006/main" count="24" uniqueCount="23">
  <si>
    <t xml:space="preserve">
No</t>
  </si>
  <si>
    <t>1200*800*550
0.53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</si>
  <si>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</si>
  <si>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 xml:space="preserve">
品名</t>
    <phoneticPr fontId="10" type="noConversion"/>
  </si>
  <si>
    <t>规格</t>
    <phoneticPr fontId="10" type="noConversion"/>
  </si>
  <si>
    <t>合同</t>
    <phoneticPr fontId="10" type="noConversion"/>
  </si>
  <si>
    <t>托号</t>
    <phoneticPr fontId="10" type="noConversion"/>
  </si>
  <si>
    <t>数量</t>
    <phoneticPr fontId="10" type="noConversion"/>
  </si>
  <si>
    <t>件/包</t>
    <phoneticPr fontId="10" type="noConversion"/>
  </si>
  <si>
    <t>总袋数</t>
    <phoneticPr fontId="10" type="noConversion"/>
  </si>
  <si>
    <t>袋/箱</t>
    <phoneticPr fontId="10" type="noConversion"/>
  </si>
  <si>
    <t>件/箱</t>
    <phoneticPr fontId="10" type="noConversion"/>
  </si>
  <si>
    <t>托</t>
    <phoneticPr fontId="10" type="noConversion"/>
  </si>
  <si>
    <t>净重</t>
    <phoneticPr fontId="10" type="noConversion"/>
  </si>
  <si>
    <t>总重</t>
    <phoneticPr fontId="10" type="noConversion"/>
  </si>
  <si>
    <t>托盘尺寸</t>
    <phoneticPr fontId="10" type="noConversion"/>
  </si>
  <si>
    <t>总净重</t>
    <phoneticPr fontId="10" type="noConversion"/>
  </si>
  <si>
    <t>总毛重</t>
    <phoneticPr fontId="10" type="noConversion"/>
  </si>
  <si>
    <t>总体积</t>
    <phoneticPr fontId="10" type="noConversion"/>
  </si>
  <si>
    <t>包装明细表</t>
    <phoneticPr fontId="10" type="noConversion"/>
  </si>
  <si>
    <t>BS2603-021</t>
    <phoneticPr fontId="10" type="noConversion"/>
  </si>
  <si>
    <t>23*115</t>
    <phoneticPr fontId="10" type="noConversion"/>
  </si>
  <si>
    <t>锥形方钉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</si>
</sst>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3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58" fontId="3" fillId="0" borderId="2" xfId="0" quotePrefix="1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0" fontId="9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tabSelected="1" topLeftCell="A2" workbookViewId="0">
      <selection activeCell="E6" sqref="E6"/>
    </sheetView>
  </sheetViews>
  <sheetFormatPr defaultColWidth="8.75" defaultRowHeight="13.5"/>
  <cols>
    <col min="1" max="1" width="4.625" customWidth="1"/>
    <col min="2" max="2" width="8.75" customWidth="1"/>
    <col min="3" max="3" width="9.5" customWidth="1"/>
    <col min="4" max="4" width="8.375" customWidth="1"/>
    <col min="5" max="5" width="12.25" customWidth="1"/>
    <col min="6" max="6" width="7.75" customWidth="1"/>
    <col min="7" max="7" width="7.125" customWidth="1"/>
    <col min="8" max="8" width="6.625" customWidth="1"/>
    <col min="9" max="9" width="6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23" max="23" width="12.625"/>
  </cols>
  <sheetData>
    <row r="1" spans="1:17" ht="57.95" customHeight="1">
      <c r="A1" s="15" t="s">
        <v>19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80.099999999999994" customHeight="1">
      <c r="A2" s="1" t="s">
        <v>0</v>
      </c>
      <c r="B2" s="13" t="s">
        <v>3</v>
      </c>
      <c r="C2" s="13" t="s">
        <v>4</v>
      </c>
      <c r="D2" s="14" t="s">
        <v>5</v>
      </c>
      <c r="E2" s="14" t="s">
        <v>6</v>
      </c>
      <c r="F2" s="14" t="s">
        <v>7</v>
      </c>
      <c r="G2" s="14" t="s">
        <v>8</v>
      </c>
      <c r="H2" s="14" t="s">
        <v>9</v>
      </c>
      <c r="I2" s="14" t="s">
        <v>10</v>
      </c>
      <c r="J2" s="14" t="s">
        <v>11</v>
      </c>
      <c r="K2" s="14" t="s">
        <v>12</v>
      </c>
      <c r="L2" s="14" t="s">
        <v>13</v>
      </c>
      <c r="M2" s="14" t="s">
        <v>14</v>
      </c>
      <c r="N2" s="14" t="s">
        <v>15</v>
      </c>
      <c r="O2" s="13" t="s">
        <v>16</v>
      </c>
      <c r="P2" s="13" t="s">
        <v>17</v>
      </c>
      <c r="Q2" s="13" t="s">
        <v>18</v>
      </c>
    </row>
    <row r="3" spans="1:17" ht="52.5" customHeight="1">
      <c r="A3" s="21">
        <v>1</v>
      </c>
      <c r="B3" s="23" t="s">
        <v>22</v>
      </c>
      <c r="C3" s="23" t="s">
        <v>21</v>
      </c>
      <c r="D3" s="23" t="s">
        <v>20</v>
      </c>
      <c r="E3" s="12"/>
      <c r="F3" s="2">
        <f t="shared" ref="F3:F4" si="0">J3*K3</f>
        <v>4200</v>
      </c>
      <c r="G3" s="3">
        <v>40</v>
      </c>
      <c r="H3" s="2">
        <f t="shared" ref="H3:H4" si="1">I3*K3</f>
        <v>105</v>
      </c>
      <c r="I3" s="2">
        <v>35</v>
      </c>
      <c r="J3" s="2">
        <f t="shared" ref="J3:J4" si="2">I3*G3</f>
        <v>1400</v>
      </c>
      <c r="K3" s="2">
        <v>3</v>
      </c>
      <c r="L3" s="2">
        <v>679</v>
      </c>
      <c r="M3" s="2">
        <f t="shared" ref="M3:M4" si="3">L3+42</f>
        <v>721</v>
      </c>
      <c r="N3" s="11" t="s">
        <v>1</v>
      </c>
      <c r="O3" s="2">
        <f t="shared" ref="O3:O4" si="4">L3*K3</f>
        <v>2037</v>
      </c>
      <c r="P3" s="2">
        <f t="shared" ref="P3:P4" si="5">M3*K3</f>
        <v>2163</v>
      </c>
      <c r="Q3" s="2">
        <f t="shared" ref="Q3:Q4" si="6">0.53*K3</f>
        <v>1.59</v>
      </c>
    </row>
    <row r="4" spans="1:17" ht="52.5" customHeight="1">
      <c r="A4" s="22"/>
      <c r="B4" s="20"/>
      <c r="C4" s="20"/>
      <c r="D4" s="20"/>
      <c r="E4" s="12"/>
      <c r="F4" s="2">
        <f t="shared" si="0"/>
        <v>800</v>
      </c>
      <c r="G4" s="3">
        <v>40</v>
      </c>
      <c r="H4" s="2">
        <f t="shared" si="1"/>
        <v>20</v>
      </c>
      <c r="I4" s="2">
        <v>20</v>
      </c>
      <c r="J4" s="2">
        <f t="shared" si="2"/>
        <v>800</v>
      </c>
      <c r="K4" s="2">
        <v>1</v>
      </c>
      <c r="L4" s="2">
        <v>388</v>
      </c>
      <c r="M4" s="2">
        <f t="shared" si="3"/>
        <v>430</v>
      </c>
      <c r="N4" s="11" t="s">
        <v>1</v>
      </c>
      <c r="O4" s="2">
        <f t="shared" si="4"/>
        <v>388</v>
      </c>
      <c r="P4" s="2">
        <f t="shared" si="5"/>
        <v>430</v>
      </c>
      <c r="Q4" s="2">
        <f t="shared" si="6"/>
        <v>0.53</v>
      </c>
    </row>
    <row r="5" spans="1:17" ht="57" customHeight="1">
      <c r="A5" s="17" t="s">
        <v>2</v>
      </c>
      <c r="B5" s="17"/>
      <c r="C5" s="17"/>
      <c r="D5" s="5"/>
      <c r="E5" s="4"/>
      <c r="F5" s="4">
        <f>SUM(F3:F4)</f>
        <v>5000</v>
      </c>
      <c r="G5" s="4"/>
      <c r="H5" s="4">
        <f>SUM(H3:H4)</f>
        <v>125</v>
      </c>
      <c r="I5" s="4"/>
      <c r="J5" s="4"/>
      <c r="K5" s="4">
        <f>SUM(K3:K4)</f>
        <v>4</v>
      </c>
      <c r="L5" s="4"/>
      <c r="M5" s="4"/>
      <c r="N5" s="4"/>
      <c r="O5" s="4">
        <f>SUM(O3:O4)</f>
        <v>2425</v>
      </c>
      <c r="P5" s="4">
        <f>SUM(P3:P4)</f>
        <v>2593</v>
      </c>
      <c r="Q5" s="4">
        <f>SUM(Q3:Q4)</f>
        <v>2.12</v>
      </c>
    </row>
    <row r="6" spans="1:17" ht="14.45" customHeight="1">
      <c r="A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21" customHeight="1">
      <c r="A7" s="6"/>
      <c r="B7" s="7"/>
      <c r="C7" s="8"/>
      <c r="N7" s="6"/>
      <c r="O7" s="6"/>
      <c r="P7" s="6"/>
      <c r="Q7" s="6"/>
    </row>
    <row r="8" spans="1:17" ht="21" customHeight="1">
      <c r="A8" s="6"/>
      <c r="B8" s="7"/>
      <c r="C8" s="9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18.75">
      <c r="A9" s="6"/>
      <c r="B9" s="6"/>
      <c r="C9" s="9"/>
      <c r="D9" s="6"/>
      <c r="E9" s="6"/>
      <c r="F9" s="6"/>
      <c r="G9" s="6"/>
      <c r="H9" s="6"/>
      <c r="I9" s="6"/>
      <c r="J9" s="6"/>
      <c r="K9" s="6"/>
      <c r="L9" s="6"/>
      <c r="M9" s="6"/>
      <c r="N9" s="18">
        <v>46148</v>
      </c>
      <c r="O9" s="18"/>
      <c r="P9" s="18"/>
      <c r="Q9" s="18"/>
    </row>
    <row r="10" spans="1:17" ht="18.75">
      <c r="A10" s="6"/>
      <c r="B10" s="6"/>
      <c r="C10" s="9"/>
      <c r="D10" s="6"/>
      <c r="E10" s="6"/>
      <c r="F10" s="6"/>
      <c r="G10" s="6"/>
      <c r="H10" s="6"/>
      <c r="I10" s="6"/>
      <c r="J10" s="6"/>
      <c r="K10" s="6"/>
      <c r="L10" s="6"/>
      <c r="M10" s="6"/>
      <c r="N10" s="19"/>
      <c r="O10" s="19"/>
      <c r="P10" s="19"/>
      <c r="Q10" s="19"/>
    </row>
    <row r="11" spans="1:17">
      <c r="A11" s="10"/>
      <c r="B11" s="10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>
      <c r="A12" s="10"/>
      <c r="B12" s="10"/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>
      <c r="A13" s="10"/>
      <c r="B13" s="10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17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</sheetData>
  <mergeCells count="8">
    <mergeCell ref="A1:Q1"/>
    <mergeCell ref="A5:C5"/>
    <mergeCell ref="N9:Q9"/>
    <mergeCell ref="N10:Q10"/>
    <mergeCell ref="B3:B4"/>
    <mergeCell ref="C3:C4"/>
    <mergeCell ref="D3:D4"/>
    <mergeCell ref="A3:A4"/>
  </mergeCells>
  <phoneticPr fontId="10" type="noConversion"/>
  <pageMargins left="0.90551181102362199" right="0.511811023622047" top="0.196850393700787" bottom="0.74803149606299202" header="0.31496062992126" footer="0.31496062992126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2026-05-06T03:00:32Z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B2BADA30BFA84D8E9E0840C12BEFC0B4_12</vt:lpwstr>
  </property>
  <property fmtid="{D5CDD505-2E9C-101B-9397-08002B2CF9AE}" pid="3" name="KSOProductBuildVer">
    <vt:lpwstr>2052-12.1.0.21541</vt:lpwstr>
  </property>
</Properties>
</file>