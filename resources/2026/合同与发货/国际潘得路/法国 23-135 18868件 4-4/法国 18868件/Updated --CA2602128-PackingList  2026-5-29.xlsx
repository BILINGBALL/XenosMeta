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法国 18868件\"/>
    </mc:Choice>
  </mc:AlternateContent>
  <xr:revisionPtr revIDLastSave="0" documentId="13_ncr:1_{04CFED22-5449-43B9-BE05-935C5194A8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Q4" i="2"/>
  <c r="J4" i="2"/>
  <c r="M3" i="2"/>
  <c r="P4" i="2"/>
  <c r="K6" i="2"/>
  <c r="O4" i="2"/>
  <c r="Q3" i="2"/>
  <c r="P3" i="2"/>
  <c r="O3" i="2"/>
  <c r="J3" i="2"/>
  <c r="F3" i="2" s="1"/>
  <c r="H3" i="2"/>
  <c r="Q6" i="2" l="1"/>
  <c r="H6" i="2"/>
  <c r="P6" i="2"/>
  <c r="O6" i="2"/>
  <c r="F6" i="2"/>
</calcChain>
</file>

<file path=xl/sharedStrings.xml><?xml version="1.0" encoding="utf-8"?>
<sst xmlns="http://schemas.openxmlformats.org/spreadsheetml/2006/main" count="28" uniqueCount="25">
  <si>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</si>
  <si>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</si>
  <si>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</si>
  <si>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</si>
  <si>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</si>
  <si>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</si>
  <si>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</si>
  <si>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</si>
  <si>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</si>
  <si>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</si>
  <si>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</si>
  <si>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</si>
  <si>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</si>
  <si>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</si>
  <si>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</si>
  <si>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</si>
  <si>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</si>
  <si>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</si>
  <si>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</si>
  <si>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1200*800*550
0.53</t>
    <phoneticPr fontId="13" type="noConversion"/>
  </si>
  <si>
    <t>23*135</t>
    <phoneticPr fontId="13" type="noConversion"/>
  </si>
  <si>
    <t>CA2602128</t>
    <phoneticPr fontId="13" type="noConversion"/>
  </si>
  <si>
    <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  <phoneticPr fontId="13" type="noConversion"/>
  </si>
  <si>
    <t>16/16</t>
    <phoneticPr fontId="13" type="noConversion"/>
  </si>
  <si>
    <t>1/16-14/16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</si>
</sst>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3"/>
  <sheetViews>
    <sheetView tabSelected="1" workbookViewId="0">
      <selection activeCell="E6" sqref="E6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2.3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44.25" customHeight="1">
      <c r="A1" s="22" t="s">
        <v>22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60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33.75" customHeight="1">
      <c r="A3" s="4">
        <v>1</v>
      </c>
      <c r="B3" s="11" t="s">
        <v>17</v>
      </c>
      <c r="C3" s="12" t="s">
        <v>20</v>
      </c>
      <c r="D3" s="26" t="s">
        <v>21</v>
      </c>
      <c r="E3" s="14" t="s">
        <v>24</v>
      </c>
      <c r="F3" s="4">
        <f t="shared" ref="F3" si="0">J3*K3</f>
        <v>18000</v>
      </c>
      <c r="G3" s="4">
        <v>40</v>
      </c>
      <c r="H3" s="4">
        <f t="shared" ref="H3" si="1">K3*I3</f>
        <v>450</v>
      </c>
      <c r="I3" s="4">
        <v>30</v>
      </c>
      <c r="J3" s="4">
        <f t="shared" ref="J3" si="2">G3*I3</f>
        <v>1200</v>
      </c>
      <c r="K3" s="4">
        <v>15</v>
      </c>
      <c r="L3" s="4">
        <v>658</v>
      </c>
      <c r="M3" s="4">
        <f>L3+42</f>
        <v>700</v>
      </c>
      <c r="N3" s="13" t="s">
        <v>19</v>
      </c>
      <c r="O3" s="4">
        <f t="shared" ref="O3:O4" si="3">L3*K3</f>
        <v>9870</v>
      </c>
      <c r="P3" s="4">
        <f t="shared" ref="P3:P4" si="4">M3*K3</f>
        <v>10500</v>
      </c>
      <c r="Q3" s="4">
        <f>0.53*K3</f>
        <v>7.95</v>
      </c>
    </row>
    <row r="4" spans="1:17" ht="24.75" customHeight="1">
      <c r="A4" s="15">
        <v>2</v>
      </c>
      <c r="B4" s="24" t="s">
        <v>17</v>
      </c>
      <c r="C4" s="26" t="s">
        <v>20</v>
      </c>
      <c r="D4" s="28"/>
      <c r="E4" s="19" t="s">
        <v>23</v>
      </c>
      <c r="F4" s="15">
        <v>868</v>
      </c>
      <c r="G4" s="4">
        <v>40</v>
      </c>
      <c r="H4" s="4">
        <v>21</v>
      </c>
      <c r="I4" s="15">
        <v>22</v>
      </c>
      <c r="J4" s="15">
        <f>G4*H4+G5*H5</f>
        <v>868</v>
      </c>
      <c r="K4" s="15">
        <v>1</v>
      </c>
      <c r="L4" s="15">
        <v>475</v>
      </c>
      <c r="M4" s="15">
        <f>L4+42</f>
        <v>517</v>
      </c>
      <c r="N4" s="17" t="s">
        <v>19</v>
      </c>
      <c r="O4" s="15">
        <f t="shared" si="3"/>
        <v>475</v>
      </c>
      <c r="P4" s="15">
        <f t="shared" si="4"/>
        <v>517</v>
      </c>
      <c r="Q4" s="15">
        <f>0.53*K4</f>
        <v>0.53</v>
      </c>
    </row>
    <row r="5" spans="1:17" ht="24.75" customHeight="1">
      <c r="A5" s="16"/>
      <c r="B5" s="25"/>
      <c r="C5" s="27"/>
      <c r="D5" s="28"/>
      <c r="E5" s="20"/>
      <c r="F5" s="16"/>
      <c r="G5" s="4">
        <v>28</v>
      </c>
      <c r="H5" s="4">
        <v>1</v>
      </c>
      <c r="I5" s="16"/>
      <c r="J5" s="16"/>
      <c r="K5" s="16"/>
      <c r="L5" s="16"/>
      <c r="M5" s="16"/>
      <c r="N5" s="18"/>
      <c r="O5" s="16"/>
      <c r="P5" s="16"/>
      <c r="Q5" s="16"/>
    </row>
    <row r="6" spans="1:17" ht="27.75" customHeight="1">
      <c r="A6" s="16" t="s">
        <v>18</v>
      </c>
      <c r="B6" s="16"/>
      <c r="C6" s="16"/>
      <c r="D6" s="6"/>
      <c r="E6" s="5"/>
      <c r="F6" s="5">
        <f>SUM(F3:F5)</f>
        <v>18868</v>
      </c>
      <c r="G6" s="5"/>
      <c r="H6" s="5">
        <f>SUM(H3:H5)</f>
        <v>472</v>
      </c>
      <c r="I6" s="5"/>
      <c r="J6" s="5"/>
      <c r="K6" s="5">
        <f>SUM(K3:K5)</f>
        <v>16</v>
      </c>
      <c r="L6" s="5"/>
      <c r="M6" s="5"/>
      <c r="N6" s="9"/>
      <c r="O6" s="5">
        <f>SUM(O3:O5)</f>
        <v>10345</v>
      </c>
      <c r="P6" s="5">
        <f>SUM(P3:P5)</f>
        <v>11017</v>
      </c>
      <c r="Q6" s="5">
        <f>SUM(Q3:Q5)</f>
        <v>8.48</v>
      </c>
    </row>
    <row r="7" spans="1:17" ht="18.75">
      <c r="A7" s="10"/>
      <c r="B7" s="10"/>
      <c r="C7" s="7"/>
      <c r="D7" s="10"/>
      <c r="E7" s="10"/>
      <c r="F7" s="10"/>
      <c r="G7" s="10"/>
      <c r="H7" s="10"/>
      <c r="I7" s="10"/>
      <c r="J7" s="10"/>
      <c r="K7" s="10"/>
      <c r="L7" s="10"/>
      <c r="M7" s="10"/>
      <c r="N7" s="21">
        <v>46171</v>
      </c>
      <c r="O7" s="21"/>
      <c r="P7" s="21"/>
      <c r="Q7" s="21"/>
    </row>
    <row r="8" spans="1:17">
      <c r="A8" s="8"/>
      <c r="B8" s="8"/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>
      <c r="A9" s="8"/>
      <c r="B9" s="8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</sheetData>
  <mergeCells count="18">
    <mergeCell ref="A1:Q1"/>
    <mergeCell ref="A6:C6"/>
    <mergeCell ref="O4:O5"/>
    <mergeCell ref="P4:P5"/>
    <mergeCell ref="Q4:Q5"/>
    <mergeCell ref="A4:A5"/>
    <mergeCell ref="B4:B5"/>
    <mergeCell ref="C4:C5"/>
    <mergeCell ref="D3:D5"/>
    <mergeCell ref="I4:I5"/>
    <mergeCell ref="J4:J5"/>
    <mergeCell ref="K4:K5"/>
    <mergeCell ref="L4:L5"/>
    <mergeCell ref="M4:M5"/>
    <mergeCell ref="N4:N5"/>
    <mergeCell ref="E4:E5"/>
    <mergeCell ref="F4:F5"/>
    <mergeCell ref="N7:Q7"/>
  </mergeCells>
  <phoneticPr fontId="13" type="noConversion"/>
  <pageMargins left="0" right="0" top="0.23622047244094491" bottom="0" header="0.51181102362204722" footer="0.51181102362204722"/>
  <pageSetup paperSize="9" scale="9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2532537-10CC-40F5-A17B-2B64C178E5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2026-02-06T01:29:08Z</cp:lastPrinted>
  <dcterms:created xsi:type="dcterms:W3CDTF">2006-09-13T11:21:00Z</dcterms:created>
  <dcterms:modified xsi:type="dcterms:W3CDTF">2026-06-02T01:59:53Z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