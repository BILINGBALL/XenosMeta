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4C59DD52-7DCE-42E4-8696-EA8BF20972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M3" i="1"/>
  <c r="P3" i="1" s="1"/>
  <c r="P5" i="1" s="1"/>
  <c r="J3" i="1"/>
  <c r="F3" i="1" s="1"/>
  <c r="F5" i="1" s="1"/>
  <c r="K5" i="1"/>
  <c r="H5" i="1"/>
  <c r="O3" i="1"/>
  <c r="O5" i="1" s="1"/>
  <c r="I3" i="1"/>
</calcChain>
</file>

<file path=xl/sharedStrings.xml><?xml version="1.0" encoding="utf-8"?>
<sst xmlns="http://schemas.openxmlformats.org/spreadsheetml/2006/main" count="28" uniqueCount="26">
  <si>
    <t xml:space="preserve">
No</t>
  </si>
  <si>
    <t xml:space="preserve">
Name</t>
  </si>
  <si>
    <t xml:space="preserve">
Spec.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</si>
  <si>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</si>
  <si>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</si>
  <si>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</si>
  <si>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</si>
  <si>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</si>
  <si>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</si>
  <si>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</si>
  <si>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</si>
  <si>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</si>
  <si>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</si>
  <si>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</si>
  <si>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</si>
  <si>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</si>
  <si>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</si>
  <si>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</si>
  <si>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1/1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</si>
  <si>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</si>
  <si>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</si>
  <si>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1100*800*350
0.31</t>
    <phoneticPr fontId="18" type="noConversion"/>
  </si>
  <si>
    <t>Drawing No.</t>
    <phoneticPr fontId="18" type="noConversion"/>
  </si>
  <si>
    <t>6161-150</t>
    <phoneticPr fontId="18" type="noConversion"/>
  </si>
  <si>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8" type="noConversion"/>
  </si>
  <si>
    <t>The pieces are packed in a bag : 35（15） pieces per bag and 12 bags per case so 400 pieces per case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</si>
</sst>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1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zoomScale="115" zoomScaleNormal="115" workbookViewId="0">
      <selection activeCell="O3" sqref="O3:O4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32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68.45" customHeight="1">
      <c r="A2" s="1" t="s">
        <v>0</v>
      </c>
      <c r="B2" s="1" t="s">
        <v>1</v>
      </c>
      <c r="C2" s="1" t="s">
        <v>2</v>
      </c>
      <c r="D2" s="31" t="s">
        <v>22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1" t="s">
        <v>13</v>
      </c>
      <c r="P2" s="1" t="s">
        <v>14</v>
      </c>
      <c r="Q2" s="1" t="s">
        <v>15</v>
      </c>
    </row>
    <row r="3" spans="1:17" ht="41.25" customHeight="1">
      <c r="A3" s="4">
        <v>1</v>
      </c>
      <c r="B3" s="5" t="s">
        <v>16</v>
      </c>
      <c r="C3" s="6" t="s">
        <v>17</v>
      </c>
      <c r="D3" s="22" t="s">
        <v>23</v>
      </c>
      <c r="E3" s="24" t="s">
        <v>18</v>
      </c>
      <c r="F3" s="26">
        <f>J3*K3</f>
        <v>400</v>
      </c>
      <c r="G3" s="7">
        <v>35</v>
      </c>
      <c r="H3" s="7">
        <v>11</v>
      </c>
      <c r="I3" s="26">
        <f>H3+H4</f>
        <v>12</v>
      </c>
      <c r="J3" s="26">
        <f>G3*H3+G4*H4</f>
        <v>400</v>
      </c>
      <c r="K3" s="26">
        <v>1</v>
      </c>
      <c r="L3" s="27">
        <v>218</v>
      </c>
      <c r="M3" s="27">
        <f>L3+30</f>
        <v>248</v>
      </c>
      <c r="N3" s="29" t="s">
        <v>21</v>
      </c>
      <c r="O3" s="27">
        <f>L3*K3</f>
        <v>218</v>
      </c>
      <c r="P3" s="27">
        <f>M3*K3</f>
        <v>248</v>
      </c>
      <c r="Q3" s="27">
        <f>0.31*K3</f>
        <v>0.31</v>
      </c>
    </row>
    <row r="4" spans="1:17" ht="41.25" customHeight="1">
      <c r="A4" s="4">
        <v>2</v>
      </c>
      <c r="B4" s="5" t="s">
        <v>16</v>
      </c>
      <c r="C4" s="6" t="s">
        <v>17</v>
      </c>
      <c r="D4" s="23"/>
      <c r="E4" s="25"/>
      <c r="F4" s="25"/>
      <c r="G4" s="7">
        <v>15</v>
      </c>
      <c r="H4" s="7">
        <v>1</v>
      </c>
      <c r="I4" s="25"/>
      <c r="J4" s="25"/>
      <c r="K4" s="25"/>
      <c r="L4" s="28"/>
      <c r="M4" s="28"/>
      <c r="N4" s="30"/>
      <c r="O4" s="28"/>
      <c r="P4" s="28"/>
      <c r="Q4" s="28"/>
    </row>
    <row r="5" spans="1:17" ht="35.25" customHeight="1">
      <c r="A5" s="19" t="s">
        <v>19</v>
      </c>
      <c r="B5" s="20"/>
      <c r="C5" s="20"/>
      <c r="D5" s="8"/>
      <c r="E5" s="7"/>
      <c r="F5" s="7">
        <f>SUM(F3:F3)</f>
        <v>400</v>
      </c>
      <c r="G5" s="7"/>
      <c r="H5" s="7">
        <f>SUM(H3:H4)</f>
        <v>12</v>
      </c>
      <c r="I5" s="7"/>
      <c r="J5" s="7"/>
      <c r="K5" s="7">
        <f>SUM(K3:K3)</f>
        <v>1</v>
      </c>
      <c r="L5" s="7"/>
      <c r="M5" s="7"/>
      <c r="N5" s="7"/>
      <c r="O5" s="7">
        <f>SUM(O3:O3)</f>
        <v>218</v>
      </c>
      <c r="P5" s="7">
        <f>SUM(P3:P3)</f>
        <v>248</v>
      </c>
      <c r="Q5" s="7">
        <f>SUM(Q3:Q3)</f>
        <v>0.31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20</v>
      </c>
      <c r="C7" s="17" t="s">
        <v>25</v>
      </c>
      <c r="N7" s="9"/>
      <c r="O7" s="9"/>
      <c r="P7" s="9"/>
      <c r="Q7" s="9"/>
    </row>
    <row r="8" spans="1:17" ht="21" customHeight="1">
      <c r="A8" s="9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21">
        <v>46148</v>
      </c>
      <c r="O9" s="21"/>
      <c r="P9" s="21"/>
      <c r="Q9" s="21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  <c r="O10" s="16"/>
      <c r="P10" s="16"/>
      <c r="Q10" s="16"/>
    </row>
    <row r="11" spans="1:17">
      <c r="A11" s="15"/>
      <c r="B11" s="15"/>
      <c r="C11" s="1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5">
    <mergeCell ref="A1:Q1"/>
    <mergeCell ref="A5:C5"/>
    <mergeCell ref="N9:Q9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8" type="noConversion"/>
  <pageMargins left="0.511811023622047" right="0.511811023622047" top="0.196850393700787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2026-05-06T08:50:53Z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