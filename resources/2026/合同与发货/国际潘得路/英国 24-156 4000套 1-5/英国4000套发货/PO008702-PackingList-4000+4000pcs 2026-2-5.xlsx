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lu\Desktop\英国4000套发货\"/>
    </mc:Choice>
  </mc:AlternateContent>
  <xr:revisionPtr revIDLastSave="0" documentId="13_ncr:1_{62D574E9-43E2-4738-8977-5D15AF74944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M3" i="1"/>
  <c r="M6" i="1"/>
  <c r="Q6" i="1" l="1"/>
  <c r="Q4" i="1"/>
  <c r="O4" i="1"/>
  <c r="P4" i="1"/>
  <c r="K7" i="1"/>
  <c r="O6" i="1"/>
  <c r="P6" i="1"/>
  <c r="J6" i="1"/>
  <c r="F6" i="1" s="1"/>
  <c r="Q3" i="1"/>
  <c r="P3" i="1"/>
  <c r="O3" i="1"/>
  <c r="J3" i="1"/>
  <c r="F3" i="1" s="1"/>
  <c r="H3" i="1"/>
  <c r="Q7" i="1" l="1"/>
  <c r="F7" i="1"/>
  <c r="O7" i="1"/>
  <c r="P7" i="1"/>
  <c r="H7" i="1"/>
</calcChain>
</file>

<file path=xl/sharedStrings.xml><?xml version="1.0" encoding="utf-8"?>
<sst xmlns="http://schemas.openxmlformats.org/spreadsheetml/2006/main" count="35" uniqueCount="30">
  <si>
    <t xml:space="preserve">
No</t>
  </si>
  <si>
    <t xml:space="preserve">
Name</t>
  </si>
  <si>
    <t xml:space="preserve">
Spec.
型号</t>
  </si>
  <si>
    <t xml:space="preserve">
PO
合同号</t>
  </si>
  <si>
    <t xml:space="preserve">
Case No.
箱号</t>
  </si>
  <si>
    <r>
      <rPr>
        <sz val="9"/>
        <color theme="1"/>
        <rFont val="宋体"/>
        <family val="3"/>
        <charset val="134"/>
        <scheme val="minor"/>
      </rPr>
      <t xml:space="preserve">
</t>
    </r>
    <r>
      <rPr>
        <b/>
        <sz val="9"/>
        <color theme="1"/>
        <rFont val="宋体"/>
        <family val="3"/>
        <charset val="134"/>
        <scheme val="minor"/>
      </rPr>
      <t>Quantity
数量</t>
    </r>
  </si>
  <si>
    <t xml:space="preserve">
Pieces
/bag     (*)
件/袋</t>
  </si>
  <si>
    <t xml:space="preserve">
Bags
袋</t>
  </si>
  <si>
    <t xml:space="preserve">
Bags
/case
袋/箱</t>
  </si>
  <si>
    <t>Pieces
/case
件/箱</t>
  </si>
  <si>
    <t xml:space="preserve">
CASE
箱</t>
  </si>
  <si>
    <t>Net weight
NW/CASE
（KG）
净重</t>
  </si>
  <si>
    <t>Gross weight
GW/CASE
（KG）
毛重</t>
  </si>
  <si>
    <t>Dimensions (mm) and volume (m3) / case
体积</t>
  </si>
  <si>
    <t>Total Net weight
NW
（KG）
总净重</t>
  </si>
  <si>
    <t>Total Gross weight
GW
(KG）
总毛重</t>
  </si>
  <si>
    <t xml:space="preserve">
Volume M³
总体积</t>
  </si>
  <si>
    <t>Coachscrew
螺纹道钉</t>
  </si>
  <si>
    <t>1200*800*550
0.53</t>
  </si>
  <si>
    <r>
      <rPr>
        <b/>
        <sz val="11"/>
        <color theme="1"/>
        <rFont val="宋体"/>
        <family val="3"/>
        <charset val="134"/>
        <scheme val="minor"/>
      </rPr>
      <t>Total</t>
    </r>
    <r>
      <rPr>
        <sz val="10"/>
        <color theme="1"/>
        <rFont val="宋体"/>
        <family val="3"/>
        <charset val="134"/>
        <scheme val="minor"/>
      </rPr>
      <t>：</t>
    </r>
  </si>
  <si>
    <t>(*)</t>
  </si>
  <si>
    <t>24*156</t>
    <phoneticPr fontId="13" type="noConversion"/>
  </si>
  <si>
    <t>PO008702</t>
    <phoneticPr fontId="13" type="noConversion"/>
  </si>
  <si>
    <t>平垫圈
ULS7</t>
    <phoneticPr fontId="13" type="noConversion"/>
  </si>
  <si>
    <t>1200*800*350
0.34</t>
    <phoneticPr fontId="13" type="noConversion"/>
  </si>
  <si>
    <t>The pieces are packed in a bag : 35(10,500) pieces per bag and 1120（640,4000） pieces in total in this case.</t>
    <phoneticPr fontId="13" type="noConversion"/>
  </si>
  <si>
    <r>
      <t>PANDROL</t>
    </r>
    <r>
      <rPr>
        <b/>
        <sz val="16"/>
        <color theme="1"/>
        <rFont val="宋体"/>
        <family val="3"/>
        <charset val="134"/>
        <scheme val="minor"/>
      </rPr>
      <t xml:space="preserve">
PACKING DETAILS
</t>
    </r>
    <phoneticPr fontId="13" type="noConversion"/>
  </si>
  <si>
    <t>1/5~3/5</t>
    <phoneticPr fontId="13" type="noConversion"/>
  </si>
  <si>
    <t>4/5</t>
    <phoneticPr fontId="13" type="noConversion"/>
  </si>
  <si>
    <t>5/5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</si>
</sst>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dd\-mmm\-yy;@"/>
  </numFmts>
  <fonts count="16">
    <font>
      <sz val="11"/>
      <color theme="1"/>
      <name val="宋体"/>
      <charset val="134"/>
      <scheme val="minor"/>
    </font>
    <font>
      <b/>
      <sz val="22"/>
      <color rgb="FFFFC000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0"/>
      <color theme="1"/>
      <name val="Arial Unicode MS"/>
      <family val="2"/>
    </font>
    <font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6" fillId="0" borderId="0" xfId="0" applyFont="1">
      <alignment vertical="center"/>
    </xf>
    <xf numFmtId="176" fontId="10" fillId="0" borderId="0" xfId="0" applyNumberFormat="1" applyFont="1" applyAlignment="1">
      <alignment horizontal="right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49" fontId="14" fillId="0" borderId="3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10" fillId="0" borderId="0" xfId="0" applyNumberFormat="1" applyFont="1" applyAlignment="1">
      <alignment horizontal="right" vertical="center"/>
    </xf>
    <xf numFmtId="49" fontId="7" fillId="0" borderId="2" xfId="0" applyNumberFormat="1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9"/>
  <sheetViews>
    <sheetView tabSelected="1" workbookViewId="0">
      <selection activeCell="R2" sqref="R2"/>
    </sheetView>
  </sheetViews>
  <sheetFormatPr defaultColWidth="8.75" defaultRowHeight="13.5"/>
  <cols>
    <col min="1" max="1" width="4.625" customWidth="1"/>
    <col min="2" max="2" width="8.625" customWidth="1"/>
    <col min="3" max="3" width="9.375" customWidth="1"/>
    <col min="4" max="4" width="11.375" customWidth="1"/>
    <col min="5" max="5" width="11.125" customWidth="1"/>
    <col min="6" max="6" width="7.75" customWidth="1"/>
    <col min="7" max="7" width="5.75" customWidth="1"/>
    <col min="8" max="8" width="6.625" customWidth="1"/>
    <col min="9" max="9" width="6.875" customWidth="1"/>
    <col min="10" max="10" width="6.25" customWidth="1"/>
    <col min="11" max="11" width="5.375" customWidth="1"/>
    <col min="12" max="12" width="8.125" customWidth="1"/>
    <col min="13" max="13" width="8.375" customWidth="1"/>
    <col min="14" max="14" width="13.5" customWidth="1"/>
  </cols>
  <sheetData>
    <row r="1" spans="1:17" ht="80.45" customHeight="1">
      <c r="A1" s="35" t="s">
        <v>26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</row>
    <row r="2" spans="1:17" ht="87.95" customHeight="1">
      <c r="A2" s="1" t="s">
        <v>0</v>
      </c>
      <c r="B2" s="1" t="s">
        <v>1</v>
      </c>
      <c r="C2" s="1" t="s">
        <v>2</v>
      </c>
      <c r="D2" s="2" t="s">
        <v>3</v>
      </c>
      <c r="E2" s="2" t="s">
        <v>4</v>
      </c>
      <c r="F2" s="3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1" t="s">
        <v>14</v>
      </c>
      <c r="P2" s="1" t="s">
        <v>15</v>
      </c>
      <c r="Q2" s="1" t="s">
        <v>16</v>
      </c>
    </row>
    <row r="3" spans="1:17" ht="42" customHeight="1">
      <c r="A3" s="4">
        <v>1</v>
      </c>
      <c r="B3" s="5" t="s">
        <v>17</v>
      </c>
      <c r="C3" s="6" t="s">
        <v>21</v>
      </c>
      <c r="D3" s="6" t="s">
        <v>22</v>
      </c>
      <c r="E3" s="39" t="s">
        <v>27</v>
      </c>
      <c r="F3" s="7">
        <f>J3*K3</f>
        <v>3360</v>
      </c>
      <c r="G3" s="4">
        <v>35</v>
      </c>
      <c r="H3" s="4">
        <f>K3*I3</f>
        <v>96</v>
      </c>
      <c r="I3" s="7">
        <v>32</v>
      </c>
      <c r="J3" s="7">
        <f>I3*G3</f>
        <v>1120</v>
      </c>
      <c r="K3" s="7">
        <v>3</v>
      </c>
      <c r="L3" s="14">
        <v>670</v>
      </c>
      <c r="M3" s="14">
        <f>L3+42</f>
        <v>712</v>
      </c>
      <c r="N3" s="15" t="s">
        <v>18</v>
      </c>
      <c r="O3" s="7">
        <f>L3*K3</f>
        <v>2010</v>
      </c>
      <c r="P3" s="16">
        <f>M3*K3</f>
        <v>2136</v>
      </c>
      <c r="Q3" s="16">
        <f>0.53*K3</f>
        <v>1.59</v>
      </c>
    </row>
    <row r="4" spans="1:17" ht="42" customHeight="1">
      <c r="A4" s="21">
        <v>2</v>
      </c>
      <c r="B4" s="23" t="s">
        <v>17</v>
      </c>
      <c r="C4" s="25" t="s">
        <v>21</v>
      </c>
      <c r="D4" s="25" t="s">
        <v>22</v>
      </c>
      <c r="E4" s="40" t="s">
        <v>28</v>
      </c>
      <c r="F4" s="7">
        <v>630</v>
      </c>
      <c r="G4" s="4">
        <v>35</v>
      </c>
      <c r="H4" s="4">
        <v>18</v>
      </c>
      <c r="I4" s="21">
        <v>19</v>
      </c>
      <c r="J4" s="21">
        <v>640</v>
      </c>
      <c r="K4" s="21">
        <v>1</v>
      </c>
      <c r="L4" s="29">
        <v>384</v>
      </c>
      <c r="M4" s="29">
        <f>L4+42</f>
        <v>426</v>
      </c>
      <c r="N4" s="31" t="s">
        <v>18</v>
      </c>
      <c r="O4" s="21">
        <f>L4*K4</f>
        <v>384</v>
      </c>
      <c r="P4" s="33">
        <f>M4*K4</f>
        <v>426</v>
      </c>
      <c r="Q4" s="33">
        <f>0.53*K4</f>
        <v>0.53</v>
      </c>
    </row>
    <row r="5" spans="1:17" ht="44.1" customHeight="1">
      <c r="A5" s="22"/>
      <c r="B5" s="24"/>
      <c r="C5" s="26"/>
      <c r="D5" s="27"/>
      <c r="E5" s="28"/>
      <c r="F5" s="7">
        <v>10</v>
      </c>
      <c r="G5" s="4">
        <v>10</v>
      </c>
      <c r="H5" s="4">
        <v>1</v>
      </c>
      <c r="I5" s="22"/>
      <c r="J5" s="22"/>
      <c r="K5" s="22"/>
      <c r="L5" s="30"/>
      <c r="M5" s="30"/>
      <c r="N5" s="32"/>
      <c r="O5" s="22"/>
      <c r="P5" s="34"/>
      <c r="Q5" s="34"/>
    </row>
    <row r="6" spans="1:17" ht="44.1" customHeight="1">
      <c r="A6" s="4">
        <v>2</v>
      </c>
      <c r="B6" s="5" t="s">
        <v>23</v>
      </c>
      <c r="C6" s="6">
        <v>25</v>
      </c>
      <c r="D6" s="6" t="s">
        <v>22</v>
      </c>
      <c r="E6" s="39" t="s">
        <v>29</v>
      </c>
      <c r="F6" s="7">
        <f>J6*K6</f>
        <v>4000</v>
      </c>
      <c r="G6" s="4">
        <v>500</v>
      </c>
      <c r="H6" s="4">
        <v>8</v>
      </c>
      <c r="I6" s="7">
        <v>8</v>
      </c>
      <c r="J6" s="7">
        <f>I6*G6</f>
        <v>4000</v>
      </c>
      <c r="K6" s="7">
        <v>1</v>
      </c>
      <c r="L6" s="14">
        <v>166</v>
      </c>
      <c r="M6" s="14">
        <f>L6+30</f>
        <v>196</v>
      </c>
      <c r="N6" s="18" t="s">
        <v>24</v>
      </c>
      <c r="O6" s="7">
        <f>L6*K6</f>
        <v>166</v>
      </c>
      <c r="P6" s="16">
        <f>M6*K6</f>
        <v>196</v>
      </c>
      <c r="Q6" s="16">
        <f>0.34*K6</f>
        <v>0.34</v>
      </c>
    </row>
    <row r="7" spans="1:17" ht="35.25" customHeight="1">
      <c r="A7" s="37" t="s">
        <v>19</v>
      </c>
      <c r="B7" s="37"/>
      <c r="C7" s="37"/>
      <c r="D7" s="8"/>
      <c r="E7" s="4"/>
      <c r="F7" s="4">
        <f>SUM(F3:F6)</f>
        <v>8000</v>
      </c>
      <c r="G7" s="4"/>
      <c r="H7" s="4">
        <f>SUM(H3:H6)</f>
        <v>123</v>
      </c>
      <c r="I7" s="4"/>
      <c r="J7" s="4"/>
      <c r="K7" s="17">
        <f>SUM(K3:K6)</f>
        <v>5</v>
      </c>
      <c r="L7" s="4"/>
      <c r="M7" s="4"/>
      <c r="N7" s="17"/>
      <c r="O7" s="17">
        <f>SUM(O3:O6)</f>
        <v>2560</v>
      </c>
      <c r="P7" s="17">
        <f>SUM(P3:P6)</f>
        <v>2758</v>
      </c>
      <c r="Q7" s="17">
        <f>SUM(Q3:Q6)</f>
        <v>2.46</v>
      </c>
    </row>
    <row r="8" spans="1:17" ht="14.45" customHeight="1">
      <c r="A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</row>
    <row r="9" spans="1:17" ht="21" customHeight="1">
      <c r="A9" s="9"/>
      <c r="B9" s="10" t="s">
        <v>20</v>
      </c>
      <c r="C9" s="19" t="s">
        <v>25</v>
      </c>
      <c r="N9" s="9"/>
      <c r="O9" s="9"/>
      <c r="P9" s="9"/>
      <c r="Q9" s="9"/>
    </row>
    <row r="10" spans="1:17" ht="21" customHeight="1">
      <c r="A10" s="9"/>
      <c r="B10" s="11"/>
      <c r="C10" s="12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</row>
    <row r="11" spans="1:17" ht="18.75">
      <c r="A11" s="9"/>
      <c r="B11" s="9"/>
      <c r="C11" s="12"/>
      <c r="D11" s="9"/>
      <c r="E11" s="9"/>
      <c r="F11" s="9"/>
      <c r="G11" s="9"/>
      <c r="H11" s="9"/>
      <c r="I11" s="9"/>
      <c r="J11" s="9"/>
      <c r="K11" s="9"/>
      <c r="L11" s="9"/>
      <c r="M11" s="9"/>
      <c r="N11" s="38">
        <v>46058</v>
      </c>
      <c r="O11" s="38"/>
      <c r="P11" s="38"/>
      <c r="Q11" s="38"/>
    </row>
    <row r="12" spans="1:17" ht="18.75">
      <c r="A12" s="9"/>
      <c r="B12" s="9"/>
      <c r="C12" s="12"/>
      <c r="D12" s="9"/>
      <c r="E12" s="9"/>
      <c r="F12" s="9"/>
      <c r="G12" s="9"/>
      <c r="H12" s="9"/>
      <c r="I12" s="9"/>
      <c r="J12" s="9"/>
      <c r="K12" s="9"/>
      <c r="L12" s="9"/>
      <c r="M12" s="9"/>
      <c r="N12" s="20"/>
      <c r="O12" s="20"/>
      <c r="P12" s="20"/>
      <c r="Q12" s="20"/>
    </row>
    <row r="13" spans="1:17">
      <c r="A13" s="13"/>
      <c r="B13" s="13"/>
      <c r="C13" s="12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</row>
    <row r="14" spans="1:17">
      <c r="A14" s="13"/>
      <c r="B14" s="13"/>
      <c r="C14" s="12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</row>
    <row r="15" spans="1:17">
      <c r="A15" s="13"/>
      <c r="B15" s="13"/>
      <c r="C15" s="12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</row>
    <row r="16" spans="1:17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</row>
    <row r="17" spans="1: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</row>
    <row r="18" spans="1:17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</row>
    <row r="19" spans="1:17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</row>
  </sheetData>
  <mergeCells count="18">
    <mergeCell ref="A1:Q1"/>
    <mergeCell ref="A7:C7"/>
    <mergeCell ref="N11:Q11"/>
    <mergeCell ref="N12:Q12"/>
    <mergeCell ref="A4:A5"/>
    <mergeCell ref="B4:B5"/>
    <mergeCell ref="C4:C5"/>
    <mergeCell ref="D4:D5"/>
    <mergeCell ref="E4:E5"/>
    <mergeCell ref="K4:K5"/>
    <mergeCell ref="L4:L5"/>
    <mergeCell ref="M4:M5"/>
    <mergeCell ref="N4:N5"/>
    <mergeCell ref="O4:O5"/>
    <mergeCell ref="P4:P5"/>
    <mergeCell ref="Q4:Q5"/>
    <mergeCell ref="J4:J5"/>
    <mergeCell ref="I4:I5"/>
  </mergeCells>
  <phoneticPr fontId="13" type="noConversion"/>
  <pageMargins left="0.511811023622047" right="0.511811023622047" top="0.196850393700787" bottom="0.74803149606299202" header="0.31496062992126" footer="0.31496062992126"/>
  <pageSetup paperSize="9" scale="9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01FF72671DA647AA020B76642CAC9C" ma:contentTypeVersion="13" ma:contentTypeDescription="Create a new document." ma:contentTypeScope="" ma:versionID="a4fd34fbe28c8dd547947a8496e0f73c">
  <xsd:schema xmlns:xsd="http://www.w3.org/2001/XMLSchema" xmlns:xs="http://www.w3.org/2001/XMLSchema" xmlns:p="http://schemas.microsoft.com/office/2006/metadata/properties" xmlns:ns2="2e6e8895-a1a3-471c-8d53-a32df94e8e84" xmlns:ns3="78763921-75a2-4c66-8344-28a70ab3a1e1" targetNamespace="http://schemas.microsoft.com/office/2006/metadata/properties" ma:root="true" ma:fieldsID="939ad6d0b49507b7e5b97f0ca8411715" ns2:_="" ns3:_="">
    <xsd:import namespace="2e6e8895-a1a3-471c-8d53-a32df94e8e84"/>
    <xsd:import namespace="78763921-75a2-4c66-8344-28a70ab3a1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6e8895-a1a3-471c-8d53-a32df94e8e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63921-75a2-4c66-8344-28a70ab3a1e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532537-10CC-40F5-A17B-2B64C178E5CF}">
  <ds:schemaRefs/>
</ds:datastoreItem>
</file>

<file path=customXml/itemProps2.xml><?xml version="1.0" encoding="utf-8"?>
<ds:datastoreItem xmlns:ds="http://schemas.openxmlformats.org/officeDocument/2006/customXml" ds:itemID="{1FD0F0C3-FD85-4F4A-B3C7-C631F71BA556}">
  <ds:schemaRefs/>
</ds:datastoreItem>
</file>

<file path=customXml/itemProps3.xml><?xml version="1.0" encoding="utf-8"?>
<ds:datastoreItem xmlns:ds="http://schemas.openxmlformats.org/officeDocument/2006/customXml" ds:itemID="{938A6DA2-9912-4902-93FB-649328AF6AD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cp:lastPrinted>2026-02-05T05:59:32Z</cp:lastPrinted>
  <dcterms:created xsi:type="dcterms:W3CDTF">2006-09-13T11:21:00Z</dcterms:created>
  <dcterms:modified xsi:type="dcterms:W3CDTF">2026-02-05T05:59:36Z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0x0101002101FF72671DA647AA020B76642CAC9C</vt:lpwstr>
  </property>
  <property fmtid="{D5CDD505-2E9C-101B-9397-08002B2CF9AE}" pid="3" name="ICV">
    <vt:lpwstr>2F531F88BF9244829FD1C1635B20B9F7_13</vt:lpwstr>
  </property>
  <property fmtid="{D5CDD505-2E9C-101B-9397-08002B2CF9AE}" pid="4" name="KSOProductBuildVer">
    <vt:lpwstr>2052-12.1.0.18608</vt:lpwstr>
  </property>
</Properties>
</file>