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螺纹道钉 24-135 30000件 1-3\"/>
    </mc:Choice>
  </mc:AlternateContent>
  <xr:revisionPtr revIDLastSave="0" documentId="13_ncr:1_{CE7BD341-1B6D-4146-B4FA-1E54B19E5C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J4" i="1" l="1"/>
  <c r="L3" i="1"/>
  <c r="O3" i="1" s="1"/>
  <c r="N3" i="1"/>
  <c r="I3" i="1"/>
  <c r="G3" i="1"/>
  <c r="E3" i="1" s="1"/>
  <c r="P4" i="1" l="1"/>
  <c r="G4" i="1"/>
  <c r="N4" i="1"/>
  <c r="O4" i="1"/>
  <c r="E4" i="1"/>
</calcChain>
</file>

<file path=xl/sharedStrings.xml><?xml version="1.0" encoding="utf-8"?>
<sst xmlns="http://schemas.openxmlformats.org/spreadsheetml/2006/main" count="24" uniqueCount="24">
  <si>
    <t>包  装  明  细  表</t>
  </si>
  <si>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</si>
  <si>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</si>
  <si>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</si>
  <si>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</si>
  <si>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</si>
  <si>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</si>
  <si>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</si>
  <si>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</si>
  <si>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</si>
  <si>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</si>
  <si>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</si>
  <si>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</si>
  <si>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</si>
  <si>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</si>
  <si>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</si>
  <si>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</si>
  <si>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</si>
  <si>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</si>
  <si>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</si>
  <si>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t>ZSTL-CH2026011201-2</t>
    <phoneticPr fontId="6" type="noConversion"/>
  </si>
  <si>
    <t>24*135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</si>
  <si>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</si>
  <si>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螺纹道钉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</si>
</sst>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activeCell="D6" sqref="D6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17</v>
      </c>
      <c r="G2" s="1" t="s">
        <v>19</v>
      </c>
      <c r="H2" s="1" t="s">
        <v>18</v>
      </c>
      <c r="I2" s="2" t="s">
        <v>6</v>
      </c>
      <c r="J2" s="1" t="s">
        <v>7</v>
      </c>
      <c r="K2" s="2" t="s">
        <v>8</v>
      </c>
      <c r="L2" s="2" t="s">
        <v>9</v>
      </c>
      <c r="M2" s="1" t="s">
        <v>10</v>
      </c>
      <c r="N2" s="2" t="s">
        <v>11</v>
      </c>
      <c r="O2" s="2" t="s">
        <v>12</v>
      </c>
      <c r="P2" s="2" t="s">
        <v>13</v>
      </c>
    </row>
    <row r="3" spans="1:16" ht="43.5" customHeight="1" x14ac:dyDescent="0.15">
      <c r="A3" s="3">
        <v>1</v>
      </c>
      <c r="B3" s="4" t="s">
        <v>23</v>
      </c>
      <c r="C3" s="4" t="s">
        <v>21</v>
      </c>
      <c r="D3" s="13" t="s">
        <v>20</v>
      </c>
      <c r="E3" s="3">
        <f>F3*G3</f>
        <v>30400</v>
      </c>
      <c r="F3" s="3">
        <v>40</v>
      </c>
      <c r="G3" s="3">
        <f>H3*J3</f>
        <v>760</v>
      </c>
      <c r="H3" s="3">
        <v>40</v>
      </c>
      <c r="I3" s="3">
        <f>H3*F3</f>
        <v>1600</v>
      </c>
      <c r="J3" s="3">
        <v>19</v>
      </c>
      <c r="K3" s="3">
        <v>771.2</v>
      </c>
      <c r="L3" s="3">
        <f>K3+20</f>
        <v>791.2</v>
      </c>
      <c r="M3" s="10" t="s">
        <v>22</v>
      </c>
      <c r="N3" s="11">
        <f>K3*J3</f>
        <v>14652.800000000001</v>
      </c>
      <c r="O3" s="11">
        <f t="shared" ref="O3" si="0">L3*J3</f>
        <v>15032.800000000001</v>
      </c>
      <c r="P3" s="3">
        <f>0.58*J3</f>
        <v>11.02</v>
      </c>
    </row>
    <row r="4" spans="1:16" ht="39" customHeight="1" x14ac:dyDescent="0.15">
      <c r="A4" s="15" t="s">
        <v>14</v>
      </c>
      <c r="B4" s="16"/>
      <c r="C4" s="17"/>
      <c r="D4" s="5"/>
      <c r="E4" s="5">
        <f>SUM(E3:E3)</f>
        <v>30400</v>
      </c>
      <c r="F4" s="5"/>
      <c r="G4" s="5">
        <f>SUM(G3:G3)</f>
        <v>760</v>
      </c>
      <c r="H4" s="5"/>
      <c r="I4" s="5"/>
      <c r="J4" s="5">
        <f>SUM(J3:J3)</f>
        <v>19</v>
      </c>
      <c r="K4" s="5"/>
      <c r="L4" s="5"/>
      <c r="M4" s="5"/>
      <c r="N4" s="12">
        <f>SUM(N3:N3)</f>
        <v>14652.800000000001</v>
      </c>
      <c r="O4" s="12">
        <f>SUM(O3:O3)</f>
        <v>15032.800000000001</v>
      </c>
      <c r="P4" s="5">
        <f>SUM(P3:P3)</f>
        <v>11.02</v>
      </c>
    </row>
    <row r="5" spans="1:16" ht="21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 x14ac:dyDescent="0.15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 t="s">
        <v>15</v>
      </c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8" t="s">
        <v>16</v>
      </c>
      <c r="N8" s="19"/>
      <c r="O8" s="19"/>
      <c r="P8" s="19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20">
        <v>46052</v>
      </c>
      <c r="N9" s="20"/>
      <c r="O9" s="20"/>
      <c r="P9" s="20"/>
    </row>
    <row r="10" spans="1:16" x14ac:dyDescent="0.1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A1:P1"/>
    <mergeCell ref="A4:C4"/>
    <mergeCell ref="M8:P8"/>
    <mergeCell ref="M9:P9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2026-01-30T02:32:33Z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