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:\文件汇总\2026\合同与发货\安阳\15-16 6-1-2尖钉 32000+12000件 5-2\"/>
    </mc:Choice>
  </mc:AlternateContent>
  <xr:revisionPtr revIDLastSave="0" documentId="13_ncr:1_{B5884BEE-25A6-4CAF-AA3B-9764D96A172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  <c r="O4" i="1"/>
  <c r="L4" i="1"/>
  <c r="P4" i="1"/>
  <c r="J5" i="1"/>
  <c r="N4" i="1"/>
  <c r="E4" i="1"/>
  <c r="P3" i="1"/>
  <c r="O3" i="1"/>
  <c r="O5" i="1" s="1"/>
  <c r="N3" i="1"/>
  <c r="N5" i="1" s="1"/>
  <c r="I3" i="1"/>
  <c r="G3" i="1"/>
  <c r="G5" i="1" s="1"/>
  <c r="P8" i="1"/>
  <c r="L9" i="1"/>
  <c r="P9" i="1"/>
  <c r="N9" i="1"/>
  <c r="E9" i="1"/>
  <c r="J11" i="1"/>
  <c r="O8" i="1"/>
  <c r="N8" i="1"/>
  <c r="N11" i="1" s="1"/>
  <c r="I8" i="1"/>
  <c r="G8" i="1"/>
  <c r="E8" i="1" s="1"/>
  <c r="O11" i="1" l="1"/>
  <c r="P5" i="1"/>
  <c r="E3" i="1"/>
  <c r="E5" i="1" s="1"/>
  <c r="P11" i="1"/>
  <c r="G11" i="1"/>
  <c r="E11" i="1"/>
</calcChain>
</file>

<file path=xl/sharedStrings.xml><?xml version="1.0" encoding="utf-8"?>
<sst xmlns="http://schemas.openxmlformats.org/spreadsheetml/2006/main" count="53" uniqueCount="27">
  <si>
    <t>包  装  明  细  表</t>
  </si>
  <si>
    <t>产品名称</t>
  </si>
  <si>
    <t>型号及规格</t>
  </si>
  <si>
    <t>合同号</t>
  </si>
  <si>
    <t xml:space="preserve">件
</t>
  </si>
  <si>
    <t>件
/桶</t>
  </si>
  <si>
    <t>桶</t>
  </si>
  <si>
    <t>桶/托</t>
  </si>
  <si>
    <t>件
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</si>
  <si>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</si>
  <si>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</si>
  <si>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</si>
  <si>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</si>
  <si>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</si>
  <si>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</si>
  <si>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</si>
  <si>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螺纹尖钉</t>
  </si>
  <si>
    <t>合计</t>
  </si>
  <si>
    <t>唛头：</t>
  </si>
  <si>
    <t>苏州苏德兰铁路配件有限公司
有限公司</t>
  </si>
  <si>
    <t>15/16*6-1/2</t>
    <phoneticPr fontId="6" type="noConversion"/>
  </si>
  <si>
    <t>项号</t>
    <phoneticPr fontId="6" type="noConversion"/>
  </si>
  <si>
    <r>
      <t xml:space="preserve">950*950*720
</t>
    </r>
    <r>
      <rPr>
        <sz val="10"/>
        <color theme="1"/>
        <rFont val="宋体"/>
        <family val="3"/>
        <charset val="134"/>
        <scheme val="minor"/>
      </rPr>
      <t>0.65</t>
    </r>
    <phoneticPr fontId="6" type="noConversion"/>
  </si>
  <si>
    <t>ZSTL-KB2026041001-5</t>
    <phoneticPr fontId="6" type="noConversion"/>
  </si>
  <si>
    <r>
      <t xml:space="preserve">950*950*700
</t>
    </r>
    <r>
      <rPr>
        <sz val="10"/>
        <color theme="1"/>
        <rFont val="宋体"/>
        <family val="3"/>
        <charset val="134"/>
        <scheme val="minor"/>
      </rPr>
      <t>0.63</t>
    </r>
    <phoneticPr fontId="6" type="noConversion"/>
  </si>
  <si>
    <t>ZSTL-KB2026050602</t>
    <phoneticPr fontId="6" type="noConversion"/>
  </si>
  <si>
    <r>
      <t xml:space="preserve">950*950*450
</t>
    </r>
    <r>
      <rPr>
        <sz val="10"/>
        <color theme="1"/>
        <rFont val="宋体"/>
        <family val="3"/>
        <charset val="134"/>
        <scheme val="minor"/>
      </rPr>
      <t>0.41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</si>
</sst>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7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2"/>
  <sheetViews>
    <sheetView tabSelected="1" topLeftCell="A7" zoomScale="115" zoomScaleNormal="115" workbookViewId="0">
      <selection activeCell="O11" sqref="O11"/>
    </sheetView>
  </sheetViews>
  <sheetFormatPr defaultColWidth="9" defaultRowHeight="13.5" x14ac:dyDescent="0.15"/>
  <cols>
    <col min="1" max="1" width="4.625" customWidth="1"/>
    <col min="2" max="2" width="8.25" customWidth="1"/>
    <col min="3" max="3" width="11.125" customWidth="1"/>
    <col min="4" max="4" width="9.625" customWidth="1"/>
    <col min="5" max="7" width="6.625" customWidth="1"/>
    <col min="8" max="8" width="7.875" customWidth="1"/>
    <col min="9" max="10" width="7.125" customWidth="1"/>
    <col min="11" max="11" width="8.125" customWidth="1"/>
    <col min="12" max="12" width="8.5" customWidth="1"/>
    <col min="13" max="13" width="10.75" customWidth="1"/>
    <col min="14" max="16" width="9.5" customWidth="1"/>
  </cols>
  <sheetData>
    <row r="1" spans="1:16" ht="65.25" customHeight="1" x14ac:dyDescent="0.1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ht="42" customHeight="1" x14ac:dyDescent="0.15">
      <c r="A2" s="1" t="s">
        <v>21</v>
      </c>
      <c r="B2" s="1" t="s">
        <v>1</v>
      </c>
      <c r="C2" s="1" t="s">
        <v>2</v>
      </c>
      <c r="D2" s="1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2" t="s">
        <v>8</v>
      </c>
      <c r="J2" s="1" t="s">
        <v>9</v>
      </c>
      <c r="K2" s="2" t="s">
        <v>10</v>
      </c>
      <c r="L2" s="2" t="s">
        <v>11</v>
      </c>
      <c r="M2" s="1" t="s">
        <v>12</v>
      </c>
      <c r="N2" s="2" t="s">
        <v>13</v>
      </c>
      <c r="O2" s="2" t="s">
        <v>14</v>
      </c>
      <c r="P2" s="2" t="s">
        <v>15</v>
      </c>
    </row>
    <row r="3" spans="1:16" ht="41.25" customHeight="1" x14ac:dyDescent="0.15">
      <c r="A3" s="3">
        <v>1</v>
      </c>
      <c r="B3" s="4" t="s">
        <v>16</v>
      </c>
      <c r="C3" s="4" t="s">
        <v>20</v>
      </c>
      <c r="D3" s="17" t="s">
        <v>25</v>
      </c>
      <c r="E3" s="3">
        <f>F3*G3</f>
        <v>34020</v>
      </c>
      <c r="F3" s="3">
        <v>70</v>
      </c>
      <c r="G3" s="3">
        <f>H3*J3</f>
        <v>486</v>
      </c>
      <c r="H3" s="3">
        <v>18</v>
      </c>
      <c r="I3" s="3">
        <f>H3*F3</f>
        <v>1260</v>
      </c>
      <c r="J3" s="3">
        <v>27</v>
      </c>
      <c r="K3" s="3">
        <v>750</v>
      </c>
      <c r="L3" s="3">
        <v>808</v>
      </c>
      <c r="M3" s="10" t="s">
        <v>22</v>
      </c>
      <c r="N3" s="3">
        <f>K3*J3</f>
        <v>20250</v>
      </c>
      <c r="O3" s="3">
        <f t="shared" ref="O3:O4" si="0">L3*J3</f>
        <v>21816</v>
      </c>
      <c r="P3" s="3">
        <f>0.65*J3</f>
        <v>17.55</v>
      </c>
    </row>
    <row r="4" spans="1:16" ht="43.5" customHeight="1" x14ac:dyDescent="0.15">
      <c r="A4" s="3">
        <v>2</v>
      </c>
      <c r="B4" s="4" t="s">
        <v>16</v>
      </c>
      <c r="C4" s="4" t="s">
        <v>20</v>
      </c>
      <c r="D4" s="18"/>
      <c r="E4" s="3">
        <f>F4*G4</f>
        <v>280</v>
      </c>
      <c r="F4" s="3">
        <v>70</v>
      </c>
      <c r="G4" s="3">
        <v>4</v>
      </c>
      <c r="H4" s="3">
        <v>4</v>
      </c>
      <c r="I4" s="3">
        <v>630</v>
      </c>
      <c r="J4" s="3">
        <v>1</v>
      </c>
      <c r="K4" s="3">
        <v>167</v>
      </c>
      <c r="L4" s="3">
        <f>K4+30</f>
        <v>197</v>
      </c>
      <c r="M4" s="10" t="s">
        <v>26</v>
      </c>
      <c r="N4" s="3">
        <f>K4*J4</f>
        <v>167</v>
      </c>
      <c r="O4" s="3">
        <f t="shared" si="0"/>
        <v>197</v>
      </c>
      <c r="P4" s="3">
        <f>0.41*J4</f>
        <v>0.41</v>
      </c>
    </row>
    <row r="5" spans="1:16" ht="39" customHeight="1" x14ac:dyDescent="0.15">
      <c r="A5" s="14" t="s">
        <v>17</v>
      </c>
      <c r="B5" s="15"/>
      <c r="C5" s="16"/>
      <c r="D5" s="3"/>
      <c r="E5" s="5">
        <f>SUM(E3:E4)</f>
        <v>34300</v>
      </c>
      <c r="F5" s="5"/>
      <c r="G5" s="5">
        <f>SUM(G3:G4)</f>
        <v>490</v>
      </c>
      <c r="H5" s="5"/>
      <c r="I5" s="5"/>
      <c r="J5" s="5">
        <f>SUM(J3:J4)</f>
        <v>28</v>
      </c>
      <c r="K5" s="5"/>
      <c r="L5" s="5"/>
      <c r="M5" s="5"/>
      <c r="N5" s="5">
        <f>SUM(N3:N4)</f>
        <v>20417</v>
      </c>
      <c r="O5" s="5">
        <f>SUM(O3:O4)</f>
        <v>22013</v>
      </c>
      <c r="P5" s="5">
        <f>SUM(P3:P4)</f>
        <v>17.96</v>
      </c>
    </row>
    <row r="6" spans="1:16" ht="31.5" customHeight="1" x14ac:dyDescent="0.15">
      <c r="A6" s="12"/>
      <c r="B6" s="6"/>
      <c r="C6" s="13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spans="1:16" ht="42" customHeight="1" x14ac:dyDescent="0.15">
      <c r="A7" s="1" t="s">
        <v>21</v>
      </c>
      <c r="B7" s="1" t="s">
        <v>1</v>
      </c>
      <c r="C7" s="1" t="s">
        <v>2</v>
      </c>
      <c r="D7" s="1" t="s">
        <v>3</v>
      </c>
      <c r="E7" s="2" t="s">
        <v>4</v>
      </c>
      <c r="F7" s="2" t="s">
        <v>5</v>
      </c>
      <c r="G7" s="1" t="s">
        <v>6</v>
      </c>
      <c r="H7" s="1" t="s">
        <v>7</v>
      </c>
      <c r="I7" s="2" t="s">
        <v>8</v>
      </c>
      <c r="J7" s="1" t="s">
        <v>9</v>
      </c>
      <c r="K7" s="2" t="s">
        <v>10</v>
      </c>
      <c r="L7" s="2" t="s">
        <v>11</v>
      </c>
      <c r="M7" s="1" t="s">
        <v>12</v>
      </c>
      <c r="N7" s="2" t="s">
        <v>13</v>
      </c>
      <c r="O7" s="2" t="s">
        <v>14</v>
      </c>
      <c r="P7" s="2" t="s">
        <v>15</v>
      </c>
    </row>
    <row r="8" spans="1:16" ht="41.25" customHeight="1" x14ac:dyDescent="0.15">
      <c r="A8" s="3">
        <v>1</v>
      </c>
      <c r="B8" s="4" t="s">
        <v>16</v>
      </c>
      <c r="C8" s="4" t="s">
        <v>20</v>
      </c>
      <c r="D8" s="17" t="s">
        <v>23</v>
      </c>
      <c r="E8" s="3">
        <f>F8*G8</f>
        <v>11340</v>
      </c>
      <c r="F8" s="3">
        <v>70</v>
      </c>
      <c r="G8" s="3">
        <f>H8*J8</f>
        <v>162</v>
      </c>
      <c r="H8" s="3">
        <v>18</v>
      </c>
      <c r="I8" s="3">
        <f>H8*F8</f>
        <v>1260</v>
      </c>
      <c r="J8" s="3">
        <v>9</v>
      </c>
      <c r="K8" s="3">
        <v>750</v>
      </c>
      <c r="L8" s="3">
        <v>808</v>
      </c>
      <c r="M8" s="10" t="s">
        <v>22</v>
      </c>
      <c r="N8" s="3">
        <f>K8*J8</f>
        <v>6750</v>
      </c>
      <c r="O8" s="3">
        <f t="shared" ref="O8" si="1">L8*J8</f>
        <v>7272</v>
      </c>
      <c r="P8" s="3">
        <f>0.65*J8</f>
        <v>5.8500000000000005</v>
      </c>
    </row>
    <row r="9" spans="1:16" ht="31.5" customHeight="1" x14ac:dyDescent="0.15">
      <c r="A9" s="3">
        <v>2</v>
      </c>
      <c r="B9" s="4" t="s">
        <v>16</v>
      </c>
      <c r="C9" s="4" t="s">
        <v>20</v>
      </c>
      <c r="D9" s="18"/>
      <c r="E9" s="3">
        <f>F9*G9</f>
        <v>630</v>
      </c>
      <c r="F9" s="3">
        <v>70</v>
      </c>
      <c r="G9" s="3">
        <v>9</v>
      </c>
      <c r="H9" s="23">
        <v>10</v>
      </c>
      <c r="I9" s="3">
        <v>630</v>
      </c>
      <c r="J9" s="26">
        <v>1</v>
      </c>
      <c r="K9" s="26">
        <v>393</v>
      </c>
      <c r="L9" s="26">
        <f>K9+39</f>
        <v>432</v>
      </c>
      <c r="M9" s="27" t="s">
        <v>24</v>
      </c>
      <c r="N9" s="26">
        <f>K9*J9</f>
        <v>393</v>
      </c>
      <c r="O9" s="26">
        <f>L9*J9</f>
        <v>432</v>
      </c>
      <c r="P9" s="26">
        <f>0.63*J9</f>
        <v>0.63</v>
      </c>
    </row>
    <row r="10" spans="1:16" ht="31.5" customHeight="1" x14ac:dyDescent="0.15">
      <c r="A10" s="3">
        <v>3</v>
      </c>
      <c r="B10" s="4" t="s">
        <v>16</v>
      </c>
      <c r="C10" s="4" t="s">
        <v>20</v>
      </c>
      <c r="D10" s="25"/>
      <c r="E10" s="3">
        <v>30</v>
      </c>
      <c r="F10" s="3">
        <v>30</v>
      </c>
      <c r="G10" s="3">
        <v>1</v>
      </c>
      <c r="H10" s="24"/>
      <c r="I10" s="3">
        <v>30</v>
      </c>
      <c r="J10" s="26"/>
      <c r="K10" s="26"/>
      <c r="L10" s="26"/>
      <c r="M10" s="27"/>
      <c r="N10" s="26"/>
      <c r="O10" s="26"/>
      <c r="P10" s="26"/>
    </row>
    <row r="11" spans="1:16" ht="39" customHeight="1" x14ac:dyDescent="0.15">
      <c r="A11" s="14" t="s">
        <v>17</v>
      </c>
      <c r="B11" s="15"/>
      <c r="C11" s="16"/>
      <c r="D11" s="5"/>
      <c r="E11" s="5">
        <f>SUM(E8:E10)</f>
        <v>12000</v>
      </c>
      <c r="F11" s="5"/>
      <c r="G11" s="5">
        <f>SUM(G8:G10)</f>
        <v>172</v>
      </c>
      <c r="H11" s="5"/>
      <c r="I11" s="5"/>
      <c r="J11" s="5">
        <f>SUM(J8:J10)</f>
        <v>10</v>
      </c>
      <c r="K11" s="5"/>
      <c r="L11" s="5"/>
      <c r="M11" s="5"/>
      <c r="N11" s="5">
        <f>SUM(N8:N10)</f>
        <v>7143</v>
      </c>
      <c r="O11" s="5">
        <f>SUM(O8:O10)</f>
        <v>7704</v>
      </c>
      <c r="P11" s="5">
        <f>SUM(P8:P10)</f>
        <v>6.48</v>
      </c>
    </row>
    <row r="12" spans="1:16" ht="21" customHeight="1" x14ac:dyDescent="0.1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ht="21" customHeight="1" x14ac:dyDescent="0.15">
      <c r="A13" s="6"/>
      <c r="B13" s="6" t="s">
        <v>18</v>
      </c>
      <c r="C13" s="7">
        <v>0.59499999999999997</v>
      </c>
      <c r="D13" s="8"/>
      <c r="E13" s="8"/>
      <c r="F13" s="8"/>
      <c r="G13" s="8"/>
      <c r="H13" s="8"/>
      <c r="I13" s="8"/>
      <c r="J13" s="8"/>
      <c r="K13" s="8"/>
      <c r="L13" s="8"/>
      <c r="M13" s="6"/>
      <c r="N13" s="6"/>
      <c r="O13" s="6"/>
      <c r="P13" s="6"/>
    </row>
    <row r="14" spans="1:16" ht="14.25" x14ac:dyDescent="0.15">
      <c r="A14" s="6"/>
      <c r="B14" s="6"/>
      <c r="C14" s="7"/>
      <c r="D14" s="8"/>
      <c r="E14" s="8"/>
      <c r="F14" s="8"/>
      <c r="G14" s="8"/>
      <c r="H14" s="8"/>
      <c r="I14" s="8"/>
      <c r="J14" s="8"/>
      <c r="K14" s="8"/>
      <c r="L14" s="8"/>
      <c r="M14" s="20" t="s">
        <v>19</v>
      </c>
      <c r="N14" s="21"/>
      <c r="O14" s="21"/>
      <c r="P14" s="21"/>
    </row>
    <row r="15" spans="1:16" ht="14.25" x14ac:dyDescent="0.15">
      <c r="A15" s="6"/>
      <c r="B15" s="6"/>
      <c r="C15" s="7"/>
      <c r="D15" s="8"/>
      <c r="E15" s="8"/>
      <c r="F15" s="8"/>
      <c r="G15" s="8"/>
      <c r="H15" s="8"/>
      <c r="I15" s="8"/>
      <c r="J15" s="8"/>
      <c r="K15" s="8"/>
      <c r="L15" s="8"/>
      <c r="M15" s="22">
        <v>46178</v>
      </c>
      <c r="N15" s="22"/>
      <c r="O15" s="22"/>
      <c r="P15" s="22"/>
    </row>
    <row r="16" spans="1:16" x14ac:dyDescent="0.15">
      <c r="A16" s="9"/>
      <c r="B16" s="9"/>
      <c r="C16" s="8"/>
      <c r="D16" s="8"/>
      <c r="E16" s="8"/>
      <c r="F16" s="8"/>
      <c r="G16" s="8"/>
      <c r="H16" s="8"/>
      <c r="I16" s="8"/>
      <c r="J16" s="8"/>
      <c r="K16" s="8"/>
      <c r="L16" s="8"/>
      <c r="M16" s="9"/>
      <c r="N16" s="9"/>
      <c r="O16" s="9"/>
      <c r="P16" s="9"/>
    </row>
    <row r="17" spans="1:16" x14ac:dyDescent="0.1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6" x14ac:dyDescent="0.1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1:16" x14ac:dyDescent="0.1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1:16" x14ac:dyDescent="0.1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spans="1:16" x14ac:dyDescent="0.1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spans="1:16" x14ac:dyDescent="0.1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</row>
  </sheetData>
  <mergeCells count="15">
    <mergeCell ref="M15:P15"/>
    <mergeCell ref="H9:H10"/>
    <mergeCell ref="D8:D10"/>
    <mergeCell ref="K9:K10"/>
    <mergeCell ref="L9:L10"/>
    <mergeCell ref="M9:M10"/>
    <mergeCell ref="N9:N10"/>
    <mergeCell ref="O9:O10"/>
    <mergeCell ref="P9:P10"/>
    <mergeCell ref="J9:J10"/>
    <mergeCell ref="A5:C5"/>
    <mergeCell ref="D3:D4"/>
    <mergeCell ref="A1:P1"/>
    <mergeCell ref="A11:C11"/>
    <mergeCell ref="M14:P14"/>
  </mergeCells>
  <phoneticPr fontId="6" type="noConversion"/>
  <pageMargins left="0.7" right="0.7" top="0.75" bottom="0.75" header="0.3" footer="0.3"/>
  <pageSetup paperSize="9" orientation="landscape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2026-06-05T08:57:28Z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93531C48D9254937AADF1DCCEC2D5BC1_12</vt:lpwstr>
  </property>
  <property fmtid="{D5CDD505-2E9C-101B-9397-08002B2CF9AE}" pid="3" name="KSOProductBuildVer">
    <vt:lpwstr>2052-12.1.0.18240</vt:lpwstr>
  </property>
</Properties>
</file>