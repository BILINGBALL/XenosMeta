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T型螺栓22-65 130000套 4-2\"/>
    </mc:Choice>
  </mc:AlternateContent>
  <xr:revisionPtr revIDLastSave="0" documentId="13_ncr:1_{2B255934-0AF8-433F-902C-F5D35315C6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O3" i="1"/>
  <c r="N3" i="1"/>
  <c r="I3" i="1"/>
  <c r="G3" i="1"/>
  <c r="E3" i="1" s="1"/>
  <c r="J4" i="1" l="1"/>
  <c r="P4" i="1" l="1"/>
  <c r="G4" i="1"/>
  <c r="N4" i="1"/>
  <c r="O4" i="1"/>
  <c r="E4" i="1"/>
</calcChain>
</file>

<file path=xl/sharedStrings.xml><?xml version="1.0" encoding="utf-8"?>
<sst xmlns="http://schemas.openxmlformats.org/spreadsheetml/2006/main" count="24" uniqueCount="24">
  <si>
    <t>柜号</t>
  </si>
  <si>
    <t>产品名称</t>
  </si>
  <si>
    <t>型号及规格</t>
  </si>
  <si>
    <t>合同号</t>
  </si>
  <si>
    <t xml:space="preserve">件
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</si>
  <si>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</si>
  <si>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</si>
  <si>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</si>
  <si>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</si>
  <si>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</si>
  <si>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</si>
  <si>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</si>
  <si>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</si>
  <si>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合计</t>
  </si>
  <si>
    <t>唛头：</t>
  </si>
  <si>
    <t>苏州苏德兰铁路配件有限公司
有限公司</t>
  </si>
  <si>
    <t>件
/袋</t>
    <phoneticPr fontId="6" type="noConversion"/>
  </si>
  <si>
    <t>袋/托</t>
    <phoneticPr fontId="6" type="noConversion"/>
  </si>
  <si>
    <t>袋</t>
    <phoneticPr fontId="6" type="noConversion"/>
  </si>
  <si>
    <t>螺母</t>
  </si>
  <si>
    <t>M22</t>
    <phoneticPr fontId="6" type="noConversion"/>
  </si>
  <si>
    <t>ZSTL-CH2026032701-1/ 032702-1</t>
    <phoneticPr fontId="6" type="noConversion"/>
  </si>
  <si>
    <t>包  装  明  细  表</t>
    <phoneticPr fontId="6" type="noConversion"/>
  </si>
  <si>
    <r>
      <t xml:space="preserve">1200*800*550
</t>
    </r>
    <r>
      <rPr>
        <sz val="10"/>
        <color theme="1"/>
        <rFont val="宋体"/>
        <family val="3"/>
        <charset val="134"/>
        <scheme val="minor"/>
      </rPr>
      <t>0.53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</si>
</sst>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7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58" fontId="2" fillId="0" borderId="3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zoomScale="115" zoomScaleNormal="115" workbookViewId="0">
      <selection activeCell="J4" sqref="J4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42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16</v>
      </c>
      <c r="G2" s="1" t="s">
        <v>18</v>
      </c>
      <c r="H2" s="1" t="s">
        <v>17</v>
      </c>
      <c r="I2" s="2" t="s">
        <v>5</v>
      </c>
      <c r="J2" s="1" t="s">
        <v>6</v>
      </c>
      <c r="K2" s="2" t="s">
        <v>7</v>
      </c>
      <c r="L2" s="2" t="s">
        <v>8</v>
      </c>
      <c r="M2" s="1" t="s">
        <v>9</v>
      </c>
      <c r="N2" s="2" t="s">
        <v>10</v>
      </c>
      <c r="O2" s="2" t="s">
        <v>11</v>
      </c>
      <c r="P2" s="2" t="s">
        <v>12</v>
      </c>
    </row>
    <row r="3" spans="1:16" ht="66.75" customHeight="1" x14ac:dyDescent="0.15">
      <c r="A3" s="4">
        <v>1</v>
      </c>
      <c r="B3" s="4" t="s">
        <v>19</v>
      </c>
      <c r="C3" s="14" t="s">
        <v>20</v>
      </c>
      <c r="D3" s="13" t="s">
        <v>21</v>
      </c>
      <c r="E3" s="3">
        <f t="shared" ref="E3" si="0">F3*G3</f>
        <v>40320</v>
      </c>
      <c r="F3" s="3">
        <v>120</v>
      </c>
      <c r="G3" s="3">
        <f t="shared" ref="G3" si="1">H3*J3</f>
        <v>336</v>
      </c>
      <c r="H3" s="3">
        <v>42</v>
      </c>
      <c r="I3" s="3">
        <f t="shared" ref="I3" si="2">H3*F3</f>
        <v>5040</v>
      </c>
      <c r="J3" s="3">
        <v>8</v>
      </c>
      <c r="K3" s="3">
        <v>832</v>
      </c>
      <c r="L3" s="3">
        <v>876</v>
      </c>
      <c r="M3" s="10" t="s">
        <v>23</v>
      </c>
      <c r="N3" s="11">
        <f t="shared" ref="N3" si="3">K3*J3</f>
        <v>6656</v>
      </c>
      <c r="O3" s="11">
        <f t="shared" ref="O3" si="4">L3*J3</f>
        <v>7008</v>
      </c>
      <c r="P3" s="3">
        <f>0.53*J3</f>
        <v>4.24</v>
      </c>
    </row>
    <row r="4" spans="1:16" ht="39" customHeight="1" x14ac:dyDescent="0.15">
      <c r="A4" s="16" t="s">
        <v>13</v>
      </c>
      <c r="B4" s="17"/>
      <c r="C4" s="18"/>
      <c r="D4" s="5"/>
      <c r="E4" s="5">
        <f>SUM(E3:E3)</f>
        <v>40320</v>
      </c>
      <c r="F4" s="5"/>
      <c r="G4" s="5">
        <f>SUM(G3:G3)</f>
        <v>336</v>
      </c>
      <c r="H4" s="5"/>
      <c r="I4" s="5"/>
      <c r="J4" s="5">
        <f>SUM(J3:J3)</f>
        <v>8</v>
      </c>
      <c r="K4" s="5"/>
      <c r="L4" s="5"/>
      <c r="M4" s="5"/>
      <c r="N4" s="12">
        <f>SUM(N3:N3)</f>
        <v>6656</v>
      </c>
      <c r="O4" s="12">
        <f>SUM(O3:O3)</f>
        <v>7008</v>
      </c>
      <c r="P4" s="5">
        <f>SUM(P3:P3)</f>
        <v>4.24</v>
      </c>
    </row>
    <row r="5" spans="1:16" ht="21" customHeight="1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1" customHeight="1" x14ac:dyDescent="0.15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21" customHeight="1" x14ac:dyDescent="0.15">
      <c r="A7" s="6"/>
      <c r="B7" s="6" t="s">
        <v>14</v>
      </c>
      <c r="C7" s="7"/>
      <c r="D7" s="8"/>
      <c r="E7" s="8"/>
      <c r="F7" s="8"/>
      <c r="G7" s="8"/>
      <c r="H7" s="8"/>
      <c r="I7" s="8"/>
      <c r="J7" s="8"/>
      <c r="K7" s="8"/>
      <c r="L7" s="8"/>
      <c r="M7" s="6"/>
      <c r="N7" s="6"/>
      <c r="O7" s="6"/>
      <c r="P7" s="6"/>
    </row>
    <row r="8" spans="1:16" ht="14.25" x14ac:dyDescent="0.15">
      <c r="A8" s="6"/>
      <c r="B8" s="6"/>
      <c r="C8" s="7"/>
      <c r="D8" s="8"/>
      <c r="E8" s="8"/>
      <c r="F8" s="8"/>
      <c r="G8" s="8"/>
      <c r="H8" s="8"/>
      <c r="I8" s="8"/>
      <c r="J8" s="8"/>
      <c r="K8" s="8"/>
      <c r="L8" s="8"/>
      <c r="M8" s="19" t="s">
        <v>15</v>
      </c>
      <c r="N8" s="20"/>
      <c r="O8" s="20"/>
      <c r="P8" s="20"/>
    </row>
    <row r="9" spans="1:16" ht="14.25" x14ac:dyDescent="0.15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21">
        <v>46156</v>
      </c>
      <c r="N9" s="21"/>
      <c r="O9" s="21"/>
      <c r="P9" s="21"/>
    </row>
    <row r="10" spans="1:16" x14ac:dyDescent="0.15">
      <c r="A10" s="9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9"/>
    </row>
    <row r="11" spans="1:16" x14ac:dyDescent="0.1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</sheetData>
  <mergeCells count="4">
    <mergeCell ref="A1:P1"/>
    <mergeCell ref="A4:C4"/>
    <mergeCell ref="M8:P8"/>
    <mergeCell ref="M9:P9"/>
  </mergeCells>
  <phoneticPr fontId="6" type="noConversion"/>
  <pageMargins left="0.7" right="0.7" top="0.75" bottom="0.75" header="0.3" footer="0.3"/>
  <pageSetup paperSize="9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2026-05-14T03:16:48Z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