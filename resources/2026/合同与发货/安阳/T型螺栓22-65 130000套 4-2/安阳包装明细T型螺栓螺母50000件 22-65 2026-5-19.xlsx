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T型螺栓22-65 130000套 4-2\"/>
    </mc:Choice>
  </mc:AlternateContent>
  <xr:revisionPtr revIDLastSave="0" documentId="8_{77A67E60-9CE1-43EF-A42B-5BEE013BCC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O6" i="1" s="1"/>
  <c r="P4" i="1"/>
  <c r="N4" i="1"/>
  <c r="L4" i="1"/>
  <c r="O4" i="1" s="1"/>
  <c r="I4" i="1"/>
  <c r="G4" i="1"/>
  <c r="E4" i="1" s="1"/>
  <c r="O5" i="1"/>
  <c r="P6" i="1"/>
  <c r="N6" i="1"/>
  <c r="G6" i="1"/>
  <c r="P5" i="1"/>
  <c r="N5" i="1"/>
  <c r="I5" i="1"/>
  <c r="G5" i="1"/>
  <c r="E5" i="1" s="1"/>
  <c r="P3" i="1"/>
  <c r="J8" i="1" l="1"/>
  <c r="O3" i="1"/>
  <c r="N3" i="1"/>
  <c r="I3" i="1"/>
  <c r="G3" i="1"/>
  <c r="E3" i="1" s="1"/>
  <c r="P8" i="1" l="1"/>
  <c r="G8" i="1"/>
  <c r="N8" i="1"/>
  <c r="O8" i="1"/>
  <c r="E8" i="1"/>
</calcChain>
</file>

<file path=xl/sharedStrings.xml><?xml version="1.0" encoding="utf-8"?>
<sst xmlns="http://schemas.openxmlformats.org/spreadsheetml/2006/main" count="30" uniqueCount="29">
  <si>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</si>
  <si>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</si>
  <si>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</si>
  <si>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</si>
  <si>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</si>
  <si>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</si>
  <si>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</si>
  <si>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</si>
  <si>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</si>
  <si>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</si>
  <si>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</si>
  <si>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</si>
  <si>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</si>
  <si>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</si>
  <si>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</si>
  <si>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</si>
  <si>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</si>
  <si>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</si>
  <si>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</si>
  <si>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</si>
  <si>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螺母</t>
  </si>
  <si>
    <t>M22</t>
    <phoneticPr fontId="6" type="noConversion"/>
  </si>
  <si>
    <t>M22*65</t>
    <phoneticPr fontId="6" type="noConversion"/>
  </si>
  <si>
    <t>ZSTL-CH2026032701-1/032702-1</t>
    <phoneticPr fontId="6" type="noConversion"/>
  </si>
  <si>
    <t>T型螺栓</t>
    <phoneticPr fontId="6" type="noConversion"/>
  </si>
  <si>
    <r>
      <t xml:space="preserve">1200*800*550
</t>
    </r>
    <r>
      <rPr>
        <sz val="10"/>
        <color theme="1"/>
        <rFont val="宋体"/>
        <family val="3"/>
        <charset val="134"/>
        <scheme val="minor"/>
      </rPr>
      <t>0.53</t>
    </r>
    <phoneticPr fontId="6" type="noConversion"/>
  </si>
  <si>
    <t>1200*800*550
0.53</t>
    <phoneticPr fontId="6" type="noConversion"/>
  </si>
  <si>
    <t>包  装  明  细  表</t>
    <phoneticPr fontId="6" type="noConversion"/>
  </si>
  <si>
    <t>第三批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</si>
</sst>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7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topLeftCell="A4" zoomScale="115" zoomScaleNormal="115" workbookViewId="0">
      <selection activeCell="C11" sqref="C10:C11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38.25" customHeight="1" x14ac:dyDescent="0.15">
      <c r="A3" s="4">
        <v>1</v>
      </c>
      <c r="B3" s="25" t="s">
        <v>24</v>
      </c>
      <c r="C3" s="25" t="s">
        <v>22</v>
      </c>
      <c r="D3" s="24" t="s">
        <v>23</v>
      </c>
      <c r="E3" s="3">
        <f>F3*G3</f>
        <v>47040</v>
      </c>
      <c r="F3" s="3">
        <v>80</v>
      </c>
      <c r="G3" s="3">
        <f>H3*J3</f>
        <v>588</v>
      </c>
      <c r="H3" s="3">
        <v>42</v>
      </c>
      <c r="I3" s="3">
        <f>H3*F3</f>
        <v>3360</v>
      </c>
      <c r="J3" s="3">
        <v>14</v>
      </c>
      <c r="K3" s="3">
        <v>991</v>
      </c>
      <c r="L3" s="3">
        <v>1026</v>
      </c>
      <c r="M3" s="10" t="s">
        <v>19</v>
      </c>
      <c r="N3" s="11">
        <f>K3*J3</f>
        <v>13874</v>
      </c>
      <c r="O3" s="11">
        <f t="shared" ref="O3" si="0">L3*J3</f>
        <v>14364</v>
      </c>
      <c r="P3" s="3">
        <f>0.58*J3</f>
        <v>8.1199999999999992</v>
      </c>
    </row>
    <row r="4" spans="1:16" ht="38.25" customHeight="1" x14ac:dyDescent="0.15">
      <c r="A4" s="4">
        <v>2</v>
      </c>
      <c r="B4" s="27"/>
      <c r="C4" s="27"/>
      <c r="D4" s="24"/>
      <c r="E4" s="3">
        <f>F4*G4</f>
        <v>2960</v>
      </c>
      <c r="F4" s="3">
        <v>80</v>
      </c>
      <c r="G4" s="3">
        <f>H4*J4</f>
        <v>37</v>
      </c>
      <c r="H4" s="3">
        <v>37</v>
      </c>
      <c r="I4" s="3">
        <f>H4*F4</f>
        <v>2960</v>
      </c>
      <c r="J4" s="3">
        <v>1</v>
      </c>
      <c r="K4" s="3">
        <v>873</v>
      </c>
      <c r="L4" s="3">
        <f>K4+40</f>
        <v>913</v>
      </c>
      <c r="M4" s="10" t="s">
        <v>19</v>
      </c>
      <c r="N4" s="11">
        <f>K4*J4</f>
        <v>873</v>
      </c>
      <c r="O4" s="11">
        <f t="shared" ref="O4" si="1">L4*J4</f>
        <v>913</v>
      </c>
      <c r="P4" s="3">
        <f>0.58*J4</f>
        <v>0.57999999999999996</v>
      </c>
    </row>
    <row r="5" spans="1:16" ht="29.25" customHeight="1" x14ac:dyDescent="0.15">
      <c r="A5" s="4">
        <v>3</v>
      </c>
      <c r="B5" s="25" t="s">
        <v>20</v>
      </c>
      <c r="C5" s="28" t="s">
        <v>21</v>
      </c>
      <c r="D5" s="24"/>
      <c r="E5" s="3">
        <f t="shared" ref="E5" si="2">F5*G5</f>
        <v>45360</v>
      </c>
      <c r="F5" s="3">
        <v>120</v>
      </c>
      <c r="G5" s="3">
        <f t="shared" ref="G5" si="3">H5*J5</f>
        <v>378</v>
      </c>
      <c r="H5" s="3">
        <v>42</v>
      </c>
      <c r="I5" s="3">
        <f t="shared" ref="I5" si="4">H5*F5</f>
        <v>5040</v>
      </c>
      <c r="J5" s="3">
        <v>9</v>
      </c>
      <c r="K5" s="3">
        <v>832</v>
      </c>
      <c r="L5" s="3">
        <v>876</v>
      </c>
      <c r="M5" s="10" t="s">
        <v>25</v>
      </c>
      <c r="N5" s="11">
        <f t="shared" ref="N5" si="5">K5*J5</f>
        <v>7488</v>
      </c>
      <c r="O5" s="11">
        <f t="shared" ref="O5" si="6">L5*J5</f>
        <v>7884</v>
      </c>
      <c r="P5" s="3">
        <f t="shared" ref="P5" si="7">0.58*J5</f>
        <v>5.22</v>
      </c>
    </row>
    <row r="6" spans="1:16" ht="29.25" customHeight="1" x14ac:dyDescent="0.15">
      <c r="A6" s="4">
        <v>4</v>
      </c>
      <c r="B6" s="26"/>
      <c r="C6" s="29"/>
      <c r="D6" s="24"/>
      <c r="E6" s="17">
        <v>4640</v>
      </c>
      <c r="F6" s="3">
        <v>120</v>
      </c>
      <c r="G6" s="3">
        <f>H6*J6</f>
        <v>38</v>
      </c>
      <c r="H6" s="3">
        <v>38</v>
      </c>
      <c r="I6" s="3">
        <v>4560</v>
      </c>
      <c r="J6" s="17">
        <v>1</v>
      </c>
      <c r="K6" s="17">
        <v>765</v>
      </c>
      <c r="L6" s="17">
        <f>K6+44</f>
        <v>809</v>
      </c>
      <c r="M6" s="19" t="s">
        <v>26</v>
      </c>
      <c r="N6" s="31">
        <f>K6</f>
        <v>765</v>
      </c>
      <c r="O6" s="31">
        <f>L6</f>
        <v>809</v>
      </c>
      <c r="P6" s="17">
        <f>0.58</f>
        <v>0.57999999999999996</v>
      </c>
    </row>
    <row r="7" spans="1:16" ht="29.25" customHeight="1" x14ac:dyDescent="0.15">
      <c r="A7" s="4">
        <v>5</v>
      </c>
      <c r="B7" s="27"/>
      <c r="C7" s="30"/>
      <c r="D7" s="24"/>
      <c r="E7" s="18"/>
      <c r="F7" s="3">
        <v>80</v>
      </c>
      <c r="G7" s="3">
        <v>1</v>
      </c>
      <c r="H7" s="3">
        <v>1</v>
      </c>
      <c r="I7" s="3">
        <v>80</v>
      </c>
      <c r="J7" s="18"/>
      <c r="K7" s="18"/>
      <c r="L7" s="18"/>
      <c r="M7" s="20"/>
      <c r="N7" s="32"/>
      <c r="O7" s="32"/>
      <c r="P7" s="18"/>
    </row>
    <row r="8" spans="1:16" ht="39" customHeight="1" x14ac:dyDescent="0.15">
      <c r="A8" s="14" t="s">
        <v>13</v>
      </c>
      <c r="B8" s="15"/>
      <c r="C8" s="16"/>
      <c r="D8" s="5"/>
      <c r="E8" s="5">
        <f>SUM(E3:E7)</f>
        <v>100000</v>
      </c>
      <c r="F8" s="5"/>
      <c r="G8" s="5">
        <f>SUM(G3:G7)</f>
        <v>1042</v>
      </c>
      <c r="H8" s="5"/>
      <c r="I8" s="5"/>
      <c r="J8" s="5">
        <f>SUM(J3:J7)</f>
        <v>25</v>
      </c>
      <c r="K8" s="5"/>
      <c r="L8" s="5"/>
      <c r="M8" s="5"/>
      <c r="N8" s="12">
        <f>SUM(N3:N7)</f>
        <v>23000</v>
      </c>
      <c r="O8" s="12">
        <f>SUM(O3:O7)</f>
        <v>23970</v>
      </c>
      <c r="P8" s="5">
        <f>SUM(P3:P7)</f>
        <v>14.499999999999998</v>
      </c>
    </row>
    <row r="9" spans="1:16" ht="21" customHeight="1" x14ac:dyDescent="0.15">
      <c r="A9" s="6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21" customHeight="1" x14ac:dyDescent="0.15">
      <c r="A11" s="6"/>
      <c r="B11" s="6" t="s">
        <v>14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6"/>
      <c r="N11" s="6"/>
      <c r="O11" s="6"/>
      <c r="P11" s="6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21" t="s">
        <v>15</v>
      </c>
      <c r="N12" s="22"/>
      <c r="O12" s="22"/>
      <c r="P12" s="22"/>
    </row>
    <row r="13" spans="1:16" ht="14.25" x14ac:dyDescent="0.15">
      <c r="A13" s="6"/>
      <c r="B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23">
        <v>46161</v>
      </c>
      <c r="N13" s="23"/>
      <c r="O13" s="23"/>
      <c r="P13" s="23"/>
    </row>
    <row r="14" spans="1:16" x14ac:dyDescent="0.15">
      <c r="A14" s="9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17">
    <mergeCell ref="M12:P12"/>
    <mergeCell ref="M13:P13"/>
    <mergeCell ref="D3:D7"/>
    <mergeCell ref="B5:B7"/>
    <mergeCell ref="C5:C7"/>
    <mergeCell ref="B3:B4"/>
    <mergeCell ref="C3:C4"/>
    <mergeCell ref="N6:N7"/>
    <mergeCell ref="O6:O7"/>
    <mergeCell ref="P6:P7"/>
    <mergeCell ref="A1:P1"/>
    <mergeCell ref="A8:C8"/>
    <mergeCell ref="E6:E7"/>
    <mergeCell ref="J6:J7"/>
    <mergeCell ref="K6:K7"/>
    <mergeCell ref="L6:L7"/>
    <mergeCell ref="M6:M7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2026-05-19T05:34:24Z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