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95D5B68F-22F3-4E30-9561-961E11ABFC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H11" i="1" l="1"/>
  <c r="F11" i="1" s="1"/>
  <c r="J11" i="1"/>
  <c r="O11" i="1"/>
  <c r="P11" i="1"/>
  <c r="Q11" i="1"/>
  <c r="H12" i="1"/>
  <c r="H16" i="1" s="1"/>
  <c r="J12" i="1"/>
  <c r="M12" i="1"/>
  <c r="O12" i="1"/>
  <c r="P12" i="1"/>
  <c r="P16" i="1" s="1"/>
  <c r="Q12" i="1"/>
  <c r="H13" i="1"/>
  <c r="F13" i="1" s="1"/>
  <c r="J13" i="1"/>
  <c r="O13" i="1"/>
  <c r="P13" i="1"/>
  <c r="Q13" i="1"/>
  <c r="H14" i="1"/>
  <c r="M14" i="1"/>
  <c r="O14" i="1"/>
  <c r="P14" i="1"/>
  <c r="Q14" i="1"/>
  <c r="Q16" i="1" s="1"/>
  <c r="K16" i="1"/>
  <c r="O16" i="1"/>
  <c r="Q5" i="1"/>
  <c r="F12" i="1" l="1"/>
  <c r="F16" i="1" l="1"/>
  <c r="Q6" i="1"/>
  <c r="Q4" i="1"/>
  <c r="M6" i="1"/>
  <c r="P6" i="1" s="1"/>
  <c r="O4" i="1"/>
  <c r="M4" i="1"/>
  <c r="P4" i="1" s="1"/>
  <c r="J4" i="1"/>
  <c r="H4" i="1"/>
  <c r="F4" i="1" s="1"/>
  <c r="P5" i="1"/>
  <c r="O6" i="1"/>
  <c r="H6" i="1"/>
  <c r="O5" i="1"/>
  <c r="J5" i="1"/>
  <c r="H5" i="1"/>
  <c r="F5" i="1" s="1"/>
  <c r="Q3" i="1"/>
  <c r="K8" i="1" l="1"/>
  <c r="P3" i="1"/>
  <c r="O3" i="1"/>
  <c r="J3" i="1"/>
  <c r="H3" i="1"/>
  <c r="F3" i="1" s="1"/>
  <c r="Q8" i="1" l="1"/>
  <c r="H8" i="1"/>
  <c r="O8" i="1"/>
  <c r="P8" i="1"/>
  <c r="F8" i="1"/>
</calcChain>
</file>

<file path=xl/sharedStrings.xml><?xml version="1.0" encoding="utf-8"?>
<sst xmlns="http://schemas.openxmlformats.org/spreadsheetml/2006/main" count="65" uniqueCount="38">
  <si>
    <t>柜号</t>
  </si>
  <si>
    <t>产品名称</t>
  </si>
  <si>
    <t>型号及规格</t>
  </si>
  <si>
    <t>合同号</t>
  </si>
  <si>
    <t xml:space="preserve">件
</t>
  </si>
  <si>
    <t>件
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</si>
  <si>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</si>
  <si>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</si>
  <si>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</si>
  <si>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</si>
  <si>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</si>
  <si>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</si>
  <si>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</si>
  <si>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合计</t>
  </si>
  <si>
    <t>唛头：</t>
  </si>
  <si>
    <t>苏州苏德兰铁路配件有限公司
有限公司</t>
  </si>
  <si>
    <t>件
/袋</t>
    <phoneticPr fontId="6" type="noConversion"/>
  </si>
  <si>
    <t>袋/托</t>
    <phoneticPr fontId="6" type="noConversion"/>
  </si>
  <si>
    <t>袋</t>
    <phoneticPr fontId="6" type="noConversion"/>
  </si>
  <si>
    <r>
      <t xml:space="preserve">1200*800*600
</t>
    </r>
    <r>
      <rPr>
        <sz val="10"/>
        <color theme="1"/>
        <rFont val="宋体"/>
        <family val="3"/>
        <charset val="134"/>
        <scheme val="minor"/>
      </rPr>
      <t>0.58</t>
    </r>
    <phoneticPr fontId="6" type="noConversion"/>
  </si>
  <si>
    <t>螺母</t>
  </si>
  <si>
    <t>M22</t>
    <phoneticPr fontId="6" type="noConversion"/>
  </si>
  <si>
    <t>M22*65</t>
    <phoneticPr fontId="6" type="noConversion"/>
  </si>
  <si>
    <t>T型螺栓</t>
    <phoneticPr fontId="6" type="noConversion"/>
  </si>
  <si>
    <r>
      <t xml:space="preserve">1200*800*550
</t>
    </r>
    <r>
      <rPr>
        <sz val="10"/>
        <color theme="1"/>
        <rFont val="宋体"/>
        <family val="3"/>
        <charset val="134"/>
        <scheme val="minor"/>
      </rPr>
      <t>0.53</t>
    </r>
    <phoneticPr fontId="6" type="noConversion"/>
  </si>
  <si>
    <t>1200*800*550
0.53</t>
    <phoneticPr fontId="6" type="noConversion"/>
  </si>
  <si>
    <t>包  装  明  细  表</t>
    <phoneticPr fontId="6" type="noConversion"/>
  </si>
  <si>
    <t>箱号</t>
    <phoneticPr fontId="6" type="noConversion"/>
  </si>
  <si>
    <t>1-14</t>
    <phoneticPr fontId="6" type="noConversion"/>
  </si>
  <si>
    <t>15</t>
    <phoneticPr fontId="6" type="noConversion"/>
  </si>
  <si>
    <t>16-24</t>
    <phoneticPr fontId="6" type="noConversion"/>
  </si>
  <si>
    <t>25</t>
    <phoneticPr fontId="6" type="noConversion"/>
  </si>
  <si>
    <t>ZSTL-CH2026041701-1</t>
    <phoneticPr fontId="6" type="noConversion"/>
  </si>
  <si>
    <t>26-33</t>
    <phoneticPr fontId="6" type="noConversion"/>
  </si>
  <si>
    <t>34</t>
    <phoneticPr fontId="6" type="noConversion"/>
  </si>
  <si>
    <t>35-39</t>
    <phoneticPr fontId="6" type="noConversion"/>
  </si>
  <si>
    <t>40</t>
    <phoneticPr fontId="6" type="noConversion"/>
  </si>
  <si>
    <t>ZSTL-CH2026032702-1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</si>
</sst>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8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8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58" fontId="2" fillId="0" borderId="2" xfId="0" quotePrefix="1" applyNumberFormat="1" applyFont="1" applyBorder="1" applyAlignment="1">
      <alignment horizontal="center" vertical="center" wrapText="1"/>
    </xf>
    <xf numFmtId="58" fontId="2" fillId="0" borderId="7" xfId="0" quotePrefix="1" applyNumberFormat="1" applyFont="1" applyBorder="1" applyAlignment="1">
      <alignment horizontal="center" vertical="center" wrapText="1"/>
    </xf>
    <xf numFmtId="58" fontId="2" fillId="0" borderId="6" xfId="0" quotePrefix="1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" fillId="2" borderId="3" xfId="0" quotePrefix="1" applyFont="1" applyFill="1" applyBorder="1" applyAlignment="1">
      <alignment horizontal="center" vertical="center" wrapText="1"/>
    </xf>
    <xf numFmtId="0" fontId="2" fillId="2" borderId="2" xfId="0" quotePrefix="1" applyFont="1" applyFill="1" applyBorder="1" applyAlignment="1">
      <alignment horizontal="center" vertical="center" wrapText="1"/>
    </xf>
    <xf numFmtId="0" fontId="2" fillId="2" borderId="6" xfId="0" quotePrefix="1" applyFont="1" applyFill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7"/>
  <sheetViews>
    <sheetView tabSelected="1" zoomScale="115" zoomScaleNormal="115" workbookViewId="0">
      <selection activeCell="E16" sqref="E16"/>
    </sheetView>
  </sheetViews>
  <sheetFormatPr defaultColWidth="9" defaultRowHeight="13.5" x14ac:dyDescent="0.15"/>
  <cols>
    <col min="1" max="1" width="4.625" customWidth="1"/>
    <col min="2" max="2" width="8.25" customWidth="1"/>
    <col min="3" max="3" width="11.125" customWidth="1"/>
    <col min="4" max="5" width="9.625" customWidth="1"/>
    <col min="6" max="8" width="6.625" customWidth="1"/>
    <col min="9" max="9" width="7.875" customWidth="1"/>
    <col min="10" max="11" width="7.125" customWidth="1"/>
    <col min="12" max="12" width="8.125" customWidth="1"/>
    <col min="13" max="13" width="8.5" customWidth="1"/>
    <col min="14" max="14" width="10.75" customWidth="1"/>
    <col min="15" max="17" width="9.5" customWidth="1"/>
  </cols>
  <sheetData>
    <row r="1" spans="1:17" ht="65.25" customHeight="1" x14ac:dyDescent="0.15">
      <c r="A1" s="27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ht="42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27</v>
      </c>
      <c r="F2" s="2" t="s">
        <v>4</v>
      </c>
      <c r="G2" s="2" t="s">
        <v>16</v>
      </c>
      <c r="H2" s="1" t="s">
        <v>18</v>
      </c>
      <c r="I2" s="1" t="s">
        <v>17</v>
      </c>
      <c r="J2" s="2" t="s">
        <v>5</v>
      </c>
      <c r="K2" s="1" t="s">
        <v>6</v>
      </c>
      <c r="L2" s="2" t="s">
        <v>7</v>
      </c>
      <c r="M2" s="2" t="s">
        <v>8</v>
      </c>
      <c r="N2" s="1" t="s">
        <v>9</v>
      </c>
      <c r="O2" s="2" t="s">
        <v>10</v>
      </c>
      <c r="P2" s="2" t="s">
        <v>11</v>
      </c>
      <c r="Q2" s="2" t="s">
        <v>12</v>
      </c>
    </row>
    <row r="3" spans="1:17" ht="38.25" customHeight="1" x14ac:dyDescent="0.15">
      <c r="A3" s="4">
        <v>1</v>
      </c>
      <c r="B3" s="17" t="s">
        <v>23</v>
      </c>
      <c r="C3" s="17" t="s">
        <v>22</v>
      </c>
      <c r="D3" s="16" t="s">
        <v>32</v>
      </c>
      <c r="E3" s="33" t="s">
        <v>28</v>
      </c>
      <c r="F3" s="3">
        <f>G3*H3</f>
        <v>47040</v>
      </c>
      <c r="G3" s="3">
        <v>80</v>
      </c>
      <c r="H3" s="3">
        <f>I3*K3</f>
        <v>588</v>
      </c>
      <c r="I3" s="3">
        <v>42</v>
      </c>
      <c r="J3" s="3">
        <f>I3*G3</f>
        <v>3360</v>
      </c>
      <c r="K3" s="3">
        <v>14</v>
      </c>
      <c r="L3" s="3">
        <v>991</v>
      </c>
      <c r="M3" s="3">
        <v>1026</v>
      </c>
      <c r="N3" s="10" t="s">
        <v>19</v>
      </c>
      <c r="O3" s="11">
        <f>L3*K3</f>
        <v>13874</v>
      </c>
      <c r="P3" s="11">
        <f t="shared" ref="P3" si="0">M3*K3</f>
        <v>14364</v>
      </c>
      <c r="Q3" s="3">
        <f>0.58*K3</f>
        <v>8.1199999999999992</v>
      </c>
    </row>
    <row r="4" spans="1:17" ht="38.25" customHeight="1" x14ac:dyDescent="0.15">
      <c r="A4" s="4">
        <v>2</v>
      </c>
      <c r="B4" s="19"/>
      <c r="C4" s="19"/>
      <c r="D4" s="16"/>
      <c r="E4" s="33" t="s">
        <v>29</v>
      </c>
      <c r="F4" s="3">
        <f>G4*H4</f>
        <v>2960</v>
      </c>
      <c r="G4" s="3">
        <v>80</v>
      </c>
      <c r="H4" s="3">
        <f>I4*K4</f>
        <v>37</v>
      </c>
      <c r="I4" s="3">
        <v>37</v>
      </c>
      <c r="J4" s="3">
        <f>I4*G4</f>
        <v>2960</v>
      </c>
      <c r="K4" s="3">
        <v>1</v>
      </c>
      <c r="L4" s="3">
        <v>873</v>
      </c>
      <c r="M4" s="3">
        <f>L4+40</f>
        <v>913</v>
      </c>
      <c r="N4" s="10" t="s">
        <v>19</v>
      </c>
      <c r="O4" s="11">
        <f>L4*K4</f>
        <v>873</v>
      </c>
      <c r="P4" s="11">
        <f t="shared" ref="P4" si="1">M4*K4</f>
        <v>913</v>
      </c>
      <c r="Q4" s="3">
        <f t="shared" ref="Q4:Q5" si="2">0.58*K4</f>
        <v>0.57999999999999996</v>
      </c>
    </row>
    <row r="5" spans="1:17" ht="29.25" customHeight="1" x14ac:dyDescent="0.15">
      <c r="A5" s="4">
        <v>3</v>
      </c>
      <c r="B5" s="17" t="s">
        <v>20</v>
      </c>
      <c r="C5" s="20" t="s">
        <v>21</v>
      </c>
      <c r="D5" s="16"/>
      <c r="E5" s="33" t="s">
        <v>30</v>
      </c>
      <c r="F5" s="3">
        <f t="shared" ref="F5" si="3">G5*H5</f>
        <v>45360</v>
      </c>
      <c r="G5" s="3">
        <v>120</v>
      </c>
      <c r="H5" s="3">
        <f t="shared" ref="H5" si="4">I5*K5</f>
        <v>378</v>
      </c>
      <c r="I5" s="3">
        <v>42</v>
      </c>
      <c r="J5" s="3">
        <f t="shared" ref="J5" si="5">I5*G5</f>
        <v>5040</v>
      </c>
      <c r="K5" s="3">
        <v>9</v>
      </c>
      <c r="L5" s="3">
        <v>832</v>
      </c>
      <c r="M5" s="3">
        <v>876</v>
      </c>
      <c r="N5" s="10" t="s">
        <v>24</v>
      </c>
      <c r="O5" s="11">
        <f t="shared" ref="O5" si="6">L5*K5</f>
        <v>7488</v>
      </c>
      <c r="P5" s="11">
        <f t="shared" ref="P5" si="7">M5*K5</f>
        <v>7884</v>
      </c>
      <c r="Q5" s="3">
        <f>0.53*K5</f>
        <v>4.7700000000000005</v>
      </c>
    </row>
    <row r="6" spans="1:17" ht="29.25" customHeight="1" x14ac:dyDescent="0.15">
      <c r="A6" s="4">
        <v>4</v>
      </c>
      <c r="B6" s="18"/>
      <c r="C6" s="21"/>
      <c r="D6" s="16"/>
      <c r="E6" s="34" t="s">
        <v>31</v>
      </c>
      <c r="F6" s="25">
        <v>4640</v>
      </c>
      <c r="G6" s="3">
        <v>120</v>
      </c>
      <c r="H6" s="3">
        <f>I6*K6</f>
        <v>38</v>
      </c>
      <c r="I6" s="3">
        <v>38</v>
      </c>
      <c r="J6" s="3">
        <v>4560</v>
      </c>
      <c r="K6" s="25">
        <v>1</v>
      </c>
      <c r="L6" s="25">
        <v>765</v>
      </c>
      <c r="M6" s="25">
        <f>L6+44</f>
        <v>809</v>
      </c>
      <c r="N6" s="31" t="s">
        <v>25</v>
      </c>
      <c r="O6" s="23">
        <f>L6</f>
        <v>765</v>
      </c>
      <c r="P6" s="23">
        <f>M6</f>
        <v>809</v>
      </c>
      <c r="Q6" s="25">
        <f>0.53</f>
        <v>0.53</v>
      </c>
    </row>
    <row r="7" spans="1:17" ht="29.25" customHeight="1" x14ac:dyDescent="0.15">
      <c r="A7" s="4">
        <v>5</v>
      </c>
      <c r="B7" s="19"/>
      <c r="C7" s="22"/>
      <c r="D7" s="16"/>
      <c r="E7" s="35"/>
      <c r="F7" s="26"/>
      <c r="G7" s="3">
        <v>80</v>
      </c>
      <c r="H7" s="3">
        <v>1</v>
      </c>
      <c r="I7" s="3">
        <v>1</v>
      </c>
      <c r="J7" s="3">
        <v>80</v>
      </c>
      <c r="K7" s="26"/>
      <c r="L7" s="26"/>
      <c r="M7" s="26"/>
      <c r="N7" s="32"/>
      <c r="O7" s="24"/>
      <c r="P7" s="24"/>
      <c r="Q7" s="26"/>
    </row>
    <row r="8" spans="1:17" ht="39" customHeight="1" x14ac:dyDescent="0.15">
      <c r="A8" s="28" t="s">
        <v>13</v>
      </c>
      <c r="B8" s="29"/>
      <c r="C8" s="30"/>
      <c r="D8" s="5"/>
      <c r="E8" s="5"/>
      <c r="F8" s="5">
        <f>SUM(F3:F7)</f>
        <v>100000</v>
      </c>
      <c r="G8" s="5"/>
      <c r="H8" s="5">
        <f>SUM(H3:H7)</f>
        <v>1042</v>
      </c>
      <c r="I8" s="5"/>
      <c r="J8" s="5"/>
      <c r="K8" s="5">
        <f>SUM(K3:K7)</f>
        <v>25</v>
      </c>
      <c r="L8" s="5"/>
      <c r="M8" s="5"/>
      <c r="N8" s="5"/>
      <c r="O8" s="12">
        <f>SUM(O3:O7)</f>
        <v>23000</v>
      </c>
      <c r="P8" s="12">
        <f>SUM(P3:P7)</f>
        <v>23970</v>
      </c>
      <c r="Q8" s="5">
        <f>SUM(Q3:Q7)</f>
        <v>13.999999999999998</v>
      </c>
    </row>
    <row r="9" spans="1:17" ht="21" customHeight="1" x14ac:dyDescent="0.1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ht="42" customHeight="1" x14ac:dyDescent="0.15">
      <c r="A10" s="1" t="s">
        <v>0</v>
      </c>
      <c r="B10" s="1" t="s">
        <v>1</v>
      </c>
      <c r="C10" s="1" t="s">
        <v>2</v>
      </c>
      <c r="D10" s="1" t="s">
        <v>3</v>
      </c>
      <c r="E10" s="2" t="s">
        <v>4</v>
      </c>
      <c r="F10" s="2" t="s">
        <v>4</v>
      </c>
      <c r="G10" s="2" t="s">
        <v>16</v>
      </c>
      <c r="H10" s="1" t="s">
        <v>18</v>
      </c>
      <c r="I10" s="1" t="s">
        <v>17</v>
      </c>
      <c r="J10" s="2" t="s">
        <v>5</v>
      </c>
      <c r="K10" s="1" t="s">
        <v>6</v>
      </c>
      <c r="L10" s="2" t="s">
        <v>7</v>
      </c>
      <c r="M10" s="2" t="s">
        <v>8</v>
      </c>
      <c r="N10" s="1" t="s">
        <v>9</v>
      </c>
      <c r="O10" s="2" t="s">
        <v>10</v>
      </c>
      <c r="P10" s="2" t="s">
        <v>11</v>
      </c>
      <c r="Q10" s="2" t="s">
        <v>12</v>
      </c>
    </row>
    <row r="11" spans="1:17" ht="38.25" customHeight="1" x14ac:dyDescent="0.15">
      <c r="A11" s="4">
        <v>1</v>
      </c>
      <c r="B11" s="17" t="s">
        <v>23</v>
      </c>
      <c r="C11" s="17" t="s">
        <v>22</v>
      </c>
      <c r="D11" s="16" t="s">
        <v>37</v>
      </c>
      <c r="E11" s="36" t="s">
        <v>33</v>
      </c>
      <c r="F11" s="3">
        <f>G11*H11</f>
        <v>26880</v>
      </c>
      <c r="G11" s="3">
        <v>80</v>
      </c>
      <c r="H11" s="3">
        <f>I11*K11</f>
        <v>336</v>
      </c>
      <c r="I11" s="3">
        <v>42</v>
      </c>
      <c r="J11" s="3">
        <f>I11*G11</f>
        <v>3360</v>
      </c>
      <c r="K11" s="3">
        <v>8</v>
      </c>
      <c r="L11" s="3">
        <v>991</v>
      </c>
      <c r="M11" s="3">
        <v>1026</v>
      </c>
      <c r="N11" s="10" t="s">
        <v>19</v>
      </c>
      <c r="O11" s="11">
        <f>L11*K11</f>
        <v>7928</v>
      </c>
      <c r="P11" s="11">
        <f t="shared" ref="P11:P15" si="8">M11*K11</f>
        <v>8208</v>
      </c>
      <c r="Q11" s="3">
        <f>0.58*K11</f>
        <v>4.6399999999999997</v>
      </c>
    </row>
    <row r="12" spans="1:17" ht="38.25" customHeight="1" x14ac:dyDescent="0.15">
      <c r="A12" s="4">
        <v>2</v>
      </c>
      <c r="B12" s="19"/>
      <c r="C12" s="19"/>
      <c r="D12" s="16"/>
      <c r="E12" s="36" t="s">
        <v>34</v>
      </c>
      <c r="F12" s="3">
        <f>G12*H12</f>
        <v>3120</v>
      </c>
      <c r="G12" s="3">
        <v>80</v>
      </c>
      <c r="H12" s="3">
        <f>I12*K12</f>
        <v>39</v>
      </c>
      <c r="I12" s="3">
        <v>39</v>
      </c>
      <c r="J12" s="3">
        <f>I12*G12</f>
        <v>3120</v>
      </c>
      <c r="K12" s="3">
        <v>1</v>
      </c>
      <c r="L12" s="3">
        <v>920</v>
      </c>
      <c r="M12" s="3">
        <f>L12+40</f>
        <v>960</v>
      </c>
      <c r="N12" s="10" t="s">
        <v>19</v>
      </c>
      <c r="O12" s="11">
        <f>L12*K12</f>
        <v>920</v>
      </c>
      <c r="P12" s="11">
        <f t="shared" si="8"/>
        <v>960</v>
      </c>
      <c r="Q12" s="3">
        <f>0.58*K12</f>
        <v>0.57999999999999996</v>
      </c>
    </row>
    <row r="13" spans="1:17" ht="29.25" customHeight="1" x14ac:dyDescent="0.15">
      <c r="A13" s="4">
        <v>3</v>
      </c>
      <c r="B13" s="17" t="s">
        <v>20</v>
      </c>
      <c r="C13" s="20" t="s">
        <v>21</v>
      </c>
      <c r="D13" s="16"/>
      <c r="E13" s="36" t="s">
        <v>35</v>
      </c>
      <c r="F13" s="3">
        <f t="shared" ref="F13" si="9">G13*H13</f>
        <v>25200</v>
      </c>
      <c r="G13" s="3">
        <v>120</v>
      </c>
      <c r="H13" s="3">
        <f t="shared" ref="H13" si="10">I13*K13</f>
        <v>210</v>
      </c>
      <c r="I13" s="3">
        <v>42</v>
      </c>
      <c r="J13" s="3">
        <f t="shared" ref="J13" si="11">I13*G13</f>
        <v>5040</v>
      </c>
      <c r="K13" s="3">
        <v>5</v>
      </c>
      <c r="L13" s="3">
        <v>832</v>
      </c>
      <c r="M13" s="3">
        <v>876</v>
      </c>
      <c r="N13" s="10" t="s">
        <v>24</v>
      </c>
      <c r="O13" s="11">
        <f t="shared" ref="O13" si="12">L13*K13</f>
        <v>4160</v>
      </c>
      <c r="P13" s="11">
        <f t="shared" si="8"/>
        <v>4380</v>
      </c>
      <c r="Q13" s="3">
        <f>0.53*K13</f>
        <v>2.6500000000000004</v>
      </c>
    </row>
    <row r="14" spans="1:17" ht="29.25" customHeight="1" x14ac:dyDescent="0.15">
      <c r="A14" s="4">
        <v>4</v>
      </c>
      <c r="B14" s="18"/>
      <c r="C14" s="21"/>
      <c r="D14" s="16"/>
      <c r="E14" s="37" t="s">
        <v>36</v>
      </c>
      <c r="F14" s="25">
        <v>4480</v>
      </c>
      <c r="G14" s="3">
        <v>120</v>
      </c>
      <c r="H14" s="3">
        <f>I14*K14</f>
        <v>37</v>
      </c>
      <c r="I14" s="3">
        <v>37</v>
      </c>
      <c r="J14" s="3">
        <v>4440</v>
      </c>
      <c r="K14" s="25">
        <v>1</v>
      </c>
      <c r="L14" s="25">
        <v>740</v>
      </c>
      <c r="M14" s="25">
        <f>L14+44</f>
        <v>784</v>
      </c>
      <c r="N14" s="31" t="s">
        <v>25</v>
      </c>
      <c r="O14" s="23">
        <f>L14</f>
        <v>740</v>
      </c>
      <c r="P14" s="23">
        <f>M14</f>
        <v>784</v>
      </c>
      <c r="Q14" s="25">
        <f>0.53</f>
        <v>0.53</v>
      </c>
    </row>
    <row r="15" spans="1:17" ht="29.25" customHeight="1" x14ac:dyDescent="0.15">
      <c r="A15" s="4">
        <v>5</v>
      </c>
      <c r="B15" s="19"/>
      <c r="C15" s="22"/>
      <c r="D15" s="16"/>
      <c r="E15" s="26"/>
      <c r="F15" s="26"/>
      <c r="G15" s="3">
        <v>40</v>
      </c>
      <c r="H15" s="3">
        <v>1</v>
      </c>
      <c r="I15" s="3">
        <v>1</v>
      </c>
      <c r="J15" s="3">
        <v>40</v>
      </c>
      <c r="K15" s="26"/>
      <c r="L15" s="26"/>
      <c r="M15" s="26"/>
      <c r="N15" s="32"/>
      <c r="O15" s="24"/>
      <c r="P15" s="24"/>
      <c r="Q15" s="26"/>
    </row>
    <row r="16" spans="1:17" ht="39" customHeight="1" x14ac:dyDescent="0.15">
      <c r="A16" s="28" t="s">
        <v>13</v>
      </c>
      <c r="B16" s="29"/>
      <c r="C16" s="30"/>
      <c r="D16" s="5"/>
      <c r="E16" s="5"/>
      <c r="F16" s="5">
        <f>SUM(F11:F15)</f>
        <v>59680</v>
      </c>
      <c r="G16" s="5"/>
      <c r="H16" s="5">
        <f>SUM(H11:H15)</f>
        <v>623</v>
      </c>
      <c r="I16" s="5"/>
      <c r="J16" s="5"/>
      <c r="K16" s="5">
        <f>SUM(K11:K15)</f>
        <v>15</v>
      </c>
      <c r="L16" s="5"/>
      <c r="M16" s="5"/>
      <c r="N16" s="5"/>
      <c r="O16" s="12">
        <f>SUM(O11:O15)</f>
        <v>13748</v>
      </c>
      <c r="P16" s="12">
        <f>SUM(P11:P15)</f>
        <v>14332</v>
      </c>
      <c r="Q16" s="5">
        <f>SUM(Q11:Q15)</f>
        <v>8.4</v>
      </c>
    </row>
    <row r="17" spans="1:17" ht="21" customHeight="1" x14ac:dyDescent="0.15">
      <c r="A17" s="6"/>
      <c r="B17" s="6"/>
      <c r="C17" s="7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ht="21" customHeight="1" x14ac:dyDescent="0.15">
      <c r="A18" s="6"/>
      <c r="B18" s="6" t="s">
        <v>14</v>
      </c>
      <c r="C18" s="7"/>
      <c r="D18" s="8"/>
      <c r="E18" s="8"/>
      <c r="F18" s="8"/>
      <c r="G18" s="8"/>
      <c r="H18" s="8"/>
      <c r="I18" s="8"/>
      <c r="J18" s="8"/>
      <c r="K18" s="8"/>
      <c r="L18" s="8"/>
      <c r="M18" s="8"/>
      <c r="N18" s="6"/>
      <c r="O18" s="6"/>
      <c r="P18" s="6"/>
      <c r="Q18" s="6"/>
    </row>
    <row r="19" spans="1:17" ht="14.25" x14ac:dyDescent="0.15">
      <c r="A19" s="6"/>
      <c r="B19" s="6"/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13" t="s">
        <v>15</v>
      </c>
      <c r="O19" s="14"/>
      <c r="P19" s="14"/>
      <c r="Q19" s="14"/>
    </row>
    <row r="20" spans="1:17" ht="14.25" x14ac:dyDescent="0.15">
      <c r="A20" s="6"/>
      <c r="B20" s="6"/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15">
        <v>46175</v>
      </c>
      <c r="O20" s="15"/>
      <c r="P20" s="15"/>
      <c r="Q20" s="15"/>
    </row>
    <row r="21" spans="1:17" x14ac:dyDescent="0.15">
      <c r="A21" s="9"/>
      <c r="B21" s="9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9"/>
      <c r="O21" s="9"/>
      <c r="P21" s="9"/>
      <c r="Q21" s="9"/>
    </row>
    <row r="22" spans="1:17" x14ac:dyDescent="0.1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 x14ac:dyDescent="0.1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 x14ac:dyDescent="0.1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 x14ac:dyDescent="0.1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 x14ac:dyDescent="0.1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</sheetData>
  <mergeCells count="33">
    <mergeCell ref="O14:O15"/>
    <mergeCell ref="P14:P15"/>
    <mergeCell ref="A16:C16"/>
    <mergeCell ref="F14:F15"/>
    <mergeCell ref="Q14:Q15"/>
    <mergeCell ref="K14:K15"/>
    <mergeCell ref="L14:L15"/>
    <mergeCell ref="M14:M15"/>
    <mergeCell ref="N14:N15"/>
    <mergeCell ref="A1:Q1"/>
    <mergeCell ref="A8:C8"/>
    <mergeCell ref="F6:F7"/>
    <mergeCell ref="K6:K7"/>
    <mergeCell ref="L6:L7"/>
    <mergeCell ref="M6:M7"/>
    <mergeCell ref="N6:N7"/>
    <mergeCell ref="E6:E7"/>
    <mergeCell ref="N19:Q19"/>
    <mergeCell ref="N20:Q20"/>
    <mergeCell ref="D3:D7"/>
    <mergeCell ref="B5:B7"/>
    <mergeCell ref="C5:C7"/>
    <mergeCell ref="B3:B4"/>
    <mergeCell ref="C3:C4"/>
    <mergeCell ref="O6:O7"/>
    <mergeCell ref="P6:P7"/>
    <mergeCell ref="Q6:Q7"/>
    <mergeCell ref="B11:B12"/>
    <mergeCell ref="C11:C12"/>
    <mergeCell ref="D11:D15"/>
    <mergeCell ref="B13:B15"/>
    <mergeCell ref="C13:C15"/>
    <mergeCell ref="E14:E15"/>
  </mergeCells>
  <phoneticPr fontId="6" type="noConversion"/>
  <pageMargins left="0.7" right="0.7" top="0.75" bottom="0.75" header="0.3" footer="0.3"/>
  <pageSetup paperSize="9" orientation="landscape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2026-06-02T07:20:15Z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93531C48D9254937AADF1DCCEC2D5BC1_12</vt:lpwstr>
  </property>
  <property fmtid="{D5CDD505-2E9C-101B-9397-08002B2CF9AE}" pid="3" name="KSOProductBuildVer">
    <vt:lpwstr>2052-12.1.0.18240</vt:lpwstr>
  </property>
</Properties>
</file>