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71ACEEA-0324-45C5-8EF2-55A48C81EF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O5" i="1"/>
  <c r="L4" i="1"/>
  <c r="O4" i="1" s="1"/>
  <c r="L3" i="1"/>
  <c r="P5" i="1"/>
  <c r="N5" i="1"/>
  <c r="G5" i="1"/>
  <c r="P4" i="1"/>
  <c r="N4" i="1"/>
  <c r="I4" i="1"/>
  <c r="G4" i="1"/>
  <c r="E4" i="1" s="1"/>
  <c r="P3" i="1"/>
  <c r="J7" i="1" l="1"/>
  <c r="O3" i="1"/>
  <c r="N3" i="1"/>
  <c r="I3" i="1"/>
  <c r="G3" i="1"/>
  <c r="E3" i="1" s="1"/>
  <c r="P7" i="1" l="1"/>
  <c r="G7" i="1"/>
  <c r="N7" i="1"/>
  <c r="O7" i="1"/>
  <c r="E7" i="1"/>
</calcChain>
</file>

<file path=xl/sharedStrings.xml><?xml version="1.0" encoding="utf-8"?>
<sst xmlns="http://schemas.openxmlformats.org/spreadsheetml/2006/main" count="28" uniqueCount="27">
  <si>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</si>
  <si>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</si>
  <si>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</si>
  <si>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</si>
  <si>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</si>
  <si>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</si>
  <si>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</si>
  <si>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</si>
  <si>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</si>
  <si>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</si>
  <si>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</si>
  <si>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</si>
  <si>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</si>
  <si>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</si>
  <si>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</si>
  <si>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</si>
  <si>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</si>
  <si>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</si>
  <si>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</si>
  <si>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预估-包  装  明  细  表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</si>
  <si>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</si>
  <si>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</si>
  <si>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</si>
  <si>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1200*800*600
0.58</t>
    <phoneticPr fontId="6" type="noConversion"/>
  </si>
  <si>
    <t>T型螺栓配螺母</t>
    <phoneticPr fontId="6" type="noConversion"/>
  </si>
  <si>
    <t>M22*65</t>
    <phoneticPr fontId="6" type="noConversion"/>
  </si>
  <si>
    <t>ZSTL-CH2026032701-1/032702-1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</si>
</sst>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zoomScale="115" zoomScaleNormal="115" workbookViewId="0">
      <selection activeCell="J5" sqref="J5:J6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2" t="s">
        <v>24</v>
      </c>
      <c r="C3" s="2" t="s">
        <v>25</v>
      </c>
      <c r="D3" s="20" t="s">
        <v>26</v>
      </c>
      <c r="E3" s="3">
        <f>F3*G3</f>
        <v>130000</v>
      </c>
      <c r="F3" s="3">
        <v>50</v>
      </c>
      <c r="G3" s="3">
        <f>H3*J3</f>
        <v>2600</v>
      </c>
      <c r="H3" s="3">
        <v>40</v>
      </c>
      <c r="I3" s="3">
        <f>H3*F3</f>
        <v>2000</v>
      </c>
      <c r="J3" s="3">
        <v>65</v>
      </c>
      <c r="K3" s="3">
        <v>970</v>
      </c>
      <c r="L3" s="3">
        <f>K3+40</f>
        <v>1010</v>
      </c>
      <c r="M3" s="10" t="s">
        <v>20</v>
      </c>
      <c r="N3" s="11">
        <f>K3*J3</f>
        <v>63050</v>
      </c>
      <c r="O3" s="11">
        <f t="shared" ref="O3" si="0">L3*J3</f>
        <v>65650</v>
      </c>
      <c r="P3" s="3">
        <f>0.58*J3</f>
        <v>37.699999999999996</v>
      </c>
    </row>
    <row r="4" spans="1:16" ht="29.25" customHeight="1" x14ac:dyDescent="0.15">
      <c r="A4" s="4">
        <v>2</v>
      </c>
      <c r="B4" s="21" t="s">
        <v>21</v>
      </c>
      <c r="C4" s="24" t="s">
        <v>22</v>
      </c>
      <c r="D4" s="20"/>
      <c r="E4" s="3">
        <f t="shared" ref="E4" si="1">F4*G4</f>
        <v>38400</v>
      </c>
      <c r="F4" s="3">
        <v>120</v>
      </c>
      <c r="G4" s="3">
        <f t="shared" ref="G4" si="2">H4*J4</f>
        <v>320</v>
      </c>
      <c r="H4" s="3">
        <v>40</v>
      </c>
      <c r="I4" s="3">
        <f t="shared" ref="I4" si="3">H4*F4</f>
        <v>4800</v>
      </c>
      <c r="J4" s="3">
        <v>8</v>
      </c>
      <c r="K4" s="3">
        <v>912</v>
      </c>
      <c r="L4" s="3">
        <f>K4+40</f>
        <v>952</v>
      </c>
      <c r="M4" s="10" t="s">
        <v>20</v>
      </c>
      <c r="N4" s="11">
        <f t="shared" ref="N4" si="4">K4*J4</f>
        <v>7296</v>
      </c>
      <c r="O4" s="11">
        <f t="shared" ref="O4" si="5">L4*J4</f>
        <v>7616</v>
      </c>
      <c r="P4" s="3">
        <f t="shared" ref="P4" si="6">0.58*J4</f>
        <v>4.6399999999999997</v>
      </c>
    </row>
    <row r="5" spans="1:16" ht="29.25" customHeight="1" x14ac:dyDescent="0.15">
      <c r="A5" s="4">
        <v>3</v>
      </c>
      <c r="B5" s="22"/>
      <c r="C5" s="25"/>
      <c r="D5" s="20"/>
      <c r="E5" s="27">
        <v>1600</v>
      </c>
      <c r="F5" s="3">
        <v>120</v>
      </c>
      <c r="G5" s="3">
        <f>H5*J5</f>
        <v>13</v>
      </c>
      <c r="H5" s="3">
        <v>13</v>
      </c>
      <c r="I5" s="3">
        <v>1560</v>
      </c>
      <c r="J5" s="27">
        <v>1</v>
      </c>
      <c r="K5" s="27">
        <v>304</v>
      </c>
      <c r="L5" s="27">
        <f>K5+40</f>
        <v>344</v>
      </c>
      <c r="M5" s="31" t="s">
        <v>23</v>
      </c>
      <c r="N5" s="29">
        <f>K5</f>
        <v>304</v>
      </c>
      <c r="O5" s="29">
        <f>L5</f>
        <v>344</v>
      </c>
      <c r="P5" s="27">
        <f>0.58</f>
        <v>0.57999999999999996</v>
      </c>
    </row>
    <row r="6" spans="1:16" ht="29.25" customHeight="1" x14ac:dyDescent="0.15">
      <c r="A6" s="4">
        <v>4</v>
      </c>
      <c r="B6" s="23"/>
      <c r="C6" s="26"/>
      <c r="D6" s="20"/>
      <c r="E6" s="28"/>
      <c r="F6" s="3">
        <v>40</v>
      </c>
      <c r="G6" s="3">
        <v>1</v>
      </c>
      <c r="H6" s="3">
        <v>1</v>
      </c>
      <c r="I6" s="3">
        <v>40</v>
      </c>
      <c r="J6" s="28"/>
      <c r="K6" s="28"/>
      <c r="L6" s="28"/>
      <c r="M6" s="32"/>
      <c r="N6" s="30"/>
      <c r="O6" s="30"/>
      <c r="P6" s="28"/>
    </row>
    <row r="7" spans="1:16" ht="39" customHeight="1" x14ac:dyDescent="0.15">
      <c r="A7" s="14" t="s">
        <v>13</v>
      </c>
      <c r="B7" s="15"/>
      <c r="C7" s="16"/>
      <c r="D7" s="5"/>
      <c r="E7" s="5">
        <f>SUM(E3:E6)</f>
        <v>170000</v>
      </c>
      <c r="F7" s="5"/>
      <c r="G7" s="5">
        <f>SUM(G3:G6)</f>
        <v>2934</v>
      </c>
      <c r="H7" s="5"/>
      <c r="I7" s="5"/>
      <c r="J7" s="5">
        <f>SUM(J3:J6)</f>
        <v>74</v>
      </c>
      <c r="K7" s="5"/>
      <c r="L7" s="5"/>
      <c r="M7" s="5"/>
      <c r="N7" s="12">
        <f>SUM(N3:N6)</f>
        <v>70650</v>
      </c>
      <c r="O7" s="12">
        <f>SUM(O3:O6)</f>
        <v>73610</v>
      </c>
      <c r="P7" s="5">
        <f>SUM(P3:P6)</f>
        <v>42.919999999999995</v>
      </c>
    </row>
    <row r="8" spans="1:16" ht="21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21" customHeight="1" x14ac:dyDescent="0.15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 t="s">
        <v>14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6"/>
      <c r="N10" s="6"/>
      <c r="O10" s="6"/>
      <c r="P10" s="6"/>
    </row>
    <row r="11" spans="1:16" ht="14.25" x14ac:dyDescent="0.1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17" t="s">
        <v>15</v>
      </c>
      <c r="N11" s="18"/>
      <c r="O11" s="18"/>
      <c r="P11" s="18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19">
        <v>46135</v>
      </c>
      <c r="N12" s="19"/>
      <c r="O12" s="19"/>
      <c r="P12" s="19"/>
    </row>
    <row r="13" spans="1:16" x14ac:dyDescent="0.15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</sheetData>
  <mergeCells count="15">
    <mergeCell ref="E5:E6"/>
    <mergeCell ref="J5:J6"/>
    <mergeCell ref="K5:K6"/>
    <mergeCell ref="L5:L6"/>
    <mergeCell ref="M5:M6"/>
    <mergeCell ref="N5:N6"/>
    <mergeCell ref="O5:O6"/>
    <mergeCell ref="P5:P6"/>
    <mergeCell ref="A1:P1"/>
    <mergeCell ref="A7:C7"/>
    <mergeCell ref="M11:P11"/>
    <mergeCell ref="M12:P12"/>
    <mergeCell ref="D3:D6"/>
    <mergeCell ref="B4:B6"/>
    <mergeCell ref="C4:C6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2026-04-23T03:33:27Z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