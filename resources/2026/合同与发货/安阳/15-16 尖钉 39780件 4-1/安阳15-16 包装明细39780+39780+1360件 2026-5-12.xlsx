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15-16 尖钉 39780件 4-1\"/>
    </mc:Choice>
  </mc:AlternateContent>
  <xr:revisionPtr revIDLastSave="0" documentId="8_{2A4CCA7A-CB92-4259-B1FB-31B71E3058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O4" i="1" s="1"/>
  <c r="O5" i="1" s="1"/>
  <c r="P5" i="1"/>
  <c r="N5" i="1"/>
  <c r="J5" i="1"/>
  <c r="G5" i="1"/>
  <c r="E5" i="1"/>
  <c r="P3" i="1"/>
  <c r="O3" i="1"/>
  <c r="N3" i="1"/>
  <c r="I3" i="1"/>
  <c r="G3" i="1"/>
  <c r="E3" i="1" s="1"/>
  <c r="P4" i="1"/>
  <c r="N4" i="1"/>
  <c r="I4" i="1"/>
  <c r="G4" i="1"/>
  <c r="E4" i="1" s="1"/>
</calcChain>
</file>

<file path=xl/sharedStrings.xml><?xml version="1.0" encoding="utf-8"?>
<sst xmlns="http://schemas.openxmlformats.org/spreadsheetml/2006/main" count="27" uniqueCount="24">
  <si>
    <t>包  装  明  细  表</t>
  </si>
  <si>
    <t>柜号</t>
  </si>
  <si>
    <t>产品名称</t>
  </si>
  <si>
    <t>型号及规格</t>
  </si>
  <si>
    <t>合同号</t>
  </si>
  <si>
    <t xml:space="preserve">件
</t>
  </si>
  <si>
    <t>件
/桶</t>
  </si>
  <si>
    <t>桶</t>
  </si>
  <si>
    <t>桶/托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</si>
  <si>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</si>
  <si>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</si>
  <si>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</si>
  <si>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</si>
  <si>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</si>
  <si>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</si>
  <si>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</si>
  <si>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</si>
  <si>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螺纹尖钉</t>
  </si>
  <si>
    <t>合计</t>
  </si>
  <si>
    <t>唛头：</t>
  </si>
  <si>
    <t>苏州苏德兰铁路配件有限公司
有限公司</t>
  </si>
  <si>
    <t>15/16×6"</t>
    <phoneticPr fontId="6" type="noConversion"/>
  </si>
  <si>
    <t>ZSTL-KB2026032401/040101</t>
    <phoneticPr fontId="6" type="noConversion"/>
  </si>
  <si>
    <r>
      <t xml:space="preserve">950*950*700
</t>
    </r>
    <r>
      <rPr>
        <sz val="10"/>
        <color theme="1"/>
        <rFont val="宋体"/>
        <family val="3"/>
        <charset val="134"/>
        <scheme val="minor"/>
      </rPr>
      <t>0.63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</si>
</sst>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[$-F800]dddd\,\ mmmm\ dd\,\ yyyy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"/>
  <sheetViews>
    <sheetView tabSelected="1" zoomScale="115" zoomScaleNormal="115" workbookViewId="0">
      <selection activeCell="K5" sqref="K5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4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2" t="s">
        <v>9</v>
      </c>
      <c r="J2" s="1" t="s">
        <v>10</v>
      </c>
      <c r="K2" s="2" t="s">
        <v>11</v>
      </c>
      <c r="L2" s="2" t="s">
        <v>12</v>
      </c>
      <c r="M2" s="1" t="s">
        <v>13</v>
      </c>
      <c r="N2" s="2" t="s">
        <v>14</v>
      </c>
      <c r="O2" s="2" t="s">
        <v>15</v>
      </c>
      <c r="P2" s="2" t="s">
        <v>16</v>
      </c>
    </row>
    <row r="3" spans="1:16" ht="66.75" customHeight="1" x14ac:dyDescent="0.15">
      <c r="A3" s="3">
        <v>1</v>
      </c>
      <c r="B3" s="4" t="s">
        <v>17</v>
      </c>
      <c r="C3" s="4" t="s">
        <v>21</v>
      </c>
      <c r="D3" s="18" t="s">
        <v>22</v>
      </c>
      <c r="E3" s="3">
        <f>F3*G3</f>
        <v>79560</v>
      </c>
      <c r="F3" s="3">
        <v>85</v>
      </c>
      <c r="G3" s="3">
        <f>H3*J3</f>
        <v>936</v>
      </c>
      <c r="H3" s="3">
        <v>18</v>
      </c>
      <c r="I3" s="3">
        <f>H3*F3</f>
        <v>1530</v>
      </c>
      <c r="J3" s="3">
        <v>52</v>
      </c>
      <c r="K3" s="3">
        <v>765</v>
      </c>
      <c r="L3" s="3">
        <v>816</v>
      </c>
      <c r="M3" s="10" t="s">
        <v>23</v>
      </c>
      <c r="N3" s="3">
        <f>K3*J3</f>
        <v>39780</v>
      </c>
      <c r="O3" s="3">
        <f t="shared" ref="O3" si="0">L3*J3</f>
        <v>42432</v>
      </c>
      <c r="P3" s="3">
        <f>0.63*J3</f>
        <v>32.76</v>
      </c>
    </row>
    <row r="4" spans="1:16" ht="66.75" customHeight="1" x14ac:dyDescent="0.15">
      <c r="A4" s="3">
        <v>2</v>
      </c>
      <c r="B4" s="4" t="s">
        <v>17</v>
      </c>
      <c r="C4" s="4" t="s">
        <v>21</v>
      </c>
      <c r="D4" s="19"/>
      <c r="E4" s="20">
        <f>F4*G4</f>
        <v>1360</v>
      </c>
      <c r="F4" s="3">
        <v>85</v>
      </c>
      <c r="G4" s="3">
        <f>H4*J4</f>
        <v>16</v>
      </c>
      <c r="H4" s="3">
        <v>16</v>
      </c>
      <c r="I4" s="3">
        <f>H4*F4</f>
        <v>1360</v>
      </c>
      <c r="J4" s="3">
        <v>1</v>
      </c>
      <c r="K4" s="3">
        <v>680</v>
      </c>
      <c r="L4" s="3">
        <f>K4+49</f>
        <v>729</v>
      </c>
      <c r="M4" s="10" t="s">
        <v>23</v>
      </c>
      <c r="N4" s="3">
        <f>K4*J4</f>
        <v>680</v>
      </c>
      <c r="O4" s="3">
        <f t="shared" ref="O4" si="1">L4*J4</f>
        <v>729</v>
      </c>
      <c r="P4" s="3">
        <f>0.63*J4</f>
        <v>0.63</v>
      </c>
    </row>
    <row r="5" spans="1:16" ht="39" customHeight="1" x14ac:dyDescent="0.15">
      <c r="A5" s="12" t="s">
        <v>18</v>
      </c>
      <c r="B5" s="13"/>
      <c r="C5" s="14"/>
      <c r="D5" s="5"/>
      <c r="E5" s="5">
        <f>SUM(E3:E4)</f>
        <v>80920</v>
      </c>
      <c r="F5" s="5"/>
      <c r="G5" s="5">
        <f>SUM(G3:G4)</f>
        <v>952</v>
      </c>
      <c r="H5" s="5"/>
      <c r="I5" s="5"/>
      <c r="J5" s="5">
        <f>SUM(J3:J4)</f>
        <v>53</v>
      </c>
      <c r="K5" s="5"/>
      <c r="L5" s="5"/>
      <c r="M5" s="5"/>
      <c r="N5" s="5">
        <f t="shared" ref="N5:P5" si="2">SUM(N3:N4)</f>
        <v>40460</v>
      </c>
      <c r="O5" s="5">
        <f t="shared" si="2"/>
        <v>43161</v>
      </c>
      <c r="P5" s="5">
        <f t="shared" si="2"/>
        <v>33.39</v>
      </c>
    </row>
    <row r="6" spans="1:16" ht="21" customHeight="1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15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21" customHeight="1" x14ac:dyDescent="0.15">
      <c r="A8" s="6"/>
      <c r="B8" s="6" t="s">
        <v>19</v>
      </c>
      <c r="C8" s="7">
        <v>0.5</v>
      </c>
      <c r="D8" s="8"/>
      <c r="E8" s="8"/>
      <c r="F8" s="8"/>
      <c r="G8" s="8"/>
      <c r="H8" s="8"/>
      <c r="I8" s="8"/>
      <c r="J8" s="8"/>
      <c r="K8" s="8"/>
      <c r="L8" s="8"/>
      <c r="M8" s="6"/>
      <c r="N8" s="6"/>
      <c r="O8" s="6"/>
      <c r="P8" s="6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15" t="s">
        <v>20</v>
      </c>
      <c r="N9" s="16"/>
      <c r="O9" s="16"/>
      <c r="P9" s="16"/>
    </row>
    <row r="10" spans="1:16" ht="14.25" x14ac:dyDescent="0.15">
      <c r="A10" s="6"/>
      <c r="B10" s="6"/>
      <c r="C10" s="7"/>
      <c r="D10" s="8"/>
      <c r="E10" s="8"/>
      <c r="F10" s="8"/>
      <c r="G10" s="8"/>
      <c r="H10" s="8"/>
      <c r="I10" s="8"/>
      <c r="J10" s="8"/>
      <c r="K10" s="8"/>
      <c r="L10" s="8"/>
      <c r="M10" s="17">
        <v>46154</v>
      </c>
      <c r="N10" s="17"/>
      <c r="O10" s="17"/>
      <c r="P10" s="17"/>
    </row>
    <row r="11" spans="1:16" x14ac:dyDescent="0.15">
      <c r="A11" s="9"/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</sheetData>
  <mergeCells count="5">
    <mergeCell ref="A1:P1"/>
    <mergeCell ref="A5:C5"/>
    <mergeCell ref="M9:P9"/>
    <mergeCell ref="M10:P10"/>
    <mergeCell ref="D3:D4"/>
  </mergeCells>
  <phoneticPr fontId="6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2026-05-12T02:23:26Z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