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FD1448B8-7E0A-46C7-A246-CBE1E13E8F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O3" i="1"/>
  <c r="N3" i="1"/>
  <c r="J4" i="1"/>
  <c r="I3" i="1"/>
  <c r="G3" i="1"/>
  <c r="E3" i="1" s="1"/>
  <c r="P4" i="1" l="1"/>
  <c r="O4" i="1"/>
  <c r="E4" i="1"/>
  <c r="N4" i="1"/>
  <c r="G4" i="1"/>
</calcChain>
</file>

<file path=xl/sharedStrings.xml><?xml version="1.0" encoding="utf-8"?>
<sst xmlns="http://schemas.openxmlformats.org/spreadsheetml/2006/main" count="24" uniqueCount="24">
  <si>
    <t>包  装  明  细  表</t>
  </si>
  <si>
    <t>柜号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</si>
  <si>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</si>
  <si>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</si>
  <si>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</si>
  <si>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</si>
  <si>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</si>
  <si>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</si>
  <si>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</si>
  <si>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</si>
  <si>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</si>
  <si>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</si>
  <si>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</si>
  <si>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</si>
  <si>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</si>
  <si>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</si>
  <si>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</si>
  <si>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</si>
  <si>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</si>
  <si>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</si>
  <si>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</si>
  <si>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15/16×6"</t>
    <phoneticPr fontId="6" type="noConversion"/>
  </si>
  <si>
    <t>ZSTL-KB2026032401/040101</t>
    <phoneticPr fontId="6" type="noConversion"/>
  </si>
  <si>
    <r>
      <t xml:space="preserve">950*950*700
</t>
    </r>
    <r>
      <rPr>
        <sz val="10"/>
        <color theme="1"/>
        <rFont val="宋体"/>
        <family val="3"/>
        <charset val="134"/>
        <scheme val="minor"/>
      </rPr>
      <t>0.63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</si>
</sst>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G4" sqref="G4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66.75" customHeight="1" x14ac:dyDescent="0.15">
      <c r="A3" s="3">
        <v>1</v>
      </c>
      <c r="B3" s="4" t="s">
        <v>17</v>
      </c>
      <c r="C3" s="4" t="s">
        <v>21</v>
      </c>
      <c r="D3" s="19" t="s">
        <v>22</v>
      </c>
      <c r="E3" s="3">
        <f>F3*G3</f>
        <v>39780</v>
      </c>
      <c r="F3" s="3">
        <v>85</v>
      </c>
      <c r="G3" s="3">
        <f>H3*J3</f>
        <v>468</v>
      </c>
      <c r="H3" s="3">
        <v>18</v>
      </c>
      <c r="I3" s="3">
        <f>H3*F3</f>
        <v>1530</v>
      </c>
      <c r="J3" s="3">
        <v>26</v>
      </c>
      <c r="K3" s="3">
        <v>765</v>
      </c>
      <c r="L3" s="3">
        <v>816</v>
      </c>
      <c r="M3" s="11" t="s">
        <v>23</v>
      </c>
      <c r="N3" s="3">
        <f>K3*J3</f>
        <v>19890</v>
      </c>
      <c r="O3" s="3">
        <f t="shared" ref="O3" si="0">L3*J3</f>
        <v>21216</v>
      </c>
      <c r="P3" s="3">
        <f>0.63*J3</f>
        <v>16.38</v>
      </c>
    </row>
    <row r="4" spans="1:16" ht="39" customHeight="1" x14ac:dyDescent="0.15">
      <c r="A4" s="13" t="s">
        <v>18</v>
      </c>
      <c r="B4" s="14"/>
      <c r="C4" s="15"/>
      <c r="D4" s="5"/>
      <c r="E4" s="5">
        <f>SUM(E3:E3)</f>
        <v>39780</v>
      </c>
      <c r="F4" s="5"/>
      <c r="G4" s="5">
        <f>SUM(G3:G3)</f>
        <v>468</v>
      </c>
      <c r="H4" s="5"/>
      <c r="I4" s="5"/>
      <c r="J4" s="5">
        <f>SUM(J3:J3)</f>
        <v>26</v>
      </c>
      <c r="K4" s="5"/>
      <c r="L4" s="5"/>
      <c r="M4" s="5"/>
      <c r="N4" s="5">
        <f>SUM(N3:N3)</f>
        <v>19890</v>
      </c>
      <c r="O4" s="5">
        <f>SUM(O3:O3)</f>
        <v>21216</v>
      </c>
      <c r="P4" s="10">
        <f>SUM(P3:P3)</f>
        <v>16.38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19</v>
      </c>
      <c r="C7" s="7">
        <v>0.5</v>
      </c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6" t="s">
        <v>20</v>
      </c>
      <c r="N8" s="17"/>
      <c r="O8" s="17"/>
      <c r="P8" s="17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8">
        <v>46148</v>
      </c>
      <c r="N9" s="18"/>
      <c r="O9" s="18"/>
      <c r="P9" s="18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2026-05-06T02:54:11Z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