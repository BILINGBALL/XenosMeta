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15-16 6-1-2尖钉 16150件 4-7\"/>
    </mc:Choice>
  </mc:AlternateContent>
  <xr:revisionPtr revIDLastSave="0" documentId="13_ncr:1_{8B7857DD-C529-4612-895B-41CE52B1C7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8" i="1"/>
  <c r="J8" i="1"/>
  <c r="P4" i="1"/>
  <c r="P3" i="1"/>
  <c r="P8" i="1" s="1"/>
  <c r="O3" i="1"/>
  <c r="O8" i="1" s="1"/>
  <c r="N3" i="1"/>
  <c r="I3" i="1"/>
  <c r="G3" i="1"/>
  <c r="E3" i="1" s="1"/>
  <c r="E8" i="1" l="1"/>
  <c r="E7" i="1"/>
</calcChain>
</file>

<file path=xl/sharedStrings.xml><?xml version="1.0" encoding="utf-8"?>
<sst xmlns="http://schemas.openxmlformats.org/spreadsheetml/2006/main" count="32" uniqueCount="27">
  <si>
    <t>包  装  明  细  表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</si>
  <si>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</si>
  <si>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</si>
  <si>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</si>
  <si>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</si>
  <si>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</si>
  <si>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</si>
  <si>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</si>
  <si>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</si>
  <si>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</si>
  <si>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</si>
  <si>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</si>
  <si>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</si>
  <si>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</si>
  <si>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</si>
  <si>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</si>
  <si>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</si>
  <si>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</si>
  <si>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</si>
  <si>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</si>
  <si>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ZSTL-HQ2026040801</t>
    <phoneticPr fontId="6" type="noConversion"/>
  </si>
  <si>
    <t>15/16*6-1/2</t>
    <phoneticPr fontId="6" type="noConversion"/>
  </si>
  <si>
    <t>项号</t>
    <phoneticPr fontId="6" type="noConversion"/>
  </si>
  <si>
    <t>铁垫板</t>
    <phoneticPr fontId="6" type="noConversion"/>
  </si>
  <si>
    <r>
      <t xml:space="preserve">950*950*720
</t>
    </r>
    <r>
      <rPr>
        <sz val="10"/>
        <color theme="1"/>
        <rFont val="宋体"/>
        <family val="3"/>
        <charset val="134"/>
        <scheme val="minor"/>
      </rPr>
      <t>0.65</t>
    </r>
    <phoneticPr fontId="6" type="noConversion"/>
  </si>
  <si>
    <r>
      <t xml:space="preserve">950*950*800
</t>
    </r>
    <r>
      <rPr>
        <sz val="10"/>
        <color theme="1"/>
        <rFont val="宋体"/>
        <family val="3"/>
        <charset val="134"/>
        <scheme val="minor"/>
      </rPr>
      <t>0.72</t>
    </r>
    <phoneticPr fontId="6" type="noConversion"/>
  </si>
  <si>
    <t>客户的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</si>
</sst>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zoomScale="115" zoomScaleNormal="115" workbookViewId="0">
      <selection activeCell="I5" sqref="I5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42" customHeight="1" x14ac:dyDescent="0.15">
      <c r="A2" s="1" t="s">
        <v>22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2" t="s">
        <v>13</v>
      </c>
      <c r="O2" s="2" t="s">
        <v>14</v>
      </c>
      <c r="P2" s="2" t="s">
        <v>15</v>
      </c>
    </row>
    <row r="3" spans="1:16" ht="41.25" customHeight="1" x14ac:dyDescent="0.15">
      <c r="A3" s="3">
        <v>1</v>
      </c>
      <c r="B3" s="4" t="s">
        <v>16</v>
      </c>
      <c r="C3" s="4" t="s">
        <v>21</v>
      </c>
      <c r="D3" s="14" t="s">
        <v>20</v>
      </c>
      <c r="E3" s="3">
        <f>F3*G3</f>
        <v>15120</v>
      </c>
      <c r="F3" s="3">
        <v>70</v>
      </c>
      <c r="G3" s="3">
        <f>H3*J3</f>
        <v>216</v>
      </c>
      <c r="H3" s="3">
        <v>18</v>
      </c>
      <c r="I3" s="3">
        <f>H3*F3</f>
        <v>1260</v>
      </c>
      <c r="J3" s="3">
        <v>12</v>
      </c>
      <c r="K3" s="3">
        <v>750</v>
      </c>
      <c r="L3" s="3">
        <v>808</v>
      </c>
      <c r="M3" s="10" t="s">
        <v>24</v>
      </c>
      <c r="N3" s="3">
        <f>K3*J3</f>
        <v>9000</v>
      </c>
      <c r="O3" s="3">
        <f t="shared" ref="O3" si="0">L3*J3</f>
        <v>9696</v>
      </c>
      <c r="P3" s="3">
        <f>0.65*J3</f>
        <v>7.8000000000000007</v>
      </c>
    </row>
    <row r="4" spans="1:16" ht="41.25" customHeight="1" x14ac:dyDescent="0.15">
      <c r="A4" s="3">
        <v>2</v>
      </c>
      <c r="B4" s="4" t="s">
        <v>16</v>
      </c>
      <c r="C4" s="4" t="s">
        <v>21</v>
      </c>
      <c r="D4" s="15"/>
      <c r="E4" s="3">
        <f>F4*G4</f>
        <v>980</v>
      </c>
      <c r="F4" s="3">
        <v>70</v>
      </c>
      <c r="G4" s="3">
        <v>14</v>
      </c>
      <c r="H4" s="12">
        <v>15</v>
      </c>
      <c r="I4" s="3">
        <v>980</v>
      </c>
      <c r="J4" s="12">
        <v>1</v>
      </c>
      <c r="K4" s="12">
        <v>613</v>
      </c>
      <c r="L4" s="12"/>
      <c r="M4" s="17" t="s">
        <v>25</v>
      </c>
      <c r="N4" s="12"/>
      <c r="O4" s="12">
        <v>790</v>
      </c>
      <c r="P4" s="12">
        <f>0.72*J4</f>
        <v>0.72</v>
      </c>
    </row>
    <row r="5" spans="1:16" ht="41.25" customHeight="1" x14ac:dyDescent="0.15">
      <c r="A5" s="3">
        <v>3</v>
      </c>
      <c r="B5" s="4" t="s">
        <v>16</v>
      </c>
      <c r="C5" s="4" t="s">
        <v>21</v>
      </c>
      <c r="D5" s="16"/>
      <c r="E5" s="3">
        <v>50</v>
      </c>
      <c r="F5" s="3">
        <v>50</v>
      </c>
      <c r="G5" s="3">
        <v>1</v>
      </c>
      <c r="H5" s="13"/>
      <c r="I5" s="3">
        <v>50</v>
      </c>
      <c r="J5" s="20"/>
      <c r="K5" s="13"/>
      <c r="L5" s="13"/>
      <c r="M5" s="18"/>
      <c r="N5" s="20"/>
      <c r="O5" s="20"/>
      <c r="P5" s="20"/>
    </row>
    <row r="6" spans="1:16" ht="41.25" customHeight="1" x14ac:dyDescent="0.15">
      <c r="A6" s="3">
        <v>4</v>
      </c>
      <c r="B6" s="4" t="s">
        <v>23</v>
      </c>
      <c r="C6" s="21" t="s">
        <v>26</v>
      </c>
      <c r="D6" s="22"/>
      <c r="E6" s="3">
        <v>6</v>
      </c>
      <c r="F6" s="3">
        <v>3</v>
      </c>
      <c r="G6" s="3">
        <v>2</v>
      </c>
      <c r="H6" s="12">
        <v>3</v>
      </c>
      <c r="I6" s="12">
        <v>10</v>
      </c>
      <c r="J6" s="20"/>
      <c r="K6" s="3"/>
      <c r="L6" s="3"/>
      <c r="M6" s="18"/>
      <c r="N6" s="20"/>
      <c r="O6" s="20"/>
      <c r="P6" s="20"/>
    </row>
    <row r="7" spans="1:16" ht="41.25" customHeight="1" x14ac:dyDescent="0.15">
      <c r="A7" s="3">
        <v>5</v>
      </c>
      <c r="B7" s="4" t="s">
        <v>23</v>
      </c>
      <c r="C7" s="23"/>
      <c r="D7" s="24"/>
      <c r="E7" s="3">
        <f>F7*G7</f>
        <v>4</v>
      </c>
      <c r="F7" s="3">
        <v>4</v>
      </c>
      <c r="G7" s="3">
        <v>1</v>
      </c>
      <c r="H7" s="13"/>
      <c r="I7" s="13"/>
      <c r="J7" s="13"/>
      <c r="K7" s="3"/>
      <c r="L7" s="3"/>
      <c r="M7" s="19"/>
      <c r="N7" s="13"/>
      <c r="O7" s="13"/>
      <c r="P7" s="13"/>
    </row>
    <row r="8" spans="1:16" ht="39" customHeight="1" x14ac:dyDescent="0.15">
      <c r="A8" s="26" t="s">
        <v>17</v>
      </c>
      <c r="B8" s="27"/>
      <c r="C8" s="28"/>
      <c r="D8" s="5"/>
      <c r="E8" s="5">
        <f>SUM(E3:E7)</f>
        <v>16160</v>
      </c>
      <c r="F8" s="5"/>
      <c r="G8" s="5">
        <f>SUM(G3:G7)</f>
        <v>234</v>
      </c>
      <c r="H8" s="5"/>
      <c r="I8" s="5"/>
      <c r="J8" s="5">
        <f>SUM(J3:J7)</f>
        <v>13</v>
      </c>
      <c r="K8" s="5"/>
      <c r="L8" s="5"/>
      <c r="M8" s="5"/>
      <c r="N8" s="5"/>
      <c r="O8" s="5">
        <f>SUM(O3:O7)</f>
        <v>10486</v>
      </c>
      <c r="P8" s="5">
        <f>SUM(P3:P7)</f>
        <v>8.5200000000000014</v>
      </c>
    </row>
    <row r="9" spans="1:16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 t="s">
        <v>18</v>
      </c>
      <c r="C10" s="7">
        <v>0.59499999999999997</v>
      </c>
      <c r="D10" s="8"/>
      <c r="E10" s="8"/>
      <c r="F10" s="8"/>
      <c r="G10" s="8"/>
      <c r="H10" s="8"/>
      <c r="I10" s="8"/>
      <c r="J10" s="8"/>
      <c r="K10" s="8"/>
      <c r="L10" s="8"/>
      <c r="M10" s="6"/>
      <c r="N10" s="6"/>
      <c r="O10" s="6"/>
      <c r="P10" s="6"/>
    </row>
    <row r="11" spans="1:16" ht="14.25" x14ac:dyDescent="0.1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29" t="s">
        <v>19</v>
      </c>
      <c r="N11" s="30"/>
      <c r="O11" s="30"/>
      <c r="P11" s="30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11">
        <v>46176</v>
      </c>
      <c r="N12" s="11"/>
      <c r="O12" s="11"/>
      <c r="P12" s="11"/>
    </row>
    <row r="13" spans="1:16" x14ac:dyDescent="0.15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</sheetData>
  <mergeCells count="16">
    <mergeCell ref="A1:P1"/>
    <mergeCell ref="A8:C8"/>
    <mergeCell ref="M11:P11"/>
    <mergeCell ref="M12:P12"/>
    <mergeCell ref="H4:H5"/>
    <mergeCell ref="D3:D5"/>
    <mergeCell ref="K4:K5"/>
    <mergeCell ref="L4:L5"/>
    <mergeCell ref="M4:M7"/>
    <mergeCell ref="N4:N7"/>
    <mergeCell ref="O4:O7"/>
    <mergeCell ref="P4:P7"/>
    <mergeCell ref="H6:H7"/>
    <mergeCell ref="I6:I7"/>
    <mergeCell ref="J4:J7"/>
    <mergeCell ref="C6:D7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2026-06-03T07:31:13Z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