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21发货\"/>
    </mc:Choice>
  </mc:AlternateContent>
  <xr:revisionPtr revIDLastSave="0" documentId="13_ncr:1_{CEDA5327-29ED-4FDC-B3F0-77ECABD3B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O6" i="1"/>
  <c r="M6" i="1"/>
  <c r="J6" i="1"/>
  <c r="H6" i="1"/>
  <c r="F6" i="1"/>
  <c r="Q4" i="1" l="1"/>
  <c r="P4" i="1"/>
  <c r="O4" i="1"/>
  <c r="M4" i="1"/>
  <c r="J4" i="1"/>
  <c r="H4" i="1"/>
  <c r="F4" i="1"/>
  <c r="Q7" i="1" l="1"/>
  <c r="O7" i="1"/>
  <c r="M7" i="1"/>
  <c r="P7" i="1" s="1"/>
  <c r="J7" i="1"/>
  <c r="H7" i="1"/>
  <c r="F7" i="1" s="1"/>
  <c r="Q5" i="1"/>
  <c r="P5" i="1"/>
  <c r="O5" i="1"/>
  <c r="M5" i="1"/>
  <c r="J5" i="1"/>
  <c r="H5" i="1"/>
  <c r="F5" i="1" s="1"/>
  <c r="K8" i="1" l="1"/>
  <c r="F8" i="1" l="1"/>
  <c r="Q8" i="1"/>
  <c r="P8" i="1"/>
  <c r="O8" i="1"/>
  <c r="H8" i="1"/>
</calcChain>
</file>

<file path=xl/sharedStrings.xml><?xml version="1.0" encoding="utf-8"?>
<sst xmlns="http://schemas.openxmlformats.org/spreadsheetml/2006/main" count="38" uniqueCount="35">
  <si>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</si>
  <si>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</si>
  <si>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</si>
  <si>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</si>
  <si>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</si>
  <si>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</si>
  <si>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</si>
  <si>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</si>
  <si>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</si>
  <si>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</si>
  <si>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</si>
  <si>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</si>
  <si>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</si>
  <si>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</si>
  <si>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</si>
  <si>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</si>
  <si>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</si>
  <si>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</si>
  <si>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</si>
  <si>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</si>
  <si>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</si>
  <si>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</si>
  <si>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</si>
  <si>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</si>
  <si>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</si>
  <si>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</si>
  <si>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螺纹道钉
配弹垫
SCREW SPIKE
with WASHER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</si>
  <si>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</si>
  <si>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弹垫
Spring Washer</t>
  </si>
  <si>
    <t>#21</t>
    <phoneticPr fontId="9" type="noConversion"/>
  </si>
  <si>
    <t>22x150</t>
    <phoneticPr fontId="9" type="noConversion"/>
  </si>
  <si>
    <t>1/27-2/27</t>
    <phoneticPr fontId="9" type="noConversion"/>
  </si>
  <si>
    <t>3/27-8/27</t>
    <phoneticPr fontId="9" type="noConversion"/>
  </si>
  <si>
    <t>9/27-12/27</t>
    <phoneticPr fontId="9" type="noConversion"/>
  </si>
  <si>
    <t>13/27-27/27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</si>
</sst>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5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workbookViewId="0">
      <selection activeCell="F5" sqref="F5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2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8" ht="30.75" customHeight="1" x14ac:dyDescent="0.15">
      <c r="A2" s="14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51.75" customHeight="1" x14ac:dyDescent="0.15">
      <c r="A4" s="15">
        <v>1</v>
      </c>
      <c r="B4" s="4" t="s">
        <v>28</v>
      </c>
      <c r="C4" s="19">
        <v>25</v>
      </c>
      <c r="D4" s="17">
        <v>9462</v>
      </c>
      <c r="E4" s="20" t="s">
        <v>31</v>
      </c>
      <c r="F4" s="2">
        <f t="shared" ref="F4" si="0">G4*H4</f>
        <v>8000</v>
      </c>
      <c r="G4" s="15">
        <v>200</v>
      </c>
      <c r="H4" s="15">
        <f t="shared" ref="H4" si="1">I4*K4</f>
        <v>40</v>
      </c>
      <c r="I4" s="15">
        <v>20</v>
      </c>
      <c r="J4" s="15">
        <f t="shared" ref="J4" si="2">G4*I4</f>
        <v>4000</v>
      </c>
      <c r="K4" s="15">
        <v>2</v>
      </c>
      <c r="L4" s="15">
        <v>365</v>
      </c>
      <c r="M4" s="15">
        <f t="shared" ref="M4" si="3">L4+42</f>
        <v>407</v>
      </c>
      <c r="N4" s="8" t="s">
        <v>23</v>
      </c>
      <c r="O4" s="15">
        <f t="shared" ref="O4" si="4">L4*K4</f>
        <v>730</v>
      </c>
      <c r="P4" s="15">
        <f t="shared" ref="P4" si="5">M4*K4</f>
        <v>814</v>
      </c>
      <c r="Q4" s="18">
        <f>0.48*K4</f>
        <v>0.96</v>
      </c>
      <c r="R4" s="12"/>
    </row>
    <row r="5" spans="1:18" ht="51.75" customHeight="1" x14ac:dyDescent="0.15">
      <c r="A5" s="15">
        <v>2</v>
      </c>
      <c r="B5" s="8" t="s">
        <v>26</v>
      </c>
      <c r="C5" s="16" t="s">
        <v>25</v>
      </c>
      <c r="D5" s="19">
        <v>9561</v>
      </c>
      <c r="E5" s="18" t="s">
        <v>32</v>
      </c>
      <c r="F5" s="2">
        <f>G5*H5</f>
        <v>4800</v>
      </c>
      <c r="G5" s="15">
        <v>25</v>
      </c>
      <c r="H5" s="15">
        <f>I5*K5</f>
        <v>192</v>
      </c>
      <c r="I5" s="15">
        <v>32</v>
      </c>
      <c r="J5" s="15">
        <f>G5*I5</f>
        <v>800</v>
      </c>
      <c r="K5" s="15">
        <v>6</v>
      </c>
      <c r="L5" s="15">
        <v>544</v>
      </c>
      <c r="M5" s="15">
        <f>L5+42</f>
        <v>586</v>
      </c>
      <c r="N5" s="8" t="s">
        <v>27</v>
      </c>
      <c r="O5" s="15">
        <f>L5*K5</f>
        <v>3264</v>
      </c>
      <c r="P5" s="15">
        <f>M5*K5</f>
        <v>3516</v>
      </c>
      <c r="Q5" s="18">
        <f>0.48*K5</f>
        <v>2.88</v>
      </c>
      <c r="R5" s="12"/>
    </row>
    <row r="6" spans="1:18" ht="51.75" customHeight="1" x14ac:dyDescent="0.15">
      <c r="A6" s="15">
        <v>3</v>
      </c>
      <c r="B6" s="4" t="s">
        <v>17</v>
      </c>
      <c r="C6" s="16" t="s">
        <v>30</v>
      </c>
      <c r="D6" s="17">
        <v>9585</v>
      </c>
      <c r="E6" s="18" t="s">
        <v>33</v>
      </c>
      <c r="F6" s="2">
        <f t="shared" ref="F6" si="6">G6*H6</f>
        <v>4000</v>
      </c>
      <c r="G6" s="15">
        <v>25</v>
      </c>
      <c r="H6" s="15">
        <f t="shared" ref="H6" si="7">I6*K6</f>
        <v>160</v>
      </c>
      <c r="I6" s="15">
        <v>40</v>
      </c>
      <c r="J6" s="15">
        <f t="shared" ref="J6" si="8">G6*I6</f>
        <v>1000</v>
      </c>
      <c r="K6" s="15">
        <v>4</v>
      </c>
      <c r="L6" s="15">
        <v>567</v>
      </c>
      <c r="M6" s="15">
        <f t="shared" ref="M6" si="9">L6+42</f>
        <v>609</v>
      </c>
      <c r="N6" s="8" t="s">
        <v>23</v>
      </c>
      <c r="O6" s="15">
        <f t="shared" ref="O6" si="10">L6*K6</f>
        <v>2268</v>
      </c>
      <c r="P6" s="15">
        <f t="shared" ref="P6" si="11">M6*K6</f>
        <v>2436</v>
      </c>
      <c r="Q6" s="18">
        <f t="shared" ref="Q6" si="12">0.48*K6</f>
        <v>1.92</v>
      </c>
      <c r="R6" s="12"/>
    </row>
    <row r="7" spans="1:18" ht="51.75" customHeight="1" x14ac:dyDescent="0.15">
      <c r="A7" s="15">
        <v>4</v>
      </c>
      <c r="B7" s="4" t="s">
        <v>17</v>
      </c>
      <c r="C7" s="16" t="s">
        <v>24</v>
      </c>
      <c r="D7" s="17">
        <v>9584</v>
      </c>
      <c r="E7" s="18" t="s">
        <v>34</v>
      </c>
      <c r="F7" s="2">
        <f t="shared" ref="F7" si="13">G7*H7</f>
        <v>12000</v>
      </c>
      <c r="G7" s="15">
        <v>25</v>
      </c>
      <c r="H7" s="15">
        <f t="shared" ref="H7" si="14">I7*K7</f>
        <v>480</v>
      </c>
      <c r="I7" s="15">
        <v>32</v>
      </c>
      <c r="J7" s="15">
        <f t="shared" ref="J7" si="15">G7*I7</f>
        <v>800</v>
      </c>
      <c r="K7" s="15">
        <v>15</v>
      </c>
      <c r="L7" s="15">
        <v>552</v>
      </c>
      <c r="M7" s="15">
        <f t="shared" ref="M7" si="16">L7+42</f>
        <v>594</v>
      </c>
      <c r="N7" s="8" t="s">
        <v>23</v>
      </c>
      <c r="O7" s="15">
        <f t="shared" ref="O7" si="17">L7*K7</f>
        <v>8280</v>
      </c>
      <c r="P7" s="15">
        <f t="shared" ref="P7" si="18">M7*K7</f>
        <v>8910</v>
      </c>
      <c r="Q7" s="18">
        <f>0.48*K7</f>
        <v>7.1999999999999993</v>
      </c>
      <c r="R7" s="12"/>
    </row>
    <row r="8" spans="1:18" ht="35.25" customHeight="1" x14ac:dyDescent="0.15">
      <c r="A8" s="24" t="s">
        <v>18</v>
      </c>
      <c r="B8" s="24"/>
      <c r="C8" s="24"/>
      <c r="D8" s="3"/>
      <c r="E8" s="1"/>
      <c r="F8" s="3">
        <f>SUM(F4:F7)</f>
        <v>28800</v>
      </c>
      <c r="G8" s="3"/>
      <c r="H8" s="3">
        <f>SUM(H4:H7)</f>
        <v>872</v>
      </c>
      <c r="I8" s="3"/>
      <c r="K8" s="3">
        <f>SUM(K4:K7)</f>
        <v>27</v>
      </c>
      <c r="L8" s="3"/>
      <c r="M8" s="3"/>
      <c r="N8" s="1"/>
      <c r="O8" s="3">
        <f>SUM(O4:O7)</f>
        <v>14542</v>
      </c>
      <c r="P8" s="3">
        <f>SUM(P4:P7)</f>
        <v>15676</v>
      </c>
      <c r="Q8" s="1">
        <f>SUM(Q4:Q7)</f>
        <v>12.959999999999999</v>
      </c>
    </row>
    <row r="9" spans="1:18" ht="21" customHeight="1" x14ac:dyDescent="0.15">
      <c r="A9" s="5"/>
      <c r="B9" s="5"/>
      <c r="C9" s="5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8" ht="21" customHeight="1" x14ac:dyDescent="0.15">
      <c r="A10" s="5"/>
      <c r="B10" s="6" t="s">
        <v>19</v>
      </c>
      <c r="C10" s="5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8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1" t="s">
        <v>21</v>
      </c>
      <c r="O11" s="21"/>
      <c r="P11" s="21"/>
      <c r="Q11" s="21"/>
    </row>
    <row r="12" spans="1:18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1">
        <v>46209</v>
      </c>
      <c r="O12" s="21"/>
      <c r="P12" s="21"/>
      <c r="Q12" s="21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</sheetData>
  <mergeCells count="4">
    <mergeCell ref="N12:Q12"/>
    <mergeCell ref="A1:Q1"/>
    <mergeCell ref="A8:C8"/>
    <mergeCell ref="N11:Q11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2026-04-30T03:07:47Z</cp:lastPrinted>
  <dcterms:created xsi:type="dcterms:W3CDTF">2006-09-13T11:21:00Z</dcterms:created>
  <dcterms:modified xsi:type="dcterms:W3CDTF">2026-07-08T01:50:28Z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