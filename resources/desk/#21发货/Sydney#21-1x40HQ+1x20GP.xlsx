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Sydney\Sydney#21-TMT\"/>
    </mc:Choice>
  </mc:AlternateContent>
  <xr:revisionPtr revIDLastSave="0" documentId="13_ncr:1_{7B12D81E-1449-41CC-8F00-36E1C77AF010}" xr6:coauthVersionLast="47" xr6:coauthVersionMax="47" xr10:uidLastSave="{00000000-0000-0000-0000-000000000000}"/>
  <bookViews>
    <workbookView xWindow="-108" yWindow="-108" windowWidth="23256" windowHeight="13896" tabRatio="602" xr2:uid="{00000000-000D-0000-FFFF-FFFF00000000}"/>
  </bookViews>
  <sheets>
    <sheet name="Sheet2" sheetId="2" r:id="rId1"/>
    <sheet name="Sheet1" sheetId="3" r:id="rId2"/>
  </sheets>
  <definedNames>
    <definedName name="_xlnm._FilterDatabase" localSheetId="0" hidden="1">Sheet2!$A$1:$S$41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2" l="1"/>
  <c r="F43" i="2"/>
  <c r="L39" i="2"/>
  <c r="M38" i="2"/>
  <c r="N38" i="2" s="1"/>
  <c r="K38" i="2"/>
  <c r="F38" i="2"/>
  <c r="M37" i="2"/>
  <c r="K37" i="2"/>
  <c r="F37" i="2"/>
  <c r="M36" i="2"/>
  <c r="N36" i="2" s="1"/>
  <c r="K36" i="2"/>
  <c r="F36" i="2"/>
  <c r="M35" i="2"/>
  <c r="K35" i="2"/>
  <c r="F35" i="2"/>
  <c r="R34" i="2"/>
  <c r="S34" i="2" s="1"/>
  <c r="M34" i="2"/>
  <c r="M39" i="2" s="1"/>
  <c r="K34" i="2"/>
  <c r="E34" i="2"/>
  <c r="R33" i="2"/>
  <c r="S33" i="2" s="1"/>
  <c r="M33" i="2"/>
  <c r="K33" i="2"/>
  <c r="E33" i="2"/>
  <c r="R32" i="2"/>
  <c r="S32" i="2" s="1"/>
  <c r="M32" i="2"/>
  <c r="O32" i="2" s="1"/>
  <c r="K32" i="2"/>
  <c r="E32" i="2"/>
  <c r="R31" i="2"/>
  <c r="S31" i="2" s="1"/>
  <c r="M31" i="2"/>
  <c r="K31" i="2"/>
  <c r="E31" i="2"/>
  <c r="M30" i="2"/>
  <c r="K30" i="2"/>
  <c r="F69" i="3"/>
  <c r="F56" i="3"/>
  <c r="L52" i="3"/>
  <c r="O51" i="3"/>
  <c r="N51" i="3"/>
  <c r="M51" i="3"/>
  <c r="K51" i="3"/>
  <c r="M50" i="3"/>
  <c r="N50" i="3" s="1"/>
  <c r="K50" i="3"/>
  <c r="O50" i="3" s="1"/>
  <c r="F50" i="3"/>
  <c r="M49" i="3"/>
  <c r="O49" i="3" s="1"/>
  <c r="K49" i="3"/>
  <c r="F49" i="3"/>
  <c r="M48" i="3"/>
  <c r="N48" i="3" s="1"/>
  <c r="K48" i="3"/>
  <c r="N47" i="3"/>
  <c r="M47" i="3"/>
  <c r="K47" i="3"/>
  <c r="O47" i="3" s="1"/>
  <c r="F47" i="3"/>
  <c r="M46" i="3"/>
  <c r="N46" i="3" s="1"/>
  <c r="K46" i="3"/>
  <c r="F46" i="3"/>
  <c r="M45" i="3"/>
  <c r="O45" i="3" s="1"/>
  <c r="K45" i="3"/>
  <c r="F45" i="3"/>
  <c r="M44" i="3"/>
  <c r="O44" i="3" s="1"/>
  <c r="K44" i="3"/>
  <c r="F44" i="3"/>
  <c r="M43" i="3"/>
  <c r="O43" i="3" s="1"/>
  <c r="K43" i="3"/>
  <c r="F43" i="3"/>
  <c r="M42" i="3"/>
  <c r="O42" i="3" s="1"/>
  <c r="K42" i="3"/>
  <c r="M39" i="3"/>
  <c r="N39" i="3" s="1"/>
  <c r="K39" i="3"/>
  <c r="E39" i="3"/>
  <c r="M37" i="3"/>
  <c r="O37" i="3" s="1"/>
  <c r="K37" i="3"/>
  <c r="E37" i="3"/>
  <c r="M36" i="3"/>
  <c r="N36" i="3" s="1"/>
  <c r="K36" i="3"/>
  <c r="O36" i="3" s="1"/>
  <c r="O35" i="3"/>
  <c r="M35" i="3"/>
  <c r="N35" i="3" s="1"/>
  <c r="K35" i="3"/>
  <c r="M34" i="3"/>
  <c r="O34" i="3" s="1"/>
  <c r="K34" i="3"/>
  <c r="M33" i="3"/>
  <c r="N33" i="3" s="1"/>
  <c r="K33" i="3"/>
  <c r="O33" i="3" s="1"/>
  <c r="R32" i="3"/>
  <c r="S32" i="3" s="1"/>
  <c r="R31" i="3"/>
  <c r="S31" i="3" s="1"/>
  <c r="M31" i="3"/>
  <c r="O31" i="3" s="1"/>
  <c r="K31" i="3"/>
  <c r="F31" i="3"/>
  <c r="R30" i="3"/>
  <c r="S30" i="3" s="1"/>
  <c r="R29" i="3"/>
  <c r="S29" i="3" s="1"/>
  <c r="M29" i="3"/>
  <c r="N29" i="3" s="1"/>
  <c r="K29" i="3"/>
  <c r="F29" i="3"/>
  <c r="R28" i="3"/>
  <c r="S28" i="3" s="1"/>
  <c r="M28" i="3"/>
  <c r="N28" i="3" s="1"/>
  <c r="K28" i="3"/>
  <c r="O28" i="3" s="1"/>
  <c r="F28" i="3"/>
  <c r="M27" i="3"/>
  <c r="O27" i="3" s="1"/>
  <c r="M26" i="3"/>
  <c r="N26" i="3" s="1"/>
  <c r="K26" i="3"/>
  <c r="S25" i="3"/>
  <c r="R25" i="3"/>
  <c r="M25" i="3"/>
  <c r="O25" i="3" s="1"/>
  <c r="K25" i="3"/>
  <c r="E25" i="3"/>
  <c r="R24" i="3"/>
  <c r="S24" i="3" s="1"/>
  <c r="M24" i="3"/>
  <c r="O24" i="3" s="1"/>
  <c r="K24" i="3"/>
  <c r="E24" i="3"/>
  <c r="R23" i="3"/>
  <c r="S23" i="3" s="1"/>
  <c r="M23" i="3"/>
  <c r="O23" i="3" s="1"/>
  <c r="K23" i="3"/>
  <c r="E23" i="3"/>
  <c r="R22" i="3"/>
  <c r="S22" i="3" s="1"/>
  <c r="N22" i="3"/>
  <c r="M22" i="3"/>
  <c r="K22" i="3"/>
  <c r="O22" i="3" s="1"/>
  <c r="F22" i="3"/>
  <c r="S21" i="3"/>
  <c r="R21" i="3"/>
  <c r="M21" i="3"/>
  <c r="O21" i="3" s="1"/>
  <c r="K21" i="3"/>
  <c r="E21" i="3"/>
  <c r="R20" i="3"/>
  <c r="S20" i="3" s="1"/>
  <c r="M20" i="3"/>
  <c r="O20" i="3" s="1"/>
  <c r="K20" i="3"/>
  <c r="E20" i="3"/>
  <c r="R19" i="3"/>
  <c r="S19" i="3" s="1"/>
  <c r="M19" i="3"/>
  <c r="N19" i="3" s="1"/>
  <c r="K19" i="3"/>
  <c r="O19" i="3" s="1"/>
  <c r="M18" i="3"/>
  <c r="O18" i="3" s="1"/>
  <c r="K18" i="3"/>
  <c r="F18" i="3"/>
  <c r="R17" i="3"/>
  <c r="S17" i="3" s="1"/>
  <c r="M17" i="3"/>
  <c r="O17" i="3" s="1"/>
  <c r="K17" i="3"/>
  <c r="R16" i="3"/>
  <c r="S16" i="3" s="1"/>
  <c r="M16" i="3"/>
  <c r="O16" i="3" s="1"/>
  <c r="K16" i="3"/>
  <c r="F16" i="3"/>
  <c r="S15" i="3"/>
  <c r="R15" i="3"/>
  <c r="M15" i="3"/>
  <c r="O15" i="3" s="1"/>
  <c r="K15" i="3"/>
  <c r="F15" i="3"/>
  <c r="S14" i="3"/>
  <c r="M14" i="3"/>
  <c r="O14" i="3" s="1"/>
  <c r="K14" i="3"/>
  <c r="F14" i="3"/>
  <c r="R13" i="3"/>
  <c r="S13" i="3" s="1"/>
  <c r="M13" i="3"/>
  <c r="O13" i="3" s="1"/>
  <c r="K13" i="3"/>
  <c r="F13" i="3"/>
  <c r="R12" i="3"/>
  <c r="S12" i="3" s="1"/>
  <c r="O12" i="3"/>
  <c r="M12" i="3"/>
  <c r="N12" i="3" s="1"/>
  <c r="K12" i="3"/>
  <c r="F12" i="3"/>
  <c r="R11" i="3"/>
  <c r="S11" i="3" s="1"/>
  <c r="M11" i="3"/>
  <c r="O11" i="3" s="1"/>
  <c r="K11" i="3"/>
  <c r="F11" i="3"/>
  <c r="R10" i="3"/>
  <c r="S10" i="3" s="1"/>
  <c r="M10" i="3"/>
  <c r="N10" i="3" s="1"/>
  <c r="K10" i="3"/>
  <c r="F10" i="3"/>
  <c r="R9" i="3"/>
  <c r="S9" i="3" s="1"/>
  <c r="O9" i="3"/>
  <c r="N9" i="3"/>
  <c r="M9" i="3"/>
  <c r="K9" i="3"/>
  <c r="F9" i="3"/>
  <c r="R8" i="3"/>
  <c r="S8" i="3" s="1"/>
  <c r="O8" i="3"/>
  <c r="M8" i="3"/>
  <c r="N8" i="3" s="1"/>
  <c r="K8" i="3"/>
  <c r="F8" i="3"/>
  <c r="R7" i="3"/>
  <c r="S7" i="3" s="1"/>
  <c r="M7" i="3"/>
  <c r="O7" i="3" s="1"/>
  <c r="K7" i="3"/>
  <c r="F7" i="3"/>
  <c r="R6" i="3"/>
  <c r="S6" i="3" s="1"/>
  <c r="M6" i="3"/>
  <c r="N6" i="3" s="1"/>
  <c r="K6" i="3"/>
  <c r="F6" i="3"/>
  <c r="R5" i="3"/>
  <c r="S5" i="3" s="1"/>
  <c r="O5" i="3"/>
  <c r="N5" i="3"/>
  <c r="M5" i="3"/>
  <c r="K5" i="3"/>
  <c r="F5" i="3"/>
  <c r="M4" i="3"/>
  <c r="O4" i="3" s="1"/>
  <c r="K4" i="3"/>
  <c r="M3" i="3"/>
  <c r="O3" i="3" s="1"/>
  <c r="K3" i="3"/>
  <c r="E3" i="3"/>
  <c r="M2" i="3"/>
  <c r="K2" i="3"/>
  <c r="O34" i="2" l="1"/>
  <c r="O38" i="2"/>
  <c r="O30" i="2"/>
  <c r="O37" i="2"/>
  <c r="O33" i="2"/>
  <c r="N34" i="2"/>
  <c r="O35" i="2"/>
  <c r="N31" i="2"/>
  <c r="N35" i="2"/>
  <c r="N32" i="2"/>
  <c r="N30" i="2"/>
  <c r="O36" i="2"/>
  <c r="N33" i="2"/>
  <c r="N37" i="2"/>
  <c r="O31" i="2"/>
  <c r="N43" i="3"/>
  <c r="O46" i="3"/>
  <c r="M52" i="3"/>
  <c r="O48" i="3"/>
  <c r="N37" i="3"/>
  <c r="N2" i="3"/>
  <c r="O2" i="3"/>
  <c r="N16" i="3"/>
  <c r="O26" i="3"/>
  <c r="N44" i="3"/>
  <c r="N13" i="3"/>
  <c r="N20" i="3"/>
  <c r="N27" i="3"/>
  <c r="N49" i="3"/>
  <c r="N7" i="3"/>
  <c r="O10" i="3"/>
  <c r="O39" i="3"/>
  <c r="O6" i="3"/>
  <c r="N23" i="3"/>
  <c r="N31" i="3"/>
  <c r="N3" i="3"/>
  <c r="N17" i="3"/>
  <c r="N45" i="3"/>
  <c r="N4" i="3"/>
  <c r="N24" i="3"/>
  <c r="N14" i="3"/>
  <c r="N21" i="3"/>
  <c r="N11" i="3"/>
  <c r="N25" i="3"/>
  <c r="O29" i="3"/>
  <c r="N18" i="3"/>
  <c r="N34" i="3"/>
  <c r="N42" i="3"/>
  <c r="N15" i="3"/>
  <c r="L14" i="2"/>
  <c r="R13" i="2"/>
  <c r="S13" i="2" s="1"/>
  <c r="R12" i="2"/>
  <c r="S12" i="2" s="1"/>
  <c r="M12" i="2"/>
  <c r="N12" i="2" s="1"/>
  <c r="K12" i="2"/>
  <c r="F12" i="2"/>
  <c r="R11" i="2"/>
  <c r="S11" i="2" s="1"/>
  <c r="R10" i="2"/>
  <c r="S10" i="2" s="1"/>
  <c r="M10" i="2"/>
  <c r="O10" i="2" s="1"/>
  <c r="K10" i="2"/>
  <c r="F10" i="2"/>
  <c r="R9" i="2"/>
  <c r="S9" i="2" s="1"/>
  <c r="M9" i="2"/>
  <c r="N9" i="2" s="1"/>
  <c r="K9" i="2"/>
  <c r="F9" i="2"/>
  <c r="M8" i="2"/>
  <c r="N8" i="2" s="1"/>
  <c r="R7" i="2"/>
  <c r="S7" i="2" s="1"/>
  <c r="M7" i="2"/>
  <c r="K7" i="2"/>
  <c r="O7" i="2" s="1"/>
  <c r="E7" i="2"/>
  <c r="R6" i="2"/>
  <c r="S6" i="2" s="1"/>
  <c r="M6" i="2"/>
  <c r="K6" i="2"/>
  <c r="E6" i="2"/>
  <c r="R5" i="2"/>
  <c r="S5" i="2" s="1"/>
  <c r="M5" i="2"/>
  <c r="N5" i="2" s="1"/>
  <c r="K5" i="2"/>
  <c r="F5" i="2"/>
  <c r="R4" i="2"/>
  <c r="S4" i="2" s="1"/>
  <c r="M4" i="2"/>
  <c r="K4" i="2"/>
  <c r="E4" i="2"/>
  <c r="R3" i="2"/>
  <c r="S3" i="2" s="1"/>
  <c r="M3" i="2"/>
  <c r="K3" i="2"/>
  <c r="E3" i="2"/>
  <c r="O39" i="2" l="1"/>
  <c r="N39" i="2"/>
  <c r="O52" i="3"/>
  <c r="N52" i="3"/>
  <c r="O4" i="2"/>
  <c r="N4" i="2"/>
  <c r="O9" i="2"/>
  <c r="O6" i="2"/>
  <c r="O5" i="2"/>
  <c r="M14" i="2"/>
  <c r="N7" i="2"/>
  <c r="N3" i="2"/>
  <c r="N6" i="2"/>
  <c r="O12" i="2"/>
  <c r="O8" i="2"/>
  <c r="O3" i="2"/>
  <c r="N10" i="2"/>
  <c r="O14" i="2" l="1"/>
  <c r="N14" i="2"/>
</calcChain>
</file>

<file path=xl/sharedStrings.xml><?xml version="1.0" encoding="utf-8"?>
<sst xmlns="http://schemas.openxmlformats.org/spreadsheetml/2006/main" count="278" uniqueCount="95">
  <si>
    <t>PO</t>
  </si>
  <si>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</si>
  <si>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</si>
  <si>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</si>
  <si>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</si>
  <si>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</si>
  <si>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</si>
  <si>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</si>
  <si>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</si>
  <si>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</si>
  <si>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</si>
  <si>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</si>
  <si>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</si>
  <si>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</si>
  <si>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</si>
  <si>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EXW DATE</t>
  </si>
  <si>
    <t>Customer Deadline</t>
  </si>
  <si>
    <t>latest EXW</t>
  </si>
  <si>
    <t>Estimated To Door</t>
  </si>
  <si>
    <t>Fosco</t>
  </si>
  <si>
    <t>Nylon Dowels 165mm Closed</t>
  </si>
  <si>
    <t>Amadale</t>
  </si>
  <si>
    <t>HDPE Dowel x 165mm (OPEN END)</t>
  </si>
  <si>
    <t>Serrated Washer Ø26 x 6mm Pitch to Drawing # ACCSW266-01 Rev C Sherardising</t>
  </si>
  <si>
    <t>MSP801R2</t>
  </si>
  <si>
    <t>TMT</t>
  </si>
  <si>
    <t>Primary Spring (4GT / TC)</t>
  </si>
  <si>
    <t>Primary Spring (WGT, SGT &amp; 4GT / MC)</t>
  </si>
  <si>
    <t>Bush Traction Beam</t>
  </si>
  <si>
    <t>Bush Traction Rod</t>
  </si>
  <si>
    <t>Bush Anti Roll Bar Rod Bottom</t>
  </si>
  <si>
    <t>Bush Anti Roll Bar Rod Top</t>
  </si>
  <si>
    <t>Lateral Bump Stop</t>
  </si>
  <si>
    <t>Anti Roll Bar Bush Torsion</t>
  </si>
  <si>
    <t>Anti Roll Bar Pad Thrust</t>
  </si>
  <si>
    <t>Air Spring (WTP)</t>
  </si>
  <si>
    <t>MSP804R6</t>
  </si>
  <si>
    <t>Air Bellow (MS9007TMT)</t>
  </si>
  <si>
    <t>Air Bellow CO</t>
  </si>
  <si>
    <t>MSP00871</t>
  </si>
  <si>
    <t>Air Bellows</t>
  </si>
  <si>
    <t>Std Alt 1 RF192 CUG Baseplate</t>
  </si>
  <si>
    <t>MSP00931</t>
  </si>
  <si>
    <t>Bush Traction Link</t>
  </si>
  <si>
    <t>MSP00892</t>
  </si>
  <si>
    <t>Single Guide Link Assembly</t>
  </si>
  <si>
    <t xml:space="preserve">Double Guide Link Assembly </t>
  </si>
  <si>
    <t>Traction Cap Casting Detail</t>
  </si>
  <si>
    <t>Traction Centre</t>
  </si>
  <si>
    <t>Middle Guide Link Bracket Casting</t>
  </si>
  <si>
    <t>Guide Link Bracket</t>
  </si>
  <si>
    <t>STD ALT1 End Hole 130 - 1IN20 Baseplates No Serrated Washer</t>
  </si>
  <si>
    <t>MSP00894</t>
  </si>
  <si>
    <t>Railteco</t>
  </si>
  <si>
    <t xml:space="preserve">Motor Nose Casting Block Machined </t>
  </si>
  <si>
    <t>Axle Box Casting to Drawing # P230-01488</t>
  </si>
  <si>
    <t>Tie Bar Casting Detail to Drawing # P230-01496</t>
  </si>
  <si>
    <t>Tie Bar Casting OH to Drawing # P230-01515</t>
  </si>
  <si>
    <t>Lower Spring Seat to Drawing # P230-01561</t>
  </si>
  <si>
    <t>Upper Spring Seat to Drawing # P230-01562</t>
  </si>
  <si>
    <t>00009610</t>
  </si>
  <si>
    <t>Lynn</t>
  </si>
  <si>
    <t>2440 x 1050 x 3mm HDPE Sheets Black</t>
  </si>
  <si>
    <t>2440 x 1050 x 5mm HDPE Sheets Black</t>
  </si>
  <si>
    <t>2440 x 1050 x 7mm HDPE Sheets Black</t>
  </si>
  <si>
    <t>2440 x 1050 x 10mm HDPE Sheets Black</t>
  </si>
  <si>
    <t>PO28681</t>
  </si>
  <si>
    <t>Winlane</t>
  </si>
  <si>
    <t>PO28686</t>
  </si>
  <si>
    <t>PO28648R6</t>
  </si>
  <si>
    <t>PO28680</t>
  </si>
  <si>
    <t>P2080</t>
  </si>
  <si>
    <t xml:space="preserve">PO28687 </t>
  </si>
  <si>
    <t>Sudelan</t>
  </si>
  <si>
    <t>Fe6 Spring Wahser</t>
  </si>
  <si>
    <t xml:space="preserve">Ss8 GAL SCREWSPIKES 24 DIA X 165. 5.6 </t>
  </si>
  <si>
    <t>Ss8 Fe6 GAL SCREWSPIKE 24 x 165 WITH WASHER</t>
  </si>
  <si>
    <t>00009585</t>
  </si>
  <si>
    <t>22 Dia x 150 Long Hot Dipped Galvanised Screwspikes</t>
  </si>
  <si>
    <t>00009584</t>
  </si>
  <si>
    <t>26 Dia x190 Long Hex Heads Screwspikes 8.8 Graded</t>
  </si>
  <si>
    <t>24Dia x190mm 5.6G Gal. Sleeper Screwspikes</t>
  </si>
  <si>
    <t>Fe 15 GAL DOUBLE HELLICAL SPRING WASHER</t>
  </si>
  <si>
    <t>CUG 24 Dia x 117 Screwspikes Grade 5.6</t>
  </si>
  <si>
    <t>26 Dia x190 Long Hex Heads Screwspikes Grade 8.8</t>
  </si>
  <si>
    <t>X4</t>
  </si>
  <si>
    <t>X3</t>
  </si>
  <si>
    <t>1X40HQ</t>
  </si>
  <si>
    <t>X6</t>
  </si>
  <si>
    <t>X5</t>
  </si>
  <si>
    <t>X2+1X0.72</t>
  </si>
  <si>
    <t>X1+0.45 X2</t>
  </si>
  <si>
    <t>X3+0.45 X1+0.40x1</t>
  </si>
  <si>
    <t>X2</t>
  </si>
  <si>
    <t>1x20GP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</si>
</sst>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 ;[Red]\-0.00\ "/>
    <numFmt numFmtId="165" formatCode="0.00_ "/>
    <numFmt numFmtId="166" formatCode="0_ "/>
    <numFmt numFmtId="167" formatCode="[$-C09]dd\-mmm\-yy;@"/>
    <numFmt numFmtId="168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2060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/>
        <bgColor theme="8"/>
      </patternFill>
    </fill>
    <fill>
      <patternFill patternType="solid">
        <fgColor rgb="FFFFC000"/>
        <bgColor theme="8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167" fontId="1" fillId="0" borderId="0"/>
  </cellStyleXfs>
  <cellXfs count="134">
    <xf numFmtId="0" fontId="0" fillId="0" borderId="0" xfId="0"/>
    <xf numFmtId="1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2" fontId="0" fillId="0" borderId="3" xfId="1" applyNumberFormat="1" applyFont="1" applyFill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0" fontId="0" fillId="5" borderId="0" xfId="0" applyFill="1"/>
    <xf numFmtId="0" fontId="0" fillId="6" borderId="0" xfId="0" applyFill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2" fontId="0" fillId="6" borderId="3" xfId="0" applyNumberFormat="1" applyFill="1" applyBorder="1" applyAlignment="1">
      <alignment horizontal="center" vertical="center"/>
    </xf>
    <xf numFmtId="14" fontId="0" fillId="6" borderId="3" xfId="0" applyNumberFormat="1" applyFill="1" applyBorder="1"/>
    <xf numFmtId="14" fontId="0" fillId="6" borderId="3" xfId="0" applyNumberFormat="1" applyFill="1" applyBorder="1" applyAlignment="1">
      <alignment horizontal="center" vertical="center"/>
    </xf>
    <xf numFmtId="0" fontId="0" fillId="6" borderId="0" xfId="0" applyFill="1"/>
    <xf numFmtId="0" fontId="6" fillId="6" borderId="3" xfId="0" applyFont="1" applyFill="1" applyBorder="1" applyAlignment="1">
      <alignment horizontal="center" vertical="center" wrapText="1"/>
    </xf>
    <xf numFmtId="14" fontId="0" fillId="6" borderId="0" xfId="0" applyNumberFormat="1" applyFill="1"/>
    <xf numFmtId="1" fontId="0" fillId="6" borderId="3" xfId="0" applyNumberFormat="1" applyFill="1" applyBorder="1" applyAlignment="1">
      <alignment horizontal="center" vertical="center"/>
    </xf>
    <xf numFmtId="167" fontId="0" fillId="6" borderId="3" xfId="2" applyFont="1" applyFill="1" applyBorder="1" applyAlignment="1">
      <alignment horizontal="center" vertical="center"/>
    </xf>
    <xf numFmtId="165" fontId="6" fillId="6" borderId="3" xfId="0" applyNumberFormat="1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2" fontId="7" fillId="6" borderId="3" xfId="0" applyNumberFormat="1" applyFont="1" applyFill="1" applyBorder="1" applyAlignment="1">
      <alignment horizontal="center" vertical="center"/>
    </xf>
    <xf numFmtId="2" fontId="1" fillId="6" borderId="3" xfId="0" applyNumberFormat="1" applyFont="1" applyFill="1" applyBorder="1" applyAlignment="1">
      <alignment horizontal="center" vertical="center"/>
    </xf>
    <xf numFmtId="2" fontId="0" fillId="6" borderId="3" xfId="1" applyNumberFormat="1" applyFont="1" applyFill="1" applyBorder="1" applyAlignment="1">
      <alignment horizontal="center" vertical="center"/>
    </xf>
    <xf numFmtId="166" fontId="0" fillId="5" borderId="0" xfId="0" applyNumberFormat="1" applyFill="1"/>
    <xf numFmtId="0" fontId="0" fillId="0" borderId="0" xfId="0" applyAlignment="1">
      <alignment horizontal="center"/>
    </xf>
    <xf numFmtId="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 vertical="top" wrapText="1"/>
    </xf>
    <xf numFmtId="2" fontId="5" fillId="0" borderId="3" xfId="2" applyNumberFormat="1" applyFont="1" applyBorder="1" applyAlignment="1">
      <alignment horizontal="center" vertical="center"/>
    </xf>
    <xf numFmtId="2" fontId="0" fillId="0" borderId="3" xfId="2" applyNumberFormat="1" applyFon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2" fontId="0" fillId="0" borderId="3" xfId="0" applyNumberFormat="1" applyBorder="1"/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" fontId="1" fillId="0" borderId="3" xfId="0" applyNumberFormat="1" applyFont="1" applyBorder="1"/>
    <xf numFmtId="2" fontId="0" fillId="0" borderId="2" xfId="0" applyNumberFormat="1" applyBorder="1" applyAlignment="1">
      <alignment horizontal="center"/>
    </xf>
    <xf numFmtId="167" fontId="0" fillId="0" borderId="0" xfId="2" applyFont="1" applyAlignment="1">
      <alignment horizontal="left" vertical="top"/>
    </xf>
    <xf numFmtId="164" fontId="5" fillId="0" borderId="2" xfId="2" applyNumberFormat="1" applyFont="1" applyBorder="1" applyAlignment="1">
      <alignment horizontal="center" vertical="center"/>
    </xf>
    <xf numFmtId="164" fontId="0" fillId="0" borderId="2" xfId="2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/>
    <xf numFmtId="167" fontId="0" fillId="0" borderId="3" xfId="2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167" fontId="8" fillId="0" borderId="3" xfId="0" applyNumberFormat="1" applyFont="1" applyBorder="1" applyAlignment="1">
      <alignment horizontal="left" vertical="center"/>
    </xf>
    <xf numFmtId="2" fontId="1" fillId="0" borderId="3" xfId="2" applyNumberForma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67" fontId="7" fillId="0" borderId="3" xfId="0" applyNumberFormat="1" applyFont="1" applyBorder="1" applyAlignment="1">
      <alignment horizontal="left" vertical="top"/>
    </xf>
    <xf numFmtId="168" fontId="0" fillId="0" borderId="3" xfId="0" applyNumberForma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1" xfId="2" applyNumberFormat="1" applyFont="1" applyBorder="1" applyAlignment="1">
      <alignment horizontal="center" vertical="center"/>
    </xf>
    <xf numFmtId="2" fontId="0" fillId="0" borderId="1" xfId="2" applyNumberFormat="1" applyFont="1" applyBorder="1" applyAlignment="1">
      <alignment horizontal="center" vertical="center"/>
    </xf>
    <xf numFmtId="2" fontId="0" fillId="0" borderId="1" xfId="0" applyNumberFormat="1" applyBorder="1"/>
    <xf numFmtId="0" fontId="0" fillId="0" borderId="0" xfId="0" applyAlignment="1">
      <alignment horizontal="left" vertical="top"/>
    </xf>
    <xf numFmtId="2" fontId="0" fillId="0" borderId="0" xfId="0" applyNumberFormat="1"/>
    <xf numFmtId="2" fontId="1" fillId="0" borderId="1" xfId="0" applyNumberFormat="1" applyFont="1" applyBorder="1"/>
    <xf numFmtId="164" fontId="0" fillId="0" borderId="3" xfId="2" applyNumberFormat="1" applyFont="1" applyBorder="1" applyAlignment="1">
      <alignment horizontal="center" vertical="center"/>
    </xf>
    <xf numFmtId="167" fontId="0" fillId="0" borderId="3" xfId="2" applyFont="1" applyBorder="1" applyAlignment="1">
      <alignment horizontal="left" vertical="top"/>
    </xf>
    <xf numFmtId="2" fontId="0" fillId="5" borderId="3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166" fontId="0" fillId="5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2" fontId="0" fillId="6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 wrapText="1"/>
    </xf>
    <xf numFmtId="0" fontId="0" fillId="0" borderId="0" xfId="0" applyFill="1"/>
    <xf numFmtId="1" fontId="0" fillId="5" borderId="3" xfId="0" applyNumberFormat="1" applyFill="1" applyBorder="1" applyAlignment="1">
      <alignment horizontal="center" vertical="center"/>
    </xf>
    <xf numFmtId="167" fontId="0" fillId="5" borderId="3" xfId="0" applyNumberFormat="1" applyFill="1" applyBorder="1" applyAlignment="1">
      <alignment horizontal="center" vertical="center"/>
    </xf>
    <xf numFmtId="167" fontId="0" fillId="5" borderId="3" xfId="2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2" fontId="5" fillId="5" borderId="3" xfId="0" applyNumberFormat="1" applyFont="1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14" fontId="0" fillId="5" borderId="3" xfId="0" applyNumberFormat="1" applyFill="1" applyBorder="1"/>
    <xf numFmtId="0" fontId="0" fillId="5" borderId="3" xfId="0" applyFill="1" applyBorder="1"/>
    <xf numFmtId="49" fontId="8" fillId="5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left" vertical="top"/>
    </xf>
    <xf numFmtId="2" fontId="5" fillId="5" borderId="3" xfId="2" applyNumberFormat="1" applyFont="1" applyFill="1" applyBorder="1" applyAlignment="1">
      <alignment horizontal="center" vertical="center"/>
    </xf>
    <xf numFmtId="2" fontId="0" fillId="5" borderId="3" xfId="2" applyNumberFormat="1" applyFont="1" applyFill="1" applyBorder="1" applyAlignment="1">
      <alignment horizontal="center" vertical="center"/>
    </xf>
    <xf numFmtId="2" fontId="0" fillId="5" borderId="0" xfId="0" applyNumberFormat="1" applyFill="1"/>
    <xf numFmtId="14" fontId="0" fillId="5" borderId="0" xfId="0" applyNumberFormat="1" applyFill="1"/>
    <xf numFmtId="2" fontId="5" fillId="5" borderId="1" xfId="2" applyNumberFormat="1" applyFont="1" applyFill="1" applyBorder="1" applyAlignment="1">
      <alignment horizontal="center" vertical="center"/>
    </xf>
    <xf numFmtId="2" fontId="0" fillId="5" borderId="1" xfId="2" applyNumberFormat="1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/>
    <xf numFmtId="166" fontId="0" fillId="0" borderId="0" xfId="0" applyNumberFormat="1" applyFill="1"/>
    <xf numFmtId="1" fontId="0" fillId="7" borderId="3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0" fillId="7" borderId="3" xfId="0" applyFill="1" applyBorder="1" applyAlignment="1">
      <alignment horizontal="left" vertical="top" wrapText="1"/>
    </xf>
    <xf numFmtId="2" fontId="5" fillId="7" borderId="3" xfId="2" applyNumberFormat="1" applyFont="1" applyFill="1" applyBorder="1" applyAlignment="1">
      <alignment horizontal="center" vertical="center"/>
    </xf>
    <xf numFmtId="2" fontId="0" fillId="7" borderId="3" xfId="2" applyNumberFormat="1" applyFont="1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3" fontId="0" fillId="7" borderId="3" xfId="0" applyNumberFormat="1" applyFill="1" applyBorder="1" applyAlignment="1">
      <alignment horizontal="center" vertical="center"/>
    </xf>
    <xf numFmtId="2" fontId="0" fillId="7" borderId="3" xfId="0" applyNumberFormat="1" applyFill="1" applyBorder="1"/>
    <xf numFmtId="14" fontId="0" fillId="7" borderId="3" xfId="0" applyNumberFormat="1" applyFill="1" applyBorder="1"/>
    <xf numFmtId="0" fontId="0" fillId="7" borderId="0" xfId="0" applyFill="1"/>
    <xf numFmtId="0" fontId="0" fillId="7" borderId="0" xfId="0" applyFill="1" applyAlignment="1">
      <alignment horizontal="center"/>
    </xf>
  </cellXfs>
  <cellStyles count="3">
    <cellStyle name="Good" xfId="1" builtinId="26"/>
    <cellStyle name="Normal" xfId="0" builtinId="0"/>
    <cellStyle name="Normal 3 2" xfId="2" xr:uid="{3F5059AD-E1F8-4DE4-9E48-1494E1A981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60077-9500-48E8-BDA2-4D1DA5B3A4E2}">
  <sheetPr>
    <pageSetUpPr fitToPage="1"/>
  </sheetPr>
  <dimension ref="A1:S56"/>
  <sheetViews>
    <sheetView tabSelected="1" topLeftCell="A10" workbookViewId="0">
      <selection activeCell="D28" sqref="D28"/>
    </sheetView>
  </sheetViews>
  <sheetFormatPr defaultRowHeight="14.4" x14ac:dyDescent="0.3"/>
  <cols>
    <col min="1" max="1" width="12" bestFit="1" customWidth="1"/>
    <col min="3" max="3" width="60.6640625" bestFit="1" customWidth="1"/>
    <col min="16" max="19" width="10.5546875" bestFit="1" customWidth="1"/>
  </cols>
  <sheetData>
    <row r="1" spans="1:19" x14ac:dyDescent="0.3">
      <c r="A1" s="5">
        <v>46218</v>
      </c>
      <c r="C1" t="s">
        <v>87</v>
      </c>
    </row>
    <row r="2" spans="1:19" ht="55.2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3" t="s">
        <v>15</v>
      </c>
      <c r="Q2" s="3" t="s">
        <v>16</v>
      </c>
      <c r="R2" s="4" t="s">
        <v>17</v>
      </c>
      <c r="S2" s="3" t="s">
        <v>18</v>
      </c>
    </row>
    <row r="3" spans="1:19" s="14" customFormat="1" x14ac:dyDescent="0.3">
      <c r="A3" s="17" t="s">
        <v>44</v>
      </c>
      <c r="B3" s="10" t="s">
        <v>25</v>
      </c>
      <c r="C3" s="18" t="s">
        <v>45</v>
      </c>
      <c r="D3" s="15">
        <v>4</v>
      </c>
      <c r="E3" s="19">
        <f t="shared" ref="E3:E4" si="0">G3+F3</f>
        <v>130</v>
      </c>
      <c r="F3" s="19">
        <v>20</v>
      </c>
      <c r="G3" s="19">
        <v>110</v>
      </c>
      <c r="H3" s="19">
        <v>0.83</v>
      </c>
      <c r="I3" s="19">
        <v>0.77</v>
      </c>
      <c r="J3" s="19">
        <v>0.34</v>
      </c>
      <c r="K3" s="19">
        <f t="shared" ref="K3:K7" si="1">H3*I3*J3</f>
        <v>0.21729400000000001</v>
      </c>
      <c r="L3" s="7">
        <v>20</v>
      </c>
      <c r="M3" s="11">
        <f t="shared" ref="M3:M7" si="2">L3/D3</f>
        <v>5</v>
      </c>
      <c r="N3" s="11">
        <f t="shared" ref="N3:N7" si="3">M3*E3</f>
        <v>650</v>
      </c>
      <c r="O3" s="11">
        <f t="shared" ref="O3:O7" si="4">M3*K3</f>
        <v>1.08647</v>
      </c>
      <c r="P3" s="13">
        <v>46012</v>
      </c>
      <c r="Q3" s="12">
        <v>46249</v>
      </c>
      <c r="R3" s="13">
        <f t="shared" ref="R3:R7" si="5">Q3-3-4-21-4-3</f>
        <v>46214</v>
      </c>
      <c r="S3" s="13">
        <f t="shared" ref="S3:S7" si="6">R3+30</f>
        <v>46244</v>
      </c>
    </row>
    <row r="4" spans="1:19" s="14" customFormat="1" x14ac:dyDescent="0.3">
      <c r="A4" s="17" t="s">
        <v>44</v>
      </c>
      <c r="B4" s="10" t="s">
        <v>25</v>
      </c>
      <c r="C4" s="18" t="s">
        <v>46</v>
      </c>
      <c r="D4" s="15">
        <v>2</v>
      </c>
      <c r="E4" s="19">
        <f t="shared" si="0"/>
        <v>120</v>
      </c>
      <c r="F4" s="19">
        <v>20</v>
      </c>
      <c r="G4" s="19">
        <v>100</v>
      </c>
      <c r="H4" s="19">
        <v>0.83</v>
      </c>
      <c r="I4" s="19">
        <v>0.72</v>
      </c>
      <c r="J4" s="19">
        <v>0.37</v>
      </c>
      <c r="K4" s="19">
        <f t="shared" si="1"/>
        <v>0.22111199999999998</v>
      </c>
      <c r="L4" s="7">
        <v>40</v>
      </c>
      <c r="M4" s="11">
        <f t="shared" si="2"/>
        <v>20</v>
      </c>
      <c r="N4" s="11">
        <f t="shared" si="3"/>
        <v>2400</v>
      </c>
      <c r="O4" s="11">
        <f t="shared" si="4"/>
        <v>4.4222399999999995</v>
      </c>
      <c r="P4" s="13">
        <v>46012</v>
      </c>
      <c r="Q4" s="12">
        <v>46249</v>
      </c>
      <c r="R4" s="13">
        <f t="shared" si="5"/>
        <v>46214</v>
      </c>
      <c r="S4" s="13">
        <f t="shared" si="6"/>
        <v>46244</v>
      </c>
    </row>
    <row r="5" spans="1:19" s="14" customFormat="1" x14ac:dyDescent="0.3">
      <c r="A5" s="17" t="s">
        <v>44</v>
      </c>
      <c r="B5" s="10" t="s">
        <v>25</v>
      </c>
      <c r="C5" s="18" t="s">
        <v>47</v>
      </c>
      <c r="D5" s="20">
        <v>4</v>
      </c>
      <c r="E5" s="20">
        <v>516.20000000000005</v>
      </c>
      <c r="F5" s="20">
        <f>E5-G5</f>
        <v>51.000000000000057</v>
      </c>
      <c r="G5" s="20">
        <v>465.2</v>
      </c>
      <c r="H5" s="20">
        <v>1.32</v>
      </c>
      <c r="I5" s="20">
        <v>0.84</v>
      </c>
      <c r="J5" s="20">
        <v>0.48</v>
      </c>
      <c r="K5" s="21">
        <f t="shared" si="1"/>
        <v>0.53222400000000003</v>
      </c>
      <c r="L5" s="7">
        <v>20</v>
      </c>
      <c r="M5" s="11">
        <f t="shared" si="2"/>
        <v>5</v>
      </c>
      <c r="N5" s="11">
        <f t="shared" si="3"/>
        <v>2581</v>
      </c>
      <c r="O5" s="11">
        <f t="shared" si="4"/>
        <v>2.6611200000000004</v>
      </c>
      <c r="P5" s="13">
        <v>46012</v>
      </c>
      <c r="Q5" s="12">
        <v>46249</v>
      </c>
      <c r="R5" s="13">
        <f t="shared" si="5"/>
        <v>46214</v>
      </c>
      <c r="S5" s="13">
        <f t="shared" si="6"/>
        <v>46244</v>
      </c>
    </row>
    <row r="6" spans="1:19" s="14" customFormat="1" x14ac:dyDescent="0.3">
      <c r="A6" s="17" t="s">
        <v>44</v>
      </c>
      <c r="B6" s="10" t="s">
        <v>25</v>
      </c>
      <c r="C6" s="18" t="s">
        <v>48</v>
      </c>
      <c r="D6" s="15">
        <v>5</v>
      </c>
      <c r="E6" s="19">
        <f t="shared" ref="E6:E7" si="7">G6+F6</f>
        <v>270</v>
      </c>
      <c r="F6" s="19">
        <v>20</v>
      </c>
      <c r="G6" s="19">
        <v>250</v>
      </c>
      <c r="H6" s="19">
        <v>0.83</v>
      </c>
      <c r="I6" s="19">
        <v>0.75</v>
      </c>
      <c r="J6" s="19">
        <v>0.4</v>
      </c>
      <c r="K6" s="19">
        <f t="shared" si="1"/>
        <v>0.249</v>
      </c>
      <c r="L6" s="7">
        <v>15</v>
      </c>
      <c r="M6" s="11">
        <f t="shared" si="2"/>
        <v>3</v>
      </c>
      <c r="N6" s="11">
        <f t="shared" si="3"/>
        <v>810</v>
      </c>
      <c r="O6" s="11">
        <f t="shared" si="4"/>
        <v>0.747</v>
      </c>
      <c r="P6" s="13">
        <v>46012</v>
      </c>
      <c r="Q6" s="12">
        <v>46249</v>
      </c>
      <c r="R6" s="13">
        <f t="shared" si="5"/>
        <v>46214</v>
      </c>
      <c r="S6" s="13">
        <f t="shared" si="6"/>
        <v>46244</v>
      </c>
    </row>
    <row r="7" spans="1:19" s="14" customFormat="1" x14ac:dyDescent="0.3">
      <c r="A7" s="17" t="s">
        <v>44</v>
      </c>
      <c r="B7" s="10" t="s">
        <v>25</v>
      </c>
      <c r="C7" s="18" t="s">
        <v>49</v>
      </c>
      <c r="D7" s="15">
        <v>6</v>
      </c>
      <c r="E7" s="19">
        <f t="shared" si="7"/>
        <v>230</v>
      </c>
      <c r="F7" s="19">
        <v>20</v>
      </c>
      <c r="G7" s="19">
        <v>210</v>
      </c>
      <c r="H7" s="19">
        <v>0.95</v>
      </c>
      <c r="I7" s="19">
        <v>0.8</v>
      </c>
      <c r="J7" s="19">
        <v>0.45</v>
      </c>
      <c r="K7" s="19">
        <f t="shared" si="1"/>
        <v>0.34200000000000003</v>
      </c>
      <c r="L7" s="7">
        <v>18</v>
      </c>
      <c r="M7" s="11">
        <f t="shared" si="2"/>
        <v>3</v>
      </c>
      <c r="N7" s="11">
        <f t="shared" si="3"/>
        <v>690</v>
      </c>
      <c r="O7" s="11">
        <f t="shared" si="4"/>
        <v>1.026</v>
      </c>
      <c r="P7" s="13">
        <v>46012</v>
      </c>
      <c r="Q7" s="12">
        <v>46249</v>
      </c>
      <c r="R7" s="13">
        <f t="shared" si="5"/>
        <v>46214</v>
      </c>
      <c r="S7" s="13">
        <f t="shared" si="6"/>
        <v>46244</v>
      </c>
    </row>
    <row r="8" spans="1:19" x14ac:dyDescent="0.3">
      <c r="A8" s="26" t="s">
        <v>52</v>
      </c>
      <c r="B8" s="30" t="s">
        <v>53</v>
      </c>
      <c r="C8" s="56" t="s">
        <v>54</v>
      </c>
      <c r="D8" s="27">
        <v>3</v>
      </c>
      <c r="E8" s="27">
        <v>300</v>
      </c>
      <c r="F8" s="39"/>
      <c r="G8" s="27"/>
      <c r="H8" s="27"/>
      <c r="I8" s="27"/>
      <c r="J8" s="27"/>
      <c r="K8" s="27">
        <v>0.6</v>
      </c>
      <c r="L8" s="7">
        <v>3</v>
      </c>
      <c r="M8" s="64">
        <f>L8/D8</f>
        <v>1</v>
      </c>
      <c r="N8" s="64">
        <f>M8*E8</f>
        <v>300</v>
      </c>
      <c r="O8" s="64">
        <f>K8*M8</f>
        <v>0.6</v>
      </c>
      <c r="P8" s="5">
        <v>46218</v>
      </c>
    </row>
    <row r="9" spans="1:19" x14ac:dyDescent="0.3">
      <c r="A9" s="26" t="s">
        <v>52</v>
      </c>
      <c r="B9" s="30" t="s">
        <v>53</v>
      </c>
      <c r="C9" s="58" t="s">
        <v>55</v>
      </c>
      <c r="D9" s="30">
        <v>8</v>
      </c>
      <c r="E9" s="30">
        <v>755</v>
      </c>
      <c r="F9" s="30">
        <f t="shared" ref="F9:F10" si="8">E9-G9</f>
        <v>102</v>
      </c>
      <c r="G9" s="30">
        <v>653</v>
      </c>
      <c r="H9" s="30">
        <v>1.74</v>
      </c>
      <c r="I9" s="30">
        <v>1.25</v>
      </c>
      <c r="J9" s="30">
        <v>0.69</v>
      </c>
      <c r="K9" s="6">
        <f t="shared" ref="K9:K10" si="9">H9*I9*J9</f>
        <v>1.5007499999999998</v>
      </c>
      <c r="L9" s="7">
        <v>120</v>
      </c>
      <c r="M9" s="64">
        <f>L9/D9</f>
        <v>15</v>
      </c>
      <c r="N9" s="64">
        <f>M9*E9</f>
        <v>11325</v>
      </c>
      <c r="O9" s="64">
        <f>K9*M9</f>
        <v>22.511249999999997</v>
      </c>
      <c r="P9" s="33">
        <v>46157</v>
      </c>
      <c r="Q9" s="34">
        <v>46218</v>
      </c>
      <c r="R9" s="33">
        <f>Q9-3-4-21-4-3</f>
        <v>46183</v>
      </c>
      <c r="S9" s="33">
        <f>R9+30</f>
        <v>46213</v>
      </c>
    </row>
    <row r="10" spans="1:19" x14ac:dyDescent="0.3">
      <c r="A10" s="26" t="s">
        <v>52</v>
      </c>
      <c r="B10" s="30" t="s">
        <v>53</v>
      </c>
      <c r="C10" s="58" t="s">
        <v>56</v>
      </c>
      <c r="D10" s="30">
        <v>9</v>
      </c>
      <c r="E10" s="85">
        <v>579</v>
      </c>
      <c r="F10" s="85">
        <f t="shared" si="8"/>
        <v>52</v>
      </c>
      <c r="G10" s="85">
        <v>527</v>
      </c>
      <c r="H10" s="85">
        <v>1.27</v>
      </c>
      <c r="I10" s="85">
        <v>0.87</v>
      </c>
      <c r="J10" s="85">
        <v>0.58499999999999996</v>
      </c>
      <c r="K10" s="85">
        <f t="shared" si="9"/>
        <v>0.64636649999999995</v>
      </c>
      <c r="L10" s="7">
        <v>60</v>
      </c>
      <c r="M10" s="86">
        <f>L10/D10</f>
        <v>6.666666666666667</v>
      </c>
      <c r="N10" s="86">
        <f>M10*E10</f>
        <v>3860</v>
      </c>
      <c r="O10" s="86">
        <f>M10*J10</f>
        <v>3.9</v>
      </c>
      <c r="P10" s="33">
        <v>46157</v>
      </c>
      <c r="Q10" s="34">
        <v>46218</v>
      </c>
      <c r="R10" s="33">
        <f>Q10-3-4-21-4-3</f>
        <v>46183</v>
      </c>
      <c r="S10" s="33">
        <f>R10+30</f>
        <v>46213</v>
      </c>
    </row>
    <row r="11" spans="1:19" x14ac:dyDescent="0.3">
      <c r="A11" s="26" t="s">
        <v>52</v>
      </c>
      <c r="B11" s="30" t="s">
        <v>53</v>
      </c>
      <c r="C11" s="58" t="s">
        <v>57</v>
      </c>
      <c r="D11" s="30">
        <v>9</v>
      </c>
      <c r="E11" s="85"/>
      <c r="F11" s="85"/>
      <c r="G11" s="85"/>
      <c r="H11" s="85"/>
      <c r="I11" s="85"/>
      <c r="J11" s="85"/>
      <c r="K11" s="85"/>
      <c r="L11" s="7">
        <v>60</v>
      </c>
      <c r="M11" s="86"/>
      <c r="N11" s="86"/>
      <c r="O11" s="86"/>
      <c r="P11" s="33">
        <v>46157</v>
      </c>
      <c r="Q11" s="34">
        <v>46218</v>
      </c>
      <c r="R11" s="33">
        <f>Q11-3-4-21-4-3</f>
        <v>46183</v>
      </c>
      <c r="S11" s="33">
        <f>R11+30</f>
        <v>46213</v>
      </c>
    </row>
    <row r="12" spans="1:19" x14ac:dyDescent="0.3">
      <c r="A12" s="26" t="s">
        <v>52</v>
      </c>
      <c r="B12" s="30" t="s">
        <v>53</v>
      </c>
      <c r="C12" s="58" t="s">
        <v>58</v>
      </c>
      <c r="D12" s="30">
        <v>56</v>
      </c>
      <c r="E12" s="85">
        <v>438</v>
      </c>
      <c r="F12" s="85">
        <f>E12-G12</f>
        <v>64</v>
      </c>
      <c r="G12" s="85">
        <v>374</v>
      </c>
      <c r="H12" s="85">
        <v>1.01</v>
      </c>
      <c r="I12" s="85">
        <v>0.77500000000000002</v>
      </c>
      <c r="J12" s="85">
        <v>0.625</v>
      </c>
      <c r="K12" s="85">
        <f>H12*I12*J12</f>
        <v>0.48921875000000004</v>
      </c>
      <c r="L12" s="7">
        <v>240</v>
      </c>
      <c r="M12" s="86">
        <f>L12/D12</f>
        <v>4.2857142857142856</v>
      </c>
      <c r="N12" s="86">
        <f>M12*E12</f>
        <v>1877.1428571428571</v>
      </c>
      <c r="O12" s="86">
        <f>M12*J12</f>
        <v>2.6785714285714284</v>
      </c>
      <c r="P12" s="33">
        <v>46157</v>
      </c>
      <c r="Q12" s="34">
        <v>46218</v>
      </c>
      <c r="R12" s="33">
        <f>Q12-3-4-21-4-3</f>
        <v>46183</v>
      </c>
      <c r="S12" s="33">
        <f>R12+30</f>
        <v>46213</v>
      </c>
    </row>
    <row r="13" spans="1:19" x14ac:dyDescent="0.3">
      <c r="A13" s="26" t="s">
        <v>52</v>
      </c>
      <c r="B13" s="30" t="s">
        <v>53</v>
      </c>
      <c r="C13" s="58" t="s">
        <v>59</v>
      </c>
      <c r="D13" s="30">
        <v>55</v>
      </c>
      <c r="E13" s="85"/>
      <c r="F13" s="85"/>
      <c r="G13" s="85"/>
      <c r="H13" s="85"/>
      <c r="I13" s="85"/>
      <c r="J13" s="85"/>
      <c r="K13" s="85"/>
      <c r="L13" s="7">
        <v>240</v>
      </c>
      <c r="M13" s="86"/>
      <c r="N13" s="86"/>
      <c r="O13" s="86"/>
      <c r="P13" s="33">
        <v>46157</v>
      </c>
      <c r="Q13" s="34">
        <v>46218</v>
      </c>
      <c r="R13" s="33">
        <f>Q13-3-4-21-4-3</f>
        <v>46183</v>
      </c>
      <c r="S13" s="33">
        <f>R13+30</f>
        <v>46213</v>
      </c>
    </row>
    <row r="14" spans="1:19" s="8" customFormat="1" x14ac:dyDescent="0.3">
      <c r="L14" s="24">
        <f>SUM(L3:L13)</f>
        <v>836</v>
      </c>
      <c r="M14" s="24">
        <f>SUM(M3:M13)</f>
        <v>62.952380952380949</v>
      </c>
      <c r="N14" s="24">
        <f>SUM(N3:N13)</f>
        <v>24493.142857142859</v>
      </c>
      <c r="O14" s="24">
        <f>SUM(O3:O13)</f>
        <v>39.632651428571428</v>
      </c>
    </row>
    <row r="28" spans="1:19" x14ac:dyDescent="0.3">
      <c r="A28" s="5">
        <v>46218</v>
      </c>
      <c r="C28" t="s">
        <v>94</v>
      </c>
    </row>
    <row r="29" spans="1:19" ht="55.2" x14ac:dyDescent="0.3">
      <c r="A29" s="1" t="s">
        <v>0</v>
      </c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2" t="s">
        <v>8</v>
      </c>
      <c r="J29" s="2" t="s">
        <v>9</v>
      </c>
      <c r="K29" s="2" t="s">
        <v>10</v>
      </c>
      <c r="L29" s="2" t="s">
        <v>11</v>
      </c>
      <c r="M29" s="2" t="s">
        <v>12</v>
      </c>
      <c r="N29" s="2" t="s">
        <v>13</v>
      </c>
      <c r="O29" s="2" t="s">
        <v>14</v>
      </c>
      <c r="P29" s="3" t="s">
        <v>15</v>
      </c>
      <c r="Q29" s="3" t="s">
        <v>16</v>
      </c>
      <c r="R29" s="4" t="s">
        <v>17</v>
      </c>
      <c r="S29" s="3" t="s">
        <v>18</v>
      </c>
    </row>
    <row r="30" spans="1:19" s="132" customFormat="1" ht="28.8" x14ac:dyDescent="0.3">
      <c r="A30" s="123">
        <v>9615</v>
      </c>
      <c r="B30" s="124" t="s">
        <v>19</v>
      </c>
      <c r="C30" s="125" t="s">
        <v>23</v>
      </c>
      <c r="D30" s="126">
        <v>5000</v>
      </c>
      <c r="E30" s="127">
        <v>500</v>
      </c>
      <c r="F30" s="127">
        <v>40</v>
      </c>
      <c r="G30" s="127">
        <v>460</v>
      </c>
      <c r="H30" s="127">
        <v>1.1000000000000001</v>
      </c>
      <c r="I30" s="127">
        <v>0.8</v>
      </c>
      <c r="J30" s="127">
        <v>0.55000000000000004</v>
      </c>
      <c r="K30" s="128">
        <f t="shared" ref="K30" si="10">H30*I30*J30</f>
        <v>0.4840000000000001</v>
      </c>
      <c r="L30" s="129">
        <v>10000</v>
      </c>
      <c r="M30" s="130">
        <f t="shared" ref="M30" si="11">L30/D30</f>
        <v>2</v>
      </c>
      <c r="N30" s="130">
        <f t="shared" ref="N30" si="12">M30*E30</f>
        <v>1000</v>
      </c>
      <c r="O30" s="130">
        <f>M30*K30</f>
        <v>0.96800000000000019</v>
      </c>
      <c r="P30" s="131">
        <v>46220</v>
      </c>
    </row>
    <row r="31" spans="1:19" s="14" customFormat="1" x14ac:dyDescent="0.3">
      <c r="A31" s="17" t="s">
        <v>44</v>
      </c>
      <c r="B31" s="10" t="s">
        <v>25</v>
      </c>
      <c r="C31" s="18" t="s">
        <v>45</v>
      </c>
      <c r="D31" s="15">
        <v>4</v>
      </c>
      <c r="E31" s="19">
        <f t="shared" ref="E31" si="13">G31+F31</f>
        <v>130</v>
      </c>
      <c r="F31" s="19">
        <v>20</v>
      </c>
      <c r="G31" s="19">
        <v>110</v>
      </c>
      <c r="H31" s="19">
        <v>0.83</v>
      </c>
      <c r="I31" s="19">
        <v>0.77</v>
      </c>
      <c r="J31" s="19">
        <v>0.34</v>
      </c>
      <c r="K31" s="19">
        <f t="shared" ref="K31:K34" si="14">H31*I31*J31</f>
        <v>0.21729400000000001</v>
      </c>
      <c r="L31" s="7">
        <v>60</v>
      </c>
      <c r="M31" s="11">
        <f t="shared" ref="M31:M34" si="15">L31/D31</f>
        <v>15</v>
      </c>
      <c r="N31" s="11">
        <f t="shared" ref="N31:N34" si="16">M31*E31</f>
        <v>1950</v>
      </c>
      <c r="O31" s="11">
        <f t="shared" ref="O31:O34" si="17">M31*K31</f>
        <v>3.2594100000000004</v>
      </c>
      <c r="P31" s="13">
        <v>46012</v>
      </c>
      <c r="Q31" s="12">
        <v>46249</v>
      </c>
      <c r="R31" s="13">
        <f t="shared" ref="R31:R34" si="18">Q31-3-4-21-4-3</f>
        <v>46214</v>
      </c>
      <c r="S31" s="13">
        <f t="shared" ref="S31:S34" si="19">R31+30</f>
        <v>46244</v>
      </c>
    </row>
    <row r="32" spans="1:19" s="14" customFormat="1" x14ac:dyDescent="0.3">
      <c r="A32" s="17" t="s">
        <v>44</v>
      </c>
      <c r="B32" s="10" t="s">
        <v>25</v>
      </c>
      <c r="C32" s="18" t="s">
        <v>48</v>
      </c>
      <c r="D32" s="15">
        <v>5</v>
      </c>
      <c r="E32" s="19">
        <f t="shared" ref="E32:E34" si="20">G32+F32</f>
        <v>270</v>
      </c>
      <c r="F32" s="19">
        <v>20</v>
      </c>
      <c r="G32" s="19">
        <v>250</v>
      </c>
      <c r="H32" s="19">
        <v>0.83</v>
      </c>
      <c r="I32" s="19">
        <v>0.75</v>
      </c>
      <c r="J32" s="19">
        <v>0.4</v>
      </c>
      <c r="K32" s="19">
        <f t="shared" si="14"/>
        <v>0.249</v>
      </c>
      <c r="L32" s="7">
        <v>1</v>
      </c>
      <c r="M32" s="11">
        <f t="shared" si="15"/>
        <v>0.2</v>
      </c>
      <c r="N32" s="11">
        <f t="shared" si="16"/>
        <v>54</v>
      </c>
      <c r="O32" s="11">
        <f t="shared" si="17"/>
        <v>4.9800000000000004E-2</v>
      </c>
      <c r="P32" s="13">
        <v>46012</v>
      </c>
      <c r="Q32" s="12">
        <v>46249</v>
      </c>
      <c r="R32" s="13">
        <f t="shared" si="18"/>
        <v>46214</v>
      </c>
      <c r="S32" s="13">
        <f t="shared" si="19"/>
        <v>46244</v>
      </c>
    </row>
    <row r="33" spans="1:19" s="14" customFormat="1" x14ac:dyDescent="0.3">
      <c r="A33" s="17" t="s">
        <v>44</v>
      </c>
      <c r="B33" s="10" t="s">
        <v>25</v>
      </c>
      <c r="C33" s="18" t="s">
        <v>49</v>
      </c>
      <c r="D33" s="15">
        <v>6</v>
      </c>
      <c r="E33" s="19">
        <f t="shared" si="20"/>
        <v>230</v>
      </c>
      <c r="F33" s="19">
        <v>20</v>
      </c>
      <c r="G33" s="19">
        <v>210</v>
      </c>
      <c r="H33" s="19">
        <v>0.95</v>
      </c>
      <c r="I33" s="19">
        <v>0.8</v>
      </c>
      <c r="J33" s="19">
        <v>0.45</v>
      </c>
      <c r="K33" s="19">
        <f t="shared" si="14"/>
        <v>0.34200000000000003</v>
      </c>
      <c r="L33" s="7">
        <v>3</v>
      </c>
      <c r="M33" s="11">
        <f t="shared" si="15"/>
        <v>0.5</v>
      </c>
      <c r="N33" s="11">
        <f t="shared" si="16"/>
        <v>115</v>
      </c>
      <c r="O33" s="11">
        <f t="shared" si="17"/>
        <v>0.17100000000000001</v>
      </c>
      <c r="P33" s="13">
        <v>46012</v>
      </c>
      <c r="Q33" s="12">
        <v>46249</v>
      </c>
      <c r="R33" s="13">
        <f t="shared" si="18"/>
        <v>46214</v>
      </c>
      <c r="S33" s="13">
        <f t="shared" si="19"/>
        <v>46244</v>
      </c>
    </row>
    <row r="34" spans="1:19" s="14" customFormat="1" x14ac:dyDescent="0.3">
      <c r="A34" s="17" t="s">
        <v>44</v>
      </c>
      <c r="B34" s="10" t="s">
        <v>25</v>
      </c>
      <c r="C34" s="18" t="s">
        <v>50</v>
      </c>
      <c r="D34" s="15">
        <v>6</v>
      </c>
      <c r="E34" s="19">
        <f t="shared" si="20"/>
        <v>260</v>
      </c>
      <c r="F34" s="19">
        <v>20</v>
      </c>
      <c r="G34" s="19">
        <v>240</v>
      </c>
      <c r="H34" s="19">
        <v>0.95</v>
      </c>
      <c r="I34" s="19">
        <v>0.8</v>
      </c>
      <c r="J34" s="19">
        <v>0.45</v>
      </c>
      <c r="K34" s="19">
        <f t="shared" si="14"/>
        <v>0.34200000000000003</v>
      </c>
      <c r="L34" s="7">
        <v>80</v>
      </c>
      <c r="M34" s="11">
        <f t="shared" si="15"/>
        <v>13.333333333333334</v>
      </c>
      <c r="N34" s="11">
        <f t="shared" si="16"/>
        <v>3466.666666666667</v>
      </c>
      <c r="O34" s="11">
        <f t="shared" si="17"/>
        <v>4.5600000000000005</v>
      </c>
      <c r="P34" s="13">
        <v>46012</v>
      </c>
      <c r="Q34" s="12">
        <v>46249</v>
      </c>
      <c r="R34" s="13">
        <f t="shared" si="18"/>
        <v>46214</v>
      </c>
      <c r="S34" s="13">
        <f t="shared" si="19"/>
        <v>46244</v>
      </c>
    </row>
    <row r="35" spans="1:19" s="8" customFormat="1" x14ac:dyDescent="0.3">
      <c r="A35" s="102">
        <v>9462</v>
      </c>
      <c r="B35" s="103" t="s">
        <v>73</v>
      </c>
      <c r="C35" s="104" t="s">
        <v>74</v>
      </c>
      <c r="D35" s="105">
        <v>4000</v>
      </c>
      <c r="E35" s="106">
        <v>424</v>
      </c>
      <c r="F35" s="106">
        <f t="shared" ref="F35:F38" si="21">E35-G35</f>
        <v>52</v>
      </c>
      <c r="G35" s="106">
        <v>372</v>
      </c>
      <c r="H35" s="106">
        <v>1.1000000000000001</v>
      </c>
      <c r="I35" s="106">
        <v>0.8</v>
      </c>
      <c r="J35" s="106">
        <v>0.55000000000000004</v>
      </c>
      <c r="K35" s="106">
        <f t="shared" ref="K35:K37" si="22">H35*I35*J35</f>
        <v>0.4840000000000001</v>
      </c>
      <c r="L35" s="84">
        <v>8000</v>
      </c>
      <c r="M35" s="82">
        <f>L35/D35</f>
        <v>2</v>
      </c>
      <c r="N35" s="82">
        <f t="shared" ref="N35:N38" si="23">M35*E35</f>
        <v>848</v>
      </c>
      <c r="O35" s="82">
        <f>M35*K35</f>
        <v>0.96800000000000019</v>
      </c>
      <c r="P35" s="107">
        <v>45960</v>
      </c>
      <c r="Q35" s="107"/>
      <c r="R35" s="105"/>
      <c r="S35" s="105"/>
    </row>
    <row r="36" spans="1:19" s="8" customFormat="1" x14ac:dyDescent="0.3">
      <c r="A36" s="102">
        <v>9561</v>
      </c>
      <c r="B36" s="108" t="s">
        <v>73</v>
      </c>
      <c r="C36" s="104" t="s">
        <v>76</v>
      </c>
      <c r="D36" s="106">
        <v>800</v>
      </c>
      <c r="E36" s="106">
        <v>590</v>
      </c>
      <c r="F36" s="106">
        <f t="shared" si="21"/>
        <v>49</v>
      </c>
      <c r="G36" s="106">
        <v>541</v>
      </c>
      <c r="H36" s="106">
        <v>1.1000000000000001</v>
      </c>
      <c r="I36" s="106">
        <v>0.8</v>
      </c>
      <c r="J36" s="106">
        <v>0.55000000000000004</v>
      </c>
      <c r="K36" s="106">
        <f t="shared" si="22"/>
        <v>0.4840000000000001</v>
      </c>
      <c r="L36" s="84">
        <v>4800</v>
      </c>
      <c r="M36" s="105">
        <f t="shared" ref="M36:M38" si="24">L36/D36</f>
        <v>6</v>
      </c>
      <c r="N36" s="82">
        <f t="shared" si="23"/>
        <v>3540</v>
      </c>
      <c r="O36" s="105">
        <f>M36*K36</f>
        <v>2.9040000000000008</v>
      </c>
      <c r="P36" s="109">
        <v>46136</v>
      </c>
      <c r="Q36" s="110"/>
      <c r="R36" s="110"/>
      <c r="S36" s="110"/>
    </row>
    <row r="37" spans="1:19" s="8" customFormat="1" x14ac:dyDescent="0.3">
      <c r="A37" s="111" t="s">
        <v>77</v>
      </c>
      <c r="B37" s="83" t="s">
        <v>73</v>
      </c>
      <c r="C37" s="112" t="s">
        <v>78</v>
      </c>
      <c r="D37" s="113">
        <v>1000</v>
      </c>
      <c r="E37" s="114">
        <v>610</v>
      </c>
      <c r="F37" s="114">
        <f t="shared" si="21"/>
        <v>40</v>
      </c>
      <c r="G37" s="114">
        <v>570</v>
      </c>
      <c r="H37" s="114">
        <v>1.1000000000000001</v>
      </c>
      <c r="I37" s="114">
        <v>0.8</v>
      </c>
      <c r="J37" s="114">
        <v>0.55000000000000004</v>
      </c>
      <c r="K37" s="82">
        <f t="shared" si="22"/>
        <v>0.4840000000000001</v>
      </c>
      <c r="L37" s="84">
        <v>4000</v>
      </c>
      <c r="M37" s="83">
        <f t="shared" si="24"/>
        <v>4</v>
      </c>
      <c r="N37" s="115">
        <f t="shared" si="23"/>
        <v>2440</v>
      </c>
      <c r="O37" s="83">
        <f t="shared" ref="O37" si="25">M37*K37</f>
        <v>1.9360000000000004</v>
      </c>
      <c r="P37" s="116">
        <v>46183</v>
      </c>
    </row>
    <row r="38" spans="1:19" s="8" customFormat="1" x14ac:dyDescent="0.3">
      <c r="A38" s="111" t="s">
        <v>79</v>
      </c>
      <c r="B38" s="83" t="s">
        <v>73</v>
      </c>
      <c r="C38" s="112" t="s">
        <v>80</v>
      </c>
      <c r="D38" s="117">
        <v>800</v>
      </c>
      <c r="E38" s="118">
        <v>690</v>
      </c>
      <c r="F38" s="118">
        <f t="shared" si="21"/>
        <v>40</v>
      </c>
      <c r="G38" s="118">
        <v>650</v>
      </c>
      <c r="H38" s="118">
        <v>1.1000000000000001</v>
      </c>
      <c r="I38" s="118">
        <v>0.8</v>
      </c>
      <c r="J38" s="118">
        <v>0.55000000000000004</v>
      </c>
      <c r="K38" s="119">
        <f>H38*I38*J38</f>
        <v>0.4840000000000001</v>
      </c>
      <c r="L38" s="84">
        <v>12000</v>
      </c>
      <c r="M38" s="120">
        <f t="shared" si="24"/>
        <v>15</v>
      </c>
      <c r="N38" s="121">
        <f t="shared" si="23"/>
        <v>10350</v>
      </c>
      <c r="O38" s="82">
        <f t="shared" ref="O38" si="26">K38*M38</f>
        <v>7.2600000000000016</v>
      </c>
      <c r="P38" s="116">
        <v>46193</v>
      </c>
    </row>
    <row r="39" spans="1:19" s="101" customFormat="1" x14ac:dyDescent="0.3">
      <c r="L39" s="122">
        <f>SUM(L30:L38)</f>
        <v>38944</v>
      </c>
      <c r="M39" s="122">
        <f>SUM(M30:M38)</f>
        <v>58.033333333333331</v>
      </c>
      <c r="N39" s="122">
        <f>SUM(N30:N38)</f>
        <v>23763.666666666668</v>
      </c>
      <c r="O39" s="122">
        <f>SUM(O30:O38)</f>
        <v>22.076210000000003</v>
      </c>
    </row>
    <row r="43" spans="1:19" x14ac:dyDescent="0.3">
      <c r="F43" s="96">
        <f>SUM(F44:N44)</f>
        <v>5.57</v>
      </c>
      <c r="G43" s="96"/>
      <c r="H43" s="96"/>
      <c r="I43" s="96"/>
      <c r="J43" s="96"/>
      <c r="K43" s="96"/>
      <c r="L43" s="96"/>
      <c r="M43" s="96"/>
      <c r="N43" s="96"/>
    </row>
    <row r="44" spans="1:19" x14ac:dyDescent="0.3">
      <c r="H44">
        <v>0.8</v>
      </c>
      <c r="I44">
        <v>0.8</v>
      </c>
      <c r="J44">
        <v>0.8</v>
      </c>
      <c r="K44">
        <v>0.8</v>
      </c>
      <c r="L44">
        <v>0.8</v>
      </c>
      <c r="M44">
        <v>0.8</v>
      </c>
      <c r="N44">
        <v>0.77</v>
      </c>
    </row>
    <row r="45" spans="1:19" x14ac:dyDescent="0.3">
      <c r="F45" s="96"/>
      <c r="G45" s="96"/>
      <c r="H45" s="99" t="s">
        <v>86</v>
      </c>
      <c r="I45" s="99" t="s">
        <v>85</v>
      </c>
      <c r="J45" s="99" t="s">
        <v>85</v>
      </c>
      <c r="K45" s="99" t="s">
        <v>85</v>
      </c>
      <c r="L45" s="97" t="s">
        <v>85</v>
      </c>
      <c r="M45" s="100" t="s">
        <v>92</v>
      </c>
      <c r="N45" s="97" t="s">
        <v>88</v>
      </c>
    </row>
    <row r="46" spans="1:19" x14ac:dyDescent="0.3">
      <c r="F46" s="96"/>
      <c r="G46" s="96"/>
      <c r="H46" s="99"/>
      <c r="I46" s="99"/>
      <c r="J46" s="99"/>
      <c r="K46" s="99"/>
      <c r="L46" s="97"/>
      <c r="M46" s="100"/>
      <c r="N46" s="97"/>
    </row>
    <row r="47" spans="1:19" x14ac:dyDescent="0.3">
      <c r="F47" s="96"/>
      <c r="G47" s="96"/>
      <c r="H47" s="99"/>
      <c r="I47" s="99"/>
      <c r="J47" s="99"/>
      <c r="K47" s="99"/>
      <c r="L47" s="97"/>
      <c r="M47" s="100"/>
      <c r="N47" s="97"/>
    </row>
    <row r="48" spans="1:19" x14ac:dyDescent="0.3">
      <c r="F48" s="96"/>
      <c r="G48" s="96"/>
      <c r="H48" s="99"/>
      <c r="I48" s="99"/>
      <c r="J48" s="99"/>
      <c r="K48" s="99"/>
      <c r="L48" s="97"/>
      <c r="M48" s="100"/>
      <c r="N48" s="97"/>
    </row>
    <row r="49" spans="6:14" x14ac:dyDescent="0.3">
      <c r="F49" s="96"/>
      <c r="G49" s="96"/>
      <c r="H49" s="99"/>
      <c r="I49" s="99"/>
      <c r="J49" s="99"/>
      <c r="K49" s="99"/>
      <c r="L49" s="97"/>
      <c r="M49" s="100"/>
      <c r="N49" s="97"/>
    </row>
    <row r="50" spans="6:14" x14ac:dyDescent="0.3">
      <c r="F50" s="96"/>
      <c r="G50" s="96"/>
      <c r="H50" s="133" t="s">
        <v>93</v>
      </c>
      <c r="I50" s="99" t="s">
        <v>85</v>
      </c>
      <c r="J50" s="99" t="s">
        <v>85</v>
      </c>
      <c r="K50" s="99" t="s">
        <v>85</v>
      </c>
      <c r="L50" s="97" t="s">
        <v>89</v>
      </c>
      <c r="M50" s="97" t="s">
        <v>89</v>
      </c>
      <c r="N50" s="97" t="s">
        <v>88</v>
      </c>
    </row>
    <row r="51" spans="6:14" x14ac:dyDescent="0.3">
      <c r="F51" s="96"/>
      <c r="G51" s="96"/>
      <c r="H51" s="133"/>
      <c r="I51" s="99"/>
      <c r="J51" s="99"/>
      <c r="K51" s="99"/>
      <c r="L51" s="97"/>
      <c r="M51" s="97"/>
      <c r="N51" s="97"/>
    </row>
    <row r="52" spans="6:14" x14ac:dyDescent="0.3">
      <c r="F52" s="96"/>
      <c r="G52" s="96"/>
      <c r="H52" s="133"/>
      <c r="I52" s="99"/>
      <c r="J52" s="99"/>
      <c r="K52" s="99"/>
      <c r="L52" s="97"/>
      <c r="M52" s="97"/>
      <c r="N52" s="97"/>
    </row>
    <row r="53" spans="6:14" x14ac:dyDescent="0.3">
      <c r="F53" s="96"/>
      <c r="G53" s="96"/>
      <c r="H53" s="133"/>
      <c r="I53" s="99"/>
      <c r="J53" s="99"/>
      <c r="K53" s="99"/>
      <c r="L53" s="97"/>
      <c r="M53" s="97"/>
      <c r="N53" s="97"/>
    </row>
    <row r="54" spans="6:14" x14ac:dyDescent="0.3">
      <c r="F54" s="96"/>
      <c r="G54" s="96"/>
      <c r="H54" s="133"/>
      <c r="I54" s="99"/>
      <c r="J54" s="99"/>
      <c r="K54" s="99"/>
      <c r="L54" s="97"/>
      <c r="M54" s="97"/>
      <c r="N54" s="97"/>
    </row>
    <row r="55" spans="6:14" x14ac:dyDescent="0.3">
      <c r="H55">
        <v>0.8</v>
      </c>
      <c r="I55">
        <v>0.8</v>
      </c>
      <c r="J55">
        <v>0.8</v>
      </c>
      <c r="K55">
        <v>0.8</v>
      </c>
      <c r="L55">
        <v>0.8</v>
      </c>
      <c r="M55">
        <v>0.8</v>
      </c>
      <c r="N55">
        <v>0.77</v>
      </c>
    </row>
    <row r="56" spans="6:14" x14ac:dyDescent="0.3">
      <c r="F56" s="96">
        <f>SUM(F55:N55)</f>
        <v>5.57</v>
      </c>
      <c r="G56" s="96"/>
      <c r="H56" s="96"/>
      <c r="I56" s="96"/>
      <c r="J56" s="96"/>
      <c r="K56" s="96"/>
      <c r="L56" s="96"/>
      <c r="M56" s="96"/>
      <c r="N56" s="96"/>
    </row>
  </sheetData>
  <autoFilter ref="A1:S41" xr:uid="{AEA60077-9500-48E8-BDA2-4D1DA5B3A4E2}"/>
  <mergeCells count="40">
    <mergeCell ref="F50:F54"/>
    <mergeCell ref="G50:G54"/>
    <mergeCell ref="F45:F49"/>
    <mergeCell ref="G45:G49"/>
    <mergeCell ref="H45:H49"/>
    <mergeCell ref="F43:N43"/>
    <mergeCell ref="F56:N56"/>
    <mergeCell ref="L45:L49"/>
    <mergeCell ref="L50:L54"/>
    <mergeCell ref="M45:M49"/>
    <mergeCell ref="M50:M54"/>
    <mergeCell ref="N45:N49"/>
    <mergeCell ref="N50:N54"/>
    <mergeCell ref="I45:I49"/>
    <mergeCell ref="I50:I54"/>
    <mergeCell ref="J45:J49"/>
    <mergeCell ref="J50:J54"/>
    <mergeCell ref="K45:K49"/>
    <mergeCell ref="H50:H54"/>
    <mergeCell ref="K50:K54"/>
    <mergeCell ref="K12:K13"/>
    <mergeCell ref="M12:M13"/>
    <mergeCell ref="N12:N13"/>
    <mergeCell ref="O12:O13"/>
    <mergeCell ref="K10:K11"/>
    <mergeCell ref="M10:M11"/>
    <mergeCell ref="N10:N11"/>
    <mergeCell ref="O10:O11"/>
    <mergeCell ref="E12:E13"/>
    <mergeCell ref="F12:F13"/>
    <mergeCell ref="G12:G13"/>
    <mergeCell ref="H12:H13"/>
    <mergeCell ref="I12:I13"/>
    <mergeCell ref="J12:J13"/>
    <mergeCell ref="E10:E11"/>
    <mergeCell ref="F10:F11"/>
    <mergeCell ref="G10:G11"/>
    <mergeCell ref="H10:H11"/>
    <mergeCell ref="I10:I11"/>
    <mergeCell ref="J10:J11"/>
  </mergeCells>
  <pageMargins left="0.70866141732283472" right="0.70866141732283472" top="0.74803149606299213" bottom="0.74803149606299213" header="0.31496062992125984" footer="0.31496062992125984"/>
  <pageSetup paperSize="8" scale="3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128F-8E9E-4A3D-A9BD-C52CA87271EA}">
  <dimension ref="A1:S69"/>
  <sheetViews>
    <sheetView topLeftCell="A40" workbookViewId="0">
      <selection sqref="A1:XFD69"/>
    </sheetView>
  </sheetViews>
  <sheetFormatPr defaultRowHeight="14.4" x14ac:dyDescent="0.3"/>
  <cols>
    <col min="3" max="3" width="42.109375" customWidth="1"/>
    <col min="16" max="19" width="10.5546875" bestFit="1" customWidth="1"/>
  </cols>
  <sheetData>
    <row r="1" spans="1:19" ht="55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 t="s">
        <v>17</v>
      </c>
      <c r="S1" s="3" t="s">
        <v>18</v>
      </c>
    </row>
    <row r="2" spans="1:19" x14ac:dyDescent="0.3">
      <c r="A2" s="26">
        <v>8952</v>
      </c>
      <c r="B2" s="27" t="s">
        <v>19</v>
      </c>
      <c r="C2" s="28" t="s">
        <v>20</v>
      </c>
      <c r="D2" s="26">
        <v>3000</v>
      </c>
      <c r="E2" s="29">
        <v>235</v>
      </c>
      <c r="F2" s="30">
        <v>35</v>
      </c>
      <c r="G2" s="29">
        <v>200</v>
      </c>
      <c r="H2" s="30">
        <v>1.1000000000000001</v>
      </c>
      <c r="I2" s="30">
        <v>1.1000000000000001</v>
      </c>
      <c r="J2" s="30">
        <v>1.02</v>
      </c>
      <c r="K2" s="31">
        <f>H2*I2*J2</f>
        <v>1.2342000000000002</v>
      </c>
      <c r="L2" s="32"/>
      <c r="M2" s="27">
        <f t="shared" ref="M2:M10" si="0">L2/D2</f>
        <v>0</v>
      </c>
      <c r="N2" s="27">
        <f>M2*E2</f>
        <v>0</v>
      </c>
      <c r="O2" s="27">
        <f t="shared" ref="O2:O3" si="1">M2*K2</f>
        <v>0</v>
      </c>
      <c r="P2" s="33">
        <v>45382</v>
      </c>
      <c r="Q2" s="33" t="s">
        <v>21</v>
      </c>
      <c r="R2" s="33"/>
      <c r="S2" s="33"/>
    </row>
    <row r="3" spans="1:19" x14ac:dyDescent="0.3">
      <c r="A3" s="26">
        <v>9509</v>
      </c>
      <c r="B3" s="30" t="s">
        <v>19</v>
      </c>
      <c r="C3" s="30" t="s">
        <v>22</v>
      </c>
      <c r="D3" s="26">
        <v>6000</v>
      </c>
      <c r="E3" s="29">
        <f>G3+F3</f>
        <v>375</v>
      </c>
      <c r="F3" s="30">
        <v>15</v>
      </c>
      <c r="G3" s="29">
        <v>360</v>
      </c>
      <c r="H3" s="30">
        <v>1.1000000000000001</v>
      </c>
      <c r="I3" s="30">
        <v>1.1000000000000001</v>
      </c>
      <c r="J3" s="30">
        <v>1.8</v>
      </c>
      <c r="K3" s="31">
        <f>H3*I3*J3</f>
        <v>2.1780000000000004</v>
      </c>
      <c r="L3" s="32"/>
      <c r="M3" s="30">
        <f t="shared" si="0"/>
        <v>0</v>
      </c>
      <c r="N3" s="30">
        <f>M3*E3</f>
        <v>0</v>
      </c>
      <c r="O3" s="30">
        <f t="shared" si="1"/>
        <v>0</v>
      </c>
      <c r="P3" s="34">
        <v>45996</v>
      </c>
      <c r="Q3" s="35"/>
      <c r="R3" s="35"/>
      <c r="S3" s="35"/>
    </row>
    <row r="4" spans="1:19" ht="28.8" x14ac:dyDescent="0.3">
      <c r="A4" s="26">
        <v>9615</v>
      </c>
      <c r="B4" s="36" t="s">
        <v>19</v>
      </c>
      <c r="C4" s="37" t="s">
        <v>23</v>
      </c>
      <c r="D4" s="38">
        <v>5000</v>
      </c>
      <c r="E4" s="39">
        <v>500</v>
      </c>
      <c r="F4" s="39">
        <v>40</v>
      </c>
      <c r="G4" s="39">
        <v>460</v>
      </c>
      <c r="H4" s="39">
        <v>1.1000000000000001</v>
      </c>
      <c r="I4" s="39">
        <v>0.8</v>
      </c>
      <c r="J4" s="39">
        <v>0.55000000000000004</v>
      </c>
      <c r="K4" s="27">
        <f t="shared" ref="K4" si="2">H4*I4*J4</f>
        <v>0.4840000000000001</v>
      </c>
      <c r="L4" s="40">
        <v>10000</v>
      </c>
      <c r="M4" s="41">
        <f t="shared" si="0"/>
        <v>2</v>
      </c>
      <c r="N4" s="41">
        <f t="shared" ref="N4" si="3">M4*E4</f>
        <v>1000</v>
      </c>
      <c r="O4" s="41">
        <f>M4*K4</f>
        <v>0.96800000000000019</v>
      </c>
      <c r="P4" s="34">
        <v>46220</v>
      </c>
    </row>
    <row r="5" spans="1:19" x14ac:dyDescent="0.3">
      <c r="A5" s="30" t="s">
        <v>24</v>
      </c>
      <c r="B5" s="30" t="s">
        <v>25</v>
      </c>
      <c r="C5" s="30" t="s">
        <v>26</v>
      </c>
      <c r="D5" s="30">
        <v>8</v>
      </c>
      <c r="E5" s="30">
        <v>227</v>
      </c>
      <c r="F5" s="30">
        <f>E5-G5</f>
        <v>37</v>
      </c>
      <c r="G5" s="30">
        <v>190</v>
      </c>
      <c r="H5" s="30">
        <v>1.06</v>
      </c>
      <c r="I5" s="30">
        <v>0.55000000000000004</v>
      </c>
      <c r="J5" s="30">
        <v>0.45</v>
      </c>
      <c r="K5" s="27">
        <f t="shared" ref="K5:K10" si="4">(H5*I5)*J5</f>
        <v>0.26235000000000003</v>
      </c>
      <c r="L5" s="32"/>
      <c r="M5" s="30">
        <f t="shared" si="0"/>
        <v>0</v>
      </c>
      <c r="N5" s="30">
        <f>M5*E5</f>
        <v>0</v>
      </c>
      <c r="O5" s="30">
        <f>M5*K5</f>
        <v>0</v>
      </c>
      <c r="P5" s="34">
        <v>46186</v>
      </c>
      <c r="Q5" s="34">
        <v>46247</v>
      </c>
      <c r="R5" s="33">
        <f t="shared" ref="R5:R13" si="5">Q5-3-4-21-4-3</f>
        <v>46212</v>
      </c>
      <c r="S5" s="33">
        <f t="shared" ref="S5:S17" si="6">R5+30</f>
        <v>46242</v>
      </c>
    </row>
    <row r="6" spans="1:19" x14ac:dyDescent="0.3">
      <c r="A6" s="30" t="s">
        <v>24</v>
      </c>
      <c r="B6" s="30" t="s">
        <v>25</v>
      </c>
      <c r="C6" s="30" t="s">
        <v>27</v>
      </c>
      <c r="D6" s="30">
        <v>8</v>
      </c>
      <c r="E6" s="30">
        <v>227</v>
      </c>
      <c r="F6" s="30">
        <f t="shared" ref="F6:F10" si="7">E6-G6</f>
        <v>37</v>
      </c>
      <c r="G6" s="30">
        <v>190</v>
      </c>
      <c r="H6" s="30">
        <v>1.06</v>
      </c>
      <c r="I6" s="30">
        <v>0.55000000000000004</v>
      </c>
      <c r="J6" s="30">
        <v>0.45</v>
      </c>
      <c r="K6" s="27">
        <f t="shared" si="4"/>
        <v>0.26235000000000003</v>
      </c>
      <c r="L6" s="32"/>
      <c r="M6" s="30">
        <f t="shared" si="0"/>
        <v>0</v>
      </c>
      <c r="N6" s="30">
        <f t="shared" ref="N6:N10" si="8">M6*E6</f>
        <v>0</v>
      </c>
      <c r="O6" s="30">
        <f t="shared" ref="O6:O10" si="9">M6*K6</f>
        <v>0</v>
      </c>
      <c r="P6" s="34">
        <v>46186</v>
      </c>
      <c r="Q6" s="34">
        <v>46247</v>
      </c>
      <c r="R6" s="33">
        <f t="shared" si="5"/>
        <v>46212</v>
      </c>
      <c r="S6" s="33">
        <f t="shared" si="6"/>
        <v>46242</v>
      </c>
    </row>
    <row r="7" spans="1:19" x14ac:dyDescent="0.3">
      <c r="A7" s="30" t="s">
        <v>24</v>
      </c>
      <c r="B7" s="30" t="s">
        <v>25</v>
      </c>
      <c r="C7" s="30" t="s">
        <v>28</v>
      </c>
      <c r="D7" s="30">
        <v>64</v>
      </c>
      <c r="E7" s="30">
        <v>254</v>
      </c>
      <c r="F7" s="30">
        <f t="shared" si="7"/>
        <v>62</v>
      </c>
      <c r="G7" s="30">
        <v>192</v>
      </c>
      <c r="H7" s="30">
        <v>1.05</v>
      </c>
      <c r="I7" s="30">
        <v>0.8</v>
      </c>
      <c r="J7" s="30">
        <v>0.63</v>
      </c>
      <c r="K7" s="27">
        <f t="shared" si="4"/>
        <v>0.5292</v>
      </c>
      <c r="L7" s="32"/>
      <c r="M7" s="30">
        <f t="shared" si="0"/>
        <v>0</v>
      </c>
      <c r="N7" s="30">
        <f t="shared" si="8"/>
        <v>0</v>
      </c>
      <c r="O7" s="30">
        <f t="shared" si="9"/>
        <v>0</v>
      </c>
      <c r="P7" s="34">
        <v>46186</v>
      </c>
      <c r="Q7" s="34">
        <v>46247</v>
      </c>
      <c r="R7" s="33">
        <f t="shared" si="5"/>
        <v>46212</v>
      </c>
      <c r="S7" s="33">
        <f t="shared" si="6"/>
        <v>46242</v>
      </c>
    </row>
    <row r="8" spans="1:19" x14ac:dyDescent="0.3">
      <c r="A8" s="30" t="s">
        <v>24</v>
      </c>
      <c r="B8" s="30" t="s">
        <v>25</v>
      </c>
      <c r="C8" s="30" t="s">
        <v>29</v>
      </c>
      <c r="D8" s="30">
        <v>128</v>
      </c>
      <c r="E8" s="30">
        <v>850</v>
      </c>
      <c r="F8" s="30">
        <f t="shared" si="7"/>
        <v>44</v>
      </c>
      <c r="G8" s="30">
        <v>806</v>
      </c>
      <c r="H8" s="30">
        <v>1.05</v>
      </c>
      <c r="I8" s="30">
        <v>0.8</v>
      </c>
      <c r="J8" s="30">
        <v>0.56000000000000005</v>
      </c>
      <c r="K8" s="27">
        <f t="shared" si="4"/>
        <v>0.4704000000000001</v>
      </c>
      <c r="L8" s="32"/>
      <c r="M8" s="30">
        <f t="shared" si="0"/>
        <v>0</v>
      </c>
      <c r="N8" s="30">
        <f t="shared" si="8"/>
        <v>0</v>
      </c>
      <c r="O8" s="30">
        <f t="shared" si="9"/>
        <v>0</v>
      </c>
      <c r="P8" s="34">
        <v>46186</v>
      </c>
      <c r="Q8" s="34">
        <v>46247</v>
      </c>
      <c r="R8" s="33">
        <f t="shared" si="5"/>
        <v>46212</v>
      </c>
      <c r="S8" s="33">
        <f t="shared" si="6"/>
        <v>46242</v>
      </c>
    </row>
    <row r="9" spans="1:19" x14ac:dyDescent="0.3">
      <c r="A9" s="30" t="s">
        <v>24</v>
      </c>
      <c r="B9" s="30" t="s">
        <v>25</v>
      </c>
      <c r="C9" s="30" t="s">
        <v>30</v>
      </c>
      <c r="D9" s="30">
        <v>128</v>
      </c>
      <c r="E9" s="30">
        <v>474</v>
      </c>
      <c r="F9" s="30">
        <f t="shared" si="7"/>
        <v>38</v>
      </c>
      <c r="G9" s="30">
        <v>436</v>
      </c>
      <c r="H9" s="30">
        <v>1.05</v>
      </c>
      <c r="I9" s="30">
        <v>0.8</v>
      </c>
      <c r="J9" s="30">
        <v>0.5</v>
      </c>
      <c r="K9" s="27">
        <f t="shared" si="4"/>
        <v>0.42000000000000004</v>
      </c>
      <c r="L9" s="32"/>
      <c r="M9" s="30">
        <f t="shared" si="0"/>
        <v>0</v>
      </c>
      <c r="N9" s="30">
        <f t="shared" si="8"/>
        <v>0</v>
      </c>
      <c r="O9" s="30">
        <f t="shared" si="9"/>
        <v>0</v>
      </c>
      <c r="P9" s="34">
        <v>46186</v>
      </c>
      <c r="Q9" s="34">
        <v>46247</v>
      </c>
      <c r="R9" s="33">
        <f t="shared" si="5"/>
        <v>46212</v>
      </c>
      <c r="S9" s="33">
        <f t="shared" si="6"/>
        <v>46242</v>
      </c>
    </row>
    <row r="10" spans="1:19" x14ac:dyDescent="0.3">
      <c r="A10" s="30" t="s">
        <v>24</v>
      </c>
      <c r="B10" s="30" t="s">
        <v>25</v>
      </c>
      <c r="C10" s="30" t="s">
        <v>31</v>
      </c>
      <c r="D10" s="30">
        <v>128</v>
      </c>
      <c r="E10" s="30">
        <v>654</v>
      </c>
      <c r="F10" s="30">
        <f t="shared" si="7"/>
        <v>38</v>
      </c>
      <c r="G10" s="30">
        <v>616</v>
      </c>
      <c r="H10" s="30">
        <v>1.05</v>
      </c>
      <c r="I10" s="30">
        <v>0.8</v>
      </c>
      <c r="J10" s="30">
        <v>0.5</v>
      </c>
      <c r="K10" s="27">
        <f t="shared" si="4"/>
        <v>0.42000000000000004</v>
      </c>
      <c r="L10" s="32"/>
      <c r="M10" s="30">
        <f t="shared" si="0"/>
        <v>0</v>
      </c>
      <c r="N10" s="30">
        <f t="shared" si="8"/>
        <v>0</v>
      </c>
      <c r="O10" s="30">
        <f t="shared" si="9"/>
        <v>0</v>
      </c>
      <c r="P10" s="34">
        <v>46186</v>
      </c>
      <c r="Q10" s="34">
        <v>46247</v>
      </c>
      <c r="R10" s="33">
        <f t="shared" si="5"/>
        <v>46212</v>
      </c>
      <c r="S10" s="33">
        <f t="shared" si="6"/>
        <v>46242</v>
      </c>
    </row>
    <row r="11" spans="1:19" x14ac:dyDescent="0.3">
      <c r="A11" s="30" t="s">
        <v>24</v>
      </c>
      <c r="B11" s="30" t="s">
        <v>25</v>
      </c>
      <c r="C11" s="30" t="s">
        <v>32</v>
      </c>
      <c r="D11" s="30">
        <v>150</v>
      </c>
      <c r="E11" s="30">
        <v>360</v>
      </c>
      <c r="F11" s="30">
        <f>E11-G11</f>
        <v>39</v>
      </c>
      <c r="G11" s="30">
        <v>321</v>
      </c>
      <c r="H11" s="30">
        <v>1.02</v>
      </c>
      <c r="I11" s="30">
        <v>0.9</v>
      </c>
      <c r="J11" s="30">
        <v>0.45</v>
      </c>
      <c r="K11" s="27">
        <f>(H11*I11)*J11</f>
        <v>0.41310000000000002</v>
      </c>
      <c r="L11" s="32"/>
      <c r="M11" s="30">
        <f>L11/D11</f>
        <v>0</v>
      </c>
      <c r="N11" s="30">
        <f>M11*E11</f>
        <v>0</v>
      </c>
      <c r="O11" s="30">
        <f>M11*K11</f>
        <v>0</v>
      </c>
      <c r="P11" s="34">
        <v>46186</v>
      </c>
      <c r="Q11" s="34">
        <v>46247</v>
      </c>
      <c r="R11" s="33">
        <f t="shared" si="5"/>
        <v>46212</v>
      </c>
      <c r="S11" s="33">
        <f t="shared" si="6"/>
        <v>46242</v>
      </c>
    </row>
    <row r="12" spans="1:19" x14ac:dyDescent="0.3">
      <c r="A12" s="30" t="s">
        <v>24</v>
      </c>
      <c r="B12" s="30" t="s">
        <v>25</v>
      </c>
      <c r="C12" s="30" t="s">
        <v>33</v>
      </c>
      <c r="D12" s="30">
        <v>256</v>
      </c>
      <c r="E12" s="30">
        <v>428.4</v>
      </c>
      <c r="F12" s="30">
        <f t="shared" ref="F12:F16" si="10">E12-G12</f>
        <v>70</v>
      </c>
      <c r="G12" s="30">
        <v>358.4</v>
      </c>
      <c r="H12" s="30">
        <v>1.05</v>
      </c>
      <c r="I12" s="30">
        <v>0.8</v>
      </c>
      <c r="J12" s="30">
        <v>0.73</v>
      </c>
      <c r="K12" s="27">
        <f t="shared" ref="K12:K14" si="11">(H12*I12)*J12</f>
        <v>0.61320000000000008</v>
      </c>
      <c r="L12" s="32"/>
      <c r="M12" s="30">
        <f t="shared" ref="M12:M16" si="12">L12/D12</f>
        <v>0</v>
      </c>
      <c r="N12" s="30">
        <f t="shared" ref="N12:N16" si="13">M12*E12</f>
        <v>0</v>
      </c>
      <c r="O12" s="30">
        <f t="shared" ref="O12:O16" si="14">M12*K12</f>
        <v>0</v>
      </c>
      <c r="P12" s="34">
        <v>46186</v>
      </c>
      <c r="Q12" s="34">
        <v>46247</v>
      </c>
      <c r="R12" s="33">
        <f t="shared" si="5"/>
        <v>46212</v>
      </c>
      <c r="S12" s="33">
        <f t="shared" si="6"/>
        <v>46242</v>
      </c>
    </row>
    <row r="13" spans="1:19" x14ac:dyDescent="0.3">
      <c r="A13" s="30" t="s">
        <v>24</v>
      </c>
      <c r="B13" s="30" t="s">
        <v>25</v>
      </c>
      <c r="C13" s="30" t="s">
        <v>34</v>
      </c>
      <c r="D13" s="30">
        <v>256</v>
      </c>
      <c r="E13" s="30">
        <v>338</v>
      </c>
      <c r="F13" s="30">
        <f t="shared" si="10"/>
        <v>48</v>
      </c>
      <c r="G13" s="30">
        <v>290</v>
      </c>
      <c r="H13" s="30">
        <v>1.05</v>
      </c>
      <c r="I13" s="30">
        <v>0.8</v>
      </c>
      <c r="J13" s="30">
        <v>0.55000000000000004</v>
      </c>
      <c r="K13" s="27">
        <f t="shared" si="11"/>
        <v>0.46200000000000008</v>
      </c>
      <c r="L13" s="32"/>
      <c r="M13" s="30">
        <f t="shared" si="12"/>
        <v>0</v>
      </c>
      <c r="N13" s="30">
        <f t="shared" si="13"/>
        <v>0</v>
      </c>
      <c r="O13" s="30">
        <f t="shared" si="14"/>
        <v>0</v>
      </c>
      <c r="P13" s="34">
        <v>46186</v>
      </c>
      <c r="Q13" s="34">
        <v>46247</v>
      </c>
      <c r="R13" s="33">
        <f t="shared" si="5"/>
        <v>46212</v>
      </c>
      <c r="S13" s="33">
        <f t="shared" si="6"/>
        <v>46242</v>
      </c>
    </row>
    <row r="14" spans="1:19" x14ac:dyDescent="0.3">
      <c r="A14" s="30"/>
      <c r="B14" s="30" t="s">
        <v>25</v>
      </c>
      <c r="C14" s="30" t="s">
        <v>35</v>
      </c>
      <c r="D14" s="30">
        <v>1</v>
      </c>
      <c r="E14" s="30">
        <v>186</v>
      </c>
      <c r="F14" s="30">
        <f t="shared" si="10"/>
        <v>21</v>
      </c>
      <c r="G14" s="30">
        <v>165</v>
      </c>
      <c r="H14" s="30">
        <v>0.89</v>
      </c>
      <c r="I14" s="30">
        <v>0.89</v>
      </c>
      <c r="J14" s="30">
        <v>0.5</v>
      </c>
      <c r="K14" s="27">
        <f t="shared" si="11"/>
        <v>0.39605000000000001</v>
      </c>
      <c r="L14" s="32"/>
      <c r="M14" s="30">
        <f t="shared" si="12"/>
        <v>0</v>
      </c>
      <c r="N14" s="30">
        <f t="shared" si="13"/>
        <v>0</v>
      </c>
      <c r="O14" s="30">
        <f t="shared" si="14"/>
        <v>0</v>
      </c>
      <c r="P14" s="34">
        <v>46211</v>
      </c>
      <c r="Q14" s="34">
        <v>46247</v>
      </c>
      <c r="R14" s="33">
        <v>46033</v>
      </c>
      <c r="S14" s="33">
        <f t="shared" si="6"/>
        <v>46063</v>
      </c>
    </row>
    <row r="15" spans="1:19" x14ac:dyDescent="0.3">
      <c r="A15" s="42" t="s">
        <v>36</v>
      </c>
      <c r="B15" s="30" t="s">
        <v>25</v>
      </c>
      <c r="C15" s="30" t="s">
        <v>37</v>
      </c>
      <c r="D15" s="30">
        <v>4</v>
      </c>
      <c r="E15" s="39">
        <v>109</v>
      </c>
      <c r="F15" s="39">
        <f t="shared" si="10"/>
        <v>49.5</v>
      </c>
      <c r="G15" s="39">
        <v>59.5</v>
      </c>
      <c r="H15" s="39">
        <v>1.1000000000000001</v>
      </c>
      <c r="I15" s="39">
        <v>1.1000000000000001</v>
      </c>
      <c r="J15" s="39">
        <v>1</v>
      </c>
      <c r="K15" s="27">
        <f t="shared" ref="K15:K17" si="15">H15*I15*J15</f>
        <v>1.2100000000000002</v>
      </c>
      <c r="L15" s="32"/>
      <c r="M15" s="30">
        <f t="shared" si="12"/>
        <v>0</v>
      </c>
      <c r="N15" s="30">
        <f t="shared" si="13"/>
        <v>0</v>
      </c>
      <c r="O15" s="30">
        <f t="shared" si="14"/>
        <v>0</v>
      </c>
      <c r="P15" s="34">
        <v>46035</v>
      </c>
      <c r="Q15" s="34">
        <v>46219</v>
      </c>
      <c r="R15" s="33">
        <f>Q15-3-4-21-4-3</f>
        <v>46184</v>
      </c>
      <c r="S15" s="33">
        <f t="shared" si="6"/>
        <v>46214</v>
      </c>
    </row>
    <row r="16" spans="1:19" x14ac:dyDescent="0.3">
      <c r="A16" s="42" t="s">
        <v>36</v>
      </c>
      <c r="B16" s="30" t="s">
        <v>25</v>
      </c>
      <c r="C16" s="43" t="s">
        <v>38</v>
      </c>
      <c r="D16" s="30">
        <v>4</v>
      </c>
      <c r="E16" s="39">
        <v>109</v>
      </c>
      <c r="F16" s="39">
        <f t="shared" si="10"/>
        <v>49.5</v>
      </c>
      <c r="G16" s="39">
        <v>59.5</v>
      </c>
      <c r="H16" s="39">
        <v>1.1000000000000001</v>
      </c>
      <c r="I16" s="39">
        <v>1.1000000000000001</v>
      </c>
      <c r="J16" s="39">
        <v>1</v>
      </c>
      <c r="K16" s="27">
        <f t="shared" si="15"/>
        <v>1.2100000000000002</v>
      </c>
      <c r="L16" s="32"/>
      <c r="M16" s="30">
        <f t="shared" si="12"/>
        <v>0</v>
      </c>
      <c r="N16" s="30">
        <f t="shared" si="13"/>
        <v>0</v>
      </c>
      <c r="O16" s="30">
        <f t="shared" si="14"/>
        <v>0</v>
      </c>
      <c r="P16" s="34">
        <v>46127</v>
      </c>
      <c r="Q16" s="34">
        <v>46054</v>
      </c>
      <c r="R16" s="33">
        <f t="shared" ref="R16:R17" si="16">Q16-3-4-21-4-3</f>
        <v>46019</v>
      </c>
      <c r="S16" s="33">
        <f t="shared" si="6"/>
        <v>46049</v>
      </c>
    </row>
    <row r="17" spans="1:19" x14ac:dyDescent="0.3">
      <c r="A17" s="42" t="s">
        <v>39</v>
      </c>
      <c r="B17" s="44" t="s">
        <v>25</v>
      </c>
      <c r="C17" s="45" t="s">
        <v>40</v>
      </c>
      <c r="D17" s="46">
        <v>4</v>
      </c>
      <c r="E17" s="46">
        <v>80</v>
      </c>
      <c r="F17" s="46">
        <v>52</v>
      </c>
      <c r="G17" s="46">
        <v>28</v>
      </c>
      <c r="H17" s="39">
        <v>1.22</v>
      </c>
      <c r="I17" s="39">
        <v>0.67</v>
      </c>
      <c r="J17" s="39">
        <v>0.76</v>
      </c>
      <c r="K17" s="47">
        <f t="shared" si="15"/>
        <v>0.621224</v>
      </c>
      <c r="L17" s="32"/>
      <c r="M17" s="46">
        <f>L17/D17</f>
        <v>0</v>
      </c>
      <c r="N17" s="46">
        <f>M17*E17</f>
        <v>0</v>
      </c>
      <c r="O17" s="47">
        <f>M17*K17</f>
        <v>0</v>
      </c>
      <c r="P17" s="34">
        <v>46211</v>
      </c>
      <c r="Q17" s="34">
        <v>46255</v>
      </c>
      <c r="R17" s="33">
        <f t="shared" si="16"/>
        <v>46220</v>
      </c>
      <c r="S17" s="33">
        <f t="shared" si="6"/>
        <v>46250</v>
      </c>
    </row>
    <row r="18" spans="1:19" x14ac:dyDescent="0.3">
      <c r="A18" s="48">
        <v>9564</v>
      </c>
      <c r="B18" s="25" t="s">
        <v>25</v>
      </c>
      <c r="C18" s="49" t="s">
        <v>41</v>
      </c>
      <c r="D18" s="27">
        <v>32</v>
      </c>
      <c r="E18" s="27">
        <v>603</v>
      </c>
      <c r="F18" s="39">
        <f>E18-G18</f>
        <v>59</v>
      </c>
      <c r="G18" s="27">
        <v>544</v>
      </c>
      <c r="H18" s="27">
        <v>1.1599999999999999</v>
      </c>
      <c r="I18" s="27">
        <v>0.84</v>
      </c>
      <c r="J18" s="27">
        <v>0.51</v>
      </c>
      <c r="K18" s="27">
        <f>H18*I18*J18</f>
        <v>0.496944</v>
      </c>
      <c r="L18" s="32"/>
      <c r="M18" s="50">
        <f>L18/D18</f>
        <v>0</v>
      </c>
      <c r="N18" s="50">
        <f>M18*E18</f>
        <v>0</v>
      </c>
      <c r="O18" s="50">
        <f>K18*M18</f>
        <v>0</v>
      </c>
      <c r="P18" s="5">
        <v>46157</v>
      </c>
    </row>
    <row r="19" spans="1:19" x14ac:dyDescent="0.3">
      <c r="A19" s="48" t="s">
        <v>42</v>
      </c>
      <c r="B19" s="51" t="s">
        <v>25</v>
      </c>
      <c r="C19" s="52" t="s">
        <v>43</v>
      </c>
      <c r="D19" s="53">
        <v>24</v>
      </c>
      <c r="E19" s="54">
        <v>266</v>
      </c>
      <c r="F19">
        <v>33</v>
      </c>
      <c r="G19" s="54">
        <v>233</v>
      </c>
      <c r="H19" s="54">
        <v>1.1000000000000001</v>
      </c>
      <c r="I19" s="54">
        <v>0.6</v>
      </c>
      <c r="J19" s="54">
        <v>0.38</v>
      </c>
      <c r="K19" s="55">
        <f t="shared" ref="K19:K26" si="17">H19*I19*J19</f>
        <v>0.25080000000000002</v>
      </c>
      <c r="L19" s="56"/>
      <c r="M19" s="57">
        <f t="shared" ref="M19:M26" si="18">L19/D19</f>
        <v>0</v>
      </c>
      <c r="N19" s="57">
        <f t="shared" ref="N19:N26" si="19">M19*E19</f>
        <v>0</v>
      </c>
      <c r="O19" s="57">
        <f>K19*M19</f>
        <v>0</v>
      </c>
      <c r="P19" s="5">
        <v>46213</v>
      </c>
      <c r="Q19" s="5">
        <v>46264</v>
      </c>
      <c r="R19" s="33">
        <f t="shared" ref="R19:R25" si="20">Q19-3-4-21-4-3</f>
        <v>46229</v>
      </c>
      <c r="S19" s="33">
        <f t="shared" ref="S19:S25" si="21">R19+30</f>
        <v>46259</v>
      </c>
    </row>
    <row r="20" spans="1:19" x14ac:dyDescent="0.3">
      <c r="A20" s="26" t="s">
        <v>44</v>
      </c>
      <c r="B20" s="30" t="s">
        <v>25</v>
      </c>
      <c r="C20" s="58" t="s">
        <v>45</v>
      </c>
      <c r="D20" s="45">
        <v>4</v>
      </c>
      <c r="E20" s="59">
        <f t="shared" ref="E20:E21" si="22">G20+F20</f>
        <v>130</v>
      </c>
      <c r="F20" s="59">
        <v>20</v>
      </c>
      <c r="G20" s="59">
        <v>110</v>
      </c>
      <c r="H20" s="59">
        <v>0.83</v>
      </c>
      <c r="I20" s="59">
        <v>0.77</v>
      </c>
      <c r="J20" s="59">
        <v>0.34</v>
      </c>
      <c r="K20" s="59">
        <f t="shared" si="17"/>
        <v>0.21729400000000001</v>
      </c>
      <c r="L20" s="84">
        <v>60</v>
      </c>
      <c r="M20" s="82">
        <f t="shared" si="18"/>
        <v>15</v>
      </c>
      <c r="N20" s="27">
        <f t="shared" si="19"/>
        <v>1950</v>
      </c>
      <c r="O20" s="27">
        <f t="shared" ref="O20:O25" si="23">M20*K20</f>
        <v>3.2594100000000004</v>
      </c>
      <c r="P20" s="33">
        <v>46012</v>
      </c>
      <c r="Q20" s="34">
        <v>46249</v>
      </c>
      <c r="R20" s="33">
        <f t="shared" si="20"/>
        <v>46214</v>
      </c>
      <c r="S20" s="33">
        <f t="shared" si="21"/>
        <v>46244</v>
      </c>
    </row>
    <row r="21" spans="1:19" x14ac:dyDescent="0.3">
      <c r="A21" s="26" t="s">
        <v>44</v>
      </c>
      <c r="B21" s="30" t="s">
        <v>25</v>
      </c>
      <c r="C21" s="58" t="s">
        <v>46</v>
      </c>
      <c r="D21" s="45">
        <v>2</v>
      </c>
      <c r="E21" s="59">
        <f t="shared" si="22"/>
        <v>120</v>
      </c>
      <c r="F21" s="59">
        <v>20</v>
      </c>
      <c r="G21" s="59">
        <v>100</v>
      </c>
      <c r="H21" s="59">
        <v>0.83</v>
      </c>
      <c r="I21" s="59">
        <v>0.72</v>
      </c>
      <c r="J21" s="59">
        <v>0.37</v>
      </c>
      <c r="K21" s="59">
        <f t="shared" si="17"/>
        <v>0.22111199999999998</v>
      </c>
      <c r="L21" s="84"/>
      <c r="M21" s="27">
        <f t="shared" si="18"/>
        <v>0</v>
      </c>
      <c r="N21" s="27">
        <f t="shared" si="19"/>
        <v>0</v>
      </c>
      <c r="O21" s="27">
        <f t="shared" si="23"/>
        <v>0</v>
      </c>
      <c r="P21" s="33">
        <v>46012</v>
      </c>
      <c r="Q21" s="34">
        <v>46249</v>
      </c>
      <c r="R21" s="33">
        <f t="shared" si="20"/>
        <v>46214</v>
      </c>
      <c r="S21" s="33">
        <f t="shared" si="21"/>
        <v>46244</v>
      </c>
    </row>
    <row r="22" spans="1:19" x14ac:dyDescent="0.3">
      <c r="A22" s="26" t="s">
        <v>44</v>
      </c>
      <c r="B22" s="30" t="s">
        <v>25</v>
      </c>
      <c r="C22" s="58" t="s">
        <v>47</v>
      </c>
      <c r="D22" s="60">
        <v>4</v>
      </c>
      <c r="E22" s="60">
        <v>516.20000000000005</v>
      </c>
      <c r="F22" s="60">
        <f>E22-G22</f>
        <v>51.000000000000057</v>
      </c>
      <c r="G22" s="60">
        <v>465.2</v>
      </c>
      <c r="H22" s="60">
        <v>1.32</v>
      </c>
      <c r="I22" s="60">
        <v>0.84</v>
      </c>
      <c r="J22" s="60">
        <v>0.48</v>
      </c>
      <c r="K22" s="61">
        <f t="shared" si="17"/>
        <v>0.53222400000000003</v>
      </c>
      <c r="L22" s="32"/>
      <c r="M22" s="27">
        <f t="shared" si="18"/>
        <v>0</v>
      </c>
      <c r="N22" s="27">
        <f t="shared" si="19"/>
        <v>0</v>
      </c>
      <c r="O22" s="27">
        <f t="shared" si="23"/>
        <v>0</v>
      </c>
      <c r="P22" s="33">
        <v>46012</v>
      </c>
      <c r="Q22" s="34">
        <v>46249</v>
      </c>
      <c r="R22" s="33">
        <f t="shared" si="20"/>
        <v>46214</v>
      </c>
      <c r="S22" s="33">
        <f t="shared" si="21"/>
        <v>46244</v>
      </c>
    </row>
    <row r="23" spans="1:19" x14ac:dyDescent="0.3">
      <c r="A23" s="26" t="s">
        <v>44</v>
      </c>
      <c r="B23" s="30" t="s">
        <v>25</v>
      </c>
      <c r="C23" s="58" t="s">
        <v>48</v>
      </c>
      <c r="D23" s="45">
        <v>5</v>
      </c>
      <c r="E23" s="59">
        <f t="shared" ref="E23:E25" si="24">G23+F23</f>
        <v>270</v>
      </c>
      <c r="F23" s="59">
        <v>20</v>
      </c>
      <c r="G23" s="59">
        <v>250</v>
      </c>
      <c r="H23" s="59">
        <v>0.83</v>
      </c>
      <c r="I23" s="59">
        <v>0.75</v>
      </c>
      <c r="J23" s="59">
        <v>0.4</v>
      </c>
      <c r="K23" s="59">
        <f t="shared" si="17"/>
        <v>0.249</v>
      </c>
      <c r="L23" s="84">
        <v>1</v>
      </c>
      <c r="M23" s="82">
        <f t="shared" si="18"/>
        <v>0.2</v>
      </c>
      <c r="N23" s="27">
        <f t="shared" si="19"/>
        <v>54</v>
      </c>
      <c r="O23" s="27">
        <f t="shared" si="23"/>
        <v>4.9800000000000004E-2</v>
      </c>
      <c r="P23" s="33">
        <v>46012</v>
      </c>
      <c r="Q23" s="34">
        <v>46249</v>
      </c>
      <c r="R23" s="33">
        <f t="shared" si="20"/>
        <v>46214</v>
      </c>
      <c r="S23" s="33">
        <f t="shared" si="21"/>
        <v>46244</v>
      </c>
    </row>
    <row r="24" spans="1:19" x14ac:dyDescent="0.3">
      <c r="A24" s="26" t="s">
        <v>44</v>
      </c>
      <c r="B24" s="30" t="s">
        <v>25</v>
      </c>
      <c r="C24" s="58" t="s">
        <v>49</v>
      </c>
      <c r="D24" s="45">
        <v>6</v>
      </c>
      <c r="E24" s="59">
        <f t="shared" si="24"/>
        <v>230</v>
      </c>
      <c r="F24" s="59">
        <v>20</v>
      </c>
      <c r="G24" s="59">
        <v>210</v>
      </c>
      <c r="H24" s="59">
        <v>0.95</v>
      </c>
      <c r="I24" s="59">
        <v>0.8</v>
      </c>
      <c r="J24" s="59">
        <v>0.45</v>
      </c>
      <c r="K24" s="59">
        <f t="shared" si="17"/>
        <v>0.34200000000000003</v>
      </c>
      <c r="L24" s="84">
        <v>3</v>
      </c>
      <c r="M24" s="82">
        <f t="shared" si="18"/>
        <v>0.5</v>
      </c>
      <c r="N24" s="27">
        <f t="shared" si="19"/>
        <v>115</v>
      </c>
      <c r="O24" s="27">
        <f t="shared" si="23"/>
        <v>0.17100000000000001</v>
      </c>
      <c r="P24" s="33">
        <v>46012</v>
      </c>
      <c r="Q24" s="34">
        <v>46249</v>
      </c>
      <c r="R24" s="33">
        <f t="shared" si="20"/>
        <v>46214</v>
      </c>
      <c r="S24" s="33">
        <f t="shared" si="21"/>
        <v>46244</v>
      </c>
    </row>
    <row r="25" spans="1:19" x14ac:dyDescent="0.3">
      <c r="A25" s="26" t="s">
        <v>44</v>
      </c>
      <c r="B25" s="30" t="s">
        <v>25</v>
      </c>
      <c r="C25" s="58" t="s">
        <v>50</v>
      </c>
      <c r="D25" s="45">
        <v>6</v>
      </c>
      <c r="E25" s="59">
        <f t="shared" si="24"/>
        <v>260</v>
      </c>
      <c r="F25" s="59">
        <v>20</v>
      </c>
      <c r="G25" s="59">
        <v>240</v>
      </c>
      <c r="H25" s="59">
        <v>0.95</v>
      </c>
      <c r="I25" s="59">
        <v>0.8</v>
      </c>
      <c r="J25" s="59">
        <v>0.45</v>
      </c>
      <c r="K25" s="59">
        <f t="shared" si="17"/>
        <v>0.34200000000000003</v>
      </c>
      <c r="L25" s="7">
        <v>80</v>
      </c>
      <c r="M25" s="82">
        <f t="shared" si="18"/>
        <v>13.333333333333334</v>
      </c>
      <c r="N25" s="27">
        <f t="shared" si="19"/>
        <v>3466.666666666667</v>
      </c>
      <c r="O25" s="27">
        <f t="shared" si="23"/>
        <v>4.5600000000000005</v>
      </c>
      <c r="P25" s="33">
        <v>46012</v>
      </c>
      <c r="Q25" s="34">
        <v>46249</v>
      </c>
      <c r="R25" s="33">
        <f t="shared" si="20"/>
        <v>46214</v>
      </c>
      <c r="S25" s="33">
        <f t="shared" si="21"/>
        <v>46244</v>
      </c>
    </row>
    <row r="26" spans="1:19" x14ac:dyDescent="0.3">
      <c r="A26" s="26">
        <v>9576</v>
      </c>
      <c r="B26" s="36" t="s">
        <v>25</v>
      </c>
      <c r="C26" s="62" t="s">
        <v>51</v>
      </c>
      <c r="D26" s="27">
        <v>48</v>
      </c>
      <c r="E26" s="27">
        <v>885</v>
      </c>
      <c r="F26" s="63">
        <v>69</v>
      </c>
      <c r="G26" s="27">
        <v>816</v>
      </c>
      <c r="H26" s="27">
        <v>1.1599999999999999</v>
      </c>
      <c r="I26" s="27">
        <v>0.84</v>
      </c>
      <c r="J26" s="27">
        <v>0.72</v>
      </c>
      <c r="K26" s="27">
        <f t="shared" si="17"/>
        <v>0.70156799999999997</v>
      </c>
      <c r="L26" s="32"/>
      <c r="M26" s="41">
        <f t="shared" si="18"/>
        <v>0</v>
      </c>
      <c r="N26" s="41">
        <f t="shared" si="19"/>
        <v>0</v>
      </c>
      <c r="O26" s="41">
        <f>M26*K26</f>
        <v>0</v>
      </c>
      <c r="P26" s="5">
        <v>46037</v>
      </c>
    </row>
    <row r="27" spans="1:19" s="14" customFormat="1" x14ac:dyDescent="0.3">
      <c r="A27" s="17" t="s">
        <v>52</v>
      </c>
      <c r="B27" s="10" t="s">
        <v>53</v>
      </c>
      <c r="C27" s="9" t="s">
        <v>54</v>
      </c>
      <c r="D27" s="27">
        <v>3</v>
      </c>
      <c r="E27" s="27">
        <v>300</v>
      </c>
      <c r="F27" s="39"/>
      <c r="G27" s="27"/>
      <c r="H27" s="27"/>
      <c r="I27" s="27"/>
      <c r="J27" s="27"/>
      <c r="K27" s="27">
        <v>0.6</v>
      </c>
      <c r="L27" s="7"/>
      <c r="M27" s="22">
        <f>L27/D27</f>
        <v>0</v>
      </c>
      <c r="N27" s="22">
        <f>M27*E27</f>
        <v>0</v>
      </c>
      <c r="O27" s="22">
        <f>K27*M27</f>
        <v>0</v>
      </c>
      <c r="P27" s="16">
        <v>46218</v>
      </c>
    </row>
    <row r="28" spans="1:19" s="14" customFormat="1" x14ac:dyDescent="0.3">
      <c r="A28" s="17" t="s">
        <v>52</v>
      </c>
      <c r="B28" s="10" t="s">
        <v>53</v>
      </c>
      <c r="C28" s="18" t="s">
        <v>55</v>
      </c>
      <c r="D28" s="10">
        <v>8</v>
      </c>
      <c r="E28" s="10">
        <v>755</v>
      </c>
      <c r="F28" s="10">
        <f t="shared" ref="F28:F29" si="25">E28-G28</f>
        <v>102</v>
      </c>
      <c r="G28" s="10">
        <v>653</v>
      </c>
      <c r="H28" s="10">
        <v>1.74</v>
      </c>
      <c r="I28" s="10">
        <v>1.25</v>
      </c>
      <c r="J28" s="10">
        <v>0.69</v>
      </c>
      <c r="K28" s="23">
        <f t="shared" ref="K28:K29" si="26">H28*I28*J28</f>
        <v>1.5007499999999998</v>
      </c>
      <c r="L28" s="7"/>
      <c r="M28" s="22">
        <f>L28/D28</f>
        <v>0</v>
      </c>
      <c r="N28" s="22">
        <f>M28*E28</f>
        <v>0</v>
      </c>
      <c r="O28" s="22">
        <f>K28*M28</f>
        <v>0</v>
      </c>
      <c r="P28" s="13">
        <v>46157</v>
      </c>
      <c r="Q28" s="12">
        <v>46218</v>
      </c>
      <c r="R28" s="13">
        <f>Q28-3-4-21-4-3</f>
        <v>46183</v>
      </c>
      <c r="S28" s="13">
        <f>R28+30</f>
        <v>46213</v>
      </c>
    </row>
    <row r="29" spans="1:19" s="14" customFormat="1" x14ac:dyDescent="0.3">
      <c r="A29" s="17" t="s">
        <v>52</v>
      </c>
      <c r="B29" s="10" t="s">
        <v>53</v>
      </c>
      <c r="C29" s="18" t="s">
        <v>56</v>
      </c>
      <c r="D29" s="10">
        <v>9</v>
      </c>
      <c r="E29" s="94">
        <v>579</v>
      </c>
      <c r="F29" s="94">
        <f t="shared" si="25"/>
        <v>52</v>
      </c>
      <c r="G29" s="94">
        <v>527</v>
      </c>
      <c r="H29" s="94">
        <v>1.27</v>
      </c>
      <c r="I29" s="94">
        <v>0.87</v>
      </c>
      <c r="J29" s="94">
        <v>0.58499999999999996</v>
      </c>
      <c r="K29" s="94">
        <f t="shared" si="26"/>
        <v>0.64636649999999995</v>
      </c>
      <c r="L29" s="7"/>
      <c r="M29" s="95">
        <f>L29/D29</f>
        <v>0</v>
      </c>
      <c r="N29" s="95">
        <f>M29*E29</f>
        <v>0</v>
      </c>
      <c r="O29" s="95">
        <f>M29*J29</f>
        <v>0</v>
      </c>
      <c r="P29" s="13">
        <v>46157</v>
      </c>
      <c r="Q29" s="12">
        <v>46218</v>
      </c>
      <c r="R29" s="13">
        <f>Q29-3-4-21-4-3</f>
        <v>46183</v>
      </c>
      <c r="S29" s="13">
        <f>R29+30</f>
        <v>46213</v>
      </c>
    </row>
    <row r="30" spans="1:19" s="14" customFormat="1" x14ac:dyDescent="0.3">
      <c r="A30" s="17" t="s">
        <v>52</v>
      </c>
      <c r="B30" s="10" t="s">
        <v>53</v>
      </c>
      <c r="C30" s="18" t="s">
        <v>57</v>
      </c>
      <c r="D30" s="10">
        <v>9</v>
      </c>
      <c r="E30" s="94"/>
      <c r="F30" s="94"/>
      <c r="G30" s="94"/>
      <c r="H30" s="94"/>
      <c r="I30" s="94"/>
      <c r="J30" s="94"/>
      <c r="K30" s="94"/>
      <c r="L30" s="7"/>
      <c r="M30" s="95"/>
      <c r="N30" s="95"/>
      <c r="O30" s="95"/>
      <c r="P30" s="13">
        <v>46157</v>
      </c>
      <c r="Q30" s="12">
        <v>46218</v>
      </c>
      <c r="R30" s="13">
        <f>Q30-3-4-21-4-3</f>
        <v>46183</v>
      </c>
      <c r="S30" s="13">
        <f>R30+30</f>
        <v>46213</v>
      </c>
    </row>
    <row r="31" spans="1:19" s="14" customFormat="1" x14ac:dyDescent="0.3">
      <c r="A31" s="17" t="s">
        <v>52</v>
      </c>
      <c r="B31" s="10" t="s">
        <v>53</v>
      </c>
      <c r="C31" s="18" t="s">
        <v>58</v>
      </c>
      <c r="D31" s="10">
        <v>56</v>
      </c>
      <c r="E31" s="94">
        <v>438</v>
      </c>
      <c r="F31" s="94">
        <f>E31-G31</f>
        <v>64</v>
      </c>
      <c r="G31" s="94">
        <v>374</v>
      </c>
      <c r="H31" s="94">
        <v>1.01</v>
      </c>
      <c r="I31" s="94">
        <v>0.77500000000000002</v>
      </c>
      <c r="J31" s="94">
        <v>0.625</v>
      </c>
      <c r="K31" s="94">
        <f>H31*I31*J31</f>
        <v>0.48921875000000004</v>
      </c>
      <c r="L31" s="7"/>
      <c r="M31" s="95">
        <f>L31/D31</f>
        <v>0</v>
      </c>
      <c r="N31" s="95">
        <f>M31*E31</f>
        <v>0</v>
      </c>
      <c r="O31" s="95">
        <f>M31*J31</f>
        <v>0</v>
      </c>
      <c r="P31" s="13">
        <v>46157</v>
      </c>
      <c r="Q31" s="12">
        <v>46218</v>
      </c>
      <c r="R31" s="13">
        <f>Q31-3-4-21-4-3</f>
        <v>46183</v>
      </c>
      <c r="S31" s="13">
        <f>R31+30</f>
        <v>46213</v>
      </c>
    </row>
    <row r="32" spans="1:19" s="14" customFormat="1" x14ac:dyDescent="0.3">
      <c r="A32" s="17" t="s">
        <v>52</v>
      </c>
      <c r="B32" s="10" t="s">
        <v>53</v>
      </c>
      <c r="C32" s="18" t="s">
        <v>59</v>
      </c>
      <c r="D32" s="10">
        <v>55</v>
      </c>
      <c r="E32" s="94"/>
      <c r="F32" s="94"/>
      <c r="G32" s="94"/>
      <c r="H32" s="94"/>
      <c r="I32" s="94"/>
      <c r="J32" s="94"/>
      <c r="K32" s="94"/>
      <c r="L32" s="7"/>
      <c r="M32" s="95"/>
      <c r="N32" s="95"/>
      <c r="O32" s="95"/>
      <c r="P32" s="13">
        <v>46157</v>
      </c>
      <c r="Q32" s="12">
        <v>46218</v>
      </c>
      <c r="R32" s="13">
        <f>Q32-3-4-21-4-3</f>
        <v>46183</v>
      </c>
      <c r="S32" s="13">
        <f>R32+30</f>
        <v>46213</v>
      </c>
    </row>
    <row r="33" spans="1:19" x14ac:dyDescent="0.3">
      <c r="A33" s="65" t="s">
        <v>60</v>
      </c>
      <c r="B33" s="36" t="s">
        <v>61</v>
      </c>
      <c r="C33" s="66" t="s">
        <v>62</v>
      </c>
      <c r="D33" s="27">
        <v>120</v>
      </c>
      <c r="E33" s="27">
        <v>940</v>
      </c>
      <c r="F33" s="39">
        <v>40</v>
      </c>
      <c r="G33" s="27">
        <v>900</v>
      </c>
      <c r="H33" s="27">
        <v>2.5</v>
      </c>
      <c r="I33" s="27">
        <v>1.1000000000000001</v>
      </c>
      <c r="J33" s="67">
        <v>0.52600000000000002</v>
      </c>
      <c r="K33" s="6">
        <f t="shared" ref="K33:K36" si="27">H33*I33*J33</f>
        <v>1.4465000000000001</v>
      </c>
      <c r="L33" s="68"/>
      <c r="M33" s="64">
        <f t="shared" ref="M33:M36" si="28">L33/D33</f>
        <v>0</v>
      </c>
      <c r="N33" s="50">
        <f t="shared" ref="N33:N36" si="29">M33*E33</f>
        <v>0</v>
      </c>
      <c r="O33" s="50">
        <f t="shared" ref="O33:O36" si="30">K33*M33</f>
        <v>0</v>
      </c>
      <c r="P33" s="5">
        <v>46204</v>
      </c>
    </row>
    <row r="34" spans="1:19" x14ac:dyDescent="0.3">
      <c r="A34" s="65" t="s">
        <v>60</v>
      </c>
      <c r="B34" s="36" t="s">
        <v>61</v>
      </c>
      <c r="C34" s="66" t="s">
        <v>63</v>
      </c>
      <c r="D34" s="27">
        <v>72</v>
      </c>
      <c r="E34" s="27">
        <v>940</v>
      </c>
      <c r="F34" s="39">
        <v>40</v>
      </c>
      <c r="G34" s="27">
        <v>900</v>
      </c>
      <c r="H34" s="27">
        <v>2.5</v>
      </c>
      <c r="I34" s="27">
        <v>1.1000000000000001</v>
      </c>
      <c r="J34" s="67">
        <v>0.52600000000000002</v>
      </c>
      <c r="K34" s="6">
        <f t="shared" si="27"/>
        <v>1.4465000000000001</v>
      </c>
      <c r="L34" s="68"/>
      <c r="M34" s="64">
        <f t="shared" si="28"/>
        <v>0</v>
      </c>
      <c r="N34" s="50">
        <f t="shared" si="29"/>
        <v>0</v>
      </c>
      <c r="O34" s="50">
        <f t="shared" si="30"/>
        <v>0</v>
      </c>
      <c r="P34" s="5">
        <v>46204</v>
      </c>
    </row>
    <row r="35" spans="1:19" x14ac:dyDescent="0.3">
      <c r="A35" s="65" t="s">
        <v>60</v>
      </c>
      <c r="B35" s="36" t="s">
        <v>61</v>
      </c>
      <c r="C35" s="66" t="s">
        <v>64</v>
      </c>
      <c r="D35" s="27">
        <v>50</v>
      </c>
      <c r="E35" s="27">
        <v>940</v>
      </c>
      <c r="F35" s="39">
        <v>40</v>
      </c>
      <c r="G35" s="27">
        <v>900</v>
      </c>
      <c r="H35" s="27">
        <v>2.5</v>
      </c>
      <c r="I35" s="27">
        <v>1.1000000000000001</v>
      </c>
      <c r="J35" s="67">
        <v>0.52600000000000002</v>
      </c>
      <c r="K35" s="6">
        <f t="shared" si="27"/>
        <v>1.4465000000000001</v>
      </c>
      <c r="L35" s="68"/>
      <c r="M35" s="64">
        <f t="shared" si="28"/>
        <v>0</v>
      </c>
      <c r="N35" s="50">
        <f t="shared" si="29"/>
        <v>0</v>
      </c>
      <c r="O35" s="50">
        <f t="shared" si="30"/>
        <v>0</v>
      </c>
      <c r="P35" s="5">
        <v>46204</v>
      </c>
    </row>
    <row r="36" spans="1:19" x14ac:dyDescent="0.3">
      <c r="A36" s="65" t="s">
        <v>60</v>
      </c>
      <c r="B36" s="36" t="s">
        <v>61</v>
      </c>
      <c r="C36" s="66" t="s">
        <v>65</v>
      </c>
      <c r="D36" s="27">
        <v>36</v>
      </c>
      <c r="E36" s="27">
        <v>940</v>
      </c>
      <c r="F36" s="39">
        <v>40</v>
      </c>
      <c r="G36" s="27">
        <v>900</v>
      </c>
      <c r="H36" s="27">
        <v>2.5</v>
      </c>
      <c r="I36" s="27">
        <v>1.1000000000000001</v>
      </c>
      <c r="J36" s="67">
        <v>0.52600000000000002</v>
      </c>
      <c r="K36" s="6">
        <f t="shared" si="27"/>
        <v>1.4465000000000001</v>
      </c>
      <c r="L36" s="68"/>
      <c r="M36" s="64">
        <f t="shared" si="28"/>
        <v>0</v>
      </c>
      <c r="N36" s="50">
        <f t="shared" si="29"/>
        <v>0</v>
      </c>
      <c r="O36" s="50">
        <f t="shared" si="30"/>
        <v>0</v>
      </c>
      <c r="P36" s="5">
        <v>46204</v>
      </c>
    </row>
    <row r="37" spans="1:19" x14ac:dyDescent="0.3">
      <c r="A37" s="56" t="s">
        <v>66</v>
      </c>
      <c r="B37" s="36" t="s">
        <v>67</v>
      </c>
      <c r="C37" s="30">
        <v>2117</v>
      </c>
      <c r="D37" s="56">
        <v>595</v>
      </c>
      <c r="E37" s="87">
        <f>G37+F37</f>
        <v>369.45</v>
      </c>
      <c r="F37" s="87">
        <v>15</v>
      </c>
      <c r="G37" s="87">
        <v>354.45</v>
      </c>
      <c r="H37" s="87">
        <v>0.94</v>
      </c>
      <c r="I37" s="87">
        <v>0.72</v>
      </c>
      <c r="J37" s="87">
        <v>0.99</v>
      </c>
      <c r="K37" s="87">
        <f>H37*I37*J37</f>
        <v>0.67003199999999996</v>
      </c>
      <c r="L37" s="68"/>
      <c r="M37" s="87">
        <f>L37/D37</f>
        <v>0</v>
      </c>
      <c r="N37" s="89">
        <f>M37*E37</f>
        <v>0</v>
      </c>
      <c r="O37" s="89">
        <f>M37*K37</f>
        <v>0</v>
      </c>
      <c r="P37" s="5">
        <v>46207</v>
      </c>
    </row>
    <row r="38" spans="1:19" x14ac:dyDescent="0.3">
      <c r="A38" s="56" t="s">
        <v>68</v>
      </c>
      <c r="B38" s="36" t="s">
        <v>67</v>
      </c>
      <c r="C38" s="30">
        <v>2117</v>
      </c>
      <c r="D38" s="56">
        <v>100</v>
      </c>
      <c r="E38" s="88"/>
      <c r="F38" s="88"/>
      <c r="G38" s="88"/>
      <c r="H38" s="88"/>
      <c r="I38" s="88"/>
      <c r="J38" s="88"/>
      <c r="K38" s="88"/>
      <c r="L38" s="68"/>
      <c r="M38" s="88"/>
      <c r="N38" s="90"/>
      <c r="O38" s="90"/>
      <c r="P38" s="5">
        <v>46207</v>
      </c>
    </row>
    <row r="39" spans="1:19" x14ac:dyDescent="0.3">
      <c r="A39" s="65" t="s">
        <v>69</v>
      </c>
      <c r="B39" s="36" t="s">
        <v>67</v>
      </c>
      <c r="C39" s="30">
        <v>2005</v>
      </c>
      <c r="D39" s="56">
        <v>200</v>
      </c>
      <c r="E39" s="91">
        <f>G39+F39</f>
        <v>292</v>
      </c>
      <c r="F39" s="91">
        <v>15</v>
      </c>
      <c r="G39" s="91">
        <v>277</v>
      </c>
      <c r="H39" s="91">
        <v>0.94</v>
      </c>
      <c r="I39" s="91">
        <v>0.72</v>
      </c>
      <c r="J39" s="91">
        <v>0.86</v>
      </c>
      <c r="K39" s="91">
        <f>I39*J39*H39</f>
        <v>0.5820479999999999</v>
      </c>
      <c r="L39" s="68"/>
      <c r="M39" s="91">
        <f>L39/D39</f>
        <v>0</v>
      </c>
      <c r="N39" s="91">
        <f>M39*E39</f>
        <v>0</v>
      </c>
      <c r="O39" s="91">
        <f>M39*K39</f>
        <v>0</v>
      </c>
      <c r="P39" s="5">
        <v>46207</v>
      </c>
    </row>
    <row r="40" spans="1:19" x14ac:dyDescent="0.3">
      <c r="A40" s="56" t="s">
        <v>70</v>
      </c>
      <c r="B40" s="36" t="s">
        <v>67</v>
      </c>
      <c r="C40" s="30" t="s">
        <v>71</v>
      </c>
      <c r="D40" s="56">
        <v>500</v>
      </c>
      <c r="E40" s="92"/>
      <c r="F40" s="92"/>
      <c r="G40" s="92"/>
      <c r="H40" s="92"/>
      <c r="I40" s="92"/>
      <c r="J40" s="92"/>
      <c r="K40" s="92"/>
      <c r="L40" s="68"/>
      <c r="M40" s="92"/>
      <c r="N40" s="92"/>
      <c r="O40" s="92"/>
      <c r="P40" s="5">
        <v>46207</v>
      </c>
    </row>
    <row r="41" spans="1:19" x14ac:dyDescent="0.3">
      <c r="A41" s="56" t="s">
        <v>70</v>
      </c>
      <c r="B41" s="36" t="s">
        <v>67</v>
      </c>
      <c r="C41" s="30" t="s">
        <v>71</v>
      </c>
      <c r="D41" s="56">
        <v>2000</v>
      </c>
      <c r="E41" s="93"/>
      <c r="F41" s="93"/>
      <c r="G41" s="93"/>
      <c r="H41" s="93"/>
      <c r="I41" s="93"/>
      <c r="J41" s="93"/>
      <c r="K41" s="93"/>
      <c r="L41" s="68"/>
      <c r="M41" s="93"/>
      <c r="N41" s="93"/>
      <c r="O41" s="93"/>
      <c r="P41" s="5">
        <v>46207</v>
      </c>
    </row>
    <row r="42" spans="1:19" x14ac:dyDescent="0.3">
      <c r="A42" s="56" t="s">
        <v>72</v>
      </c>
      <c r="B42" s="36" t="s">
        <v>67</v>
      </c>
      <c r="C42" s="56">
        <v>2098</v>
      </c>
      <c r="D42" s="56">
        <v>200</v>
      </c>
      <c r="E42" s="71">
        <v>150</v>
      </c>
      <c r="F42" s="71">
        <v>20</v>
      </c>
      <c r="G42" s="71">
        <v>130</v>
      </c>
      <c r="H42" s="71">
        <v>0.94</v>
      </c>
      <c r="I42" s="71">
        <v>0.72</v>
      </c>
      <c r="J42" s="71">
        <v>0.55000000000000004</v>
      </c>
      <c r="K42" s="6">
        <f t="shared" ref="K42:K46" si="31">H42*I42*J42</f>
        <v>0.37224000000000002</v>
      </c>
      <c r="L42" s="56">
        <v>200</v>
      </c>
      <c r="M42" s="64">
        <f t="shared" ref="M42" si="32">L42/D42</f>
        <v>1</v>
      </c>
      <c r="N42" s="50">
        <f t="shared" ref="N42:N51" si="33">M42*E42</f>
        <v>150</v>
      </c>
      <c r="O42" s="50">
        <f t="shared" ref="O42" si="34">K42*M42</f>
        <v>0.37224000000000002</v>
      </c>
      <c r="P42" s="5">
        <v>46213</v>
      </c>
    </row>
    <row r="43" spans="1:19" x14ac:dyDescent="0.3">
      <c r="A43" s="26">
        <v>9462</v>
      </c>
      <c r="B43" s="72" t="s">
        <v>73</v>
      </c>
      <c r="C43" s="58" t="s">
        <v>74</v>
      </c>
      <c r="D43" s="30">
        <v>4000</v>
      </c>
      <c r="E43" s="73">
        <v>424</v>
      </c>
      <c r="F43" s="73">
        <f t="shared" ref="F43:F47" si="35">E43-G43</f>
        <v>52</v>
      </c>
      <c r="G43" s="73">
        <v>372</v>
      </c>
      <c r="H43" s="73">
        <v>1.1000000000000001</v>
      </c>
      <c r="I43" s="73">
        <v>0.8</v>
      </c>
      <c r="J43" s="73">
        <v>0.55000000000000004</v>
      </c>
      <c r="K43" s="73">
        <f t="shared" si="31"/>
        <v>0.4840000000000001</v>
      </c>
      <c r="L43" s="32">
        <v>8000</v>
      </c>
      <c r="M43" s="27">
        <f>L43/D43</f>
        <v>2</v>
      </c>
      <c r="N43" s="27">
        <f t="shared" si="33"/>
        <v>848</v>
      </c>
      <c r="O43" s="27">
        <f>M43*K43</f>
        <v>0.96800000000000019</v>
      </c>
      <c r="P43" s="33">
        <v>45960</v>
      </c>
      <c r="Q43" s="33"/>
      <c r="R43" s="30"/>
      <c r="S43" s="30"/>
    </row>
    <row r="44" spans="1:19" x14ac:dyDescent="0.3">
      <c r="A44" s="26">
        <v>9560</v>
      </c>
      <c r="B44" s="36" t="s">
        <v>73</v>
      </c>
      <c r="C44" s="58" t="s">
        <v>75</v>
      </c>
      <c r="D44" s="74">
        <v>1000</v>
      </c>
      <c r="E44" s="75">
        <v>690</v>
      </c>
      <c r="F44" s="75">
        <f t="shared" si="35"/>
        <v>40</v>
      </c>
      <c r="G44" s="75">
        <v>650</v>
      </c>
      <c r="H44" s="75">
        <v>1.1000000000000001</v>
      </c>
      <c r="I44" s="75">
        <v>0.8</v>
      </c>
      <c r="J44" s="75">
        <v>0.55000000000000004</v>
      </c>
      <c r="K44" s="70">
        <f t="shared" si="31"/>
        <v>0.4840000000000001</v>
      </c>
      <c r="L44" s="32"/>
      <c r="M44" s="76">
        <f t="shared" ref="M44:M51" si="36">L44/D44</f>
        <v>0</v>
      </c>
      <c r="N44" s="76">
        <f t="shared" si="33"/>
        <v>0</v>
      </c>
      <c r="O44" s="76">
        <f>M44*K44</f>
        <v>0</v>
      </c>
      <c r="P44" s="34">
        <v>46136</v>
      </c>
      <c r="Q44" s="35"/>
      <c r="R44" s="35"/>
      <c r="S44" s="35"/>
    </row>
    <row r="45" spans="1:19" x14ac:dyDescent="0.3">
      <c r="A45" s="26">
        <v>9561</v>
      </c>
      <c r="B45" s="36" t="s">
        <v>73</v>
      </c>
      <c r="C45" s="58" t="s">
        <v>76</v>
      </c>
      <c r="D45" s="73">
        <v>800</v>
      </c>
      <c r="E45" s="73">
        <v>590</v>
      </c>
      <c r="F45" s="73">
        <f t="shared" si="35"/>
        <v>49</v>
      </c>
      <c r="G45" s="73">
        <v>541</v>
      </c>
      <c r="H45" s="73">
        <v>1.1000000000000001</v>
      </c>
      <c r="I45" s="73">
        <v>0.8</v>
      </c>
      <c r="J45" s="73">
        <v>0.55000000000000004</v>
      </c>
      <c r="K45" s="73">
        <f t="shared" si="31"/>
        <v>0.4840000000000001</v>
      </c>
      <c r="L45" s="32">
        <v>4800</v>
      </c>
      <c r="M45" s="30">
        <f t="shared" si="36"/>
        <v>6</v>
      </c>
      <c r="N45" s="27">
        <f t="shared" si="33"/>
        <v>3540</v>
      </c>
      <c r="O45" s="30">
        <f>M45*K45</f>
        <v>2.9040000000000008</v>
      </c>
      <c r="P45" s="34">
        <v>46136</v>
      </c>
      <c r="Q45" s="35"/>
      <c r="R45" s="35"/>
      <c r="S45" s="35"/>
    </row>
    <row r="46" spans="1:19" x14ac:dyDescent="0.3">
      <c r="A46" s="65" t="s">
        <v>77</v>
      </c>
      <c r="B46" s="25" t="s">
        <v>73</v>
      </c>
      <c r="C46" s="77" t="s">
        <v>78</v>
      </c>
      <c r="D46" s="38">
        <v>1000</v>
      </c>
      <c r="E46" s="39">
        <v>610</v>
      </c>
      <c r="F46" s="39">
        <f t="shared" si="35"/>
        <v>40</v>
      </c>
      <c r="G46" s="39">
        <v>570</v>
      </c>
      <c r="H46" s="39">
        <v>1.1000000000000001</v>
      </c>
      <c r="I46" s="39">
        <v>0.8</v>
      </c>
      <c r="J46" s="39">
        <v>0.55000000000000004</v>
      </c>
      <c r="K46" s="27">
        <f t="shared" si="31"/>
        <v>0.4840000000000001</v>
      </c>
      <c r="L46" s="32">
        <v>4000</v>
      </c>
      <c r="M46" s="25">
        <f t="shared" si="36"/>
        <v>4</v>
      </c>
      <c r="N46" s="78">
        <f t="shared" si="33"/>
        <v>2440</v>
      </c>
      <c r="O46" s="25">
        <f t="shared" ref="O46" si="37">M46*K46</f>
        <v>1.9360000000000004</v>
      </c>
      <c r="P46" s="5">
        <v>46183</v>
      </c>
    </row>
    <row r="47" spans="1:19" x14ac:dyDescent="0.3">
      <c r="A47" s="65" t="s">
        <v>79</v>
      </c>
      <c r="B47" s="25" t="s">
        <v>73</v>
      </c>
      <c r="C47" s="77" t="s">
        <v>80</v>
      </c>
      <c r="D47" s="74">
        <v>800</v>
      </c>
      <c r="E47" s="75">
        <v>690</v>
      </c>
      <c r="F47" s="75">
        <f t="shared" si="35"/>
        <v>40</v>
      </c>
      <c r="G47" s="75">
        <v>650</v>
      </c>
      <c r="H47" s="75">
        <v>1.1000000000000001</v>
      </c>
      <c r="I47" s="75">
        <v>0.8</v>
      </c>
      <c r="J47" s="75">
        <v>0.55000000000000004</v>
      </c>
      <c r="K47" s="70">
        <f>H47*I47*J47</f>
        <v>0.4840000000000001</v>
      </c>
      <c r="L47" s="32">
        <v>12000</v>
      </c>
      <c r="M47" s="69">
        <f t="shared" si="36"/>
        <v>15</v>
      </c>
      <c r="N47" s="79">
        <f t="shared" si="33"/>
        <v>10350</v>
      </c>
      <c r="O47" s="27">
        <f t="shared" ref="O47" si="38">K47*M47</f>
        <v>7.2600000000000016</v>
      </c>
      <c r="P47" s="5">
        <v>46193</v>
      </c>
    </row>
    <row r="48" spans="1:19" x14ac:dyDescent="0.3">
      <c r="A48" s="48">
        <v>9577</v>
      </c>
      <c r="B48" s="25" t="s">
        <v>73</v>
      </c>
      <c r="C48" s="49" t="s">
        <v>81</v>
      </c>
      <c r="D48" s="30">
        <v>800</v>
      </c>
      <c r="E48" s="80">
        <v>750</v>
      </c>
      <c r="F48" s="35">
        <v>40</v>
      </c>
      <c r="G48" s="80">
        <v>690</v>
      </c>
      <c r="H48" s="80">
        <v>1.1000000000000001</v>
      </c>
      <c r="I48" s="80">
        <v>0.8</v>
      </c>
      <c r="J48" s="80">
        <v>0.55000000000000004</v>
      </c>
      <c r="K48" s="27">
        <f t="shared" ref="K48:K51" si="39">H48*I48*J48</f>
        <v>0.4840000000000001</v>
      </c>
      <c r="L48" s="32"/>
      <c r="M48" s="36">
        <f t="shared" si="36"/>
        <v>0</v>
      </c>
      <c r="N48" s="41">
        <f t="shared" si="33"/>
        <v>0</v>
      </c>
      <c r="O48" s="36">
        <f>K48*M48</f>
        <v>0</v>
      </c>
      <c r="P48" s="5">
        <v>46164</v>
      </c>
    </row>
    <row r="49" spans="1:16" x14ac:dyDescent="0.3">
      <c r="A49" s="48">
        <v>9613</v>
      </c>
      <c r="B49" s="25" t="s">
        <v>73</v>
      </c>
      <c r="C49" s="77" t="s">
        <v>82</v>
      </c>
      <c r="D49" s="56">
        <v>4000</v>
      </c>
      <c r="E49" s="73">
        <v>424</v>
      </c>
      <c r="F49" s="73">
        <f>E49-G49</f>
        <v>52</v>
      </c>
      <c r="G49" s="73">
        <v>372</v>
      </c>
      <c r="H49" s="73">
        <v>1.1000000000000001</v>
      </c>
      <c r="I49" s="73">
        <v>0.8</v>
      </c>
      <c r="J49" s="73">
        <v>0.55000000000000004</v>
      </c>
      <c r="K49" s="73">
        <f t="shared" si="39"/>
        <v>0.4840000000000001</v>
      </c>
      <c r="L49" s="32"/>
      <c r="M49" s="41">
        <f t="shared" si="36"/>
        <v>0</v>
      </c>
      <c r="N49" s="41">
        <f t="shared" si="33"/>
        <v>0</v>
      </c>
      <c r="O49" s="41">
        <f>M49*K49</f>
        <v>0</v>
      </c>
      <c r="P49" s="5">
        <v>46220</v>
      </c>
    </row>
    <row r="50" spans="1:16" x14ac:dyDescent="0.3">
      <c r="A50" s="26">
        <v>9614</v>
      </c>
      <c r="B50" s="36" t="s">
        <v>73</v>
      </c>
      <c r="C50" s="81" t="s">
        <v>83</v>
      </c>
      <c r="D50" s="38">
        <v>1000</v>
      </c>
      <c r="E50" s="39">
        <v>690</v>
      </c>
      <c r="F50" s="39">
        <f t="shared" ref="F50" si="40">E50-G50</f>
        <v>40</v>
      </c>
      <c r="G50" s="39">
        <v>650</v>
      </c>
      <c r="H50" s="39">
        <v>1.1000000000000001</v>
      </c>
      <c r="I50" s="39">
        <v>0.8</v>
      </c>
      <c r="J50" s="39">
        <v>0.55000000000000004</v>
      </c>
      <c r="K50" s="27">
        <f t="shared" si="39"/>
        <v>0.4840000000000001</v>
      </c>
      <c r="L50" s="30"/>
      <c r="M50" s="50">
        <f t="shared" si="36"/>
        <v>0</v>
      </c>
      <c r="N50" s="50">
        <f t="shared" si="33"/>
        <v>0</v>
      </c>
      <c r="O50" s="50">
        <f t="shared" ref="O50" si="41">K50*M50</f>
        <v>0</v>
      </c>
      <c r="P50" s="5">
        <v>46220</v>
      </c>
    </row>
    <row r="51" spans="1:16" x14ac:dyDescent="0.3">
      <c r="A51" s="48">
        <v>9612</v>
      </c>
      <c r="B51" s="25" t="s">
        <v>73</v>
      </c>
      <c r="C51" s="77" t="s">
        <v>84</v>
      </c>
      <c r="D51" s="35">
        <v>800</v>
      </c>
      <c r="E51" s="80">
        <v>750</v>
      </c>
      <c r="F51" s="35">
        <v>40</v>
      </c>
      <c r="G51" s="80">
        <v>690</v>
      </c>
      <c r="H51" s="80">
        <v>1.1000000000000001</v>
      </c>
      <c r="I51" s="80">
        <v>0.8</v>
      </c>
      <c r="J51" s="80">
        <v>0.55000000000000004</v>
      </c>
      <c r="K51" s="27">
        <f t="shared" si="39"/>
        <v>0.4840000000000001</v>
      </c>
      <c r="L51" s="56"/>
      <c r="M51" s="36">
        <f t="shared" si="36"/>
        <v>0</v>
      </c>
      <c r="N51" s="41">
        <f t="shared" si="33"/>
        <v>0</v>
      </c>
      <c r="O51" s="36">
        <f>K51*M51</f>
        <v>0</v>
      </c>
      <c r="P51" s="5">
        <v>46227</v>
      </c>
    </row>
    <row r="52" spans="1:16" s="8" customFormat="1" x14ac:dyDescent="0.3">
      <c r="L52" s="24">
        <f>SUM(L2:L51)</f>
        <v>39144</v>
      </c>
      <c r="M52" s="24">
        <f>SUM(M2:M51)</f>
        <v>59.033333333333331</v>
      </c>
      <c r="N52" s="24">
        <f>SUM(N2:N51)</f>
        <v>23913.666666666668</v>
      </c>
      <c r="O52" s="24">
        <f>SUM(O2:O51)</f>
        <v>22.448450000000005</v>
      </c>
    </row>
    <row r="56" spans="1:16" x14ac:dyDescent="0.3">
      <c r="F56" s="96">
        <f>SUM(F57:N57)</f>
        <v>5.57</v>
      </c>
      <c r="G56" s="96"/>
      <c r="H56" s="96"/>
      <c r="I56" s="96"/>
      <c r="J56" s="96"/>
      <c r="K56" s="96"/>
      <c r="L56" s="96"/>
      <c r="M56" s="96"/>
      <c r="N56" s="96"/>
    </row>
    <row r="57" spans="1:16" x14ac:dyDescent="0.3">
      <c r="H57">
        <v>0.8</v>
      </c>
      <c r="I57">
        <v>0.8</v>
      </c>
      <c r="J57">
        <v>0.8</v>
      </c>
      <c r="K57">
        <v>0.8</v>
      </c>
      <c r="L57">
        <v>0.8</v>
      </c>
      <c r="M57">
        <v>0.8</v>
      </c>
      <c r="N57">
        <v>0.77</v>
      </c>
    </row>
    <row r="58" spans="1:16" x14ac:dyDescent="0.3">
      <c r="F58" s="96"/>
      <c r="G58" s="96"/>
      <c r="H58" s="96" t="s">
        <v>86</v>
      </c>
      <c r="I58" s="96" t="s">
        <v>85</v>
      </c>
      <c r="J58" s="96" t="s">
        <v>85</v>
      </c>
      <c r="K58" s="96" t="s">
        <v>85</v>
      </c>
      <c r="L58" s="97" t="s">
        <v>86</v>
      </c>
      <c r="M58" s="98" t="s">
        <v>91</v>
      </c>
      <c r="N58" s="99" t="s">
        <v>88</v>
      </c>
    </row>
    <row r="59" spans="1:16" x14ac:dyDescent="0.3">
      <c r="F59" s="96"/>
      <c r="G59" s="96"/>
      <c r="H59" s="96"/>
      <c r="I59" s="96"/>
      <c r="J59" s="96"/>
      <c r="K59" s="96"/>
      <c r="L59" s="97"/>
      <c r="M59" s="98"/>
      <c r="N59" s="99"/>
    </row>
    <row r="60" spans="1:16" x14ac:dyDescent="0.3">
      <c r="F60" s="96"/>
      <c r="G60" s="96"/>
      <c r="H60" s="96"/>
      <c r="I60" s="96"/>
      <c r="J60" s="96"/>
      <c r="K60" s="96"/>
      <c r="L60" s="97"/>
      <c r="M60" s="98"/>
      <c r="N60" s="99"/>
    </row>
    <row r="61" spans="1:16" x14ac:dyDescent="0.3">
      <c r="F61" s="96"/>
      <c r="G61" s="96"/>
      <c r="H61" s="96"/>
      <c r="I61" s="96"/>
      <c r="J61" s="96"/>
      <c r="K61" s="96"/>
      <c r="L61" s="97"/>
      <c r="M61" s="98"/>
      <c r="N61" s="99"/>
    </row>
    <row r="62" spans="1:16" x14ac:dyDescent="0.3">
      <c r="F62" s="96"/>
      <c r="G62" s="96"/>
      <c r="H62" s="96"/>
      <c r="I62" s="96"/>
      <c r="J62" s="96"/>
      <c r="K62" s="96"/>
      <c r="L62" s="97"/>
      <c r="M62" s="98"/>
      <c r="N62" s="99"/>
    </row>
    <row r="63" spans="1:16" x14ac:dyDescent="0.3">
      <c r="F63" s="96"/>
      <c r="G63" s="96"/>
      <c r="H63" s="96" t="s">
        <v>90</v>
      </c>
      <c r="I63" s="96" t="s">
        <v>85</v>
      </c>
      <c r="J63" s="96" t="s">
        <v>85</v>
      </c>
      <c r="K63" s="96" t="s">
        <v>85</v>
      </c>
      <c r="L63" s="97" t="s">
        <v>89</v>
      </c>
      <c r="M63" s="97" t="s">
        <v>89</v>
      </c>
      <c r="N63" s="99" t="s">
        <v>88</v>
      </c>
    </row>
    <row r="64" spans="1:16" x14ac:dyDescent="0.3">
      <c r="F64" s="96"/>
      <c r="G64" s="96"/>
      <c r="H64" s="96"/>
      <c r="I64" s="96"/>
      <c r="J64" s="96"/>
      <c r="K64" s="96"/>
      <c r="L64" s="97"/>
      <c r="M64" s="97"/>
      <c r="N64" s="99"/>
    </row>
    <row r="65" spans="6:14" x14ac:dyDescent="0.3">
      <c r="F65" s="96"/>
      <c r="G65" s="96"/>
      <c r="H65" s="96"/>
      <c r="I65" s="96"/>
      <c r="J65" s="96"/>
      <c r="K65" s="96"/>
      <c r="L65" s="97"/>
      <c r="M65" s="97"/>
      <c r="N65" s="99"/>
    </row>
    <row r="66" spans="6:14" x14ac:dyDescent="0.3">
      <c r="F66" s="96"/>
      <c r="G66" s="96"/>
      <c r="H66" s="96"/>
      <c r="I66" s="96"/>
      <c r="J66" s="96"/>
      <c r="K66" s="96"/>
      <c r="L66" s="97"/>
      <c r="M66" s="97"/>
      <c r="N66" s="99"/>
    </row>
    <row r="67" spans="6:14" x14ac:dyDescent="0.3">
      <c r="F67" s="96"/>
      <c r="G67" s="96"/>
      <c r="H67" s="96"/>
      <c r="I67" s="96"/>
      <c r="J67" s="96"/>
      <c r="K67" s="96"/>
      <c r="L67" s="97"/>
      <c r="M67" s="97"/>
      <c r="N67" s="99"/>
    </row>
    <row r="68" spans="6:14" x14ac:dyDescent="0.3">
      <c r="H68">
        <v>0.8</v>
      </c>
      <c r="I68">
        <v>0.8</v>
      </c>
      <c r="J68">
        <v>0.8</v>
      </c>
      <c r="K68">
        <v>0.8</v>
      </c>
      <c r="L68">
        <v>0.8</v>
      </c>
      <c r="M68">
        <v>0.8</v>
      </c>
      <c r="N68">
        <v>0.77</v>
      </c>
    </row>
    <row r="69" spans="6:14" x14ac:dyDescent="0.3">
      <c r="F69" s="96">
        <f>SUM(F68:N68)</f>
        <v>5.57</v>
      </c>
      <c r="G69" s="96"/>
      <c r="H69" s="96"/>
      <c r="I69" s="96"/>
      <c r="J69" s="96"/>
      <c r="K69" s="96"/>
      <c r="L69" s="96"/>
      <c r="M69" s="96"/>
      <c r="N69" s="96"/>
    </row>
  </sheetData>
  <mergeCells count="60">
    <mergeCell ref="K29:K30"/>
    <mergeCell ref="M29:M30"/>
    <mergeCell ref="N29:N30"/>
    <mergeCell ref="O29:O30"/>
    <mergeCell ref="E31:E32"/>
    <mergeCell ref="F31:F32"/>
    <mergeCell ref="G31:G32"/>
    <mergeCell ref="H31:H32"/>
    <mergeCell ref="I31:I32"/>
    <mergeCell ref="J31:J32"/>
    <mergeCell ref="E29:E30"/>
    <mergeCell ref="F29:F30"/>
    <mergeCell ref="G29:G30"/>
    <mergeCell ref="H29:H30"/>
    <mergeCell ref="I29:I30"/>
    <mergeCell ref="J29:J30"/>
    <mergeCell ref="K31:K32"/>
    <mergeCell ref="M31:M32"/>
    <mergeCell ref="N31:N32"/>
    <mergeCell ref="O31:O32"/>
    <mergeCell ref="E37:E38"/>
    <mergeCell ref="F37:F38"/>
    <mergeCell ref="G37:G38"/>
    <mergeCell ref="H37:H38"/>
    <mergeCell ref="I37:I38"/>
    <mergeCell ref="J37:J38"/>
    <mergeCell ref="N37:N38"/>
    <mergeCell ref="O37:O38"/>
    <mergeCell ref="E39:E41"/>
    <mergeCell ref="F39:F41"/>
    <mergeCell ref="G39:G41"/>
    <mergeCell ref="H39:H41"/>
    <mergeCell ref="I39:I41"/>
    <mergeCell ref="J39:J41"/>
    <mergeCell ref="H58:H62"/>
    <mergeCell ref="I58:I62"/>
    <mergeCell ref="J58:J62"/>
    <mergeCell ref="K37:K38"/>
    <mergeCell ref="M37:M38"/>
    <mergeCell ref="K39:K41"/>
    <mergeCell ref="M39:M41"/>
    <mergeCell ref="N39:N41"/>
    <mergeCell ref="O39:O41"/>
    <mergeCell ref="F56:N56"/>
    <mergeCell ref="L63:L67"/>
    <mergeCell ref="M63:M67"/>
    <mergeCell ref="N63:N67"/>
    <mergeCell ref="F69:N69"/>
    <mergeCell ref="K58:K62"/>
    <mergeCell ref="L58:L62"/>
    <mergeCell ref="M58:M62"/>
    <mergeCell ref="N58:N62"/>
    <mergeCell ref="F63:F67"/>
    <mergeCell ref="G63:G67"/>
    <mergeCell ref="H63:H67"/>
    <mergeCell ref="I63:I67"/>
    <mergeCell ref="J63:J67"/>
    <mergeCell ref="K63:K67"/>
    <mergeCell ref="F58:F62"/>
    <mergeCell ref="G58:G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cp:lastPrinted>2026-07-02T04:57:41Z</cp:lastPrinted>
  <dcterms:created xsi:type="dcterms:W3CDTF">2015-06-05T18:17:20Z</dcterms:created>
  <dcterms:modified xsi:type="dcterms:W3CDTF">2026-07-06T06:13:10Z</dcterms:modified>
</cp:coreProperties>
</file>