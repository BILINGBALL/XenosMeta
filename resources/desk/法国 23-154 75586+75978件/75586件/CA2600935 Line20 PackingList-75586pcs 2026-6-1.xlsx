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filterPrivacy="1" defaultThemeVersion="124226"/>
  <xr:revisionPtr revIDLastSave="0" documentId="13_ncr:1_{DB4CBE46-B738-4F57-85DF-0CC1FEB58817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5" i="1" l="1"/>
  <c r="M5" i="1"/>
  <c r="K7" i="1"/>
  <c r="H7" i="1"/>
  <c r="Q4" i="1"/>
  <c r="O4" i="1"/>
  <c r="M4" i="1"/>
  <c r="P4" i="1" s="1"/>
  <c r="J4" i="1"/>
  <c r="F4" i="1" s="1"/>
  <c r="I4" i="1"/>
  <c r="M3" i="1"/>
  <c r="Q3" i="1" l="1"/>
  <c r="Q7" i="1" s="1"/>
  <c r="I3" i="1"/>
  <c r="P3" i="1"/>
  <c r="O3" i="1"/>
  <c r="J3" i="1"/>
  <c r="F3" i="1" s="1"/>
  <c r="P5" i="1" l="1"/>
  <c r="P7" i="1" s="1"/>
  <c r="J6" i="1"/>
  <c r="J5" i="1"/>
  <c r="I5" i="1"/>
  <c r="O5" i="1"/>
  <c r="O7" i="1" s="1"/>
  <c r="F5" i="1" l="1"/>
  <c r="F7" i="1" s="1"/>
</calcChain>
</file>

<file path=xl/sharedStrings.xml><?xml version="1.0" encoding="utf-8"?>
<sst xmlns="http://schemas.openxmlformats.org/spreadsheetml/2006/main" count="35" uniqueCount="26">
  <si>
    <t xml:space="preserve">
Name</t>
  </si>
  <si>
    <t xml:space="preserve">
Spec.</t>
  </si>
  <si>
    <t xml:space="preserve">
PO</t>
  </si>
  <si>
    <t xml:space="preserve">
Case No.</t>
  </si>
  <si>
    <t xml:space="preserve">
CASE</t>
  </si>
  <si>
    <t xml:space="preserve">
Volume M³</t>
  </si>
  <si>
    <t>Dimensions (mm) and volume (m3) / case</t>
  </si>
  <si>
    <t>Total Net weight
NW
（KG）</t>
  </si>
  <si>
    <t>Total Gross weight
GW
(KG）</t>
  </si>
  <si>
    <t>Net weight
NW/CASE
（KG）</t>
  </si>
  <si>
    <t>Gross weight
GW/CASE
（KG）</t>
  </si>
  <si>
    <r>
      <t xml:space="preserve">
</t>
    </r>
    <r>
      <rPr>
        <b/>
        <sz val="9"/>
        <color theme="1"/>
        <rFont val="宋体"/>
        <family val="2"/>
        <scheme val="minor"/>
      </rPr>
      <t>Quantity</t>
    </r>
  </si>
  <si>
    <r>
      <rPr>
        <b/>
        <sz val="11"/>
        <color theme="1"/>
        <rFont val="宋体"/>
        <family val="2"/>
        <scheme val="minor"/>
      </rPr>
      <t>Total</t>
    </r>
    <r>
      <rPr>
        <sz val="10"/>
        <color theme="1"/>
        <rFont val="宋体"/>
        <family val="3"/>
        <charset val="134"/>
        <scheme val="minor"/>
      </rPr>
      <t>：</t>
    </r>
  </si>
  <si>
    <t>Pieces
/case</t>
  </si>
  <si>
    <t xml:space="preserve">
Bags
/case</t>
  </si>
  <si>
    <t xml:space="preserve">
Bags</t>
  </si>
  <si>
    <t xml:space="preserve">
Pieces
/bag     (*)</t>
  </si>
  <si>
    <t>No</t>
    <phoneticPr fontId="1" type="noConversion"/>
  </si>
  <si>
    <r>
      <rPr>
        <b/>
        <sz val="22"/>
        <color rgb="FFFFC000"/>
        <rFont val="宋体"/>
        <family val="2"/>
        <scheme val="minor"/>
      </rPr>
      <t>PANDROL</t>
    </r>
    <r>
      <rPr>
        <b/>
        <sz val="16"/>
        <color theme="1"/>
        <rFont val="宋体"/>
        <family val="2"/>
        <scheme val="minor"/>
      </rPr>
      <t xml:space="preserve">
PACKING DETAILS
</t>
    </r>
    <phoneticPr fontId="1" type="noConversion"/>
  </si>
  <si>
    <t>CA2600935</t>
    <phoneticPr fontId="1" type="noConversion"/>
  </si>
  <si>
    <t>Coachscrew</t>
  </si>
  <si>
    <t>23*154</t>
    <phoneticPr fontId="16" type="noConversion"/>
  </si>
  <si>
    <t>1200*800*550
0.53</t>
    <phoneticPr fontId="1" type="noConversion"/>
  </si>
  <si>
    <t>1/54-35/54</t>
    <phoneticPr fontId="1" type="noConversion"/>
  </si>
  <si>
    <t>36/54-53/54</t>
    <phoneticPr fontId="1" type="noConversion"/>
  </si>
  <si>
    <t>54/54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</si>
</sst>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$-409]dd\-mmm\-yy;@"/>
  </numFmts>
  <fonts count="18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0"/>
      <color theme="1"/>
      <name val="宋体"/>
      <family val="3"/>
      <charset val="134"/>
      <scheme val="minor"/>
    </font>
    <font>
      <sz val="14"/>
      <color theme="1"/>
      <name val="宋体"/>
      <family val="3"/>
      <charset val="134"/>
      <scheme val="minor"/>
    </font>
    <font>
      <sz val="9"/>
      <color theme="1"/>
      <name val="宋体"/>
      <family val="3"/>
      <charset val="134"/>
      <scheme val="minor"/>
    </font>
    <font>
      <sz val="12"/>
      <color theme="1"/>
      <name val="宋体"/>
      <family val="3"/>
      <charset val="134"/>
      <scheme val="minor"/>
    </font>
    <font>
      <sz val="10"/>
      <color theme="1"/>
      <name val="Arial Unicode MS"/>
      <family val="2"/>
      <charset val="134"/>
    </font>
    <font>
      <b/>
      <sz val="11"/>
      <color theme="1"/>
      <name val="宋体"/>
      <family val="2"/>
      <scheme val="minor"/>
    </font>
    <font>
      <b/>
      <sz val="10"/>
      <color theme="1"/>
      <name val="宋体"/>
      <family val="2"/>
      <scheme val="minor"/>
    </font>
    <font>
      <b/>
      <sz val="9"/>
      <color theme="1"/>
      <name val="宋体"/>
      <family val="2"/>
      <scheme val="minor"/>
    </font>
    <font>
      <sz val="9"/>
      <color theme="1"/>
      <name val="宋体"/>
      <family val="2"/>
      <scheme val="minor"/>
    </font>
    <font>
      <sz val="10"/>
      <color theme="1"/>
      <name val="宋体"/>
      <family val="2"/>
      <scheme val="minor"/>
    </font>
    <font>
      <b/>
      <sz val="16"/>
      <color theme="1"/>
      <name val="宋体"/>
      <family val="2"/>
      <scheme val="minor"/>
    </font>
    <font>
      <b/>
      <sz val="22"/>
      <color rgb="FFFFC000"/>
      <name val="宋体"/>
      <family val="2"/>
      <scheme val="minor"/>
    </font>
    <font>
      <sz val="10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b/>
      <sz val="10"/>
      <color rgb="FFFF0000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>
      <alignment vertical="center"/>
    </xf>
  </cellStyleXfs>
  <cellXfs count="32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center"/>
    </xf>
    <xf numFmtId="0" fontId="2" fillId="0" borderId="1" xfId="0" applyFont="1" applyBorder="1" applyAlignment="1">
      <alignment vertical="center" wrapText="1"/>
    </xf>
    <xf numFmtId="0" fontId="8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15" fillId="0" borderId="2" xfId="0" applyFont="1" applyBorder="1" applyAlignment="1">
      <alignment horizontal="center" vertical="center" wrapText="1"/>
    </xf>
    <xf numFmtId="0" fontId="14" fillId="0" borderId="2" xfId="0" quotePrefix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/>
    </xf>
    <xf numFmtId="176" fontId="3" fillId="0" borderId="0" xfId="0" applyNumberFormat="1" applyFont="1" applyAlignment="1">
      <alignment horizontal="right" vertical="center"/>
    </xf>
    <xf numFmtId="0" fontId="1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4" fillId="0" borderId="2" xfId="0" quotePrefix="1" applyFont="1" applyBorder="1" applyAlignment="1">
      <alignment horizontal="center" vertical="center"/>
    </xf>
    <xf numFmtId="0" fontId="14" fillId="0" borderId="3" xfId="0" quotePrefix="1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15" fillId="0" borderId="2" xfId="0" applyFont="1" applyBorder="1" applyAlignment="1">
      <alignment horizontal="center" vertical="center" wrapText="1"/>
    </xf>
    <xf numFmtId="0" fontId="15" fillId="0" borderId="3" xfId="0" applyFont="1" applyBorder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12" fillId="0" borderId="0" xfId="0" applyFont="1" applyAlignment="1">
      <alignment horizontal="center" vertical="center"/>
    </xf>
    <xf numFmtId="14" fontId="3" fillId="0" borderId="0" xfId="0" applyNumberFormat="1" applyFont="1" applyAlignment="1">
      <alignment horizontal="right" vertical="center"/>
    </xf>
    <xf numFmtId="0" fontId="2" fillId="0" borderId="2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18"/>
  <sheetViews>
    <sheetView tabSelected="1" topLeftCell="A2" workbookViewId="0">
      <selection activeCell="Q5" sqref="Q5:Q6"/>
    </sheetView>
  </sheetViews>
  <sheetFormatPr defaultColWidth="8.75" defaultRowHeight="13.5"/>
  <cols>
    <col min="1" max="1" width="6.625" customWidth="1"/>
    <col min="2" max="2" width="10.375" customWidth="1"/>
    <col min="3" max="3" width="9.375" customWidth="1"/>
    <col min="4" max="4" width="11.375" customWidth="1"/>
    <col min="5" max="5" width="11.125" customWidth="1"/>
    <col min="6" max="6" width="7.75" customWidth="1"/>
    <col min="7" max="7" width="5.75" customWidth="1"/>
    <col min="8" max="8" width="6.625" customWidth="1"/>
    <col min="9" max="9" width="6.875" customWidth="1"/>
    <col min="10" max="10" width="6.25" customWidth="1"/>
    <col min="11" max="11" width="5.375" customWidth="1"/>
    <col min="12" max="12" width="8.125" customWidth="1"/>
    <col min="13" max="13" width="8.375" customWidth="1"/>
    <col min="14" max="14" width="13.5" customWidth="1"/>
  </cols>
  <sheetData>
    <row r="1" spans="1:17" ht="80.45" customHeight="1">
      <c r="A1" s="26" t="s">
        <v>18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</row>
    <row r="2" spans="1:17" ht="68.45" customHeight="1">
      <c r="A2" s="7" t="s">
        <v>17</v>
      </c>
      <c r="B2" s="7" t="s">
        <v>0</v>
      </c>
      <c r="C2" s="7" t="s">
        <v>1</v>
      </c>
      <c r="D2" s="8" t="s">
        <v>2</v>
      </c>
      <c r="E2" s="8" t="s">
        <v>3</v>
      </c>
      <c r="F2" s="9" t="s">
        <v>11</v>
      </c>
      <c r="G2" s="8" t="s">
        <v>16</v>
      </c>
      <c r="H2" s="8" t="s">
        <v>15</v>
      </c>
      <c r="I2" s="8" t="s">
        <v>14</v>
      </c>
      <c r="J2" s="8" t="s">
        <v>13</v>
      </c>
      <c r="K2" s="8" t="s">
        <v>4</v>
      </c>
      <c r="L2" s="8" t="s">
        <v>9</v>
      </c>
      <c r="M2" s="8" t="s">
        <v>10</v>
      </c>
      <c r="N2" s="8" t="s">
        <v>6</v>
      </c>
      <c r="O2" s="7" t="s">
        <v>7</v>
      </c>
      <c r="P2" s="7" t="s">
        <v>8</v>
      </c>
      <c r="Q2" s="7" t="s">
        <v>5</v>
      </c>
    </row>
    <row r="3" spans="1:17" ht="52.5" customHeight="1">
      <c r="A3" s="3">
        <v>1</v>
      </c>
      <c r="B3" s="14" t="s">
        <v>20</v>
      </c>
      <c r="C3" s="15" t="s">
        <v>21</v>
      </c>
      <c r="D3" s="15" t="s">
        <v>19</v>
      </c>
      <c r="E3" s="13" t="s">
        <v>23</v>
      </c>
      <c r="F3" s="11">
        <f>J3*K3</f>
        <v>49000</v>
      </c>
      <c r="G3" s="3">
        <v>40</v>
      </c>
      <c r="H3" s="3">
        <v>35</v>
      </c>
      <c r="I3" s="11">
        <f>H3*K3</f>
        <v>1225</v>
      </c>
      <c r="J3" s="11">
        <f>G3*H3</f>
        <v>1400</v>
      </c>
      <c r="K3" s="11">
        <v>35</v>
      </c>
      <c r="L3" s="11">
        <v>655</v>
      </c>
      <c r="M3" s="11">
        <f>L3+42</f>
        <v>697</v>
      </c>
      <c r="N3" s="12" t="s">
        <v>22</v>
      </c>
      <c r="O3" s="11">
        <f>L3*K3</f>
        <v>22925</v>
      </c>
      <c r="P3" s="11">
        <f>M3*K3</f>
        <v>24395</v>
      </c>
      <c r="Q3" s="11">
        <f>0.53*K3</f>
        <v>18.55</v>
      </c>
    </row>
    <row r="4" spans="1:17" ht="52.5" customHeight="1">
      <c r="A4" s="3">
        <v>2</v>
      </c>
      <c r="B4" s="14" t="s">
        <v>20</v>
      </c>
      <c r="C4" s="15" t="s">
        <v>21</v>
      </c>
      <c r="D4" s="29" t="s">
        <v>19</v>
      </c>
      <c r="E4" s="13" t="s">
        <v>24</v>
      </c>
      <c r="F4" s="11">
        <f>J4*K4</f>
        <v>25200</v>
      </c>
      <c r="G4" s="3">
        <v>40</v>
      </c>
      <c r="H4" s="3">
        <v>35</v>
      </c>
      <c r="I4" s="11">
        <f>H4*K4</f>
        <v>630</v>
      </c>
      <c r="J4" s="11">
        <f>G4*H4</f>
        <v>1400</v>
      </c>
      <c r="K4" s="11">
        <v>18</v>
      </c>
      <c r="L4" s="11">
        <v>655</v>
      </c>
      <c r="M4" s="11">
        <f>L4+42</f>
        <v>697</v>
      </c>
      <c r="N4" s="12" t="s">
        <v>22</v>
      </c>
      <c r="O4" s="11">
        <f>L4*K4</f>
        <v>11790</v>
      </c>
      <c r="P4" s="11">
        <f>M4*K4</f>
        <v>12546</v>
      </c>
      <c r="Q4" s="11">
        <f>0.53*K4</f>
        <v>9.5400000000000009</v>
      </c>
    </row>
    <row r="5" spans="1:17" ht="52.5" customHeight="1">
      <c r="A5" s="19">
        <v>3</v>
      </c>
      <c r="B5" s="14" t="s">
        <v>20</v>
      </c>
      <c r="C5" s="15" t="s">
        <v>21</v>
      </c>
      <c r="D5" s="30"/>
      <c r="E5" s="20" t="s">
        <v>25</v>
      </c>
      <c r="F5" s="22">
        <f>J5+J6</f>
        <v>1386</v>
      </c>
      <c r="G5" s="3">
        <v>40</v>
      </c>
      <c r="H5" s="3">
        <v>34</v>
      </c>
      <c r="I5" s="22">
        <f>H5+H6</f>
        <v>35</v>
      </c>
      <c r="J5" s="11">
        <f>G5*H5</f>
        <v>1360</v>
      </c>
      <c r="K5" s="22">
        <v>1</v>
      </c>
      <c r="L5" s="22">
        <v>648</v>
      </c>
      <c r="M5" s="22">
        <f>L5+42</f>
        <v>690</v>
      </c>
      <c r="N5" s="24" t="s">
        <v>22</v>
      </c>
      <c r="O5" s="22">
        <f>L5*K5</f>
        <v>648</v>
      </c>
      <c r="P5" s="22">
        <f>M5*K5</f>
        <v>690</v>
      </c>
      <c r="Q5" s="22">
        <f>0.53*K5</f>
        <v>0.53</v>
      </c>
    </row>
    <row r="6" spans="1:17" ht="52.5" customHeight="1">
      <c r="A6" s="19"/>
      <c r="B6" s="14" t="s">
        <v>20</v>
      </c>
      <c r="C6" s="15" t="s">
        <v>21</v>
      </c>
      <c r="D6" s="31"/>
      <c r="E6" s="21"/>
      <c r="F6" s="23"/>
      <c r="G6" s="3">
        <v>26</v>
      </c>
      <c r="H6" s="3">
        <v>1</v>
      </c>
      <c r="I6" s="23"/>
      <c r="J6" s="11">
        <f>G6*H6</f>
        <v>26</v>
      </c>
      <c r="K6" s="23"/>
      <c r="L6" s="23"/>
      <c r="M6" s="23"/>
      <c r="N6" s="25"/>
      <c r="O6" s="23"/>
      <c r="P6" s="23"/>
      <c r="Q6" s="23"/>
    </row>
    <row r="7" spans="1:17" ht="35.25" customHeight="1">
      <c r="A7" s="18" t="s">
        <v>12</v>
      </c>
      <c r="B7" s="19"/>
      <c r="C7" s="19"/>
      <c r="D7" s="6"/>
      <c r="E7" s="3"/>
      <c r="F7" s="16">
        <f>SUM(F3:F6)</f>
        <v>75586</v>
      </c>
      <c r="G7" s="3"/>
      <c r="H7" s="3">
        <f>SUM(H3:H6)</f>
        <v>105</v>
      </c>
      <c r="I7" s="3"/>
      <c r="J7" s="10"/>
      <c r="K7" s="3">
        <f>SUM(K3:K6)</f>
        <v>54</v>
      </c>
      <c r="L7" s="10"/>
      <c r="M7" s="10"/>
      <c r="N7" s="10"/>
      <c r="O7" s="3">
        <f t="shared" ref="O7:Q7" si="0">SUM(O3:O6)</f>
        <v>35363</v>
      </c>
      <c r="P7" s="3">
        <f t="shared" si="0"/>
        <v>37631</v>
      </c>
      <c r="Q7" s="3">
        <f t="shared" si="0"/>
        <v>28.620000000000005</v>
      </c>
    </row>
    <row r="8" spans="1:17" ht="14.45" customHeight="1">
      <c r="A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</row>
    <row r="9" spans="1:17" ht="21" customHeight="1">
      <c r="A9" s="2"/>
      <c r="B9" s="4"/>
      <c r="C9" s="5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</row>
    <row r="10" spans="1:17" ht="18.75">
      <c r="A10" s="2"/>
      <c r="B10" s="2"/>
      <c r="C10" s="5"/>
      <c r="D10" s="2"/>
      <c r="E10" s="2"/>
      <c r="F10" s="2"/>
      <c r="G10" s="2"/>
      <c r="H10" s="2"/>
      <c r="I10" s="2"/>
      <c r="J10" s="2"/>
      <c r="K10" s="2"/>
      <c r="L10" s="2"/>
      <c r="M10" s="2"/>
      <c r="N10" s="28">
        <v>46174</v>
      </c>
      <c r="O10" s="28"/>
      <c r="P10" s="28"/>
      <c r="Q10" s="28"/>
    </row>
    <row r="11" spans="1:17" ht="18.75">
      <c r="A11" s="2"/>
      <c r="B11" s="2"/>
      <c r="C11" s="5"/>
      <c r="D11" s="2"/>
      <c r="E11" s="2"/>
      <c r="F11" s="2"/>
      <c r="G11" s="2"/>
      <c r="H11" s="2"/>
      <c r="I11" s="2"/>
      <c r="J11" s="2"/>
      <c r="K11" s="2"/>
      <c r="L11" s="2"/>
      <c r="M11" s="2"/>
      <c r="N11" s="17"/>
      <c r="O11" s="17"/>
      <c r="P11" s="17"/>
      <c r="Q11" s="17"/>
    </row>
    <row r="12" spans="1:17">
      <c r="A12" s="1"/>
      <c r="B12" s="1"/>
      <c r="C12" s="5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</row>
    <row r="13" spans="1:17">
      <c r="A13" s="1"/>
      <c r="B13" s="1"/>
      <c r="C13" s="5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</row>
    <row r="14" spans="1:17">
      <c r="A14" s="1"/>
      <c r="B14" s="1"/>
      <c r="C14" s="5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</row>
    <row r="15" spans="1:17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</row>
    <row r="16" spans="1:17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</row>
    <row r="17" spans="1:17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</row>
    <row r="18" spans="1:17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</row>
  </sheetData>
  <mergeCells count="16">
    <mergeCell ref="A1:Q1"/>
    <mergeCell ref="N10:Q10"/>
    <mergeCell ref="D4:D6"/>
    <mergeCell ref="N11:Q11"/>
    <mergeCell ref="A7:C7"/>
    <mergeCell ref="A5:A6"/>
    <mergeCell ref="E5:E6"/>
    <mergeCell ref="F5:F6"/>
    <mergeCell ref="K5:K6"/>
    <mergeCell ref="L5:L6"/>
    <mergeCell ref="M5:M6"/>
    <mergeCell ref="N5:N6"/>
    <mergeCell ref="O5:O6"/>
    <mergeCell ref="P5:P6"/>
    <mergeCell ref="Q5:Q6"/>
    <mergeCell ref="I5:I6"/>
  </mergeCells>
  <phoneticPr fontId="1" type="noConversion"/>
  <pageMargins left="0.51181102362204722" right="0.51181102362204722" top="0.19685039370078741" bottom="0.74803149606299213" header="0.31496062992125984" footer="0.31496062992125984"/>
  <pageSetup paperSize="9" scale="96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101FF72671DA647AA020B76642CAC9C" ma:contentTypeVersion="13" ma:contentTypeDescription="Create a new document." ma:contentTypeScope="" ma:versionID="a4fd34fbe28c8dd547947a8496e0f73c">
  <xsd:schema xmlns:xsd="http://www.w3.org/2001/XMLSchema" xmlns:xs="http://www.w3.org/2001/XMLSchema" xmlns:p="http://schemas.microsoft.com/office/2006/metadata/properties" xmlns:ns2="2e6e8895-a1a3-471c-8d53-a32df94e8e84" xmlns:ns3="78763921-75a2-4c66-8344-28a70ab3a1e1" targetNamespace="http://schemas.microsoft.com/office/2006/metadata/properties" ma:root="true" ma:fieldsID="939ad6d0b49507b7e5b97f0ca8411715" ns2:_="" ns3:_="">
    <xsd:import namespace="2e6e8895-a1a3-471c-8d53-a32df94e8e84"/>
    <xsd:import namespace="78763921-75a2-4c66-8344-28a70ab3a1e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OCR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e6e8895-a1a3-471c-8d53-a32df94e8e8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8763921-75a2-4c66-8344-28a70ab3a1e1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FD0F0C3-FD85-4F4A-B3C7-C631F71BA556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938A6DA2-9912-4902-93FB-649328AF6AD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e6e8895-a1a3-471c-8d53-a32df94e8e84"/>
    <ds:schemaRef ds:uri="78763921-75a2-4c66-8344-28a70ab3a1e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2532537-10CC-40F5-A17B-2B64C178E5CF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2006-09-13T11:21:51Z</dcterms:created>
  <dcterms:modified xsi:type="dcterms:W3CDTF">2026-06-05T07:24:01Z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0x0101002101FF72671DA647AA020B76642CAC9C</vt:lpwstr>
  </property>
</Properties>
</file>