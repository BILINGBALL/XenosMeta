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275ED853-8F0A-45BE-997B-216E5DF52A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P5" i="1" s="1"/>
  <c r="Q5" i="1"/>
  <c r="K7" i="1"/>
  <c r="H7" i="1"/>
  <c r="J6" i="1"/>
  <c r="O5" i="1"/>
  <c r="J5" i="1"/>
  <c r="I5" i="1"/>
  <c r="Q4" i="1"/>
  <c r="O4" i="1"/>
  <c r="M4" i="1"/>
  <c r="P4" i="1" s="1"/>
  <c r="J4" i="1"/>
  <c r="F4" i="1" s="1"/>
  <c r="I4" i="1"/>
  <c r="Q3" i="1"/>
  <c r="O3" i="1"/>
  <c r="M3" i="1"/>
  <c r="P3" i="1" s="1"/>
  <c r="J3" i="1"/>
  <c r="F3" i="1" s="1"/>
  <c r="I3" i="1"/>
  <c r="Q7" i="1" l="1"/>
  <c r="F5" i="1"/>
  <c r="O7" i="1"/>
  <c r="P7" i="1"/>
  <c r="F7" i="1"/>
</calcChain>
</file>

<file path=xl/sharedStrings.xml><?xml version="1.0" encoding="utf-8"?>
<sst xmlns="http://schemas.openxmlformats.org/spreadsheetml/2006/main" count="36" uniqueCount="28">
  <si>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</si>
  <si>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</si>
  <si>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</si>
  <si>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</si>
  <si>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</si>
  <si>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</si>
  <si>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</si>
  <si>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</si>
  <si>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</si>
  <si>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</si>
  <si>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</si>
  <si>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</si>
  <si>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</si>
  <si>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</si>
  <si>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</si>
  <si>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</si>
  <si>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</si>
  <si>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1200*800*350
0.34</t>
    <phoneticPr fontId="1" type="noConversion"/>
  </si>
  <si>
    <t>No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</si>
  <si>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</si>
  <si>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CA2600935</t>
    <phoneticPr fontId="1" type="noConversion"/>
  </si>
  <si>
    <t>Coachscrew</t>
  </si>
  <si>
    <t>23*115</t>
    <phoneticPr fontId="16" type="noConversion"/>
  </si>
  <si>
    <t>23*154</t>
    <phoneticPr fontId="16" type="noConversion"/>
  </si>
  <si>
    <t>1200*800*550
0.53</t>
    <phoneticPr fontId="1" type="noConversion"/>
  </si>
  <si>
    <t>1/55-35/55</t>
    <phoneticPr fontId="1" type="noConversion"/>
  </si>
  <si>
    <t>36/55-54/55</t>
    <phoneticPr fontId="1" type="noConversion"/>
  </si>
  <si>
    <t>55/55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</si>
</sst>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F13" sqref="F13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68.45" customHeight="1">
      <c r="A2" s="7" t="s">
        <v>18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3">
        <v>1</v>
      </c>
      <c r="B3" s="14" t="s">
        <v>21</v>
      </c>
      <c r="C3" s="15" t="s">
        <v>23</v>
      </c>
      <c r="D3" s="15" t="s">
        <v>20</v>
      </c>
      <c r="E3" s="13" t="s">
        <v>25</v>
      </c>
      <c r="F3" s="11">
        <f>J3*K3</f>
        <v>49000</v>
      </c>
      <c r="G3" s="3">
        <v>40</v>
      </c>
      <c r="H3" s="3">
        <v>35</v>
      </c>
      <c r="I3" s="11">
        <f>H3*K3</f>
        <v>1225</v>
      </c>
      <c r="J3" s="11">
        <f>G3*H3</f>
        <v>1400</v>
      </c>
      <c r="K3" s="11">
        <v>35</v>
      </c>
      <c r="L3" s="11">
        <v>655</v>
      </c>
      <c r="M3" s="11">
        <f>L3+42</f>
        <v>697</v>
      </c>
      <c r="N3" s="12" t="s">
        <v>24</v>
      </c>
      <c r="O3" s="11">
        <f>L3*K3</f>
        <v>22925</v>
      </c>
      <c r="P3" s="11">
        <f>M3*K3</f>
        <v>24395</v>
      </c>
      <c r="Q3" s="11">
        <f>0.53*K3</f>
        <v>18.55</v>
      </c>
    </row>
    <row r="4" spans="1:17" ht="52.5" customHeight="1">
      <c r="A4" s="3">
        <v>2</v>
      </c>
      <c r="B4" s="14" t="s">
        <v>21</v>
      </c>
      <c r="C4" s="15" t="s">
        <v>23</v>
      </c>
      <c r="D4" s="15" t="s">
        <v>20</v>
      </c>
      <c r="E4" s="13" t="s">
        <v>26</v>
      </c>
      <c r="F4" s="11">
        <f>J4*K4</f>
        <v>26600</v>
      </c>
      <c r="G4" s="3">
        <v>40</v>
      </c>
      <c r="H4" s="3">
        <v>35</v>
      </c>
      <c r="I4" s="11">
        <f>H4*K4</f>
        <v>665</v>
      </c>
      <c r="J4" s="11">
        <f>G4*H4</f>
        <v>1400</v>
      </c>
      <c r="K4" s="11">
        <v>19</v>
      </c>
      <c r="L4" s="11">
        <v>655</v>
      </c>
      <c r="M4" s="11">
        <f>L4+42</f>
        <v>697</v>
      </c>
      <c r="N4" s="12" t="s">
        <v>24</v>
      </c>
      <c r="O4" s="11">
        <f>L4*K4</f>
        <v>12445</v>
      </c>
      <c r="P4" s="11">
        <f>M4*K4</f>
        <v>13243</v>
      </c>
      <c r="Q4" s="11">
        <f>0.53*K4</f>
        <v>10.07</v>
      </c>
    </row>
    <row r="5" spans="1:17" ht="52.5" customHeight="1">
      <c r="A5" s="24">
        <v>3</v>
      </c>
      <c r="B5" s="14" t="s">
        <v>21</v>
      </c>
      <c r="C5" s="15" t="s">
        <v>23</v>
      </c>
      <c r="D5" s="25" t="s">
        <v>20</v>
      </c>
      <c r="E5" s="26" t="s">
        <v>27</v>
      </c>
      <c r="F5" s="17">
        <f>J5+J6</f>
        <v>378</v>
      </c>
      <c r="G5" s="3">
        <v>40</v>
      </c>
      <c r="H5" s="3">
        <v>9</v>
      </c>
      <c r="I5" s="17">
        <f>H5+H6</f>
        <v>10</v>
      </c>
      <c r="J5" s="11">
        <f>G5*H5</f>
        <v>360</v>
      </c>
      <c r="K5" s="17">
        <v>1</v>
      </c>
      <c r="L5" s="17">
        <v>177</v>
      </c>
      <c r="M5" s="17">
        <f>L5+30</f>
        <v>207</v>
      </c>
      <c r="N5" s="28" t="s">
        <v>17</v>
      </c>
      <c r="O5" s="17">
        <f>L5*K5</f>
        <v>177</v>
      </c>
      <c r="P5" s="17">
        <f>M5*K5</f>
        <v>207</v>
      </c>
      <c r="Q5" s="17">
        <f>0.34*K5</f>
        <v>0.34</v>
      </c>
    </row>
    <row r="6" spans="1:17" ht="52.5" customHeight="1">
      <c r="A6" s="24"/>
      <c r="B6" s="14" t="s">
        <v>21</v>
      </c>
      <c r="C6" s="15" t="s">
        <v>22</v>
      </c>
      <c r="D6" s="25"/>
      <c r="E6" s="27"/>
      <c r="F6" s="18"/>
      <c r="G6" s="3">
        <v>18</v>
      </c>
      <c r="H6" s="3">
        <v>1</v>
      </c>
      <c r="I6" s="18"/>
      <c r="J6" s="11">
        <f>G6*H6</f>
        <v>18</v>
      </c>
      <c r="K6" s="18"/>
      <c r="L6" s="18"/>
      <c r="M6" s="18"/>
      <c r="N6" s="29"/>
      <c r="O6" s="18"/>
      <c r="P6" s="18"/>
      <c r="Q6" s="18"/>
    </row>
    <row r="7" spans="1:17" ht="35.25" customHeight="1">
      <c r="A7" s="23" t="s">
        <v>12</v>
      </c>
      <c r="B7" s="24"/>
      <c r="C7" s="24"/>
      <c r="D7" s="6"/>
      <c r="E7" s="3"/>
      <c r="F7" s="16">
        <f>SUM(F3:F6)</f>
        <v>75978</v>
      </c>
      <c r="G7" s="3"/>
      <c r="H7" s="3">
        <f>SUM(H3:H6)</f>
        <v>80</v>
      </c>
      <c r="I7" s="3"/>
      <c r="J7" s="10"/>
      <c r="K7" s="3">
        <f>SUM(K3:K6)</f>
        <v>55</v>
      </c>
      <c r="L7" s="10"/>
      <c r="M7" s="10"/>
      <c r="N7" s="10"/>
      <c r="O7" s="3">
        <f t="shared" ref="O7" si="0">SUM(O3:O6)</f>
        <v>35547</v>
      </c>
      <c r="P7" s="3">
        <f t="shared" ref="P7" si="1">SUM(P3:P6)</f>
        <v>37845</v>
      </c>
      <c r="Q7" s="3">
        <f t="shared" ref="Q7" si="2">SUM(Q3:Q6)</f>
        <v>28.96</v>
      </c>
    </row>
    <row r="8" spans="1:17" ht="21" customHeight="1">
      <c r="A8" s="2"/>
      <c r="B8" s="4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8.75">
      <c r="A9" s="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1">
        <v>46174</v>
      </c>
      <c r="O9" s="21"/>
      <c r="P9" s="21"/>
      <c r="Q9" s="21"/>
    </row>
    <row r="10" spans="1:17" ht="18.75">
      <c r="A10" s="2"/>
      <c r="B10" s="2"/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2"/>
      <c r="O10" s="22"/>
      <c r="P10" s="22"/>
      <c r="Q10" s="22"/>
    </row>
    <row r="11" spans="1:17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mergeCells count="16">
    <mergeCell ref="N10:Q10"/>
    <mergeCell ref="A7:C7"/>
    <mergeCell ref="K5:K6"/>
    <mergeCell ref="L5:L6"/>
    <mergeCell ref="A1:Q1"/>
    <mergeCell ref="N9:Q9"/>
    <mergeCell ref="P5:P6"/>
    <mergeCell ref="Q5:Q6"/>
    <mergeCell ref="M5:M6"/>
    <mergeCell ref="N5:N6"/>
    <mergeCell ref="O5:O6"/>
    <mergeCell ref="A5:A6"/>
    <mergeCell ref="D5:D6"/>
    <mergeCell ref="E5:E6"/>
    <mergeCell ref="F5:F6"/>
    <mergeCell ref="I5:I6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2026-06-01T08:52:21Z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