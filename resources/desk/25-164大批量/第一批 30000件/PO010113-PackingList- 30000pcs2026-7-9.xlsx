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lu\Desktop\25-164大批量\"/>
    </mc:Choice>
  </mc:AlternateContent>
  <xr:revisionPtr revIDLastSave="0" documentId="13_ncr:1_{911A56BA-EAF4-4B05-830A-21BFC99E680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Q3" i="1"/>
  <c r="Q4" i="1"/>
  <c r="M3" i="1"/>
  <c r="P3" i="1" s="1"/>
  <c r="M4" i="1"/>
  <c r="P4" i="1" s="1"/>
  <c r="J3" i="1"/>
  <c r="F3" i="1" s="1"/>
  <c r="F6" i="1" s="1"/>
  <c r="O3" i="1"/>
  <c r="H3" i="1"/>
  <c r="H6" i="1" s="1"/>
  <c r="O4" i="1"/>
  <c r="H4" i="1"/>
  <c r="O6" i="1" l="1"/>
  <c r="Q6" i="1"/>
  <c r="P6" i="1"/>
</calcChain>
</file>

<file path=xl/sharedStrings.xml><?xml version="1.0" encoding="utf-8"?>
<sst xmlns="http://schemas.openxmlformats.org/spreadsheetml/2006/main" count="29" uniqueCount="25">
  <si>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</si>
  <si>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No.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</si>
  <si>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</si>
  <si>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</si>
  <si>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</si>
  <si>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</si>
  <si>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</si>
  <si>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</si>
  <si>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</si>
  <si>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</si>
  <si>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</si>
  <si>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</si>
  <si>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</si>
  <si>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</si>
  <si>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</si>
  <si>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</si>
  <si>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</si>
  <si>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</si>
  <si>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</si>
  <si>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</si>
  <si>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25*164</t>
    <phoneticPr fontId="13" type="noConversion"/>
  </si>
  <si>
    <t>1200*800*550
0.53</t>
    <phoneticPr fontId="13" type="noConversion"/>
  </si>
  <si>
    <t>1-26</t>
    <phoneticPr fontId="13" type="noConversion"/>
  </si>
  <si>
    <t>27</t>
    <phoneticPr fontId="13" type="noConversion"/>
  </si>
  <si>
    <t>PO010113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</si>
</sst>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5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4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quotePrefix="1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176" fontId="9" fillId="0" borderId="0" xfId="0" applyNumberFormat="1" applyFont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2" xfId="0" quotePrefix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7"/>
  <sheetViews>
    <sheetView tabSelected="1" topLeftCell="A2" workbookViewId="0">
      <selection activeCell="N10" sqref="N10:Q10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35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1:17" ht="66.9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39.950000000000003" customHeight="1">
      <c r="A3" s="5">
        <v>1</v>
      </c>
      <c r="B3" s="14" t="s">
        <v>18</v>
      </c>
      <c r="C3" s="15" t="s">
        <v>20</v>
      </c>
      <c r="D3" s="18" t="s">
        <v>24</v>
      </c>
      <c r="E3" s="19" t="s">
        <v>22</v>
      </c>
      <c r="F3" s="5">
        <f>J3*K3</f>
        <v>29120</v>
      </c>
      <c r="G3" s="4">
        <v>32</v>
      </c>
      <c r="H3" s="4">
        <f>K3*I3</f>
        <v>910</v>
      </c>
      <c r="I3" s="4">
        <v>35</v>
      </c>
      <c r="J3" s="5">
        <f>G3*I3</f>
        <v>1120</v>
      </c>
      <c r="K3" s="5">
        <v>26</v>
      </c>
      <c r="L3" s="5">
        <v>717</v>
      </c>
      <c r="M3" s="5">
        <f>L3+42</f>
        <v>759</v>
      </c>
      <c r="N3" s="17" t="s">
        <v>21</v>
      </c>
      <c r="O3" s="16">
        <f>L3*K3</f>
        <v>18642</v>
      </c>
      <c r="P3" s="16">
        <f>M3*K3</f>
        <v>19734</v>
      </c>
      <c r="Q3" s="16">
        <f>0.53*K3</f>
        <v>13.780000000000001</v>
      </c>
    </row>
    <row r="4" spans="1:17" ht="39.950000000000003" customHeight="1">
      <c r="A4" s="22">
        <v>2</v>
      </c>
      <c r="B4" s="24" t="s">
        <v>18</v>
      </c>
      <c r="C4" s="26" t="s">
        <v>20</v>
      </c>
      <c r="D4" s="28" t="s">
        <v>24</v>
      </c>
      <c r="E4" s="33" t="s">
        <v>23</v>
      </c>
      <c r="F4" s="22">
        <v>880</v>
      </c>
      <c r="G4" s="4">
        <v>32</v>
      </c>
      <c r="H4" s="4">
        <f>K4*I4</f>
        <v>27</v>
      </c>
      <c r="I4" s="4">
        <v>27</v>
      </c>
      <c r="J4" s="22">
        <v>880</v>
      </c>
      <c r="K4" s="22">
        <v>1</v>
      </c>
      <c r="L4" s="22">
        <v>563</v>
      </c>
      <c r="M4" s="22">
        <f>L4+42</f>
        <v>605</v>
      </c>
      <c r="N4" s="29" t="s">
        <v>21</v>
      </c>
      <c r="O4" s="31">
        <f>L4*K4</f>
        <v>563</v>
      </c>
      <c r="P4" s="31">
        <f>M4*K4</f>
        <v>605</v>
      </c>
      <c r="Q4" s="31">
        <f>0.53*K4</f>
        <v>0.53</v>
      </c>
    </row>
    <row r="5" spans="1:17" ht="39.950000000000003" customHeight="1">
      <c r="A5" s="23"/>
      <c r="B5" s="25"/>
      <c r="C5" s="27"/>
      <c r="D5" s="27"/>
      <c r="E5" s="34"/>
      <c r="F5" s="23"/>
      <c r="G5" s="4">
        <v>16</v>
      </c>
      <c r="H5" s="4">
        <v>1</v>
      </c>
      <c r="I5" s="4">
        <v>1</v>
      </c>
      <c r="J5" s="23"/>
      <c r="K5" s="23"/>
      <c r="L5" s="23"/>
      <c r="M5" s="23"/>
      <c r="N5" s="30"/>
      <c r="O5" s="32"/>
      <c r="P5" s="32"/>
      <c r="Q5" s="32"/>
    </row>
    <row r="6" spans="1:17" ht="35.25" customHeight="1">
      <c r="A6" s="37" t="s">
        <v>19</v>
      </c>
      <c r="B6" s="37"/>
      <c r="C6" s="37"/>
      <c r="D6" s="6"/>
      <c r="E6" s="4"/>
      <c r="F6" s="4">
        <f>SUM(F3:F5)</f>
        <v>30000</v>
      </c>
      <c r="G6" s="4"/>
      <c r="H6" s="4">
        <f>SUM(H3:H5)</f>
        <v>938</v>
      </c>
      <c r="I6" s="4"/>
      <c r="J6" s="4"/>
      <c r="K6" s="4">
        <f>SUM(K3:K5)</f>
        <v>27</v>
      </c>
      <c r="L6" s="4"/>
      <c r="M6" s="4"/>
      <c r="N6" s="12"/>
      <c r="O6" s="4">
        <f t="shared" ref="O6:Q6" si="0">SUM(O3:O5)</f>
        <v>19205</v>
      </c>
      <c r="P6" s="4">
        <f t="shared" si="0"/>
        <v>20339</v>
      </c>
      <c r="Q6" s="4">
        <f t="shared" si="0"/>
        <v>14.31</v>
      </c>
    </row>
    <row r="7" spans="1:17" ht="21" customHeight="1">
      <c r="A7" s="7"/>
      <c r="B7" s="8"/>
      <c r="C7" s="13"/>
      <c r="N7" s="7"/>
      <c r="O7" s="7"/>
      <c r="P7" s="7"/>
      <c r="Q7" s="7"/>
    </row>
    <row r="8" spans="1:17" ht="21" customHeight="1">
      <c r="A8" s="7"/>
      <c r="B8" s="9"/>
      <c r="C8" s="10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ht="18.75">
      <c r="A9" s="7"/>
      <c r="B9" s="7"/>
      <c r="C9" s="10"/>
      <c r="D9" s="7"/>
      <c r="E9" s="7"/>
      <c r="F9" s="7"/>
      <c r="G9" s="7"/>
      <c r="H9" s="7"/>
      <c r="I9" s="7"/>
      <c r="J9" s="7"/>
      <c r="K9" s="7"/>
      <c r="L9" s="7"/>
      <c r="M9" s="7"/>
      <c r="N9" s="20">
        <v>46212</v>
      </c>
      <c r="O9" s="20"/>
      <c r="P9" s="20"/>
      <c r="Q9" s="20"/>
    </row>
    <row r="10" spans="1:17" ht="18.75">
      <c r="A10" s="7"/>
      <c r="B10" s="7"/>
      <c r="C10" s="10"/>
      <c r="D10" s="7"/>
      <c r="E10" s="7"/>
      <c r="F10" s="7"/>
      <c r="G10" s="7"/>
      <c r="H10" s="7"/>
      <c r="I10" s="7"/>
      <c r="J10" s="7"/>
      <c r="K10" s="7"/>
      <c r="L10" s="7"/>
      <c r="M10" s="7"/>
      <c r="N10" s="21"/>
      <c r="O10" s="21"/>
      <c r="P10" s="21"/>
      <c r="Q10" s="21"/>
    </row>
    <row r="11" spans="1:17">
      <c r="A11" s="11"/>
      <c r="B11" s="11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1:17">
      <c r="A12" s="11"/>
      <c r="B12" s="11"/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1:17">
      <c r="A13" s="11"/>
      <c r="B13" s="11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spans="1:17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spans="1:17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spans="1:17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spans="1: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</sheetData>
  <mergeCells count="18">
    <mergeCell ref="A1:Q1"/>
    <mergeCell ref="A6:C6"/>
    <mergeCell ref="N9:Q9"/>
    <mergeCell ref="N10:Q10"/>
    <mergeCell ref="A4:A5"/>
    <mergeCell ref="B4:B5"/>
    <mergeCell ref="C4:C5"/>
    <mergeCell ref="D4:D5"/>
    <mergeCell ref="L4:L5"/>
    <mergeCell ref="M4:M5"/>
    <mergeCell ref="N4:N5"/>
    <mergeCell ref="O4:O5"/>
    <mergeCell ref="P4:P5"/>
    <mergeCell ref="Q4:Q5"/>
    <mergeCell ref="K4:K5"/>
    <mergeCell ref="F4:F5"/>
    <mergeCell ref="J4:J5"/>
    <mergeCell ref="E4:E5"/>
  </mergeCells>
  <phoneticPr fontId="13" type="noConversion"/>
  <pageMargins left="0.511811023622047" right="0.511811023622047" top="0.196850393700787" bottom="0.74803149606299202" header="0.31496062992126" footer="0.31496062992126"/>
  <pageSetup paperSize="9" scale="9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532537-10CC-40F5-A17B-2B64C178E5CF}">
  <ds:schemaRefs/>
</ds:datastoreItem>
</file>

<file path=customXml/itemProps2.xml><?xml version="1.0" encoding="utf-8"?>
<ds:datastoreItem xmlns:ds="http://schemas.openxmlformats.org/officeDocument/2006/customXml" ds:itemID="{1FD0F0C3-FD85-4F4A-B3C7-C631F71BA556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2026-07-09T00:52:13Z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2B455B5BDD5842FCB06B47B10219E44B_13</vt:lpwstr>
  </property>
  <property fmtid="{D5CDD505-2E9C-101B-9397-08002B2CF9AE}" pid="4" name="KSOProductBuildVer">
    <vt:lpwstr>2052-12.1.0.18608</vt:lpwstr>
  </property>
</Properties>
</file>