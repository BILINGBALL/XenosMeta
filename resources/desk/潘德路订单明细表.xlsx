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165BFD8-408C-4D22-B51A-9A3BBE7321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4" sheetId="5" r:id="rId2"/>
    <sheet name="Sheet3" sheetId="3" r:id="rId3"/>
    <sheet name="Sheet2" sheetId="4" r:id="rId4"/>
  </sheets>
  <definedNames>
    <definedName name="_xlnm._FilterDatabase" localSheetId="0" hidden="1">Sheet1!$A$2:$Q$249</definedName>
    <definedName name="_xlnm._FilterDatabase" localSheetId="3" hidden="1">Sheet2!$A$2:$P$11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9" i="1" l="1"/>
  <c r="H208" i="1"/>
  <c r="H198" i="1" l="1"/>
  <c r="H12" i="5"/>
  <c r="P11" i="4"/>
  <c r="P9" i="4"/>
  <c r="P8" i="4"/>
  <c r="P7" i="4"/>
  <c r="P6" i="4"/>
  <c r="P5" i="4"/>
  <c r="P4" i="4"/>
  <c r="P3" i="4"/>
  <c r="R26" i="3"/>
  <c r="R25" i="3"/>
  <c r="J21" i="3"/>
  <c r="R20" i="3"/>
  <c r="J20" i="3"/>
  <c r="R19" i="3"/>
  <c r="J19" i="3"/>
  <c r="R18" i="3"/>
  <c r="J18" i="3"/>
  <c r="R17" i="3"/>
  <c r="J17" i="3"/>
  <c r="R16" i="3"/>
  <c r="J16" i="3"/>
  <c r="R15" i="3"/>
  <c r="J15" i="3"/>
  <c r="R14" i="3"/>
  <c r="J14" i="3"/>
  <c r="R12" i="3"/>
  <c r="J12" i="3"/>
  <c r="R11" i="3"/>
  <c r="J11" i="3"/>
  <c r="R10" i="3"/>
  <c r="J10" i="3"/>
  <c r="R9" i="3"/>
  <c r="J9" i="3"/>
  <c r="H9" i="3"/>
  <c r="R8" i="3"/>
  <c r="J8" i="3"/>
  <c r="R7" i="3"/>
  <c r="J7" i="3"/>
  <c r="R6" i="3"/>
  <c r="J6" i="3"/>
  <c r="R5" i="3"/>
  <c r="J5" i="3"/>
  <c r="J4" i="3"/>
  <c r="R3" i="3"/>
  <c r="J3" i="3"/>
  <c r="H106" i="1"/>
  <c r="P94" i="1"/>
  <c r="P93" i="1"/>
  <c r="P92" i="1"/>
  <c r="P91" i="1"/>
  <c r="P90" i="1"/>
  <c r="P89" i="1"/>
  <c r="P88" i="1"/>
  <c r="P87" i="1"/>
  <c r="P86" i="1"/>
  <c r="P85" i="1"/>
  <c r="P83" i="1"/>
  <c r="P82" i="1"/>
  <c r="P81" i="1"/>
  <c r="P80" i="1"/>
  <c r="P78" i="1"/>
  <c r="P77" i="1"/>
  <c r="P76" i="1"/>
  <c r="P75" i="1"/>
  <c r="P74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4" i="1"/>
  <c r="P22" i="1"/>
  <c r="P21" i="1"/>
  <c r="P20" i="1"/>
  <c r="P19" i="1"/>
  <c r="P18" i="1"/>
  <c r="P17" i="1"/>
  <c r="P16" i="1"/>
  <c r="P15" i="1"/>
  <c r="P14" i="1"/>
  <c r="P13" i="1"/>
  <c r="P12" i="1"/>
  <c r="P11" i="1"/>
  <c r="H11" i="1"/>
  <c r="P10" i="1"/>
  <c r="P9" i="1"/>
  <c r="P8" i="1"/>
  <c r="P7" i="1"/>
  <c r="P5" i="1"/>
  <c r="P3" i="1"/>
  <c r="P173" i="1" l="1"/>
  <c r="P174" i="1" s="1"/>
</calcChain>
</file>

<file path=xl/sharedStrings.xml><?xml version="1.0" encoding="utf-8"?>
<sst xmlns="http://schemas.openxmlformats.org/spreadsheetml/2006/main" count="2108" uniqueCount="664">
  <si>
    <t>Pandrol-SDL订单明细表</t>
  </si>
  <si>
    <t>项号</t>
  </si>
  <si>
    <t>订单号</t>
  </si>
  <si>
    <t>计划号</t>
  </si>
  <si>
    <t>贸易国/地区</t>
  </si>
  <si>
    <t>产品名称</t>
  </si>
  <si>
    <t>图号</t>
  </si>
  <si>
    <t>规格</t>
  </si>
  <si>
    <t>订单数量</t>
  </si>
  <si>
    <t>交期</t>
  </si>
  <si>
    <t>是否交货</t>
  </si>
  <si>
    <t>是否付款</t>
  </si>
  <si>
    <t>发货日期</t>
  </si>
  <si>
    <t>备注</t>
  </si>
  <si>
    <t>实际发货
数量</t>
  </si>
  <si>
    <t>单价</t>
  </si>
  <si>
    <t>欠款总价
美元</t>
  </si>
  <si>
    <t>是否发检测报告</t>
  </si>
  <si>
    <t>PO000404</t>
  </si>
  <si>
    <t>10-2</t>
  </si>
  <si>
    <t>泰国</t>
  </si>
  <si>
    <t>螺纹道钉</t>
  </si>
  <si>
    <t>E225195k
E225235e-J</t>
  </si>
  <si>
    <t>25*154</t>
  </si>
  <si>
    <t>是</t>
  </si>
  <si>
    <t>CIF100件样品已发40件</t>
  </si>
  <si>
    <t>PO4054/4055</t>
  </si>
  <si>
    <t>库存</t>
  </si>
  <si>
    <t>英国</t>
  </si>
  <si>
    <t>25*159</t>
  </si>
  <si>
    <t>PC19-02720</t>
  </si>
  <si>
    <t>11-6</t>
  </si>
  <si>
    <t>西班牙</t>
  </si>
  <si>
    <t>C225195c</t>
  </si>
  <si>
    <t>PC20-00001</t>
  </si>
  <si>
    <t>1-1</t>
  </si>
  <si>
    <t>V03.00035.00b</t>
  </si>
  <si>
    <t>Ss35 24*161</t>
  </si>
  <si>
    <t>发了20件样品</t>
  </si>
  <si>
    <t xml:space="preserve">PO_IND01013 </t>
  </si>
  <si>
    <t>2-5</t>
  </si>
  <si>
    <t>印尼</t>
  </si>
  <si>
    <t>E225195L</t>
  </si>
  <si>
    <t>25*194</t>
  </si>
  <si>
    <t>E225235f-J</t>
  </si>
  <si>
    <t>25*204</t>
  </si>
  <si>
    <t>D20155</t>
  </si>
  <si>
    <t>4-8</t>
  </si>
  <si>
    <t>6164-1_C.3</t>
  </si>
  <si>
    <t>24*150</t>
  </si>
  <si>
    <t>EXW</t>
  </si>
  <si>
    <t>PO034737</t>
  </si>
  <si>
    <t>6-8</t>
  </si>
  <si>
    <t>香港</t>
  </si>
  <si>
    <t>OD4_501_01401_0009_A </t>
  </si>
  <si>
    <t>24*162</t>
  </si>
  <si>
    <t>F20192</t>
  </si>
  <si>
    <t>7-2</t>
  </si>
  <si>
    <t>E225195k</t>
  </si>
  <si>
    <t>25*164</t>
  </si>
  <si>
    <t>D20214</t>
  </si>
  <si>
    <t>7-16</t>
  </si>
  <si>
    <t>E225195k
E225235f-J</t>
  </si>
  <si>
    <t>25*219</t>
  </si>
  <si>
    <t>PO000590</t>
  </si>
  <si>
    <t>8-9</t>
  </si>
  <si>
    <t>11212-1</t>
  </si>
  <si>
    <t>24*172</t>
  </si>
  <si>
    <t>尼龙套管</t>
  </si>
  <si>
    <t>11213C_A2</t>
  </si>
  <si>
    <t>发货3200</t>
  </si>
  <si>
    <t>F20249</t>
  </si>
  <si>
    <t>9-2</t>
  </si>
  <si>
    <t>PO035243</t>
  </si>
  <si>
    <t>9-6</t>
  </si>
  <si>
    <t>澳洲</t>
  </si>
  <si>
    <t>PO035242</t>
  </si>
  <si>
    <t>PC20-01912</t>
  </si>
  <si>
    <t>PO-IND00901</t>
  </si>
  <si>
    <t>9-1</t>
  </si>
  <si>
    <t>E225195g</t>
  </si>
  <si>
    <t>25*184</t>
  </si>
  <si>
    <t>CIF原价1.21</t>
  </si>
  <si>
    <t>PO000645</t>
  </si>
  <si>
    <t>11-7</t>
  </si>
  <si>
    <t>PO_IND01254</t>
  </si>
  <si>
    <t>12-2</t>
  </si>
  <si>
    <t>CIF</t>
  </si>
  <si>
    <t>F20305</t>
  </si>
  <si>
    <t>样品</t>
  </si>
  <si>
    <t>弹片</t>
  </si>
  <si>
    <t>699-2_d2</t>
  </si>
  <si>
    <t>AL23</t>
  </si>
  <si>
    <t xml:space="preserve">PO-CA2001497 </t>
  </si>
  <si>
    <t>4-4</t>
  </si>
  <si>
    <t>法国</t>
  </si>
  <si>
    <t>双头螺栓</t>
  </si>
  <si>
    <t>C322047b</t>
  </si>
  <si>
    <t>23*164</t>
  </si>
  <si>
    <t xml:space="preserve">取消 </t>
  </si>
  <si>
    <t>CA2100139</t>
  </si>
  <si>
    <t>1-2</t>
  </si>
  <si>
    <t>PO000701</t>
  </si>
  <si>
    <t>1-3</t>
  </si>
  <si>
    <t>PC20-03045</t>
  </si>
  <si>
    <t>2-1</t>
  </si>
  <si>
    <t>PO_IND01356</t>
  </si>
  <si>
    <t>3-9</t>
  </si>
  <si>
    <t>CA2100951</t>
  </si>
  <si>
    <t>3-10</t>
  </si>
  <si>
    <t>3-11</t>
  </si>
  <si>
    <t>6-2</t>
  </si>
  <si>
    <t>F21185a2</t>
  </si>
  <si>
    <t>16857-1_A.1</t>
  </si>
  <si>
    <t>样品通过30天交货</t>
  </si>
  <si>
    <t>PO000748</t>
  </si>
  <si>
    <t>4-1</t>
  </si>
  <si>
    <t>F20305a3</t>
  </si>
  <si>
    <t>24119-1_A</t>
  </si>
  <si>
    <t xml:space="preserve">F21275 </t>
  </si>
  <si>
    <t>5-8</t>
  </si>
  <si>
    <t>000828</t>
  </si>
  <si>
    <t>7-5</t>
  </si>
  <si>
    <t>000860</t>
  </si>
  <si>
    <t>9-3</t>
  </si>
  <si>
    <t>PO_IND01480</t>
  </si>
  <si>
    <t>9-8</t>
  </si>
  <si>
    <t>16970-1_B</t>
  </si>
  <si>
    <t>20*145</t>
  </si>
  <si>
    <t>PO 000940</t>
  </si>
  <si>
    <t>3-4</t>
  </si>
  <si>
    <t>PO 000945</t>
  </si>
  <si>
    <t>F22163</t>
  </si>
  <si>
    <t>3-5</t>
  </si>
  <si>
    <t>E225195L1
E225235f-J</t>
  </si>
  <si>
    <t>否</t>
  </si>
  <si>
    <t>PC22-01136</t>
  </si>
  <si>
    <t>T型螺栓</t>
  </si>
  <si>
    <t>E227010j</t>
  </si>
  <si>
    <t>22*45</t>
  </si>
  <si>
    <t>P16.0639.00_C (V03.00050.00)</t>
  </si>
  <si>
    <t>22*135</t>
  </si>
  <si>
    <t>PO038545</t>
  </si>
  <si>
    <t>4-2</t>
  </si>
  <si>
    <t>6161-1_B2</t>
  </si>
  <si>
    <t>24*142</t>
  </si>
  <si>
    <t>PC22-01198</t>
  </si>
  <si>
    <t>4-3</t>
  </si>
  <si>
    <t>E225195G
E225235f-J</t>
  </si>
  <si>
    <t>25*149</t>
  </si>
  <si>
    <t>PC22-00948</t>
  </si>
  <si>
    <t>4-5</t>
  </si>
  <si>
    <t>螺纹道钉配垫圈</t>
  </si>
  <si>
    <t>V03.00054.15c
V02.01011.00</t>
  </si>
  <si>
    <t>24*161</t>
  </si>
  <si>
    <t>PC22-01271</t>
  </si>
  <si>
    <t>4-6</t>
  </si>
  <si>
    <t>垫圈</t>
  </si>
  <si>
    <t>V02.01010.00c</t>
  </si>
  <si>
    <t>PC22-01282</t>
  </si>
  <si>
    <t>4-7</t>
  </si>
  <si>
    <t>V03.00045.00
V02.01011.00</t>
  </si>
  <si>
    <t>PO038697</t>
  </si>
  <si>
    <t>5-3</t>
  </si>
  <si>
    <t>双弹</t>
  </si>
  <si>
    <t>4330-1_A3</t>
  </si>
  <si>
    <t>F22233</t>
  </si>
  <si>
    <t>5-7</t>
  </si>
  <si>
    <t>PO038981</t>
  </si>
  <si>
    <t>6-6</t>
  </si>
  <si>
    <t>PC22-02119</t>
  </si>
  <si>
    <t>V02.10001.00</t>
  </si>
  <si>
    <t>22-65</t>
  </si>
  <si>
    <t>螺母</t>
  </si>
  <si>
    <t>V02.01010.00</t>
  </si>
  <si>
    <t>PO001022</t>
  </si>
  <si>
    <t>7-4</t>
  </si>
  <si>
    <t>F21185a10</t>
  </si>
  <si>
    <t>7-7</t>
  </si>
  <si>
    <t>F22147a3</t>
  </si>
  <si>
    <t>PO_IND01661</t>
  </si>
  <si>
    <t>7-8</t>
  </si>
  <si>
    <t>无</t>
  </si>
  <si>
    <t>8-1</t>
  </si>
  <si>
    <t>PC22-02579</t>
  </si>
  <si>
    <t>8-3</t>
  </si>
  <si>
    <t>V02.00019.00 B</t>
  </si>
  <si>
    <t>M22X74</t>
  </si>
  <si>
    <t>V02.00002.12</t>
  </si>
  <si>
    <t>M22</t>
  </si>
  <si>
    <t>PO_0287</t>
  </si>
  <si>
    <t>印度</t>
  </si>
  <si>
    <t>24-142</t>
  </si>
  <si>
    <t>9-4</t>
  </si>
  <si>
    <t>CA2204961</t>
  </si>
  <si>
    <t>10-1</t>
  </si>
  <si>
    <t>E322047</t>
  </si>
  <si>
    <t>CA2205235</t>
  </si>
  <si>
    <t>5款样品</t>
  </si>
  <si>
    <t>PC22-03600</t>
  </si>
  <si>
    <t>11-5</t>
  </si>
  <si>
    <t>PO_0472</t>
  </si>
  <si>
    <t>12-3</t>
  </si>
  <si>
    <t>PO040035</t>
  </si>
  <si>
    <t>1-4</t>
  </si>
  <si>
    <t>弹垫</t>
  </si>
  <si>
    <t>CA2300460</t>
  </si>
  <si>
    <t>1-8</t>
  </si>
  <si>
    <t>螺栓</t>
  </si>
  <si>
    <t>ISO4014</t>
  </si>
  <si>
    <t>M24X140</t>
  </si>
  <si>
    <t>T型
螺栓</t>
  </si>
  <si>
    <t>E227/10</t>
  </si>
  <si>
    <t>M22X45-35</t>
  </si>
  <si>
    <t>CA2301048</t>
  </si>
  <si>
    <t>3-2</t>
  </si>
  <si>
    <t>螺纹
道钉</t>
  </si>
  <si>
    <r>
      <rPr>
        <sz val="10"/>
        <color indexed="8"/>
        <rFont val="宋体"/>
        <family val="3"/>
        <charset val="134"/>
      </rPr>
      <t>E</t>
    </r>
    <r>
      <rPr>
        <sz val="10"/>
        <color indexed="8"/>
        <rFont val="宋体"/>
        <family val="3"/>
        <charset val="134"/>
      </rPr>
      <t>225/054
E225/235</t>
    </r>
  </si>
  <si>
    <r>
      <rPr>
        <sz val="10"/>
        <color indexed="8"/>
        <rFont val="宋体"/>
        <family val="3"/>
        <charset val="134"/>
      </rPr>
      <t>2</t>
    </r>
    <r>
      <rPr>
        <sz val="10"/>
        <color indexed="8"/>
        <rFont val="宋体"/>
        <family val="3"/>
        <charset val="134"/>
      </rPr>
      <t>3</t>
    </r>
    <r>
      <rPr>
        <sz val="10"/>
        <color indexed="8"/>
        <rFont val="宋体"/>
        <family val="3"/>
        <charset val="134"/>
      </rPr>
      <t>X1</t>
    </r>
    <r>
      <rPr>
        <sz val="10"/>
        <color indexed="8"/>
        <rFont val="宋体"/>
        <family val="3"/>
        <charset val="134"/>
      </rPr>
      <t>5</t>
    </r>
    <r>
      <rPr>
        <sz val="10"/>
        <color indexed="8"/>
        <rFont val="宋体"/>
        <family val="3"/>
        <charset val="134"/>
      </rPr>
      <t>9</t>
    </r>
  </si>
  <si>
    <t>PO_0627</t>
  </si>
  <si>
    <t>I923393-00</t>
  </si>
  <si>
    <t>CA2301248</t>
  </si>
  <si>
    <t>3-8</t>
  </si>
  <si>
    <r>
      <rPr>
        <sz val="10"/>
        <color indexed="8"/>
        <rFont val="宋体"/>
        <family val="3"/>
        <charset val="134"/>
      </rPr>
      <t>23</t>
    </r>
    <r>
      <rPr>
        <sz val="10"/>
        <color indexed="8"/>
        <rFont val="宋体"/>
        <family val="3"/>
        <charset val="134"/>
      </rPr>
      <t>X1</t>
    </r>
    <r>
      <rPr>
        <sz val="10"/>
        <color indexed="8"/>
        <rFont val="宋体"/>
        <family val="3"/>
        <charset val="134"/>
      </rPr>
      <t>4</t>
    </r>
    <r>
      <rPr>
        <sz val="10"/>
        <color indexed="8"/>
        <rFont val="宋体"/>
        <family val="3"/>
        <charset val="134"/>
      </rPr>
      <t>9</t>
    </r>
  </si>
  <si>
    <t>PO040399</t>
  </si>
  <si>
    <t>SS8-150</t>
  </si>
  <si>
    <t>PC23-00884</t>
  </si>
  <si>
    <t>PO040433</t>
  </si>
  <si>
    <t>3-13</t>
  </si>
  <si>
    <t>E225/195
E225/235</t>
  </si>
  <si>
    <t>25X164</t>
  </si>
  <si>
    <t>PO040469</t>
  </si>
  <si>
    <t>23X169</t>
  </si>
  <si>
    <t>CA2301451</t>
  </si>
  <si>
    <t>3-15</t>
  </si>
  <si>
    <r>
      <rPr>
        <sz val="10"/>
        <color indexed="8"/>
        <rFont val="宋体"/>
        <family val="3"/>
        <charset val="134"/>
      </rPr>
      <t>25</t>
    </r>
    <r>
      <rPr>
        <sz val="10"/>
        <color indexed="8"/>
        <rFont val="宋体"/>
        <family val="3"/>
        <charset val="134"/>
      </rPr>
      <t>X1</t>
    </r>
    <r>
      <rPr>
        <sz val="10"/>
        <color indexed="8"/>
        <rFont val="宋体"/>
        <family val="3"/>
        <charset val="134"/>
      </rPr>
      <t>79</t>
    </r>
  </si>
  <si>
    <t>E225/054
E225/235</t>
  </si>
  <si>
    <r>
      <rPr>
        <sz val="10"/>
        <color indexed="8"/>
        <rFont val="宋体"/>
        <family val="3"/>
        <charset val="134"/>
      </rPr>
      <t>23</t>
    </r>
    <r>
      <rPr>
        <sz val="10"/>
        <color indexed="8"/>
        <rFont val="宋体"/>
        <family val="3"/>
        <charset val="134"/>
      </rPr>
      <t>X1</t>
    </r>
    <r>
      <rPr>
        <sz val="10"/>
        <color indexed="8"/>
        <rFont val="宋体"/>
        <family val="3"/>
        <charset val="134"/>
      </rPr>
      <t>59</t>
    </r>
  </si>
  <si>
    <t>PC23-01516</t>
  </si>
  <si>
    <t xml:space="preserve"> 5-2</t>
  </si>
  <si>
    <t>V03.00018.12</t>
  </si>
  <si>
    <t>CA230025</t>
  </si>
  <si>
    <t>5-4</t>
  </si>
  <si>
    <t>E321/42 R</t>
  </si>
  <si>
    <t>18X134</t>
  </si>
  <si>
    <t>PC23-01610</t>
  </si>
  <si>
    <t>5-5</t>
  </si>
  <si>
    <t>6-1</t>
  </si>
  <si>
    <t>在挑选</t>
  </si>
  <si>
    <t>PC23-01985</t>
  </si>
  <si>
    <t>6-7</t>
  </si>
  <si>
    <t>CA2303018</t>
  </si>
  <si>
    <t>E225/243
E225/235</t>
  </si>
  <si>
    <t>SS35
24X131</t>
  </si>
  <si>
    <t>CA2303594</t>
  </si>
  <si>
    <t>8-2</t>
  </si>
  <si>
    <t>PC23-02429</t>
  </si>
  <si>
    <t>23X174</t>
  </si>
  <si>
    <t>发了2批</t>
  </si>
  <si>
    <t>DIN931</t>
  </si>
  <si>
    <t>M22X90</t>
  </si>
  <si>
    <t>PO000877</t>
  </si>
  <si>
    <t>8-6</t>
  </si>
  <si>
    <t>6163/1</t>
  </si>
  <si>
    <t>SS5
24*132</t>
  </si>
  <si>
    <t>PO040916</t>
  </si>
  <si>
    <t>无计划</t>
  </si>
  <si>
    <t>PO000673</t>
  </si>
  <si>
    <t>PC23-02597</t>
  </si>
  <si>
    <t>9-5</t>
  </si>
  <si>
    <t>V02.00019.00C</t>
  </si>
  <si>
    <t>22X74(46)</t>
  </si>
  <si>
    <t>2023-10-20</t>
  </si>
  <si>
    <t>M22
39×22</t>
  </si>
  <si>
    <t>PC23-02866</t>
  </si>
  <si>
    <t>CA2305241</t>
  </si>
  <si>
    <t>11-4</t>
  </si>
  <si>
    <t>E321/29F</t>
  </si>
  <si>
    <t>18X122</t>
  </si>
  <si>
    <t>PO0393</t>
  </si>
  <si>
    <t>I432116</t>
  </si>
  <si>
    <t>CA2305936</t>
  </si>
  <si>
    <t>12-4</t>
  </si>
  <si>
    <t>CA2400399</t>
  </si>
  <si>
    <t>1-11</t>
  </si>
  <si>
    <t>马上发</t>
  </si>
  <si>
    <t>CA2400995</t>
  </si>
  <si>
    <t xml:space="preserve"> E225195
 E225235</t>
  </si>
  <si>
    <t>25*179</t>
  </si>
  <si>
    <t>2024-2-28</t>
  </si>
  <si>
    <t>没做完</t>
  </si>
  <si>
    <t>CA2400875</t>
  </si>
  <si>
    <t>2-2</t>
  </si>
  <si>
    <t>E225054 
E225235</t>
  </si>
  <si>
    <t>23*174</t>
  </si>
  <si>
    <t>CA2400774</t>
  </si>
  <si>
    <t>2-3</t>
  </si>
  <si>
    <t>SDL-LM-24-1</t>
  </si>
  <si>
    <t>CA2401649</t>
  </si>
  <si>
    <t>3-3</t>
  </si>
  <si>
    <t>双头
螺栓</t>
  </si>
  <si>
    <t>E322/020 K</t>
  </si>
  <si>
    <t>23*164
第8款</t>
  </si>
  <si>
    <t>2024-4-14</t>
  </si>
  <si>
    <t>PO000341</t>
  </si>
  <si>
    <t>432116</t>
  </si>
  <si>
    <t>2024-4-30
完成</t>
  </si>
  <si>
    <t>PO001385</t>
  </si>
  <si>
    <t>E225/195
J6</t>
  </si>
  <si>
    <t>25x154</t>
  </si>
  <si>
    <t>2024-5-1</t>
  </si>
  <si>
    <t>PO043034</t>
  </si>
  <si>
    <t>2024-6-10</t>
  </si>
  <si>
    <t>PO003115</t>
  </si>
  <si>
    <t>4-9</t>
  </si>
  <si>
    <t>6161/1</t>
  </si>
  <si>
    <t>SS8-150
24X142</t>
  </si>
  <si>
    <t>2024-5-8</t>
  </si>
  <si>
    <t>CA2402697</t>
  </si>
  <si>
    <t>5-2</t>
  </si>
  <si>
    <r>
      <rPr>
        <sz val="10"/>
        <color rgb="FF000000"/>
        <rFont val="宋体"/>
        <family val="3"/>
        <charset val="134"/>
      </rPr>
      <t>E225/054
E225/235
(</t>
    </r>
    <r>
      <rPr>
        <sz val="9"/>
        <color rgb="FF000000"/>
        <rFont val="宋体"/>
        <family val="3"/>
        <charset val="134"/>
      </rPr>
      <t>SDL-
LDWH-2)</t>
    </r>
  </si>
  <si>
    <t>2024/6/3
全部完成</t>
  </si>
  <si>
    <t>CA2404060</t>
  </si>
  <si>
    <t>2024-8-1</t>
  </si>
  <si>
    <t>一批56000件
8-1，
9-1，
11-1，
25-1-1，
日前各完成。</t>
  </si>
  <si>
    <t>PO003592</t>
  </si>
  <si>
    <t>2024-7-10</t>
  </si>
  <si>
    <t>CA2404560</t>
  </si>
  <si>
    <t>PO001451</t>
  </si>
  <si>
    <t>2024-8-15</t>
  </si>
  <si>
    <t>PO003947</t>
  </si>
  <si>
    <t>8-10</t>
  </si>
  <si>
    <t>2024-8-27</t>
  </si>
  <si>
    <t>CA2405183</t>
  </si>
  <si>
    <t>9-10</t>
  </si>
  <si>
    <t>2024-9-24</t>
  </si>
  <si>
    <t>CA2405139</t>
  </si>
  <si>
    <t>9-11</t>
  </si>
  <si>
    <t>2024-10-25</t>
  </si>
  <si>
    <t>CA2405765</t>
  </si>
  <si>
    <t>10-5</t>
  </si>
  <si>
    <t xml:space="preserve"> E321094B</t>
  </si>
  <si>
    <t>M22*150</t>
  </si>
  <si>
    <t>2024-11-10</t>
  </si>
  <si>
    <t>PO004487</t>
  </si>
  <si>
    <t>10-6</t>
  </si>
  <si>
    <t>2024-11-30完成</t>
  </si>
  <si>
    <t>PO044138</t>
  </si>
  <si>
    <t>10-9</t>
  </si>
  <si>
    <t>SDL23113A</t>
  </si>
  <si>
    <t>2024-11-15</t>
  </si>
  <si>
    <t>CA2405901</t>
  </si>
  <si>
    <t>10-11</t>
  </si>
  <si>
    <t>23*154</t>
  </si>
  <si>
    <t>2024-11-22
180件，45000件分开包装</t>
  </si>
  <si>
    <t>CA2406201</t>
  </si>
  <si>
    <t>11-2</t>
  </si>
  <si>
    <t>E225243
E225235</t>
  </si>
  <si>
    <t>2024-11-25</t>
  </si>
  <si>
    <t>合计：</t>
  </si>
  <si>
    <t>单件重量</t>
  </si>
  <si>
    <t>总重</t>
  </si>
  <si>
    <t>合计总吨位</t>
  </si>
  <si>
    <t>Pandrol-SDL订单对账列表</t>
  </si>
  <si>
    <t>垫圈</t>
    <phoneticPr fontId="17" type="noConversion"/>
  </si>
  <si>
    <t>CA2406584</t>
    <phoneticPr fontId="17" type="noConversion"/>
  </si>
  <si>
    <t>E323063</t>
    <phoneticPr fontId="17" type="noConversion"/>
  </si>
  <si>
    <t>ULS7</t>
    <phoneticPr fontId="17" type="noConversion"/>
  </si>
  <si>
    <t>11-10</t>
    <phoneticPr fontId="17" type="noConversion"/>
  </si>
  <si>
    <t>CA2406835</t>
    <phoneticPr fontId="21" type="noConversion"/>
  </si>
  <si>
    <t>12-1</t>
    <phoneticPr fontId="17" type="noConversion"/>
  </si>
  <si>
    <t>PC24-03266</t>
    <phoneticPr fontId="22" type="noConversion"/>
  </si>
  <si>
    <t>12-5</t>
    <phoneticPr fontId="17" type="noConversion"/>
  </si>
  <si>
    <t>西班牙</t>
    <phoneticPr fontId="17" type="noConversion"/>
  </si>
  <si>
    <t>24X142</t>
    <phoneticPr fontId="22" type="noConversion"/>
  </si>
  <si>
    <t>V03.00018.12</t>
    <phoneticPr fontId="22" type="noConversion"/>
  </si>
  <si>
    <t>99.10431B</t>
    <phoneticPr fontId="22" type="noConversion"/>
  </si>
  <si>
    <t>澳洲</t>
    <phoneticPr fontId="17" type="noConversion"/>
  </si>
  <si>
    <t>2-1</t>
    <phoneticPr fontId="17" type="noConversion"/>
  </si>
  <si>
    <t>PO044670</t>
    <phoneticPr fontId="22" type="noConversion"/>
  </si>
  <si>
    <t>2025-2-28</t>
    <phoneticPr fontId="22" type="noConversion"/>
  </si>
  <si>
    <t xml:space="preserve">PO_IND02339 </t>
    <phoneticPr fontId="23" type="noConversion"/>
  </si>
  <si>
    <t>2-3</t>
    <phoneticPr fontId="17" type="noConversion"/>
  </si>
  <si>
    <t>印尼</t>
    <phoneticPr fontId="17" type="noConversion"/>
  </si>
  <si>
    <t>25X189</t>
    <phoneticPr fontId="23" type="noConversion"/>
  </si>
  <si>
    <t>25X194</t>
    <phoneticPr fontId="23" type="noConversion"/>
  </si>
  <si>
    <t>25X199</t>
    <phoneticPr fontId="23" type="noConversion"/>
  </si>
  <si>
    <t>25X204</t>
    <phoneticPr fontId="23" type="noConversion"/>
  </si>
  <si>
    <t>25X209</t>
    <phoneticPr fontId="23" type="noConversion"/>
  </si>
  <si>
    <t>螺纹
道钉</t>
    <phoneticPr fontId="23" type="noConversion"/>
  </si>
  <si>
    <t>E225/195
E225/235</t>
    <phoneticPr fontId="23" type="noConversion"/>
  </si>
  <si>
    <t>PO001040</t>
    <phoneticPr fontId="17" type="noConversion"/>
  </si>
  <si>
    <t>2-6</t>
    <phoneticPr fontId="17" type="noConversion"/>
  </si>
  <si>
    <t>弹垫</t>
    <phoneticPr fontId="22" type="noConversion"/>
  </si>
  <si>
    <t>法国</t>
    <phoneticPr fontId="17" type="noConversion"/>
  </si>
  <si>
    <t>2025-3-30</t>
    <phoneticPr fontId="17" type="noConversion"/>
  </si>
  <si>
    <t>螺纹道钉</t>
    <phoneticPr fontId="23" type="noConversion"/>
  </si>
  <si>
    <t>24*150</t>
    <phoneticPr fontId="23" type="noConversion"/>
  </si>
  <si>
    <t>PO005457</t>
    <phoneticPr fontId="23" type="noConversion"/>
  </si>
  <si>
    <t>6164/1</t>
    <phoneticPr fontId="23" type="noConversion"/>
  </si>
  <si>
    <t>2-8</t>
    <phoneticPr fontId="17" type="noConversion"/>
  </si>
  <si>
    <t>英国</t>
    <phoneticPr fontId="17" type="noConversion"/>
  </si>
  <si>
    <t>印度</t>
    <phoneticPr fontId="17" type="noConversion"/>
  </si>
  <si>
    <t>CA2500772</t>
    <phoneticPr fontId="17" type="noConversion"/>
  </si>
  <si>
    <t>2-12</t>
    <phoneticPr fontId="17" type="noConversion"/>
  </si>
  <si>
    <t>CA2500969</t>
    <phoneticPr fontId="17" type="noConversion"/>
  </si>
  <si>
    <t>CA2501005</t>
    <phoneticPr fontId="17" type="noConversion"/>
  </si>
  <si>
    <t>2-13</t>
  </si>
  <si>
    <t>23*149</t>
    <phoneticPr fontId="17" type="noConversion"/>
  </si>
  <si>
    <t>3-1</t>
    <phoneticPr fontId="17" type="noConversion"/>
  </si>
  <si>
    <t>3-5</t>
    <phoneticPr fontId="17" type="noConversion"/>
  </si>
  <si>
    <t>3-6</t>
    <phoneticPr fontId="17" type="noConversion"/>
  </si>
  <si>
    <t>CA2501835</t>
    <phoneticPr fontId="17" type="noConversion"/>
  </si>
  <si>
    <t>CA2501508</t>
    <phoneticPr fontId="17" type="noConversion"/>
  </si>
  <si>
    <t>CA2501712</t>
    <phoneticPr fontId="22" type="noConversion"/>
  </si>
  <si>
    <t>2025-5-31</t>
    <phoneticPr fontId="17" type="noConversion"/>
  </si>
  <si>
    <t>2025-4-22</t>
    <phoneticPr fontId="17" type="noConversion"/>
  </si>
  <si>
    <t>7-4</t>
    <phoneticPr fontId="17" type="noConversion"/>
  </si>
  <si>
    <t>Order date
下单时间</t>
    <phoneticPr fontId="17" type="noConversion"/>
  </si>
  <si>
    <t>PO No.
订单号</t>
    <phoneticPr fontId="17" type="noConversion"/>
  </si>
  <si>
    <t>Drawing No.
图纸</t>
    <phoneticPr fontId="17" type="noConversion"/>
  </si>
  <si>
    <t>Description
品名规格</t>
    <phoneticPr fontId="17" type="noConversion"/>
  </si>
  <si>
    <t>Qty
数量</t>
    <phoneticPr fontId="17" type="noConversion"/>
  </si>
  <si>
    <t>Unit Price
单价</t>
    <phoneticPr fontId="17" type="noConversion"/>
  </si>
  <si>
    <t>INCOTERM
价格条款</t>
    <phoneticPr fontId="17" type="noConversion"/>
  </si>
  <si>
    <t>Client
客户</t>
    <phoneticPr fontId="17" type="noConversion"/>
  </si>
  <si>
    <t>PANDROL SAS</t>
    <phoneticPr fontId="17" type="noConversion"/>
  </si>
  <si>
    <t>STUD BOLT</t>
    <phoneticPr fontId="17" type="noConversion"/>
  </si>
  <si>
    <t>COACHSCREW</t>
    <phoneticPr fontId="17" type="noConversion"/>
  </si>
  <si>
    <t>2024-3-14</t>
    <phoneticPr fontId="17" type="noConversion"/>
  </si>
  <si>
    <t>2024-7-8</t>
    <phoneticPr fontId="17" type="noConversion"/>
  </si>
  <si>
    <t>2024-9-16</t>
    <phoneticPr fontId="17" type="noConversion"/>
  </si>
  <si>
    <t>2024-10-21</t>
    <phoneticPr fontId="17" type="noConversion"/>
  </si>
  <si>
    <t>2024-11-5</t>
    <phoneticPr fontId="17" type="noConversion"/>
  </si>
  <si>
    <t>2025-3-17</t>
    <phoneticPr fontId="17" type="noConversion"/>
  </si>
  <si>
    <t>NO.</t>
    <phoneticPr fontId="17" type="noConversion"/>
  </si>
  <si>
    <t>PANDROL SAS与苏德兰主要采购产品订单明细</t>
    <phoneticPr fontId="17" type="noConversion"/>
  </si>
  <si>
    <t>23*164
type 8</t>
    <phoneticPr fontId="17" type="noConversion"/>
  </si>
  <si>
    <t>4-5</t>
    <phoneticPr fontId="17" type="noConversion"/>
  </si>
  <si>
    <t>4-6</t>
    <phoneticPr fontId="17" type="noConversion"/>
  </si>
  <si>
    <t>CA2502320</t>
    <phoneticPr fontId="17" type="noConversion"/>
  </si>
  <si>
    <t>CA2502239</t>
    <phoneticPr fontId="17" type="noConversion"/>
  </si>
  <si>
    <t>2025-6-22</t>
    <phoneticPr fontId="17" type="noConversion"/>
  </si>
  <si>
    <t>2025-4-24</t>
    <phoneticPr fontId="17" type="noConversion"/>
  </si>
  <si>
    <t>5-7</t>
    <phoneticPr fontId="17" type="noConversion"/>
  </si>
  <si>
    <t>CA2501508</t>
    <phoneticPr fontId="17" type="noConversion"/>
  </si>
  <si>
    <t>PO006413</t>
    <phoneticPr fontId="17" type="noConversion"/>
  </si>
  <si>
    <t>5-10</t>
    <phoneticPr fontId="17" type="noConversion"/>
  </si>
  <si>
    <t>25*169</t>
    <phoneticPr fontId="23" type="noConversion"/>
  </si>
  <si>
    <t>2025-6-15</t>
    <phoneticPr fontId="17" type="noConversion"/>
  </si>
  <si>
    <t>PO045352</t>
    <phoneticPr fontId="23" type="noConversion"/>
  </si>
  <si>
    <t>澳洲</t>
    <phoneticPr fontId="17" type="noConversion"/>
  </si>
  <si>
    <t>5-12</t>
    <phoneticPr fontId="17" type="noConversion"/>
  </si>
  <si>
    <t>6161/1</t>
    <phoneticPr fontId="23" type="noConversion"/>
  </si>
  <si>
    <t>SS8-150</t>
    <phoneticPr fontId="23" type="noConversion"/>
  </si>
  <si>
    <t>2025-6-20</t>
    <phoneticPr fontId="23" type="noConversion"/>
  </si>
  <si>
    <t>弹簧
垫圈</t>
  </si>
  <si>
    <t>FE6</t>
  </si>
  <si>
    <t>2025-6-13</t>
    <phoneticPr fontId="17" type="noConversion"/>
  </si>
  <si>
    <t>E2258/003</t>
    <phoneticPr fontId="17" type="noConversion"/>
  </si>
  <si>
    <t>5-13</t>
    <phoneticPr fontId="17" type="noConversion"/>
  </si>
  <si>
    <t>CA2502935</t>
    <phoneticPr fontId="17" type="noConversion"/>
  </si>
  <si>
    <t>锚固
螺栓</t>
    <phoneticPr fontId="22" type="noConversion"/>
  </si>
  <si>
    <t>23X131.5</t>
    <phoneticPr fontId="22" type="noConversion"/>
  </si>
  <si>
    <t xml:space="preserve"> E225/045
E225/235</t>
    <phoneticPr fontId="22" type="noConversion"/>
  </si>
  <si>
    <t xml:space="preserve">CA2502994 </t>
    <phoneticPr fontId="22" type="noConversion"/>
  </si>
  <si>
    <t>5-14</t>
  </si>
  <si>
    <t>CA2502179</t>
    <phoneticPr fontId="17" type="noConversion"/>
  </si>
  <si>
    <t>5-11</t>
    <phoneticPr fontId="17" type="noConversion"/>
  </si>
  <si>
    <t>螺母</t>
    <phoneticPr fontId="17" type="noConversion"/>
  </si>
  <si>
    <t>C152018d</t>
    <phoneticPr fontId="17" type="noConversion"/>
  </si>
  <si>
    <t>2025-7-30</t>
    <phoneticPr fontId="17" type="noConversion"/>
  </si>
  <si>
    <t>6-6</t>
    <phoneticPr fontId="17" type="noConversion"/>
  </si>
  <si>
    <t>PO006711</t>
    <phoneticPr fontId="17" type="noConversion"/>
  </si>
  <si>
    <t>英国</t>
    <phoneticPr fontId="17" type="noConversion"/>
  </si>
  <si>
    <t>2025-7-15</t>
    <phoneticPr fontId="17" type="noConversion"/>
  </si>
  <si>
    <t>2025-7-5</t>
    <phoneticPr fontId="17" type="noConversion"/>
  </si>
  <si>
    <t>7-2</t>
    <phoneticPr fontId="17" type="noConversion"/>
  </si>
  <si>
    <t>23*159</t>
    <phoneticPr fontId="17" type="noConversion"/>
  </si>
  <si>
    <t>2025-8-18</t>
    <phoneticPr fontId="17" type="noConversion"/>
  </si>
  <si>
    <t>CA2503890</t>
    <phoneticPr fontId="17" type="noConversion"/>
  </si>
  <si>
    <t>CA2504187</t>
    <phoneticPr fontId="17" type="noConversion"/>
  </si>
  <si>
    <t>7-5</t>
    <phoneticPr fontId="17" type="noConversion"/>
  </si>
  <si>
    <t>2025-8-20</t>
    <phoneticPr fontId="17" type="noConversion"/>
  </si>
  <si>
    <t>CA2504223</t>
    <phoneticPr fontId="17" type="noConversion"/>
  </si>
  <si>
    <t>7-7</t>
    <phoneticPr fontId="17" type="noConversion"/>
  </si>
  <si>
    <t>25*219</t>
    <phoneticPr fontId="23" type="noConversion"/>
  </si>
  <si>
    <t>PO001318</t>
    <phoneticPr fontId="17" type="noConversion"/>
  </si>
  <si>
    <t>8-2</t>
    <phoneticPr fontId="17" type="noConversion"/>
  </si>
  <si>
    <t>2025-8-22</t>
    <phoneticPr fontId="17" type="noConversion"/>
  </si>
  <si>
    <t>2025-9-15</t>
    <phoneticPr fontId="17" type="noConversion"/>
  </si>
  <si>
    <t>8-4</t>
    <phoneticPr fontId="17" type="noConversion"/>
  </si>
  <si>
    <t>CA2504338</t>
    <phoneticPr fontId="22" type="noConversion"/>
  </si>
  <si>
    <t>2025-8-25</t>
    <phoneticPr fontId="17" type="noConversion"/>
  </si>
  <si>
    <t>2025-9-8</t>
    <phoneticPr fontId="17" type="noConversion"/>
  </si>
  <si>
    <t>2025-10-4</t>
    <phoneticPr fontId="17" type="noConversion"/>
  </si>
  <si>
    <t>2026-1-2</t>
    <phoneticPr fontId="17" type="noConversion"/>
  </si>
  <si>
    <t>9-2</t>
    <phoneticPr fontId="17" type="noConversion"/>
  </si>
  <si>
    <t>CA2504666</t>
    <phoneticPr fontId="22" type="noConversion"/>
  </si>
  <si>
    <t>2025-9-25</t>
    <phoneticPr fontId="17" type="noConversion"/>
  </si>
  <si>
    <t>2025-10-31</t>
    <phoneticPr fontId="17" type="noConversion"/>
  </si>
  <si>
    <t>SS35
24X161</t>
    <phoneticPr fontId="17" type="noConversion"/>
  </si>
  <si>
    <t>9-5</t>
    <phoneticPr fontId="17" type="noConversion"/>
  </si>
  <si>
    <t>CA2505018</t>
    <phoneticPr fontId="17" type="noConversion"/>
  </si>
  <si>
    <t>23*194</t>
    <phoneticPr fontId="17" type="noConversion"/>
  </si>
  <si>
    <t>2025-10-31
空运</t>
    <phoneticPr fontId="17" type="noConversion"/>
  </si>
  <si>
    <t>2025-10-31
海运</t>
    <phoneticPr fontId="17" type="noConversion"/>
  </si>
  <si>
    <t>9-6</t>
    <phoneticPr fontId="17" type="noConversion"/>
  </si>
  <si>
    <t>2026-1-10</t>
    <phoneticPr fontId="23" type="noConversion"/>
  </si>
  <si>
    <t>PO046208</t>
    <phoneticPr fontId="23" type="noConversion"/>
  </si>
  <si>
    <t>是</t>
    <phoneticPr fontId="17" type="noConversion"/>
  </si>
  <si>
    <t>CA2505838</t>
    <phoneticPr fontId="17" type="noConversion"/>
  </si>
  <si>
    <t>2025-12-8</t>
    <phoneticPr fontId="17" type="noConversion"/>
  </si>
  <si>
    <t>2025-11-25</t>
    <phoneticPr fontId="17" type="noConversion"/>
  </si>
  <si>
    <t>10-3</t>
    <phoneticPr fontId="17" type="noConversion"/>
  </si>
  <si>
    <t>23*135</t>
    <phoneticPr fontId="17" type="noConversion"/>
  </si>
  <si>
    <t>11-4</t>
    <phoneticPr fontId="17" type="noConversion"/>
  </si>
  <si>
    <t>CA2506193</t>
    <phoneticPr fontId="17" type="noConversion"/>
  </si>
  <si>
    <t>E225/23FV</t>
    <phoneticPr fontId="17" type="noConversion"/>
  </si>
  <si>
    <t>西班牙</t>
    <phoneticPr fontId="17" type="noConversion"/>
  </si>
  <si>
    <t>2025-12-18</t>
    <phoneticPr fontId="17" type="noConversion"/>
  </si>
  <si>
    <t>11-8</t>
    <phoneticPr fontId="17" type="noConversion"/>
  </si>
  <si>
    <t>PC25-02633</t>
    <phoneticPr fontId="17" type="noConversion"/>
  </si>
  <si>
    <t>CV03.00030.00</t>
    <phoneticPr fontId="17" type="noConversion"/>
  </si>
  <si>
    <t>23X160.5</t>
    <phoneticPr fontId="17" type="noConversion"/>
  </si>
  <si>
    <t>12-1</t>
    <phoneticPr fontId="17" type="noConversion"/>
  </si>
  <si>
    <t xml:space="preserve"> E225/243
E225/235</t>
    <phoneticPr fontId="17" type="noConversion"/>
  </si>
  <si>
    <t>CA2506387</t>
    <phoneticPr fontId="17" type="noConversion"/>
  </si>
  <si>
    <t>24*156</t>
    <phoneticPr fontId="17" type="noConversion"/>
  </si>
  <si>
    <t>23*175</t>
    <phoneticPr fontId="17" type="noConversion"/>
  </si>
  <si>
    <t>12-8</t>
    <phoneticPr fontId="17" type="noConversion"/>
  </si>
  <si>
    <t>12-11</t>
    <phoneticPr fontId="17" type="noConversion"/>
  </si>
  <si>
    <t>PO008427</t>
    <phoneticPr fontId="17" type="noConversion"/>
  </si>
  <si>
    <t>英国</t>
    <phoneticPr fontId="17" type="noConversion"/>
  </si>
  <si>
    <t>24*132</t>
    <phoneticPr fontId="17" type="noConversion"/>
  </si>
  <si>
    <t>1-25</t>
    <phoneticPr fontId="17" type="noConversion"/>
  </si>
  <si>
    <t>1-1</t>
    <phoneticPr fontId="17" type="noConversion"/>
  </si>
  <si>
    <t>CA2506192</t>
    <phoneticPr fontId="17" type="noConversion"/>
  </si>
  <si>
    <t>23*115</t>
    <phoneticPr fontId="17" type="noConversion"/>
  </si>
  <si>
    <t>2026-2-5完成10万件，其余3-10完成</t>
    <phoneticPr fontId="17" type="noConversion"/>
  </si>
  <si>
    <t>1-2</t>
    <phoneticPr fontId="17" type="noConversion"/>
  </si>
  <si>
    <t>1-5</t>
    <phoneticPr fontId="17" type="noConversion"/>
  </si>
  <si>
    <t>SS25
24X151</t>
    <phoneticPr fontId="22" type="noConversion"/>
  </si>
  <si>
    <t>E225/242
E225/235</t>
    <phoneticPr fontId="22" type="noConversion"/>
  </si>
  <si>
    <t>CA2600037</t>
    <phoneticPr fontId="17" type="noConversion"/>
  </si>
  <si>
    <t>1-30</t>
    <phoneticPr fontId="17" type="noConversion"/>
  </si>
  <si>
    <t>PO008702</t>
    <phoneticPr fontId="17" type="noConversion"/>
  </si>
  <si>
    <t>E225/243
E225/235</t>
    <phoneticPr fontId="22" type="noConversion"/>
  </si>
  <si>
    <t>SS35
24X156</t>
    <phoneticPr fontId="17" type="noConversion"/>
  </si>
  <si>
    <t>螺纹道钉平垫</t>
    <phoneticPr fontId="17" type="noConversion"/>
  </si>
  <si>
    <t>2-5</t>
    <phoneticPr fontId="17" type="noConversion"/>
  </si>
  <si>
    <t>2-4</t>
    <phoneticPr fontId="17" type="noConversion"/>
  </si>
  <si>
    <t>2-3</t>
    <phoneticPr fontId="17" type="noConversion"/>
  </si>
  <si>
    <t>印度</t>
    <phoneticPr fontId="17" type="noConversion"/>
  </si>
  <si>
    <t>E225/160</t>
    <phoneticPr fontId="17" type="noConversion"/>
  </si>
  <si>
    <t>23*154</t>
    <phoneticPr fontId="17" type="noConversion"/>
  </si>
  <si>
    <t>2026-3-10</t>
    <phoneticPr fontId="17" type="noConversion"/>
  </si>
  <si>
    <t>PO001643</t>
    <phoneticPr fontId="17" type="noConversion"/>
  </si>
  <si>
    <t>2026-3-8</t>
    <phoneticPr fontId="17" type="noConversion"/>
  </si>
  <si>
    <t>2026-6-10</t>
    <phoneticPr fontId="17" type="noConversion"/>
  </si>
  <si>
    <t>2026-10-31</t>
    <phoneticPr fontId="17" type="noConversion"/>
  </si>
  <si>
    <t>CA2600935</t>
    <phoneticPr fontId="17" type="noConversion"/>
  </si>
  <si>
    <t>3-2</t>
    <phoneticPr fontId="17" type="noConversion"/>
  </si>
  <si>
    <t>CA2601226</t>
    <phoneticPr fontId="22" type="noConversion"/>
  </si>
  <si>
    <t>SS25
24X156</t>
    <phoneticPr fontId="22" type="noConversion"/>
  </si>
  <si>
    <t>2026-4-6</t>
    <phoneticPr fontId="17" type="noConversion"/>
  </si>
  <si>
    <t xml:space="preserve">PC26-00485
</t>
    <phoneticPr fontId="17" type="noConversion"/>
  </si>
  <si>
    <t>3-4</t>
    <phoneticPr fontId="17" type="noConversion"/>
  </si>
  <si>
    <t>西班牙</t>
    <phoneticPr fontId="17" type="noConversion"/>
  </si>
  <si>
    <t>2026-4-13</t>
    <phoneticPr fontId="17" type="noConversion"/>
  </si>
  <si>
    <t>22*112</t>
    <phoneticPr fontId="17" type="noConversion"/>
  </si>
  <si>
    <t xml:space="preserve">PC26-00492
</t>
    <phoneticPr fontId="17" type="noConversion"/>
  </si>
  <si>
    <t>3-5</t>
    <phoneticPr fontId="17" type="noConversion"/>
  </si>
  <si>
    <t>2026-4-14</t>
  </si>
  <si>
    <t>V02.10015.00</t>
    <phoneticPr fontId="17" type="noConversion"/>
  </si>
  <si>
    <t>六角
螺母</t>
  </si>
  <si>
    <t>M22
38×19</t>
    <phoneticPr fontId="17" type="noConversion"/>
  </si>
  <si>
    <t>PC26-00556</t>
    <phoneticPr fontId="17" type="noConversion"/>
  </si>
  <si>
    <t>3-7</t>
    <phoneticPr fontId="17" type="noConversion"/>
  </si>
  <si>
    <t>3-8</t>
    <phoneticPr fontId="17" type="noConversion"/>
  </si>
  <si>
    <t>V02.00006.00</t>
    <phoneticPr fontId="17" type="noConversion"/>
  </si>
  <si>
    <t>2026-4-17</t>
    <phoneticPr fontId="17" type="noConversion"/>
  </si>
  <si>
    <t>25X159</t>
    <phoneticPr fontId="22" type="noConversion"/>
  </si>
  <si>
    <t>PC26-00563</t>
    <phoneticPr fontId="22" type="noConversion"/>
  </si>
  <si>
    <t>E225/195
E225/235</t>
    <phoneticPr fontId="22" type="noConversion"/>
  </si>
  <si>
    <t>2026-4-14</t>
    <phoneticPr fontId="17" type="noConversion"/>
  </si>
  <si>
    <t>4-4</t>
    <phoneticPr fontId="17" type="noConversion"/>
  </si>
  <si>
    <t>CA2602128</t>
    <phoneticPr fontId="17" type="noConversion"/>
  </si>
  <si>
    <t>2026-6-5</t>
    <phoneticPr fontId="17" type="noConversion"/>
  </si>
  <si>
    <t>2026-5-31</t>
    <phoneticPr fontId="17" type="noConversion"/>
  </si>
  <si>
    <t>23X169</t>
    <phoneticPr fontId="23" type="noConversion"/>
  </si>
  <si>
    <t>PO047556</t>
    <phoneticPr fontId="23" type="noConversion"/>
  </si>
  <si>
    <t>4-6</t>
    <phoneticPr fontId="17" type="noConversion"/>
  </si>
  <si>
    <t>澳洲</t>
    <phoneticPr fontId="17" type="noConversion"/>
  </si>
  <si>
    <t>PO009475</t>
    <phoneticPr fontId="22" type="noConversion"/>
  </si>
  <si>
    <t>4-9</t>
    <phoneticPr fontId="17" type="noConversion"/>
  </si>
  <si>
    <t>25X164</t>
    <phoneticPr fontId="22" type="noConversion"/>
  </si>
  <si>
    <t>2026-5-15</t>
    <phoneticPr fontId="17" type="noConversion"/>
  </si>
  <si>
    <t>SS35
24X151</t>
    <phoneticPr fontId="22" type="noConversion"/>
  </si>
  <si>
    <t>SS35
24X156</t>
    <phoneticPr fontId="22" type="noConversion"/>
  </si>
  <si>
    <t>4-11</t>
    <phoneticPr fontId="17" type="noConversion"/>
  </si>
  <si>
    <t>CA2602419</t>
    <phoneticPr fontId="22" type="noConversion"/>
  </si>
  <si>
    <t>英国</t>
    <phoneticPr fontId="17" type="noConversion"/>
  </si>
  <si>
    <t>CA2602408</t>
    <phoneticPr fontId="17" type="noConversion"/>
  </si>
  <si>
    <t>4-12</t>
    <phoneticPr fontId="17" type="noConversion"/>
  </si>
  <si>
    <t>PO009561</t>
    <phoneticPr fontId="22" type="noConversion"/>
  </si>
  <si>
    <t>4-13</t>
  </si>
  <si>
    <t>PO047663</t>
    <phoneticPr fontId="23" type="noConversion"/>
  </si>
  <si>
    <t>4-14</t>
    <phoneticPr fontId="17" type="noConversion"/>
  </si>
  <si>
    <t>24X142</t>
    <phoneticPr fontId="23" type="noConversion"/>
  </si>
  <si>
    <t>2026-6-15</t>
    <phoneticPr fontId="23" type="noConversion"/>
  </si>
  <si>
    <t>5-5</t>
    <phoneticPr fontId="17" type="noConversion"/>
  </si>
  <si>
    <t>5-6</t>
    <phoneticPr fontId="17" type="noConversion"/>
  </si>
  <si>
    <t>5-20</t>
    <phoneticPr fontId="17" type="noConversion"/>
  </si>
  <si>
    <t>6-10</t>
    <phoneticPr fontId="17" type="noConversion"/>
  </si>
  <si>
    <t>PO009733</t>
    <phoneticPr fontId="17" type="noConversion"/>
  </si>
  <si>
    <t>PO009774</t>
    <phoneticPr fontId="17" type="noConversion"/>
  </si>
  <si>
    <t>PO009736</t>
    <phoneticPr fontId="17" type="noConversion"/>
  </si>
  <si>
    <t>5-3</t>
    <phoneticPr fontId="17" type="noConversion"/>
  </si>
  <si>
    <t>25800/1</t>
    <phoneticPr fontId="17" type="noConversion"/>
  </si>
  <si>
    <t>24*165</t>
    <phoneticPr fontId="17" type="noConversion"/>
  </si>
  <si>
    <t>2026-5-26</t>
    <phoneticPr fontId="17" type="noConversion"/>
  </si>
  <si>
    <t>5-9</t>
    <phoneticPr fontId="17" type="noConversion"/>
  </si>
  <si>
    <t>6-20</t>
    <phoneticPr fontId="17" type="noConversion"/>
  </si>
  <si>
    <t>CA2602984</t>
    <phoneticPr fontId="17" type="noConversion"/>
  </si>
  <si>
    <t>6-1</t>
    <phoneticPr fontId="17" type="noConversion"/>
  </si>
  <si>
    <t>法国</t>
    <phoneticPr fontId="17" type="noConversion"/>
  </si>
  <si>
    <t>螺母</t>
    <phoneticPr fontId="17" type="noConversion"/>
  </si>
  <si>
    <t>M24</t>
    <phoneticPr fontId="17" type="noConversion"/>
  </si>
  <si>
    <t>7-6</t>
    <phoneticPr fontId="17" type="noConversion"/>
  </si>
  <si>
    <t>CA2602964</t>
    <phoneticPr fontId="17" type="noConversion"/>
  </si>
  <si>
    <t>CA2602974</t>
    <phoneticPr fontId="17" type="noConversion"/>
  </si>
  <si>
    <t>PO001836</t>
    <phoneticPr fontId="17" type="noConversion"/>
  </si>
  <si>
    <t>6-6</t>
    <phoneticPr fontId="17" type="noConversion"/>
  </si>
  <si>
    <t>印度</t>
    <phoneticPr fontId="17" type="noConversion"/>
  </si>
  <si>
    <t>23*149</t>
    <phoneticPr fontId="17" type="noConversion"/>
  </si>
  <si>
    <t>23*159</t>
    <phoneticPr fontId="17" type="noConversion"/>
  </si>
  <si>
    <t>2026-7-8</t>
    <phoneticPr fontId="17" type="noConversion"/>
  </si>
  <si>
    <t>2026-9-24</t>
    <phoneticPr fontId="17" type="noConversion"/>
  </si>
  <si>
    <t>2026-6-30</t>
    <phoneticPr fontId="17" type="noConversion"/>
  </si>
  <si>
    <t>6-9</t>
  </si>
  <si>
    <t>6-15</t>
    <phoneticPr fontId="17" type="noConversion"/>
  </si>
  <si>
    <t>澳洲</t>
    <phoneticPr fontId="17" type="noConversion"/>
  </si>
  <si>
    <t>6-16</t>
    <phoneticPr fontId="17" type="noConversion"/>
  </si>
  <si>
    <t>CA2603285</t>
    <phoneticPr fontId="17" type="noConversion"/>
  </si>
  <si>
    <t>24*151</t>
    <phoneticPr fontId="17" type="noConversion"/>
  </si>
  <si>
    <t>2026-7-22</t>
    <phoneticPr fontId="17" type="noConversion"/>
  </si>
  <si>
    <t>CA2603289</t>
    <phoneticPr fontId="17" type="noConversion"/>
  </si>
  <si>
    <t>23*149</t>
    <phoneticPr fontId="17" type="noConversion"/>
  </si>
  <si>
    <t>26130/1</t>
    <phoneticPr fontId="23" type="noConversion"/>
  </si>
  <si>
    <t>PO048022</t>
    <phoneticPr fontId="23" type="noConversion"/>
  </si>
  <si>
    <t>23*165</t>
    <phoneticPr fontId="17" type="noConversion"/>
  </si>
  <si>
    <t>2026-7-20</t>
    <phoneticPr fontId="17" type="noConversion"/>
  </si>
  <si>
    <t>6-17</t>
    <phoneticPr fontId="17" type="noConversion"/>
  </si>
  <si>
    <t>E225195
E225235</t>
    <phoneticPr fontId="17" type="noConversion"/>
  </si>
  <si>
    <t>PO010113</t>
    <phoneticPr fontId="17" type="noConversion"/>
  </si>
  <si>
    <t>25*164</t>
    <phoneticPr fontId="17" type="noConversion"/>
  </si>
  <si>
    <t>7-10开始分批</t>
    <phoneticPr fontId="17" type="noConversion"/>
  </si>
  <si>
    <t>24*161</t>
    <phoneticPr fontId="17" type="noConversion"/>
  </si>
  <si>
    <t>2026-7-30</t>
    <phoneticPr fontId="17" type="noConversion"/>
  </si>
  <si>
    <t>7-2</t>
    <phoneticPr fontId="17" type="noConversion"/>
  </si>
  <si>
    <t>CA2603581</t>
    <phoneticPr fontId="17" type="noConversion"/>
  </si>
  <si>
    <t>FAT</t>
    <phoneticPr fontId="17" type="noConversion"/>
  </si>
  <si>
    <t>2026-8-30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</si>
</sst>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6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9"/>
      <color indexed="8"/>
      <name val="宋体"/>
      <family val="3"/>
      <charset val="134"/>
    </font>
    <font>
      <sz val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0" xfId="0" applyNumberFormat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4" fontId="0" fillId="0" borderId="10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7" fontId="6" fillId="0" borderId="1" xfId="0" quotePrefix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1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4" fontId="11" fillId="5" borderId="2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49" fontId="19" fillId="5" borderId="4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0" fillId="0" borderId="1" xfId="0" applyNumberFormat="1" applyBorder="1">
      <alignment vertical="center"/>
    </xf>
    <xf numFmtId="0" fontId="1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8"/>
  <sheetViews>
    <sheetView tabSelected="1" topLeftCell="A199" zoomScale="130" zoomScaleNormal="130" workbookViewId="0">
      <selection activeCell="I203" sqref="I203"/>
    </sheetView>
  </sheetViews>
  <sheetFormatPr defaultColWidth="9" defaultRowHeight="13.5" x14ac:dyDescent="0.15"/>
  <cols>
    <col min="1" max="1" width="4.75" customWidth="1"/>
    <col min="2" max="2" width="13.375" customWidth="1"/>
    <col min="3" max="4" width="8.625" customWidth="1"/>
    <col min="5" max="5" width="10.375" customWidth="1"/>
    <col min="6" max="6" width="19.625" customWidth="1"/>
    <col min="7" max="7" width="10.625" customWidth="1"/>
    <col min="8" max="8" width="10.75" customWidth="1"/>
    <col min="9" max="9" width="12.375" customWidth="1"/>
    <col min="10" max="10" width="8.25" customWidth="1"/>
    <col min="11" max="11" width="6.75" customWidth="1"/>
    <col min="12" max="12" width="11" customWidth="1"/>
    <col min="13" max="13" width="12" style="2" customWidth="1"/>
    <col min="14" max="15" width="9" style="2"/>
    <col min="16" max="16" width="12.25" style="2" customWidth="1"/>
    <col min="17" max="17" width="8.125" customWidth="1"/>
  </cols>
  <sheetData>
    <row r="1" spans="1:17" ht="38.25" customHeight="1" x14ac:dyDescent="0.15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Q1" s="2"/>
    </row>
    <row r="2" spans="1:17" s="1" customFormat="1" ht="40.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3" t="s">
        <v>17</v>
      </c>
    </row>
    <row r="3" spans="1:17" ht="37.5" customHeight="1" x14ac:dyDescent="0.15">
      <c r="A3" s="4">
        <v>1</v>
      </c>
      <c r="B3" s="4" t="s">
        <v>18</v>
      </c>
      <c r="C3" s="5" t="s">
        <v>19</v>
      </c>
      <c r="D3" s="4" t="s">
        <v>20</v>
      </c>
      <c r="E3" s="4" t="s">
        <v>21</v>
      </c>
      <c r="F3" s="11" t="s">
        <v>22</v>
      </c>
      <c r="G3" s="4" t="s">
        <v>23</v>
      </c>
      <c r="H3" s="4">
        <v>251200</v>
      </c>
      <c r="I3" s="14">
        <v>43794</v>
      </c>
      <c r="J3" s="4" t="s">
        <v>24</v>
      </c>
      <c r="K3" s="4" t="s">
        <v>24</v>
      </c>
      <c r="L3" s="14">
        <v>43794</v>
      </c>
      <c r="M3" s="31" t="s">
        <v>25</v>
      </c>
      <c r="N3" s="4">
        <v>251200</v>
      </c>
      <c r="O3" s="4">
        <v>0.82</v>
      </c>
      <c r="P3" s="17">
        <f>N3*O3</f>
        <v>205984</v>
      </c>
      <c r="Q3" s="4"/>
    </row>
    <row r="4" spans="1:17" ht="23.25" customHeight="1" x14ac:dyDescent="0.15">
      <c r="A4" s="4">
        <v>2</v>
      </c>
      <c r="B4" s="4" t="s">
        <v>26</v>
      </c>
      <c r="C4" s="5" t="s">
        <v>27</v>
      </c>
      <c r="D4" s="4" t="s">
        <v>28</v>
      </c>
      <c r="E4" s="4" t="s">
        <v>21</v>
      </c>
      <c r="F4" s="4"/>
      <c r="G4" s="4" t="s">
        <v>29</v>
      </c>
      <c r="H4" s="4">
        <v>154</v>
      </c>
      <c r="I4" s="14">
        <v>43817</v>
      </c>
      <c r="J4" s="4" t="s">
        <v>24</v>
      </c>
      <c r="K4" s="4" t="s">
        <v>24</v>
      </c>
      <c r="L4" s="14">
        <v>43817</v>
      </c>
      <c r="M4" s="15"/>
      <c r="N4" s="4"/>
      <c r="O4" s="4">
        <v>0.88</v>
      </c>
      <c r="P4" s="15"/>
      <c r="Q4" s="4"/>
    </row>
    <row r="5" spans="1:17" ht="23.25" customHeight="1" x14ac:dyDescent="0.15">
      <c r="A5" s="4">
        <v>4</v>
      </c>
      <c r="B5" s="4" t="s">
        <v>30</v>
      </c>
      <c r="C5" s="5" t="s">
        <v>31</v>
      </c>
      <c r="D5" s="4" t="s">
        <v>32</v>
      </c>
      <c r="E5" s="4" t="s">
        <v>21</v>
      </c>
      <c r="F5" s="4" t="s">
        <v>33</v>
      </c>
      <c r="G5" s="4" t="s">
        <v>29</v>
      </c>
      <c r="H5" s="4">
        <v>3000</v>
      </c>
      <c r="I5" s="14">
        <v>43822</v>
      </c>
      <c r="J5" s="4" t="s">
        <v>24</v>
      </c>
      <c r="K5" s="4" t="s">
        <v>24</v>
      </c>
      <c r="L5" s="14">
        <v>43843</v>
      </c>
      <c r="M5" s="15"/>
      <c r="N5" s="4">
        <v>3040</v>
      </c>
      <c r="O5" s="4">
        <v>0.88</v>
      </c>
      <c r="P5" s="4">
        <f>N5*O5</f>
        <v>2675.2</v>
      </c>
      <c r="Q5" s="4"/>
    </row>
    <row r="6" spans="1:17" ht="23.25" customHeight="1" x14ac:dyDescent="0.15">
      <c r="A6" s="4">
        <v>5</v>
      </c>
      <c r="B6" s="4" t="s">
        <v>34</v>
      </c>
      <c r="C6" s="5" t="s">
        <v>35</v>
      </c>
      <c r="D6" s="4" t="s">
        <v>32</v>
      </c>
      <c r="E6" s="4" t="s">
        <v>21</v>
      </c>
      <c r="F6" s="4" t="s">
        <v>36</v>
      </c>
      <c r="G6" s="4" t="s">
        <v>37</v>
      </c>
      <c r="H6" s="4">
        <v>9140</v>
      </c>
      <c r="I6" s="32">
        <v>43891</v>
      </c>
      <c r="J6" s="14"/>
      <c r="K6" s="14"/>
      <c r="L6" s="14"/>
      <c r="M6" s="15" t="s">
        <v>38</v>
      </c>
      <c r="N6" s="4"/>
      <c r="O6" s="4"/>
      <c r="P6" s="4"/>
      <c r="Q6" s="14"/>
    </row>
    <row r="7" spans="1:17" ht="23.25" customHeight="1" x14ac:dyDescent="0.15">
      <c r="A7" s="4">
        <v>6</v>
      </c>
      <c r="B7" s="125" t="s">
        <v>39</v>
      </c>
      <c r="C7" s="133" t="s">
        <v>40</v>
      </c>
      <c r="D7" s="125" t="s">
        <v>41</v>
      </c>
      <c r="E7" s="4" t="s">
        <v>21</v>
      </c>
      <c r="F7" s="4" t="s">
        <v>42</v>
      </c>
      <c r="G7" s="4" t="s">
        <v>43</v>
      </c>
      <c r="H7" s="4">
        <v>1040</v>
      </c>
      <c r="I7" s="128">
        <v>43881</v>
      </c>
      <c r="J7" s="128" t="s">
        <v>24</v>
      </c>
      <c r="K7" s="128" t="s">
        <v>24</v>
      </c>
      <c r="L7" s="128">
        <v>43914</v>
      </c>
      <c r="M7" s="15"/>
      <c r="N7" s="4">
        <v>1040</v>
      </c>
      <c r="O7" s="4">
        <v>1.1100000000000001</v>
      </c>
      <c r="P7" s="4">
        <f t="shared" ref="P7:P8" si="0">N7*O7</f>
        <v>1154.4000000000001</v>
      </c>
      <c r="Q7" s="128"/>
    </row>
    <row r="8" spans="1:17" ht="23.25" customHeight="1" x14ac:dyDescent="0.15">
      <c r="A8" s="4">
        <v>7</v>
      </c>
      <c r="B8" s="127"/>
      <c r="C8" s="134"/>
      <c r="D8" s="127"/>
      <c r="E8" s="4" t="s">
        <v>21</v>
      </c>
      <c r="F8" s="4" t="s">
        <v>44</v>
      </c>
      <c r="G8" s="4" t="s">
        <v>45</v>
      </c>
      <c r="H8" s="4">
        <v>220</v>
      </c>
      <c r="I8" s="129"/>
      <c r="J8" s="129"/>
      <c r="K8" s="129"/>
      <c r="L8" s="129"/>
      <c r="M8" s="15"/>
      <c r="N8" s="4">
        <v>220</v>
      </c>
      <c r="O8" s="4">
        <v>1.17</v>
      </c>
      <c r="P8" s="4">
        <f t="shared" si="0"/>
        <v>257.39999999999998</v>
      </c>
      <c r="Q8" s="129"/>
    </row>
    <row r="9" spans="1:17" ht="23.25" customHeight="1" x14ac:dyDescent="0.15">
      <c r="A9" s="4">
        <v>9</v>
      </c>
      <c r="B9" s="4" t="s">
        <v>46</v>
      </c>
      <c r="C9" s="5" t="s">
        <v>47</v>
      </c>
      <c r="D9" s="4" t="s">
        <v>28</v>
      </c>
      <c r="E9" s="4" t="s">
        <v>21</v>
      </c>
      <c r="F9" s="4" t="s">
        <v>48</v>
      </c>
      <c r="G9" s="4" t="s">
        <v>49</v>
      </c>
      <c r="H9" s="4">
        <v>10000</v>
      </c>
      <c r="I9" s="14">
        <v>43978</v>
      </c>
      <c r="J9" s="4" t="s">
        <v>24</v>
      </c>
      <c r="K9" s="4" t="s">
        <v>24</v>
      </c>
      <c r="L9" s="14">
        <v>44020</v>
      </c>
      <c r="M9" s="4" t="s">
        <v>50</v>
      </c>
      <c r="N9" s="4">
        <v>10000</v>
      </c>
      <c r="O9" s="4">
        <v>0.77</v>
      </c>
      <c r="P9" s="4">
        <f t="shared" ref="P9:P20" si="1">N9*O9</f>
        <v>7700</v>
      </c>
      <c r="Q9" s="4"/>
    </row>
    <row r="10" spans="1:17" ht="23.25" customHeight="1" x14ac:dyDescent="0.15">
      <c r="A10" s="4">
        <v>10</v>
      </c>
      <c r="B10" s="4" t="s">
        <v>51</v>
      </c>
      <c r="C10" s="5" t="s">
        <v>52</v>
      </c>
      <c r="D10" s="4" t="s">
        <v>53</v>
      </c>
      <c r="E10" s="4" t="s">
        <v>21</v>
      </c>
      <c r="F10" s="4" t="s">
        <v>54</v>
      </c>
      <c r="G10" s="4" t="s">
        <v>55</v>
      </c>
      <c r="H10" s="4">
        <v>100</v>
      </c>
      <c r="I10" s="14">
        <v>44025</v>
      </c>
      <c r="J10" s="4" t="s">
        <v>24</v>
      </c>
      <c r="K10" s="4" t="s">
        <v>24</v>
      </c>
      <c r="L10" s="14">
        <v>44022</v>
      </c>
      <c r="M10" s="4" t="s">
        <v>50</v>
      </c>
      <c r="N10" s="4">
        <v>100</v>
      </c>
      <c r="O10" s="4">
        <v>1.05</v>
      </c>
      <c r="P10" s="4">
        <f t="shared" si="1"/>
        <v>105</v>
      </c>
      <c r="Q10" s="4"/>
    </row>
    <row r="11" spans="1:17" ht="23.25" customHeight="1" x14ac:dyDescent="0.15">
      <c r="A11" s="4">
        <v>11</v>
      </c>
      <c r="B11" s="125" t="s">
        <v>56</v>
      </c>
      <c r="C11" s="133" t="s">
        <v>57</v>
      </c>
      <c r="D11" s="125" t="s">
        <v>28</v>
      </c>
      <c r="E11" s="4" t="s">
        <v>21</v>
      </c>
      <c r="F11" s="4" t="s">
        <v>58</v>
      </c>
      <c r="G11" s="4" t="s">
        <v>59</v>
      </c>
      <c r="H11" s="4">
        <f>70+32+6</f>
        <v>108</v>
      </c>
      <c r="I11" s="14">
        <v>44046</v>
      </c>
      <c r="J11" s="4" t="s">
        <v>24</v>
      </c>
      <c r="K11" s="4" t="s">
        <v>24</v>
      </c>
      <c r="L11" s="14">
        <v>44075</v>
      </c>
      <c r="M11" s="4" t="s">
        <v>50</v>
      </c>
      <c r="N11" s="4">
        <v>108</v>
      </c>
      <c r="O11" s="4">
        <v>1.27</v>
      </c>
      <c r="P11" s="4">
        <f t="shared" si="1"/>
        <v>137.16</v>
      </c>
      <c r="Q11" s="4"/>
    </row>
    <row r="12" spans="1:17" ht="23.25" customHeight="1" x14ac:dyDescent="0.15">
      <c r="A12" s="4">
        <v>12</v>
      </c>
      <c r="B12" s="127"/>
      <c r="C12" s="134"/>
      <c r="D12" s="127"/>
      <c r="E12" s="4" t="s">
        <v>21</v>
      </c>
      <c r="F12" s="4" t="s">
        <v>44</v>
      </c>
      <c r="G12" s="4" t="s">
        <v>59</v>
      </c>
      <c r="H12" s="4">
        <v>48520</v>
      </c>
      <c r="I12" s="13">
        <v>44099</v>
      </c>
      <c r="J12" s="4" t="s">
        <v>24</v>
      </c>
      <c r="K12" s="4" t="s">
        <v>24</v>
      </c>
      <c r="L12" s="14">
        <v>44132</v>
      </c>
      <c r="M12" s="4" t="s">
        <v>50</v>
      </c>
      <c r="N12" s="4">
        <v>48520</v>
      </c>
      <c r="O12" s="4">
        <v>1.27</v>
      </c>
      <c r="P12" s="4">
        <f t="shared" si="1"/>
        <v>61620.4</v>
      </c>
      <c r="Q12" s="4"/>
    </row>
    <row r="13" spans="1:17" ht="34.5" customHeight="1" x14ac:dyDescent="0.15">
      <c r="A13" s="4">
        <v>13</v>
      </c>
      <c r="B13" s="4" t="s">
        <v>60</v>
      </c>
      <c r="C13" s="5" t="s">
        <v>61</v>
      </c>
      <c r="D13" s="4" t="s">
        <v>28</v>
      </c>
      <c r="E13" s="4" t="s">
        <v>21</v>
      </c>
      <c r="F13" s="11" t="s">
        <v>62</v>
      </c>
      <c r="G13" s="4" t="s">
        <v>63</v>
      </c>
      <c r="H13" s="4">
        <v>500</v>
      </c>
      <c r="I13" s="13">
        <v>44099</v>
      </c>
      <c r="J13" s="4" t="s">
        <v>24</v>
      </c>
      <c r="K13" s="4" t="s">
        <v>24</v>
      </c>
      <c r="L13" s="14">
        <v>44123</v>
      </c>
      <c r="M13" s="4" t="s">
        <v>50</v>
      </c>
      <c r="N13" s="4">
        <v>500</v>
      </c>
      <c r="O13" s="4">
        <v>1.44</v>
      </c>
      <c r="P13" s="4">
        <f t="shared" si="1"/>
        <v>720</v>
      </c>
      <c r="Q13" s="4"/>
    </row>
    <row r="14" spans="1:17" ht="23.25" customHeight="1" x14ac:dyDescent="0.15">
      <c r="A14" s="4">
        <v>14</v>
      </c>
      <c r="B14" s="125" t="s">
        <v>64</v>
      </c>
      <c r="C14" s="133" t="s">
        <v>65</v>
      </c>
      <c r="D14" s="4" t="s">
        <v>20</v>
      </c>
      <c r="E14" s="4" t="s">
        <v>21</v>
      </c>
      <c r="F14" s="11" t="s">
        <v>66</v>
      </c>
      <c r="G14" s="4" t="s">
        <v>67</v>
      </c>
      <c r="H14" s="4">
        <v>5040</v>
      </c>
      <c r="I14" s="13">
        <v>44098</v>
      </c>
      <c r="J14" s="4" t="s">
        <v>24</v>
      </c>
      <c r="K14" s="4" t="s">
        <v>24</v>
      </c>
      <c r="L14" s="14">
        <v>44120</v>
      </c>
      <c r="M14" s="4" t="s">
        <v>50</v>
      </c>
      <c r="N14" s="4">
        <v>5040</v>
      </c>
      <c r="O14" s="4">
        <v>0.93</v>
      </c>
      <c r="P14" s="4">
        <f t="shared" si="1"/>
        <v>4687.2</v>
      </c>
      <c r="Q14" s="4"/>
    </row>
    <row r="15" spans="1:17" ht="23.25" customHeight="1" x14ac:dyDescent="0.15">
      <c r="A15" s="4">
        <v>15</v>
      </c>
      <c r="B15" s="127"/>
      <c r="C15" s="134"/>
      <c r="D15" s="4" t="s">
        <v>20</v>
      </c>
      <c r="E15" s="4" t="s">
        <v>68</v>
      </c>
      <c r="F15" s="11" t="s">
        <v>69</v>
      </c>
      <c r="G15" s="4"/>
      <c r="H15" s="4">
        <v>5000</v>
      </c>
      <c r="I15" s="13"/>
      <c r="J15" s="4" t="s">
        <v>70</v>
      </c>
      <c r="K15" s="4" t="s">
        <v>24</v>
      </c>
      <c r="L15" s="14"/>
      <c r="M15" s="4" t="s">
        <v>50</v>
      </c>
      <c r="N15" s="4">
        <v>3200</v>
      </c>
      <c r="O15" s="4">
        <v>0.32</v>
      </c>
      <c r="P15" s="4">
        <f t="shared" si="1"/>
        <v>1024</v>
      </c>
      <c r="Q15" s="4"/>
    </row>
    <row r="16" spans="1:17" ht="23.25" customHeight="1" x14ac:dyDescent="0.15">
      <c r="A16" s="4">
        <v>16</v>
      </c>
      <c r="B16" s="4" t="s">
        <v>71</v>
      </c>
      <c r="C16" s="5" t="s">
        <v>72</v>
      </c>
      <c r="D16" s="4" t="s">
        <v>28</v>
      </c>
      <c r="E16" s="4" t="s">
        <v>21</v>
      </c>
      <c r="F16" s="4" t="s">
        <v>48</v>
      </c>
      <c r="G16" s="4" t="s">
        <v>49</v>
      </c>
      <c r="H16" s="4">
        <v>400</v>
      </c>
      <c r="I16" s="13">
        <v>44102</v>
      </c>
      <c r="J16" s="4" t="s">
        <v>24</v>
      </c>
      <c r="K16" s="4" t="s">
        <v>24</v>
      </c>
      <c r="L16" s="14">
        <v>44095</v>
      </c>
      <c r="M16" s="4" t="s">
        <v>50</v>
      </c>
      <c r="N16" s="4">
        <v>400</v>
      </c>
      <c r="O16" s="4">
        <v>0.97</v>
      </c>
      <c r="P16" s="4">
        <f t="shared" si="1"/>
        <v>388</v>
      </c>
      <c r="Q16" s="4"/>
    </row>
    <row r="17" spans="1:17" ht="23.25" customHeight="1" x14ac:dyDescent="0.15">
      <c r="A17" s="4">
        <v>17</v>
      </c>
      <c r="B17" s="4" t="s">
        <v>73</v>
      </c>
      <c r="C17" s="135" t="s">
        <v>74</v>
      </c>
      <c r="D17" s="4" t="s">
        <v>75</v>
      </c>
      <c r="E17" s="4" t="s">
        <v>21</v>
      </c>
      <c r="F17" s="4" t="s">
        <v>54</v>
      </c>
      <c r="G17" s="4" t="s">
        <v>55</v>
      </c>
      <c r="H17" s="21">
        <v>800</v>
      </c>
      <c r="I17" s="13">
        <v>44124</v>
      </c>
      <c r="J17" s="4" t="s">
        <v>24</v>
      </c>
      <c r="K17" s="4" t="s">
        <v>24</v>
      </c>
      <c r="L17" s="14">
        <v>44133</v>
      </c>
      <c r="M17" s="4" t="s">
        <v>50</v>
      </c>
      <c r="N17" s="4">
        <v>800</v>
      </c>
      <c r="O17" s="4">
        <v>1.05</v>
      </c>
      <c r="P17" s="4">
        <f t="shared" si="1"/>
        <v>840</v>
      </c>
      <c r="Q17" s="4"/>
    </row>
    <row r="18" spans="1:17" ht="23.25" customHeight="1" x14ac:dyDescent="0.15">
      <c r="A18" s="4">
        <v>18</v>
      </c>
      <c r="B18" s="4" t="s">
        <v>76</v>
      </c>
      <c r="C18" s="136"/>
      <c r="D18" s="4" t="s">
        <v>75</v>
      </c>
      <c r="E18" s="4" t="s">
        <v>21</v>
      </c>
      <c r="F18" s="4" t="s">
        <v>54</v>
      </c>
      <c r="G18" s="4" t="s">
        <v>55</v>
      </c>
      <c r="H18" s="21">
        <v>200</v>
      </c>
      <c r="I18" s="13">
        <v>44124</v>
      </c>
      <c r="J18" s="4" t="s">
        <v>24</v>
      </c>
      <c r="K18" s="4" t="s">
        <v>24</v>
      </c>
      <c r="L18" s="14">
        <v>44133</v>
      </c>
      <c r="M18" s="4" t="s">
        <v>50</v>
      </c>
      <c r="N18" s="4">
        <v>200</v>
      </c>
      <c r="O18" s="4">
        <v>1.05</v>
      </c>
      <c r="P18" s="4">
        <f t="shared" si="1"/>
        <v>210</v>
      </c>
      <c r="Q18" s="4"/>
    </row>
    <row r="19" spans="1:17" ht="23.25" customHeight="1" x14ac:dyDescent="0.15">
      <c r="A19" s="4">
        <v>19</v>
      </c>
      <c r="B19" s="4" t="s">
        <v>77</v>
      </c>
      <c r="C19" s="5" t="s">
        <v>19</v>
      </c>
      <c r="D19" s="4" t="s">
        <v>32</v>
      </c>
      <c r="E19" s="4" t="s">
        <v>21</v>
      </c>
      <c r="F19" s="4" t="s">
        <v>33</v>
      </c>
      <c r="G19" s="4" t="s">
        <v>29</v>
      </c>
      <c r="H19" s="22">
        <v>1012</v>
      </c>
      <c r="I19" s="13">
        <v>44134</v>
      </c>
      <c r="J19" s="4" t="s">
        <v>24</v>
      </c>
      <c r="K19" s="4" t="s">
        <v>24</v>
      </c>
      <c r="L19" s="33">
        <v>44132</v>
      </c>
      <c r="M19" s="4" t="s">
        <v>50</v>
      </c>
      <c r="N19" s="4">
        <v>1012</v>
      </c>
      <c r="O19" s="4">
        <v>0.88</v>
      </c>
      <c r="P19" s="4">
        <f t="shared" si="1"/>
        <v>890.56000000000006</v>
      </c>
      <c r="Q19" s="40"/>
    </row>
    <row r="20" spans="1:17" ht="23.25" customHeight="1" x14ac:dyDescent="0.15">
      <c r="A20" s="4">
        <v>20</v>
      </c>
      <c r="B20" s="4" t="s">
        <v>78</v>
      </c>
      <c r="C20" s="5" t="s">
        <v>79</v>
      </c>
      <c r="D20" s="4" t="s">
        <v>41</v>
      </c>
      <c r="E20" s="4" t="s">
        <v>21</v>
      </c>
      <c r="F20" s="4" t="s">
        <v>80</v>
      </c>
      <c r="G20" s="4" t="s">
        <v>81</v>
      </c>
      <c r="H20" s="4">
        <v>9000</v>
      </c>
      <c r="I20" s="13">
        <v>43768</v>
      </c>
      <c r="J20" s="4" t="s">
        <v>24</v>
      </c>
      <c r="K20" s="4" t="s">
        <v>24</v>
      </c>
      <c r="L20" s="14">
        <v>44131</v>
      </c>
      <c r="M20" s="4" t="s">
        <v>82</v>
      </c>
      <c r="N20" s="4">
        <v>9000</v>
      </c>
      <c r="O20" s="4">
        <v>1.2</v>
      </c>
      <c r="P20" s="4">
        <f t="shared" si="1"/>
        <v>10800</v>
      </c>
      <c r="Q20" s="4"/>
    </row>
    <row r="21" spans="1:17" ht="18" customHeight="1" x14ac:dyDescent="0.15">
      <c r="A21" s="4">
        <v>21</v>
      </c>
      <c r="B21" s="4" t="s">
        <v>83</v>
      </c>
      <c r="C21" s="5" t="s">
        <v>84</v>
      </c>
      <c r="D21" s="4" t="s">
        <v>20</v>
      </c>
      <c r="E21" s="4" t="s">
        <v>21</v>
      </c>
      <c r="F21" s="11" t="s">
        <v>66</v>
      </c>
      <c r="G21" s="4" t="s">
        <v>67</v>
      </c>
      <c r="H21" s="4">
        <v>5760</v>
      </c>
      <c r="I21" s="14">
        <v>44165</v>
      </c>
      <c r="J21" s="4" t="s">
        <v>24</v>
      </c>
      <c r="K21" s="4" t="s">
        <v>24</v>
      </c>
      <c r="L21" s="14">
        <v>44168</v>
      </c>
      <c r="M21" s="4" t="s">
        <v>50</v>
      </c>
      <c r="N21" s="4">
        <v>5760</v>
      </c>
      <c r="O21" s="4">
        <v>0.93</v>
      </c>
      <c r="P21" s="4">
        <f t="shared" ref="P21:P22" si="2">N21*O21</f>
        <v>5356.8</v>
      </c>
      <c r="Q21" s="4"/>
    </row>
    <row r="22" spans="1:17" ht="18" customHeight="1" x14ac:dyDescent="0.15">
      <c r="A22" s="4">
        <v>22</v>
      </c>
      <c r="B22" s="4" t="s">
        <v>85</v>
      </c>
      <c r="C22" s="5" t="s">
        <v>86</v>
      </c>
      <c r="D22" s="4" t="s">
        <v>41</v>
      </c>
      <c r="E22" s="4" t="s">
        <v>21</v>
      </c>
      <c r="F22" s="4" t="s">
        <v>80</v>
      </c>
      <c r="G22" s="4" t="s">
        <v>81</v>
      </c>
      <c r="H22" s="4">
        <v>27620</v>
      </c>
      <c r="I22" s="14">
        <v>44195</v>
      </c>
      <c r="J22" s="4" t="s">
        <v>24</v>
      </c>
      <c r="K22" s="4" t="s">
        <v>24</v>
      </c>
      <c r="L22" s="34">
        <v>44195</v>
      </c>
      <c r="M22" s="4" t="s">
        <v>87</v>
      </c>
      <c r="N22" s="4">
        <v>27620</v>
      </c>
      <c r="O22" s="4">
        <v>1.21</v>
      </c>
      <c r="P22" s="4">
        <f t="shared" si="2"/>
        <v>33420.199999999997</v>
      </c>
      <c r="Q22" s="4"/>
    </row>
    <row r="23" spans="1:17" ht="18" customHeight="1" x14ac:dyDescent="0.15">
      <c r="A23" s="4">
        <v>23</v>
      </c>
      <c r="B23" s="4" t="s">
        <v>88</v>
      </c>
      <c r="C23" s="5" t="s">
        <v>89</v>
      </c>
      <c r="D23" s="4" t="s">
        <v>28</v>
      </c>
      <c r="E23" s="4" t="s">
        <v>90</v>
      </c>
      <c r="F23" s="4" t="s">
        <v>91</v>
      </c>
      <c r="G23" s="4" t="s">
        <v>92</v>
      </c>
      <c r="H23" s="4">
        <v>7</v>
      </c>
      <c r="I23" s="14">
        <v>44201</v>
      </c>
      <c r="J23" s="4"/>
      <c r="K23" s="4"/>
      <c r="L23" s="14"/>
      <c r="M23" s="4" t="s">
        <v>50</v>
      </c>
      <c r="N23" s="4"/>
      <c r="O23" s="4">
        <v>1.53</v>
      </c>
      <c r="P23" s="4"/>
      <c r="Q23" s="4"/>
    </row>
    <row r="24" spans="1:17" ht="23.25" customHeight="1" x14ac:dyDescent="0.15">
      <c r="A24" s="4">
        <v>24</v>
      </c>
      <c r="B24" s="125" t="s">
        <v>93</v>
      </c>
      <c r="C24" s="133" t="s">
        <v>94</v>
      </c>
      <c r="D24" s="4" t="s">
        <v>95</v>
      </c>
      <c r="E24" s="4" t="s">
        <v>96</v>
      </c>
      <c r="F24" s="4" t="s">
        <v>97</v>
      </c>
      <c r="G24" s="4" t="s">
        <v>98</v>
      </c>
      <c r="H24" s="4">
        <v>50000</v>
      </c>
      <c r="I24" s="13"/>
      <c r="J24" s="14" t="s">
        <v>24</v>
      </c>
      <c r="K24" s="14" t="s">
        <v>24</v>
      </c>
      <c r="L24" s="14">
        <v>44228</v>
      </c>
      <c r="M24" s="4" t="s">
        <v>50</v>
      </c>
      <c r="N24" s="4">
        <v>50000</v>
      </c>
      <c r="O24" s="4">
        <v>0.73</v>
      </c>
      <c r="P24" s="4">
        <f t="shared" ref="P24" si="3">N24*O24</f>
        <v>36500</v>
      </c>
      <c r="Q24" s="14"/>
    </row>
    <row r="25" spans="1:17" ht="23.25" customHeight="1" x14ac:dyDescent="0.15">
      <c r="A25" s="4">
        <v>25</v>
      </c>
      <c r="B25" s="126"/>
      <c r="C25" s="137"/>
      <c r="D25" s="4" t="s">
        <v>95</v>
      </c>
      <c r="E25" s="4" t="s">
        <v>96</v>
      </c>
      <c r="F25" s="4" t="s">
        <v>97</v>
      </c>
      <c r="G25" s="4" t="s">
        <v>98</v>
      </c>
      <c r="H25" s="23">
        <v>68570</v>
      </c>
      <c r="I25" s="13">
        <v>44734</v>
      </c>
      <c r="J25" s="35" t="s">
        <v>99</v>
      </c>
      <c r="K25" s="35" t="s">
        <v>99</v>
      </c>
      <c r="L25" s="14"/>
      <c r="M25" s="4" t="s">
        <v>50</v>
      </c>
      <c r="N25" s="4"/>
      <c r="O25" s="4"/>
      <c r="P25" s="4"/>
      <c r="Q25" s="35"/>
    </row>
    <row r="26" spans="1:17" ht="23.25" customHeight="1" x14ac:dyDescent="0.15">
      <c r="A26" s="4">
        <v>26</v>
      </c>
      <c r="B26" s="127"/>
      <c r="C26" s="134"/>
      <c r="D26" s="4" t="s">
        <v>95</v>
      </c>
      <c r="E26" s="4" t="s">
        <v>96</v>
      </c>
      <c r="F26" s="4" t="s">
        <v>97</v>
      </c>
      <c r="G26" s="4" t="s">
        <v>98</v>
      </c>
      <c r="H26" s="23">
        <v>68570</v>
      </c>
      <c r="I26" s="13">
        <v>44501</v>
      </c>
      <c r="J26" s="35" t="s">
        <v>99</v>
      </c>
      <c r="K26" s="35" t="s">
        <v>99</v>
      </c>
      <c r="L26" s="14"/>
      <c r="M26" s="4" t="s">
        <v>50</v>
      </c>
      <c r="N26" s="4"/>
      <c r="O26" s="4"/>
      <c r="P26" s="4"/>
      <c r="Q26" s="35"/>
    </row>
    <row r="27" spans="1:17" ht="18" customHeight="1" x14ac:dyDescent="0.15">
      <c r="A27" s="4">
        <v>27</v>
      </c>
      <c r="B27" s="4" t="s">
        <v>100</v>
      </c>
      <c r="C27" s="5" t="s">
        <v>101</v>
      </c>
      <c r="D27" s="4" t="s">
        <v>95</v>
      </c>
      <c r="E27" s="4" t="s">
        <v>96</v>
      </c>
      <c r="F27" s="4" t="s">
        <v>97</v>
      </c>
      <c r="G27" s="4" t="s">
        <v>98</v>
      </c>
      <c r="H27" s="4">
        <v>78000</v>
      </c>
      <c r="I27" s="14">
        <v>44232</v>
      </c>
      <c r="J27" s="4" t="s">
        <v>24</v>
      </c>
      <c r="K27" s="4" t="s">
        <v>24</v>
      </c>
      <c r="L27" s="14">
        <v>44249</v>
      </c>
      <c r="M27" s="4" t="s">
        <v>50</v>
      </c>
      <c r="N27" s="4">
        <v>78000</v>
      </c>
      <c r="O27" s="4">
        <v>0.76</v>
      </c>
      <c r="P27" s="4">
        <f t="shared" ref="P27:P34" si="4">N27*O27</f>
        <v>59280</v>
      </c>
      <c r="Q27" s="4"/>
    </row>
    <row r="28" spans="1:17" ht="18" customHeight="1" x14ac:dyDescent="0.15">
      <c r="A28" s="4">
        <v>28</v>
      </c>
      <c r="B28" s="4" t="s">
        <v>102</v>
      </c>
      <c r="C28" s="5" t="s">
        <v>103</v>
      </c>
      <c r="D28" s="4" t="s">
        <v>20</v>
      </c>
      <c r="E28" s="4" t="s">
        <v>21</v>
      </c>
      <c r="F28" s="11" t="s">
        <v>66</v>
      </c>
      <c r="G28" s="4" t="s">
        <v>67</v>
      </c>
      <c r="H28" s="4">
        <v>8000</v>
      </c>
      <c r="I28" s="14">
        <v>44232</v>
      </c>
      <c r="J28" s="4" t="s">
        <v>24</v>
      </c>
      <c r="K28" s="4" t="s">
        <v>24</v>
      </c>
      <c r="L28" s="14">
        <v>44255</v>
      </c>
      <c r="M28" s="4" t="s">
        <v>50</v>
      </c>
      <c r="N28" s="4">
        <v>8000</v>
      </c>
      <c r="O28" s="4">
        <v>0.93</v>
      </c>
      <c r="P28" s="4">
        <f t="shared" si="4"/>
        <v>7440</v>
      </c>
      <c r="Q28" s="4"/>
    </row>
    <row r="29" spans="1:17" ht="18" customHeight="1" x14ac:dyDescent="0.15">
      <c r="A29" s="4">
        <v>29</v>
      </c>
      <c r="B29" s="4" t="s">
        <v>104</v>
      </c>
      <c r="C29" s="5" t="s">
        <v>105</v>
      </c>
      <c r="D29" s="4" t="s">
        <v>32</v>
      </c>
      <c r="E29" s="4" t="s">
        <v>21</v>
      </c>
      <c r="F29" s="4" t="s">
        <v>36</v>
      </c>
      <c r="G29" s="4" t="s">
        <v>37</v>
      </c>
      <c r="H29" s="4">
        <v>148000</v>
      </c>
      <c r="I29" s="14">
        <v>44275</v>
      </c>
      <c r="J29" s="4" t="s">
        <v>24</v>
      </c>
      <c r="K29" s="4" t="s">
        <v>24</v>
      </c>
      <c r="L29" s="14"/>
      <c r="M29" s="4" t="s">
        <v>50</v>
      </c>
      <c r="N29" s="4"/>
      <c r="O29" s="4">
        <v>0.79</v>
      </c>
      <c r="P29" s="4">
        <f t="shared" si="4"/>
        <v>0</v>
      </c>
      <c r="Q29" s="41"/>
    </row>
    <row r="30" spans="1:17" ht="18" customHeight="1" x14ac:dyDescent="0.15">
      <c r="A30" s="4">
        <v>30</v>
      </c>
      <c r="B30" s="4" t="s">
        <v>106</v>
      </c>
      <c r="C30" s="5" t="s">
        <v>107</v>
      </c>
      <c r="D30" s="4" t="s">
        <v>41</v>
      </c>
      <c r="E30" s="4" t="s">
        <v>21</v>
      </c>
      <c r="F30" s="4" t="s">
        <v>80</v>
      </c>
      <c r="G30" s="4" t="s">
        <v>81</v>
      </c>
      <c r="H30" s="4">
        <v>4000</v>
      </c>
      <c r="I30" s="14">
        <v>44341</v>
      </c>
      <c r="J30" s="4" t="s">
        <v>24</v>
      </c>
      <c r="K30" s="4" t="s">
        <v>24</v>
      </c>
      <c r="L30" s="14">
        <v>44355</v>
      </c>
      <c r="M30" s="4" t="s">
        <v>87</v>
      </c>
      <c r="N30" s="4">
        <v>4000</v>
      </c>
      <c r="O30" s="4">
        <v>1.21</v>
      </c>
      <c r="P30" s="4">
        <f t="shared" si="4"/>
        <v>4840</v>
      </c>
      <c r="Q30" s="4"/>
    </row>
    <row r="31" spans="1:17" ht="18" customHeight="1" x14ac:dyDescent="0.15">
      <c r="A31" s="4">
        <v>31</v>
      </c>
      <c r="B31" s="6" t="s">
        <v>56</v>
      </c>
      <c r="C31" s="7"/>
      <c r="D31" s="4" t="s">
        <v>28</v>
      </c>
      <c r="E31" s="4" t="s">
        <v>21</v>
      </c>
      <c r="F31" s="4" t="s">
        <v>58</v>
      </c>
      <c r="G31" s="4" t="s">
        <v>59</v>
      </c>
      <c r="H31" s="4">
        <v>150</v>
      </c>
      <c r="I31" s="14">
        <v>44316</v>
      </c>
      <c r="J31" s="4" t="s">
        <v>24</v>
      </c>
      <c r="K31" s="4" t="s">
        <v>24</v>
      </c>
      <c r="L31" s="34">
        <v>44316</v>
      </c>
      <c r="M31" s="4" t="s">
        <v>50</v>
      </c>
      <c r="N31" s="4">
        <v>150</v>
      </c>
      <c r="O31" s="4">
        <v>1.27</v>
      </c>
      <c r="P31" s="4">
        <f t="shared" si="4"/>
        <v>190.5</v>
      </c>
      <c r="Q31" s="4"/>
    </row>
    <row r="32" spans="1:17" ht="18" customHeight="1" x14ac:dyDescent="0.15">
      <c r="A32" s="4">
        <v>32</v>
      </c>
      <c r="B32" s="125" t="s">
        <v>108</v>
      </c>
      <c r="C32" s="133" t="s">
        <v>109</v>
      </c>
      <c r="D32" s="4" t="s">
        <v>95</v>
      </c>
      <c r="E32" s="4" t="s">
        <v>96</v>
      </c>
      <c r="F32" s="4" t="s">
        <v>97</v>
      </c>
      <c r="G32" s="4" t="s">
        <v>98</v>
      </c>
      <c r="H32" s="4">
        <v>60000</v>
      </c>
      <c r="I32" s="14">
        <v>44316</v>
      </c>
      <c r="J32" s="4" t="s">
        <v>24</v>
      </c>
      <c r="K32" s="4" t="s">
        <v>24</v>
      </c>
      <c r="L32" s="34">
        <v>44340</v>
      </c>
      <c r="M32" s="4" t="s">
        <v>50</v>
      </c>
      <c r="N32" s="4">
        <v>60000</v>
      </c>
      <c r="O32" s="4">
        <v>0.8</v>
      </c>
      <c r="P32" s="4">
        <f t="shared" si="4"/>
        <v>48000</v>
      </c>
      <c r="Q32" s="4"/>
    </row>
    <row r="33" spans="1:17" ht="18" customHeight="1" x14ac:dyDescent="0.15">
      <c r="A33" s="4">
        <v>33</v>
      </c>
      <c r="B33" s="126"/>
      <c r="C33" s="137"/>
      <c r="D33" s="4" t="s">
        <v>95</v>
      </c>
      <c r="E33" s="4" t="s">
        <v>96</v>
      </c>
      <c r="F33" s="4" t="s">
        <v>97</v>
      </c>
      <c r="G33" s="4" t="s">
        <v>98</v>
      </c>
      <c r="H33" s="4">
        <v>60000</v>
      </c>
      <c r="I33" s="14">
        <v>44362</v>
      </c>
      <c r="J33" s="4" t="s">
        <v>24</v>
      </c>
      <c r="K33" s="4" t="s">
        <v>24</v>
      </c>
      <c r="L33" s="14">
        <v>44368</v>
      </c>
      <c r="M33" s="4" t="s">
        <v>50</v>
      </c>
      <c r="N33" s="4">
        <v>60000</v>
      </c>
      <c r="O33" s="4">
        <v>0.8</v>
      </c>
      <c r="P33" s="4">
        <f t="shared" ref="P33" si="5">N33*O33</f>
        <v>48000</v>
      </c>
      <c r="Q33" s="4"/>
    </row>
    <row r="34" spans="1:17" ht="18" customHeight="1" x14ac:dyDescent="0.15">
      <c r="A34" s="4">
        <v>34</v>
      </c>
      <c r="B34" s="127"/>
      <c r="C34" s="134"/>
      <c r="D34" s="4" t="s">
        <v>95</v>
      </c>
      <c r="E34" s="4" t="s">
        <v>96</v>
      </c>
      <c r="F34" s="4" t="s">
        <v>97</v>
      </c>
      <c r="G34" s="4" t="s">
        <v>98</v>
      </c>
      <c r="H34" s="4">
        <v>60000</v>
      </c>
      <c r="I34" s="14">
        <v>44375</v>
      </c>
      <c r="J34" s="4" t="s">
        <v>24</v>
      </c>
      <c r="K34" s="4" t="s">
        <v>24</v>
      </c>
      <c r="L34" s="14">
        <v>44407</v>
      </c>
      <c r="M34" s="4" t="s">
        <v>50</v>
      </c>
      <c r="N34" s="4">
        <v>60000</v>
      </c>
      <c r="O34" s="4">
        <v>0.8</v>
      </c>
      <c r="P34" s="4">
        <f t="shared" si="4"/>
        <v>48000</v>
      </c>
      <c r="Q34" s="4"/>
    </row>
    <row r="35" spans="1:17" ht="18" customHeight="1" x14ac:dyDescent="0.15">
      <c r="A35" s="4">
        <v>35</v>
      </c>
      <c r="B35" s="125" t="s">
        <v>108</v>
      </c>
      <c r="C35" s="5" t="s">
        <v>110</v>
      </c>
      <c r="D35" s="4" t="s">
        <v>95</v>
      </c>
      <c r="E35" s="4" t="s">
        <v>96</v>
      </c>
      <c r="F35" s="4" t="s">
        <v>97</v>
      </c>
      <c r="G35" s="4" t="s">
        <v>98</v>
      </c>
      <c r="H35" s="4">
        <v>60000</v>
      </c>
      <c r="I35" s="14">
        <v>44392</v>
      </c>
      <c r="J35" s="4" t="s">
        <v>24</v>
      </c>
      <c r="K35" s="4" t="s">
        <v>24</v>
      </c>
      <c r="L35" s="14">
        <v>44446</v>
      </c>
      <c r="M35" s="4" t="s">
        <v>50</v>
      </c>
      <c r="N35" s="4">
        <v>60000</v>
      </c>
      <c r="O35" s="4">
        <v>0.8</v>
      </c>
      <c r="P35" s="4">
        <f t="shared" ref="P35" si="6">N35*O35</f>
        <v>48000</v>
      </c>
      <c r="Q35" s="4"/>
    </row>
    <row r="36" spans="1:17" ht="18" customHeight="1" x14ac:dyDescent="0.15">
      <c r="A36" s="6">
        <v>36</v>
      </c>
      <c r="B36" s="126"/>
      <c r="C36" s="7" t="s">
        <v>111</v>
      </c>
      <c r="D36" s="6" t="s">
        <v>95</v>
      </c>
      <c r="E36" s="6" t="s">
        <v>96</v>
      </c>
      <c r="F36" s="6" t="s">
        <v>97</v>
      </c>
      <c r="G36" s="6" t="s">
        <v>98</v>
      </c>
      <c r="H36" s="24">
        <v>82000</v>
      </c>
      <c r="I36" s="36">
        <v>44454</v>
      </c>
      <c r="J36" s="6" t="s">
        <v>24</v>
      </c>
      <c r="K36" s="4" t="s">
        <v>24</v>
      </c>
      <c r="L36" s="18">
        <v>44516</v>
      </c>
      <c r="M36" s="4" t="s">
        <v>50</v>
      </c>
      <c r="N36" s="4">
        <v>82000</v>
      </c>
      <c r="O36" s="4">
        <v>0.8</v>
      </c>
      <c r="P36" s="4">
        <f t="shared" ref="P36:P37" si="7">N36*O36</f>
        <v>65600</v>
      </c>
      <c r="Q36" s="40"/>
    </row>
    <row r="37" spans="1:17" ht="18" customHeight="1" x14ac:dyDescent="0.15">
      <c r="A37" s="25">
        <v>37</v>
      </c>
      <c r="B37" s="26" t="s">
        <v>112</v>
      </c>
      <c r="C37" s="27"/>
      <c r="D37" s="26" t="s">
        <v>28</v>
      </c>
      <c r="E37" s="26" t="s">
        <v>90</v>
      </c>
      <c r="F37" s="26" t="s">
        <v>113</v>
      </c>
      <c r="G37" s="26"/>
      <c r="H37" s="26">
        <v>8000</v>
      </c>
      <c r="I37" s="37">
        <v>44331</v>
      </c>
      <c r="J37" s="38" t="s">
        <v>114</v>
      </c>
      <c r="K37" s="26"/>
      <c r="L37" s="39"/>
      <c r="M37" s="20" t="s">
        <v>50</v>
      </c>
      <c r="N37" s="4"/>
      <c r="O37" s="4">
        <v>1.72</v>
      </c>
      <c r="P37" s="4">
        <f t="shared" si="7"/>
        <v>0</v>
      </c>
      <c r="Q37" s="4"/>
    </row>
    <row r="38" spans="1:17" ht="18" customHeight="1" x14ac:dyDescent="0.15">
      <c r="A38" s="9">
        <v>38</v>
      </c>
      <c r="B38" s="9" t="s">
        <v>115</v>
      </c>
      <c r="C38" s="10" t="s">
        <v>116</v>
      </c>
      <c r="D38" s="9" t="s">
        <v>20</v>
      </c>
      <c r="E38" s="9" t="s">
        <v>21</v>
      </c>
      <c r="F38" s="28" t="s">
        <v>66</v>
      </c>
      <c r="G38" s="9" t="s">
        <v>67</v>
      </c>
      <c r="H38" s="9">
        <v>15600</v>
      </c>
      <c r="I38" s="19">
        <v>44346</v>
      </c>
      <c r="J38" s="9" t="s">
        <v>24</v>
      </c>
      <c r="K38" s="9" t="s">
        <v>24</v>
      </c>
      <c r="L38" s="19">
        <v>44350</v>
      </c>
      <c r="M38" s="4" t="s">
        <v>50</v>
      </c>
      <c r="N38" s="4">
        <v>15600</v>
      </c>
      <c r="O38" s="4">
        <v>0.93</v>
      </c>
      <c r="P38" s="4">
        <f t="shared" ref="P38:P40" si="8">N38*O38</f>
        <v>14508</v>
      </c>
      <c r="Q38" s="4"/>
    </row>
    <row r="39" spans="1:17" ht="18" customHeight="1" x14ac:dyDescent="0.15">
      <c r="A39" s="4">
        <v>39</v>
      </c>
      <c r="B39" s="4" t="s">
        <v>117</v>
      </c>
      <c r="C39" s="5"/>
      <c r="D39" s="4" t="s">
        <v>28</v>
      </c>
      <c r="E39" s="4" t="s">
        <v>90</v>
      </c>
      <c r="F39" s="4" t="s">
        <v>118</v>
      </c>
      <c r="G39" s="4"/>
      <c r="H39" s="4">
        <v>5000</v>
      </c>
      <c r="I39" s="14">
        <v>44331</v>
      </c>
      <c r="J39" s="4" t="s">
        <v>24</v>
      </c>
      <c r="K39" s="4" t="s">
        <v>24</v>
      </c>
      <c r="L39" s="33">
        <v>44461</v>
      </c>
      <c r="M39" s="4" t="s">
        <v>50</v>
      </c>
      <c r="N39" s="4">
        <v>5000</v>
      </c>
      <c r="O39" s="4">
        <v>1.85</v>
      </c>
      <c r="P39" s="4">
        <f t="shared" si="8"/>
        <v>9250</v>
      </c>
      <c r="Q39" s="4"/>
    </row>
    <row r="40" spans="1:17" ht="18" customHeight="1" x14ac:dyDescent="0.15">
      <c r="A40" s="4">
        <v>40</v>
      </c>
      <c r="B40" s="4" t="s">
        <v>119</v>
      </c>
      <c r="C40" s="5" t="s">
        <v>120</v>
      </c>
      <c r="D40" s="4" t="s">
        <v>28</v>
      </c>
      <c r="E40" s="4" t="s">
        <v>21</v>
      </c>
      <c r="F40" s="4" t="s">
        <v>48</v>
      </c>
      <c r="G40" s="4" t="s">
        <v>49</v>
      </c>
      <c r="H40" s="4">
        <v>6300</v>
      </c>
      <c r="I40" s="14">
        <v>44384</v>
      </c>
      <c r="J40" s="4" t="s">
        <v>24</v>
      </c>
      <c r="K40" s="4" t="s">
        <v>24</v>
      </c>
      <c r="L40" s="14">
        <v>44376</v>
      </c>
      <c r="M40" s="4" t="s">
        <v>50</v>
      </c>
      <c r="N40" s="4">
        <v>6300</v>
      </c>
      <c r="O40" s="4">
        <v>1.1499999999999999</v>
      </c>
      <c r="P40" s="4">
        <f t="shared" si="8"/>
        <v>7244.9999999999991</v>
      </c>
      <c r="Q40" s="4"/>
    </row>
    <row r="41" spans="1:17" ht="18" customHeight="1" x14ac:dyDescent="0.15">
      <c r="A41" s="4">
        <v>41</v>
      </c>
      <c r="B41" s="60" t="s">
        <v>121</v>
      </c>
      <c r="C41" s="5" t="s">
        <v>122</v>
      </c>
      <c r="D41" s="4" t="s">
        <v>20</v>
      </c>
      <c r="E41" s="4" t="s">
        <v>21</v>
      </c>
      <c r="F41" s="11" t="s">
        <v>66</v>
      </c>
      <c r="G41" s="4" t="s">
        <v>67</v>
      </c>
      <c r="H41" s="4">
        <v>4400</v>
      </c>
      <c r="I41" s="14">
        <v>44456</v>
      </c>
      <c r="J41" s="4" t="s">
        <v>24</v>
      </c>
      <c r="K41" s="4" t="s">
        <v>24</v>
      </c>
      <c r="L41" s="14">
        <v>44439</v>
      </c>
      <c r="M41" s="4" t="s">
        <v>50</v>
      </c>
      <c r="N41" s="4">
        <v>4400</v>
      </c>
      <c r="O41" s="4">
        <v>0.93</v>
      </c>
      <c r="P41" s="4">
        <f t="shared" ref="P41" si="9">N41*O41</f>
        <v>4092</v>
      </c>
      <c r="Q41" s="4"/>
    </row>
    <row r="42" spans="1:17" ht="18" customHeight="1" x14ac:dyDescent="0.15">
      <c r="A42" s="4">
        <v>42</v>
      </c>
      <c r="B42" s="141" t="s">
        <v>123</v>
      </c>
      <c r="C42" s="133" t="s">
        <v>124</v>
      </c>
      <c r="D42" s="4" t="s">
        <v>20</v>
      </c>
      <c r="E42" s="4" t="s">
        <v>21</v>
      </c>
      <c r="F42" s="4">
        <v>16422</v>
      </c>
      <c r="G42" s="4" t="s">
        <v>98</v>
      </c>
      <c r="H42" s="4">
        <v>286</v>
      </c>
      <c r="I42" s="14">
        <v>44489</v>
      </c>
      <c r="J42" s="4" t="s">
        <v>24</v>
      </c>
      <c r="K42" s="4" t="s">
        <v>24</v>
      </c>
      <c r="L42" s="14">
        <v>44495</v>
      </c>
      <c r="M42" s="4" t="s">
        <v>50</v>
      </c>
      <c r="N42" s="4">
        <v>286</v>
      </c>
      <c r="O42" s="4">
        <v>1.2</v>
      </c>
      <c r="P42" s="4">
        <f t="shared" ref="P42:P53" si="10">N42*O42</f>
        <v>343.2</v>
      </c>
      <c r="Q42" s="4"/>
    </row>
    <row r="43" spans="1:17" ht="18" customHeight="1" x14ac:dyDescent="0.15">
      <c r="A43" s="4">
        <v>43</v>
      </c>
      <c r="B43" s="127"/>
      <c r="C43" s="134"/>
      <c r="D43" s="4" t="s">
        <v>20</v>
      </c>
      <c r="E43" s="4" t="s">
        <v>21</v>
      </c>
      <c r="F43" s="4">
        <v>16422</v>
      </c>
      <c r="G43" s="4" t="s">
        <v>98</v>
      </c>
      <c r="H43" s="4">
        <v>1714</v>
      </c>
      <c r="I43" s="14">
        <v>44489</v>
      </c>
      <c r="J43" s="4" t="s">
        <v>24</v>
      </c>
      <c r="K43" s="4" t="s">
        <v>24</v>
      </c>
      <c r="L43" s="14"/>
      <c r="M43" s="4" t="s">
        <v>50</v>
      </c>
      <c r="N43" s="4">
        <v>1714</v>
      </c>
      <c r="O43" s="4">
        <v>1.2</v>
      </c>
      <c r="P43" s="4">
        <f t="shared" si="10"/>
        <v>2056.7999999999997</v>
      </c>
      <c r="Q43" s="4" t="s">
        <v>24</v>
      </c>
    </row>
    <row r="44" spans="1:17" ht="18" customHeight="1" x14ac:dyDescent="0.15">
      <c r="A44" s="4">
        <v>44</v>
      </c>
      <c r="B44" s="9" t="s">
        <v>125</v>
      </c>
      <c r="C44" s="10" t="s">
        <v>126</v>
      </c>
      <c r="D44" s="4" t="s">
        <v>41</v>
      </c>
      <c r="E44" s="4" t="s">
        <v>21</v>
      </c>
      <c r="F44" s="4" t="s">
        <v>127</v>
      </c>
      <c r="G44" s="4" t="s">
        <v>128</v>
      </c>
      <c r="H44" s="4">
        <v>15000</v>
      </c>
      <c r="I44" s="14">
        <v>44496</v>
      </c>
      <c r="J44" s="4" t="s">
        <v>24</v>
      </c>
      <c r="K44" s="4" t="s">
        <v>24</v>
      </c>
      <c r="L44" s="14">
        <v>44496</v>
      </c>
      <c r="M44" s="4" t="s">
        <v>87</v>
      </c>
      <c r="N44" s="4">
        <v>15000</v>
      </c>
      <c r="O44" s="4">
        <v>0.92</v>
      </c>
      <c r="P44" s="4">
        <f t="shared" si="10"/>
        <v>13800</v>
      </c>
      <c r="Q44" s="4"/>
    </row>
    <row r="45" spans="1:17" ht="18" customHeight="1" x14ac:dyDescent="0.15">
      <c r="A45" s="4">
        <v>45</v>
      </c>
      <c r="B45" s="9" t="s">
        <v>129</v>
      </c>
      <c r="C45" s="10" t="s">
        <v>130</v>
      </c>
      <c r="D45" s="4" t="s">
        <v>20</v>
      </c>
      <c r="E45" s="4" t="s">
        <v>21</v>
      </c>
      <c r="F45" s="4">
        <v>16422</v>
      </c>
      <c r="G45" s="4" t="s">
        <v>98</v>
      </c>
      <c r="H45" s="23">
        <v>455</v>
      </c>
      <c r="I45" s="14">
        <v>44666</v>
      </c>
      <c r="J45" s="4" t="s">
        <v>24</v>
      </c>
      <c r="K45" s="4" t="s">
        <v>24</v>
      </c>
      <c r="L45" s="14"/>
      <c r="M45" s="4" t="s">
        <v>50</v>
      </c>
      <c r="N45" s="4">
        <v>455</v>
      </c>
      <c r="O45" s="4">
        <v>1.4419999999999999</v>
      </c>
      <c r="P45" s="4">
        <f t="shared" si="10"/>
        <v>656.11</v>
      </c>
      <c r="Q45" s="4" t="s">
        <v>24</v>
      </c>
    </row>
    <row r="46" spans="1:17" ht="18" customHeight="1" x14ac:dyDescent="0.15">
      <c r="A46" s="4">
        <v>46</v>
      </c>
      <c r="B46" s="9" t="s">
        <v>131</v>
      </c>
      <c r="C46" s="10" t="s">
        <v>130</v>
      </c>
      <c r="D46" s="4" t="s">
        <v>20</v>
      </c>
      <c r="E46" s="4" t="s">
        <v>21</v>
      </c>
      <c r="F46" s="11" t="s">
        <v>66</v>
      </c>
      <c r="G46" s="4" t="s">
        <v>67</v>
      </c>
      <c r="H46" s="4">
        <v>3200</v>
      </c>
      <c r="I46" s="14">
        <v>44666</v>
      </c>
      <c r="J46" s="4" t="s">
        <v>24</v>
      </c>
      <c r="K46" s="4" t="s">
        <v>24</v>
      </c>
      <c r="L46" s="14"/>
      <c r="M46" s="4" t="s">
        <v>50</v>
      </c>
      <c r="N46" s="4">
        <v>3200</v>
      </c>
      <c r="O46" s="4">
        <v>1.4</v>
      </c>
      <c r="P46" s="4">
        <f t="shared" si="10"/>
        <v>4480</v>
      </c>
      <c r="Q46" s="4" t="s">
        <v>24</v>
      </c>
    </row>
    <row r="47" spans="1:17" ht="27.75" customHeight="1" x14ac:dyDescent="0.15">
      <c r="A47" s="4">
        <v>47</v>
      </c>
      <c r="B47" s="9" t="s">
        <v>132</v>
      </c>
      <c r="C47" s="10" t="s">
        <v>133</v>
      </c>
      <c r="D47" s="4" t="s">
        <v>28</v>
      </c>
      <c r="E47" s="4" t="s">
        <v>21</v>
      </c>
      <c r="F47" s="11" t="s">
        <v>134</v>
      </c>
      <c r="G47" s="4" t="s">
        <v>29</v>
      </c>
      <c r="H47" s="4">
        <v>100</v>
      </c>
      <c r="I47" s="14">
        <v>44666</v>
      </c>
      <c r="J47" s="4" t="s">
        <v>24</v>
      </c>
      <c r="K47" s="4" t="s">
        <v>24</v>
      </c>
      <c r="L47" s="14">
        <v>44810</v>
      </c>
      <c r="M47" s="4" t="s">
        <v>50</v>
      </c>
      <c r="N47" s="4">
        <v>100</v>
      </c>
      <c r="O47" s="4">
        <v>1.1499999999999999</v>
      </c>
      <c r="P47" s="4">
        <f t="shared" si="10"/>
        <v>114.99999999999999</v>
      </c>
      <c r="Q47" s="4" t="s">
        <v>135</v>
      </c>
    </row>
    <row r="48" spans="1:17" ht="27.75" customHeight="1" x14ac:dyDescent="0.15">
      <c r="A48" s="4">
        <v>48</v>
      </c>
      <c r="B48" s="125" t="s">
        <v>136</v>
      </c>
      <c r="C48" s="133" t="s">
        <v>116</v>
      </c>
      <c r="D48" s="4" t="s">
        <v>32</v>
      </c>
      <c r="E48" s="4" t="s">
        <v>137</v>
      </c>
      <c r="F48" s="11" t="s">
        <v>138</v>
      </c>
      <c r="G48" s="4" t="s">
        <v>139</v>
      </c>
      <c r="H48" s="4">
        <v>42000</v>
      </c>
      <c r="I48" s="14">
        <v>44690</v>
      </c>
      <c r="J48" s="4" t="s">
        <v>24</v>
      </c>
      <c r="K48" s="4" t="s">
        <v>24</v>
      </c>
      <c r="L48" s="14">
        <v>44743</v>
      </c>
      <c r="M48" s="4" t="s">
        <v>50</v>
      </c>
      <c r="N48" s="4">
        <v>42000</v>
      </c>
      <c r="O48" s="4">
        <v>0.495</v>
      </c>
      <c r="P48" s="4">
        <f t="shared" si="10"/>
        <v>20790</v>
      </c>
      <c r="Q48" s="4" t="s">
        <v>135</v>
      </c>
    </row>
    <row r="49" spans="1:17" ht="27.75" customHeight="1" x14ac:dyDescent="0.15">
      <c r="A49" s="4">
        <v>49</v>
      </c>
      <c r="B49" s="127"/>
      <c r="C49" s="134"/>
      <c r="D49" s="4" t="s">
        <v>32</v>
      </c>
      <c r="E49" s="4" t="s">
        <v>21</v>
      </c>
      <c r="F49" s="11" t="s">
        <v>140</v>
      </c>
      <c r="G49" s="4" t="s">
        <v>141</v>
      </c>
      <c r="H49" s="4">
        <v>40000</v>
      </c>
      <c r="I49" s="14">
        <v>44690</v>
      </c>
      <c r="J49" s="4" t="s">
        <v>24</v>
      </c>
      <c r="K49" s="4" t="s">
        <v>24</v>
      </c>
      <c r="L49" s="14">
        <v>44743</v>
      </c>
      <c r="M49" s="4" t="s">
        <v>50</v>
      </c>
      <c r="N49" s="4">
        <v>40000</v>
      </c>
      <c r="O49" s="4">
        <v>0.96</v>
      </c>
      <c r="P49" s="4">
        <f t="shared" si="10"/>
        <v>38400</v>
      </c>
      <c r="Q49" s="4" t="s">
        <v>135</v>
      </c>
    </row>
    <row r="50" spans="1:17" ht="27.75" customHeight="1" x14ac:dyDescent="0.15">
      <c r="A50" s="4">
        <v>50</v>
      </c>
      <c r="B50" s="9" t="s">
        <v>142</v>
      </c>
      <c r="C50" s="10" t="s">
        <v>143</v>
      </c>
      <c r="D50" s="4" t="s">
        <v>75</v>
      </c>
      <c r="E50" s="4" t="s">
        <v>21</v>
      </c>
      <c r="F50" s="11" t="s">
        <v>144</v>
      </c>
      <c r="G50" s="4" t="s">
        <v>145</v>
      </c>
      <c r="H50" s="29">
        <v>800</v>
      </c>
      <c r="I50" s="14">
        <v>44690</v>
      </c>
      <c r="J50" s="4" t="s">
        <v>24</v>
      </c>
      <c r="K50" s="4" t="s">
        <v>24</v>
      </c>
      <c r="L50" s="14"/>
      <c r="M50" s="4" t="s">
        <v>50</v>
      </c>
      <c r="N50" s="4">
        <v>800</v>
      </c>
      <c r="O50" s="4">
        <v>1.38</v>
      </c>
      <c r="P50" s="4">
        <f t="shared" si="10"/>
        <v>1104</v>
      </c>
      <c r="Q50" s="4" t="s">
        <v>24</v>
      </c>
    </row>
    <row r="51" spans="1:17" ht="27.75" customHeight="1" x14ac:dyDescent="0.15">
      <c r="A51" s="4">
        <v>51</v>
      </c>
      <c r="B51" s="9" t="s">
        <v>146</v>
      </c>
      <c r="C51" s="10" t="s">
        <v>147</v>
      </c>
      <c r="D51" s="4" t="s">
        <v>32</v>
      </c>
      <c r="E51" s="4" t="s">
        <v>21</v>
      </c>
      <c r="F51" s="11" t="s">
        <v>148</v>
      </c>
      <c r="G51" s="4" t="s">
        <v>149</v>
      </c>
      <c r="H51" s="4">
        <v>65000</v>
      </c>
      <c r="I51" s="14">
        <v>44706</v>
      </c>
      <c r="J51" s="4" t="s">
        <v>24</v>
      </c>
      <c r="K51" s="4" t="s">
        <v>24</v>
      </c>
      <c r="L51" s="14">
        <v>44730</v>
      </c>
      <c r="M51" s="4" t="s">
        <v>50</v>
      </c>
      <c r="N51" s="4">
        <v>65000</v>
      </c>
      <c r="O51" s="4">
        <v>0.99199999999999999</v>
      </c>
      <c r="P51" s="4">
        <f t="shared" si="10"/>
        <v>64480</v>
      </c>
      <c r="Q51" s="4" t="s">
        <v>135</v>
      </c>
    </row>
    <row r="52" spans="1:17" ht="27.75" customHeight="1" x14ac:dyDescent="0.15">
      <c r="A52" s="4">
        <v>52</v>
      </c>
      <c r="B52" s="9" t="s">
        <v>150</v>
      </c>
      <c r="C52" s="10" t="s">
        <v>151</v>
      </c>
      <c r="D52" s="4" t="s">
        <v>32</v>
      </c>
      <c r="E52" s="11" t="s">
        <v>152</v>
      </c>
      <c r="F52" s="11" t="s">
        <v>153</v>
      </c>
      <c r="G52" s="4" t="s">
        <v>154</v>
      </c>
      <c r="H52" s="4">
        <v>19900</v>
      </c>
      <c r="I52" s="14">
        <v>44706</v>
      </c>
      <c r="J52" s="4" t="s">
        <v>24</v>
      </c>
      <c r="K52" s="4" t="s">
        <v>24</v>
      </c>
      <c r="L52" s="14">
        <v>44719</v>
      </c>
      <c r="M52" s="4" t="s">
        <v>50</v>
      </c>
      <c r="N52" s="4">
        <v>19900</v>
      </c>
      <c r="O52" s="4">
        <v>1.22</v>
      </c>
      <c r="P52" s="4">
        <f t="shared" si="10"/>
        <v>24278</v>
      </c>
      <c r="Q52" s="4" t="s">
        <v>135</v>
      </c>
    </row>
    <row r="53" spans="1:17" ht="27.75" customHeight="1" x14ac:dyDescent="0.15">
      <c r="A53" s="4">
        <v>53</v>
      </c>
      <c r="B53" s="9" t="s">
        <v>155</v>
      </c>
      <c r="C53" s="10" t="s">
        <v>156</v>
      </c>
      <c r="D53" s="4" t="s">
        <v>32</v>
      </c>
      <c r="E53" s="4" t="s">
        <v>157</v>
      </c>
      <c r="F53" s="11" t="s">
        <v>158</v>
      </c>
      <c r="G53" s="4">
        <v>23</v>
      </c>
      <c r="H53" s="4">
        <v>200000</v>
      </c>
      <c r="I53" s="14">
        <v>44718</v>
      </c>
      <c r="J53" s="4" t="s">
        <v>24</v>
      </c>
      <c r="K53" s="4" t="s">
        <v>24</v>
      </c>
      <c r="L53" s="14">
        <v>44755</v>
      </c>
      <c r="M53" s="4" t="s">
        <v>50</v>
      </c>
      <c r="N53" s="4">
        <v>200000</v>
      </c>
      <c r="O53" s="4">
        <v>0.1</v>
      </c>
      <c r="P53" s="4">
        <f t="shared" si="10"/>
        <v>20000</v>
      </c>
      <c r="Q53" s="4" t="s">
        <v>135</v>
      </c>
    </row>
    <row r="54" spans="1:17" ht="27.75" customHeight="1" x14ac:dyDescent="0.15">
      <c r="A54" s="4">
        <v>54</v>
      </c>
      <c r="B54" s="125" t="s">
        <v>159</v>
      </c>
      <c r="C54" s="133" t="s">
        <v>160</v>
      </c>
      <c r="D54" s="125" t="s">
        <v>32</v>
      </c>
      <c r="E54" s="122" t="s">
        <v>152</v>
      </c>
      <c r="F54" s="122" t="s">
        <v>161</v>
      </c>
      <c r="G54" s="125" t="s">
        <v>154</v>
      </c>
      <c r="H54" s="4">
        <v>64000</v>
      </c>
      <c r="I54" s="14">
        <v>44713</v>
      </c>
      <c r="J54" s="4" t="s">
        <v>24</v>
      </c>
      <c r="K54" s="4" t="s">
        <v>24</v>
      </c>
      <c r="L54" s="14">
        <v>44872</v>
      </c>
      <c r="M54" s="4" t="s">
        <v>50</v>
      </c>
      <c r="N54" s="4">
        <v>64000</v>
      </c>
      <c r="O54" s="4">
        <v>1.2</v>
      </c>
      <c r="P54" s="4">
        <f t="shared" ref="P54:P59" si="11">N54*O54</f>
        <v>76800</v>
      </c>
      <c r="Q54" s="4"/>
    </row>
    <row r="55" spans="1:17" ht="27.75" customHeight="1" x14ac:dyDescent="0.15">
      <c r="A55" s="4">
        <v>55</v>
      </c>
      <c r="B55" s="126"/>
      <c r="C55" s="137"/>
      <c r="D55" s="126"/>
      <c r="E55" s="123"/>
      <c r="F55" s="123"/>
      <c r="G55" s="126"/>
      <c r="H55" s="4">
        <v>64000</v>
      </c>
      <c r="I55" s="14">
        <v>44774</v>
      </c>
      <c r="J55" s="4" t="s">
        <v>24</v>
      </c>
      <c r="K55" s="4" t="s">
        <v>24</v>
      </c>
      <c r="L55" s="14">
        <v>45017</v>
      </c>
      <c r="M55" s="4" t="s">
        <v>50</v>
      </c>
      <c r="N55" s="4">
        <v>64000</v>
      </c>
      <c r="O55" s="4">
        <v>1.2</v>
      </c>
      <c r="P55" s="4">
        <f t="shared" si="11"/>
        <v>76800</v>
      </c>
      <c r="Q55" s="4"/>
    </row>
    <row r="56" spans="1:17" ht="27.75" customHeight="1" x14ac:dyDescent="0.15">
      <c r="A56" s="4">
        <v>56</v>
      </c>
      <c r="B56" s="127"/>
      <c r="C56" s="134"/>
      <c r="D56" s="127"/>
      <c r="E56" s="124"/>
      <c r="F56" s="124"/>
      <c r="G56" s="127"/>
      <c r="H56" s="4">
        <v>64000</v>
      </c>
      <c r="I56" s="14">
        <v>44896</v>
      </c>
      <c r="J56" s="4" t="s">
        <v>24</v>
      </c>
      <c r="K56" s="4" t="s">
        <v>24</v>
      </c>
      <c r="L56" s="14">
        <v>45069</v>
      </c>
      <c r="M56" s="4" t="s">
        <v>50</v>
      </c>
      <c r="N56" s="4">
        <v>64000</v>
      </c>
      <c r="O56" s="4">
        <v>1.2</v>
      </c>
      <c r="P56" s="4">
        <f t="shared" si="11"/>
        <v>76800</v>
      </c>
      <c r="Q56" s="4"/>
    </row>
    <row r="57" spans="1:17" ht="18" customHeight="1" x14ac:dyDescent="0.15">
      <c r="A57" s="4">
        <v>57</v>
      </c>
      <c r="B57" s="9" t="s">
        <v>162</v>
      </c>
      <c r="C57" s="10" t="s">
        <v>163</v>
      </c>
      <c r="D57" s="4" t="s">
        <v>75</v>
      </c>
      <c r="E57" s="4" t="s">
        <v>164</v>
      </c>
      <c r="F57" s="4" t="s">
        <v>165</v>
      </c>
      <c r="G57" s="4">
        <v>25</v>
      </c>
      <c r="H57" s="21">
        <v>1000</v>
      </c>
      <c r="I57" s="14">
        <v>44704</v>
      </c>
      <c r="J57" s="4" t="s">
        <v>24</v>
      </c>
      <c r="K57" s="4" t="s">
        <v>24</v>
      </c>
      <c r="L57" s="14">
        <v>44734</v>
      </c>
      <c r="M57" s="4" t="s">
        <v>50</v>
      </c>
      <c r="N57" s="4">
        <v>1000</v>
      </c>
      <c r="O57" s="4">
        <v>0.26</v>
      </c>
      <c r="P57" s="4">
        <f t="shared" si="11"/>
        <v>260</v>
      </c>
      <c r="Q57" s="4" t="s">
        <v>135</v>
      </c>
    </row>
    <row r="58" spans="1:17" ht="27.75" customHeight="1" x14ac:dyDescent="0.15">
      <c r="A58" s="4">
        <v>58</v>
      </c>
      <c r="B58" s="9" t="s">
        <v>166</v>
      </c>
      <c r="C58" s="10" t="s">
        <v>167</v>
      </c>
      <c r="D58" s="4" t="s">
        <v>28</v>
      </c>
      <c r="E58" s="4" t="s">
        <v>21</v>
      </c>
      <c r="F58" s="4" t="s">
        <v>48</v>
      </c>
      <c r="G58" s="4" t="s">
        <v>49</v>
      </c>
      <c r="H58" s="4">
        <v>12000</v>
      </c>
      <c r="I58" s="14">
        <v>44811</v>
      </c>
      <c r="J58" s="4" t="s">
        <v>24</v>
      </c>
      <c r="K58" s="4" t="s">
        <v>24</v>
      </c>
      <c r="L58" s="14">
        <v>44740</v>
      </c>
      <c r="M58" s="4" t="s">
        <v>50</v>
      </c>
      <c r="N58" s="4">
        <v>12000</v>
      </c>
      <c r="O58" s="4">
        <v>0.99</v>
      </c>
      <c r="P58" s="4">
        <f t="shared" si="11"/>
        <v>11880</v>
      </c>
      <c r="Q58" s="4" t="s">
        <v>24</v>
      </c>
    </row>
    <row r="59" spans="1:17" ht="18" customHeight="1" x14ac:dyDescent="0.15">
      <c r="A59" s="4">
        <v>59</v>
      </c>
      <c r="B59" s="9" t="s">
        <v>168</v>
      </c>
      <c r="C59" s="10" t="s">
        <v>169</v>
      </c>
      <c r="D59" s="4" t="s">
        <v>75</v>
      </c>
      <c r="E59" s="4" t="s">
        <v>21</v>
      </c>
      <c r="F59" s="11" t="s">
        <v>144</v>
      </c>
      <c r="G59" s="4" t="s">
        <v>145</v>
      </c>
      <c r="H59" s="21">
        <v>1000</v>
      </c>
      <c r="I59" s="14">
        <v>44793</v>
      </c>
      <c r="J59" s="4" t="s">
        <v>24</v>
      </c>
      <c r="K59" s="4" t="s">
        <v>24</v>
      </c>
      <c r="L59" s="14">
        <v>44804</v>
      </c>
      <c r="M59" s="4" t="s">
        <v>50</v>
      </c>
      <c r="N59" s="4">
        <v>1000</v>
      </c>
      <c r="O59" s="4">
        <v>1.38</v>
      </c>
      <c r="P59" s="4">
        <f t="shared" si="11"/>
        <v>1380</v>
      </c>
      <c r="Q59" s="4" t="s">
        <v>135</v>
      </c>
    </row>
    <row r="60" spans="1:17" ht="18" customHeight="1" x14ac:dyDescent="0.15">
      <c r="A60" s="4">
        <v>60</v>
      </c>
      <c r="B60" s="125" t="s">
        <v>170</v>
      </c>
      <c r="C60" s="133" t="s">
        <v>57</v>
      </c>
      <c r="D60" s="125" t="s">
        <v>32</v>
      </c>
      <c r="E60" s="4" t="s">
        <v>137</v>
      </c>
      <c r="F60" s="122" t="s">
        <v>171</v>
      </c>
      <c r="G60" s="4" t="s">
        <v>172</v>
      </c>
      <c r="H60" s="4">
        <v>42000</v>
      </c>
      <c r="I60" s="14">
        <v>44792</v>
      </c>
      <c r="J60" s="4" t="s">
        <v>24</v>
      </c>
      <c r="K60" s="4" t="s">
        <v>24</v>
      </c>
      <c r="L60" s="14">
        <v>44812</v>
      </c>
      <c r="M60" s="4" t="s">
        <v>50</v>
      </c>
      <c r="N60" s="4">
        <v>42000</v>
      </c>
      <c r="O60" s="4">
        <v>0.62</v>
      </c>
      <c r="P60" s="4">
        <f t="shared" ref="P60:P72" si="12">N60*O60</f>
        <v>26040</v>
      </c>
      <c r="Q60" s="4"/>
    </row>
    <row r="61" spans="1:17" ht="18" customHeight="1" x14ac:dyDescent="0.15">
      <c r="A61" s="4">
        <v>61</v>
      </c>
      <c r="B61" s="126"/>
      <c r="C61" s="137"/>
      <c r="D61" s="126"/>
      <c r="E61" s="4" t="s">
        <v>173</v>
      </c>
      <c r="F61" s="124"/>
      <c r="G61" s="4">
        <v>22</v>
      </c>
      <c r="H61" s="4">
        <v>42000</v>
      </c>
      <c r="I61" s="14">
        <v>44792</v>
      </c>
      <c r="J61" s="4" t="s">
        <v>24</v>
      </c>
      <c r="K61" s="4" t="s">
        <v>24</v>
      </c>
      <c r="L61" s="14">
        <v>44812</v>
      </c>
      <c r="M61" s="4" t="s">
        <v>50</v>
      </c>
      <c r="N61" s="4">
        <v>42000</v>
      </c>
      <c r="O61" s="4">
        <v>0.35</v>
      </c>
      <c r="P61" s="4">
        <f t="shared" si="12"/>
        <v>14699.999999999998</v>
      </c>
      <c r="Q61" s="4"/>
    </row>
    <row r="62" spans="1:17" ht="18" customHeight="1" x14ac:dyDescent="0.15">
      <c r="A62" s="4">
        <v>62</v>
      </c>
      <c r="B62" s="127"/>
      <c r="C62" s="134"/>
      <c r="D62" s="127"/>
      <c r="E62" s="4" t="s">
        <v>157</v>
      </c>
      <c r="F62" s="11" t="s">
        <v>174</v>
      </c>
      <c r="G62" s="4">
        <v>23</v>
      </c>
      <c r="H62" s="4">
        <v>42000</v>
      </c>
      <c r="I62" s="14">
        <v>44792</v>
      </c>
      <c r="J62" s="4" t="s">
        <v>24</v>
      </c>
      <c r="K62" s="4" t="s">
        <v>24</v>
      </c>
      <c r="L62" s="14">
        <v>44812</v>
      </c>
      <c r="M62" s="4" t="s">
        <v>50</v>
      </c>
      <c r="N62" s="4">
        <v>42000</v>
      </c>
      <c r="O62" s="4">
        <v>0.1</v>
      </c>
      <c r="P62" s="4">
        <f t="shared" si="12"/>
        <v>4200</v>
      </c>
      <c r="Q62" s="4"/>
    </row>
    <row r="63" spans="1:17" ht="18" customHeight="1" x14ac:dyDescent="0.15">
      <c r="A63" s="4">
        <v>63</v>
      </c>
      <c r="B63" s="9" t="s">
        <v>175</v>
      </c>
      <c r="C63" s="10" t="s">
        <v>176</v>
      </c>
      <c r="D63" s="4" t="s">
        <v>20</v>
      </c>
      <c r="E63" s="4" t="s">
        <v>21</v>
      </c>
      <c r="F63" s="4">
        <v>16422</v>
      </c>
      <c r="G63" s="4" t="s">
        <v>98</v>
      </c>
      <c r="H63" s="4">
        <v>1060</v>
      </c>
      <c r="I63" s="14">
        <v>44812</v>
      </c>
      <c r="J63" s="4" t="s">
        <v>24</v>
      </c>
      <c r="K63" s="4" t="s">
        <v>24</v>
      </c>
      <c r="L63" s="14">
        <v>44813</v>
      </c>
      <c r="M63" s="4" t="s">
        <v>50</v>
      </c>
      <c r="N63" s="4">
        <v>1060</v>
      </c>
      <c r="O63" s="4">
        <v>1.4419999999999999</v>
      </c>
      <c r="P63" s="4">
        <f t="shared" si="12"/>
        <v>1528.52</v>
      </c>
      <c r="Q63" s="4"/>
    </row>
    <row r="64" spans="1:17" ht="18" customHeight="1" x14ac:dyDescent="0.15">
      <c r="A64" s="4">
        <v>64</v>
      </c>
      <c r="B64" s="4" t="s">
        <v>177</v>
      </c>
      <c r="C64" s="133" t="s">
        <v>178</v>
      </c>
      <c r="D64" s="4" t="s">
        <v>28</v>
      </c>
      <c r="E64" s="4" t="s">
        <v>90</v>
      </c>
      <c r="F64" s="4" t="s">
        <v>113</v>
      </c>
      <c r="G64" s="4"/>
      <c r="H64" s="4">
        <v>19000</v>
      </c>
      <c r="I64" s="14">
        <v>44809</v>
      </c>
      <c r="J64" s="4" t="s">
        <v>24</v>
      </c>
      <c r="K64" s="4" t="s">
        <v>135</v>
      </c>
      <c r="L64" s="14">
        <v>44852</v>
      </c>
      <c r="M64" s="4" t="s">
        <v>50</v>
      </c>
      <c r="N64" s="4">
        <v>18232</v>
      </c>
      <c r="O64" s="4">
        <v>1.72</v>
      </c>
      <c r="P64" s="4">
        <f t="shared" si="12"/>
        <v>31359.040000000001</v>
      </c>
      <c r="Q64" s="4"/>
    </row>
    <row r="65" spans="1:17" ht="18" customHeight="1" x14ac:dyDescent="0.15">
      <c r="A65" s="4">
        <v>65</v>
      </c>
      <c r="B65" s="4" t="s">
        <v>179</v>
      </c>
      <c r="C65" s="134"/>
      <c r="D65" s="4" t="s">
        <v>28</v>
      </c>
      <c r="E65" s="4" t="s">
        <v>90</v>
      </c>
      <c r="F65" s="4" t="s">
        <v>118</v>
      </c>
      <c r="G65" s="4"/>
      <c r="H65" s="4">
        <v>5000</v>
      </c>
      <c r="I65" s="14">
        <v>44809</v>
      </c>
      <c r="J65" s="4" t="s">
        <v>24</v>
      </c>
      <c r="K65" s="4" t="s">
        <v>24</v>
      </c>
      <c r="L65" s="33"/>
      <c r="M65" s="4" t="s">
        <v>50</v>
      </c>
      <c r="N65" s="4">
        <v>5200</v>
      </c>
      <c r="O65" s="4">
        <v>1.85</v>
      </c>
      <c r="P65" s="4">
        <f t="shared" si="12"/>
        <v>9620</v>
      </c>
      <c r="Q65" s="4"/>
    </row>
    <row r="66" spans="1:17" ht="18" customHeight="1" x14ac:dyDescent="0.15">
      <c r="A66" s="4">
        <v>66</v>
      </c>
      <c r="B66" s="9" t="s">
        <v>180</v>
      </c>
      <c r="C66" s="10" t="s">
        <v>181</v>
      </c>
      <c r="D66" s="4" t="s">
        <v>41</v>
      </c>
      <c r="E66" s="4" t="s">
        <v>21</v>
      </c>
      <c r="F66" s="4" t="s">
        <v>127</v>
      </c>
      <c r="G66" s="4" t="s">
        <v>128</v>
      </c>
      <c r="H66" s="4">
        <v>10000</v>
      </c>
      <c r="I66" s="14">
        <v>44804</v>
      </c>
      <c r="J66" s="4" t="s">
        <v>24</v>
      </c>
      <c r="K66" s="4" t="s">
        <v>24</v>
      </c>
      <c r="L66" s="14">
        <v>44801</v>
      </c>
      <c r="M66" s="4" t="s">
        <v>50</v>
      </c>
      <c r="N66" s="4">
        <v>10000</v>
      </c>
      <c r="O66" s="4">
        <v>0.82</v>
      </c>
      <c r="P66" s="4">
        <f t="shared" si="12"/>
        <v>8200</v>
      </c>
      <c r="Q66" s="4" t="s">
        <v>135</v>
      </c>
    </row>
    <row r="67" spans="1:17" ht="18" customHeight="1" x14ac:dyDescent="0.15">
      <c r="A67" s="4">
        <v>67</v>
      </c>
      <c r="B67" s="9" t="s">
        <v>182</v>
      </c>
      <c r="C67" s="10" t="s">
        <v>183</v>
      </c>
      <c r="D67" s="4" t="s">
        <v>32</v>
      </c>
      <c r="E67" s="4" t="s">
        <v>21</v>
      </c>
      <c r="F67" s="11" t="s">
        <v>148</v>
      </c>
      <c r="G67" s="4" t="s">
        <v>149</v>
      </c>
      <c r="H67" s="4">
        <v>2000</v>
      </c>
      <c r="I67" s="14">
        <v>44809</v>
      </c>
      <c r="J67" s="4" t="s">
        <v>24</v>
      </c>
      <c r="K67" s="4" t="s">
        <v>24</v>
      </c>
      <c r="L67" s="14"/>
      <c r="M67" s="4" t="s">
        <v>50</v>
      </c>
      <c r="N67" s="4">
        <v>2000</v>
      </c>
      <c r="O67" s="4">
        <v>0.99199999999999999</v>
      </c>
      <c r="P67" s="4">
        <f t="shared" si="12"/>
        <v>1984</v>
      </c>
      <c r="Q67" s="4"/>
    </row>
    <row r="68" spans="1:17" ht="18" customHeight="1" x14ac:dyDescent="0.15">
      <c r="A68" s="4">
        <v>68</v>
      </c>
      <c r="B68" s="125" t="s">
        <v>184</v>
      </c>
      <c r="C68" s="133" t="s">
        <v>185</v>
      </c>
      <c r="D68" s="125" t="s">
        <v>32</v>
      </c>
      <c r="E68" s="4" t="s">
        <v>137</v>
      </c>
      <c r="F68" s="42" t="s">
        <v>186</v>
      </c>
      <c r="G68" s="42" t="s">
        <v>187</v>
      </c>
      <c r="H68" s="4">
        <v>800</v>
      </c>
      <c r="I68" s="14">
        <v>44806</v>
      </c>
      <c r="J68" s="4" t="s">
        <v>24</v>
      </c>
      <c r="K68" s="4" t="s">
        <v>24</v>
      </c>
      <c r="L68" s="14">
        <v>44812</v>
      </c>
      <c r="M68" s="4" t="s">
        <v>50</v>
      </c>
      <c r="N68" s="4">
        <v>800</v>
      </c>
      <c r="O68" s="4">
        <v>0.66</v>
      </c>
      <c r="P68" s="4">
        <f t="shared" si="12"/>
        <v>528</v>
      </c>
      <c r="Q68" s="4" t="s">
        <v>24</v>
      </c>
    </row>
    <row r="69" spans="1:17" ht="18" customHeight="1" x14ac:dyDescent="0.15">
      <c r="A69" s="4">
        <v>69</v>
      </c>
      <c r="B69" s="127"/>
      <c r="C69" s="134"/>
      <c r="D69" s="127"/>
      <c r="E69" s="4" t="s">
        <v>173</v>
      </c>
      <c r="F69" s="43" t="s">
        <v>188</v>
      </c>
      <c r="G69" s="42" t="s">
        <v>189</v>
      </c>
      <c r="H69" s="4">
        <v>800</v>
      </c>
      <c r="I69" s="14">
        <v>44806</v>
      </c>
      <c r="J69" s="4" t="s">
        <v>24</v>
      </c>
      <c r="K69" s="4" t="s">
        <v>24</v>
      </c>
      <c r="L69" s="14">
        <v>44812</v>
      </c>
      <c r="M69" s="4" t="s">
        <v>50</v>
      </c>
      <c r="N69" s="4">
        <v>800</v>
      </c>
      <c r="O69" s="4">
        <v>0.36</v>
      </c>
      <c r="P69" s="4">
        <f t="shared" si="12"/>
        <v>288</v>
      </c>
      <c r="Q69" s="4" t="s">
        <v>24</v>
      </c>
    </row>
    <row r="70" spans="1:17" ht="18" customHeight="1" x14ac:dyDescent="0.15">
      <c r="A70" s="4">
        <v>70</v>
      </c>
      <c r="B70" s="9" t="s">
        <v>190</v>
      </c>
      <c r="C70" s="10" t="s">
        <v>79</v>
      </c>
      <c r="D70" s="4" t="s">
        <v>191</v>
      </c>
      <c r="E70" s="4" t="s">
        <v>21</v>
      </c>
      <c r="F70" s="4">
        <v>432116</v>
      </c>
      <c r="G70" s="4" t="s">
        <v>192</v>
      </c>
      <c r="H70" s="4">
        <v>45000</v>
      </c>
      <c r="I70" s="14">
        <v>44834</v>
      </c>
      <c r="J70" s="4" t="s">
        <v>24</v>
      </c>
      <c r="K70" s="4" t="s">
        <v>24</v>
      </c>
      <c r="L70" s="14">
        <v>44832</v>
      </c>
      <c r="M70" s="4" t="s">
        <v>50</v>
      </c>
      <c r="N70" s="4">
        <v>45000</v>
      </c>
      <c r="O70" s="4">
        <v>0.92</v>
      </c>
      <c r="P70" s="4">
        <f t="shared" si="12"/>
        <v>41400</v>
      </c>
      <c r="Q70" s="4"/>
    </row>
    <row r="71" spans="1:17" ht="18" customHeight="1" x14ac:dyDescent="0.15">
      <c r="A71" s="4">
        <v>71</v>
      </c>
      <c r="B71" s="9" t="s">
        <v>166</v>
      </c>
      <c r="C71" s="10" t="s">
        <v>193</v>
      </c>
      <c r="D71" s="4" t="s">
        <v>28</v>
      </c>
      <c r="E71" s="4" t="s">
        <v>21</v>
      </c>
      <c r="F71" s="4" t="s">
        <v>48</v>
      </c>
      <c r="G71" s="4" t="s">
        <v>49</v>
      </c>
      <c r="H71" s="4">
        <v>12000</v>
      </c>
      <c r="I71" s="14">
        <v>44866</v>
      </c>
      <c r="J71" s="4" t="s">
        <v>24</v>
      </c>
      <c r="K71" s="4" t="s">
        <v>24</v>
      </c>
      <c r="L71" s="14">
        <v>44873</v>
      </c>
      <c r="M71" s="4" t="s">
        <v>50</v>
      </c>
      <c r="N71" s="4">
        <v>12000</v>
      </c>
      <c r="O71" s="4">
        <v>0.99</v>
      </c>
      <c r="P71" s="4">
        <f t="shared" si="12"/>
        <v>11880</v>
      </c>
      <c r="Q71" s="4"/>
    </row>
    <row r="72" spans="1:17" ht="18" customHeight="1" x14ac:dyDescent="0.15">
      <c r="A72" s="4">
        <v>72</v>
      </c>
      <c r="B72" s="9" t="s">
        <v>194</v>
      </c>
      <c r="C72" s="10" t="s">
        <v>195</v>
      </c>
      <c r="D72" s="4" t="s">
        <v>95</v>
      </c>
      <c r="E72" s="4" t="s">
        <v>96</v>
      </c>
      <c r="F72" s="4" t="s">
        <v>196</v>
      </c>
      <c r="G72" s="4" t="s">
        <v>98</v>
      </c>
      <c r="H72" s="4">
        <v>55000</v>
      </c>
      <c r="I72" s="14">
        <v>44865</v>
      </c>
      <c r="J72" s="4" t="s">
        <v>24</v>
      </c>
      <c r="K72" s="4" t="s">
        <v>24</v>
      </c>
      <c r="L72" s="14">
        <v>44873</v>
      </c>
      <c r="M72" s="4" t="s">
        <v>50</v>
      </c>
      <c r="N72" s="4">
        <v>55000</v>
      </c>
      <c r="O72" s="4">
        <v>0.81</v>
      </c>
      <c r="P72" s="4">
        <f t="shared" si="12"/>
        <v>44550</v>
      </c>
      <c r="Q72" s="4"/>
    </row>
    <row r="73" spans="1:17" ht="18" customHeight="1" x14ac:dyDescent="0.15">
      <c r="A73" s="4">
        <v>73</v>
      </c>
      <c r="B73" s="9" t="s">
        <v>197</v>
      </c>
      <c r="C73" s="10"/>
      <c r="D73" s="4" t="s">
        <v>95</v>
      </c>
      <c r="E73" s="4" t="s">
        <v>198</v>
      </c>
      <c r="F73" s="4"/>
      <c r="G73" s="4"/>
      <c r="H73" s="4"/>
      <c r="I73" s="14"/>
      <c r="J73" s="4" t="s">
        <v>24</v>
      </c>
      <c r="K73" s="4" t="s">
        <v>24</v>
      </c>
      <c r="L73" s="14"/>
      <c r="M73" s="4" t="s">
        <v>50</v>
      </c>
      <c r="N73" s="4"/>
      <c r="O73" s="4"/>
      <c r="P73" s="4"/>
      <c r="Q73" s="4"/>
    </row>
    <row r="74" spans="1:17" ht="18" customHeight="1" x14ac:dyDescent="0.15">
      <c r="A74" s="4">
        <v>74</v>
      </c>
      <c r="B74" s="125" t="s">
        <v>199</v>
      </c>
      <c r="C74" s="133" t="s">
        <v>200</v>
      </c>
      <c r="D74" s="4" t="s">
        <v>32</v>
      </c>
      <c r="E74" s="4" t="s">
        <v>137</v>
      </c>
      <c r="F74" s="11" t="s">
        <v>138</v>
      </c>
      <c r="G74" s="4" t="s">
        <v>139</v>
      </c>
      <c r="H74" s="4">
        <v>20000</v>
      </c>
      <c r="I74" s="14">
        <v>44915</v>
      </c>
      <c r="J74" s="4" t="s">
        <v>24</v>
      </c>
      <c r="K74" s="4" t="s">
        <v>24</v>
      </c>
      <c r="L74" s="14">
        <v>44973</v>
      </c>
      <c r="M74" s="4" t="s">
        <v>50</v>
      </c>
      <c r="N74" s="4">
        <v>19905</v>
      </c>
      <c r="O74" s="4">
        <v>0.495</v>
      </c>
      <c r="P74" s="4">
        <f t="shared" ref="P74:P78" si="13">N74*O74</f>
        <v>9852.9750000000004</v>
      </c>
      <c r="Q74" s="4"/>
    </row>
    <row r="75" spans="1:17" ht="18" customHeight="1" x14ac:dyDescent="0.15">
      <c r="A75" s="4">
        <v>75</v>
      </c>
      <c r="B75" s="127"/>
      <c r="C75" s="134"/>
      <c r="D75" s="4" t="s">
        <v>32</v>
      </c>
      <c r="E75" s="4" t="s">
        <v>21</v>
      </c>
      <c r="F75" s="11" t="s">
        <v>140</v>
      </c>
      <c r="G75" s="4" t="s">
        <v>141</v>
      </c>
      <c r="H75" s="4">
        <v>40000</v>
      </c>
      <c r="I75" s="14">
        <v>44915</v>
      </c>
      <c r="J75" s="4" t="s">
        <v>24</v>
      </c>
      <c r="K75" s="4" t="s">
        <v>24</v>
      </c>
      <c r="L75" s="14">
        <v>44973</v>
      </c>
      <c r="M75" s="4" t="s">
        <v>50</v>
      </c>
      <c r="N75" s="4">
        <v>40000</v>
      </c>
      <c r="O75" s="4">
        <v>0.96</v>
      </c>
      <c r="P75" s="4">
        <f t="shared" si="13"/>
        <v>38400</v>
      </c>
      <c r="Q75" s="4"/>
    </row>
    <row r="76" spans="1:17" ht="18" customHeight="1" x14ac:dyDescent="0.15">
      <c r="A76" s="4">
        <v>76</v>
      </c>
      <c r="B76" s="122" t="s">
        <v>201</v>
      </c>
      <c r="C76" s="133" t="s">
        <v>202</v>
      </c>
      <c r="D76" s="4" t="s">
        <v>191</v>
      </c>
      <c r="E76" s="4" t="s">
        <v>21</v>
      </c>
      <c r="F76" s="4">
        <v>432116</v>
      </c>
      <c r="G76" s="4" t="s">
        <v>192</v>
      </c>
      <c r="H76" s="4">
        <v>45000</v>
      </c>
      <c r="I76" s="14">
        <v>44567</v>
      </c>
      <c r="J76" s="4" t="s">
        <v>24</v>
      </c>
      <c r="K76" s="4" t="s">
        <v>24</v>
      </c>
      <c r="L76" s="14">
        <v>44937</v>
      </c>
      <c r="M76" s="4" t="s">
        <v>50</v>
      </c>
      <c r="N76" s="4">
        <v>45000</v>
      </c>
      <c r="O76" s="4">
        <v>0.88</v>
      </c>
      <c r="P76" s="4">
        <f t="shared" si="13"/>
        <v>39600</v>
      </c>
      <c r="Q76" s="4"/>
    </row>
    <row r="77" spans="1:17" ht="18" customHeight="1" x14ac:dyDescent="0.15">
      <c r="A77" s="4">
        <v>77</v>
      </c>
      <c r="B77" s="124"/>
      <c r="C77" s="134"/>
      <c r="D77" s="4" t="s">
        <v>191</v>
      </c>
      <c r="E77" s="4" t="s">
        <v>21</v>
      </c>
      <c r="F77" s="4">
        <v>432116</v>
      </c>
      <c r="G77" s="4" t="s">
        <v>192</v>
      </c>
      <c r="H77" s="4">
        <v>45000</v>
      </c>
      <c r="I77" s="14">
        <v>44621</v>
      </c>
      <c r="J77" s="4" t="s">
        <v>24</v>
      </c>
      <c r="K77" s="4" t="s">
        <v>24</v>
      </c>
      <c r="L77" s="14">
        <v>45125</v>
      </c>
      <c r="M77" s="4" t="s">
        <v>50</v>
      </c>
      <c r="N77" s="4">
        <v>45000</v>
      </c>
      <c r="O77" s="4">
        <v>0.88</v>
      </c>
      <c r="P77" s="4">
        <f t="shared" si="13"/>
        <v>39600</v>
      </c>
      <c r="Q77" s="4"/>
    </row>
    <row r="78" spans="1:17" ht="18" customHeight="1" x14ac:dyDescent="0.15">
      <c r="A78" s="4">
        <v>78</v>
      </c>
      <c r="B78" s="28" t="s">
        <v>203</v>
      </c>
      <c r="C78" s="10" t="s">
        <v>204</v>
      </c>
      <c r="D78" s="4" t="s">
        <v>75</v>
      </c>
      <c r="E78" s="4" t="s">
        <v>205</v>
      </c>
      <c r="F78" s="4"/>
      <c r="G78" s="4">
        <v>22</v>
      </c>
      <c r="H78" s="21">
        <v>2500</v>
      </c>
      <c r="I78" s="14">
        <v>44991</v>
      </c>
      <c r="J78" s="4" t="s">
        <v>24</v>
      </c>
      <c r="K78" s="4" t="s">
        <v>24</v>
      </c>
      <c r="L78" s="14">
        <v>45042</v>
      </c>
      <c r="M78" s="4" t="s">
        <v>50</v>
      </c>
      <c r="N78" s="4">
        <v>2500</v>
      </c>
      <c r="O78" s="4">
        <v>0.11</v>
      </c>
      <c r="P78" s="4">
        <f t="shared" si="13"/>
        <v>275</v>
      </c>
      <c r="Q78" s="4"/>
    </row>
    <row r="79" spans="1:17" ht="18" customHeight="1" x14ac:dyDescent="0.15">
      <c r="A79" s="4">
        <v>79</v>
      </c>
      <c r="B79" s="122" t="s">
        <v>206</v>
      </c>
      <c r="C79" s="133" t="s">
        <v>207</v>
      </c>
      <c r="D79" s="4" t="s">
        <v>95</v>
      </c>
      <c r="E79" s="42" t="s">
        <v>208</v>
      </c>
      <c r="F79" s="42" t="s">
        <v>209</v>
      </c>
      <c r="G79" s="42" t="s">
        <v>210</v>
      </c>
      <c r="H79" s="42">
        <v>14000</v>
      </c>
      <c r="I79" s="14">
        <v>45056</v>
      </c>
      <c r="J79" s="4" t="s">
        <v>24</v>
      </c>
      <c r="K79" s="4" t="s">
        <v>24</v>
      </c>
      <c r="L79" s="14"/>
      <c r="M79" s="4" t="s">
        <v>50</v>
      </c>
      <c r="N79" s="4"/>
      <c r="O79" s="4">
        <v>1</v>
      </c>
      <c r="P79" s="4"/>
      <c r="Q79" s="4"/>
    </row>
    <row r="80" spans="1:17" ht="30" customHeight="1" x14ac:dyDescent="0.15">
      <c r="A80" s="4">
        <v>80</v>
      </c>
      <c r="B80" s="124"/>
      <c r="C80" s="134"/>
      <c r="D80" s="4" t="s">
        <v>95</v>
      </c>
      <c r="E80" s="42" t="s">
        <v>211</v>
      </c>
      <c r="F80" s="42" t="s">
        <v>212</v>
      </c>
      <c r="G80" s="42" t="s">
        <v>213</v>
      </c>
      <c r="H80" s="42">
        <v>14120</v>
      </c>
      <c r="I80" s="14">
        <v>45056</v>
      </c>
      <c r="J80" s="4" t="s">
        <v>24</v>
      </c>
      <c r="K80" s="4" t="s">
        <v>24</v>
      </c>
      <c r="L80" s="14">
        <v>45103</v>
      </c>
      <c r="M80" s="4" t="s">
        <v>50</v>
      </c>
      <c r="N80" s="4">
        <v>14120</v>
      </c>
      <c r="O80" s="4">
        <v>0.49</v>
      </c>
      <c r="P80" s="4">
        <f>N80*O80</f>
        <v>6918.8</v>
      </c>
      <c r="Q80" s="4"/>
    </row>
    <row r="81" spans="1:17" ht="29.25" customHeight="1" x14ac:dyDescent="0.15">
      <c r="A81" s="4">
        <v>81</v>
      </c>
      <c r="B81" s="28" t="s">
        <v>214</v>
      </c>
      <c r="C81" s="10" t="s">
        <v>215</v>
      </c>
      <c r="D81" s="4" t="s">
        <v>95</v>
      </c>
      <c r="E81" s="44" t="s">
        <v>216</v>
      </c>
      <c r="F81" s="44" t="s">
        <v>217</v>
      </c>
      <c r="G81" s="44" t="s">
        <v>218</v>
      </c>
      <c r="H81" s="44">
        <v>10000</v>
      </c>
      <c r="I81" s="14">
        <v>45026</v>
      </c>
      <c r="J81" s="4" t="s">
        <v>24</v>
      </c>
      <c r="K81" s="4" t="s">
        <v>24</v>
      </c>
      <c r="L81" s="14">
        <v>45098</v>
      </c>
      <c r="M81" s="4" t="s">
        <v>50</v>
      </c>
      <c r="N81" s="4">
        <v>10000</v>
      </c>
      <c r="O81" s="4">
        <v>0.94</v>
      </c>
      <c r="P81" s="4">
        <f>N81*O81</f>
        <v>9400</v>
      </c>
      <c r="Q81" s="4"/>
    </row>
    <row r="82" spans="1:17" ht="24" customHeight="1" x14ac:dyDescent="0.15">
      <c r="A82" s="4">
        <v>82</v>
      </c>
      <c r="B82" s="28" t="s">
        <v>219</v>
      </c>
      <c r="C82" s="10" t="s">
        <v>130</v>
      </c>
      <c r="D82" s="4" t="s">
        <v>191</v>
      </c>
      <c r="E82" s="4" t="s">
        <v>205</v>
      </c>
      <c r="F82" s="4" t="s">
        <v>220</v>
      </c>
      <c r="G82" s="4">
        <v>24</v>
      </c>
      <c r="H82" s="4">
        <v>100000</v>
      </c>
      <c r="I82" s="14">
        <v>45036</v>
      </c>
      <c r="J82" s="4" t="s">
        <v>24</v>
      </c>
      <c r="K82" s="4" t="s">
        <v>24</v>
      </c>
      <c r="L82" s="14">
        <v>45027</v>
      </c>
      <c r="M82" s="4" t="s">
        <v>50</v>
      </c>
      <c r="N82" s="4">
        <v>50000</v>
      </c>
      <c r="O82" s="4">
        <v>0.3</v>
      </c>
      <c r="P82" s="4">
        <f>N82*O82</f>
        <v>15000</v>
      </c>
      <c r="Q82" s="4"/>
    </row>
    <row r="83" spans="1:17" ht="27.75" customHeight="1" x14ac:dyDescent="0.15">
      <c r="A83" s="4">
        <v>83</v>
      </c>
      <c r="B83" s="28" t="s">
        <v>221</v>
      </c>
      <c r="C83" s="10" t="s">
        <v>222</v>
      </c>
      <c r="D83" s="4" t="s">
        <v>95</v>
      </c>
      <c r="E83" s="44" t="s">
        <v>216</v>
      </c>
      <c r="F83" s="44" t="s">
        <v>217</v>
      </c>
      <c r="G83" s="44" t="s">
        <v>223</v>
      </c>
      <c r="H83" s="4">
        <v>35000</v>
      </c>
      <c r="I83" s="14">
        <v>45041</v>
      </c>
      <c r="J83" s="4" t="s">
        <v>24</v>
      </c>
      <c r="K83" s="4" t="s">
        <v>24</v>
      </c>
      <c r="L83" s="14">
        <v>45098</v>
      </c>
      <c r="M83" s="4" t="s">
        <v>50</v>
      </c>
      <c r="N83" s="4">
        <v>35000</v>
      </c>
      <c r="O83" s="4">
        <v>0.86</v>
      </c>
      <c r="P83" s="4">
        <f>N83*O83</f>
        <v>30100</v>
      </c>
      <c r="Q83" s="4"/>
    </row>
    <row r="84" spans="1:17" ht="27.75" customHeight="1" x14ac:dyDescent="0.15">
      <c r="A84" s="4">
        <v>84</v>
      </c>
      <c r="B84" s="30" t="s">
        <v>224</v>
      </c>
      <c r="C84" s="8" t="s">
        <v>107</v>
      </c>
      <c r="D84" s="4" t="s">
        <v>75</v>
      </c>
      <c r="E84" s="44" t="s">
        <v>216</v>
      </c>
      <c r="F84" s="44">
        <v>6161</v>
      </c>
      <c r="G84" s="44" t="s">
        <v>225</v>
      </c>
      <c r="H84" s="21">
        <v>1100</v>
      </c>
      <c r="I84" s="14">
        <v>45076</v>
      </c>
      <c r="J84" s="4" t="s">
        <v>24</v>
      </c>
      <c r="K84" s="4" t="s">
        <v>24</v>
      </c>
      <c r="L84" s="14"/>
      <c r="M84" s="4" t="s">
        <v>50</v>
      </c>
      <c r="N84" s="4"/>
      <c r="O84" s="4">
        <v>1.38</v>
      </c>
      <c r="P84" s="4"/>
      <c r="Q84" s="4"/>
    </row>
    <row r="85" spans="1:17" ht="18" customHeight="1" x14ac:dyDescent="0.15">
      <c r="A85" s="4">
        <v>85</v>
      </c>
      <c r="B85" s="122" t="s">
        <v>226</v>
      </c>
      <c r="C85" s="133" t="s">
        <v>109</v>
      </c>
      <c r="D85" s="4" t="s">
        <v>32</v>
      </c>
      <c r="E85" s="4" t="s">
        <v>137</v>
      </c>
      <c r="F85" s="11" t="s">
        <v>138</v>
      </c>
      <c r="G85" s="4" t="s">
        <v>139</v>
      </c>
      <c r="H85" s="42">
        <v>12684</v>
      </c>
      <c r="I85" s="14">
        <v>45056</v>
      </c>
      <c r="J85" s="4" t="s">
        <v>24</v>
      </c>
      <c r="K85" s="4" t="s">
        <v>24</v>
      </c>
      <c r="L85" s="14">
        <v>45125</v>
      </c>
      <c r="M85" s="4" t="s">
        <v>50</v>
      </c>
      <c r="N85" s="4">
        <v>12684</v>
      </c>
      <c r="O85" s="4">
        <v>0.495</v>
      </c>
      <c r="P85" s="4">
        <f t="shared" ref="P85:P94" si="14">N85*O85</f>
        <v>6278.58</v>
      </c>
      <c r="Q85" s="4"/>
    </row>
    <row r="86" spans="1:17" ht="18" customHeight="1" x14ac:dyDescent="0.15">
      <c r="A86" s="4">
        <v>86</v>
      </c>
      <c r="B86" s="124"/>
      <c r="C86" s="134"/>
      <c r="D86" s="4" t="s">
        <v>32</v>
      </c>
      <c r="E86" s="4" t="s">
        <v>21</v>
      </c>
      <c r="F86" s="11" t="s">
        <v>140</v>
      </c>
      <c r="G86" s="4" t="s">
        <v>141</v>
      </c>
      <c r="H86" s="42">
        <v>25368</v>
      </c>
      <c r="I86" s="14">
        <v>45056</v>
      </c>
      <c r="J86" s="4" t="s">
        <v>24</v>
      </c>
      <c r="K86" s="4" t="s">
        <v>24</v>
      </c>
      <c r="L86" s="14">
        <v>45125</v>
      </c>
      <c r="M86" s="4" t="s">
        <v>50</v>
      </c>
      <c r="N86" s="4">
        <v>25368</v>
      </c>
      <c r="O86" s="4">
        <v>0.96</v>
      </c>
      <c r="P86" s="4">
        <f t="shared" si="14"/>
        <v>24353.279999999999</v>
      </c>
      <c r="Q86" s="4"/>
    </row>
    <row r="87" spans="1:17" ht="26.25" customHeight="1" x14ac:dyDescent="0.15">
      <c r="A87" s="4">
        <v>87</v>
      </c>
      <c r="B87" s="28" t="s">
        <v>227</v>
      </c>
      <c r="C87" s="10" t="s">
        <v>228</v>
      </c>
      <c r="D87" s="4" t="s">
        <v>75</v>
      </c>
      <c r="E87" s="4" t="s">
        <v>21</v>
      </c>
      <c r="F87" s="45" t="s">
        <v>229</v>
      </c>
      <c r="G87" s="42" t="s">
        <v>230</v>
      </c>
      <c r="H87" s="46">
        <v>580</v>
      </c>
      <c r="I87" s="14">
        <v>45097</v>
      </c>
      <c r="J87" s="4" t="s">
        <v>24</v>
      </c>
      <c r="K87" s="4" t="s">
        <v>24</v>
      </c>
      <c r="L87" s="14">
        <v>45103</v>
      </c>
      <c r="M87" s="4" t="s">
        <v>50</v>
      </c>
      <c r="N87" s="4">
        <v>580</v>
      </c>
      <c r="O87" s="4">
        <v>1.55</v>
      </c>
      <c r="P87" s="4">
        <f t="shared" si="14"/>
        <v>899</v>
      </c>
      <c r="Q87" s="4"/>
    </row>
    <row r="88" spans="1:17" ht="18" customHeight="1" x14ac:dyDescent="0.15">
      <c r="A88" s="4">
        <v>88</v>
      </c>
      <c r="B88" s="9" t="s">
        <v>231</v>
      </c>
      <c r="C88" s="10" t="s">
        <v>228</v>
      </c>
      <c r="D88" s="4" t="s">
        <v>75</v>
      </c>
      <c r="E88" s="4" t="s">
        <v>21</v>
      </c>
      <c r="F88" s="47">
        <v>17843</v>
      </c>
      <c r="G88" s="42" t="s">
        <v>232</v>
      </c>
      <c r="H88" s="46">
        <v>645</v>
      </c>
      <c r="I88" s="14">
        <v>45097</v>
      </c>
      <c r="J88" s="4" t="s">
        <v>24</v>
      </c>
      <c r="K88" s="4" t="s">
        <v>24</v>
      </c>
      <c r="L88" s="14">
        <v>45103</v>
      </c>
      <c r="M88" s="4" t="s">
        <v>50</v>
      </c>
      <c r="N88" s="4">
        <v>645</v>
      </c>
      <c r="O88" s="4">
        <v>1.33</v>
      </c>
      <c r="P88" s="4">
        <f t="shared" si="14"/>
        <v>857.85</v>
      </c>
      <c r="Q88" s="4"/>
    </row>
    <row r="89" spans="1:17" ht="23.25" customHeight="1" x14ac:dyDescent="0.15">
      <c r="A89" s="4">
        <v>89</v>
      </c>
      <c r="B89" s="125" t="s">
        <v>233</v>
      </c>
      <c r="C89" s="133" t="s">
        <v>234</v>
      </c>
      <c r="D89" s="4" t="s">
        <v>95</v>
      </c>
      <c r="E89" s="44" t="s">
        <v>216</v>
      </c>
      <c r="F89" s="44" t="s">
        <v>229</v>
      </c>
      <c r="G89" s="44" t="s">
        <v>235</v>
      </c>
      <c r="H89" s="44">
        <v>42050</v>
      </c>
      <c r="I89" s="54">
        <v>45064</v>
      </c>
      <c r="J89" s="4" t="s">
        <v>24</v>
      </c>
      <c r="K89" s="4" t="s">
        <v>24</v>
      </c>
      <c r="L89" s="14">
        <v>45098</v>
      </c>
      <c r="M89" s="4" t="s">
        <v>50</v>
      </c>
      <c r="N89" s="4">
        <v>42050</v>
      </c>
      <c r="O89" s="4">
        <v>1.1599999999999999</v>
      </c>
      <c r="P89" s="4">
        <f t="shared" si="14"/>
        <v>48778</v>
      </c>
      <c r="Q89" s="4"/>
    </row>
    <row r="90" spans="1:17" ht="23.25" customHeight="1" x14ac:dyDescent="0.15">
      <c r="A90" s="4">
        <v>90</v>
      </c>
      <c r="B90" s="126"/>
      <c r="C90" s="137"/>
      <c r="D90" s="4" t="s">
        <v>95</v>
      </c>
      <c r="E90" s="44" t="s">
        <v>216</v>
      </c>
      <c r="F90" s="44" t="s">
        <v>229</v>
      </c>
      <c r="G90" s="44" t="s">
        <v>235</v>
      </c>
      <c r="H90" s="44">
        <v>25653</v>
      </c>
      <c r="I90" s="54">
        <v>45122</v>
      </c>
      <c r="J90" s="4" t="s">
        <v>24</v>
      </c>
      <c r="K90" s="4" t="s">
        <v>24</v>
      </c>
      <c r="L90" s="14">
        <v>45098</v>
      </c>
      <c r="M90" s="4" t="s">
        <v>50</v>
      </c>
      <c r="N90" s="4">
        <v>25653</v>
      </c>
      <c r="O90" s="4">
        <v>1.1599999999999999</v>
      </c>
      <c r="P90" s="4">
        <f t="shared" si="14"/>
        <v>29757.48</v>
      </c>
      <c r="Q90" s="4"/>
    </row>
    <row r="91" spans="1:17" ht="23.25" customHeight="1" x14ac:dyDescent="0.15">
      <c r="A91" s="4">
        <v>91</v>
      </c>
      <c r="B91" s="127"/>
      <c r="C91" s="134"/>
      <c r="D91" s="4" t="s">
        <v>95</v>
      </c>
      <c r="E91" s="44" t="s">
        <v>216</v>
      </c>
      <c r="F91" s="44" t="s">
        <v>236</v>
      </c>
      <c r="G91" s="44" t="s">
        <v>237</v>
      </c>
      <c r="H91" s="44">
        <v>42500</v>
      </c>
      <c r="I91" s="54">
        <v>45122</v>
      </c>
      <c r="J91" s="4" t="s">
        <v>24</v>
      </c>
      <c r="K91" s="4" t="s">
        <v>24</v>
      </c>
      <c r="L91" s="14">
        <v>45098</v>
      </c>
      <c r="M91" s="4" t="s">
        <v>50</v>
      </c>
      <c r="N91" s="4">
        <v>42500</v>
      </c>
      <c r="O91" s="4">
        <v>0.94</v>
      </c>
      <c r="P91" s="4">
        <f t="shared" si="14"/>
        <v>39950</v>
      </c>
      <c r="Q91" s="4"/>
    </row>
    <row r="92" spans="1:17" ht="23.25" customHeight="1" x14ac:dyDescent="0.15">
      <c r="A92" s="4">
        <v>92</v>
      </c>
      <c r="B92" s="9" t="s">
        <v>238</v>
      </c>
      <c r="C92" s="10" t="s">
        <v>239</v>
      </c>
      <c r="D92" s="4" t="s">
        <v>32</v>
      </c>
      <c r="E92" s="4" t="s">
        <v>21</v>
      </c>
      <c r="F92" s="44" t="s">
        <v>240</v>
      </c>
      <c r="G92" s="44" t="s">
        <v>225</v>
      </c>
      <c r="H92" s="44">
        <v>20000</v>
      </c>
      <c r="I92" s="54">
        <v>45106</v>
      </c>
      <c r="J92" s="4" t="s">
        <v>24</v>
      </c>
      <c r="K92" s="4" t="s">
        <v>24</v>
      </c>
      <c r="L92" s="14">
        <v>45128</v>
      </c>
      <c r="M92" s="4" t="s">
        <v>50</v>
      </c>
      <c r="N92" s="4">
        <v>20000</v>
      </c>
      <c r="O92" s="4">
        <v>0.875</v>
      </c>
      <c r="P92" s="4">
        <f t="shared" si="14"/>
        <v>17500</v>
      </c>
      <c r="Q92" s="4"/>
    </row>
    <row r="93" spans="1:17" ht="27.95" customHeight="1" x14ac:dyDescent="0.15">
      <c r="A93" s="4">
        <v>93</v>
      </c>
      <c r="B93" s="9" t="s">
        <v>241</v>
      </c>
      <c r="C93" s="10" t="s">
        <v>242</v>
      </c>
      <c r="D93" s="4" t="s">
        <v>95</v>
      </c>
      <c r="E93" s="42" t="s">
        <v>211</v>
      </c>
      <c r="F93" s="44" t="s">
        <v>243</v>
      </c>
      <c r="G93" s="44" t="s">
        <v>244</v>
      </c>
      <c r="H93" s="44">
        <v>41348</v>
      </c>
      <c r="I93" s="54">
        <v>45097</v>
      </c>
      <c r="J93" s="4" t="s">
        <v>24</v>
      </c>
      <c r="K93" s="4" t="s">
        <v>24</v>
      </c>
      <c r="L93" s="14">
        <v>45125</v>
      </c>
      <c r="M93" s="4" t="s">
        <v>50</v>
      </c>
      <c r="N93" s="4">
        <v>41348</v>
      </c>
      <c r="O93" s="4">
        <v>0.57999999999999996</v>
      </c>
      <c r="P93" s="4">
        <f t="shared" si="14"/>
        <v>23981.84</v>
      </c>
      <c r="Q93" s="4"/>
    </row>
    <row r="94" spans="1:17" ht="38.1" customHeight="1" x14ac:dyDescent="0.15">
      <c r="A94" s="4">
        <v>94</v>
      </c>
      <c r="B94" s="9" t="s">
        <v>245</v>
      </c>
      <c r="C94" s="10" t="s">
        <v>246</v>
      </c>
      <c r="D94" s="4" t="s">
        <v>32</v>
      </c>
      <c r="E94" s="4" t="s">
        <v>21</v>
      </c>
      <c r="F94" s="11" t="s">
        <v>148</v>
      </c>
      <c r="G94" s="4" t="s">
        <v>149</v>
      </c>
      <c r="H94" s="4">
        <v>2800</v>
      </c>
      <c r="I94" s="14">
        <v>45112</v>
      </c>
      <c r="J94" s="4" t="s">
        <v>24</v>
      </c>
      <c r="K94" s="4" t="s">
        <v>24</v>
      </c>
      <c r="L94" s="14">
        <v>45125</v>
      </c>
      <c r="M94" s="4" t="s">
        <v>50</v>
      </c>
      <c r="N94" s="4">
        <v>2800</v>
      </c>
      <c r="O94" s="4">
        <v>0.99199999999999999</v>
      </c>
      <c r="P94" s="4">
        <f t="shared" si="14"/>
        <v>2777.6</v>
      </c>
      <c r="Q94" s="4"/>
    </row>
    <row r="95" spans="1:17" ht="24.95" customHeight="1" x14ac:dyDescent="0.15">
      <c r="A95" s="4">
        <v>95</v>
      </c>
      <c r="B95" s="126" t="s">
        <v>233</v>
      </c>
      <c r="C95" s="137" t="s">
        <v>247</v>
      </c>
      <c r="D95" s="4" t="s">
        <v>95</v>
      </c>
      <c r="E95" s="44" t="s">
        <v>216</v>
      </c>
      <c r="F95" s="44" t="s">
        <v>236</v>
      </c>
      <c r="G95" s="44" t="s">
        <v>237</v>
      </c>
      <c r="H95" s="44">
        <v>62400</v>
      </c>
      <c r="I95" s="54">
        <v>45199</v>
      </c>
      <c r="J95" s="4" t="s">
        <v>24</v>
      </c>
      <c r="K95" s="4" t="s">
        <v>24</v>
      </c>
      <c r="L95" s="14"/>
      <c r="M95" s="4" t="s">
        <v>50</v>
      </c>
      <c r="N95" s="4"/>
      <c r="O95" s="4"/>
      <c r="P95" s="4"/>
      <c r="Q95" s="4"/>
    </row>
    <row r="96" spans="1:17" ht="24.95" customHeight="1" x14ac:dyDescent="0.15">
      <c r="A96" s="4">
        <v>96</v>
      </c>
      <c r="B96" s="127"/>
      <c r="C96" s="134"/>
      <c r="D96" s="4" t="s">
        <v>95</v>
      </c>
      <c r="E96" s="44" t="s">
        <v>216</v>
      </c>
      <c r="F96" s="44" t="s">
        <v>236</v>
      </c>
      <c r="G96" s="44" t="s">
        <v>237</v>
      </c>
      <c r="H96" s="44">
        <v>63600</v>
      </c>
      <c r="I96" s="54">
        <v>45321</v>
      </c>
      <c r="J96" s="4" t="s">
        <v>24</v>
      </c>
      <c r="K96" s="4" t="s">
        <v>24</v>
      </c>
      <c r="L96" s="14" t="s">
        <v>248</v>
      </c>
      <c r="M96" s="4" t="s">
        <v>50</v>
      </c>
      <c r="N96" s="4"/>
      <c r="O96" s="4"/>
      <c r="P96" s="4"/>
      <c r="Q96" s="4"/>
    </row>
    <row r="97" spans="1:17" ht="24.95" customHeight="1" x14ac:dyDescent="0.15">
      <c r="A97" s="4">
        <v>97</v>
      </c>
      <c r="B97" s="9" t="s">
        <v>249</v>
      </c>
      <c r="C97" s="10" t="s">
        <v>250</v>
      </c>
      <c r="D97" s="4" t="s">
        <v>32</v>
      </c>
      <c r="E97" s="42" t="s">
        <v>211</v>
      </c>
      <c r="F97" s="42" t="s">
        <v>212</v>
      </c>
      <c r="G97" s="42" t="s">
        <v>213</v>
      </c>
      <c r="H97" s="4">
        <v>2500</v>
      </c>
      <c r="I97" s="14">
        <v>45118</v>
      </c>
      <c r="J97" s="4" t="s">
        <v>24</v>
      </c>
      <c r="K97" s="4" t="s">
        <v>24</v>
      </c>
      <c r="L97" s="14"/>
      <c r="M97" s="4" t="s">
        <v>50</v>
      </c>
      <c r="N97" s="4"/>
      <c r="O97" s="4"/>
      <c r="P97" s="4"/>
      <c r="Q97" s="4"/>
    </row>
    <row r="98" spans="1:17" ht="24.95" customHeight="1" x14ac:dyDescent="0.15">
      <c r="A98" s="4">
        <v>98</v>
      </c>
      <c r="B98" s="44" t="s">
        <v>251</v>
      </c>
      <c r="C98" s="10" t="s">
        <v>52</v>
      </c>
      <c r="D98" s="4" t="s">
        <v>95</v>
      </c>
      <c r="E98" s="44" t="s">
        <v>216</v>
      </c>
      <c r="F98" s="44" t="s">
        <v>252</v>
      </c>
      <c r="G98" s="44" t="s">
        <v>253</v>
      </c>
      <c r="H98" s="4">
        <v>18000</v>
      </c>
      <c r="I98" s="14">
        <v>45124</v>
      </c>
      <c r="J98" s="4" t="s">
        <v>24</v>
      </c>
      <c r="K98" s="4" t="s">
        <v>24</v>
      </c>
      <c r="L98" s="14">
        <v>45174</v>
      </c>
      <c r="M98" s="4" t="s">
        <v>50</v>
      </c>
      <c r="N98" s="4"/>
      <c r="O98" s="4">
        <v>0.81</v>
      </c>
      <c r="P98" s="4"/>
      <c r="Q98" s="4"/>
    </row>
    <row r="99" spans="1:17" ht="24.95" customHeight="1" x14ac:dyDescent="0.15">
      <c r="A99" s="4">
        <v>99</v>
      </c>
      <c r="B99" s="48" t="s">
        <v>254</v>
      </c>
      <c r="C99" s="10" t="s">
        <v>255</v>
      </c>
      <c r="D99" s="4" t="s">
        <v>95</v>
      </c>
      <c r="E99" s="44" t="s">
        <v>216</v>
      </c>
      <c r="F99" s="44" t="s">
        <v>217</v>
      </c>
      <c r="G99" s="44" t="s">
        <v>223</v>
      </c>
      <c r="H99" s="44">
        <v>15000</v>
      </c>
      <c r="I99" s="54">
        <v>45199</v>
      </c>
      <c r="J99" s="4" t="s">
        <v>24</v>
      </c>
      <c r="K99" s="4" t="s">
        <v>24</v>
      </c>
      <c r="L99" s="14"/>
      <c r="M99" s="4" t="s">
        <v>50</v>
      </c>
      <c r="N99" s="4"/>
      <c r="O99" s="4"/>
      <c r="P99" s="4"/>
      <c r="Q99" s="4"/>
    </row>
    <row r="100" spans="1:17" ht="24.95" customHeight="1" x14ac:dyDescent="0.15">
      <c r="A100" s="4">
        <v>100</v>
      </c>
      <c r="B100" s="138" t="s">
        <v>256</v>
      </c>
      <c r="C100" s="137" t="s">
        <v>185</v>
      </c>
      <c r="D100" s="4" t="s">
        <v>32</v>
      </c>
      <c r="E100" s="44" t="s">
        <v>216</v>
      </c>
      <c r="F100" s="44" t="s">
        <v>236</v>
      </c>
      <c r="G100" s="44" t="s">
        <v>257</v>
      </c>
      <c r="H100" s="44">
        <v>68680</v>
      </c>
      <c r="I100" s="130">
        <v>45189</v>
      </c>
      <c r="J100" s="4"/>
      <c r="K100" s="4" t="s">
        <v>24</v>
      </c>
      <c r="L100" s="128" t="s">
        <v>258</v>
      </c>
      <c r="M100" s="4" t="s">
        <v>50</v>
      </c>
      <c r="N100" s="4"/>
      <c r="O100" s="4"/>
      <c r="P100" s="4"/>
      <c r="Q100" s="4"/>
    </row>
    <row r="101" spans="1:17" ht="24.95" customHeight="1" x14ac:dyDescent="0.15">
      <c r="A101" s="4">
        <v>101</v>
      </c>
      <c r="B101" s="139"/>
      <c r="C101" s="134"/>
      <c r="D101" s="4" t="s">
        <v>32</v>
      </c>
      <c r="E101" s="42" t="s">
        <v>208</v>
      </c>
      <c r="F101" s="42" t="s">
        <v>259</v>
      </c>
      <c r="G101" s="42" t="s">
        <v>260</v>
      </c>
      <c r="H101" s="42">
        <v>5888</v>
      </c>
      <c r="I101" s="131"/>
      <c r="J101" s="4"/>
      <c r="K101" s="4" t="s">
        <v>24</v>
      </c>
      <c r="L101" s="129"/>
      <c r="M101" s="4" t="s">
        <v>50</v>
      </c>
      <c r="N101" s="4"/>
      <c r="O101" s="4"/>
      <c r="P101" s="4"/>
      <c r="Q101" s="4"/>
    </row>
    <row r="102" spans="1:17" ht="24.95" customHeight="1" x14ac:dyDescent="0.15">
      <c r="A102" s="4">
        <v>102</v>
      </c>
      <c r="B102" s="42" t="s">
        <v>261</v>
      </c>
      <c r="C102" s="10" t="s">
        <v>262</v>
      </c>
      <c r="D102" s="4" t="s">
        <v>28</v>
      </c>
      <c r="E102" s="42" t="s">
        <v>21</v>
      </c>
      <c r="F102" s="47" t="s">
        <v>263</v>
      </c>
      <c r="G102" s="42" t="s">
        <v>264</v>
      </c>
      <c r="H102" s="42">
        <v>12000</v>
      </c>
      <c r="I102" s="14">
        <v>45189</v>
      </c>
      <c r="J102" s="4" t="s">
        <v>24</v>
      </c>
      <c r="K102" s="4" t="s">
        <v>24</v>
      </c>
      <c r="L102" s="14"/>
      <c r="M102" s="4" t="s">
        <v>50</v>
      </c>
      <c r="N102" s="4"/>
      <c r="O102" s="4"/>
      <c r="P102" s="4"/>
      <c r="Q102" s="4"/>
    </row>
    <row r="103" spans="1:17" ht="24.95" customHeight="1" x14ac:dyDescent="0.15">
      <c r="A103" s="4">
        <v>103</v>
      </c>
      <c r="B103" s="9" t="s">
        <v>265</v>
      </c>
      <c r="C103" s="49" t="s">
        <v>266</v>
      </c>
      <c r="D103" s="4" t="s">
        <v>75</v>
      </c>
      <c r="E103" s="4" t="s">
        <v>21</v>
      </c>
      <c r="F103" s="11" t="s">
        <v>144</v>
      </c>
      <c r="G103" s="4" t="s">
        <v>145</v>
      </c>
      <c r="H103" s="21">
        <v>1000</v>
      </c>
      <c r="I103" s="14">
        <v>45173</v>
      </c>
      <c r="J103" s="4" t="s">
        <v>24</v>
      </c>
      <c r="K103" s="4" t="s">
        <v>24</v>
      </c>
      <c r="L103" s="14"/>
      <c r="M103" s="4" t="s">
        <v>50</v>
      </c>
      <c r="N103" s="4"/>
      <c r="O103" s="4">
        <v>1.38</v>
      </c>
      <c r="P103" s="4"/>
      <c r="Q103" s="4"/>
    </row>
    <row r="104" spans="1:17" ht="24.95" customHeight="1" x14ac:dyDescent="0.15">
      <c r="A104" s="4">
        <v>104</v>
      </c>
      <c r="B104" s="9" t="s">
        <v>267</v>
      </c>
      <c r="C104" s="10" t="s">
        <v>193</v>
      </c>
      <c r="D104" s="4" t="s">
        <v>28</v>
      </c>
      <c r="E104" s="42" t="s">
        <v>21</v>
      </c>
      <c r="F104" s="44" t="s">
        <v>252</v>
      </c>
      <c r="G104" s="44" t="s">
        <v>253</v>
      </c>
      <c r="H104" s="21">
        <v>40</v>
      </c>
      <c r="I104" s="14">
        <v>45199</v>
      </c>
      <c r="J104" s="4" t="s">
        <v>24</v>
      </c>
      <c r="K104" s="4" t="s">
        <v>24</v>
      </c>
      <c r="L104" s="14"/>
      <c r="M104" s="4" t="s">
        <v>50</v>
      </c>
      <c r="N104" s="4"/>
      <c r="O104" s="4"/>
      <c r="P104" s="4"/>
      <c r="Q104" s="4"/>
    </row>
    <row r="105" spans="1:17" ht="24.95" customHeight="1" x14ac:dyDescent="0.15">
      <c r="A105" s="4">
        <v>105</v>
      </c>
      <c r="B105" s="140" t="s">
        <v>268</v>
      </c>
      <c r="C105" s="137" t="s">
        <v>269</v>
      </c>
      <c r="D105" s="4" t="s">
        <v>32</v>
      </c>
      <c r="E105" s="42" t="s">
        <v>208</v>
      </c>
      <c r="F105" s="42" t="s">
        <v>270</v>
      </c>
      <c r="G105" s="42" t="s">
        <v>271</v>
      </c>
      <c r="H105" s="42">
        <v>1000</v>
      </c>
      <c r="I105" s="100" t="s">
        <v>272</v>
      </c>
      <c r="J105" s="4" t="s">
        <v>24</v>
      </c>
      <c r="K105" s="4" t="s">
        <v>24</v>
      </c>
      <c r="L105" s="14"/>
      <c r="M105" s="4" t="s">
        <v>50</v>
      </c>
      <c r="N105" s="4"/>
      <c r="O105" s="4"/>
      <c r="P105" s="4"/>
      <c r="Q105" s="4"/>
    </row>
    <row r="106" spans="1:17" ht="24.95" customHeight="1" x14ac:dyDescent="0.15">
      <c r="A106" s="4">
        <v>106</v>
      </c>
      <c r="B106" s="140"/>
      <c r="C106" s="134"/>
      <c r="D106" s="4" t="s">
        <v>32</v>
      </c>
      <c r="E106" s="42" t="s">
        <v>173</v>
      </c>
      <c r="F106" s="42" t="s">
        <v>188</v>
      </c>
      <c r="G106" s="42" t="s">
        <v>273</v>
      </c>
      <c r="H106" s="42">
        <f>H105</f>
        <v>1000</v>
      </c>
      <c r="I106" s="101"/>
      <c r="J106" s="4" t="s">
        <v>24</v>
      </c>
      <c r="K106" s="4" t="s">
        <v>24</v>
      </c>
      <c r="L106" s="14"/>
      <c r="M106" s="4" t="s">
        <v>50</v>
      </c>
      <c r="N106" s="4"/>
      <c r="O106" s="4"/>
      <c r="P106" s="4"/>
      <c r="Q106" s="4"/>
    </row>
    <row r="107" spans="1:17" ht="41.1" customHeight="1" x14ac:dyDescent="0.15">
      <c r="A107" s="4">
        <v>107</v>
      </c>
      <c r="B107" s="9" t="s">
        <v>274</v>
      </c>
      <c r="C107" s="49" t="s">
        <v>266</v>
      </c>
      <c r="D107" s="4" t="s">
        <v>32</v>
      </c>
      <c r="E107" s="11" t="s">
        <v>152</v>
      </c>
      <c r="F107" s="11" t="s">
        <v>161</v>
      </c>
      <c r="G107" s="4" t="s">
        <v>154</v>
      </c>
      <c r="H107" s="21">
        <v>4900</v>
      </c>
      <c r="I107" s="14">
        <v>45250</v>
      </c>
      <c r="J107" s="4" t="s">
        <v>24</v>
      </c>
      <c r="K107" s="4" t="s">
        <v>24</v>
      </c>
      <c r="L107" s="14"/>
      <c r="M107" s="4" t="s">
        <v>50</v>
      </c>
      <c r="N107" s="4"/>
      <c r="O107" s="4">
        <v>1.2</v>
      </c>
      <c r="P107" s="4"/>
      <c r="Q107" s="4"/>
    </row>
    <row r="108" spans="1:17" ht="27.95" customHeight="1" x14ac:dyDescent="0.15">
      <c r="A108" s="4">
        <v>108</v>
      </c>
      <c r="B108" s="9" t="s">
        <v>275</v>
      </c>
      <c r="C108" s="10" t="s">
        <v>276</v>
      </c>
      <c r="D108" s="4" t="s">
        <v>95</v>
      </c>
      <c r="E108" s="44" t="s">
        <v>211</v>
      </c>
      <c r="F108" s="44" t="s">
        <v>277</v>
      </c>
      <c r="G108" s="44" t="s">
        <v>278</v>
      </c>
      <c r="H108" s="21">
        <v>60000</v>
      </c>
      <c r="I108" s="14">
        <v>45254</v>
      </c>
      <c r="J108" s="4" t="s">
        <v>24</v>
      </c>
      <c r="K108" s="4" t="s">
        <v>24</v>
      </c>
      <c r="L108" s="14"/>
      <c r="M108" s="4" t="s">
        <v>50</v>
      </c>
      <c r="N108" s="4"/>
      <c r="O108" s="4"/>
      <c r="P108" s="4"/>
      <c r="Q108" s="4"/>
    </row>
    <row r="109" spans="1:17" ht="27.95" customHeight="1" x14ac:dyDescent="0.15">
      <c r="A109" s="4">
        <v>109</v>
      </c>
      <c r="B109" s="9" t="s">
        <v>275</v>
      </c>
      <c r="C109" s="10" t="s">
        <v>276</v>
      </c>
      <c r="D109" s="4" t="s">
        <v>95</v>
      </c>
      <c r="E109" s="44" t="s">
        <v>211</v>
      </c>
      <c r="F109" s="44" t="s">
        <v>277</v>
      </c>
      <c r="G109" s="44" t="s">
        <v>278</v>
      </c>
      <c r="H109" s="21">
        <v>40000</v>
      </c>
      <c r="I109" s="14">
        <v>45254</v>
      </c>
      <c r="J109" s="4" t="s">
        <v>24</v>
      </c>
      <c r="K109" s="4" t="s">
        <v>24</v>
      </c>
      <c r="L109" s="14"/>
      <c r="M109" s="4" t="s">
        <v>50</v>
      </c>
      <c r="N109" s="4"/>
      <c r="O109" s="4"/>
      <c r="P109" s="4"/>
      <c r="Q109" s="4"/>
    </row>
    <row r="110" spans="1:17" ht="27.95" customHeight="1" x14ac:dyDescent="0.15">
      <c r="A110" s="4">
        <v>110</v>
      </c>
      <c r="B110" s="42" t="s">
        <v>279</v>
      </c>
      <c r="C110" s="10" t="s">
        <v>200</v>
      </c>
      <c r="D110" s="4" t="s">
        <v>191</v>
      </c>
      <c r="E110" s="42" t="s">
        <v>21</v>
      </c>
      <c r="F110" s="47" t="s">
        <v>280</v>
      </c>
      <c r="G110" s="42" t="s">
        <v>145</v>
      </c>
      <c r="H110" s="21">
        <v>45000</v>
      </c>
      <c r="I110" s="14">
        <v>45265</v>
      </c>
      <c r="J110" s="4" t="s">
        <v>24</v>
      </c>
      <c r="K110" s="4" t="s">
        <v>24</v>
      </c>
      <c r="L110" s="14"/>
      <c r="M110" s="4" t="s">
        <v>50</v>
      </c>
      <c r="N110" s="4"/>
      <c r="O110" s="4"/>
      <c r="P110" s="4"/>
      <c r="Q110" s="4"/>
    </row>
    <row r="111" spans="1:17" ht="27.95" customHeight="1" x14ac:dyDescent="0.15">
      <c r="A111" s="4">
        <v>111</v>
      </c>
      <c r="B111" s="43" t="s">
        <v>281</v>
      </c>
      <c r="C111" s="10" t="s">
        <v>282</v>
      </c>
      <c r="D111" s="4" t="s">
        <v>95</v>
      </c>
      <c r="E111" s="44" t="s">
        <v>216</v>
      </c>
      <c r="F111" s="44" t="s">
        <v>236</v>
      </c>
      <c r="G111" s="44" t="s">
        <v>257</v>
      </c>
      <c r="H111" s="21">
        <v>20000</v>
      </c>
      <c r="I111" s="14">
        <v>45295</v>
      </c>
      <c r="J111" s="4" t="s">
        <v>24</v>
      </c>
      <c r="K111" s="4" t="s">
        <v>24</v>
      </c>
      <c r="L111" s="14"/>
      <c r="M111" s="4" t="s">
        <v>50</v>
      </c>
      <c r="N111" s="4"/>
      <c r="O111" s="4">
        <v>0.8</v>
      </c>
      <c r="P111" s="4"/>
      <c r="Q111" s="4"/>
    </row>
    <row r="112" spans="1:17" ht="27.95" customHeight="1" x14ac:dyDescent="0.15">
      <c r="A112" s="4">
        <v>112</v>
      </c>
      <c r="B112" s="42" t="s">
        <v>283</v>
      </c>
      <c r="C112" s="10" t="s">
        <v>284</v>
      </c>
      <c r="D112" s="4" t="s">
        <v>95</v>
      </c>
      <c r="E112" s="4" t="s">
        <v>96</v>
      </c>
      <c r="F112" s="4" t="s">
        <v>196</v>
      </c>
      <c r="G112" s="4" t="s">
        <v>98</v>
      </c>
      <c r="H112" s="4">
        <v>56000</v>
      </c>
      <c r="I112" s="14">
        <v>45322</v>
      </c>
      <c r="J112" s="4" t="s">
        <v>24</v>
      </c>
      <c r="K112" s="4" t="s">
        <v>24</v>
      </c>
      <c r="L112" s="14" t="s">
        <v>285</v>
      </c>
      <c r="M112" s="4" t="s">
        <v>50</v>
      </c>
      <c r="N112" s="4"/>
      <c r="O112" s="4">
        <v>0.72499999999999998</v>
      </c>
      <c r="P112" s="4"/>
      <c r="Q112" s="4"/>
    </row>
    <row r="113" spans="1:17" ht="27.95" customHeight="1" x14ac:dyDescent="0.15">
      <c r="A113" s="4">
        <v>113</v>
      </c>
      <c r="B113" s="42" t="s">
        <v>286</v>
      </c>
      <c r="C113" s="10" t="s">
        <v>105</v>
      </c>
      <c r="D113" s="4" t="s">
        <v>95</v>
      </c>
      <c r="E113" s="42" t="s">
        <v>21</v>
      </c>
      <c r="F113" s="42" t="s">
        <v>287</v>
      </c>
      <c r="G113" s="42" t="s">
        <v>288</v>
      </c>
      <c r="H113" s="42">
        <v>240</v>
      </c>
      <c r="I113" s="56" t="s">
        <v>289</v>
      </c>
      <c r="J113" s="4" t="s">
        <v>24</v>
      </c>
      <c r="K113" s="4" t="s">
        <v>24</v>
      </c>
      <c r="L113" s="14" t="s">
        <v>290</v>
      </c>
      <c r="M113" s="4" t="s">
        <v>50</v>
      </c>
      <c r="N113" s="4"/>
      <c r="O113" s="4"/>
      <c r="P113" s="4"/>
      <c r="Q113" s="4"/>
    </row>
    <row r="114" spans="1:17" ht="27.95" customHeight="1" x14ac:dyDescent="0.15">
      <c r="A114" s="76">
        <v>114</v>
      </c>
      <c r="B114" s="77" t="s">
        <v>291</v>
      </c>
      <c r="C114" s="78" t="s">
        <v>292</v>
      </c>
      <c r="D114" s="76" t="s">
        <v>95</v>
      </c>
      <c r="E114" s="77" t="s">
        <v>21</v>
      </c>
      <c r="F114" s="77" t="s">
        <v>293</v>
      </c>
      <c r="G114" s="77" t="s">
        <v>294</v>
      </c>
      <c r="H114" s="77">
        <v>7200</v>
      </c>
      <c r="I114" s="79">
        <v>45356</v>
      </c>
      <c r="J114" s="76" t="s">
        <v>24</v>
      </c>
      <c r="K114" s="4" t="s">
        <v>135</v>
      </c>
      <c r="L114" s="14" t="s">
        <v>290</v>
      </c>
      <c r="M114" s="4" t="s">
        <v>50</v>
      </c>
      <c r="N114" s="4"/>
      <c r="O114" s="4"/>
      <c r="P114" s="4"/>
      <c r="Q114" s="4"/>
    </row>
    <row r="115" spans="1:17" ht="27.95" customHeight="1" x14ac:dyDescent="0.15">
      <c r="A115" s="4">
        <v>115</v>
      </c>
      <c r="B115" s="44" t="s">
        <v>295</v>
      </c>
      <c r="C115" s="10" t="s">
        <v>296</v>
      </c>
      <c r="D115" s="4" t="s">
        <v>95</v>
      </c>
      <c r="E115" s="44" t="s">
        <v>173</v>
      </c>
      <c r="F115" s="44" t="s">
        <v>297</v>
      </c>
      <c r="G115" s="44" t="s">
        <v>189</v>
      </c>
      <c r="H115" s="44">
        <v>36000</v>
      </c>
      <c r="I115" s="14">
        <v>45361</v>
      </c>
      <c r="J115" s="4" t="s">
        <v>24</v>
      </c>
      <c r="K115" s="4" t="s">
        <v>24</v>
      </c>
      <c r="L115" s="14" t="s">
        <v>290</v>
      </c>
      <c r="M115" s="4" t="s">
        <v>50</v>
      </c>
      <c r="N115" s="4"/>
      <c r="O115" s="4"/>
      <c r="P115" s="4"/>
      <c r="Q115" s="4"/>
    </row>
    <row r="116" spans="1:17" ht="27.95" customHeight="1" x14ac:dyDescent="0.15">
      <c r="A116" s="4">
        <v>116</v>
      </c>
      <c r="B116" s="42" t="s">
        <v>298</v>
      </c>
      <c r="C116" s="10" t="s">
        <v>299</v>
      </c>
      <c r="D116" s="4" t="s">
        <v>95</v>
      </c>
      <c r="E116" s="42" t="s">
        <v>300</v>
      </c>
      <c r="F116" s="42" t="s">
        <v>301</v>
      </c>
      <c r="G116" s="42" t="s">
        <v>302</v>
      </c>
      <c r="H116" s="42">
        <v>56000</v>
      </c>
      <c r="I116" s="56" t="s">
        <v>303</v>
      </c>
      <c r="J116" s="4" t="s">
        <v>24</v>
      </c>
      <c r="K116" s="4" t="s">
        <v>24</v>
      </c>
      <c r="L116" s="14"/>
      <c r="M116" s="4"/>
      <c r="N116" s="4"/>
      <c r="O116" s="4"/>
      <c r="P116" s="4"/>
      <c r="Q116" s="4"/>
    </row>
    <row r="117" spans="1:17" ht="27.95" customHeight="1" x14ac:dyDescent="0.15">
      <c r="A117" s="4">
        <v>117</v>
      </c>
      <c r="B117" s="42" t="s">
        <v>304</v>
      </c>
      <c r="C117" s="10" t="s">
        <v>143</v>
      </c>
      <c r="D117" s="4" t="s">
        <v>191</v>
      </c>
      <c r="E117" s="42" t="s">
        <v>21</v>
      </c>
      <c r="F117" s="47" t="s">
        <v>305</v>
      </c>
      <c r="G117" s="42" t="s">
        <v>145</v>
      </c>
      <c r="H117" s="42">
        <v>45000</v>
      </c>
      <c r="I117" s="56" t="s">
        <v>306</v>
      </c>
      <c r="J117" s="4" t="s">
        <v>24</v>
      </c>
      <c r="K117" s="4" t="s">
        <v>135</v>
      </c>
      <c r="L117" s="14"/>
      <c r="M117" s="4"/>
      <c r="N117" s="4"/>
      <c r="O117" s="4"/>
      <c r="P117" s="4"/>
      <c r="Q117" s="4"/>
    </row>
    <row r="118" spans="1:17" ht="27.95" customHeight="1" x14ac:dyDescent="0.15">
      <c r="A118" s="4">
        <v>118</v>
      </c>
      <c r="B118" s="50" t="s">
        <v>307</v>
      </c>
      <c r="C118" s="10" t="s">
        <v>151</v>
      </c>
      <c r="D118" s="4" t="s">
        <v>20</v>
      </c>
      <c r="E118" s="42" t="s">
        <v>216</v>
      </c>
      <c r="F118" s="51" t="s">
        <v>308</v>
      </c>
      <c r="G118" s="42" t="s">
        <v>309</v>
      </c>
      <c r="H118" s="42">
        <v>7412</v>
      </c>
      <c r="I118" s="57" t="s">
        <v>310</v>
      </c>
      <c r="J118" s="4" t="s">
        <v>24</v>
      </c>
      <c r="K118" s="4" t="s">
        <v>24</v>
      </c>
      <c r="L118" s="14"/>
      <c r="M118" s="4"/>
      <c r="N118" s="4"/>
      <c r="O118" s="4"/>
      <c r="P118" s="4"/>
      <c r="Q118" s="4"/>
    </row>
    <row r="119" spans="1:17" ht="27.95" customHeight="1" x14ac:dyDescent="0.15">
      <c r="A119" s="4">
        <v>119</v>
      </c>
      <c r="B119" s="44" t="s">
        <v>311</v>
      </c>
      <c r="C119" s="10" t="s">
        <v>47</v>
      </c>
      <c r="D119" s="4" t="s">
        <v>75</v>
      </c>
      <c r="E119" s="44" t="s">
        <v>216</v>
      </c>
      <c r="F119" s="52" t="s">
        <v>229</v>
      </c>
      <c r="G119" s="44" t="s">
        <v>230</v>
      </c>
      <c r="H119" s="44">
        <v>528</v>
      </c>
      <c r="I119" s="58" t="s">
        <v>312</v>
      </c>
      <c r="J119" s="4" t="s">
        <v>24</v>
      </c>
      <c r="K119" s="4" t="s">
        <v>24</v>
      </c>
      <c r="L119" s="14"/>
      <c r="M119" s="4"/>
      <c r="N119" s="4"/>
      <c r="O119" s="4"/>
      <c r="P119" s="4"/>
      <c r="Q119" s="4"/>
    </row>
    <row r="120" spans="1:17" ht="27.95" customHeight="1" x14ac:dyDescent="0.15">
      <c r="A120" s="4">
        <v>120</v>
      </c>
      <c r="B120" s="53" t="s">
        <v>313</v>
      </c>
      <c r="C120" s="10" t="s">
        <v>314</v>
      </c>
      <c r="D120" s="4" t="s">
        <v>28</v>
      </c>
      <c r="E120" s="42" t="s">
        <v>216</v>
      </c>
      <c r="F120" s="61" t="s">
        <v>315</v>
      </c>
      <c r="G120" s="42" t="s">
        <v>316</v>
      </c>
      <c r="H120" s="42">
        <v>35000</v>
      </c>
      <c r="I120" s="55" t="s">
        <v>317</v>
      </c>
      <c r="J120" s="4" t="s">
        <v>24</v>
      </c>
      <c r="K120" s="4" t="s">
        <v>24</v>
      </c>
      <c r="L120" s="14"/>
      <c r="M120" s="4"/>
      <c r="N120" s="4"/>
      <c r="O120" s="4"/>
      <c r="P120" s="4"/>
      <c r="Q120" s="4"/>
    </row>
    <row r="121" spans="1:17" ht="27.95" customHeight="1" x14ac:dyDescent="0.15">
      <c r="A121" s="76">
        <v>121</v>
      </c>
      <c r="B121" s="80" t="s">
        <v>318</v>
      </c>
      <c r="C121" s="78" t="s">
        <v>319</v>
      </c>
      <c r="D121" s="76" t="s">
        <v>95</v>
      </c>
      <c r="E121" s="81" t="s">
        <v>216</v>
      </c>
      <c r="F121" s="82" t="s">
        <v>320</v>
      </c>
      <c r="G121" s="81" t="s">
        <v>218</v>
      </c>
      <c r="H121" s="81">
        <v>189875</v>
      </c>
      <c r="I121" s="83" t="s">
        <v>321</v>
      </c>
      <c r="J121" s="76" t="s">
        <v>24</v>
      </c>
      <c r="K121" s="4" t="s">
        <v>24</v>
      </c>
      <c r="L121" s="14"/>
      <c r="M121" s="4"/>
      <c r="N121" s="4"/>
      <c r="O121" s="4"/>
      <c r="P121" s="4"/>
      <c r="Q121" s="4"/>
    </row>
    <row r="122" spans="1:17" ht="24.95" customHeight="1" x14ac:dyDescent="0.15">
      <c r="A122" s="4">
        <v>122</v>
      </c>
      <c r="B122" s="48" t="s">
        <v>322</v>
      </c>
      <c r="C122" s="137" t="s">
        <v>176</v>
      </c>
      <c r="D122" s="4" t="s">
        <v>95</v>
      </c>
      <c r="E122" s="44" t="s">
        <v>173</v>
      </c>
      <c r="F122" s="44" t="s">
        <v>297</v>
      </c>
      <c r="G122" s="44" t="s">
        <v>189</v>
      </c>
      <c r="H122" s="44">
        <v>157500</v>
      </c>
      <c r="I122" s="59" t="s">
        <v>323</v>
      </c>
      <c r="J122" s="4" t="s">
        <v>24</v>
      </c>
      <c r="K122" s="4" t="s">
        <v>135</v>
      </c>
      <c r="L122" s="14"/>
      <c r="M122" s="4"/>
      <c r="N122" s="4"/>
      <c r="O122" s="4"/>
      <c r="P122" s="4"/>
      <c r="Q122" s="4"/>
    </row>
    <row r="123" spans="1:17" ht="68.099999999999994" customHeight="1" x14ac:dyDescent="0.15">
      <c r="A123" s="4">
        <v>123</v>
      </c>
      <c r="B123" s="48" t="s">
        <v>322</v>
      </c>
      <c r="C123" s="134"/>
      <c r="D123" s="4" t="s">
        <v>95</v>
      </c>
      <c r="E123" s="42" t="s">
        <v>300</v>
      </c>
      <c r="F123" s="42" t="s">
        <v>301</v>
      </c>
      <c r="G123" s="42" t="s">
        <v>302</v>
      </c>
      <c r="H123" s="42">
        <v>224000</v>
      </c>
      <c r="I123" s="56" t="s">
        <v>324</v>
      </c>
      <c r="J123" s="4" t="s">
        <v>24</v>
      </c>
      <c r="K123" s="4"/>
      <c r="L123" s="14"/>
      <c r="M123" s="4"/>
      <c r="N123" s="4"/>
      <c r="O123" s="4"/>
      <c r="P123" s="4"/>
      <c r="Q123" s="4"/>
    </row>
    <row r="124" spans="1:17" ht="24.95" customHeight="1" x14ac:dyDescent="0.15">
      <c r="A124" s="4">
        <v>124</v>
      </c>
      <c r="B124" s="42" t="s">
        <v>325</v>
      </c>
      <c r="C124" s="10" t="s">
        <v>122</v>
      </c>
      <c r="D124" s="4" t="s">
        <v>28</v>
      </c>
      <c r="E124" s="42" t="s">
        <v>216</v>
      </c>
      <c r="F124" s="45" t="s">
        <v>229</v>
      </c>
      <c r="G124" s="42" t="s">
        <v>230</v>
      </c>
      <c r="H124" s="42">
        <v>200</v>
      </c>
      <c r="I124" s="55" t="s">
        <v>326</v>
      </c>
      <c r="J124" s="4" t="s">
        <v>24</v>
      </c>
      <c r="K124" s="4" t="s">
        <v>24</v>
      </c>
      <c r="L124" s="14"/>
      <c r="M124" s="4"/>
      <c r="N124" s="4"/>
      <c r="O124" s="4"/>
      <c r="P124" s="4"/>
      <c r="Q124" s="4"/>
    </row>
    <row r="125" spans="1:17" ht="24.95" customHeight="1" x14ac:dyDescent="0.15">
      <c r="A125" s="4">
        <v>125</v>
      </c>
      <c r="B125" s="48" t="s">
        <v>327</v>
      </c>
      <c r="C125" s="10" t="s">
        <v>255</v>
      </c>
      <c r="D125" s="4" t="s">
        <v>95</v>
      </c>
      <c r="E125" s="44" t="s">
        <v>173</v>
      </c>
      <c r="F125" s="44" t="s">
        <v>297</v>
      </c>
      <c r="G125" s="44" t="s">
        <v>189</v>
      </c>
      <c r="H125" s="44">
        <v>157500</v>
      </c>
      <c r="I125" s="14">
        <v>45567</v>
      </c>
      <c r="J125" s="4" t="s">
        <v>24</v>
      </c>
      <c r="K125" s="4"/>
      <c r="L125" s="14"/>
      <c r="M125" s="4"/>
      <c r="N125" s="4"/>
      <c r="O125" s="4"/>
      <c r="P125" s="4"/>
      <c r="Q125" s="4"/>
    </row>
    <row r="126" spans="1:17" ht="24.95" customHeight="1" x14ac:dyDescent="0.15">
      <c r="A126" s="4">
        <v>126</v>
      </c>
      <c r="B126" s="53" t="s">
        <v>328</v>
      </c>
      <c r="C126" s="10" t="s">
        <v>262</v>
      </c>
      <c r="D126" s="4" t="s">
        <v>20</v>
      </c>
      <c r="E126" s="42" t="s">
        <v>216</v>
      </c>
      <c r="F126" s="45" t="s">
        <v>229</v>
      </c>
      <c r="G126" s="42" t="s">
        <v>230</v>
      </c>
      <c r="H126" s="44">
        <v>161</v>
      </c>
      <c r="I126" s="55" t="s">
        <v>329</v>
      </c>
      <c r="J126" s="4" t="s">
        <v>24</v>
      </c>
      <c r="K126" s="4" t="s">
        <v>24</v>
      </c>
      <c r="L126" s="14"/>
      <c r="M126" s="4"/>
      <c r="N126" s="4"/>
      <c r="O126" s="4"/>
      <c r="P126" s="4"/>
      <c r="Q126" s="4"/>
    </row>
    <row r="127" spans="1:17" ht="24.95" customHeight="1" x14ac:dyDescent="0.15">
      <c r="A127" s="4">
        <v>127</v>
      </c>
      <c r="B127" s="53" t="s">
        <v>330</v>
      </c>
      <c r="C127" s="10" t="s">
        <v>331</v>
      </c>
      <c r="D127" s="4" t="s">
        <v>28</v>
      </c>
      <c r="E127" s="42" t="s">
        <v>216</v>
      </c>
      <c r="F127" s="45" t="s">
        <v>229</v>
      </c>
      <c r="G127" s="42" t="s">
        <v>230</v>
      </c>
      <c r="H127" s="42">
        <v>1440</v>
      </c>
      <c r="I127" s="55" t="s">
        <v>332</v>
      </c>
      <c r="J127" s="4" t="s">
        <v>24</v>
      </c>
      <c r="K127" s="4" t="s">
        <v>24</v>
      </c>
      <c r="L127" s="14"/>
      <c r="M127" s="4"/>
      <c r="N127" s="4"/>
      <c r="O127" s="4"/>
      <c r="P127" s="4"/>
      <c r="Q127" s="4"/>
    </row>
    <row r="128" spans="1:17" ht="24.95" customHeight="1" x14ac:dyDescent="0.15">
      <c r="A128" s="4">
        <v>128</v>
      </c>
      <c r="B128" s="42" t="s">
        <v>333</v>
      </c>
      <c r="C128" s="10" t="s">
        <v>334</v>
      </c>
      <c r="D128" s="4" t="s">
        <v>95</v>
      </c>
      <c r="E128" s="42" t="s">
        <v>216</v>
      </c>
      <c r="F128" s="42" t="s">
        <v>287</v>
      </c>
      <c r="G128" s="42" t="s">
        <v>288</v>
      </c>
      <c r="H128" s="44">
        <v>792</v>
      </c>
      <c r="I128" s="56" t="s">
        <v>335</v>
      </c>
      <c r="J128" s="4" t="s">
        <v>24</v>
      </c>
      <c r="K128" s="4" t="s">
        <v>24</v>
      </c>
      <c r="L128" s="14"/>
      <c r="M128" s="4"/>
      <c r="N128" s="4"/>
      <c r="O128" s="4"/>
      <c r="P128" s="4"/>
      <c r="Q128" s="4"/>
    </row>
    <row r="129" spans="1:17" ht="24.95" customHeight="1" x14ac:dyDescent="0.15">
      <c r="A129" s="76">
        <v>129</v>
      </c>
      <c r="B129" s="77" t="s">
        <v>336</v>
      </c>
      <c r="C129" s="78" t="s">
        <v>337</v>
      </c>
      <c r="D129" s="76" t="s">
        <v>95</v>
      </c>
      <c r="E129" s="77" t="s">
        <v>216</v>
      </c>
      <c r="F129" s="77" t="s">
        <v>293</v>
      </c>
      <c r="G129" s="77" t="s">
        <v>294</v>
      </c>
      <c r="H129" s="77">
        <v>34000</v>
      </c>
      <c r="I129" s="84" t="s">
        <v>338</v>
      </c>
      <c r="J129" s="76" t="s">
        <v>24</v>
      </c>
      <c r="K129" s="4"/>
      <c r="L129" s="14"/>
      <c r="M129" s="4"/>
      <c r="N129" s="4"/>
      <c r="O129" s="4"/>
      <c r="P129" s="4"/>
      <c r="Q129" s="4"/>
    </row>
    <row r="130" spans="1:17" ht="24.95" customHeight="1" x14ac:dyDescent="0.15">
      <c r="A130" s="4">
        <v>130</v>
      </c>
      <c r="B130" s="42" t="s">
        <v>339</v>
      </c>
      <c r="C130" s="10" t="s">
        <v>340</v>
      </c>
      <c r="D130" s="4" t="s">
        <v>95</v>
      </c>
      <c r="E130" s="42" t="s">
        <v>211</v>
      </c>
      <c r="F130" s="42" t="s">
        <v>341</v>
      </c>
      <c r="G130" s="42" t="s">
        <v>342</v>
      </c>
      <c r="H130" s="42">
        <v>1010</v>
      </c>
      <c r="I130" s="56" t="s">
        <v>343</v>
      </c>
      <c r="J130" s="4" t="s">
        <v>24</v>
      </c>
      <c r="K130" s="4"/>
      <c r="L130" s="14"/>
      <c r="M130" s="4"/>
      <c r="N130" s="4"/>
      <c r="O130" s="4"/>
      <c r="P130" s="4"/>
      <c r="Q130" s="4"/>
    </row>
    <row r="131" spans="1:17" ht="24.95" customHeight="1" x14ac:dyDescent="0.15">
      <c r="A131" s="4">
        <v>131</v>
      </c>
      <c r="B131" s="42" t="s">
        <v>344</v>
      </c>
      <c r="C131" s="10" t="s">
        <v>345</v>
      </c>
      <c r="D131" s="4" t="s">
        <v>28</v>
      </c>
      <c r="E131" s="42" t="s">
        <v>216</v>
      </c>
      <c r="F131" s="47" t="s">
        <v>263</v>
      </c>
      <c r="G131" s="42" t="s">
        <v>264</v>
      </c>
      <c r="H131" s="42">
        <v>5000</v>
      </c>
      <c r="I131" s="56" t="s">
        <v>346</v>
      </c>
      <c r="J131" s="4" t="s">
        <v>24</v>
      </c>
      <c r="K131" s="4"/>
      <c r="L131" s="14"/>
      <c r="M131" s="4"/>
      <c r="N131" s="4"/>
      <c r="O131" s="4"/>
      <c r="P131" s="4"/>
      <c r="Q131" s="4"/>
    </row>
    <row r="132" spans="1:17" ht="24.95" customHeight="1" x14ac:dyDescent="0.15">
      <c r="A132" s="4">
        <v>132</v>
      </c>
      <c r="B132" s="48" t="s">
        <v>347</v>
      </c>
      <c r="C132" s="10" t="s">
        <v>348</v>
      </c>
      <c r="D132" s="4" t="s">
        <v>75</v>
      </c>
      <c r="E132" s="42" t="s">
        <v>205</v>
      </c>
      <c r="F132" s="44" t="s">
        <v>349</v>
      </c>
      <c r="G132" s="44" t="s">
        <v>189</v>
      </c>
      <c r="H132" s="44">
        <v>3000</v>
      </c>
      <c r="I132" s="59" t="s">
        <v>350</v>
      </c>
      <c r="J132" s="4" t="s">
        <v>24</v>
      </c>
      <c r="K132" s="4"/>
      <c r="L132" s="14"/>
      <c r="M132" s="4"/>
      <c r="N132" s="4"/>
      <c r="O132" s="4"/>
      <c r="P132" s="4"/>
      <c r="Q132" s="4"/>
    </row>
    <row r="133" spans="1:17" ht="33" customHeight="1" x14ac:dyDescent="0.15">
      <c r="A133" s="76">
        <v>133</v>
      </c>
      <c r="B133" s="77" t="s">
        <v>351</v>
      </c>
      <c r="C133" s="78" t="s">
        <v>352</v>
      </c>
      <c r="D133" s="76" t="s">
        <v>95</v>
      </c>
      <c r="E133" s="77" t="s">
        <v>216</v>
      </c>
      <c r="F133" s="77" t="s">
        <v>293</v>
      </c>
      <c r="G133" s="77" t="s">
        <v>353</v>
      </c>
      <c r="H133" s="77">
        <v>45180</v>
      </c>
      <c r="I133" s="84" t="s">
        <v>354</v>
      </c>
      <c r="J133" s="76" t="s">
        <v>24</v>
      </c>
      <c r="K133" s="4"/>
      <c r="L133" s="14"/>
      <c r="M133" s="4"/>
      <c r="N133" s="4"/>
      <c r="O133" s="4"/>
      <c r="P133" s="4"/>
      <c r="Q133" s="4"/>
    </row>
    <row r="134" spans="1:17" ht="24.95" customHeight="1" x14ac:dyDescent="0.15">
      <c r="A134" s="4">
        <v>134</v>
      </c>
      <c r="B134" s="48" t="s">
        <v>355</v>
      </c>
      <c r="C134" s="10" t="s">
        <v>356</v>
      </c>
      <c r="D134" s="4" t="s">
        <v>95</v>
      </c>
      <c r="E134" s="42" t="s">
        <v>216</v>
      </c>
      <c r="F134" s="42" t="s">
        <v>357</v>
      </c>
      <c r="G134" s="44" t="s">
        <v>253</v>
      </c>
      <c r="H134" s="44">
        <v>18000</v>
      </c>
      <c r="I134" s="56" t="s">
        <v>358</v>
      </c>
      <c r="J134" s="4" t="s">
        <v>24</v>
      </c>
      <c r="K134" s="4"/>
      <c r="L134" s="14"/>
      <c r="M134" s="4"/>
      <c r="N134" s="4"/>
      <c r="O134" s="4"/>
      <c r="P134" s="4"/>
      <c r="Q134" s="4"/>
    </row>
    <row r="135" spans="1:17" ht="24.95" customHeight="1" x14ac:dyDescent="0.15">
      <c r="A135" s="4">
        <v>135</v>
      </c>
      <c r="B135" s="63" t="s">
        <v>365</v>
      </c>
      <c r="C135" s="64" t="s">
        <v>368</v>
      </c>
      <c r="D135" s="4" t="s">
        <v>95</v>
      </c>
      <c r="E135" s="62" t="s">
        <v>364</v>
      </c>
      <c r="F135" s="62" t="s">
        <v>366</v>
      </c>
      <c r="G135" s="62" t="s">
        <v>367</v>
      </c>
      <c r="H135" s="44">
        <v>410</v>
      </c>
      <c r="I135" s="14">
        <v>45632</v>
      </c>
      <c r="J135" s="4" t="s">
        <v>24</v>
      </c>
      <c r="K135" s="4"/>
      <c r="L135" s="14"/>
      <c r="M135" s="4"/>
      <c r="N135" s="4"/>
      <c r="O135" s="4"/>
      <c r="P135" s="4"/>
      <c r="Q135" s="4"/>
    </row>
    <row r="136" spans="1:17" ht="24.95" customHeight="1" x14ac:dyDescent="0.15">
      <c r="A136" s="76">
        <v>136</v>
      </c>
      <c r="B136" s="85" t="s">
        <v>369</v>
      </c>
      <c r="C136" s="86" t="s">
        <v>370</v>
      </c>
      <c r="D136" s="76" t="s">
        <v>95</v>
      </c>
      <c r="E136" s="77" t="s">
        <v>216</v>
      </c>
      <c r="F136" s="77" t="s">
        <v>293</v>
      </c>
      <c r="G136" s="77" t="s">
        <v>353</v>
      </c>
      <c r="H136" s="77">
        <v>45000</v>
      </c>
      <c r="I136" s="79">
        <v>45663</v>
      </c>
      <c r="J136" s="76" t="s">
        <v>24</v>
      </c>
      <c r="K136" s="4"/>
      <c r="L136" s="14"/>
      <c r="M136" s="4"/>
      <c r="N136" s="4"/>
      <c r="O136" s="4"/>
      <c r="P136" s="4"/>
      <c r="Q136" s="4"/>
    </row>
    <row r="137" spans="1:17" ht="24.95" customHeight="1" x14ac:dyDescent="0.15">
      <c r="A137" s="4">
        <v>137</v>
      </c>
      <c r="B137" s="48" t="s">
        <v>371</v>
      </c>
      <c r="C137" s="64" t="s">
        <v>372</v>
      </c>
      <c r="D137" s="66" t="s">
        <v>373</v>
      </c>
      <c r="E137" s="42" t="s">
        <v>216</v>
      </c>
      <c r="F137" s="44" t="s">
        <v>375</v>
      </c>
      <c r="G137" s="44" t="s">
        <v>374</v>
      </c>
      <c r="H137" s="44">
        <v>20000</v>
      </c>
      <c r="I137" s="54">
        <v>45672</v>
      </c>
      <c r="J137" s="4" t="s">
        <v>24</v>
      </c>
      <c r="K137" s="4"/>
      <c r="L137" s="14"/>
      <c r="M137" s="4"/>
      <c r="N137" s="4"/>
      <c r="O137" s="4"/>
      <c r="P137" s="4"/>
      <c r="Q137" s="4"/>
    </row>
    <row r="138" spans="1:17" ht="24.95" customHeight="1" x14ac:dyDescent="0.15">
      <c r="A138" s="4">
        <v>138</v>
      </c>
      <c r="B138" s="48" t="s">
        <v>379</v>
      </c>
      <c r="C138" s="64" t="s">
        <v>378</v>
      </c>
      <c r="D138" s="66" t="s">
        <v>377</v>
      </c>
      <c r="E138" s="44" t="s">
        <v>205</v>
      </c>
      <c r="F138" s="44" t="s">
        <v>376</v>
      </c>
      <c r="G138" s="44">
        <v>23</v>
      </c>
      <c r="H138" s="44">
        <v>3000</v>
      </c>
      <c r="I138" s="59" t="s">
        <v>380</v>
      </c>
      <c r="J138" s="4" t="s">
        <v>24</v>
      </c>
      <c r="K138" s="4"/>
      <c r="L138" s="14"/>
      <c r="M138" s="4"/>
      <c r="N138" s="4"/>
      <c r="O138" s="4"/>
      <c r="P138" s="4"/>
      <c r="Q138" s="4"/>
    </row>
    <row r="139" spans="1:17" ht="24.95" customHeight="1" x14ac:dyDescent="0.15">
      <c r="A139" s="4">
        <v>139</v>
      </c>
      <c r="B139" s="106" t="s">
        <v>381</v>
      </c>
      <c r="C139" s="104" t="s">
        <v>382</v>
      </c>
      <c r="D139" s="110" t="s">
        <v>383</v>
      </c>
      <c r="E139" s="42" t="s">
        <v>389</v>
      </c>
      <c r="F139" s="42" t="s">
        <v>390</v>
      </c>
      <c r="G139" s="42" t="s">
        <v>384</v>
      </c>
      <c r="H139" s="42">
        <v>475</v>
      </c>
      <c r="I139" s="119">
        <v>45726</v>
      </c>
      <c r="J139" s="4" t="s">
        <v>24</v>
      </c>
      <c r="K139" s="4"/>
      <c r="L139" s="14"/>
      <c r="M139" s="4"/>
      <c r="N139" s="4"/>
      <c r="O139" s="4"/>
      <c r="P139" s="4"/>
      <c r="Q139" s="4"/>
    </row>
    <row r="140" spans="1:17" ht="24.95" customHeight="1" x14ac:dyDescent="0.15">
      <c r="A140" s="4">
        <v>140</v>
      </c>
      <c r="B140" s="107"/>
      <c r="C140" s="109"/>
      <c r="D140" s="111"/>
      <c r="E140" s="42" t="s">
        <v>389</v>
      </c>
      <c r="F140" s="42" t="s">
        <v>390</v>
      </c>
      <c r="G140" s="42" t="s">
        <v>385</v>
      </c>
      <c r="H140" s="42">
        <v>475</v>
      </c>
      <c r="I140" s="120"/>
      <c r="J140" s="4" t="s">
        <v>24</v>
      </c>
      <c r="K140" s="4"/>
      <c r="L140" s="14"/>
      <c r="M140" s="4"/>
      <c r="N140" s="4"/>
      <c r="O140" s="4"/>
      <c r="P140" s="4"/>
      <c r="Q140" s="4"/>
    </row>
    <row r="141" spans="1:17" ht="24.95" customHeight="1" x14ac:dyDescent="0.15">
      <c r="A141" s="4">
        <v>141</v>
      </c>
      <c r="B141" s="107"/>
      <c r="C141" s="109"/>
      <c r="D141" s="111"/>
      <c r="E141" s="42" t="s">
        <v>389</v>
      </c>
      <c r="F141" s="42" t="s">
        <v>390</v>
      </c>
      <c r="G141" s="42" t="s">
        <v>386</v>
      </c>
      <c r="H141" s="42">
        <v>475</v>
      </c>
      <c r="I141" s="120"/>
      <c r="J141" s="4" t="s">
        <v>24</v>
      </c>
      <c r="K141" s="4"/>
      <c r="L141" s="14"/>
      <c r="M141" s="4"/>
      <c r="N141" s="4"/>
      <c r="O141" s="4"/>
      <c r="P141" s="4"/>
      <c r="Q141" s="4"/>
    </row>
    <row r="142" spans="1:17" ht="24.95" customHeight="1" x14ac:dyDescent="0.15">
      <c r="A142" s="4">
        <v>142</v>
      </c>
      <c r="B142" s="107"/>
      <c r="C142" s="109"/>
      <c r="D142" s="111"/>
      <c r="E142" s="42" t="s">
        <v>389</v>
      </c>
      <c r="F142" s="42" t="s">
        <v>390</v>
      </c>
      <c r="G142" s="42" t="s">
        <v>387</v>
      </c>
      <c r="H142" s="42">
        <v>475</v>
      </c>
      <c r="I142" s="120"/>
      <c r="J142" s="4" t="s">
        <v>24</v>
      </c>
      <c r="K142" s="4"/>
      <c r="L142" s="14"/>
      <c r="M142" s="4"/>
      <c r="N142" s="4"/>
      <c r="O142" s="4"/>
      <c r="P142" s="4"/>
      <c r="Q142" s="4"/>
    </row>
    <row r="143" spans="1:17" ht="24.95" customHeight="1" x14ac:dyDescent="0.15">
      <c r="A143" s="4">
        <v>143</v>
      </c>
      <c r="B143" s="108"/>
      <c r="C143" s="105"/>
      <c r="D143" s="112"/>
      <c r="E143" s="42" t="s">
        <v>389</v>
      </c>
      <c r="F143" s="42" t="s">
        <v>390</v>
      </c>
      <c r="G143" s="42" t="s">
        <v>388</v>
      </c>
      <c r="H143" s="42">
        <v>475</v>
      </c>
      <c r="I143" s="121"/>
      <c r="J143" s="4" t="s">
        <v>24</v>
      </c>
      <c r="K143" s="4"/>
      <c r="L143" s="14"/>
      <c r="M143" s="4"/>
      <c r="N143" s="4"/>
      <c r="O143" s="4"/>
      <c r="P143" s="4"/>
      <c r="Q143" s="4"/>
    </row>
    <row r="144" spans="1:17" ht="24.95" customHeight="1" x14ac:dyDescent="0.15">
      <c r="A144" s="4">
        <v>144</v>
      </c>
      <c r="B144" s="106" t="s">
        <v>391</v>
      </c>
      <c r="C144" s="104" t="s">
        <v>392</v>
      </c>
      <c r="D144" s="110" t="s">
        <v>402</v>
      </c>
      <c r="E144" s="42" t="s">
        <v>21</v>
      </c>
      <c r="F144" s="47" t="s">
        <v>280</v>
      </c>
      <c r="G144" s="42" t="s">
        <v>145</v>
      </c>
      <c r="H144" s="42">
        <v>32000</v>
      </c>
      <c r="I144" s="116" t="s">
        <v>395</v>
      </c>
      <c r="J144" s="4" t="s">
        <v>24</v>
      </c>
      <c r="K144" s="4"/>
      <c r="L144" s="14"/>
      <c r="M144" s="4"/>
      <c r="N144" s="4"/>
      <c r="O144" s="4"/>
      <c r="P144" s="4"/>
      <c r="Q144" s="4"/>
    </row>
    <row r="145" spans="1:17" ht="24.95" customHeight="1" x14ac:dyDescent="0.15">
      <c r="A145" s="4">
        <v>145</v>
      </c>
      <c r="B145" s="108"/>
      <c r="C145" s="105"/>
      <c r="D145" s="112"/>
      <c r="E145" s="44" t="s">
        <v>393</v>
      </c>
      <c r="F145" s="44">
        <v>923393</v>
      </c>
      <c r="G145" s="44">
        <v>26</v>
      </c>
      <c r="H145" s="44">
        <v>17000</v>
      </c>
      <c r="I145" s="117"/>
      <c r="J145" s="4" t="s">
        <v>24</v>
      </c>
      <c r="K145" s="4"/>
      <c r="L145" s="14"/>
      <c r="M145" s="4"/>
      <c r="N145" s="4"/>
      <c r="O145" s="4"/>
      <c r="P145" s="4"/>
      <c r="Q145" s="4"/>
    </row>
    <row r="146" spans="1:17" ht="24.95" customHeight="1" x14ac:dyDescent="0.15">
      <c r="A146" s="4">
        <v>146</v>
      </c>
      <c r="B146" s="42" t="s">
        <v>398</v>
      </c>
      <c r="C146" s="64" t="s">
        <v>400</v>
      </c>
      <c r="D146" s="66" t="s">
        <v>401</v>
      </c>
      <c r="E146" s="42" t="s">
        <v>396</v>
      </c>
      <c r="F146" s="47" t="s">
        <v>399</v>
      </c>
      <c r="G146" s="42" t="s">
        <v>397</v>
      </c>
      <c r="H146" s="42">
        <v>12000</v>
      </c>
      <c r="I146" s="54">
        <v>45736</v>
      </c>
      <c r="J146" s="4" t="s">
        <v>24</v>
      </c>
      <c r="K146" s="4"/>
      <c r="L146" s="14"/>
      <c r="M146" s="4"/>
      <c r="N146" s="4"/>
      <c r="O146" s="4"/>
      <c r="P146" s="4"/>
      <c r="Q146" s="4"/>
    </row>
    <row r="147" spans="1:17" ht="24.95" customHeight="1" x14ac:dyDescent="0.15">
      <c r="A147" s="4">
        <v>147</v>
      </c>
      <c r="B147" s="106" t="s">
        <v>403</v>
      </c>
      <c r="C147" s="104" t="s">
        <v>404</v>
      </c>
      <c r="D147" s="110" t="s">
        <v>394</v>
      </c>
      <c r="E147" s="42" t="s">
        <v>21</v>
      </c>
      <c r="F147" s="42" t="s">
        <v>287</v>
      </c>
      <c r="G147" s="42" t="s">
        <v>288</v>
      </c>
      <c r="H147" s="42">
        <v>7205</v>
      </c>
      <c r="I147" s="116" t="s">
        <v>395</v>
      </c>
      <c r="J147" s="4" t="s">
        <v>24</v>
      </c>
      <c r="K147" s="4"/>
      <c r="L147" s="14"/>
      <c r="M147" s="4"/>
      <c r="N147" s="4"/>
      <c r="O147" s="4"/>
      <c r="P147" s="4"/>
      <c r="Q147" s="4"/>
    </row>
    <row r="148" spans="1:17" ht="24.95" customHeight="1" x14ac:dyDescent="0.15">
      <c r="A148" s="4">
        <v>148</v>
      </c>
      <c r="B148" s="108"/>
      <c r="C148" s="105"/>
      <c r="D148" s="112"/>
      <c r="E148" s="42" t="s">
        <v>21</v>
      </c>
      <c r="F148" s="42" t="s">
        <v>293</v>
      </c>
      <c r="G148" s="42" t="s">
        <v>294</v>
      </c>
      <c r="H148" s="42">
        <v>40000</v>
      </c>
      <c r="I148" s="117"/>
      <c r="J148" s="4" t="s">
        <v>24</v>
      </c>
      <c r="K148" s="4"/>
      <c r="L148" s="14"/>
      <c r="M148" s="4"/>
      <c r="N148" s="4"/>
      <c r="O148" s="4"/>
      <c r="P148" s="4"/>
      <c r="Q148" s="4"/>
    </row>
    <row r="149" spans="1:17" ht="24.95" customHeight="1" x14ac:dyDescent="0.15">
      <c r="A149" s="4">
        <v>149</v>
      </c>
      <c r="B149" s="53" t="s">
        <v>405</v>
      </c>
      <c r="C149" s="104" t="s">
        <v>407</v>
      </c>
      <c r="D149" s="110" t="s">
        <v>394</v>
      </c>
      <c r="E149" s="42" t="s">
        <v>21</v>
      </c>
      <c r="F149" s="42" t="s">
        <v>293</v>
      </c>
      <c r="G149" s="42" t="s">
        <v>408</v>
      </c>
      <c r="H149" s="42">
        <v>12600</v>
      </c>
      <c r="I149" s="116" t="s">
        <v>395</v>
      </c>
      <c r="J149" s="4" t="s">
        <v>24</v>
      </c>
      <c r="K149" s="4"/>
      <c r="L149" s="14"/>
      <c r="M149" s="4"/>
      <c r="N149" s="4"/>
      <c r="O149" s="4"/>
      <c r="P149" s="4"/>
      <c r="Q149" s="4"/>
    </row>
    <row r="150" spans="1:17" ht="24.95" customHeight="1" x14ac:dyDescent="0.15">
      <c r="A150" s="4">
        <v>150</v>
      </c>
      <c r="B150" s="53" t="s">
        <v>406</v>
      </c>
      <c r="C150" s="105"/>
      <c r="D150" s="112"/>
      <c r="E150" s="42" t="s">
        <v>21</v>
      </c>
      <c r="F150" s="42" t="s">
        <v>293</v>
      </c>
      <c r="G150" s="42" t="s">
        <v>408</v>
      </c>
      <c r="H150" s="42">
        <v>2500</v>
      </c>
      <c r="I150" s="117"/>
      <c r="J150" s="4" t="s">
        <v>24</v>
      </c>
      <c r="K150" s="4"/>
      <c r="L150" s="14"/>
      <c r="M150" s="4"/>
      <c r="N150" s="4"/>
      <c r="O150" s="4"/>
      <c r="P150" s="4"/>
      <c r="Q150" s="4"/>
    </row>
    <row r="151" spans="1:17" ht="24.95" customHeight="1" x14ac:dyDescent="0.15">
      <c r="A151" s="4">
        <v>151</v>
      </c>
      <c r="B151" s="53" t="s">
        <v>413</v>
      </c>
      <c r="C151" s="64" t="s">
        <v>409</v>
      </c>
      <c r="D151" s="4" t="s">
        <v>95</v>
      </c>
      <c r="E151" s="42" t="s">
        <v>21</v>
      </c>
      <c r="F151" s="42" t="s">
        <v>293</v>
      </c>
      <c r="G151" s="42" t="s">
        <v>408</v>
      </c>
      <c r="H151" s="42">
        <v>35000</v>
      </c>
      <c r="I151" s="67" t="s">
        <v>415</v>
      </c>
      <c r="J151" s="4" t="s">
        <v>24</v>
      </c>
      <c r="K151" s="4"/>
      <c r="L151" s="14"/>
      <c r="M151" s="4"/>
      <c r="N151" s="4"/>
      <c r="O151" s="4"/>
      <c r="P151" s="4"/>
      <c r="Q151" s="4"/>
    </row>
    <row r="152" spans="1:17" ht="24.95" customHeight="1" x14ac:dyDescent="0.15">
      <c r="A152" s="4">
        <v>152</v>
      </c>
      <c r="B152" s="102" t="s">
        <v>414</v>
      </c>
      <c r="C152" s="104" t="s">
        <v>410</v>
      </c>
      <c r="D152" s="110" t="s">
        <v>394</v>
      </c>
      <c r="E152" s="42" t="s">
        <v>21</v>
      </c>
      <c r="F152" s="44" t="s">
        <v>252</v>
      </c>
      <c r="G152" s="44" t="s">
        <v>253</v>
      </c>
      <c r="H152" s="44">
        <v>43200</v>
      </c>
      <c r="I152" s="67" t="s">
        <v>416</v>
      </c>
      <c r="J152" s="4" t="s">
        <v>24</v>
      </c>
      <c r="K152" s="4"/>
      <c r="L152" s="14"/>
      <c r="M152" s="4"/>
      <c r="N152" s="4"/>
      <c r="O152" s="4"/>
      <c r="P152" s="4"/>
      <c r="Q152" s="4"/>
    </row>
    <row r="153" spans="1:17" ht="24.95" customHeight="1" x14ac:dyDescent="0.15">
      <c r="A153" s="4">
        <v>153</v>
      </c>
      <c r="B153" s="103"/>
      <c r="C153" s="105"/>
      <c r="D153" s="112"/>
      <c r="E153" s="42" t="s">
        <v>21</v>
      </c>
      <c r="F153" s="44" t="s">
        <v>252</v>
      </c>
      <c r="G153" s="44" t="s">
        <v>253</v>
      </c>
      <c r="H153" s="68">
        <v>43200</v>
      </c>
      <c r="I153" s="59" t="s">
        <v>416</v>
      </c>
      <c r="J153" s="4" t="s">
        <v>24</v>
      </c>
      <c r="K153" s="4"/>
      <c r="L153" s="14"/>
      <c r="M153" s="4"/>
      <c r="N153" s="4"/>
      <c r="O153" s="4"/>
      <c r="P153" s="4"/>
      <c r="Q153" s="4"/>
    </row>
    <row r="154" spans="1:17" ht="24.95" customHeight="1" x14ac:dyDescent="0.15">
      <c r="A154" s="4">
        <v>154</v>
      </c>
      <c r="B154" s="42" t="s">
        <v>412</v>
      </c>
      <c r="C154" s="64" t="s">
        <v>411</v>
      </c>
      <c r="D154" s="4" t="s">
        <v>95</v>
      </c>
      <c r="E154" s="42" t="s">
        <v>21</v>
      </c>
      <c r="F154" s="42" t="s">
        <v>293</v>
      </c>
      <c r="G154" s="42" t="s">
        <v>353</v>
      </c>
      <c r="H154" s="42">
        <v>50000</v>
      </c>
      <c r="I154" s="56" t="s">
        <v>443</v>
      </c>
      <c r="J154" s="4" t="s">
        <v>24</v>
      </c>
      <c r="K154" s="4"/>
      <c r="L154" s="14"/>
      <c r="M154" s="4"/>
      <c r="N154" s="4"/>
      <c r="O154" s="4"/>
      <c r="P154" s="4"/>
      <c r="Q154" s="4"/>
    </row>
    <row r="155" spans="1:17" ht="24.95" customHeight="1" x14ac:dyDescent="0.15">
      <c r="A155" s="4">
        <v>155</v>
      </c>
      <c r="B155" s="53" t="s">
        <v>440</v>
      </c>
      <c r="C155" s="64" t="s">
        <v>438</v>
      </c>
      <c r="D155" s="4" t="s">
        <v>95</v>
      </c>
      <c r="E155" s="42" t="s">
        <v>21</v>
      </c>
      <c r="F155" s="42" t="s">
        <v>293</v>
      </c>
      <c r="G155" s="42" t="s">
        <v>408</v>
      </c>
      <c r="H155" s="42">
        <v>20960</v>
      </c>
      <c r="I155" s="54">
        <v>45771</v>
      </c>
      <c r="J155" s="4" t="s">
        <v>24</v>
      </c>
      <c r="K155" s="4"/>
      <c r="L155" s="14"/>
      <c r="M155" s="4"/>
      <c r="N155" s="4"/>
      <c r="O155" s="4"/>
      <c r="P155" s="4"/>
      <c r="Q155" s="4"/>
    </row>
    <row r="156" spans="1:17" ht="24.95" customHeight="1" x14ac:dyDescent="0.15">
      <c r="A156" s="4">
        <v>156</v>
      </c>
      <c r="B156" s="42" t="s">
        <v>441</v>
      </c>
      <c r="C156" s="64" t="s">
        <v>439</v>
      </c>
      <c r="D156" s="4" t="s">
        <v>95</v>
      </c>
      <c r="E156" s="42" t="s">
        <v>21</v>
      </c>
      <c r="F156" s="42" t="s">
        <v>301</v>
      </c>
      <c r="G156" s="42" t="s">
        <v>302</v>
      </c>
      <c r="H156" s="42">
        <v>45868</v>
      </c>
      <c r="I156" s="56" t="s">
        <v>442</v>
      </c>
      <c r="J156" s="4" t="s">
        <v>24</v>
      </c>
      <c r="K156" s="4"/>
      <c r="L156" s="14"/>
      <c r="M156" s="4"/>
      <c r="N156" s="4"/>
      <c r="O156" s="4"/>
      <c r="P156" s="4"/>
      <c r="Q156" s="4"/>
    </row>
    <row r="157" spans="1:17" ht="24.95" customHeight="1" x14ac:dyDescent="0.15">
      <c r="A157" s="4">
        <v>157</v>
      </c>
      <c r="B157" s="42" t="s">
        <v>445</v>
      </c>
      <c r="C157" s="64" t="s">
        <v>444</v>
      </c>
      <c r="D157" s="4" t="s">
        <v>95</v>
      </c>
      <c r="E157" s="42" t="s">
        <v>21</v>
      </c>
      <c r="F157" s="42" t="s">
        <v>293</v>
      </c>
      <c r="G157" s="42" t="s">
        <v>408</v>
      </c>
      <c r="H157" s="42">
        <v>1500</v>
      </c>
      <c r="I157" s="67" t="s">
        <v>415</v>
      </c>
      <c r="J157" s="4" t="s">
        <v>24</v>
      </c>
      <c r="K157" s="4"/>
      <c r="L157" s="14"/>
      <c r="M157" s="4"/>
      <c r="N157" s="4"/>
      <c r="O157" s="4"/>
      <c r="P157" s="4"/>
      <c r="Q157" s="4"/>
    </row>
    <row r="158" spans="1:17" ht="24.95" customHeight="1" x14ac:dyDescent="0.15">
      <c r="A158" s="4">
        <v>158</v>
      </c>
      <c r="B158" s="53" t="s">
        <v>446</v>
      </c>
      <c r="C158" s="64" t="s">
        <v>447</v>
      </c>
      <c r="D158" s="66" t="s">
        <v>401</v>
      </c>
      <c r="E158" s="42" t="s">
        <v>396</v>
      </c>
      <c r="F158" s="42" t="s">
        <v>287</v>
      </c>
      <c r="G158" s="42" t="s">
        <v>448</v>
      </c>
      <c r="H158" s="42">
        <v>20</v>
      </c>
      <c r="I158" s="56" t="s">
        <v>449</v>
      </c>
      <c r="J158" s="4" t="s">
        <v>24</v>
      </c>
      <c r="K158" s="4"/>
      <c r="L158" s="14"/>
      <c r="M158" s="4"/>
      <c r="N158" s="4"/>
      <c r="O158" s="4"/>
      <c r="P158" s="4"/>
      <c r="Q158" s="4"/>
    </row>
    <row r="159" spans="1:17" ht="24.95" customHeight="1" x14ac:dyDescent="0.15">
      <c r="A159" s="125">
        <v>159</v>
      </c>
      <c r="B159" s="106" t="s">
        <v>467</v>
      </c>
      <c r="C159" s="104" t="s">
        <v>468</v>
      </c>
      <c r="D159" s="125" t="s">
        <v>95</v>
      </c>
      <c r="E159" s="106" t="s">
        <v>469</v>
      </c>
      <c r="F159" s="106" t="s">
        <v>470</v>
      </c>
      <c r="G159" s="106">
        <v>22</v>
      </c>
      <c r="H159" s="42">
        <v>200000</v>
      </c>
      <c r="I159" s="56" t="s">
        <v>471</v>
      </c>
      <c r="J159" s="4" t="s">
        <v>24</v>
      </c>
      <c r="K159" s="4"/>
      <c r="L159" s="14"/>
      <c r="M159" s="4"/>
      <c r="N159" s="4"/>
      <c r="O159" s="4"/>
      <c r="P159" s="4"/>
      <c r="Q159" s="4"/>
    </row>
    <row r="160" spans="1:17" ht="24.95" customHeight="1" x14ac:dyDescent="0.15">
      <c r="A160" s="127"/>
      <c r="B160" s="108"/>
      <c r="C160" s="105"/>
      <c r="D160" s="127"/>
      <c r="E160" s="108"/>
      <c r="F160" s="108"/>
      <c r="G160" s="108"/>
      <c r="H160" s="42">
        <v>200000</v>
      </c>
      <c r="I160" s="84" t="s">
        <v>513</v>
      </c>
      <c r="J160" s="4" t="s">
        <v>24</v>
      </c>
      <c r="K160" s="4"/>
      <c r="L160" s="14"/>
      <c r="M160" s="4"/>
      <c r="N160" s="4"/>
      <c r="O160" s="4"/>
      <c r="P160" s="4"/>
      <c r="Q160" s="4"/>
    </row>
    <row r="161" spans="1:17" ht="24.95" customHeight="1" x14ac:dyDescent="0.15">
      <c r="A161" s="4">
        <v>160</v>
      </c>
      <c r="B161" s="42" t="s">
        <v>450</v>
      </c>
      <c r="C161" s="64" t="s">
        <v>452</v>
      </c>
      <c r="D161" s="66" t="s">
        <v>451</v>
      </c>
      <c r="E161" s="42" t="s">
        <v>396</v>
      </c>
      <c r="F161" s="47" t="s">
        <v>453</v>
      </c>
      <c r="G161" s="42" t="s">
        <v>454</v>
      </c>
      <c r="H161" s="42">
        <v>500</v>
      </c>
      <c r="I161" s="56" t="s">
        <v>455</v>
      </c>
      <c r="J161" s="4" t="s">
        <v>24</v>
      </c>
      <c r="K161" s="4"/>
      <c r="L161" s="14"/>
      <c r="M161" s="4"/>
      <c r="N161" s="4"/>
      <c r="O161" s="4"/>
      <c r="P161" s="4"/>
      <c r="Q161" s="4"/>
    </row>
    <row r="162" spans="1:17" ht="24.95" customHeight="1" x14ac:dyDescent="0.15">
      <c r="A162" s="4">
        <v>161</v>
      </c>
      <c r="B162" s="106" t="s">
        <v>461</v>
      </c>
      <c r="C162" s="104" t="s">
        <v>460</v>
      </c>
      <c r="D162" s="4" t="s">
        <v>95</v>
      </c>
      <c r="E162" s="42" t="s">
        <v>21</v>
      </c>
      <c r="F162" s="42" t="s">
        <v>293</v>
      </c>
      <c r="G162" s="42" t="s">
        <v>294</v>
      </c>
      <c r="H162" s="42">
        <v>888</v>
      </c>
      <c r="I162" s="113" t="s">
        <v>458</v>
      </c>
      <c r="J162" s="4" t="s">
        <v>24</v>
      </c>
      <c r="K162" s="4"/>
      <c r="L162" s="14"/>
      <c r="M162" s="4"/>
      <c r="N162" s="4"/>
      <c r="O162" s="4"/>
      <c r="P162" s="4"/>
      <c r="Q162" s="4"/>
    </row>
    <row r="163" spans="1:17" ht="24.95" customHeight="1" x14ac:dyDescent="0.15">
      <c r="A163" s="4">
        <v>162</v>
      </c>
      <c r="B163" s="108"/>
      <c r="C163" s="105"/>
      <c r="D163" s="4" t="s">
        <v>95</v>
      </c>
      <c r="E163" s="43" t="s">
        <v>456</v>
      </c>
      <c r="F163" s="42" t="s">
        <v>459</v>
      </c>
      <c r="G163" s="43" t="s">
        <v>457</v>
      </c>
      <c r="H163" s="42">
        <v>888</v>
      </c>
      <c r="I163" s="115"/>
      <c r="J163" s="4" t="s">
        <v>24</v>
      </c>
      <c r="K163" s="4"/>
      <c r="L163" s="14"/>
      <c r="M163" s="4"/>
      <c r="N163" s="4"/>
      <c r="O163" s="4"/>
      <c r="P163" s="4"/>
      <c r="Q163" s="4"/>
    </row>
    <row r="164" spans="1:17" ht="24.95" customHeight="1" x14ac:dyDescent="0.15">
      <c r="A164" s="4">
        <v>163</v>
      </c>
      <c r="B164" s="102" t="s">
        <v>465</v>
      </c>
      <c r="C164" s="104" t="s">
        <v>466</v>
      </c>
      <c r="D164" s="4" t="s">
        <v>95</v>
      </c>
      <c r="E164" s="44" t="s">
        <v>211</v>
      </c>
      <c r="F164" s="44" t="s">
        <v>243</v>
      </c>
      <c r="G164" s="44" t="s">
        <v>244</v>
      </c>
      <c r="H164" s="44">
        <v>32000</v>
      </c>
      <c r="I164" s="113" t="s">
        <v>476</v>
      </c>
      <c r="J164" s="4" t="s">
        <v>24</v>
      </c>
      <c r="K164" s="4"/>
      <c r="L164" s="14"/>
      <c r="M164" s="4"/>
      <c r="N164" s="4"/>
      <c r="O164" s="4"/>
      <c r="P164" s="4"/>
      <c r="Q164" s="4"/>
    </row>
    <row r="165" spans="1:17" ht="24.95" customHeight="1" x14ac:dyDescent="0.15">
      <c r="A165" s="4">
        <v>164</v>
      </c>
      <c r="B165" s="103"/>
      <c r="C165" s="105"/>
      <c r="D165" s="4" t="s">
        <v>95</v>
      </c>
      <c r="E165" s="44" t="s">
        <v>462</v>
      </c>
      <c r="F165" s="44" t="s">
        <v>464</v>
      </c>
      <c r="G165" s="44" t="s">
        <v>463</v>
      </c>
      <c r="H165" s="44">
        <v>20000</v>
      </c>
      <c r="I165" s="115"/>
      <c r="J165" s="4" t="s">
        <v>24</v>
      </c>
      <c r="K165" s="4"/>
      <c r="L165" s="14"/>
      <c r="M165" s="4"/>
      <c r="N165" s="4"/>
      <c r="O165" s="4"/>
      <c r="P165" s="4"/>
      <c r="Q165" s="4"/>
    </row>
    <row r="166" spans="1:17" ht="24.95" customHeight="1" x14ac:dyDescent="0.15">
      <c r="A166" s="4">
        <v>165</v>
      </c>
      <c r="B166" s="42" t="s">
        <v>473</v>
      </c>
      <c r="C166" s="64" t="s">
        <v>472</v>
      </c>
      <c r="D166" s="66" t="s">
        <v>474</v>
      </c>
      <c r="E166" s="42" t="s">
        <v>21</v>
      </c>
      <c r="F166" s="61" t="s">
        <v>315</v>
      </c>
      <c r="G166" s="42" t="s">
        <v>316</v>
      </c>
      <c r="H166" s="44">
        <v>4000</v>
      </c>
      <c r="I166" s="75" t="s">
        <v>475</v>
      </c>
      <c r="J166" s="4" t="s">
        <v>24</v>
      </c>
      <c r="K166" s="4"/>
      <c r="L166" s="14"/>
      <c r="M166" s="4"/>
      <c r="N166" s="4"/>
      <c r="O166" s="4"/>
      <c r="P166" s="4"/>
      <c r="Q166" s="4"/>
    </row>
    <row r="167" spans="1:17" ht="24.95" customHeight="1" x14ac:dyDescent="0.15">
      <c r="A167" s="4">
        <v>166</v>
      </c>
      <c r="B167" s="74" t="s">
        <v>480</v>
      </c>
      <c r="C167" s="64" t="s">
        <v>477</v>
      </c>
      <c r="D167" s="4" t="s">
        <v>95</v>
      </c>
      <c r="E167" s="42" t="s">
        <v>21</v>
      </c>
      <c r="F167" s="42" t="s">
        <v>293</v>
      </c>
      <c r="G167" s="42" t="s">
        <v>478</v>
      </c>
      <c r="H167" s="42">
        <v>40000</v>
      </c>
      <c r="I167" s="73" t="s">
        <v>479</v>
      </c>
      <c r="J167" s="4" t="s">
        <v>24</v>
      </c>
      <c r="K167" s="4"/>
      <c r="L167" s="14"/>
      <c r="M167" s="4"/>
      <c r="N167" s="4"/>
      <c r="O167" s="4"/>
      <c r="P167" s="4"/>
      <c r="Q167" s="4"/>
    </row>
    <row r="168" spans="1:17" ht="24.95" customHeight="1" x14ac:dyDescent="0.15">
      <c r="A168" s="4">
        <v>167</v>
      </c>
      <c r="B168" s="74" t="s">
        <v>481</v>
      </c>
      <c r="C168" s="64" t="s">
        <v>482</v>
      </c>
      <c r="D168" s="4" t="s">
        <v>95</v>
      </c>
      <c r="E168" s="44" t="s">
        <v>462</v>
      </c>
      <c r="F168" s="44" t="s">
        <v>464</v>
      </c>
      <c r="G168" s="44" t="s">
        <v>463</v>
      </c>
      <c r="H168" s="44">
        <v>25200</v>
      </c>
      <c r="I168" s="73" t="s">
        <v>483</v>
      </c>
      <c r="J168" s="4" t="s">
        <v>24</v>
      </c>
      <c r="K168" s="4"/>
      <c r="L168" s="14"/>
      <c r="M168" s="4"/>
      <c r="N168" s="4"/>
      <c r="O168" s="4"/>
      <c r="P168" s="4"/>
      <c r="Q168" s="4"/>
    </row>
    <row r="169" spans="1:17" ht="24.95" customHeight="1" x14ac:dyDescent="0.15">
      <c r="A169" s="4">
        <v>168</v>
      </c>
      <c r="B169" s="102" t="s">
        <v>484</v>
      </c>
      <c r="C169" s="104" t="s">
        <v>485</v>
      </c>
      <c r="D169" s="4" t="s">
        <v>95</v>
      </c>
      <c r="E169" s="42" t="s">
        <v>396</v>
      </c>
      <c r="F169" s="42" t="s">
        <v>287</v>
      </c>
      <c r="G169" s="42" t="s">
        <v>486</v>
      </c>
      <c r="H169" s="44">
        <v>10025</v>
      </c>
      <c r="I169" s="113" t="s">
        <v>489</v>
      </c>
      <c r="J169" s="4" t="s">
        <v>24</v>
      </c>
      <c r="K169" s="4"/>
      <c r="L169" s="14"/>
      <c r="M169" s="4"/>
      <c r="N169" s="4"/>
      <c r="O169" s="4"/>
      <c r="P169" s="4"/>
      <c r="Q169" s="4"/>
    </row>
    <row r="170" spans="1:17" ht="24.95" customHeight="1" x14ac:dyDescent="0.15">
      <c r="A170" s="4">
        <v>169</v>
      </c>
      <c r="B170" s="118"/>
      <c r="C170" s="109"/>
      <c r="D170" s="4" t="s">
        <v>95</v>
      </c>
      <c r="E170" s="42" t="s">
        <v>396</v>
      </c>
      <c r="F170" s="42" t="s">
        <v>287</v>
      </c>
      <c r="G170" s="42" t="s">
        <v>486</v>
      </c>
      <c r="H170" s="44">
        <v>10400</v>
      </c>
      <c r="I170" s="114"/>
      <c r="J170" s="4" t="s">
        <v>24</v>
      </c>
      <c r="K170" s="4"/>
      <c r="L170" s="14"/>
      <c r="M170" s="4"/>
      <c r="N170" s="4"/>
      <c r="O170" s="4"/>
      <c r="P170" s="4"/>
      <c r="Q170" s="4"/>
    </row>
    <row r="171" spans="1:17" ht="24.95" customHeight="1" x14ac:dyDescent="0.15">
      <c r="A171" s="4">
        <v>170</v>
      </c>
      <c r="B171" s="103"/>
      <c r="C171" s="105"/>
      <c r="D171" s="4" t="s">
        <v>95</v>
      </c>
      <c r="E171" s="42" t="s">
        <v>396</v>
      </c>
      <c r="F171" s="42" t="s">
        <v>287</v>
      </c>
      <c r="G171" s="42" t="s">
        <v>486</v>
      </c>
      <c r="H171" s="44">
        <v>25864</v>
      </c>
      <c r="I171" s="115"/>
      <c r="J171" s="66" t="s">
        <v>510</v>
      </c>
      <c r="K171" s="4"/>
      <c r="L171" s="14"/>
      <c r="M171" s="4"/>
      <c r="N171" s="4"/>
      <c r="O171" s="4"/>
      <c r="P171" s="4"/>
      <c r="Q171" s="4"/>
    </row>
    <row r="172" spans="1:17" ht="25.5" customHeight="1" x14ac:dyDescent="0.15">
      <c r="A172" s="6">
        <v>171</v>
      </c>
      <c r="B172" s="106" t="s">
        <v>487</v>
      </c>
      <c r="C172" s="104" t="s">
        <v>488</v>
      </c>
      <c r="D172" s="110" t="s">
        <v>402</v>
      </c>
      <c r="E172" s="53" t="s">
        <v>21</v>
      </c>
      <c r="F172" s="87" t="s">
        <v>280</v>
      </c>
      <c r="G172" s="53" t="s">
        <v>145</v>
      </c>
      <c r="H172" s="53">
        <v>32430</v>
      </c>
      <c r="I172" s="116" t="s">
        <v>490</v>
      </c>
      <c r="J172" s="4" t="s">
        <v>24</v>
      </c>
      <c r="K172" s="6"/>
      <c r="L172" s="6"/>
      <c r="M172" s="88"/>
      <c r="N172" s="6"/>
      <c r="O172" s="6"/>
      <c r="P172" s="6"/>
      <c r="Q172" s="6"/>
    </row>
    <row r="173" spans="1:17" s="15" customFormat="1" ht="27" customHeight="1" x14ac:dyDescent="0.15">
      <c r="A173" s="4">
        <v>172</v>
      </c>
      <c r="B173" s="108"/>
      <c r="C173" s="105"/>
      <c r="D173" s="112"/>
      <c r="E173" s="44" t="s">
        <v>393</v>
      </c>
      <c r="F173" s="44">
        <v>923393</v>
      </c>
      <c r="G173" s="44">
        <v>26</v>
      </c>
      <c r="H173" s="44">
        <v>19755</v>
      </c>
      <c r="I173" s="117"/>
      <c r="J173" s="4" t="s">
        <v>24</v>
      </c>
      <c r="N173" s="4"/>
      <c r="O173" s="4" t="s">
        <v>359</v>
      </c>
      <c r="P173" s="17">
        <f>SUM(P3:P172)</f>
        <v>1753896.8950000007</v>
      </c>
    </row>
    <row r="174" spans="1:17" s="15" customFormat="1" ht="27.75" customHeight="1" x14ac:dyDescent="0.15">
      <c r="A174" s="4">
        <v>173</v>
      </c>
      <c r="B174" s="102" t="s">
        <v>492</v>
      </c>
      <c r="C174" s="104" t="s">
        <v>491</v>
      </c>
      <c r="D174" s="110" t="s">
        <v>394</v>
      </c>
      <c r="E174" s="42" t="s">
        <v>21</v>
      </c>
      <c r="F174" s="44" t="s">
        <v>252</v>
      </c>
      <c r="G174" s="44" t="s">
        <v>253</v>
      </c>
      <c r="H174" s="44">
        <v>43200</v>
      </c>
      <c r="I174" s="73" t="s">
        <v>493</v>
      </c>
      <c r="J174" s="4" t="s">
        <v>24</v>
      </c>
      <c r="M174" s="4"/>
      <c r="N174" s="4"/>
      <c r="O174" s="4"/>
      <c r="P174" s="90">
        <f>SUBTOTAL(9,P19:P173)</f>
        <v>3220291.0300000012</v>
      </c>
    </row>
    <row r="175" spans="1:17" s="15" customFormat="1" ht="27.75" customHeight="1" x14ac:dyDescent="0.15">
      <c r="A175" s="4">
        <v>174</v>
      </c>
      <c r="B175" s="118"/>
      <c r="C175" s="109"/>
      <c r="D175" s="111"/>
      <c r="E175" s="42" t="s">
        <v>21</v>
      </c>
      <c r="F175" s="44" t="s">
        <v>252</v>
      </c>
      <c r="G175" s="44" t="s">
        <v>253</v>
      </c>
      <c r="H175" s="44">
        <v>43200</v>
      </c>
      <c r="I175" s="73" t="s">
        <v>493</v>
      </c>
      <c r="J175" s="4" t="s">
        <v>24</v>
      </c>
      <c r="M175" s="4"/>
      <c r="N175" s="4"/>
      <c r="O175" s="4"/>
      <c r="P175" s="90"/>
    </row>
    <row r="176" spans="1:17" s="15" customFormat="1" ht="27.75" customHeight="1" x14ac:dyDescent="0.15">
      <c r="A176" s="4">
        <v>175</v>
      </c>
      <c r="B176" s="118"/>
      <c r="C176" s="109"/>
      <c r="D176" s="111"/>
      <c r="E176" s="42" t="s">
        <v>21</v>
      </c>
      <c r="F176" s="44" t="s">
        <v>252</v>
      </c>
      <c r="G176" s="44" t="s">
        <v>253</v>
      </c>
      <c r="H176" s="44">
        <v>43200</v>
      </c>
      <c r="I176" s="73" t="s">
        <v>493</v>
      </c>
      <c r="J176" s="4" t="s">
        <v>24</v>
      </c>
      <c r="M176" s="4"/>
      <c r="N176" s="4"/>
      <c r="O176" s="4"/>
      <c r="P176" s="90"/>
    </row>
    <row r="177" spans="1:16" s="15" customFormat="1" ht="27.75" customHeight="1" x14ac:dyDescent="0.15">
      <c r="A177" s="4"/>
      <c r="B177" s="118"/>
      <c r="C177" s="109"/>
      <c r="D177" s="111"/>
      <c r="E177" s="42" t="s">
        <v>21</v>
      </c>
      <c r="F177" s="44" t="s">
        <v>252</v>
      </c>
      <c r="G177" s="44" t="s">
        <v>501</v>
      </c>
      <c r="H177" s="44">
        <v>50070</v>
      </c>
      <c r="I177" s="73" t="s">
        <v>500</v>
      </c>
      <c r="J177" s="4" t="s">
        <v>24</v>
      </c>
      <c r="M177" s="4"/>
      <c r="N177" s="4"/>
      <c r="O177" s="4"/>
      <c r="P177" s="90"/>
    </row>
    <row r="178" spans="1:16" s="15" customFormat="1" ht="27.75" customHeight="1" x14ac:dyDescent="0.15">
      <c r="A178" s="4">
        <v>176</v>
      </c>
      <c r="B178" s="118"/>
      <c r="C178" s="109"/>
      <c r="D178" s="111"/>
      <c r="E178" s="42" t="s">
        <v>21</v>
      </c>
      <c r="F178" s="44" t="s">
        <v>252</v>
      </c>
      <c r="G178" s="44" t="s">
        <v>253</v>
      </c>
      <c r="H178" s="44">
        <v>43200</v>
      </c>
      <c r="I178" s="73" t="s">
        <v>494</v>
      </c>
      <c r="J178" s="4" t="s">
        <v>24</v>
      </c>
      <c r="M178" s="4"/>
      <c r="N178" s="4"/>
      <c r="O178" s="4"/>
      <c r="P178" s="90"/>
    </row>
    <row r="179" spans="1:16" s="15" customFormat="1" ht="27.75" customHeight="1" x14ac:dyDescent="0.15">
      <c r="A179" s="4">
        <v>177</v>
      </c>
      <c r="B179" s="118"/>
      <c r="C179" s="109"/>
      <c r="D179" s="111"/>
      <c r="E179" s="42" t="s">
        <v>21</v>
      </c>
      <c r="F179" s="44" t="s">
        <v>252</v>
      </c>
      <c r="G179" s="44" t="s">
        <v>253</v>
      </c>
      <c r="H179" s="44">
        <v>43200</v>
      </c>
      <c r="I179" s="73" t="s">
        <v>494</v>
      </c>
      <c r="J179" s="4" t="s">
        <v>24</v>
      </c>
      <c r="M179" s="4"/>
      <c r="N179" s="4"/>
      <c r="O179" s="4"/>
      <c r="P179" s="90"/>
    </row>
    <row r="180" spans="1:16" s="15" customFormat="1" ht="27.75" customHeight="1" x14ac:dyDescent="0.15">
      <c r="A180" s="4">
        <v>178</v>
      </c>
      <c r="B180" s="118"/>
      <c r="C180" s="109"/>
      <c r="D180" s="111"/>
      <c r="E180" s="42" t="s">
        <v>21</v>
      </c>
      <c r="F180" s="44" t="s">
        <v>252</v>
      </c>
      <c r="G180" s="44" t="s">
        <v>253</v>
      </c>
      <c r="H180" s="44">
        <v>43200</v>
      </c>
      <c r="I180" s="73" t="s">
        <v>494</v>
      </c>
      <c r="J180" s="4" t="s">
        <v>24</v>
      </c>
      <c r="M180" s="4"/>
      <c r="N180" s="4"/>
      <c r="O180" s="4"/>
      <c r="P180" s="90"/>
    </row>
    <row r="181" spans="1:16" s="15" customFormat="1" ht="27.75" customHeight="1" x14ac:dyDescent="0.15">
      <c r="A181" s="4">
        <v>179</v>
      </c>
      <c r="B181" s="118"/>
      <c r="C181" s="109"/>
      <c r="D181" s="111"/>
      <c r="E181" s="42" t="s">
        <v>21</v>
      </c>
      <c r="F181" s="44" t="s">
        <v>252</v>
      </c>
      <c r="G181" s="44" t="s">
        <v>253</v>
      </c>
      <c r="H181" s="44">
        <v>43200</v>
      </c>
      <c r="I181" s="73" t="s">
        <v>495</v>
      </c>
      <c r="J181" s="4" t="s">
        <v>24</v>
      </c>
      <c r="M181" s="4"/>
      <c r="N181" s="4"/>
      <c r="O181" s="4"/>
      <c r="P181" s="90"/>
    </row>
    <row r="182" spans="1:16" s="15" customFormat="1" ht="27.75" customHeight="1" x14ac:dyDescent="0.15">
      <c r="A182" s="4">
        <v>180</v>
      </c>
      <c r="B182" s="118"/>
      <c r="C182" s="109"/>
      <c r="D182" s="111"/>
      <c r="E182" s="42" t="s">
        <v>21</v>
      </c>
      <c r="F182" s="44" t="s">
        <v>252</v>
      </c>
      <c r="G182" s="44" t="s">
        <v>253</v>
      </c>
      <c r="H182" s="44">
        <v>43200</v>
      </c>
      <c r="I182" s="73" t="s">
        <v>495</v>
      </c>
      <c r="J182" s="4" t="s">
        <v>24</v>
      </c>
      <c r="M182" s="4"/>
      <c r="N182" s="4"/>
      <c r="O182" s="4"/>
      <c r="P182" s="90"/>
    </row>
    <row r="183" spans="1:16" s="15" customFormat="1" ht="27.75" customHeight="1" x14ac:dyDescent="0.15">
      <c r="A183" s="4">
        <v>181</v>
      </c>
      <c r="B183" s="118"/>
      <c r="C183" s="109"/>
      <c r="D183" s="111"/>
      <c r="E183" s="42" t="s">
        <v>21</v>
      </c>
      <c r="F183" s="44" t="s">
        <v>252</v>
      </c>
      <c r="G183" s="44" t="s">
        <v>253</v>
      </c>
      <c r="H183" s="44">
        <v>43200</v>
      </c>
      <c r="I183" s="73" t="s">
        <v>495</v>
      </c>
      <c r="J183" s="4" t="s">
        <v>24</v>
      </c>
      <c r="M183" s="4"/>
      <c r="N183" s="4"/>
      <c r="O183" s="4"/>
      <c r="P183" s="90"/>
    </row>
    <row r="184" spans="1:16" s="15" customFormat="1" ht="27.75" customHeight="1" x14ac:dyDescent="0.15">
      <c r="A184" s="4">
        <v>182</v>
      </c>
      <c r="B184" s="118"/>
      <c r="C184" s="109"/>
      <c r="D184" s="111"/>
      <c r="E184" s="42" t="s">
        <v>21</v>
      </c>
      <c r="F184" s="44" t="s">
        <v>252</v>
      </c>
      <c r="G184" s="44" t="s">
        <v>253</v>
      </c>
      <c r="H184" s="44">
        <v>43200</v>
      </c>
      <c r="I184" s="73" t="s">
        <v>496</v>
      </c>
      <c r="J184" s="4" t="s">
        <v>24</v>
      </c>
      <c r="M184" s="4"/>
      <c r="N184" s="4"/>
      <c r="O184" s="4"/>
      <c r="P184" s="90"/>
    </row>
    <row r="185" spans="1:16" s="15" customFormat="1" ht="24" x14ac:dyDescent="0.15">
      <c r="A185" s="4">
        <v>183</v>
      </c>
      <c r="B185" s="103"/>
      <c r="C185" s="105"/>
      <c r="D185" s="112"/>
      <c r="E185" s="42" t="s">
        <v>21</v>
      </c>
      <c r="F185" s="44" t="s">
        <v>252</v>
      </c>
      <c r="G185" s="44" t="s">
        <v>253</v>
      </c>
      <c r="H185" s="44">
        <v>43200</v>
      </c>
      <c r="I185" s="73" t="s">
        <v>496</v>
      </c>
      <c r="J185" s="4" t="s">
        <v>24</v>
      </c>
      <c r="M185" s="4"/>
      <c r="N185" s="4"/>
      <c r="O185" s="4"/>
      <c r="P185" s="4"/>
    </row>
    <row r="186" spans="1:16" s="15" customFormat="1" ht="24" x14ac:dyDescent="0.15">
      <c r="A186" s="4">
        <v>184</v>
      </c>
      <c r="B186" s="102" t="s">
        <v>498</v>
      </c>
      <c r="C186" s="104" t="s">
        <v>497</v>
      </c>
      <c r="D186" s="4" t="s">
        <v>95</v>
      </c>
      <c r="E186" s="42" t="s">
        <v>21</v>
      </c>
      <c r="F186" s="42" t="s">
        <v>287</v>
      </c>
      <c r="G186" s="42" t="s">
        <v>288</v>
      </c>
      <c r="H186" s="42">
        <v>400</v>
      </c>
      <c r="I186" s="73" t="s">
        <v>499</v>
      </c>
      <c r="J186" s="66" t="s">
        <v>510</v>
      </c>
      <c r="M186" s="4"/>
      <c r="N186" s="4"/>
      <c r="O186" s="4"/>
      <c r="P186" s="4"/>
    </row>
    <row r="187" spans="1:16" s="15" customFormat="1" ht="24" x14ac:dyDescent="0.15">
      <c r="A187" s="4">
        <v>185</v>
      </c>
      <c r="B187" s="103"/>
      <c r="C187" s="105"/>
      <c r="D187" s="4" t="s">
        <v>95</v>
      </c>
      <c r="E187" s="42" t="s">
        <v>21</v>
      </c>
      <c r="F187" s="42" t="s">
        <v>287</v>
      </c>
      <c r="G187" s="42" t="s">
        <v>288</v>
      </c>
      <c r="H187" s="42">
        <v>1200</v>
      </c>
      <c r="I187" s="73" t="s">
        <v>499</v>
      </c>
      <c r="J187" s="66" t="s">
        <v>510</v>
      </c>
      <c r="M187" s="4"/>
      <c r="N187" s="4"/>
      <c r="O187" s="4"/>
      <c r="P187" s="4"/>
    </row>
    <row r="188" spans="1:16" s="15" customFormat="1" ht="24" x14ac:dyDescent="0.15">
      <c r="A188" s="4">
        <v>186</v>
      </c>
      <c r="B188" s="102" t="s">
        <v>503</v>
      </c>
      <c r="C188" s="142" t="s">
        <v>502</v>
      </c>
      <c r="D188" s="4" t="s">
        <v>95</v>
      </c>
      <c r="E188" s="42" t="s">
        <v>21</v>
      </c>
      <c r="F188" s="42" t="s">
        <v>293</v>
      </c>
      <c r="G188" s="42" t="s">
        <v>504</v>
      </c>
      <c r="H188" s="42">
        <v>1345</v>
      </c>
      <c r="I188" s="91" t="s">
        <v>505</v>
      </c>
      <c r="J188" s="66" t="s">
        <v>510</v>
      </c>
      <c r="M188" s="4"/>
      <c r="N188" s="4"/>
      <c r="O188" s="4"/>
      <c r="P188" s="4"/>
    </row>
    <row r="189" spans="1:16" s="15" customFormat="1" ht="24" x14ac:dyDescent="0.15">
      <c r="A189" s="4">
        <v>187</v>
      </c>
      <c r="B189" s="118"/>
      <c r="C189" s="142"/>
      <c r="D189" s="4" t="s">
        <v>95</v>
      </c>
      <c r="E189" s="42" t="s">
        <v>21</v>
      </c>
      <c r="F189" s="42" t="s">
        <v>293</v>
      </c>
      <c r="G189" s="42" t="s">
        <v>504</v>
      </c>
      <c r="H189" s="42">
        <v>26530</v>
      </c>
      <c r="I189" s="91" t="s">
        <v>506</v>
      </c>
      <c r="J189" s="66" t="s">
        <v>510</v>
      </c>
      <c r="M189" s="4"/>
      <c r="N189" s="4"/>
      <c r="O189" s="4"/>
      <c r="P189" s="4"/>
    </row>
    <row r="190" spans="1:16" s="15" customFormat="1" x14ac:dyDescent="0.15">
      <c r="A190" s="4">
        <v>189</v>
      </c>
      <c r="B190" s="42" t="s">
        <v>509</v>
      </c>
      <c r="C190" s="64" t="s">
        <v>507</v>
      </c>
      <c r="D190" s="66" t="s">
        <v>377</v>
      </c>
      <c r="E190" s="42" t="s">
        <v>396</v>
      </c>
      <c r="F190" s="47" t="s">
        <v>453</v>
      </c>
      <c r="G190" s="42" t="s">
        <v>454</v>
      </c>
      <c r="H190" s="42">
        <v>500</v>
      </c>
      <c r="I190" s="56" t="s">
        <v>508</v>
      </c>
      <c r="J190" s="66" t="s">
        <v>510</v>
      </c>
      <c r="M190" s="4"/>
      <c r="N190" s="4"/>
      <c r="O190" s="4"/>
      <c r="P190" s="4"/>
    </row>
    <row r="191" spans="1:16" s="15" customFormat="1" ht="24" x14ac:dyDescent="0.15">
      <c r="A191" s="4">
        <v>190</v>
      </c>
      <c r="B191" s="74" t="s">
        <v>511</v>
      </c>
      <c r="C191" s="64" t="s">
        <v>514</v>
      </c>
      <c r="D191" s="4" t="s">
        <v>95</v>
      </c>
      <c r="E191" s="42" t="s">
        <v>21</v>
      </c>
      <c r="F191" s="42" t="s">
        <v>293</v>
      </c>
      <c r="G191" s="42" t="s">
        <v>353</v>
      </c>
      <c r="H191" s="42">
        <v>100000</v>
      </c>
      <c r="I191" s="73" t="s">
        <v>512</v>
      </c>
      <c r="J191" s="66" t="s">
        <v>510</v>
      </c>
      <c r="M191" s="4"/>
      <c r="N191" s="4"/>
      <c r="O191" s="4"/>
      <c r="P191" s="4"/>
    </row>
    <row r="192" spans="1:16" s="15" customFormat="1" ht="19.5" customHeight="1" x14ac:dyDescent="0.15">
      <c r="A192" s="4">
        <v>191</v>
      </c>
      <c r="B192" s="106" t="s">
        <v>517</v>
      </c>
      <c r="C192" s="104" t="s">
        <v>516</v>
      </c>
      <c r="D192" s="4" t="s">
        <v>95</v>
      </c>
      <c r="E192" s="42" t="s">
        <v>21</v>
      </c>
      <c r="F192" s="42" t="s">
        <v>518</v>
      </c>
      <c r="G192" s="42" t="s">
        <v>515</v>
      </c>
      <c r="H192" s="4">
        <v>72000</v>
      </c>
      <c r="I192" s="33">
        <v>46052</v>
      </c>
      <c r="J192" s="66" t="s">
        <v>510</v>
      </c>
      <c r="M192" s="4"/>
      <c r="N192" s="4"/>
      <c r="O192" s="4"/>
      <c r="P192" s="4"/>
    </row>
    <row r="193" spans="1:16" s="15" customFormat="1" ht="30" customHeight="1" x14ac:dyDescent="0.15">
      <c r="A193" s="4">
        <v>192</v>
      </c>
      <c r="B193" s="108"/>
      <c r="C193" s="105"/>
      <c r="D193" s="4" t="s">
        <v>95</v>
      </c>
      <c r="E193" s="42" t="s">
        <v>21</v>
      </c>
      <c r="F193" s="42" t="s">
        <v>518</v>
      </c>
      <c r="G193" s="42" t="s">
        <v>529</v>
      </c>
      <c r="H193" s="4">
        <v>10000</v>
      </c>
      <c r="I193" s="19">
        <v>46052</v>
      </c>
      <c r="J193" s="66" t="s">
        <v>510</v>
      </c>
      <c r="M193" s="4"/>
      <c r="N193" s="4"/>
      <c r="O193" s="4"/>
      <c r="P193" s="4"/>
    </row>
    <row r="194" spans="1:16" s="15" customFormat="1" ht="19.5" customHeight="1" x14ac:dyDescent="0.15">
      <c r="A194" s="4">
        <v>193</v>
      </c>
      <c r="B194" s="66" t="s">
        <v>522</v>
      </c>
      <c r="C194" s="70" t="s">
        <v>521</v>
      </c>
      <c r="D194" s="66" t="s">
        <v>519</v>
      </c>
      <c r="E194" s="42" t="s">
        <v>21</v>
      </c>
      <c r="F194" s="66" t="s">
        <v>523</v>
      </c>
      <c r="G194" s="66" t="s">
        <v>524</v>
      </c>
      <c r="H194" s="4">
        <v>26600</v>
      </c>
      <c r="I194" s="73" t="s">
        <v>520</v>
      </c>
      <c r="J194" s="66" t="s">
        <v>510</v>
      </c>
      <c r="M194" s="4"/>
      <c r="N194" s="4"/>
      <c r="O194" s="4"/>
      <c r="P194" s="4"/>
    </row>
    <row r="195" spans="1:16" s="15" customFormat="1" ht="28.5" customHeight="1" x14ac:dyDescent="0.15">
      <c r="A195" s="4">
        <v>194</v>
      </c>
      <c r="B195" s="74" t="s">
        <v>527</v>
      </c>
      <c r="C195" s="70" t="s">
        <v>525</v>
      </c>
      <c r="D195" s="4" t="s">
        <v>95</v>
      </c>
      <c r="E195" s="42" t="s">
        <v>21</v>
      </c>
      <c r="F195" s="42" t="s">
        <v>526</v>
      </c>
      <c r="G195" s="66" t="s">
        <v>528</v>
      </c>
      <c r="H195" s="4">
        <v>460</v>
      </c>
      <c r="I195" s="73" t="s">
        <v>536</v>
      </c>
      <c r="J195" s="66" t="s">
        <v>510</v>
      </c>
      <c r="M195" s="4"/>
      <c r="N195" s="4"/>
      <c r="O195" s="4"/>
      <c r="P195" s="4"/>
    </row>
    <row r="196" spans="1:16" s="15" customFormat="1" ht="19.5" customHeight="1" x14ac:dyDescent="0.15">
      <c r="A196" s="4">
        <v>195</v>
      </c>
      <c r="B196" s="42" t="s">
        <v>532</v>
      </c>
      <c r="C196" s="70" t="s">
        <v>530</v>
      </c>
      <c r="D196" s="66" t="s">
        <v>533</v>
      </c>
      <c r="E196" s="42" t="s">
        <v>21</v>
      </c>
      <c r="F196" s="47" t="s">
        <v>263</v>
      </c>
      <c r="G196" s="66" t="s">
        <v>534</v>
      </c>
      <c r="H196" s="4">
        <v>16000</v>
      </c>
      <c r="I196" s="73" t="s">
        <v>535</v>
      </c>
      <c r="J196" s="66" t="s">
        <v>510</v>
      </c>
      <c r="M196" s="4"/>
      <c r="N196" s="4"/>
      <c r="O196" s="4"/>
      <c r="P196" s="4"/>
    </row>
    <row r="197" spans="1:16" s="15" customFormat="1" ht="28.5" customHeight="1" x14ac:dyDescent="0.15">
      <c r="A197" s="4">
        <v>196</v>
      </c>
      <c r="B197" s="53" t="s">
        <v>537</v>
      </c>
      <c r="C197" s="70" t="s">
        <v>531</v>
      </c>
      <c r="D197" s="4" t="s">
        <v>95</v>
      </c>
      <c r="E197" s="42" t="s">
        <v>21</v>
      </c>
      <c r="F197" s="42" t="s">
        <v>518</v>
      </c>
      <c r="G197" s="42" t="s">
        <v>538</v>
      </c>
      <c r="H197" s="42">
        <v>252000</v>
      </c>
      <c r="I197" s="73" t="s">
        <v>539</v>
      </c>
      <c r="J197" s="66" t="s">
        <v>510</v>
      </c>
      <c r="M197" s="4"/>
      <c r="N197" s="4"/>
      <c r="O197" s="4"/>
      <c r="P197" s="4"/>
    </row>
    <row r="198" spans="1:16" s="15" customFormat="1" ht="28.5" customHeight="1" x14ac:dyDescent="0.15">
      <c r="A198" s="4">
        <v>197</v>
      </c>
      <c r="B198" s="53" t="s">
        <v>544</v>
      </c>
      <c r="C198" s="70" t="s">
        <v>540</v>
      </c>
      <c r="D198" s="4" t="s">
        <v>95</v>
      </c>
      <c r="E198" s="42" t="s">
        <v>21</v>
      </c>
      <c r="F198" s="44" t="s">
        <v>543</v>
      </c>
      <c r="G198" s="44" t="s">
        <v>542</v>
      </c>
      <c r="H198" s="42">
        <f>56+3284</f>
        <v>3340</v>
      </c>
      <c r="I198" s="73" t="s">
        <v>545</v>
      </c>
      <c r="J198" s="66" t="s">
        <v>510</v>
      </c>
      <c r="M198" s="4"/>
      <c r="N198" s="4"/>
      <c r="O198" s="4"/>
      <c r="P198" s="4"/>
    </row>
    <row r="199" spans="1:16" s="15" customFormat="1" ht="28.5" customHeight="1" x14ac:dyDescent="0.15">
      <c r="A199" s="4">
        <v>198</v>
      </c>
      <c r="B199" s="53" t="s">
        <v>546</v>
      </c>
      <c r="C199" s="70" t="s">
        <v>541</v>
      </c>
      <c r="D199" s="66" t="s">
        <v>401</v>
      </c>
      <c r="E199" s="42" t="s">
        <v>549</v>
      </c>
      <c r="F199" s="44" t="s">
        <v>547</v>
      </c>
      <c r="G199" s="44" t="s">
        <v>548</v>
      </c>
      <c r="H199" s="42">
        <v>4000</v>
      </c>
      <c r="I199" s="73" t="s">
        <v>550</v>
      </c>
      <c r="J199" s="66" t="s">
        <v>510</v>
      </c>
      <c r="M199" s="4"/>
      <c r="N199" s="4"/>
      <c r="O199" s="4"/>
      <c r="P199" s="4"/>
    </row>
    <row r="200" spans="1:16" s="15" customFormat="1" ht="28.5" customHeight="1" x14ac:dyDescent="0.15">
      <c r="A200" s="4">
        <v>199</v>
      </c>
      <c r="B200" s="53" t="s">
        <v>557</v>
      </c>
      <c r="C200" s="92" t="s">
        <v>552</v>
      </c>
      <c r="D200" s="66" t="s">
        <v>553</v>
      </c>
      <c r="E200" s="42" t="s">
        <v>21</v>
      </c>
      <c r="F200" s="47" t="s">
        <v>280</v>
      </c>
      <c r="G200" s="42" t="s">
        <v>145</v>
      </c>
      <c r="H200" s="42">
        <v>20000</v>
      </c>
      <c r="I200" s="73" t="s">
        <v>556</v>
      </c>
      <c r="J200" s="66" t="s">
        <v>510</v>
      </c>
      <c r="M200" s="4"/>
      <c r="N200" s="4"/>
      <c r="O200" s="4"/>
      <c r="P200" s="4"/>
    </row>
    <row r="201" spans="1:16" s="15" customFormat="1" ht="28.5" customHeight="1" x14ac:dyDescent="0.15">
      <c r="A201" s="4">
        <v>200</v>
      </c>
      <c r="B201" s="106" t="s">
        <v>561</v>
      </c>
      <c r="C201" s="104" t="s">
        <v>551</v>
      </c>
      <c r="D201" s="4" t="s">
        <v>95</v>
      </c>
      <c r="E201" s="42" t="s">
        <v>21</v>
      </c>
      <c r="F201" s="42" t="s">
        <v>554</v>
      </c>
      <c r="G201" s="42" t="s">
        <v>555</v>
      </c>
      <c r="H201" s="42">
        <v>235</v>
      </c>
      <c r="I201" s="56" t="s">
        <v>558</v>
      </c>
      <c r="J201" s="66" t="s">
        <v>510</v>
      </c>
      <c r="M201" s="4"/>
      <c r="N201" s="4"/>
      <c r="O201" s="4"/>
      <c r="P201" s="4"/>
    </row>
    <row r="202" spans="1:16" s="15" customFormat="1" ht="28.5" customHeight="1" x14ac:dyDescent="0.15">
      <c r="A202" s="4">
        <v>201</v>
      </c>
      <c r="B202" s="107"/>
      <c r="C202" s="109"/>
      <c r="D202" s="4" t="s">
        <v>95</v>
      </c>
      <c r="E202" s="42" t="s">
        <v>21</v>
      </c>
      <c r="F202" s="42" t="s">
        <v>554</v>
      </c>
      <c r="G202" s="42" t="s">
        <v>555</v>
      </c>
      <c r="H202" s="44">
        <v>75586</v>
      </c>
      <c r="I202" s="56" t="s">
        <v>559</v>
      </c>
      <c r="J202" s="95"/>
      <c r="M202" s="4"/>
      <c r="N202" s="4"/>
      <c r="O202" s="4"/>
      <c r="P202" s="4"/>
    </row>
    <row r="203" spans="1:16" s="15" customFormat="1" ht="28.5" customHeight="1" x14ac:dyDescent="0.15">
      <c r="A203" s="4">
        <v>202</v>
      </c>
      <c r="B203" s="108"/>
      <c r="C203" s="105"/>
      <c r="D203" s="4" t="s">
        <v>95</v>
      </c>
      <c r="E203" s="42" t="s">
        <v>21</v>
      </c>
      <c r="F203" s="42" t="s">
        <v>554</v>
      </c>
      <c r="G203" s="42" t="s">
        <v>555</v>
      </c>
      <c r="H203" s="44">
        <v>75978</v>
      </c>
      <c r="I203" s="56" t="s">
        <v>560</v>
      </c>
      <c r="J203" s="95"/>
      <c r="M203" s="4"/>
      <c r="N203" s="4"/>
      <c r="O203" s="4"/>
      <c r="P203" s="4"/>
    </row>
    <row r="204" spans="1:16" s="15" customFormat="1" ht="28.5" customHeight="1" x14ac:dyDescent="0.15">
      <c r="A204" s="4">
        <v>203</v>
      </c>
      <c r="B204" s="48" t="s">
        <v>563</v>
      </c>
      <c r="C204" s="64" t="s">
        <v>562</v>
      </c>
      <c r="D204" s="4" t="s">
        <v>95</v>
      </c>
      <c r="E204" s="42" t="s">
        <v>21</v>
      </c>
      <c r="F204" s="44" t="s">
        <v>543</v>
      </c>
      <c r="G204" s="44" t="s">
        <v>564</v>
      </c>
      <c r="H204" s="44">
        <v>50</v>
      </c>
      <c r="I204" s="73" t="s">
        <v>565</v>
      </c>
      <c r="J204" s="66" t="s">
        <v>510</v>
      </c>
      <c r="M204" s="4"/>
      <c r="N204" s="4"/>
      <c r="O204" s="4"/>
      <c r="P204" s="4"/>
    </row>
    <row r="205" spans="1:16" s="15" customFormat="1" ht="28.5" customHeight="1" x14ac:dyDescent="0.15">
      <c r="A205" s="4">
        <v>204</v>
      </c>
      <c r="B205" s="106" t="s">
        <v>566</v>
      </c>
      <c r="C205" s="104" t="s">
        <v>567</v>
      </c>
      <c r="D205" s="66" t="s">
        <v>568</v>
      </c>
      <c r="E205" s="42" t="s">
        <v>211</v>
      </c>
      <c r="F205" s="42" t="s">
        <v>212</v>
      </c>
      <c r="G205" s="42" t="s">
        <v>213</v>
      </c>
      <c r="H205" s="42">
        <v>4500</v>
      </c>
      <c r="I205" s="73" t="s">
        <v>569</v>
      </c>
      <c r="J205" s="66" t="s">
        <v>510</v>
      </c>
      <c r="M205" s="4"/>
      <c r="N205" s="4"/>
      <c r="O205" s="4"/>
      <c r="P205" s="4"/>
    </row>
    <row r="206" spans="1:16" s="15" customFormat="1" ht="28.5" customHeight="1" x14ac:dyDescent="0.15">
      <c r="A206" s="4">
        <v>205</v>
      </c>
      <c r="B206" s="108"/>
      <c r="C206" s="105"/>
      <c r="D206" s="66" t="s">
        <v>568</v>
      </c>
      <c r="E206" s="42" t="s">
        <v>211</v>
      </c>
      <c r="F206" s="42" t="s">
        <v>212</v>
      </c>
      <c r="G206" s="42" t="s">
        <v>213</v>
      </c>
      <c r="H206" s="42">
        <v>15500</v>
      </c>
      <c r="I206" s="73" t="s">
        <v>569</v>
      </c>
      <c r="J206" s="66" t="s">
        <v>510</v>
      </c>
      <c r="M206" s="4"/>
      <c r="N206" s="4"/>
      <c r="O206" s="4"/>
      <c r="P206" s="4"/>
    </row>
    <row r="207" spans="1:16" s="15" customFormat="1" ht="28.5" customHeight="1" x14ac:dyDescent="0.15">
      <c r="A207" s="4">
        <v>206</v>
      </c>
      <c r="B207" s="106" t="s">
        <v>571</v>
      </c>
      <c r="C207" s="104" t="s">
        <v>572</v>
      </c>
      <c r="D207" s="66" t="s">
        <v>568</v>
      </c>
      <c r="E207" s="42" t="s">
        <v>211</v>
      </c>
      <c r="F207" s="106" t="s">
        <v>574</v>
      </c>
      <c r="G207" s="42" t="s">
        <v>570</v>
      </c>
      <c r="H207" s="42">
        <v>20000</v>
      </c>
      <c r="I207" s="113" t="s">
        <v>573</v>
      </c>
      <c r="J207" s="66" t="s">
        <v>510</v>
      </c>
      <c r="M207" s="4"/>
      <c r="N207" s="4"/>
      <c r="O207" s="4"/>
      <c r="P207" s="4"/>
    </row>
    <row r="208" spans="1:16" s="15" customFormat="1" ht="28.5" customHeight="1" x14ac:dyDescent="0.15">
      <c r="A208" s="4">
        <v>207</v>
      </c>
      <c r="B208" s="107"/>
      <c r="C208" s="109"/>
      <c r="D208" s="66" t="s">
        <v>568</v>
      </c>
      <c r="E208" s="42" t="s">
        <v>469</v>
      </c>
      <c r="F208" s="107"/>
      <c r="G208" s="42">
        <v>22</v>
      </c>
      <c r="H208" s="42">
        <f>H207</f>
        <v>20000</v>
      </c>
      <c r="I208" s="114"/>
      <c r="J208" s="66" t="s">
        <v>510</v>
      </c>
      <c r="M208" s="4"/>
      <c r="N208" s="4"/>
      <c r="O208" s="4"/>
      <c r="P208" s="4"/>
    </row>
    <row r="209" spans="1:16" s="15" customFormat="1" ht="28.5" customHeight="1" x14ac:dyDescent="0.15">
      <c r="A209" s="4">
        <v>208</v>
      </c>
      <c r="B209" s="108"/>
      <c r="C209" s="105"/>
      <c r="D209" s="66" t="s">
        <v>568</v>
      </c>
      <c r="E209" s="42" t="s">
        <v>364</v>
      </c>
      <c r="F209" s="108"/>
      <c r="G209" s="42">
        <v>22</v>
      </c>
      <c r="H209" s="42">
        <f>H207</f>
        <v>20000</v>
      </c>
      <c r="I209" s="115"/>
      <c r="J209" s="66" t="s">
        <v>510</v>
      </c>
      <c r="M209" s="4"/>
      <c r="N209" s="4"/>
      <c r="O209" s="4"/>
      <c r="P209" s="4"/>
    </row>
    <row r="210" spans="1:16" s="15" customFormat="1" ht="28.5" customHeight="1" x14ac:dyDescent="0.15">
      <c r="A210" s="4">
        <v>209</v>
      </c>
      <c r="B210" s="93" t="s">
        <v>577</v>
      </c>
      <c r="C210" s="64" t="s">
        <v>578</v>
      </c>
      <c r="D210" s="66" t="s">
        <v>568</v>
      </c>
      <c r="E210" s="42" t="s">
        <v>575</v>
      </c>
      <c r="F210" s="42" t="s">
        <v>580</v>
      </c>
      <c r="G210" s="42" t="s">
        <v>576</v>
      </c>
      <c r="H210" s="42">
        <v>15000</v>
      </c>
      <c r="I210" s="73" t="s">
        <v>581</v>
      </c>
      <c r="J210" s="66" t="s">
        <v>510</v>
      </c>
      <c r="M210" s="4"/>
      <c r="N210" s="4"/>
      <c r="O210" s="4"/>
      <c r="P210" s="4"/>
    </row>
    <row r="211" spans="1:16" s="15" customFormat="1" ht="28.5" customHeight="1" x14ac:dyDescent="0.15">
      <c r="A211" s="4">
        <v>210</v>
      </c>
      <c r="B211" s="152" t="s">
        <v>583</v>
      </c>
      <c r="C211" s="64" t="s">
        <v>579</v>
      </c>
      <c r="D211" s="66" t="s">
        <v>568</v>
      </c>
      <c r="E211" s="44" t="s">
        <v>216</v>
      </c>
      <c r="F211" s="44" t="s">
        <v>584</v>
      </c>
      <c r="G211" s="44" t="s">
        <v>582</v>
      </c>
      <c r="H211" s="44">
        <v>7240</v>
      </c>
      <c r="I211" s="73" t="s">
        <v>585</v>
      </c>
      <c r="J211" s="95"/>
      <c r="M211" s="4"/>
      <c r="N211" s="4"/>
      <c r="O211" s="4"/>
      <c r="P211" s="4"/>
    </row>
    <row r="212" spans="1:16" s="15" customFormat="1" ht="28.5" customHeight="1" x14ac:dyDescent="0.15">
      <c r="A212" s="4">
        <v>211</v>
      </c>
      <c r="B212" s="53" t="s">
        <v>587</v>
      </c>
      <c r="C212" s="70" t="s">
        <v>586</v>
      </c>
      <c r="D212" s="4" t="s">
        <v>95</v>
      </c>
      <c r="E212" s="42" t="s">
        <v>21</v>
      </c>
      <c r="F212" s="42" t="s">
        <v>518</v>
      </c>
      <c r="G212" s="42" t="s">
        <v>515</v>
      </c>
      <c r="H212" s="42">
        <v>18868</v>
      </c>
      <c r="I212" s="73" t="s">
        <v>589</v>
      </c>
      <c r="J212" s="66" t="s">
        <v>510</v>
      </c>
      <c r="M212" s="4"/>
      <c r="N212" s="4"/>
      <c r="O212" s="4"/>
      <c r="P212" s="4"/>
    </row>
    <row r="213" spans="1:16" s="4" customFormat="1" ht="19.5" customHeight="1" x14ac:dyDescent="0.15">
      <c r="A213" s="4">
        <v>212</v>
      </c>
      <c r="B213" s="53" t="s">
        <v>591</v>
      </c>
      <c r="C213" s="70" t="s">
        <v>592</v>
      </c>
      <c r="D213" s="66" t="s">
        <v>593</v>
      </c>
      <c r="E213" s="42" t="s">
        <v>21</v>
      </c>
      <c r="F213" s="4">
        <v>17843</v>
      </c>
      <c r="G213" s="42" t="s">
        <v>590</v>
      </c>
      <c r="H213" s="4">
        <v>51</v>
      </c>
      <c r="I213" s="14">
        <v>46157</v>
      </c>
      <c r="J213" s="66" t="s">
        <v>510</v>
      </c>
    </row>
    <row r="214" spans="1:16" s="15" customFormat="1" ht="28.5" customHeight="1" x14ac:dyDescent="0.15">
      <c r="A214" s="4">
        <v>213</v>
      </c>
      <c r="B214" s="102" t="s">
        <v>594</v>
      </c>
      <c r="C214" s="104" t="s">
        <v>595</v>
      </c>
      <c r="D214" s="66" t="s">
        <v>602</v>
      </c>
      <c r="E214" s="42" t="s">
        <v>21</v>
      </c>
      <c r="F214" s="44" t="s">
        <v>584</v>
      </c>
      <c r="G214" s="44" t="s">
        <v>596</v>
      </c>
      <c r="H214" s="42">
        <v>12</v>
      </c>
      <c r="I214" s="73" t="s">
        <v>597</v>
      </c>
      <c r="J214" s="66" t="s">
        <v>510</v>
      </c>
      <c r="M214" s="4"/>
      <c r="N214" s="4"/>
      <c r="O214" s="4"/>
      <c r="P214" s="4"/>
    </row>
    <row r="215" spans="1:16" s="15" customFormat="1" ht="19.5" customHeight="1" x14ac:dyDescent="0.15">
      <c r="A215" s="4">
        <v>214</v>
      </c>
      <c r="B215" s="103"/>
      <c r="C215" s="105"/>
      <c r="D215" s="66" t="s">
        <v>602</v>
      </c>
      <c r="E215" s="42" t="s">
        <v>21</v>
      </c>
      <c r="F215" s="44" t="s">
        <v>584</v>
      </c>
      <c r="G215" s="44" t="s">
        <v>596</v>
      </c>
      <c r="H215" s="4">
        <v>132</v>
      </c>
      <c r="I215" s="14">
        <v>46210</v>
      </c>
      <c r="J215" s="66" t="s">
        <v>510</v>
      </c>
      <c r="M215" s="4"/>
      <c r="N215" s="4"/>
      <c r="O215" s="4"/>
      <c r="P215" s="4"/>
    </row>
    <row r="216" spans="1:16" s="15" customFormat="1" ht="28.5" customHeight="1" x14ac:dyDescent="0.15">
      <c r="A216" s="4">
        <v>215</v>
      </c>
      <c r="B216" s="102" t="s">
        <v>601</v>
      </c>
      <c r="C216" s="104" t="s">
        <v>600</v>
      </c>
      <c r="D216" s="4" t="s">
        <v>95</v>
      </c>
      <c r="E216" s="42" t="s">
        <v>21</v>
      </c>
      <c r="F216" s="44" t="s">
        <v>252</v>
      </c>
      <c r="G216" s="44" t="s">
        <v>598</v>
      </c>
      <c r="H216" s="44">
        <v>4</v>
      </c>
      <c r="I216" s="73" t="s">
        <v>588</v>
      </c>
      <c r="J216" s="66" t="s">
        <v>510</v>
      </c>
      <c r="K216" s="15">
        <v>0.60499999999999998</v>
      </c>
      <c r="M216" s="4"/>
      <c r="N216" s="4"/>
      <c r="O216" s="4"/>
      <c r="P216" s="4"/>
    </row>
    <row r="217" spans="1:16" s="15" customFormat="1" ht="28.5" customHeight="1" x14ac:dyDescent="0.15">
      <c r="A217" s="4">
        <v>216</v>
      </c>
      <c r="B217" s="103"/>
      <c r="C217" s="105"/>
      <c r="D217" s="4" t="s">
        <v>95</v>
      </c>
      <c r="E217" s="42" t="s">
        <v>21</v>
      </c>
      <c r="F217" s="44" t="s">
        <v>252</v>
      </c>
      <c r="G217" s="44" t="s">
        <v>599</v>
      </c>
      <c r="H217" s="44">
        <v>52</v>
      </c>
      <c r="I217" s="73" t="s">
        <v>588</v>
      </c>
      <c r="J217" s="95"/>
      <c r="M217" s="4"/>
      <c r="N217" s="4"/>
      <c r="O217" s="4"/>
      <c r="P217" s="4"/>
    </row>
    <row r="218" spans="1:16" s="15" customFormat="1" ht="19.5" customHeight="1" x14ac:dyDescent="0.15">
      <c r="A218" s="4">
        <v>217</v>
      </c>
      <c r="B218" s="43" t="s">
        <v>603</v>
      </c>
      <c r="C218" s="70" t="s">
        <v>604</v>
      </c>
      <c r="D218" s="4" t="s">
        <v>95</v>
      </c>
      <c r="E218" s="42" t="s">
        <v>21</v>
      </c>
      <c r="F218" s="42" t="s">
        <v>293</v>
      </c>
      <c r="G218" s="42" t="s">
        <v>294</v>
      </c>
      <c r="H218" s="4">
        <v>18000</v>
      </c>
      <c r="I218" s="14">
        <v>46177</v>
      </c>
      <c r="J218" s="95"/>
      <c r="M218" s="4"/>
      <c r="N218" s="4"/>
      <c r="O218" s="4"/>
      <c r="P218" s="4"/>
    </row>
    <row r="219" spans="1:16" s="15" customFormat="1" ht="28.5" customHeight="1" x14ac:dyDescent="0.15">
      <c r="A219" s="4">
        <v>218</v>
      </c>
      <c r="B219" s="102" t="s">
        <v>605</v>
      </c>
      <c r="C219" s="104" t="s">
        <v>606</v>
      </c>
      <c r="D219" s="66" t="s">
        <v>602</v>
      </c>
      <c r="E219" s="42" t="s">
        <v>21</v>
      </c>
      <c r="F219" s="44" t="s">
        <v>584</v>
      </c>
      <c r="G219" s="44" t="s">
        <v>596</v>
      </c>
      <c r="H219" s="42">
        <v>30000</v>
      </c>
      <c r="I219" s="73" t="s">
        <v>597</v>
      </c>
      <c r="J219" s="95"/>
      <c r="M219" s="4"/>
      <c r="N219" s="4"/>
      <c r="O219" s="4"/>
      <c r="P219" s="4"/>
    </row>
    <row r="220" spans="1:16" s="15" customFormat="1" ht="19.5" customHeight="1" x14ac:dyDescent="0.15">
      <c r="A220" s="4">
        <v>219</v>
      </c>
      <c r="B220" s="103"/>
      <c r="C220" s="105"/>
      <c r="D220" s="66" t="s">
        <v>602</v>
      </c>
      <c r="E220" s="42" t="s">
        <v>21</v>
      </c>
      <c r="F220" s="44" t="s">
        <v>584</v>
      </c>
      <c r="G220" s="44" t="s">
        <v>596</v>
      </c>
      <c r="H220" s="4">
        <v>36960</v>
      </c>
      <c r="I220" s="14">
        <v>46172</v>
      </c>
      <c r="J220" s="95"/>
      <c r="M220" s="4"/>
      <c r="N220" s="4"/>
      <c r="O220" s="4"/>
      <c r="P220" s="4"/>
    </row>
    <row r="221" spans="1:16" s="15" customFormat="1" ht="19.5" customHeight="1" x14ac:dyDescent="0.15">
      <c r="A221" s="4">
        <v>220</v>
      </c>
      <c r="B221" s="149" t="s">
        <v>607</v>
      </c>
      <c r="C221" s="104" t="s">
        <v>608</v>
      </c>
      <c r="D221" s="110" t="s">
        <v>593</v>
      </c>
      <c r="E221" s="42" t="s">
        <v>21</v>
      </c>
      <c r="F221" s="94">
        <v>17843</v>
      </c>
      <c r="G221" s="42" t="s">
        <v>590</v>
      </c>
      <c r="H221" s="42">
        <v>9600</v>
      </c>
      <c r="I221" s="100" t="s">
        <v>610</v>
      </c>
      <c r="J221" s="95"/>
      <c r="M221" s="4"/>
      <c r="N221" s="4"/>
      <c r="O221" s="4"/>
      <c r="P221" s="4"/>
    </row>
    <row r="222" spans="1:16" s="15" customFormat="1" ht="19.5" customHeight="1" x14ac:dyDescent="0.15">
      <c r="A222" s="4">
        <v>221</v>
      </c>
      <c r="B222" s="150"/>
      <c r="C222" s="109"/>
      <c r="D222" s="111"/>
      <c r="E222" s="42" t="s">
        <v>21</v>
      </c>
      <c r="F222" s="94">
        <v>17843</v>
      </c>
      <c r="G222" s="42" t="s">
        <v>590</v>
      </c>
      <c r="H222" s="42">
        <v>13600</v>
      </c>
      <c r="I222" s="101"/>
      <c r="J222" s="95"/>
      <c r="M222" s="4"/>
      <c r="N222" s="4"/>
      <c r="O222" s="4"/>
      <c r="P222" s="4"/>
    </row>
    <row r="223" spans="1:16" s="15" customFormat="1" ht="28.5" customHeight="1" x14ac:dyDescent="0.15">
      <c r="A223" s="4">
        <v>222</v>
      </c>
      <c r="B223" s="151"/>
      <c r="C223" s="105"/>
      <c r="D223" s="112"/>
      <c r="E223" s="42" t="s">
        <v>21</v>
      </c>
      <c r="F223" s="94" t="s">
        <v>453</v>
      </c>
      <c r="G223" s="42" t="s">
        <v>609</v>
      </c>
      <c r="H223" s="42">
        <v>3500</v>
      </c>
      <c r="I223" s="101"/>
      <c r="J223" s="95"/>
      <c r="M223" s="4"/>
      <c r="N223" s="4"/>
      <c r="O223" s="4"/>
      <c r="P223" s="4"/>
    </row>
    <row r="224" spans="1:16" s="15" customFormat="1" ht="28.5" customHeight="1" x14ac:dyDescent="0.15">
      <c r="A224" s="4">
        <v>223</v>
      </c>
      <c r="B224" s="43" t="s">
        <v>617</v>
      </c>
      <c r="C224" s="64" t="s">
        <v>618</v>
      </c>
      <c r="D224" s="66" t="s">
        <v>401</v>
      </c>
      <c r="E224" s="42" t="s">
        <v>21</v>
      </c>
      <c r="F224" s="42" t="s">
        <v>619</v>
      </c>
      <c r="G224" s="42" t="s">
        <v>620</v>
      </c>
      <c r="H224" s="42">
        <v>50</v>
      </c>
      <c r="I224" s="56" t="s">
        <v>621</v>
      </c>
      <c r="J224" s="66" t="s">
        <v>510</v>
      </c>
      <c r="K224" s="15">
        <v>0.48</v>
      </c>
      <c r="M224" s="4"/>
      <c r="N224" s="4"/>
      <c r="O224" s="4"/>
      <c r="P224" s="4"/>
    </row>
    <row r="225" spans="1:16" s="15" customFormat="1" ht="28.5" customHeight="1" x14ac:dyDescent="0.15">
      <c r="A225" s="4">
        <v>224</v>
      </c>
      <c r="B225" s="43" t="s">
        <v>615</v>
      </c>
      <c r="C225" s="64" t="s">
        <v>611</v>
      </c>
      <c r="D225" s="66" t="s">
        <v>401</v>
      </c>
      <c r="E225" s="42" t="s">
        <v>21</v>
      </c>
      <c r="F225" s="94" t="s">
        <v>453</v>
      </c>
      <c r="G225" s="42" t="s">
        <v>609</v>
      </c>
      <c r="H225" s="42">
        <v>400</v>
      </c>
      <c r="I225" s="96" t="s">
        <v>613</v>
      </c>
      <c r="J225" s="66" t="s">
        <v>510</v>
      </c>
      <c r="M225" s="4"/>
      <c r="N225" s="4"/>
      <c r="O225" s="4"/>
      <c r="P225" s="4"/>
    </row>
    <row r="226" spans="1:16" s="15" customFormat="1" ht="28.5" customHeight="1" x14ac:dyDescent="0.15">
      <c r="A226" s="4">
        <v>225</v>
      </c>
      <c r="B226" s="43" t="s">
        <v>616</v>
      </c>
      <c r="C226" s="64" t="s">
        <v>612</v>
      </c>
      <c r="D226" s="66" t="s">
        <v>401</v>
      </c>
      <c r="E226" s="42" t="s">
        <v>21</v>
      </c>
      <c r="F226" s="44" t="s">
        <v>584</v>
      </c>
      <c r="G226" s="44" t="s">
        <v>596</v>
      </c>
      <c r="H226" s="42">
        <v>5</v>
      </c>
      <c r="I226" s="96" t="s">
        <v>614</v>
      </c>
      <c r="J226" s="66" t="s">
        <v>510</v>
      </c>
      <c r="M226" s="4"/>
      <c r="N226" s="4"/>
      <c r="O226" s="4"/>
      <c r="P226" s="4"/>
    </row>
    <row r="227" spans="1:16" s="15" customFormat="1" ht="28.5" customHeight="1" x14ac:dyDescent="0.15">
      <c r="A227" s="4">
        <v>226</v>
      </c>
      <c r="B227" s="43" t="s">
        <v>615</v>
      </c>
      <c r="C227" s="64" t="s">
        <v>622</v>
      </c>
      <c r="D227" s="66" t="s">
        <v>401</v>
      </c>
      <c r="E227" s="42" t="s">
        <v>21</v>
      </c>
      <c r="F227" s="94" t="s">
        <v>453</v>
      </c>
      <c r="G227" s="42" t="s">
        <v>609</v>
      </c>
      <c r="H227" s="42">
        <v>1100</v>
      </c>
      <c r="I227" s="96" t="s">
        <v>623</v>
      </c>
      <c r="J227" s="66" t="s">
        <v>510</v>
      </c>
      <c r="M227" s="4"/>
      <c r="N227" s="4"/>
      <c r="O227" s="4"/>
      <c r="P227" s="4"/>
    </row>
    <row r="228" spans="1:16" s="15" customFormat="1" ht="28.5" customHeight="1" x14ac:dyDescent="0.15">
      <c r="A228" s="4">
        <v>227</v>
      </c>
      <c r="B228" s="43" t="s">
        <v>624</v>
      </c>
      <c r="C228" s="64" t="s">
        <v>625</v>
      </c>
      <c r="D228" s="66" t="s">
        <v>626</v>
      </c>
      <c r="E228" s="42" t="s">
        <v>627</v>
      </c>
      <c r="F228" s="94"/>
      <c r="G228" s="42" t="s">
        <v>628</v>
      </c>
      <c r="H228" s="42">
        <v>736</v>
      </c>
      <c r="I228" s="96" t="s">
        <v>629</v>
      </c>
      <c r="M228" s="4"/>
      <c r="N228" s="4"/>
      <c r="O228" s="4"/>
      <c r="P228" s="4"/>
    </row>
    <row r="229" spans="1:16" s="15" customFormat="1" ht="28.5" customHeight="1" x14ac:dyDescent="0.15">
      <c r="A229" s="4">
        <v>228</v>
      </c>
      <c r="B229" s="43" t="s">
        <v>630</v>
      </c>
      <c r="C229" s="64" t="s">
        <v>633</v>
      </c>
      <c r="D229" s="66" t="s">
        <v>394</v>
      </c>
      <c r="E229" s="42" t="s">
        <v>21</v>
      </c>
      <c r="F229" s="42" t="s">
        <v>293</v>
      </c>
      <c r="G229" s="42" t="s">
        <v>635</v>
      </c>
      <c r="H229" s="42">
        <v>60000</v>
      </c>
      <c r="I229" s="96" t="s">
        <v>637</v>
      </c>
      <c r="M229" s="4"/>
      <c r="N229" s="4"/>
      <c r="O229" s="4"/>
      <c r="P229" s="4"/>
    </row>
    <row r="230" spans="1:16" s="15" customFormat="1" ht="28.5" customHeight="1" x14ac:dyDescent="0.15">
      <c r="A230" s="4">
        <v>229</v>
      </c>
      <c r="B230" s="43" t="s">
        <v>631</v>
      </c>
      <c r="C230" s="64" t="s">
        <v>250</v>
      </c>
      <c r="D230" s="66" t="s">
        <v>394</v>
      </c>
      <c r="E230" s="42" t="s">
        <v>21</v>
      </c>
      <c r="F230" s="42" t="s">
        <v>293</v>
      </c>
      <c r="G230" s="42" t="s">
        <v>636</v>
      </c>
      <c r="H230" s="42">
        <v>45592</v>
      </c>
      <c r="I230" s="96" t="s">
        <v>638</v>
      </c>
      <c r="M230" s="4"/>
      <c r="N230" s="4"/>
      <c r="O230" s="4"/>
      <c r="P230" s="4"/>
    </row>
    <row r="231" spans="1:16" s="15" customFormat="1" ht="28.5" customHeight="1" x14ac:dyDescent="0.15">
      <c r="A231" s="4">
        <v>230</v>
      </c>
      <c r="B231" s="43" t="s">
        <v>632</v>
      </c>
      <c r="C231" s="64" t="s">
        <v>52</v>
      </c>
      <c r="D231" s="66" t="s">
        <v>634</v>
      </c>
      <c r="E231" s="42" t="s">
        <v>21</v>
      </c>
      <c r="F231" s="47" t="s">
        <v>280</v>
      </c>
      <c r="G231" s="42" t="s">
        <v>145</v>
      </c>
      <c r="H231" s="42">
        <v>20000</v>
      </c>
      <c r="I231" s="96" t="s">
        <v>639</v>
      </c>
      <c r="J231" s="66" t="s">
        <v>510</v>
      </c>
      <c r="M231" s="4"/>
      <c r="N231" s="4"/>
      <c r="O231" s="4"/>
      <c r="P231" s="4"/>
    </row>
    <row r="232" spans="1:16" s="15" customFormat="1" ht="28.5" customHeight="1" x14ac:dyDescent="0.15">
      <c r="A232" s="4">
        <v>231</v>
      </c>
      <c r="B232" s="42" t="s">
        <v>650</v>
      </c>
      <c r="C232" s="64" t="s">
        <v>640</v>
      </c>
      <c r="D232" s="66" t="s">
        <v>642</v>
      </c>
      <c r="E232" s="42" t="s">
        <v>21</v>
      </c>
      <c r="F232" s="94" t="s">
        <v>649</v>
      </c>
      <c r="G232" s="42" t="s">
        <v>651</v>
      </c>
      <c r="H232" s="42">
        <v>680</v>
      </c>
      <c r="I232" s="96" t="s">
        <v>652</v>
      </c>
      <c r="M232" s="4"/>
      <c r="N232" s="4"/>
      <c r="O232" s="4"/>
      <c r="P232" s="4"/>
    </row>
    <row r="233" spans="1:16" s="15" customFormat="1" ht="28.5" customHeight="1" x14ac:dyDescent="0.15">
      <c r="A233" s="125">
        <v>232</v>
      </c>
      <c r="B233" s="107" t="s">
        <v>644</v>
      </c>
      <c r="C233" s="104" t="s">
        <v>641</v>
      </c>
      <c r="D233" s="66" t="s">
        <v>394</v>
      </c>
      <c r="E233" s="42" t="s">
        <v>21</v>
      </c>
      <c r="F233" s="44" t="s">
        <v>252</v>
      </c>
      <c r="G233" s="42" t="s">
        <v>645</v>
      </c>
      <c r="H233" s="42">
        <v>8818</v>
      </c>
      <c r="I233" s="96" t="s">
        <v>646</v>
      </c>
      <c r="M233" s="4"/>
      <c r="N233" s="4"/>
      <c r="O233" s="4"/>
      <c r="P233" s="4"/>
    </row>
    <row r="234" spans="1:16" s="15" customFormat="1" ht="28.5" customHeight="1" x14ac:dyDescent="0.15">
      <c r="A234" s="127"/>
      <c r="B234" s="108"/>
      <c r="C234" s="105"/>
      <c r="D234" s="66" t="s">
        <v>394</v>
      </c>
      <c r="E234" s="42" t="s">
        <v>21</v>
      </c>
      <c r="F234" s="44" t="s">
        <v>252</v>
      </c>
      <c r="G234" s="42" t="s">
        <v>658</v>
      </c>
      <c r="H234" s="42">
        <v>186</v>
      </c>
      <c r="I234" s="96" t="s">
        <v>659</v>
      </c>
      <c r="M234" s="4"/>
      <c r="N234" s="4"/>
      <c r="O234" s="4"/>
      <c r="P234" s="4"/>
    </row>
    <row r="235" spans="1:16" s="15" customFormat="1" ht="28.5" customHeight="1" x14ac:dyDescent="0.15">
      <c r="A235" s="4">
        <v>233</v>
      </c>
      <c r="B235" s="99" t="s">
        <v>647</v>
      </c>
      <c r="C235" s="64" t="s">
        <v>643</v>
      </c>
      <c r="D235" s="66" t="s">
        <v>394</v>
      </c>
      <c r="E235" s="42" t="s">
        <v>21</v>
      </c>
      <c r="F235" s="42" t="s">
        <v>293</v>
      </c>
      <c r="G235" s="42" t="s">
        <v>648</v>
      </c>
      <c r="H235" s="42">
        <v>30800</v>
      </c>
      <c r="I235" s="96" t="s">
        <v>646</v>
      </c>
      <c r="M235" s="4"/>
      <c r="N235" s="4"/>
      <c r="O235" s="4"/>
      <c r="P235" s="4"/>
    </row>
    <row r="236" spans="1:16" s="15" customFormat="1" ht="28.5" customHeight="1" x14ac:dyDescent="0.15">
      <c r="A236" s="4">
        <v>234</v>
      </c>
      <c r="B236" s="43" t="s">
        <v>655</v>
      </c>
      <c r="C236" s="64" t="s">
        <v>653</v>
      </c>
      <c r="D236" s="66" t="s">
        <v>401</v>
      </c>
      <c r="E236" s="42" t="s">
        <v>21</v>
      </c>
      <c r="F236" s="42" t="s">
        <v>654</v>
      </c>
      <c r="G236" s="42" t="s">
        <v>656</v>
      </c>
      <c r="H236" s="42">
        <v>382840</v>
      </c>
      <c r="I236" s="96" t="s">
        <v>657</v>
      </c>
      <c r="M236" s="4"/>
      <c r="N236" s="4"/>
      <c r="O236" s="4"/>
      <c r="P236" s="4"/>
    </row>
    <row r="237" spans="1:16" s="15" customFormat="1" ht="28.5" customHeight="1" x14ac:dyDescent="0.15">
      <c r="A237" s="4">
        <v>235</v>
      </c>
      <c r="B237" s="99" t="s">
        <v>661</v>
      </c>
      <c r="C237" s="64" t="s">
        <v>660</v>
      </c>
      <c r="D237" s="4" t="s">
        <v>95</v>
      </c>
      <c r="E237" s="42" t="s">
        <v>21</v>
      </c>
      <c r="F237" s="42" t="s">
        <v>518</v>
      </c>
      <c r="G237" s="42" t="s">
        <v>538</v>
      </c>
      <c r="H237" s="42">
        <v>269787</v>
      </c>
      <c r="I237" s="98" t="s">
        <v>663</v>
      </c>
      <c r="J237" s="97" t="s">
        <v>662</v>
      </c>
      <c r="L237" s="97"/>
      <c r="M237" s="4"/>
      <c r="N237" s="4"/>
      <c r="O237" s="4"/>
      <c r="P237" s="4"/>
    </row>
    <row r="238" spans="1:16" s="15" customFormat="1" ht="28.5" customHeight="1" x14ac:dyDescent="0.15">
      <c r="A238" s="4">
        <v>236</v>
      </c>
      <c r="B238" s="43"/>
      <c r="C238" s="64"/>
      <c r="D238" s="66"/>
      <c r="E238" s="42"/>
      <c r="F238" s="42"/>
      <c r="G238" s="42"/>
      <c r="H238" s="42"/>
      <c r="I238" s="96"/>
      <c r="M238" s="4"/>
      <c r="N238" s="4"/>
      <c r="O238" s="4"/>
      <c r="P238" s="4"/>
    </row>
    <row r="239" spans="1:16" s="15" customFormat="1" ht="28.5" customHeight="1" x14ac:dyDescent="0.15">
      <c r="A239" s="4">
        <v>237</v>
      </c>
      <c r="B239" s="43"/>
      <c r="C239" s="64"/>
      <c r="D239" s="4"/>
      <c r="E239" s="42"/>
      <c r="F239" s="42"/>
      <c r="G239" s="42"/>
      <c r="H239" s="42"/>
      <c r="I239" s="96"/>
      <c r="M239" s="4"/>
      <c r="N239" s="4"/>
      <c r="O239" s="4"/>
      <c r="P239" s="4"/>
    </row>
    <row r="240" spans="1:16" s="15" customFormat="1" ht="28.5" customHeight="1" x14ac:dyDescent="0.15">
      <c r="A240" s="4">
        <v>238</v>
      </c>
      <c r="B240" s="43"/>
      <c r="C240" s="64"/>
      <c r="D240" s="66"/>
      <c r="E240" s="42"/>
      <c r="F240" s="42"/>
      <c r="G240" s="42"/>
      <c r="H240" s="42"/>
      <c r="I240" s="96"/>
      <c r="M240" s="4"/>
      <c r="N240" s="4"/>
      <c r="O240" s="4"/>
      <c r="P240" s="4"/>
    </row>
    <row r="241" spans="1:16" s="15" customFormat="1" ht="28.5" customHeight="1" x14ac:dyDescent="0.15">
      <c r="A241" s="4">
        <v>239</v>
      </c>
      <c r="B241" s="43"/>
      <c r="C241" s="64"/>
      <c r="D241" s="66"/>
      <c r="E241" s="42"/>
      <c r="F241" s="42"/>
      <c r="G241" s="42"/>
      <c r="H241" s="42"/>
      <c r="I241" s="96"/>
      <c r="M241" s="4"/>
      <c r="N241" s="4"/>
      <c r="O241" s="4"/>
      <c r="P241" s="4"/>
    </row>
    <row r="242" spans="1:16" s="15" customFormat="1" ht="28.5" customHeight="1" x14ac:dyDescent="0.15">
      <c r="A242" s="4">
        <v>240</v>
      </c>
      <c r="B242" s="43"/>
      <c r="C242" s="64"/>
      <c r="D242" s="66"/>
      <c r="E242" s="42"/>
      <c r="F242" s="42"/>
      <c r="G242" s="42"/>
      <c r="H242" s="42"/>
      <c r="I242" s="96"/>
      <c r="M242" s="4"/>
      <c r="N242" s="4"/>
      <c r="O242" s="4"/>
      <c r="P242" s="4"/>
    </row>
    <row r="243" spans="1:16" s="15" customFormat="1" ht="28.5" customHeight="1" x14ac:dyDescent="0.15">
      <c r="A243" s="4">
        <v>241</v>
      </c>
      <c r="B243" s="43"/>
      <c r="C243" s="64"/>
      <c r="D243" s="66"/>
      <c r="E243" s="42"/>
      <c r="F243" s="42"/>
      <c r="G243" s="42"/>
      <c r="H243" s="42"/>
      <c r="I243" s="96"/>
      <c r="M243" s="4"/>
      <c r="N243" s="4"/>
      <c r="O243" s="4"/>
      <c r="P243" s="4"/>
    </row>
    <row r="244" spans="1:16" s="15" customFormat="1" ht="28.5" customHeight="1" x14ac:dyDescent="0.15">
      <c r="A244" s="4">
        <v>242</v>
      </c>
      <c r="B244" s="43"/>
      <c r="C244" s="64"/>
      <c r="D244" s="66"/>
      <c r="E244" s="42"/>
      <c r="F244" s="42"/>
      <c r="G244" s="42"/>
      <c r="H244" s="42"/>
      <c r="I244" s="96"/>
      <c r="M244" s="4"/>
      <c r="N244" s="4"/>
      <c r="O244" s="4"/>
      <c r="P244" s="4"/>
    </row>
    <row r="245" spans="1:16" s="15" customFormat="1" ht="19.5" customHeight="1" x14ac:dyDescent="0.15">
      <c r="A245" s="4">
        <v>243</v>
      </c>
      <c r="C245" s="89"/>
      <c r="M245" s="4"/>
      <c r="N245" s="4"/>
      <c r="O245" s="4"/>
      <c r="P245" s="4"/>
    </row>
    <row r="246" spans="1:16" s="15" customFormat="1" ht="28.5" customHeight="1" x14ac:dyDescent="0.15">
      <c r="A246" s="4">
        <v>244</v>
      </c>
      <c r="B246" s="43"/>
      <c r="C246" s="64"/>
      <c r="D246" s="66"/>
      <c r="E246" s="42"/>
      <c r="F246" s="42"/>
      <c r="G246" s="42"/>
      <c r="H246" s="42"/>
      <c r="I246" s="96"/>
      <c r="M246" s="4"/>
      <c r="N246" s="4"/>
      <c r="O246" s="4"/>
      <c r="P246" s="4"/>
    </row>
    <row r="247" spans="1:16" s="15" customFormat="1" ht="28.5" customHeight="1" x14ac:dyDescent="0.15">
      <c r="A247" s="4">
        <v>245</v>
      </c>
      <c r="B247" s="43"/>
      <c r="C247" s="64"/>
      <c r="D247" s="66"/>
      <c r="E247" s="42"/>
      <c r="F247" s="42"/>
      <c r="G247" s="42"/>
      <c r="H247" s="42"/>
      <c r="I247" s="96"/>
      <c r="M247" s="4"/>
      <c r="N247" s="4"/>
      <c r="O247" s="4"/>
      <c r="P247" s="4"/>
    </row>
    <row r="248" spans="1:16" s="15" customFormat="1" ht="28.5" customHeight="1" x14ac:dyDescent="0.15">
      <c r="A248" s="4">
        <v>246</v>
      </c>
      <c r="B248" s="43"/>
      <c r="C248" s="64"/>
      <c r="D248" s="66"/>
      <c r="E248" s="42"/>
      <c r="F248" s="42"/>
      <c r="G248" s="42"/>
      <c r="H248" s="42"/>
      <c r="I248" s="96"/>
      <c r="M248" s="4"/>
      <c r="N248" s="4"/>
      <c r="O248" s="4"/>
      <c r="P248" s="4"/>
    </row>
    <row r="249" spans="1:16" s="15" customFormat="1" ht="19.5" customHeight="1" x14ac:dyDescent="0.15">
      <c r="A249" s="4">
        <v>247</v>
      </c>
      <c r="C249" s="89"/>
      <c r="M249" s="4"/>
      <c r="N249" s="4"/>
      <c r="O249" s="4"/>
      <c r="P249" s="4"/>
    </row>
    <row r="250" spans="1:16" x14ac:dyDescent="0.15">
      <c r="C250" s="12"/>
    </row>
    <row r="251" spans="1:16" x14ac:dyDescent="0.15">
      <c r="C251" s="12"/>
    </row>
    <row r="252" spans="1:16" x14ac:dyDescent="0.15">
      <c r="C252" s="12"/>
    </row>
    <row r="253" spans="1:16" x14ac:dyDescent="0.15">
      <c r="C253" s="12"/>
    </row>
    <row r="254" spans="1:16" x14ac:dyDescent="0.15">
      <c r="C254" s="12"/>
    </row>
    <row r="255" spans="1:16" x14ac:dyDescent="0.15">
      <c r="C255" s="12"/>
    </row>
    <row r="256" spans="1:16" x14ac:dyDescent="0.15">
      <c r="C256" s="12"/>
    </row>
    <row r="257" spans="3:3" x14ac:dyDescent="0.15">
      <c r="C257" s="12"/>
    </row>
    <row r="258" spans="3:3" x14ac:dyDescent="0.15">
      <c r="C258" s="12"/>
    </row>
    <row r="259" spans="3:3" x14ac:dyDescent="0.15">
      <c r="C259" s="12"/>
    </row>
    <row r="260" spans="3:3" x14ac:dyDescent="0.15">
      <c r="C260" s="12"/>
    </row>
    <row r="261" spans="3:3" x14ac:dyDescent="0.15">
      <c r="C261" s="12"/>
    </row>
    <row r="262" spans="3:3" x14ac:dyDescent="0.15">
      <c r="C262" s="12"/>
    </row>
    <row r="263" spans="3:3" x14ac:dyDescent="0.15">
      <c r="C263" s="12"/>
    </row>
    <row r="264" spans="3:3" x14ac:dyDescent="0.15">
      <c r="C264" s="12"/>
    </row>
    <row r="265" spans="3:3" x14ac:dyDescent="0.15">
      <c r="C265" s="12"/>
    </row>
    <row r="266" spans="3:3" x14ac:dyDescent="0.15">
      <c r="C266" s="12"/>
    </row>
    <row r="267" spans="3:3" x14ac:dyDescent="0.15">
      <c r="C267" s="12"/>
    </row>
    <row r="268" spans="3:3" x14ac:dyDescent="0.15">
      <c r="C268" s="12"/>
    </row>
  </sheetData>
  <autoFilter ref="A2:Q249" xr:uid="{00000000-0009-0000-0000-000000000000}"/>
  <mergeCells count="126">
    <mergeCell ref="A233:A234"/>
    <mergeCell ref="B233:B234"/>
    <mergeCell ref="C233:C234"/>
    <mergeCell ref="E54:E56"/>
    <mergeCell ref="B139:B143"/>
    <mergeCell ref="D139:D143"/>
    <mergeCell ref="C201:C203"/>
    <mergeCell ref="B201:B203"/>
    <mergeCell ref="B192:B193"/>
    <mergeCell ref="C192:C193"/>
    <mergeCell ref="D172:D173"/>
    <mergeCell ref="A159:A160"/>
    <mergeCell ref="B159:B160"/>
    <mergeCell ref="C159:C160"/>
    <mergeCell ref="D159:D160"/>
    <mergeCell ref="B188:B189"/>
    <mergeCell ref="C188:C189"/>
    <mergeCell ref="B186:B187"/>
    <mergeCell ref="C186:C187"/>
    <mergeCell ref="B174:B185"/>
    <mergeCell ref="C174:C185"/>
    <mergeCell ref="D174:D185"/>
    <mergeCell ref="C152:C153"/>
    <mergeCell ref="D152:D153"/>
    <mergeCell ref="B152:B153"/>
    <mergeCell ref="B60:B62"/>
    <mergeCell ref="B68:B69"/>
    <mergeCell ref="C122:C123"/>
    <mergeCell ref="D54:D56"/>
    <mergeCell ref="D60:D62"/>
    <mergeCell ref="D68:D69"/>
    <mergeCell ref="C85:C86"/>
    <mergeCell ref="C89:C91"/>
    <mergeCell ref="C95:C96"/>
    <mergeCell ref="C100:C101"/>
    <mergeCell ref="C105:C106"/>
    <mergeCell ref="B32:B34"/>
    <mergeCell ref="B35:B36"/>
    <mergeCell ref="B100:B101"/>
    <mergeCell ref="B105:B106"/>
    <mergeCell ref="C32:C34"/>
    <mergeCell ref="C42:C43"/>
    <mergeCell ref="C48:C49"/>
    <mergeCell ref="C54:C56"/>
    <mergeCell ref="C60:C62"/>
    <mergeCell ref="B76:B77"/>
    <mergeCell ref="B79:B80"/>
    <mergeCell ref="B85:B86"/>
    <mergeCell ref="B89:B91"/>
    <mergeCell ref="B95:B96"/>
    <mergeCell ref="B48:B49"/>
    <mergeCell ref="B54:B56"/>
    <mergeCell ref="C64:C65"/>
    <mergeCell ref="C68:C69"/>
    <mergeCell ref="C74:C75"/>
    <mergeCell ref="C76:C77"/>
    <mergeCell ref="C79:C80"/>
    <mergeCell ref="B42:B43"/>
    <mergeCell ref="B74:B75"/>
    <mergeCell ref="A1:L1"/>
    <mergeCell ref="B7:B8"/>
    <mergeCell ref="B11:B12"/>
    <mergeCell ref="B14:B15"/>
    <mergeCell ref="B24:B26"/>
    <mergeCell ref="C7:C8"/>
    <mergeCell ref="C11:C12"/>
    <mergeCell ref="C14:C15"/>
    <mergeCell ref="C17:C18"/>
    <mergeCell ref="C24:C26"/>
    <mergeCell ref="D7:D8"/>
    <mergeCell ref="D11:D12"/>
    <mergeCell ref="F54:F56"/>
    <mergeCell ref="F60:F61"/>
    <mergeCell ref="G54:G56"/>
    <mergeCell ref="I7:I8"/>
    <mergeCell ref="Q7:Q8"/>
    <mergeCell ref="I100:I101"/>
    <mergeCell ref="I105:I106"/>
    <mergeCell ref="J7:J8"/>
    <mergeCell ref="K7:K8"/>
    <mergeCell ref="L7:L8"/>
    <mergeCell ref="L100:L101"/>
    <mergeCell ref="I139:I143"/>
    <mergeCell ref="B144:B145"/>
    <mergeCell ref="C144:C145"/>
    <mergeCell ref="D144:D145"/>
    <mergeCell ref="I144:I145"/>
    <mergeCell ref="B147:B148"/>
    <mergeCell ref="C147:C148"/>
    <mergeCell ref="D147:D148"/>
    <mergeCell ref="I147:I148"/>
    <mergeCell ref="C139:C143"/>
    <mergeCell ref="B205:B206"/>
    <mergeCell ref="C205:C206"/>
    <mergeCell ref="B207:B209"/>
    <mergeCell ref="C207:C209"/>
    <mergeCell ref="I207:I209"/>
    <mergeCell ref="F207:F209"/>
    <mergeCell ref="I149:I150"/>
    <mergeCell ref="D149:D150"/>
    <mergeCell ref="C149:C150"/>
    <mergeCell ref="I172:I173"/>
    <mergeCell ref="I169:I171"/>
    <mergeCell ref="B169:B171"/>
    <mergeCell ref="C169:C171"/>
    <mergeCell ref="I162:I163"/>
    <mergeCell ref="C162:C163"/>
    <mergeCell ref="B162:B163"/>
    <mergeCell ref="B164:B165"/>
    <mergeCell ref="C164:C165"/>
    <mergeCell ref="I164:I165"/>
    <mergeCell ref="F159:F160"/>
    <mergeCell ref="G159:G160"/>
    <mergeCell ref="B172:B173"/>
    <mergeCell ref="C172:C173"/>
    <mergeCell ref="E159:E160"/>
    <mergeCell ref="I221:I223"/>
    <mergeCell ref="B214:B215"/>
    <mergeCell ref="C214:C215"/>
    <mergeCell ref="C216:C217"/>
    <mergeCell ref="B216:B217"/>
    <mergeCell ref="B219:B220"/>
    <mergeCell ref="C219:C220"/>
    <mergeCell ref="B221:B223"/>
    <mergeCell ref="C221:C223"/>
    <mergeCell ref="D221:D223"/>
  </mergeCells>
  <phoneticPr fontId="17" type="noConversion"/>
  <pageMargins left="0" right="0" top="0" bottom="0" header="0.31496062992126" footer="0.31496062992126"/>
  <pageSetup paperSize="9" scale="23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81FB-CD83-487D-A55B-0F0E45DE99E4}">
  <dimension ref="A1:K13"/>
  <sheetViews>
    <sheetView workbookViewId="0">
      <selection activeCell="H7" sqref="H7"/>
    </sheetView>
  </sheetViews>
  <sheetFormatPr defaultRowHeight="13.5" x14ac:dyDescent="0.15"/>
  <cols>
    <col min="1" max="1" width="5.25" customWidth="1"/>
    <col min="2" max="2" width="10.625" customWidth="1"/>
    <col min="4" max="4" width="15.625" customWidth="1"/>
    <col min="5" max="5" width="12.875" customWidth="1"/>
    <col min="6" max="6" width="12.25" customWidth="1"/>
    <col min="7" max="7" width="11.625" customWidth="1"/>
    <col min="8" max="8" width="10.5" customWidth="1"/>
    <col min="9" max="9" width="13.125" customWidth="1"/>
    <col min="10" max="10" width="12.25" customWidth="1"/>
    <col min="11" max="11" width="16" customWidth="1"/>
  </cols>
  <sheetData>
    <row r="1" spans="1:11" ht="42.75" customHeight="1" x14ac:dyDescent="0.15">
      <c r="A1" s="145" t="s">
        <v>436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15" customHeight="1" x14ac:dyDescent="0.15">
      <c r="A2" s="71"/>
    </row>
    <row r="3" spans="1:11" ht="42" customHeight="1" x14ac:dyDescent="0.15">
      <c r="A3" s="66" t="s">
        <v>435</v>
      </c>
      <c r="B3" s="72" t="s">
        <v>419</v>
      </c>
      <c r="C3" s="4"/>
      <c r="D3" s="72" t="s">
        <v>418</v>
      </c>
      <c r="E3" s="72" t="s">
        <v>420</v>
      </c>
      <c r="F3" s="143" t="s">
        <v>421</v>
      </c>
      <c r="G3" s="144"/>
      <c r="H3" s="72" t="s">
        <v>422</v>
      </c>
      <c r="I3" s="72" t="s">
        <v>423</v>
      </c>
      <c r="J3" s="72" t="s">
        <v>424</v>
      </c>
      <c r="K3" s="72" t="s">
        <v>425</v>
      </c>
    </row>
    <row r="4" spans="1:11" ht="34.5" customHeight="1" x14ac:dyDescent="0.15">
      <c r="A4" s="4">
        <v>1</v>
      </c>
      <c r="B4" s="42" t="s">
        <v>283</v>
      </c>
      <c r="C4" s="5" t="s">
        <v>284</v>
      </c>
      <c r="D4" s="14">
        <v>45309</v>
      </c>
      <c r="E4" s="42" t="s">
        <v>301</v>
      </c>
      <c r="F4" s="66" t="s">
        <v>427</v>
      </c>
      <c r="G4" s="42" t="s">
        <v>437</v>
      </c>
      <c r="H4" s="4">
        <v>56000</v>
      </c>
      <c r="I4" s="4">
        <v>0.72499999999999998</v>
      </c>
      <c r="J4" s="4" t="s">
        <v>50</v>
      </c>
      <c r="K4" s="66" t="s">
        <v>426</v>
      </c>
    </row>
    <row r="5" spans="1:11" ht="34.5" customHeight="1" x14ac:dyDescent="0.15">
      <c r="A5" s="4">
        <v>2</v>
      </c>
      <c r="B5" s="42" t="s">
        <v>291</v>
      </c>
      <c r="C5" s="10" t="s">
        <v>292</v>
      </c>
      <c r="D5" s="14">
        <v>45334</v>
      </c>
      <c r="E5" s="42" t="s">
        <v>293</v>
      </c>
      <c r="F5" s="42" t="s">
        <v>428</v>
      </c>
      <c r="G5" s="42" t="s">
        <v>294</v>
      </c>
      <c r="H5" s="42">
        <v>7200</v>
      </c>
      <c r="I5" s="4">
        <v>0.8</v>
      </c>
      <c r="J5" s="4" t="s">
        <v>50</v>
      </c>
      <c r="K5" s="66" t="s">
        <v>426</v>
      </c>
    </row>
    <row r="6" spans="1:11" ht="34.5" customHeight="1" x14ac:dyDescent="0.15">
      <c r="A6" s="4">
        <v>3</v>
      </c>
      <c r="B6" s="42" t="s">
        <v>298</v>
      </c>
      <c r="C6" s="10" t="s">
        <v>299</v>
      </c>
      <c r="D6" s="56" t="s">
        <v>429</v>
      </c>
      <c r="E6" s="42" t="s">
        <v>301</v>
      </c>
      <c r="F6" s="66" t="s">
        <v>427</v>
      </c>
      <c r="G6" s="42" t="s">
        <v>437</v>
      </c>
      <c r="H6" s="42">
        <v>56000</v>
      </c>
      <c r="I6" s="4">
        <v>0.72499999999999998</v>
      </c>
      <c r="J6" s="4" t="s">
        <v>50</v>
      </c>
      <c r="K6" s="66" t="s">
        <v>426</v>
      </c>
    </row>
    <row r="7" spans="1:11" ht="34.5" customHeight="1" x14ac:dyDescent="0.15">
      <c r="A7" s="4">
        <v>4</v>
      </c>
      <c r="B7" s="48" t="s">
        <v>322</v>
      </c>
      <c r="C7" s="64" t="s">
        <v>417</v>
      </c>
      <c r="D7" s="56" t="s">
        <v>430</v>
      </c>
      <c r="E7" s="42" t="s">
        <v>301</v>
      </c>
      <c r="F7" s="66" t="s">
        <v>427</v>
      </c>
      <c r="G7" s="42" t="s">
        <v>437</v>
      </c>
      <c r="H7" s="42">
        <v>224000</v>
      </c>
      <c r="I7" s="4">
        <v>0.72499999999999998</v>
      </c>
      <c r="J7" s="4" t="s">
        <v>50</v>
      </c>
      <c r="K7" s="66" t="s">
        <v>426</v>
      </c>
    </row>
    <row r="8" spans="1:11" ht="34.5" customHeight="1" x14ac:dyDescent="0.15">
      <c r="A8" s="4">
        <v>5</v>
      </c>
      <c r="B8" s="42" t="s">
        <v>336</v>
      </c>
      <c r="C8" s="10" t="s">
        <v>337</v>
      </c>
      <c r="D8" s="56" t="s">
        <v>431</v>
      </c>
      <c r="E8" s="42" t="s">
        <v>293</v>
      </c>
      <c r="F8" s="42" t="s">
        <v>428</v>
      </c>
      <c r="G8" s="42" t="s">
        <v>294</v>
      </c>
      <c r="H8" s="42">
        <v>34000</v>
      </c>
      <c r="I8" s="4">
        <v>0.8</v>
      </c>
      <c r="J8" s="4" t="s">
        <v>50</v>
      </c>
      <c r="K8" s="66" t="s">
        <v>426</v>
      </c>
    </row>
    <row r="9" spans="1:11" ht="34.5" customHeight="1" x14ac:dyDescent="0.15">
      <c r="A9" s="4">
        <v>6</v>
      </c>
      <c r="B9" s="42" t="s">
        <v>351</v>
      </c>
      <c r="C9" s="10" t="s">
        <v>352</v>
      </c>
      <c r="D9" s="56" t="s">
        <v>432</v>
      </c>
      <c r="E9" s="42" t="s">
        <v>293</v>
      </c>
      <c r="F9" s="42" t="s">
        <v>428</v>
      </c>
      <c r="G9" s="42" t="s">
        <v>353</v>
      </c>
      <c r="H9" s="42">
        <v>45180</v>
      </c>
      <c r="I9" s="4">
        <v>0.78300000000000003</v>
      </c>
      <c r="J9" s="4" t="s">
        <v>50</v>
      </c>
      <c r="K9" s="66" t="s">
        <v>426</v>
      </c>
    </row>
    <row r="10" spans="1:11" ht="34.5" customHeight="1" x14ac:dyDescent="0.15">
      <c r="A10" s="4">
        <v>7</v>
      </c>
      <c r="B10" s="48" t="s">
        <v>355</v>
      </c>
      <c r="C10" s="10" t="s">
        <v>356</v>
      </c>
      <c r="D10" s="56" t="s">
        <v>433</v>
      </c>
      <c r="E10" s="42" t="s">
        <v>357</v>
      </c>
      <c r="F10" s="42" t="s">
        <v>428</v>
      </c>
      <c r="G10" s="44" t="s">
        <v>253</v>
      </c>
      <c r="H10" s="44">
        <v>18000</v>
      </c>
      <c r="I10" s="4">
        <v>0.75</v>
      </c>
      <c r="J10" s="4" t="s">
        <v>50</v>
      </c>
      <c r="K10" s="66" t="s">
        <v>426</v>
      </c>
    </row>
    <row r="11" spans="1:11" ht="34.5" customHeight="1" x14ac:dyDescent="0.15">
      <c r="A11" s="4">
        <v>8</v>
      </c>
      <c r="B11" s="65" t="s">
        <v>369</v>
      </c>
      <c r="C11" s="64" t="s">
        <v>370</v>
      </c>
      <c r="D11" s="14">
        <v>45630</v>
      </c>
      <c r="E11" s="42" t="s">
        <v>293</v>
      </c>
      <c r="F11" s="42" t="s">
        <v>428</v>
      </c>
      <c r="G11" s="42" t="s">
        <v>353</v>
      </c>
      <c r="H11" s="42">
        <v>45000</v>
      </c>
      <c r="I11" s="4">
        <v>0.78300000000000003</v>
      </c>
      <c r="J11" s="4" t="s">
        <v>50</v>
      </c>
      <c r="K11" s="66" t="s">
        <v>426</v>
      </c>
    </row>
    <row r="12" spans="1:11" ht="34.5" customHeight="1" x14ac:dyDescent="0.15">
      <c r="A12" s="4">
        <v>9</v>
      </c>
      <c r="B12" s="48" t="s">
        <v>414</v>
      </c>
      <c r="C12" s="70" t="s">
        <v>410</v>
      </c>
      <c r="D12" s="67" t="s">
        <v>434</v>
      </c>
      <c r="E12" s="44" t="s">
        <v>252</v>
      </c>
      <c r="F12" s="42" t="s">
        <v>428</v>
      </c>
      <c r="G12" s="44" t="s">
        <v>253</v>
      </c>
      <c r="H12" s="44">
        <f>43200+43200</f>
        <v>86400</v>
      </c>
      <c r="I12" s="4">
        <v>0.72</v>
      </c>
      <c r="J12" s="4" t="s">
        <v>50</v>
      </c>
      <c r="K12" s="66" t="s">
        <v>426</v>
      </c>
    </row>
    <row r="13" spans="1:11" ht="34.5" customHeight="1" x14ac:dyDescent="0.15">
      <c r="A13" s="4">
        <v>10</v>
      </c>
      <c r="B13" s="42" t="s">
        <v>412</v>
      </c>
      <c r="C13" s="64" t="s">
        <v>411</v>
      </c>
      <c r="D13" s="69">
        <v>45737</v>
      </c>
      <c r="E13" s="42" t="s">
        <v>293</v>
      </c>
      <c r="F13" s="42" t="s">
        <v>428</v>
      </c>
      <c r="G13" s="42" t="s">
        <v>353</v>
      </c>
      <c r="H13" s="42">
        <v>50000</v>
      </c>
      <c r="I13" s="4">
        <v>0.78300000000000003</v>
      </c>
      <c r="J13" s="4" t="s">
        <v>50</v>
      </c>
      <c r="K13" s="66" t="s">
        <v>426</v>
      </c>
    </row>
  </sheetData>
  <mergeCells count="2">
    <mergeCell ref="F3:G3"/>
    <mergeCell ref="A1:K1"/>
  </mergeCells>
  <phoneticPr fontId="17" type="noConversion"/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9"/>
  <sheetViews>
    <sheetView workbookViewId="0">
      <selection activeCell="I105" sqref="I105:I106"/>
    </sheetView>
  </sheetViews>
  <sheetFormatPr defaultColWidth="9" defaultRowHeight="13.5" x14ac:dyDescent="0.15"/>
  <cols>
    <col min="1" max="1" width="4.75" customWidth="1"/>
    <col min="2" max="2" width="13.375" customWidth="1"/>
    <col min="3" max="4" width="8.625" customWidth="1"/>
    <col min="5" max="5" width="10.375" customWidth="1"/>
    <col min="6" max="6" width="21.875" customWidth="1"/>
    <col min="7" max="7" width="12" customWidth="1"/>
    <col min="10" max="10" width="12.125" customWidth="1"/>
    <col min="11" max="11" width="12.375" customWidth="1"/>
    <col min="12" max="12" width="6.125" customWidth="1"/>
    <col min="13" max="13" width="6.75" customWidth="1"/>
    <col min="14" max="14" width="11" customWidth="1"/>
    <col min="15" max="15" width="12" style="2" customWidth="1"/>
    <col min="16" max="17" width="9" style="2"/>
    <col min="18" max="18" width="10.5" style="2" customWidth="1"/>
  </cols>
  <sheetData>
    <row r="1" spans="1:18" ht="38.25" customHeight="1" x14ac:dyDescent="0.15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8" s="1" customFormat="1" ht="40.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360</v>
      </c>
      <c r="J2" s="3" t="s">
        <v>361</v>
      </c>
      <c r="K2" s="3" t="s">
        <v>9</v>
      </c>
      <c r="L2" s="3" t="s">
        <v>10</v>
      </c>
      <c r="M2" s="3" t="s">
        <v>11</v>
      </c>
      <c r="N2" s="3" t="s">
        <v>12</v>
      </c>
      <c r="O2" s="11" t="s">
        <v>13</v>
      </c>
      <c r="P2" s="11" t="s">
        <v>14</v>
      </c>
      <c r="Q2" s="11" t="s">
        <v>15</v>
      </c>
      <c r="R2" s="11" t="s">
        <v>16</v>
      </c>
    </row>
    <row r="3" spans="1:18" ht="23.25" customHeight="1" x14ac:dyDescent="0.15">
      <c r="A3" s="4">
        <v>1</v>
      </c>
      <c r="B3" s="4" t="s">
        <v>30</v>
      </c>
      <c r="C3" s="5" t="s">
        <v>31</v>
      </c>
      <c r="D3" s="4" t="s">
        <v>32</v>
      </c>
      <c r="E3" s="4" t="s">
        <v>21</v>
      </c>
      <c r="F3" s="4" t="s">
        <v>33</v>
      </c>
      <c r="G3" s="4" t="s">
        <v>29</v>
      </c>
      <c r="H3" s="4">
        <v>3000</v>
      </c>
      <c r="I3" s="4">
        <v>0.64</v>
      </c>
      <c r="J3" s="17">
        <f>H3*I3/1000</f>
        <v>1.92</v>
      </c>
      <c r="K3" s="14">
        <v>43822</v>
      </c>
      <c r="L3" s="4" t="s">
        <v>24</v>
      </c>
      <c r="M3" s="4" t="s">
        <v>24</v>
      </c>
      <c r="N3" s="14">
        <v>43843</v>
      </c>
      <c r="O3" s="15"/>
      <c r="P3" s="4">
        <v>3040</v>
      </c>
      <c r="Q3" s="4">
        <v>0.88</v>
      </c>
      <c r="R3" s="4">
        <f>P3*Q3</f>
        <v>2675.2</v>
      </c>
    </row>
    <row r="4" spans="1:18" ht="23.25" customHeight="1" x14ac:dyDescent="0.15">
      <c r="A4" s="4">
        <v>2</v>
      </c>
      <c r="B4" s="4" t="s">
        <v>34</v>
      </c>
      <c r="C4" s="5" t="s">
        <v>35</v>
      </c>
      <c r="D4" s="4" t="s">
        <v>32</v>
      </c>
      <c r="E4" s="4" t="s">
        <v>21</v>
      </c>
      <c r="F4" s="4" t="s">
        <v>36</v>
      </c>
      <c r="G4" s="4" t="s">
        <v>37</v>
      </c>
      <c r="H4" s="4">
        <v>9140</v>
      </c>
      <c r="I4" s="4">
        <v>0.65</v>
      </c>
      <c r="J4" s="17">
        <f t="shared" ref="J4:J12" si="0">H4*I4/1000</f>
        <v>5.9409999999999998</v>
      </c>
      <c r="K4" s="13">
        <v>43891</v>
      </c>
      <c r="L4" s="14" t="s">
        <v>135</v>
      </c>
      <c r="M4" s="14"/>
      <c r="N4" s="14"/>
      <c r="O4" s="15" t="s">
        <v>38</v>
      </c>
      <c r="P4" s="4"/>
      <c r="Q4" s="4"/>
      <c r="R4" s="4"/>
    </row>
    <row r="5" spans="1:18" ht="23.25" customHeight="1" x14ac:dyDescent="0.15">
      <c r="A5" s="4">
        <v>3</v>
      </c>
      <c r="B5" s="125" t="s">
        <v>39</v>
      </c>
      <c r="C5" s="133" t="s">
        <v>40</v>
      </c>
      <c r="D5" s="125" t="s">
        <v>41</v>
      </c>
      <c r="E5" s="4" t="s">
        <v>21</v>
      </c>
      <c r="F5" s="4" t="s">
        <v>42</v>
      </c>
      <c r="G5" s="4" t="s">
        <v>43</v>
      </c>
      <c r="H5" s="4">
        <v>1040</v>
      </c>
      <c r="I5" s="4">
        <v>0.76</v>
      </c>
      <c r="J5" s="17">
        <f t="shared" si="0"/>
        <v>0.79039999999999999</v>
      </c>
      <c r="K5" s="128">
        <v>43881</v>
      </c>
      <c r="L5" s="128" t="s">
        <v>24</v>
      </c>
      <c r="M5" s="128" t="s">
        <v>24</v>
      </c>
      <c r="N5" s="128">
        <v>43914</v>
      </c>
      <c r="O5" s="15"/>
      <c r="P5" s="4">
        <v>1040</v>
      </c>
      <c r="Q5" s="4">
        <v>1.1100000000000001</v>
      </c>
      <c r="R5" s="4">
        <f t="shared" ref="R5:R18" si="1">P5*Q5</f>
        <v>1154.4000000000001</v>
      </c>
    </row>
    <row r="6" spans="1:18" ht="23.25" customHeight="1" x14ac:dyDescent="0.15">
      <c r="A6" s="4">
        <v>4</v>
      </c>
      <c r="B6" s="127"/>
      <c r="C6" s="134"/>
      <c r="D6" s="127"/>
      <c r="E6" s="4" t="s">
        <v>21</v>
      </c>
      <c r="F6" s="4" t="s">
        <v>44</v>
      </c>
      <c r="G6" s="4" t="s">
        <v>45</v>
      </c>
      <c r="H6" s="4">
        <v>220</v>
      </c>
      <c r="I6" s="4">
        <v>0.8</v>
      </c>
      <c r="J6" s="17">
        <f t="shared" si="0"/>
        <v>0.17599999999999999</v>
      </c>
      <c r="K6" s="129"/>
      <c r="L6" s="129"/>
      <c r="M6" s="129"/>
      <c r="N6" s="129"/>
      <c r="O6" s="15"/>
      <c r="P6" s="4">
        <v>220</v>
      </c>
      <c r="Q6" s="4">
        <v>1.17</v>
      </c>
      <c r="R6" s="4">
        <f t="shared" si="1"/>
        <v>257.39999999999998</v>
      </c>
    </row>
    <row r="7" spans="1:18" ht="23.25" customHeight="1" x14ac:dyDescent="0.15">
      <c r="A7" s="4">
        <v>5</v>
      </c>
      <c r="B7" s="4" t="s">
        <v>46</v>
      </c>
      <c r="C7" s="5" t="s">
        <v>47</v>
      </c>
      <c r="D7" s="4" t="s">
        <v>28</v>
      </c>
      <c r="E7" s="4" t="s">
        <v>21</v>
      </c>
      <c r="F7" s="4" t="s">
        <v>48</v>
      </c>
      <c r="G7" s="4" t="s">
        <v>49</v>
      </c>
      <c r="H7" s="4">
        <v>10000</v>
      </c>
      <c r="I7" s="4">
        <v>0.55000000000000004</v>
      </c>
      <c r="J7" s="17">
        <f t="shared" si="0"/>
        <v>5.5</v>
      </c>
      <c r="K7" s="14">
        <v>43978</v>
      </c>
      <c r="L7" s="4" t="s">
        <v>24</v>
      </c>
      <c r="M7" s="4" t="s">
        <v>24</v>
      </c>
      <c r="N7" s="14">
        <v>44020</v>
      </c>
      <c r="O7" s="4" t="s">
        <v>50</v>
      </c>
      <c r="P7" s="4">
        <v>10000</v>
      </c>
      <c r="Q7" s="4">
        <v>0.77</v>
      </c>
      <c r="R7" s="4">
        <f t="shared" si="1"/>
        <v>7700</v>
      </c>
    </row>
    <row r="8" spans="1:18" ht="23.25" customHeight="1" x14ac:dyDescent="0.15">
      <c r="A8" s="4">
        <v>6</v>
      </c>
      <c r="B8" s="4" t="s">
        <v>51</v>
      </c>
      <c r="C8" s="5" t="s">
        <v>52</v>
      </c>
      <c r="D8" s="4" t="s">
        <v>53</v>
      </c>
      <c r="E8" s="4" t="s">
        <v>21</v>
      </c>
      <c r="F8" s="4" t="s">
        <v>54</v>
      </c>
      <c r="G8" s="4" t="s">
        <v>55</v>
      </c>
      <c r="H8" s="4">
        <v>100</v>
      </c>
      <c r="I8" s="4">
        <v>0.75</v>
      </c>
      <c r="J8" s="17">
        <f t="shared" si="0"/>
        <v>7.4999999999999997E-2</v>
      </c>
      <c r="K8" s="14">
        <v>44025</v>
      </c>
      <c r="L8" s="4" t="s">
        <v>24</v>
      </c>
      <c r="M8" s="4" t="s">
        <v>24</v>
      </c>
      <c r="N8" s="14">
        <v>44022</v>
      </c>
      <c r="O8" s="4" t="s">
        <v>50</v>
      </c>
      <c r="P8" s="4">
        <v>100</v>
      </c>
      <c r="Q8" s="4">
        <v>1.05</v>
      </c>
      <c r="R8" s="4">
        <f t="shared" si="1"/>
        <v>105</v>
      </c>
    </row>
    <row r="9" spans="1:18" ht="23.25" customHeight="1" x14ac:dyDescent="0.15">
      <c r="A9" s="4">
        <v>7</v>
      </c>
      <c r="B9" s="125" t="s">
        <v>56</v>
      </c>
      <c r="C9" s="133" t="s">
        <v>57</v>
      </c>
      <c r="D9" s="125" t="s">
        <v>28</v>
      </c>
      <c r="E9" s="4" t="s">
        <v>21</v>
      </c>
      <c r="F9" s="4" t="s">
        <v>58</v>
      </c>
      <c r="G9" s="4" t="s">
        <v>59</v>
      </c>
      <c r="H9" s="4">
        <f>70+32+6</f>
        <v>108</v>
      </c>
      <c r="I9" s="4">
        <v>0.65</v>
      </c>
      <c r="J9" s="17">
        <f t="shared" si="0"/>
        <v>7.0199999999999999E-2</v>
      </c>
      <c r="K9" s="14">
        <v>44046</v>
      </c>
      <c r="L9" s="4" t="s">
        <v>24</v>
      </c>
      <c r="M9" s="4" t="s">
        <v>24</v>
      </c>
      <c r="N9" s="14">
        <v>44075</v>
      </c>
      <c r="O9" s="4" t="s">
        <v>50</v>
      </c>
      <c r="P9" s="4">
        <v>108</v>
      </c>
      <c r="Q9" s="4">
        <v>1.27</v>
      </c>
      <c r="R9" s="4">
        <f t="shared" si="1"/>
        <v>137.16</v>
      </c>
    </row>
    <row r="10" spans="1:18" ht="23.25" customHeight="1" x14ac:dyDescent="0.15">
      <c r="A10" s="4">
        <v>8</v>
      </c>
      <c r="B10" s="127"/>
      <c r="C10" s="134"/>
      <c r="D10" s="127"/>
      <c r="E10" s="4" t="s">
        <v>21</v>
      </c>
      <c r="F10" s="4" t="s">
        <v>44</v>
      </c>
      <c r="G10" s="4" t="s">
        <v>59</v>
      </c>
      <c r="H10" s="4">
        <v>48520</v>
      </c>
      <c r="I10" s="4">
        <v>0.65</v>
      </c>
      <c r="J10" s="17">
        <f t="shared" si="0"/>
        <v>31.538</v>
      </c>
      <c r="K10" s="13">
        <v>44099</v>
      </c>
      <c r="L10" s="4" t="s">
        <v>24</v>
      </c>
      <c r="M10" s="4" t="s">
        <v>24</v>
      </c>
      <c r="N10" s="14">
        <v>44132</v>
      </c>
      <c r="O10" s="4" t="s">
        <v>50</v>
      </c>
      <c r="P10" s="4">
        <v>48520</v>
      </c>
      <c r="Q10" s="4">
        <v>1.27</v>
      </c>
      <c r="R10" s="4">
        <f t="shared" si="1"/>
        <v>61620.4</v>
      </c>
    </row>
    <row r="11" spans="1:18" ht="34.5" customHeight="1" x14ac:dyDescent="0.15">
      <c r="A11" s="4">
        <v>9</v>
      </c>
      <c r="B11" s="4" t="s">
        <v>60</v>
      </c>
      <c r="C11" s="5" t="s">
        <v>61</v>
      </c>
      <c r="D11" s="4" t="s">
        <v>28</v>
      </c>
      <c r="E11" s="4" t="s">
        <v>21</v>
      </c>
      <c r="F11" s="11" t="s">
        <v>62</v>
      </c>
      <c r="G11" s="4" t="s">
        <v>63</v>
      </c>
      <c r="H11" s="4">
        <v>500</v>
      </c>
      <c r="I11" s="4">
        <v>0.85</v>
      </c>
      <c r="J11" s="17">
        <f t="shared" si="0"/>
        <v>0.42499999999999999</v>
      </c>
      <c r="K11" s="13">
        <v>44099</v>
      </c>
      <c r="L11" s="4" t="s">
        <v>24</v>
      </c>
      <c r="M11" s="4" t="s">
        <v>24</v>
      </c>
      <c r="N11" s="14">
        <v>44123</v>
      </c>
      <c r="O11" s="4" t="s">
        <v>50</v>
      </c>
      <c r="P11" s="4">
        <v>500</v>
      </c>
      <c r="Q11" s="4">
        <v>1.44</v>
      </c>
      <c r="R11" s="4">
        <f t="shared" si="1"/>
        <v>720</v>
      </c>
    </row>
    <row r="12" spans="1:18" ht="23.25" customHeight="1" x14ac:dyDescent="0.15">
      <c r="A12" s="4">
        <v>10</v>
      </c>
      <c r="B12" s="125" t="s">
        <v>64</v>
      </c>
      <c r="C12" s="133" t="s">
        <v>65</v>
      </c>
      <c r="D12" s="4" t="s">
        <v>20</v>
      </c>
      <c r="E12" s="4" t="s">
        <v>21</v>
      </c>
      <c r="F12" s="11" t="s">
        <v>66</v>
      </c>
      <c r="G12" s="4" t="s">
        <v>67</v>
      </c>
      <c r="H12" s="4">
        <v>5040</v>
      </c>
      <c r="I12" s="4">
        <v>0.64</v>
      </c>
      <c r="J12" s="17">
        <f t="shared" si="0"/>
        <v>3.2256</v>
      </c>
      <c r="K12" s="13">
        <v>44098</v>
      </c>
      <c r="L12" s="4" t="s">
        <v>24</v>
      </c>
      <c r="M12" s="4" t="s">
        <v>24</v>
      </c>
      <c r="N12" s="14">
        <v>44120</v>
      </c>
      <c r="O12" s="4" t="s">
        <v>50</v>
      </c>
      <c r="P12" s="4">
        <v>5040</v>
      </c>
      <c r="Q12" s="4">
        <v>0.93</v>
      </c>
      <c r="R12" s="4">
        <f t="shared" si="1"/>
        <v>4687.2</v>
      </c>
    </row>
    <row r="13" spans="1:18" ht="23.25" customHeight="1" x14ac:dyDescent="0.15">
      <c r="A13" s="4">
        <v>11</v>
      </c>
      <c r="B13" s="127"/>
      <c r="C13" s="134"/>
      <c r="D13" s="4" t="s">
        <v>20</v>
      </c>
      <c r="E13" s="4" t="s">
        <v>68</v>
      </c>
      <c r="F13" s="11" t="s">
        <v>69</v>
      </c>
      <c r="G13" s="4"/>
      <c r="H13" s="4">
        <v>5000</v>
      </c>
      <c r="I13" s="4"/>
      <c r="J13" s="17">
        <v>0.26</v>
      </c>
      <c r="K13" s="13">
        <v>44098</v>
      </c>
      <c r="L13" s="4" t="s">
        <v>135</v>
      </c>
      <c r="M13" s="4" t="s">
        <v>24</v>
      </c>
      <c r="N13" s="14"/>
      <c r="O13" s="4" t="s">
        <v>50</v>
      </c>
      <c r="P13" s="4"/>
      <c r="Q13" s="4">
        <v>0.32</v>
      </c>
      <c r="R13" s="4"/>
    </row>
    <row r="14" spans="1:18" ht="23.25" customHeight="1" x14ac:dyDescent="0.15">
      <c r="A14" s="4">
        <v>12</v>
      </c>
      <c r="B14" s="4" t="s">
        <v>71</v>
      </c>
      <c r="C14" s="5" t="s">
        <v>72</v>
      </c>
      <c r="D14" s="4" t="s">
        <v>28</v>
      </c>
      <c r="E14" s="4" t="s">
        <v>21</v>
      </c>
      <c r="F14" s="4" t="s">
        <v>48</v>
      </c>
      <c r="G14" s="4" t="s">
        <v>49</v>
      </c>
      <c r="H14" s="4">
        <v>400</v>
      </c>
      <c r="I14" s="4">
        <v>0.55000000000000004</v>
      </c>
      <c r="J14" s="17">
        <f t="shared" ref="J14:J20" si="2">H14*I14/1000</f>
        <v>0.22</v>
      </c>
      <c r="K14" s="13">
        <v>44102</v>
      </c>
      <c r="L14" s="4" t="s">
        <v>24</v>
      </c>
      <c r="M14" s="4" t="s">
        <v>24</v>
      </c>
      <c r="N14" s="14">
        <v>44095</v>
      </c>
      <c r="O14" s="4" t="s">
        <v>50</v>
      </c>
      <c r="P14" s="4">
        <v>400</v>
      </c>
      <c r="Q14" s="4">
        <v>0.97</v>
      </c>
      <c r="R14" s="4">
        <f t="shared" si="1"/>
        <v>388</v>
      </c>
    </row>
    <row r="15" spans="1:18" ht="23.25" customHeight="1" x14ac:dyDescent="0.15">
      <c r="A15" s="4">
        <v>13</v>
      </c>
      <c r="B15" s="4" t="s">
        <v>73</v>
      </c>
      <c r="C15" s="135" t="s">
        <v>74</v>
      </c>
      <c r="D15" s="4" t="s">
        <v>75</v>
      </c>
      <c r="E15" s="4" t="s">
        <v>21</v>
      </c>
      <c r="F15" s="4" t="s">
        <v>54</v>
      </c>
      <c r="G15" s="4" t="s">
        <v>55</v>
      </c>
      <c r="H15" s="4">
        <v>800</v>
      </c>
      <c r="I15" s="4">
        <v>0.75</v>
      </c>
      <c r="J15" s="17">
        <f t="shared" si="2"/>
        <v>0.6</v>
      </c>
      <c r="K15" s="13">
        <v>44124</v>
      </c>
      <c r="L15" s="4" t="s">
        <v>24</v>
      </c>
      <c r="M15" s="4" t="s">
        <v>24</v>
      </c>
      <c r="N15" s="14">
        <v>44133</v>
      </c>
      <c r="O15" s="4" t="s">
        <v>50</v>
      </c>
      <c r="P15" s="4">
        <v>800</v>
      </c>
      <c r="Q15" s="4">
        <v>1.05</v>
      </c>
      <c r="R15" s="4">
        <f t="shared" si="1"/>
        <v>840</v>
      </c>
    </row>
    <row r="16" spans="1:18" ht="23.25" customHeight="1" x14ac:dyDescent="0.15">
      <c r="A16" s="4">
        <v>14</v>
      </c>
      <c r="B16" s="4" t="s">
        <v>76</v>
      </c>
      <c r="C16" s="136"/>
      <c r="D16" s="4" t="s">
        <v>75</v>
      </c>
      <c r="E16" s="4" t="s">
        <v>21</v>
      </c>
      <c r="F16" s="4" t="s">
        <v>54</v>
      </c>
      <c r="G16" s="4" t="s">
        <v>55</v>
      </c>
      <c r="H16" s="4">
        <v>200</v>
      </c>
      <c r="I16" s="4">
        <v>0.75</v>
      </c>
      <c r="J16" s="17">
        <f t="shared" si="2"/>
        <v>0.15</v>
      </c>
      <c r="K16" s="13">
        <v>44124</v>
      </c>
      <c r="L16" s="4" t="s">
        <v>24</v>
      </c>
      <c r="M16" s="4" t="s">
        <v>24</v>
      </c>
      <c r="N16" s="14">
        <v>44133</v>
      </c>
      <c r="O16" s="4" t="s">
        <v>50</v>
      </c>
      <c r="P16" s="4">
        <v>200</v>
      </c>
      <c r="Q16" s="4">
        <v>1.05</v>
      </c>
      <c r="R16" s="4">
        <f t="shared" si="1"/>
        <v>210</v>
      </c>
    </row>
    <row r="17" spans="1:18" ht="23.25" customHeight="1" x14ac:dyDescent="0.15">
      <c r="A17" s="4">
        <v>15</v>
      </c>
      <c r="B17" s="4" t="s">
        <v>77</v>
      </c>
      <c r="C17" s="5" t="s">
        <v>19</v>
      </c>
      <c r="D17" s="4" t="s">
        <v>32</v>
      </c>
      <c r="E17" s="4" t="s">
        <v>21</v>
      </c>
      <c r="F17" s="4" t="s">
        <v>33</v>
      </c>
      <c r="G17" s="4" t="s">
        <v>29</v>
      </c>
      <c r="H17" s="4">
        <v>1012</v>
      </c>
      <c r="I17" s="4">
        <v>0.64</v>
      </c>
      <c r="J17" s="17">
        <f t="shared" si="2"/>
        <v>0.64768000000000003</v>
      </c>
      <c r="K17" s="13">
        <v>44134</v>
      </c>
      <c r="L17" s="4" t="s">
        <v>24</v>
      </c>
      <c r="M17" s="4" t="s">
        <v>135</v>
      </c>
      <c r="N17" s="14">
        <v>44132</v>
      </c>
      <c r="O17" s="4" t="s">
        <v>50</v>
      </c>
      <c r="P17" s="4">
        <v>1012</v>
      </c>
      <c r="Q17" s="4">
        <v>0.88</v>
      </c>
      <c r="R17" s="4">
        <f t="shared" si="1"/>
        <v>890.56</v>
      </c>
    </row>
    <row r="18" spans="1:18" ht="23.25" customHeight="1" x14ac:dyDescent="0.15">
      <c r="A18" s="4">
        <v>16</v>
      </c>
      <c r="B18" s="4" t="s">
        <v>78</v>
      </c>
      <c r="C18" s="5" t="s">
        <v>79</v>
      </c>
      <c r="D18" s="4" t="s">
        <v>41</v>
      </c>
      <c r="E18" s="4" t="s">
        <v>21</v>
      </c>
      <c r="F18" s="4" t="s">
        <v>80</v>
      </c>
      <c r="G18" s="4" t="s">
        <v>81</v>
      </c>
      <c r="H18" s="4">
        <v>9000</v>
      </c>
      <c r="I18" s="4">
        <v>0.71</v>
      </c>
      <c r="J18" s="17">
        <f t="shared" si="2"/>
        <v>6.39</v>
      </c>
      <c r="K18" s="13">
        <v>43768</v>
      </c>
      <c r="L18" s="4" t="s">
        <v>24</v>
      </c>
      <c r="M18" s="4" t="s">
        <v>24</v>
      </c>
      <c r="N18" s="14">
        <v>44131</v>
      </c>
      <c r="O18" s="4" t="s">
        <v>82</v>
      </c>
      <c r="P18" s="4">
        <v>9000</v>
      </c>
      <c r="Q18" s="4">
        <v>1.2</v>
      </c>
      <c r="R18" s="4">
        <f t="shared" si="1"/>
        <v>10800</v>
      </c>
    </row>
    <row r="19" spans="1:18" ht="18" customHeight="1" x14ac:dyDescent="0.15">
      <c r="A19" s="4">
        <v>17</v>
      </c>
      <c r="B19" s="4" t="s">
        <v>83</v>
      </c>
      <c r="C19" s="5" t="s">
        <v>84</v>
      </c>
      <c r="D19" s="4" t="s">
        <v>20</v>
      </c>
      <c r="E19" s="4" t="s">
        <v>21</v>
      </c>
      <c r="F19" s="11" t="s">
        <v>66</v>
      </c>
      <c r="G19" s="4" t="s">
        <v>67</v>
      </c>
      <c r="H19" s="4">
        <v>5760</v>
      </c>
      <c r="I19" s="4">
        <v>0.64</v>
      </c>
      <c r="J19" s="17">
        <f t="shared" si="2"/>
        <v>3.6863999999999999</v>
      </c>
      <c r="K19" s="14">
        <v>44165</v>
      </c>
      <c r="L19" s="4" t="s">
        <v>24</v>
      </c>
      <c r="M19" s="4" t="s">
        <v>24</v>
      </c>
      <c r="N19" s="14">
        <v>44168</v>
      </c>
      <c r="O19" s="4" t="s">
        <v>50</v>
      </c>
      <c r="P19" s="4">
        <v>5760</v>
      </c>
      <c r="Q19" s="4">
        <v>0.93</v>
      </c>
      <c r="R19" s="4">
        <f t="shared" ref="R19:R20" si="3">P19*Q19</f>
        <v>5356.8</v>
      </c>
    </row>
    <row r="20" spans="1:18" ht="18" customHeight="1" x14ac:dyDescent="0.15">
      <c r="A20" s="4">
        <v>18</v>
      </c>
      <c r="B20" s="4" t="s">
        <v>85</v>
      </c>
      <c r="C20" s="5" t="s">
        <v>86</v>
      </c>
      <c r="D20" s="4" t="s">
        <v>41</v>
      </c>
      <c r="E20" s="4" t="s">
        <v>21</v>
      </c>
      <c r="F20" s="4" t="s">
        <v>80</v>
      </c>
      <c r="G20" s="4" t="s">
        <v>81</v>
      </c>
      <c r="H20" s="4">
        <v>27620</v>
      </c>
      <c r="I20" s="4">
        <v>0.71</v>
      </c>
      <c r="J20" s="17">
        <f t="shared" si="2"/>
        <v>19.610199999999999</v>
      </c>
      <c r="K20" s="14">
        <v>44195</v>
      </c>
      <c r="L20" s="4" t="s">
        <v>24</v>
      </c>
      <c r="M20" s="4" t="s">
        <v>135</v>
      </c>
      <c r="N20" s="14">
        <v>44195</v>
      </c>
      <c r="O20" s="4" t="s">
        <v>87</v>
      </c>
      <c r="P20" s="4">
        <v>27620</v>
      </c>
      <c r="Q20" s="4">
        <v>1.21</v>
      </c>
      <c r="R20" s="4">
        <f t="shared" si="3"/>
        <v>33420.199999999997</v>
      </c>
    </row>
    <row r="21" spans="1:18" ht="18" customHeight="1" x14ac:dyDescent="0.15">
      <c r="A21" s="146" t="s">
        <v>362</v>
      </c>
      <c r="B21" s="147"/>
      <c r="C21" s="147"/>
      <c r="D21" s="147"/>
      <c r="E21" s="147"/>
      <c r="F21" s="147"/>
      <c r="G21" s="147"/>
      <c r="H21" s="147"/>
      <c r="I21" s="148"/>
      <c r="J21" s="17">
        <f>SUM(J3:J20)</f>
        <v>81.225480000000005</v>
      </c>
      <c r="K21" s="14"/>
      <c r="L21" s="4"/>
      <c r="M21" s="4"/>
      <c r="N21" s="14"/>
      <c r="O21" s="4"/>
      <c r="P21" s="4"/>
      <c r="Q21" s="4"/>
      <c r="R21" s="4"/>
    </row>
    <row r="22" spans="1:18" ht="18" customHeight="1" x14ac:dyDescent="0.15">
      <c r="A22" s="4">
        <v>41</v>
      </c>
      <c r="B22" s="4"/>
      <c r="C22" s="5"/>
      <c r="D22" s="4"/>
      <c r="E22" s="4"/>
      <c r="F22" s="4"/>
      <c r="G22" s="4"/>
      <c r="H22" s="4"/>
      <c r="I22" s="4"/>
      <c r="J22" s="4"/>
      <c r="K22" s="14"/>
      <c r="L22" s="4"/>
      <c r="M22" s="4"/>
      <c r="N22" s="14"/>
      <c r="O22" s="4"/>
      <c r="P22" s="4"/>
      <c r="Q22" s="4"/>
      <c r="R22" s="4"/>
    </row>
    <row r="23" spans="1:18" ht="18" customHeight="1" x14ac:dyDescent="0.15">
      <c r="A23" s="4">
        <v>42</v>
      </c>
      <c r="B23" s="4"/>
      <c r="C23" s="5"/>
      <c r="D23" s="4"/>
      <c r="E23" s="4"/>
      <c r="F23" s="4"/>
      <c r="G23" s="4"/>
      <c r="H23" s="4"/>
      <c r="I23" s="4"/>
      <c r="J23" s="4"/>
      <c r="K23" s="14"/>
      <c r="L23" s="4"/>
      <c r="M23" s="4"/>
      <c r="N23" s="14"/>
      <c r="O23" s="4"/>
      <c r="P23" s="4"/>
      <c r="Q23" s="4"/>
      <c r="R23" s="4"/>
    </row>
    <row r="24" spans="1:18" ht="18" customHeight="1" x14ac:dyDescent="0.15">
      <c r="A24" s="4">
        <v>43</v>
      </c>
      <c r="B24" s="4"/>
      <c r="C24" s="5"/>
      <c r="D24" s="4"/>
      <c r="E24" s="4"/>
      <c r="F24" s="4"/>
      <c r="G24" s="4"/>
      <c r="H24" s="4"/>
      <c r="I24" s="4"/>
      <c r="J24" s="4"/>
      <c r="K24" s="14"/>
      <c r="L24" s="14"/>
      <c r="M24" s="4"/>
      <c r="N24" s="4"/>
      <c r="O24" s="15"/>
      <c r="P24" s="4"/>
      <c r="Q24" s="4"/>
      <c r="R24" s="4"/>
    </row>
    <row r="25" spans="1:18" ht="27" customHeight="1" x14ac:dyDescent="0.15">
      <c r="C25" s="12"/>
      <c r="O25"/>
      <c r="Q25" s="2" t="s">
        <v>359</v>
      </c>
      <c r="R25" s="16">
        <f>SUM(R3:R24)</f>
        <v>130962.32</v>
      </c>
    </row>
    <row r="26" spans="1:18" ht="27.75" customHeight="1" x14ac:dyDescent="0.15">
      <c r="C26" s="12"/>
      <c r="R26" s="2">
        <f>SUBTOTAL(9,R17:R20)</f>
        <v>50467.56</v>
      </c>
    </row>
    <row r="27" spans="1:18" x14ac:dyDescent="0.15">
      <c r="C27" s="12"/>
    </row>
    <row r="28" spans="1:18" x14ac:dyDescent="0.15">
      <c r="C28" s="12"/>
    </row>
    <row r="29" spans="1:18" x14ac:dyDescent="0.15">
      <c r="C29" s="12"/>
    </row>
    <row r="30" spans="1:18" x14ac:dyDescent="0.15">
      <c r="C30" s="12"/>
    </row>
    <row r="31" spans="1:18" x14ac:dyDescent="0.15">
      <c r="C31" s="12"/>
    </row>
    <row r="32" spans="1:18" x14ac:dyDescent="0.15">
      <c r="C32" s="12"/>
    </row>
    <row r="33" spans="3:3" x14ac:dyDescent="0.15">
      <c r="C33" s="12"/>
    </row>
    <row r="34" spans="3:3" x14ac:dyDescent="0.15">
      <c r="C34" s="12"/>
    </row>
    <row r="35" spans="3:3" x14ac:dyDescent="0.15">
      <c r="C35" s="12"/>
    </row>
    <row r="36" spans="3:3" x14ac:dyDescent="0.15">
      <c r="C36" s="12"/>
    </row>
    <row r="37" spans="3:3" x14ac:dyDescent="0.15">
      <c r="C37" s="12"/>
    </row>
    <row r="38" spans="3:3" x14ac:dyDescent="0.15">
      <c r="C38" s="12"/>
    </row>
    <row r="39" spans="3:3" x14ac:dyDescent="0.15">
      <c r="C39" s="12"/>
    </row>
    <row r="40" spans="3:3" x14ac:dyDescent="0.15">
      <c r="C40" s="12"/>
    </row>
    <row r="41" spans="3:3" x14ac:dyDescent="0.15">
      <c r="C41" s="12"/>
    </row>
    <row r="42" spans="3:3" x14ac:dyDescent="0.15">
      <c r="C42" s="12"/>
    </row>
    <row r="43" spans="3:3" x14ac:dyDescent="0.15">
      <c r="C43" s="12"/>
    </row>
    <row r="44" spans="3:3" x14ac:dyDescent="0.15">
      <c r="C44" s="12"/>
    </row>
    <row r="45" spans="3:3" x14ac:dyDescent="0.15">
      <c r="C45" s="12"/>
    </row>
    <row r="46" spans="3:3" x14ac:dyDescent="0.15">
      <c r="C46" s="12"/>
    </row>
    <row r="47" spans="3:3" x14ac:dyDescent="0.15">
      <c r="C47" s="12"/>
    </row>
    <row r="48" spans="3:3" x14ac:dyDescent="0.15">
      <c r="C48" s="12"/>
    </row>
    <row r="49" spans="3:3" x14ac:dyDescent="0.15">
      <c r="C49" s="12"/>
    </row>
  </sheetData>
  <mergeCells count="15">
    <mergeCell ref="A1:N1"/>
    <mergeCell ref="A21:I21"/>
    <mergeCell ref="B5:B6"/>
    <mergeCell ref="B9:B10"/>
    <mergeCell ref="B12:B13"/>
    <mergeCell ref="C5:C6"/>
    <mergeCell ref="C9:C10"/>
    <mergeCell ref="C12:C13"/>
    <mergeCell ref="C15:C16"/>
    <mergeCell ref="D5:D6"/>
    <mergeCell ref="D9:D10"/>
    <mergeCell ref="K5:K6"/>
    <mergeCell ref="L5:L6"/>
    <mergeCell ref="M5:M6"/>
    <mergeCell ref="N5:N6"/>
  </mergeCells>
  <phoneticPr fontId="17" type="noConversion"/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workbookViewId="0">
      <selection activeCell="I105" sqref="I105:I106"/>
    </sheetView>
  </sheetViews>
  <sheetFormatPr defaultColWidth="9" defaultRowHeight="13.5" x14ac:dyDescent="0.15"/>
  <cols>
    <col min="1" max="1" width="4.75" customWidth="1"/>
    <col min="2" max="2" width="13.375" customWidth="1"/>
    <col min="3" max="4" width="8.625" customWidth="1"/>
    <col min="5" max="5" width="10.375" customWidth="1"/>
    <col min="6" max="6" width="10.875" customWidth="1"/>
    <col min="7" max="7" width="10.625" customWidth="1"/>
    <col min="9" max="9" width="12.375" customWidth="1"/>
    <col min="10" max="10" width="6.125" customWidth="1"/>
    <col min="11" max="11" width="6.75" customWidth="1"/>
    <col min="12" max="12" width="11" customWidth="1"/>
    <col min="13" max="13" width="12" style="2" customWidth="1"/>
    <col min="14" max="15" width="9" style="2"/>
    <col min="16" max="16" width="10.5" style="2" customWidth="1"/>
  </cols>
  <sheetData>
    <row r="1" spans="1:16" ht="38.25" customHeight="1" x14ac:dyDescent="0.15">
      <c r="A1" s="132" t="s">
        <v>363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spans="1:16" s="1" customFormat="1" ht="40.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11" t="s">
        <v>13</v>
      </c>
      <c r="N2" s="11" t="s">
        <v>14</v>
      </c>
      <c r="O2" s="11" t="s">
        <v>15</v>
      </c>
      <c r="P2" s="11" t="s">
        <v>16</v>
      </c>
    </row>
    <row r="3" spans="1:16" ht="23.25" customHeight="1" x14ac:dyDescent="0.15">
      <c r="A3" s="4">
        <v>1</v>
      </c>
      <c r="B3" s="4" t="s">
        <v>77</v>
      </c>
      <c r="C3" s="5" t="s">
        <v>19</v>
      </c>
      <c r="D3" s="4" t="s">
        <v>32</v>
      </c>
      <c r="E3" s="4" t="s">
        <v>21</v>
      </c>
      <c r="F3" s="4" t="s">
        <v>33</v>
      </c>
      <c r="G3" s="4" t="s">
        <v>29</v>
      </c>
      <c r="H3" s="4">
        <v>1012</v>
      </c>
      <c r="I3" s="13">
        <v>44134</v>
      </c>
      <c r="J3" s="4" t="s">
        <v>24</v>
      </c>
      <c r="K3" s="4" t="s">
        <v>135</v>
      </c>
      <c r="L3" s="14">
        <v>44132</v>
      </c>
      <c r="M3" s="4" t="s">
        <v>50</v>
      </c>
      <c r="N3" s="4">
        <v>1012</v>
      </c>
      <c r="O3" s="4">
        <v>0.88</v>
      </c>
      <c r="P3" s="4">
        <f t="shared" ref="P3" si="0">N3*O3</f>
        <v>890.56</v>
      </c>
    </row>
    <row r="4" spans="1:16" ht="18" customHeight="1" x14ac:dyDescent="0.15">
      <c r="A4" s="4">
        <v>2</v>
      </c>
      <c r="B4" s="125" t="s">
        <v>108</v>
      </c>
      <c r="C4" s="133" t="s">
        <v>109</v>
      </c>
      <c r="D4" s="4" t="s">
        <v>95</v>
      </c>
      <c r="E4" s="4" t="s">
        <v>96</v>
      </c>
      <c r="F4" s="4" t="s">
        <v>97</v>
      </c>
      <c r="G4" s="4" t="s">
        <v>98</v>
      </c>
      <c r="H4" s="4">
        <v>60000</v>
      </c>
      <c r="I4" s="14">
        <v>44316</v>
      </c>
      <c r="J4" s="4" t="s">
        <v>24</v>
      </c>
      <c r="K4" s="4" t="s">
        <v>135</v>
      </c>
      <c r="L4" s="14">
        <v>44340</v>
      </c>
      <c r="M4" s="4" t="s">
        <v>50</v>
      </c>
      <c r="N4" s="4">
        <v>60000</v>
      </c>
      <c r="O4" s="4">
        <v>0.8</v>
      </c>
      <c r="P4" s="4">
        <f t="shared" ref="P4:P9" si="1">N4*O4</f>
        <v>48000</v>
      </c>
    </row>
    <row r="5" spans="1:16" ht="18" customHeight="1" x14ac:dyDescent="0.15">
      <c r="A5" s="4">
        <v>3</v>
      </c>
      <c r="B5" s="126"/>
      <c r="C5" s="137"/>
      <c r="D5" s="4" t="s">
        <v>95</v>
      </c>
      <c r="E5" s="4" t="s">
        <v>96</v>
      </c>
      <c r="F5" s="4" t="s">
        <v>97</v>
      </c>
      <c r="G5" s="4" t="s">
        <v>98</v>
      </c>
      <c r="H5" s="4">
        <v>60000</v>
      </c>
      <c r="I5" s="14">
        <v>44362</v>
      </c>
      <c r="J5" s="4" t="s">
        <v>24</v>
      </c>
      <c r="K5" s="4" t="s">
        <v>135</v>
      </c>
      <c r="L5" s="14">
        <v>44368</v>
      </c>
      <c r="M5" s="4" t="s">
        <v>50</v>
      </c>
      <c r="N5" s="4">
        <v>60000</v>
      </c>
      <c r="O5" s="4">
        <v>0.8</v>
      </c>
      <c r="P5" s="4">
        <f t="shared" si="1"/>
        <v>48000</v>
      </c>
    </row>
    <row r="6" spans="1:16" ht="18" customHeight="1" x14ac:dyDescent="0.15">
      <c r="A6" s="4">
        <v>4</v>
      </c>
      <c r="B6" s="127"/>
      <c r="C6" s="134"/>
      <c r="D6" s="4" t="s">
        <v>95</v>
      </c>
      <c r="E6" s="4" t="s">
        <v>96</v>
      </c>
      <c r="F6" s="4" t="s">
        <v>97</v>
      </c>
      <c r="G6" s="4" t="s">
        <v>98</v>
      </c>
      <c r="H6" s="4">
        <v>60000</v>
      </c>
      <c r="I6" s="14">
        <v>44375</v>
      </c>
      <c r="J6" s="4" t="s">
        <v>24</v>
      </c>
      <c r="K6" s="4" t="s">
        <v>135</v>
      </c>
      <c r="L6" s="14">
        <v>44407</v>
      </c>
      <c r="M6" s="4" t="s">
        <v>50</v>
      </c>
      <c r="N6" s="4">
        <v>60000</v>
      </c>
      <c r="O6" s="4">
        <v>0.8</v>
      </c>
      <c r="P6" s="4">
        <f t="shared" si="1"/>
        <v>48000</v>
      </c>
    </row>
    <row r="7" spans="1:16" ht="18" customHeight="1" x14ac:dyDescent="0.15">
      <c r="A7" s="4">
        <v>5</v>
      </c>
      <c r="B7" s="6" t="s">
        <v>108</v>
      </c>
      <c r="C7" s="5" t="s">
        <v>110</v>
      </c>
      <c r="D7" s="4" t="s">
        <v>95</v>
      </c>
      <c r="E7" s="4" t="s">
        <v>96</v>
      </c>
      <c r="F7" s="4" t="s">
        <v>97</v>
      </c>
      <c r="G7" s="4" t="s">
        <v>98</v>
      </c>
      <c r="H7" s="4">
        <v>60000</v>
      </c>
      <c r="I7" s="14">
        <v>44392</v>
      </c>
      <c r="J7" s="4" t="s">
        <v>24</v>
      </c>
      <c r="K7" s="4" t="s">
        <v>135</v>
      </c>
      <c r="L7" s="14">
        <v>44446</v>
      </c>
      <c r="M7" s="4" t="s">
        <v>50</v>
      </c>
      <c r="N7" s="4">
        <v>60000</v>
      </c>
      <c r="O7" s="4">
        <v>0.8</v>
      </c>
      <c r="P7" s="4">
        <f t="shared" si="1"/>
        <v>48000</v>
      </c>
    </row>
    <row r="8" spans="1:16" ht="18" customHeight="1" x14ac:dyDescent="0.15">
      <c r="A8" s="4">
        <v>6</v>
      </c>
      <c r="B8" s="4" t="s">
        <v>119</v>
      </c>
      <c r="C8" s="5" t="s">
        <v>120</v>
      </c>
      <c r="D8" s="4" t="s">
        <v>28</v>
      </c>
      <c r="E8" s="4" t="s">
        <v>21</v>
      </c>
      <c r="F8" s="4" t="s">
        <v>48</v>
      </c>
      <c r="G8" s="4" t="s">
        <v>49</v>
      </c>
      <c r="H8" s="4">
        <v>6300</v>
      </c>
      <c r="I8" s="14">
        <v>44384</v>
      </c>
      <c r="J8" s="4" t="s">
        <v>24</v>
      </c>
      <c r="K8" s="4" t="s">
        <v>135</v>
      </c>
      <c r="L8" s="14">
        <v>44376</v>
      </c>
      <c r="M8" s="4" t="s">
        <v>50</v>
      </c>
      <c r="N8" s="4">
        <v>6300</v>
      </c>
      <c r="O8" s="4">
        <v>1.1499999999999999</v>
      </c>
      <c r="P8" s="4">
        <f t="shared" si="1"/>
        <v>7245</v>
      </c>
    </row>
    <row r="9" spans="1:16" ht="18" customHeight="1" x14ac:dyDescent="0.15">
      <c r="A9" s="4">
        <v>7</v>
      </c>
      <c r="B9" s="60" t="s">
        <v>121</v>
      </c>
      <c r="C9" s="5" t="s">
        <v>122</v>
      </c>
      <c r="D9" s="4" t="s">
        <v>20</v>
      </c>
      <c r="E9" s="4" t="s">
        <v>21</v>
      </c>
      <c r="F9" s="11" t="s">
        <v>66</v>
      </c>
      <c r="G9" s="4" t="s">
        <v>67</v>
      </c>
      <c r="H9" s="4">
        <v>4400</v>
      </c>
      <c r="I9" s="14">
        <v>44456</v>
      </c>
      <c r="J9" s="4" t="s">
        <v>24</v>
      </c>
      <c r="K9" s="4" t="s">
        <v>135</v>
      </c>
      <c r="L9" s="14">
        <v>44439</v>
      </c>
      <c r="M9" s="4" t="s">
        <v>50</v>
      </c>
      <c r="N9" s="4">
        <v>4400</v>
      </c>
      <c r="O9" s="4">
        <v>0.93</v>
      </c>
      <c r="P9" s="4">
        <f t="shared" si="1"/>
        <v>4092</v>
      </c>
    </row>
    <row r="10" spans="1:16" ht="18" customHeight="1" x14ac:dyDescent="0.15">
      <c r="A10" s="4">
        <v>8</v>
      </c>
      <c r="B10" s="4"/>
      <c r="C10" s="5"/>
      <c r="D10" s="4"/>
      <c r="E10" s="4"/>
      <c r="F10" s="4"/>
      <c r="G10" s="4"/>
      <c r="H10" s="4"/>
      <c r="I10" s="14"/>
      <c r="J10" s="14"/>
      <c r="K10" s="4"/>
      <c r="L10" s="4"/>
      <c r="M10" s="15"/>
      <c r="N10" s="4"/>
      <c r="O10" s="4"/>
      <c r="P10" s="4"/>
    </row>
    <row r="11" spans="1:16" ht="27" customHeight="1" x14ac:dyDescent="0.15">
      <c r="C11" s="12"/>
      <c r="M11"/>
      <c r="O11" s="2" t="s">
        <v>359</v>
      </c>
      <c r="P11" s="16">
        <f>SUM(P3:P10)</f>
        <v>204227.56</v>
      </c>
    </row>
    <row r="12" spans="1:16" ht="27.75" customHeight="1" x14ac:dyDescent="0.15">
      <c r="C12" s="12"/>
    </row>
    <row r="13" spans="1:16" x14ac:dyDescent="0.15">
      <c r="C13" s="12"/>
    </row>
    <row r="14" spans="1:16" x14ac:dyDescent="0.15">
      <c r="C14" s="12"/>
    </row>
    <row r="15" spans="1:16" x14ac:dyDescent="0.15">
      <c r="C15" s="12"/>
    </row>
    <row r="16" spans="1:16" x14ac:dyDescent="0.15">
      <c r="C16" s="12"/>
    </row>
    <row r="17" spans="3:3" x14ac:dyDescent="0.15">
      <c r="C17" s="12"/>
    </row>
    <row r="18" spans="3:3" x14ac:dyDescent="0.15">
      <c r="C18" s="12"/>
    </row>
    <row r="19" spans="3:3" x14ac:dyDescent="0.15">
      <c r="C19" s="12"/>
    </row>
    <row r="20" spans="3:3" x14ac:dyDescent="0.15">
      <c r="C20" s="12"/>
    </row>
    <row r="21" spans="3:3" x14ac:dyDescent="0.15">
      <c r="C21" s="12"/>
    </row>
    <row r="22" spans="3:3" x14ac:dyDescent="0.15">
      <c r="C22" s="12"/>
    </row>
    <row r="23" spans="3:3" x14ac:dyDescent="0.15">
      <c r="C23" s="12"/>
    </row>
    <row r="24" spans="3:3" x14ac:dyDescent="0.15">
      <c r="C24" s="12"/>
    </row>
    <row r="25" spans="3:3" x14ac:dyDescent="0.15">
      <c r="C25" s="12"/>
    </row>
    <row r="26" spans="3:3" x14ac:dyDescent="0.15">
      <c r="C26" s="12"/>
    </row>
    <row r="27" spans="3:3" x14ac:dyDescent="0.15">
      <c r="C27" s="12"/>
    </row>
    <row r="28" spans="3:3" x14ac:dyDescent="0.15">
      <c r="C28" s="12"/>
    </row>
    <row r="29" spans="3:3" x14ac:dyDescent="0.15">
      <c r="C29" s="12"/>
    </row>
    <row r="30" spans="3:3" x14ac:dyDescent="0.15">
      <c r="C30" s="12"/>
    </row>
    <row r="31" spans="3:3" x14ac:dyDescent="0.15">
      <c r="C31" s="12"/>
    </row>
    <row r="32" spans="3:3" x14ac:dyDescent="0.15">
      <c r="C32" s="12"/>
    </row>
    <row r="33" spans="3:3" x14ac:dyDescent="0.15">
      <c r="C33" s="12"/>
    </row>
    <row r="34" spans="3:3" x14ac:dyDescent="0.15">
      <c r="C34" s="12"/>
    </row>
    <row r="35" spans="3:3" x14ac:dyDescent="0.15">
      <c r="C35" s="12"/>
    </row>
  </sheetData>
  <autoFilter ref="A2:P11" xr:uid="{00000000-0009-0000-0000-000002000000}"/>
  <mergeCells count="3">
    <mergeCell ref="A1:L1"/>
    <mergeCell ref="B4:B6"/>
    <mergeCell ref="C4:C6"/>
  </mergeCells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2025-04-10T08:00:44Z</cp:lastPrinted>
  <dcterms:created xsi:type="dcterms:W3CDTF">2006-09-13T11:21:00Z</dcterms:created>
  <dcterms:modified xsi:type="dcterms:W3CDTF">2026-07-17T03:23:20Z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69D28DBDB0B84C2D939589EF8152F886</vt:lpwstr>
  </property>
  <property fmtid="{D5CDD505-2E9C-101B-9397-08002B2CF9AE}" pid="3" name="KSOProductBuildVer">
    <vt:lpwstr>2052-12.1.0.18608</vt:lpwstr>
  </property>
</Properties>
</file>