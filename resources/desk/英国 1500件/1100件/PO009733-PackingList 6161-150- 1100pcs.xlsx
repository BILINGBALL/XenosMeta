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英国 1500件\"/>
    </mc:Choice>
  </mc:AlternateContent>
  <xr:revisionPtr revIDLastSave="0" documentId="8_{7C63DDC0-16C3-47D8-B567-82EEE1E12C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5" i="1" s="1"/>
  <c r="M3" i="1"/>
  <c r="P3" i="1" s="1"/>
  <c r="P5" i="1" s="1"/>
  <c r="J3" i="1"/>
  <c r="F3" i="1" s="1"/>
  <c r="F5" i="1" s="1"/>
  <c r="K5" i="1"/>
  <c r="H5" i="1"/>
  <c r="O3" i="1"/>
  <c r="O5" i="1" s="1"/>
  <c r="I3" i="1"/>
</calcChain>
</file>

<file path=xl/sharedStrings.xml><?xml version="1.0" encoding="utf-8"?>
<sst xmlns="http://schemas.openxmlformats.org/spreadsheetml/2006/main" count="28" uniqueCount="26">
  <si>
    <t xml:space="preserve">
No</t>
  </si>
  <si>
    <t xml:space="preserve">
Name</t>
  </si>
  <si>
    <t xml:space="preserve">
Spec.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</si>
  <si>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</si>
  <si>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</si>
  <si>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</si>
  <si>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</si>
  <si>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</si>
  <si>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</si>
  <si>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</si>
  <si>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</si>
  <si>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</si>
  <si>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</si>
  <si>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</si>
  <si>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</si>
  <si>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</si>
  <si>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</si>
  <si>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24*142</t>
  </si>
  <si>
    <t>1/1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</si>
  <si>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</si>
  <si>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</si>
  <si>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PO</t>
    <phoneticPr fontId="14" type="noConversion"/>
  </si>
  <si>
    <t>PO009733</t>
    <phoneticPr fontId="14" type="noConversion"/>
  </si>
  <si>
    <t>1200*800*550
0.53</t>
    <phoneticPr fontId="14" type="noConversion"/>
  </si>
  <si>
    <t>The pieces are packed in a bag : 35（15） pieces per bag and 32 bags per case so 1100 pieces per case</t>
    <phoneticPr fontId="14" type="noConversion"/>
  </si>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</sst>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5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4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9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zoomScale="115" zoomScaleNormal="115" workbookViewId="0">
      <selection activeCell="F5" sqref="F5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31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21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1" t="s">
        <v>13</v>
      </c>
      <c r="P2" s="1" t="s">
        <v>14</v>
      </c>
      <c r="Q2" s="1" t="s">
        <v>15</v>
      </c>
    </row>
    <row r="3" spans="1:17" ht="41.25" customHeight="1">
      <c r="A3" s="4">
        <v>1</v>
      </c>
      <c r="B3" s="5" t="s">
        <v>16</v>
      </c>
      <c r="C3" s="6" t="s">
        <v>17</v>
      </c>
      <c r="D3" s="21" t="s">
        <v>22</v>
      </c>
      <c r="E3" s="23" t="s">
        <v>18</v>
      </c>
      <c r="F3" s="25">
        <f>J3*K3</f>
        <v>1100</v>
      </c>
      <c r="G3" s="7">
        <v>35</v>
      </c>
      <c r="H3" s="7">
        <v>31</v>
      </c>
      <c r="I3" s="25">
        <f>H3+H4</f>
        <v>32</v>
      </c>
      <c r="J3" s="25">
        <f>G3*H3+G4*H4</f>
        <v>1100</v>
      </c>
      <c r="K3" s="25">
        <v>1</v>
      </c>
      <c r="L3" s="26">
        <v>600</v>
      </c>
      <c r="M3" s="26">
        <f>L3+42</f>
        <v>642</v>
      </c>
      <c r="N3" s="28" t="s">
        <v>23</v>
      </c>
      <c r="O3" s="26">
        <f>L3*K3</f>
        <v>600</v>
      </c>
      <c r="P3" s="26">
        <f>M3*K3</f>
        <v>642</v>
      </c>
      <c r="Q3" s="26">
        <f>0.53*K3</f>
        <v>0.53</v>
      </c>
    </row>
    <row r="4" spans="1:17" ht="41.25" customHeight="1">
      <c r="A4" s="4">
        <v>2</v>
      </c>
      <c r="B4" s="5" t="s">
        <v>16</v>
      </c>
      <c r="C4" s="6" t="s">
        <v>17</v>
      </c>
      <c r="D4" s="22"/>
      <c r="E4" s="24"/>
      <c r="F4" s="24"/>
      <c r="G4" s="7">
        <v>15</v>
      </c>
      <c r="H4" s="7">
        <v>1</v>
      </c>
      <c r="I4" s="24"/>
      <c r="J4" s="24"/>
      <c r="K4" s="24"/>
      <c r="L4" s="27"/>
      <c r="M4" s="27"/>
      <c r="N4" s="29"/>
      <c r="O4" s="27"/>
      <c r="P4" s="27"/>
      <c r="Q4" s="27"/>
    </row>
    <row r="5" spans="1:17" ht="35.25" customHeight="1">
      <c r="A5" s="18" t="s">
        <v>19</v>
      </c>
      <c r="B5" s="19"/>
      <c r="C5" s="19"/>
      <c r="D5" s="8"/>
      <c r="E5" s="7"/>
      <c r="F5" s="7">
        <f>SUM(F3:F3)</f>
        <v>1100</v>
      </c>
      <c r="G5" s="7"/>
      <c r="H5" s="7">
        <f>SUM(H3:H4)</f>
        <v>32</v>
      </c>
      <c r="I5" s="7"/>
      <c r="J5" s="7"/>
      <c r="K5" s="7">
        <f>SUM(K3:K3)</f>
        <v>1</v>
      </c>
      <c r="L5" s="7"/>
      <c r="M5" s="7"/>
      <c r="N5" s="7"/>
      <c r="O5" s="7">
        <f>SUM(O3:O3)</f>
        <v>600</v>
      </c>
      <c r="P5" s="7">
        <f>SUM(P3:P3)</f>
        <v>642</v>
      </c>
      <c r="Q5" s="7">
        <f>SUM(Q3:Q3)</f>
        <v>0.53</v>
      </c>
    </row>
    <row r="6" spans="1:17" ht="14.45" customHeight="1">
      <c r="A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1" customHeight="1">
      <c r="A7" s="9"/>
      <c r="B7" s="10" t="s">
        <v>20</v>
      </c>
      <c r="C7" s="30" t="s">
        <v>24</v>
      </c>
      <c r="N7" s="9"/>
      <c r="O7" s="9"/>
      <c r="P7" s="9"/>
      <c r="Q7" s="9"/>
    </row>
    <row r="8" spans="1:17" ht="21" customHeight="1">
      <c r="A8" s="9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8.75">
      <c r="A9" s="9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20">
        <v>46196</v>
      </c>
      <c r="O9" s="20"/>
      <c r="P9" s="20"/>
      <c r="Q9" s="20"/>
    </row>
    <row r="10" spans="1:17" ht="18.75">
      <c r="A10" s="9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6"/>
      <c r="O10" s="16"/>
      <c r="P10" s="16"/>
      <c r="Q10" s="16"/>
    </row>
    <row r="11" spans="1:17">
      <c r="A11" s="15"/>
      <c r="B11" s="15"/>
      <c r="C11" s="11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>
      <c r="A12" s="15"/>
      <c r="B12" s="15"/>
      <c r="C12" s="11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1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</sheetData>
  <mergeCells count="15">
    <mergeCell ref="A1:Q1"/>
    <mergeCell ref="A5:C5"/>
    <mergeCell ref="N9:Q9"/>
    <mergeCell ref="D3:D4"/>
    <mergeCell ref="E3:E4"/>
    <mergeCell ref="F3:F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14" type="noConversion"/>
  <pageMargins left="0.511811023622047" right="0.511811023622047" top="0.196850393700787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2026-06-23T03:21:45Z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B62F7A5C00D04218AFDA2DDEBEDB145C_12</vt:lpwstr>
  </property>
  <property fmtid="{D5CDD505-2E9C-101B-9397-08002B2CF9AE}" pid="3" name="KSOProductBuildVer">
    <vt:lpwstr>2052-12.1.0.15374</vt:lpwstr>
  </property>
</Properties>
</file>