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<sst xmlns="http://schemas.openxmlformats.org/spreadsheetml/2006/main" count="31" uniqueCount="27">
  <si>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</si>
  <si>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</si>
  <si>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</si>
  <si>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</si>
  <si>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</si>
  <si>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</si>
  <si>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</si>
  <si>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</si>
  <si>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</si>
  <si>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</si>
  <si>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</si>
  <si>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</si>
  <si>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</si>
  <si>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</si>
  <si>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</si>
  <si>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</si>
  <si>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</si>
  <si>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</si>
  <si>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</si>
  <si>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23*174</t>
  </si>
  <si>
    <t>PC23-02429</t>
  </si>
  <si>
    <t>1/2</t>
  </si>
  <si>
    <t>1200*800*550
0.53</t>
  </si>
  <si>
    <t>2/2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</si>
  <si>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</si>
  <si>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</si>
  <si>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 pieces are packed in a bag : 40（20） pieces per bag and 30（24） bags per case so 1200（940） pieces per case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</si>
</sst>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6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8"/>
  <sheetViews>
    <sheetView tabSelected="1" workbookViewId="0">
      <selection activeCell="R8" sqref="R8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8.4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47" customHeight="1" spans="1:17">
      <c r="A3" s="6">
        <v>1</v>
      </c>
      <c r="B3" s="7" t="s">
        <v>18</v>
      </c>
      <c r="C3" s="8" t="s">
        <v>19</v>
      </c>
      <c r="D3" s="8" t="s">
        <v>20</v>
      </c>
      <c r="E3" s="36" t="s">
        <v>21</v>
      </c>
      <c r="F3" s="6">
        <f>J3*K3</f>
        <v>1200</v>
      </c>
      <c r="G3" s="10">
        <v>40</v>
      </c>
      <c r="H3" s="10">
        <f>K3*I3</f>
        <v>30</v>
      </c>
      <c r="I3" s="10">
        <v>30</v>
      </c>
      <c r="J3" s="6">
        <f>G3*I3</f>
        <v>1200</v>
      </c>
      <c r="K3" s="6">
        <v>1</v>
      </c>
      <c r="L3" s="6">
        <v>641</v>
      </c>
      <c r="M3" s="6">
        <f>L3+42</f>
        <v>683</v>
      </c>
      <c r="N3" s="27" t="s">
        <v>22</v>
      </c>
      <c r="O3" s="28">
        <f>L3*K3</f>
        <v>641</v>
      </c>
      <c r="P3" s="28">
        <f>M3*K3</f>
        <v>683</v>
      </c>
      <c r="Q3" s="28">
        <f>0.53*K3</f>
        <v>0.53</v>
      </c>
    </row>
    <row r="4" ht="26" customHeight="1" spans="1:17">
      <c r="A4" s="6">
        <v>2</v>
      </c>
      <c r="B4" s="11" t="s">
        <v>18</v>
      </c>
      <c r="C4" s="12" t="s">
        <v>19</v>
      </c>
      <c r="D4" s="8" t="s">
        <v>20</v>
      </c>
      <c r="E4" s="36" t="s">
        <v>23</v>
      </c>
      <c r="F4" s="6">
        <f>J4*K4</f>
        <v>940</v>
      </c>
      <c r="G4" s="10">
        <v>40</v>
      </c>
      <c r="H4" s="10">
        <v>23</v>
      </c>
      <c r="I4" s="29">
        <v>24</v>
      </c>
      <c r="J4" s="6">
        <v>940</v>
      </c>
      <c r="K4" s="6">
        <v>1</v>
      </c>
      <c r="L4" s="6">
        <v>502</v>
      </c>
      <c r="M4" s="6">
        <f>L4+42</f>
        <v>544</v>
      </c>
      <c r="N4" s="27" t="s">
        <v>22</v>
      </c>
      <c r="O4" s="28">
        <f>L4*K4</f>
        <v>502</v>
      </c>
      <c r="P4" s="28">
        <f>M4*K4</f>
        <v>544</v>
      </c>
      <c r="Q4" s="28">
        <f>0.53*K4</f>
        <v>0.53</v>
      </c>
    </row>
    <row r="5" ht="26" customHeight="1" spans="1:17">
      <c r="A5" s="13"/>
      <c r="B5" s="14"/>
      <c r="C5" s="15"/>
      <c r="D5" s="16"/>
      <c r="E5" s="17"/>
      <c r="F5" s="13"/>
      <c r="G5" s="10">
        <v>20</v>
      </c>
      <c r="H5" s="10">
        <v>1</v>
      </c>
      <c r="I5" s="30"/>
      <c r="J5" s="13"/>
      <c r="K5" s="13"/>
      <c r="L5" s="13"/>
      <c r="M5" s="13"/>
      <c r="N5" s="31"/>
      <c r="O5" s="32"/>
      <c r="P5" s="32"/>
      <c r="Q5" s="32"/>
    </row>
    <row r="6" ht="35.25" customHeight="1" spans="1:17">
      <c r="A6" s="18" t="s">
        <v>24</v>
      </c>
      <c r="B6" s="18"/>
      <c r="C6" s="18"/>
      <c r="D6" s="19"/>
      <c r="E6" s="18"/>
      <c r="F6" s="18">
        <f>SUM(F3:F4)</f>
        <v>2140</v>
      </c>
      <c r="G6" s="10"/>
      <c r="H6" s="18">
        <f>SUM(H3:H5)</f>
        <v>54</v>
      </c>
      <c r="I6" s="18"/>
      <c r="J6" s="18"/>
      <c r="K6" s="18">
        <f>SUM(K3:K5)</f>
        <v>2</v>
      </c>
      <c r="L6" s="18"/>
      <c r="M6" s="18"/>
      <c r="N6" s="33"/>
      <c r="O6" s="18">
        <f>SUM(O3:O5)</f>
        <v>1143</v>
      </c>
      <c r="P6" s="18">
        <f>SUM(P3:P5)</f>
        <v>1227</v>
      </c>
      <c r="Q6" s="18">
        <f>SUM(Q3:Q5)</f>
        <v>1.06</v>
      </c>
    </row>
    <row r="7" ht="14.45" customHeight="1" spans="1:17">
      <c r="A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ht="21" customHeight="1" spans="1:17">
      <c r="A8" s="20"/>
      <c r="B8" s="21" t="s">
        <v>25</v>
      </c>
      <c r="C8" s="22" t="s">
        <v>26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0"/>
      <c r="O8" s="20"/>
      <c r="P8" s="20"/>
      <c r="Q8" s="20"/>
    </row>
    <row r="9" ht="21" customHeight="1" spans="1:17">
      <c r="A9" s="20"/>
      <c r="B9" s="24"/>
      <c r="C9" s="2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ht="18.75" spans="1:17">
      <c r="A10" s="20"/>
      <c r="B10" s="20"/>
      <c r="C10" s="25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34">
        <v>45216</v>
      </c>
      <c r="O10" s="34"/>
      <c r="P10" s="34"/>
      <c r="Q10" s="34"/>
    </row>
    <row r="11" ht="18.75" spans="1:17">
      <c r="A11" s="20"/>
      <c r="B11" s="20"/>
      <c r="C11" s="25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35"/>
      <c r="O11" s="35"/>
      <c r="P11" s="35"/>
      <c r="Q11" s="35"/>
    </row>
    <row r="12" spans="1:17">
      <c r="A12" s="26"/>
      <c r="B12" s="26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>
      <c r="A13" s="26"/>
      <c r="B13" s="26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>
      <c r="A14" s="26"/>
      <c r="B14" s="26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17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</sheetData>
  <mergeCells count="19">
    <mergeCell ref="A1:Q1"/>
    <mergeCell ref="A6:C6"/>
    <mergeCell ref="N10:Q10"/>
    <mergeCell ref="N11:Q11"/>
    <mergeCell ref="A4:A5"/>
    <mergeCell ref="B4:B5"/>
    <mergeCell ref="C4:C5"/>
    <mergeCell ref="D4:D5"/>
    <mergeCell ref="E4:E5"/>
    <mergeCell ref="F4:F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pageMargins left="0.511811023622047" right="0.511811023622047" top="0.196850393700787" bottom="0.748031496062992" header="0.31496062992126" footer="0.31496062992126"/>
  <pageSetup paperSize="9" scale="9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2023-10-17T02:41:33Z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9635E080F3C347ACBC17B61A22AE253E_13</vt:lpwstr>
  </property>
  <property fmtid="{D5CDD505-2E9C-101B-9397-08002B2CF9AE}" pid="4" name="KSOProductBuildVer">
    <vt:lpwstr>2052-12.1.0.15712</vt:lpwstr>
  </property>
</Properties>
</file>