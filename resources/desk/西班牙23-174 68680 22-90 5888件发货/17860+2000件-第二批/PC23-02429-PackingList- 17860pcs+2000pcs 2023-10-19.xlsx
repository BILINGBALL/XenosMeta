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<sst xmlns="http://schemas.openxmlformats.org/spreadsheetml/2006/main" count="36" uniqueCount="30">
  <si>
    <r>
      <rPr>
        <b/>
        <sz val="22"/>
        <color rgb="FFFFC000"/>
        <rFont val="宋体"/>
        <charset val="134"/>
        <scheme val="minor"/>
      </rPr>
      <t>PANDROL</t>
    </r>
    <r>
      <rPr>
        <b/>
        <sz val="16"/>
        <color theme="1"/>
        <rFont val="宋体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</si>
  <si>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</si>
  <si>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</si>
  <si>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</si>
  <si>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</si>
  <si>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</si>
  <si>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charset val="134"/>
        <scheme val="minor"/>
      </rPr>
      <t xml:space="preserve">
</t>
    </r>
    <r>
      <rPr>
        <b/>
        <sz val="9"/>
        <color theme="1"/>
        <rFont val="宋体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</si>
  <si>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</si>
  <si>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</si>
  <si>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</si>
  <si>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</si>
  <si>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</si>
  <si>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</si>
  <si>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</si>
  <si>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</si>
  <si>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</si>
  <si>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</si>
  <si>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</si>
  <si>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</si>
  <si>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t>23*174</t>
  </si>
  <si>
    <t>PC23-02429</t>
  </si>
  <si>
    <t>1/16~14/16</t>
  </si>
  <si>
    <t>1200*800*550
0.53</t>
  </si>
  <si>
    <t>15/16</t>
  </si>
  <si>
    <t>Bolt</t>
  </si>
  <si>
    <t>22*90</t>
  </si>
  <si>
    <t>16/16</t>
  </si>
  <si>
    <r>
      <rPr>
        <b/>
        <sz val="11"/>
        <color theme="1"/>
        <rFont val="宋体"/>
        <charset val="134"/>
        <scheme val="minor"/>
      </rPr>
      <t>Total</t>
    </r>
    <r>
      <rPr>
        <sz val="10"/>
        <color theme="1"/>
        <rFont val="宋体"/>
        <charset val="134"/>
        <scheme val="minor"/>
      </rPr>
      <t>：</t>
    </r>
  </si>
  <si>
    <t>(*)</t>
  </si>
  <si>
    <t>The pieces are packed in a bag : 40（20）（60） pieces per bag and 30（27）（34） bags per case so 1200（1060）（2000）pieces per case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</si>
</sst>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\-mmm\-yy;@"/>
  </numFmts>
  <fonts count="3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Arial Unicode MS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2"/>
      <color rgb="FFFFC000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0" fontId="6" fillId="0" borderId="2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20"/>
  <sheetViews>
    <sheetView tabSelected="1" zoomScale="115" zoomScaleNormal="115" topLeftCell="C2" workbookViewId="0">
      <selection activeCell="N3" sqref="N3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ht="80.45" customHeight="1" spans="1: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68.45" customHeight="1" spans="1:17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3" t="s">
        <v>15</v>
      </c>
      <c r="P2" s="3" t="s">
        <v>16</v>
      </c>
      <c r="Q2" s="3" t="s">
        <v>17</v>
      </c>
    </row>
    <row r="3" ht="40" customHeight="1" spans="1:17">
      <c r="A3" s="6">
        <v>1</v>
      </c>
      <c r="B3" s="7" t="s">
        <v>18</v>
      </c>
      <c r="C3" s="8" t="s">
        <v>19</v>
      </c>
      <c r="D3" s="8" t="s">
        <v>20</v>
      </c>
      <c r="E3" s="9" t="s">
        <v>21</v>
      </c>
      <c r="F3" s="6">
        <f>J3*K3</f>
        <v>16800</v>
      </c>
      <c r="G3" s="10">
        <v>40</v>
      </c>
      <c r="H3" s="10">
        <f>K3*I3</f>
        <v>420</v>
      </c>
      <c r="I3" s="10">
        <v>30</v>
      </c>
      <c r="J3" s="6">
        <f>G3*I3</f>
        <v>1200</v>
      </c>
      <c r="K3" s="6">
        <v>14</v>
      </c>
      <c r="L3" s="6">
        <v>641</v>
      </c>
      <c r="M3" s="6">
        <f>L3+42</f>
        <v>683</v>
      </c>
      <c r="N3" s="24" t="s">
        <v>22</v>
      </c>
      <c r="O3" s="25">
        <f>L3*K3</f>
        <v>8974</v>
      </c>
      <c r="P3" s="25">
        <f>M3*K3</f>
        <v>9562</v>
      </c>
      <c r="Q3" s="25">
        <f>0.53*K3</f>
        <v>7.42</v>
      </c>
    </row>
    <row r="4" ht="21" customHeight="1" spans="1:17">
      <c r="A4" s="6">
        <v>2</v>
      </c>
      <c r="B4" s="7" t="s">
        <v>18</v>
      </c>
      <c r="C4" s="8" t="s">
        <v>19</v>
      </c>
      <c r="D4" s="8" t="s">
        <v>20</v>
      </c>
      <c r="E4" s="33" t="s">
        <v>23</v>
      </c>
      <c r="F4" s="6">
        <f>J4*K4</f>
        <v>1060</v>
      </c>
      <c r="G4" s="10">
        <v>40</v>
      </c>
      <c r="H4" s="10">
        <v>26</v>
      </c>
      <c r="I4" s="26">
        <v>27</v>
      </c>
      <c r="J4" s="6">
        <v>1060</v>
      </c>
      <c r="K4" s="6">
        <v>1</v>
      </c>
      <c r="L4" s="6">
        <v>566</v>
      </c>
      <c r="M4" s="6">
        <f>L4+42</f>
        <v>608</v>
      </c>
      <c r="N4" s="24" t="s">
        <v>22</v>
      </c>
      <c r="O4" s="25">
        <f>L4*K4</f>
        <v>566</v>
      </c>
      <c r="P4" s="25">
        <f>M4*K4</f>
        <v>608</v>
      </c>
      <c r="Q4" s="25">
        <f>0.53*K4</f>
        <v>0.53</v>
      </c>
    </row>
    <row r="5" ht="21" customHeight="1" spans="1:17">
      <c r="A5" s="11"/>
      <c r="B5" s="12"/>
      <c r="C5" s="13"/>
      <c r="D5" s="13"/>
      <c r="E5" s="14"/>
      <c r="F5" s="11"/>
      <c r="G5" s="10">
        <v>20</v>
      </c>
      <c r="H5" s="10">
        <v>1</v>
      </c>
      <c r="I5" s="27"/>
      <c r="J5" s="11"/>
      <c r="K5" s="11"/>
      <c r="L5" s="11"/>
      <c r="M5" s="11"/>
      <c r="N5" s="28"/>
      <c r="O5" s="29"/>
      <c r="P5" s="29"/>
      <c r="Q5" s="29"/>
    </row>
    <row r="6" ht="21" customHeight="1" spans="1:17">
      <c r="A6" s="6">
        <v>3</v>
      </c>
      <c r="B6" s="7" t="s">
        <v>24</v>
      </c>
      <c r="C6" s="8" t="s">
        <v>25</v>
      </c>
      <c r="D6" s="8" t="s">
        <v>20</v>
      </c>
      <c r="E6" s="33" t="s">
        <v>26</v>
      </c>
      <c r="F6" s="6">
        <f>J6*K6</f>
        <v>2000</v>
      </c>
      <c r="G6" s="10">
        <v>60</v>
      </c>
      <c r="H6" s="10">
        <v>33</v>
      </c>
      <c r="I6" s="26">
        <v>34</v>
      </c>
      <c r="J6" s="6">
        <v>2000</v>
      </c>
      <c r="K6" s="6">
        <v>1</v>
      </c>
      <c r="L6" s="6">
        <v>660</v>
      </c>
      <c r="M6" s="6">
        <f>L6+42</f>
        <v>702</v>
      </c>
      <c r="N6" s="24" t="s">
        <v>22</v>
      </c>
      <c r="O6" s="25">
        <f>L6*K6</f>
        <v>660</v>
      </c>
      <c r="P6" s="25">
        <f>M6*K6</f>
        <v>702</v>
      </c>
      <c r="Q6" s="25">
        <f>0.53*K6</f>
        <v>0.53</v>
      </c>
    </row>
    <row r="7" ht="21" customHeight="1" spans="1:17">
      <c r="A7" s="11"/>
      <c r="B7" s="12"/>
      <c r="C7" s="13"/>
      <c r="D7" s="13"/>
      <c r="E7" s="14"/>
      <c r="F7" s="11"/>
      <c r="G7" s="10">
        <v>20</v>
      </c>
      <c r="H7" s="10">
        <v>1</v>
      </c>
      <c r="I7" s="27"/>
      <c r="J7" s="11"/>
      <c r="K7" s="11"/>
      <c r="L7" s="11"/>
      <c r="M7" s="11"/>
      <c r="N7" s="28"/>
      <c r="O7" s="29"/>
      <c r="P7" s="29"/>
      <c r="Q7" s="29"/>
    </row>
    <row r="8" ht="35.25" customHeight="1" spans="1:17">
      <c r="A8" s="15" t="s">
        <v>27</v>
      </c>
      <c r="B8" s="15"/>
      <c r="C8" s="15"/>
      <c r="D8" s="16"/>
      <c r="E8" s="15"/>
      <c r="F8" s="15">
        <f>SUM(F3:F7)</f>
        <v>19860</v>
      </c>
      <c r="G8" s="10"/>
      <c r="H8" s="15">
        <f>SUM(H3:H7)</f>
        <v>481</v>
      </c>
      <c r="I8" s="15"/>
      <c r="J8" s="15"/>
      <c r="K8" s="15">
        <f>SUM(K3:K7)</f>
        <v>16</v>
      </c>
      <c r="L8" s="15"/>
      <c r="M8" s="15"/>
      <c r="N8" s="30"/>
      <c r="O8" s="15">
        <f>SUM(O3:O7)</f>
        <v>10200</v>
      </c>
      <c r="P8" s="15">
        <f>SUM(P3:P7)</f>
        <v>10872</v>
      </c>
      <c r="Q8" s="15">
        <f>SUM(Q3:Q7)</f>
        <v>8.48</v>
      </c>
    </row>
    <row r="9" ht="14.45" customHeight="1" spans="1:17">
      <c r="A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</row>
    <row r="10" ht="21" customHeight="1" spans="1:17">
      <c r="A10" s="17"/>
      <c r="B10" s="18" t="s">
        <v>28</v>
      </c>
      <c r="C10" s="19" t="s">
        <v>29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17"/>
      <c r="O10" s="17"/>
      <c r="P10" s="17"/>
      <c r="Q10" s="17"/>
    </row>
    <row r="11" ht="21" customHeight="1" spans="1:17">
      <c r="A11" s="17"/>
      <c r="B11" s="21"/>
      <c r="C11" s="22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</row>
    <row r="12" ht="18.75" spans="1:17">
      <c r="A12" s="17"/>
      <c r="B12" s="17"/>
      <c r="C12" s="22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31">
        <v>45219</v>
      </c>
      <c r="O12" s="31"/>
      <c r="P12" s="31"/>
      <c r="Q12" s="31"/>
    </row>
    <row r="13" ht="18.75" spans="1:17">
      <c r="A13" s="17"/>
      <c r="B13" s="17"/>
      <c r="C13" s="22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32"/>
      <c r="O13" s="32"/>
      <c r="P13" s="32"/>
      <c r="Q13" s="32"/>
    </row>
    <row r="14" spans="1:17">
      <c r="A14" s="23"/>
      <c r="B14" s="23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</row>
    <row r="15" spans="1:17">
      <c r="A15" s="23"/>
      <c r="B15" s="23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</row>
    <row r="16" spans="1:17">
      <c r="A16" s="23"/>
      <c r="B16" s="23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</row>
    <row r="17" spans="1: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</row>
    <row r="18" spans="1:17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</row>
    <row r="19" spans="1:17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spans="1:17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</sheetData>
  <mergeCells count="34">
    <mergeCell ref="A1:Q1"/>
    <mergeCell ref="A8:C8"/>
    <mergeCell ref="N12:Q12"/>
    <mergeCell ref="N13:Q13"/>
    <mergeCell ref="A4:A5"/>
    <mergeCell ref="A6:A7"/>
    <mergeCell ref="B4:B5"/>
    <mergeCell ref="B6:B7"/>
    <mergeCell ref="C4:C5"/>
    <mergeCell ref="C6:C7"/>
    <mergeCell ref="D4:D5"/>
    <mergeCell ref="D6:D7"/>
    <mergeCell ref="E4:E5"/>
    <mergeCell ref="E6:E7"/>
    <mergeCell ref="F4:F5"/>
    <mergeCell ref="F6:F7"/>
    <mergeCell ref="I4:I5"/>
    <mergeCell ref="I6:I7"/>
    <mergeCell ref="J4:J5"/>
    <mergeCell ref="J6:J7"/>
    <mergeCell ref="K4:K5"/>
    <mergeCell ref="K6:K7"/>
    <mergeCell ref="L4:L5"/>
    <mergeCell ref="L6:L7"/>
    <mergeCell ref="M4:M5"/>
    <mergeCell ref="M6:M7"/>
    <mergeCell ref="N4:N5"/>
    <mergeCell ref="N6:N7"/>
    <mergeCell ref="O4:O5"/>
    <mergeCell ref="O6:O7"/>
    <mergeCell ref="P4:P5"/>
    <mergeCell ref="P6:P7"/>
    <mergeCell ref="Q4:Q5"/>
    <mergeCell ref="Q6:Q7"/>
  </mergeCells>
  <pageMargins left="0.511811023622047" right="0.511811023622047" top="0.196850393700787" bottom="0.748031496062992" header="0.31496062992126" footer="0.31496062992126"/>
  <pageSetup paperSize="9" scale="9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 MEI</cp:lastModifiedBy>
  <dcterms:created xsi:type="dcterms:W3CDTF">2006-09-13T11:21:00Z</dcterms:created>
  <dcterms:modified xsi:type="dcterms:W3CDTF">2023-10-20T09:15:45Z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25C2906FAB4D4D72BCCE11F1B2B88C0B_13</vt:lpwstr>
  </property>
  <property fmtid="{D5CDD505-2E9C-101B-9397-08002B2CF9AE}" pid="4" name="KSOProductBuildVer">
    <vt:lpwstr>2052-12.1.0.15712</vt:lpwstr>
  </property>
</Properties>
</file>