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<sst xmlns="http://schemas.openxmlformats.org/spreadsheetml/2006/main" count="41" uniqueCount="32">
  <si>
    <r>
      <rPr>
        <b/>
        <sz val="22"/>
        <color rgb="FFFFC000"/>
        <rFont val="宋体"/>
        <charset val="134"/>
        <scheme val="minor"/>
      </rPr>
      <t>PANDROL</t>
    </r>
    <r>
      <rPr>
        <b/>
        <sz val="16"/>
        <color theme="1"/>
        <rFont val="宋体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</si>
  <si>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</si>
  <si>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</si>
  <si>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</si>
  <si>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</si>
  <si>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</si>
  <si>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</si>
  <si>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</si>
  <si>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</si>
  <si>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</si>
  <si>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</si>
  <si>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</si>
  <si>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</si>
  <si>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</si>
  <si>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</si>
  <si>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</si>
  <si>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</si>
  <si>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</si>
  <si>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</si>
  <si>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23*174</t>
  </si>
  <si>
    <t>PC23-02429</t>
  </si>
  <si>
    <t>1/60~57/60</t>
  </si>
  <si>
    <t>1200*800*550
0.53</t>
  </si>
  <si>
    <t>58/60</t>
  </si>
  <si>
    <t>1200*800*350
0.34</t>
  </si>
  <si>
    <t>Bolt</t>
  </si>
  <si>
    <t>22*90</t>
  </si>
  <si>
    <t>59/60</t>
  </si>
  <si>
    <t>60/60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</si>
  <si>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</si>
  <si>
    <t>(*)</t>
  </si>
  <si>
    <t>The pieces are packed in a bag : 40（60）（8） pieces per bag and 30（7）（50）（49） bags per case so 1200（280）（3000）（2888） pieces per case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</si>
</sst>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rgb="FFFFC0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6" fillId="0" borderId="2" xfId="0" applyFont="1" applyBorder="1" applyAlignment="1" quotePrefix="1">
      <alignment horizontal="center" vertical="center"/>
    </xf>
    <xf numFmtId="0" fontId="6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1"/>
  <sheetViews>
    <sheetView tabSelected="1" workbookViewId="0">
      <selection activeCell="Q3" sqref="Q3:Q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ht="80.4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68.45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3" t="s">
        <v>17</v>
      </c>
    </row>
    <row r="3" ht="47" customHeight="1" spans="1:17">
      <c r="A3" s="6">
        <v>1</v>
      </c>
      <c r="B3" s="7" t="s">
        <v>18</v>
      </c>
      <c r="C3" s="8" t="s">
        <v>19</v>
      </c>
      <c r="D3" s="8" t="s">
        <v>20</v>
      </c>
      <c r="E3" s="9" t="s">
        <v>21</v>
      </c>
      <c r="F3" s="6">
        <f>J3*K3</f>
        <v>66000</v>
      </c>
      <c r="G3" s="10">
        <v>40</v>
      </c>
      <c r="H3" s="10">
        <f>K3*I3</f>
        <v>1650</v>
      </c>
      <c r="I3" s="10">
        <v>30</v>
      </c>
      <c r="J3" s="6">
        <f>G3*I3</f>
        <v>1200</v>
      </c>
      <c r="K3" s="6">
        <v>55</v>
      </c>
      <c r="L3" s="6">
        <v>641</v>
      </c>
      <c r="M3" s="6">
        <f>L3+42</f>
        <v>683</v>
      </c>
      <c r="N3" s="32" t="s">
        <v>22</v>
      </c>
      <c r="O3" s="33">
        <f>L3*K3</f>
        <v>35255</v>
      </c>
      <c r="P3" s="33">
        <f>M3*K3</f>
        <v>37565</v>
      </c>
      <c r="Q3" s="33">
        <f>0.53*K3</f>
        <v>29.15</v>
      </c>
    </row>
    <row r="4" ht="47" customHeight="1" spans="1:17">
      <c r="A4" s="11">
        <v>2</v>
      </c>
      <c r="B4" s="12" t="s">
        <v>18</v>
      </c>
      <c r="C4" s="13" t="s">
        <v>19</v>
      </c>
      <c r="D4" s="13" t="s">
        <v>20</v>
      </c>
      <c r="E4" s="45" t="s">
        <v>23</v>
      </c>
      <c r="F4" s="11">
        <v>540</v>
      </c>
      <c r="G4" s="10">
        <v>40</v>
      </c>
      <c r="H4" s="10">
        <v>13</v>
      </c>
      <c r="I4" s="10">
        <v>13</v>
      </c>
      <c r="J4" s="6">
        <f>G4*I4</f>
        <v>520</v>
      </c>
      <c r="K4" s="11">
        <v>1</v>
      </c>
      <c r="L4" s="11">
        <v>288</v>
      </c>
      <c r="M4" s="11">
        <f>L4+36</f>
        <v>324</v>
      </c>
      <c r="N4" s="34" t="s">
        <v>24</v>
      </c>
      <c r="O4" s="35">
        <f>L4*K4</f>
        <v>288</v>
      </c>
      <c r="P4" s="35">
        <f>M4*K4</f>
        <v>324</v>
      </c>
      <c r="Q4" s="35">
        <f>0.34*K4</f>
        <v>0.34</v>
      </c>
    </row>
    <row r="5" ht="47" customHeight="1" spans="1:17">
      <c r="A5" s="15"/>
      <c r="B5" s="16"/>
      <c r="C5" s="17"/>
      <c r="D5" s="17"/>
      <c r="E5" s="18"/>
      <c r="F5" s="15"/>
      <c r="G5" s="10">
        <v>20</v>
      </c>
      <c r="H5" s="10">
        <v>1</v>
      </c>
      <c r="I5" s="10">
        <v>1</v>
      </c>
      <c r="J5" s="6">
        <f>G5*I5</f>
        <v>20</v>
      </c>
      <c r="K5" s="15"/>
      <c r="L5" s="15"/>
      <c r="M5" s="15"/>
      <c r="N5" s="36"/>
      <c r="O5" s="37"/>
      <c r="P5" s="37"/>
      <c r="Q5" s="37"/>
    </row>
    <row r="6" ht="47" customHeight="1" spans="1:17">
      <c r="A6" s="6">
        <v>3</v>
      </c>
      <c r="B6" s="7" t="s">
        <v>25</v>
      </c>
      <c r="C6" s="8" t="s">
        <v>26</v>
      </c>
      <c r="D6" s="8" t="s">
        <v>20</v>
      </c>
      <c r="E6" s="46" t="s">
        <v>27</v>
      </c>
      <c r="F6" s="6">
        <f>J6*K6</f>
        <v>3000</v>
      </c>
      <c r="G6" s="10">
        <v>60</v>
      </c>
      <c r="H6" s="10">
        <f>K6*I6</f>
        <v>50</v>
      </c>
      <c r="I6" s="10">
        <v>50</v>
      </c>
      <c r="J6" s="6">
        <f>G6*I6</f>
        <v>3000</v>
      </c>
      <c r="K6" s="6">
        <v>1</v>
      </c>
      <c r="L6" s="6">
        <v>990</v>
      </c>
      <c r="M6" s="6">
        <f>L6+42</f>
        <v>1032</v>
      </c>
      <c r="N6" s="32" t="s">
        <v>22</v>
      </c>
      <c r="O6" s="33">
        <f>L6*K6</f>
        <v>990</v>
      </c>
      <c r="P6" s="33">
        <f>M6*K6</f>
        <v>1032</v>
      </c>
      <c r="Q6" s="33">
        <f>0.53*K6</f>
        <v>0.53</v>
      </c>
    </row>
    <row r="7" ht="26" customHeight="1" spans="1:17">
      <c r="A7" s="6">
        <v>4</v>
      </c>
      <c r="B7" s="7" t="s">
        <v>25</v>
      </c>
      <c r="C7" s="8" t="s">
        <v>26</v>
      </c>
      <c r="D7" s="8" t="s">
        <v>20</v>
      </c>
      <c r="E7" s="46" t="s">
        <v>28</v>
      </c>
      <c r="F7" s="6">
        <f>J7*K7</f>
        <v>2888</v>
      </c>
      <c r="G7" s="10">
        <v>60</v>
      </c>
      <c r="H7" s="10">
        <v>48</v>
      </c>
      <c r="I7" s="38">
        <v>49</v>
      </c>
      <c r="J7" s="6">
        <v>2888</v>
      </c>
      <c r="K7" s="6">
        <v>1</v>
      </c>
      <c r="L7" s="6">
        <v>953</v>
      </c>
      <c r="M7" s="6">
        <f>L7+42</f>
        <v>995</v>
      </c>
      <c r="N7" s="32" t="s">
        <v>22</v>
      </c>
      <c r="O7" s="33">
        <f>L7*K7</f>
        <v>953</v>
      </c>
      <c r="P7" s="33">
        <f>M7*K7</f>
        <v>995</v>
      </c>
      <c r="Q7" s="33">
        <f>0.53*K7</f>
        <v>0.53</v>
      </c>
    </row>
    <row r="8" ht="26" customHeight="1" spans="1:17">
      <c r="A8" s="19"/>
      <c r="B8" s="20"/>
      <c r="C8" s="21"/>
      <c r="D8" s="21"/>
      <c r="E8" s="22"/>
      <c r="F8" s="19"/>
      <c r="G8" s="10">
        <v>8</v>
      </c>
      <c r="H8" s="10">
        <v>1</v>
      </c>
      <c r="I8" s="39"/>
      <c r="J8" s="19"/>
      <c r="K8" s="19"/>
      <c r="L8" s="19"/>
      <c r="M8" s="19"/>
      <c r="N8" s="40"/>
      <c r="O8" s="41"/>
      <c r="P8" s="41"/>
      <c r="Q8" s="41"/>
    </row>
    <row r="9" ht="35.25" customHeight="1" spans="1:17">
      <c r="A9" s="23" t="s">
        <v>29</v>
      </c>
      <c r="B9" s="23"/>
      <c r="C9" s="23"/>
      <c r="D9" s="24"/>
      <c r="E9" s="23"/>
      <c r="F9" s="23">
        <f>SUM(F3:F7)</f>
        <v>72428</v>
      </c>
      <c r="G9" s="10"/>
      <c r="H9" s="23">
        <f>SUM(H3:H8)</f>
        <v>1763</v>
      </c>
      <c r="I9" s="23"/>
      <c r="J9" s="23"/>
      <c r="K9" s="23">
        <f>SUM(K3:K8)</f>
        <v>58</v>
      </c>
      <c r="L9" s="23"/>
      <c r="M9" s="23"/>
      <c r="N9" s="42"/>
      <c r="O9" s="23">
        <f>SUM(O3:O8)</f>
        <v>37486</v>
      </c>
      <c r="P9" s="23">
        <f>SUM(P3:P8)</f>
        <v>39916</v>
      </c>
      <c r="Q9" s="23">
        <f>SUM(Q3:Q8)</f>
        <v>30.55</v>
      </c>
    </row>
    <row r="10" ht="14.45" customHeight="1" spans="1:17">
      <c r="A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ht="21" customHeight="1" spans="1:17">
      <c r="A11" s="25"/>
      <c r="B11" s="26" t="s">
        <v>30</v>
      </c>
      <c r="C11" s="27" t="s">
        <v>31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5"/>
      <c r="O11" s="25"/>
      <c r="P11" s="25"/>
      <c r="Q11" s="25"/>
    </row>
    <row r="12" ht="21" customHeight="1" spans="1:17">
      <c r="A12" s="25"/>
      <c r="B12" s="29"/>
      <c r="C12" s="30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ht="18.75" spans="1:17">
      <c r="A13" s="25"/>
      <c r="B13" s="25"/>
      <c r="C13" s="30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43">
        <v>45187</v>
      </c>
      <c r="O13" s="43"/>
      <c r="P13" s="43"/>
      <c r="Q13" s="43"/>
    </row>
    <row r="14" ht="18.75" spans="1:17">
      <c r="A14" s="25"/>
      <c r="B14" s="25"/>
      <c r="C14" s="30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4"/>
      <c r="O14" s="44"/>
      <c r="P14" s="44"/>
      <c r="Q14" s="44"/>
    </row>
    <row r="15" spans="1:17">
      <c r="A15" s="31"/>
      <c r="B15" s="31"/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7">
      <c r="A16" s="31"/>
      <c r="B16" s="31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1:17">
      <c r="A17" s="31"/>
      <c r="B17" s="31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spans="1:17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1:17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1:17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1:17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</sheetData>
  <mergeCells count="32">
    <mergeCell ref="A1:Q1"/>
    <mergeCell ref="A9:C9"/>
    <mergeCell ref="N13:Q13"/>
    <mergeCell ref="N14:Q14"/>
    <mergeCell ref="A4:A5"/>
    <mergeCell ref="A7:A8"/>
    <mergeCell ref="B4:B5"/>
    <mergeCell ref="B7:B8"/>
    <mergeCell ref="C4:C5"/>
    <mergeCell ref="C7:C8"/>
    <mergeCell ref="D4:D5"/>
    <mergeCell ref="D7:D8"/>
    <mergeCell ref="E4:E5"/>
    <mergeCell ref="E7:E8"/>
    <mergeCell ref="F4:F5"/>
    <mergeCell ref="F7:F8"/>
    <mergeCell ref="I7:I8"/>
    <mergeCell ref="J7:J8"/>
    <mergeCell ref="K4:K5"/>
    <mergeCell ref="K7:K8"/>
    <mergeCell ref="L4:L5"/>
    <mergeCell ref="L7:L8"/>
    <mergeCell ref="M4:M5"/>
    <mergeCell ref="M7:M8"/>
    <mergeCell ref="N4:N5"/>
    <mergeCell ref="N7:N8"/>
    <mergeCell ref="O4:O5"/>
    <mergeCell ref="O7:O8"/>
    <mergeCell ref="P4:P5"/>
    <mergeCell ref="P7:P8"/>
    <mergeCell ref="Q4:Q5"/>
    <mergeCell ref="Q7:Q8"/>
  </mergeCells>
  <pageMargins left="0.511811023622047" right="0.511811023622047" top="0.196850393700787" bottom="0.748031496062992" header="0.31496062992126" footer="0.31496062992126"/>
  <pageSetup paperSize="9" scale="9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2023-10-27T06:31:36Z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4BF6250C1D214EEFA813141D2E99754A_13</vt:lpwstr>
  </property>
  <property fmtid="{D5CDD505-2E9C-101B-9397-08002B2CF9AE}" pid="4" name="KSOProductBuildVer">
    <vt:lpwstr>2052-12.1.0.15712</vt:lpwstr>
  </property>
</Properties>
</file>