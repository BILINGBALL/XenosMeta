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<sst xmlns="http://schemas.openxmlformats.org/spreadsheetml/2006/main" count="34" uniqueCount="29">
  <si>
    <r>
      <rPr>
        <b/>
        <sz val="22"/>
        <color rgb="FFFFC000"/>
        <rFont val="宋体"/>
        <charset val="134"/>
        <scheme val="minor"/>
      </rPr>
      <t>PANDROL</t>
    </r>
    <r>
      <rPr>
        <b/>
        <sz val="16"/>
        <color theme="1"/>
        <rFont val="宋体"/>
        <charset val="134"/>
        <scheme val="minor"/>
      </rPr>
      <t xml:space="preserve">
PACKING DETAILS
</t>
    </r>
  </si>
  <si>
    <t>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</si>
  <si>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</si>
  <si>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</si>
  <si>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</si>
  <si>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</si>
  <si>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charset val="134"/>
        <scheme val="minor"/>
      </rPr>
      <t xml:space="preserve">
</t>
    </r>
    <r>
      <rPr>
        <b/>
        <sz val="9"/>
        <color theme="1"/>
        <rFont val="宋体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</si>
  <si>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</si>
  <si>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</si>
  <si>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</si>
  <si>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</si>
  <si>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</si>
  <si>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</si>
  <si>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</si>
  <si>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</si>
  <si>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</si>
  <si>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</si>
  <si>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</si>
  <si>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Hook screw</t>
  </si>
  <si>
    <t>M22X74</t>
  </si>
  <si>
    <t>PC23-02597</t>
  </si>
  <si>
    <t>1/1</t>
  </si>
  <si>
    <t>1100*800*350
0.31</t>
  </si>
  <si>
    <t>Hex nut</t>
  </si>
  <si>
    <t>M22</t>
  </si>
  <si>
    <r>
      <rPr>
        <b/>
        <sz val="11"/>
        <color theme="1"/>
        <rFont val="宋体"/>
        <charset val="134"/>
        <scheme val="minor"/>
      </rPr>
      <t>Total</t>
    </r>
    <r>
      <rPr>
        <sz val="10"/>
        <color theme="1"/>
        <rFont val="宋体"/>
        <charset val="134"/>
        <scheme val="minor"/>
      </rPr>
      <t>：</t>
    </r>
  </si>
  <si>
    <t>(*)</t>
  </si>
  <si>
    <t>These bolts and nuts are packed in fumigation free wooden cases</t>
  </si>
  <si>
    <t>The pieces are packed in a bag : 60(20)(120)（80） pieces per bag and 6bags per case so 400 pieces per case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</si>
</sst>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\-mmm\-yy;@"/>
  </numFmts>
  <fonts count="32">
    <font>
      <sz val="11"/>
      <color theme="1"/>
      <name val="宋体"/>
      <charset val="134"/>
      <scheme val="minor"/>
    </font>
    <font>
      <b/>
      <sz val="22"/>
      <color rgb="FFFFC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charset val="134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58" fontId="7" fillId="2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right" vertical="center"/>
    </xf>
    <xf numFmtId="176" fontId="11" fillId="0" borderId="0" xfId="0" applyNumberFormat="1" applyFont="1" applyAlignment="1">
      <alignment horizontal="right" vertical="center"/>
    </xf>
    <xf numFmtId="58" fontId="7" fillId="2" borderId="2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0"/>
  <sheetViews>
    <sheetView tabSelected="1" workbookViewId="0">
      <selection activeCell="N3" sqref="N3:N6"/>
    </sheetView>
  </sheetViews>
  <sheetFormatPr defaultColWidth="8.75" defaultRowHeight="13.5"/>
  <cols>
    <col min="1" max="1" width="6.625" style="1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6.8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ht="80.45" customHeight="1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68.45" customHeight="1" spans="1:17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5" t="s">
        <v>15</v>
      </c>
      <c r="P2" s="5" t="s">
        <v>16</v>
      </c>
      <c r="Q2" s="5" t="s">
        <v>17</v>
      </c>
    </row>
    <row r="3" ht="38.25" customHeight="1" spans="1:17">
      <c r="A3" s="8">
        <v>1</v>
      </c>
      <c r="B3" s="9" t="s">
        <v>18</v>
      </c>
      <c r="C3" s="10" t="s">
        <v>19</v>
      </c>
      <c r="D3" s="11" t="s">
        <v>20</v>
      </c>
      <c r="E3" s="47" t="s">
        <v>21</v>
      </c>
      <c r="F3" s="13">
        <f>G3*H3</f>
        <v>180</v>
      </c>
      <c r="G3" s="13">
        <v>60</v>
      </c>
      <c r="H3" s="13">
        <v>3</v>
      </c>
      <c r="I3" s="30">
        <v>6</v>
      </c>
      <c r="J3" s="31">
        <v>400</v>
      </c>
      <c r="K3" s="31">
        <v>1</v>
      </c>
      <c r="L3" s="32">
        <v>84</v>
      </c>
      <c r="M3" s="33">
        <v>112</v>
      </c>
      <c r="N3" s="34" t="s">
        <v>22</v>
      </c>
      <c r="O3" s="8">
        <f t="shared" ref="O3" si="0">L3*K3</f>
        <v>84</v>
      </c>
      <c r="P3" s="8">
        <f t="shared" ref="P3" si="1">M3*K3</f>
        <v>112</v>
      </c>
      <c r="Q3" s="8">
        <f>0.31*K3</f>
        <v>0.31</v>
      </c>
    </row>
    <row r="4" ht="38.25" customHeight="1" spans="1:17">
      <c r="A4" s="14"/>
      <c r="B4" s="9" t="s">
        <v>18</v>
      </c>
      <c r="C4" s="10" t="s">
        <v>19</v>
      </c>
      <c r="D4" s="15"/>
      <c r="E4" s="16"/>
      <c r="F4" s="13">
        <f>G4*H4</f>
        <v>20</v>
      </c>
      <c r="G4" s="13">
        <v>20</v>
      </c>
      <c r="H4" s="13">
        <v>1</v>
      </c>
      <c r="I4" s="35"/>
      <c r="J4" s="36"/>
      <c r="K4" s="36"/>
      <c r="L4" s="16"/>
      <c r="M4" s="37"/>
      <c r="N4" s="38"/>
      <c r="O4" s="14"/>
      <c r="P4" s="14"/>
      <c r="Q4" s="14"/>
    </row>
    <row r="5" ht="38.25" customHeight="1" spans="1:17">
      <c r="A5" s="8">
        <v>2</v>
      </c>
      <c r="B5" s="9" t="s">
        <v>23</v>
      </c>
      <c r="C5" s="10" t="s">
        <v>24</v>
      </c>
      <c r="D5" s="15"/>
      <c r="E5" s="16"/>
      <c r="F5" s="13">
        <f>G5*H5</f>
        <v>120</v>
      </c>
      <c r="G5" s="13">
        <v>120</v>
      </c>
      <c r="H5" s="13">
        <v>1</v>
      </c>
      <c r="I5" s="35"/>
      <c r="J5" s="36"/>
      <c r="K5" s="36"/>
      <c r="L5" s="16"/>
      <c r="M5" s="37"/>
      <c r="N5" s="38"/>
      <c r="O5" s="14"/>
      <c r="P5" s="14"/>
      <c r="Q5" s="14"/>
    </row>
    <row r="6" ht="38.25" customHeight="1" spans="1:17">
      <c r="A6" s="14"/>
      <c r="B6" s="9" t="s">
        <v>23</v>
      </c>
      <c r="C6" s="11" t="s">
        <v>24</v>
      </c>
      <c r="D6" s="15"/>
      <c r="E6" s="17"/>
      <c r="F6" s="13">
        <f>G6*H6</f>
        <v>80</v>
      </c>
      <c r="G6" s="13">
        <v>80</v>
      </c>
      <c r="H6" s="13">
        <v>1</v>
      </c>
      <c r="I6" s="39"/>
      <c r="J6" s="40"/>
      <c r="K6" s="40"/>
      <c r="L6" s="17"/>
      <c r="M6" s="41"/>
      <c r="N6" s="42"/>
      <c r="O6" s="43"/>
      <c r="P6" s="43"/>
      <c r="Q6" s="43"/>
    </row>
    <row r="7" ht="35.25" customHeight="1" spans="1:17">
      <c r="A7" s="13" t="s">
        <v>25</v>
      </c>
      <c r="B7" s="13"/>
      <c r="C7" s="13"/>
      <c r="D7" s="18"/>
      <c r="E7" s="13"/>
      <c r="F7" s="13">
        <f>SUM(F3:F6)</f>
        <v>400</v>
      </c>
      <c r="G7" s="13"/>
      <c r="H7" s="13">
        <f>SUM(H3:H6)</f>
        <v>6</v>
      </c>
      <c r="I7" s="13"/>
      <c r="J7" s="44"/>
      <c r="K7" s="44">
        <f>SUM(K3:K6)</f>
        <v>1</v>
      </c>
      <c r="L7" s="44"/>
      <c r="M7" s="44"/>
      <c r="N7" s="44"/>
      <c r="O7" s="44">
        <f>SUM(O3:O6)</f>
        <v>84</v>
      </c>
      <c r="P7" s="44">
        <f>SUM(P3:P6)</f>
        <v>112</v>
      </c>
      <c r="Q7" s="44">
        <f>SUM(Q3:Q6)</f>
        <v>0.31</v>
      </c>
    </row>
    <row r="8" ht="14.45" customHeight="1" spans="1:17">
      <c r="A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</row>
    <row r="9" ht="28.5" customHeight="1" spans="1:17">
      <c r="A9" s="19"/>
      <c r="B9" s="21" t="s">
        <v>26</v>
      </c>
      <c r="C9" s="22" t="s">
        <v>27</v>
      </c>
      <c r="D9" s="23"/>
      <c r="E9" s="23"/>
      <c r="F9" s="23"/>
      <c r="G9" s="23"/>
      <c r="H9" s="23"/>
      <c r="I9" s="23"/>
      <c r="J9" s="20"/>
      <c r="K9" s="20"/>
      <c r="L9" s="20"/>
      <c r="M9" s="20"/>
      <c r="N9" s="20"/>
      <c r="O9" s="20"/>
      <c r="P9" s="20"/>
      <c r="Q9" s="20"/>
    </row>
    <row r="10" ht="28.5" customHeight="1" spans="1:17">
      <c r="A10" s="19"/>
      <c r="B10" s="21" t="s">
        <v>26</v>
      </c>
      <c r="C10" s="24" t="s">
        <v>28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0"/>
      <c r="O10" s="20"/>
      <c r="P10" s="20"/>
      <c r="Q10" s="20"/>
    </row>
    <row r="11" ht="21" customHeight="1" spans="1:17">
      <c r="A11" s="19"/>
      <c r="B11" s="26"/>
      <c r="C11" s="27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</row>
    <row r="12" ht="18.75" spans="1:17">
      <c r="A12" s="19"/>
      <c r="B12" s="20"/>
      <c r="C12" s="27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45">
        <v>45244</v>
      </c>
      <c r="O12" s="45"/>
      <c r="P12" s="45"/>
      <c r="Q12" s="45"/>
    </row>
    <row r="13" ht="18.75" spans="1:17">
      <c r="A13" s="19"/>
      <c r="B13" s="20"/>
      <c r="C13" s="27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46"/>
      <c r="O13" s="46"/>
      <c r="P13" s="46"/>
      <c r="Q13" s="46"/>
    </row>
    <row r="14" spans="1:17">
      <c r="A14" s="28"/>
      <c r="B14" s="29"/>
      <c r="C14" s="27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</row>
    <row r="15" spans="1:17">
      <c r="A15" s="28"/>
      <c r="B15" s="29"/>
      <c r="C15" s="27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</row>
    <row r="16" spans="1:17">
      <c r="A16" s="28"/>
      <c r="B16" s="29"/>
      <c r="C16" s="27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</row>
    <row r="17" spans="1:17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</row>
    <row r="18" spans="1:17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</row>
    <row r="19" spans="1:17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</row>
    <row r="20" spans="1:17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</row>
  </sheetData>
  <mergeCells count="17">
    <mergeCell ref="A1:Q1"/>
    <mergeCell ref="A7:C7"/>
    <mergeCell ref="N12:Q12"/>
    <mergeCell ref="N13:Q13"/>
    <mergeCell ref="A3:A4"/>
    <mergeCell ref="A5:A6"/>
    <mergeCell ref="D3:D6"/>
    <mergeCell ref="E3:E6"/>
    <mergeCell ref="I3:I6"/>
    <mergeCell ref="J3:J6"/>
    <mergeCell ref="K3:K6"/>
    <mergeCell ref="L3:L6"/>
    <mergeCell ref="M3:M6"/>
    <mergeCell ref="N3:N6"/>
    <mergeCell ref="O3:O6"/>
    <mergeCell ref="P3:P6"/>
    <mergeCell ref="Q3:Q6"/>
  </mergeCells>
  <pageMargins left="0.511811023622047" right="0.511811023622047" top="0.196850393700787" bottom="0.748031496062992" header="0.31496062992126" footer="0.31496062992126"/>
  <pageSetup paperSize="9" scale="96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 MEI</cp:lastModifiedBy>
  <dcterms:created xsi:type="dcterms:W3CDTF">2006-09-13T11:21:00Z</dcterms:created>
  <dcterms:modified xsi:type="dcterms:W3CDTF">2023-11-15T08:14:11Z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9DA9FE4FF768415BAB576B1FCAAD7E78_13</vt:lpwstr>
  </property>
  <property fmtid="{D5CDD505-2E9C-101B-9397-08002B2CF9AE}" pid="4" name="KSOProductBuildVer">
    <vt:lpwstr>2052-12.1.0.15712</vt:lpwstr>
  </property>
</Properties>
</file>