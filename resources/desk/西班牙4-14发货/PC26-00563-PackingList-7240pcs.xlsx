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西班牙4-14发货\25-159 7240件\"/>
    </mc:Choice>
  </mc:AlternateContent>
  <xr:revisionPtr revIDLastSave="0" documentId="13_ncr:1_{342828CD-1399-481B-9C0C-71F79B6995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Q4" i="1"/>
  <c r="J4" i="1"/>
  <c r="K6" i="1"/>
  <c r="O4" i="1"/>
  <c r="M4" i="1"/>
  <c r="P4" i="1" s="1"/>
  <c r="J5" i="1"/>
  <c r="H5" i="1"/>
  <c r="Q3" i="1"/>
  <c r="O3" i="1"/>
  <c r="M3" i="1"/>
  <c r="P3" i="1" s="1"/>
  <c r="J3" i="1"/>
  <c r="F3" i="1" s="1"/>
  <c r="H3" i="1"/>
  <c r="F4" i="1" l="1"/>
  <c r="F6" i="1" s="1"/>
  <c r="P6" i="1"/>
  <c r="O6" i="1"/>
  <c r="H6" i="1"/>
  <c r="Q6" i="1"/>
</calcChain>
</file>

<file path=xl/sharedStrings.xml><?xml version="1.0" encoding="utf-8"?>
<sst xmlns="http://schemas.openxmlformats.org/spreadsheetml/2006/main" count="30" uniqueCount="28">
  <si>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</si>
  <si>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</si>
  <si>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</si>
  <si>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</si>
  <si>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</si>
  <si>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rgb="FF000000"/>
        <rFont val="宋体"/>
        <family val="3"/>
        <charset val="134"/>
      </rPr>
      <t xml:space="preserve">
</t>
    </r>
    <r>
      <rPr>
        <b/>
        <sz val="9"/>
        <color rgb="FF000000"/>
        <rFont val="宋体"/>
        <family val="3"/>
        <charset val="134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</si>
  <si>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</si>
  <si>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</si>
  <si>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</si>
  <si>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</si>
  <si>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</si>
  <si>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</si>
  <si>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</si>
  <si>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</si>
  <si>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</si>
  <si>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</si>
  <si>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</si>
  <si>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</si>
  <si>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rgb="FF000000"/>
        <rFont val="宋体"/>
        <family val="3"/>
        <charset val="134"/>
      </rPr>
      <t>Total</t>
    </r>
    <r>
      <rPr>
        <sz val="10"/>
        <color rgb="FF000000"/>
        <rFont val="宋体"/>
        <family val="3"/>
        <charset val="134"/>
      </rPr>
      <t>：</t>
    </r>
  </si>
  <si>
    <t>(*)</t>
  </si>
  <si>
    <t>1200*800*550
0.53</t>
  </si>
  <si>
    <r>
      <t>PANDROL</t>
    </r>
    <r>
      <rPr>
        <b/>
        <sz val="16"/>
        <color rgb="FF000000"/>
        <rFont val="宋体"/>
        <family val="3"/>
        <charset val="134"/>
      </rPr>
      <t xml:space="preserve">
PACKING DETAILS
</t>
    </r>
  </si>
  <si>
    <t>25*159</t>
    <phoneticPr fontId="17" type="noConversion"/>
  </si>
  <si>
    <t>PC26-00563</t>
    <phoneticPr fontId="17" type="noConversion"/>
  </si>
  <si>
    <t>1200*800*350
0.34</t>
    <phoneticPr fontId="17" type="noConversion"/>
  </si>
  <si>
    <t>The pieces are packed in a bag : 32(8) pieces per bag and 35（17） bags per case so 1120（520）pieces per case</t>
    <phoneticPr fontId="17" type="noConversion"/>
  </si>
  <si>
    <t>1/7-6/7</t>
    <phoneticPr fontId="17" type="noConversion"/>
  </si>
  <si>
    <t>7/7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</si>
</sst>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20">
    <font>
      <sz val="11"/>
      <name val="宋体"/>
    </font>
    <font>
      <b/>
      <sz val="22"/>
      <color rgb="FFFFC000"/>
      <name val="宋体"/>
      <charset val="134"/>
    </font>
    <font>
      <b/>
      <sz val="16"/>
      <color rgb="FF000000"/>
      <name val="宋体"/>
      <charset val="134"/>
    </font>
    <font>
      <b/>
      <sz val="10"/>
      <color rgb="FF000000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Arial Unicode MS"/>
    </font>
    <font>
      <sz val="14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6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right" vertical="center"/>
    </xf>
    <xf numFmtId="176" fontId="11" fillId="0" borderId="0" xfId="0" applyNumberFormat="1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zoomScaleNormal="100" workbookViewId="0">
      <selection activeCell="E6" sqref="E6"/>
    </sheetView>
  </sheetViews>
  <sheetFormatPr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6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35.1" customHeight="1">
      <c r="A3" s="4">
        <v>1</v>
      </c>
      <c r="B3" s="5" t="s">
        <v>17</v>
      </c>
      <c r="C3" s="22" t="s">
        <v>22</v>
      </c>
      <c r="D3" s="27" t="s">
        <v>23</v>
      </c>
      <c r="E3" s="36" t="s">
        <v>26</v>
      </c>
      <c r="F3" s="4">
        <f>J3*K3</f>
        <v>6720</v>
      </c>
      <c r="G3" s="6">
        <v>32</v>
      </c>
      <c r="H3" s="6">
        <f>K3*I3</f>
        <v>210</v>
      </c>
      <c r="I3" s="4">
        <v>35</v>
      </c>
      <c r="J3" s="4">
        <f>G3*I3</f>
        <v>1120</v>
      </c>
      <c r="K3" s="4">
        <v>6</v>
      </c>
      <c r="L3" s="4">
        <v>706</v>
      </c>
      <c r="M3" s="4">
        <f>L3+42</f>
        <v>748</v>
      </c>
      <c r="N3" s="7" t="s">
        <v>20</v>
      </c>
      <c r="O3" s="8">
        <f>L3*K3</f>
        <v>4236</v>
      </c>
      <c r="P3" s="8">
        <f>M3*K3</f>
        <v>4488</v>
      </c>
      <c r="Q3" s="8">
        <f>0.53*K3</f>
        <v>3.18</v>
      </c>
    </row>
    <row r="4" spans="1:17" ht="35.1" customHeight="1">
      <c r="A4" s="23">
        <v>2</v>
      </c>
      <c r="B4" s="25" t="s">
        <v>17</v>
      </c>
      <c r="C4" s="27" t="s">
        <v>22</v>
      </c>
      <c r="D4" s="18"/>
      <c r="E4" s="37" t="s">
        <v>27</v>
      </c>
      <c r="F4" s="23">
        <f>J4+J5</f>
        <v>520</v>
      </c>
      <c r="G4" s="6">
        <v>32</v>
      </c>
      <c r="H4" s="6">
        <f>I4*K4</f>
        <v>16</v>
      </c>
      <c r="I4" s="4">
        <v>16</v>
      </c>
      <c r="J4" s="4">
        <f>G4*I4</f>
        <v>512</v>
      </c>
      <c r="K4" s="23">
        <v>1</v>
      </c>
      <c r="L4" s="23">
        <v>327</v>
      </c>
      <c r="M4" s="23">
        <f>L4+30</f>
        <v>357</v>
      </c>
      <c r="N4" s="34" t="s">
        <v>24</v>
      </c>
      <c r="O4" s="30">
        <f>L4*K4</f>
        <v>327</v>
      </c>
      <c r="P4" s="30">
        <f>M4*K4</f>
        <v>357</v>
      </c>
      <c r="Q4" s="30">
        <f>0.34*K4</f>
        <v>0.34</v>
      </c>
    </row>
    <row r="5" spans="1:17" ht="35.1" customHeight="1">
      <c r="A5" s="24"/>
      <c r="B5" s="26"/>
      <c r="C5" s="28"/>
      <c r="D5" s="18"/>
      <c r="E5" s="33"/>
      <c r="F5" s="24"/>
      <c r="G5" s="6">
        <v>8</v>
      </c>
      <c r="H5" s="6">
        <f>K4*I5</f>
        <v>1</v>
      </c>
      <c r="I5" s="4">
        <v>1</v>
      </c>
      <c r="J5" s="4">
        <f>G5*I5</f>
        <v>8</v>
      </c>
      <c r="K5" s="24"/>
      <c r="L5" s="24"/>
      <c r="M5" s="24"/>
      <c r="N5" s="29"/>
      <c r="O5" s="31"/>
      <c r="P5" s="31"/>
      <c r="Q5" s="31"/>
    </row>
    <row r="6" spans="1:17" ht="35.25" customHeight="1">
      <c r="A6" s="19" t="s">
        <v>18</v>
      </c>
      <c r="B6" s="19"/>
      <c r="C6" s="19"/>
      <c r="D6" s="9"/>
      <c r="E6" s="6"/>
      <c r="F6" s="32">
        <f>SUM(F3:F4)</f>
        <v>7240</v>
      </c>
      <c r="G6" s="6"/>
      <c r="H6" s="6">
        <f>SUM(H3:H5)</f>
        <v>227</v>
      </c>
      <c r="I6" s="6"/>
      <c r="J6" s="6"/>
      <c r="K6" s="6">
        <f>SUM(K3:K4)</f>
        <v>7</v>
      </c>
      <c r="L6" s="6"/>
      <c r="M6" s="6"/>
      <c r="N6" s="10"/>
      <c r="O6" s="6">
        <f>SUM(O3:O4)</f>
        <v>4563</v>
      </c>
      <c r="P6" s="6">
        <f>SUM(P3:P4)</f>
        <v>4845</v>
      </c>
      <c r="Q6" s="6">
        <f>SUM(Q3:Q4)</f>
        <v>3.52</v>
      </c>
    </row>
    <row r="7" spans="1:17" ht="21" customHeight="1">
      <c r="A7" s="11"/>
      <c r="B7" s="12" t="s">
        <v>19</v>
      </c>
      <c r="C7" s="35" t="s">
        <v>25</v>
      </c>
      <c r="N7" s="11"/>
      <c r="O7" s="11"/>
      <c r="P7" s="11"/>
      <c r="Q7" s="11"/>
    </row>
    <row r="8" spans="1:17" ht="21" customHeight="1">
      <c r="A8" s="11"/>
      <c r="B8" s="13"/>
      <c r="C8" s="14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18.75">
      <c r="A9" s="11"/>
      <c r="B9" s="11"/>
      <c r="C9" s="14"/>
      <c r="D9" s="11"/>
      <c r="E9" s="11"/>
      <c r="F9" s="11"/>
      <c r="G9" s="11"/>
      <c r="H9" s="11"/>
      <c r="I9" s="11"/>
      <c r="J9" s="11"/>
      <c r="K9" s="11"/>
      <c r="L9" s="11"/>
      <c r="M9" s="11"/>
      <c r="N9" s="20">
        <v>46128</v>
      </c>
      <c r="O9" s="20"/>
      <c r="P9" s="20"/>
      <c r="Q9" s="20"/>
    </row>
    <row r="10" spans="1:17" ht="18.75">
      <c r="A10" s="11"/>
      <c r="B10" s="11"/>
      <c r="C10" s="1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21"/>
      <c r="O10" s="21"/>
      <c r="P10" s="21"/>
      <c r="Q10" s="21"/>
    </row>
    <row r="11" spans="1:17">
      <c r="A11" s="15"/>
      <c r="B11" s="15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>
      <c r="A12" s="15"/>
      <c r="B12" s="15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15"/>
      <c r="B13" s="15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</sheetData>
  <mergeCells count="17">
    <mergeCell ref="E4:E5"/>
    <mergeCell ref="A1:Q1"/>
    <mergeCell ref="D3:D5"/>
    <mergeCell ref="A6:C6"/>
    <mergeCell ref="N9:Q9"/>
    <mergeCell ref="N10:Q10"/>
    <mergeCell ref="A4:A5"/>
    <mergeCell ref="B4:B5"/>
    <mergeCell ref="C4:C5"/>
    <mergeCell ref="F4:F5"/>
    <mergeCell ref="L4:L5"/>
    <mergeCell ref="M4:M5"/>
    <mergeCell ref="N4:N5"/>
    <mergeCell ref="O4:O5"/>
    <mergeCell ref="P4:P5"/>
    <mergeCell ref="Q4:Q5"/>
    <mergeCell ref="K4:K5"/>
  </mergeCells>
  <phoneticPr fontId="17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4ce8e1-e61e-4f10-ada2-68c6c500bded" xsi:nil="true"/>
    <lcf76f155ced4ddcb4097134ff3c332f xmlns="bbf2d0ee-83cb-4e18-b698-24213899dd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BC9A1DBEA3F41BF126104538CF2F4" ma:contentTypeVersion="18" ma:contentTypeDescription="Create a new document." ma:contentTypeScope="" ma:versionID="e07f268e493d4023498cc0a747bb2c9e">
  <xsd:schema xmlns:xsd="http://www.w3.org/2001/XMLSchema" xmlns:xs="http://www.w3.org/2001/XMLSchema" xmlns:p="http://schemas.microsoft.com/office/2006/metadata/properties" xmlns:ns2="ad4ce8e1-e61e-4f10-ada2-68c6c500bded" xmlns:ns3="bbf2d0ee-83cb-4e18-b698-24213899dd0a" targetNamespace="http://schemas.microsoft.com/office/2006/metadata/properties" ma:root="true" ma:fieldsID="903c3bdafd57c3e92037930261546fa3" ns2:_="" ns3:_="">
    <xsd:import namespace="ad4ce8e1-e61e-4f10-ada2-68c6c500bded"/>
    <xsd:import namespace="bbf2d0ee-83cb-4e18-b698-24213899dd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ce8e1-e61e-4f10-ada2-68c6c500bd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7e836a-ee1c-4046-88d4-36156c3b16d2}" ma:internalName="TaxCatchAll" ma:showField="CatchAllData" ma:web="ad4ce8e1-e61e-4f10-ada2-68c6c500bd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2d0ee-83cb-4e18-b698-24213899d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015f81-0a24-41cb-a26e-9f91238b9d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DB3F01EB-CA78-423E-834D-5A59EE371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4ce8e1-e61e-4f10-ada2-68c6c500bded"/>
    <ds:schemaRef ds:uri="bbf2d0ee-83cb-4e18-b698-24213899d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2006-09-13T03:21:00Z</dcterms:created>
  <dcterms:modified xsi:type="dcterms:W3CDTF">2026-04-16T02:12:19Z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0x0101007E6BC9A1DBEA3F41BF126104538CF2F4</vt:lpwstr>
  </property>
  <property fmtid="{D5CDD505-2E9C-101B-9397-08002B2CF9AE}" pid="3" name="ICV">
    <vt:lpwstr>25C2906FAB4D4D72BCCE11F1B2B88C0B_13</vt:lpwstr>
  </property>
  <property fmtid="{D5CDD505-2E9C-101B-9397-08002B2CF9AE}" pid="4" name="KSOProductBuildVer">
    <vt:lpwstr>2052-12.1.0.18608</vt:lpwstr>
  </property>
</Properties>
</file>