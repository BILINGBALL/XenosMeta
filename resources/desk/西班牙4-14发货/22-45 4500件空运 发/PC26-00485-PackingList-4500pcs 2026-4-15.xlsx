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F2613FBD-1A5D-4CF7-8F67-DD6705F66C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M3" i="1"/>
  <c r="P3" i="1" s="1"/>
  <c r="J4" i="1"/>
  <c r="J3" i="1"/>
  <c r="I3" i="1"/>
  <c r="O3" i="1"/>
  <c r="K5" i="1"/>
  <c r="F3" i="1" l="1"/>
  <c r="H5" i="1"/>
  <c r="Q5" i="1"/>
  <c r="P5" i="1"/>
  <c r="O5" i="1"/>
  <c r="F5" i="1"/>
</calcChain>
</file>

<file path=xl/sharedStrings.xml><?xml version="1.0" encoding="utf-8"?>
<sst xmlns="http://schemas.openxmlformats.org/spreadsheetml/2006/main" count="24" uniqueCount="24">
  <si>
    <t xml:space="preserve">
Name</t>
  </si>
  <si>
    <t xml:space="preserve">
Spec.</t>
  </si>
  <si>
    <t xml:space="preserve">
PO</t>
  </si>
  <si>
    <t xml:space="preserve">
Case No.</t>
  </si>
  <si>
    <t xml:space="preserve">
CASE</t>
  </si>
  <si>
    <t xml:space="preserve">
Volume M³</t>
  </si>
  <si>
    <t>Dimensions (mm) and volume (m3) / case</t>
  </si>
  <si>
    <t>Total Net weight
NW
（KG）</t>
  </si>
  <si>
    <t>Total Gross weight
GW
(KG）</t>
  </si>
  <si>
    <t>Net weight
NW/CASE
（KG）</t>
  </si>
  <si>
    <t>Gross weight
GW/CASE
（KG）</t>
  </si>
  <si>
    <r>
      <t xml:space="preserve">
</t>
    </r>
    <r>
      <rPr>
        <b/>
        <sz val="9"/>
        <color theme="1"/>
        <rFont val="宋体"/>
        <family val="2"/>
        <scheme val="minor"/>
      </rPr>
      <t>Quantity</t>
    </r>
  </si>
  <si>
    <r>
      <rPr>
        <b/>
        <sz val="11"/>
        <color theme="1"/>
        <rFont val="宋体"/>
        <family val="2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</si>
  <si>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Pieces
/case</t>
  </si>
  <si>
    <t xml:space="preserve">
Bags
/case</t>
  </si>
  <si>
    <t xml:space="preserve">
Bags</t>
  </si>
  <si>
    <t xml:space="preserve">
Pieces
/bag     (*)</t>
  </si>
  <si>
    <t>1200*800*550
0.53</t>
    <phoneticPr fontId="1" type="noConversion"/>
  </si>
  <si>
    <t>M22×45</t>
    <phoneticPr fontId="1" type="noConversion"/>
  </si>
  <si>
    <t>Hook screw</t>
    <phoneticPr fontId="1" type="noConversion"/>
  </si>
  <si>
    <t>No</t>
    <phoneticPr fontId="1" type="noConversion"/>
  </si>
  <si>
    <t>1/1</t>
    <phoneticPr fontId="1" type="noConversion"/>
  </si>
  <si>
    <r>
      <rPr>
        <b/>
        <sz val="22"/>
        <color rgb="FFFFC000"/>
        <rFont val="宋体"/>
        <family val="2"/>
        <scheme val="minor"/>
      </rPr>
      <t>PANDROL</t>
    </r>
    <r>
      <rPr>
        <b/>
        <sz val="16"/>
        <color theme="1"/>
        <rFont val="宋体"/>
        <family val="2"/>
        <scheme val="minor"/>
      </rPr>
      <t xml:space="preserve">
PACKING DETAILS
</t>
    </r>
    <phoneticPr fontId="1" type="noConversion"/>
  </si>
  <si>
    <t>PC26-00485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</si>
</sst>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d\-mmm\-yy;@"/>
  </numFmts>
  <fonts count="1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Arial Unicode MS"/>
      <family val="2"/>
      <charset val="134"/>
    </font>
    <font>
      <b/>
      <sz val="11"/>
      <color theme="1"/>
      <name val="宋体"/>
      <family val="2"/>
      <scheme val="minor"/>
    </font>
    <font>
      <b/>
      <sz val="10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b/>
      <sz val="16"/>
      <color theme="1"/>
      <name val="宋体"/>
      <family val="2"/>
      <scheme val="minor"/>
    </font>
    <font>
      <b/>
      <sz val="22"/>
      <color rgb="FFFFC000"/>
      <name val="宋体"/>
      <family val="2"/>
      <scheme val="minor"/>
    </font>
    <font>
      <sz val="1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3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4" fillId="0" borderId="2" xfId="0" quotePrefix="1" applyFont="1" applyBorder="1" applyAlignment="1">
      <alignment horizontal="center" vertical="center"/>
    </xf>
    <xf numFmtId="0" fontId="14" fillId="0" borderId="3" xfId="0" quotePrefix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5"/>
  <sheetViews>
    <sheetView tabSelected="1" topLeftCell="A2" workbookViewId="0">
      <selection activeCell="J6" sqref="J6"/>
    </sheetView>
  </sheetViews>
  <sheetFormatPr defaultColWidth="8.75" defaultRowHeight="13.5"/>
  <cols>
    <col min="1" max="1" width="6.625" customWidth="1"/>
    <col min="2" max="2" width="10.375" customWidth="1"/>
    <col min="3" max="3" width="9.375" customWidth="1"/>
    <col min="4" max="4" width="11.375" customWidth="1"/>
    <col min="5" max="5" width="11.12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</cols>
  <sheetData>
    <row r="1" spans="1:17" ht="80.45" customHeight="1">
      <c r="A1" s="27" t="s">
        <v>22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ht="68.45" customHeight="1">
      <c r="A2" s="7" t="s">
        <v>20</v>
      </c>
      <c r="B2" s="7" t="s">
        <v>0</v>
      </c>
      <c r="C2" s="7" t="s">
        <v>1</v>
      </c>
      <c r="D2" s="8" t="s">
        <v>2</v>
      </c>
      <c r="E2" s="8" t="s">
        <v>3</v>
      </c>
      <c r="F2" s="9" t="s">
        <v>11</v>
      </c>
      <c r="G2" s="8" t="s">
        <v>16</v>
      </c>
      <c r="H2" s="8" t="s">
        <v>15</v>
      </c>
      <c r="I2" s="8" t="s">
        <v>14</v>
      </c>
      <c r="J2" s="8" t="s">
        <v>13</v>
      </c>
      <c r="K2" s="8" t="s">
        <v>4</v>
      </c>
      <c r="L2" s="8" t="s">
        <v>9</v>
      </c>
      <c r="M2" s="8" t="s">
        <v>10</v>
      </c>
      <c r="N2" s="8" t="s">
        <v>6</v>
      </c>
      <c r="O2" s="7" t="s">
        <v>7</v>
      </c>
      <c r="P2" s="7" t="s">
        <v>8</v>
      </c>
      <c r="Q2" s="7" t="s">
        <v>5</v>
      </c>
    </row>
    <row r="3" spans="1:17" ht="52.5" customHeight="1">
      <c r="A3" s="15">
        <v>1</v>
      </c>
      <c r="B3" s="16" t="s">
        <v>19</v>
      </c>
      <c r="C3" s="18" t="s">
        <v>18</v>
      </c>
      <c r="D3" s="20" t="s">
        <v>23</v>
      </c>
      <c r="E3" s="21" t="s">
        <v>21</v>
      </c>
      <c r="F3" s="23">
        <f>J3+J4</f>
        <v>4500</v>
      </c>
      <c r="G3" s="3">
        <v>80</v>
      </c>
      <c r="H3" s="3">
        <v>56</v>
      </c>
      <c r="I3" s="23">
        <f>H3+H4</f>
        <v>57</v>
      </c>
      <c r="J3" s="11">
        <f>G3*H3</f>
        <v>4480</v>
      </c>
      <c r="K3" s="23">
        <v>1</v>
      </c>
      <c r="L3" s="23">
        <v>878</v>
      </c>
      <c r="M3" s="23">
        <f>L3+42</f>
        <v>920</v>
      </c>
      <c r="N3" s="25" t="s">
        <v>17</v>
      </c>
      <c r="O3" s="23">
        <f>L3*K3</f>
        <v>878</v>
      </c>
      <c r="P3" s="23">
        <f>M3*K3</f>
        <v>920</v>
      </c>
      <c r="Q3" s="23">
        <f>0.53*K3</f>
        <v>0.53</v>
      </c>
    </row>
    <row r="4" spans="1:17" ht="52.5" customHeight="1">
      <c r="A4" s="15"/>
      <c r="B4" s="17"/>
      <c r="C4" s="19"/>
      <c r="D4" s="20"/>
      <c r="E4" s="22"/>
      <c r="F4" s="24"/>
      <c r="G4" s="3">
        <v>20</v>
      </c>
      <c r="H4" s="3">
        <v>1</v>
      </c>
      <c r="I4" s="24"/>
      <c r="J4" s="11">
        <f>G4*H4</f>
        <v>20</v>
      </c>
      <c r="K4" s="24"/>
      <c r="L4" s="24"/>
      <c r="M4" s="24"/>
      <c r="N4" s="26"/>
      <c r="O4" s="24"/>
      <c r="P4" s="24"/>
      <c r="Q4" s="24"/>
    </row>
    <row r="5" spans="1:17" ht="35.25" customHeight="1">
      <c r="A5" s="13" t="s">
        <v>12</v>
      </c>
      <c r="B5" s="14"/>
      <c r="C5" s="14"/>
      <c r="D5" s="6"/>
      <c r="E5" s="3"/>
      <c r="F5" s="3">
        <f>SUM(F3:F4)</f>
        <v>4500</v>
      </c>
      <c r="G5" s="3"/>
      <c r="H5" s="3">
        <f>SUM(H3:H4)</f>
        <v>57</v>
      </c>
      <c r="I5" s="3"/>
      <c r="J5" s="10"/>
      <c r="K5" s="10">
        <f>SUM(K3:K4)</f>
        <v>1</v>
      </c>
      <c r="L5" s="10"/>
      <c r="M5" s="10"/>
      <c r="N5" s="10"/>
      <c r="O5" s="10">
        <f>SUM(O3:O4)</f>
        <v>878</v>
      </c>
      <c r="P5" s="10">
        <f>SUM(P3:P4)</f>
        <v>920</v>
      </c>
      <c r="Q5" s="10">
        <f>SUM(Q3:Q4)</f>
        <v>0.53</v>
      </c>
    </row>
    <row r="6" spans="1:17" ht="21" customHeight="1">
      <c r="A6" s="2"/>
      <c r="B6" s="4"/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8.75">
      <c r="A7" s="2"/>
      <c r="B7" s="2"/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9">
        <v>46128</v>
      </c>
      <c r="O7" s="29"/>
      <c r="P7" s="29"/>
      <c r="Q7" s="29"/>
    </row>
    <row r="8" spans="1:17" ht="18.75">
      <c r="A8" s="2"/>
      <c r="B8" s="2"/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12"/>
      <c r="O8" s="12"/>
      <c r="P8" s="12"/>
      <c r="Q8" s="12"/>
    </row>
    <row r="9" spans="1:17">
      <c r="A9" s="1"/>
      <c r="B9" s="1"/>
      <c r="C9" s="5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>
      <c r="A10" s="1"/>
      <c r="B10" s="1"/>
      <c r="C10" s="5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>
      <c r="A11" s="1"/>
      <c r="B11" s="1"/>
      <c r="C11" s="5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</sheetData>
  <mergeCells count="18">
    <mergeCell ref="A1:Q1"/>
    <mergeCell ref="N7:Q7"/>
    <mergeCell ref="N8:Q8"/>
    <mergeCell ref="A5:C5"/>
    <mergeCell ref="A3:A4"/>
    <mergeCell ref="B3:B4"/>
    <mergeCell ref="C3:C4"/>
    <mergeCell ref="D3:D4"/>
    <mergeCell ref="E3:E4"/>
    <mergeCell ref="F3:F4"/>
    <mergeCell ref="K3:K4"/>
    <mergeCell ref="L3:L4"/>
    <mergeCell ref="M3:M4"/>
    <mergeCell ref="N3:N4"/>
    <mergeCell ref="O3:O4"/>
    <mergeCell ref="P3:P4"/>
    <mergeCell ref="Q3:Q4"/>
    <mergeCell ref="I3:I4"/>
  </mergeCells>
  <phoneticPr fontId="1" type="noConversion"/>
  <pageMargins left="0.51181102362204722" right="0.51181102362204722" top="0.19685039370078741" bottom="0.74803149606299213" header="0.31496062992125984" footer="0.31496062992125984"/>
  <pageSetup paperSize="9" scale="9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D0F0C3-FD85-4F4A-B3C7-C631F71BA55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38A6DA2-9912-4902-93FB-649328AF6A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e6e8895-a1a3-471c-8d53-a32df94e8e84"/>
    <ds:schemaRef ds:uri="78763921-75a2-4c66-8344-28a70ab3a1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2532537-10CC-40F5-A17B-2B64C178E5C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2026-04-21T01:57:24Z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</Properties>
</file>