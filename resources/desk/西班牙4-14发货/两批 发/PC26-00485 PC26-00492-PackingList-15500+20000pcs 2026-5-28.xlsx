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BE03383D-7383-4A38-8124-AAA30D8610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" l="1"/>
  <c r="P9" i="1"/>
  <c r="O9" i="1"/>
  <c r="K9" i="1"/>
  <c r="H9" i="1"/>
  <c r="F9" i="1"/>
  <c r="Q7" i="1"/>
  <c r="O7" i="1"/>
  <c r="M7" i="1"/>
  <c r="P7" i="1" s="1"/>
  <c r="Q6" i="1"/>
  <c r="O6" i="1"/>
  <c r="M6" i="1"/>
  <c r="P6" i="1" s="1"/>
  <c r="J6" i="1"/>
  <c r="F6" i="1" s="1"/>
  <c r="H6" i="1"/>
  <c r="M4" i="1" l="1"/>
  <c r="Q4" i="1"/>
  <c r="J3" i="1"/>
  <c r="F3" i="1"/>
  <c r="H3" i="1"/>
  <c r="Q3" i="1"/>
  <c r="O3" i="1"/>
  <c r="M3" i="1"/>
  <c r="P3" i="1" s="1"/>
  <c r="P4" i="1"/>
  <c r="J5" i="1"/>
  <c r="J4" i="1"/>
  <c r="I4" i="1"/>
  <c r="O4" i="1"/>
  <c r="F4" i="1" l="1"/>
</calcChain>
</file>

<file path=xl/sharedStrings.xml><?xml version="1.0" encoding="utf-8"?>
<sst xmlns="http://schemas.openxmlformats.org/spreadsheetml/2006/main" count="37" uniqueCount="33">
  <si>
    <t xml:space="preserve">
Name</t>
  </si>
  <si>
    <t xml:space="preserve">
Spec.</t>
  </si>
  <si>
    <t xml:space="preserve">
PO</t>
  </si>
  <si>
    <t xml:space="preserve">
Case No.</t>
  </si>
  <si>
    <t xml:space="preserve">
CASE</t>
  </si>
  <si>
    <t xml:space="preserve">
Volume M³</t>
  </si>
  <si>
    <t>Dimensions (mm) and volume (m3) / case</t>
  </si>
  <si>
    <t>Total Net weight
NW
（KG）</t>
  </si>
  <si>
    <t>Total Gross weight
GW
(KG）</t>
  </si>
  <si>
    <t>Net weight
NW/CASE
（KG）</t>
  </si>
  <si>
    <t>Gross weight
GW/CASE
（KG）</t>
  </si>
  <si>
    <r>
      <t xml:space="preserve">
</t>
    </r>
    <r>
      <rPr>
        <b/>
        <sz val="9"/>
        <color theme="1"/>
        <rFont val="宋体"/>
        <family val="2"/>
        <scheme val="minor"/>
      </rPr>
      <t>Quantity</t>
    </r>
  </si>
  <si>
    <r>
      <rPr>
        <b/>
        <sz val="11"/>
        <color theme="1"/>
        <rFont val="宋体"/>
        <family val="2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</si>
  <si>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Pieces
/case</t>
  </si>
  <si>
    <t xml:space="preserve">
Bags
/case</t>
  </si>
  <si>
    <t xml:space="preserve">
Bags</t>
  </si>
  <si>
    <t xml:space="preserve">
Pieces
/bag     (*)</t>
  </si>
  <si>
    <t>1200*800*550
0.53</t>
    <phoneticPr fontId="1" type="noConversion"/>
  </si>
  <si>
    <t>M22×45</t>
    <phoneticPr fontId="1" type="noConversion"/>
  </si>
  <si>
    <t>Hook screw</t>
    <phoneticPr fontId="1" type="noConversion"/>
  </si>
  <si>
    <t>No</t>
    <phoneticPr fontId="1" type="noConversion"/>
  </si>
  <si>
    <r>
      <rPr>
        <b/>
        <sz val="22"/>
        <color rgb="FFFFC000"/>
        <rFont val="宋体"/>
        <family val="2"/>
        <scheme val="minor"/>
      </rPr>
      <t>PANDROL</t>
    </r>
    <r>
      <rPr>
        <b/>
        <sz val="16"/>
        <color theme="1"/>
        <rFont val="宋体"/>
        <family val="2"/>
        <scheme val="minor"/>
      </rPr>
      <t xml:space="preserve">
PACKING DETAILS
</t>
    </r>
    <phoneticPr fontId="1" type="noConversion"/>
  </si>
  <si>
    <t>PC26-00485</t>
    <phoneticPr fontId="1" type="noConversion"/>
  </si>
  <si>
    <t>1200*800*350
0.34</t>
    <phoneticPr fontId="1" type="noConversion"/>
  </si>
  <si>
    <t>T bolt with nut and washer</t>
    <phoneticPr fontId="18" type="noConversion"/>
  </si>
  <si>
    <t>22*112</t>
    <phoneticPr fontId="18" type="noConversion"/>
  </si>
  <si>
    <t>PC26-00492</t>
    <phoneticPr fontId="18" type="noConversion"/>
  </si>
  <si>
    <t>1200*800*550
0.53</t>
  </si>
  <si>
    <t>1200*800*350
0.34</t>
    <phoneticPr fontId="18" type="noConversion"/>
  </si>
  <si>
    <t>1/21-3/21</t>
    <phoneticPr fontId="1" type="noConversion"/>
  </si>
  <si>
    <t>4/21</t>
    <phoneticPr fontId="1" type="noConversion"/>
  </si>
  <si>
    <t>5/21-20/21</t>
    <phoneticPr fontId="18" type="noConversion"/>
  </si>
  <si>
    <t>21/21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</si>
</sst>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2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 Unicode MS"/>
      <family val="2"/>
      <charset val="134"/>
    </font>
    <font>
      <b/>
      <sz val="11"/>
      <color theme="1"/>
      <name val="宋体"/>
      <family val="2"/>
      <scheme val="minor"/>
    </font>
    <font>
      <b/>
      <sz val="10"/>
      <color theme="1"/>
      <name val="宋体"/>
      <family val="2"/>
      <scheme val="minor"/>
    </font>
    <font>
      <b/>
      <sz val="9"/>
      <color theme="1"/>
      <name val="宋体"/>
      <family val="2"/>
      <scheme val="minor"/>
    </font>
    <font>
      <sz val="9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b/>
      <sz val="16"/>
      <color theme="1"/>
      <name val="宋体"/>
      <family val="2"/>
      <scheme val="minor"/>
    </font>
    <font>
      <b/>
      <sz val="22"/>
      <color rgb="FFFFC000"/>
      <name val="宋体"/>
      <family val="2"/>
      <scheme val="minor"/>
    </font>
    <font>
      <sz val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1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9" fillId="0" borderId="2" xfId="0" quotePrefix="1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9"/>
  <sheetViews>
    <sheetView tabSelected="1" topLeftCell="A3" workbookViewId="0">
      <selection activeCell="E9" sqref="E9"/>
    </sheetView>
  </sheetViews>
  <sheetFormatPr defaultColWidth="8.75" defaultRowHeight="13.5"/>
  <cols>
    <col min="1" max="1" width="6.625" customWidth="1"/>
    <col min="2" max="2" width="10.37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36" t="s">
        <v>21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17" ht="68.45" customHeight="1">
      <c r="A2" s="7" t="s">
        <v>20</v>
      </c>
      <c r="B2" s="7" t="s">
        <v>0</v>
      </c>
      <c r="C2" s="7" t="s">
        <v>1</v>
      </c>
      <c r="D2" s="8" t="s">
        <v>2</v>
      </c>
      <c r="E2" s="8" t="s">
        <v>3</v>
      </c>
      <c r="F2" s="9" t="s">
        <v>11</v>
      </c>
      <c r="G2" s="8" t="s">
        <v>16</v>
      </c>
      <c r="H2" s="8" t="s">
        <v>15</v>
      </c>
      <c r="I2" s="8" t="s">
        <v>14</v>
      </c>
      <c r="J2" s="8" t="s">
        <v>13</v>
      </c>
      <c r="K2" s="8" t="s">
        <v>4</v>
      </c>
      <c r="L2" s="8" t="s">
        <v>9</v>
      </c>
      <c r="M2" s="8" t="s">
        <v>10</v>
      </c>
      <c r="N2" s="8" t="s">
        <v>6</v>
      </c>
      <c r="O2" s="7" t="s">
        <v>7</v>
      </c>
      <c r="P2" s="7" t="s">
        <v>8</v>
      </c>
      <c r="Q2" s="7" t="s">
        <v>5</v>
      </c>
    </row>
    <row r="3" spans="1:17" ht="52.5" customHeight="1">
      <c r="A3" s="3">
        <v>1</v>
      </c>
      <c r="B3" s="11" t="s">
        <v>19</v>
      </c>
      <c r="C3" s="12" t="s">
        <v>18</v>
      </c>
      <c r="D3" s="12" t="s">
        <v>22</v>
      </c>
      <c r="E3" s="13" t="s">
        <v>29</v>
      </c>
      <c r="F3" s="3">
        <f>J3*K3</f>
        <v>14400</v>
      </c>
      <c r="G3" s="3">
        <v>80</v>
      </c>
      <c r="H3" s="3">
        <f>I3*K3</f>
        <v>180</v>
      </c>
      <c r="I3" s="3">
        <v>60</v>
      </c>
      <c r="J3" s="3">
        <f>G3*I3</f>
        <v>4800</v>
      </c>
      <c r="K3" s="3">
        <v>3</v>
      </c>
      <c r="L3" s="3">
        <v>936</v>
      </c>
      <c r="M3" s="3">
        <f>L3+42</f>
        <v>978</v>
      </c>
      <c r="N3" s="14" t="s">
        <v>17</v>
      </c>
      <c r="O3" s="3">
        <f>L3*K3</f>
        <v>2808</v>
      </c>
      <c r="P3" s="3">
        <f>M3*K3</f>
        <v>2934</v>
      </c>
      <c r="Q3" s="3">
        <f>0.53*K3</f>
        <v>1.59</v>
      </c>
    </row>
    <row r="4" spans="1:17" ht="35.25" customHeight="1">
      <c r="A4" s="23">
        <v>2</v>
      </c>
      <c r="B4" s="41" t="s">
        <v>19</v>
      </c>
      <c r="C4" s="42" t="s">
        <v>18</v>
      </c>
      <c r="D4" s="42" t="s">
        <v>22</v>
      </c>
      <c r="E4" s="43" t="s">
        <v>30</v>
      </c>
      <c r="F4" s="23">
        <f>J4+J5</f>
        <v>1100</v>
      </c>
      <c r="G4" s="3">
        <v>80</v>
      </c>
      <c r="H4" s="3">
        <v>13</v>
      </c>
      <c r="I4" s="23">
        <f>H4+H5</f>
        <v>14</v>
      </c>
      <c r="J4" s="3">
        <f>G4*H4</f>
        <v>1040</v>
      </c>
      <c r="K4" s="23">
        <v>1</v>
      </c>
      <c r="L4" s="23">
        <v>215</v>
      </c>
      <c r="M4" s="23">
        <f>L4+30</f>
        <v>245</v>
      </c>
      <c r="N4" s="44" t="s">
        <v>23</v>
      </c>
      <c r="O4" s="23">
        <f>L4*K4</f>
        <v>215</v>
      </c>
      <c r="P4" s="23">
        <f>M4*K4</f>
        <v>245</v>
      </c>
      <c r="Q4" s="23">
        <f>0.34*K4</f>
        <v>0.34</v>
      </c>
    </row>
    <row r="5" spans="1:17" ht="35.25" customHeight="1">
      <c r="A5" s="23"/>
      <c r="B5" s="41"/>
      <c r="C5" s="42"/>
      <c r="D5" s="42"/>
      <c r="E5" s="43"/>
      <c r="F5" s="23"/>
      <c r="G5" s="3">
        <v>60</v>
      </c>
      <c r="H5" s="3">
        <v>1</v>
      </c>
      <c r="I5" s="23"/>
      <c r="J5" s="3">
        <f>G5*H5</f>
        <v>60</v>
      </c>
      <c r="K5" s="23"/>
      <c r="L5" s="23"/>
      <c r="M5" s="23"/>
      <c r="N5" s="44"/>
      <c r="O5" s="23"/>
      <c r="P5" s="23"/>
      <c r="Q5" s="23"/>
    </row>
    <row r="6" spans="1:17" ht="46.5" customHeight="1">
      <c r="A6" s="15">
        <v>3</v>
      </c>
      <c r="B6" s="24" t="s">
        <v>24</v>
      </c>
      <c r="C6" s="16" t="s">
        <v>25</v>
      </c>
      <c r="D6" s="27" t="s">
        <v>26</v>
      </c>
      <c r="E6" s="17" t="s">
        <v>31</v>
      </c>
      <c r="F6" s="15">
        <f>J6*K6</f>
        <v>19600</v>
      </c>
      <c r="G6" s="18">
        <v>35</v>
      </c>
      <c r="H6" s="18">
        <f>K6*I6</f>
        <v>560</v>
      </c>
      <c r="I6" s="15">
        <v>35</v>
      </c>
      <c r="J6" s="15">
        <f>G6*I6</f>
        <v>1225</v>
      </c>
      <c r="K6" s="15">
        <v>16</v>
      </c>
      <c r="L6" s="15">
        <v>696</v>
      </c>
      <c r="M6" s="15">
        <f>L6+42</f>
        <v>738</v>
      </c>
      <c r="N6" s="19" t="s">
        <v>27</v>
      </c>
      <c r="O6" s="20">
        <f>L6*K6</f>
        <v>11136</v>
      </c>
      <c r="P6" s="20">
        <f>M6*K6</f>
        <v>11808</v>
      </c>
      <c r="Q6" s="20">
        <f>0.53*K6</f>
        <v>8.48</v>
      </c>
    </row>
    <row r="7" spans="1:17" ht="35.1" customHeight="1">
      <c r="A7" s="29">
        <v>4</v>
      </c>
      <c r="B7" s="25"/>
      <c r="C7" s="27" t="s">
        <v>25</v>
      </c>
      <c r="D7" s="28"/>
      <c r="E7" s="32" t="s">
        <v>32</v>
      </c>
      <c r="F7" s="29">
        <v>400</v>
      </c>
      <c r="G7" s="18">
        <v>35</v>
      </c>
      <c r="H7" s="18">
        <v>11</v>
      </c>
      <c r="I7" s="29">
        <v>12</v>
      </c>
      <c r="J7" s="29">
        <v>400</v>
      </c>
      <c r="K7" s="29">
        <v>1</v>
      </c>
      <c r="L7" s="29">
        <v>227</v>
      </c>
      <c r="M7" s="29">
        <f>L7+30</f>
        <v>257</v>
      </c>
      <c r="N7" s="34" t="s">
        <v>28</v>
      </c>
      <c r="O7" s="21">
        <f>L7*K7</f>
        <v>227</v>
      </c>
      <c r="P7" s="21">
        <f>M7*K7</f>
        <v>257</v>
      </c>
      <c r="Q7" s="21">
        <f>0.34*K7</f>
        <v>0.34</v>
      </c>
    </row>
    <row r="8" spans="1:17" ht="35.1" customHeight="1">
      <c r="A8" s="30"/>
      <c r="B8" s="26"/>
      <c r="C8" s="31"/>
      <c r="D8" s="28"/>
      <c r="E8" s="33"/>
      <c r="F8" s="30"/>
      <c r="G8" s="18">
        <v>15</v>
      </c>
      <c r="H8" s="18">
        <v>1</v>
      </c>
      <c r="I8" s="30"/>
      <c r="J8" s="30"/>
      <c r="K8" s="30"/>
      <c r="L8" s="30"/>
      <c r="M8" s="30"/>
      <c r="N8" s="35"/>
      <c r="O8" s="22"/>
      <c r="P8" s="22"/>
      <c r="Q8" s="22"/>
    </row>
    <row r="9" spans="1:17" ht="35.25" customHeight="1">
      <c r="A9" s="40" t="s">
        <v>12</v>
      </c>
      <c r="B9" s="23"/>
      <c r="C9" s="23"/>
      <c r="D9" s="6"/>
      <c r="E9" s="3"/>
      <c r="F9" s="3">
        <f>SUM(F3:F8)</f>
        <v>35500</v>
      </c>
      <c r="G9" s="3"/>
      <c r="H9" s="3">
        <f>SUM(H3:H8)</f>
        <v>766</v>
      </c>
      <c r="I9" s="3"/>
      <c r="J9" s="10"/>
      <c r="K9" s="3">
        <f>SUM(K3:K8)</f>
        <v>21</v>
      </c>
      <c r="L9" s="10"/>
      <c r="M9" s="10"/>
      <c r="N9" s="10"/>
      <c r="O9" s="3">
        <f t="shared" ref="O9:Q9" si="0">SUM(O3:O8)</f>
        <v>14386</v>
      </c>
      <c r="P9" s="3">
        <f t="shared" si="0"/>
        <v>15244</v>
      </c>
      <c r="Q9" s="3">
        <f t="shared" si="0"/>
        <v>10.75</v>
      </c>
    </row>
    <row r="10" spans="1:17" ht="21" customHeight="1">
      <c r="A10" s="2"/>
      <c r="B10" s="4"/>
      <c r="C10" s="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8.75">
      <c r="A11" s="2"/>
      <c r="B11" s="2"/>
      <c r="C11" s="5"/>
      <c r="D11" s="2"/>
      <c r="E11" s="2"/>
      <c r="F11" s="2"/>
      <c r="G11" s="2"/>
      <c r="H11" s="2"/>
      <c r="I11" s="2"/>
      <c r="J11" s="2"/>
      <c r="K11" s="2"/>
      <c r="L11" s="2"/>
      <c r="M11" s="2"/>
      <c r="N11" s="38">
        <v>46170</v>
      </c>
      <c r="O11" s="38"/>
      <c r="P11" s="38"/>
      <c r="Q11" s="38"/>
    </row>
    <row r="12" spans="1:17" ht="18.75">
      <c r="A12" s="2"/>
      <c r="B12" s="2"/>
      <c r="C12" s="5"/>
      <c r="D12" s="2"/>
      <c r="E12" s="2"/>
      <c r="F12" s="2"/>
      <c r="G12" s="2"/>
      <c r="H12" s="2"/>
      <c r="I12" s="2"/>
      <c r="J12" s="2"/>
      <c r="K12" s="2"/>
      <c r="L12" s="2"/>
      <c r="M12" s="2"/>
      <c r="N12" s="39"/>
      <c r="O12" s="39"/>
      <c r="P12" s="39"/>
      <c r="Q12" s="39"/>
    </row>
    <row r="13" spans="1:17">
      <c r="A13" s="1"/>
      <c r="B13" s="1"/>
      <c r="C13" s="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1"/>
      <c r="B14" s="1"/>
      <c r="C14" s="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1"/>
      <c r="B15" s="1"/>
      <c r="C15" s="5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</sheetData>
  <mergeCells count="33">
    <mergeCell ref="A1:Q1"/>
    <mergeCell ref="N11:Q11"/>
    <mergeCell ref="N12:Q12"/>
    <mergeCell ref="A9:C9"/>
    <mergeCell ref="A4:A5"/>
    <mergeCell ref="B4:B5"/>
    <mergeCell ref="C4:C5"/>
    <mergeCell ref="D4:D5"/>
    <mergeCell ref="E4:E5"/>
    <mergeCell ref="F4:F5"/>
    <mergeCell ref="K4:K5"/>
    <mergeCell ref="L4:L5"/>
    <mergeCell ref="M4:M5"/>
    <mergeCell ref="N4:N5"/>
    <mergeCell ref="A7:A8"/>
    <mergeCell ref="C7:C8"/>
    <mergeCell ref="E7:E8"/>
    <mergeCell ref="F7:F8"/>
    <mergeCell ref="I7:I8"/>
    <mergeCell ref="Q7:Q8"/>
    <mergeCell ref="O4:O5"/>
    <mergeCell ref="P4:P5"/>
    <mergeCell ref="B6:B8"/>
    <mergeCell ref="D6:D8"/>
    <mergeCell ref="J7:J8"/>
    <mergeCell ref="K7:K8"/>
    <mergeCell ref="L7:L8"/>
    <mergeCell ref="M7:M8"/>
    <mergeCell ref="N7:N8"/>
    <mergeCell ref="O7:O8"/>
    <mergeCell ref="P7:P8"/>
    <mergeCell ref="Q4:Q5"/>
    <mergeCell ref="I4:I5"/>
  </mergeCells>
  <phoneticPr fontId="1" type="noConversion"/>
  <pageMargins left="0.51181102362204722" right="0.51181102362204722" top="0.19685039370078741" bottom="0.74803149606299213" header="0.31496062992125984" footer="0.31496062992125984"/>
  <pageSetup paperSize="9" scale="9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532537-10CC-40F5-A17B-2B64C178E5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8A6DA2-9912-4902-93FB-649328AF6A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6e8895-a1a3-471c-8d53-a32df94e8e84"/>
    <ds:schemaRef ds:uri="78763921-75a2-4c66-8344-28a70ab3a1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D0F0C3-FD85-4F4A-B3C7-C631F71BA55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2026-05-28T06:31:20Z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</Properties>
</file>