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96FC8218-28C0-4C8E-A88B-8A05E0325B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Q6" i="1"/>
  <c r="O6" i="1"/>
  <c r="K6" i="1"/>
  <c r="H6" i="1"/>
  <c r="F6" i="1"/>
  <c r="Q4" i="1"/>
  <c r="J3" i="1"/>
  <c r="F3" i="1"/>
  <c r="H3" i="1"/>
  <c r="Q3" i="1"/>
  <c r="O3" i="1"/>
  <c r="M3" i="1"/>
  <c r="P3" i="1" s="1"/>
  <c r="P4" i="1"/>
  <c r="P6" i="1" s="1"/>
  <c r="J5" i="1"/>
  <c r="J4" i="1"/>
  <c r="I4" i="1"/>
  <c r="O4" i="1"/>
  <c r="F4" i="1" l="1"/>
</calcChain>
</file>

<file path=xl/sharedStrings.xml><?xml version="1.0" encoding="utf-8"?>
<sst xmlns="http://schemas.openxmlformats.org/spreadsheetml/2006/main" count="29" uniqueCount="26">
  <si>
    <t xml:space="preserve">
Name</t>
  </si>
  <si>
    <t xml:space="preserve">
Spec.</t>
  </si>
  <si>
    <t xml:space="preserve">
PO</t>
  </si>
  <si>
    <t xml:space="preserve">
Case No.</t>
  </si>
  <si>
    <t xml:space="preserve">
CASE</t>
  </si>
  <si>
    <t xml:space="preserve">
Volume M³</t>
  </si>
  <si>
    <t>Dimensions (mm) and volume (m3) / case</t>
  </si>
  <si>
    <t>Total Net weight
NW
（KG）</t>
  </si>
  <si>
    <t>Total Gross weight
GW
(KG）</t>
  </si>
  <si>
    <t>Net weight
NW/CASE
（KG）</t>
  </si>
  <si>
    <t>Gross weight
GW/CASE
（KG）</t>
  </si>
  <si>
    <r>
      <t xml:space="preserve">
</t>
    </r>
    <r>
      <rPr>
        <b/>
        <sz val="9"/>
        <color theme="1"/>
        <rFont val="宋体"/>
        <family val="2"/>
        <scheme val="minor"/>
      </rPr>
      <t>Quantity</t>
    </r>
  </si>
  <si>
    <r>
      <rPr>
        <b/>
        <sz val="11"/>
        <color theme="1"/>
        <rFont val="宋体"/>
        <family val="2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</si>
  <si>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Pieces
/case</t>
  </si>
  <si>
    <t xml:space="preserve">
Bags
/case</t>
  </si>
  <si>
    <t xml:space="preserve">
Bags</t>
  </si>
  <si>
    <t xml:space="preserve">
Pieces
/bag     (*)</t>
  </si>
  <si>
    <t>1200*800*550
0.53</t>
    <phoneticPr fontId="1" type="noConversion"/>
  </si>
  <si>
    <t>M22×45</t>
    <phoneticPr fontId="1" type="noConversion"/>
  </si>
  <si>
    <t>Hook screw</t>
    <phoneticPr fontId="1" type="noConversion"/>
  </si>
  <si>
    <t>No</t>
    <phoneticPr fontId="1" type="noConversion"/>
  </si>
  <si>
    <r>
      <rPr>
        <b/>
        <sz val="22"/>
        <color rgb="FFFFC000"/>
        <rFont val="宋体"/>
        <family val="2"/>
        <scheme val="minor"/>
      </rPr>
      <t>PANDROL</t>
    </r>
    <r>
      <rPr>
        <b/>
        <sz val="16"/>
        <color theme="1"/>
        <rFont val="宋体"/>
        <family val="2"/>
        <scheme val="minor"/>
      </rPr>
      <t xml:space="preserve">
PACKING DETAILS
</t>
    </r>
    <phoneticPr fontId="1" type="noConversion"/>
  </si>
  <si>
    <t>PC26-00485</t>
    <phoneticPr fontId="1" type="noConversion"/>
  </si>
  <si>
    <t>1200*800*350
0.34</t>
    <phoneticPr fontId="1" type="noConversion"/>
  </si>
  <si>
    <t>1/4-3/4</t>
    <phoneticPr fontId="1" type="noConversion"/>
  </si>
  <si>
    <t>4/4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</si>
</sst>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b/>
      <sz val="22"/>
      <color rgb="FFFFC000"/>
      <name val="宋体"/>
      <family val="2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"/>
  <sheetViews>
    <sheetView tabSelected="1" topLeftCell="A2" workbookViewId="0">
      <selection activeCell="M6" sqref="M6"/>
    </sheetView>
  </sheetViews>
  <sheetFormatPr defaultColWidth="8.75" defaultRowHeight="13.5"/>
  <cols>
    <col min="1" max="1" width="6.625" customWidth="1"/>
    <col min="2" max="2" width="10.37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11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68.45" customHeight="1">
      <c r="A2" s="7" t="s">
        <v>20</v>
      </c>
      <c r="B2" s="7" t="s">
        <v>0</v>
      </c>
      <c r="C2" s="7" t="s">
        <v>1</v>
      </c>
      <c r="D2" s="8" t="s">
        <v>2</v>
      </c>
      <c r="E2" s="8" t="s">
        <v>3</v>
      </c>
      <c r="F2" s="9" t="s">
        <v>11</v>
      </c>
      <c r="G2" s="8" t="s">
        <v>16</v>
      </c>
      <c r="H2" s="8" t="s">
        <v>15</v>
      </c>
      <c r="I2" s="8" t="s">
        <v>14</v>
      </c>
      <c r="J2" s="8" t="s">
        <v>13</v>
      </c>
      <c r="K2" s="8" t="s">
        <v>4</v>
      </c>
      <c r="L2" s="8" t="s">
        <v>9</v>
      </c>
      <c r="M2" s="8" t="s">
        <v>10</v>
      </c>
      <c r="N2" s="8" t="s">
        <v>6</v>
      </c>
      <c r="O2" s="7" t="s">
        <v>7</v>
      </c>
      <c r="P2" s="7" t="s">
        <v>8</v>
      </c>
      <c r="Q2" s="7" t="s">
        <v>5</v>
      </c>
    </row>
    <row r="3" spans="1:17" ht="52.5" customHeight="1">
      <c r="A3" s="3">
        <v>1</v>
      </c>
      <c r="B3" s="17" t="s">
        <v>19</v>
      </c>
      <c r="C3" s="18" t="s">
        <v>18</v>
      </c>
      <c r="D3" s="18" t="s">
        <v>22</v>
      </c>
      <c r="E3" s="19" t="s">
        <v>24</v>
      </c>
      <c r="F3" s="3">
        <f>J3*K3</f>
        <v>14400</v>
      </c>
      <c r="G3" s="3">
        <v>80</v>
      </c>
      <c r="H3" s="3">
        <f>I3*K3</f>
        <v>180</v>
      </c>
      <c r="I3" s="3">
        <v>60</v>
      </c>
      <c r="J3" s="3">
        <f>G3*I3</f>
        <v>4800</v>
      </c>
      <c r="K3" s="3">
        <v>3</v>
      </c>
      <c r="L3" s="3">
        <v>936</v>
      </c>
      <c r="M3" s="3">
        <f>L3+42</f>
        <v>978</v>
      </c>
      <c r="N3" s="20" t="s">
        <v>17</v>
      </c>
      <c r="O3" s="3">
        <f>L3*K3</f>
        <v>2808</v>
      </c>
      <c r="P3" s="3">
        <f>M3*K3</f>
        <v>2934</v>
      </c>
      <c r="Q3" s="3">
        <f>0.53*K3</f>
        <v>1.59</v>
      </c>
    </row>
    <row r="4" spans="1:17" ht="52.5" customHeight="1">
      <c r="A4" s="16">
        <v>2</v>
      </c>
      <c r="B4" s="21" t="s">
        <v>19</v>
      </c>
      <c r="C4" s="22" t="s">
        <v>18</v>
      </c>
      <c r="D4" s="22" t="s">
        <v>22</v>
      </c>
      <c r="E4" s="23" t="s">
        <v>25</v>
      </c>
      <c r="F4" s="16">
        <f>J4+J5</f>
        <v>1100</v>
      </c>
      <c r="G4" s="3">
        <v>80</v>
      </c>
      <c r="H4" s="3">
        <v>13</v>
      </c>
      <c r="I4" s="16">
        <f>H4+H5</f>
        <v>14</v>
      </c>
      <c r="J4" s="3">
        <f>G4*H4</f>
        <v>1040</v>
      </c>
      <c r="K4" s="16">
        <v>1</v>
      </c>
      <c r="L4" s="16">
        <v>215</v>
      </c>
      <c r="M4" s="16">
        <f>L4+30</f>
        <v>245</v>
      </c>
      <c r="N4" s="24" t="s">
        <v>23</v>
      </c>
      <c r="O4" s="16">
        <f>L4*K4</f>
        <v>215</v>
      </c>
      <c r="P4" s="16">
        <f>M4*K4</f>
        <v>245</v>
      </c>
      <c r="Q4" s="16">
        <f>0.34*K4</f>
        <v>0.34</v>
      </c>
    </row>
    <row r="5" spans="1:17" ht="52.5" customHeight="1">
      <c r="A5" s="16"/>
      <c r="B5" s="21"/>
      <c r="C5" s="22"/>
      <c r="D5" s="22"/>
      <c r="E5" s="23"/>
      <c r="F5" s="16"/>
      <c r="G5" s="3">
        <v>60</v>
      </c>
      <c r="H5" s="3">
        <v>1</v>
      </c>
      <c r="I5" s="16"/>
      <c r="J5" s="3">
        <f>G5*H5</f>
        <v>60</v>
      </c>
      <c r="K5" s="16"/>
      <c r="L5" s="16"/>
      <c r="M5" s="16"/>
      <c r="N5" s="24"/>
      <c r="O5" s="16"/>
      <c r="P5" s="16"/>
      <c r="Q5" s="16"/>
    </row>
    <row r="6" spans="1:17" ht="35.25" customHeight="1">
      <c r="A6" s="15" t="s">
        <v>12</v>
      </c>
      <c r="B6" s="16"/>
      <c r="C6" s="16"/>
      <c r="D6" s="6"/>
      <c r="E6" s="3"/>
      <c r="F6" s="3">
        <f>SUM(F3:F5)</f>
        <v>15500</v>
      </c>
      <c r="G6" s="3"/>
      <c r="H6" s="3">
        <f>SUM(H3:H5)</f>
        <v>194</v>
      </c>
      <c r="I6" s="3"/>
      <c r="J6" s="10"/>
      <c r="K6" s="3">
        <f>SUM(K3:K5)</f>
        <v>4</v>
      </c>
      <c r="L6" s="10"/>
      <c r="M6" s="10"/>
      <c r="N6" s="10"/>
      <c r="O6" s="3">
        <f t="shared" ref="O6:Q6" si="0">SUM(O3:O5)</f>
        <v>3023</v>
      </c>
      <c r="P6" s="3">
        <f t="shared" si="0"/>
        <v>3179</v>
      </c>
      <c r="Q6" s="3">
        <f t="shared" si="0"/>
        <v>1.9300000000000002</v>
      </c>
    </row>
    <row r="7" spans="1:17" ht="21" customHeight="1">
      <c r="A7" s="2"/>
      <c r="B7" s="4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8.75">
      <c r="A8" s="2"/>
      <c r="B8" s="2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13">
        <v>46155</v>
      </c>
      <c r="O8" s="13"/>
      <c r="P8" s="13"/>
      <c r="Q8" s="13"/>
    </row>
    <row r="9" spans="1:17" ht="18.75">
      <c r="A9" s="2"/>
      <c r="B9" s="2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14"/>
      <c r="O9" s="14"/>
      <c r="P9" s="14"/>
      <c r="Q9" s="14"/>
    </row>
    <row r="10" spans="1:17">
      <c r="A10" s="1"/>
      <c r="B10" s="1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/>
      <c r="B11" s="1"/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</sheetData>
  <mergeCells count="18">
    <mergeCell ref="Q4:Q5"/>
    <mergeCell ref="I4:I5"/>
    <mergeCell ref="A1:Q1"/>
    <mergeCell ref="N8:Q8"/>
    <mergeCell ref="N9:Q9"/>
    <mergeCell ref="A6:C6"/>
    <mergeCell ref="A4:A5"/>
    <mergeCell ref="B4:B5"/>
    <mergeCell ref="C4:C5"/>
    <mergeCell ref="D4:D5"/>
    <mergeCell ref="E4:E5"/>
    <mergeCell ref="F4:F5"/>
    <mergeCell ref="K4:K5"/>
    <mergeCell ref="L4:L5"/>
    <mergeCell ref="M4:M5"/>
    <mergeCell ref="N4:N5"/>
    <mergeCell ref="O4:O5"/>
    <mergeCell ref="P4:P5"/>
  </mergeCells>
  <phoneticPr fontId="1" type="noConversion"/>
  <pageMargins left="0.51181102362204722" right="0.51181102362204722" top="0.19685039370078741" bottom="0.74803149606299213" header="0.31496062992125984" footer="0.31496062992125984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A6DA2-9912-4902-93FB-649328AF6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e8895-a1a3-471c-8d53-a32df94e8e84"/>
    <ds:schemaRef ds:uri="78763921-75a2-4c66-8344-28a70ab3a1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D0F0C3-FD85-4F4A-B3C7-C631F71BA5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2532537-10CC-40F5-A17B-2B64C178E5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2026-05-13T09:23:41Z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</Properties>
</file>