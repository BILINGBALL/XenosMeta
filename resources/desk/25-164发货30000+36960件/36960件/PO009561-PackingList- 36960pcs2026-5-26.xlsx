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25-164发货\36960件\"/>
    </mc:Choice>
  </mc:AlternateContent>
  <xr:revisionPtr revIDLastSave="0" documentId="8_{76D7A4BE-55F6-446E-BEB4-33883F9327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Q4" i="1"/>
  <c r="Q5" i="1" s="1"/>
  <c r="O4" i="1"/>
  <c r="O5" i="1" s="1"/>
  <c r="M4" i="1"/>
  <c r="P4" i="1" s="1"/>
  <c r="P5" i="1" s="1"/>
  <c r="J4" i="1"/>
  <c r="F4" i="1" s="1"/>
  <c r="F5" i="1" s="1"/>
  <c r="H4" i="1"/>
  <c r="H5" i="1" s="1"/>
</calcChain>
</file>

<file path=xl/sharedStrings.xml><?xml version="1.0" encoding="utf-8"?>
<sst xmlns="http://schemas.openxmlformats.org/spreadsheetml/2006/main" count="24" uniqueCount="24">
  <si>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</si>
  <si>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</si>
  <si>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</si>
  <si>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</si>
  <si>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</si>
  <si>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</si>
  <si>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</si>
  <si>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</si>
  <si>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</si>
  <si>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</si>
  <si>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</si>
  <si>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</si>
  <si>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</si>
  <si>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</si>
  <si>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</si>
  <si>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</si>
  <si>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</si>
  <si>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</si>
  <si>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</si>
  <si>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</si>
  <si>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25*164</t>
    <phoneticPr fontId="13" type="noConversion"/>
  </si>
  <si>
    <t>PO009561</t>
    <phoneticPr fontId="13" type="noConversion"/>
  </si>
  <si>
    <t>1200*800*550
0.53</t>
    <phoneticPr fontId="13" type="noConversion"/>
  </si>
  <si>
    <t>1-33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</si>
</sst>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6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6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workbookViewId="0">
      <selection activeCell="D5" sqref="D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45" customHeight="1">
      <c r="A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66.95" customHeight="1">
      <c r="A3" s="1" t="s">
        <v>1</v>
      </c>
      <c r="B3" s="1" t="s">
        <v>2</v>
      </c>
      <c r="C3" s="1" t="s">
        <v>3</v>
      </c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1" t="s">
        <v>15</v>
      </c>
      <c r="P3" s="1" t="s">
        <v>16</v>
      </c>
      <c r="Q3" s="1" t="s">
        <v>17</v>
      </c>
    </row>
    <row r="4" spans="1:17" ht="54" customHeight="1">
      <c r="A4" s="5">
        <v>1</v>
      </c>
      <c r="B4" s="14" t="s">
        <v>18</v>
      </c>
      <c r="C4" s="15" t="s">
        <v>20</v>
      </c>
      <c r="D4" s="18" t="s">
        <v>21</v>
      </c>
      <c r="E4" s="25" t="s">
        <v>23</v>
      </c>
      <c r="F4" s="5">
        <f>J4*K4</f>
        <v>36960</v>
      </c>
      <c r="G4" s="4">
        <v>32</v>
      </c>
      <c r="H4" s="4">
        <f>K4*I4</f>
        <v>1155</v>
      </c>
      <c r="I4" s="4">
        <v>35</v>
      </c>
      <c r="J4" s="5">
        <f>G4*I4</f>
        <v>1120</v>
      </c>
      <c r="K4" s="5">
        <v>33</v>
      </c>
      <c r="L4" s="5">
        <v>717</v>
      </c>
      <c r="M4" s="5">
        <f>L4+42</f>
        <v>759</v>
      </c>
      <c r="N4" s="17" t="s">
        <v>22</v>
      </c>
      <c r="O4" s="16">
        <f>L4*K4</f>
        <v>23661</v>
      </c>
      <c r="P4" s="19">
        <f>M4*K4</f>
        <v>25047</v>
      </c>
      <c r="Q4" s="16">
        <f>0.53*K4</f>
        <v>17.490000000000002</v>
      </c>
    </row>
    <row r="5" spans="1:17" ht="35.25" customHeight="1">
      <c r="A5" s="20" t="s">
        <v>19</v>
      </c>
      <c r="B5" s="20"/>
      <c r="C5" s="20"/>
      <c r="D5" s="6"/>
      <c r="E5" s="4"/>
      <c r="F5" s="4">
        <f>SUM(F4:F4)</f>
        <v>36960</v>
      </c>
      <c r="G5" s="4"/>
      <c r="H5" s="4">
        <f>SUM(H4:H4)</f>
        <v>1155</v>
      </c>
      <c r="I5" s="4"/>
      <c r="J5" s="4"/>
      <c r="K5" s="4">
        <f>SUM(K4:K4)</f>
        <v>33</v>
      </c>
      <c r="L5" s="4"/>
      <c r="M5" s="4"/>
      <c r="N5" s="12"/>
      <c r="O5" s="4">
        <f>SUM(O4:O4)</f>
        <v>23661</v>
      </c>
      <c r="P5" s="4">
        <f>SUM(P4:P4)</f>
        <v>25047</v>
      </c>
      <c r="Q5" s="4">
        <f>SUM(Q4:Q4)</f>
        <v>17.490000000000002</v>
      </c>
    </row>
    <row r="6" spans="1:17" ht="21" customHeight="1">
      <c r="A6" s="7"/>
      <c r="B6" s="8"/>
      <c r="C6" s="13"/>
      <c r="N6" s="7"/>
      <c r="O6" s="7"/>
      <c r="P6" s="7"/>
      <c r="Q6" s="7"/>
    </row>
    <row r="7" spans="1:17" ht="21" customHeight="1">
      <c r="A7" s="7"/>
      <c r="B7" s="9"/>
      <c r="C7" s="10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8.75">
      <c r="A8" s="7"/>
      <c r="B8" s="7"/>
      <c r="C8" s="10"/>
      <c r="D8" s="7"/>
      <c r="E8" s="7"/>
      <c r="F8" s="7"/>
      <c r="G8" s="7"/>
      <c r="H8" s="7"/>
      <c r="I8" s="7"/>
      <c r="J8" s="7"/>
      <c r="K8" s="7"/>
      <c r="L8" s="7"/>
      <c r="M8" s="7"/>
      <c r="N8" s="23">
        <v>46168</v>
      </c>
      <c r="O8" s="23"/>
      <c r="P8" s="23"/>
      <c r="Q8" s="23"/>
    </row>
    <row r="9" spans="1:17" ht="18.75">
      <c r="A9" s="7"/>
      <c r="B9" s="7"/>
      <c r="C9" s="10"/>
      <c r="D9" s="7"/>
      <c r="E9" s="7"/>
      <c r="F9" s="7"/>
      <c r="G9" s="7"/>
      <c r="H9" s="7"/>
      <c r="I9" s="7"/>
      <c r="J9" s="7"/>
      <c r="K9" s="7"/>
      <c r="L9" s="7"/>
      <c r="M9" s="7"/>
      <c r="N9" s="24"/>
      <c r="O9" s="24"/>
      <c r="P9" s="24"/>
      <c r="Q9" s="24"/>
    </row>
    <row r="10" spans="1:17">
      <c r="A10" s="11"/>
      <c r="B10" s="11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>
      <c r="A11" s="11"/>
      <c r="B11" s="11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1"/>
      <c r="B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</sheetData>
  <mergeCells count="4">
    <mergeCell ref="N8:Q8"/>
    <mergeCell ref="N9:Q9"/>
    <mergeCell ref="A5:C5"/>
    <mergeCell ref="A1:Q1"/>
  </mergeCells>
  <phoneticPr fontId="13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2026-06-30T06:53:46Z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