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30000件\"/>
    </mc:Choice>
  </mc:AlternateContent>
  <xr:revisionPtr revIDLastSave="0" documentId="13_ncr:1_{30791D6E-C9A5-45E8-90E8-6889F11D03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Q3" i="1"/>
  <c r="Q4" i="1"/>
  <c r="M3" i="1"/>
  <c r="P3" i="1" s="1"/>
  <c r="M4" i="1"/>
  <c r="P4" i="1" s="1"/>
  <c r="J3" i="1"/>
  <c r="F3" i="1" s="1"/>
  <c r="F6" i="1" s="1"/>
  <c r="O3" i="1"/>
  <c r="H3" i="1"/>
  <c r="H6" i="1" s="1"/>
  <c r="O4" i="1"/>
  <c r="H4" i="1"/>
  <c r="O6" i="1" l="1"/>
  <c r="Q6" i="1"/>
  <c r="P6" i="1"/>
</calcChain>
</file>

<file path=xl/sharedStrings.xml><?xml version="1.0" encoding="utf-8"?>
<sst xmlns="http://schemas.openxmlformats.org/spreadsheetml/2006/main" count="29" uniqueCount="25">
  <si>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</si>
  <si>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</si>
  <si>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</si>
  <si>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</si>
  <si>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</si>
  <si>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</si>
  <si>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</si>
  <si>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</si>
  <si>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</si>
  <si>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</si>
  <si>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</si>
  <si>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</si>
  <si>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</si>
  <si>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</si>
  <si>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</si>
  <si>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</si>
  <si>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</si>
  <si>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</si>
  <si>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</si>
  <si>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</si>
  <si>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25*164</t>
    <phoneticPr fontId="13" type="noConversion"/>
  </si>
  <si>
    <t>PO009561</t>
    <phoneticPr fontId="13" type="noConversion"/>
  </si>
  <si>
    <t>1200*800*550
0.53</t>
    <phoneticPr fontId="13" type="noConversion"/>
  </si>
  <si>
    <t>1-26</t>
    <phoneticPr fontId="13" type="noConversion"/>
  </si>
  <si>
    <t>27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</si>
</sst>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E6" sqref="E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5">
        <v>1</v>
      </c>
      <c r="B3" s="14" t="s">
        <v>18</v>
      </c>
      <c r="C3" s="15" t="s">
        <v>20</v>
      </c>
      <c r="D3" s="18" t="s">
        <v>21</v>
      </c>
      <c r="E3" s="36" t="s">
        <v>23</v>
      </c>
      <c r="F3" s="5">
        <f>J3*K3</f>
        <v>29120</v>
      </c>
      <c r="G3" s="4">
        <v>32</v>
      </c>
      <c r="H3" s="4">
        <f>K3*I3</f>
        <v>910</v>
      </c>
      <c r="I3" s="4">
        <v>35</v>
      </c>
      <c r="J3" s="5">
        <f>G3*I3</f>
        <v>1120</v>
      </c>
      <c r="K3" s="5">
        <v>26</v>
      </c>
      <c r="L3" s="5">
        <v>717</v>
      </c>
      <c r="M3" s="5">
        <f>L3+42</f>
        <v>759</v>
      </c>
      <c r="N3" s="17" t="s">
        <v>22</v>
      </c>
      <c r="O3" s="16">
        <f>L3*K3</f>
        <v>18642</v>
      </c>
      <c r="P3" s="16">
        <f>M3*K3</f>
        <v>19734</v>
      </c>
      <c r="Q3" s="16">
        <f>0.53*K3</f>
        <v>13.780000000000001</v>
      </c>
    </row>
    <row r="4" spans="1:17" ht="39.950000000000003" customHeight="1">
      <c r="A4" s="20">
        <v>2</v>
      </c>
      <c r="B4" s="27" t="s">
        <v>18</v>
      </c>
      <c r="C4" s="29" t="s">
        <v>20</v>
      </c>
      <c r="D4" s="31" t="s">
        <v>21</v>
      </c>
      <c r="E4" s="37" t="s">
        <v>24</v>
      </c>
      <c r="F4" s="20">
        <v>880</v>
      </c>
      <c r="G4" s="4">
        <v>32</v>
      </c>
      <c r="H4" s="4">
        <f>K4*I4</f>
        <v>27</v>
      </c>
      <c r="I4" s="4">
        <v>27</v>
      </c>
      <c r="J4" s="20">
        <v>880</v>
      </c>
      <c r="K4" s="20">
        <v>1</v>
      </c>
      <c r="L4" s="20">
        <v>563</v>
      </c>
      <c r="M4" s="20">
        <f>L4+42</f>
        <v>605</v>
      </c>
      <c r="N4" s="32" t="s">
        <v>22</v>
      </c>
      <c r="O4" s="34">
        <f>L4*K4</f>
        <v>563</v>
      </c>
      <c r="P4" s="34">
        <f>M4*K4</f>
        <v>605</v>
      </c>
      <c r="Q4" s="34">
        <f>0.53*K4</f>
        <v>0.53</v>
      </c>
    </row>
    <row r="5" spans="1:17" ht="39.950000000000003" customHeight="1">
      <c r="A5" s="21"/>
      <c r="B5" s="28"/>
      <c r="C5" s="30"/>
      <c r="D5" s="30"/>
      <c r="E5" s="22"/>
      <c r="F5" s="21"/>
      <c r="G5" s="4">
        <v>16</v>
      </c>
      <c r="H5" s="4">
        <v>1</v>
      </c>
      <c r="I5" s="4">
        <v>1</v>
      </c>
      <c r="J5" s="21"/>
      <c r="K5" s="21"/>
      <c r="L5" s="21"/>
      <c r="M5" s="21"/>
      <c r="N5" s="33"/>
      <c r="O5" s="35"/>
      <c r="P5" s="35"/>
      <c r="Q5" s="35"/>
    </row>
    <row r="6" spans="1:17" ht="35.25" customHeight="1">
      <c r="A6" s="19" t="s">
        <v>19</v>
      </c>
      <c r="B6" s="19"/>
      <c r="C6" s="19"/>
      <c r="D6" s="6"/>
      <c r="E6" s="4"/>
      <c r="F6" s="4">
        <f>SUM(F3:F5)</f>
        <v>30000</v>
      </c>
      <c r="G6" s="4"/>
      <c r="H6" s="4">
        <f>SUM(H3:H5)</f>
        <v>938</v>
      </c>
      <c r="I6" s="4"/>
      <c r="J6" s="4"/>
      <c r="K6" s="4">
        <f>SUM(K3:K5)</f>
        <v>27</v>
      </c>
      <c r="L6" s="4"/>
      <c r="M6" s="4"/>
      <c r="N6" s="12"/>
      <c r="O6" s="4">
        <f t="shared" ref="O6:Q6" si="0">SUM(O3:O5)</f>
        <v>19205</v>
      </c>
      <c r="P6" s="4">
        <f t="shared" si="0"/>
        <v>20339</v>
      </c>
      <c r="Q6" s="4">
        <f t="shared" si="0"/>
        <v>14.31</v>
      </c>
    </row>
    <row r="7" spans="1:17" ht="21" customHeight="1">
      <c r="A7" s="7"/>
      <c r="B7" s="8"/>
      <c r="C7" s="13"/>
      <c r="N7" s="7"/>
      <c r="O7" s="7"/>
      <c r="P7" s="7"/>
      <c r="Q7" s="7"/>
    </row>
    <row r="8" spans="1:17" ht="21" customHeight="1">
      <c r="A8" s="7"/>
      <c r="B8" s="9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8.75">
      <c r="A9" s="7"/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25">
        <v>46168</v>
      </c>
      <c r="O9" s="25"/>
      <c r="P9" s="25"/>
      <c r="Q9" s="25"/>
    </row>
    <row r="10" spans="1:17" ht="18.75">
      <c r="A10" s="7"/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26"/>
      <c r="O10" s="26"/>
      <c r="P10" s="26"/>
      <c r="Q10" s="26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18">
    <mergeCell ref="N9:Q9"/>
    <mergeCell ref="N10:Q10"/>
    <mergeCell ref="A4:A5"/>
    <mergeCell ref="B4:B5"/>
    <mergeCell ref="C4:C5"/>
    <mergeCell ref="D4:D5"/>
    <mergeCell ref="L4:L5"/>
    <mergeCell ref="M4:M5"/>
    <mergeCell ref="N4:N5"/>
    <mergeCell ref="O4:O5"/>
    <mergeCell ref="P4:P5"/>
    <mergeCell ref="Q4:Q5"/>
    <mergeCell ref="K4:K5"/>
    <mergeCell ref="F4:F5"/>
    <mergeCell ref="J4:J5"/>
    <mergeCell ref="E4:E5"/>
    <mergeCell ref="A1:Q1"/>
    <mergeCell ref="A6:C6"/>
  </mergeCells>
  <phoneticPr fontId="13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2026-06-30T06:54:58Z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