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瑞典2个柜\第一个柜\"/>
    </mc:Choice>
  </mc:AlternateContent>
  <xr:revisionPtr revIDLastSave="0" documentId="13_ncr:1_{28A561EA-B9FB-4B30-A471-4EF884116C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H5" i="1"/>
  <c r="Q4" i="1"/>
  <c r="O4" i="1"/>
  <c r="M4" i="1"/>
  <c r="P4" i="1" s="1"/>
  <c r="J4" i="1"/>
  <c r="F4" i="1" s="1"/>
  <c r="P5" i="1" l="1"/>
  <c r="O5" i="1"/>
  <c r="F5" i="1"/>
  <c r="Q5" i="1"/>
</calcChain>
</file>

<file path=xl/sharedStrings.xml><?xml version="1.0" encoding="utf-8"?>
<sst xmlns="http://schemas.openxmlformats.org/spreadsheetml/2006/main" count="24" uniqueCount="24">
  <si>
    <t xml:space="preserve"> 包  装  明  细  表
PACKING DETAILS
</t>
  </si>
  <si>
    <t>柜号
No</t>
  </si>
  <si>
    <t>产品名称
Name</t>
  </si>
  <si>
    <t>型号及规格
Spec.</t>
  </si>
  <si>
    <t>合同号
PO</t>
  </si>
  <si>
    <t>托号
pallet No.</t>
  </si>
  <si>
    <t>件
Quan.</t>
  </si>
  <si>
    <t>件/袋
pcs
/bag</t>
  </si>
  <si>
    <t>袋
bags</t>
  </si>
  <si>
    <t>袋/托
bag
/pallet</t>
  </si>
  <si>
    <t>件/托
pcs
/pallet</t>
  </si>
  <si>
    <t>托
pallet</t>
  </si>
  <si>
    <t>净重/托
NW/pallet
（KG）</t>
  </si>
  <si>
    <t>毛重/托
GW/pallet
（KG）</t>
  </si>
  <si>
    <t>体积/托 m³
M³/pallet</t>
  </si>
  <si>
    <t>总净重
NW
（KG）</t>
  </si>
  <si>
    <t>勾头道钉
RAIL SPIKE</t>
  </si>
  <si>
    <t>16x16x170</t>
  </si>
  <si>
    <t>35 PALLETS</t>
  </si>
  <si>
    <t>950*950*500
0.45</t>
  </si>
  <si>
    <t>合计Total：</t>
  </si>
  <si>
    <t>苏州苏德兰铁路配件有限公司</t>
  </si>
  <si>
    <t>总体积Volume
M³</t>
    <phoneticPr fontId="8" type="noConversion"/>
  </si>
  <si>
    <t>总毛重Total Gross weight
GW
(KG）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</si>
</sst>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dd\-mmm\-yy;@"/>
    <numFmt numFmtId="177" formatCode="0.00_ "/>
  </numFmts>
  <fonts count="10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D4" sqref="D4"/>
    </sheetView>
  </sheetViews>
  <sheetFormatPr defaultColWidth="9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7.875" customWidth="1"/>
    <col min="11" max="11" width="6" customWidth="1"/>
    <col min="12" max="12" width="9" customWidth="1"/>
    <col min="13" max="13" width="8.5" customWidth="1"/>
    <col min="14" max="14" width="10.25" customWidth="1"/>
  </cols>
  <sheetData>
    <row r="1" spans="1:17" ht="60.7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2.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84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16" t="s">
        <v>23</v>
      </c>
      <c r="Q3" s="16" t="s">
        <v>22</v>
      </c>
    </row>
    <row r="4" spans="1:17" ht="45" customHeight="1">
      <c r="A4" s="4">
        <v>1</v>
      </c>
      <c r="B4" s="5" t="s">
        <v>16</v>
      </c>
      <c r="C4" s="4" t="s">
        <v>17</v>
      </c>
      <c r="D4" s="4">
        <v>20260306</v>
      </c>
      <c r="E4" s="6" t="s">
        <v>18</v>
      </c>
      <c r="F4" s="7">
        <f>J4*K4</f>
        <v>70000</v>
      </c>
      <c r="G4" s="6">
        <v>50</v>
      </c>
      <c r="H4" s="6">
        <v>1400</v>
      </c>
      <c r="I4" s="6">
        <v>40</v>
      </c>
      <c r="J4" s="7">
        <f>I4*G4</f>
        <v>2000</v>
      </c>
      <c r="K4" s="6">
        <v>35</v>
      </c>
      <c r="L4" s="6">
        <v>666</v>
      </c>
      <c r="M4" s="12">
        <f>L4+20</f>
        <v>686</v>
      </c>
      <c r="N4" s="13" t="s">
        <v>19</v>
      </c>
      <c r="O4" s="7">
        <f>L4*K4</f>
        <v>23310</v>
      </c>
      <c r="P4" s="7">
        <f>M4*K4</f>
        <v>24010</v>
      </c>
      <c r="Q4" s="7">
        <f>0.45*K4</f>
        <v>15.75</v>
      </c>
    </row>
    <row r="5" spans="1:17" ht="35.25" customHeight="1">
      <c r="A5" s="19" t="s">
        <v>20</v>
      </c>
      <c r="B5" s="19"/>
      <c r="C5" s="19"/>
      <c r="D5" s="8"/>
      <c r="E5" s="7"/>
      <c r="F5" s="7">
        <f>SUM(F4:F4)</f>
        <v>70000</v>
      </c>
      <c r="G5" s="7"/>
      <c r="H5" s="7">
        <f>SUM(H4:H4)</f>
        <v>1400</v>
      </c>
      <c r="I5" s="7"/>
      <c r="J5" s="7"/>
      <c r="K5" s="7">
        <f>SUM(K4:K4)</f>
        <v>35</v>
      </c>
      <c r="L5" s="7"/>
      <c r="M5" s="7"/>
      <c r="N5" s="7"/>
      <c r="O5" s="7">
        <f>SUM(O4:O4)</f>
        <v>23310</v>
      </c>
      <c r="P5" s="14">
        <f>SUM(P4:P4)</f>
        <v>24010</v>
      </c>
      <c r="Q5" s="15">
        <f>SUM(Q4:Q4)</f>
        <v>15.75</v>
      </c>
    </row>
    <row r="6" spans="1:17" ht="18.75">
      <c r="A6" s="9"/>
      <c r="B6" s="9"/>
      <c r="C6" s="10"/>
      <c r="D6" s="9"/>
      <c r="E6" s="9"/>
      <c r="F6" s="9"/>
      <c r="G6" s="9"/>
      <c r="H6" s="9"/>
      <c r="I6" s="9"/>
      <c r="J6" s="9"/>
      <c r="K6" s="9"/>
      <c r="L6" s="9"/>
      <c r="M6" s="9"/>
      <c r="N6" s="20" t="s">
        <v>21</v>
      </c>
      <c r="O6" s="20"/>
      <c r="P6" s="20"/>
      <c r="Q6" s="20"/>
    </row>
    <row r="7" spans="1:17" ht="18.75">
      <c r="A7" s="9"/>
      <c r="B7" s="9"/>
      <c r="C7" s="10"/>
      <c r="D7" s="9"/>
      <c r="E7" s="9"/>
      <c r="F7" s="9"/>
      <c r="G7" s="9"/>
      <c r="H7" s="9"/>
      <c r="I7" s="9"/>
      <c r="J7" s="9"/>
      <c r="K7" s="9"/>
      <c r="L7" s="9"/>
      <c r="M7" s="9"/>
      <c r="N7" s="21">
        <v>46133</v>
      </c>
      <c r="O7" s="21"/>
      <c r="P7" s="21"/>
      <c r="Q7" s="21"/>
    </row>
    <row r="8" spans="1:17">
      <c r="A8" s="11"/>
      <c r="B8" s="11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>
      <c r="A9" s="11"/>
      <c r="B9" s="11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>
      <c r="A10" s="11"/>
      <c r="B10" s="11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</sheetData>
  <mergeCells count="4">
    <mergeCell ref="A1:Q1"/>
    <mergeCell ref="A5:C5"/>
    <mergeCell ref="N6:Q6"/>
    <mergeCell ref="N7:Q7"/>
  </mergeCells>
  <phoneticPr fontId="8" type="noConversion"/>
  <pageMargins left="0" right="0" top="0" bottom="0" header="0.511811023622047" footer="0.31496062992126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2026-04-29T04:50:14Z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1CD698CD8EEC4C80AAD0E66D33FA0DFB_12</vt:lpwstr>
  </property>
  <property fmtid="{D5CDD505-2E9C-101B-9397-08002B2CF9AE}" pid="3" name="KSOProductBuildVer">
    <vt:lpwstr>2052-12.1.0.16250</vt:lpwstr>
  </property>
</Properties>
</file>