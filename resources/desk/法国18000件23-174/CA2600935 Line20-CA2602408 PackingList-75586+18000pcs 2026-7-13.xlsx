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F3570AEE-D1C2-462B-8185-5EC859EE6A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/>
  <c r="Q8" i="1"/>
  <c r="P8" i="1"/>
  <c r="O8" i="1"/>
  <c r="K8" i="1"/>
  <c r="Q7" i="1"/>
  <c r="P7" i="1"/>
  <c r="O7" i="1"/>
  <c r="M7" i="1"/>
  <c r="Q5" i="1"/>
  <c r="M5" i="1"/>
  <c r="Q4" i="1"/>
  <c r="O4" i="1"/>
  <c r="M4" i="1"/>
  <c r="P4" i="1" s="1"/>
  <c r="J4" i="1"/>
  <c r="F4" i="1" s="1"/>
  <c r="I4" i="1"/>
  <c r="M3" i="1"/>
  <c r="Q3" i="1" l="1"/>
  <c r="I3" i="1"/>
  <c r="P3" i="1"/>
  <c r="O3" i="1"/>
  <c r="J3" i="1"/>
  <c r="F3" i="1" s="1"/>
  <c r="P5" i="1" l="1"/>
  <c r="J6" i="1"/>
  <c r="J5" i="1"/>
  <c r="I5" i="1"/>
  <c r="O5" i="1"/>
  <c r="F5" i="1" l="1"/>
  <c r="F7" i="1"/>
  <c r="F8" i="1" s="1"/>
  <c r="H8" i="1"/>
</calcChain>
</file>

<file path=xl/sharedStrings.xml><?xml version="1.0" encoding="utf-8"?>
<sst xmlns="http://schemas.openxmlformats.org/spreadsheetml/2006/main" count="42" uniqueCount="32">
  <si>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</si>
  <si>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</si>
  <si>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</si>
  <si>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</si>
  <si>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</si>
  <si>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</si>
  <si>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</si>
  <si>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</si>
  <si>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</si>
  <si>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</si>
  <si>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</si>
  <si>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</si>
  <si>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t>Pieces
/case</t>
  </si>
  <si>
    <t xml:space="preserve">
Pieces
/bag     (*)</t>
  </si>
  <si>
    <t>No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</si>
  <si>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</si>
  <si>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CA2600935</t>
    <phoneticPr fontId="1" type="noConversion"/>
  </si>
  <si>
    <t>Coachscrew</t>
  </si>
  <si>
    <t>23*154</t>
    <phoneticPr fontId="14" type="noConversion"/>
  </si>
  <si>
    <t>1200*800*550
0.53</t>
    <phoneticPr fontId="1" type="noConversion"/>
  </si>
  <si>
    <t>1/54-35/54</t>
    <phoneticPr fontId="1" type="noConversion"/>
  </si>
  <si>
    <t>36/54-53/54</t>
    <phoneticPr fontId="1" type="noConversion"/>
  </si>
  <si>
    <t>54/54</t>
    <phoneticPr fontId="1" type="noConversion"/>
  </si>
  <si>
    <t>23*174</t>
  </si>
  <si>
    <t>CA2602408</t>
    <phoneticPr fontId="14" type="noConversion"/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</si>
  <si>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</si>
  <si>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</si>
  <si>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1/15-15/15</t>
    <phoneticPr fontId="1" type="noConversion"/>
  </si>
  <si>
    <t xml:space="preserve">
Bags
</t>
    <phoneticPr fontId="1" type="noConversion"/>
  </si>
  <si>
    <t xml:space="preserve">
Bags
/case</t>
    <phoneticPr fontId="1" type="noConversion"/>
  </si>
  <si>
    <t>1号柜</t>
    <phoneticPr fontId="1" type="noConversion"/>
  </si>
  <si>
    <t>2号柜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</si>
</sst>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3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topLeftCell="A2" workbookViewId="0">
      <selection activeCell="E10" sqref="E10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8" ht="80.45" customHeight="1">
      <c r="A1" s="22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8" ht="68.45" customHeight="1">
      <c r="A2" s="7" t="s">
        <v>14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13</v>
      </c>
      <c r="H2" s="8" t="s">
        <v>29</v>
      </c>
      <c r="I2" s="8" t="s">
        <v>28</v>
      </c>
      <c r="J2" s="8" t="s">
        <v>12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8" ht="52.5" customHeight="1">
      <c r="A3" s="3">
        <v>1</v>
      </c>
      <c r="B3" s="14" t="s">
        <v>17</v>
      </c>
      <c r="C3" s="15" t="s">
        <v>18</v>
      </c>
      <c r="D3" s="15" t="s">
        <v>16</v>
      </c>
      <c r="E3" s="13" t="s">
        <v>20</v>
      </c>
      <c r="F3" s="11">
        <f>J3*K3</f>
        <v>49000</v>
      </c>
      <c r="G3" s="3">
        <v>40</v>
      </c>
      <c r="H3" s="3">
        <v>35</v>
      </c>
      <c r="I3" s="11">
        <f>H3*K3</f>
        <v>1225</v>
      </c>
      <c r="J3" s="11">
        <f>G3*H3</f>
        <v>1400</v>
      </c>
      <c r="K3" s="11">
        <v>35</v>
      </c>
      <c r="L3" s="11">
        <v>655</v>
      </c>
      <c r="M3" s="11">
        <f>L3+42</f>
        <v>697</v>
      </c>
      <c r="N3" s="12" t="s">
        <v>19</v>
      </c>
      <c r="O3" s="11">
        <f>L3*K3</f>
        <v>22925</v>
      </c>
      <c r="P3" s="11">
        <f>M3*K3</f>
        <v>24395</v>
      </c>
      <c r="Q3" s="11">
        <f>0.53*K3</f>
        <v>18.55</v>
      </c>
      <c r="R3" s="35" t="s">
        <v>30</v>
      </c>
    </row>
    <row r="4" spans="1:18" ht="52.5" customHeight="1">
      <c r="A4" s="3">
        <v>2</v>
      </c>
      <c r="B4" s="14" t="s">
        <v>17</v>
      </c>
      <c r="C4" s="15" t="s">
        <v>18</v>
      </c>
      <c r="D4" s="25" t="s">
        <v>16</v>
      </c>
      <c r="E4" s="13" t="s">
        <v>21</v>
      </c>
      <c r="F4" s="11">
        <f>J4*K4</f>
        <v>25200</v>
      </c>
      <c r="G4" s="3">
        <v>40</v>
      </c>
      <c r="H4" s="3">
        <v>35</v>
      </c>
      <c r="I4" s="11">
        <f>H4*K4</f>
        <v>630</v>
      </c>
      <c r="J4" s="11">
        <f>G4*H4</f>
        <v>1400</v>
      </c>
      <c r="K4" s="11">
        <v>18</v>
      </c>
      <c r="L4" s="11">
        <v>655</v>
      </c>
      <c r="M4" s="11">
        <f>L4+42</f>
        <v>697</v>
      </c>
      <c r="N4" s="12" t="s">
        <v>19</v>
      </c>
      <c r="O4" s="11">
        <f>L4*K4</f>
        <v>11790</v>
      </c>
      <c r="P4" s="11">
        <f>M4*K4</f>
        <v>12546</v>
      </c>
      <c r="Q4" s="11">
        <f>0.53*K4</f>
        <v>9.5400000000000009</v>
      </c>
      <c r="R4" s="36" t="s">
        <v>31</v>
      </c>
    </row>
    <row r="5" spans="1:18" ht="52.5" customHeight="1">
      <c r="A5" s="21">
        <v>3</v>
      </c>
      <c r="B5" s="14" t="s">
        <v>17</v>
      </c>
      <c r="C5" s="15" t="s">
        <v>18</v>
      </c>
      <c r="D5" s="26"/>
      <c r="E5" s="29" t="s">
        <v>22</v>
      </c>
      <c r="F5" s="31">
        <f>J5+J6</f>
        <v>1386</v>
      </c>
      <c r="G5" s="3">
        <v>40</v>
      </c>
      <c r="H5" s="3">
        <v>34</v>
      </c>
      <c r="I5" s="31">
        <f>H5+H6</f>
        <v>35</v>
      </c>
      <c r="J5" s="11">
        <f>G5*H5</f>
        <v>1360</v>
      </c>
      <c r="K5" s="31">
        <v>1</v>
      </c>
      <c r="L5" s="31">
        <v>648</v>
      </c>
      <c r="M5" s="31">
        <f>L5+42</f>
        <v>690</v>
      </c>
      <c r="N5" s="33" t="s">
        <v>19</v>
      </c>
      <c r="O5" s="31">
        <f>L5*K5</f>
        <v>648</v>
      </c>
      <c r="P5" s="31">
        <f>M5*K5</f>
        <v>690</v>
      </c>
      <c r="Q5" s="31">
        <f>0.53*K5</f>
        <v>0.53</v>
      </c>
      <c r="R5" s="36"/>
    </row>
    <row r="6" spans="1:18" ht="52.5" customHeight="1">
      <c r="A6" s="21"/>
      <c r="B6" s="14" t="s">
        <v>17</v>
      </c>
      <c r="C6" s="15" t="s">
        <v>18</v>
      </c>
      <c r="D6" s="27"/>
      <c r="E6" s="30"/>
      <c r="F6" s="32"/>
      <c r="G6" s="3">
        <v>26</v>
      </c>
      <c r="H6" s="3">
        <v>1</v>
      </c>
      <c r="I6" s="32"/>
      <c r="J6" s="11">
        <f>G6*H6</f>
        <v>26</v>
      </c>
      <c r="K6" s="32"/>
      <c r="L6" s="32"/>
      <c r="M6" s="32"/>
      <c r="N6" s="34"/>
      <c r="O6" s="32"/>
      <c r="P6" s="32"/>
      <c r="Q6" s="32"/>
      <c r="R6" s="36"/>
    </row>
    <row r="7" spans="1:18" ht="39.950000000000003" customHeight="1">
      <c r="A7" s="11">
        <v>4</v>
      </c>
      <c r="B7" s="17" t="s">
        <v>17</v>
      </c>
      <c r="C7" s="16" t="s">
        <v>23</v>
      </c>
      <c r="D7" s="16" t="s">
        <v>24</v>
      </c>
      <c r="E7" s="18" t="s">
        <v>27</v>
      </c>
      <c r="F7" s="11">
        <f>J7*K7</f>
        <v>18000</v>
      </c>
      <c r="G7" s="3">
        <v>40</v>
      </c>
      <c r="H7" s="3">
        <v>30</v>
      </c>
      <c r="I7" s="11">
        <f>H7*K7</f>
        <v>450</v>
      </c>
      <c r="J7" s="11">
        <f>G7*H7</f>
        <v>1200</v>
      </c>
      <c r="K7" s="11">
        <v>15</v>
      </c>
      <c r="L7" s="11">
        <v>641</v>
      </c>
      <c r="M7" s="11">
        <f>L7+42</f>
        <v>683</v>
      </c>
      <c r="N7" s="19" t="s">
        <v>25</v>
      </c>
      <c r="O7" s="20">
        <f>L7*K7</f>
        <v>9615</v>
      </c>
      <c r="P7" s="20">
        <f>M7*K7</f>
        <v>10245</v>
      </c>
      <c r="Q7" s="20">
        <f>0.53*K7</f>
        <v>7.95</v>
      </c>
      <c r="R7" s="36"/>
    </row>
    <row r="8" spans="1:18" ht="35.25" customHeight="1">
      <c r="A8" s="21" t="s">
        <v>26</v>
      </c>
      <c r="B8" s="21"/>
      <c r="C8" s="21"/>
      <c r="D8" s="6"/>
      <c r="E8" s="3"/>
      <c r="F8" s="3">
        <f>SUM(F3:F7)</f>
        <v>93586</v>
      </c>
      <c r="G8" s="3"/>
      <c r="H8" s="3">
        <f>SUM(H3:H7)</f>
        <v>135</v>
      </c>
      <c r="I8" s="3"/>
      <c r="J8" s="3"/>
      <c r="K8" s="3">
        <f>SUM(K3:K7)</f>
        <v>69</v>
      </c>
      <c r="L8" s="3"/>
      <c r="M8" s="3"/>
      <c r="N8" s="10"/>
      <c r="O8" s="3">
        <f t="shared" ref="O8:Q8" si="0">SUM(O3:O7)</f>
        <v>44978</v>
      </c>
      <c r="P8" s="3">
        <f t="shared" si="0"/>
        <v>47876</v>
      </c>
      <c r="Q8" s="3">
        <f t="shared" si="0"/>
        <v>36.570000000000007</v>
      </c>
    </row>
    <row r="9" spans="1:18" ht="21" customHeight="1">
      <c r="A9" s="2"/>
      <c r="B9" s="4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ht="18.75">
      <c r="A10" s="2"/>
      <c r="B10" s="2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4">
        <v>46216</v>
      </c>
      <c r="O10" s="24"/>
      <c r="P10" s="24"/>
      <c r="Q10" s="24"/>
    </row>
    <row r="11" spans="1:18" ht="18.75">
      <c r="A11" s="2"/>
      <c r="B11" s="2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8"/>
      <c r="O11" s="28"/>
      <c r="P11" s="28"/>
      <c r="Q11" s="28"/>
    </row>
    <row r="12" spans="1:18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>
      <c r="A13" s="1"/>
      <c r="B13" s="1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>
      <c r="A14" s="1"/>
      <c r="B14" s="1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mergeCells count="17">
    <mergeCell ref="I5:I6"/>
    <mergeCell ref="R4:R7"/>
    <mergeCell ref="A8:C8"/>
    <mergeCell ref="A1:Q1"/>
    <mergeCell ref="N10:Q10"/>
    <mergeCell ref="D4:D6"/>
    <mergeCell ref="N11:Q11"/>
    <mergeCell ref="A5:A6"/>
    <mergeCell ref="E5:E6"/>
    <mergeCell ref="F5:F6"/>
    <mergeCell ref="K5:K6"/>
    <mergeCell ref="L5:L6"/>
    <mergeCell ref="M5:M6"/>
    <mergeCell ref="N5:N6"/>
    <mergeCell ref="O5:O6"/>
    <mergeCell ref="P5:P6"/>
    <mergeCell ref="Q5:Q6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2026-07-13T02:55:27Z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