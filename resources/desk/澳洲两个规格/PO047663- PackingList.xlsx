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澳洲两个规格\"/>
    </mc:Choice>
  </mc:AlternateContent>
  <xr:revisionPtr revIDLastSave="0" documentId="13_ncr:1_{B0C49A93-B9F5-433D-BDE5-2C791EF888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P8" i="1"/>
  <c r="O8" i="1"/>
  <c r="K8" i="1"/>
  <c r="H8" i="1"/>
  <c r="F8" i="1"/>
  <c r="Q4" i="1"/>
  <c r="Q3" i="1"/>
  <c r="O3" i="1"/>
  <c r="Q7" i="1"/>
  <c r="O7" i="1"/>
  <c r="Q6" i="1"/>
  <c r="M7" i="1" l="1"/>
  <c r="P7" i="1" s="1"/>
  <c r="H7" i="1"/>
  <c r="F7" i="1"/>
  <c r="J7" i="1"/>
  <c r="O6" i="1"/>
  <c r="M6" i="1"/>
  <c r="P6" i="1" s="1"/>
  <c r="J6" i="1"/>
  <c r="F6" i="1" s="1"/>
  <c r="H6" i="1"/>
  <c r="M3" i="1"/>
  <c r="P3" i="1" s="1"/>
  <c r="H3" i="1"/>
  <c r="J3" i="1"/>
  <c r="F3" i="1" s="1"/>
  <c r="M4" i="1"/>
  <c r="P4" i="1" s="1"/>
  <c r="J4" i="1"/>
  <c r="F4" i="1" s="1"/>
  <c r="O4" i="1"/>
  <c r="I4" i="1"/>
</calcChain>
</file>

<file path=xl/sharedStrings.xml><?xml version="1.0" encoding="utf-8"?>
<sst xmlns="http://schemas.openxmlformats.org/spreadsheetml/2006/main" count="38" uniqueCount="29">
  <si>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</si>
  <si>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</si>
  <si>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</si>
  <si>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</si>
  <si>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</si>
  <si>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</si>
  <si>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</si>
  <si>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</si>
  <si>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</si>
  <si>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</si>
  <si>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</si>
  <si>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</si>
  <si>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</si>
  <si>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</si>
  <si>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</si>
  <si>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</si>
  <si>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</si>
  <si>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</si>
  <si>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</si>
  <si>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</si>
  <si>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PO047663</t>
    <phoneticPr fontId="14" type="noConversion"/>
  </si>
  <si>
    <t>SS8
24*142</t>
    <phoneticPr fontId="14" type="noConversion"/>
  </si>
  <si>
    <t>23*169</t>
    <phoneticPr fontId="14" type="noConversion"/>
  </si>
  <si>
    <t>23/23</t>
    <phoneticPr fontId="14" type="noConversion"/>
  </si>
  <si>
    <t>1200*800*550
0.53</t>
    <phoneticPr fontId="14" type="noConversion"/>
  </si>
  <si>
    <t>1200*800*350
0.34</t>
    <phoneticPr fontId="14" type="noConversion"/>
  </si>
  <si>
    <t>1/23-19/23</t>
    <phoneticPr fontId="14" type="noConversion"/>
  </si>
  <si>
    <t>20/23</t>
    <phoneticPr fontId="14" type="noConversion"/>
  </si>
  <si>
    <t>21/23-22/23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</si>
</sst>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5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sz val="14"/>
      <color theme="1"/>
      <name val="Arial Unicode MS"/>
      <family val="2"/>
    </font>
    <font>
      <sz val="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9" fillId="0" borderId="0" xfId="0" applyNumberFormat="1" applyFont="1">
      <alignment vertical="center"/>
    </xf>
    <xf numFmtId="0" fontId="5" fillId="0" borderId="2" xfId="0" quotePrefix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2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5" fillId="0" borderId="2" xfId="0" quotePrefix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0"/>
  <sheetViews>
    <sheetView tabSelected="1" zoomScale="115" zoomScaleNormal="115" workbookViewId="0">
      <selection activeCell="Q8" sqref="Q8"/>
    </sheetView>
  </sheetViews>
  <sheetFormatPr defaultColWidth="8.75" defaultRowHeight="13.5"/>
  <cols>
    <col min="1" max="1" width="4.625" customWidth="1"/>
    <col min="2" max="2" width="8.625" customWidth="1"/>
    <col min="3" max="3" width="9.5" customWidth="1"/>
    <col min="4" max="4" width="11.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5" customWidth="1"/>
    <col min="12" max="12" width="8.125" customWidth="1"/>
    <col min="13" max="13" width="8.5" customWidth="1"/>
    <col min="14" max="14" width="10.25" customWidth="1"/>
  </cols>
  <sheetData>
    <row r="1" spans="1:17" ht="80.45" customHeight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41.25" customHeight="1">
      <c r="A3" s="4">
        <v>1</v>
      </c>
      <c r="B3" s="5" t="s">
        <v>18</v>
      </c>
      <c r="C3" s="6" t="s">
        <v>22</v>
      </c>
      <c r="D3" s="35" t="s">
        <v>20</v>
      </c>
      <c r="E3" s="17" t="s">
        <v>26</v>
      </c>
      <c r="F3" s="4">
        <f>J3*K3</f>
        <v>22610</v>
      </c>
      <c r="G3" s="7">
        <v>35</v>
      </c>
      <c r="H3" s="7">
        <f>I3*K3</f>
        <v>646</v>
      </c>
      <c r="I3" s="4">
        <v>34</v>
      </c>
      <c r="J3" s="4">
        <f>G3*I3</f>
        <v>1190</v>
      </c>
      <c r="K3" s="4">
        <v>19</v>
      </c>
      <c r="L3" s="18">
        <v>701</v>
      </c>
      <c r="M3" s="18">
        <f>L3+42</f>
        <v>743</v>
      </c>
      <c r="N3" s="19" t="s">
        <v>24</v>
      </c>
      <c r="O3" s="18">
        <f>L3*K3</f>
        <v>13319</v>
      </c>
      <c r="P3" s="18">
        <f>M3*K3</f>
        <v>14117</v>
      </c>
      <c r="Q3" s="18">
        <f>0.53*K3</f>
        <v>10.07</v>
      </c>
    </row>
    <row r="4" spans="1:17" ht="37.5" customHeight="1">
      <c r="A4" s="4">
        <v>2</v>
      </c>
      <c r="B4" s="5" t="s">
        <v>18</v>
      </c>
      <c r="C4" s="6" t="s">
        <v>22</v>
      </c>
      <c r="D4" s="34"/>
      <c r="E4" s="27" t="s">
        <v>27</v>
      </c>
      <c r="F4" s="29">
        <f>J4*K4</f>
        <v>590</v>
      </c>
      <c r="G4" s="7">
        <v>35</v>
      </c>
      <c r="H4" s="7">
        <v>16</v>
      </c>
      <c r="I4" s="29">
        <f>H4+H5</f>
        <v>17</v>
      </c>
      <c r="J4" s="29">
        <f>G4*H4+G5*H5</f>
        <v>590</v>
      </c>
      <c r="K4" s="29">
        <v>1</v>
      </c>
      <c r="L4" s="30">
        <v>347</v>
      </c>
      <c r="M4" s="30">
        <f>L4+30</f>
        <v>377</v>
      </c>
      <c r="N4" s="32" t="s">
        <v>25</v>
      </c>
      <c r="O4" s="30">
        <f>L4*K4</f>
        <v>347</v>
      </c>
      <c r="P4" s="30">
        <f>M4*K4</f>
        <v>377</v>
      </c>
      <c r="Q4" s="30">
        <f>0.34*K4</f>
        <v>0.34</v>
      </c>
    </row>
    <row r="5" spans="1:17" ht="37.5" customHeight="1">
      <c r="A5" s="4">
        <v>3</v>
      </c>
      <c r="B5" s="5" t="s">
        <v>18</v>
      </c>
      <c r="C5" s="6" t="s">
        <v>22</v>
      </c>
      <c r="D5" s="34"/>
      <c r="E5" s="28"/>
      <c r="F5" s="28"/>
      <c r="G5" s="7">
        <v>30</v>
      </c>
      <c r="H5" s="7">
        <v>1</v>
      </c>
      <c r="I5" s="28"/>
      <c r="J5" s="28"/>
      <c r="K5" s="28"/>
      <c r="L5" s="31"/>
      <c r="M5" s="31"/>
      <c r="N5" s="33"/>
      <c r="O5" s="31"/>
      <c r="P5" s="31"/>
      <c r="Q5" s="31"/>
    </row>
    <row r="6" spans="1:17" ht="41.25" customHeight="1">
      <c r="A6" s="4">
        <v>4</v>
      </c>
      <c r="B6" s="5" t="s">
        <v>18</v>
      </c>
      <c r="C6" s="6" t="s">
        <v>21</v>
      </c>
      <c r="D6" s="34"/>
      <c r="E6" s="17" t="s">
        <v>28</v>
      </c>
      <c r="F6" s="4">
        <f>J6*K6</f>
        <v>2450</v>
      </c>
      <c r="G6" s="7">
        <v>35</v>
      </c>
      <c r="H6" s="7">
        <f>I6*K6</f>
        <v>70</v>
      </c>
      <c r="I6" s="4">
        <v>35</v>
      </c>
      <c r="J6" s="4">
        <f>G6*I6</f>
        <v>1225</v>
      </c>
      <c r="K6" s="4">
        <v>2</v>
      </c>
      <c r="L6" s="18">
        <v>668</v>
      </c>
      <c r="M6" s="18">
        <f>L6+42</f>
        <v>710</v>
      </c>
      <c r="N6" s="19" t="s">
        <v>24</v>
      </c>
      <c r="O6" s="18">
        <f>L6*K6</f>
        <v>1336</v>
      </c>
      <c r="P6" s="18">
        <f>M6*K6</f>
        <v>1420</v>
      </c>
      <c r="Q6" s="18">
        <f>0.53*K6</f>
        <v>1.06</v>
      </c>
    </row>
    <row r="7" spans="1:17" ht="45" customHeight="1">
      <c r="A7" s="4">
        <v>5</v>
      </c>
      <c r="B7" s="5" t="s">
        <v>18</v>
      </c>
      <c r="C7" s="6" t="s">
        <v>21</v>
      </c>
      <c r="D7" s="36"/>
      <c r="E7" s="17" t="s">
        <v>23</v>
      </c>
      <c r="F7" s="4">
        <f>J7*K7</f>
        <v>1050</v>
      </c>
      <c r="G7" s="7">
        <v>35</v>
      </c>
      <c r="H7" s="7">
        <f>I7*K7</f>
        <v>30</v>
      </c>
      <c r="I7" s="4">
        <v>30</v>
      </c>
      <c r="J7" s="4">
        <f>G7*I7</f>
        <v>1050</v>
      </c>
      <c r="K7" s="4">
        <v>1</v>
      </c>
      <c r="L7" s="18">
        <v>572</v>
      </c>
      <c r="M7" s="18">
        <f>L7+42</f>
        <v>614</v>
      </c>
      <c r="N7" s="19" t="s">
        <v>24</v>
      </c>
      <c r="O7" s="18">
        <f>L7*K7</f>
        <v>572</v>
      </c>
      <c r="P7" s="18">
        <f>M7*K7</f>
        <v>614</v>
      </c>
      <c r="Q7" s="18">
        <f>0.53*K7</f>
        <v>0.53</v>
      </c>
    </row>
    <row r="8" spans="1:17" ht="35.25" customHeight="1">
      <c r="A8" s="24" t="s">
        <v>19</v>
      </c>
      <c r="B8" s="25"/>
      <c r="C8" s="25"/>
      <c r="D8" s="8"/>
      <c r="E8" s="7"/>
      <c r="F8" s="7">
        <f>SUM(F3:F7)</f>
        <v>26700</v>
      </c>
      <c r="G8" s="7"/>
      <c r="H8" s="7">
        <f>SUM(H3:H7)</f>
        <v>763</v>
      </c>
      <c r="I8" s="7"/>
      <c r="J8" s="7"/>
      <c r="K8" s="7">
        <f>SUM(K3:K7)</f>
        <v>23</v>
      </c>
      <c r="L8" s="7"/>
      <c r="M8" s="7"/>
      <c r="N8" s="7"/>
      <c r="O8" s="7">
        <f t="shared" ref="O8:Q8" si="0">SUM(O3:O7)</f>
        <v>15574</v>
      </c>
      <c r="P8" s="7">
        <f t="shared" si="0"/>
        <v>16528</v>
      </c>
      <c r="Q8" s="21">
        <f t="shared" si="0"/>
        <v>12</v>
      </c>
    </row>
    <row r="9" spans="1:17" ht="14.45" customHeight="1">
      <c r="A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17" ht="21" customHeight="1">
      <c r="A10" s="9"/>
      <c r="B10" s="10"/>
      <c r="C10" s="20"/>
      <c r="N10" s="9"/>
      <c r="O10" s="9"/>
      <c r="P10" s="9"/>
      <c r="Q10" s="9"/>
    </row>
    <row r="11" spans="1:17" ht="21" customHeight="1">
      <c r="A11" s="9"/>
      <c r="C11" s="11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7" ht="18.75">
      <c r="A12" s="9"/>
      <c r="B12" s="12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26">
        <v>46167</v>
      </c>
      <c r="O12" s="26"/>
      <c r="P12" s="26"/>
      <c r="Q12" s="26"/>
    </row>
    <row r="13" spans="1:17" ht="18.75">
      <c r="A13" s="9"/>
      <c r="B13" s="12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6"/>
      <c r="O13" s="16"/>
      <c r="P13" s="16"/>
      <c r="Q13" s="16"/>
    </row>
    <row r="14" spans="1:17">
      <c r="A14" s="15"/>
      <c r="B14" s="15"/>
      <c r="C14" s="11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7">
      <c r="A15" s="15"/>
      <c r="B15" s="15"/>
      <c r="C15" s="11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7">
      <c r="A16" s="15"/>
      <c r="B16" s="15"/>
      <c r="C16" s="11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  <row r="17" spans="1: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spans="1:17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</row>
    <row r="19" spans="1:17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</row>
    <row r="20" spans="1:17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</row>
  </sheetData>
  <mergeCells count="15">
    <mergeCell ref="D3:D7"/>
    <mergeCell ref="A1:Q1"/>
    <mergeCell ref="A8:C8"/>
    <mergeCell ref="N12:Q12"/>
    <mergeCell ref="E4:E5"/>
    <mergeCell ref="F4:F5"/>
    <mergeCell ref="I4:I5"/>
    <mergeCell ref="J4:J5"/>
    <mergeCell ref="K4:K5"/>
    <mergeCell ref="L4:L5"/>
    <mergeCell ref="M4:M5"/>
    <mergeCell ref="N4:N5"/>
    <mergeCell ref="O4:O5"/>
    <mergeCell ref="P4:P5"/>
    <mergeCell ref="Q4:Q5"/>
  </mergeCells>
  <phoneticPr fontId="14" type="noConversion"/>
  <pageMargins left="0.511811023622047" right="0.511811023622047" top="0.196850393700787" bottom="0.74803149606299202" header="0.31496062992126" footer="0.3149606299212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2026-07-03T09:24:29Z</cp:lastPrinted>
  <dcterms:created xsi:type="dcterms:W3CDTF">2006-09-13T11:21:00Z</dcterms:created>
  <dcterms:modified xsi:type="dcterms:W3CDTF">2026-07-03T09:43:10Z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B62F7A5C00D04218AFDA2DDEBEDB145C_12</vt:lpwstr>
  </property>
  <property fmtid="{D5CDD505-2E9C-101B-9397-08002B2CF9AE}" pid="3" name="KSOProductBuildVer">
    <vt:lpwstr>2052-12.1.0.15374</vt:lpwstr>
  </property>
</Properties>
</file>