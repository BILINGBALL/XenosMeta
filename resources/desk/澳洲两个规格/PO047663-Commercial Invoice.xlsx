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澳洲两个规格\"/>
    </mc:Choice>
  </mc:AlternateContent>
  <xr:revisionPtr revIDLastSave="0" documentId="13_ncr:1_{CD52BEC6-55A5-4531-9D4D-871FCF869A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/>
  <c r="G25" i="2"/>
  <c r="G31" i="2" l="1"/>
</calcChain>
</file>

<file path=xl/sharedStrings.xml><?xml version="1.0" encoding="utf-8"?>
<sst xmlns="http://schemas.openxmlformats.org/spreadsheetml/2006/main" count="41" uniqueCount="39">
  <si>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</si>
  <si>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</si>
  <si>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</si>
  <si>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</si>
  <si>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</si>
  <si>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</si>
  <si>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</si>
  <si>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Australia Pty Limited</t>
    </r>
  </si>
  <si>
    <t>Add: 7 Bessemer St BLACKTOWN NSW 2148 Australia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</si>
  <si>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Greg Badcoe</t>
    </r>
  </si>
  <si>
    <t>T: (+61 ) 1800 844 947 F: (+61 2)9671 7875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</si>
  <si>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</si>
  <si>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</si>
  <si>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</si>
  <si>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</si>
  <si>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</si>
  <si>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</si>
  <si>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</si>
  <si>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</si>
  <si>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</si>
  <si>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</si>
  <si>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</si>
  <si>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</si>
  <si>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</si>
  <si>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</si>
  <si>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</si>
  <si>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</si>
  <si>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</si>
  <si>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</si>
  <si>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</si>
  <si>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</si>
  <si>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</si>
  <si>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</si>
  <si>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TR22x12x169</t>
  </si>
  <si>
    <t>T  O  T  A  L</t>
  </si>
  <si>
    <t>260704-PANDROL</t>
    <phoneticPr fontId="10" type="noConversion"/>
  </si>
  <si>
    <t>PO047663</t>
    <phoneticPr fontId="10" type="noConversion"/>
  </si>
  <si>
    <t>SCREWSPIKE</t>
    <phoneticPr fontId="10" type="noConversion"/>
  </si>
  <si>
    <t>Ss8 - 6161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</si>
</sst>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085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4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4" t="s">
        <v>0</v>
      </c>
      <c r="B1" s="74"/>
      <c r="C1" s="74"/>
      <c r="D1" s="74"/>
      <c r="E1" s="74"/>
      <c r="F1" s="74"/>
      <c r="G1" s="74"/>
    </row>
    <row r="2" spans="1:7" ht="15.75" x14ac:dyDescent="0.15">
      <c r="A2" s="1"/>
    </row>
    <row r="3" spans="1:7" ht="15" customHeight="1" x14ac:dyDescent="0.15">
      <c r="A3" s="71" t="s">
        <v>1</v>
      </c>
      <c r="B3" s="72"/>
      <c r="C3" s="72"/>
      <c r="D3" s="72"/>
      <c r="E3" s="72"/>
      <c r="F3" s="72"/>
      <c r="G3" s="73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71" t="s">
        <v>6</v>
      </c>
      <c r="B8" s="72"/>
      <c r="C8" s="72"/>
      <c r="D8" s="72"/>
      <c r="E8" s="72"/>
      <c r="F8" s="72"/>
      <c r="G8" s="73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7.25" customHeight="1" x14ac:dyDescent="0.15">
      <c r="A10" s="53" t="s">
        <v>8</v>
      </c>
      <c r="B10" s="67"/>
      <c r="C10" s="67"/>
      <c r="D10" s="67"/>
      <c r="E10" s="67"/>
      <c r="F10" s="67"/>
      <c r="G10" s="54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8"/>
      <c r="B13" s="69"/>
      <c r="C13" s="69"/>
      <c r="D13" s="69"/>
      <c r="E13" s="69"/>
      <c r="F13" s="69"/>
      <c r="G13" s="70"/>
    </row>
    <row r="14" spans="1:7" ht="15" customHeight="1" x14ac:dyDescent="0.15">
      <c r="A14" s="39" t="s">
        <v>11</v>
      </c>
      <c r="B14" s="40"/>
      <c r="C14" s="39" t="s">
        <v>12</v>
      </c>
      <c r="D14" s="40"/>
      <c r="E14" s="39" t="s">
        <v>13</v>
      </c>
      <c r="F14" s="41"/>
      <c r="G14" s="40"/>
    </row>
    <row r="15" spans="1:7" ht="15" customHeight="1" x14ac:dyDescent="0.15">
      <c r="A15" s="55" t="s">
        <v>14</v>
      </c>
      <c r="B15" s="56"/>
      <c r="C15" s="62" t="s">
        <v>35</v>
      </c>
      <c r="D15" s="63"/>
      <c r="E15" s="64">
        <v>46207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18.75" customHeight="1" x14ac:dyDescent="0.15">
      <c r="A17" s="55" t="s">
        <v>18</v>
      </c>
      <c r="B17" s="56"/>
      <c r="C17" s="7" t="s">
        <v>36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/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/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25</v>
      </c>
      <c r="B23" s="51" t="s">
        <v>26</v>
      </c>
      <c r="C23" s="51" t="s">
        <v>27</v>
      </c>
      <c r="D23" s="45" t="s">
        <v>28</v>
      </c>
      <c r="E23" s="46"/>
      <c r="F23" s="9" t="s">
        <v>29</v>
      </c>
      <c r="G23" s="9" t="s">
        <v>30</v>
      </c>
    </row>
    <row r="24" spans="1:7" ht="15" customHeight="1" x14ac:dyDescent="0.15">
      <c r="A24" s="50"/>
      <c r="B24" s="52"/>
      <c r="C24" s="52"/>
      <c r="D24" s="47" t="s">
        <v>31</v>
      </c>
      <c r="E24" s="48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37</v>
      </c>
      <c r="C25" s="12" t="s">
        <v>33</v>
      </c>
      <c r="D25" s="34">
        <v>23200</v>
      </c>
      <c r="E25" s="35"/>
      <c r="F25" s="13">
        <v>0.89</v>
      </c>
      <c r="G25" s="14">
        <f>D25*F25</f>
        <v>20648</v>
      </c>
    </row>
    <row r="26" spans="1:7" ht="27" customHeight="1" x14ac:dyDescent="0.15">
      <c r="A26" s="11">
        <v>2</v>
      </c>
      <c r="B26" s="12" t="s">
        <v>37</v>
      </c>
      <c r="C26" s="15" t="s">
        <v>38</v>
      </c>
      <c r="D26" s="22">
        <v>3500</v>
      </c>
      <c r="E26" s="36"/>
      <c r="F26" s="13">
        <v>0.89</v>
      </c>
      <c r="G26" s="14">
        <f>D26*F26</f>
        <v>3115</v>
      </c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34</v>
      </c>
      <c r="B31" s="25"/>
      <c r="C31" s="19"/>
      <c r="D31" s="26">
        <f>SUM(D25:E30)</f>
        <v>26700</v>
      </c>
      <c r="E31" s="27"/>
      <c r="F31" s="20"/>
      <c r="G31" s="21">
        <f>SUM(G25:G30)</f>
        <v>23763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2026-07-03T10:08:59Z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E9BC354981A04F35A299A49BA55FAA18_13</vt:lpwstr>
  </property>
  <property fmtid="{D5CDD505-2E9C-101B-9397-08002B2CF9AE}" pid="3" name="KSOProductBuildVer">
    <vt:lpwstr>2052-11.1.0.14309</vt:lpwstr>
  </property>
</Properties>
</file>