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20发货\"/>
    </mc:Choice>
  </mc:AlternateContent>
  <xr:revisionPtr revIDLastSave="0" documentId="13_ncr:1_{0CEC60A6-0898-4F6C-9E36-8E44C30992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O4" i="1"/>
  <c r="M4" i="1"/>
  <c r="P4" i="1" s="1"/>
  <c r="J4" i="1"/>
  <c r="H4" i="1"/>
  <c r="F4" i="1" s="1"/>
  <c r="K5" i="1" l="1"/>
  <c r="F5" i="1" l="1"/>
  <c r="Q5" i="1"/>
  <c r="P5" i="1"/>
  <c r="O5" i="1"/>
  <c r="H5" i="1"/>
</calcChain>
</file>

<file path=xl/sharedStrings.xml><?xml version="1.0" encoding="utf-8"?>
<sst xmlns="http://schemas.openxmlformats.org/spreadsheetml/2006/main" count="27" uniqueCount="27">
  <si>
    <t>柜号
No</t>
  </si>
  <si>
    <t>产品名称
Name</t>
  </si>
  <si>
    <t>型号及规格
Spec.</t>
  </si>
  <si>
    <t>合同号
PO</t>
  </si>
  <si>
    <t>箱号
Case No.</t>
  </si>
  <si>
    <t>件
Quan.</t>
  </si>
  <si>
    <t>件/袋
pcs
/bag</t>
  </si>
  <si>
    <t>袋
bags</t>
  </si>
  <si>
    <t>袋/箱
bag
/case</t>
  </si>
  <si>
    <t>件/箱
pcs
/case</t>
  </si>
  <si>
    <t>箱
CASW</t>
  </si>
  <si>
    <t>净重/箱
NW/CASE
（KG）</t>
  </si>
  <si>
    <t>毛重/箱
GW/CASE
（KG）</t>
  </si>
  <si>
    <t>体积/箱 m³
M³/CASE</t>
  </si>
  <si>
    <t>总净重
NW
（KG）</t>
  </si>
  <si>
    <t>总毛重
GW
(KG）</t>
  </si>
  <si>
    <t>总体积
M³</t>
  </si>
  <si>
    <t>螺纹道钉
SCREW SPIKE</t>
  </si>
  <si>
    <t>合计</t>
  </si>
  <si>
    <t>备注：</t>
  </si>
  <si>
    <t>Delkor</t>
  </si>
  <si>
    <t>苏州苏德兰铁路配件有限公司</t>
  </si>
  <si>
    <t xml:space="preserve"> 包  装  明  细  表  
Delkor                            </t>
    <phoneticPr fontId="9" type="noConversion"/>
  </si>
  <si>
    <r>
      <t xml:space="preserve">1100*800*550
</t>
    </r>
    <r>
      <rPr>
        <sz val="10"/>
        <color theme="1"/>
        <rFont val="宋体"/>
        <family val="3"/>
        <charset val="134"/>
        <scheme val="minor"/>
      </rPr>
      <t>0.48</t>
    </r>
    <phoneticPr fontId="9" type="noConversion"/>
  </si>
  <si>
    <t>24x165</t>
  </si>
  <si>
    <t>#20</t>
    <phoneticPr fontId="9" type="noConversion"/>
  </si>
  <si>
    <t>1/8-8/8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</si>
</sst>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800]dddd\,\ mmmm\ dd\,\ yyyy"/>
    <numFmt numFmtId="177" formatCode="0_);[Red]\(0\)"/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176" fontId="0" fillId="0" borderId="0">
      <alignment vertical="center"/>
    </xf>
  </cellStyleXfs>
  <cellXfs count="23">
    <xf numFmtId="176" fontId="0" fillId="0" borderId="0" xfId="0">
      <alignment vertical="center"/>
    </xf>
    <xf numFmtId="178" fontId="3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 wrapText="1"/>
    </xf>
    <xf numFmtId="176" fontId="3" fillId="0" borderId="0" xfId="0" applyFont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6" fontId="0" fillId="0" borderId="0" xfId="0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6" fontId="10" fillId="0" borderId="0" xfId="0" applyFont="1" applyAlignment="1">
      <alignment horizontal="center" vertical="center"/>
    </xf>
    <xf numFmtId="176" fontId="2" fillId="0" borderId="2" xfId="0" applyFont="1" applyBorder="1" applyAlignment="1">
      <alignment horizontal="center" vertical="center" wrapText="1"/>
    </xf>
    <xf numFmtId="176" fontId="3" fillId="0" borderId="2" xfId="0" applyFont="1" applyBorder="1" applyAlignment="1">
      <alignment horizontal="center" vertical="center" wrapText="1"/>
    </xf>
    <xf numFmtId="178" fontId="2" fillId="0" borderId="0" xfId="0" applyNumberFormat="1" applyFont="1">
      <alignment vertical="center"/>
    </xf>
    <xf numFmtId="176" fontId="1" fillId="0" borderId="0" xfId="0" applyFont="1" applyAlignment="1">
      <alignment horizontal="center" vertical="center"/>
    </xf>
    <xf numFmtId="176" fontId="12" fillId="0" borderId="0" xfId="0" applyFont="1" applyAlignment="1">
      <alignment horizontal="left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6" fontId="8" fillId="0" borderId="0" xfId="0" applyFont="1" applyAlignment="1">
      <alignment horizontal="right" vertical="center"/>
    </xf>
    <xf numFmtId="176" fontId="11" fillId="0" borderId="0" xfId="0" applyFont="1" applyAlignment="1">
      <alignment horizontal="center" vertical="center" wrapText="1"/>
    </xf>
    <xf numFmtId="176" fontId="1" fillId="0" borderId="0" xfId="0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"/>
  <sheetViews>
    <sheetView tabSelected="1" workbookViewId="0">
      <selection activeCell="N8" sqref="N8:Q8"/>
    </sheetView>
  </sheetViews>
  <sheetFormatPr defaultColWidth="9" defaultRowHeight="13.5" x14ac:dyDescent="0.15"/>
  <cols>
    <col min="1" max="1" width="4.625" customWidth="1"/>
    <col min="2" max="2" width="10.25" customWidth="1"/>
    <col min="3" max="3" width="9.5" customWidth="1"/>
    <col min="4" max="4" width="9.625" customWidth="1"/>
    <col min="5" max="5" width="12.75" customWidth="1"/>
    <col min="6" max="6" width="8.6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8" ht="66.75" customHeight="1" x14ac:dyDescent="0.15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8" ht="30.75" customHeight="1" x14ac:dyDescent="0.15">
      <c r="A2" s="14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39.75" customHeight="1" x14ac:dyDescent="0.1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</row>
    <row r="4" spans="1:18" ht="51.75" customHeight="1" x14ac:dyDescent="0.15">
      <c r="A4" s="15">
        <v>1</v>
      </c>
      <c r="B4" s="4" t="s">
        <v>17</v>
      </c>
      <c r="C4" s="16" t="s">
        <v>24</v>
      </c>
      <c r="D4" s="17">
        <v>9560</v>
      </c>
      <c r="E4" s="18" t="s">
        <v>26</v>
      </c>
      <c r="F4" s="2">
        <f t="shared" ref="F4" si="0">G4*H4</f>
        <v>8000</v>
      </c>
      <c r="G4" s="15">
        <v>25</v>
      </c>
      <c r="H4" s="15">
        <f t="shared" ref="H4" si="1">I4*K4</f>
        <v>320</v>
      </c>
      <c r="I4" s="15">
        <v>40</v>
      </c>
      <c r="J4" s="15">
        <f t="shared" ref="J4" si="2">G4*I4</f>
        <v>1000</v>
      </c>
      <c r="K4" s="15">
        <v>8</v>
      </c>
      <c r="L4" s="15">
        <v>600</v>
      </c>
      <c r="M4" s="15">
        <f t="shared" ref="M4" si="3">L4+42</f>
        <v>642</v>
      </c>
      <c r="N4" s="8" t="s">
        <v>23</v>
      </c>
      <c r="O4" s="15">
        <f t="shared" ref="O4" si="4">L4*K4</f>
        <v>4800</v>
      </c>
      <c r="P4" s="15">
        <f t="shared" ref="P4" si="5">M4*K4</f>
        <v>5136</v>
      </c>
      <c r="Q4" s="18">
        <f t="shared" ref="Q4" si="6">0.48*K4</f>
        <v>3.84</v>
      </c>
      <c r="R4" s="12"/>
    </row>
    <row r="5" spans="1:18" ht="35.25" customHeight="1" x14ac:dyDescent="0.15">
      <c r="A5" s="22" t="s">
        <v>18</v>
      </c>
      <c r="B5" s="22"/>
      <c r="C5" s="22"/>
      <c r="D5" s="3"/>
      <c r="E5" s="1"/>
      <c r="F5" s="3">
        <f>SUM(F4:F4)</f>
        <v>8000</v>
      </c>
      <c r="G5" s="3"/>
      <c r="H5" s="3">
        <f>SUM(H4:H4)</f>
        <v>320</v>
      </c>
      <c r="I5" s="3"/>
      <c r="K5" s="3">
        <f>SUM(K4:K4)</f>
        <v>8</v>
      </c>
      <c r="L5" s="3"/>
      <c r="M5" s="3"/>
      <c r="N5" s="1"/>
      <c r="O5" s="3">
        <f>SUM(O4:O4)</f>
        <v>4800</v>
      </c>
      <c r="P5" s="3">
        <f>SUM(P4:P4)</f>
        <v>5136</v>
      </c>
      <c r="Q5" s="1">
        <f>SUM(Q4:Q4)</f>
        <v>3.84</v>
      </c>
    </row>
    <row r="6" spans="1:18" ht="21" customHeight="1" x14ac:dyDescent="0.15">
      <c r="A6" s="5"/>
      <c r="B6" s="5"/>
      <c r="C6" s="5"/>
      <c r="E6" s="9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8" ht="21" customHeight="1" x14ac:dyDescent="0.15">
      <c r="A7" s="5"/>
      <c r="B7" s="6" t="s">
        <v>19</v>
      </c>
      <c r="C7" s="5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8" ht="18.75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9" t="s">
        <v>21</v>
      </c>
      <c r="O8" s="19"/>
      <c r="P8" s="19"/>
      <c r="Q8" s="19"/>
    </row>
    <row r="9" spans="1:18" ht="18.75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9">
        <v>46206</v>
      </c>
      <c r="O9" s="19"/>
      <c r="P9" s="19"/>
      <c r="Q9" s="19"/>
    </row>
    <row r="10" spans="1:18" x14ac:dyDescent="0.1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8" x14ac:dyDescent="0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8" x14ac:dyDescent="0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8" x14ac:dyDescent="0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8" x14ac:dyDescent="0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 x14ac:dyDescent="0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</sheetData>
  <mergeCells count="4">
    <mergeCell ref="N9:Q9"/>
    <mergeCell ref="A1:Q1"/>
    <mergeCell ref="A5:C5"/>
    <mergeCell ref="N8:Q8"/>
  </mergeCells>
  <phoneticPr fontId="9" type="noConversion"/>
  <pageMargins left="0" right="0" top="0" bottom="0" header="0.31496062992125984" footer="0.31496062992125984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2026-04-30T03:07:47Z</cp:lastPrinted>
  <dcterms:created xsi:type="dcterms:W3CDTF">2006-09-13T11:21:00Z</dcterms:created>
  <dcterms:modified xsi:type="dcterms:W3CDTF">2026-07-03T02:21:29Z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F7F178623D784356B7B93CB6124DFB16_13</vt:lpwstr>
  </property>
  <property fmtid="{D5CDD505-2E9C-101B-9397-08002B2CF9AE}" pid="3" name="KSOProductBuildVer">
    <vt:lpwstr>2052-12.1.0.18240</vt:lpwstr>
  </property>
</Properties>
</file>