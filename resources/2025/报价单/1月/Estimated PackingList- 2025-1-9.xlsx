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B404A545-6B68-4AE6-BE93-BC51FA23FB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1" l="1"/>
  <c r="Q12" i="1"/>
  <c r="O10" i="1"/>
  <c r="P10" i="1"/>
  <c r="Q10" i="1"/>
  <c r="F10" i="1"/>
  <c r="Q9" i="1"/>
  <c r="Q4" i="1"/>
  <c r="Q5" i="1"/>
  <c r="Q6" i="1"/>
  <c r="Q7" i="1"/>
  <c r="Q8" i="1"/>
  <c r="Q3" i="1"/>
  <c r="P8" i="1"/>
  <c r="O8" i="1"/>
  <c r="H8" i="1"/>
  <c r="H9" i="1"/>
  <c r="H10" i="1"/>
  <c r="M4" i="1"/>
  <c r="P4" i="1" s="1"/>
  <c r="M10" i="1"/>
  <c r="J10" i="1"/>
  <c r="O9" i="1"/>
  <c r="M9" i="1"/>
  <c r="P9" i="1" s="1"/>
  <c r="J9" i="1"/>
  <c r="F9" i="1" s="1"/>
  <c r="O6" i="1"/>
  <c r="M6" i="1"/>
  <c r="P6" i="1" s="1"/>
  <c r="J6" i="1"/>
  <c r="F6" i="1" s="1"/>
  <c r="H6" i="1"/>
  <c r="O5" i="1"/>
  <c r="M5" i="1"/>
  <c r="P5" i="1" s="1"/>
  <c r="J5" i="1"/>
  <c r="F5" i="1" s="1"/>
  <c r="H5" i="1"/>
  <c r="K17" i="1"/>
  <c r="J15" i="1"/>
  <c r="F15" i="1" s="1"/>
  <c r="Q15" i="1"/>
  <c r="O15" i="1"/>
  <c r="P15" i="1"/>
  <c r="Q14" i="1"/>
  <c r="O14" i="1"/>
  <c r="M14" i="1"/>
  <c r="P14" i="1" s="1"/>
  <c r="J14" i="1"/>
  <c r="F14" i="1" s="1"/>
  <c r="H14" i="1"/>
  <c r="J13" i="1"/>
  <c r="J12" i="1"/>
  <c r="F12" i="1" s="1"/>
  <c r="O12" i="1"/>
  <c r="M12" i="1"/>
  <c r="P12" i="1" s="1"/>
  <c r="M8" i="1"/>
  <c r="J8" i="1"/>
  <c r="F8" i="1" s="1"/>
  <c r="O4" i="1"/>
  <c r="J4" i="1"/>
  <c r="F4" i="1" s="1"/>
  <c r="O7" i="1"/>
  <c r="M7" i="1"/>
  <c r="P7" i="1" s="1"/>
  <c r="J7" i="1"/>
  <c r="F7" i="1" s="1"/>
  <c r="H7" i="1"/>
  <c r="Q11" i="1"/>
  <c r="O11" i="1"/>
  <c r="M11" i="1"/>
  <c r="P11" i="1" s="1"/>
  <c r="J11" i="1"/>
  <c r="F11" i="1" s="1"/>
  <c r="H11" i="1"/>
  <c r="O3" i="1"/>
  <c r="M3" i="1"/>
  <c r="P3" i="1" s="1"/>
  <c r="J3" i="1"/>
  <c r="F3" i="1" s="1"/>
  <c r="H3" i="1"/>
  <c r="J16" i="1"/>
  <c r="F16" i="1" s="1"/>
  <c r="H17" i="1" l="1"/>
  <c r="Q17" i="1"/>
  <c r="P17" i="1"/>
  <c r="O17" i="1"/>
  <c r="F17" i="1"/>
</calcChain>
</file>

<file path=xl/sharedStrings.xml><?xml version="1.0" encoding="utf-8"?>
<sst xmlns="http://schemas.openxmlformats.org/spreadsheetml/2006/main" count="43" uniqueCount="31">
  <si>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</si>
  <si>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</si>
  <si>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</si>
  <si>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</si>
  <si>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</si>
  <si>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</si>
  <si>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</si>
  <si>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</si>
  <si>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</si>
  <si>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</si>
  <si>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</si>
  <si>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</si>
  <si>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</si>
  <si>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</si>
  <si>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</si>
  <si>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</si>
  <si>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</si>
  <si>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</si>
  <si>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扣板
A Clip</t>
    <phoneticPr fontId="15" type="noConversion"/>
  </si>
  <si>
    <t>螺杆
Threaded Rod</t>
    <phoneticPr fontId="15" type="noConversion"/>
  </si>
  <si>
    <t>六角螺母
Hex Nut</t>
    <phoneticPr fontId="15" type="noConversion"/>
  </si>
  <si>
    <t>双层弹垫
Double Helical Spring Washers</t>
    <phoneticPr fontId="15" type="noConversion"/>
  </si>
  <si>
    <t>M24</t>
  </si>
  <si>
    <t>Fe6</t>
  </si>
  <si>
    <t>1100*800*550
0.49</t>
    <phoneticPr fontId="15" type="noConversion"/>
  </si>
  <si>
    <t>1100*800*350
0.31</t>
    <phoneticPr fontId="15" type="noConversion"/>
  </si>
  <si>
    <r>
      <t>PANDROL</t>
    </r>
    <r>
      <rPr>
        <b/>
        <sz val="16"/>
        <color theme="1"/>
        <rFont val="宋体"/>
        <family val="3"/>
        <charset val="134"/>
        <scheme val="minor"/>
      </rPr>
      <t xml:space="preserve">
PRE-PACKING DETAILS
</t>
    </r>
    <phoneticPr fontId="15" type="noConversion"/>
  </si>
  <si>
    <t>RAC-01_A</t>
    <phoneticPr fontId="15" type="noConversion"/>
  </si>
  <si>
    <t>RAC-02_A</t>
    <phoneticPr fontId="15" type="noConversion"/>
  </si>
  <si>
    <t>24*240</t>
    <phoneticPr fontId="15" type="noConversion"/>
  </si>
  <si>
    <t>24*270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</si>
</sst>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8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>
      <alignment vertical="center"/>
    </xf>
    <xf numFmtId="0" fontId="17" fillId="2" borderId="2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176" fontId="9" fillId="0" borderId="0" xfId="0" applyNumberFormat="1" applyFont="1" applyAlignment="1">
      <alignment horizontal="right" vertical="center"/>
    </xf>
    <xf numFmtId="0" fontId="5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8"/>
  <sheetViews>
    <sheetView tabSelected="1" topLeftCell="A10" zoomScaleNormal="100" workbookViewId="0">
      <selection activeCell="G19" sqref="G19"/>
    </sheetView>
  </sheetViews>
  <sheetFormatPr defaultColWidth="8.75" defaultRowHeight="13.5"/>
  <cols>
    <col min="1" max="1" width="4.625" customWidth="1"/>
    <col min="2" max="2" width="10.37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33" t="s">
        <v>26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ht="68.45" customHeight="1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1" t="s">
        <v>14</v>
      </c>
      <c r="P2" s="1" t="s">
        <v>15</v>
      </c>
      <c r="Q2" s="1" t="s">
        <v>16</v>
      </c>
    </row>
    <row r="3" spans="1:17" ht="33.75" customHeight="1">
      <c r="A3" s="21">
        <v>1</v>
      </c>
      <c r="B3" s="27" t="s">
        <v>18</v>
      </c>
      <c r="C3" s="30" t="s">
        <v>27</v>
      </c>
      <c r="D3" s="15"/>
      <c r="E3" s="5"/>
      <c r="F3" s="4">
        <f>J3*K3</f>
        <v>6000</v>
      </c>
      <c r="G3" s="6">
        <v>20</v>
      </c>
      <c r="H3" s="6">
        <f>K3*I3</f>
        <v>300</v>
      </c>
      <c r="I3" s="4">
        <v>30</v>
      </c>
      <c r="J3" s="4">
        <f t="shared" ref="J3:J16" si="0">G3*I3</f>
        <v>600</v>
      </c>
      <c r="K3" s="4">
        <v>10</v>
      </c>
      <c r="L3" s="4">
        <v>582</v>
      </c>
      <c r="M3" s="4">
        <f>L3+42</f>
        <v>624</v>
      </c>
      <c r="N3" s="17" t="s">
        <v>24</v>
      </c>
      <c r="O3" s="13">
        <f>L3*K3</f>
        <v>5820</v>
      </c>
      <c r="P3" s="13">
        <f>M3*K3</f>
        <v>6240</v>
      </c>
      <c r="Q3" s="13">
        <f>0.49*K3</f>
        <v>4.9000000000000004</v>
      </c>
    </row>
    <row r="4" spans="1:17" ht="33.75" customHeight="1">
      <c r="A4" s="26"/>
      <c r="B4" s="28"/>
      <c r="C4" s="31"/>
      <c r="D4" s="15"/>
      <c r="E4" s="5"/>
      <c r="F4" s="4">
        <f t="shared" ref="F4" si="1">J4*K4</f>
        <v>100</v>
      </c>
      <c r="G4" s="6">
        <v>20</v>
      </c>
      <c r="H4" s="6">
        <v>5</v>
      </c>
      <c r="I4" s="4">
        <v>5</v>
      </c>
      <c r="J4" s="4">
        <f t="shared" si="0"/>
        <v>100</v>
      </c>
      <c r="K4" s="4">
        <v>1</v>
      </c>
      <c r="L4" s="4">
        <v>97</v>
      </c>
      <c r="M4" s="4">
        <f>L4+30</f>
        <v>127</v>
      </c>
      <c r="N4" s="17" t="s">
        <v>25</v>
      </c>
      <c r="O4" s="13">
        <f>L4</f>
        <v>97</v>
      </c>
      <c r="P4" s="13">
        <f>M4</f>
        <v>127</v>
      </c>
      <c r="Q4" s="13">
        <f>0.31*K4</f>
        <v>0.31</v>
      </c>
    </row>
    <row r="5" spans="1:17" ht="33.75" customHeight="1">
      <c r="A5" s="21">
        <v>2</v>
      </c>
      <c r="B5" s="27" t="s">
        <v>18</v>
      </c>
      <c r="C5" s="30" t="s">
        <v>28</v>
      </c>
      <c r="D5" s="15"/>
      <c r="E5" s="5"/>
      <c r="F5" s="4">
        <f>J5*K5</f>
        <v>12800</v>
      </c>
      <c r="G5" s="6">
        <v>25</v>
      </c>
      <c r="H5" s="6">
        <f>K5*I5</f>
        <v>512</v>
      </c>
      <c r="I5" s="4">
        <v>32</v>
      </c>
      <c r="J5" s="4">
        <f t="shared" ref="J5:J6" si="2">G5*I5</f>
        <v>800</v>
      </c>
      <c r="K5" s="4">
        <v>16</v>
      </c>
      <c r="L5" s="4">
        <v>552</v>
      </c>
      <c r="M5" s="4">
        <f>L5+42</f>
        <v>594</v>
      </c>
      <c r="N5" s="17" t="s">
        <v>24</v>
      </c>
      <c r="O5" s="13">
        <f>L5*K5</f>
        <v>8832</v>
      </c>
      <c r="P5" s="13">
        <f>M5*K5</f>
        <v>9504</v>
      </c>
      <c r="Q5" s="13">
        <f t="shared" ref="Q5:Q9" si="3">0.49*K5</f>
        <v>7.84</v>
      </c>
    </row>
    <row r="6" spans="1:17" ht="33.75" customHeight="1">
      <c r="A6" s="26"/>
      <c r="B6" s="28"/>
      <c r="C6" s="31"/>
      <c r="D6" s="15"/>
      <c r="E6" s="5"/>
      <c r="F6" s="4">
        <f t="shared" ref="F6" si="4">J6*K6</f>
        <v>750</v>
      </c>
      <c r="G6" s="6">
        <v>25</v>
      </c>
      <c r="H6" s="6">
        <f>K6*I6</f>
        <v>30</v>
      </c>
      <c r="I6" s="4">
        <v>30</v>
      </c>
      <c r="J6" s="4">
        <f t="shared" si="2"/>
        <v>750</v>
      </c>
      <c r="K6" s="4">
        <v>1</v>
      </c>
      <c r="L6" s="4">
        <v>518</v>
      </c>
      <c r="M6" s="4">
        <f>L6+42</f>
        <v>560</v>
      </c>
      <c r="N6" s="17" t="s">
        <v>24</v>
      </c>
      <c r="O6" s="13">
        <f>L6</f>
        <v>518</v>
      </c>
      <c r="P6" s="13">
        <f>M6</f>
        <v>560</v>
      </c>
      <c r="Q6" s="13">
        <f t="shared" si="3"/>
        <v>0.49</v>
      </c>
    </row>
    <row r="7" spans="1:17" ht="33.75" customHeight="1">
      <c r="A7" s="21">
        <v>3</v>
      </c>
      <c r="B7" s="27" t="s">
        <v>19</v>
      </c>
      <c r="C7" s="30" t="s">
        <v>29</v>
      </c>
      <c r="D7" s="15"/>
      <c r="E7" s="5"/>
      <c r="F7" s="4">
        <f>J7*K7</f>
        <v>5250</v>
      </c>
      <c r="G7" s="6">
        <v>25</v>
      </c>
      <c r="H7" s="6">
        <f>K7*I7</f>
        <v>210</v>
      </c>
      <c r="I7" s="4">
        <v>35</v>
      </c>
      <c r="J7" s="4">
        <f t="shared" si="0"/>
        <v>875</v>
      </c>
      <c r="K7" s="4">
        <v>6</v>
      </c>
      <c r="L7" s="4">
        <v>612</v>
      </c>
      <c r="M7" s="4">
        <f>L7+42</f>
        <v>654</v>
      </c>
      <c r="N7" s="17" t="s">
        <v>24</v>
      </c>
      <c r="O7" s="13">
        <f>L7*K7</f>
        <v>3672</v>
      </c>
      <c r="P7" s="13">
        <f>M7*K7</f>
        <v>3924</v>
      </c>
      <c r="Q7" s="13">
        <f t="shared" si="3"/>
        <v>2.94</v>
      </c>
    </row>
    <row r="8" spans="1:17" ht="33.75" customHeight="1">
      <c r="A8" s="26"/>
      <c r="B8" s="28"/>
      <c r="C8" s="31"/>
      <c r="D8" s="15"/>
      <c r="E8" s="5"/>
      <c r="F8" s="4">
        <f>J8*K8</f>
        <v>850</v>
      </c>
      <c r="G8" s="6">
        <v>25</v>
      </c>
      <c r="H8" s="6">
        <f t="shared" ref="H8:H10" si="5">K8*I8</f>
        <v>34</v>
      </c>
      <c r="I8" s="4">
        <v>34</v>
      </c>
      <c r="J8" s="4">
        <f t="shared" si="0"/>
        <v>850</v>
      </c>
      <c r="K8" s="4">
        <v>1</v>
      </c>
      <c r="L8" s="4">
        <v>595</v>
      </c>
      <c r="M8" s="4">
        <f>L8+42</f>
        <v>637</v>
      </c>
      <c r="N8" s="17" t="s">
        <v>24</v>
      </c>
      <c r="O8" s="13">
        <f>L8*K8</f>
        <v>595</v>
      </c>
      <c r="P8" s="13">
        <f>M8*K8</f>
        <v>637</v>
      </c>
      <c r="Q8" s="13">
        <f t="shared" si="3"/>
        <v>0.49</v>
      </c>
    </row>
    <row r="9" spans="1:17" ht="33.75" customHeight="1">
      <c r="A9" s="21">
        <v>4</v>
      </c>
      <c r="B9" s="27" t="s">
        <v>19</v>
      </c>
      <c r="C9" s="30" t="s">
        <v>30</v>
      </c>
      <c r="D9" s="15"/>
      <c r="E9" s="5"/>
      <c r="F9" s="4">
        <f>J9*K9</f>
        <v>12250</v>
      </c>
      <c r="G9" s="6">
        <v>25</v>
      </c>
      <c r="H9" s="6">
        <f t="shared" si="5"/>
        <v>490</v>
      </c>
      <c r="I9" s="4">
        <v>35</v>
      </c>
      <c r="J9" s="4">
        <f t="shared" ref="J9:J10" si="6">G9*I9</f>
        <v>875</v>
      </c>
      <c r="K9" s="4">
        <v>14</v>
      </c>
      <c r="L9" s="4">
        <v>660</v>
      </c>
      <c r="M9" s="4">
        <f>L9+42</f>
        <v>702</v>
      </c>
      <c r="N9" s="17" t="s">
        <v>24</v>
      </c>
      <c r="O9" s="13">
        <f>L9*K9</f>
        <v>9240</v>
      </c>
      <c r="P9" s="13">
        <f>M9*K9</f>
        <v>9828</v>
      </c>
      <c r="Q9" s="13">
        <f t="shared" si="3"/>
        <v>6.8599999999999994</v>
      </c>
    </row>
    <row r="10" spans="1:17" ht="33.75" customHeight="1">
      <c r="A10" s="26"/>
      <c r="B10" s="28"/>
      <c r="C10" s="31"/>
      <c r="D10" s="15"/>
      <c r="E10" s="5"/>
      <c r="F10" s="4">
        <f>J10*K10</f>
        <v>800</v>
      </c>
      <c r="G10" s="6">
        <v>25</v>
      </c>
      <c r="H10" s="6">
        <f t="shared" si="5"/>
        <v>32</v>
      </c>
      <c r="I10" s="4">
        <v>32</v>
      </c>
      <c r="J10" s="4">
        <f t="shared" si="6"/>
        <v>800</v>
      </c>
      <c r="K10" s="4">
        <v>1</v>
      </c>
      <c r="L10" s="4">
        <v>604</v>
      </c>
      <c r="M10" s="4">
        <f>L10+42</f>
        <v>646</v>
      </c>
      <c r="N10" s="17" t="s">
        <v>24</v>
      </c>
      <c r="O10" s="13">
        <f>L10*K10</f>
        <v>604</v>
      </c>
      <c r="P10" s="13">
        <f>M10*K10</f>
        <v>646</v>
      </c>
      <c r="Q10" s="13">
        <f t="shared" ref="Q10" si="7">0.49*K10</f>
        <v>0.49</v>
      </c>
    </row>
    <row r="11" spans="1:17" ht="33.75" customHeight="1">
      <c r="A11" s="21">
        <v>5</v>
      </c>
      <c r="B11" s="27" t="s">
        <v>20</v>
      </c>
      <c r="C11" s="30" t="s">
        <v>22</v>
      </c>
      <c r="D11" s="15"/>
      <c r="E11" s="5"/>
      <c r="F11" s="4">
        <f>J11*K11</f>
        <v>16000</v>
      </c>
      <c r="G11" s="6">
        <v>100</v>
      </c>
      <c r="H11" s="6">
        <f>K11*I11</f>
        <v>160</v>
      </c>
      <c r="I11" s="4">
        <v>40</v>
      </c>
      <c r="J11" s="4">
        <f t="shared" si="0"/>
        <v>4000</v>
      </c>
      <c r="K11" s="4">
        <v>4</v>
      </c>
      <c r="L11" s="4">
        <v>624</v>
      </c>
      <c r="M11" s="4">
        <f>L11+42</f>
        <v>666</v>
      </c>
      <c r="N11" s="17" t="s">
        <v>24</v>
      </c>
      <c r="O11" s="13">
        <f>L11*K11</f>
        <v>2496</v>
      </c>
      <c r="P11" s="13">
        <f>M11*K11</f>
        <v>2664</v>
      </c>
      <c r="Q11" s="13">
        <f>0.53*K11</f>
        <v>2.12</v>
      </c>
    </row>
    <row r="12" spans="1:17" ht="33.75" customHeight="1">
      <c r="A12" s="26"/>
      <c r="B12" s="28"/>
      <c r="C12" s="31"/>
      <c r="D12" s="15"/>
      <c r="E12" s="5"/>
      <c r="F12" s="4">
        <f t="shared" ref="F12:F13" si="8">J12*K12</f>
        <v>3100</v>
      </c>
      <c r="G12" s="6">
        <v>100</v>
      </c>
      <c r="H12" s="6">
        <v>10</v>
      </c>
      <c r="I12" s="4">
        <v>31</v>
      </c>
      <c r="J12" s="4">
        <f t="shared" si="0"/>
        <v>3100</v>
      </c>
      <c r="K12" s="21">
        <v>1</v>
      </c>
      <c r="L12" s="21">
        <v>598</v>
      </c>
      <c r="M12" s="21">
        <f>L12+42</f>
        <v>640</v>
      </c>
      <c r="N12" s="23" t="s">
        <v>24</v>
      </c>
      <c r="O12" s="19">
        <f>L12</f>
        <v>598</v>
      </c>
      <c r="P12" s="19">
        <f>M12</f>
        <v>640</v>
      </c>
      <c r="Q12" s="19">
        <f>0.49</f>
        <v>0.49</v>
      </c>
    </row>
    <row r="13" spans="1:17" ht="33.75" customHeight="1">
      <c r="A13" s="22"/>
      <c r="B13" s="29"/>
      <c r="C13" s="32"/>
      <c r="D13" s="15"/>
      <c r="E13" s="5"/>
      <c r="F13" s="4">
        <v>50</v>
      </c>
      <c r="G13" s="6">
        <v>50</v>
      </c>
      <c r="H13" s="6">
        <v>1</v>
      </c>
      <c r="I13" s="4">
        <v>1</v>
      </c>
      <c r="J13" s="4">
        <f t="shared" si="0"/>
        <v>50</v>
      </c>
      <c r="K13" s="22"/>
      <c r="L13" s="22"/>
      <c r="M13" s="22"/>
      <c r="N13" s="24"/>
      <c r="O13" s="20"/>
      <c r="P13" s="20"/>
      <c r="Q13" s="20"/>
    </row>
    <row r="14" spans="1:17" ht="40.5" customHeight="1">
      <c r="A14" s="21">
        <v>6</v>
      </c>
      <c r="B14" s="27" t="s">
        <v>21</v>
      </c>
      <c r="C14" s="30" t="s">
        <v>23</v>
      </c>
      <c r="D14" s="15"/>
      <c r="E14" s="5"/>
      <c r="F14" s="4">
        <f>J14*K14</f>
        <v>18000</v>
      </c>
      <c r="G14" s="6">
        <v>200</v>
      </c>
      <c r="H14" s="6">
        <f>K14*I14</f>
        <v>90</v>
      </c>
      <c r="I14" s="4">
        <v>30</v>
      </c>
      <c r="J14" s="4">
        <f t="shared" si="0"/>
        <v>6000</v>
      </c>
      <c r="K14" s="6">
        <v>3</v>
      </c>
      <c r="L14" s="6">
        <v>546</v>
      </c>
      <c r="M14" s="6">
        <f>L14+42</f>
        <v>588</v>
      </c>
      <c r="N14" s="18" t="s">
        <v>24</v>
      </c>
      <c r="O14" s="14">
        <f>L14*K14</f>
        <v>1638</v>
      </c>
      <c r="P14" s="14">
        <f>M14*K14</f>
        <v>1764</v>
      </c>
      <c r="Q14" s="14">
        <f>0.53*K14</f>
        <v>1.59</v>
      </c>
    </row>
    <row r="15" spans="1:17" ht="40.5" customHeight="1">
      <c r="A15" s="26"/>
      <c r="B15" s="28"/>
      <c r="C15" s="31"/>
      <c r="D15" s="15"/>
      <c r="E15" s="5"/>
      <c r="F15" s="4">
        <f>J15*K15</f>
        <v>1000</v>
      </c>
      <c r="G15" s="6">
        <v>200</v>
      </c>
      <c r="H15" s="6">
        <v>12</v>
      </c>
      <c r="I15" s="4">
        <v>5</v>
      </c>
      <c r="J15" s="4">
        <f t="shared" si="0"/>
        <v>1000</v>
      </c>
      <c r="K15" s="21">
        <v>1</v>
      </c>
      <c r="L15" s="21">
        <v>105</v>
      </c>
      <c r="M15" s="21">
        <f>L15+30</f>
        <v>135</v>
      </c>
      <c r="N15" s="23" t="s">
        <v>25</v>
      </c>
      <c r="O15" s="19">
        <f>L15</f>
        <v>105</v>
      </c>
      <c r="P15" s="19">
        <f>M15</f>
        <v>135</v>
      </c>
      <c r="Q15" s="19">
        <f>0.31</f>
        <v>0.31</v>
      </c>
    </row>
    <row r="16" spans="1:17" ht="40.5" customHeight="1">
      <c r="A16" s="22"/>
      <c r="B16" s="29"/>
      <c r="C16" s="32"/>
      <c r="D16" s="15"/>
      <c r="E16" s="5"/>
      <c r="F16" s="4">
        <f>J16*K15</f>
        <v>150</v>
      </c>
      <c r="G16" s="6">
        <v>150</v>
      </c>
      <c r="H16" s="6">
        <v>1</v>
      </c>
      <c r="I16" s="4">
        <v>1</v>
      </c>
      <c r="J16" s="4">
        <f t="shared" si="0"/>
        <v>150</v>
      </c>
      <c r="K16" s="22"/>
      <c r="L16" s="22"/>
      <c r="M16" s="22"/>
      <c r="N16" s="24"/>
      <c r="O16" s="20"/>
      <c r="P16" s="20"/>
      <c r="Q16" s="20"/>
    </row>
    <row r="17" spans="1:17" ht="35.25" customHeight="1">
      <c r="A17" s="35" t="s">
        <v>17</v>
      </c>
      <c r="B17" s="35"/>
      <c r="C17" s="35"/>
      <c r="D17" s="7"/>
      <c r="E17" s="6"/>
      <c r="F17" s="6">
        <f>SUM(F3:F16)</f>
        <v>77100</v>
      </c>
      <c r="G17" s="6"/>
      <c r="H17" s="6">
        <f>SUM(H3:H16)</f>
        <v>1887</v>
      </c>
      <c r="I17" s="6"/>
      <c r="J17" s="6"/>
      <c r="K17" s="6">
        <f>SUM(K3:K16)</f>
        <v>59</v>
      </c>
      <c r="L17" s="6"/>
      <c r="M17" s="6"/>
      <c r="N17" s="14"/>
      <c r="O17" s="6">
        <f>SUM(O3:O16)</f>
        <v>34215</v>
      </c>
      <c r="P17" s="6">
        <f>SUM(P3:P16)</f>
        <v>36669</v>
      </c>
      <c r="Q17" s="6">
        <f>SUM(Q3:Q16)</f>
        <v>28.829999999999995</v>
      </c>
    </row>
    <row r="18" spans="1:17" ht="21" customHeight="1">
      <c r="A18" s="8"/>
      <c r="B18" s="9"/>
      <c r="C18" s="16"/>
      <c r="N18" s="8"/>
      <c r="O18" s="8"/>
      <c r="P18" s="8"/>
      <c r="Q18" s="8"/>
    </row>
    <row r="19" spans="1:17" ht="21" customHeight="1">
      <c r="A19" s="8"/>
      <c r="B19" s="10"/>
      <c r="C19" s="11"/>
      <c r="D19" s="8"/>
      <c r="E19" s="8"/>
      <c r="F19" s="8"/>
      <c r="G19" s="8"/>
      <c r="H19" s="8"/>
      <c r="I19" s="8"/>
      <c r="J19" s="8"/>
      <c r="K19" s="8"/>
      <c r="L19" s="8"/>
      <c r="M19" s="8"/>
      <c r="N19" s="36">
        <v>45666</v>
      </c>
      <c r="O19" s="36"/>
      <c r="P19" s="36"/>
      <c r="Q19" s="36"/>
    </row>
    <row r="20" spans="1:17">
      <c r="A20" s="8"/>
      <c r="B20" s="8"/>
      <c r="C20" s="11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7" ht="18.75">
      <c r="A21" s="8"/>
      <c r="B21" s="8"/>
      <c r="C21" s="11"/>
      <c r="D21" s="8"/>
      <c r="E21" s="8"/>
      <c r="F21" s="8"/>
      <c r="G21" s="8"/>
      <c r="H21" s="8"/>
      <c r="I21" s="8"/>
      <c r="J21" s="8"/>
      <c r="K21" s="8"/>
      <c r="L21" s="8"/>
      <c r="M21" s="8"/>
      <c r="N21" s="25"/>
      <c r="O21" s="25"/>
      <c r="P21" s="25"/>
      <c r="Q21" s="25"/>
    </row>
    <row r="22" spans="1:17">
      <c r="A22" s="12"/>
      <c r="B22" s="12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>
      <c r="A23" s="12"/>
      <c r="B23" s="12"/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>
      <c r="A24" s="12"/>
      <c r="B24" s="12"/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</sheetData>
  <mergeCells count="36">
    <mergeCell ref="M15:M16"/>
    <mergeCell ref="N15:N16"/>
    <mergeCell ref="O15:O16"/>
    <mergeCell ref="P15:P16"/>
    <mergeCell ref="Q15:Q16"/>
    <mergeCell ref="A14:A16"/>
    <mergeCell ref="B14:B16"/>
    <mergeCell ref="C14:C16"/>
    <mergeCell ref="K15:K16"/>
    <mergeCell ref="L15:L16"/>
    <mergeCell ref="A11:A13"/>
    <mergeCell ref="B11:B13"/>
    <mergeCell ref="C11:C13"/>
    <mergeCell ref="K12:K13"/>
    <mergeCell ref="L12:L13"/>
    <mergeCell ref="M12:M13"/>
    <mergeCell ref="N12:N13"/>
    <mergeCell ref="O12:O13"/>
    <mergeCell ref="P12:P13"/>
    <mergeCell ref="Q12:Q13"/>
    <mergeCell ref="C7:C8"/>
    <mergeCell ref="A1:Q1"/>
    <mergeCell ref="A17:C17"/>
    <mergeCell ref="N19:Q19"/>
    <mergeCell ref="A9:A10"/>
    <mergeCell ref="B9:B10"/>
    <mergeCell ref="C9:C10"/>
    <mergeCell ref="N21:Q21"/>
    <mergeCell ref="A3:A4"/>
    <mergeCell ref="B3:B4"/>
    <mergeCell ref="C3:C4"/>
    <mergeCell ref="A7:A8"/>
    <mergeCell ref="B7:B8"/>
    <mergeCell ref="A5:A6"/>
    <mergeCell ref="B5:B6"/>
    <mergeCell ref="C5:C6"/>
  </mergeCells>
  <phoneticPr fontId="15" type="noConversion"/>
  <pageMargins left="0.511811023622047" right="0.511811023622047" top="0.196850393700787" bottom="0.74803149606299202" header="0.31496062992126" footer="0.31496062992126"/>
  <pageSetup paperSize="9" scale="9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532537-10CC-40F5-A17B-2B64C178E5CF}">
  <ds:schemaRefs/>
</ds:datastoreItem>
</file>

<file path=customXml/itemProps2.xml><?xml version="1.0" encoding="utf-8"?>
<ds:datastoreItem xmlns:ds="http://schemas.openxmlformats.org/officeDocument/2006/customXml" ds:itemID="{938A6DA2-9912-4902-93FB-649328AF6ADB}">
  <ds:schemaRefs/>
</ds:datastoreItem>
</file>

<file path=customXml/itemProps3.xml><?xml version="1.0" encoding="utf-8"?>
<ds:datastoreItem xmlns:ds="http://schemas.openxmlformats.org/officeDocument/2006/customXml" ds:itemID="{1FD0F0C3-FD85-4F4A-B3C7-C631F71BA5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2025-01-09T07:08:05Z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25C2906FAB4D4D72BCCE11F1B2B88C0B_13</vt:lpwstr>
  </property>
  <property fmtid="{D5CDD505-2E9C-101B-9397-08002B2CF9AE}" pid="4" name="KSOProductBuildVer">
    <vt:lpwstr>2052-12.1.0.18608</vt:lpwstr>
  </property>
</Properties>
</file>