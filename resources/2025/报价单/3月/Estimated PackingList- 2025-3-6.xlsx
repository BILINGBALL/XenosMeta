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C9A60B29-971F-4C0B-B03C-FC4368CF3F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J5" i="1"/>
  <c r="Q3" i="1"/>
  <c r="J3" i="1"/>
  <c r="F3" i="1" s="1"/>
  <c r="K6" i="1"/>
  <c r="J4" i="1"/>
  <c r="H6" i="1" l="1"/>
  <c r="Q6" i="1"/>
  <c r="P6" i="1"/>
  <c r="O6" i="1"/>
  <c r="F6" i="1"/>
</calcChain>
</file>

<file path=xl/sharedStrings.xml><?xml version="1.0" encoding="utf-8"?>
<sst xmlns="http://schemas.openxmlformats.org/spreadsheetml/2006/main" count="27" uniqueCount="25">
  <si>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</si>
  <si>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</si>
  <si>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</si>
  <si>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</si>
  <si>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</si>
  <si>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</si>
  <si>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</si>
  <si>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</si>
  <si>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</si>
  <si>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</si>
  <si>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</si>
  <si>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</si>
  <si>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</si>
  <si>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</si>
  <si>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</si>
  <si>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</si>
  <si>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</si>
  <si>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</si>
  <si>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1100*800*550
0.49</t>
    <phoneticPr fontId="15" type="noConversion"/>
  </si>
  <si>
    <t xml:space="preserve">DELKOR
PRE-PACKING DETAILS
</t>
    <phoneticPr fontId="15" type="noConversion"/>
  </si>
  <si>
    <t>尼龙锁紧螺母
Nylon Lock Nut</t>
    <phoneticPr fontId="15" type="noConversion"/>
  </si>
  <si>
    <t>弹垫
Helical Spring Lock Washer</t>
    <phoneticPr fontId="15" type="noConversion"/>
  </si>
  <si>
    <t>平垫圈
Flat Washer</t>
    <phoneticPr fontId="15" type="noConversion"/>
  </si>
  <si>
    <t>M22</t>
    <phoneticPr fontId="15" type="noConversion"/>
  </si>
  <si>
    <t>1/1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</si>
</sst>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0" borderId="2" xfId="0" applyFont="1" applyBorder="1" applyAlignment="1">
      <alignment horizontal="center" vertical="center" wrapText="1"/>
    </xf>
    <xf numFmtId="176" fontId="9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topLeftCell="A2" zoomScaleNormal="100" workbookViewId="0">
      <selection activeCell="M6" sqref="M6"/>
    </sheetView>
  </sheetViews>
  <sheetFormatPr defaultColWidth="8.75" defaultRowHeight="13.5"/>
  <cols>
    <col min="1" max="1" width="4.625" customWidth="1"/>
    <col min="2" max="2" width="10.37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17" t="s">
        <v>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48.75" customHeight="1">
      <c r="A3" s="4">
        <v>1</v>
      </c>
      <c r="B3" s="15" t="s">
        <v>20</v>
      </c>
      <c r="C3" s="13" t="s">
        <v>23</v>
      </c>
      <c r="D3" s="13"/>
      <c r="E3" s="30" t="s">
        <v>24</v>
      </c>
      <c r="F3" s="4">
        <f>J3*K3</f>
        <v>4000</v>
      </c>
      <c r="G3" s="5">
        <v>200</v>
      </c>
      <c r="H3" s="5">
        <v>20</v>
      </c>
      <c r="I3" s="4">
        <v>20</v>
      </c>
      <c r="J3" s="4">
        <f t="shared" ref="J3" si="0">G3*I3</f>
        <v>4000</v>
      </c>
      <c r="K3" s="27">
        <v>1</v>
      </c>
      <c r="L3" s="4">
        <v>440</v>
      </c>
      <c r="M3" s="27">
        <v>674</v>
      </c>
      <c r="N3" s="21" t="s">
        <v>18</v>
      </c>
      <c r="O3" s="24">
        <v>632</v>
      </c>
      <c r="P3" s="24">
        <f>O3+42</f>
        <v>674</v>
      </c>
      <c r="Q3" s="24">
        <f t="shared" ref="Q3" si="1">0.49*K3</f>
        <v>0.49</v>
      </c>
    </row>
    <row r="4" spans="1:17" ht="50.25" customHeight="1">
      <c r="A4" s="4">
        <v>2</v>
      </c>
      <c r="B4" s="15" t="s">
        <v>21</v>
      </c>
      <c r="C4" s="13" t="s">
        <v>23</v>
      </c>
      <c r="D4" s="13"/>
      <c r="E4" s="31"/>
      <c r="F4" s="4">
        <v>4000</v>
      </c>
      <c r="G4" s="5">
        <v>400</v>
      </c>
      <c r="H4" s="5">
        <v>10</v>
      </c>
      <c r="I4" s="4">
        <v>10</v>
      </c>
      <c r="J4" s="4">
        <f t="shared" ref="J4" si="2">G4*I4</f>
        <v>4000</v>
      </c>
      <c r="K4" s="28"/>
      <c r="L4" s="4">
        <v>120</v>
      </c>
      <c r="M4" s="28"/>
      <c r="N4" s="22"/>
      <c r="O4" s="25"/>
      <c r="P4" s="25"/>
      <c r="Q4" s="25"/>
    </row>
    <row r="5" spans="1:17" ht="40.5" customHeight="1">
      <c r="A5" s="4">
        <v>3</v>
      </c>
      <c r="B5" s="15" t="s">
        <v>22</v>
      </c>
      <c r="C5" s="13" t="s">
        <v>23</v>
      </c>
      <c r="D5" s="13"/>
      <c r="E5" s="32"/>
      <c r="F5" s="4">
        <v>4000</v>
      </c>
      <c r="G5" s="5">
        <v>1000</v>
      </c>
      <c r="H5" s="5">
        <v>4</v>
      </c>
      <c r="I5" s="4">
        <v>4</v>
      </c>
      <c r="J5" s="4">
        <f t="shared" ref="J5" si="3">G5*I5</f>
        <v>4000</v>
      </c>
      <c r="K5" s="29"/>
      <c r="L5" s="4">
        <v>72</v>
      </c>
      <c r="M5" s="29"/>
      <c r="N5" s="23"/>
      <c r="O5" s="26"/>
      <c r="P5" s="26"/>
      <c r="Q5" s="26"/>
    </row>
    <row r="6" spans="1:17" ht="35.25" customHeight="1">
      <c r="A6" s="19" t="s">
        <v>17</v>
      </c>
      <c r="B6" s="19"/>
      <c r="C6" s="19"/>
      <c r="D6" s="6"/>
      <c r="E6" s="5"/>
      <c r="F6" s="5">
        <f>SUM(F3:F5)</f>
        <v>12000</v>
      </c>
      <c r="G6" s="5"/>
      <c r="H6" s="5">
        <f>SUM(H3:H5)</f>
        <v>34</v>
      </c>
      <c r="I6" s="5"/>
      <c r="J6" s="5"/>
      <c r="K6" s="5">
        <f>SUM(K3:K5)</f>
        <v>1</v>
      </c>
      <c r="L6" s="5"/>
      <c r="M6" s="5"/>
      <c r="N6" s="12"/>
      <c r="O6" s="5">
        <f>SUM(O3:O5)</f>
        <v>632</v>
      </c>
      <c r="P6" s="5">
        <f>SUM(P3:P5)</f>
        <v>674</v>
      </c>
      <c r="Q6" s="5">
        <f>SUM(Q3:Q5)</f>
        <v>0.49</v>
      </c>
    </row>
    <row r="7" spans="1:17" ht="21" customHeight="1">
      <c r="A7" s="7"/>
      <c r="B7" s="8"/>
      <c r="C7" s="14"/>
      <c r="N7" s="7"/>
      <c r="O7" s="7"/>
      <c r="P7" s="7"/>
      <c r="Q7" s="7"/>
    </row>
    <row r="8" spans="1:17" ht="21" customHeight="1">
      <c r="A8" s="7"/>
      <c r="B8" s="9"/>
      <c r="C8" s="10"/>
      <c r="D8" s="7"/>
      <c r="E8" s="7"/>
      <c r="F8" s="7"/>
      <c r="G8" s="7"/>
      <c r="H8" s="7"/>
      <c r="I8" s="7"/>
      <c r="J8" s="7"/>
      <c r="K8" s="7"/>
      <c r="L8" s="7"/>
      <c r="M8" s="7"/>
      <c r="N8" s="20">
        <v>45722</v>
      </c>
      <c r="O8" s="20"/>
      <c r="P8" s="20"/>
      <c r="Q8" s="20"/>
    </row>
    <row r="9" spans="1:17">
      <c r="A9" s="7"/>
      <c r="B9" s="7"/>
      <c r="C9" s="10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7" ht="18.75">
      <c r="A10" s="7"/>
      <c r="B10" s="7"/>
      <c r="C10" s="10"/>
      <c r="D10" s="7"/>
      <c r="E10" s="7"/>
      <c r="F10" s="7"/>
      <c r="G10" s="7"/>
      <c r="H10" s="7"/>
      <c r="I10" s="7"/>
      <c r="J10" s="7"/>
      <c r="K10" s="7"/>
      <c r="L10" s="7"/>
      <c r="M10" s="7"/>
      <c r="N10" s="16"/>
      <c r="O10" s="16"/>
      <c r="P10" s="16"/>
      <c r="Q10" s="16"/>
    </row>
    <row r="11" spans="1:17">
      <c r="A11" s="11"/>
      <c r="B11" s="11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>
      <c r="A12" s="11"/>
      <c r="B12" s="11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>
      <c r="A13" s="11"/>
      <c r="B13" s="11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</sheetData>
  <mergeCells count="11">
    <mergeCell ref="N10:Q10"/>
    <mergeCell ref="A1:Q1"/>
    <mergeCell ref="A6:C6"/>
    <mergeCell ref="N8:Q8"/>
    <mergeCell ref="N3:N5"/>
    <mergeCell ref="O3:O5"/>
    <mergeCell ref="P3:P5"/>
    <mergeCell ref="Q3:Q5"/>
    <mergeCell ref="K3:K5"/>
    <mergeCell ref="M3:M5"/>
    <mergeCell ref="E3:E5"/>
  </mergeCells>
  <phoneticPr fontId="15" type="noConversion"/>
  <pageMargins left="0.511811023622047" right="0.511811023622047" top="0.196850393700787" bottom="0.74803149606299202" header="0.31496062992126" footer="0.31496062992126"/>
  <pageSetup paperSize="9" scale="9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2025-03-06T03:36:55Z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25C2906FAB4D4D72BCCE11F1B2B88C0B_13</vt:lpwstr>
  </property>
  <property fmtid="{D5CDD505-2E9C-101B-9397-08002B2CF9AE}" pid="4" name="KSOProductBuildVer">
    <vt:lpwstr>2052-12.1.0.18608</vt:lpwstr>
  </property>
</Properties>
</file>