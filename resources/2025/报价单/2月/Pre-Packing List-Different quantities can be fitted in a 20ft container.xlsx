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BACD3357-8D1E-41C2-84B7-A940304B68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P6" i="1"/>
  <c r="O6" i="1"/>
  <c r="K6" i="1"/>
  <c r="J5" i="1"/>
  <c r="H5" i="1"/>
  <c r="F5" i="1"/>
  <c r="M5" i="1"/>
  <c r="P5" i="1" s="1"/>
  <c r="M4" i="1"/>
  <c r="P4" i="1" s="1"/>
  <c r="Q5" i="1"/>
  <c r="O5" i="1"/>
  <c r="Q4" i="1"/>
  <c r="O4" i="1"/>
  <c r="J4" i="1"/>
  <c r="F4" i="1" s="1"/>
  <c r="H4" i="1"/>
  <c r="Q3" i="1"/>
  <c r="O3" i="1"/>
  <c r="M3" i="1"/>
  <c r="P3" i="1" s="1"/>
  <c r="J3" i="1"/>
  <c r="F3" i="1" s="1"/>
  <c r="F6" i="1" s="1"/>
  <c r="H3" i="1"/>
  <c r="H6" i="1" s="1"/>
</calcChain>
</file>

<file path=xl/sharedStrings.xml><?xml version="1.0" encoding="utf-8"?>
<sst xmlns="http://schemas.openxmlformats.org/spreadsheetml/2006/main" count="33" uniqueCount="29">
  <si>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</si>
  <si>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</si>
  <si>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</si>
  <si>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</si>
  <si>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</si>
  <si>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</si>
  <si>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</si>
  <si>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</si>
  <si>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</si>
  <si>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</si>
  <si>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</si>
  <si>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</si>
  <si>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</si>
  <si>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</si>
  <si>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</si>
  <si>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</si>
  <si>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</si>
  <si>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</si>
  <si>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</si>
  <si>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</si>
  <si>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1200*800*550
0.53</t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</si>
  <si>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PRE-PACKING DETAILS
</t>
    </r>
    <phoneticPr fontId="12" type="noConversion"/>
  </si>
  <si>
    <t>24*161</t>
    <phoneticPr fontId="12" type="noConversion"/>
  </si>
  <si>
    <t xml:space="preserve">Sdu 25 </t>
    <phoneticPr fontId="12" type="noConversion"/>
  </si>
  <si>
    <t>Sdu 26</t>
  </si>
  <si>
    <t>Plastic Dowel</t>
    <phoneticPr fontId="12" type="noConversion"/>
  </si>
  <si>
    <t>1200*800*1000
0.96</t>
    <phoneticPr fontId="12" type="noConversion"/>
  </si>
  <si>
    <t>The pieces are packed in a bag : 25(250) pieces per bag and 40(16) bags per case so 1000(4000)  pieces per case</t>
    <phoneticPr fontId="12" type="noConversion"/>
  </si>
  <si>
    <t>The quantity that can be fitted in 20ft container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</si>
</sst>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4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7"/>
  <sheetViews>
    <sheetView tabSelected="1" zoomScaleNormal="100" workbookViewId="0">
      <selection activeCell="E4" sqref="E4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7.375" customWidth="1"/>
    <col min="5" max="5" width="6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4" customWidth="1"/>
    <col min="18" max="18" width="19" customWidth="1"/>
  </cols>
  <sheetData>
    <row r="1" spans="1:18" ht="80.45" customHeight="1">
      <c r="A1" s="17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8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8" ht="60.75" customHeight="1">
      <c r="A3" s="4">
        <v>1</v>
      </c>
      <c r="B3" s="5" t="s">
        <v>17</v>
      </c>
      <c r="C3" s="16" t="s">
        <v>22</v>
      </c>
      <c r="D3" s="16"/>
      <c r="E3" s="6"/>
      <c r="F3" s="4">
        <f>J3*K3</f>
        <v>31000</v>
      </c>
      <c r="G3" s="7">
        <v>25</v>
      </c>
      <c r="H3" s="7">
        <f>K3*I3</f>
        <v>1240</v>
      </c>
      <c r="I3" s="4">
        <v>40</v>
      </c>
      <c r="J3" s="4">
        <f>G3*I3</f>
        <v>1000</v>
      </c>
      <c r="K3" s="4">
        <v>31</v>
      </c>
      <c r="L3" s="4">
        <v>680</v>
      </c>
      <c r="M3" s="4">
        <f>L3+42</f>
        <v>722</v>
      </c>
      <c r="N3" s="22" t="s">
        <v>20</v>
      </c>
      <c r="O3" s="14">
        <f>L3*K3</f>
        <v>21080</v>
      </c>
      <c r="P3" s="14">
        <f>M3*K3</f>
        <v>22382</v>
      </c>
      <c r="Q3" s="14">
        <f>0.53*K3</f>
        <v>16.43</v>
      </c>
      <c r="R3" s="8" t="s">
        <v>28</v>
      </c>
    </row>
    <row r="4" spans="1:18" ht="60.75" customHeight="1">
      <c r="A4" s="4">
        <v>2</v>
      </c>
      <c r="B4" s="5" t="s">
        <v>25</v>
      </c>
      <c r="C4" s="16" t="s">
        <v>23</v>
      </c>
      <c r="D4" s="16"/>
      <c r="E4" s="6"/>
      <c r="F4" s="4">
        <f>J4*K4</f>
        <v>88000</v>
      </c>
      <c r="G4" s="7">
        <v>250</v>
      </c>
      <c r="H4" s="7">
        <f>K4*I4</f>
        <v>352</v>
      </c>
      <c r="I4" s="4">
        <v>16</v>
      </c>
      <c r="J4" s="4">
        <f>G4*I4</f>
        <v>4000</v>
      </c>
      <c r="K4" s="4">
        <v>22</v>
      </c>
      <c r="L4" s="4">
        <v>150</v>
      </c>
      <c r="M4" s="4">
        <f>L4+60</f>
        <v>210</v>
      </c>
      <c r="N4" s="22" t="s">
        <v>26</v>
      </c>
      <c r="O4" s="14">
        <f>L4*K4</f>
        <v>3300</v>
      </c>
      <c r="P4" s="14">
        <f>M4*K4</f>
        <v>4620</v>
      </c>
      <c r="Q4" s="14">
        <f>0.96*K4</f>
        <v>21.119999999999997</v>
      </c>
      <c r="R4" s="8" t="s">
        <v>28</v>
      </c>
    </row>
    <row r="5" spans="1:18" ht="60.75" customHeight="1">
      <c r="A5" s="4">
        <v>3</v>
      </c>
      <c r="B5" s="5" t="s">
        <v>25</v>
      </c>
      <c r="C5" s="16" t="s">
        <v>24</v>
      </c>
      <c r="D5" s="16"/>
      <c r="E5" s="6"/>
      <c r="F5" s="4">
        <f>J5*K5</f>
        <v>88000</v>
      </c>
      <c r="G5" s="7">
        <v>250</v>
      </c>
      <c r="H5" s="7">
        <f>K5*I5</f>
        <v>352</v>
      </c>
      <c r="I5" s="4">
        <v>16</v>
      </c>
      <c r="J5" s="4">
        <f>G5*I5</f>
        <v>4000</v>
      </c>
      <c r="K5" s="4">
        <v>22</v>
      </c>
      <c r="L5" s="4">
        <v>150</v>
      </c>
      <c r="M5" s="4">
        <f>L5+60</f>
        <v>210</v>
      </c>
      <c r="N5" s="22" t="s">
        <v>26</v>
      </c>
      <c r="O5" s="14">
        <f>L5*K5</f>
        <v>3300</v>
      </c>
      <c r="P5" s="14">
        <f>M5*K5</f>
        <v>4620</v>
      </c>
      <c r="Q5" s="14">
        <f>0.96*K5</f>
        <v>21.119999999999997</v>
      </c>
      <c r="R5" s="8" t="s">
        <v>28</v>
      </c>
    </row>
    <row r="6" spans="1:18" ht="35.25" customHeight="1">
      <c r="A6" s="19" t="s">
        <v>18</v>
      </c>
      <c r="B6" s="19"/>
      <c r="C6" s="19"/>
      <c r="D6" s="8"/>
      <c r="E6" s="7"/>
      <c r="F6" s="7">
        <f>SUM(F3:F5)</f>
        <v>207000</v>
      </c>
      <c r="G6" s="7"/>
      <c r="H6" s="7">
        <f>SUM(H3:H5)</f>
        <v>1944</v>
      </c>
      <c r="I6" s="7"/>
      <c r="J6" s="7"/>
      <c r="K6" s="7">
        <f>SUM(K3:K5)</f>
        <v>75</v>
      </c>
      <c r="L6" s="7"/>
      <c r="M6" s="7"/>
      <c r="N6" s="15"/>
      <c r="O6" s="7">
        <f>SUM(O3:O5)</f>
        <v>27680</v>
      </c>
      <c r="P6" s="7">
        <f>SUM(P3:P5)</f>
        <v>31622</v>
      </c>
      <c r="Q6" s="7">
        <f>SUM(Q3:Q5)</f>
        <v>58.669999999999995</v>
      </c>
    </row>
    <row r="7" spans="1:18" ht="21" customHeight="1">
      <c r="A7" s="9"/>
      <c r="B7" s="10" t="s">
        <v>19</v>
      </c>
      <c r="C7" s="23" t="s">
        <v>27</v>
      </c>
      <c r="N7" s="9"/>
      <c r="O7" s="9"/>
      <c r="P7" s="9"/>
      <c r="Q7" s="9"/>
    </row>
    <row r="8" spans="1:18" ht="21" customHeight="1">
      <c r="A8" s="9"/>
      <c r="B8" s="11"/>
      <c r="C8" s="12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8" ht="18.75">
      <c r="A9" s="9"/>
      <c r="B9" s="9"/>
      <c r="C9" s="12"/>
      <c r="D9" s="9"/>
      <c r="E9" s="9"/>
      <c r="F9" s="9"/>
      <c r="G9" s="9"/>
      <c r="H9" s="9"/>
      <c r="I9" s="9"/>
      <c r="J9" s="9"/>
      <c r="K9" s="9"/>
      <c r="L9" s="9"/>
      <c r="M9" s="9"/>
      <c r="N9" s="20">
        <v>45716</v>
      </c>
      <c r="O9" s="20"/>
      <c r="P9" s="20"/>
      <c r="Q9" s="20"/>
    </row>
    <row r="10" spans="1:18" ht="18.75">
      <c r="A10" s="9"/>
      <c r="B10" s="9"/>
      <c r="C10" s="12"/>
      <c r="D10" s="9"/>
      <c r="E10" s="9"/>
      <c r="F10" s="9"/>
      <c r="G10" s="9"/>
      <c r="H10" s="9"/>
      <c r="I10" s="9"/>
      <c r="J10" s="9"/>
      <c r="K10" s="9"/>
      <c r="L10" s="9"/>
      <c r="M10" s="9"/>
      <c r="N10" s="21"/>
      <c r="O10" s="21"/>
      <c r="P10" s="21"/>
      <c r="Q10" s="21"/>
    </row>
    <row r="11" spans="1:18">
      <c r="A11" s="13"/>
      <c r="B11" s="13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8">
      <c r="A12" s="13"/>
      <c r="B12" s="13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8">
      <c r="A13" s="13"/>
      <c r="B13" s="13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8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8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8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</sheetData>
  <mergeCells count="4">
    <mergeCell ref="A1:Q1"/>
    <mergeCell ref="A6:C6"/>
    <mergeCell ref="N9:Q9"/>
    <mergeCell ref="N10:Q10"/>
  </mergeCells>
  <phoneticPr fontId="12" type="noConversion"/>
  <pageMargins left="0.511811023622047" right="0.511811023622047" top="0.196850393700787" bottom="0.74803149606299202" header="0.31496062992126" footer="0.31496062992126"/>
  <pageSetup paperSize="9" scale="9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2025-02-28T09:06:57Z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25C2906FAB4D4D72BCCE11F1B2B88C0B_13</vt:lpwstr>
  </property>
  <property fmtid="{D5CDD505-2E9C-101B-9397-08002B2CF9AE}" pid="4" name="KSOProductBuildVer">
    <vt:lpwstr>2052-12.1.0.18608</vt:lpwstr>
  </property>
</Properties>
</file>