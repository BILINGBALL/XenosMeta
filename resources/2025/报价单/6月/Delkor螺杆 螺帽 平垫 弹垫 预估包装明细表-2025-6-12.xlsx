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33056AFC-256B-48DB-B24E-5CF7BBA745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M14" i="1"/>
  <c r="P14" i="1" s="1"/>
  <c r="Q11" i="1"/>
  <c r="O11" i="1"/>
  <c r="M11" i="1"/>
  <c r="P11" i="1" s="1"/>
  <c r="Q10" i="1"/>
  <c r="O10" i="1"/>
  <c r="M10" i="1"/>
  <c r="P10" i="1" s="1"/>
  <c r="J10" i="1"/>
  <c r="F10" i="1" s="1"/>
  <c r="H10" i="1"/>
  <c r="O14" i="1"/>
  <c r="Q13" i="1"/>
  <c r="O13" i="1"/>
  <c r="M13" i="1"/>
  <c r="P13" i="1" s="1"/>
  <c r="J13" i="1"/>
  <c r="F13" i="1" s="1"/>
  <c r="H13" i="1"/>
  <c r="Q8" i="1"/>
  <c r="O8" i="1"/>
  <c r="Q5" i="1"/>
  <c r="K16" i="1"/>
  <c r="Q7" i="1"/>
  <c r="J7" i="1"/>
  <c r="F7" i="1" s="1"/>
  <c r="H7" i="1"/>
  <c r="F5" i="1"/>
  <c r="Q4" i="1"/>
  <c r="J4" i="1"/>
  <c r="F4" i="1" s="1"/>
  <c r="H4" i="1"/>
  <c r="M8" i="1" l="1"/>
  <c r="P8" i="1" s="1"/>
  <c r="F16" i="1"/>
  <c r="Q16" i="1"/>
  <c r="H16" i="1"/>
  <c r="L4" i="1"/>
  <c r="L5" i="1"/>
  <c r="M5" i="1" s="1"/>
  <c r="O7" i="1" l="1"/>
  <c r="M7" i="1"/>
  <c r="P7" i="1" s="1"/>
  <c r="O5" i="1"/>
  <c r="P5" i="1"/>
  <c r="O4" i="1"/>
  <c r="M4" i="1"/>
  <c r="P4" i="1" s="1"/>
  <c r="P16" i="1" l="1"/>
  <c r="O16" i="1"/>
</calcChain>
</file>

<file path=xl/sharedStrings.xml><?xml version="1.0" encoding="utf-8"?>
<sst xmlns="http://schemas.openxmlformats.org/spreadsheetml/2006/main" count="76" uniqueCount="33">
  <si>
    <t>柜号
No</t>
  </si>
  <si>
    <t>产品名称
Name</t>
  </si>
  <si>
    <t>型号及规格
Spec.</t>
  </si>
  <si>
    <t>合同号
PO</t>
  </si>
  <si>
    <t>箱号
Case No.</t>
  </si>
  <si>
    <t>件
Quan.</t>
  </si>
  <si>
    <t>件/袋
sets
/bag</t>
  </si>
  <si>
    <t>袋
bags</t>
  </si>
  <si>
    <t>袋/箱
bag
/case</t>
  </si>
  <si>
    <t>件/箱
sets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</si>
  <si>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</si>
  <si>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</si>
  <si>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</si>
  <si>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</si>
  <si>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</si>
  <si>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</si>
  <si>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</si>
  <si>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螺杆
Threaded Rod</t>
  </si>
  <si>
    <t>M24 X 350</t>
  </si>
  <si>
    <t>1100*800*550
0.49</t>
  </si>
  <si>
    <t>合计</t>
  </si>
  <si>
    <t>备注：</t>
  </si>
  <si>
    <t>苏州苏德兰铁路配件有限公司</t>
  </si>
  <si>
    <t>SHIPMENT#1</t>
  </si>
  <si>
    <t>SHIPMENT#2</t>
  </si>
  <si>
    <t xml:space="preserve">预估-包  装  明  细  表  
Delkor                       </t>
    <phoneticPr fontId="12" type="noConversion"/>
  </si>
  <si>
    <t>尼龙螺母
Nylon Nut</t>
    <phoneticPr fontId="12" type="noConversion"/>
  </si>
  <si>
    <t>M24</t>
    <phoneticPr fontId="12" type="noConversion"/>
  </si>
  <si>
    <t>1100*800*350
0.31</t>
    <phoneticPr fontId="12" type="noConversion"/>
  </si>
  <si>
    <t>平垫
 Plain Washer</t>
    <phoneticPr fontId="12" type="noConversion"/>
  </si>
  <si>
    <t>弹垫
Helical Spring Lock Washer</t>
    <phoneticPr fontId="12" type="noConversion"/>
  </si>
  <si>
    <t>FE6</t>
    <phoneticPr fontId="12" type="noConversion"/>
  </si>
  <si>
    <t>1100*800*550
0.49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</si>
</sst>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[$-F800]dddd\,\ mmmm\ dd\,\ yyyy"/>
    <numFmt numFmtId="179" formatCode="0.00_);[Red]\(0.00\)"/>
    <numFmt numFmtId="180" formatCode="0_);[Red]\(0\)"/>
    <numFmt numFmtId="181" formatCode="0.000_);[Red]\(0.000\)"/>
  </numFmts>
  <fonts count="17" x14ac:knownFonts="1">
    <font>
      <sz val="11"/>
      <color theme="1"/>
      <name val="宋体"/>
      <charset val="134"/>
      <scheme val="minor"/>
    </font>
    <font>
      <sz val="60"/>
      <color theme="1"/>
      <name val="宋体"/>
      <charset val="134"/>
      <scheme val="minor"/>
    </font>
    <font>
      <sz val="60"/>
      <color theme="1"/>
      <name val="黑体"/>
      <charset val="134"/>
    </font>
    <font>
      <b/>
      <sz val="20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8" fontId="0" fillId="0" borderId="0">
      <alignment vertical="center"/>
    </xf>
  </cellStyleXfs>
  <cellXfs count="41">
    <xf numFmtId="178" fontId="0" fillId="0" borderId="0" xfId="0">
      <alignment vertical="center"/>
    </xf>
    <xf numFmtId="178" fontId="1" fillId="0" borderId="0" xfId="0" applyFont="1">
      <alignment vertical="center"/>
    </xf>
    <xf numFmtId="178" fontId="2" fillId="0" borderId="0" xfId="0" applyFont="1">
      <alignment vertical="center"/>
    </xf>
    <xf numFmtId="49" fontId="0" fillId="0" borderId="0" xfId="0" applyNumberFormat="1">
      <alignment vertical="center"/>
    </xf>
    <xf numFmtId="179" fontId="4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/>
    </xf>
    <xf numFmtId="178" fontId="5" fillId="0" borderId="0" xfId="0" applyFont="1" applyAlignment="1">
      <alignment horizontal="center" vertical="center"/>
    </xf>
    <xf numFmtId="178" fontId="8" fillId="0" borderId="0" xfId="0" applyFont="1" applyAlignment="1">
      <alignment horizontal="center" vertical="center"/>
    </xf>
    <xf numFmtId="178" fontId="9" fillId="0" borderId="0" xfId="0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178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8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8" fontId="11" fillId="0" borderId="0" xfId="0" applyFont="1" applyAlignment="1">
      <alignment horizontal="right" vertical="center"/>
    </xf>
    <xf numFmtId="178" fontId="13" fillId="0" borderId="0" xfId="0" applyFont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/>
    </xf>
    <xf numFmtId="178" fontId="14" fillId="0" borderId="1" xfId="0" applyFont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8" fontId="14" fillId="0" borderId="1" xfId="0" applyFont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9" fontId="1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"/>
  <sheetViews>
    <sheetView tabSelected="1" workbookViewId="0">
      <selection activeCell="Q4" sqref="Q4"/>
    </sheetView>
  </sheetViews>
  <sheetFormatPr defaultColWidth="9" defaultRowHeight="13.5" x14ac:dyDescent="0.15"/>
  <cols>
    <col min="1" max="1" width="4.625" customWidth="1"/>
    <col min="2" max="2" width="8.25" customWidth="1"/>
    <col min="3" max="3" width="9.375" customWidth="1"/>
    <col min="4" max="4" width="9.625" customWidth="1"/>
    <col min="5" max="5" width="7.625" style="3" customWidth="1"/>
    <col min="6" max="6" width="7.375" customWidth="1"/>
    <col min="7" max="10" width="6.875" customWidth="1"/>
    <col min="11" max="11" width="5.375" customWidth="1"/>
    <col min="12" max="13" width="9.625" customWidth="1"/>
    <col min="14" max="14" width="10.25" customWidth="1"/>
    <col min="15" max="17" width="9.25" customWidth="1"/>
  </cols>
  <sheetData>
    <row r="1" spans="1:17" ht="49.5" customHeight="1" x14ac:dyDescent="0.15">
      <c r="A1" s="19" t="s">
        <v>25</v>
      </c>
      <c r="B1" s="16"/>
      <c r="C1" s="16"/>
      <c r="D1" s="16"/>
      <c r="E1" s="1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1" customHeight="1" x14ac:dyDescent="0.15">
      <c r="A2" s="4"/>
      <c r="B2" s="5"/>
      <c r="C2" s="5"/>
      <c r="D2" s="6"/>
      <c r="E2" s="7"/>
      <c r="F2" s="5"/>
      <c r="G2" s="5"/>
      <c r="H2" s="5"/>
      <c r="I2" s="5"/>
      <c r="J2" s="5"/>
      <c r="K2" s="5"/>
      <c r="L2" s="6"/>
      <c r="M2" s="6"/>
      <c r="N2" s="5"/>
      <c r="O2" s="6"/>
      <c r="P2" s="6"/>
      <c r="Q2" s="5"/>
    </row>
    <row r="3" spans="1:17" ht="39.75" customHeight="1" x14ac:dyDescent="0.15">
      <c r="A3" s="28" t="s">
        <v>0</v>
      </c>
      <c r="B3" s="28" t="s">
        <v>1</v>
      </c>
      <c r="C3" s="28" t="s">
        <v>2</v>
      </c>
      <c r="D3" s="8" t="s">
        <v>3</v>
      </c>
      <c r="E3" s="29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8" t="s">
        <v>11</v>
      </c>
      <c r="M3" s="8" t="s">
        <v>12</v>
      </c>
      <c r="N3" s="28" t="s">
        <v>13</v>
      </c>
      <c r="O3" s="8" t="s">
        <v>14</v>
      </c>
      <c r="P3" s="8" t="s">
        <v>15</v>
      </c>
      <c r="Q3" s="28" t="s">
        <v>16</v>
      </c>
    </row>
    <row r="4" spans="1:17" ht="42" customHeight="1" x14ac:dyDescent="0.15">
      <c r="A4" s="20">
        <v>1</v>
      </c>
      <c r="B4" s="30" t="s">
        <v>17</v>
      </c>
      <c r="C4" s="28" t="s">
        <v>18</v>
      </c>
      <c r="D4" s="8"/>
      <c r="E4" s="31"/>
      <c r="F4" s="32">
        <f t="shared" ref="F4" si="0">J4*K4</f>
        <v>63700</v>
      </c>
      <c r="G4" s="9">
        <v>20</v>
      </c>
      <c r="H4" s="9">
        <f t="shared" ref="H4:H7" si="1">K4*I4</f>
        <v>3185</v>
      </c>
      <c r="I4" s="9">
        <v>35</v>
      </c>
      <c r="J4" s="9">
        <f t="shared" ref="J4:J7" si="2">I4*G4</f>
        <v>700</v>
      </c>
      <c r="K4" s="9">
        <v>91</v>
      </c>
      <c r="L4" s="32">
        <f t="shared" ref="L4" si="3">J4*1</f>
        <v>700</v>
      </c>
      <c r="M4" s="9">
        <f t="shared" ref="M4:M7" si="4">L4+40</f>
        <v>740</v>
      </c>
      <c r="N4" s="33" t="s">
        <v>19</v>
      </c>
      <c r="O4" s="9">
        <f t="shared" ref="O4:O7" si="5">L4*K4</f>
        <v>63700</v>
      </c>
      <c r="P4" s="9">
        <f t="shared" ref="P4:P7" si="6">M4*K4</f>
        <v>67340</v>
      </c>
      <c r="Q4" s="34">
        <f t="shared" ref="Q4:Q7" si="7">0.49*K4</f>
        <v>44.589999999999996</v>
      </c>
    </row>
    <row r="5" spans="1:17" ht="30" customHeight="1" x14ac:dyDescent="0.15">
      <c r="A5" s="20"/>
      <c r="B5" s="30"/>
      <c r="C5" s="25" t="s">
        <v>18</v>
      </c>
      <c r="D5" s="27"/>
      <c r="E5" s="26"/>
      <c r="F5" s="21">
        <f>J5*K5</f>
        <v>221</v>
      </c>
      <c r="G5" s="9">
        <v>20</v>
      </c>
      <c r="H5" s="9">
        <v>10</v>
      </c>
      <c r="I5" s="9">
        <v>10</v>
      </c>
      <c r="J5" s="20">
        <v>221</v>
      </c>
      <c r="K5" s="20">
        <v>1</v>
      </c>
      <c r="L5" s="21">
        <f>J5*1</f>
        <v>221</v>
      </c>
      <c r="M5" s="20">
        <f>L5+30</f>
        <v>251</v>
      </c>
      <c r="N5" s="24" t="s">
        <v>28</v>
      </c>
      <c r="O5" s="20">
        <f>L5*K5</f>
        <v>221</v>
      </c>
      <c r="P5" s="20">
        <f>M5*K5</f>
        <v>251</v>
      </c>
      <c r="Q5" s="23">
        <f>0.31*K5</f>
        <v>0.31</v>
      </c>
    </row>
    <row r="6" spans="1:17" ht="30" customHeight="1" x14ac:dyDescent="0.15">
      <c r="A6" s="20"/>
      <c r="B6" s="30"/>
      <c r="C6" s="25"/>
      <c r="D6" s="27"/>
      <c r="E6" s="26"/>
      <c r="F6" s="21"/>
      <c r="G6" s="9">
        <v>21</v>
      </c>
      <c r="H6" s="9">
        <v>1</v>
      </c>
      <c r="I6" s="9">
        <v>1</v>
      </c>
      <c r="J6" s="20"/>
      <c r="K6" s="20"/>
      <c r="L6" s="21"/>
      <c r="M6" s="20"/>
      <c r="N6" s="22"/>
      <c r="O6" s="20"/>
      <c r="P6" s="20"/>
      <c r="Q6" s="23"/>
    </row>
    <row r="7" spans="1:17" ht="47.25" customHeight="1" x14ac:dyDescent="0.15">
      <c r="A7" s="9">
        <v>2</v>
      </c>
      <c r="B7" s="35" t="s">
        <v>26</v>
      </c>
      <c r="C7" s="36" t="s">
        <v>27</v>
      </c>
      <c r="D7" s="8"/>
      <c r="E7" s="31"/>
      <c r="F7" s="32">
        <f>J7*K7</f>
        <v>63000</v>
      </c>
      <c r="G7" s="9">
        <v>150</v>
      </c>
      <c r="H7" s="9">
        <f t="shared" si="1"/>
        <v>420</v>
      </c>
      <c r="I7" s="9">
        <v>35</v>
      </c>
      <c r="J7" s="9">
        <f t="shared" si="2"/>
        <v>5250</v>
      </c>
      <c r="K7" s="9">
        <v>12</v>
      </c>
      <c r="L7" s="32">
        <v>630</v>
      </c>
      <c r="M7" s="9">
        <f t="shared" si="4"/>
        <v>670</v>
      </c>
      <c r="N7" s="33" t="s">
        <v>19</v>
      </c>
      <c r="O7" s="9">
        <f t="shared" si="5"/>
        <v>7560</v>
      </c>
      <c r="P7" s="9">
        <f t="shared" si="6"/>
        <v>8040</v>
      </c>
      <c r="Q7" s="34">
        <f t="shared" si="7"/>
        <v>5.88</v>
      </c>
    </row>
    <row r="8" spans="1:17" ht="38.25" customHeight="1" x14ac:dyDescent="0.15">
      <c r="A8" s="20">
        <v>2</v>
      </c>
      <c r="B8" s="37" t="s">
        <v>26</v>
      </c>
      <c r="C8" s="38" t="s">
        <v>27</v>
      </c>
      <c r="D8" s="27"/>
      <c r="E8" s="26"/>
      <c r="F8" s="21">
        <v>1554</v>
      </c>
      <c r="G8" s="9">
        <v>150</v>
      </c>
      <c r="H8" s="9">
        <v>10</v>
      </c>
      <c r="I8" s="9">
        <v>10</v>
      </c>
      <c r="J8" s="20">
        <v>1554</v>
      </c>
      <c r="K8" s="20">
        <v>1</v>
      </c>
      <c r="L8" s="21">
        <v>186</v>
      </c>
      <c r="M8" s="20">
        <f>L8+30</f>
        <v>216</v>
      </c>
      <c r="N8" s="24" t="s">
        <v>28</v>
      </c>
      <c r="O8" s="20">
        <f>L8*K8</f>
        <v>186</v>
      </c>
      <c r="P8" s="20">
        <f>M8*K8</f>
        <v>216</v>
      </c>
      <c r="Q8" s="23">
        <f>0.31*K8</f>
        <v>0.31</v>
      </c>
    </row>
    <row r="9" spans="1:17" ht="38.25" customHeight="1" x14ac:dyDescent="0.15">
      <c r="A9" s="20"/>
      <c r="B9" s="37"/>
      <c r="C9" s="38"/>
      <c r="D9" s="27"/>
      <c r="E9" s="26"/>
      <c r="F9" s="21"/>
      <c r="G9" s="9">
        <v>54</v>
      </c>
      <c r="H9" s="9">
        <v>1</v>
      </c>
      <c r="I9" s="9">
        <v>1</v>
      </c>
      <c r="J9" s="20"/>
      <c r="K9" s="20"/>
      <c r="L9" s="21"/>
      <c r="M9" s="20"/>
      <c r="N9" s="22"/>
      <c r="O9" s="20"/>
      <c r="P9" s="20"/>
      <c r="Q9" s="23"/>
    </row>
    <row r="10" spans="1:17" ht="47.25" customHeight="1" x14ac:dyDescent="0.15">
      <c r="A10" s="9">
        <v>2</v>
      </c>
      <c r="B10" s="35" t="s">
        <v>29</v>
      </c>
      <c r="C10" s="36" t="s">
        <v>27</v>
      </c>
      <c r="D10" s="8"/>
      <c r="E10" s="31"/>
      <c r="F10" s="32">
        <f>J10*K10</f>
        <v>60000</v>
      </c>
      <c r="G10" s="9">
        <v>500</v>
      </c>
      <c r="H10" s="9">
        <f t="shared" ref="H10" si="8">K10*I10</f>
        <v>120</v>
      </c>
      <c r="I10" s="9">
        <v>40</v>
      </c>
      <c r="J10" s="9">
        <f t="shared" ref="J10" si="9">I10*G10</f>
        <v>20000</v>
      </c>
      <c r="K10" s="9">
        <v>3</v>
      </c>
      <c r="L10" s="32">
        <v>700</v>
      </c>
      <c r="M10" s="9">
        <f t="shared" ref="M10" si="10">L10+40</f>
        <v>740</v>
      </c>
      <c r="N10" s="33" t="s">
        <v>19</v>
      </c>
      <c r="O10" s="9">
        <f t="shared" ref="O10" si="11">L10*K10</f>
        <v>2100</v>
      </c>
      <c r="P10" s="9">
        <f t="shared" ref="P10" si="12">M10*K10</f>
        <v>2220</v>
      </c>
      <c r="Q10" s="34">
        <f t="shared" ref="Q10" si="13">0.49*K10</f>
        <v>1.47</v>
      </c>
    </row>
    <row r="11" spans="1:17" ht="38.25" customHeight="1" x14ac:dyDescent="0.15">
      <c r="A11" s="20">
        <v>2</v>
      </c>
      <c r="B11" s="37" t="s">
        <v>29</v>
      </c>
      <c r="C11" s="38" t="s">
        <v>27</v>
      </c>
      <c r="D11" s="27"/>
      <c r="E11" s="26"/>
      <c r="F11" s="21">
        <v>4554</v>
      </c>
      <c r="G11" s="9">
        <v>500</v>
      </c>
      <c r="H11" s="9">
        <v>9</v>
      </c>
      <c r="I11" s="9">
        <v>9</v>
      </c>
      <c r="J11" s="20">
        <v>4554</v>
      </c>
      <c r="K11" s="20">
        <v>1</v>
      </c>
      <c r="L11" s="21">
        <v>159</v>
      </c>
      <c r="M11" s="20">
        <f>L11+30</f>
        <v>189</v>
      </c>
      <c r="N11" s="24" t="s">
        <v>28</v>
      </c>
      <c r="O11" s="20">
        <f>L11*K11</f>
        <v>159</v>
      </c>
      <c r="P11" s="20">
        <f>M11*K11</f>
        <v>189</v>
      </c>
      <c r="Q11" s="23">
        <f>0.31*K11</f>
        <v>0.31</v>
      </c>
    </row>
    <row r="12" spans="1:17" ht="38.25" customHeight="1" x14ac:dyDescent="0.15">
      <c r="A12" s="20"/>
      <c r="B12" s="37"/>
      <c r="C12" s="38"/>
      <c r="D12" s="27"/>
      <c r="E12" s="26"/>
      <c r="F12" s="21"/>
      <c r="G12" s="9">
        <v>54</v>
      </c>
      <c r="H12" s="9">
        <v>1</v>
      </c>
      <c r="I12" s="9">
        <v>1</v>
      </c>
      <c r="J12" s="20"/>
      <c r="K12" s="20"/>
      <c r="L12" s="21"/>
      <c r="M12" s="20"/>
      <c r="N12" s="22"/>
      <c r="O12" s="20"/>
      <c r="P12" s="20"/>
      <c r="Q12" s="23"/>
    </row>
    <row r="13" spans="1:17" ht="63" customHeight="1" x14ac:dyDescent="0.15">
      <c r="A13" s="9">
        <v>2</v>
      </c>
      <c r="B13" s="35" t="s">
        <v>30</v>
      </c>
      <c r="C13" s="36" t="s">
        <v>31</v>
      </c>
      <c r="D13" s="8"/>
      <c r="E13" s="31"/>
      <c r="F13" s="32">
        <f>J13*K13</f>
        <v>63000</v>
      </c>
      <c r="G13" s="9">
        <v>200</v>
      </c>
      <c r="H13" s="9">
        <f t="shared" ref="H13" si="14">K13*I13</f>
        <v>315</v>
      </c>
      <c r="I13" s="9">
        <v>35</v>
      </c>
      <c r="J13" s="9">
        <f t="shared" ref="J13" si="15">I13*G13</f>
        <v>7000</v>
      </c>
      <c r="K13" s="9">
        <v>9</v>
      </c>
      <c r="L13" s="32">
        <v>630</v>
      </c>
      <c r="M13" s="9">
        <f t="shared" ref="M13" si="16">L13+40</f>
        <v>670</v>
      </c>
      <c r="N13" s="39" t="s">
        <v>32</v>
      </c>
      <c r="O13" s="9">
        <f t="shared" ref="O13" si="17">L13*K13</f>
        <v>5670</v>
      </c>
      <c r="P13" s="9">
        <f t="shared" ref="P13" si="18">M13*K13</f>
        <v>6030</v>
      </c>
      <c r="Q13" s="34">
        <f t="shared" ref="Q13" si="19">0.49*K13</f>
        <v>4.41</v>
      </c>
    </row>
    <row r="14" spans="1:17" ht="38.25" customHeight="1" x14ac:dyDescent="0.15">
      <c r="A14" s="20">
        <v>2</v>
      </c>
      <c r="B14" s="37" t="s">
        <v>30</v>
      </c>
      <c r="C14" s="38" t="s">
        <v>31</v>
      </c>
      <c r="D14" s="27"/>
      <c r="E14" s="26"/>
      <c r="F14" s="21">
        <v>5201</v>
      </c>
      <c r="G14" s="9">
        <v>200</v>
      </c>
      <c r="H14" s="9">
        <v>25</v>
      </c>
      <c r="I14" s="9">
        <v>25</v>
      </c>
      <c r="J14" s="20">
        <v>5201</v>
      </c>
      <c r="K14" s="20">
        <v>1</v>
      </c>
      <c r="L14" s="21">
        <v>468</v>
      </c>
      <c r="M14" s="20">
        <f>L14+40</f>
        <v>508</v>
      </c>
      <c r="N14" s="24" t="s">
        <v>32</v>
      </c>
      <c r="O14" s="20">
        <f>L14*K14</f>
        <v>468</v>
      </c>
      <c r="P14" s="20">
        <f>M14*K14</f>
        <v>508</v>
      </c>
      <c r="Q14" s="23">
        <f>0.49*K14</f>
        <v>0.49</v>
      </c>
    </row>
    <row r="15" spans="1:17" ht="38.25" customHeight="1" x14ac:dyDescent="0.15">
      <c r="A15" s="20"/>
      <c r="B15" s="37"/>
      <c r="C15" s="38"/>
      <c r="D15" s="27"/>
      <c r="E15" s="26"/>
      <c r="F15" s="21"/>
      <c r="G15" s="9">
        <v>201</v>
      </c>
      <c r="H15" s="9">
        <v>1</v>
      </c>
      <c r="I15" s="9">
        <v>1</v>
      </c>
      <c r="J15" s="20"/>
      <c r="K15" s="20"/>
      <c r="L15" s="21"/>
      <c r="M15" s="20"/>
      <c r="N15" s="22"/>
      <c r="O15" s="20"/>
      <c r="P15" s="20"/>
      <c r="Q15" s="23"/>
    </row>
    <row r="16" spans="1:17" ht="39" customHeight="1" x14ac:dyDescent="0.15">
      <c r="A16" s="23" t="s">
        <v>20</v>
      </c>
      <c r="B16" s="23"/>
      <c r="C16" s="23"/>
      <c r="D16" s="34"/>
      <c r="E16" s="40"/>
      <c r="F16" s="9">
        <f>SUM(F4:F15)</f>
        <v>261230</v>
      </c>
      <c r="G16" s="9"/>
      <c r="H16" s="9">
        <f>SUM(H4:H15)</f>
        <v>4098</v>
      </c>
      <c r="I16" s="9"/>
      <c r="J16" s="9"/>
      <c r="K16" s="9">
        <f>SUM(K4:K15)</f>
        <v>119</v>
      </c>
      <c r="L16" s="34"/>
      <c r="M16" s="34"/>
      <c r="N16" s="34"/>
      <c r="O16" s="9">
        <f>SUM(O4:O15)</f>
        <v>80064</v>
      </c>
      <c r="P16" s="9">
        <f>SUM(P4:P15)</f>
        <v>84794</v>
      </c>
      <c r="Q16" s="34">
        <f>SUM(Q4:Q15)</f>
        <v>57.77</v>
      </c>
    </row>
    <row r="17" spans="1:17" ht="21" customHeight="1" x14ac:dyDescent="0.15">
      <c r="A17" s="10"/>
      <c r="B17" s="11" t="s">
        <v>21</v>
      </c>
      <c r="C17" s="10"/>
      <c r="D17" s="10"/>
      <c r="E17" s="7"/>
      <c r="F17" s="1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8.75" x14ac:dyDescent="0.15">
      <c r="A18" s="10"/>
      <c r="B18" s="10"/>
      <c r="C18" s="13"/>
      <c r="D18" s="10"/>
      <c r="E18" s="7"/>
      <c r="F18" s="10"/>
      <c r="G18" s="10"/>
      <c r="H18" s="10"/>
      <c r="I18" s="10"/>
      <c r="J18" s="10"/>
      <c r="K18" s="10"/>
      <c r="L18" s="10"/>
      <c r="M18" s="10"/>
      <c r="N18" s="18" t="s">
        <v>22</v>
      </c>
      <c r="O18" s="18"/>
      <c r="P18" s="18"/>
      <c r="Q18" s="18"/>
    </row>
    <row r="19" spans="1:17" ht="18.75" x14ac:dyDescent="0.15">
      <c r="A19" s="10"/>
      <c r="B19" s="10"/>
      <c r="C19" s="10"/>
      <c r="D19" s="10"/>
      <c r="E19" s="7"/>
      <c r="F19" s="6"/>
      <c r="G19" s="10"/>
      <c r="H19" s="10"/>
      <c r="I19" s="10"/>
      <c r="J19" s="10"/>
      <c r="K19" s="10"/>
      <c r="L19" s="10"/>
      <c r="M19" s="10"/>
      <c r="N19" s="18">
        <v>45820</v>
      </c>
      <c r="O19" s="18"/>
      <c r="P19" s="18"/>
      <c r="Q19" s="18"/>
    </row>
    <row r="20" spans="1:17" x14ac:dyDescent="0.15">
      <c r="A20" s="14"/>
      <c r="B20" s="14"/>
      <c r="C20" s="14"/>
      <c r="D20" s="14"/>
      <c r="E20" s="15"/>
      <c r="F20" s="6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15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1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1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1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1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1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</sheetData>
  <mergeCells count="60">
    <mergeCell ref="P11:P12"/>
    <mergeCell ref="Q11:Q12"/>
    <mergeCell ref="N14:N15"/>
    <mergeCell ref="O14:O15"/>
    <mergeCell ref="P14:P15"/>
    <mergeCell ref="Q14:Q15"/>
    <mergeCell ref="A11:A12"/>
    <mergeCell ref="B11:B12"/>
    <mergeCell ref="C11:C12"/>
    <mergeCell ref="D11:D12"/>
    <mergeCell ref="E11:E12"/>
    <mergeCell ref="F11:F12"/>
    <mergeCell ref="J11:J12"/>
    <mergeCell ref="K11:K12"/>
    <mergeCell ref="L11:L12"/>
    <mergeCell ref="M11:M12"/>
    <mergeCell ref="N11:N12"/>
    <mergeCell ref="O11:O12"/>
    <mergeCell ref="F14:F15"/>
    <mergeCell ref="J14:J15"/>
    <mergeCell ref="K14:K15"/>
    <mergeCell ref="L14:L15"/>
    <mergeCell ref="M14:M15"/>
    <mergeCell ref="B8:B9"/>
    <mergeCell ref="A8:A9"/>
    <mergeCell ref="D8:D9"/>
    <mergeCell ref="E8:E9"/>
    <mergeCell ref="A14:A15"/>
    <mergeCell ref="B14:B15"/>
    <mergeCell ref="C14:C15"/>
    <mergeCell ref="D14:D15"/>
    <mergeCell ref="E14:E15"/>
    <mergeCell ref="N8:N9"/>
    <mergeCell ref="O8:O9"/>
    <mergeCell ref="P8:P9"/>
    <mergeCell ref="Q8:Q9"/>
    <mergeCell ref="C8:C9"/>
    <mergeCell ref="F8:F9"/>
    <mergeCell ref="J8:J9"/>
    <mergeCell ref="K8:K9"/>
    <mergeCell ref="L8:L9"/>
    <mergeCell ref="M8:M9"/>
    <mergeCell ref="O5:O6"/>
    <mergeCell ref="P5:P6"/>
    <mergeCell ref="Q5:Q6"/>
    <mergeCell ref="J5:J6"/>
    <mergeCell ref="D5:D6"/>
    <mergeCell ref="F5:F6"/>
    <mergeCell ref="L5:L6"/>
    <mergeCell ref="K5:K6"/>
    <mergeCell ref="M5:M6"/>
    <mergeCell ref="N5:N6"/>
    <mergeCell ref="A1:Q1"/>
    <mergeCell ref="A16:C16"/>
    <mergeCell ref="N18:Q18"/>
    <mergeCell ref="N19:Q19"/>
    <mergeCell ref="A4:A6"/>
    <mergeCell ref="B4:B6"/>
    <mergeCell ref="C5:C6"/>
    <mergeCell ref="E5:E6"/>
  </mergeCells>
  <phoneticPr fontId="12" type="noConversion"/>
  <pageMargins left="0.7" right="0.7" top="0.75" bottom="0.75" header="0.3" footer="0.3"/>
  <pageSetup paperSize="9" scale="97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="55" zoomScaleNormal="55" zoomScaleSheetLayoutView="55" workbookViewId="0">
      <selection activeCell="K3" sqref="K3"/>
    </sheetView>
  </sheetViews>
  <sheetFormatPr defaultColWidth="9" defaultRowHeight="76.5" x14ac:dyDescent="0.15"/>
  <cols>
    <col min="1" max="2" width="69.125" style="1" customWidth="1"/>
    <col min="3" max="16384" width="9" style="1"/>
  </cols>
  <sheetData>
    <row r="1" spans="1:2" ht="144" customHeight="1" x14ac:dyDescent="0.15">
      <c r="A1" s="2" t="s">
        <v>23</v>
      </c>
      <c r="B1" s="2" t="s">
        <v>23</v>
      </c>
    </row>
    <row r="2" spans="1:2" ht="144" customHeight="1" x14ac:dyDescent="0.15">
      <c r="A2" s="2" t="s">
        <v>23</v>
      </c>
      <c r="B2" s="2" t="s">
        <v>23</v>
      </c>
    </row>
    <row r="3" spans="1:2" ht="144" customHeight="1" x14ac:dyDescent="0.15">
      <c r="A3" s="2" t="s">
        <v>23</v>
      </c>
      <c r="B3" s="2" t="s">
        <v>23</v>
      </c>
    </row>
    <row r="4" spans="1:2" ht="144" customHeight="1" x14ac:dyDescent="0.15">
      <c r="A4" s="2" t="s">
        <v>23</v>
      </c>
      <c r="B4" s="2" t="s">
        <v>23</v>
      </c>
    </row>
    <row r="5" spans="1:2" ht="144" customHeight="1" x14ac:dyDescent="0.15">
      <c r="A5" s="2" t="s">
        <v>23</v>
      </c>
      <c r="B5" s="2" t="s">
        <v>23</v>
      </c>
    </row>
    <row r="6" spans="1:2" ht="144" customHeight="1" x14ac:dyDescent="0.15">
      <c r="A6" s="2" t="s">
        <v>23</v>
      </c>
      <c r="B6" s="2" t="s">
        <v>23</v>
      </c>
    </row>
    <row r="7" spans="1:2" ht="144" customHeight="1" x14ac:dyDescent="0.15">
      <c r="A7" s="2" t="s">
        <v>23</v>
      </c>
      <c r="B7" s="2" t="s">
        <v>23</v>
      </c>
    </row>
    <row r="8" spans="1:2" ht="144" customHeight="1" x14ac:dyDescent="0.15">
      <c r="A8" s="2" t="s">
        <v>23</v>
      </c>
      <c r="B8" s="2" t="s">
        <v>23</v>
      </c>
    </row>
    <row r="9" spans="1:2" ht="144" customHeight="1" x14ac:dyDescent="0.15">
      <c r="A9" s="2" t="s">
        <v>23</v>
      </c>
      <c r="B9" s="2" t="s">
        <v>23</v>
      </c>
    </row>
    <row r="10" spans="1:2" ht="144" customHeight="1" x14ac:dyDescent="0.15">
      <c r="A10" s="2" t="s">
        <v>23</v>
      </c>
      <c r="B10" s="2" t="s">
        <v>23</v>
      </c>
    </row>
    <row r="11" spans="1:2" ht="144" customHeight="1" x14ac:dyDescent="0.15">
      <c r="A11" s="2" t="s">
        <v>23</v>
      </c>
      <c r="B11" s="2" t="s">
        <v>23</v>
      </c>
    </row>
    <row r="12" spans="1:2" ht="144" customHeight="1" x14ac:dyDescent="0.15">
      <c r="A12" s="2" t="s">
        <v>23</v>
      </c>
      <c r="B12" s="2" t="s">
        <v>23</v>
      </c>
    </row>
    <row r="13" spans="1:2" ht="144" customHeight="1" x14ac:dyDescent="0.15">
      <c r="A13" s="2" t="s">
        <v>24</v>
      </c>
      <c r="B13" s="2" t="s">
        <v>24</v>
      </c>
    </row>
    <row r="14" spans="1:2" ht="144" customHeight="1" x14ac:dyDescent="0.15">
      <c r="A14" s="2" t="s">
        <v>24</v>
      </c>
      <c r="B14" s="2" t="s">
        <v>24</v>
      </c>
    </row>
    <row r="15" spans="1:2" ht="144" customHeight="1" x14ac:dyDescent="0.15">
      <c r="A15" s="2" t="s">
        <v>24</v>
      </c>
      <c r="B15" s="2" t="s">
        <v>24</v>
      </c>
    </row>
    <row r="16" spans="1:2" ht="144" customHeight="1" x14ac:dyDescent="0.15">
      <c r="A16" s="2" t="s">
        <v>24</v>
      </c>
      <c r="B16" s="2" t="s">
        <v>24</v>
      </c>
    </row>
  </sheetData>
  <phoneticPr fontId="16" type="noConversion"/>
  <pageMargins left="0.75" right="0.75" top="0.35416666666666702" bottom="0.31458333333333299" header="0.27500000000000002" footer="0.118055555555556"/>
  <pageSetup paperSize="9" scale="94" orientation="landscape"/>
  <rowBreaks count="1" manualBreakCount="1">
    <brk id="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dcterms:created xsi:type="dcterms:W3CDTF">2006-09-13T11:21:00Z</dcterms:created>
  <dcterms:modified xsi:type="dcterms:W3CDTF">2025-06-12T05:56:25Z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77EBAF83D6674F428121E58C85840CCD_13</vt:lpwstr>
  </property>
  <property fmtid="{D5CDD505-2E9C-101B-9397-08002B2CF9AE}" pid="3" name="KSOProductBuildVer">
    <vt:lpwstr>2052-12.1.0.17147</vt:lpwstr>
  </property>
</Properties>
</file>