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ED2547EC-F279-4E88-9FF4-F267483BD2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1" l="1"/>
  <c r="Q6" i="1"/>
  <c r="K6" i="1"/>
  <c r="N6" i="1"/>
  <c r="R5" i="1"/>
  <c r="R6" i="1" s="1"/>
  <c r="L5" i="1"/>
  <c r="L6" i="1" s="1"/>
  <c r="J5" i="1" l="1"/>
  <c r="J6" i="1" s="1"/>
</calcChain>
</file>

<file path=xl/sharedStrings.xml><?xml version="1.0" encoding="utf-8"?>
<sst xmlns="http://schemas.openxmlformats.org/spreadsheetml/2006/main" count="64" uniqueCount="57">
  <si>
    <t>编制：</t>
  </si>
  <si>
    <t>复核：</t>
  </si>
  <si>
    <t>批准：</t>
  </si>
  <si>
    <t>SDL-D-ZJ-16</t>
  </si>
  <si>
    <t>序号</t>
  </si>
  <si>
    <t>产品
名称</t>
  </si>
  <si>
    <t>型号及规格</t>
  </si>
  <si>
    <t>生产令号</t>
  </si>
  <si>
    <t>合同号P.O.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</si>
  <si>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</si>
  <si>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</si>
  <si>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</si>
  <si>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</si>
  <si>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</si>
  <si>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</si>
  <si>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</si>
  <si>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</si>
  <si>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</si>
  <si>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</si>
  <si>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</si>
  <si>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</si>
  <si>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</si>
  <si>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</si>
  <si>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桶</t>
  </si>
  <si>
    <t>托</t>
  </si>
  <si>
    <t>合计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</si>
  <si>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</si>
  <si>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</si>
  <si>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</si>
  <si>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</si>
  <si>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</si>
  <si>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</si>
  <si>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</si>
  <si>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</si>
  <si>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分发：总经理、总经办、品管部、生产部</t>
  </si>
  <si>
    <t>高蕾</t>
    <phoneticPr fontId="7" type="noConversion"/>
  </si>
  <si>
    <t>产品
图纸</t>
    <phoneticPr fontId="7" type="noConversion"/>
  </si>
  <si>
    <t>件</t>
    <phoneticPr fontId="7" type="noConversion"/>
  </si>
  <si>
    <t>详见
图纸</t>
    <phoneticPr fontId="7" type="noConversion"/>
  </si>
  <si>
    <t>4、</t>
    <phoneticPr fontId="7" type="noConversion"/>
  </si>
  <si>
    <t>包装待定</t>
    <phoneticPr fontId="7" type="noConversion"/>
  </si>
  <si>
    <t>件/袋</t>
    <phoneticPr fontId="7" type="noConversion"/>
  </si>
  <si>
    <t>袋</t>
    <phoneticPr fontId="7" type="noConversion"/>
  </si>
  <si>
    <t>袋/托</t>
    <phoneticPr fontId="7" type="noConversion"/>
  </si>
  <si>
    <t>8 月  份  销  售  计  划  6</t>
    <phoneticPr fontId="7" type="noConversion"/>
  </si>
  <si>
    <t>250825-1</t>
    <phoneticPr fontId="7" type="noConversion"/>
  </si>
  <si>
    <t>道钉</t>
    <phoneticPr fontId="7" type="noConversion"/>
  </si>
  <si>
    <t>22*123</t>
    <phoneticPr fontId="7" type="noConversion"/>
  </si>
  <si>
    <t>ZSTL-XN2025070901-2</t>
    <phoneticPr fontId="7" type="noConversion"/>
  </si>
  <si>
    <t>LD-TG-20</t>
    <phoneticPr fontId="7" type="noConversion"/>
  </si>
  <si>
    <t>20#</t>
    <phoneticPr fontId="7" type="noConversion"/>
  </si>
  <si>
    <r>
      <rPr>
        <sz val="10"/>
        <color theme="1"/>
        <rFont val="Calibri"/>
        <family val="3"/>
        <charset val="161"/>
      </rPr>
      <t>Φ</t>
    </r>
    <r>
      <rPr>
        <sz val="10"/>
        <color theme="1"/>
        <rFont val="宋体"/>
        <family val="3"/>
        <charset val="134"/>
        <scheme val="minor"/>
      </rPr>
      <t>22</t>
    </r>
    <phoneticPr fontId="7" type="noConversion"/>
  </si>
  <si>
    <t>表面发黑</t>
    <phoneticPr fontId="7" type="noConversion"/>
  </si>
  <si>
    <t>A
2025</t>
    <phoneticPr fontId="7" type="noConversion"/>
  </si>
  <si>
    <t>2025-10-5发货10万件；其余11月5日交货</t>
    <phoneticPr fontId="7" type="noConversion"/>
  </si>
  <si>
    <t>带提手编织袋+托盘
（免熏蒸材质）</t>
    <phoneticPr fontId="7" type="noConversion"/>
  </si>
  <si>
    <t>带提手编织袋+托盘（免熏蒸材质），托盘底部高度不少于10mm。编织袋每袋重量不超过25KG。包装足够结实，适合多次转运。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</si>
</sst>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[$-F800]dddd\,\ mmmm\ dd\,\ yyyy"/>
    <numFmt numFmtId="178" formatCode="0_ "/>
    <numFmt numFmtId="179" formatCode="0.000_ "/>
  </numFmts>
  <fonts count="12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10"/>
      <color theme="1"/>
      <name val="宋体"/>
      <family val="3"/>
      <charset val="161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7" fontId="1" fillId="0" borderId="2" xfId="0" applyNumberFormat="1" applyFont="1" applyBorder="1" applyAlignment="1">
      <alignment horizontal="center" vertical="center" wrapText="1"/>
    </xf>
    <xf numFmtId="179" fontId="1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177" fontId="6" fillId="0" borderId="0" xfId="0" applyNumberFormat="1" applyFont="1" applyAlignment="1">
      <alignment horizontal="righ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selection activeCell="V5" sqref="V5"/>
    </sheetView>
  </sheetViews>
  <sheetFormatPr defaultColWidth="9" defaultRowHeight="13.5" x14ac:dyDescent="0.15"/>
  <cols>
    <col min="1" max="1" width="3.625" style="2" customWidth="1"/>
    <col min="2" max="2" width="8.75" style="2" customWidth="1"/>
    <col min="3" max="3" width="9.5" style="2" customWidth="1"/>
    <col min="4" max="4" width="4.625" style="2" customWidth="1"/>
    <col min="5" max="5" width="7.5" style="2" customWidth="1"/>
    <col min="6" max="6" width="10.375" style="2" customWidth="1"/>
    <col min="7" max="7" width="7.125" style="2" customWidth="1"/>
    <col min="8" max="8" width="5.625" style="2" customWidth="1"/>
    <col min="9" max="9" width="5.25" style="2" customWidth="1"/>
    <col min="10" max="10" width="6.375" style="2" customWidth="1"/>
    <col min="11" max="11" width="8" style="2" customWidth="1"/>
    <col min="12" max="12" width="5.625" style="2" customWidth="1"/>
    <col min="13" max="13" width="4.25" style="2" customWidth="1"/>
    <col min="14" max="14" width="5.625" style="2" customWidth="1"/>
    <col min="15" max="15" width="4.625" style="2" customWidth="1"/>
    <col min="16" max="16" width="5" style="2" customWidth="1"/>
    <col min="17" max="17" width="7.75" style="2" customWidth="1"/>
    <col min="18" max="18" width="5.625" style="2" customWidth="1"/>
    <col min="19" max="19" width="8.75" style="2" customWidth="1"/>
    <col min="20" max="20" width="6.625" style="2" customWidth="1"/>
    <col min="21" max="21" width="7.25" style="2" customWidth="1"/>
    <col min="22" max="22" width="6" style="2" customWidth="1"/>
    <col min="23" max="16384" width="9" style="2"/>
  </cols>
  <sheetData>
    <row r="1" spans="1:22" ht="33" customHeight="1" x14ac:dyDescent="0.15">
      <c r="A1" s="31" t="s">
        <v>44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</row>
    <row r="2" spans="1:22" s="1" customFormat="1" ht="21" customHeight="1" x14ac:dyDescent="0.15">
      <c r="B2" s="1" t="s">
        <v>0</v>
      </c>
      <c r="C2" s="11" t="s">
        <v>35</v>
      </c>
      <c r="G2" s="32" t="s">
        <v>1</v>
      </c>
      <c r="H2" s="32"/>
      <c r="N2" s="32" t="s">
        <v>2</v>
      </c>
      <c r="O2" s="32"/>
      <c r="T2" s="33" t="s">
        <v>3</v>
      </c>
      <c r="U2" s="34"/>
      <c r="V2" s="34"/>
    </row>
    <row r="3" spans="1:22" s="1" customFormat="1" ht="27" customHeight="1" x14ac:dyDescent="0.15">
      <c r="A3" s="24" t="s">
        <v>4</v>
      </c>
      <c r="B3" s="24" t="s">
        <v>5</v>
      </c>
      <c r="C3" s="24" t="s">
        <v>6</v>
      </c>
      <c r="D3" s="24" t="s">
        <v>7</v>
      </c>
      <c r="E3" s="24" t="s">
        <v>8</v>
      </c>
      <c r="F3" s="23" t="s">
        <v>36</v>
      </c>
      <c r="G3" s="3" t="s">
        <v>9</v>
      </c>
      <c r="H3" s="35" t="s">
        <v>10</v>
      </c>
      <c r="I3" s="36"/>
      <c r="J3" s="36"/>
      <c r="K3" s="24" t="s">
        <v>11</v>
      </c>
      <c r="L3" s="24"/>
      <c r="M3" s="24"/>
      <c r="N3" s="24"/>
      <c r="O3" s="24"/>
      <c r="P3" s="24"/>
      <c r="Q3" s="24" t="s">
        <v>12</v>
      </c>
      <c r="R3" s="24"/>
      <c r="S3" s="24" t="s">
        <v>13</v>
      </c>
      <c r="T3" s="24" t="s">
        <v>14</v>
      </c>
      <c r="U3" s="24" t="s">
        <v>15</v>
      </c>
      <c r="V3" s="24" t="s">
        <v>16</v>
      </c>
    </row>
    <row r="4" spans="1:22" s="1" customFormat="1" ht="27.75" customHeight="1" x14ac:dyDescent="0.15">
      <c r="A4" s="24"/>
      <c r="B4" s="24"/>
      <c r="C4" s="24"/>
      <c r="D4" s="24"/>
      <c r="E4" s="24"/>
      <c r="F4" s="24"/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41</v>
      </c>
      <c r="N4" s="3" t="s">
        <v>42</v>
      </c>
      <c r="O4" s="3" t="s">
        <v>43</v>
      </c>
      <c r="P4" s="3" t="s">
        <v>24</v>
      </c>
      <c r="Q4" s="3" t="s">
        <v>21</v>
      </c>
      <c r="R4" s="3" t="s">
        <v>22</v>
      </c>
      <c r="S4" s="24"/>
      <c r="T4" s="24"/>
      <c r="U4" s="24"/>
      <c r="V4" s="24"/>
    </row>
    <row r="5" spans="1:22" s="1" customFormat="1" ht="92.25" customHeight="1" x14ac:dyDescent="0.15">
      <c r="A5" s="3">
        <v>1</v>
      </c>
      <c r="B5" s="3" t="s">
        <v>46</v>
      </c>
      <c r="C5" s="3" t="s">
        <v>47</v>
      </c>
      <c r="D5" s="14" t="s">
        <v>45</v>
      </c>
      <c r="E5" s="4" t="s">
        <v>48</v>
      </c>
      <c r="F5" s="3" t="s">
        <v>49</v>
      </c>
      <c r="G5" s="15">
        <v>0.495</v>
      </c>
      <c r="H5" s="3" t="s">
        <v>50</v>
      </c>
      <c r="I5" s="37" t="s">
        <v>51</v>
      </c>
      <c r="J5" s="12">
        <f>L5/0.9</f>
        <v>137.5</v>
      </c>
      <c r="K5" s="3">
        <v>250000</v>
      </c>
      <c r="L5" s="10">
        <f>K5*G5/1000</f>
        <v>123.75</v>
      </c>
      <c r="M5" s="3">
        <v>40</v>
      </c>
      <c r="N5" s="3">
        <v>6250</v>
      </c>
      <c r="O5" s="3">
        <v>40</v>
      </c>
      <c r="P5" s="3">
        <v>157</v>
      </c>
      <c r="Q5" s="3">
        <v>251000</v>
      </c>
      <c r="R5" s="10">
        <f>Q5*G5/1000</f>
        <v>124.245</v>
      </c>
      <c r="S5" s="17" t="s">
        <v>54</v>
      </c>
      <c r="T5" s="3" t="s">
        <v>53</v>
      </c>
      <c r="U5" s="3" t="s">
        <v>52</v>
      </c>
      <c r="V5" s="4" t="s">
        <v>55</v>
      </c>
    </row>
    <row r="6" spans="1:22" s="1" customFormat="1" ht="16.5" customHeight="1" x14ac:dyDescent="0.15">
      <c r="A6" s="25" t="s">
        <v>25</v>
      </c>
      <c r="B6" s="26"/>
      <c r="C6" s="21"/>
      <c r="D6" s="21"/>
      <c r="E6" s="21"/>
      <c r="F6" s="21"/>
      <c r="G6" s="21"/>
      <c r="H6" s="21"/>
      <c r="I6" s="21"/>
      <c r="J6" s="9">
        <f>SUM(J5:J5)</f>
        <v>137.5</v>
      </c>
      <c r="K6" s="9">
        <f>SUM(K5:K5)</f>
        <v>250000</v>
      </c>
      <c r="L6" s="9">
        <f>SUM(L5:L5)</f>
        <v>123.75</v>
      </c>
      <c r="M6" s="9"/>
      <c r="N6" s="9">
        <f>SUM(N5:N5)</f>
        <v>6250</v>
      </c>
      <c r="O6" s="9"/>
      <c r="P6" s="9">
        <f>SUM(P5:P5)</f>
        <v>157</v>
      </c>
      <c r="Q6" s="9">
        <f>SUM(Q5:Q5)</f>
        <v>251000</v>
      </c>
      <c r="R6" s="9">
        <f>SUM(R5:R5)</f>
        <v>124.245</v>
      </c>
      <c r="S6" s="4"/>
      <c r="T6" s="29" t="s">
        <v>38</v>
      </c>
      <c r="U6" s="4"/>
      <c r="V6" s="4"/>
    </row>
    <row r="7" spans="1:22" s="1" customFormat="1" ht="16.5" customHeight="1" x14ac:dyDescent="0.15">
      <c r="A7" s="27"/>
      <c r="B7" s="28"/>
      <c r="C7" s="22"/>
      <c r="D7" s="22"/>
      <c r="E7" s="22"/>
      <c r="F7" s="22"/>
      <c r="G7" s="22"/>
      <c r="H7" s="22"/>
      <c r="I7" s="22"/>
      <c r="J7" s="5" t="s">
        <v>22</v>
      </c>
      <c r="K7" s="13" t="s">
        <v>37</v>
      </c>
      <c r="L7" s="5" t="s">
        <v>22</v>
      </c>
      <c r="M7" s="5"/>
      <c r="N7" s="5" t="s">
        <v>23</v>
      </c>
      <c r="O7" s="5"/>
      <c r="P7" s="5" t="s">
        <v>24</v>
      </c>
      <c r="Q7" s="13" t="s">
        <v>37</v>
      </c>
      <c r="R7" s="6" t="s">
        <v>22</v>
      </c>
      <c r="S7" s="5"/>
      <c r="T7" s="30"/>
      <c r="U7" s="5"/>
      <c r="V7" s="5"/>
    </row>
    <row r="9" spans="1:22" s="1" customFormat="1" ht="19.5" customHeight="1" x14ac:dyDescent="0.15">
      <c r="B9" s="1" t="s">
        <v>26</v>
      </c>
      <c r="R9" s="7"/>
      <c r="S9" s="16" t="s">
        <v>40</v>
      </c>
    </row>
    <row r="10" spans="1:22" s="1" customFormat="1" ht="19.5" customHeight="1" x14ac:dyDescent="0.15">
      <c r="A10" s="1" t="s">
        <v>27</v>
      </c>
      <c r="B10" s="19" t="s">
        <v>28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s="1" customFormat="1" ht="19.5" customHeight="1" x14ac:dyDescent="0.15">
      <c r="B11" s="19" t="s">
        <v>29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s="1" customFormat="1" ht="19.5" customHeight="1" x14ac:dyDescent="0.15">
      <c r="A12" s="1" t="s">
        <v>30</v>
      </c>
      <c r="B12" s="19" t="s">
        <v>31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1" customFormat="1" ht="19.5" customHeight="1" x14ac:dyDescent="0.15">
      <c r="A13" s="1" t="s">
        <v>32</v>
      </c>
      <c r="B13" s="19" t="s">
        <v>33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s="1" customFormat="1" ht="19.5" customHeight="1" x14ac:dyDescent="0.15">
      <c r="A14" s="11" t="s">
        <v>39</v>
      </c>
      <c r="B14" s="18" t="s">
        <v>56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</row>
    <row r="15" spans="1:22" ht="20.25" customHeight="1" x14ac:dyDescent="0.15">
      <c r="C15" s="19" t="s">
        <v>34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</row>
    <row r="16" spans="1:22" ht="22.5" x14ac:dyDescent="0.15">
      <c r="Q16" s="20">
        <v>45894</v>
      </c>
      <c r="R16" s="20"/>
      <c r="S16" s="20"/>
      <c r="T16" s="20"/>
      <c r="U16" s="20"/>
      <c r="V16" s="20"/>
    </row>
  </sheetData>
  <mergeCells count="32">
    <mergeCell ref="A1:V1"/>
    <mergeCell ref="G2:H2"/>
    <mergeCell ref="N2:O2"/>
    <mergeCell ref="T2:V2"/>
    <mergeCell ref="H3:J3"/>
    <mergeCell ref="K3:P3"/>
    <mergeCell ref="Q3:R3"/>
    <mergeCell ref="S3:S4"/>
    <mergeCell ref="T3:T4"/>
    <mergeCell ref="U3:U4"/>
    <mergeCell ref="V3:V4"/>
    <mergeCell ref="E3:E4"/>
    <mergeCell ref="A3:A4"/>
    <mergeCell ref="F3:F4"/>
    <mergeCell ref="F6:F7"/>
    <mergeCell ref="B10:V10"/>
    <mergeCell ref="G6:G7"/>
    <mergeCell ref="H6:H7"/>
    <mergeCell ref="I6:I7"/>
    <mergeCell ref="B3:B4"/>
    <mergeCell ref="C3:C4"/>
    <mergeCell ref="C6:C7"/>
    <mergeCell ref="D3:D4"/>
    <mergeCell ref="D6:D7"/>
    <mergeCell ref="A6:B7"/>
    <mergeCell ref="T6:T7"/>
    <mergeCell ref="B13:V13"/>
    <mergeCell ref="C15:M15"/>
    <mergeCell ref="Q16:V16"/>
    <mergeCell ref="B11:V11"/>
    <mergeCell ref="B12:V12"/>
    <mergeCell ref="E6:E7"/>
  </mergeCells>
  <phoneticPr fontId="7" type="noConversion"/>
  <pageMargins left="0.70069444444444495" right="0.70069444444444495" top="0.75138888888888899" bottom="0.75138888888888899" header="0.29861111111111099" footer="0.29861111111111099"/>
  <pageSetup paperSize="9" scale="93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2025-02-12T07:13:11Z</cp:lastPrinted>
  <dcterms:created xsi:type="dcterms:W3CDTF">2006-09-13T11:21:00Z</dcterms:created>
  <dcterms:modified xsi:type="dcterms:W3CDTF">2025-08-25T06:00:13Z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6AF829705AC1456B882EAD342E3F8FD3_13</vt:lpwstr>
  </property>
  <property fmtid="{D5CDD505-2E9C-101B-9397-08002B2CF9AE}" pid="3" name="KSOProductBuildVer">
    <vt:lpwstr>2052-12.1.0.17133</vt:lpwstr>
  </property>
</Properties>
</file>