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9832D269-8ACF-4976-9ABE-9338A6FC94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R8" i="1"/>
  <c r="Q8" i="1"/>
  <c r="O8" i="1"/>
  <c r="S7" i="1"/>
  <c r="M7" i="1"/>
  <c r="K7" i="1" s="1"/>
  <c r="M8" i="1" l="1"/>
  <c r="S8" i="1"/>
  <c r="K8" i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<sst xmlns="http://schemas.openxmlformats.org/spreadsheetml/2006/main" count="55" uniqueCount="53">
  <si>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</si>
  <si>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</si>
  <si>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</si>
  <si>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</si>
  <si>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</si>
  <si>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</si>
  <si>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</si>
  <si>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</si>
  <si>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</si>
  <si>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</si>
  <si>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</si>
  <si>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</si>
  <si>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</si>
  <si>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</si>
  <si>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</si>
  <si>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</si>
  <si>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</si>
  <si>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</si>
  <si>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</si>
  <si>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</si>
  <si>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</si>
  <si>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</si>
  <si>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</si>
  <si>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</si>
  <si>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</si>
  <si>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</si>
  <si>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</si>
  <si>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</si>
  <si>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</si>
  <si>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35K</t>
  </si>
  <si>
    <t>编织袋+欧式木箱（熏蒸）</t>
  </si>
  <si>
    <t>合 计</t>
  </si>
  <si>
    <t>详见
对应
图纸</t>
  </si>
  <si>
    <t>包装待定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</si>
  <si>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</si>
  <si>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</si>
  <si>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</si>
  <si>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</si>
  <si>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</si>
  <si>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</si>
  <si>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包装物为编织袋加欧式木箱（ISPM15熏蒸标准）。 </t>
  </si>
  <si>
    <t>分发：总经理、总经办、品管部、生产部</t>
  </si>
  <si>
    <r>
      <t>热镀锌≥50</t>
    </r>
    <r>
      <rPr>
        <b/>
        <sz val="10"/>
        <color theme="1"/>
        <rFont val="Calibri"/>
        <family val="3"/>
        <charset val="161"/>
      </rPr>
      <t>μ</t>
    </r>
    <r>
      <rPr>
        <b/>
        <sz val="10"/>
        <color theme="1"/>
        <rFont val="宋体"/>
        <family val="3"/>
        <charset val="134"/>
        <scheme val="minor"/>
      </rPr>
      <t>m</t>
    </r>
    <phoneticPr fontId="9" type="noConversion"/>
  </si>
  <si>
    <t>E225/23FV</t>
    <phoneticPr fontId="9" type="noConversion"/>
  </si>
  <si>
    <t>NF F 50-006</t>
    <phoneticPr fontId="14" type="noConversion"/>
  </si>
  <si>
    <t>锥形方钉</t>
    <phoneticPr fontId="9" type="noConversion"/>
  </si>
  <si>
    <t>12 月  份  销  售  计  划  11</t>
    <phoneticPr fontId="9" type="noConversion"/>
  </si>
  <si>
    <t>251224-3</t>
    <phoneticPr fontId="9" type="noConversion"/>
  </si>
  <si>
    <t>23*115</t>
    <phoneticPr fontId="9" type="noConversion"/>
  </si>
  <si>
    <r>
      <t xml:space="preserve">SDL
</t>
    </r>
    <r>
      <rPr>
        <b/>
        <sz val="12"/>
        <color theme="1"/>
        <rFont val="宋体"/>
        <family val="3"/>
        <charset val="134"/>
        <scheme val="minor"/>
      </rPr>
      <t>3V</t>
    </r>
    <r>
      <rPr>
        <sz val="9"/>
        <color theme="1"/>
        <rFont val="宋体"/>
        <family val="3"/>
        <charset val="134"/>
        <scheme val="minor"/>
      </rPr>
      <t xml:space="preserve">
26
N1</t>
    </r>
    <phoneticPr fontId="9" type="noConversion"/>
  </si>
  <si>
    <t>CA2506192</t>
    <phoneticPr fontId="9" type="noConversion"/>
  </si>
  <si>
    <t>2026-2-5完成10万件，其余3-10完成</t>
    <phoneticPr fontId="9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</si>
  <si>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24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</si>
</sst>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10"/>
      <color theme="1"/>
      <name val="Calibri"/>
      <family val="3"/>
      <charset val="161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4" workbookViewId="0">
      <selection activeCell="J10" sqref="J10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4" t="s">
        <v>46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4" spans="1:23" s="1" customFormat="1" ht="27.75" customHeight="1" x14ac:dyDescent="0.15">
      <c r="A4" s="25" t="s">
        <v>0</v>
      </c>
      <c r="B4" s="25"/>
      <c r="C4" s="1" t="s">
        <v>1</v>
      </c>
      <c r="H4" s="25" t="s">
        <v>2</v>
      </c>
      <c r="I4" s="25"/>
      <c r="O4" s="25" t="s">
        <v>3</v>
      </c>
      <c r="P4" s="25"/>
      <c r="U4" s="26"/>
      <c r="V4" s="27"/>
      <c r="W4" s="27"/>
    </row>
    <row r="5" spans="1:23" s="1" customFormat="1" ht="27" customHeight="1" x14ac:dyDescent="0.15">
      <c r="A5" s="18" t="s">
        <v>4</v>
      </c>
      <c r="B5" s="18" t="s">
        <v>5</v>
      </c>
      <c r="C5" s="18" t="s">
        <v>6</v>
      </c>
      <c r="D5" s="18" t="s">
        <v>7</v>
      </c>
      <c r="E5" s="18" t="s">
        <v>8</v>
      </c>
      <c r="F5" s="18" t="s">
        <v>9</v>
      </c>
      <c r="G5" s="18" t="s">
        <v>10</v>
      </c>
      <c r="H5" s="3" t="s">
        <v>11</v>
      </c>
      <c r="I5" s="20" t="s">
        <v>12</v>
      </c>
      <c r="J5" s="21"/>
      <c r="K5" s="21"/>
      <c r="L5" s="18" t="s">
        <v>13</v>
      </c>
      <c r="M5" s="18"/>
      <c r="N5" s="18"/>
      <c r="O5" s="18"/>
      <c r="P5" s="18"/>
      <c r="Q5" s="18"/>
      <c r="R5" s="18" t="s">
        <v>14</v>
      </c>
      <c r="S5" s="18"/>
      <c r="T5" s="18" t="s">
        <v>15</v>
      </c>
      <c r="U5" s="18" t="s">
        <v>16</v>
      </c>
      <c r="V5" s="18" t="s">
        <v>17</v>
      </c>
      <c r="W5" s="18" t="s">
        <v>18</v>
      </c>
    </row>
    <row r="6" spans="1:23" s="1" customFormat="1" ht="27.75" customHeight="1" x14ac:dyDescent="0.15">
      <c r="A6" s="18"/>
      <c r="B6" s="18"/>
      <c r="C6" s="18"/>
      <c r="D6" s="18"/>
      <c r="E6" s="18"/>
      <c r="F6" s="18"/>
      <c r="G6" s="18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8"/>
      <c r="U6" s="18"/>
      <c r="V6" s="18"/>
      <c r="W6" s="18"/>
    </row>
    <row r="7" spans="1:23" s="1" customFormat="1" ht="66" customHeight="1" x14ac:dyDescent="0.15">
      <c r="A7" s="4">
        <v>1</v>
      </c>
      <c r="B7" s="3" t="s">
        <v>45</v>
      </c>
      <c r="C7" s="3" t="s">
        <v>48</v>
      </c>
      <c r="D7" s="3" t="s">
        <v>47</v>
      </c>
      <c r="E7" s="4" t="s">
        <v>50</v>
      </c>
      <c r="F7" s="14" t="s">
        <v>44</v>
      </c>
      <c r="G7" s="3" t="s">
        <v>43</v>
      </c>
      <c r="H7" s="3">
        <v>0.51</v>
      </c>
      <c r="I7" s="14" t="s">
        <v>29</v>
      </c>
      <c r="J7" s="12" t="s">
        <v>52</v>
      </c>
      <c r="K7" s="6">
        <f>M7/0.9</f>
        <v>142.80000000000001</v>
      </c>
      <c r="L7" s="3">
        <v>252000</v>
      </c>
      <c r="M7" s="7">
        <f>L7*H7/1000</f>
        <v>128.52000000000001</v>
      </c>
      <c r="N7" s="3">
        <v>40</v>
      </c>
      <c r="O7" s="3">
        <v>6300</v>
      </c>
      <c r="P7" s="3">
        <v>35</v>
      </c>
      <c r="Q7" s="3">
        <v>180</v>
      </c>
      <c r="R7" s="3">
        <v>252500</v>
      </c>
      <c r="S7" s="7">
        <f>R7*H7/1000</f>
        <v>128.77500000000001</v>
      </c>
      <c r="T7" s="15" t="s">
        <v>51</v>
      </c>
      <c r="U7" s="5" t="s">
        <v>49</v>
      </c>
      <c r="V7" s="13" t="s">
        <v>42</v>
      </c>
      <c r="W7" s="5" t="s">
        <v>30</v>
      </c>
    </row>
    <row r="8" spans="1:23" s="1" customFormat="1" ht="42" customHeight="1" x14ac:dyDescent="0.15">
      <c r="A8" s="20" t="s">
        <v>31</v>
      </c>
      <c r="B8" s="21"/>
      <c r="C8" s="21"/>
      <c r="D8" s="21"/>
      <c r="E8" s="21"/>
      <c r="F8" s="21"/>
      <c r="G8" s="22"/>
      <c r="H8" s="3"/>
      <c r="I8" s="3"/>
      <c r="J8" s="3"/>
      <c r="K8" s="7">
        <f>SUM(K7:K7)</f>
        <v>142.80000000000001</v>
      </c>
      <c r="L8" s="8">
        <f>SUM(L7:L7)</f>
        <v>252000</v>
      </c>
      <c r="M8" s="7">
        <f>SUM(M7:M7)</f>
        <v>128.52000000000001</v>
      </c>
      <c r="N8" s="3"/>
      <c r="O8" s="8">
        <f>SUM(O7:O7)</f>
        <v>6300</v>
      </c>
      <c r="P8" s="3"/>
      <c r="Q8" s="8">
        <f>SUM(Q7:Q7)</f>
        <v>180</v>
      </c>
      <c r="R8" s="8">
        <f>SUM(R7:R7)</f>
        <v>252500</v>
      </c>
      <c r="S8" s="7">
        <f>SUM(S7:S7)</f>
        <v>128.77500000000001</v>
      </c>
      <c r="T8" s="10"/>
      <c r="U8" s="3" t="s">
        <v>32</v>
      </c>
      <c r="V8" s="3"/>
      <c r="W8" s="5"/>
    </row>
    <row r="9" spans="1:23" ht="29.25" customHeight="1" x14ac:dyDescent="0.15">
      <c r="R9" s="11" t="s">
        <v>33</v>
      </c>
      <c r="U9" s="23"/>
      <c r="V9" s="23"/>
    </row>
    <row r="10" spans="1:23" s="1" customFormat="1" ht="19.5" customHeight="1" x14ac:dyDescent="0.15">
      <c r="B10" s="1" t="s">
        <v>34</v>
      </c>
      <c r="O10" s="9"/>
      <c r="S10"/>
      <c r="U10" s="23"/>
      <c r="V10" s="23"/>
    </row>
    <row r="11" spans="1:23" s="1" customFormat="1" ht="19.5" customHeight="1" x14ac:dyDescent="0.15">
      <c r="A11" s="1" t="s">
        <v>35</v>
      </c>
      <c r="B11" s="16" t="s">
        <v>36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s="1" customFormat="1" ht="19.5" customHeight="1" x14ac:dyDescent="0.15">
      <c r="A12" s="1" t="s">
        <v>37</v>
      </c>
      <c r="B12" s="16" t="s">
        <v>38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s="1" customFormat="1" ht="19.5" customHeight="1" x14ac:dyDescent="0.15">
      <c r="A13" s="1" t="s">
        <v>39</v>
      </c>
      <c r="B13" s="16" t="s">
        <v>40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42" customHeight="1" x14ac:dyDescent="0.15"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20.25" customHeight="1" x14ac:dyDescent="0.15">
      <c r="C15" s="16" t="s">
        <v>41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9"/>
      <c r="P15" s="19"/>
      <c r="Q15" s="19"/>
      <c r="R15" s="19"/>
      <c r="S15" s="19"/>
      <c r="T15" s="19"/>
      <c r="U15" s="19"/>
      <c r="V15" s="19"/>
      <c r="W15" s="19"/>
    </row>
    <row r="16" spans="1:23" x14ac:dyDescent="0.15">
      <c r="Q16" s="17">
        <v>46015</v>
      </c>
      <c r="R16" s="17"/>
      <c r="S16" s="17"/>
      <c r="T16" s="17"/>
    </row>
  </sheetData>
  <mergeCells count="27">
    <mergeCell ref="A2:W2"/>
    <mergeCell ref="A4:B4"/>
    <mergeCell ref="H4:I4"/>
    <mergeCell ref="O4:P4"/>
    <mergeCell ref="U4:W4"/>
    <mergeCell ref="I5:K5"/>
    <mergeCell ref="L5:Q5"/>
    <mergeCell ref="R5:S5"/>
    <mergeCell ref="A8:G8"/>
    <mergeCell ref="B11:W11"/>
    <mergeCell ref="U9:V10"/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</mergeCells>
  <phoneticPr fontId="9" type="noConversion"/>
  <pageMargins left="0.7" right="0.7" top="0.75" bottom="0.75" header="0.3" footer="0.3"/>
  <pageSetup paperSize="9" scale="9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2025-12-24T08:13:13Z</cp:lastPrinted>
  <dcterms:created xsi:type="dcterms:W3CDTF">2006-09-13T11:21:00Z</dcterms:created>
  <dcterms:modified xsi:type="dcterms:W3CDTF">2026-01-26T02:04:29Z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C80C8A2C776849D1BF3C314B36101334_13</vt:lpwstr>
  </property>
  <property fmtid="{D5CDD505-2E9C-101B-9397-08002B2CF9AE}" pid="3" name="KSOProductBuildVer">
    <vt:lpwstr>2052-12.1.0.18608</vt:lpwstr>
  </property>
</Properties>
</file>