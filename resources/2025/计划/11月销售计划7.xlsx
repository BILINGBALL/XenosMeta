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593DB24C-DE79-4B1F-B954-5EF64B3745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Q9" i="1"/>
  <c r="O9" i="1"/>
  <c r="M9" i="1"/>
  <c r="K9" i="1"/>
  <c r="R8" i="1"/>
  <c r="R9" i="1" s="1"/>
  <c r="L8" i="1"/>
  <c r="M8" i="1" s="1"/>
  <c r="S7" i="1"/>
  <c r="M7" i="1"/>
  <c r="K7" i="1" s="1"/>
  <c r="S8" i="1" l="1"/>
  <c r="L9" i="1"/>
</calcChain>
</file>

<file path=xl/sharedStrings.xml><?xml version="1.0" encoding="utf-8"?>
<sst xmlns="http://schemas.openxmlformats.org/spreadsheetml/2006/main" count="77" uniqueCount="68">
  <si>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</si>
  <si>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</si>
  <si>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</si>
  <si>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</si>
  <si>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</si>
  <si>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</si>
  <si>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</si>
  <si>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</si>
  <si>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</si>
  <si>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</si>
  <si>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标准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</si>
  <si>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</si>
  <si>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</si>
  <si>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</si>
  <si>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</si>
  <si>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</si>
  <si>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</si>
  <si>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</si>
  <si>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</si>
  <si>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</si>
  <si>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</si>
  <si>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</si>
  <si>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</si>
  <si>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</si>
  <si>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</si>
  <si>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</si>
  <si>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</si>
  <si>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</si>
  <si>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</si>
  <si>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</si>
  <si>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鹰嘴螺栓</t>
  </si>
  <si>
    <t>M20X100</t>
  </si>
  <si>
    <t>5.6级</t>
  </si>
  <si>
    <t>SYLS-03</t>
  </si>
  <si>
    <t>35#</t>
  </si>
  <si>
    <t>φ26</t>
  </si>
  <si>
    <t>见下图</t>
  </si>
  <si>
    <t>热镀锌</t>
  </si>
  <si>
    <t>1/4纸箱
+
欧规托盘（80cmX120cm）</t>
  </si>
  <si>
    <t>螺母</t>
  </si>
  <si>
    <t>DIN934
M20</t>
  </si>
  <si>
    <t>DIN934 
5级
扩孔
倒角小一点，不能太大</t>
  </si>
  <si>
    <t>SYLM-03</t>
  </si>
  <si>
    <t>08/Q195</t>
  </si>
  <si>
    <t>外购</t>
  </si>
  <si>
    <t>与以上螺栓旋配包装</t>
  </si>
  <si>
    <t>合计</t>
  </si>
  <si>
    <t>根据图纸</t>
  </si>
  <si>
    <t>套</t>
  </si>
  <si>
    <t>包装待定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</si>
  <si>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</si>
  <si>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</si>
  <si>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</si>
  <si>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</si>
  <si>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</si>
  <si>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r>
      <t>生产部门按生产工艺生产，加强自检，严格质量管理，按照合同数量可以有</t>
    </r>
    <r>
      <rPr>
        <b/>
        <sz val="10"/>
        <color theme="1"/>
        <rFont val="宋体"/>
        <family val="3"/>
        <charset val="134"/>
        <scheme val="minor"/>
      </rPr>
      <t>+8%公差，不能短缺</t>
    </r>
    <r>
      <rPr>
        <sz val="10"/>
        <color theme="1"/>
        <rFont val="宋体"/>
        <family val="3"/>
        <charset val="134"/>
        <scheme val="minor"/>
      </rPr>
      <t>。</t>
    </r>
  </si>
  <si>
    <t>3、</t>
  </si>
  <si>
    <t>品管部负责办理质量证明书，检测报告及相关数据。</t>
  </si>
  <si>
    <t>4、</t>
  </si>
  <si>
    <t>生产前通知客户检测人员检测首件产品。需提供5套样品供确认。</t>
  </si>
  <si>
    <t>5、</t>
  </si>
  <si>
    <t>包装：1/4纸箱+欧规托盘（80cmX120cm）免熏蒸胶合板（必须符合ISPM-15要求），托盘务必坚固，需含上盖及四边柱脚，避免货物扭曲。</t>
  </si>
  <si>
    <t>分发：总经理、总经办、品管部、生产部</t>
  </si>
  <si>
    <t>251124-1</t>
    <phoneticPr fontId="12" type="noConversion"/>
  </si>
  <si>
    <t>251124-2</t>
  </si>
  <si>
    <t>SY20251122-01</t>
    <phoneticPr fontId="12" type="noConversion"/>
  </si>
  <si>
    <t>2025-12-28</t>
    <phoneticPr fontId="12" type="noConversion"/>
  </si>
  <si>
    <t>11 月  份  销  售  计  划  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</si>
</sst>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.000_ "/>
    <numFmt numFmtId="178" formatCode="0.0_ "/>
    <numFmt numFmtId="179" formatCode="0;_愇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8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11</xdr:row>
      <xdr:rowOff>76200</xdr:rowOff>
    </xdr:from>
    <xdr:to>
      <xdr:col>21</xdr:col>
      <xdr:colOff>361950</xdr:colOff>
      <xdr:row>15</xdr:row>
      <xdr:rowOff>142875</xdr:rowOff>
    </xdr:to>
    <xdr:pic>
      <xdr:nvPicPr>
        <xdr:cNvPr id="2" name="图片 1" descr="微信截图_20230713141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4016375"/>
          <a:ext cx="1209675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5" workbookViewId="0">
      <selection activeCell="T7" sqref="T7:T8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8.375" style="2" customWidth="1"/>
    <col min="7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7.5" style="2" customWidth="1"/>
    <col min="12" max="12" width="5.625" style="2" customWidth="1"/>
    <col min="13" max="13" width="7.12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9" width="5.625" style="2" customWidth="1"/>
    <col min="20" max="20" width="6.875" style="2" customWidth="1"/>
    <col min="21" max="21" width="4.75" style="2" customWidth="1"/>
    <col min="22" max="23" width="7.25" style="2" customWidth="1"/>
    <col min="24" max="16384" width="9" style="2"/>
  </cols>
  <sheetData>
    <row r="2" spans="1:23" ht="33" customHeight="1" x14ac:dyDescent="0.15">
      <c r="A2" s="39" t="s">
        <v>67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4" spans="1:23" s="1" customFormat="1" ht="21" customHeight="1" x14ac:dyDescent="0.15">
      <c r="B4" s="1" t="s">
        <v>0</v>
      </c>
      <c r="C4" s="1" t="s">
        <v>1</v>
      </c>
      <c r="H4" s="40" t="s">
        <v>2</v>
      </c>
      <c r="I4" s="40"/>
      <c r="O4" s="40" t="s">
        <v>3</v>
      </c>
      <c r="P4" s="40"/>
      <c r="U4" s="41" t="s">
        <v>4</v>
      </c>
      <c r="V4" s="42"/>
      <c r="W4" s="42"/>
    </row>
    <row r="5" spans="1:23" s="1" customFormat="1" ht="27" customHeight="1" x14ac:dyDescent="0.15">
      <c r="A5" s="25" t="s">
        <v>5</v>
      </c>
      <c r="B5" s="25" t="s">
        <v>6</v>
      </c>
      <c r="C5" s="25" t="s">
        <v>7</v>
      </c>
      <c r="D5" s="25" t="s">
        <v>8</v>
      </c>
      <c r="E5" s="25" t="s">
        <v>9</v>
      </c>
      <c r="F5" s="25" t="s">
        <v>10</v>
      </c>
      <c r="G5" s="25" t="s">
        <v>11</v>
      </c>
      <c r="H5" s="3" t="s">
        <v>12</v>
      </c>
      <c r="I5" s="43" t="s">
        <v>13</v>
      </c>
      <c r="J5" s="44"/>
      <c r="K5" s="44"/>
      <c r="L5" s="25" t="s">
        <v>14</v>
      </c>
      <c r="M5" s="25"/>
      <c r="N5" s="25"/>
      <c r="O5" s="25"/>
      <c r="P5" s="25"/>
      <c r="Q5" s="25"/>
      <c r="R5" s="25" t="s">
        <v>15</v>
      </c>
      <c r="S5" s="25"/>
      <c r="T5" s="25" t="s">
        <v>16</v>
      </c>
      <c r="U5" s="25" t="s">
        <v>17</v>
      </c>
      <c r="V5" s="25" t="s">
        <v>18</v>
      </c>
      <c r="W5" s="25" t="s">
        <v>19</v>
      </c>
    </row>
    <row r="6" spans="1:23" s="1" customFormat="1" ht="27.75" customHeight="1" x14ac:dyDescent="0.15">
      <c r="A6" s="25"/>
      <c r="B6" s="25"/>
      <c r="C6" s="25"/>
      <c r="D6" s="25"/>
      <c r="E6" s="25"/>
      <c r="F6" s="25"/>
      <c r="G6" s="25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5"/>
      <c r="U6" s="25"/>
      <c r="V6" s="25"/>
      <c r="W6" s="25"/>
    </row>
    <row r="7" spans="1:23" s="1" customFormat="1" ht="41.25" customHeight="1" x14ac:dyDescent="0.15">
      <c r="A7" s="3">
        <v>1</v>
      </c>
      <c r="B7" s="3" t="s">
        <v>30</v>
      </c>
      <c r="C7" s="3" t="s">
        <v>31</v>
      </c>
      <c r="D7" s="21" t="s">
        <v>63</v>
      </c>
      <c r="E7" s="28" t="s">
        <v>65</v>
      </c>
      <c r="F7" s="3" t="s">
        <v>32</v>
      </c>
      <c r="G7" s="3" t="s">
        <v>33</v>
      </c>
      <c r="H7" s="4">
        <v>0.30299999999999999</v>
      </c>
      <c r="I7" s="10" t="s">
        <v>34</v>
      </c>
      <c r="J7" s="10" t="s">
        <v>35</v>
      </c>
      <c r="K7" s="11">
        <f>M7/0.88</f>
        <v>6.8863636363636358</v>
      </c>
      <c r="L7" s="3">
        <v>20000</v>
      </c>
      <c r="M7" s="12">
        <f>L7*H7/1000</f>
        <v>6.06</v>
      </c>
      <c r="N7" s="13">
        <v>60</v>
      </c>
      <c r="O7" s="14">
        <v>334</v>
      </c>
      <c r="P7" s="3">
        <v>40</v>
      </c>
      <c r="Q7" s="3">
        <v>9</v>
      </c>
      <c r="R7" s="3">
        <v>20100</v>
      </c>
      <c r="S7" s="17">
        <f>H7*R7/1000</f>
        <v>6.0903</v>
      </c>
      <c r="T7" s="35" t="s">
        <v>66</v>
      </c>
      <c r="U7" s="3" t="s">
        <v>36</v>
      </c>
      <c r="V7" s="5" t="s">
        <v>37</v>
      </c>
      <c r="W7" s="26" t="s">
        <v>38</v>
      </c>
    </row>
    <row r="8" spans="1:23" s="1" customFormat="1" ht="80.099999999999994" customHeight="1" x14ac:dyDescent="0.15">
      <c r="A8" s="3">
        <v>2</v>
      </c>
      <c r="B8" s="3" t="s">
        <v>39</v>
      </c>
      <c r="C8" s="3" t="s">
        <v>40</v>
      </c>
      <c r="D8" s="21" t="s">
        <v>64</v>
      </c>
      <c r="E8" s="29"/>
      <c r="F8" s="3" t="s">
        <v>41</v>
      </c>
      <c r="G8" s="3" t="s">
        <v>42</v>
      </c>
      <c r="H8" s="4">
        <v>5.2999999999999999E-2</v>
      </c>
      <c r="I8" s="10" t="s">
        <v>43</v>
      </c>
      <c r="J8" s="30" t="s">
        <v>44</v>
      </c>
      <c r="K8" s="31"/>
      <c r="L8" s="3">
        <f>L7</f>
        <v>20000</v>
      </c>
      <c r="M8" s="12">
        <f>L8*H8/1000</f>
        <v>1.06</v>
      </c>
      <c r="N8" s="32" t="s">
        <v>45</v>
      </c>
      <c r="O8" s="33"/>
      <c r="P8" s="33"/>
      <c r="Q8" s="34"/>
      <c r="R8" s="3">
        <f>R7</f>
        <v>20100</v>
      </c>
      <c r="S8" s="17">
        <f t="shared" ref="S8" si="0">H8*R8/1000</f>
        <v>1.0652999999999999</v>
      </c>
      <c r="T8" s="36"/>
      <c r="U8" s="3">
        <v>5</v>
      </c>
      <c r="V8" s="5" t="s">
        <v>37</v>
      </c>
      <c r="W8" s="27"/>
    </row>
    <row r="9" spans="1:23" s="1" customFormat="1" ht="16.5" customHeight="1" x14ac:dyDescent="0.15">
      <c r="A9" s="32" t="s">
        <v>46</v>
      </c>
      <c r="B9" s="34"/>
      <c r="C9" s="26"/>
      <c r="D9" s="26"/>
      <c r="E9" s="26"/>
      <c r="F9" s="5"/>
      <c r="G9" s="26"/>
      <c r="H9" s="26"/>
      <c r="I9" s="26"/>
      <c r="J9" s="26"/>
      <c r="K9" s="15">
        <f>K7</f>
        <v>6.8863636363636358</v>
      </c>
      <c r="L9" s="5">
        <f>L8</f>
        <v>20000</v>
      </c>
      <c r="M9" s="15">
        <f>M7+M8</f>
        <v>7.1199999999999992</v>
      </c>
      <c r="N9" s="5"/>
      <c r="O9" s="16">
        <f>O7</f>
        <v>334</v>
      </c>
      <c r="P9" s="5"/>
      <c r="Q9" s="16">
        <f>Q7</f>
        <v>9</v>
      </c>
      <c r="R9" s="5">
        <f>R8</f>
        <v>20100</v>
      </c>
      <c r="S9" s="15">
        <f>S7+S8</f>
        <v>7.1555999999999997</v>
      </c>
      <c r="T9" s="5"/>
      <c r="U9" s="26" t="s">
        <v>47</v>
      </c>
      <c r="V9" s="5"/>
      <c r="W9" s="5"/>
    </row>
    <row r="10" spans="1:23" s="1" customFormat="1" ht="16.5" customHeight="1" x14ac:dyDescent="0.15">
      <c r="A10" s="37"/>
      <c r="B10" s="38"/>
      <c r="C10" s="27"/>
      <c r="D10" s="27"/>
      <c r="E10" s="27"/>
      <c r="F10" s="6"/>
      <c r="G10" s="27"/>
      <c r="H10" s="27"/>
      <c r="I10" s="27"/>
      <c r="J10" s="27"/>
      <c r="K10" s="6" t="s">
        <v>25</v>
      </c>
      <c r="L10" s="6" t="s">
        <v>48</v>
      </c>
      <c r="M10" s="6" t="s">
        <v>25</v>
      </c>
      <c r="N10" s="6"/>
      <c r="O10" s="6" t="s">
        <v>27</v>
      </c>
      <c r="P10" s="6"/>
      <c r="Q10" s="6" t="s">
        <v>29</v>
      </c>
      <c r="R10" s="6" t="s">
        <v>48</v>
      </c>
      <c r="S10" s="18" t="s">
        <v>25</v>
      </c>
      <c r="T10" s="6"/>
      <c r="U10" s="27"/>
      <c r="V10" s="6"/>
      <c r="W10" s="6"/>
    </row>
    <row r="11" spans="1:23" ht="20.25" x14ac:dyDescent="0.15">
      <c r="R11" s="19" t="s">
        <v>49</v>
      </c>
      <c r="U11" s="20"/>
    </row>
    <row r="12" spans="1:23" s="1" customFormat="1" ht="19.5" customHeight="1" x14ac:dyDescent="0.15">
      <c r="B12" s="1" t="s">
        <v>50</v>
      </c>
    </row>
    <row r="13" spans="1:23" s="1" customFormat="1" ht="19.5" customHeight="1" x14ac:dyDescent="0.15">
      <c r="A13" s="1" t="s">
        <v>51</v>
      </c>
      <c r="B13" s="22" t="s">
        <v>52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s="1" customFormat="1" ht="19.5" customHeight="1" x14ac:dyDescent="0.15">
      <c r="B14" s="22" t="s">
        <v>53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s="1" customFormat="1" ht="19.5" customHeight="1" x14ac:dyDescent="0.15">
      <c r="A15" s="1" t="s">
        <v>54</v>
      </c>
      <c r="B15" s="22" t="s">
        <v>55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s="1" customFormat="1" ht="19.5" customHeight="1" x14ac:dyDescent="0.15">
      <c r="A16" s="1" t="s">
        <v>56</v>
      </c>
      <c r="B16" s="22" t="s">
        <v>57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s="1" customFormat="1" ht="19.5" customHeight="1" x14ac:dyDescent="0.15">
      <c r="A17" s="1" t="s">
        <v>58</v>
      </c>
      <c r="B17" s="8" t="s">
        <v>59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27.75" customHeight="1" x14ac:dyDescent="0.15">
      <c r="A18" s="1" t="s">
        <v>60</v>
      </c>
      <c r="B18" s="9" t="s">
        <v>61</v>
      </c>
    </row>
    <row r="19" spans="1:23" ht="20.25" customHeight="1" x14ac:dyDescent="0.15">
      <c r="C19" s="23" t="s">
        <v>62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23" ht="22.5" x14ac:dyDescent="0.15">
      <c r="R20" s="24">
        <v>45985</v>
      </c>
      <c r="S20" s="24"/>
      <c r="T20" s="24"/>
      <c r="U20" s="24"/>
      <c r="V20" s="24"/>
      <c r="W20" s="24"/>
    </row>
  </sheetData>
  <mergeCells count="38">
    <mergeCell ref="A2:W2"/>
    <mergeCell ref="H4:I4"/>
    <mergeCell ref="O4:P4"/>
    <mergeCell ref="U4:W4"/>
    <mergeCell ref="I5:K5"/>
    <mergeCell ref="L5:Q5"/>
    <mergeCell ref="R5:S5"/>
    <mergeCell ref="T5:T6"/>
    <mergeCell ref="U5:U6"/>
    <mergeCell ref="V5:V6"/>
    <mergeCell ref="W5:W6"/>
    <mergeCell ref="J8:K8"/>
    <mergeCell ref="N8:Q8"/>
    <mergeCell ref="B13:W13"/>
    <mergeCell ref="B14:W14"/>
    <mergeCell ref="B15:W15"/>
    <mergeCell ref="I9:I10"/>
    <mergeCell ref="J9:J10"/>
    <mergeCell ref="T7:T8"/>
    <mergeCell ref="U9:U10"/>
    <mergeCell ref="W7:W8"/>
    <mergeCell ref="A9:B10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7:E8"/>
    <mergeCell ref="E9:E10"/>
    <mergeCell ref="F5:F6"/>
    <mergeCell ref="G5:G6"/>
    <mergeCell ref="G9:G10"/>
    <mergeCell ref="H9:H10"/>
  </mergeCells>
  <phoneticPr fontId="12" type="noConversion"/>
  <pageMargins left="0.7" right="0.7" top="0.75" bottom="0.75" header="0.3" footer="0.3"/>
  <pageSetup paperSize="9" scale="90" orientation="landscape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2025-11-24T05:33:38Z</cp:lastPrinted>
  <dcterms:created xsi:type="dcterms:W3CDTF">2006-09-13T11:21:00Z</dcterms:created>
  <dcterms:modified xsi:type="dcterms:W3CDTF">2025-11-24T05:34:15Z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E19DC432049B40E0B0B8DFEA7CD32100_13</vt:lpwstr>
  </property>
  <property fmtid="{D5CDD505-2E9C-101B-9397-08002B2CF9AE}" pid="3" name="KSOProductBuildVer">
    <vt:lpwstr>2052-11.1.0.14309</vt:lpwstr>
  </property>
</Properties>
</file>