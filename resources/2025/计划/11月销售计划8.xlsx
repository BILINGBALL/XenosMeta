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98815C3-636A-4323-9FAC-DE5821236F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O9" i="1"/>
  <c r="R8" i="1"/>
  <c r="R9" i="1" s="1"/>
  <c r="L8" i="1"/>
  <c r="M8" i="1" s="1"/>
  <c r="S7" i="1"/>
  <c r="M7" i="1"/>
  <c r="K7" i="1" s="1"/>
  <c r="K9" i="1" l="1"/>
  <c r="M9" i="1"/>
  <c r="S8" i="1"/>
  <c r="S9" i="1" s="1"/>
  <c r="L9" i="1"/>
</calcChain>
</file>

<file path=xl/sharedStrings.xml><?xml version="1.0" encoding="utf-8"?>
<sst xmlns="http://schemas.openxmlformats.org/spreadsheetml/2006/main" count="70" uniqueCount="62">
  <si>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</si>
  <si>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</si>
  <si>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</si>
  <si>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</si>
  <si>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</si>
  <si>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</si>
  <si>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</si>
  <si>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</si>
  <si>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</si>
  <si>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</si>
  <si>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标准</t>
  </si>
  <si>
    <t>图纸号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</si>
  <si>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</si>
  <si>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</si>
  <si>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</si>
  <si>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</si>
  <si>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</si>
  <si>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</si>
  <si>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</si>
  <si>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</si>
  <si>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</si>
  <si>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</si>
  <si>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</si>
  <si>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</si>
  <si>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</si>
  <si>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</si>
  <si>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</si>
  <si>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</si>
  <si>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</si>
  <si>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</si>
  <si>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5.6级</t>
  </si>
  <si>
    <t>外购</t>
  </si>
  <si>
    <t>合计</t>
  </si>
  <si>
    <t>根据图纸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</si>
  <si>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</si>
  <si>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</si>
  <si>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</si>
  <si>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</si>
  <si>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</si>
  <si>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</si>
  <si>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</si>
  <si>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</si>
  <si>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</si>
  <si>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11 月  份  销  售  计  划  8</t>
    <phoneticPr fontId="10" type="noConversion"/>
  </si>
  <si>
    <t>螺纹道钉</t>
    <phoneticPr fontId="10" type="noConversion"/>
  </si>
  <si>
    <t>平垫圈</t>
    <phoneticPr fontId="10" type="noConversion"/>
  </si>
  <si>
    <t>23X160.5</t>
    <phoneticPr fontId="10" type="noConversion"/>
  </si>
  <si>
    <t>251128-1</t>
    <phoneticPr fontId="10" type="noConversion"/>
  </si>
  <si>
    <t>251128-2</t>
  </si>
  <si>
    <t>PC25-02633</t>
    <phoneticPr fontId="10" type="noConversion"/>
  </si>
  <si>
    <t>CV03.00030.00</t>
    <phoneticPr fontId="10" type="noConversion"/>
  </si>
  <si>
    <t>Q235</t>
    <phoneticPr fontId="10" type="noConversion"/>
  </si>
  <si>
    <t>35K</t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</si>
  <si>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10" type="noConversion"/>
  </si>
  <si>
    <t>2025-12-15</t>
    <phoneticPr fontId="10" type="noConversion"/>
  </si>
  <si>
    <t>见图纸</t>
    <phoneticPr fontId="10" type="noConversion"/>
  </si>
  <si>
    <t>编织袋+欧式托盘</t>
    <phoneticPr fontId="10" type="noConversion"/>
  </si>
  <si>
    <t>铆垫圈</t>
    <phoneticPr fontId="10" type="noConversion"/>
  </si>
  <si>
    <r>
      <t>生产部门按生产工艺生产，加强自检，严格质量管理</t>
    </r>
    <r>
      <rPr>
        <sz val="10"/>
        <color theme="1"/>
        <rFont val="宋体"/>
        <family val="3"/>
        <charset val="134"/>
        <scheme val="minor"/>
      </rPr>
      <t>。</t>
    </r>
    <phoneticPr fontId="10" type="noConversion"/>
  </si>
  <si>
    <t>4、</t>
    <phoneticPr fontId="10" type="noConversion"/>
  </si>
  <si>
    <t>包装：编织袋+欧式托盘。</t>
    <phoneticPr fontId="10" type="noConversion"/>
  </si>
  <si>
    <r>
      <t>电镀白锌7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</si>
</sst>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.000_ "/>
    <numFmt numFmtId="178" formatCode="0.0_ "/>
    <numFmt numFmtId="179" formatCode="0;_愇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178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6" fontId="9" fillId="0" borderId="0" xfId="0" applyNumberFormat="1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5" workbookViewId="0">
      <selection activeCell="L12" sqref="L12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8.375" style="2" customWidth="1"/>
    <col min="7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7.5" style="2" customWidth="1"/>
    <col min="12" max="12" width="5.625" style="2" customWidth="1"/>
    <col min="13" max="13" width="7.12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9" width="5.625" style="2" customWidth="1"/>
    <col min="20" max="20" width="6.875" style="2" customWidth="1"/>
    <col min="21" max="21" width="4.75" style="2" customWidth="1"/>
    <col min="22" max="23" width="7.25" style="2" customWidth="1"/>
    <col min="24" max="16384" width="9" style="2"/>
  </cols>
  <sheetData>
    <row r="2" spans="1:23" ht="33" customHeight="1" x14ac:dyDescent="0.15">
      <c r="A2" s="41" t="s">
        <v>43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4" spans="1:23" s="1" customFormat="1" ht="21" customHeight="1" x14ac:dyDescent="0.15">
      <c r="B4" s="1" t="s">
        <v>0</v>
      </c>
      <c r="C4" s="1" t="s">
        <v>1</v>
      </c>
      <c r="H4" s="42" t="s">
        <v>2</v>
      </c>
      <c r="I4" s="42"/>
      <c r="O4" s="42" t="s">
        <v>3</v>
      </c>
      <c r="P4" s="42"/>
      <c r="U4" s="43" t="s">
        <v>4</v>
      </c>
      <c r="V4" s="44"/>
      <c r="W4" s="44"/>
    </row>
    <row r="5" spans="1:23" s="1" customFormat="1" ht="27" customHeight="1" x14ac:dyDescent="0.15">
      <c r="A5" s="24" t="s">
        <v>5</v>
      </c>
      <c r="B5" s="24" t="s">
        <v>6</v>
      </c>
      <c r="C5" s="24" t="s">
        <v>7</v>
      </c>
      <c r="D5" s="24" t="s">
        <v>8</v>
      </c>
      <c r="E5" s="24" t="s">
        <v>9</v>
      </c>
      <c r="F5" s="24" t="s">
        <v>10</v>
      </c>
      <c r="G5" s="24" t="s">
        <v>11</v>
      </c>
      <c r="H5" s="3" t="s">
        <v>12</v>
      </c>
      <c r="I5" s="45" t="s">
        <v>13</v>
      </c>
      <c r="J5" s="46"/>
      <c r="K5" s="46"/>
      <c r="L5" s="24" t="s">
        <v>14</v>
      </c>
      <c r="M5" s="24"/>
      <c r="N5" s="24"/>
      <c r="O5" s="24"/>
      <c r="P5" s="24"/>
      <c r="Q5" s="24"/>
      <c r="R5" s="24" t="s">
        <v>15</v>
      </c>
      <c r="S5" s="24"/>
      <c r="T5" s="24" t="s">
        <v>16</v>
      </c>
      <c r="U5" s="24" t="s">
        <v>17</v>
      </c>
      <c r="V5" s="24" t="s">
        <v>18</v>
      </c>
      <c r="W5" s="24" t="s">
        <v>19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24"/>
      <c r="U6" s="24"/>
      <c r="V6" s="24"/>
      <c r="W6" s="24"/>
    </row>
    <row r="7" spans="1:23" s="1" customFormat="1" ht="57.75" customHeight="1" x14ac:dyDescent="0.15">
      <c r="A7" s="3">
        <v>1</v>
      </c>
      <c r="B7" s="17" t="s">
        <v>44</v>
      </c>
      <c r="C7" s="17" t="s">
        <v>46</v>
      </c>
      <c r="D7" s="16" t="s">
        <v>47</v>
      </c>
      <c r="E7" s="27" t="s">
        <v>49</v>
      </c>
      <c r="F7" s="3" t="s">
        <v>30</v>
      </c>
      <c r="G7" s="36" t="s">
        <v>50</v>
      </c>
      <c r="H7" s="4">
        <v>0.55500000000000005</v>
      </c>
      <c r="I7" s="18" t="s">
        <v>52</v>
      </c>
      <c r="J7" s="19" t="s">
        <v>53</v>
      </c>
      <c r="K7" s="7">
        <f>M7/0.92</f>
        <v>16.046739130434784</v>
      </c>
      <c r="L7" s="3">
        <v>26600</v>
      </c>
      <c r="M7" s="8">
        <f>L7*H7/1000</f>
        <v>14.763000000000002</v>
      </c>
      <c r="N7" s="17">
        <v>35</v>
      </c>
      <c r="O7" s="9">
        <v>760</v>
      </c>
      <c r="P7" s="3">
        <v>35</v>
      </c>
      <c r="Q7" s="3">
        <v>22</v>
      </c>
      <c r="R7" s="3">
        <v>26650</v>
      </c>
      <c r="S7" s="12">
        <f>H7*R7/1000</f>
        <v>14.790750000000001</v>
      </c>
      <c r="T7" s="34" t="s">
        <v>54</v>
      </c>
      <c r="U7" s="17" t="s">
        <v>55</v>
      </c>
      <c r="V7" s="36" t="s">
        <v>61</v>
      </c>
      <c r="W7" s="36" t="s">
        <v>56</v>
      </c>
    </row>
    <row r="8" spans="1:23" s="1" customFormat="1" ht="57.75" customHeight="1" x14ac:dyDescent="0.15">
      <c r="A8" s="3">
        <v>2</v>
      </c>
      <c r="B8" s="17" t="s">
        <v>45</v>
      </c>
      <c r="C8" s="3">
        <v>24</v>
      </c>
      <c r="D8" s="16" t="s">
        <v>48</v>
      </c>
      <c r="E8" s="28"/>
      <c r="F8" s="3"/>
      <c r="G8" s="40"/>
      <c r="H8" s="4">
        <v>3.7999999999999999E-2</v>
      </c>
      <c r="I8" s="18" t="s">
        <v>51</v>
      </c>
      <c r="J8" s="29" t="s">
        <v>31</v>
      </c>
      <c r="K8" s="30"/>
      <c r="L8" s="3">
        <f>L7</f>
        <v>26600</v>
      </c>
      <c r="M8" s="8">
        <f>L8*H8/1000</f>
        <v>1.0107999999999999</v>
      </c>
      <c r="N8" s="31" t="s">
        <v>57</v>
      </c>
      <c r="O8" s="32"/>
      <c r="P8" s="32"/>
      <c r="Q8" s="33"/>
      <c r="R8" s="3">
        <f>R7</f>
        <v>26650</v>
      </c>
      <c r="S8" s="12">
        <f t="shared" ref="S8" si="0">H8*R8/1000</f>
        <v>1.0126999999999999</v>
      </c>
      <c r="T8" s="35"/>
      <c r="U8" s="3"/>
      <c r="V8" s="40"/>
      <c r="W8" s="26"/>
    </row>
    <row r="9" spans="1:23" s="1" customFormat="1" ht="16.5" customHeight="1" x14ac:dyDescent="0.15">
      <c r="A9" s="37" t="s">
        <v>32</v>
      </c>
      <c r="B9" s="33"/>
      <c r="C9" s="25"/>
      <c r="D9" s="25"/>
      <c r="E9" s="25"/>
      <c r="F9" s="5"/>
      <c r="G9" s="25"/>
      <c r="H9" s="25"/>
      <c r="I9" s="25"/>
      <c r="J9" s="25"/>
      <c r="K9" s="10">
        <f>K7</f>
        <v>16.046739130434784</v>
      </c>
      <c r="L9" s="5">
        <f>L8</f>
        <v>26600</v>
      </c>
      <c r="M9" s="10">
        <f>M7+M8</f>
        <v>15.773800000000001</v>
      </c>
      <c r="N9" s="5"/>
      <c r="O9" s="11">
        <f>O7</f>
        <v>760</v>
      </c>
      <c r="P9" s="5"/>
      <c r="Q9" s="11">
        <f>Q7</f>
        <v>22</v>
      </c>
      <c r="R9" s="5">
        <f>R8</f>
        <v>26650</v>
      </c>
      <c r="S9" s="10">
        <f>S7+S8</f>
        <v>15.803450000000002</v>
      </c>
      <c r="T9" s="5"/>
      <c r="U9" s="25" t="s">
        <v>33</v>
      </c>
      <c r="V9" s="5"/>
      <c r="W9" s="5"/>
    </row>
    <row r="10" spans="1:23" s="1" customFormat="1" ht="16.5" customHeight="1" x14ac:dyDescent="0.15">
      <c r="A10" s="38"/>
      <c r="B10" s="39"/>
      <c r="C10" s="26"/>
      <c r="D10" s="26"/>
      <c r="E10" s="26"/>
      <c r="F10" s="6"/>
      <c r="G10" s="26"/>
      <c r="H10" s="26"/>
      <c r="I10" s="26"/>
      <c r="J10" s="26"/>
      <c r="K10" s="6" t="s">
        <v>25</v>
      </c>
      <c r="L10" s="6" t="s">
        <v>34</v>
      </c>
      <c r="M10" s="6" t="s">
        <v>25</v>
      </c>
      <c r="N10" s="6"/>
      <c r="O10" s="6" t="s">
        <v>27</v>
      </c>
      <c r="P10" s="6"/>
      <c r="Q10" s="6" t="s">
        <v>29</v>
      </c>
      <c r="R10" s="6" t="s">
        <v>34</v>
      </c>
      <c r="S10" s="13" t="s">
        <v>25</v>
      </c>
      <c r="T10" s="6"/>
      <c r="U10" s="26"/>
      <c r="V10" s="6"/>
      <c r="W10" s="6"/>
    </row>
    <row r="11" spans="1:23" ht="20.25" x14ac:dyDescent="0.15">
      <c r="R11" s="14"/>
      <c r="U11" s="15"/>
    </row>
    <row r="12" spans="1:23" s="1" customFormat="1" ht="19.5" customHeight="1" x14ac:dyDescent="0.15">
      <c r="B12" s="1" t="s">
        <v>35</v>
      </c>
    </row>
    <row r="13" spans="1:23" s="1" customFormat="1" ht="19.5" customHeight="1" x14ac:dyDescent="0.15">
      <c r="A13" s="1" t="s">
        <v>36</v>
      </c>
      <c r="B13" s="21" t="s">
        <v>37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B14" s="21" t="s">
        <v>38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s="1" customFormat="1" ht="19.5" customHeight="1" x14ac:dyDescent="0.15">
      <c r="A15" s="1" t="s">
        <v>39</v>
      </c>
      <c r="B15" s="22" t="s">
        <v>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s="1" customFormat="1" ht="19.5" customHeight="1" x14ac:dyDescent="0.15">
      <c r="A16" s="1" t="s">
        <v>40</v>
      </c>
      <c r="B16" s="21" t="s">
        <v>41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ht="27.75" customHeight="1" x14ac:dyDescent="0.15">
      <c r="A17" s="1" t="s">
        <v>59</v>
      </c>
      <c r="B17" s="20" t="s">
        <v>60</v>
      </c>
    </row>
    <row r="18" spans="1:23" ht="20.25" customHeight="1" x14ac:dyDescent="0.15">
      <c r="C18" s="22" t="s">
        <v>42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23" ht="22.5" x14ac:dyDescent="0.15">
      <c r="R19" s="23">
        <v>45989</v>
      </c>
      <c r="S19" s="23"/>
      <c r="T19" s="23"/>
      <c r="U19" s="23"/>
      <c r="V19" s="23"/>
      <c r="W19" s="23"/>
    </row>
  </sheetData>
  <mergeCells count="40">
    <mergeCell ref="A2:W2"/>
    <mergeCell ref="H4:I4"/>
    <mergeCell ref="O4:P4"/>
    <mergeCell ref="U4:W4"/>
    <mergeCell ref="I5:K5"/>
    <mergeCell ref="L5:Q5"/>
    <mergeCell ref="R5:S5"/>
    <mergeCell ref="T5:T6"/>
    <mergeCell ref="U5:U6"/>
    <mergeCell ref="V5:V6"/>
    <mergeCell ref="W5:W6"/>
    <mergeCell ref="J8:K8"/>
    <mergeCell ref="N8:Q8"/>
    <mergeCell ref="B13:W13"/>
    <mergeCell ref="B14:W14"/>
    <mergeCell ref="B15:W15"/>
    <mergeCell ref="I9:I10"/>
    <mergeCell ref="J9:J10"/>
    <mergeCell ref="T7:T8"/>
    <mergeCell ref="U9:U10"/>
    <mergeCell ref="W7:W8"/>
    <mergeCell ref="A9:B10"/>
    <mergeCell ref="G7:G8"/>
    <mergeCell ref="V7:V8"/>
    <mergeCell ref="B16:W16"/>
    <mergeCell ref="C18:N18"/>
    <mergeCell ref="R19:W19"/>
    <mergeCell ref="A5:A6"/>
    <mergeCell ref="B5:B6"/>
    <mergeCell ref="C5:C6"/>
    <mergeCell ref="C9:C10"/>
    <mergeCell ref="D5:D6"/>
    <mergeCell ref="D9:D10"/>
    <mergeCell ref="E5:E6"/>
    <mergeCell ref="E7:E8"/>
    <mergeCell ref="E9:E10"/>
    <mergeCell ref="F5:F6"/>
    <mergeCell ref="G5:G6"/>
    <mergeCell ref="G9:G10"/>
    <mergeCell ref="H9:H10"/>
  </mergeCells>
  <phoneticPr fontId="10" type="noConversion"/>
  <pageMargins left="0.7" right="0.7" top="0.75" bottom="0.75" header="0.3" footer="0.3"/>
  <pageSetup paperSize="9" scale="90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2025-12-01T01:52:35Z</cp:lastPrinted>
  <dcterms:created xsi:type="dcterms:W3CDTF">2006-09-13T11:21:00Z</dcterms:created>
  <dcterms:modified xsi:type="dcterms:W3CDTF">2025-12-01T01:52:41Z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E19DC432049B40E0B0B8DFEA7CD32100_13</vt:lpwstr>
  </property>
  <property fmtid="{D5CDD505-2E9C-101B-9397-08002B2CF9AE}" pid="3" name="KSOProductBuildVer">
    <vt:lpwstr>2052-11.1.0.14309</vt:lpwstr>
  </property>
</Properties>
</file>