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C:\Users\lu\Desktop\"/>
    </mc:Choice>
  </mc:AlternateContent>
  <xr:revisionPtr revIDLastSave="0" documentId="8_{AD45CE32-34CF-4875-9070-28054590EFE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7" i="1" l="1"/>
  <c r="R7" i="1"/>
  <c r="M7" i="1"/>
  <c r="L7" i="1"/>
  <c r="S6" i="1"/>
  <c r="M6" i="1"/>
  <c r="K6" i="1"/>
  <c r="S5" i="1"/>
  <c r="M5" i="1"/>
  <c r="K5" i="1"/>
</calcChain>
</file>

<file path=xl/sharedStrings.xml><?xml version="1.0" encoding="utf-8"?>
<sst xmlns="http://schemas.openxmlformats.org/spreadsheetml/2006/main" count="80" uniqueCount="72">
  <si>
    <t>编制：</t>
  </si>
  <si>
    <t>复核：</t>
  </si>
  <si>
    <t>批准：</t>
  </si>
  <si>
    <t>序号</t>
  </si>
  <si>
    <t>产品
名称</t>
  </si>
  <si>
    <t>型号及规格</t>
  </si>
  <si>
    <t>生产令号</t>
  </si>
  <si>
    <t>合同号P.O.</t>
  </si>
  <si>
    <t>产品
标准</t>
  </si>
  <si>
    <t>产品图号</t>
  </si>
  <si>
    <t>净重</t>
  </si>
  <si>
    <t>原材料</t>
  </si>
  <si>
    <t>合同要求量</t>
  </si>
  <si>
    <t>计划生产数量</t>
  </si>
  <si>
    <t>完成时间</t>
  </si>
  <si>
    <t>头部标记</t>
  </si>
  <si>
    <t>表面处理</t>
  </si>
  <si>
    <t>包装物</t>
  </si>
  <si>
    <t>KG/件</t>
  </si>
  <si>
    <t>材质</t>
  </si>
  <si>
    <t>规格</t>
  </si>
  <si>
    <t>数量（吨）</t>
  </si>
  <si>
    <t>件</t>
  </si>
  <si>
    <t>吨</t>
  </si>
  <si>
    <t>件/袋</t>
  </si>
  <si>
    <t>袋</t>
  </si>
  <si>
    <t>袋/箱</t>
  </si>
  <si>
    <t>箱</t>
  </si>
  <si>
    <t>螺纹
道钉</t>
  </si>
  <si>
    <t>24 X 165</t>
  </si>
  <si>
    <t>客户图纸
5.6级</t>
  </si>
  <si>
    <t>35K</t>
  </si>
  <si>
    <t>Φ24</t>
  </si>
  <si>
    <t>热镀锌</t>
  </si>
  <si>
    <t>编织袋+免熏蒸木箱</t>
  </si>
  <si>
    <t>ACC-Ss8-165-3_A</t>
  </si>
  <si>
    <t>弹簧
垫圈</t>
  </si>
  <si>
    <t>FE6</t>
  </si>
  <si>
    <t>ACC-FE6-01_A</t>
  </si>
  <si>
    <t>38Si7</t>
  </si>
  <si>
    <t>合计</t>
  </si>
  <si>
    <t>40000
套</t>
  </si>
  <si>
    <t>25
吨</t>
  </si>
  <si>
    <t>1600
袋</t>
  </si>
  <si>
    <t>45
箱</t>
  </si>
  <si>
    <t>40200
套</t>
  </si>
  <si>
    <t>25.1
吨</t>
  </si>
  <si>
    <t>详见图纸</t>
  </si>
  <si>
    <t>说明：</t>
  </si>
  <si>
    <t>1、</t>
  </si>
  <si>
    <t>对以上产品，生产部门应认真清查库存，适当调整生产计划数量，已减少及合理利用库存产品。</t>
  </si>
  <si>
    <t>注意：库存产品应是经品管部确认合格的产品。</t>
  </si>
  <si>
    <t>2、</t>
  </si>
  <si>
    <t>生产部门按生产工艺生产，加强自检，严格质量管理。</t>
  </si>
  <si>
    <t>3、</t>
  </si>
  <si>
    <t>品管部负责办理质量证明书，检测报告及相关数据。</t>
  </si>
  <si>
    <t>4、</t>
  </si>
  <si>
    <r>
      <rPr>
        <sz val="10"/>
        <color theme="1"/>
        <rFont val="宋体"/>
        <family val="3"/>
        <charset val="134"/>
        <scheme val="minor"/>
      </rPr>
      <t>包装物为编织袋加免熏蒸木箱。木箱外尺寸是：</t>
    </r>
    <r>
      <rPr>
        <b/>
        <sz val="10"/>
        <color theme="1"/>
        <rFont val="宋体"/>
        <family val="3"/>
        <charset val="134"/>
        <scheme val="minor"/>
      </rPr>
      <t>1100×800×550mm</t>
    </r>
  </si>
  <si>
    <t>分发：总经理、总经办、品管部、生产部</t>
  </si>
  <si>
    <t>6  月  份  销  售  计  划 3</t>
    <phoneticPr fontId="8" type="noConversion"/>
  </si>
  <si>
    <t>250617-1</t>
    <phoneticPr fontId="8" type="noConversion"/>
  </si>
  <si>
    <t>250617-2</t>
  </si>
  <si>
    <t>250617-3</t>
  </si>
  <si>
    <t>高蕾</t>
    <phoneticPr fontId="8" type="noConversion"/>
  </si>
  <si>
    <t>DEL
165-1
SDL 25
Ss8</t>
    <phoneticPr fontId="8" type="noConversion"/>
  </si>
  <si>
    <t>2025
-7
-25</t>
    <phoneticPr fontId="8" type="noConversion"/>
  </si>
  <si>
    <t>热镀锌</t>
    <phoneticPr fontId="8" type="noConversion"/>
  </si>
  <si>
    <t>ACC-Ss8_F</t>
    <phoneticPr fontId="8" type="noConversion"/>
  </si>
  <si>
    <t>S25</t>
    <phoneticPr fontId="8" type="noConversion"/>
  </si>
  <si>
    <t>DEL
165
SDL 25
Ss8</t>
    <phoneticPr fontId="8" type="noConversion"/>
  </si>
  <si>
    <t>外购
与螺纹道钉
装配、铆定</t>
    <phoneticPr fontId="8" type="noConversion"/>
  </si>
  <si>
    <t>25.2
吨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</si>
</sst>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9" formatCode="0.0_ "/>
    <numFmt numFmtId="180" formatCode="yyyy&quot;年&quot;m&quot;月&quot;d&quot;日&quot;;@"/>
  </numFmts>
  <fonts count="10" x14ac:knownFonts="1">
    <font>
      <sz val="11"/>
      <color theme="1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79" fontId="1" fillId="0" borderId="1" xfId="0" applyNumberFormat="1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4" xfId="0" applyFont="1" applyBorder="1" applyAlignment="1">
      <alignment horizontal="left" wrapText="1"/>
    </xf>
    <xf numFmtId="0" fontId="1" fillId="0" borderId="4" xfId="0" applyFont="1" applyBorder="1" applyAlignment="1">
      <alignment horizontal="right" wrapText="1"/>
    </xf>
    <xf numFmtId="14" fontId="5" fillId="0" borderId="0" xfId="0" applyNumberFormat="1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180" fontId="0" fillId="0" borderId="0" xfId="0" applyNumberFormat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49" fontId="6" fillId="0" borderId="3" xfId="0" applyNumberFormat="1" applyFont="1" applyBorder="1" applyAlignment="1">
      <alignment horizontal="center" vertical="center" wrapText="1"/>
    </xf>
    <xf numFmtId="179" fontId="1" fillId="0" borderId="2" xfId="0" applyNumberFormat="1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7"/>
  <sheetViews>
    <sheetView tabSelected="1" workbookViewId="0">
      <selection activeCell="T17" sqref="T17"/>
    </sheetView>
  </sheetViews>
  <sheetFormatPr defaultColWidth="9" defaultRowHeight="13.5" x14ac:dyDescent="0.15"/>
  <cols>
    <col min="1" max="1" width="4.125" style="2" customWidth="1"/>
    <col min="2" max="2" width="6.5" style="2" customWidth="1"/>
    <col min="3" max="4" width="9.125" style="2" customWidth="1"/>
    <col min="5" max="5" width="5.25" style="2" customWidth="1"/>
    <col min="6" max="6" width="8" style="2" customWidth="1"/>
    <col min="7" max="7" width="6.25" style="2" customWidth="1"/>
    <col min="8" max="9" width="5.625" style="2" customWidth="1"/>
    <col min="10" max="10" width="5.375" style="2" customWidth="1"/>
    <col min="11" max="11" width="6.125" style="2" customWidth="1"/>
    <col min="12" max="13" width="5.625" style="2" customWidth="1"/>
    <col min="14" max="14" width="4.375" style="2" customWidth="1"/>
    <col min="15" max="15" width="5.625" style="2" customWidth="1"/>
    <col min="16" max="16" width="4.875" style="2" customWidth="1"/>
    <col min="17" max="19" width="5.625" style="2" customWidth="1"/>
    <col min="20" max="20" width="4.75" style="2" customWidth="1"/>
    <col min="21" max="21" width="6.375" style="2" customWidth="1"/>
    <col min="22" max="22" width="6.5" style="2" customWidth="1"/>
    <col min="23" max="23" width="6.125" style="2" customWidth="1"/>
    <col min="24" max="16384" width="9" style="2"/>
  </cols>
  <sheetData>
    <row r="1" spans="1:23" ht="33" customHeight="1" x14ac:dyDescent="0.15">
      <c r="A1" s="12" t="s">
        <v>59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</row>
    <row r="2" spans="1:23" s="1" customFormat="1" ht="18" customHeight="1" x14ac:dyDescent="0.15">
      <c r="B2" s="3" t="s">
        <v>0</v>
      </c>
      <c r="C2" s="3" t="s">
        <v>63</v>
      </c>
      <c r="D2" s="3"/>
      <c r="E2" s="3"/>
      <c r="F2" s="3"/>
      <c r="G2" s="3"/>
      <c r="H2" s="3"/>
      <c r="I2" s="13" t="s">
        <v>1</v>
      </c>
      <c r="J2" s="13"/>
      <c r="K2" s="3"/>
      <c r="L2" s="3"/>
      <c r="M2" s="3"/>
      <c r="N2" s="14" t="s">
        <v>2</v>
      </c>
      <c r="O2" s="14"/>
      <c r="P2" s="3"/>
      <c r="Q2" s="3"/>
      <c r="R2" s="3"/>
      <c r="S2" s="3"/>
      <c r="T2" s="15"/>
      <c r="U2" s="16"/>
      <c r="V2" s="16"/>
      <c r="W2" s="16"/>
    </row>
    <row r="3" spans="1:23" s="1" customFormat="1" ht="29.25" customHeight="1" x14ac:dyDescent="0.15">
      <c r="A3" s="17" t="s">
        <v>3</v>
      </c>
      <c r="B3" s="17" t="s">
        <v>4</v>
      </c>
      <c r="C3" s="17" t="s">
        <v>5</v>
      </c>
      <c r="D3" s="17" t="s">
        <v>6</v>
      </c>
      <c r="E3" s="17" t="s">
        <v>7</v>
      </c>
      <c r="F3" s="17" t="s">
        <v>8</v>
      </c>
      <c r="G3" s="17" t="s">
        <v>9</v>
      </c>
      <c r="H3" s="4" t="s">
        <v>10</v>
      </c>
      <c r="I3" s="17" t="s">
        <v>11</v>
      </c>
      <c r="J3" s="17"/>
      <c r="K3" s="17"/>
      <c r="L3" s="17" t="s">
        <v>12</v>
      </c>
      <c r="M3" s="17"/>
      <c r="N3" s="17"/>
      <c r="O3" s="17"/>
      <c r="P3" s="17"/>
      <c r="Q3" s="17"/>
      <c r="R3" s="17" t="s">
        <v>13</v>
      </c>
      <c r="S3" s="17"/>
      <c r="T3" s="17" t="s">
        <v>14</v>
      </c>
      <c r="U3" s="17" t="s">
        <v>15</v>
      </c>
      <c r="V3" s="17" t="s">
        <v>16</v>
      </c>
      <c r="W3" s="17" t="s">
        <v>17</v>
      </c>
    </row>
    <row r="4" spans="1:23" s="1" customFormat="1" ht="29.25" customHeight="1" x14ac:dyDescent="0.15">
      <c r="A4" s="17"/>
      <c r="B4" s="17"/>
      <c r="C4" s="17"/>
      <c r="D4" s="17"/>
      <c r="E4" s="17"/>
      <c r="F4" s="17"/>
      <c r="G4" s="17"/>
      <c r="H4" s="4" t="s">
        <v>18</v>
      </c>
      <c r="I4" s="4" t="s">
        <v>19</v>
      </c>
      <c r="J4" s="4" t="s">
        <v>20</v>
      </c>
      <c r="K4" s="8" t="s">
        <v>21</v>
      </c>
      <c r="L4" s="4" t="s">
        <v>22</v>
      </c>
      <c r="M4" s="4" t="s">
        <v>23</v>
      </c>
      <c r="N4" s="4" t="s">
        <v>24</v>
      </c>
      <c r="O4" s="4" t="s">
        <v>25</v>
      </c>
      <c r="P4" s="4" t="s">
        <v>26</v>
      </c>
      <c r="Q4" s="4" t="s">
        <v>27</v>
      </c>
      <c r="R4" s="4" t="s">
        <v>22</v>
      </c>
      <c r="S4" s="4" t="s">
        <v>23</v>
      </c>
      <c r="T4" s="17"/>
      <c r="U4" s="17"/>
      <c r="V4" s="17"/>
      <c r="W4" s="17"/>
    </row>
    <row r="5" spans="1:23" s="1" customFormat="1" ht="60" customHeight="1" x14ac:dyDescent="0.15">
      <c r="A5" s="5">
        <v>1</v>
      </c>
      <c r="B5" s="4" t="s">
        <v>28</v>
      </c>
      <c r="C5" s="4" t="s">
        <v>29</v>
      </c>
      <c r="D5" s="4" t="s">
        <v>60</v>
      </c>
      <c r="E5" s="6">
        <v>9429</v>
      </c>
      <c r="F5" s="4" t="s">
        <v>30</v>
      </c>
      <c r="G5" s="4" t="s">
        <v>67</v>
      </c>
      <c r="H5" s="4">
        <v>0.57999999999999996</v>
      </c>
      <c r="I5" s="4" t="s">
        <v>31</v>
      </c>
      <c r="J5" s="4" t="s">
        <v>32</v>
      </c>
      <c r="K5" s="27">
        <f>M5/0.92</f>
        <v>12.6086956521739</v>
      </c>
      <c r="L5" s="4">
        <v>20000</v>
      </c>
      <c r="M5" s="9">
        <f>H5*L5/1000</f>
        <v>11.6</v>
      </c>
      <c r="N5" s="10">
        <v>25</v>
      </c>
      <c r="O5" s="10">
        <v>800</v>
      </c>
      <c r="P5" s="28">
        <v>40</v>
      </c>
      <c r="Q5" s="10">
        <v>20</v>
      </c>
      <c r="R5" s="4">
        <v>20100</v>
      </c>
      <c r="S5" s="9">
        <f>H5*R5/1000</f>
        <v>11.657999999999999</v>
      </c>
      <c r="T5" s="26" t="s">
        <v>65</v>
      </c>
      <c r="U5" s="31" t="s">
        <v>64</v>
      </c>
      <c r="V5" s="11" t="s">
        <v>66</v>
      </c>
      <c r="W5" s="25" t="s">
        <v>34</v>
      </c>
    </row>
    <row r="6" spans="1:23" s="1" customFormat="1" ht="57" customHeight="1" x14ac:dyDescent="0.15">
      <c r="A6" s="23">
        <v>2</v>
      </c>
      <c r="B6" s="4" t="s">
        <v>28</v>
      </c>
      <c r="C6" s="4" t="s">
        <v>29</v>
      </c>
      <c r="D6" s="4" t="s">
        <v>61</v>
      </c>
      <c r="E6" s="17">
        <v>9428</v>
      </c>
      <c r="F6" s="4" t="s">
        <v>30</v>
      </c>
      <c r="G6" s="4" t="s">
        <v>35</v>
      </c>
      <c r="H6" s="4">
        <v>0.57999999999999996</v>
      </c>
      <c r="I6" s="4" t="s">
        <v>31</v>
      </c>
      <c r="J6" s="4" t="s">
        <v>32</v>
      </c>
      <c r="K6" s="27">
        <f>M6/0.92</f>
        <v>12.6086956521739</v>
      </c>
      <c r="L6" s="4">
        <v>20000</v>
      </c>
      <c r="M6" s="9">
        <f>H6*L6/1000</f>
        <v>11.6</v>
      </c>
      <c r="N6" s="25">
        <v>25</v>
      </c>
      <c r="O6" s="25">
        <v>800</v>
      </c>
      <c r="P6" s="29">
        <v>32</v>
      </c>
      <c r="Q6" s="25">
        <v>25</v>
      </c>
      <c r="R6" s="4">
        <v>20100</v>
      </c>
      <c r="S6" s="9">
        <f>H6*R6/1000</f>
        <v>11.657999999999999</v>
      </c>
      <c r="T6" s="26"/>
      <c r="U6" s="31" t="s">
        <v>69</v>
      </c>
      <c r="V6" s="11" t="s">
        <v>33</v>
      </c>
      <c r="W6" s="23"/>
    </row>
    <row r="7" spans="1:23" s="1" customFormat="1" ht="42" customHeight="1" x14ac:dyDescent="0.15">
      <c r="A7" s="24"/>
      <c r="B7" s="5" t="s">
        <v>36</v>
      </c>
      <c r="C7" s="5" t="s">
        <v>37</v>
      </c>
      <c r="D7" s="4" t="s">
        <v>62</v>
      </c>
      <c r="E7" s="17"/>
      <c r="F7" s="7"/>
      <c r="G7" s="4" t="s">
        <v>38</v>
      </c>
      <c r="H7" s="5">
        <v>0.09</v>
      </c>
      <c r="I7" s="4" t="s">
        <v>39</v>
      </c>
      <c r="J7" s="18" t="s">
        <v>70</v>
      </c>
      <c r="K7" s="19"/>
      <c r="L7" s="5">
        <f>L6</f>
        <v>20000</v>
      </c>
      <c r="M7" s="9">
        <f>H7*L7/1000</f>
        <v>1.8</v>
      </c>
      <c r="N7" s="24"/>
      <c r="O7" s="24"/>
      <c r="P7" s="30"/>
      <c r="Q7" s="24"/>
      <c r="R7" s="5">
        <f>R6</f>
        <v>20100</v>
      </c>
      <c r="S7" s="9">
        <f>H7*R7/1000</f>
        <v>1.8089999999999999</v>
      </c>
      <c r="T7" s="26"/>
      <c r="U7" s="5" t="s">
        <v>68</v>
      </c>
      <c r="V7" s="11" t="s">
        <v>33</v>
      </c>
      <c r="W7" s="23"/>
    </row>
    <row r="8" spans="1:23" s="1" customFormat="1" ht="34.5" customHeight="1" x14ac:dyDescent="0.15">
      <c r="A8" s="17" t="s">
        <v>40</v>
      </c>
      <c r="B8" s="17"/>
      <c r="C8" s="4"/>
      <c r="D8" s="4"/>
      <c r="E8" s="4"/>
      <c r="F8" s="4"/>
      <c r="G8" s="4"/>
      <c r="H8" s="4"/>
      <c r="I8" s="4"/>
      <c r="J8" s="4"/>
      <c r="K8" s="4" t="s">
        <v>71</v>
      </c>
      <c r="L8" s="4" t="s">
        <v>41</v>
      </c>
      <c r="M8" s="4" t="s">
        <v>42</v>
      </c>
      <c r="N8" s="4"/>
      <c r="O8" s="4" t="s">
        <v>43</v>
      </c>
      <c r="P8" s="4"/>
      <c r="Q8" s="4" t="s">
        <v>44</v>
      </c>
      <c r="R8" s="4" t="s">
        <v>45</v>
      </c>
      <c r="S8" s="4" t="s">
        <v>46</v>
      </c>
      <c r="T8" s="4"/>
      <c r="U8" s="4" t="s">
        <v>47</v>
      </c>
      <c r="V8" s="4"/>
      <c r="W8" s="4"/>
    </row>
    <row r="9" spans="1:23" ht="26.1" customHeight="1" x14ac:dyDescent="0.15">
      <c r="N9" s="20"/>
      <c r="O9" s="20"/>
      <c r="P9" s="20"/>
      <c r="Q9" s="20"/>
      <c r="R9" s="20"/>
      <c r="S9" s="20"/>
      <c r="T9" s="20"/>
      <c r="U9" s="20"/>
      <c r="V9" s="20"/>
      <c r="W9" s="20"/>
    </row>
    <row r="10" spans="1:23" s="1" customFormat="1" ht="19.5" customHeight="1" x14ac:dyDescent="0.15">
      <c r="B10" s="1" t="s">
        <v>48</v>
      </c>
    </row>
    <row r="11" spans="1:23" s="1" customFormat="1" ht="19.5" customHeight="1" x14ac:dyDescent="0.15">
      <c r="A11" s="1" t="s">
        <v>49</v>
      </c>
      <c r="B11" s="21" t="s">
        <v>50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</row>
    <row r="12" spans="1:23" s="1" customFormat="1" ht="19.5" customHeight="1" x14ac:dyDescent="0.15">
      <c r="B12" s="21" t="s">
        <v>51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</row>
    <row r="13" spans="1:23" s="1" customFormat="1" ht="19.5" customHeight="1" x14ac:dyDescent="0.15">
      <c r="A13" s="1" t="s">
        <v>52</v>
      </c>
      <c r="B13" s="21" t="s">
        <v>53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</row>
    <row r="14" spans="1:23" s="1" customFormat="1" ht="19.5" customHeight="1" x14ac:dyDescent="0.15">
      <c r="A14" s="1" t="s">
        <v>54</v>
      </c>
      <c r="B14" s="21" t="s">
        <v>55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</row>
    <row r="15" spans="1:23" s="1" customFormat="1" ht="19.5" customHeight="1" x14ac:dyDescent="0.15">
      <c r="A15" s="1" t="s">
        <v>56</v>
      </c>
      <c r="B15" s="21" t="s">
        <v>57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</row>
    <row r="16" spans="1:23" ht="42" customHeight="1" x14ac:dyDescent="0.15">
      <c r="T16" s="22">
        <v>45825</v>
      </c>
      <c r="U16" s="22"/>
      <c r="V16" s="22"/>
      <c r="W16" s="22"/>
    </row>
    <row r="17" spans="3:14" ht="20.25" customHeight="1" x14ac:dyDescent="0.15">
      <c r="C17" s="21" t="s">
        <v>58</v>
      </c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</row>
  </sheetData>
  <mergeCells count="36">
    <mergeCell ref="V3:V4"/>
    <mergeCell ref="W3:W4"/>
    <mergeCell ref="W5:W7"/>
    <mergeCell ref="B13:W13"/>
    <mergeCell ref="B14:W14"/>
    <mergeCell ref="B15:W15"/>
    <mergeCell ref="T16:W16"/>
    <mergeCell ref="C17:N17"/>
    <mergeCell ref="J7:K7"/>
    <mergeCell ref="A8:B8"/>
    <mergeCell ref="N9:W9"/>
    <mergeCell ref="B11:W11"/>
    <mergeCell ref="B12:W12"/>
    <mergeCell ref="A6:A7"/>
    <mergeCell ref="E6:E7"/>
    <mergeCell ref="N6:N7"/>
    <mergeCell ref="O6:O7"/>
    <mergeCell ref="P6:P7"/>
    <mergeCell ref="Q6:Q7"/>
    <mergeCell ref="T5:T7"/>
    <mergeCell ref="A1:W1"/>
    <mergeCell ref="I2:J2"/>
    <mergeCell ref="N2:O2"/>
    <mergeCell ref="T2:W2"/>
    <mergeCell ref="I3:K3"/>
    <mergeCell ref="L3:Q3"/>
    <mergeCell ref="R3:S3"/>
    <mergeCell ref="A3:A4"/>
    <mergeCell ref="B3:B4"/>
    <mergeCell ref="C3:C4"/>
    <mergeCell ref="D3:D4"/>
    <mergeCell ref="E3:E4"/>
    <mergeCell ref="F3:F4"/>
    <mergeCell ref="G3:G4"/>
    <mergeCell ref="T3:T4"/>
    <mergeCell ref="U3:U4"/>
  </mergeCells>
  <phoneticPr fontId="8" type="noConversion"/>
  <pageMargins left="0.7" right="0.7" top="0.75" bottom="0.75" header="0.3" footer="0.3"/>
  <pageSetup paperSize="9" scale="95" orientation="landscape" horizontalDpi="2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8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8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dcterms:created xsi:type="dcterms:W3CDTF">2006-09-13T11:21:00Z</dcterms:created>
  <dcterms:modified xsi:type="dcterms:W3CDTF">2025-06-17T03:08:25Z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1A77189912D641F882C4915A1CC6F724_13</vt:lpwstr>
  </property>
  <property fmtid="{D5CDD505-2E9C-101B-9397-08002B2CF9AE}" pid="3" name="KSOProductBuildVer">
    <vt:lpwstr>2052-12.1.0.16729</vt:lpwstr>
  </property>
</Properties>
</file>