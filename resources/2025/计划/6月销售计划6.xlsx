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C21D4AD0-147E-40E3-8EFD-D5065ED8E39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" i="1" l="1"/>
  <c r="Q8" i="1"/>
  <c r="O8" i="1"/>
  <c r="L8" i="1"/>
  <c r="S7" i="1"/>
  <c r="S8" i="1" s="1"/>
  <c r="M7" i="1"/>
  <c r="M8" i="1" s="1"/>
  <c r="K7" i="1" l="1"/>
  <c r="K8" i="1" s="1"/>
</calcChain>
</file>

<file path=xl/sharedStrings.xml><?xml version="1.0" encoding="utf-8"?>
<sst xmlns="http://schemas.openxmlformats.org/spreadsheetml/2006/main" count="63" uniqueCount="54">
  <si>
    <t>编制：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</si>
  <si>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</si>
  <si>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</si>
  <si>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</si>
  <si>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</si>
  <si>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</si>
  <si>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</si>
  <si>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</si>
  <si>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</si>
  <si>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</si>
  <si>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</si>
  <si>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</si>
  <si>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</si>
  <si>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
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</si>
  <si>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</si>
  <si>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</si>
  <si>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</si>
  <si>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</si>
  <si>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</si>
  <si>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</si>
  <si>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</si>
  <si>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</si>
  <si>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</si>
  <si>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</si>
  <si>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</si>
  <si>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</si>
  <si>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</si>
  <si>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</si>
  <si>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螺纹
道钉</t>
  </si>
  <si>
    <t>SS8-150
24X142</t>
  </si>
  <si>
    <t>5.6级</t>
  </si>
  <si>
    <t>6161/1</t>
  </si>
  <si>
    <t>35K</t>
  </si>
  <si>
    <t>Φ25</t>
  </si>
  <si>
    <t>热镀锌</t>
  </si>
  <si>
    <t>编织袋+免熏蒸木箱</t>
  </si>
  <si>
    <t>合计</t>
  </si>
  <si>
    <t>说明：</t>
  </si>
  <si>
    <t>包装待定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</si>
  <si>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</si>
  <si>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</si>
  <si>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</si>
  <si>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</si>
  <si>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</si>
  <si>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</si>
  <si>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品管部负责办理质量证明书，检测报告及相关数据。</t>
  </si>
  <si>
    <t>4、</t>
  </si>
  <si>
    <t xml:space="preserve">包装物为编织袋加免熏蒸木箱。 </t>
  </si>
  <si>
    <t>分发：总经理、总经办、品管部、生产部</t>
  </si>
  <si>
    <t>高蕾</t>
    <phoneticPr fontId="10" type="noConversion"/>
  </si>
  <si>
    <t>6 月  份  销  售  计  划  6</t>
    <phoneticPr fontId="10" type="noConversion"/>
  </si>
  <si>
    <t>250623-1</t>
    <phoneticPr fontId="10" type="noConversion"/>
  </si>
  <si>
    <t>PO006711</t>
    <phoneticPr fontId="10" type="noConversion"/>
  </si>
  <si>
    <t>2025-7-15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</si>
</sst>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_ "/>
    <numFmt numFmtId="178" formatCode="0.00_ "/>
  </numFmts>
  <fonts count="15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9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8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1" fillId="0" borderId="8" xfId="0" applyFont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176" fontId="3" fillId="0" borderId="3" xfId="0" applyNumberFormat="1" applyFont="1" applyBorder="1" applyAlignment="1">
      <alignment horizontal="center" wrapText="1"/>
    </xf>
    <xf numFmtId="178" fontId="3" fillId="0" borderId="3" xfId="0" applyNumberFormat="1" applyFont="1" applyBorder="1" applyAlignment="1">
      <alignment horizontal="center" wrapText="1"/>
    </xf>
    <xf numFmtId="177" fontId="3" fillId="0" borderId="3" xfId="0" applyNumberFormat="1" applyFont="1" applyBorder="1" applyAlignment="1">
      <alignment horizontal="center" wrapText="1"/>
    </xf>
    <xf numFmtId="0" fontId="5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176" fontId="7" fillId="0" borderId="2" xfId="0" applyNumberFormat="1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wrapText="1"/>
    </xf>
    <xf numFmtId="0" fontId="9" fillId="0" borderId="0" xfId="0" applyFont="1" applyAlignment="1">
      <alignment horizontal="center" vertical="center"/>
    </xf>
    <xf numFmtId="17" fontId="1" fillId="0" borderId="2" xfId="0" quotePrefix="1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49" fontId="14" fillId="0" borderId="3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31" fontId="0" fillId="0" borderId="0" xfId="0" applyNumberForma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9"/>
  <sheetViews>
    <sheetView tabSelected="1" topLeftCell="A2" workbookViewId="0">
      <selection activeCell="T8" sqref="T8"/>
    </sheetView>
  </sheetViews>
  <sheetFormatPr defaultColWidth="9" defaultRowHeight="13.5" x14ac:dyDescent="0.15"/>
  <cols>
    <col min="1" max="1" width="4.125" style="2" customWidth="1"/>
    <col min="2" max="2" width="5.875" style="2" customWidth="1"/>
    <col min="3" max="3" width="8.875" style="2" customWidth="1"/>
    <col min="4" max="4" width="5.25" style="2" customWidth="1"/>
    <col min="5" max="5" width="6.5" style="2" customWidth="1"/>
    <col min="6" max="6" width="8" style="2" customWidth="1"/>
    <col min="7" max="7" width="7" style="2" customWidth="1"/>
    <col min="8" max="8" width="8.375" style="2" customWidth="1"/>
    <col min="9" max="11" width="5.625" style="2" customWidth="1"/>
    <col min="12" max="12" width="6.5" style="2" customWidth="1"/>
    <col min="13" max="13" width="7.25" style="2" customWidth="1"/>
    <col min="14" max="14" width="4" style="2" customWidth="1"/>
    <col min="15" max="15" width="6" style="2" customWidth="1"/>
    <col min="16" max="16" width="4.625" style="2" customWidth="1"/>
    <col min="17" max="17" width="4.125" style="2" customWidth="1"/>
    <col min="18" max="19" width="6.5" style="2" customWidth="1"/>
    <col min="20" max="20" width="6.375" style="2" customWidth="1"/>
    <col min="21" max="21" width="5.25" style="2" customWidth="1"/>
    <col min="22" max="22" width="5.125" style="2" customWidth="1"/>
    <col min="23" max="23" width="4.875" style="2" customWidth="1"/>
    <col min="24" max="16384" width="9" style="2"/>
  </cols>
  <sheetData>
    <row r="2" spans="1:23" ht="45" customHeight="1" x14ac:dyDescent="0.15">
      <c r="A2" s="27" t="s">
        <v>50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</row>
    <row r="4" spans="1:23" s="1" customFormat="1" ht="27.75" customHeight="1" x14ac:dyDescent="0.15">
      <c r="A4" s="29" t="s">
        <v>0</v>
      </c>
      <c r="B4" s="29"/>
      <c r="C4" s="23" t="s">
        <v>49</v>
      </c>
      <c r="H4" s="29" t="s">
        <v>1</v>
      </c>
      <c r="I4" s="29"/>
      <c r="O4" s="29" t="s">
        <v>2</v>
      </c>
      <c r="P4" s="29"/>
      <c r="U4" s="30"/>
      <c r="V4" s="31"/>
      <c r="W4" s="31"/>
    </row>
    <row r="5" spans="1:23" s="1" customFormat="1" ht="27" customHeight="1" x14ac:dyDescent="0.15">
      <c r="A5" s="34" t="s">
        <v>3</v>
      </c>
      <c r="B5" s="34" t="s">
        <v>4</v>
      </c>
      <c r="C5" s="34" t="s">
        <v>5</v>
      </c>
      <c r="D5" s="34" t="s">
        <v>6</v>
      </c>
      <c r="E5" s="34" t="s">
        <v>7</v>
      </c>
      <c r="F5" s="34" t="s">
        <v>8</v>
      </c>
      <c r="G5" s="34" t="s">
        <v>9</v>
      </c>
      <c r="H5" s="3" t="s">
        <v>10</v>
      </c>
      <c r="I5" s="32" t="s">
        <v>11</v>
      </c>
      <c r="J5" s="33"/>
      <c r="K5" s="33"/>
      <c r="L5" s="34" t="s">
        <v>12</v>
      </c>
      <c r="M5" s="34"/>
      <c r="N5" s="34"/>
      <c r="O5" s="34"/>
      <c r="P5" s="34"/>
      <c r="Q5" s="34"/>
      <c r="R5" s="34" t="s">
        <v>13</v>
      </c>
      <c r="S5" s="34"/>
      <c r="T5" s="34" t="s">
        <v>14</v>
      </c>
      <c r="U5" s="34" t="s">
        <v>15</v>
      </c>
      <c r="V5" s="34" t="s">
        <v>16</v>
      </c>
      <c r="W5" s="34" t="s">
        <v>17</v>
      </c>
    </row>
    <row r="6" spans="1:23" s="1" customFormat="1" ht="27.75" customHeight="1" x14ac:dyDescent="0.15">
      <c r="A6" s="34"/>
      <c r="B6" s="34"/>
      <c r="C6" s="34"/>
      <c r="D6" s="34"/>
      <c r="E6" s="34"/>
      <c r="F6" s="34"/>
      <c r="G6" s="34"/>
      <c r="H6" s="3" t="s">
        <v>18</v>
      </c>
      <c r="I6" s="3" t="s">
        <v>19</v>
      </c>
      <c r="J6" s="3" t="s">
        <v>20</v>
      </c>
      <c r="K6" s="4" t="s">
        <v>21</v>
      </c>
      <c r="L6" s="3" t="s">
        <v>22</v>
      </c>
      <c r="M6" s="3" t="s">
        <v>23</v>
      </c>
      <c r="N6" s="3" t="s">
        <v>24</v>
      </c>
      <c r="O6" s="3" t="s">
        <v>25</v>
      </c>
      <c r="P6" s="3" t="s">
        <v>26</v>
      </c>
      <c r="Q6" s="3" t="s">
        <v>27</v>
      </c>
      <c r="R6" s="3" t="s">
        <v>22</v>
      </c>
      <c r="S6" s="3" t="s">
        <v>23</v>
      </c>
      <c r="T6" s="34"/>
      <c r="U6" s="34"/>
      <c r="V6" s="34"/>
      <c r="W6" s="34"/>
    </row>
    <row r="7" spans="1:23" s="1" customFormat="1" ht="93.75" customHeight="1" x14ac:dyDescent="0.15">
      <c r="A7" s="3">
        <v>1</v>
      </c>
      <c r="B7" s="3" t="s">
        <v>28</v>
      </c>
      <c r="C7" s="3" t="s">
        <v>29</v>
      </c>
      <c r="D7" s="24" t="s">
        <v>51</v>
      </c>
      <c r="E7" s="25" t="s">
        <v>52</v>
      </c>
      <c r="F7" s="4" t="s">
        <v>30</v>
      </c>
      <c r="G7" s="22" t="s">
        <v>31</v>
      </c>
      <c r="H7" s="3">
        <v>0.56100000000000005</v>
      </c>
      <c r="I7" s="3" t="s">
        <v>32</v>
      </c>
      <c r="J7" s="8" t="s">
        <v>33</v>
      </c>
      <c r="K7" s="9">
        <f>M7/0.92</f>
        <v>2.439130434782609</v>
      </c>
      <c r="L7" s="3">
        <v>4000</v>
      </c>
      <c r="M7" s="10">
        <f>L7*H7/1000</f>
        <v>2.2440000000000002</v>
      </c>
      <c r="N7" s="3">
        <v>35</v>
      </c>
      <c r="O7" s="3">
        <v>115</v>
      </c>
      <c r="P7" s="3">
        <v>32</v>
      </c>
      <c r="Q7" s="3">
        <v>4</v>
      </c>
      <c r="R7" s="16">
        <v>4050</v>
      </c>
      <c r="S7" s="17">
        <f>R7*H7/1000</f>
        <v>2.2720500000000001</v>
      </c>
      <c r="T7" s="26" t="s">
        <v>53</v>
      </c>
      <c r="U7" s="18"/>
      <c r="V7" s="3" t="s">
        <v>34</v>
      </c>
      <c r="W7" s="19" t="s">
        <v>35</v>
      </c>
    </row>
    <row r="8" spans="1:23" s="1" customFormat="1" ht="27" customHeight="1" x14ac:dyDescent="0.15">
      <c r="A8" s="38" t="s">
        <v>36</v>
      </c>
      <c r="B8" s="39"/>
      <c r="C8" s="5"/>
      <c r="D8" s="5"/>
      <c r="E8" s="5"/>
      <c r="F8" s="6"/>
      <c r="G8" s="6"/>
      <c r="H8" s="5"/>
      <c r="I8" s="5"/>
      <c r="J8" s="5"/>
      <c r="K8" s="11">
        <f>SUM(K7:K7)</f>
        <v>2.439130434782609</v>
      </c>
      <c r="L8" s="13">
        <f>SUM(L7:L7)</f>
        <v>4000</v>
      </c>
      <c r="M8" s="11">
        <f>SUM(M7:M7)</f>
        <v>2.2440000000000002</v>
      </c>
      <c r="N8" s="12"/>
      <c r="O8" s="13">
        <f>SUM(O7:O7)</f>
        <v>115</v>
      </c>
      <c r="P8" s="13"/>
      <c r="Q8" s="13">
        <f>SUM(Q7:Q7)</f>
        <v>4</v>
      </c>
      <c r="R8" s="13">
        <f>SUM(R7:R7)</f>
        <v>4050</v>
      </c>
      <c r="S8" s="11">
        <f>SUM(S7:S7)</f>
        <v>2.2720500000000001</v>
      </c>
      <c r="T8" s="20"/>
      <c r="U8" s="36"/>
      <c r="V8" s="20"/>
      <c r="W8" s="20"/>
    </row>
    <row r="9" spans="1:23" s="1" customFormat="1" ht="27" customHeight="1" x14ac:dyDescent="0.15">
      <c r="A9" s="40"/>
      <c r="B9" s="41"/>
      <c r="C9" s="7"/>
      <c r="D9" s="7"/>
      <c r="E9" s="7"/>
      <c r="F9" s="7"/>
      <c r="G9" s="7"/>
      <c r="H9" s="7"/>
      <c r="I9" s="7"/>
      <c r="J9" s="7"/>
      <c r="K9" s="7" t="s">
        <v>23</v>
      </c>
      <c r="L9" s="7" t="s">
        <v>22</v>
      </c>
      <c r="M9" s="7" t="s">
        <v>23</v>
      </c>
      <c r="N9" s="7"/>
      <c r="O9" s="7" t="s">
        <v>25</v>
      </c>
      <c r="P9" s="7"/>
      <c r="Q9" s="7" t="s">
        <v>27</v>
      </c>
      <c r="R9" s="7" t="s">
        <v>22</v>
      </c>
      <c r="S9" s="7" t="s">
        <v>23</v>
      </c>
      <c r="T9" s="7"/>
      <c r="U9" s="37"/>
      <c r="V9" s="7"/>
      <c r="W9" s="7"/>
    </row>
    <row r="11" spans="1:23" s="1" customFormat="1" ht="19.5" customHeight="1" x14ac:dyDescent="0.15">
      <c r="B11" s="1" t="s">
        <v>37</v>
      </c>
      <c r="N11" s="14" t="s">
        <v>38</v>
      </c>
      <c r="O11" s="15"/>
      <c r="T11" s="21"/>
    </row>
    <row r="12" spans="1:23" s="1" customFormat="1" ht="19.5" customHeight="1" x14ac:dyDescent="0.15">
      <c r="A12" s="1" t="s">
        <v>39</v>
      </c>
      <c r="B12" s="35" t="s">
        <v>40</v>
      </c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</row>
    <row r="13" spans="1:23" s="1" customFormat="1" ht="19.5" customHeight="1" x14ac:dyDescent="0.15">
      <c r="B13" s="35" t="s">
        <v>41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</row>
    <row r="14" spans="1:23" s="1" customFormat="1" ht="19.5" customHeight="1" x14ac:dyDescent="0.15">
      <c r="A14" s="1" t="s">
        <v>42</v>
      </c>
      <c r="B14" s="35" t="s">
        <v>43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</row>
    <row r="15" spans="1:23" s="1" customFormat="1" ht="19.5" customHeight="1" x14ac:dyDescent="0.15">
      <c r="A15" s="1" t="s">
        <v>44</v>
      </c>
      <c r="B15" s="35" t="s">
        <v>45</v>
      </c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</row>
    <row r="16" spans="1:23" s="1" customFormat="1" ht="19.5" customHeight="1" x14ac:dyDescent="0.15">
      <c r="A16" s="1" t="s">
        <v>46</v>
      </c>
      <c r="B16" s="35" t="s">
        <v>47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</row>
    <row r="17" spans="3:23" ht="42" customHeight="1" x14ac:dyDescent="0.15">
      <c r="O17" s="43"/>
      <c r="P17" s="43"/>
      <c r="Q17" s="43"/>
      <c r="R17" s="43"/>
      <c r="S17" s="43"/>
      <c r="T17" s="43"/>
      <c r="U17" s="43"/>
      <c r="V17" s="43"/>
      <c r="W17" s="43"/>
    </row>
    <row r="18" spans="3:23" ht="20.25" customHeight="1" x14ac:dyDescent="0.15">
      <c r="C18" s="35" t="s">
        <v>48</v>
      </c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43"/>
      <c r="P18" s="43"/>
      <c r="Q18" s="43"/>
      <c r="R18" s="43"/>
      <c r="S18" s="43"/>
      <c r="T18" s="43"/>
      <c r="U18" s="43"/>
      <c r="V18" s="43"/>
      <c r="W18" s="43"/>
    </row>
    <row r="19" spans="3:23" x14ac:dyDescent="0.15">
      <c r="Q19" s="42">
        <v>45831</v>
      </c>
      <c r="R19" s="42"/>
      <c r="S19" s="42"/>
      <c r="T19" s="42"/>
    </row>
  </sheetData>
  <mergeCells count="29">
    <mergeCell ref="D5:D6"/>
    <mergeCell ref="E5:E6"/>
    <mergeCell ref="B14:W14"/>
    <mergeCell ref="B15:W15"/>
    <mergeCell ref="B16:W16"/>
    <mergeCell ref="C18:N18"/>
    <mergeCell ref="Q19:T19"/>
    <mergeCell ref="O17:W18"/>
    <mergeCell ref="I5:K5"/>
    <mergeCell ref="L5:Q5"/>
    <mergeCell ref="R5:S5"/>
    <mergeCell ref="B12:W12"/>
    <mergeCell ref="B13:W13"/>
    <mergeCell ref="F5:F6"/>
    <mergeCell ref="G5:G6"/>
    <mergeCell ref="T5:T6"/>
    <mergeCell ref="U5:U6"/>
    <mergeCell ref="U8:U9"/>
    <mergeCell ref="V5:V6"/>
    <mergeCell ref="W5:W6"/>
    <mergeCell ref="A8:B9"/>
    <mergeCell ref="A5:A6"/>
    <mergeCell ref="B5:B6"/>
    <mergeCell ref="C5:C6"/>
    <mergeCell ref="A2:W2"/>
    <mergeCell ref="A4:B4"/>
    <mergeCell ref="H4:I4"/>
    <mergeCell ref="O4:P4"/>
    <mergeCell ref="U4:W4"/>
  </mergeCells>
  <phoneticPr fontId="10" type="noConversion"/>
  <pageMargins left="0.7" right="0.7" top="0.75" bottom="0.75" header="0.3" footer="0.3"/>
  <pageSetup paperSize="9" scale="95" orientation="landscape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3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3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2025-06-24T05:55:00Z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501E0E5145E9490AB6C42DD1BD1F670C_12</vt:lpwstr>
  </property>
  <property fmtid="{D5CDD505-2E9C-101B-9397-08002B2CF9AE}" pid="3" name="KSOProductBuildVer">
    <vt:lpwstr>2052-12.1.0.17133</vt:lpwstr>
  </property>
</Properties>
</file>