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E8FD8286-3D83-4C0B-A411-C566931935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<sst xmlns="http://schemas.openxmlformats.org/spreadsheetml/2006/main" count="75" uniqueCount="67">
  <si>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</si>
  <si>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</si>
  <si>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</si>
  <si>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</si>
  <si>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</si>
  <si>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</si>
  <si>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</si>
  <si>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</si>
  <si>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</si>
  <si>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</si>
  <si>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</si>
  <si>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</si>
  <si>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</si>
  <si>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</si>
  <si>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</si>
  <si>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</si>
  <si>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</si>
  <si>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</si>
  <si>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</si>
  <si>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</si>
  <si>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</si>
  <si>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</si>
  <si>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</si>
  <si>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</si>
  <si>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</si>
  <si>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</si>
  <si>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</si>
  <si>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</si>
  <si>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</si>
  <si>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</si>
  <si>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</si>
  <si>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</si>
  <si>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</si>
  <si>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</si>
  <si>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</si>
  <si>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</si>
  <si>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</si>
  <si>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</si>
  <si>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</si>
  <si>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</si>
  <si>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</si>
  <si>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</si>
  <si>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</si>
  <si>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</si>
  <si>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</si>
  <si>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</si>
  <si>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</si>
  <si>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</si>
  <si>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</si>
  <si>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</si>
  <si>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</si>
  <si>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</si>
  <si>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</si>
  <si>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</si>
  <si>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</si>
  <si>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</si>
  <si>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</si>
  <si>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FM1 25
Ss25
KTZ</t>
    <phoneticPr fontId="7" type="noConversion"/>
  </si>
  <si>
    <t>编织袋+免熏蒸托盘</t>
    <phoneticPr fontId="7" type="noConversion"/>
  </si>
  <si>
    <t>包装物为编织袋加免熏蒸托盘</t>
    <phoneticPr fontId="7" type="noConversion"/>
  </si>
  <si>
    <t>GKSL20250402</t>
    <phoneticPr fontId="7" type="noConversion"/>
  </si>
  <si>
    <t>冷弯90°不断裂</t>
    <phoneticPr fontId="7" type="noConversion"/>
  </si>
  <si>
    <t>5 月  份  销  售  计  划  8</t>
    <phoneticPr fontId="7" type="noConversion"/>
  </si>
  <si>
    <t>250513-2</t>
    <phoneticPr fontId="7" type="noConversion"/>
  </si>
  <si>
    <t>250513-3</t>
  </si>
  <si>
    <t>XIFENG-20250512-23</t>
    <phoneticPr fontId="7" type="noConversion"/>
  </si>
  <si>
    <t>2025-6-17发货83200套，6-22发货83200套，6-28发货83200套,7-28发货3600套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</si>
</sst>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7" workbookViewId="0">
      <selection activeCell="M17" sqref="M1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5" t="s">
        <v>62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4" spans="1:24" s="1" customFormat="1" ht="27.75" customHeight="1" x14ac:dyDescent="0.15">
      <c r="A4" s="47" t="s">
        <v>0</v>
      </c>
      <c r="B4" s="47"/>
      <c r="C4" s="1" t="s">
        <v>1</v>
      </c>
      <c r="H4" s="47" t="s">
        <v>2</v>
      </c>
      <c r="I4" s="47"/>
      <c r="P4" s="47" t="s">
        <v>3</v>
      </c>
      <c r="Q4" s="47"/>
      <c r="V4" s="48"/>
      <c r="W4" s="49"/>
      <c r="X4" s="49"/>
    </row>
    <row r="5" spans="1:24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35" t="s">
        <v>12</v>
      </c>
      <c r="J5" s="36"/>
      <c r="K5" s="36"/>
      <c r="L5" s="9"/>
      <c r="M5" s="22" t="s">
        <v>13</v>
      </c>
      <c r="N5" s="22"/>
      <c r="O5" s="22"/>
      <c r="P5" s="22"/>
      <c r="Q5" s="22"/>
      <c r="R5" s="22"/>
      <c r="S5" s="22" t="s">
        <v>14</v>
      </c>
      <c r="T5" s="22"/>
      <c r="U5" s="22" t="s">
        <v>15</v>
      </c>
      <c r="V5" s="22" t="s">
        <v>16</v>
      </c>
      <c r="W5" s="22" t="s">
        <v>17</v>
      </c>
      <c r="X5" s="22" t="s">
        <v>18</v>
      </c>
    </row>
    <row r="6" spans="1:24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2"/>
      <c r="V6" s="22"/>
      <c r="W6" s="22"/>
      <c r="X6" s="22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63</v>
      </c>
      <c r="E7" s="23" t="s">
        <v>65</v>
      </c>
      <c r="F7" s="3" t="s">
        <v>32</v>
      </c>
      <c r="G7" s="25" t="s">
        <v>60</v>
      </c>
      <c r="H7" s="3">
        <v>0.59</v>
      </c>
      <c r="I7" s="3" t="s">
        <v>33</v>
      </c>
      <c r="J7" s="3" t="s">
        <v>34</v>
      </c>
      <c r="K7" s="10">
        <f>N7/0.94</f>
        <v>158.92340425531916</v>
      </c>
      <c r="L7" s="3" t="s">
        <v>35</v>
      </c>
      <c r="M7" s="3">
        <v>253200</v>
      </c>
      <c r="N7" s="11">
        <f>M7*H7/1000</f>
        <v>149.38800000000001</v>
      </c>
      <c r="O7" s="3">
        <v>40</v>
      </c>
      <c r="P7" s="3">
        <v>6330</v>
      </c>
      <c r="Q7" s="3">
        <v>40</v>
      </c>
      <c r="R7" s="3">
        <v>159</v>
      </c>
      <c r="S7" s="3">
        <v>253500</v>
      </c>
      <c r="T7" s="11">
        <f>S7*H7/1000</f>
        <v>149.565</v>
      </c>
      <c r="U7" s="27" t="s">
        <v>66</v>
      </c>
      <c r="V7" s="18" t="s">
        <v>57</v>
      </c>
      <c r="W7" s="43" t="s">
        <v>36</v>
      </c>
      <c r="X7" s="44" t="s">
        <v>58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64</v>
      </c>
      <c r="E8" s="24"/>
      <c r="F8" s="4" t="s">
        <v>39</v>
      </c>
      <c r="G8" s="26"/>
      <c r="H8" s="5">
        <v>0.04</v>
      </c>
      <c r="I8" s="3" t="s">
        <v>40</v>
      </c>
      <c r="J8" s="37" t="s">
        <v>41</v>
      </c>
      <c r="K8" s="38"/>
      <c r="L8" s="39"/>
      <c r="M8" s="3">
        <f>M7</f>
        <v>253200</v>
      </c>
      <c r="N8" s="11">
        <f>M8*H8/1000</f>
        <v>10.128</v>
      </c>
      <c r="O8" s="35" t="s">
        <v>42</v>
      </c>
      <c r="P8" s="36"/>
      <c r="Q8" s="36"/>
      <c r="R8" s="40"/>
      <c r="S8" s="3">
        <f>S7</f>
        <v>253500</v>
      </c>
      <c r="T8" s="11">
        <f>S8*H8/1000</f>
        <v>10.14</v>
      </c>
      <c r="U8" s="28"/>
      <c r="V8" s="4" t="s">
        <v>43</v>
      </c>
      <c r="W8" s="26"/>
      <c r="X8" s="42"/>
    </row>
    <row r="9" spans="1:24" s="1" customFormat="1" ht="18" customHeight="1" x14ac:dyDescent="0.15">
      <c r="A9" s="30" t="s">
        <v>44</v>
      </c>
      <c r="B9" s="31"/>
      <c r="C9" s="6"/>
      <c r="D9" s="6"/>
      <c r="E9" s="6"/>
      <c r="F9" s="7"/>
      <c r="G9" s="6"/>
      <c r="H9" s="6"/>
      <c r="I9" s="6"/>
      <c r="J9" s="6"/>
      <c r="K9" s="12">
        <f t="shared" ref="K9:P9" si="0">K7</f>
        <v>158.92340425531916</v>
      </c>
      <c r="L9" s="13"/>
      <c r="M9" s="12">
        <f t="shared" si="0"/>
        <v>253200</v>
      </c>
      <c r="N9" s="12">
        <f>SUM(N7:N8)</f>
        <v>159.51600000000002</v>
      </c>
      <c r="O9" s="13"/>
      <c r="P9" s="12">
        <f t="shared" si="0"/>
        <v>6330</v>
      </c>
      <c r="Q9" s="13"/>
      <c r="R9" s="12">
        <f>R7</f>
        <v>159</v>
      </c>
      <c r="S9" s="12">
        <f>S7</f>
        <v>253500</v>
      </c>
      <c r="T9" s="12">
        <f>SUM(T7:T8)</f>
        <v>159.70499999999998</v>
      </c>
      <c r="U9" s="16"/>
      <c r="V9" s="41" t="s">
        <v>45</v>
      </c>
      <c r="W9" s="16"/>
      <c r="X9" s="16"/>
    </row>
    <row r="10" spans="1:24" ht="15" customHeight="1" x14ac:dyDescent="0.15">
      <c r="A10" s="32"/>
      <c r="B10" s="33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42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61</v>
      </c>
    </row>
    <row r="12" spans="1:24" s="1" customFormat="1" ht="19.5" customHeight="1" x14ac:dyDescent="0.15">
      <c r="A12" s="1" t="s">
        <v>48</v>
      </c>
      <c r="B12" s="20" t="s">
        <v>49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s="1" customFormat="1" ht="19.5" customHeight="1" x14ac:dyDescent="0.15">
      <c r="B13" s="20" t="s">
        <v>50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s="1" customFormat="1" ht="19.5" customHeight="1" x14ac:dyDescent="0.15">
      <c r="A14" s="1" t="s">
        <v>51</v>
      </c>
      <c r="B14" s="20" t="s">
        <v>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s="1" customFormat="1" ht="19.5" customHeight="1" x14ac:dyDescent="0.15">
      <c r="A15" s="1" t="s">
        <v>53</v>
      </c>
      <c r="B15" s="20" t="s">
        <v>54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s="1" customFormat="1" ht="19.5" customHeight="1" x14ac:dyDescent="0.15">
      <c r="A16" s="1" t="s">
        <v>55</v>
      </c>
      <c r="B16" s="34" t="s">
        <v>59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3:24" ht="42" customHeight="1" x14ac:dyDescent="0.15">
      <c r="P17" s="29"/>
      <c r="Q17" s="29"/>
      <c r="R17" s="29"/>
      <c r="S17" s="29"/>
      <c r="T17" s="29"/>
      <c r="U17" s="29"/>
      <c r="V17" s="29"/>
      <c r="W17" s="29"/>
      <c r="X17" s="29"/>
    </row>
    <row r="18" spans="3:24" ht="20.25" customHeight="1" x14ac:dyDescent="0.15">
      <c r="C18" s="20" t="s">
        <v>56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9"/>
      <c r="Q18" s="29"/>
      <c r="R18" s="29"/>
      <c r="S18" s="29"/>
      <c r="T18" s="29"/>
      <c r="U18" s="29"/>
      <c r="V18" s="29"/>
      <c r="W18" s="29"/>
      <c r="X18" s="29"/>
    </row>
    <row r="19" spans="3:24" x14ac:dyDescent="0.15">
      <c r="R19" s="21">
        <v>45790</v>
      </c>
      <c r="S19" s="21"/>
      <c r="T19" s="21"/>
      <c r="U19" s="21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2025-05-13T03:44:23Z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