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F6D8A6A-C952-408D-A047-82342B8BEE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8" i="1"/>
  <c r="S9" i="1" l="1"/>
  <c r="M9" i="1"/>
  <c r="K9" i="1" s="1"/>
  <c r="R11" i="1"/>
  <c r="Q11" i="1"/>
  <c r="O11" i="1"/>
  <c r="L11" i="1"/>
  <c r="S7" i="1"/>
  <c r="S11" i="1" s="1"/>
  <c r="M7" i="1"/>
  <c r="K7" i="1" s="1"/>
  <c r="K11" i="1" l="1"/>
  <c r="M11" i="1"/>
</calcChain>
</file>

<file path=xl/sharedStrings.xml><?xml version="1.0" encoding="utf-8"?>
<sst xmlns="http://schemas.openxmlformats.org/spreadsheetml/2006/main" count="91" uniqueCount="72">
  <si>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</si>
  <si>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</si>
  <si>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</si>
  <si>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</si>
  <si>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</si>
  <si>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</si>
  <si>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</si>
  <si>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</si>
  <si>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</si>
  <si>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</si>
  <si>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</si>
  <si>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</si>
  <si>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</si>
  <si>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</si>
  <si>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</si>
  <si>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</si>
  <si>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</si>
  <si>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</si>
  <si>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</si>
  <si>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</si>
  <si>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</si>
  <si>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</si>
  <si>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</si>
  <si>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</si>
  <si>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</si>
  <si>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</si>
  <si>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</si>
  <si>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</si>
  <si>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</si>
  <si>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</si>
  <si>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螺栓</t>
  </si>
  <si>
    <t>7/8*90</t>
  </si>
  <si>
    <t>ISO 2768-C</t>
  </si>
  <si>
    <t>A2963-3</t>
  </si>
  <si>
    <t>Q235</t>
  </si>
  <si>
    <t>Φ22</t>
  </si>
  <si>
    <t>本色上油</t>
  </si>
  <si>
    <t>编织袋
+
欧式托盘加围板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</si>
  <si>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</si>
  <si>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</si>
  <si>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</si>
  <si>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</si>
  <si>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</si>
  <si>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</si>
  <si>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</si>
  <si>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</si>
  <si>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</si>
  <si>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4、</t>
  </si>
  <si>
    <t>螺纹通止规，外螺纹明显 杂质 不得影响螺纹使用，无明显磕碰现象。</t>
  </si>
  <si>
    <t>5、</t>
  </si>
  <si>
    <t>分发：总经理、总经办、品管部、生产部</t>
  </si>
  <si>
    <t>11 月  份  销  售  计  划  3</t>
    <phoneticPr fontId="8" type="noConversion"/>
  </si>
  <si>
    <t>方头
螺栓</t>
  </si>
  <si>
    <t>UNC
24*140</t>
  </si>
  <si>
    <t>4-511255</t>
  </si>
  <si>
    <t>Φ26</t>
  </si>
  <si>
    <t>2511105-1</t>
    <phoneticPr fontId="8" type="noConversion"/>
  </si>
  <si>
    <t>2511105-2</t>
  </si>
  <si>
    <t>2025-12-20</t>
    <phoneticPr fontId="8" type="noConversion"/>
  </si>
  <si>
    <t>NFG
4.6
25</t>
    <phoneticPr fontId="8" type="noConversion"/>
  </si>
  <si>
    <t>4.6级</t>
    <phoneticPr fontId="8" type="noConversion"/>
  </si>
  <si>
    <t>CON-25JH-EXP-25224</t>
    <phoneticPr fontId="8" type="noConversion"/>
  </si>
  <si>
    <t>外购</t>
  </si>
  <si>
    <t>2511105-3</t>
  </si>
  <si>
    <t>2511105-4</t>
  </si>
  <si>
    <t>螺母</t>
    <phoneticPr fontId="8" type="noConversion"/>
  </si>
  <si>
    <t>7/8</t>
    <phoneticPr fontId="8" type="noConversion"/>
  </si>
  <si>
    <t>M24</t>
    <phoneticPr fontId="8" type="noConversion"/>
  </si>
  <si>
    <t>与上面装配</t>
    <phoneticPr fontId="8" type="noConversion"/>
  </si>
  <si>
    <t>订单号码：46029</t>
    <phoneticPr fontId="8" type="noConversion"/>
  </si>
  <si>
    <r>
      <t>包装：编织袋+欧式托盘加围板。</t>
    </r>
    <r>
      <rPr>
        <b/>
        <sz val="12"/>
        <color theme="1"/>
        <rFont val="宋体"/>
        <family val="3"/>
        <charset val="134"/>
        <scheme val="minor"/>
      </rPr>
      <t>每箱上面必须写好5位数订单号码。</t>
    </r>
    <r>
      <rPr>
        <sz val="11"/>
        <color theme="1"/>
        <rFont val="宋体"/>
        <charset val="134"/>
        <scheme val="minor"/>
      </rPr>
      <t>包装时，请拍摄。</t>
    </r>
    <r>
      <rPr>
        <b/>
        <sz val="11"/>
        <color theme="1"/>
        <rFont val="宋体"/>
        <family val="3"/>
        <charset val="134"/>
        <scheme val="minor"/>
      </rPr>
      <t xml:space="preserve">
录像和照片以供确认</t>
    </r>
    <phoneticPr fontId="8" type="noConversion"/>
  </si>
  <si>
    <r>
      <t>生产部门按生产工艺生产，加强自检，严格质量管理。在每进一批材料的时候，必须提供该批次产品样品留样和试样块，同时卖方必须在合同
签订后每周汇报一次生产进度，包括</t>
    </r>
    <r>
      <rPr>
        <b/>
        <sz val="10"/>
        <color theme="1"/>
        <rFont val="宋体"/>
        <family val="3"/>
        <charset val="134"/>
        <scheme val="minor"/>
      </rPr>
      <t>提供生产照片，录像。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</si>
</sst>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;_愇"/>
    <numFmt numFmtId="178" formatCode="0.0_ "/>
    <numFmt numFmtId="179" formatCode="0_ "/>
    <numFmt numFmtId="180" formatCode="[$-F800]dddd\,\ mmmm\ dd\,\ yyyy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79" fontId="3" fillId="0" borderId="8" xfId="0" applyNumberFormat="1" applyFont="1" applyBorder="1" applyAlignment="1">
      <alignment horizontal="center" vertical="center" wrapText="1"/>
    </xf>
    <xf numFmtId="58" fontId="1" fillId="0" borderId="8" xfId="0" quotePrefix="1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78" fontId="3" fillId="0" borderId="9" xfId="0" applyNumberFormat="1" applyFont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center" vertical="center" wrapText="1"/>
    </xf>
    <xf numFmtId="178" fontId="3" fillId="0" borderId="1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2"/>
  <sheetViews>
    <sheetView tabSelected="1" workbookViewId="0">
      <selection activeCell="B16" sqref="B16:W16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5.62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5.6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29" t="s">
        <v>51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4" spans="1:23" s="1" customFormat="1" ht="21" customHeight="1" x14ac:dyDescent="0.15">
      <c r="B4" s="1" t="s">
        <v>0</v>
      </c>
      <c r="C4" s="1" t="s">
        <v>1</v>
      </c>
      <c r="H4" s="30" t="s">
        <v>2</v>
      </c>
      <c r="I4" s="30"/>
      <c r="O4" s="30" t="s">
        <v>3</v>
      </c>
      <c r="P4" s="30"/>
      <c r="U4" s="31" t="s">
        <v>4</v>
      </c>
      <c r="V4" s="32"/>
      <c r="W4" s="32"/>
    </row>
    <row r="5" spans="1:23" s="1" customFormat="1" ht="27" customHeight="1" x14ac:dyDescent="0.15">
      <c r="A5" s="24" t="s">
        <v>5</v>
      </c>
      <c r="B5" s="24" t="s">
        <v>6</v>
      </c>
      <c r="C5" s="24" t="s">
        <v>7</v>
      </c>
      <c r="D5" s="24" t="s">
        <v>8</v>
      </c>
      <c r="E5" s="24" t="s">
        <v>9</v>
      </c>
      <c r="F5" s="24" t="s">
        <v>10</v>
      </c>
      <c r="G5" s="24" t="s">
        <v>11</v>
      </c>
      <c r="H5" s="3" t="s">
        <v>12</v>
      </c>
      <c r="I5" s="33" t="s">
        <v>13</v>
      </c>
      <c r="J5" s="34"/>
      <c r="K5" s="34"/>
      <c r="L5" s="24" t="s">
        <v>14</v>
      </c>
      <c r="M5" s="24"/>
      <c r="N5" s="24"/>
      <c r="O5" s="24"/>
      <c r="P5" s="24"/>
      <c r="Q5" s="24"/>
      <c r="R5" s="24" t="s">
        <v>15</v>
      </c>
      <c r="S5" s="24"/>
      <c r="T5" s="24" t="s">
        <v>16</v>
      </c>
      <c r="U5" s="24" t="s">
        <v>17</v>
      </c>
      <c r="V5" s="24" t="s">
        <v>18</v>
      </c>
      <c r="W5" s="24" t="s">
        <v>19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24"/>
      <c r="U6" s="24"/>
      <c r="V6" s="24"/>
      <c r="W6" s="24"/>
    </row>
    <row r="7" spans="1:23" s="1" customFormat="1" ht="64.5" customHeight="1" x14ac:dyDescent="0.15">
      <c r="A7" s="3">
        <v>1</v>
      </c>
      <c r="B7" s="3" t="s">
        <v>30</v>
      </c>
      <c r="C7" s="3" t="s">
        <v>31</v>
      </c>
      <c r="D7" s="4" t="s">
        <v>56</v>
      </c>
      <c r="E7" s="22" t="s">
        <v>61</v>
      </c>
      <c r="F7" s="6" t="s">
        <v>32</v>
      </c>
      <c r="G7" s="22" t="s">
        <v>33</v>
      </c>
      <c r="H7" s="7">
        <v>0.32</v>
      </c>
      <c r="I7" s="3" t="s">
        <v>34</v>
      </c>
      <c r="J7" s="3" t="s">
        <v>35</v>
      </c>
      <c r="K7" s="7">
        <f>M7/0.94</f>
        <v>6.8085106382978733</v>
      </c>
      <c r="L7" s="3">
        <v>20000</v>
      </c>
      <c r="M7" s="7">
        <f>L7*H7/1000</f>
        <v>6.4</v>
      </c>
      <c r="N7" s="3">
        <v>25</v>
      </c>
      <c r="O7" s="10">
        <v>800</v>
      </c>
      <c r="P7" s="3">
        <v>40</v>
      </c>
      <c r="Q7" s="3">
        <v>20</v>
      </c>
      <c r="R7" s="3">
        <v>20100</v>
      </c>
      <c r="S7" s="14">
        <f>H7*R7/1000</f>
        <v>6.4320000000000004</v>
      </c>
      <c r="T7" s="43" t="s">
        <v>58</v>
      </c>
      <c r="U7" s="3" t="s">
        <v>59</v>
      </c>
      <c r="V7" s="3" t="s">
        <v>36</v>
      </c>
      <c r="W7" s="46" t="s">
        <v>37</v>
      </c>
    </row>
    <row r="8" spans="1:23" s="1" customFormat="1" ht="64.5" customHeight="1" x14ac:dyDescent="0.15">
      <c r="A8" s="3">
        <v>2</v>
      </c>
      <c r="B8" s="3" t="s">
        <v>65</v>
      </c>
      <c r="C8" s="37" t="s">
        <v>66</v>
      </c>
      <c r="D8" s="4" t="s">
        <v>57</v>
      </c>
      <c r="E8" s="38"/>
      <c r="F8" s="15"/>
      <c r="G8" s="23"/>
      <c r="H8" s="8">
        <v>0.13</v>
      </c>
      <c r="I8" s="3" t="s">
        <v>34</v>
      </c>
      <c r="J8" s="33" t="s">
        <v>62</v>
      </c>
      <c r="K8" s="35"/>
      <c r="L8" s="36">
        <f>L7</f>
        <v>20000</v>
      </c>
      <c r="M8" s="40" t="s">
        <v>68</v>
      </c>
      <c r="N8" s="41"/>
      <c r="O8" s="41"/>
      <c r="P8" s="41"/>
      <c r="Q8" s="41"/>
      <c r="R8" s="41"/>
      <c r="S8" s="42"/>
      <c r="T8" s="44"/>
      <c r="U8" s="6"/>
      <c r="V8" s="3" t="s">
        <v>36</v>
      </c>
      <c r="W8" s="47"/>
    </row>
    <row r="9" spans="1:23" s="1" customFormat="1" ht="64.5" customHeight="1" x14ac:dyDescent="0.15">
      <c r="A9" s="3">
        <v>3</v>
      </c>
      <c r="B9" s="3" t="s">
        <v>52</v>
      </c>
      <c r="C9" s="3" t="s">
        <v>53</v>
      </c>
      <c r="D9" s="4" t="s">
        <v>63</v>
      </c>
      <c r="E9" s="38"/>
      <c r="F9" s="3" t="s">
        <v>60</v>
      </c>
      <c r="G9" s="22" t="s">
        <v>54</v>
      </c>
      <c r="H9" s="3">
        <v>0.66</v>
      </c>
      <c r="I9" s="3" t="s">
        <v>34</v>
      </c>
      <c r="J9" s="3" t="s">
        <v>55</v>
      </c>
      <c r="K9" s="16">
        <f>M9/0.94</f>
        <v>1.7553191489361701</v>
      </c>
      <c r="L9" s="3">
        <v>2500</v>
      </c>
      <c r="M9" s="16">
        <f>H9*L9/1000</f>
        <v>1.65</v>
      </c>
      <c r="N9" s="3">
        <v>25</v>
      </c>
      <c r="O9" s="3">
        <v>100</v>
      </c>
      <c r="P9" s="3">
        <v>36</v>
      </c>
      <c r="Q9" s="3">
        <v>3</v>
      </c>
      <c r="R9" s="3">
        <v>2550</v>
      </c>
      <c r="S9" s="16">
        <f>H9*R9/1000</f>
        <v>1.6830000000000001</v>
      </c>
      <c r="T9" s="44"/>
      <c r="U9" s="17" t="s">
        <v>59</v>
      </c>
      <c r="V9" s="3" t="s">
        <v>36</v>
      </c>
      <c r="W9" s="47"/>
    </row>
    <row r="10" spans="1:23" s="1" customFormat="1" ht="64.5" customHeight="1" x14ac:dyDescent="0.15">
      <c r="A10" s="3">
        <v>4</v>
      </c>
      <c r="B10" s="3" t="s">
        <v>65</v>
      </c>
      <c r="C10" s="8" t="s">
        <v>67</v>
      </c>
      <c r="D10" s="4" t="s">
        <v>64</v>
      </c>
      <c r="E10" s="23"/>
      <c r="F10" s="15"/>
      <c r="G10" s="23"/>
      <c r="H10" s="8">
        <v>0.185</v>
      </c>
      <c r="I10" s="3" t="s">
        <v>34</v>
      </c>
      <c r="J10" s="33" t="s">
        <v>62</v>
      </c>
      <c r="K10" s="35"/>
      <c r="L10" s="36">
        <f>L9</f>
        <v>2500</v>
      </c>
      <c r="M10" s="40" t="s">
        <v>68</v>
      </c>
      <c r="N10" s="41"/>
      <c r="O10" s="41"/>
      <c r="P10" s="41"/>
      <c r="Q10" s="41"/>
      <c r="R10" s="41"/>
      <c r="S10" s="42"/>
      <c r="T10" s="45"/>
      <c r="U10" s="6"/>
      <c r="V10" s="3" t="s">
        <v>36</v>
      </c>
      <c r="W10" s="48"/>
    </row>
    <row r="11" spans="1:23" s="1" customFormat="1" ht="16.5" customHeight="1" x14ac:dyDescent="0.15">
      <c r="A11" s="18" t="s">
        <v>38</v>
      </c>
      <c r="B11" s="19"/>
      <c r="C11" s="22"/>
      <c r="D11" s="22"/>
      <c r="E11" s="22"/>
      <c r="F11" s="22"/>
      <c r="G11" s="5"/>
      <c r="H11" s="22"/>
      <c r="I11" s="22"/>
      <c r="J11" s="22"/>
      <c r="K11" s="11">
        <f t="shared" ref="K11:S11" si="0">SUM(K7:K10)</f>
        <v>8.5638297872340434</v>
      </c>
      <c r="L11" s="12">
        <f t="shared" si="0"/>
        <v>45000</v>
      </c>
      <c r="M11" s="11">
        <f t="shared" si="0"/>
        <v>8.0500000000000007</v>
      </c>
      <c r="N11" s="11"/>
      <c r="O11" s="13">
        <f t="shared" si="0"/>
        <v>900</v>
      </c>
      <c r="P11" s="11"/>
      <c r="Q11" s="13">
        <f t="shared" si="0"/>
        <v>23</v>
      </c>
      <c r="R11" s="12">
        <f t="shared" si="0"/>
        <v>22650</v>
      </c>
      <c r="S11" s="11">
        <f t="shared" si="0"/>
        <v>8.1150000000000002</v>
      </c>
      <c r="T11" s="5"/>
      <c r="U11" s="22" t="s">
        <v>39</v>
      </c>
      <c r="V11" s="5"/>
      <c r="W11" s="5"/>
    </row>
    <row r="12" spans="1:23" s="1" customFormat="1" ht="16.5" customHeight="1" x14ac:dyDescent="0.15">
      <c r="A12" s="20"/>
      <c r="B12" s="21"/>
      <c r="C12" s="23"/>
      <c r="D12" s="23"/>
      <c r="E12" s="23"/>
      <c r="F12" s="23"/>
      <c r="G12" s="8"/>
      <c r="H12" s="23"/>
      <c r="I12" s="23"/>
      <c r="J12" s="23"/>
      <c r="K12" s="8" t="s">
        <v>25</v>
      </c>
      <c r="L12" s="8" t="s">
        <v>24</v>
      </c>
      <c r="M12" s="8" t="s">
        <v>25</v>
      </c>
      <c r="N12" s="8"/>
      <c r="O12" s="8" t="s">
        <v>27</v>
      </c>
      <c r="P12" s="8"/>
      <c r="Q12" s="8" t="s">
        <v>29</v>
      </c>
      <c r="R12" s="8" t="s">
        <v>24</v>
      </c>
      <c r="S12" s="15" t="s">
        <v>25</v>
      </c>
      <c r="T12" s="8"/>
      <c r="U12" s="23"/>
      <c r="V12" s="8"/>
      <c r="W12" s="8"/>
    </row>
    <row r="14" spans="1:23" s="1" customFormat="1" ht="25.5" customHeight="1" x14ac:dyDescent="0.15">
      <c r="B14" s="1" t="s">
        <v>40</v>
      </c>
      <c r="D14" s="27" t="s">
        <v>69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8"/>
      <c r="R14" s="28"/>
      <c r="S14" s="28"/>
      <c r="T14" s="28"/>
      <c r="U14" s="28"/>
      <c r="V14" s="28"/>
      <c r="W14" s="28"/>
    </row>
    <row r="15" spans="1:23" s="1" customFormat="1" ht="19.5" customHeight="1" x14ac:dyDescent="0.15">
      <c r="A15" s="1" t="s">
        <v>41</v>
      </c>
      <c r="B15" s="25" t="s">
        <v>42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s="1" customFormat="1" ht="19.5" customHeight="1" x14ac:dyDescent="0.15">
      <c r="B16" s="25" t="s">
        <v>43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s="1" customFormat="1" ht="28.5" customHeight="1" x14ac:dyDescent="0.15">
      <c r="A17" s="1" t="s">
        <v>44</v>
      </c>
      <c r="B17" s="25" t="s">
        <v>71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s="1" customFormat="1" ht="19.5" customHeight="1" x14ac:dyDescent="0.15">
      <c r="A18" s="1" t="s">
        <v>45</v>
      </c>
      <c r="B18" s="25" t="s">
        <v>46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s="1" customFormat="1" ht="19.5" customHeight="1" x14ac:dyDescent="0.15">
      <c r="A19" s="1" t="s">
        <v>47</v>
      </c>
      <c r="B19" s="49" t="s">
        <v>48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27.75" customHeight="1" x14ac:dyDescent="0.15">
      <c r="A20" s="1" t="s">
        <v>49</v>
      </c>
      <c r="B20" s="39" t="s">
        <v>70</v>
      </c>
    </row>
    <row r="21" spans="1:23" ht="20.25" customHeight="1" x14ac:dyDescent="0.15">
      <c r="C21" s="25" t="s">
        <v>50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23" ht="22.5" x14ac:dyDescent="0.15">
      <c r="R22" s="26">
        <v>45971</v>
      </c>
      <c r="S22" s="26"/>
      <c r="T22" s="26"/>
      <c r="U22" s="26"/>
      <c r="V22" s="26"/>
      <c r="W22" s="26"/>
    </row>
  </sheetData>
  <mergeCells count="44">
    <mergeCell ref="W7:W10"/>
    <mergeCell ref="A2:W2"/>
    <mergeCell ref="H4:I4"/>
    <mergeCell ref="O4:P4"/>
    <mergeCell ref="U4:W4"/>
    <mergeCell ref="I5:K5"/>
    <mergeCell ref="L5:Q5"/>
    <mergeCell ref="R5:S5"/>
    <mergeCell ref="W5:W6"/>
    <mergeCell ref="D14:O14"/>
    <mergeCell ref="P14:W14"/>
    <mergeCell ref="B15:W15"/>
    <mergeCell ref="B16:W16"/>
    <mergeCell ref="B17:W17"/>
    <mergeCell ref="V5:V6"/>
    <mergeCell ref="B18:W18"/>
    <mergeCell ref="C21:N21"/>
    <mergeCell ref="R22:W22"/>
    <mergeCell ref="A5:A6"/>
    <mergeCell ref="B5:B6"/>
    <mergeCell ref="C5:C6"/>
    <mergeCell ref="C11:C12"/>
    <mergeCell ref="D5:D6"/>
    <mergeCell ref="D11:D12"/>
    <mergeCell ref="E5:E6"/>
    <mergeCell ref="E11:E12"/>
    <mergeCell ref="F5:F6"/>
    <mergeCell ref="F11:F12"/>
    <mergeCell ref="G5:G6"/>
    <mergeCell ref="H11:H12"/>
    <mergeCell ref="A11:B12"/>
    <mergeCell ref="J11:J12"/>
    <mergeCell ref="T5:T6"/>
    <mergeCell ref="U5:U6"/>
    <mergeCell ref="U11:U12"/>
    <mergeCell ref="I11:I12"/>
    <mergeCell ref="J8:K8"/>
    <mergeCell ref="J10:K10"/>
    <mergeCell ref="E7:E10"/>
    <mergeCell ref="M8:S8"/>
    <mergeCell ref="M10:S10"/>
    <mergeCell ref="G7:G8"/>
    <mergeCell ref="G9:G10"/>
    <mergeCell ref="T7:T10"/>
  </mergeCells>
  <phoneticPr fontId="8" type="noConversion"/>
  <pageMargins left="0.7" right="0.7" top="0.75" bottom="0.75" header="0.3" footer="0.3"/>
  <pageSetup paperSize="9" scale="91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2025-11-14T02:38:14Z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2FEE3D2365C84FDC9DEA51BFD3C33E3D_13</vt:lpwstr>
  </property>
  <property fmtid="{D5CDD505-2E9C-101B-9397-08002B2CF9AE}" pid="3" name="KSOProductBuildVer">
    <vt:lpwstr>2052-12.1.0.16729</vt:lpwstr>
  </property>
</Properties>
</file>