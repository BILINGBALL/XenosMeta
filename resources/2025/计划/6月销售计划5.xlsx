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706BC94A-C369-49A9-AFB7-0E8B71C8EB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M8" i="1"/>
  <c r="K8" i="1"/>
  <c r="S7" i="1"/>
  <c r="M7" i="1"/>
  <c r="K7" i="1" s="1"/>
</calcChain>
</file>

<file path=xl/sharedStrings.xml><?xml version="1.0" encoding="utf-8"?>
<sst xmlns="http://schemas.openxmlformats.org/spreadsheetml/2006/main" count="74" uniqueCount="68">
  <si>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</si>
  <si>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</si>
  <si>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</si>
  <si>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</si>
  <si>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</si>
  <si>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</si>
  <si>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</si>
  <si>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</si>
  <si>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</si>
  <si>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</si>
  <si>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</si>
  <si>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</si>
  <si>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</si>
  <si>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</si>
  <si>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</si>
  <si>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</si>
  <si>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</si>
  <si>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</si>
  <si>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</si>
  <si>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</si>
  <si>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</si>
  <si>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</si>
  <si>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</si>
  <si>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</si>
  <si>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</si>
  <si>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</si>
  <si>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</si>
  <si>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</si>
  <si>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</si>
  <si>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</si>
  <si>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24 X 165</t>
  </si>
  <si>
    <t>8.8级</t>
  </si>
  <si>
    <t>45#</t>
  </si>
  <si>
    <t>Φ25</t>
  </si>
  <si>
    <t>热镀锌</t>
  </si>
  <si>
    <t>编织袋+免熏蒸木箱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</si>
  <si>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</si>
  <si>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</si>
  <si>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</si>
  <si>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</si>
  <si>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</si>
  <si>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</si>
  <si>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</si>
  <si>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</si>
  <si>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</si>
  <si>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</si>
  <si>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</si>
  <si>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</si>
  <si>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</si>
  <si>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24 X 145</t>
  </si>
  <si>
    <t>客户图纸
UIC864-1
5.6级</t>
  </si>
  <si>
    <t>DR.SS.S.01</t>
  </si>
  <si>
    <t>35K</t>
  </si>
  <si>
    <t>S</t>
  </si>
  <si>
    <t>250620-1</t>
    <phoneticPr fontId="8" type="noConversion"/>
  </si>
  <si>
    <t>250620-2</t>
  </si>
  <si>
    <t>6  月  份  销  售  计  划 5</t>
    <phoneticPr fontId="8" type="noConversion"/>
  </si>
  <si>
    <t>ACC-SS8_F</t>
    <phoneticPr fontId="8" type="noConversion"/>
  </si>
  <si>
    <t>2025-7-28</t>
    <phoneticPr fontId="8" type="noConversion"/>
  </si>
  <si>
    <t>14.8
吨</t>
    <phoneticPr fontId="8" type="noConversion"/>
  </si>
  <si>
    <t>20000
件</t>
    <phoneticPr fontId="8" type="noConversion"/>
  </si>
  <si>
    <t>13.8
吨</t>
    <phoneticPr fontId="8" type="noConversion"/>
  </si>
  <si>
    <t>800
袋</t>
    <phoneticPr fontId="8" type="noConversion"/>
  </si>
  <si>
    <t>20
箱</t>
    <phoneticPr fontId="8" type="noConversion"/>
  </si>
  <si>
    <t>20200
件</t>
    <phoneticPr fontId="8" type="noConversion"/>
  </si>
  <si>
    <t>13.9
吨</t>
    <phoneticPr fontId="8" type="noConversion"/>
  </si>
  <si>
    <t>包装暂定</t>
    <phoneticPr fontId="8" type="noConversion"/>
  </si>
  <si>
    <t>DEL
165
25
8.8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</si>
</sst>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topLeftCell="A5" workbookViewId="0">
      <selection activeCell="S9" sqref="S9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7.375" style="2" customWidth="1"/>
    <col min="22" max="22" width="5.625" style="2" customWidth="1"/>
    <col min="23" max="23" width="6.125" style="2" customWidth="1"/>
    <col min="24" max="16384" width="9" style="2"/>
  </cols>
  <sheetData>
    <row r="2" spans="1:23" ht="45" customHeight="1" x14ac:dyDescent="0.15">
      <c r="A2" s="17" t="s">
        <v>56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8" t="s">
        <v>2</v>
      </c>
      <c r="J4" s="18"/>
      <c r="K4" s="3"/>
      <c r="L4" s="3"/>
      <c r="M4" s="3"/>
      <c r="N4" s="19" t="s">
        <v>3</v>
      </c>
      <c r="O4" s="19"/>
      <c r="P4" s="3"/>
      <c r="Q4" s="3"/>
      <c r="R4" s="3"/>
      <c r="S4" s="3"/>
      <c r="T4" s="20"/>
      <c r="U4" s="21"/>
      <c r="V4" s="21"/>
      <c r="W4" s="21"/>
    </row>
    <row r="5" spans="1:23" s="1" customFormat="1" ht="29.25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4" t="s">
        <v>11</v>
      </c>
      <c r="I5" s="22" t="s">
        <v>12</v>
      </c>
      <c r="J5" s="22"/>
      <c r="K5" s="22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9.25" customHeight="1" x14ac:dyDescent="0.15">
      <c r="A6" s="22"/>
      <c r="B6" s="22"/>
      <c r="C6" s="22"/>
      <c r="D6" s="22"/>
      <c r="E6" s="22"/>
      <c r="F6" s="22"/>
      <c r="G6" s="22"/>
      <c r="H6" s="4" t="s">
        <v>19</v>
      </c>
      <c r="I6" s="4" t="s">
        <v>20</v>
      </c>
      <c r="J6" s="4" t="s">
        <v>21</v>
      </c>
      <c r="K6" s="5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22"/>
      <c r="U6" s="22"/>
      <c r="V6" s="22"/>
      <c r="W6" s="22"/>
    </row>
    <row r="7" spans="1:23" s="1" customFormat="1" ht="58.5" customHeight="1" x14ac:dyDescent="0.15">
      <c r="A7" s="4">
        <v>1</v>
      </c>
      <c r="B7" s="4" t="s">
        <v>29</v>
      </c>
      <c r="C7" s="4" t="s">
        <v>30</v>
      </c>
      <c r="D7" s="10" t="s">
        <v>54</v>
      </c>
      <c r="E7" s="4">
        <v>9430</v>
      </c>
      <c r="F7" s="4" t="s">
        <v>31</v>
      </c>
      <c r="G7" s="10" t="s">
        <v>57</v>
      </c>
      <c r="H7" s="4">
        <v>0.59499999999999997</v>
      </c>
      <c r="I7" s="4" t="s">
        <v>32</v>
      </c>
      <c r="J7" s="4" t="s">
        <v>33</v>
      </c>
      <c r="K7" s="6">
        <f>M7/0.92</f>
        <v>6.4673913043478262</v>
      </c>
      <c r="L7" s="4">
        <v>10000</v>
      </c>
      <c r="M7" s="7">
        <f>H7*L7/1000</f>
        <v>5.95</v>
      </c>
      <c r="N7" s="4">
        <v>25</v>
      </c>
      <c r="O7" s="4">
        <v>400</v>
      </c>
      <c r="P7" s="4">
        <v>40</v>
      </c>
      <c r="Q7" s="4">
        <v>10</v>
      </c>
      <c r="R7" s="4">
        <v>10100</v>
      </c>
      <c r="S7" s="7">
        <f>H7*R7/1000</f>
        <v>6.0095000000000001</v>
      </c>
      <c r="T7" s="25" t="s">
        <v>58</v>
      </c>
      <c r="U7" s="5" t="s">
        <v>67</v>
      </c>
      <c r="V7" s="8" t="s">
        <v>34</v>
      </c>
      <c r="W7" s="9" t="s">
        <v>35</v>
      </c>
    </row>
    <row r="8" spans="1:23" s="1" customFormat="1" ht="58.5" customHeight="1" x14ac:dyDescent="0.15">
      <c r="A8" s="10">
        <v>2</v>
      </c>
      <c r="B8" s="10" t="s">
        <v>29</v>
      </c>
      <c r="C8" s="10" t="s">
        <v>49</v>
      </c>
      <c r="D8" s="10" t="s">
        <v>55</v>
      </c>
      <c r="E8" s="10">
        <v>9431</v>
      </c>
      <c r="F8" s="11" t="s">
        <v>50</v>
      </c>
      <c r="G8" s="10" t="s">
        <v>51</v>
      </c>
      <c r="H8" s="10">
        <v>0.78</v>
      </c>
      <c r="I8" s="10" t="s">
        <v>52</v>
      </c>
      <c r="J8" s="10" t="s">
        <v>33</v>
      </c>
      <c r="K8" s="12">
        <f>M8/0.94</f>
        <v>8.297872340425533</v>
      </c>
      <c r="L8" s="10">
        <v>10000</v>
      </c>
      <c r="M8" s="12">
        <f>H8*L8/1000</f>
        <v>7.8</v>
      </c>
      <c r="N8" s="10">
        <v>25</v>
      </c>
      <c r="O8" s="10">
        <v>400</v>
      </c>
      <c r="P8" s="10">
        <v>40</v>
      </c>
      <c r="Q8" s="10">
        <v>10</v>
      </c>
      <c r="R8" s="10">
        <v>10100</v>
      </c>
      <c r="S8" s="12">
        <f>H8*R8/1000</f>
        <v>7.8780000000000001</v>
      </c>
      <c r="T8" s="26"/>
      <c r="U8" s="10" t="s">
        <v>53</v>
      </c>
      <c r="V8" s="13" t="s">
        <v>34</v>
      </c>
      <c r="W8" s="14" t="s">
        <v>35</v>
      </c>
    </row>
    <row r="9" spans="1:23" s="1" customFormat="1" ht="34.5" customHeight="1" x14ac:dyDescent="0.15">
      <c r="A9" s="22" t="s">
        <v>36</v>
      </c>
      <c r="B9" s="22"/>
      <c r="C9" s="4"/>
      <c r="D9" s="4"/>
      <c r="E9" s="4"/>
      <c r="F9" s="4"/>
      <c r="G9" s="4"/>
      <c r="H9" s="4"/>
      <c r="I9" s="4"/>
      <c r="J9" s="4"/>
      <c r="K9" s="10" t="s">
        <v>59</v>
      </c>
      <c r="L9" s="10" t="s">
        <v>60</v>
      </c>
      <c r="M9" s="10" t="s">
        <v>61</v>
      </c>
      <c r="N9" s="4"/>
      <c r="O9" s="10" t="s">
        <v>62</v>
      </c>
      <c r="P9" s="4"/>
      <c r="Q9" s="10" t="s">
        <v>63</v>
      </c>
      <c r="R9" s="10" t="s">
        <v>64</v>
      </c>
      <c r="S9" s="10" t="s">
        <v>65</v>
      </c>
      <c r="T9" s="4"/>
      <c r="U9" s="4" t="s">
        <v>37</v>
      </c>
      <c r="V9" s="4"/>
      <c r="W9" s="4"/>
    </row>
    <row r="10" spans="1:23" ht="17.25" customHeight="1" x14ac:dyDescent="0.15">
      <c r="Q10" s="15" t="s">
        <v>66</v>
      </c>
    </row>
    <row r="11" spans="1:23" s="1" customFormat="1" ht="19.5" customHeight="1" x14ac:dyDescent="0.15">
      <c r="B11" s="1" t="s">
        <v>38</v>
      </c>
    </row>
    <row r="12" spans="1:23" s="1" customFormat="1" ht="19.5" customHeight="1" x14ac:dyDescent="0.15">
      <c r="A12" s="1" t="s">
        <v>39</v>
      </c>
      <c r="B12" s="16" t="s">
        <v>40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B13" s="16" t="s">
        <v>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s="1" customFormat="1" ht="19.5" customHeight="1" x14ac:dyDescent="0.15">
      <c r="A14" s="1" t="s">
        <v>42</v>
      </c>
      <c r="B14" s="16" t="s">
        <v>43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s="1" customFormat="1" ht="19.5" customHeight="1" x14ac:dyDescent="0.15">
      <c r="A15" s="1" t="s">
        <v>44</v>
      </c>
      <c r="B15" s="16" t="s">
        <v>45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s="1" customFormat="1" ht="19.5" customHeight="1" x14ac:dyDescent="0.15">
      <c r="A16" s="1" t="s">
        <v>46</v>
      </c>
      <c r="B16" s="16" t="s">
        <v>47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3:23" ht="42" customHeight="1" x14ac:dyDescent="0.15">
      <c r="T17" s="23">
        <v>45828</v>
      </c>
      <c r="U17" s="23"/>
      <c r="V17" s="23"/>
      <c r="W17" s="23"/>
    </row>
    <row r="18" spans="3:23" ht="20.25" customHeight="1" x14ac:dyDescent="0.15">
      <c r="C18" s="24" t="s">
        <v>48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</sheetData>
  <mergeCells count="27">
    <mergeCell ref="B16:W16"/>
    <mergeCell ref="T17:W17"/>
    <mergeCell ref="C18:N18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T7:T8"/>
    <mergeCell ref="A9:B9"/>
    <mergeCell ref="B12:W12"/>
    <mergeCell ref="B13:W13"/>
    <mergeCell ref="B14:W14"/>
    <mergeCell ref="B15:W15"/>
    <mergeCell ref="A2:W2"/>
    <mergeCell ref="I4:J4"/>
    <mergeCell ref="N4:O4"/>
    <mergeCell ref="T4:W4"/>
    <mergeCell ref="I5:K5"/>
    <mergeCell ref="L5:Q5"/>
    <mergeCell ref="R5:S5"/>
  </mergeCells>
  <phoneticPr fontId="8" type="noConversion"/>
  <pageMargins left="0.7" right="0.7" top="0.75" bottom="0.75" header="0.3" footer="0.3"/>
  <pageSetup paperSize="9" scale="96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2025-06-24T06:08:35Z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45E0DDF4D882474DA70FD075BCE611A8_13</vt:lpwstr>
  </property>
  <property fmtid="{D5CDD505-2E9C-101B-9397-08002B2CF9AE}" pid="3" name="KSOProductBuildVer">
    <vt:lpwstr>2052-12.1.0.15358</vt:lpwstr>
  </property>
</Properties>
</file>