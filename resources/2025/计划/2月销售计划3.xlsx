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9669E304-E882-4A64-8DC6-2E210155068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  <c r="M7" i="1"/>
  <c r="K7" i="1" s="1"/>
  <c r="M8" i="1"/>
  <c r="K8" i="1" s="1"/>
  <c r="S8" i="1"/>
  <c r="M9" i="1"/>
  <c r="K9" i="1" s="1"/>
  <c r="S9" i="1"/>
  <c r="S10" i="1"/>
  <c r="M10" i="1"/>
  <c r="K10" i="1" s="1"/>
  <c r="S11" i="1"/>
  <c r="M11" i="1" l="1"/>
  <c r="K11" i="1" s="1"/>
</calcChain>
</file>

<file path=xl/sharedStrings.xml><?xml version="1.0" encoding="utf-8"?>
<sst xmlns="http://schemas.openxmlformats.org/spreadsheetml/2006/main" count="101" uniqueCount="69">
  <si>
    <t>编制：</t>
    <phoneticPr fontId="1" type="noConversion"/>
  </si>
  <si>
    <t>序号</t>
    <phoneticPr fontId="1" type="noConversion"/>
  </si>
  <si>
    <t>型号及规格</t>
    <phoneticPr fontId="1" type="noConversion"/>
  </si>
  <si>
    <t>生产令号</t>
    <phoneticPr fontId="1" type="noConversion"/>
  </si>
  <si>
    <t>合同号P.O.</t>
    <phoneticPr fontId="1" type="noConversion"/>
  </si>
  <si>
    <t>产品图号</t>
    <phoneticPr fontId="1" type="noConversion"/>
  </si>
  <si>
    <t>净重</t>
    <phoneticPr fontId="1" type="noConversion"/>
  </si>
  <si>
    <t>原材料</t>
    <phoneticPr fontId="1" type="noConversion"/>
  </si>
  <si>
    <t>计划生产数量</t>
    <phoneticPr fontId="1" type="noConversion"/>
  </si>
  <si>
    <t>完成时间</t>
    <phoneticPr fontId="1" type="noConversion"/>
  </si>
  <si>
    <t>头部标记</t>
    <phoneticPr fontId="1" type="noConversion"/>
  </si>
  <si>
    <t>表面处理</t>
    <phoneticPr fontId="1" type="noConversion"/>
  </si>
  <si>
    <t>包装物</t>
    <phoneticPr fontId="1" type="noConversion"/>
  </si>
  <si>
    <t>KG/件</t>
    <phoneticPr fontId="1" type="noConversion"/>
  </si>
  <si>
    <t>材质</t>
    <phoneticPr fontId="1" type="noConversion"/>
  </si>
  <si>
    <t>规格</t>
    <phoneticPr fontId="1" type="noConversion"/>
  </si>
  <si>
    <t>件</t>
    <phoneticPr fontId="1" type="noConversion"/>
  </si>
  <si>
    <t>吨</t>
    <phoneticPr fontId="1" type="noConversion"/>
  </si>
  <si>
    <t>件/袋</t>
    <phoneticPr fontId="1" type="noConversion"/>
  </si>
  <si>
    <t>袋</t>
    <phoneticPr fontId="1" type="noConversion"/>
  </si>
  <si>
    <t>袋/箱</t>
    <phoneticPr fontId="1" type="noConversion"/>
  </si>
  <si>
    <t>箱</t>
    <phoneticPr fontId="1" type="noConversion"/>
  </si>
  <si>
    <t>合计</t>
    <phoneticPr fontId="1" type="noConversion"/>
  </si>
  <si>
    <t>1、</t>
    <phoneticPr fontId="1" type="noConversion"/>
  </si>
  <si>
    <t>2、</t>
  </si>
  <si>
    <t>3、</t>
  </si>
  <si>
    <t>生产部门按生产工艺生产，加强自检，严格质量管理。</t>
    <phoneticPr fontId="1" type="noConversion"/>
  </si>
  <si>
    <t>品管部负责办理质量证明书，检测报告及相关数据。</t>
    <phoneticPr fontId="1" type="noConversion"/>
  </si>
  <si>
    <t>分发：总经理、总经办、品管部、生产部</t>
    <phoneticPr fontId="1" type="noConversion"/>
  </si>
  <si>
    <t>说明：</t>
    <phoneticPr fontId="1" type="noConversion"/>
  </si>
  <si>
    <t>复核：</t>
    <phoneticPr fontId="1" type="noConversion"/>
  </si>
  <si>
    <t>合同要求量</t>
    <phoneticPr fontId="1" type="noConversion"/>
  </si>
  <si>
    <t>批准：</t>
    <phoneticPr fontId="1" type="noConversion"/>
  </si>
  <si>
    <t>产品
名称</t>
    <phoneticPr fontId="1" type="noConversion"/>
  </si>
  <si>
    <t>产品
标准</t>
    <phoneticPr fontId="1" type="noConversion"/>
  </si>
  <si>
    <t>螺纹
道钉</t>
    <phoneticPr fontId="1" type="noConversion"/>
  </si>
  <si>
    <t>热镀锌</t>
    <phoneticPr fontId="1" type="noConversion"/>
  </si>
  <si>
    <t>数量（吨）</t>
    <phoneticPr fontId="1" type="noConversion"/>
  </si>
  <si>
    <t>高蕾</t>
    <phoneticPr fontId="1" type="noConversion"/>
  </si>
  <si>
    <t>详见图纸</t>
    <phoneticPr fontId="1" type="noConversion"/>
  </si>
  <si>
    <t>Φ26</t>
    <phoneticPr fontId="1" type="noConversion"/>
  </si>
  <si>
    <t>编织袋+免熏蒸木箱</t>
    <phoneticPr fontId="1" type="noConversion"/>
  </si>
  <si>
    <t>请按要求全尺寸检验并保留记录以供检查。</t>
    <phoneticPr fontId="1" type="noConversion"/>
  </si>
  <si>
    <t>2  月  份  销  售  计  划  3</t>
    <phoneticPr fontId="1" type="noConversion"/>
  </si>
  <si>
    <t xml:space="preserve">PO_IND02339 </t>
    <phoneticPr fontId="1" type="noConversion"/>
  </si>
  <si>
    <t>E225/195
E225/235</t>
    <phoneticPr fontId="1" type="noConversion"/>
  </si>
  <si>
    <t>250207-1</t>
    <phoneticPr fontId="1" type="noConversion"/>
  </si>
  <si>
    <t>250207-2</t>
  </si>
  <si>
    <t>250207-3</t>
  </si>
  <si>
    <t>250207-4</t>
  </si>
  <si>
    <t>250207-5</t>
  </si>
  <si>
    <t>25X189</t>
    <phoneticPr fontId="1" type="noConversion"/>
  </si>
  <si>
    <t>25X194</t>
    <phoneticPr fontId="1" type="noConversion"/>
  </si>
  <si>
    <t>25X199</t>
    <phoneticPr fontId="1" type="noConversion"/>
  </si>
  <si>
    <t>25X204</t>
    <phoneticPr fontId="1" type="noConversion"/>
  </si>
  <si>
    <t>25X209</t>
    <phoneticPr fontId="1" type="noConversion"/>
  </si>
  <si>
    <t>5.6级</t>
    <phoneticPr fontId="1" type="noConversion"/>
  </si>
  <si>
    <t>35K</t>
    <phoneticPr fontId="1" type="noConversion"/>
  </si>
  <si>
    <t>2
吨</t>
    <phoneticPr fontId="1" type="noConversion"/>
  </si>
  <si>
    <t>2375
件</t>
    <phoneticPr fontId="1" type="noConversion"/>
  </si>
  <si>
    <t>95
袋</t>
    <phoneticPr fontId="1" type="noConversion"/>
  </si>
  <si>
    <t>5
箱</t>
    <phoneticPr fontId="1" type="noConversion"/>
  </si>
  <si>
    <t>2500
件</t>
    <phoneticPr fontId="1" type="noConversion"/>
  </si>
  <si>
    <r>
      <t xml:space="preserve">GS195-J13
SDL
</t>
    </r>
    <r>
      <rPr>
        <sz val="14"/>
        <color theme="1"/>
        <rFont val="宋体"/>
        <family val="3"/>
        <charset val="134"/>
        <scheme val="minor"/>
      </rPr>
      <t>5.6</t>
    </r>
    <r>
      <rPr>
        <sz val="9"/>
        <color theme="1"/>
        <rFont val="宋体"/>
        <family val="3"/>
        <charset val="134"/>
        <scheme val="minor"/>
      </rPr>
      <t xml:space="preserve">
PANDROL
25</t>
    </r>
    <phoneticPr fontId="1" type="noConversion"/>
  </si>
  <si>
    <r>
      <t xml:space="preserve">GS195-J14
SDL
</t>
    </r>
    <r>
      <rPr>
        <sz val="14"/>
        <color theme="1"/>
        <rFont val="宋体"/>
        <family val="3"/>
        <charset val="134"/>
        <scheme val="minor"/>
      </rPr>
      <t>5.6</t>
    </r>
    <r>
      <rPr>
        <sz val="9"/>
        <color theme="1"/>
        <rFont val="宋体"/>
        <family val="3"/>
        <charset val="134"/>
        <scheme val="minor"/>
      </rPr>
      <t xml:space="preserve">
PANDROL
25</t>
    </r>
    <phoneticPr fontId="1" type="noConversion"/>
  </si>
  <si>
    <r>
      <t xml:space="preserve">GS195-J15
SDL
</t>
    </r>
    <r>
      <rPr>
        <sz val="14"/>
        <color theme="1"/>
        <rFont val="宋体"/>
        <family val="3"/>
        <charset val="134"/>
        <scheme val="minor"/>
      </rPr>
      <t>5.6</t>
    </r>
    <r>
      <rPr>
        <sz val="9"/>
        <color theme="1"/>
        <rFont val="宋体"/>
        <family val="3"/>
        <charset val="134"/>
        <scheme val="minor"/>
      </rPr>
      <t xml:space="preserve">
PANDROL
25</t>
    </r>
    <phoneticPr fontId="1" type="noConversion"/>
  </si>
  <si>
    <r>
      <t xml:space="preserve">GS195-J16
SDL
</t>
    </r>
    <r>
      <rPr>
        <sz val="14"/>
        <color theme="1"/>
        <rFont val="宋体"/>
        <family val="3"/>
        <charset val="134"/>
        <scheme val="minor"/>
      </rPr>
      <t>5.6</t>
    </r>
    <r>
      <rPr>
        <sz val="9"/>
        <color theme="1"/>
        <rFont val="宋体"/>
        <family val="3"/>
        <charset val="134"/>
        <scheme val="minor"/>
      </rPr>
      <t xml:space="preserve">
PANDROL
25</t>
    </r>
    <phoneticPr fontId="1" type="noConversion"/>
  </si>
  <si>
    <r>
      <t xml:space="preserve">GS195-J17
SDL
</t>
    </r>
    <r>
      <rPr>
        <sz val="14"/>
        <color theme="1"/>
        <rFont val="宋体"/>
        <family val="3"/>
        <charset val="134"/>
        <scheme val="minor"/>
      </rPr>
      <t>5.6</t>
    </r>
    <r>
      <rPr>
        <sz val="9"/>
        <color theme="1"/>
        <rFont val="宋体"/>
        <family val="3"/>
        <charset val="134"/>
        <scheme val="minor"/>
      </rPr>
      <t xml:space="preserve">
PANDROL
25</t>
    </r>
    <phoneticPr fontId="1" type="noConversion"/>
  </si>
  <si>
    <t>冷弯15°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</si>
</sst>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2"/>
      <color theme="1"/>
      <name val="宋体"/>
      <family val="2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4" fillId="0" borderId="3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7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right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14" fontId="6" fillId="0" borderId="4" xfId="0" applyNumberFormat="1" applyFont="1" applyBorder="1" applyAlignment="1">
      <alignment horizontal="center" vertical="center" wrapText="1"/>
    </xf>
    <xf numFmtId="14" fontId="6" fillId="0" borderId="5" xfId="0" applyNumberFormat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66675</xdr:colOff>
      <xdr:row>13</xdr:row>
      <xdr:rowOff>0</xdr:rowOff>
    </xdr:from>
    <xdr:to>
      <xdr:col>17</xdr:col>
      <xdr:colOff>400050</xdr:colOff>
      <xdr:row>19</xdr:row>
      <xdr:rowOff>56413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D57F548-3699-A794-229C-C49F0305E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6050" y="6886575"/>
          <a:ext cx="1895475" cy="1828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20"/>
  <sheetViews>
    <sheetView tabSelected="1" topLeftCell="A10" workbookViewId="0">
      <selection activeCell="E7" sqref="E7:E11"/>
    </sheetView>
  </sheetViews>
  <sheetFormatPr defaultRowHeight="13.5" x14ac:dyDescent="0.15"/>
  <cols>
    <col min="1" max="1" width="4.125" style="1" customWidth="1"/>
    <col min="2" max="2" width="6.5" style="1" customWidth="1"/>
    <col min="3" max="4" width="9.125" style="1" customWidth="1"/>
    <col min="5" max="5" width="5.875" style="1" customWidth="1"/>
    <col min="6" max="6" width="6.75" style="1" customWidth="1"/>
    <col min="7" max="7" width="8" style="1" customWidth="1"/>
    <col min="8" max="8" width="6.5" style="1" customWidth="1"/>
    <col min="9" max="9" width="5.625" style="1" customWidth="1"/>
    <col min="10" max="10" width="5.375" style="1" customWidth="1"/>
    <col min="11" max="11" width="6.125" style="1" customWidth="1"/>
    <col min="12" max="13" width="5.625" style="1" customWidth="1"/>
    <col min="14" max="14" width="4.375" style="1" customWidth="1"/>
    <col min="15" max="15" width="5.625" style="1" customWidth="1"/>
    <col min="16" max="16" width="4.875" style="1" customWidth="1"/>
    <col min="17" max="19" width="5.625" style="1" customWidth="1"/>
    <col min="20" max="20" width="8.875" style="1" customWidth="1"/>
    <col min="21" max="21" width="9.5" style="1" customWidth="1"/>
    <col min="22" max="22" width="5.625" style="1" customWidth="1"/>
    <col min="23" max="23" width="6.125" style="1" customWidth="1"/>
    <col min="24" max="16384" width="9" style="1"/>
  </cols>
  <sheetData>
    <row r="2" spans="1:23" ht="45" customHeight="1" x14ac:dyDescent="0.15">
      <c r="A2" s="9" t="s">
        <v>43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4" spans="1:23" s="2" customFormat="1" ht="22.5" customHeight="1" x14ac:dyDescent="0.15">
      <c r="B4" s="5" t="s">
        <v>0</v>
      </c>
      <c r="C4" s="5" t="s">
        <v>38</v>
      </c>
      <c r="D4" s="5"/>
      <c r="E4" s="5"/>
      <c r="F4" s="5"/>
      <c r="G4" s="5"/>
      <c r="H4" s="5"/>
      <c r="I4" s="13" t="s">
        <v>30</v>
      </c>
      <c r="J4" s="13"/>
      <c r="K4" s="5"/>
      <c r="L4" s="5"/>
      <c r="M4" s="5"/>
      <c r="N4" s="14" t="s">
        <v>32</v>
      </c>
      <c r="O4" s="14"/>
      <c r="P4" s="5"/>
      <c r="Q4" s="5"/>
      <c r="R4" s="5"/>
      <c r="S4" s="5"/>
    </row>
    <row r="5" spans="1:23" s="2" customFormat="1" ht="29.25" customHeight="1" x14ac:dyDescent="0.15">
      <c r="A5" s="10" t="s">
        <v>1</v>
      </c>
      <c r="B5" s="10" t="s">
        <v>33</v>
      </c>
      <c r="C5" s="10" t="s">
        <v>2</v>
      </c>
      <c r="D5" s="10" t="s">
        <v>3</v>
      </c>
      <c r="E5" s="10" t="s">
        <v>4</v>
      </c>
      <c r="F5" s="10" t="s">
        <v>34</v>
      </c>
      <c r="G5" s="10" t="s">
        <v>5</v>
      </c>
      <c r="H5" s="3" t="s">
        <v>6</v>
      </c>
      <c r="I5" s="10" t="s">
        <v>7</v>
      </c>
      <c r="J5" s="10"/>
      <c r="K5" s="10"/>
      <c r="L5" s="10" t="s">
        <v>31</v>
      </c>
      <c r="M5" s="10"/>
      <c r="N5" s="10"/>
      <c r="O5" s="10"/>
      <c r="P5" s="10"/>
      <c r="Q5" s="10"/>
      <c r="R5" s="10" t="s">
        <v>8</v>
      </c>
      <c r="S5" s="10"/>
      <c r="T5" s="10" t="s">
        <v>9</v>
      </c>
      <c r="U5" s="10" t="s">
        <v>10</v>
      </c>
      <c r="V5" s="10" t="s">
        <v>11</v>
      </c>
      <c r="W5" s="10" t="s">
        <v>12</v>
      </c>
    </row>
    <row r="6" spans="1:23" s="2" customFormat="1" ht="29.25" customHeight="1" x14ac:dyDescent="0.15">
      <c r="A6" s="10"/>
      <c r="B6" s="10"/>
      <c r="C6" s="10"/>
      <c r="D6" s="10"/>
      <c r="E6" s="10"/>
      <c r="F6" s="10"/>
      <c r="G6" s="10"/>
      <c r="H6" s="3" t="s">
        <v>13</v>
      </c>
      <c r="I6" s="3" t="s">
        <v>14</v>
      </c>
      <c r="J6" s="3" t="s">
        <v>15</v>
      </c>
      <c r="K6" s="4" t="s">
        <v>37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20</v>
      </c>
      <c r="Q6" s="3" t="s">
        <v>21</v>
      </c>
      <c r="R6" s="3" t="s">
        <v>16</v>
      </c>
      <c r="S6" s="3" t="s">
        <v>17</v>
      </c>
      <c r="T6" s="10"/>
      <c r="U6" s="10"/>
      <c r="V6" s="10"/>
      <c r="W6" s="10"/>
    </row>
    <row r="7" spans="1:23" s="2" customFormat="1" ht="67.5" customHeight="1" x14ac:dyDescent="0.15">
      <c r="A7" s="3">
        <v>1</v>
      </c>
      <c r="B7" s="3" t="s">
        <v>35</v>
      </c>
      <c r="C7" s="3" t="s">
        <v>51</v>
      </c>
      <c r="D7" s="3" t="s">
        <v>46</v>
      </c>
      <c r="E7" s="17" t="s">
        <v>44</v>
      </c>
      <c r="F7" s="3" t="s">
        <v>56</v>
      </c>
      <c r="G7" s="3" t="s">
        <v>45</v>
      </c>
      <c r="H7" s="3">
        <v>0.73</v>
      </c>
      <c r="I7" s="3" t="s">
        <v>57</v>
      </c>
      <c r="J7" s="3" t="s">
        <v>40</v>
      </c>
      <c r="K7" s="8">
        <f>M7/0.93</f>
        <v>0.37284946236559136</v>
      </c>
      <c r="L7" s="3">
        <v>475</v>
      </c>
      <c r="M7" s="7">
        <f>L7*H7/1000</f>
        <v>0.34675</v>
      </c>
      <c r="N7" s="3">
        <v>25</v>
      </c>
      <c r="O7" s="3">
        <v>19</v>
      </c>
      <c r="P7" s="3">
        <v>19</v>
      </c>
      <c r="Q7" s="3">
        <v>1</v>
      </c>
      <c r="R7" s="3">
        <v>500</v>
      </c>
      <c r="S7" s="7">
        <f>H7*R7/1000</f>
        <v>0.36499999999999999</v>
      </c>
      <c r="T7" s="20">
        <v>45726</v>
      </c>
      <c r="U7" s="23" t="s">
        <v>63</v>
      </c>
      <c r="V7" s="4" t="s">
        <v>36</v>
      </c>
      <c r="W7" s="6" t="s">
        <v>41</v>
      </c>
    </row>
    <row r="8" spans="1:23" s="2" customFormat="1" ht="67.5" customHeight="1" x14ac:dyDescent="0.15">
      <c r="A8" s="3">
        <v>2</v>
      </c>
      <c r="B8" s="3" t="s">
        <v>35</v>
      </c>
      <c r="C8" s="3" t="s">
        <v>52</v>
      </c>
      <c r="D8" s="3" t="s">
        <v>47</v>
      </c>
      <c r="E8" s="18"/>
      <c r="F8" s="3" t="s">
        <v>56</v>
      </c>
      <c r="G8" s="3" t="s">
        <v>45</v>
      </c>
      <c r="H8" s="3">
        <v>0.75</v>
      </c>
      <c r="I8" s="3" t="s">
        <v>57</v>
      </c>
      <c r="J8" s="3" t="s">
        <v>40</v>
      </c>
      <c r="K8" s="8">
        <f>M8/0.93</f>
        <v>0.38306451612903225</v>
      </c>
      <c r="L8" s="3">
        <v>475</v>
      </c>
      <c r="M8" s="7">
        <f>L8*H8/1000</f>
        <v>0.35625000000000001</v>
      </c>
      <c r="N8" s="3">
        <v>25</v>
      </c>
      <c r="O8" s="3">
        <v>19</v>
      </c>
      <c r="P8" s="3">
        <v>19</v>
      </c>
      <c r="Q8" s="3">
        <v>1</v>
      </c>
      <c r="R8" s="3">
        <v>500</v>
      </c>
      <c r="S8" s="7">
        <f>H8*R8/1000</f>
        <v>0.375</v>
      </c>
      <c r="T8" s="21"/>
      <c r="U8" s="23" t="s">
        <v>64</v>
      </c>
      <c r="V8" s="4" t="s">
        <v>36</v>
      </c>
      <c r="W8" s="6" t="s">
        <v>41</v>
      </c>
    </row>
    <row r="9" spans="1:23" s="2" customFormat="1" ht="67.5" customHeight="1" x14ac:dyDescent="0.15">
      <c r="A9" s="3">
        <v>3</v>
      </c>
      <c r="B9" s="3" t="s">
        <v>35</v>
      </c>
      <c r="C9" s="3" t="s">
        <v>53</v>
      </c>
      <c r="D9" s="3" t="s">
        <v>48</v>
      </c>
      <c r="E9" s="18"/>
      <c r="F9" s="3" t="s">
        <v>56</v>
      </c>
      <c r="G9" s="3" t="s">
        <v>45</v>
      </c>
      <c r="H9" s="3">
        <v>0.77</v>
      </c>
      <c r="I9" s="3" t="s">
        <v>57</v>
      </c>
      <c r="J9" s="3" t="s">
        <v>40</v>
      </c>
      <c r="K9" s="8">
        <f>M9/0.93</f>
        <v>0.39327956989247309</v>
      </c>
      <c r="L9" s="3">
        <v>475</v>
      </c>
      <c r="M9" s="7">
        <f>L9*H9/1000</f>
        <v>0.36575000000000002</v>
      </c>
      <c r="N9" s="3">
        <v>25</v>
      </c>
      <c r="O9" s="3">
        <v>19</v>
      </c>
      <c r="P9" s="3">
        <v>19</v>
      </c>
      <c r="Q9" s="3">
        <v>1</v>
      </c>
      <c r="R9" s="3">
        <v>500</v>
      </c>
      <c r="S9" s="7">
        <f>H9*R9/1000</f>
        <v>0.38500000000000001</v>
      </c>
      <c r="T9" s="21"/>
      <c r="U9" s="23" t="s">
        <v>65</v>
      </c>
      <c r="V9" s="4" t="s">
        <v>36</v>
      </c>
      <c r="W9" s="6" t="s">
        <v>41</v>
      </c>
    </row>
    <row r="10" spans="1:23" s="2" customFormat="1" ht="67.5" customHeight="1" x14ac:dyDescent="0.15">
      <c r="A10" s="3">
        <v>4</v>
      </c>
      <c r="B10" s="3" t="s">
        <v>35</v>
      </c>
      <c r="C10" s="3" t="s">
        <v>54</v>
      </c>
      <c r="D10" s="3" t="s">
        <v>49</v>
      </c>
      <c r="E10" s="18"/>
      <c r="F10" s="3" t="s">
        <v>56</v>
      </c>
      <c r="G10" s="3" t="s">
        <v>45</v>
      </c>
      <c r="H10" s="3">
        <v>0.79</v>
      </c>
      <c r="I10" s="3" t="s">
        <v>57</v>
      </c>
      <c r="J10" s="3" t="s">
        <v>40</v>
      </c>
      <c r="K10" s="8">
        <f>M10/0.93</f>
        <v>0.40349462365591393</v>
      </c>
      <c r="L10" s="3">
        <v>475</v>
      </c>
      <c r="M10" s="7">
        <f>L10*H10/1000</f>
        <v>0.37524999999999997</v>
      </c>
      <c r="N10" s="3">
        <v>25</v>
      </c>
      <c r="O10" s="3">
        <v>19</v>
      </c>
      <c r="P10" s="3">
        <v>19</v>
      </c>
      <c r="Q10" s="3">
        <v>1</v>
      </c>
      <c r="R10" s="3">
        <v>500</v>
      </c>
      <c r="S10" s="7">
        <f>H10*R10/1000</f>
        <v>0.39500000000000002</v>
      </c>
      <c r="T10" s="21"/>
      <c r="U10" s="23" t="s">
        <v>66</v>
      </c>
      <c r="V10" s="4" t="s">
        <v>36</v>
      </c>
      <c r="W10" s="6" t="s">
        <v>41</v>
      </c>
    </row>
    <row r="11" spans="1:23" s="2" customFormat="1" ht="67.5" customHeight="1" x14ac:dyDescent="0.15">
      <c r="A11" s="3">
        <v>5</v>
      </c>
      <c r="B11" s="3" t="s">
        <v>35</v>
      </c>
      <c r="C11" s="3" t="s">
        <v>55</v>
      </c>
      <c r="D11" s="3" t="s">
        <v>50</v>
      </c>
      <c r="E11" s="19"/>
      <c r="F11" s="3" t="s">
        <v>56</v>
      </c>
      <c r="G11" s="3" t="s">
        <v>45</v>
      </c>
      <c r="H11" s="3">
        <v>0.81</v>
      </c>
      <c r="I11" s="3" t="s">
        <v>57</v>
      </c>
      <c r="J11" s="3" t="s">
        <v>40</v>
      </c>
      <c r="K11" s="8">
        <f>M11/0.93</f>
        <v>0.41370967741935477</v>
      </c>
      <c r="L11" s="3">
        <v>475</v>
      </c>
      <c r="M11" s="7">
        <f>L11*H11/1000</f>
        <v>0.38474999999999998</v>
      </c>
      <c r="N11" s="3">
        <v>25</v>
      </c>
      <c r="O11" s="3">
        <v>19</v>
      </c>
      <c r="P11" s="3">
        <v>19</v>
      </c>
      <c r="Q11" s="3">
        <v>1</v>
      </c>
      <c r="R11" s="3">
        <v>500</v>
      </c>
      <c r="S11" s="7">
        <f>H11*R11/1000</f>
        <v>0.40500000000000003</v>
      </c>
      <c r="T11" s="22"/>
      <c r="U11" s="23" t="s">
        <v>67</v>
      </c>
      <c r="V11" s="4" t="s">
        <v>36</v>
      </c>
      <c r="W11" s="6" t="s">
        <v>41</v>
      </c>
    </row>
    <row r="12" spans="1:23" s="2" customFormat="1" ht="34.5" customHeight="1" x14ac:dyDescent="0.15">
      <c r="A12" s="10" t="s">
        <v>22</v>
      </c>
      <c r="B12" s="10"/>
      <c r="C12" s="3"/>
      <c r="D12" s="3"/>
      <c r="E12" s="3"/>
      <c r="F12" s="3"/>
      <c r="G12" s="3"/>
      <c r="H12" s="3"/>
      <c r="I12" s="3"/>
      <c r="J12" s="3"/>
      <c r="K12" s="3" t="s">
        <v>58</v>
      </c>
      <c r="L12" s="3" t="s">
        <v>59</v>
      </c>
      <c r="M12" s="3" t="s">
        <v>58</v>
      </c>
      <c r="N12" s="3"/>
      <c r="O12" s="3" t="s">
        <v>60</v>
      </c>
      <c r="P12" s="3"/>
      <c r="Q12" s="3" t="s">
        <v>61</v>
      </c>
      <c r="R12" s="3" t="s">
        <v>62</v>
      </c>
      <c r="S12" s="3" t="s">
        <v>58</v>
      </c>
      <c r="T12" s="3"/>
      <c r="U12" s="3" t="s">
        <v>39</v>
      </c>
      <c r="V12" s="3"/>
      <c r="W12" s="3"/>
    </row>
    <row r="13" spans="1:23" ht="17.25" customHeight="1" x14ac:dyDescent="0.15"/>
    <row r="14" spans="1:23" s="2" customFormat="1" ht="19.5" customHeight="1" x14ac:dyDescent="0.15">
      <c r="B14" s="2" t="s">
        <v>29</v>
      </c>
      <c r="U14" s="24" t="s">
        <v>68</v>
      </c>
    </row>
    <row r="15" spans="1:23" s="2" customFormat="1" ht="19.5" customHeight="1" x14ac:dyDescent="0.15">
      <c r="A15" s="2" t="s">
        <v>23</v>
      </c>
      <c r="B15" s="16" t="s">
        <v>42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 spans="1:23" s="2" customFormat="1" ht="19.5" customHeight="1" x14ac:dyDescent="0.15">
      <c r="A16" s="2" t="s">
        <v>24</v>
      </c>
      <c r="B16" s="16" t="s">
        <v>26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spans="1:23" s="2" customFormat="1" ht="19.5" customHeight="1" x14ac:dyDescent="0.15">
      <c r="A17" s="2" t="s">
        <v>25</v>
      </c>
      <c r="B17" s="16" t="s">
        <v>27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spans="1:23" s="2" customFormat="1" ht="19.5" customHeight="1" x14ac:dyDescent="0.15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1:23" ht="42" customHeight="1" x14ac:dyDescent="0.15">
      <c r="T19" s="11">
        <v>45695</v>
      </c>
      <c r="U19" s="12"/>
      <c r="V19" s="12"/>
      <c r="W19" s="12"/>
    </row>
    <row r="20" spans="1:23" ht="20.25" customHeight="1" x14ac:dyDescent="0.15">
      <c r="C20" s="15" t="s">
        <v>28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</sheetData>
  <mergeCells count="26">
    <mergeCell ref="T19:W19"/>
    <mergeCell ref="I4:J4"/>
    <mergeCell ref="N4:O4"/>
    <mergeCell ref="C20:N20"/>
    <mergeCell ref="T5:T6"/>
    <mergeCell ref="U5:U6"/>
    <mergeCell ref="V5:V6"/>
    <mergeCell ref="W5:W6"/>
    <mergeCell ref="B15:W15"/>
    <mergeCell ref="B16:W16"/>
    <mergeCell ref="B17:W17"/>
    <mergeCell ref="B18:W18"/>
    <mergeCell ref="E7:E11"/>
    <mergeCell ref="T7:T11"/>
    <mergeCell ref="A2:W2"/>
    <mergeCell ref="A12:B12"/>
    <mergeCell ref="I5:K5"/>
    <mergeCell ref="L5:Q5"/>
    <mergeCell ref="R5:S5"/>
    <mergeCell ref="A5:A6"/>
    <mergeCell ref="B5:B6"/>
    <mergeCell ref="C5:C6"/>
    <mergeCell ref="D5:D6"/>
    <mergeCell ref="E5:E6"/>
    <mergeCell ref="F5:F6"/>
    <mergeCell ref="G5:G6"/>
  </mergeCells>
  <phoneticPr fontId="1" type="noConversion"/>
  <pageMargins left="0.7" right="0.7" top="0.75" bottom="0.75" header="0.3" footer="0.3"/>
  <pageSetup paperSize="9" scale="94" orientation="landscape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2025-02-10T02:14:34Z</dcterms:modified>
</cp:coreProperties>
</file>