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5CEB6F3F-7D1F-4587-8737-28E12E80B7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M9" i="1"/>
  <c r="S8" i="1"/>
  <c r="M8" i="1"/>
  <c r="S7" i="1"/>
  <c r="M7" i="1"/>
</calcChain>
</file>

<file path=xl/sharedStrings.xml><?xml version="1.0" encoding="utf-8"?>
<sst xmlns="http://schemas.openxmlformats.org/spreadsheetml/2006/main" count="68" uniqueCount="64">
  <si>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</si>
  <si>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</si>
  <si>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</si>
  <si>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</si>
  <si>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</si>
  <si>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</si>
  <si>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</si>
  <si>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</si>
  <si>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</si>
  <si>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</si>
  <si>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</si>
  <si>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</si>
  <si>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</si>
  <si>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</si>
  <si>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</si>
  <si>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</si>
  <si>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</si>
  <si>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</si>
  <si>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</si>
  <si>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</si>
  <si>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</si>
  <si>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</si>
  <si>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</si>
  <si>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</si>
  <si>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</si>
  <si>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袋/箱</t>
  </si>
  <si>
    <t>箱</t>
  </si>
  <si>
    <t>45#</t>
  </si>
  <si>
    <t>编织袋+免熏蒸木箱</t>
  </si>
  <si>
    <t>尼龙锁紧螺母</t>
  </si>
  <si>
    <t>M22</t>
  </si>
  <si>
    <t>标准</t>
  </si>
  <si>
    <t>35K
/
45#</t>
  </si>
  <si>
    <t>平垫圈</t>
  </si>
  <si>
    <t>ISO 7089</t>
  </si>
  <si>
    <t>弹垫</t>
  </si>
  <si>
    <t xml:space="preserve">ASME B18.21.1M </t>
  </si>
  <si>
    <t>60Si2Mn</t>
  </si>
  <si>
    <t>合计</t>
  </si>
  <si>
    <t>说明：</t>
  </si>
  <si>
    <t>1、</t>
  </si>
  <si>
    <t>对以上产品为外协产品。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</si>
  <si>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</si>
  <si>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</si>
  <si>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</si>
  <si>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需装配，包装物为编织袋加免熏蒸木箱。木箱外尺寸是：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</si>
  <si>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</si>
  <si>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高蕾</t>
    <phoneticPr fontId="8" type="noConversion"/>
  </si>
  <si>
    <t>标准</t>
    <phoneticPr fontId="8" type="noConversion"/>
  </si>
  <si>
    <r>
      <t>热镀锌
≥55</t>
    </r>
    <r>
      <rPr>
        <sz val="10"/>
        <color theme="1"/>
        <rFont val="Calibri"/>
        <family val="2"/>
      </rPr>
      <t>μ</t>
    </r>
    <r>
      <rPr>
        <sz val="10"/>
        <color theme="1"/>
        <rFont val="宋体"/>
        <charset val="134"/>
        <scheme val="minor"/>
      </rPr>
      <t>m</t>
    </r>
    <phoneticPr fontId="8" type="noConversion"/>
  </si>
  <si>
    <t>5  月  份  销  售  计  划 5</t>
    <phoneticPr fontId="8" type="noConversion"/>
  </si>
  <si>
    <t>250509-1</t>
    <phoneticPr fontId="8" type="noConversion"/>
  </si>
  <si>
    <t>250509-2</t>
  </si>
  <si>
    <t>250509-3</t>
  </si>
  <si>
    <t>外购</t>
    <phoneticPr fontId="8" type="noConversion"/>
  </si>
  <si>
    <t>0.2
吨</t>
    <phoneticPr fontId="8" type="noConversion"/>
  </si>
  <si>
    <t>14
袋</t>
    <phoneticPr fontId="8" type="noConversion"/>
  </si>
  <si>
    <t>3
箱</t>
    <phoneticPr fontId="8" type="noConversion"/>
  </si>
  <si>
    <t>2025-5-28</t>
    <phoneticPr fontId="8" type="noConversion"/>
  </si>
  <si>
    <t>3000
件</t>
    <phoneticPr fontId="8" type="noConversion"/>
  </si>
  <si>
    <t>3060
件</t>
    <phoneticPr fontId="8" type="noConversion"/>
  </si>
  <si>
    <t xml:space="preserve"> ISO 898-2
8级</t>
    <phoneticPr fontId="8" type="noConversion"/>
  </si>
  <si>
    <t>200-300 HV</t>
    <phoneticPr fontId="8" type="noConversion"/>
  </si>
  <si>
    <t>38-46 HRC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</si>
</sst>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_ "/>
    <numFmt numFmtId="178" formatCode="0.0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right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2" workbookViewId="0">
      <selection activeCell="Q10" sqref="Q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9.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8.375" style="2" customWidth="1"/>
    <col min="22" max="22" width="7.875" style="2" customWidth="1"/>
    <col min="23" max="23" width="6.125" style="2" customWidth="1"/>
    <col min="24" max="16384" width="9" style="2"/>
  </cols>
  <sheetData>
    <row r="2" spans="1:23" ht="45" customHeight="1" x14ac:dyDescent="0.15">
      <c r="A2" s="29" t="s">
        <v>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4" spans="1:23" s="1" customFormat="1" ht="22.5" customHeight="1" x14ac:dyDescent="0.15">
      <c r="B4" s="3" t="s">
        <v>0</v>
      </c>
      <c r="C4" s="12" t="s">
        <v>47</v>
      </c>
      <c r="D4" s="3"/>
      <c r="E4" s="3"/>
      <c r="F4" s="3"/>
      <c r="G4" s="3"/>
      <c r="H4" s="3"/>
      <c r="I4" s="31" t="s">
        <v>1</v>
      </c>
      <c r="J4" s="31"/>
      <c r="K4" s="3"/>
      <c r="L4" s="3"/>
      <c r="M4" s="3"/>
      <c r="N4" s="32" t="s">
        <v>2</v>
      </c>
      <c r="O4" s="32"/>
      <c r="P4" s="3"/>
      <c r="Q4" s="3"/>
      <c r="R4" s="3"/>
      <c r="S4" s="3"/>
      <c r="T4" s="33"/>
      <c r="U4" s="34"/>
      <c r="V4" s="34"/>
      <c r="W4" s="34"/>
    </row>
    <row r="5" spans="1:23" s="1" customFormat="1" ht="29.25" customHeight="1" x14ac:dyDescent="0.1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8</v>
      </c>
      <c r="G5" s="27" t="s">
        <v>9</v>
      </c>
      <c r="H5" s="4" t="s">
        <v>10</v>
      </c>
      <c r="I5" s="27" t="s">
        <v>11</v>
      </c>
      <c r="J5" s="27"/>
      <c r="K5" s="27"/>
      <c r="L5" s="27" t="s">
        <v>12</v>
      </c>
      <c r="M5" s="27"/>
      <c r="N5" s="27"/>
      <c r="O5" s="27"/>
      <c r="P5" s="27"/>
      <c r="Q5" s="27"/>
      <c r="R5" s="27" t="s">
        <v>13</v>
      </c>
      <c r="S5" s="27"/>
      <c r="T5" s="27" t="s">
        <v>14</v>
      </c>
      <c r="U5" s="27"/>
      <c r="V5" s="27" t="s">
        <v>15</v>
      </c>
      <c r="W5" s="27" t="s">
        <v>16</v>
      </c>
    </row>
    <row r="6" spans="1:23" s="1" customFormat="1" ht="29.25" customHeight="1" x14ac:dyDescent="0.15">
      <c r="A6" s="27"/>
      <c r="B6" s="27"/>
      <c r="C6" s="27"/>
      <c r="D6" s="27"/>
      <c r="E6" s="27"/>
      <c r="F6" s="27"/>
      <c r="G6" s="27"/>
      <c r="H6" s="4" t="s">
        <v>17</v>
      </c>
      <c r="I6" s="4" t="s">
        <v>18</v>
      </c>
      <c r="J6" s="4" t="s">
        <v>19</v>
      </c>
      <c r="K6" s="8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21</v>
      </c>
      <c r="S6" s="4" t="s">
        <v>22</v>
      </c>
      <c r="T6" s="27"/>
      <c r="U6" s="27"/>
      <c r="V6" s="27"/>
      <c r="W6" s="27"/>
    </row>
    <row r="7" spans="1:23" s="1" customFormat="1" ht="41.1" customHeight="1" x14ac:dyDescent="0.15">
      <c r="A7" s="6">
        <v>1</v>
      </c>
      <c r="B7" s="6" t="s">
        <v>29</v>
      </c>
      <c r="C7" s="6" t="s">
        <v>30</v>
      </c>
      <c r="D7" s="14" t="s">
        <v>51</v>
      </c>
      <c r="E7" s="25">
        <v>9410</v>
      </c>
      <c r="F7" s="13" t="s">
        <v>61</v>
      </c>
      <c r="G7" s="13" t="s">
        <v>48</v>
      </c>
      <c r="H7" s="6">
        <v>0.11</v>
      </c>
      <c r="I7" s="5" t="s">
        <v>32</v>
      </c>
      <c r="J7" s="16" t="s">
        <v>54</v>
      </c>
      <c r="K7" s="15"/>
      <c r="L7" s="6">
        <v>1000</v>
      </c>
      <c r="M7" s="9">
        <f>H7*L7/1000</f>
        <v>0.11</v>
      </c>
      <c r="N7" s="4">
        <v>100</v>
      </c>
      <c r="O7" s="4">
        <v>10</v>
      </c>
      <c r="P7" s="4">
        <v>10</v>
      </c>
      <c r="Q7" s="4">
        <v>1</v>
      </c>
      <c r="R7" s="4">
        <v>1020</v>
      </c>
      <c r="S7" s="9">
        <f>H7*R7/1000</f>
        <v>0.11220000000000001</v>
      </c>
      <c r="T7" s="19" t="s">
        <v>58</v>
      </c>
      <c r="U7" s="8"/>
      <c r="V7" s="22" t="s">
        <v>49</v>
      </c>
      <c r="W7" s="25" t="s">
        <v>28</v>
      </c>
    </row>
    <row r="8" spans="1:23" s="1" customFormat="1" ht="41.1" customHeight="1" x14ac:dyDescent="0.15">
      <c r="A8" s="5">
        <v>2</v>
      </c>
      <c r="B8" s="4" t="s">
        <v>33</v>
      </c>
      <c r="C8" s="4">
        <v>22</v>
      </c>
      <c r="D8" s="14" t="s">
        <v>52</v>
      </c>
      <c r="E8" s="17"/>
      <c r="F8" s="5" t="s">
        <v>34</v>
      </c>
      <c r="G8" s="4" t="s">
        <v>31</v>
      </c>
      <c r="H8" s="7">
        <v>1.7999999999999999E-2</v>
      </c>
      <c r="I8" s="4" t="s">
        <v>27</v>
      </c>
      <c r="J8" s="17"/>
      <c r="K8" s="15"/>
      <c r="L8" s="4">
        <v>1000</v>
      </c>
      <c r="M8" s="10">
        <f>L8*H8/1000</f>
        <v>1.7999999999999999E-2</v>
      </c>
      <c r="N8" s="4">
        <v>1000</v>
      </c>
      <c r="O8" s="4">
        <v>1</v>
      </c>
      <c r="P8" s="4">
        <v>1</v>
      </c>
      <c r="Q8" s="4">
        <v>1</v>
      </c>
      <c r="R8" s="4">
        <v>1020</v>
      </c>
      <c r="S8" s="10">
        <f>H8*R8/1000</f>
        <v>1.8359999999999998E-2</v>
      </c>
      <c r="T8" s="20"/>
      <c r="U8" s="35" t="s">
        <v>62</v>
      </c>
      <c r="V8" s="23"/>
      <c r="W8" s="17"/>
    </row>
    <row r="9" spans="1:23" s="1" customFormat="1" ht="41.1" customHeight="1" x14ac:dyDescent="0.15">
      <c r="A9" s="5">
        <v>3</v>
      </c>
      <c r="B9" s="4" t="s">
        <v>35</v>
      </c>
      <c r="C9" s="4">
        <v>22</v>
      </c>
      <c r="D9" s="14" t="s">
        <v>53</v>
      </c>
      <c r="E9" s="18"/>
      <c r="F9" s="5" t="s">
        <v>36</v>
      </c>
      <c r="G9" s="4" t="s">
        <v>31</v>
      </c>
      <c r="H9" s="7">
        <v>0.03</v>
      </c>
      <c r="I9" s="4" t="s">
        <v>37</v>
      </c>
      <c r="J9" s="18"/>
      <c r="K9" s="15"/>
      <c r="L9" s="4">
        <v>1000</v>
      </c>
      <c r="M9" s="10">
        <f>L9*H9/1000</f>
        <v>0.03</v>
      </c>
      <c r="N9" s="4">
        <v>400</v>
      </c>
      <c r="O9" s="4">
        <v>3</v>
      </c>
      <c r="P9" s="4">
        <v>3</v>
      </c>
      <c r="Q9" s="4">
        <v>1</v>
      </c>
      <c r="R9" s="4">
        <v>1020</v>
      </c>
      <c r="S9" s="10">
        <f>H9*R9/1000</f>
        <v>3.0599999999999999E-2</v>
      </c>
      <c r="T9" s="21"/>
      <c r="U9" s="35" t="s">
        <v>63</v>
      </c>
      <c r="V9" s="24"/>
      <c r="W9" s="18"/>
    </row>
    <row r="10" spans="1:23" s="1" customFormat="1" ht="34.5" customHeight="1" x14ac:dyDescent="0.15">
      <c r="A10" s="27" t="s">
        <v>38</v>
      </c>
      <c r="B10" s="27"/>
      <c r="C10" s="4"/>
      <c r="D10" s="4"/>
      <c r="E10" s="4"/>
      <c r="F10" s="4"/>
      <c r="G10" s="4"/>
      <c r="H10" s="4"/>
      <c r="I10" s="4"/>
      <c r="J10" s="4"/>
      <c r="K10" s="4"/>
      <c r="L10" s="14" t="s">
        <v>59</v>
      </c>
      <c r="M10" s="14" t="s">
        <v>55</v>
      </c>
      <c r="N10" s="4"/>
      <c r="O10" s="14" t="s">
        <v>56</v>
      </c>
      <c r="P10" s="4"/>
      <c r="Q10" s="14" t="s">
        <v>57</v>
      </c>
      <c r="R10" s="14" t="s">
        <v>60</v>
      </c>
      <c r="S10" s="14" t="s">
        <v>55</v>
      </c>
      <c r="T10" s="4"/>
      <c r="U10" s="4"/>
      <c r="V10" s="4"/>
      <c r="W10" s="4"/>
    </row>
    <row r="11" spans="1:23" ht="17.25" customHeight="1" x14ac:dyDescent="0.15"/>
    <row r="12" spans="1:23" s="1" customFormat="1" ht="19.5" customHeight="1" x14ac:dyDescent="0.15">
      <c r="B12" s="1" t="s">
        <v>39</v>
      </c>
      <c r="Q12" s="11"/>
    </row>
    <row r="13" spans="1:23" s="1" customFormat="1" ht="19.5" customHeight="1" x14ac:dyDescent="0.15">
      <c r="A13" s="1" t="s">
        <v>40</v>
      </c>
      <c r="B13" s="26" t="s">
        <v>41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s="1" customFormat="1" ht="19.5" customHeight="1" x14ac:dyDescent="0.15">
      <c r="A14" s="1" t="s">
        <v>42</v>
      </c>
      <c r="B14" s="26" t="s">
        <v>43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s="1" customFormat="1" ht="19.5" customHeight="1" x14ac:dyDescent="0.15">
      <c r="A15" s="1" t="s">
        <v>44</v>
      </c>
      <c r="B15" s="26" t="s">
        <v>45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ht="42" customHeight="1" x14ac:dyDescent="0.15">
      <c r="T16" s="28">
        <v>45786</v>
      </c>
      <c r="U16" s="28"/>
      <c r="V16" s="28"/>
      <c r="W16" s="28"/>
    </row>
    <row r="17" spans="3:14" ht="20.25" customHeight="1" x14ac:dyDescent="0.15">
      <c r="C17" s="26" t="s">
        <v>46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</sheetData>
  <mergeCells count="29">
    <mergeCell ref="A2:W2"/>
    <mergeCell ref="I4:J4"/>
    <mergeCell ref="N4:O4"/>
    <mergeCell ref="T4:W4"/>
    <mergeCell ref="I5:K5"/>
    <mergeCell ref="L5:Q5"/>
    <mergeCell ref="R5:S5"/>
    <mergeCell ref="U5:U6"/>
    <mergeCell ref="T5:T6"/>
    <mergeCell ref="V5:V6"/>
    <mergeCell ref="F5:F6"/>
    <mergeCell ref="G5:G6"/>
    <mergeCell ref="A10:B10"/>
    <mergeCell ref="B13:W13"/>
    <mergeCell ref="B14:W14"/>
    <mergeCell ref="W5:W6"/>
    <mergeCell ref="E7:E9"/>
    <mergeCell ref="A5:A6"/>
    <mergeCell ref="B5:B6"/>
    <mergeCell ref="C5:C6"/>
    <mergeCell ref="D5:D6"/>
    <mergeCell ref="E5:E6"/>
    <mergeCell ref="J7:J9"/>
    <mergeCell ref="T7:T9"/>
    <mergeCell ref="V7:V9"/>
    <mergeCell ref="W7:W9"/>
    <mergeCell ref="C17:N17"/>
    <mergeCell ref="B15:W15"/>
    <mergeCell ref="T16:W16"/>
  </mergeCells>
  <phoneticPr fontId="8" type="noConversion"/>
  <pageMargins left="0.7" right="0.7" top="0.75" bottom="0.75" header="0.3" footer="0.3"/>
  <pageSetup paperSize="9" scale="88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dcterms:created xsi:type="dcterms:W3CDTF">2006-09-13T11:21:00Z</dcterms:created>
  <dcterms:modified xsi:type="dcterms:W3CDTF">2025-05-13T08:10:50Z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9E8A598C607A4882A9C6AD31DB5D6FAF_13</vt:lpwstr>
  </property>
  <property fmtid="{D5CDD505-2E9C-101B-9397-08002B2CF9AE}" pid="3" name="KSOProductBuildVer">
    <vt:lpwstr>2052-12.1.0.16388</vt:lpwstr>
  </property>
</Properties>
</file>