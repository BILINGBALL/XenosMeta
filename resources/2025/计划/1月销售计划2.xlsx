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08FA13FE-8F45-4D3C-B2ED-87B64494D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R5" i="1"/>
  <c r="K7" i="1"/>
  <c r="L7" i="1" s="1"/>
  <c r="Q9" i="1"/>
  <c r="Q8" i="1"/>
  <c r="R8" i="1" s="1"/>
  <c r="K8" i="1"/>
  <c r="L8" i="1" s="1"/>
  <c r="R7" i="1"/>
  <c r="Q7" i="1"/>
  <c r="R6" i="1"/>
  <c r="N6" i="1"/>
  <c r="P6" i="1" s="1"/>
  <c r="L6" i="1"/>
  <c r="J6" i="1" s="1"/>
  <c r="J9" i="1" s="1"/>
  <c r="P5" i="1"/>
  <c r="N5" i="1"/>
  <c r="N9" i="1" s="1"/>
  <c r="L5" i="1"/>
  <c r="R9" i="1" l="1"/>
  <c r="P9" i="1"/>
  <c r="L9" i="1"/>
</calcChain>
</file>

<file path=xl/sharedStrings.xml><?xml version="1.0" encoding="utf-8"?>
<sst xmlns="http://schemas.openxmlformats.org/spreadsheetml/2006/main" count="86" uniqueCount="77">
  <si>
    <t>编制：</t>
  </si>
  <si>
    <t>王瑞祥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</si>
  <si>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</si>
  <si>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</si>
  <si>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</si>
  <si>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</si>
  <si>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</si>
  <si>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</si>
  <si>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</si>
  <si>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</si>
  <si>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图纸号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</si>
  <si>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</si>
  <si>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</si>
  <si>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</si>
  <si>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</si>
  <si>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</si>
  <si>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</si>
  <si>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</si>
  <si>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</si>
  <si>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</si>
  <si>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</si>
  <si>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</si>
  <si>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</si>
  <si>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</si>
  <si>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</si>
  <si>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</si>
  <si>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</si>
  <si>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</si>
  <si>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</si>
  <si>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GN弹簧板
130*102</t>
  </si>
  <si>
    <t>60Si2Mn/65Mn</t>
  </si>
  <si>
    <t>外购</t>
  </si>
  <si>
    <t>热处理
红色防锈漆</t>
  </si>
  <si>
    <t>编织袋+木托盘+缠绕膜</t>
  </si>
  <si>
    <t>T型螺栓
8.8级</t>
  </si>
  <si>
    <t>7/8"X186</t>
  </si>
  <si>
    <t>SY-TXLS-SL-20231202-01</t>
  </si>
  <si>
    <t>45#</t>
  </si>
  <si>
    <t>Φ22</t>
  </si>
  <si>
    <t>热处理
发黑</t>
  </si>
  <si>
    <t>螺母
8级</t>
  </si>
  <si>
    <t>7/8"-9</t>
  </si>
  <si>
    <t>SY-LJLM20231202-01</t>
  </si>
  <si>
    <t>35#/
45#</t>
  </si>
  <si>
    <t>与以上螺栓配套组装</t>
  </si>
  <si>
    <t>本色
上油</t>
  </si>
  <si>
    <t>平垫</t>
  </si>
  <si>
    <t>51X24X3</t>
  </si>
  <si>
    <t>SY-PDQ20231202-01</t>
  </si>
  <si>
    <t>Q235</t>
  </si>
  <si>
    <t>合计</t>
  </si>
  <si>
    <t>详见图纸</t>
  </si>
  <si>
    <t>套</t>
  </si>
  <si>
    <t>说明：</t>
  </si>
  <si>
    <t>弹簧板的硬度是 HRC40-46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</si>
  <si>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</si>
  <si>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</si>
  <si>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</si>
  <si>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</si>
  <si>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</si>
  <si>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</si>
  <si>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</si>
  <si>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</si>
  <si>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批量生产前通知客户检测人员检测。</t>
  </si>
  <si>
    <t>5、</t>
  </si>
  <si>
    <t>包装：编织袋+木托盘+缠绕膜，包装结实，适于海运。</t>
  </si>
  <si>
    <t>分发：总经理、总经办、品管部、生产部</t>
  </si>
  <si>
    <t>1 月  份  销  售  计  划  2</t>
    <phoneticPr fontId="13" type="noConversion"/>
  </si>
  <si>
    <t>250118-1</t>
    <phoneticPr fontId="13" type="noConversion"/>
  </si>
  <si>
    <t>250118-2</t>
  </si>
  <si>
    <t>250118-3</t>
  </si>
  <si>
    <t>250118-4</t>
  </si>
  <si>
    <t>SUYU20250118-01</t>
    <phoneticPr fontId="13" type="noConversion"/>
  </si>
  <si>
    <t xml:space="preserve">2025-2-25
完成112000套
3-10日之前完成112000套
</t>
    <phoneticPr fontId="13" type="noConversion"/>
  </si>
  <si>
    <t>TP
25</t>
    <phoneticPr fontId="13" type="noConversion"/>
  </si>
  <si>
    <t>SR-THB-GN-20231202-01</t>
    <phoneticPr fontId="13" type="noConversion"/>
  </si>
  <si>
    <t>TAZA
25-GN-FXE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</si>
</sst>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F800]dddd\,\ mmmm\ dd\,\ yyyy"/>
    <numFmt numFmtId="177" formatCode="0_ "/>
    <numFmt numFmtId="178" formatCode="0.000_ "/>
    <numFmt numFmtId="180" formatCode="0_);[Red]\(0\)"/>
    <numFmt numFmtId="182" formatCode="0.00_);[Red]\(0.00\)"/>
  </numFmts>
  <fonts count="18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indexed="8"/>
      <name val="宋体"/>
      <charset val="134"/>
    </font>
    <font>
      <sz val="10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176" fontId="0" fillId="0" borderId="0">
      <alignment vertical="center"/>
    </xf>
  </cellStyleXfs>
  <cellXfs count="65">
    <xf numFmtId="176" fontId="0" fillId="0" borderId="0" xfId="0">
      <alignment vertical="center"/>
    </xf>
    <xf numFmtId="176" fontId="1" fillId="0" borderId="0" xfId="0" applyFont="1" applyAlignment="1">
      <alignment horizontal="center" vertical="center" wrapText="1"/>
    </xf>
    <xf numFmtId="176" fontId="0" fillId="0" borderId="0" xfId="0" applyAlignment="1">
      <alignment horizontal="center" vertical="center" wrapText="1"/>
    </xf>
    <xf numFmtId="176" fontId="1" fillId="0" borderId="2" xfId="0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5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176" fontId="1" fillId="0" borderId="5" xfId="0" applyFont="1" applyBorder="1" applyAlignment="1">
      <alignment horizontal="center" vertical="center" wrapText="1"/>
    </xf>
    <xf numFmtId="176" fontId="1" fillId="0" borderId="7" xfId="0" applyFont="1" applyBorder="1" applyAlignment="1">
      <alignment horizontal="center" vertical="center" wrapText="1"/>
    </xf>
    <xf numFmtId="176" fontId="1" fillId="0" borderId="0" xfId="0" applyFont="1" applyAlignment="1">
      <alignment horizontal="left" vertical="center" wrapText="1"/>
    </xf>
    <xf numFmtId="176" fontId="4" fillId="0" borderId="0" xfId="0" applyFont="1" applyAlignment="1">
      <alignment horizontal="left" vertical="center"/>
    </xf>
    <xf numFmtId="176" fontId="0" fillId="0" borderId="0" xfId="0" applyAlignment="1">
      <alignment horizontal="left" vertical="center"/>
    </xf>
    <xf numFmtId="180" fontId="1" fillId="0" borderId="2" xfId="0" applyNumberFormat="1" applyFont="1" applyBorder="1" applyAlignment="1">
      <alignment horizontal="center" vertical="center" wrapText="1"/>
    </xf>
    <xf numFmtId="180" fontId="6" fillId="0" borderId="2" xfId="0" applyNumberFormat="1" applyFont="1" applyBorder="1" applyAlignment="1">
      <alignment horizontal="center" vertical="center" wrapText="1"/>
    </xf>
    <xf numFmtId="180" fontId="1" fillId="0" borderId="5" xfId="0" applyNumberFormat="1" applyFont="1" applyBorder="1" applyAlignment="1">
      <alignment horizontal="center" vertical="center" wrapText="1"/>
    </xf>
    <xf numFmtId="182" fontId="1" fillId="0" borderId="5" xfId="0" applyNumberFormat="1" applyFont="1" applyBorder="1" applyAlignment="1">
      <alignment horizontal="center" vertical="center" wrapText="1"/>
    </xf>
    <xf numFmtId="176" fontId="8" fillId="0" borderId="0" xfId="0" applyFont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176" fontId="1" fillId="0" borderId="2" xfId="0" applyFont="1" applyBorder="1" applyAlignment="1">
      <alignment vertical="center" wrapText="1"/>
    </xf>
    <xf numFmtId="176" fontId="7" fillId="0" borderId="7" xfId="0" applyFont="1" applyBorder="1" applyAlignment="1">
      <alignment horizontal="center" vertical="center" wrapText="1"/>
    </xf>
    <xf numFmtId="0" fontId="15" fillId="0" borderId="2" xfId="0" applyNumberFormat="1" applyFont="1" applyBorder="1" applyAlignment="1">
      <alignment horizontal="center" vertical="center" wrapText="1"/>
    </xf>
    <xf numFmtId="176" fontId="15" fillId="0" borderId="2" xfId="0" applyFont="1" applyBorder="1" applyAlignment="1">
      <alignment horizontal="center" vertical="center" wrapText="1"/>
    </xf>
    <xf numFmtId="0" fontId="17" fillId="2" borderId="2" xfId="0" applyNumberFormat="1" applyFont="1" applyFill="1" applyBorder="1" applyAlignment="1">
      <alignment horizontal="center" vertical="center" wrapText="1"/>
    </xf>
    <xf numFmtId="176" fontId="1" fillId="0" borderId="0" xfId="0" applyFont="1" applyAlignment="1">
      <alignment horizontal="left" vertical="center" wrapText="1"/>
    </xf>
    <xf numFmtId="176" fontId="12" fillId="0" borderId="0" xfId="0" applyFont="1" applyAlignment="1">
      <alignment horizontal="right" vertical="center" wrapText="1"/>
    </xf>
    <xf numFmtId="176" fontId="1" fillId="0" borderId="2" xfId="0" applyFont="1" applyBorder="1" applyAlignment="1">
      <alignment horizontal="center" vertical="center" wrapText="1"/>
    </xf>
    <xf numFmtId="176" fontId="1" fillId="0" borderId="5" xfId="0" applyFont="1" applyBorder="1" applyAlignment="1">
      <alignment horizontal="center" vertical="center" wrapText="1"/>
    </xf>
    <xf numFmtId="176" fontId="1" fillId="0" borderId="7" xfId="0" applyFont="1" applyBorder="1" applyAlignment="1">
      <alignment horizontal="center" vertical="center" wrapText="1"/>
    </xf>
    <xf numFmtId="0" fontId="15" fillId="0" borderId="5" xfId="0" applyNumberFormat="1" applyFont="1" applyBorder="1" applyAlignment="1">
      <alignment horizontal="center" vertical="center" wrapText="1"/>
    </xf>
    <xf numFmtId="0" fontId="1" fillId="0" borderId="6" xfId="0" applyNumberFormat="1" applyFont="1" applyBorder="1" applyAlignment="1">
      <alignment horizontal="center" vertical="center" wrapText="1"/>
    </xf>
    <xf numFmtId="0" fontId="1" fillId="0" borderId="7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 wrapText="1"/>
    </xf>
    <xf numFmtId="0" fontId="5" fillId="0" borderId="3" xfId="0" applyNumberFormat="1" applyFont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176" fontId="11" fillId="0" borderId="0" xfId="0" applyFont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center" vertical="center" wrapText="1"/>
    </xf>
    <xf numFmtId="49" fontId="10" fillId="0" borderId="7" xfId="0" applyNumberFormat="1" applyFont="1" applyBorder="1" applyAlignment="1">
      <alignment horizontal="center" vertical="center" wrapText="1"/>
    </xf>
    <xf numFmtId="0" fontId="7" fillId="0" borderId="5" xfId="0" applyNumberFormat="1" applyFont="1" applyBorder="1" applyAlignment="1">
      <alignment horizontal="center" vertical="center" wrapText="1"/>
    </xf>
    <xf numFmtId="0" fontId="7" fillId="0" borderId="6" xfId="0" applyNumberFormat="1" applyFont="1" applyBorder="1" applyAlignment="1">
      <alignment horizontal="center" vertical="center" wrapText="1"/>
    </xf>
    <xf numFmtId="0" fontId="7" fillId="0" borderId="7" xfId="0" applyNumberFormat="1" applyFont="1" applyBorder="1" applyAlignment="1">
      <alignment horizontal="center" vertical="center" wrapText="1"/>
    </xf>
    <xf numFmtId="176" fontId="1" fillId="0" borderId="8" xfId="0" applyFont="1" applyBorder="1" applyAlignment="1">
      <alignment horizontal="center" vertical="center" wrapText="1"/>
    </xf>
    <xf numFmtId="176" fontId="1" fillId="0" borderId="9" xfId="0" applyFont="1" applyBorder="1" applyAlignment="1">
      <alignment horizontal="center" vertical="center" wrapText="1"/>
    </xf>
    <xf numFmtId="176" fontId="1" fillId="0" borderId="10" xfId="0" applyFont="1" applyBorder="1" applyAlignment="1">
      <alignment horizontal="center" vertical="center" wrapText="1"/>
    </xf>
    <xf numFmtId="176" fontId="1" fillId="0" borderId="11" xfId="0" applyFont="1" applyBorder="1" applyAlignment="1">
      <alignment horizontal="center" vertical="center" wrapText="1"/>
    </xf>
    <xf numFmtId="182" fontId="1" fillId="0" borderId="8" xfId="0" applyNumberFormat="1" applyFont="1" applyBorder="1" applyAlignment="1">
      <alignment horizontal="center" vertical="center" wrapText="1"/>
    </xf>
    <xf numFmtId="182" fontId="1" fillId="0" borderId="13" xfId="0" applyNumberFormat="1" applyFont="1" applyBorder="1" applyAlignment="1">
      <alignment horizontal="center" vertical="center" wrapText="1"/>
    </xf>
    <xf numFmtId="182" fontId="1" fillId="0" borderId="9" xfId="0" applyNumberFormat="1" applyFont="1" applyBorder="1" applyAlignment="1">
      <alignment horizontal="center" vertical="center" wrapText="1"/>
    </xf>
    <xf numFmtId="182" fontId="1" fillId="0" borderId="10" xfId="0" applyNumberFormat="1" applyFont="1" applyBorder="1" applyAlignment="1">
      <alignment horizontal="center" vertical="center" wrapText="1"/>
    </xf>
    <xf numFmtId="182" fontId="1" fillId="0" borderId="1" xfId="0" applyNumberFormat="1" applyFont="1" applyBorder="1" applyAlignment="1">
      <alignment horizontal="center" vertical="center" wrapText="1"/>
    </xf>
    <xf numFmtId="182" fontId="1" fillId="0" borderId="11" xfId="0" applyNumberFormat="1" applyFont="1" applyBorder="1" applyAlignment="1">
      <alignment horizontal="center" vertical="center" wrapText="1"/>
    </xf>
    <xf numFmtId="176" fontId="14" fillId="0" borderId="0" xfId="0" applyFont="1" applyAlignment="1">
      <alignment horizontal="center" vertical="center" wrapText="1"/>
    </xf>
    <xf numFmtId="176" fontId="2" fillId="0" borderId="0" xfId="0" applyFont="1" applyAlignment="1">
      <alignment horizontal="center" vertical="center" wrapText="1"/>
    </xf>
    <xf numFmtId="176" fontId="1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right" vertical="center" wrapText="1"/>
    </xf>
    <xf numFmtId="176" fontId="9" fillId="0" borderId="1" xfId="0" applyFont="1" applyBorder="1" applyAlignment="1">
      <alignment horizontal="right" vertical="center" wrapText="1"/>
    </xf>
    <xf numFmtId="176" fontId="1" fillId="0" borderId="3" xfId="0" applyFont="1" applyBorder="1" applyAlignment="1">
      <alignment horizontal="center" vertical="center" wrapText="1"/>
    </xf>
    <xf numFmtId="176" fontId="1" fillId="0" borderId="12" xfId="0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1" fillId="0" borderId="5" xfId="0" applyNumberFormat="1" applyFont="1" applyBorder="1" applyAlignment="1">
      <alignment horizontal="center" vertical="center" wrapText="1"/>
    </xf>
    <xf numFmtId="177" fontId="7" fillId="0" borderId="2" xfId="0" applyNumberFormat="1" applyFont="1" applyBorder="1" applyAlignment="1">
      <alignment horizontal="center" vertical="center" wrapText="1"/>
    </xf>
    <xf numFmtId="177" fontId="7" fillId="0" borderId="5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workbookViewId="0">
      <selection activeCell="R6" sqref="R6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7.75" style="2" customWidth="1"/>
    <col min="5" max="5" width="7.5" style="2" customWidth="1"/>
    <col min="6" max="6" width="9.75" style="2" customWidth="1"/>
    <col min="7" max="7" width="7.125" style="2" customWidth="1"/>
    <col min="8" max="8" width="5.625" style="2" customWidth="1"/>
    <col min="9" max="9" width="5.25" style="2" customWidth="1"/>
    <col min="10" max="10" width="5.875" style="2" customWidth="1"/>
    <col min="11" max="11" width="8.625" style="2" customWidth="1"/>
    <col min="12" max="12" width="6" style="2" customWidth="1"/>
    <col min="13" max="13" width="4.25" style="2" customWidth="1"/>
    <col min="14" max="14" width="7.125" style="2" customWidth="1"/>
    <col min="15" max="15" width="4.625" style="2" customWidth="1"/>
    <col min="16" max="16" width="5" style="2" customWidth="1"/>
    <col min="17" max="17" width="8.75" style="2" customWidth="1"/>
    <col min="18" max="18" width="8.125" style="2" customWidth="1"/>
    <col min="19" max="19" width="10" style="2" customWidth="1"/>
    <col min="20" max="20" width="8.375" style="2" customWidth="1"/>
    <col min="21" max="21" width="7.25" style="2" customWidth="1"/>
    <col min="22" max="22" width="7.375" style="2" customWidth="1"/>
    <col min="23" max="16384" width="9" style="2"/>
  </cols>
  <sheetData>
    <row r="1" spans="1:22" ht="33" customHeight="1" x14ac:dyDescent="0.15">
      <c r="A1" s="54" t="s">
        <v>67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</row>
    <row r="2" spans="1:22" s="1" customFormat="1" ht="21" customHeight="1" x14ac:dyDescent="0.15">
      <c r="B2" s="1" t="s">
        <v>0</v>
      </c>
      <c r="C2" s="1" t="s">
        <v>1</v>
      </c>
      <c r="G2" s="56" t="s">
        <v>2</v>
      </c>
      <c r="H2" s="56"/>
      <c r="N2" s="56" t="s">
        <v>3</v>
      </c>
      <c r="O2" s="56"/>
      <c r="T2" s="57" t="s">
        <v>4</v>
      </c>
      <c r="U2" s="58"/>
      <c r="V2" s="58"/>
    </row>
    <row r="3" spans="1:22" s="1" customFormat="1" ht="27" customHeight="1" x14ac:dyDescent="0.15">
      <c r="A3" s="27" t="s">
        <v>5</v>
      </c>
      <c r="B3" s="27" t="s">
        <v>6</v>
      </c>
      <c r="C3" s="27" t="s">
        <v>7</v>
      </c>
      <c r="D3" s="27" t="s">
        <v>8</v>
      </c>
      <c r="E3" s="27" t="s">
        <v>9</v>
      </c>
      <c r="F3" s="27" t="s">
        <v>10</v>
      </c>
      <c r="G3" s="3" t="s">
        <v>11</v>
      </c>
      <c r="H3" s="59" t="s">
        <v>12</v>
      </c>
      <c r="I3" s="60"/>
      <c r="J3" s="60"/>
      <c r="K3" s="27" t="s">
        <v>13</v>
      </c>
      <c r="L3" s="27"/>
      <c r="M3" s="27"/>
      <c r="N3" s="27"/>
      <c r="O3" s="27"/>
      <c r="P3" s="27"/>
      <c r="Q3" s="27" t="s">
        <v>14</v>
      </c>
      <c r="R3" s="27"/>
      <c r="S3" s="27" t="s">
        <v>15</v>
      </c>
      <c r="T3" s="27" t="s">
        <v>16</v>
      </c>
      <c r="U3" s="27" t="s">
        <v>17</v>
      </c>
      <c r="V3" s="27" t="s">
        <v>18</v>
      </c>
    </row>
    <row r="4" spans="1:22" s="1" customFormat="1" ht="27.75" customHeight="1" x14ac:dyDescent="0.15">
      <c r="A4" s="27"/>
      <c r="B4" s="27"/>
      <c r="C4" s="27"/>
      <c r="D4" s="27"/>
      <c r="E4" s="27"/>
      <c r="F4" s="27"/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3" t="s">
        <v>26</v>
      </c>
      <c r="O4" s="3" t="s">
        <v>27</v>
      </c>
      <c r="P4" s="3" t="s">
        <v>28</v>
      </c>
      <c r="Q4" s="3" t="s">
        <v>23</v>
      </c>
      <c r="R4" s="3" t="s">
        <v>24</v>
      </c>
      <c r="S4" s="27"/>
      <c r="T4" s="27"/>
      <c r="U4" s="27"/>
      <c r="V4" s="27"/>
    </row>
    <row r="5" spans="1:22" s="1" customFormat="1" ht="48.95" customHeight="1" x14ac:dyDescent="0.15">
      <c r="A5" s="4">
        <v>1</v>
      </c>
      <c r="B5" s="33" t="s">
        <v>29</v>
      </c>
      <c r="C5" s="34"/>
      <c r="D5" s="22" t="s">
        <v>68</v>
      </c>
      <c r="E5" s="30" t="s">
        <v>72</v>
      </c>
      <c r="F5" s="22" t="s">
        <v>75</v>
      </c>
      <c r="G5" s="4">
        <v>0.49</v>
      </c>
      <c r="H5" s="5" t="s">
        <v>30</v>
      </c>
      <c r="I5" s="35" t="s">
        <v>31</v>
      </c>
      <c r="J5" s="36"/>
      <c r="K5" s="4">
        <v>224000</v>
      </c>
      <c r="L5" s="61">
        <f>K5*G5/1000</f>
        <v>109.76</v>
      </c>
      <c r="M5" s="4">
        <v>50</v>
      </c>
      <c r="N5" s="4">
        <f>K5/M5</f>
        <v>4480</v>
      </c>
      <c r="O5" s="4">
        <v>40</v>
      </c>
      <c r="P5" s="4">
        <f>N5/O5</f>
        <v>112</v>
      </c>
      <c r="Q5" s="18">
        <v>225000</v>
      </c>
      <c r="R5" s="6">
        <f>Q5*G5/1000</f>
        <v>110.25</v>
      </c>
      <c r="S5" s="38" t="s">
        <v>73</v>
      </c>
      <c r="T5" s="24" t="s">
        <v>76</v>
      </c>
      <c r="U5" s="19" t="s">
        <v>32</v>
      </c>
      <c r="V5" s="41" t="s">
        <v>33</v>
      </c>
    </row>
    <row r="6" spans="1:22" s="1" customFormat="1" ht="48.95" customHeight="1" x14ac:dyDescent="0.15">
      <c r="A6" s="6">
        <v>2</v>
      </c>
      <c r="B6" s="3" t="s">
        <v>34</v>
      </c>
      <c r="C6" s="3" t="s">
        <v>35</v>
      </c>
      <c r="D6" s="22" t="s">
        <v>69</v>
      </c>
      <c r="E6" s="31"/>
      <c r="F6" s="3" t="s">
        <v>36</v>
      </c>
      <c r="G6" s="7">
        <v>0.57499999999999996</v>
      </c>
      <c r="H6" s="3" t="s">
        <v>37</v>
      </c>
      <c r="I6" s="3" t="s">
        <v>38</v>
      </c>
      <c r="J6" s="61">
        <f>L6/0.93</f>
        <v>138.49462365591395</v>
      </c>
      <c r="K6" s="13">
        <v>224000</v>
      </c>
      <c r="L6" s="61">
        <f>K6*G6/1000</f>
        <v>128.79999999999998</v>
      </c>
      <c r="M6" s="14">
        <v>35</v>
      </c>
      <c r="N6" s="4">
        <f>K6/M6</f>
        <v>6400</v>
      </c>
      <c r="O6" s="13">
        <v>40</v>
      </c>
      <c r="P6" s="4">
        <f>N6/O6</f>
        <v>160</v>
      </c>
      <c r="Q6" s="13">
        <v>225000</v>
      </c>
      <c r="R6" s="63">
        <f>G6*Q6/1000</f>
        <v>129.37499999999997</v>
      </c>
      <c r="S6" s="39"/>
      <c r="T6" s="23" t="s">
        <v>74</v>
      </c>
      <c r="U6" s="8" t="s">
        <v>39</v>
      </c>
      <c r="V6" s="42"/>
    </row>
    <row r="7" spans="1:22" s="1" customFormat="1" ht="42.95" customHeight="1" x14ac:dyDescent="0.15">
      <c r="A7" s="6">
        <v>3</v>
      </c>
      <c r="B7" s="3" t="s">
        <v>40</v>
      </c>
      <c r="C7" s="3" t="s">
        <v>41</v>
      </c>
      <c r="D7" s="22" t="s">
        <v>70</v>
      </c>
      <c r="E7" s="31"/>
      <c r="F7" s="3" t="s">
        <v>42</v>
      </c>
      <c r="G7" s="7">
        <v>0.13</v>
      </c>
      <c r="H7" s="3" t="s">
        <v>43</v>
      </c>
      <c r="I7" s="44" t="s">
        <v>31</v>
      </c>
      <c r="J7" s="45"/>
      <c r="K7" s="13">
        <f>K6</f>
        <v>224000</v>
      </c>
      <c r="L7" s="61">
        <f>K7*G7/1000</f>
        <v>29.12</v>
      </c>
      <c r="M7" s="48" t="s">
        <v>44</v>
      </c>
      <c r="N7" s="49"/>
      <c r="O7" s="49"/>
      <c r="P7" s="50"/>
      <c r="Q7" s="13">
        <f>Q6</f>
        <v>225000</v>
      </c>
      <c r="R7" s="63">
        <f t="shared" ref="R7:R8" si="0">G7*Q7/1000</f>
        <v>29.25</v>
      </c>
      <c r="S7" s="39"/>
      <c r="T7" s="20"/>
      <c r="U7" s="27" t="s">
        <v>45</v>
      </c>
      <c r="V7" s="42"/>
    </row>
    <row r="8" spans="1:22" s="1" customFormat="1" ht="39.950000000000003" customHeight="1" x14ac:dyDescent="0.15">
      <c r="A8" s="6">
        <v>4</v>
      </c>
      <c r="B8" s="3" t="s">
        <v>46</v>
      </c>
      <c r="C8" s="3" t="s">
        <v>47</v>
      </c>
      <c r="D8" s="22" t="s">
        <v>71</v>
      </c>
      <c r="E8" s="32"/>
      <c r="F8" s="3" t="s">
        <v>48</v>
      </c>
      <c r="G8" s="7">
        <v>3.3000000000000002E-2</v>
      </c>
      <c r="H8" s="3" t="s">
        <v>49</v>
      </c>
      <c r="I8" s="46"/>
      <c r="J8" s="47"/>
      <c r="K8" s="13">
        <f>K6</f>
        <v>224000</v>
      </c>
      <c r="L8" s="61">
        <f>K8*G8/1000</f>
        <v>7.3920000000000003</v>
      </c>
      <c r="M8" s="51"/>
      <c r="N8" s="52"/>
      <c r="O8" s="52"/>
      <c r="P8" s="53"/>
      <c r="Q8" s="13">
        <f>Q6</f>
        <v>225000</v>
      </c>
      <c r="R8" s="63">
        <f t="shared" si="0"/>
        <v>7.4249999999999998</v>
      </c>
      <c r="S8" s="40"/>
      <c r="T8" s="20"/>
      <c r="U8" s="27"/>
      <c r="V8" s="43"/>
    </row>
    <row r="9" spans="1:22" s="1" customFormat="1" ht="16.5" customHeight="1" x14ac:dyDescent="0.15">
      <c r="A9" s="44" t="s">
        <v>50</v>
      </c>
      <c r="B9" s="45"/>
      <c r="C9" s="28"/>
      <c r="D9" s="28"/>
      <c r="E9" s="28"/>
      <c r="F9" s="28"/>
      <c r="G9" s="28"/>
      <c r="H9" s="28"/>
      <c r="I9" s="28"/>
      <c r="J9" s="62">
        <f>SUM(J6)</f>
        <v>138.49462365591395</v>
      </c>
      <c r="K9" s="15">
        <f>K5+K6</f>
        <v>448000</v>
      </c>
      <c r="L9" s="64">
        <f>SUM(L5:L8)</f>
        <v>275.072</v>
      </c>
      <c r="M9" s="16"/>
      <c r="N9" s="15">
        <f>N5+N6</f>
        <v>10880</v>
      </c>
      <c r="O9" s="15"/>
      <c r="P9" s="15">
        <f>P5+P6</f>
        <v>272</v>
      </c>
      <c r="Q9" s="15">
        <f>Q5+Q6</f>
        <v>450000</v>
      </c>
      <c r="R9" s="64">
        <f>SUM(R5:R8)</f>
        <v>276.3</v>
      </c>
      <c r="S9" s="8"/>
      <c r="T9" s="28" t="s">
        <v>51</v>
      </c>
      <c r="U9" s="8"/>
      <c r="V9" s="8"/>
    </row>
    <row r="10" spans="1:22" s="1" customFormat="1" ht="16.5" customHeight="1" x14ac:dyDescent="0.15">
      <c r="A10" s="46"/>
      <c r="B10" s="47"/>
      <c r="C10" s="29"/>
      <c r="D10" s="29"/>
      <c r="E10" s="29"/>
      <c r="F10" s="29"/>
      <c r="G10" s="29"/>
      <c r="H10" s="29"/>
      <c r="I10" s="29"/>
      <c r="J10" s="9" t="s">
        <v>24</v>
      </c>
      <c r="K10" s="9" t="s">
        <v>52</v>
      </c>
      <c r="L10" s="9" t="s">
        <v>24</v>
      </c>
      <c r="M10" s="9"/>
      <c r="N10" s="9" t="s">
        <v>26</v>
      </c>
      <c r="O10" s="9"/>
      <c r="P10" s="9" t="s">
        <v>28</v>
      </c>
      <c r="Q10" s="9" t="s">
        <v>52</v>
      </c>
      <c r="R10" s="21" t="s">
        <v>24</v>
      </c>
      <c r="S10" s="9"/>
      <c r="T10" s="29"/>
      <c r="U10" s="9"/>
      <c r="V10" s="9"/>
    </row>
    <row r="11" spans="1:22" s="1" customFormat="1" ht="23.25" customHeight="1" x14ac:dyDescent="0.15">
      <c r="B11" s="1" t="s">
        <v>53</v>
      </c>
      <c r="P11" s="17"/>
      <c r="R11" s="37" t="s">
        <v>54</v>
      </c>
      <c r="S11" s="37"/>
      <c r="T11" s="37"/>
      <c r="U11" s="37"/>
      <c r="V11" s="37"/>
    </row>
    <row r="12" spans="1:22" s="1" customFormat="1" ht="19.5" customHeight="1" x14ac:dyDescent="0.15">
      <c r="A12" s="1" t="s">
        <v>55</v>
      </c>
      <c r="B12" s="25" t="s">
        <v>56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</row>
    <row r="13" spans="1:22" s="1" customFormat="1" ht="19.5" customHeight="1" x14ac:dyDescent="0.15">
      <c r="B13" s="25" t="s">
        <v>57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</row>
    <row r="14" spans="1:22" s="1" customFormat="1" ht="19.5" customHeight="1" x14ac:dyDescent="0.15">
      <c r="A14" s="1" t="s">
        <v>58</v>
      </c>
      <c r="B14" s="25" t="s">
        <v>59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</row>
    <row r="15" spans="1:22" s="1" customFormat="1" ht="19.5" customHeight="1" x14ac:dyDescent="0.15">
      <c r="A15" s="1" t="s">
        <v>60</v>
      </c>
      <c r="B15" s="25" t="s">
        <v>61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</row>
    <row r="16" spans="1:22" s="1" customFormat="1" ht="19.5" customHeight="1" x14ac:dyDescent="0.15">
      <c r="A16" s="1" t="s">
        <v>62</v>
      </c>
      <c r="B16" s="11" t="s">
        <v>63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 ht="27.75" customHeight="1" x14ac:dyDescent="0.15">
      <c r="A17" s="1" t="s">
        <v>64</v>
      </c>
      <c r="B17" s="12" t="s">
        <v>65</v>
      </c>
    </row>
    <row r="18" spans="1:22" ht="20.25" customHeight="1" x14ac:dyDescent="0.15">
      <c r="C18" s="25" t="s">
        <v>66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</row>
    <row r="19" spans="1:22" ht="22.5" x14ac:dyDescent="0.15">
      <c r="Q19" s="26">
        <v>45675</v>
      </c>
      <c r="R19" s="26"/>
      <c r="S19" s="26"/>
      <c r="T19" s="26"/>
      <c r="U19" s="26"/>
      <c r="V19" s="26"/>
    </row>
  </sheetData>
  <mergeCells count="41">
    <mergeCell ref="A1:V1"/>
    <mergeCell ref="G2:H2"/>
    <mergeCell ref="N2:O2"/>
    <mergeCell ref="T2:V2"/>
    <mergeCell ref="H3:J3"/>
    <mergeCell ref="K3:P3"/>
    <mergeCell ref="Q3:R3"/>
    <mergeCell ref="S3:S4"/>
    <mergeCell ref="T3:T4"/>
    <mergeCell ref="U3:U4"/>
    <mergeCell ref="V3:V4"/>
    <mergeCell ref="B5:C5"/>
    <mergeCell ref="I5:J5"/>
    <mergeCell ref="R11:V11"/>
    <mergeCell ref="B12:V12"/>
    <mergeCell ref="B13:V13"/>
    <mergeCell ref="H9:H10"/>
    <mergeCell ref="I9:I10"/>
    <mergeCell ref="S5:S8"/>
    <mergeCell ref="T9:T10"/>
    <mergeCell ref="U7:U8"/>
    <mergeCell ref="V5:V8"/>
    <mergeCell ref="A9:B10"/>
    <mergeCell ref="I7:J8"/>
    <mergeCell ref="M7:P8"/>
    <mergeCell ref="B14:V14"/>
    <mergeCell ref="B15:V15"/>
    <mergeCell ref="C18:M18"/>
    <mergeCell ref="Q19:V19"/>
    <mergeCell ref="A3:A4"/>
    <mergeCell ref="B3:B4"/>
    <mergeCell ref="C3:C4"/>
    <mergeCell ref="C9:C10"/>
    <mergeCell ref="D3:D4"/>
    <mergeCell ref="D9:D10"/>
    <mergeCell ref="E3:E4"/>
    <mergeCell ref="E5:E8"/>
    <mergeCell ref="E9:E10"/>
    <mergeCell ref="F3:F4"/>
    <mergeCell ref="F9:F10"/>
    <mergeCell ref="G9:G10"/>
  </mergeCells>
  <phoneticPr fontId="13" type="noConversion"/>
  <pageMargins left="0" right="0" top="0.74803149606299202" bottom="0.74803149606299202" header="0.31496062992126" footer="0.31496062992126"/>
  <pageSetup paperSize="9" scale="90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2025-02-05T06:01:48Z</cp:lastPrinted>
  <dcterms:created xsi:type="dcterms:W3CDTF">2006-09-13T11:21:00Z</dcterms:created>
  <dcterms:modified xsi:type="dcterms:W3CDTF">2025-02-05T06:02:11Z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A60A86319CDF47CE9E23DDC080F4B5FE_13</vt:lpwstr>
  </property>
  <property fmtid="{D5CDD505-2E9C-101B-9397-08002B2CF9AE}" pid="3" name="KSOProductBuildVer">
    <vt:lpwstr>2052-12.1.0.17147</vt:lpwstr>
  </property>
</Properties>
</file>