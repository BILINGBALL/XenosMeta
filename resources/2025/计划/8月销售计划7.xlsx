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77847E2D-9AB1-4F5D-B305-97782EE17A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R8" i="1"/>
  <c r="Q8" i="1"/>
  <c r="O8" i="1"/>
  <c r="L8" i="1"/>
  <c r="S7" i="1"/>
  <c r="S8" i="1" s="1"/>
  <c r="M7" i="1"/>
  <c r="M8" i="1" l="1"/>
  <c r="K8" i="1"/>
</calcChain>
</file>

<file path=xl/sharedStrings.xml><?xml version="1.0" encoding="utf-8"?>
<sst xmlns="http://schemas.openxmlformats.org/spreadsheetml/2006/main" count="64" uniqueCount="56">
  <si>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</si>
  <si>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</si>
  <si>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</si>
  <si>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</si>
  <si>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</si>
  <si>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</si>
  <si>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</si>
  <si>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</si>
  <si>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</si>
  <si>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</si>
  <si>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</si>
  <si>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</si>
  <si>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</si>
  <si>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</si>
  <si>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</si>
  <si>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</si>
  <si>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</si>
  <si>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</si>
  <si>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</si>
  <si>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</si>
  <si>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</si>
  <si>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</si>
  <si>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</si>
  <si>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</si>
  <si>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</si>
  <si>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</si>
  <si>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</si>
  <si>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</si>
  <si>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</si>
  <si>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螺纹
道钉</t>
  </si>
  <si>
    <t>Φ24</t>
  </si>
  <si>
    <t>本色
涂油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</si>
  <si>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</si>
  <si>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</si>
  <si>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</si>
  <si>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</si>
  <si>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</si>
  <si>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</si>
  <si>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</si>
  <si>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</si>
  <si>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</si>
  <si>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</si>
  <si>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</si>
  <si>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</si>
  <si>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编织袋+免熏蒸托盘</t>
    <phoneticPr fontId="7" type="noConversion"/>
  </si>
  <si>
    <t>包装物为编织袋加免熏蒸托盘</t>
    <phoneticPr fontId="7" type="noConversion"/>
  </si>
  <si>
    <t>M24*145</t>
    <phoneticPr fontId="7" type="noConversion"/>
  </si>
  <si>
    <t>XIFENG-20250825-68</t>
    <phoneticPr fontId="7" type="noConversion"/>
  </si>
  <si>
    <t>4.6级</t>
    <phoneticPr fontId="7" type="noConversion"/>
  </si>
  <si>
    <t>Q235</t>
    <phoneticPr fontId="7" type="noConversion"/>
  </si>
  <si>
    <t>2025-10-8</t>
    <phoneticPr fontId="7" type="noConversion"/>
  </si>
  <si>
    <t>件</t>
    <phoneticPr fontId="7" type="noConversion"/>
  </si>
  <si>
    <t>GK-SS-2022-0621-1</t>
    <phoneticPr fontId="7" type="noConversion"/>
  </si>
  <si>
    <t>250825-2</t>
    <phoneticPr fontId="7" type="noConversion"/>
  </si>
  <si>
    <t>8 月  份  销  售  计  划  7</t>
    <phoneticPr fontId="7" type="noConversion"/>
  </si>
  <si>
    <t>GK
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</si>
</sst>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D4" zoomScale="130" zoomScaleNormal="130" workbookViewId="0">
      <selection activeCell="K7" sqref="K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6.75" style="2" customWidth="1"/>
    <col min="12" max="12" width="7.125" style="2" customWidth="1"/>
    <col min="13" max="13" width="5.625" style="2" customWidth="1"/>
    <col min="14" max="14" width="4" style="2" customWidth="1"/>
    <col min="15" max="15" width="6.25" style="2" customWidth="1"/>
    <col min="16" max="16" width="4.625" style="2" customWidth="1"/>
    <col min="17" max="17" width="4.125" style="2" customWidth="1"/>
    <col min="18" max="18" width="8.75" style="2" customWidth="1"/>
    <col min="19" max="19" width="6.25" style="2" customWidth="1"/>
    <col min="20" max="20" width="9.75" style="2" customWidth="1"/>
    <col min="21" max="21" width="8.125" style="2" customWidth="1"/>
    <col min="22" max="22" width="5.125" style="2" customWidth="1"/>
    <col min="23" max="23" width="4.875" style="2" customWidth="1"/>
    <col min="24" max="16384" width="9" style="2"/>
  </cols>
  <sheetData>
    <row r="2" spans="1:23" ht="45" customHeight="1" x14ac:dyDescent="0.15">
      <c r="A2" s="24" t="s">
        <v>54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33" t="s">
        <v>4</v>
      </c>
      <c r="B5" s="33" t="s">
        <v>5</v>
      </c>
      <c r="C5" s="33" t="s">
        <v>6</v>
      </c>
      <c r="D5" s="33" t="s">
        <v>7</v>
      </c>
      <c r="E5" s="33" t="s">
        <v>8</v>
      </c>
      <c r="F5" s="33" t="s">
        <v>9</v>
      </c>
      <c r="G5" s="33" t="s">
        <v>10</v>
      </c>
      <c r="H5" s="3" t="s">
        <v>11</v>
      </c>
      <c r="I5" s="31" t="s">
        <v>12</v>
      </c>
      <c r="J5" s="32"/>
      <c r="K5" s="32"/>
      <c r="L5" s="33" t="s">
        <v>13</v>
      </c>
      <c r="M5" s="33"/>
      <c r="N5" s="33"/>
      <c r="O5" s="33"/>
      <c r="P5" s="33"/>
      <c r="Q5" s="33"/>
      <c r="R5" s="33" t="s">
        <v>14</v>
      </c>
      <c r="S5" s="33"/>
      <c r="T5" s="33" t="s">
        <v>15</v>
      </c>
      <c r="U5" s="33" t="s">
        <v>16</v>
      </c>
      <c r="V5" s="33" t="s">
        <v>17</v>
      </c>
      <c r="W5" s="33" t="s">
        <v>18</v>
      </c>
    </row>
    <row r="6" spans="1:23" s="1" customFormat="1" ht="27.75" customHeight="1" x14ac:dyDescent="0.15">
      <c r="A6" s="33"/>
      <c r="B6" s="33"/>
      <c r="C6" s="33"/>
      <c r="D6" s="33"/>
      <c r="E6" s="33"/>
      <c r="F6" s="33"/>
      <c r="G6" s="33"/>
      <c r="H6" s="3" t="s">
        <v>19</v>
      </c>
      <c r="I6" s="3" t="s">
        <v>20</v>
      </c>
      <c r="J6" s="3" t="s">
        <v>21</v>
      </c>
      <c r="K6" s="4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33"/>
      <c r="U6" s="33"/>
      <c r="V6" s="33"/>
      <c r="W6" s="33"/>
    </row>
    <row r="7" spans="1:23" s="1" customFormat="1" ht="63.95" customHeight="1" x14ac:dyDescent="0.15">
      <c r="A7" s="3">
        <v>1</v>
      </c>
      <c r="B7" s="3" t="s">
        <v>29</v>
      </c>
      <c r="C7" s="15" t="s">
        <v>46</v>
      </c>
      <c r="D7" s="15" t="s">
        <v>53</v>
      </c>
      <c r="E7" s="18" t="s">
        <v>47</v>
      </c>
      <c r="F7" s="15" t="s">
        <v>48</v>
      </c>
      <c r="G7" s="19" t="s">
        <v>52</v>
      </c>
      <c r="H7" s="3">
        <v>0.57499999999999996</v>
      </c>
      <c r="I7" s="15" t="s">
        <v>49</v>
      </c>
      <c r="J7" s="3" t="s">
        <v>30</v>
      </c>
      <c r="K7" s="8">
        <f>M7/0.9</f>
        <v>57.499999999999993</v>
      </c>
      <c r="L7" s="3">
        <v>90000</v>
      </c>
      <c r="M7" s="9">
        <f>L7*H7/1000</f>
        <v>51.749999999999993</v>
      </c>
      <c r="N7" s="3">
        <v>40</v>
      </c>
      <c r="O7" s="3">
        <v>2250</v>
      </c>
      <c r="P7" s="3">
        <v>40</v>
      </c>
      <c r="Q7" s="3">
        <v>57</v>
      </c>
      <c r="R7" s="3">
        <v>90500</v>
      </c>
      <c r="S7" s="9">
        <f>R7*H7/1000</f>
        <v>52.037499999999994</v>
      </c>
      <c r="T7" s="20" t="s">
        <v>50</v>
      </c>
      <c r="U7" s="16" t="s">
        <v>55</v>
      </c>
      <c r="V7" s="21" t="s">
        <v>31</v>
      </c>
      <c r="W7" s="22" t="s">
        <v>44</v>
      </c>
    </row>
    <row r="8" spans="1:23" s="1" customFormat="1" ht="18" customHeight="1" x14ac:dyDescent="0.15">
      <c r="A8" s="38" t="s">
        <v>32</v>
      </c>
      <c r="B8" s="39"/>
      <c r="C8" s="5"/>
      <c r="D8" s="5"/>
      <c r="E8" s="5"/>
      <c r="F8" s="6"/>
      <c r="G8" s="5"/>
      <c r="H8" s="5"/>
      <c r="I8" s="5"/>
      <c r="J8" s="5"/>
      <c r="K8" s="10">
        <f t="shared" ref="K8:O8" si="0">K7</f>
        <v>57.499999999999993</v>
      </c>
      <c r="L8" s="10">
        <f t="shared" si="0"/>
        <v>90000</v>
      </c>
      <c r="M8" s="10">
        <f>SUM(M7:M7)</f>
        <v>51.749999999999993</v>
      </c>
      <c r="N8" s="11"/>
      <c r="O8" s="10">
        <f t="shared" si="0"/>
        <v>2250</v>
      </c>
      <c r="P8" s="11"/>
      <c r="Q8" s="10">
        <f>Q7</f>
        <v>57</v>
      </c>
      <c r="R8" s="10">
        <f>R7</f>
        <v>90500</v>
      </c>
      <c r="S8" s="10">
        <f>SUM(S7:S7)</f>
        <v>52.037499999999994</v>
      </c>
      <c r="T8" s="14"/>
      <c r="U8" s="34" t="s">
        <v>33</v>
      </c>
      <c r="V8" s="14"/>
      <c r="W8" s="14"/>
    </row>
    <row r="9" spans="1:23" ht="15" customHeight="1" x14ac:dyDescent="0.15">
      <c r="A9" s="40"/>
      <c r="B9" s="41"/>
      <c r="C9" s="7"/>
      <c r="D9" s="7"/>
      <c r="E9" s="7"/>
      <c r="F9" s="7"/>
      <c r="G9" s="7"/>
      <c r="H9" s="7"/>
      <c r="I9" s="7"/>
      <c r="J9" s="7"/>
      <c r="K9" s="7" t="s">
        <v>24</v>
      </c>
      <c r="L9" s="23" t="s">
        <v>51</v>
      </c>
      <c r="M9" s="7" t="s">
        <v>24</v>
      </c>
      <c r="N9" s="7"/>
      <c r="O9" s="7" t="s">
        <v>26</v>
      </c>
      <c r="P9" s="7"/>
      <c r="Q9" s="7" t="s">
        <v>28</v>
      </c>
      <c r="R9" s="23" t="s">
        <v>51</v>
      </c>
      <c r="S9" s="7" t="s">
        <v>24</v>
      </c>
      <c r="T9" s="7"/>
      <c r="U9" s="35"/>
      <c r="V9" s="7"/>
      <c r="W9" s="7"/>
    </row>
    <row r="10" spans="1:23" s="1" customFormat="1" ht="19.5" customHeight="1" x14ac:dyDescent="0.15">
      <c r="B10" s="1" t="s">
        <v>34</v>
      </c>
      <c r="M10" s="12"/>
      <c r="O10" s="13"/>
      <c r="R10" s="17"/>
    </row>
    <row r="11" spans="1:23" s="1" customFormat="1" ht="19.5" customHeight="1" x14ac:dyDescent="0.15">
      <c r="A11" s="1" t="s">
        <v>35</v>
      </c>
      <c r="B11" s="30" t="s">
        <v>36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s="1" customFormat="1" ht="19.5" customHeight="1" x14ac:dyDescent="0.15">
      <c r="B12" s="30" t="s">
        <v>37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s="1" customFormat="1" ht="19.5" customHeight="1" x14ac:dyDescent="0.15">
      <c r="A13" s="1" t="s">
        <v>38</v>
      </c>
      <c r="B13" s="30" t="s">
        <v>39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s="1" customFormat="1" ht="19.5" customHeight="1" x14ac:dyDescent="0.15">
      <c r="A14" s="1" t="s">
        <v>40</v>
      </c>
      <c r="B14" s="30" t="s">
        <v>41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s="1" customFormat="1" ht="19.5" customHeight="1" x14ac:dyDescent="0.15">
      <c r="A15" s="1" t="s">
        <v>42</v>
      </c>
      <c r="B15" s="29" t="s">
        <v>45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42" customHeight="1" x14ac:dyDescent="0.15">
      <c r="O16" s="37"/>
      <c r="P16" s="37"/>
      <c r="Q16" s="37"/>
      <c r="R16" s="37"/>
      <c r="S16" s="37"/>
      <c r="T16" s="37"/>
      <c r="U16" s="37"/>
      <c r="V16" s="37"/>
      <c r="W16" s="37"/>
    </row>
    <row r="17" spans="3:23" ht="20.25" customHeight="1" x14ac:dyDescent="0.15">
      <c r="C17" s="30" t="s">
        <v>43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7"/>
      <c r="P17" s="37"/>
      <c r="Q17" s="37"/>
      <c r="R17" s="37"/>
      <c r="S17" s="37"/>
      <c r="T17" s="37"/>
      <c r="U17" s="37"/>
      <c r="V17" s="37"/>
      <c r="W17" s="37"/>
    </row>
    <row r="18" spans="3:23" x14ac:dyDescent="0.15">
      <c r="Q18" s="36">
        <v>45894</v>
      </c>
      <c r="R18" s="36"/>
      <c r="S18" s="36"/>
      <c r="T18" s="36"/>
    </row>
  </sheetData>
  <mergeCells count="29">
    <mergeCell ref="C17:N17"/>
    <mergeCell ref="Q18:T18"/>
    <mergeCell ref="A5:A6"/>
    <mergeCell ref="B5:B6"/>
    <mergeCell ref="C5:C6"/>
    <mergeCell ref="D5:D6"/>
    <mergeCell ref="E5:E6"/>
    <mergeCell ref="F5:F6"/>
    <mergeCell ref="G5:G6"/>
    <mergeCell ref="T5:T6"/>
    <mergeCell ref="O16:W17"/>
    <mergeCell ref="A8:B9"/>
    <mergeCell ref="B11:W11"/>
    <mergeCell ref="B12:W12"/>
    <mergeCell ref="B13:W13"/>
    <mergeCell ref="B14:W14"/>
    <mergeCell ref="B15:W15"/>
    <mergeCell ref="I5:K5"/>
    <mergeCell ref="L5:Q5"/>
    <mergeCell ref="R5:S5"/>
    <mergeCell ref="U5:U6"/>
    <mergeCell ref="U8:U9"/>
    <mergeCell ref="V5:V6"/>
    <mergeCell ref="W5:W6"/>
    <mergeCell ref="A2:W2"/>
    <mergeCell ref="A4:B4"/>
    <mergeCell ref="H4:I4"/>
    <mergeCell ref="O4:P4"/>
    <mergeCell ref="U4:W4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2025-08-25T09:12:31Z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