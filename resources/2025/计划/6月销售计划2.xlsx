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763A6841-03E2-4DF5-A486-7A100DB67A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M9" i="1"/>
  <c r="S8" i="1"/>
  <c r="M8" i="1"/>
  <c r="K8" i="1" s="1"/>
  <c r="S9" i="1" l="1"/>
  <c r="M7" i="1"/>
  <c r="K7" i="1" s="1"/>
  <c r="R10" i="1"/>
  <c r="Q10" i="1"/>
  <c r="O10" i="1"/>
  <c r="S7" i="1"/>
  <c r="K10" i="1" l="1"/>
  <c r="M10" i="1"/>
  <c r="S10" i="1"/>
</calcChain>
</file>

<file path=xl/sharedStrings.xml><?xml version="1.0" encoding="utf-8"?>
<sst xmlns="http://schemas.openxmlformats.org/spreadsheetml/2006/main" count="89" uniqueCount="73">
  <si>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</si>
  <si>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</si>
  <si>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</si>
  <si>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</si>
  <si>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</si>
  <si>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</si>
  <si>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</si>
  <si>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</si>
  <si>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</si>
  <si>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</si>
  <si>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</si>
  <si>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</si>
  <si>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</si>
  <si>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</si>
  <si>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</si>
  <si>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</si>
  <si>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</si>
  <si>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</si>
  <si>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</si>
  <si>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</si>
  <si>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</si>
  <si>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</si>
  <si>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</si>
  <si>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</si>
  <si>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</si>
  <si>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</si>
  <si>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</si>
  <si>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</si>
  <si>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</si>
  <si>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</si>
  <si>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螺栓</t>
  </si>
  <si>
    <t>Φ22</t>
  </si>
  <si>
    <t>本色上油</t>
  </si>
  <si>
    <t>方头
螺栓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</si>
  <si>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</si>
  <si>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</si>
  <si>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</si>
  <si>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</si>
  <si>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</si>
  <si>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</si>
  <si>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</si>
  <si>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生产部门按生产工艺生产，加强自检，严格质量管理。发货前卖方从大货中寄5大样至买方公司检查质量确认无误后发货。</t>
  </si>
  <si>
    <t>3、</t>
  </si>
  <si>
    <t>品管部负责办理质量证明书，检测报告及相关数据。</t>
  </si>
  <si>
    <t>4、</t>
  </si>
  <si>
    <t>螺纹通止规，外螺纹明显 杂质 不得影响螺纹使用，无明显磕碰现象。</t>
  </si>
  <si>
    <t>5、</t>
  </si>
  <si>
    <t>分发：总经理、总经办、品管部、生产部</t>
  </si>
  <si>
    <t>NFG
4.6
25</t>
    <phoneticPr fontId="9" type="noConversion"/>
  </si>
  <si>
    <t>4.6级</t>
    <phoneticPr fontId="9" type="noConversion"/>
  </si>
  <si>
    <t>Q235</t>
    <phoneticPr fontId="9" type="noConversion"/>
  </si>
  <si>
    <t>250611-1</t>
    <phoneticPr fontId="9" type="noConversion"/>
  </si>
  <si>
    <t>250611-2</t>
  </si>
  <si>
    <t>CON-25JH-EXP-25126</t>
    <phoneticPr fontId="9" type="noConversion"/>
  </si>
  <si>
    <t>UNC
7/8*90</t>
    <phoneticPr fontId="9" type="noConversion"/>
  </si>
  <si>
    <t>CON-25JH-EXP-25130</t>
    <phoneticPr fontId="9" type="noConversion"/>
  </si>
  <si>
    <t>2025-7-18</t>
    <phoneticPr fontId="9" type="noConversion"/>
  </si>
  <si>
    <t>螺母</t>
    <phoneticPr fontId="9" type="noConversion"/>
  </si>
  <si>
    <t>7/8</t>
    <phoneticPr fontId="9" type="noConversion"/>
  </si>
  <si>
    <t>250611-3</t>
  </si>
  <si>
    <t>5级</t>
    <phoneticPr fontId="9" type="noConversion"/>
  </si>
  <si>
    <t>外购</t>
    <phoneticPr fontId="9" type="noConversion"/>
  </si>
  <si>
    <t>6、</t>
  </si>
  <si>
    <t>包装：编织袋+欧式托盘加围板。</t>
    <phoneticPr fontId="9" type="noConversion"/>
  </si>
  <si>
    <t>2025-7-22</t>
    <phoneticPr fontId="9" type="noConversion"/>
  </si>
  <si>
    <t>UNC
7/8*125</t>
    <phoneticPr fontId="9" type="noConversion"/>
  </si>
  <si>
    <t>SDL25611A</t>
    <phoneticPr fontId="9" type="noConversion"/>
  </si>
  <si>
    <t>7/8*90螺栓，螺母买方提供，我方协助组装，每箱上面必须写好5位数订单号码45028；7/8*125螺栓每箱上面必须写好5位数订单号码45040。</t>
    <phoneticPr fontId="9" type="noConversion"/>
  </si>
  <si>
    <t>螺母对边40+0/-1 厚度28+/-1.3，螺纹进牙口倒角，二端倒角角度为30°</t>
    <phoneticPr fontId="9" type="noConversion"/>
  </si>
  <si>
    <t>6 月  份  销  售  计  划  2</t>
    <phoneticPr fontId="9" type="noConversion"/>
  </si>
  <si>
    <t>TL-22</t>
    <phoneticPr fontId="9" type="noConversion"/>
  </si>
  <si>
    <t>SF-27</t>
    <phoneticPr fontId="9" type="noConversion"/>
  </si>
  <si>
    <t>编织袋
+
欧式托盘加围板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</si>
</sst>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;_愇"/>
    <numFmt numFmtId="178" formatCode="0.0_ "/>
    <numFmt numFmtId="179" formatCode="0_ "/>
    <numFmt numFmtId="180" formatCode="[$-F800]dddd\,\ mmmm\ dd\,\ yyyy"/>
    <numFmt numFmtId="181" formatCode="0.00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1" fillId="0" borderId="2" xfId="0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quotePrefix="1" applyFont="1" applyBorder="1" applyAlignment="1">
      <alignment horizontal="center" vertical="center" wrapText="1"/>
    </xf>
    <xf numFmtId="181" fontId="1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0" fontId="7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2"/>
  <sheetViews>
    <sheetView tabSelected="1" topLeftCell="A5" workbookViewId="0">
      <selection activeCell="H8" sqref="H8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42" t="s">
        <v>69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4" spans="1:23" s="1" customFormat="1" ht="21" customHeight="1" x14ac:dyDescent="0.15">
      <c r="B4" s="1" t="s">
        <v>0</v>
      </c>
      <c r="C4" s="1" t="s">
        <v>1</v>
      </c>
      <c r="H4" s="43" t="s">
        <v>2</v>
      </c>
      <c r="I4" s="43"/>
      <c r="O4" s="43" t="s">
        <v>3</v>
      </c>
      <c r="P4" s="43"/>
      <c r="U4" s="44" t="s">
        <v>4</v>
      </c>
      <c r="V4" s="45"/>
      <c r="W4" s="45"/>
    </row>
    <row r="5" spans="1:23" s="1" customFormat="1" ht="27" customHeight="1" x14ac:dyDescent="0.15">
      <c r="A5" s="35" t="s">
        <v>5</v>
      </c>
      <c r="B5" s="35" t="s">
        <v>6</v>
      </c>
      <c r="C5" s="35" t="s">
        <v>7</v>
      </c>
      <c r="D5" s="35" t="s">
        <v>8</v>
      </c>
      <c r="E5" s="35" t="s">
        <v>9</v>
      </c>
      <c r="F5" s="35" t="s">
        <v>10</v>
      </c>
      <c r="G5" s="35" t="s">
        <v>11</v>
      </c>
      <c r="H5" s="3" t="s">
        <v>12</v>
      </c>
      <c r="I5" s="36" t="s">
        <v>13</v>
      </c>
      <c r="J5" s="46"/>
      <c r="K5" s="46"/>
      <c r="L5" s="35" t="s">
        <v>14</v>
      </c>
      <c r="M5" s="35"/>
      <c r="N5" s="35"/>
      <c r="O5" s="35"/>
      <c r="P5" s="35"/>
      <c r="Q5" s="35"/>
      <c r="R5" s="35" t="s">
        <v>15</v>
      </c>
      <c r="S5" s="35"/>
      <c r="T5" s="35" t="s">
        <v>16</v>
      </c>
      <c r="U5" s="35" t="s">
        <v>17</v>
      </c>
      <c r="V5" s="35" t="s">
        <v>18</v>
      </c>
      <c r="W5" s="35" t="s">
        <v>19</v>
      </c>
    </row>
    <row r="6" spans="1:23" s="1" customFormat="1" ht="27.75" customHeight="1" x14ac:dyDescent="0.15">
      <c r="A6" s="35"/>
      <c r="B6" s="35"/>
      <c r="C6" s="35"/>
      <c r="D6" s="35"/>
      <c r="E6" s="35"/>
      <c r="F6" s="35"/>
      <c r="G6" s="35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35"/>
      <c r="U6" s="35"/>
      <c r="V6" s="35"/>
      <c r="W6" s="35"/>
    </row>
    <row r="7" spans="1:23" s="1" customFormat="1" ht="63" customHeight="1" x14ac:dyDescent="0.15">
      <c r="A7" s="3">
        <v>1</v>
      </c>
      <c r="B7" s="3" t="s">
        <v>30</v>
      </c>
      <c r="C7" s="3" t="s">
        <v>54</v>
      </c>
      <c r="D7" s="4" t="s">
        <v>51</v>
      </c>
      <c r="E7" s="5" t="s">
        <v>53</v>
      </c>
      <c r="F7" s="6" t="s">
        <v>49</v>
      </c>
      <c r="G7" s="3" t="s">
        <v>70</v>
      </c>
      <c r="H7" s="21">
        <v>0.32</v>
      </c>
      <c r="I7" s="3" t="s">
        <v>50</v>
      </c>
      <c r="J7" s="3" t="s">
        <v>31</v>
      </c>
      <c r="K7" s="7">
        <f>M7/0.94</f>
        <v>10.212765957446809</v>
      </c>
      <c r="L7" s="3">
        <v>30000</v>
      </c>
      <c r="M7" s="12">
        <f>L7*H7/1000</f>
        <v>9.6</v>
      </c>
      <c r="N7" s="3">
        <v>25</v>
      </c>
      <c r="O7" s="11">
        <v>1200</v>
      </c>
      <c r="P7" s="3">
        <v>40</v>
      </c>
      <c r="Q7" s="3">
        <v>30</v>
      </c>
      <c r="R7" s="3">
        <v>30100</v>
      </c>
      <c r="S7" s="18">
        <f>H7*R7/1000</f>
        <v>9.6319999999999997</v>
      </c>
      <c r="T7" s="23" t="s">
        <v>64</v>
      </c>
      <c r="U7" s="3" t="s">
        <v>48</v>
      </c>
      <c r="V7" s="3" t="s">
        <v>32</v>
      </c>
      <c r="W7" s="26" t="s">
        <v>72</v>
      </c>
    </row>
    <row r="8" spans="1:23" s="1" customFormat="1" ht="63" customHeight="1" x14ac:dyDescent="0.15">
      <c r="A8" s="3">
        <v>2</v>
      </c>
      <c r="B8" s="3" t="s">
        <v>33</v>
      </c>
      <c r="C8" s="3" t="s">
        <v>65</v>
      </c>
      <c r="D8" s="4" t="s">
        <v>52</v>
      </c>
      <c r="E8" s="33" t="s">
        <v>55</v>
      </c>
      <c r="F8" s="3" t="s">
        <v>49</v>
      </c>
      <c r="G8" s="3" t="s">
        <v>71</v>
      </c>
      <c r="H8" s="3">
        <v>0.56000000000000005</v>
      </c>
      <c r="I8" s="3" t="s">
        <v>50</v>
      </c>
      <c r="J8" s="3" t="s">
        <v>31</v>
      </c>
      <c r="K8" s="12">
        <f>M8/0.94</f>
        <v>5.9574468085106389</v>
      </c>
      <c r="L8" s="3">
        <v>10000</v>
      </c>
      <c r="M8" s="12">
        <f>L8*H8/1000</f>
        <v>5.6000000000000005</v>
      </c>
      <c r="N8" s="33">
        <v>25</v>
      </c>
      <c r="O8" s="33">
        <v>400</v>
      </c>
      <c r="P8" s="33">
        <v>40</v>
      </c>
      <c r="Q8" s="33">
        <v>10</v>
      </c>
      <c r="R8" s="3">
        <v>10100</v>
      </c>
      <c r="S8" s="18">
        <f>H8*R8/1000</f>
        <v>5.6560000000000006</v>
      </c>
      <c r="T8" s="24" t="s">
        <v>56</v>
      </c>
      <c r="U8" s="16" t="s">
        <v>48</v>
      </c>
      <c r="V8" s="3" t="s">
        <v>32</v>
      </c>
      <c r="W8" s="27"/>
    </row>
    <row r="9" spans="1:23" s="1" customFormat="1" ht="63" customHeight="1" x14ac:dyDescent="0.15">
      <c r="A9" s="3">
        <v>3</v>
      </c>
      <c r="B9" s="3" t="s">
        <v>57</v>
      </c>
      <c r="C9" s="20" t="s">
        <v>58</v>
      </c>
      <c r="D9" s="4" t="s">
        <v>59</v>
      </c>
      <c r="E9" s="34"/>
      <c r="F9" s="6" t="s">
        <v>60</v>
      </c>
      <c r="G9" s="3" t="s">
        <v>66</v>
      </c>
      <c r="H9" s="21">
        <v>0.23</v>
      </c>
      <c r="I9" s="3" t="s">
        <v>50</v>
      </c>
      <c r="J9" s="36" t="s">
        <v>61</v>
      </c>
      <c r="K9" s="37"/>
      <c r="L9" s="3">
        <v>10000</v>
      </c>
      <c r="M9" s="12">
        <f>L9*H9/1000</f>
        <v>2.2999999999999998</v>
      </c>
      <c r="N9" s="34"/>
      <c r="O9" s="34"/>
      <c r="P9" s="34"/>
      <c r="Q9" s="34"/>
      <c r="R9" s="3">
        <v>10100</v>
      </c>
      <c r="S9" s="18">
        <f>H9*R9/1000</f>
        <v>2.323</v>
      </c>
      <c r="T9" s="25"/>
      <c r="U9" s="16"/>
      <c r="V9" s="3" t="s">
        <v>32</v>
      </c>
      <c r="W9" s="28"/>
    </row>
    <row r="10" spans="1:23" s="1" customFormat="1" ht="16.5" customHeight="1" x14ac:dyDescent="0.15">
      <c r="A10" s="29" t="s">
        <v>34</v>
      </c>
      <c r="B10" s="30"/>
      <c r="C10" s="33"/>
      <c r="D10" s="33"/>
      <c r="E10" s="33"/>
      <c r="F10" s="33"/>
      <c r="G10" s="5"/>
      <c r="H10" s="33"/>
      <c r="I10" s="33"/>
      <c r="J10" s="33"/>
      <c r="K10" s="13">
        <f>SUM(K7:K9)</f>
        <v>16.170212765957448</v>
      </c>
      <c r="L10" s="14">
        <f>SUM(L7:L9)</f>
        <v>50000</v>
      </c>
      <c r="M10" s="13">
        <f>SUM(M7:M9)</f>
        <v>17.5</v>
      </c>
      <c r="N10" s="13"/>
      <c r="O10" s="15">
        <f>SUM(O7:O9)</f>
        <v>1600</v>
      </c>
      <c r="P10" s="13"/>
      <c r="Q10" s="15">
        <f>SUM(Q7:Q9)</f>
        <v>40</v>
      </c>
      <c r="R10" s="14">
        <f>SUM(R7:R9)</f>
        <v>50300</v>
      </c>
      <c r="S10" s="13">
        <f>SUM(S7:S9)</f>
        <v>17.611000000000001</v>
      </c>
      <c r="T10" s="5"/>
      <c r="U10" s="33" t="s">
        <v>35</v>
      </c>
      <c r="V10" s="5"/>
      <c r="W10" s="5"/>
    </row>
    <row r="11" spans="1:23" s="1" customFormat="1" ht="16.5" customHeight="1" x14ac:dyDescent="0.15">
      <c r="A11" s="31"/>
      <c r="B11" s="32"/>
      <c r="C11" s="34"/>
      <c r="D11" s="34"/>
      <c r="E11" s="34"/>
      <c r="F11" s="34"/>
      <c r="G11" s="8"/>
      <c r="H11" s="34"/>
      <c r="I11" s="34"/>
      <c r="J11" s="34"/>
      <c r="K11" s="8" t="s">
        <v>25</v>
      </c>
      <c r="L11" s="8" t="s">
        <v>24</v>
      </c>
      <c r="M11" s="8" t="s">
        <v>25</v>
      </c>
      <c r="N11" s="8"/>
      <c r="O11" s="8" t="s">
        <v>27</v>
      </c>
      <c r="P11" s="8"/>
      <c r="Q11" s="8" t="s">
        <v>29</v>
      </c>
      <c r="R11" s="8" t="s">
        <v>24</v>
      </c>
      <c r="S11" s="17" t="s">
        <v>25</v>
      </c>
      <c r="T11" s="8"/>
      <c r="U11" s="34"/>
      <c r="V11" s="8"/>
      <c r="W11" s="8"/>
    </row>
    <row r="13" spans="1:23" s="1" customFormat="1" ht="25.5" customHeight="1" x14ac:dyDescent="0.15">
      <c r="B13" s="1" t="s">
        <v>36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1" t="s">
        <v>68</v>
      </c>
      <c r="Q13" s="41"/>
      <c r="R13" s="41"/>
      <c r="S13" s="41"/>
      <c r="T13" s="41"/>
      <c r="U13" s="41"/>
      <c r="V13" s="41"/>
      <c r="W13" s="41"/>
    </row>
    <row r="14" spans="1:23" s="1" customFormat="1" ht="19.5" customHeight="1" x14ac:dyDescent="0.15">
      <c r="A14" s="1" t="s">
        <v>37</v>
      </c>
      <c r="B14" s="38" t="s">
        <v>38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</row>
    <row r="15" spans="1:23" s="1" customFormat="1" ht="19.5" customHeight="1" x14ac:dyDescent="0.15">
      <c r="B15" s="38" t="s">
        <v>39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</row>
    <row r="16" spans="1:23" s="1" customFormat="1" ht="19.5" customHeight="1" x14ac:dyDescent="0.15">
      <c r="A16" s="1" t="s">
        <v>40</v>
      </c>
      <c r="B16" s="38" t="s">
        <v>41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</row>
    <row r="17" spans="1:23" s="1" customFormat="1" ht="19.5" customHeight="1" x14ac:dyDescent="0.15">
      <c r="A17" s="1" t="s">
        <v>42</v>
      </c>
      <c r="B17" s="38" t="s">
        <v>43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</row>
    <row r="18" spans="1:23" s="1" customFormat="1" ht="19.5" customHeight="1" x14ac:dyDescent="0.15">
      <c r="A18" s="1" t="s">
        <v>44</v>
      </c>
      <c r="B18" s="10" t="s">
        <v>45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s="1" customFormat="1" ht="19.5" customHeight="1" x14ac:dyDescent="0.15">
      <c r="A19" s="1" t="s">
        <v>46</v>
      </c>
      <c r="B19" s="22" t="s">
        <v>67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27.75" customHeight="1" x14ac:dyDescent="0.15">
      <c r="A20" s="1" t="s">
        <v>62</v>
      </c>
      <c r="B20" s="19" t="s">
        <v>63</v>
      </c>
    </row>
    <row r="21" spans="1:23" ht="20.25" customHeight="1" x14ac:dyDescent="0.15">
      <c r="C21" s="38" t="s">
        <v>47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23" ht="22.5" x14ac:dyDescent="0.15">
      <c r="R22" s="39">
        <v>45819</v>
      </c>
      <c r="S22" s="39"/>
      <c r="T22" s="39"/>
      <c r="U22" s="39"/>
      <c r="V22" s="39"/>
      <c r="W22" s="39"/>
    </row>
  </sheetData>
  <mergeCells count="43">
    <mergeCell ref="P13:W13"/>
    <mergeCell ref="B14:W14"/>
    <mergeCell ref="B15:W15"/>
    <mergeCell ref="B16:W16"/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B17:W17"/>
    <mergeCell ref="C21:N21"/>
    <mergeCell ref="R22:W22"/>
    <mergeCell ref="A5:A6"/>
    <mergeCell ref="B5:B6"/>
    <mergeCell ref="C5:C6"/>
    <mergeCell ref="C10:C11"/>
    <mergeCell ref="D5:D6"/>
    <mergeCell ref="D10:D11"/>
    <mergeCell ref="E5:E6"/>
    <mergeCell ref="E10:E11"/>
    <mergeCell ref="F5:F6"/>
    <mergeCell ref="F10:F11"/>
    <mergeCell ref="G5:G6"/>
    <mergeCell ref="H10:H11"/>
    <mergeCell ref="D13:O13"/>
    <mergeCell ref="T5:T6"/>
    <mergeCell ref="U5:U6"/>
    <mergeCell ref="U10:U11"/>
    <mergeCell ref="E8:E9"/>
    <mergeCell ref="J9:K9"/>
    <mergeCell ref="N8:N9"/>
    <mergeCell ref="O8:O9"/>
    <mergeCell ref="P8:P9"/>
    <mergeCell ref="Q8:Q9"/>
    <mergeCell ref="T8:T9"/>
    <mergeCell ref="W7:W9"/>
    <mergeCell ref="A10:B11"/>
    <mergeCell ref="I10:I11"/>
    <mergeCell ref="J10:J11"/>
  </mergeCells>
  <phoneticPr fontId="9" type="noConversion"/>
  <pageMargins left="0.7" right="0.7" top="0.75" bottom="0.75" header="0.3" footer="0.3"/>
  <pageSetup paperSize="9" scale="8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2025-06-11T03:05:44Z</cp:lastPrinted>
  <dcterms:created xsi:type="dcterms:W3CDTF">2006-09-13T11:21:00Z</dcterms:created>
  <dcterms:modified xsi:type="dcterms:W3CDTF">2025-06-11T06:08:11Z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