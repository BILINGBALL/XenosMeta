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9481F3A9-B261-440C-A029-B1069557D2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Q9" i="1"/>
  <c r="O9" i="1"/>
  <c r="M9" i="1"/>
  <c r="L9" i="1"/>
  <c r="S8" i="1"/>
  <c r="M8" i="1"/>
  <c r="M7" i="1" l="1"/>
  <c r="K7" i="1" s="1"/>
  <c r="S7" i="1"/>
  <c r="K9" i="1" l="1"/>
</calcChain>
</file>

<file path=xl/sharedStrings.xml><?xml version="1.0" encoding="utf-8"?>
<sst xmlns="http://schemas.openxmlformats.org/spreadsheetml/2006/main" count="74" uniqueCount="65">
  <si>
    <t>编制：</t>
  </si>
  <si>
    <t>高蕾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</si>
  <si>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</si>
  <si>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</si>
  <si>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</si>
  <si>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</si>
  <si>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</si>
  <si>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</si>
  <si>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</si>
  <si>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</si>
  <si>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产品
标准</t>
  </si>
  <si>
    <t>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</si>
  <si>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</si>
  <si>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</si>
  <si>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</si>
  <si>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</si>
  <si>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</si>
  <si>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</si>
  <si>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</si>
  <si>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</si>
  <si>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</si>
  <si>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</si>
  <si>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</si>
  <si>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</si>
  <si>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</si>
  <si>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</si>
  <si>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袋</t>
  </si>
  <si>
    <t>袋/托</t>
  </si>
  <si>
    <t>托</t>
  </si>
  <si>
    <t>螺栓</t>
  </si>
  <si>
    <t>Φ22</t>
  </si>
  <si>
    <t>本色上油</t>
  </si>
  <si>
    <t>合计</t>
  </si>
  <si>
    <t>根据图纸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</si>
  <si>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</si>
  <si>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</si>
  <si>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</si>
  <si>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</si>
  <si>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</si>
  <si>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生产部门按生产工艺生产，加强自检，严格质量管理。发货前卖方从大货中寄5大样至买方公司检查质量确认无误后发货。</t>
  </si>
  <si>
    <t>3、</t>
  </si>
  <si>
    <t>品管部负责办理质量证明书，检测报告及相关数据。</t>
  </si>
  <si>
    <t>4、</t>
  </si>
  <si>
    <t>螺纹通止规，外螺纹明显 杂质 不得影响螺纹使用，无明显磕碰现象。</t>
  </si>
  <si>
    <t>5、</t>
  </si>
  <si>
    <t>分发：总经理、总经办、品管部、生产部</t>
  </si>
  <si>
    <t>NFG
4.6
25</t>
    <phoneticPr fontId="8" type="noConversion"/>
  </si>
  <si>
    <t>4.6级</t>
    <phoneticPr fontId="8" type="noConversion"/>
  </si>
  <si>
    <t>UNC
7/8*90</t>
    <phoneticPr fontId="8" type="noConversion"/>
  </si>
  <si>
    <t>6、</t>
  </si>
  <si>
    <t>编织袋
+
欧式托盘加围板</t>
    <phoneticPr fontId="8" type="noConversion"/>
  </si>
  <si>
    <t>12 月  份  销  售  计  划  10</t>
    <phoneticPr fontId="8" type="noConversion"/>
  </si>
  <si>
    <t>251222-3</t>
    <phoneticPr fontId="8" type="noConversion"/>
  </si>
  <si>
    <t>CON-25JH-EXP-25265</t>
    <phoneticPr fontId="8" type="noConversion"/>
  </si>
  <si>
    <t>Q235B</t>
    <phoneticPr fontId="8" type="noConversion"/>
  </si>
  <si>
    <t>螺纹通止规（外螺纹明显 杂质 不得影响螺纹使用无明显磕碰现象）</t>
    <phoneticPr fontId="8" type="noConversion"/>
  </si>
  <si>
    <t>每进一批材料必须提供该批次产品样品留样和试样块，合同签订后每周汇报一次生产进度，包括提供生产照片，录像.</t>
    <phoneticPr fontId="8" type="noConversion"/>
  </si>
  <si>
    <r>
      <t>包装：编织袋+欧式托盘加围板。</t>
    </r>
    <r>
      <rPr>
        <b/>
        <sz val="11"/>
        <color theme="1"/>
        <rFont val="宋体"/>
        <family val="3"/>
        <charset val="134"/>
        <scheme val="minor"/>
      </rPr>
      <t>包装时，请拍摄录像和照片以供确认</t>
    </r>
    <phoneticPr fontId="8" type="noConversion"/>
  </si>
  <si>
    <t>2026-2-25</t>
    <phoneticPr fontId="8" type="noConversion"/>
  </si>
  <si>
    <t>A3315/1-4</t>
    <phoneticPr fontId="8" type="noConversion"/>
  </si>
  <si>
    <t>螺母</t>
    <phoneticPr fontId="8" type="noConversion"/>
  </si>
  <si>
    <t>7/8</t>
    <phoneticPr fontId="8" type="noConversion"/>
  </si>
  <si>
    <t>251222-4</t>
  </si>
  <si>
    <t>外购</t>
    <phoneticPr fontId="8" type="noConversion"/>
  </si>
  <si>
    <t>套/袋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</si>
</sst>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;_愇"/>
    <numFmt numFmtId="178" formatCode="0.0_ "/>
    <numFmt numFmtId="179" formatCode="0_ "/>
    <numFmt numFmtId="180" formatCode="[$-F800]dddd\,\ mmmm\ dd\,\ yyyy"/>
    <numFmt numFmtId="181" formatCode="0.000_ 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78" fontId="1" fillId="0" borderId="2" xfId="0" applyNumberFormat="1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181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81" fontId="1" fillId="0" borderId="3" xfId="0" applyNumberFormat="1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77" fontId="1" fillId="0" borderId="3" xfId="0" applyNumberFormat="1" applyFont="1" applyBorder="1" applyAlignment="1">
      <alignment horizontal="center" vertical="center" wrapText="1"/>
    </xf>
    <xf numFmtId="177" fontId="1" fillId="0" borderId="8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80" fontId="6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323850</xdr:colOff>
      <xdr:row>12</xdr:row>
      <xdr:rowOff>47626</xdr:rowOff>
    </xdr:from>
    <xdr:to>
      <xdr:col>21</xdr:col>
      <xdr:colOff>512628</xdr:colOff>
      <xdr:row>16</xdr:row>
      <xdr:rowOff>238126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9D08EF4-0434-FD00-8A05-C811A97A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1100" y="5086351"/>
          <a:ext cx="2198553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21"/>
  <sheetViews>
    <sheetView tabSelected="1" topLeftCell="A5" workbookViewId="0">
      <selection activeCell="D12" sqref="D12:O12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7" width="9.75" style="2" customWidth="1"/>
    <col min="8" max="8" width="7.125" style="2" customWidth="1"/>
    <col min="9" max="9" width="5.625" style="2" customWidth="1"/>
    <col min="10" max="10" width="5.25" style="2" customWidth="1"/>
    <col min="11" max="11" width="6.375" style="2" customWidth="1"/>
    <col min="12" max="12" width="7.375" style="2" customWidth="1"/>
    <col min="13" max="13" width="6.5" style="2" customWidth="1"/>
    <col min="14" max="14" width="4.25" style="2" customWidth="1"/>
    <col min="15" max="15" width="5.625" style="2" customWidth="1"/>
    <col min="16" max="16" width="4.625" style="2" customWidth="1"/>
    <col min="17" max="17" width="5" style="2" customWidth="1"/>
    <col min="18" max="18" width="8.125" style="2" customWidth="1"/>
    <col min="19" max="19" width="6.625" style="2" customWidth="1"/>
    <col min="20" max="20" width="6.875" style="2" customWidth="1"/>
    <col min="21" max="21" width="4.75" style="2" customWidth="1"/>
    <col min="22" max="22" width="7.25" style="2" customWidth="1"/>
    <col min="23" max="23" width="6" style="2" customWidth="1"/>
    <col min="24" max="16384" width="9" style="2"/>
  </cols>
  <sheetData>
    <row r="2" spans="1:23" ht="33" customHeight="1" x14ac:dyDescent="0.15">
      <c r="A2" s="32" t="s">
        <v>51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4" spans="1:23" s="1" customFormat="1" ht="21" customHeight="1" x14ac:dyDescent="0.15">
      <c r="B4" s="1" t="s">
        <v>0</v>
      </c>
      <c r="C4" s="1" t="s">
        <v>1</v>
      </c>
      <c r="H4" s="33" t="s">
        <v>2</v>
      </c>
      <c r="I4" s="33"/>
      <c r="O4" s="33" t="s">
        <v>3</v>
      </c>
      <c r="P4" s="33"/>
      <c r="U4" s="34" t="s">
        <v>4</v>
      </c>
      <c r="V4" s="35"/>
      <c r="W4" s="35"/>
    </row>
    <row r="5" spans="1:23" s="1" customFormat="1" ht="27" customHeight="1" x14ac:dyDescent="0.15">
      <c r="A5" s="37" t="s">
        <v>5</v>
      </c>
      <c r="B5" s="37" t="s">
        <v>6</v>
      </c>
      <c r="C5" s="37" t="s">
        <v>7</v>
      </c>
      <c r="D5" s="37" t="s">
        <v>8</v>
      </c>
      <c r="E5" s="37" t="s">
        <v>9</v>
      </c>
      <c r="F5" s="37" t="s">
        <v>10</v>
      </c>
      <c r="G5" s="37" t="s">
        <v>11</v>
      </c>
      <c r="H5" s="3" t="s">
        <v>12</v>
      </c>
      <c r="I5" s="28" t="s">
        <v>13</v>
      </c>
      <c r="J5" s="36"/>
      <c r="K5" s="36"/>
      <c r="L5" s="37" t="s">
        <v>14</v>
      </c>
      <c r="M5" s="37"/>
      <c r="N5" s="37"/>
      <c r="O5" s="37"/>
      <c r="P5" s="37"/>
      <c r="Q5" s="37"/>
      <c r="R5" s="37" t="s">
        <v>15</v>
      </c>
      <c r="S5" s="37"/>
      <c r="T5" s="37" t="s">
        <v>16</v>
      </c>
      <c r="U5" s="37" t="s">
        <v>17</v>
      </c>
      <c r="V5" s="37" t="s">
        <v>18</v>
      </c>
      <c r="W5" s="37" t="s">
        <v>19</v>
      </c>
    </row>
    <row r="6" spans="1:23" s="1" customFormat="1" ht="27.75" customHeight="1" x14ac:dyDescent="0.15">
      <c r="A6" s="37"/>
      <c r="B6" s="37"/>
      <c r="C6" s="37"/>
      <c r="D6" s="37"/>
      <c r="E6" s="37"/>
      <c r="F6" s="37"/>
      <c r="G6" s="37"/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M6" s="3" t="s">
        <v>25</v>
      </c>
      <c r="N6" s="3" t="s">
        <v>64</v>
      </c>
      <c r="O6" s="3" t="s">
        <v>26</v>
      </c>
      <c r="P6" s="3" t="s">
        <v>27</v>
      </c>
      <c r="Q6" s="3" t="s">
        <v>28</v>
      </c>
      <c r="R6" s="3" t="s">
        <v>24</v>
      </c>
      <c r="S6" s="3" t="s">
        <v>25</v>
      </c>
      <c r="T6" s="37"/>
      <c r="U6" s="37"/>
      <c r="V6" s="37"/>
      <c r="W6" s="37"/>
    </row>
    <row r="7" spans="1:23" s="1" customFormat="1" ht="63" customHeight="1" x14ac:dyDescent="0.15">
      <c r="A7" s="3">
        <v>1</v>
      </c>
      <c r="B7" s="3" t="s">
        <v>29</v>
      </c>
      <c r="C7" s="3" t="s">
        <v>48</v>
      </c>
      <c r="D7" s="4" t="s">
        <v>52</v>
      </c>
      <c r="E7" s="22" t="s">
        <v>53</v>
      </c>
      <c r="F7" s="21" t="s">
        <v>47</v>
      </c>
      <c r="G7" s="22" t="s">
        <v>59</v>
      </c>
      <c r="H7" s="16">
        <v>0.32</v>
      </c>
      <c r="I7" s="3" t="s">
        <v>54</v>
      </c>
      <c r="J7" s="3" t="s">
        <v>30</v>
      </c>
      <c r="K7" s="6">
        <f>M7/0.94</f>
        <v>0.51063829787234039</v>
      </c>
      <c r="L7" s="3">
        <v>1500</v>
      </c>
      <c r="M7" s="10">
        <f>L7*H7/1000</f>
        <v>0.48</v>
      </c>
      <c r="N7" s="22">
        <v>50</v>
      </c>
      <c r="O7" s="30">
        <v>30</v>
      </c>
      <c r="P7" s="22">
        <v>30</v>
      </c>
      <c r="Q7" s="22">
        <v>1</v>
      </c>
      <c r="R7" s="3">
        <v>1550</v>
      </c>
      <c r="S7" s="14">
        <f>H7*R7/1000</f>
        <v>0.496</v>
      </c>
      <c r="T7" s="24" t="s">
        <v>58</v>
      </c>
      <c r="U7" s="3" t="s">
        <v>46</v>
      </c>
      <c r="V7" s="22" t="s">
        <v>31</v>
      </c>
      <c r="W7" s="26" t="s">
        <v>50</v>
      </c>
    </row>
    <row r="8" spans="1:23" s="1" customFormat="1" ht="63" customHeight="1" x14ac:dyDescent="0.15">
      <c r="A8" s="3">
        <v>3</v>
      </c>
      <c r="B8" s="3" t="s">
        <v>60</v>
      </c>
      <c r="C8" s="20" t="s">
        <v>61</v>
      </c>
      <c r="D8" s="4" t="s">
        <v>62</v>
      </c>
      <c r="E8" s="23"/>
      <c r="F8" s="21"/>
      <c r="G8" s="23"/>
      <c r="H8" s="18">
        <v>0.08</v>
      </c>
      <c r="I8" s="19"/>
      <c r="J8" s="28" t="s">
        <v>63</v>
      </c>
      <c r="K8" s="29"/>
      <c r="L8" s="3">
        <v>1500</v>
      </c>
      <c r="M8" s="10">
        <f>L8*H8/1000</f>
        <v>0.12</v>
      </c>
      <c r="N8" s="23"/>
      <c r="O8" s="31"/>
      <c r="P8" s="23"/>
      <c r="Q8" s="23"/>
      <c r="R8" s="3">
        <v>1550</v>
      </c>
      <c r="S8" s="14">
        <f>H8*R8/1000</f>
        <v>0.124</v>
      </c>
      <c r="T8" s="25"/>
      <c r="U8" s="5"/>
      <c r="V8" s="23"/>
      <c r="W8" s="27"/>
    </row>
    <row r="9" spans="1:23" s="1" customFormat="1" ht="16.5" customHeight="1" x14ac:dyDescent="0.15">
      <c r="A9" s="42" t="s">
        <v>32</v>
      </c>
      <c r="B9" s="43"/>
      <c r="C9" s="22"/>
      <c r="D9" s="22"/>
      <c r="E9" s="22"/>
      <c r="F9" s="22"/>
      <c r="G9" s="5"/>
      <c r="H9" s="22"/>
      <c r="I9" s="22"/>
      <c r="J9" s="22"/>
      <c r="K9" s="11">
        <f>SUM(K7:K7)</f>
        <v>0.51063829787234039</v>
      </c>
      <c r="L9" s="12">
        <f>SUM(L7:L8)</f>
        <v>3000</v>
      </c>
      <c r="M9" s="12">
        <f>SUM(M7:M8)</f>
        <v>0.6</v>
      </c>
      <c r="N9" s="11"/>
      <c r="O9" s="12">
        <f>SUM(O7:O8)</f>
        <v>30</v>
      </c>
      <c r="P9" s="11"/>
      <c r="Q9" s="12">
        <f>SUM(Q7:Q8)</f>
        <v>1</v>
      </c>
      <c r="R9" s="12">
        <f>SUM(R7:R8)</f>
        <v>3100</v>
      </c>
      <c r="S9" s="12">
        <f>SUM(S7:S8)</f>
        <v>0.62</v>
      </c>
      <c r="T9" s="5"/>
      <c r="U9" s="22" t="s">
        <v>33</v>
      </c>
      <c r="V9" s="5"/>
      <c r="W9" s="5"/>
    </row>
    <row r="10" spans="1:23" s="1" customFormat="1" ht="16.5" customHeight="1" x14ac:dyDescent="0.15">
      <c r="A10" s="44"/>
      <c r="B10" s="45"/>
      <c r="C10" s="23"/>
      <c r="D10" s="23"/>
      <c r="E10" s="23"/>
      <c r="F10" s="23"/>
      <c r="G10" s="7"/>
      <c r="H10" s="23"/>
      <c r="I10" s="23"/>
      <c r="J10" s="23"/>
      <c r="K10" s="7" t="s">
        <v>25</v>
      </c>
      <c r="L10" s="7" t="s">
        <v>24</v>
      </c>
      <c r="M10" s="7" t="s">
        <v>25</v>
      </c>
      <c r="N10" s="7"/>
      <c r="O10" s="7" t="s">
        <v>26</v>
      </c>
      <c r="P10" s="7"/>
      <c r="Q10" s="7" t="s">
        <v>28</v>
      </c>
      <c r="R10" s="7" t="s">
        <v>24</v>
      </c>
      <c r="S10" s="13" t="s">
        <v>25</v>
      </c>
      <c r="T10" s="7"/>
      <c r="U10" s="23"/>
      <c r="V10" s="7"/>
      <c r="W10" s="7"/>
    </row>
    <row r="12" spans="1:23" s="1" customFormat="1" ht="25.5" customHeight="1" x14ac:dyDescent="0.15">
      <c r="B12" s="1" t="s">
        <v>34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 t="s">
        <v>55</v>
      </c>
      <c r="Q12" s="40"/>
      <c r="R12" s="40"/>
      <c r="S12" s="40"/>
      <c r="T12" s="40"/>
      <c r="U12" s="40"/>
      <c r="V12" s="40"/>
      <c r="W12" s="40"/>
    </row>
    <row r="13" spans="1:23" s="1" customFormat="1" ht="19.5" customHeight="1" x14ac:dyDescent="0.15">
      <c r="A13" s="1" t="s">
        <v>35</v>
      </c>
      <c r="B13" s="41" t="s">
        <v>36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s="1" customFormat="1" ht="19.5" customHeight="1" x14ac:dyDescent="0.15">
      <c r="B14" s="41" t="s">
        <v>37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s="1" customFormat="1" ht="19.5" customHeight="1" x14ac:dyDescent="0.15">
      <c r="A15" s="1" t="s">
        <v>38</v>
      </c>
      <c r="B15" s="41" t="s">
        <v>39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s="1" customFormat="1" ht="19.5" customHeight="1" x14ac:dyDescent="0.15">
      <c r="A16" s="1" t="s">
        <v>40</v>
      </c>
      <c r="B16" s="41" t="s">
        <v>41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s="1" customFormat="1" ht="19.5" customHeight="1" x14ac:dyDescent="0.15">
      <c r="A17" s="1" t="s">
        <v>42</v>
      </c>
      <c r="B17" s="9" t="s">
        <v>43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s="1" customFormat="1" ht="19.5" customHeight="1" x14ac:dyDescent="0.15">
      <c r="A18" s="1" t="s">
        <v>44</v>
      </c>
      <c r="B18" s="17" t="s">
        <v>56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ht="27.75" customHeight="1" x14ac:dyDescent="0.15">
      <c r="A19" s="1" t="s">
        <v>49</v>
      </c>
      <c r="B19" s="15" t="s">
        <v>57</v>
      </c>
    </row>
    <row r="20" spans="1:23" ht="20.25" customHeight="1" x14ac:dyDescent="0.15">
      <c r="C20" s="41" t="s">
        <v>45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spans="1:23" ht="22.5" x14ac:dyDescent="0.15">
      <c r="R21" s="38">
        <v>46013</v>
      </c>
      <c r="S21" s="38"/>
      <c r="T21" s="38"/>
      <c r="U21" s="38"/>
      <c r="V21" s="38"/>
      <c r="W21" s="38"/>
    </row>
  </sheetData>
  <mergeCells count="45">
    <mergeCell ref="A9:B10"/>
    <mergeCell ref="I9:I10"/>
    <mergeCell ref="J9:J10"/>
    <mergeCell ref="B16:W16"/>
    <mergeCell ref="C20:N20"/>
    <mergeCell ref="B14:W14"/>
    <mergeCell ref="B15:W15"/>
    <mergeCell ref="U9:U10"/>
    <mergeCell ref="R21:W21"/>
    <mergeCell ref="A5:A6"/>
    <mergeCell ref="B5:B6"/>
    <mergeCell ref="C5:C6"/>
    <mergeCell ref="C9:C10"/>
    <mergeCell ref="D5:D6"/>
    <mergeCell ref="D9:D10"/>
    <mergeCell ref="E5:E6"/>
    <mergeCell ref="E9:E10"/>
    <mergeCell ref="F5:F6"/>
    <mergeCell ref="F9:F10"/>
    <mergeCell ref="G5:G6"/>
    <mergeCell ref="H9:H10"/>
    <mergeCell ref="D12:O12"/>
    <mergeCell ref="P12:W12"/>
    <mergeCell ref="B13:W13"/>
    <mergeCell ref="A2:W2"/>
    <mergeCell ref="H4:I4"/>
    <mergeCell ref="O4:P4"/>
    <mergeCell ref="U4:W4"/>
    <mergeCell ref="I5:K5"/>
    <mergeCell ref="L5:Q5"/>
    <mergeCell ref="R5:S5"/>
    <mergeCell ref="V5:V6"/>
    <mergeCell ref="W5:W6"/>
    <mergeCell ref="T5:T6"/>
    <mergeCell ref="U5:U6"/>
    <mergeCell ref="E7:E8"/>
    <mergeCell ref="G7:G8"/>
    <mergeCell ref="J8:K8"/>
    <mergeCell ref="N7:N8"/>
    <mergeCell ref="O7:O8"/>
    <mergeCell ref="P7:P8"/>
    <mergeCell ref="Q7:Q8"/>
    <mergeCell ref="T7:T8"/>
    <mergeCell ref="V7:V8"/>
    <mergeCell ref="W7:W8"/>
  </mergeCells>
  <phoneticPr fontId="8" type="noConversion"/>
  <pageMargins left="0.7" right="0.7" top="0.75" bottom="0.75" header="0.3" footer="0.3"/>
  <pageSetup paperSize="9" scale="82" orientation="landscape" horizontalDpi="2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2025-06-11T03:05:44Z</cp:lastPrinted>
  <dcterms:created xsi:type="dcterms:W3CDTF">2006-09-13T11:21:00Z</dcterms:created>
  <dcterms:modified xsi:type="dcterms:W3CDTF">2025-12-25T06:00:04Z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F7B6CE91E31E43A6AEFFFE030ABBF8C1_13</vt:lpwstr>
  </property>
  <property fmtid="{D5CDD505-2E9C-101B-9397-08002B2CF9AE}" pid="3" name="KSOProductBuildVer">
    <vt:lpwstr>2052-12.1.0.18608</vt:lpwstr>
  </property>
</Properties>
</file>