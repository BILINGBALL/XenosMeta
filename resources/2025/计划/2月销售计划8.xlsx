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42FEA5CE-AE11-47F7-9FAB-8A45819A3A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S8" i="1" s="1"/>
  <c r="M7" i="1"/>
  <c r="K7" i="1" s="1"/>
  <c r="L8" i="1"/>
  <c r="Q8" i="1"/>
  <c r="O8" i="1"/>
  <c r="M8" i="1" l="1"/>
  <c r="K8" i="1"/>
</calcChain>
</file>

<file path=xl/sharedStrings.xml><?xml version="1.0" encoding="utf-8"?>
<sst xmlns="http://schemas.openxmlformats.org/spreadsheetml/2006/main" count="55" uniqueCount="53">
  <si>
    <t>编制：</t>
    <phoneticPr fontId="1" type="noConversion"/>
  </si>
  <si>
    <t>序号</t>
    <phoneticPr fontId="1" type="noConversion"/>
  </si>
  <si>
    <t>型号及规格</t>
    <phoneticPr fontId="1" type="noConversion"/>
  </si>
  <si>
    <t>生产令号</t>
    <phoneticPr fontId="1" type="noConversion"/>
  </si>
  <si>
    <t>合同号P.O.</t>
    <phoneticPr fontId="1" type="noConversion"/>
  </si>
  <si>
    <t>产品图号</t>
    <phoneticPr fontId="1" type="noConversion"/>
  </si>
  <si>
    <t>净重</t>
    <phoneticPr fontId="1" type="noConversion"/>
  </si>
  <si>
    <t>原材料</t>
    <phoneticPr fontId="1" type="noConversion"/>
  </si>
  <si>
    <t>完成时间</t>
    <phoneticPr fontId="1" type="noConversion"/>
  </si>
  <si>
    <t>表面处理</t>
    <phoneticPr fontId="1" type="noConversion"/>
  </si>
  <si>
    <t>包装物</t>
    <phoneticPr fontId="1" type="noConversion"/>
  </si>
  <si>
    <t>KG/件</t>
    <phoneticPr fontId="1" type="noConversion"/>
  </si>
  <si>
    <t>材质</t>
    <phoneticPr fontId="1" type="noConversion"/>
  </si>
  <si>
    <t>规格</t>
    <phoneticPr fontId="1" type="noConversion"/>
  </si>
  <si>
    <t>数量（吨）</t>
    <phoneticPr fontId="1" type="noConversion"/>
  </si>
  <si>
    <t>件</t>
    <phoneticPr fontId="1" type="noConversion"/>
  </si>
  <si>
    <t>吨</t>
    <phoneticPr fontId="1" type="noConversion"/>
  </si>
  <si>
    <t>件/袋</t>
    <phoneticPr fontId="1" type="noConversion"/>
  </si>
  <si>
    <t>袋</t>
    <phoneticPr fontId="1" type="noConversion"/>
  </si>
  <si>
    <t>品管部负责办理质量证明书，检测报告及相关数据。</t>
    <phoneticPr fontId="1" type="noConversion"/>
  </si>
  <si>
    <t>分发：总经理、总经办、品管部、生产部</t>
    <phoneticPr fontId="1" type="noConversion"/>
  </si>
  <si>
    <t>说明：</t>
    <phoneticPr fontId="1" type="noConversion"/>
  </si>
  <si>
    <t>复核：</t>
    <phoneticPr fontId="1" type="noConversion"/>
  </si>
  <si>
    <t>合同要求量</t>
    <phoneticPr fontId="1" type="noConversion"/>
  </si>
  <si>
    <t>批准：</t>
    <phoneticPr fontId="1" type="noConversion"/>
  </si>
  <si>
    <t>产品
名称</t>
    <phoneticPr fontId="1" type="noConversion"/>
  </si>
  <si>
    <t>产品
标准</t>
    <phoneticPr fontId="1" type="noConversion"/>
  </si>
  <si>
    <t>客户图纸</t>
    <phoneticPr fontId="1" type="noConversion"/>
  </si>
  <si>
    <t>计划生
产数量</t>
    <phoneticPr fontId="1" type="noConversion"/>
  </si>
  <si>
    <t>高蕾</t>
    <phoneticPr fontId="1" type="noConversion"/>
  </si>
  <si>
    <t>袋/箱</t>
    <phoneticPr fontId="1" type="noConversion"/>
  </si>
  <si>
    <t>箱</t>
    <phoneticPr fontId="1" type="noConversion"/>
  </si>
  <si>
    <t>合 计</t>
    <phoneticPr fontId="1" type="noConversion"/>
  </si>
  <si>
    <t>1、</t>
    <phoneticPr fontId="1" type="noConversion"/>
  </si>
  <si>
    <t>2、</t>
    <phoneticPr fontId="1" type="noConversion"/>
  </si>
  <si>
    <t>3、</t>
    <phoneticPr fontId="1" type="noConversion"/>
  </si>
  <si>
    <t>详见
对应
图纸</t>
    <phoneticPr fontId="1" type="noConversion"/>
  </si>
  <si>
    <t>Φ24</t>
    <phoneticPr fontId="1" type="noConversion"/>
  </si>
  <si>
    <t>头部
标记</t>
    <phoneticPr fontId="1" type="noConversion"/>
  </si>
  <si>
    <t>螺纹道钉</t>
    <phoneticPr fontId="1" type="noConversion"/>
  </si>
  <si>
    <t>24*150</t>
    <phoneticPr fontId="1" type="noConversion"/>
  </si>
  <si>
    <t>6164/1</t>
    <phoneticPr fontId="1" type="noConversion"/>
  </si>
  <si>
    <t>无</t>
    <phoneticPr fontId="1" type="noConversion"/>
  </si>
  <si>
    <t>热镀锌</t>
    <phoneticPr fontId="1" type="noConversion"/>
  </si>
  <si>
    <t>编织袋+欧式托盘</t>
    <phoneticPr fontId="1" type="noConversion"/>
  </si>
  <si>
    <t xml:space="preserve">包装物为编织袋加欧式托盘。 </t>
    <phoneticPr fontId="1" type="noConversion"/>
  </si>
  <si>
    <t>冷弯15°</t>
    <phoneticPr fontId="1" type="noConversion"/>
  </si>
  <si>
    <t>35K/35#</t>
    <phoneticPr fontId="1" type="noConversion"/>
  </si>
  <si>
    <t>2 月  份  销  售  计  划  8</t>
    <phoneticPr fontId="1" type="noConversion"/>
  </si>
  <si>
    <t>250213-1</t>
    <phoneticPr fontId="1" type="noConversion"/>
  </si>
  <si>
    <t>PO005457</t>
    <phoneticPr fontId="1" type="noConversion"/>
  </si>
  <si>
    <t>2025-3-15完成</t>
    <phoneticPr fontId="1" type="noConversion"/>
  </si>
  <si>
    <r>
      <t>生产部门按生产工艺生产，加强自检，严格质量管理,</t>
    </r>
    <r>
      <rPr>
        <b/>
        <sz val="10"/>
        <color theme="1"/>
        <rFont val="宋体"/>
        <family val="3"/>
        <charset val="134"/>
        <scheme val="minor"/>
      </rPr>
      <t>发货前需寄3件样品给客户</t>
    </r>
    <r>
      <rPr>
        <sz val="10"/>
        <color theme="1"/>
        <rFont val="宋体"/>
        <family val="3"/>
        <charset val="134"/>
        <scheme val="minor"/>
      </rPr>
      <t>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</si>
</sst>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1" fontId="0" fillId="0" borderId="0" xfId="0" applyNumberForma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2" workbookViewId="0">
      <selection activeCell="B11" sqref="B11:W11"/>
    </sheetView>
  </sheetViews>
  <sheetFormatPr defaultRowHeight="13.5" x14ac:dyDescent="0.15"/>
  <cols>
    <col min="1" max="1" width="4.125" style="1" customWidth="1"/>
    <col min="2" max="2" width="5.875" style="1" customWidth="1"/>
    <col min="3" max="3" width="7.25" style="1" customWidth="1"/>
    <col min="4" max="4" width="5.25" style="1" customWidth="1"/>
    <col min="5" max="5" width="6.5" style="1" customWidth="1"/>
    <col min="6" max="6" width="8" style="1" customWidth="1"/>
    <col min="7" max="7" width="6.125" style="1" customWidth="1"/>
    <col min="8" max="10" width="5.625" style="1" customWidth="1"/>
    <col min="11" max="11" width="6" style="1" customWidth="1"/>
    <col min="12" max="12" width="7.25" style="1" customWidth="1"/>
    <col min="13" max="13" width="6" style="1" customWidth="1"/>
    <col min="14" max="14" width="4" style="1" customWidth="1"/>
    <col min="15" max="15" width="5.5" style="1" customWidth="1"/>
    <col min="16" max="16" width="4.625" style="1" customWidth="1"/>
    <col min="17" max="17" width="4.125" style="1" customWidth="1"/>
    <col min="18" max="18" width="6.75" style="1" customWidth="1"/>
    <col min="19" max="19" width="6.5" style="1" customWidth="1"/>
    <col min="20" max="20" width="8.375" style="1" customWidth="1"/>
    <col min="21" max="21" width="5.875" style="1" customWidth="1"/>
    <col min="22" max="22" width="6.75" style="1" customWidth="1"/>
    <col min="23" max="23" width="4.875" style="1" customWidth="1"/>
    <col min="24" max="16384" width="9" style="1"/>
  </cols>
  <sheetData>
    <row r="2" spans="1:23" ht="45" customHeight="1" x14ac:dyDescent="0.15">
      <c r="A2" s="23" t="s">
        <v>48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4" spans="1:23" s="2" customFormat="1" ht="27.75" customHeight="1" x14ac:dyDescent="0.15">
      <c r="A4" s="21" t="s">
        <v>0</v>
      </c>
      <c r="B4" s="21"/>
      <c r="C4" s="2" t="s">
        <v>29</v>
      </c>
      <c r="H4" s="21" t="s">
        <v>22</v>
      </c>
      <c r="I4" s="21"/>
      <c r="O4" s="21" t="s">
        <v>24</v>
      </c>
      <c r="P4" s="21"/>
      <c r="U4" s="24"/>
      <c r="V4" s="25"/>
      <c r="W4" s="25"/>
    </row>
    <row r="5" spans="1:23" s="2" customFormat="1" ht="27" customHeight="1" x14ac:dyDescent="0.15">
      <c r="A5" s="15" t="s">
        <v>1</v>
      </c>
      <c r="B5" s="15" t="s">
        <v>25</v>
      </c>
      <c r="C5" s="15" t="s">
        <v>2</v>
      </c>
      <c r="D5" s="15" t="s">
        <v>3</v>
      </c>
      <c r="E5" s="15" t="s">
        <v>4</v>
      </c>
      <c r="F5" s="15" t="s">
        <v>26</v>
      </c>
      <c r="G5" s="15" t="s">
        <v>5</v>
      </c>
      <c r="H5" s="3" t="s">
        <v>6</v>
      </c>
      <c r="I5" s="17" t="s">
        <v>7</v>
      </c>
      <c r="J5" s="18"/>
      <c r="K5" s="18"/>
      <c r="L5" s="15" t="s">
        <v>23</v>
      </c>
      <c r="M5" s="15"/>
      <c r="N5" s="15"/>
      <c r="O5" s="15"/>
      <c r="P5" s="15"/>
      <c r="Q5" s="15"/>
      <c r="R5" s="15" t="s">
        <v>28</v>
      </c>
      <c r="S5" s="15"/>
      <c r="T5" s="15" t="s">
        <v>8</v>
      </c>
      <c r="U5" s="15" t="s">
        <v>38</v>
      </c>
      <c r="V5" s="15" t="s">
        <v>9</v>
      </c>
      <c r="W5" s="15" t="s">
        <v>10</v>
      </c>
    </row>
    <row r="6" spans="1:23" s="2" customFormat="1" ht="27.75" customHeight="1" x14ac:dyDescent="0.15">
      <c r="A6" s="15"/>
      <c r="B6" s="15"/>
      <c r="C6" s="15"/>
      <c r="D6" s="15"/>
      <c r="E6" s="15"/>
      <c r="F6" s="15"/>
      <c r="G6" s="15"/>
      <c r="H6" s="3" t="s">
        <v>11</v>
      </c>
      <c r="I6" s="3" t="s">
        <v>12</v>
      </c>
      <c r="J6" s="3" t="s">
        <v>13</v>
      </c>
      <c r="K6" s="4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30</v>
      </c>
      <c r="Q6" s="3" t="s">
        <v>31</v>
      </c>
      <c r="R6" s="3" t="s">
        <v>15</v>
      </c>
      <c r="S6" s="3" t="s">
        <v>16</v>
      </c>
      <c r="T6" s="15"/>
      <c r="U6" s="15"/>
      <c r="V6" s="15"/>
      <c r="W6" s="15"/>
    </row>
    <row r="7" spans="1:23" s="2" customFormat="1" ht="84" customHeight="1" x14ac:dyDescent="0.15">
      <c r="A7" s="6">
        <v>1</v>
      </c>
      <c r="B7" s="3" t="s">
        <v>39</v>
      </c>
      <c r="C7" s="3" t="s">
        <v>40</v>
      </c>
      <c r="D7" s="3" t="s">
        <v>49</v>
      </c>
      <c r="E7" s="3" t="s">
        <v>50</v>
      </c>
      <c r="F7" s="4" t="s">
        <v>27</v>
      </c>
      <c r="G7" s="12" t="s">
        <v>41</v>
      </c>
      <c r="H7" s="3">
        <v>0.55000000000000004</v>
      </c>
      <c r="I7" s="3" t="s">
        <v>47</v>
      </c>
      <c r="J7" s="3" t="s">
        <v>37</v>
      </c>
      <c r="K7" s="10">
        <f>M7/0.92</f>
        <v>7.1739130434782608</v>
      </c>
      <c r="L7" s="3">
        <v>12000</v>
      </c>
      <c r="M7" s="9">
        <f>L7*H7/1000</f>
        <v>6.6000000000000005</v>
      </c>
      <c r="N7" s="3">
        <v>40</v>
      </c>
      <c r="O7" s="3">
        <v>300</v>
      </c>
      <c r="P7" s="3">
        <v>32</v>
      </c>
      <c r="Q7" s="3">
        <v>10</v>
      </c>
      <c r="R7" s="3">
        <v>12100</v>
      </c>
      <c r="S7" s="9">
        <f>R7*H7/1000</f>
        <v>6.6550000000000011</v>
      </c>
      <c r="T7" s="8" t="s">
        <v>51</v>
      </c>
      <c r="U7" s="4" t="s">
        <v>42</v>
      </c>
      <c r="V7" s="3" t="s">
        <v>43</v>
      </c>
      <c r="W7" s="4" t="s">
        <v>44</v>
      </c>
    </row>
    <row r="8" spans="1:23" s="2" customFormat="1" ht="42" customHeight="1" x14ac:dyDescent="0.15">
      <c r="A8" s="17" t="s">
        <v>32</v>
      </c>
      <c r="B8" s="18"/>
      <c r="C8" s="18"/>
      <c r="D8" s="18"/>
      <c r="E8" s="18"/>
      <c r="F8" s="18"/>
      <c r="G8" s="22"/>
      <c r="H8" s="3"/>
      <c r="I8" s="3"/>
      <c r="J8" s="3"/>
      <c r="K8" s="9">
        <f>SUM(K7:K7)</f>
        <v>7.1739130434782608</v>
      </c>
      <c r="L8" s="11">
        <f>SUM(L7:L7)</f>
        <v>12000</v>
      </c>
      <c r="M8" s="9">
        <f>SUM(M7:M7)</f>
        <v>6.6000000000000005</v>
      </c>
      <c r="N8" s="3"/>
      <c r="O8" s="11">
        <f>SUM(O7:O7)</f>
        <v>300</v>
      </c>
      <c r="P8" s="3"/>
      <c r="Q8" s="11">
        <f>SUM(Q7:Q7)</f>
        <v>10</v>
      </c>
      <c r="R8" s="3"/>
      <c r="S8" s="9">
        <f>SUM(S7:S7)</f>
        <v>6.6550000000000011</v>
      </c>
      <c r="T8" s="7"/>
      <c r="U8" s="3" t="s">
        <v>36</v>
      </c>
      <c r="V8" s="3"/>
      <c r="W8" s="4"/>
    </row>
    <row r="9" spans="1:23" ht="29.25" customHeight="1" x14ac:dyDescent="0.15">
      <c r="T9" s="13" t="s">
        <v>46</v>
      </c>
    </row>
    <row r="10" spans="1:23" s="2" customFormat="1" ht="19.5" customHeight="1" x14ac:dyDescent="0.15">
      <c r="B10" s="2" t="s">
        <v>21</v>
      </c>
      <c r="O10" s="5"/>
    </row>
    <row r="11" spans="1:23" s="2" customFormat="1" ht="19.5" customHeight="1" x14ac:dyDescent="0.15">
      <c r="A11" s="2" t="s">
        <v>33</v>
      </c>
      <c r="B11" s="16" t="s">
        <v>52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s="2" customFormat="1" ht="19.5" customHeight="1" x14ac:dyDescent="0.15">
      <c r="A12" s="2" t="s">
        <v>34</v>
      </c>
      <c r="B12" s="16" t="s">
        <v>19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s="2" customFormat="1" ht="19.5" customHeight="1" x14ac:dyDescent="0.15">
      <c r="A13" s="2" t="s">
        <v>35</v>
      </c>
      <c r="B13" s="16" t="s">
        <v>45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42" customHeight="1" x14ac:dyDescent="0.15"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20.25" customHeight="1" x14ac:dyDescent="0.15">
      <c r="C15" s="19" t="s">
        <v>20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</row>
    <row r="16" spans="1:23" x14ac:dyDescent="0.15">
      <c r="Q16" s="14">
        <v>45701</v>
      </c>
      <c r="R16" s="14"/>
      <c r="S16" s="14"/>
      <c r="T16" s="14"/>
    </row>
  </sheetData>
  <mergeCells count="26">
    <mergeCell ref="A4:B4"/>
    <mergeCell ref="A8:G8"/>
    <mergeCell ref="A2:W2"/>
    <mergeCell ref="L5:Q5"/>
    <mergeCell ref="R5:S5"/>
    <mergeCell ref="A5:A6"/>
    <mergeCell ref="B5:B6"/>
    <mergeCell ref="C5:C6"/>
    <mergeCell ref="D5:D6"/>
    <mergeCell ref="E5:E6"/>
    <mergeCell ref="F5:F6"/>
    <mergeCell ref="G5:G6"/>
    <mergeCell ref="H4:I4"/>
    <mergeCell ref="O4:P4"/>
    <mergeCell ref="U4:W4"/>
    <mergeCell ref="Q16:T16"/>
    <mergeCell ref="W5:W6"/>
    <mergeCell ref="B11:W11"/>
    <mergeCell ref="B12:W12"/>
    <mergeCell ref="I5:K5"/>
    <mergeCell ref="C15:N15"/>
    <mergeCell ref="T5:T6"/>
    <mergeCell ref="U5:U6"/>
    <mergeCell ref="V5:V6"/>
    <mergeCell ref="B13:W13"/>
    <mergeCell ref="O14:W15"/>
  </mergeCells>
  <phoneticPr fontId="1" type="noConversion"/>
  <pageMargins left="0.7" right="0.7" top="0.75" bottom="0.75" header="0.3" footer="0.3"/>
  <pageSetup paperSize="9" scale="98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2025-02-13T08:02:43Z</dcterms:modified>
</cp:coreProperties>
</file>