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D878A7D5-CCDA-4A7D-A112-F55CF094EF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L8" i="1"/>
  <c r="R8" i="1"/>
  <c r="Q8" i="1"/>
  <c r="O8" i="1"/>
  <c r="K8" i="1"/>
  <c r="S7" i="1"/>
  <c r="S8" i="1" s="1"/>
  <c r="M7" i="1"/>
  <c r="M8" i="1" s="1"/>
</calcChain>
</file>

<file path=xl/sharedStrings.xml><?xml version="1.0" encoding="utf-8"?>
<sst xmlns="http://schemas.openxmlformats.org/spreadsheetml/2006/main" count="64" uniqueCount="55">
  <si>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</si>
  <si>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</si>
  <si>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</si>
  <si>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</si>
  <si>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</si>
  <si>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</si>
  <si>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</si>
  <si>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</si>
  <si>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</si>
  <si>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</si>
  <si>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</si>
  <si>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</si>
  <si>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</si>
  <si>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</si>
  <si>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</si>
  <si>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</si>
  <si>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</si>
  <si>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</si>
  <si>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</si>
  <si>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</si>
  <si>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</si>
  <si>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</si>
  <si>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</si>
  <si>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</si>
  <si>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</si>
  <si>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</si>
  <si>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</si>
  <si>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</si>
  <si>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</si>
  <si>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</si>
  <si>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</si>
  <si>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</si>
  <si>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</si>
  <si>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</si>
  <si>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</si>
  <si>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</si>
  <si>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</si>
  <si>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</si>
  <si>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</si>
  <si>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</si>
  <si>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分发：总经理、总经办、品管部、生产部、技术部</t>
  </si>
  <si>
    <t>GD-07</t>
    <phoneticPr fontId="7" type="noConversion"/>
  </si>
  <si>
    <t>7  月  份  销  售  计  划  3</t>
    <phoneticPr fontId="7" type="noConversion"/>
  </si>
  <si>
    <t>螺纹道钉</t>
    <phoneticPr fontId="7" type="noConversion"/>
  </si>
  <si>
    <t>17X150</t>
    <phoneticPr fontId="7" type="noConversion"/>
  </si>
  <si>
    <t>250715-1</t>
    <phoneticPr fontId="7" type="noConversion"/>
  </si>
  <si>
    <t>Q235</t>
    <phoneticPr fontId="7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</si>
  <si>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18</t>
    </r>
    <phoneticPr fontId="7" type="noConversion"/>
  </si>
  <si>
    <t>2025-8-15</t>
    <phoneticPr fontId="7" type="noConversion"/>
  </si>
  <si>
    <t>本色</t>
    <phoneticPr fontId="7" type="noConversion"/>
  </si>
  <si>
    <t>编织袋+欧式托盘</t>
    <phoneticPr fontId="7" type="noConversion"/>
  </si>
  <si>
    <t>数量公差0</t>
    <phoneticPr fontId="7" type="noConversion"/>
  </si>
  <si>
    <t>UIC864-1</t>
    <phoneticPr fontId="7" type="noConversion"/>
  </si>
  <si>
    <t>包装为编织袋+欧式托盘。</t>
    <phoneticPr fontId="7" type="noConversion"/>
  </si>
  <si>
    <t>BS2507-01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</si>
</sst>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;_峿"/>
    <numFmt numFmtId="178" formatCode="0.00_ "/>
    <numFmt numFmtId="179" formatCode="0_ "/>
    <numFmt numFmtId="180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6" fontId="1" fillId="0" borderId="2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wrapText="1"/>
    </xf>
    <xf numFmtId="176" fontId="0" fillId="0" borderId="3" xfId="0" applyNumberFormat="1" applyBorder="1" applyAlignment="1">
      <alignment horizontal="center" wrapText="1"/>
    </xf>
    <xf numFmtId="178" fontId="4" fillId="0" borderId="3" xfId="0" applyNumberFormat="1" applyFont="1" applyBorder="1" applyAlignment="1">
      <alignment horizontal="center" wrapText="1"/>
    </xf>
    <xf numFmtId="179" fontId="1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80" fontId="6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7"/>
  <sheetViews>
    <sheetView tabSelected="1" topLeftCell="A5" workbookViewId="0">
      <selection activeCell="B12" sqref="B12:V12"/>
    </sheetView>
  </sheetViews>
  <sheetFormatPr defaultColWidth="9" defaultRowHeight="13.5" x14ac:dyDescent="0.15"/>
  <cols>
    <col min="1" max="1" width="3" style="4" customWidth="1"/>
    <col min="2" max="2" width="5.25" style="4" customWidth="1"/>
    <col min="3" max="3" width="6.625" style="4" customWidth="1"/>
    <col min="4" max="4" width="4.625" style="4" customWidth="1"/>
    <col min="5" max="5" width="5.875" style="4" customWidth="1"/>
    <col min="6" max="6" width="6.875" style="4" customWidth="1"/>
    <col min="7" max="7" width="7.125" style="4" customWidth="1"/>
    <col min="8" max="8" width="5.875" style="4" customWidth="1"/>
    <col min="9" max="9" width="5.25" style="4" customWidth="1"/>
    <col min="10" max="10" width="5" style="4" customWidth="1"/>
    <col min="11" max="11" width="7.25" style="4" customWidth="1"/>
    <col min="12" max="12" width="7.5" style="4" customWidth="1"/>
    <col min="13" max="13" width="7.625" style="4" customWidth="1"/>
    <col min="14" max="14" width="4.125" style="4" customWidth="1"/>
    <col min="15" max="15" width="5.625" style="4" customWidth="1"/>
    <col min="16" max="16" width="4.25" style="4" customWidth="1"/>
    <col min="17" max="17" width="5" style="4" customWidth="1"/>
    <col min="18" max="19" width="7.375" style="4" customWidth="1"/>
    <col min="20" max="20" width="7.875" style="4" customWidth="1"/>
    <col min="21" max="21" width="7.25" style="4" customWidth="1"/>
    <col min="22" max="22" width="5.75" style="4" customWidth="1"/>
    <col min="23" max="23" width="6.125" style="4" customWidth="1"/>
    <col min="24" max="16384" width="9" style="4"/>
  </cols>
  <sheetData>
    <row r="2" spans="1:23" ht="45" customHeight="1" x14ac:dyDescent="0.15">
      <c r="A2" s="24" t="s">
        <v>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4" spans="1:23" s="1" customFormat="1" ht="27.75" customHeight="1" x14ac:dyDescent="0.15">
      <c r="A4" s="26" t="s">
        <v>0</v>
      </c>
      <c r="B4" s="26"/>
      <c r="C4" s="1" t="s">
        <v>1</v>
      </c>
      <c r="G4" s="27" t="s">
        <v>2</v>
      </c>
      <c r="H4" s="27"/>
      <c r="N4" s="27" t="s">
        <v>3</v>
      </c>
      <c r="O4" s="27"/>
      <c r="T4" s="28" t="s">
        <v>4</v>
      </c>
      <c r="U4" s="28"/>
      <c r="V4" s="28"/>
      <c r="W4" s="28"/>
    </row>
    <row r="5" spans="1:23" s="1" customFormat="1" ht="27" customHeight="1" x14ac:dyDescent="0.15">
      <c r="A5" s="29" t="s">
        <v>5</v>
      </c>
      <c r="B5" s="29" t="s">
        <v>6</v>
      </c>
      <c r="C5" s="29" t="s">
        <v>7</v>
      </c>
      <c r="D5" s="29" t="s">
        <v>8</v>
      </c>
      <c r="E5" s="29" t="s">
        <v>9</v>
      </c>
      <c r="F5" s="29" t="s">
        <v>10</v>
      </c>
      <c r="G5" s="35" t="s">
        <v>11</v>
      </c>
      <c r="H5" s="5" t="s">
        <v>12</v>
      </c>
      <c r="I5" s="29" t="s">
        <v>13</v>
      </c>
      <c r="J5" s="29"/>
      <c r="K5" s="29"/>
      <c r="L5" s="29" t="s">
        <v>14</v>
      </c>
      <c r="M5" s="29"/>
      <c r="N5" s="29"/>
      <c r="O5" s="29"/>
      <c r="P5" s="29"/>
      <c r="Q5" s="29"/>
      <c r="R5" s="29" t="s">
        <v>15</v>
      </c>
      <c r="S5" s="29"/>
      <c r="T5" s="29" t="s">
        <v>16</v>
      </c>
      <c r="U5" s="29" t="s">
        <v>17</v>
      </c>
      <c r="V5" s="29" t="s">
        <v>18</v>
      </c>
      <c r="W5" s="29" t="s">
        <v>19</v>
      </c>
    </row>
    <row r="6" spans="1:23" s="1" customFormat="1" ht="27.75" customHeight="1" x14ac:dyDescent="0.15">
      <c r="A6" s="29"/>
      <c r="B6" s="29"/>
      <c r="C6" s="29"/>
      <c r="D6" s="29"/>
      <c r="E6" s="29"/>
      <c r="F6" s="29"/>
      <c r="G6" s="36"/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24</v>
      </c>
      <c r="S6" s="5" t="s">
        <v>25</v>
      </c>
      <c r="T6" s="29"/>
      <c r="U6" s="29"/>
      <c r="V6" s="29"/>
      <c r="W6" s="29"/>
    </row>
    <row r="7" spans="1:23" s="1" customFormat="1" ht="90.95" customHeight="1" x14ac:dyDescent="0.15">
      <c r="A7" s="5">
        <v>1</v>
      </c>
      <c r="B7" s="18" t="s">
        <v>43</v>
      </c>
      <c r="C7" s="18" t="s">
        <v>44</v>
      </c>
      <c r="D7" s="18" t="s">
        <v>45</v>
      </c>
      <c r="E7" s="19" t="s">
        <v>54</v>
      </c>
      <c r="F7" s="18" t="s">
        <v>52</v>
      </c>
      <c r="G7" s="18" t="s">
        <v>41</v>
      </c>
      <c r="H7" s="5">
        <v>0.37</v>
      </c>
      <c r="I7" s="18" t="s">
        <v>46</v>
      </c>
      <c r="J7" s="22" t="s">
        <v>47</v>
      </c>
      <c r="K7" s="9">
        <f>H7*L7/1000/0.88</f>
        <v>2.1022727272727275</v>
      </c>
      <c r="L7" s="5">
        <v>5000</v>
      </c>
      <c r="M7" s="9">
        <f>H7*L7/1000</f>
        <v>1.85</v>
      </c>
      <c r="N7" s="5">
        <v>50</v>
      </c>
      <c r="O7" s="5">
        <v>100</v>
      </c>
      <c r="P7" s="5">
        <v>40</v>
      </c>
      <c r="Q7" s="5">
        <v>3</v>
      </c>
      <c r="R7" s="5">
        <v>5050</v>
      </c>
      <c r="S7" s="9">
        <f>R7*H7/1000</f>
        <v>1.8685</v>
      </c>
      <c r="T7" s="20" t="s">
        <v>48</v>
      </c>
      <c r="U7" s="23"/>
      <c r="V7" s="18" t="s">
        <v>49</v>
      </c>
      <c r="W7" s="19" t="s">
        <v>50</v>
      </c>
    </row>
    <row r="8" spans="1:23" s="2" customFormat="1" ht="23.25" customHeight="1" x14ac:dyDescent="0.15">
      <c r="A8" s="31" t="s">
        <v>30</v>
      </c>
      <c r="B8" s="32"/>
      <c r="C8" s="6"/>
      <c r="D8" s="6"/>
      <c r="E8" s="6"/>
      <c r="F8" s="7"/>
      <c r="G8" s="6"/>
      <c r="H8" s="6"/>
      <c r="I8" s="6"/>
      <c r="J8" s="6"/>
      <c r="K8" s="10">
        <f>SUM(K7:K7)</f>
        <v>2.1022727272727275</v>
      </c>
      <c r="L8" s="6">
        <f>SUM(L7:L7)</f>
        <v>5000</v>
      </c>
      <c r="M8" s="11">
        <f>SUM(M7:M7)</f>
        <v>1.85</v>
      </c>
      <c r="N8" s="12"/>
      <c r="O8" s="13">
        <f>SUM(O7:O7)</f>
        <v>100</v>
      </c>
      <c r="P8" s="12"/>
      <c r="Q8" s="13">
        <f>SUM(Q7:Q7)</f>
        <v>3</v>
      </c>
      <c r="R8" s="6">
        <f>SUM(R7:R7)</f>
        <v>5050</v>
      </c>
      <c r="S8" s="14">
        <f>SUM(S7:S7)</f>
        <v>1.8685</v>
      </c>
      <c r="T8" s="15"/>
      <c r="U8" s="16" t="s">
        <v>31</v>
      </c>
      <c r="V8" s="15"/>
      <c r="W8" s="15"/>
    </row>
    <row r="9" spans="1:23" s="3" customFormat="1" ht="21" customHeight="1" x14ac:dyDescent="0.15">
      <c r="A9" s="33"/>
      <c r="B9" s="34"/>
      <c r="C9" s="8"/>
      <c r="D9" s="8"/>
      <c r="E9" s="8"/>
      <c r="F9" s="8"/>
      <c r="G9" s="8"/>
      <c r="H9" s="8"/>
      <c r="I9" s="8"/>
      <c r="J9" s="8"/>
      <c r="K9" s="8" t="s">
        <v>25</v>
      </c>
      <c r="L9" s="8" t="s">
        <v>24</v>
      </c>
      <c r="M9" s="8" t="s">
        <v>25</v>
      </c>
      <c r="N9" s="8"/>
      <c r="O9" s="8" t="s">
        <v>27</v>
      </c>
      <c r="P9" s="8"/>
      <c r="Q9" s="8" t="s">
        <v>29</v>
      </c>
      <c r="R9" s="8" t="s">
        <v>24</v>
      </c>
      <c r="S9" s="8" t="s">
        <v>25</v>
      </c>
      <c r="T9" s="8"/>
      <c r="U9" s="8"/>
      <c r="V9" s="8"/>
      <c r="W9" s="8"/>
    </row>
    <row r="10" spans="1:23" ht="15" customHeight="1" x14ac:dyDescent="0.15">
      <c r="S10" s="17"/>
    </row>
    <row r="11" spans="1:23" s="1" customFormat="1" ht="19.5" customHeight="1" x14ac:dyDescent="0.15">
      <c r="B11" s="30" t="s">
        <v>32</v>
      </c>
      <c r="C11" s="30"/>
      <c r="S11" s="21" t="s">
        <v>51</v>
      </c>
    </row>
    <row r="12" spans="1:23" s="1" customFormat="1" ht="19.5" customHeight="1" x14ac:dyDescent="0.15">
      <c r="A12" s="1" t="s">
        <v>33</v>
      </c>
      <c r="B12" s="30" t="s">
        <v>34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spans="1:23" s="1" customFormat="1" ht="19.5" customHeight="1" x14ac:dyDescent="0.15">
      <c r="B13" s="30" t="s">
        <v>35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23" s="1" customFormat="1" ht="19.5" customHeight="1" x14ac:dyDescent="0.15">
      <c r="A14" s="1" t="s">
        <v>36</v>
      </c>
      <c r="B14" s="30" t="s">
        <v>37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spans="1:23" s="1" customFormat="1" ht="19.5" customHeight="1" x14ac:dyDescent="0.15">
      <c r="A15" s="1" t="s">
        <v>38</v>
      </c>
      <c r="B15" s="30" t="s">
        <v>39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spans="1:23" ht="32.1" customHeight="1" x14ac:dyDescent="0.15">
      <c r="A16" s="1">
        <v>4</v>
      </c>
      <c r="B16" s="37" t="s">
        <v>53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S16" s="38">
        <v>45853</v>
      </c>
      <c r="T16" s="38"/>
      <c r="U16" s="38"/>
      <c r="V16" s="38"/>
    </row>
    <row r="17" spans="3:13" ht="20.25" customHeight="1" x14ac:dyDescent="0.15">
      <c r="C17" s="30" t="s">
        <v>40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</row>
  </sheetData>
  <mergeCells count="28">
    <mergeCell ref="W5:W6"/>
    <mergeCell ref="A8:B9"/>
    <mergeCell ref="C17:M17"/>
    <mergeCell ref="A5:A6"/>
    <mergeCell ref="B5:B6"/>
    <mergeCell ref="C5:C6"/>
    <mergeCell ref="D5:D6"/>
    <mergeCell ref="E5:E6"/>
    <mergeCell ref="F5:F6"/>
    <mergeCell ref="G5:G6"/>
    <mergeCell ref="B13:V13"/>
    <mergeCell ref="B14:V14"/>
    <mergeCell ref="B15:V15"/>
    <mergeCell ref="B16:L16"/>
    <mergeCell ref="S16:V16"/>
    <mergeCell ref="I5:K5"/>
    <mergeCell ref="L5:Q5"/>
    <mergeCell ref="R5:S5"/>
    <mergeCell ref="B11:C11"/>
    <mergeCell ref="B12:V12"/>
    <mergeCell ref="T5:T6"/>
    <mergeCell ref="U5:U6"/>
    <mergeCell ref="V5:V6"/>
    <mergeCell ref="A2:V2"/>
    <mergeCell ref="A4:B4"/>
    <mergeCell ref="G4:H4"/>
    <mergeCell ref="N4:O4"/>
    <mergeCell ref="T4:W4"/>
  </mergeCells>
  <phoneticPr fontId="7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2025-05-14T08:42:39Z</cp:lastPrinted>
  <dcterms:created xsi:type="dcterms:W3CDTF">2006-09-13T11:21:00Z</dcterms:created>
  <dcterms:modified xsi:type="dcterms:W3CDTF">2025-08-08T03:53:40Z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B7B32B78FAB843269A1519063EDD71BB_13</vt:lpwstr>
  </property>
</Properties>
</file>