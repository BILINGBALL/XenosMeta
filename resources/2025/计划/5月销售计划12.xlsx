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3C50B32-299F-4213-BFB5-2A57483CD9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 s="1"/>
  <c r="M7" i="1"/>
  <c r="K7" i="1" s="1"/>
  <c r="L8" i="1"/>
  <c r="Q8" i="1"/>
  <c r="O8" i="1"/>
  <c r="M8" i="1" l="1"/>
  <c r="K8" i="1"/>
</calcChain>
</file>

<file path=xl/sharedStrings.xml><?xml version="1.0" encoding="utf-8"?>
<sst xmlns="http://schemas.openxmlformats.org/spreadsheetml/2006/main" count="55" uniqueCount="53">
  <si>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</si>
  <si>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</si>
  <si>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</si>
  <si>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</si>
  <si>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</si>
  <si>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</si>
  <si>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</si>
  <si>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</si>
  <si>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</si>
  <si>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</si>
  <si>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</si>
  <si>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</si>
  <si>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</si>
  <si>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</si>
  <si>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</si>
  <si>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</si>
  <si>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</si>
  <si>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</si>
  <si>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</si>
  <si>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</si>
  <si>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</si>
  <si>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</si>
  <si>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</si>
  <si>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</si>
  <si>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</si>
  <si>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</si>
  <si>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</si>
  <si>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客户图纸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</si>
  <si>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</si>
  <si>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</si>
  <si>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</si>
  <si>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</si>
  <si>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 计</t>
    <phoneticPr fontId="1" type="noConversion"/>
  </si>
  <si>
    <t>1、</t>
    <phoneticPr fontId="1" type="noConversion"/>
  </si>
  <si>
    <t>2、</t>
    <phoneticPr fontId="1" type="noConversion"/>
  </si>
  <si>
    <t>3、</t>
    <phoneticPr fontId="1" type="noConversion"/>
  </si>
  <si>
    <t>详见
对应
图纸</t>
    <phoneticPr fontId="1" type="noConversion"/>
  </si>
  <si>
    <t>Φ24</t>
    <phoneticPr fontId="1" type="noConversion"/>
  </si>
  <si>
    <t>头部
标记</t>
    <phoneticPr fontId="1" type="noConversion"/>
  </si>
  <si>
    <t>螺纹道钉</t>
    <phoneticPr fontId="1" type="noConversion"/>
  </si>
  <si>
    <t>无</t>
    <phoneticPr fontId="1" type="noConversion"/>
  </si>
  <si>
    <t>热镀锌</t>
    <phoneticPr fontId="1" type="noConversion"/>
  </si>
  <si>
    <t>编织袋+欧式托盘</t>
    <phoneticPr fontId="1" type="noConversion"/>
  </si>
  <si>
    <t xml:space="preserve">包装物为编织袋加欧式托盘。 </t>
    <phoneticPr fontId="1" type="noConversion"/>
  </si>
  <si>
    <t>5 月  份  销  售  计  划  12</t>
    <phoneticPr fontId="1" type="noConversion"/>
  </si>
  <si>
    <t>250523-4</t>
    <phoneticPr fontId="1" type="noConversion"/>
  </si>
  <si>
    <t>SS8-150</t>
    <phoneticPr fontId="1" type="noConversion"/>
  </si>
  <si>
    <t>PO045352</t>
    <phoneticPr fontId="1" type="noConversion"/>
  </si>
  <si>
    <t>6161/1</t>
    <phoneticPr fontId="1" type="noConversion"/>
  </si>
  <si>
    <t>冷弯90°</t>
    <phoneticPr fontId="1" type="noConversion"/>
  </si>
  <si>
    <t>35K</t>
    <phoneticPr fontId="1" type="noConversion"/>
  </si>
  <si>
    <t>生产部门按生产工艺生产，加强自检，严格质量管理。</t>
    <phoneticPr fontId="1" type="noConversion"/>
  </si>
  <si>
    <t>2025-6-20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</si>
</sst>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2" workbookViewId="0">
      <selection activeCell="T8" sqref="T8"/>
    </sheetView>
  </sheetViews>
  <sheetFormatPr defaultRowHeight="13.5" x14ac:dyDescent="0.15"/>
  <cols>
    <col min="1" max="1" width="4.125" style="1" customWidth="1"/>
    <col min="2" max="2" width="5.875" style="1" customWidth="1"/>
    <col min="3" max="3" width="7.25" style="1" customWidth="1"/>
    <col min="4" max="4" width="5.25" style="1" customWidth="1"/>
    <col min="5" max="5" width="6.5" style="1" customWidth="1"/>
    <col min="6" max="6" width="8" style="1" customWidth="1"/>
    <col min="7" max="7" width="6.125" style="1" customWidth="1"/>
    <col min="8" max="10" width="5.625" style="1" customWidth="1"/>
    <col min="11" max="11" width="6" style="1" customWidth="1"/>
    <col min="12" max="12" width="7.25" style="1" customWidth="1"/>
    <col min="13" max="13" width="6" style="1" customWidth="1"/>
    <col min="14" max="14" width="4" style="1" customWidth="1"/>
    <col min="15" max="15" width="5.5" style="1" customWidth="1"/>
    <col min="16" max="16" width="4.625" style="1" customWidth="1"/>
    <col min="17" max="17" width="4.125" style="1" customWidth="1"/>
    <col min="18" max="18" width="6.75" style="1" customWidth="1"/>
    <col min="19" max="19" width="6.5" style="1" customWidth="1"/>
    <col min="20" max="20" width="8.375" style="1" customWidth="1"/>
    <col min="21" max="21" width="5.875" style="1" customWidth="1"/>
    <col min="22" max="22" width="6.75" style="1" customWidth="1"/>
    <col min="23" max="23" width="4.875" style="1" customWidth="1"/>
    <col min="24" max="16384" width="9" style="1"/>
  </cols>
  <sheetData>
    <row r="2" spans="1:23" ht="45" customHeight="1" x14ac:dyDescent="0.15">
      <c r="A2" s="23" t="s">
        <v>44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2" customFormat="1" ht="27.75" customHeight="1" x14ac:dyDescent="0.15">
      <c r="A4" s="21" t="s">
        <v>0</v>
      </c>
      <c r="B4" s="21"/>
      <c r="C4" s="2" t="s">
        <v>29</v>
      </c>
      <c r="H4" s="21" t="s">
        <v>22</v>
      </c>
      <c r="I4" s="21"/>
      <c r="O4" s="21" t="s">
        <v>24</v>
      </c>
      <c r="P4" s="21"/>
      <c r="U4" s="24"/>
      <c r="V4" s="25"/>
      <c r="W4" s="25"/>
    </row>
    <row r="5" spans="1:23" s="2" customFormat="1" ht="27" customHeight="1" x14ac:dyDescent="0.15">
      <c r="A5" s="15" t="s">
        <v>1</v>
      </c>
      <c r="B5" s="15" t="s">
        <v>25</v>
      </c>
      <c r="C5" s="15" t="s">
        <v>2</v>
      </c>
      <c r="D5" s="15" t="s">
        <v>3</v>
      </c>
      <c r="E5" s="15" t="s">
        <v>4</v>
      </c>
      <c r="F5" s="15" t="s">
        <v>26</v>
      </c>
      <c r="G5" s="15" t="s">
        <v>5</v>
      </c>
      <c r="H5" s="3" t="s">
        <v>6</v>
      </c>
      <c r="I5" s="17" t="s">
        <v>7</v>
      </c>
      <c r="J5" s="18"/>
      <c r="K5" s="18"/>
      <c r="L5" s="15" t="s">
        <v>23</v>
      </c>
      <c r="M5" s="15"/>
      <c r="N5" s="15"/>
      <c r="O5" s="15"/>
      <c r="P5" s="15"/>
      <c r="Q5" s="15"/>
      <c r="R5" s="15" t="s">
        <v>28</v>
      </c>
      <c r="S5" s="15"/>
      <c r="T5" s="15" t="s">
        <v>8</v>
      </c>
      <c r="U5" s="15" t="s">
        <v>38</v>
      </c>
      <c r="V5" s="15" t="s">
        <v>9</v>
      </c>
      <c r="W5" s="15" t="s">
        <v>10</v>
      </c>
    </row>
    <row r="6" spans="1:23" s="2" customFormat="1" ht="27.75" customHeight="1" x14ac:dyDescent="0.15">
      <c r="A6" s="15"/>
      <c r="B6" s="15"/>
      <c r="C6" s="15"/>
      <c r="D6" s="15"/>
      <c r="E6" s="15"/>
      <c r="F6" s="15"/>
      <c r="G6" s="15"/>
      <c r="H6" s="3" t="s">
        <v>11</v>
      </c>
      <c r="I6" s="3" t="s">
        <v>12</v>
      </c>
      <c r="J6" s="3" t="s">
        <v>13</v>
      </c>
      <c r="K6" s="4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30</v>
      </c>
      <c r="Q6" s="3" t="s">
        <v>31</v>
      </c>
      <c r="R6" s="3" t="s">
        <v>15</v>
      </c>
      <c r="S6" s="3" t="s">
        <v>16</v>
      </c>
      <c r="T6" s="15"/>
      <c r="U6" s="15"/>
      <c r="V6" s="15"/>
      <c r="W6" s="15"/>
    </row>
    <row r="7" spans="1:23" s="2" customFormat="1" ht="84" customHeight="1" x14ac:dyDescent="0.15">
      <c r="A7" s="6">
        <v>1</v>
      </c>
      <c r="B7" s="3" t="s">
        <v>39</v>
      </c>
      <c r="C7" s="3" t="s">
        <v>46</v>
      </c>
      <c r="D7" s="3" t="s">
        <v>45</v>
      </c>
      <c r="E7" s="3" t="s">
        <v>47</v>
      </c>
      <c r="F7" s="4" t="s">
        <v>27</v>
      </c>
      <c r="G7" s="12" t="s">
        <v>48</v>
      </c>
      <c r="H7" s="3">
        <v>0.56100000000000005</v>
      </c>
      <c r="I7" s="3" t="s">
        <v>50</v>
      </c>
      <c r="J7" s="3" t="s">
        <v>37</v>
      </c>
      <c r="K7" s="10">
        <f>M7/0.92</f>
        <v>0.30489130434782613</v>
      </c>
      <c r="L7" s="3">
        <v>500</v>
      </c>
      <c r="M7" s="9">
        <f>L7*H7/1000</f>
        <v>0.28050000000000003</v>
      </c>
      <c r="N7" s="3">
        <v>40</v>
      </c>
      <c r="O7" s="3">
        <v>13</v>
      </c>
      <c r="P7" s="3">
        <v>13</v>
      </c>
      <c r="Q7" s="3">
        <v>1</v>
      </c>
      <c r="R7" s="3">
        <v>520</v>
      </c>
      <c r="S7" s="9">
        <f>R7*H7/1000</f>
        <v>0.29172000000000003</v>
      </c>
      <c r="T7" s="8" t="s">
        <v>52</v>
      </c>
      <c r="U7" s="4" t="s">
        <v>40</v>
      </c>
      <c r="V7" s="3" t="s">
        <v>41</v>
      </c>
      <c r="W7" s="4" t="s">
        <v>42</v>
      </c>
    </row>
    <row r="8" spans="1:23" s="2" customFormat="1" ht="42" customHeight="1" x14ac:dyDescent="0.15">
      <c r="A8" s="17" t="s">
        <v>32</v>
      </c>
      <c r="B8" s="18"/>
      <c r="C8" s="18"/>
      <c r="D8" s="18"/>
      <c r="E8" s="18"/>
      <c r="F8" s="18"/>
      <c r="G8" s="22"/>
      <c r="H8" s="3"/>
      <c r="I8" s="3"/>
      <c r="J8" s="3"/>
      <c r="K8" s="9">
        <f>SUM(K7:K7)</f>
        <v>0.30489130434782613</v>
      </c>
      <c r="L8" s="11">
        <f>SUM(L7:L7)</f>
        <v>500</v>
      </c>
      <c r="M8" s="9">
        <f>SUM(M7:M7)</f>
        <v>0.28050000000000003</v>
      </c>
      <c r="N8" s="3"/>
      <c r="O8" s="11">
        <f>SUM(O7:O7)</f>
        <v>13</v>
      </c>
      <c r="P8" s="3"/>
      <c r="Q8" s="11">
        <f>SUM(Q7:Q7)</f>
        <v>1</v>
      </c>
      <c r="R8" s="3"/>
      <c r="S8" s="9">
        <f>SUM(S7:S7)</f>
        <v>0.29172000000000003</v>
      </c>
      <c r="T8" s="7"/>
      <c r="U8" s="3" t="s">
        <v>36</v>
      </c>
      <c r="V8" s="3"/>
      <c r="W8" s="4"/>
    </row>
    <row r="9" spans="1:23" ht="29.25" customHeight="1" x14ac:dyDescent="0.15">
      <c r="T9" s="13" t="s">
        <v>49</v>
      </c>
    </row>
    <row r="10" spans="1:23" s="2" customFormat="1" ht="19.5" customHeight="1" x14ac:dyDescent="0.15">
      <c r="B10" s="2" t="s">
        <v>21</v>
      </c>
      <c r="O10" s="5"/>
    </row>
    <row r="11" spans="1:23" s="2" customFormat="1" ht="19.5" customHeight="1" x14ac:dyDescent="0.15">
      <c r="A11" s="2" t="s">
        <v>33</v>
      </c>
      <c r="B11" s="16" t="s">
        <v>51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2" customFormat="1" ht="19.5" customHeight="1" x14ac:dyDescent="0.15">
      <c r="A12" s="2" t="s">
        <v>34</v>
      </c>
      <c r="B12" s="16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2" customFormat="1" ht="19.5" customHeight="1" x14ac:dyDescent="0.15">
      <c r="A13" s="2" t="s">
        <v>35</v>
      </c>
      <c r="B13" s="16" t="s">
        <v>43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9" t="s">
        <v>20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4">
        <v>45800</v>
      </c>
      <c r="R16" s="14"/>
      <c r="S16" s="14"/>
      <c r="T16" s="14"/>
    </row>
  </sheetData>
  <mergeCells count="26">
    <mergeCell ref="A4:B4"/>
    <mergeCell ref="A8:G8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Q16:T16"/>
    <mergeCell ref="W5:W6"/>
    <mergeCell ref="B11:W11"/>
    <mergeCell ref="B12:W12"/>
    <mergeCell ref="I5:K5"/>
    <mergeCell ref="C15:N15"/>
    <mergeCell ref="T5:T6"/>
    <mergeCell ref="U5:U6"/>
    <mergeCell ref="V5:V6"/>
    <mergeCell ref="B13:W13"/>
    <mergeCell ref="O14:W15"/>
  </mergeCells>
  <phoneticPr fontId="1" type="noConversion"/>
  <pageMargins left="0.7" right="0.7" top="0.75" bottom="0.75" header="0.3" footer="0.3"/>
  <pageSetup paperSize="9" scale="9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2025-05-23T08:45:48Z</dcterms:modified>
</cp:coreProperties>
</file>