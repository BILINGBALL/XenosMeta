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C5315DEF-1FEB-4EF8-896A-5E30965F20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S7" i="1"/>
  <c r="S8" i="1" s="1"/>
  <c r="M7" i="1"/>
  <c r="K7" i="1" s="1"/>
  <c r="M8" i="1" l="1"/>
  <c r="K8" i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<sst xmlns="http://schemas.openxmlformats.org/spreadsheetml/2006/main" count="55" uniqueCount="53">
  <si>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</si>
  <si>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</si>
  <si>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</si>
  <si>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</si>
  <si>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</si>
  <si>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</si>
  <si>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</si>
  <si>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</si>
  <si>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</si>
  <si>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</si>
  <si>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</si>
  <si>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</si>
  <si>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</si>
  <si>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</si>
  <si>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</si>
  <si>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</si>
  <si>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</si>
  <si>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</si>
  <si>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</si>
  <si>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</si>
  <si>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</si>
  <si>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</si>
  <si>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</si>
  <si>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</si>
  <si>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</si>
  <si>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</si>
  <si>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</si>
  <si>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</si>
  <si>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</si>
  <si>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</si>
  <si>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</si>
  <si>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</si>
  <si>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</si>
  <si>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</si>
  <si>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</si>
  <si>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</si>
  <si>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</si>
  <si>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</si>
  <si>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</si>
  <si>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</si>
  <si>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</si>
  <si>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</si>
  <si>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</si>
  <si>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</si>
  <si>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r>
      <t>热镀锌≥50</t>
    </r>
    <r>
      <rPr>
        <b/>
        <sz val="10"/>
        <color theme="1"/>
        <rFont val="Calibri"/>
        <family val="3"/>
        <charset val="161"/>
      </rPr>
      <t>μ</t>
    </r>
    <r>
      <rPr>
        <b/>
        <sz val="10"/>
        <color theme="1"/>
        <rFont val="宋体"/>
        <family val="3"/>
        <charset val="134"/>
        <scheme val="minor"/>
      </rPr>
      <t>m</t>
    </r>
    <phoneticPr fontId="10" type="noConversion"/>
  </si>
  <si>
    <t>12 月  份  销  售  计  划  2</t>
    <phoneticPr fontId="10" type="noConversion"/>
  </si>
  <si>
    <t>23*115</t>
    <phoneticPr fontId="10" type="noConversion"/>
  </si>
  <si>
    <t>251205-1</t>
    <phoneticPr fontId="10" type="noConversion"/>
  </si>
  <si>
    <t>CA2506388</t>
    <phoneticPr fontId="10" type="noConversion"/>
  </si>
  <si>
    <t>NF F 50-003</t>
    <phoneticPr fontId="15" type="noConversion"/>
  </si>
  <si>
    <t>E225/23-F0</t>
    <phoneticPr fontId="10" type="noConversion"/>
  </si>
  <si>
    <t>2025-1-3</t>
    <phoneticPr fontId="10" type="noConversion"/>
  </si>
  <si>
    <r>
      <t xml:space="preserve">SDL
</t>
    </r>
    <r>
      <rPr>
        <sz val="12"/>
        <color theme="1"/>
        <rFont val="宋体"/>
        <family val="3"/>
        <charset val="134"/>
        <scheme val="minor"/>
      </rPr>
      <t>T</t>
    </r>
    <r>
      <rPr>
        <b/>
        <sz val="12"/>
        <color theme="1"/>
        <rFont val="宋体"/>
        <family val="3"/>
        <charset val="134"/>
        <scheme val="minor"/>
      </rPr>
      <t xml:space="preserve">
3</t>
    </r>
    <r>
      <rPr>
        <sz val="9"/>
        <color theme="1"/>
        <rFont val="宋体"/>
        <family val="3"/>
        <charset val="134"/>
        <scheme val="minor"/>
      </rPr>
      <t xml:space="preserve">
26
115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</si>
</sst>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7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Calibri"/>
      <family val="3"/>
      <charset val="161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7" workbookViewId="0">
      <selection activeCell="B13" sqref="B13:W13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8" t="s">
        <v>45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3" s="1" customFormat="1" ht="27.75" customHeight="1" x14ac:dyDescent="0.15">
      <c r="A4" s="19" t="s">
        <v>0</v>
      </c>
      <c r="B4" s="19"/>
      <c r="C4" s="1" t="s">
        <v>1</v>
      </c>
      <c r="H4" s="19" t="s">
        <v>2</v>
      </c>
      <c r="I4" s="19"/>
      <c r="O4" s="19" t="s">
        <v>3</v>
      </c>
      <c r="P4" s="19"/>
      <c r="U4" s="20"/>
      <c r="V4" s="21"/>
      <c r="W4" s="21"/>
    </row>
    <row r="5" spans="1:23" s="1" customFormat="1" ht="27" customHeight="1" x14ac:dyDescent="0.15">
      <c r="A5" s="24" t="s">
        <v>4</v>
      </c>
      <c r="B5" s="24" t="s">
        <v>5</v>
      </c>
      <c r="C5" s="24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3" t="s">
        <v>11</v>
      </c>
      <c r="I5" s="22" t="s">
        <v>12</v>
      </c>
      <c r="J5" s="23"/>
      <c r="K5" s="23"/>
      <c r="L5" s="24" t="s">
        <v>13</v>
      </c>
      <c r="M5" s="24"/>
      <c r="N5" s="24"/>
      <c r="O5" s="24"/>
      <c r="P5" s="24"/>
      <c r="Q5" s="24"/>
      <c r="R5" s="24" t="s">
        <v>14</v>
      </c>
      <c r="S5" s="24"/>
      <c r="T5" s="24" t="s">
        <v>15</v>
      </c>
      <c r="U5" s="24" t="s">
        <v>16</v>
      </c>
      <c r="V5" s="24" t="s">
        <v>17</v>
      </c>
      <c r="W5" s="24" t="s">
        <v>18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4"/>
      <c r="U6" s="24"/>
      <c r="V6" s="24"/>
      <c r="W6" s="24"/>
    </row>
    <row r="7" spans="1:23" s="1" customFormat="1" ht="77.25" customHeight="1" x14ac:dyDescent="0.15">
      <c r="A7" s="4">
        <v>1</v>
      </c>
      <c r="B7" s="3" t="s">
        <v>29</v>
      </c>
      <c r="C7" s="3" t="s">
        <v>46</v>
      </c>
      <c r="D7" s="3" t="s">
        <v>47</v>
      </c>
      <c r="E7" s="4" t="s">
        <v>48</v>
      </c>
      <c r="F7" s="15" t="s">
        <v>49</v>
      </c>
      <c r="G7" s="3" t="s">
        <v>50</v>
      </c>
      <c r="H7" s="3">
        <v>0.5</v>
      </c>
      <c r="I7" s="6" t="s">
        <v>30</v>
      </c>
      <c r="J7" s="13" t="s">
        <v>43</v>
      </c>
      <c r="K7" s="7">
        <f>M7/0.92</f>
        <v>26.086956521739129</v>
      </c>
      <c r="L7" s="3">
        <v>48000</v>
      </c>
      <c r="M7" s="8">
        <f>L7*H7/1000</f>
        <v>24</v>
      </c>
      <c r="N7" s="3">
        <v>40</v>
      </c>
      <c r="O7" s="3">
        <v>1200</v>
      </c>
      <c r="P7" s="3">
        <v>35</v>
      </c>
      <c r="Q7" s="3">
        <v>35</v>
      </c>
      <c r="R7" s="3">
        <v>48100</v>
      </c>
      <c r="S7" s="8">
        <f>R7*H7/1000</f>
        <v>24.05</v>
      </c>
      <c r="T7" s="17" t="s">
        <v>51</v>
      </c>
      <c r="U7" s="16" t="s">
        <v>52</v>
      </c>
      <c r="V7" s="14" t="s">
        <v>44</v>
      </c>
      <c r="W7" s="5" t="s">
        <v>31</v>
      </c>
    </row>
    <row r="8" spans="1:23" s="1" customFormat="1" ht="42" customHeight="1" x14ac:dyDescent="0.15">
      <c r="A8" s="22" t="s">
        <v>32</v>
      </c>
      <c r="B8" s="23"/>
      <c r="C8" s="23"/>
      <c r="D8" s="23"/>
      <c r="E8" s="23"/>
      <c r="F8" s="23"/>
      <c r="G8" s="25"/>
      <c r="H8" s="3"/>
      <c r="I8" s="3"/>
      <c r="J8" s="3"/>
      <c r="K8" s="8">
        <f>SUM(K7:K7)</f>
        <v>26.086956521739129</v>
      </c>
      <c r="L8" s="9">
        <f>SUM(L7:L7)</f>
        <v>48000</v>
      </c>
      <c r="M8" s="8">
        <f>SUM(M7:M7)</f>
        <v>24</v>
      </c>
      <c r="N8" s="3"/>
      <c r="O8" s="9">
        <f>SUM(O7:O7)</f>
        <v>1200</v>
      </c>
      <c r="P8" s="3"/>
      <c r="Q8" s="9">
        <f>SUM(Q7:Q7)</f>
        <v>35</v>
      </c>
      <c r="R8" s="9">
        <f>SUM(R7:R7)</f>
        <v>48100</v>
      </c>
      <c r="S8" s="8">
        <f>SUM(S7:S7)</f>
        <v>24.05</v>
      </c>
      <c r="T8" s="11"/>
      <c r="U8" s="3" t="s">
        <v>33</v>
      </c>
      <c r="V8" s="3"/>
      <c r="W8" s="5"/>
    </row>
    <row r="9" spans="1:23" ht="29.25" customHeight="1" x14ac:dyDescent="0.15">
      <c r="R9" s="12" t="s">
        <v>34</v>
      </c>
      <c r="U9" s="27"/>
      <c r="V9" s="27"/>
    </row>
    <row r="10" spans="1:23" s="1" customFormat="1" ht="19.5" customHeight="1" x14ac:dyDescent="0.15">
      <c r="B10" s="1" t="s">
        <v>35</v>
      </c>
      <c r="O10" s="10"/>
      <c r="S10"/>
      <c r="U10" s="27"/>
      <c r="V10" s="27"/>
    </row>
    <row r="11" spans="1:23" s="1" customFormat="1" ht="19.5" customHeight="1" x14ac:dyDescent="0.15">
      <c r="A11" s="1" t="s">
        <v>36</v>
      </c>
      <c r="B11" s="26" t="s">
        <v>37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s="1" customFormat="1" ht="19.5" customHeight="1" x14ac:dyDescent="0.15">
      <c r="A12" s="1" t="s">
        <v>38</v>
      </c>
      <c r="B12" s="26" t="s">
        <v>39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s="1" customFormat="1" ht="19.5" customHeight="1" x14ac:dyDescent="0.15">
      <c r="A13" s="1" t="s">
        <v>40</v>
      </c>
      <c r="B13" s="26" t="s">
        <v>41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ht="42" customHeight="1" x14ac:dyDescent="0.15">
      <c r="O14" s="29"/>
      <c r="P14" s="29"/>
      <c r="Q14" s="29"/>
      <c r="R14" s="29"/>
      <c r="S14" s="29"/>
      <c r="T14" s="29"/>
      <c r="U14" s="29"/>
      <c r="V14" s="29"/>
      <c r="W14" s="29"/>
    </row>
    <row r="15" spans="1:23" ht="20.25" customHeight="1" x14ac:dyDescent="0.15">
      <c r="C15" s="26" t="s">
        <v>42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9"/>
      <c r="P15" s="29"/>
      <c r="Q15" s="29"/>
      <c r="R15" s="29"/>
      <c r="S15" s="29"/>
      <c r="T15" s="29"/>
      <c r="U15" s="29"/>
      <c r="V15" s="29"/>
      <c r="W15" s="29"/>
    </row>
    <row r="16" spans="1:23" x14ac:dyDescent="0.15">
      <c r="Q16" s="28">
        <v>45996</v>
      </c>
      <c r="R16" s="28"/>
      <c r="S16" s="28"/>
      <c r="T16" s="28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10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2025-12-10T05:16:18Z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