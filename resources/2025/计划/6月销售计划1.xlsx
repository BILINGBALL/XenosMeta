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1D9A15F3-26C7-4AA2-839B-46E78F5F36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K8" i="1"/>
  <c r="K6" i="1"/>
  <c r="L6" i="1" s="1"/>
  <c r="Q6" i="1"/>
  <c r="R6" i="1"/>
  <c r="K7" i="1"/>
  <c r="L7" i="1" s="1"/>
  <c r="Q7" i="1"/>
  <c r="R7" i="1"/>
  <c r="R5" i="1"/>
  <c r="R8" i="1" s="1"/>
  <c r="P5" i="1"/>
  <c r="P8" i="1" s="1"/>
  <c r="L5" i="1"/>
  <c r="J5" i="1" s="1"/>
  <c r="J8" i="1" s="1"/>
  <c r="N8" i="1" l="1"/>
  <c r="L8" i="1"/>
</calcChain>
</file>

<file path=xl/sharedStrings.xml><?xml version="1.0" encoding="utf-8"?>
<sst xmlns="http://schemas.openxmlformats.org/spreadsheetml/2006/main" count="72" uniqueCount="63">
  <si>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</si>
  <si>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</si>
  <si>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</si>
  <si>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</si>
  <si>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</si>
  <si>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</si>
  <si>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</si>
  <si>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</si>
  <si>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</si>
  <si>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图纸号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</si>
  <si>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</si>
  <si>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</si>
  <si>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</si>
  <si>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</si>
  <si>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</si>
  <si>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</si>
  <si>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</si>
  <si>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</si>
  <si>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</si>
  <si>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</si>
  <si>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</si>
  <si>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</si>
  <si>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</si>
  <si>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</si>
  <si>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</si>
  <si>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</si>
  <si>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</si>
  <si>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</si>
  <si>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外购</t>
  </si>
  <si>
    <t>Φ22</t>
  </si>
  <si>
    <t>35#/
45#</t>
  </si>
  <si>
    <t>与以上螺栓配套组装</t>
  </si>
  <si>
    <t>平垫</t>
  </si>
  <si>
    <t>Q235</t>
  </si>
  <si>
    <t>合计</t>
  </si>
  <si>
    <t>详见图纸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</si>
  <si>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</si>
  <si>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</si>
  <si>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</si>
  <si>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</si>
  <si>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</si>
  <si>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</si>
  <si>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</si>
  <si>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</si>
  <si>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5、</t>
  </si>
  <si>
    <t>分发：总经理、总经办、品管部、生产部</t>
  </si>
  <si>
    <t>6 月  份  销  售  计  划  1</t>
    <phoneticPr fontId="10" type="noConversion"/>
  </si>
  <si>
    <t>250603-1</t>
    <phoneticPr fontId="10" type="noConversion"/>
  </si>
  <si>
    <t>SY20250527-01</t>
    <phoneticPr fontId="10" type="noConversion"/>
  </si>
  <si>
    <t>双头螺栓</t>
    <phoneticPr fontId="10" type="noConversion"/>
  </si>
  <si>
    <t>22X165.2</t>
    <phoneticPr fontId="10" type="noConversion"/>
  </si>
  <si>
    <t>SY-STDD250113-01</t>
    <phoneticPr fontId="10" type="noConversion"/>
  </si>
  <si>
    <t>螺母</t>
    <phoneticPr fontId="10" type="noConversion"/>
  </si>
  <si>
    <t>22</t>
    <phoneticPr fontId="10" type="noConversion"/>
  </si>
  <si>
    <t>250603-2</t>
  </si>
  <si>
    <t>250603-3</t>
  </si>
  <si>
    <t>电镀黄锌</t>
    <phoneticPr fontId="10" type="noConversion"/>
  </si>
  <si>
    <t>免碰撞包装</t>
    <phoneticPr fontId="10" type="noConversion"/>
  </si>
  <si>
    <t>尽快</t>
    <phoneticPr fontId="10" type="noConversion"/>
  </si>
  <si>
    <t>35#</t>
    <phoneticPr fontId="10" type="noConversion"/>
  </si>
  <si>
    <t>包装：免碰撞包装</t>
    <phoneticPr fontId="10" type="noConversion"/>
  </si>
  <si>
    <t>高蕾</t>
    <phoneticPr fontId="10" type="noConversion"/>
  </si>
  <si>
    <t>生产部门按生产工艺生产，加强自检，严格质量管理。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</si>
</sst>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F800]dddd\,\ mmmm\ dd\,\ yyyy"/>
    <numFmt numFmtId="177" formatCode="0_ "/>
    <numFmt numFmtId="178" formatCode="0.000_ "/>
    <numFmt numFmtId="179" formatCode="0_);[Red]\(0\)"/>
    <numFmt numFmtId="180" formatCode="0.00_);[Red]\(0.00\)"/>
    <numFmt numFmtId="181" formatCode="0.0_ "/>
  </numFmts>
  <fonts count="1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60">
    <xf numFmtId="176" fontId="0" fillId="0" borderId="0" xfId="0">
      <alignment vertical="center"/>
    </xf>
    <xf numFmtId="176" fontId="1" fillId="0" borderId="0" xfId="0" applyFont="1" applyAlignment="1">
      <alignment horizontal="center" vertical="center" wrapText="1"/>
    </xf>
    <xf numFmtId="176" fontId="0" fillId="0" borderId="0" xfId="0" applyAlignment="1">
      <alignment horizontal="center" vertical="center" wrapText="1"/>
    </xf>
    <xf numFmtId="176" fontId="1" fillId="0" borderId="2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6" fontId="1" fillId="0" borderId="4" xfId="0" applyFont="1" applyBorder="1" applyAlignment="1">
      <alignment horizontal="center" vertical="center" wrapText="1"/>
    </xf>
    <xf numFmtId="176" fontId="1" fillId="0" borderId="6" xfId="0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 wrapText="1"/>
    </xf>
    <xf numFmtId="176" fontId="6" fillId="0" borderId="0" xfId="0" applyFont="1" applyAlignment="1">
      <alignment horizontal="center" vertical="center"/>
    </xf>
    <xf numFmtId="176" fontId="1" fillId="0" borderId="2" xfId="0" applyFont="1" applyBorder="1" applyAlignment="1">
      <alignment vertical="center" wrapText="1"/>
    </xf>
    <xf numFmtId="176" fontId="5" fillId="0" borderId="6" xfId="0" applyFont="1" applyBorder="1" applyAlignment="1">
      <alignment horizontal="center" vertical="center" wrapText="1"/>
    </xf>
    <xf numFmtId="0" fontId="12" fillId="0" borderId="2" xfId="0" applyNumberFormat="1" applyFont="1" applyBorder="1" applyAlignment="1">
      <alignment horizontal="center" vertical="center" wrapText="1"/>
    </xf>
    <xf numFmtId="176" fontId="12" fillId="0" borderId="2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5" fillId="0" borderId="4" xfId="0" applyNumberFormat="1" applyFont="1" applyBorder="1" applyAlignment="1">
      <alignment horizontal="center" vertical="center" wrapText="1"/>
    </xf>
    <xf numFmtId="176" fontId="12" fillId="0" borderId="2" xfId="0" quotePrefix="1" applyFont="1" applyBorder="1" applyAlignment="1">
      <alignment horizontal="center" vertical="center" wrapText="1"/>
    </xf>
    <xf numFmtId="176" fontId="12" fillId="0" borderId="4" xfId="0" applyFont="1" applyBorder="1" applyAlignment="1">
      <alignment horizontal="center" vertical="center" wrapText="1"/>
    </xf>
    <xf numFmtId="176" fontId="15" fillId="0" borderId="0" xfId="0" applyFont="1" applyAlignment="1">
      <alignment horizontal="left" vertical="center"/>
    </xf>
    <xf numFmtId="176" fontId="12" fillId="0" borderId="0" xfId="0" applyFont="1" applyAlignment="1">
      <alignment horizontal="center" vertical="center" wrapText="1"/>
    </xf>
    <xf numFmtId="181" fontId="1" fillId="0" borderId="2" xfId="0" applyNumberFormat="1" applyFont="1" applyBorder="1" applyAlignment="1">
      <alignment horizontal="center" vertical="center" wrapText="1"/>
    </xf>
    <xf numFmtId="181" fontId="5" fillId="0" borderId="2" xfId="0" applyNumberFormat="1" applyFont="1" applyBorder="1" applyAlignment="1">
      <alignment horizontal="center" vertical="center" wrapText="1"/>
    </xf>
    <xf numFmtId="176" fontId="12" fillId="0" borderId="0" xfId="0" applyFont="1" applyAlignment="1">
      <alignment horizontal="left" vertical="center" wrapText="1"/>
    </xf>
    <xf numFmtId="176" fontId="1" fillId="0" borderId="0" xfId="0" applyFont="1" applyAlignment="1">
      <alignment horizontal="left" vertical="center" wrapText="1"/>
    </xf>
    <xf numFmtId="176" fontId="9" fillId="0" borderId="0" xfId="0" applyFont="1" applyAlignment="1">
      <alignment horizontal="right" vertical="center" wrapText="1"/>
    </xf>
    <xf numFmtId="176" fontId="1" fillId="0" borderId="2" xfId="0" applyFont="1" applyBorder="1" applyAlignment="1">
      <alignment horizontal="center" vertical="center" wrapText="1"/>
    </xf>
    <xf numFmtId="176" fontId="1" fillId="0" borderId="4" xfId="0" applyFont="1" applyBorder="1" applyAlignment="1">
      <alignment horizontal="center" vertical="center" wrapText="1"/>
    </xf>
    <xf numFmtId="176" fontId="1" fillId="0" borderId="6" xfId="0" applyFont="1" applyBorder="1" applyAlignment="1">
      <alignment horizontal="center" vertical="center" wrapText="1"/>
    </xf>
    <xf numFmtId="0" fontId="12" fillId="0" borderId="6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176" fontId="8" fillId="0" borderId="0" xfId="0" applyFont="1" applyAlignment="1">
      <alignment horizontal="center" vertical="center" wrapText="1"/>
    </xf>
    <xf numFmtId="176" fontId="1" fillId="0" borderId="7" xfId="0" applyFont="1" applyBorder="1" applyAlignment="1">
      <alignment horizontal="center" vertical="center" wrapText="1"/>
    </xf>
    <xf numFmtId="176" fontId="1" fillId="0" borderId="8" xfId="0" applyFont="1" applyBorder="1" applyAlignment="1">
      <alignment horizontal="center" vertical="center" wrapText="1"/>
    </xf>
    <xf numFmtId="176" fontId="1" fillId="0" borderId="9" xfId="0" applyFont="1" applyBorder="1" applyAlignment="1">
      <alignment horizontal="center" vertical="center" wrapText="1"/>
    </xf>
    <xf numFmtId="176" fontId="1" fillId="0" borderId="10" xfId="0" applyFont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180" fontId="1" fillId="0" borderId="12" xfId="0" applyNumberFormat="1" applyFont="1" applyBorder="1" applyAlignment="1">
      <alignment horizontal="center" vertical="center" wrapText="1"/>
    </xf>
    <xf numFmtId="180" fontId="1" fillId="0" borderId="8" xfId="0" applyNumberFormat="1" applyFont="1" applyBorder="1" applyAlignment="1">
      <alignment horizontal="center" vertical="center" wrapText="1"/>
    </xf>
    <xf numFmtId="180" fontId="1" fillId="0" borderId="9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0" fontId="1" fillId="0" borderId="10" xfId="0" applyNumberFormat="1" applyFont="1" applyBorder="1" applyAlignment="1">
      <alignment horizontal="center" vertical="center" wrapText="1"/>
    </xf>
    <xf numFmtId="0" fontId="14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176" fontId="11" fillId="0" borderId="0" xfId="0" applyFont="1" applyAlignment="1">
      <alignment horizontal="center" vertical="center" wrapText="1"/>
    </xf>
    <xf numFmtId="176" fontId="2" fillId="0" borderId="0" xfId="0" applyFont="1" applyAlignment="1">
      <alignment horizontal="center" vertical="center" wrapText="1"/>
    </xf>
    <xf numFmtId="176" fontId="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right" vertical="center" wrapText="1"/>
    </xf>
    <xf numFmtId="176" fontId="7" fillId="0" borderId="1" xfId="0" applyFont="1" applyBorder="1" applyAlignment="1">
      <alignment horizontal="right" vertical="center" wrapText="1"/>
    </xf>
    <xf numFmtId="176" fontId="1" fillId="0" borderId="3" xfId="0" applyFont="1" applyBorder="1" applyAlignment="1">
      <alignment horizontal="center" vertical="center" wrapText="1"/>
    </xf>
    <xf numFmtId="176" fontId="1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topLeftCell="A5" workbookViewId="0">
      <selection activeCell="S5" sqref="S5:S7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7.75" style="2" customWidth="1"/>
    <col min="5" max="5" width="7.5" style="2" customWidth="1"/>
    <col min="6" max="6" width="9.75" style="2" customWidth="1"/>
    <col min="7" max="7" width="7.125" style="2" customWidth="1"/>
    <col min="8" max="8" width="5.625" style="2" customWidth="1"/>
    <col min="9" max="9" width="5.25" style="2" customWidth="1"/>
    <col min="10" max="10" width="5.875" style="2" customWidth="1"/>
    <col min="11" max="11" width="8.625" style="2" customWidth="1"/>
    <col min="12" max="12" width="6" style="2" customWidth="1"/>
    <col min="13" max="13" width="4.25" style="2" customWidth="1"/>
    <col min="14" max="14" width="7.125" style="2" customWidth="1"/>
    <col min="15" max="15" width="4.625" style="2" customWidth="1"/>
    <col min="16" max="16" width="5" style="2" customWidth="1"/>
    <col min="17" max="17" width="8.75" style="2" customWidth="1"/>
    <col min="18" max="18" width="8.125" style="2" customWidth="1"/>
    <col min="19" max="19" width="10" style="2" customWidth="1"/>
    <col min="20" max="20" width="8.375" style="2" customWidth="1"/>
    <col min="21" max="21" width="7.25" style="2" customWidth="1"/>
    <col min="22" max="22" width="7.375" style="2" customWidth="1"/>
    <col min="23" max="16384" width="9" style="2"/>
  </cols>
  <sheetData>
    <row r="1" spans="1:22" ht="33" customHeight="1" x14ac:dyDescent="0.15">
      <c r="A1" s="53" t="s">
        <v>46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2" s="1" customFormat="1" ht="21" customHeight="1" x14ac:dyDescent="0.15">
      <c r="B2" s="1" t="s">
        <v>0</v>
      </c>
      <c r="C2" s="24" t="s">
        <v>61</v>
      </c>
      <c r="G2" s="55" t="s">
        <v>1</v>
      </c>
      <c r="H2" s="55"/>
      <c r="N2" s="55" t="s">
        <v>2</v>
      </c>
      <c r="O2" s="55"/>
      <c r="T2" s="56" t="s">
        <v>3</v>
      </c>
      <c r="U2" s="57"/>
      <c r="V2" s="57"/>
    </row>
    <row r="3" spans="1:22" s="1" customFormat="1" ht="27" customHeight="1" x14ac:dyDescent="0.15">
      <c r="A3" s="30" t="s">
        <v>4</v>
      </c>
      <c r="B3" s="30" t="s">
        <v>5</v>
      </c>
      <c r="C3" s="30" t="s">
        <v>6</v>
      </c>
      <c r="D3" s="30" t="s">
        <v>7</v>
      </c>
      <c r="E3" s="30" t="s">
        <v>8</v>
      </c>
      <c r="F3" s="30" t="s">
        <v>9</v>
      </c>
      <c r="G3" s="3" t="s">
        <v>10</v>
      </c>
      <c r="H3" s="58" t="s">
        <v>11</v>
      </c>
      <c r="I3" s="59"/>
      <c r="J3" s="59"/>
      <c r="K3" s="30" t="s">
        <v>12</v>
      </c>
      <c r="L3" s="30"/>
      <c r="M3" s="30"/>
      <c r="N3" s="30"/>
      <c r="O3" s="30"/>
      <c r="P3" s="30"/>
      <c r="Q3" s="30" t="s">
        <v>13</v>
      </c>
      <c r="R3" s="30"/>
      <c r="S3" s="30" t="s">
        <v>14</v>
      </c>
      <c r="T3" s="30" t="s">
        <v>15</v>
      </c>
      <c r="U3" s="30" t="s">
        <v>16</v>
      </c>
      <c r="V3" s="30" t="s">
        <v>17</v>
      </c>
    </row>
    <row r="4" spans="1:22" s="1" customFormat="1" ht="27.75" customHeight="1" x14ac:dyDescent="0.15">
      <c r="A4" s="30"/>
      <c r="B4" s="30"/>
      <c r="C4" s="30"/>
      <c r="D4" s="30"/>
      <c r="E4" s="30"/>
      <c r="F4" s="30"/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22</v>
      </c>
      <c r="R4" s="3" t="s">
        <v>23</v>
      </c>
      <c r="S4" s="30"/>
      <c r="T4" s="30"/>
      <c r="U4" s="30"/>
      <c r="V4" s="30"/>
    </row>
    <row r="5" spans="1:22" s="1" customFormat="1" ht="48.95" customHeight="1" x14ac:dyDescent="0.15">
      <c r="A5" s="5">
        <v>1</v>
      </c>
      <c r="B5" s="17" t="s">
        <v>49</v>
      </c>
      <c r="C5" s="17" t="s">
        <v>50</v>
      </c>
      <c r="D5" s="16" t="s">
        <v>47</v>
      </c>
      <c r="E5" s="33" t="s">
        <v>48</v>
      </c>
      <c r="F5" s="17" t="s">
        <v>51</v>
      </c>
      <c r="G5" s="6">
        <v>0.4</v>
      </c>
      <c r="H5" s="17" t="s">
        <v>59</v>
      </c>
      <c r="I5" s="3" t="s">
        <v>29</v>
      </c>
      <c r="J5" s="25">
        <f>L5/0.93</f>
        <v>0.21505376344086022</v>
      </c>
      <c r="K5" s="9">
        <v>500</v>
      </c>
      <c r="L5" s="25">
        <f>K5*G5/1000</f>
        <v>0.2</v>
      </c>
      <c r="M5" s="10">
        <v>40</v>
      </c>
      <c r="N5" s="4">
        <v>13</v>
      </c>
      <c r="O5" s="9">
        <v>13</v>
      </c>
      <c r="P5" s="4">
        <f>N5/O5</f>
        <v>1</v>
      </c>
      <c r="Q5" s="9">
        <v>520</v>
      </c>
      <c r="R5" s="26">
        <f>G5*Q5/1000</f>
        <v>0.20799999999999999</v>
      </c>
      <c r="S5" s="50" t="s">
        <v>58</v>
      </c>
      <c r="T5" s="17"/>
      <c r="U5" s="22" t="s">
        <v>56</v>
      </c>
      <c r="V5" s="47" t="s">
        <v>57</v>
      </c>
    </row>
    <row r="6" spans="1:22" s="1" customFormat="1" ht="42.95" customHeight="1" x14ac:dyDescent="0.15">
      <c r="A6" s="5">
        <v>2</v>
      </c>
      <c r="B6" s="17" t="s">
        <v>52</v>
      </c>
      <c r="C6" s="21" t="s">
        <v>53</v>
      </c>
      <c r="D6" s="16" t="s">
        <v>54</v>
      </c>
      <c r="E6" s="34"/>
      <c r="F6" s="3"/>
      <c r="G6" s="6">
        <v>0.13</v>
      </c>
      <c r="H6" s="3" t="s">
        <v>30</v>
      </c>
      <c r="I6" s="37" t="s">
        <v>28</v>
      </c>
      <c r="J6" s="38"/>
      <c r="K6" s="9">
        <f>K5</f>
        <v>500</v>
      </c>
      <c r="L6" s="18">
        <f>K6*G6/1000</f>
        <v>6.5000000000000002E-2</v>
      </c>
      <c r="M6" s="41" t="s">
        <v>31</v>
      </c>
      <c r="N6" s="42"/>
      <c r="O6" s="42"/>
      <c r="P6" s="43"/>
      <c r="Q6" s="9">
        <f>Q5</f>
        <v>520</v>
      </c>
      <c r="R6" s="26">
        <f t="shared" ref="R6:R7" si="0">G6*Q6/1000</f>
        <v>6.7600000000000007E-2</v>
      </c>
      <c r="S6" s="51"/>
      <c r="T6" s="14"/>
      <c r="U6" s="31"/>
      <c r="V6" s="48"/>
    </row>
    <row r="7" spans="1:22" s="1" customFormat="1" ht="39.950000000000003" customHeight="1" x14ac:dyDescent="0.15">
      <c r="A7" s="5">
        <v>3</v>
      </c>
      <c r="B7" s="3" t="s">
        <v>32</v>
      </c>
      <c r="C7" s="21" t="s">
        <v>53</v>
      </c>
      <c r="D7" s="16" t="s">
        <v>55</v>
      </c>
      <c r="E7" s="35"/>
      <c r="F7" s="3"/>
      <c r="G7" s="6">
        <v>3.3000000000000002E-2</v>
      </c>
      <c r="H7" s="3" t="s">
        <v>33</v>
      </c>
      <c r="I7" s="39"/>
      <c r="J7" s="40"/>
      <c r="K7" s="9">
        <f>K5</f>
        <v>500</v>
      </c>
      <c r="L7" s="18">
        <f>K7*G7/1000</f>
        <v>1.6500000000000001E-2</v>
      </c>
      <c r="M7" s="44"/>
      <c r="N7" s="45"/>
      <c r="O7" s="45"/>
      <c r="P7" s="46"/>
      <c r="Q7" s="9">
        <f>Q5</f>
        <v>520</v>
      </c>
      <c r="R7" s="26">
        <f t="shared" si="0"/>
        <v>1.7160000000000002E-2</v>
      </c>
      <c r="S7" s="52"/>
      <c r="T7" s="14"/>
      <c r="U7" s="32"/>
      <c r="V7" s="49"/>
    </row>
    <row r="8" spans="1:22" s="1" customFormat="1" ht="16.5" customHeight="1" x14ac:dyDescent="0.15">
      <c r="A8" s="37" t="s">
        <v>34</v>
      </c>
      <c r="B8" s="38"/>
      <c r="C8" s="31"/>
      <c r="D8" s="31"/>
      <c r="E8" s="31"/>
      <c r="F8" s="31"/>
      <c r="G8" s="31"/>
      <c r="H8" s="31"/>
      <c r="I8" s="31"/>
      <c r="J8" s="19">
        <f>SUM(J5)</f>
        <v>0.21505376344086022</v>
      </c>
      <c r="K8" s="11">
        <f>K5</f>
        <v>500</v>
      </c>
      <c r="L8" s="20">
        <f>SUM(L5:L7)</f>
        <v>0.28150000000000003</v>
      </c>
      <c r="M8" s="12"/>
      <c r="N8" s="11">
        <f>N5</f>
        <v>13</v>
      </c>
      <c r="O8" s="11"/>
      <c r="P8" s="11">
        <f>P5</f>
        <v>1</v>
      </c>
      <c r="Q8" s="11">
        <f>Q5</f>
        <v>520</v>
      </c>
      <c r="R8" s="11">
        <f>R5</f>
        <v>0.20799999999999999</v>
      </c>
      <c r="S8" s="7"/>
      <c r="T8" s="31" t="s">
        <v>35</v>
      </c>
      <c r="U8" s="7"/>
      <c r="V8" s="7"/>
    </row>
    <row r="9" spans="1:22" s="1" customFormat="1" ht="16.5" customHeight="1" x14ac:dyDescent="0.15">
      <c r="A9" s="39"/>
      <c r="B9" s="40"/>
      <c r="C9" s="32"/>
      <c r="D9" s="32"/>
      <c r="E9" s="32"/>
      <c r="F9" s="32"/>
      <c r="G9" s="32"/>
      <c r="H9" s="32"/>
      <c r="I9" s="32"/>
      <c r="J9" s="8" t="s">
        <v>23</v>
      </c>
      <c r="K9" s="8" t="s">
        <v>36</v>
      </c>
      <c r="L9" s="8" t="s">
        <v>23</v>
      </c>
      <c r="M9" s="8"/>
      <c r="N9" s="8" t="s">
        <v>25</v>
      </c>
      <c r="O9" s="8"/>
      <c r="P9" s="8" t="s">
        <v>27</v>
      </c>
      <c r="Q9" s="8" t="s">
        <v>36</v>
      </c>
      <c r="R9" s="15" t="s">
        <v>23</v>
      </c>
      <c r="S9" s="8"/>
      <c r="T9" s="32"/>
      <c r="U9" s="8"/>
      <c r="V9" s="8"/>
    </row>
    <row r="10" spans="1:22" s="1" customFormat="1" ht="23.25" customHeight="1" x14ac:dyDescent="0.15">
      <c r="B10" s="1" t="s">
        <v>37</v>
      </c>
      <c r="P10" s="13"/>
      <c r="R10" s="36"/>
      <c r="S10" s="36"/>
      <c r="T10" s="36"/>
      <c r="U10" s="36"/>
      <c r="V10" s="36"/>
    </row>
    <row r="11" spans="1:22" s="1" customFormat="1" ht="19.5" customHeight="1" x14ac:dyDescent="0.15">
      <c r="A11" s="1" t="s">
        <v>38</v>
      </c>
      <c r="B11" s="28" t="s">
        <v>39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s="1" customFormat="1" ht="19.5" customHeight="1" x14ac:dyDescent="0.15">
      <c r="B12" s="28" t="s">
        <v>40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s="1" customFormat="1" ht="19.5" customHeight="1" x14ac:dyDescent="0.15">
      <c r="A13" s="1" t="s">
        <v>41</v>
      </c>
      <c r="B13" s="27" t="s">
        <v>62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s="1" customFormat="1" ht="19.5" customHeight="1" x14ac:dyDescent="0.15">
      <c r="A14" s="1" t="s">
        <v>42</v>
      </c>
      <c r="B14" s="28" t="s">
        <v>43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ht="27.75" customHeight="1" x14ac:dyDescent="0.15">
      <c r="A15" s="1" t="s">
        <v>44</v>
      </c>
      <c r="B15" s="23" t="s">
        <v>60</v>
      </c>
    </row>
    <row r="16" spans="1:22" ht="20.25" customHeight="1" x14ac:dyDescent="0.15">
      <c r="C16" s="28" t="s">
        <v>45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7:22" ht="22.5" x14ac:dyDescent="0.15">
      <c r="Q17" s="29">
        <v>45811</v>
      </c>
      <c r="R17" s="29"/>
      <c r="S17" s="29"/>
      <c r="T17" s="29"/>
      <c r="U17" s="29"/>
      <c r="V17" s="29"/>
    </row>
  </sheetData>
  <mergeCells count="39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U6:U7"/>
    <mergeCell ref="A8:B9"/>
    <mergeCell ref="I6:J7"/>
    <mergeCell ref="M6:P7"/>
    <mergeCell ref="V5:V7"/>
    <mergeCell ref="S5:S7"/>
    <mergeCell ref="R10:V10"/>
    <mergeCell ref="B11:V11"/>
    <mergeCell ref="B12:V12"/>
    <mergeCell ref="H8:H9"/>
    <mergeCell ref="I8:I9"/>
    <mergeCell ref="T8:T9"/>
    <mergeCell ref="B13:V13"/>
    <mergeCell ref="B14:V14"/>
    <mergeCell ref="C16:M16"/>
    <mergeCell ref="Q17:V17"/>
    <mergeCell ref="A3:A4"/>
    <mergeCell ref="B3:B4"/>
    <mergeCell ref="C3:C4"/>
    <mergeCell ref="C8:C9"/>
    <mergeCell ref="D3:D4"/>
    <mergeCell ref="D8:D9"/>
    <mergeCell ref="E3:E4"/>
    <mergeCell ref="E5:E7"/>
    <mergeCell ref="E8:E9"/>
    <mergeCell ref="F3:F4"/>
    <mergeCell ref="F8:F9"/>
    <mergeCell ref="G8:G9"/>
  </mergeCells>
  <phoneticPr fontId="10" type="noConversion"/>
  <pageMargins left="0" right="0" top="0.74803149606299202" bottom="0.74803149606299202" header="0.31496062992126" footer="0.31496062992126"/>
  <pageSetup paperSize="9" scale="90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2025-02-05T06:01:48Z</cp:lastPrinted>
  <dcterms:created xsi:type="dcterms:W3CDTF">2006-09-13T11:21:00Z</dcterms:created>
  <dcterms:modified xsi:type="dcterms:W3CDTF">2025-06-04T05:25:48Z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A60A86319CDF47CE9E23DDC080F4B5FE_13</vt:lpwstr>
  </property>
  <property fmtid="{D5CDD505-2E9C-101B-9397-08002B2CF9AE}" pid="3" name="KSOProductBuildVer">
    <vt:lpwstr>2052-12.1.0.17147</vt:lpwstr>
  </property>
</Properties>
</file>