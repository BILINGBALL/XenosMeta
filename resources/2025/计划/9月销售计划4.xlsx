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F7216037-6AA4-45CC-AEA1-C4D9EE84D1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R8" i="1"/>
  <c r="Q8" i="1"/>
  <c r="O8" i="1"/>
  <c r="M8" i="1"/>
  <c r="L8" i="1"/>
  <c r="K8" i="1"/>
  <c r="S7" i="1"/>
  <c r="M7" i="1"/>
  <c r="K7" i="1"/>
</calcChain>
</file>

<file path=xl/sharedStrings.xml><?xml version="1.0" encoding="utf-8"?>
<sst xmlns="http://schemas.openxmlformats.org/spreadsheetml/2006/main" count="66" uniqueCount="57">
  <si>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</si>
  <si>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</si>
  <si>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</si>
  <si>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</si>
  <si>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</si>
  <si>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</si>
  <si>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</si>
  <si>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</si>
  <si>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</si>
  <si>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</si>
  <si>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</si>
  <si>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</si>
  <si>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</si>
  <si>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</si>
  <si>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</si>
  <si>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</si>
  <si>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</si>
  <si>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</si>
  <si>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</si>
  <si>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</si>
  <si>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</si>
  <si>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</si>
  <si>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</si>
  <si>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</si>
  <si>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</si>
  <si>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</si>
  <si>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</si>
  <si>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</si>
  <si>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</si>
  <si>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</si>
  <si>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双耳勾头道钉</t>
  </si>
  <si>
    <t>16X16X170</t>
  </si>
  <si>
    <t>客户图纸
ISO2768-V</t>
  </si>
  <si>
    <t>Q235</t>
  </si>
  <si>
    <t>Φ22</t>
  </si>
  <si>
    <t>本色上油
退火</t>
  </si>
  <si>
    <t>编织袋+欧式托盘加围板</t>
  </si>
  <si>
    <t>合计</t>
  </si>
  <si>
    <t>详见
图纸</t>
  </si>
  <si>
    <t>材-V质为S235JR或者同等规格型号材料</t>
  </si>
  <si>
    <t>说明：</t>
  </si>
  <si>
    <r>
      <t>生产方式必须是锻造单件材料，不允许焊接。每生产3000个产品需要测试</t>
    </r>
    <r>
      <rPr>
        <b/>
        <sz val="10"/>
        <color theme="1"/>
        <rFont val="宋体"/>
        <charset val="134"/>
        <scheme val="minor"/>
      </rPr>
      <t>拉伸和弯曲测试报告</t>
    </r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</si>
  <si>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</si>
  <si>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</si>
  <si>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</si>
  <si>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</si>
  <si>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生产部门按生产工艺生产，加强自检，严格质量管理。发货前从大货中寄5大样至客户公司，检查质量无误后发货。</t>
  </si>
  <si>
    <t>3、</t>
  </si>
  <si>
    <t>品管部负责办理质量证明书，检测报告及相关数据。外观每3000个留3个样品 客户有权进行检测。</t>
  </si>
  <si>
    <t>分发：总经理、总经办、品管部、生产部、技术部</t>
  </si>
  <si>
    <t>NFG
25</t>
    <phoneticPr fontId="8" type="noConversion"/>
  </si>
  <si>
    <t>A3553
GD-32</t>
    <phoneticPr fontId="8" type="noConversion"/>
  </si>
  <si>
    <t>9  月  份  销  售  计  划  4</t>
    <phoneticPr fontId="8" type="noConversion"/>
  </si>
  <si>
    <t>250923-1</t>
    <phoneticPr fontId="8" type="noConversion"/>
  </si>
  <si>
    <t>CON-25JH-EXP-25198</t>
    <phoneticPr fontId="8" type="noConversion"/>
  </si>
  <si>
    <t>2025-11-28</t>
    <phoneticPr fontId="8" type="noConversion"/>
  </si>
  <si>
    <t>包装为编织袋+欧式托盘加围板包装，每箱上面必须写好5位数订单号码45768。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</si>
</sst>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;_峿"/>
    <numFmt numFmtId="178" formatCode="0.00_ "/>
    <numFmt numFmtId="179" formatCode="0_ "/>
    <numFmt numFmtId="180" formatCode="[$-F800]dddd\,\ mmmm\ dd\,\ yyyy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176" fontId="1" fillId="0" borderId="2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wrapText="1"/>
    </xf>
    <xf numFmtId="176" fontId="0" fillId="0" borderId="3" xfId="0" applyNumberFormat="1" applyBorder="1" applyAlignment="1">
      <alignment horizontal="center" wrapText="1"/>
    </xf>
    <xf numFmtId="178" fontId="4" fillId="0" borderId="3" xfId="0" applyNumberFormat="1" applyFont="1" applyBorder="1" applyAlignment="1">
      <alignment horizontal="center" wrapText="1"/>
    </xf>
    <xf numFmtId="179" fontId="1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P7" sqref="P7"/>
    </sheetView>
  </sheetViews>
  <sheetFormatPr defaultColWidth="9" defaultRowHeight="13.5" x14ac:dyDescent="0.15"/>
  <cols>
    <col min="1" max="1" width="3" style="4" customWidth="1"/>
    <col min="2" max="2" width="5.25" style="4" customWidth="1"/>
    <col min="3" max="3" width="6.625" style="4" customWidth="1"/>
    <col min="4" max="4" width="4.625" style="4" customWidth="1"/>
    <col min="5" max="5" width="5.875" style="4" customWidth="1"/>
    <col min="6" max="6" width="9.875" style="4" customWidth="1"/>
    <col min="7" max="7" width="7.125" style="4" customWidth="1"/>
    <col min="8" max="8" width="5.875" style="4" customWidth="1"/>
    <col min="9" max="9" width="5.25" style="4" customWidth="1"/>
    <col min="10" max="10" width="5" style="4" customWidth="1"/>
    <col min="11" max="11" width="5.625" style="4" customWidth="1"/>
    <col min="12" max="12" width="7.5" style="4" customWidth="1"/>
    <col min="13" max="13" width="7.625" style="4" customWidth="1"/>
    <col min="14" max="14" width="4.125" style="4" customWidth="1"/>
    <col min="15" max="15" width="5.625" style="4" customWidth="1"/>
    <col min="16" max="16" width="4.25" style="4" customWidth="1"/>
    <col min="17" max="17" width="5" style="4" customWidth="1"/>
    <col min="18" max="19" width="7.375" style="4" customWidth="1"/>
    <col min="20" max="20" width="7.875" style="4" customWidth="1"/>
    <col min="21" max="21" width="5" style="4" customWidth="1"/>
    <col min="22" max="22" width="7.625" style="4" customWidth="1"/>
    <col min="23" max="23" width="8.25" style="4" customWidth="1"/>
    <col min="24" max="16384" width="9" style="4"/>
  </cols>
  <sheetData>
    <row r="2" spans="1:23" ht="45" customHeight="1" x14ac:dyDescent="0.15">
      <c r="A2" s="34" t="s">
        <v>52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4" spans="1:23" s="1" customFormat="1" ht="27.75" customHeight="1" x14ac:dyDescent="0.15">
      <c r="A4" s="36" t="s">
        <v>0</v>
      </c>
      <c r="B4" s="36"/>
      <c r="C4" s="1" t="s">
        <v>1</v>
      </c>
      <c r="G4" s="37" t="s">
        <v>2</v>
      </c>
      <c r="H4" s="37"/>
      <c r="N4" s="37" t="s">
        <v>3</v>
      </c>
      <c r="O4" s="37"/>
      <c r="T4" s="38" t="s">
        <v>4</v>
      </c>
      <c r="U4" s="38"/>
      <c r="V4" s="38"/>
      <c r="W4" s="38"/>
    </row>
    <row r="5" spans="1:23" s="1" customFormat="1" ht="27" customHeight="1" x14ac:dyDescent="0.15">
      <c r="A5" s="24" t="s">
        <v>5</v>
      </c>
      <c r="B5" s="24" t="s">
        <v>6</v>
      </c>
      <c r="C5" s="24" t="s">
        <v>7</v>
      </c>
      <c r="D5" s="24" t="s">
        <v>8</v>
      </c>
      <c r="E5" s="24" t="s">
        <v>9</v>
      </c>
      <c r="F5" s="24" t="s">
        <v>10</v>
      </c>
      <c r="G5" s="30" t="s">
        <v>11</v>
      </c>
      <c r="H5" s="5" t="s">
        <v>12</v>
      </c>
      <c r="I5" s="24" t="s">
        <v>13</v>
      </c>
      <c r="J5" s="24"/>
      <c r="K5" s="24"/>
      <c r="L5" s="24" t="s">
        <v>14</v>
      </c>
      <c r="M5" s="24"/>
      <c r="N5" s="24"/>
      <c r="O5" s="24"/>
      <c r="P5" s="24"/>
      <c r="Q5" s="24"/>
      <c r="R5" s="24" t="s">
        <v>15</v>
      </c>
      <c r="S5" s="24"/>
      <c r="T5" s="24" t="s">
        <v>16</v>
      </c>
      <c r="U5" s="24" t="s">
        <v>17</v>
      </c>
      <c r="V5" s="24" t="s">
        <v>18</v>
      </c>
      <c r="W5" s="24" t="s">
        <v>19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31"/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24</v>
      </c>
      <c r="S6" s="5" t="s">
        <v>25</v>
      </c>
      <c r="T6" s="24"/>
      <c r="U6" s="24"/>
      <c r="V6" s="24"/>
      <c r="W6" s="24"/>
    </row>
    <row r="7" spans="1:23" s="1" customFormat="1" ht="90.95" customHeight="1" x14ac:dyDescent="0.15">
      <c r="A7" s="5">
        <v>1</v>
      </c>
      <c r="B7" s="5" t="s">
        <v>30</v>
      </c>
      <c r="C7" s="5" t="s">
        <v>31</v>
      </c>
      <c r="D7" s="21" t="s">
        <v>53</v>
      </c>
      <c r="E7" s="20" t="s">
        <v>54</v>
      </c>
      <c r="F7" s="5" t="s">
        <v>32</v>
      </c>
      <c r="G7" s="21" t="s">
        <v>51</v>
      </c>
      <c r="H7" s="5">
        <v>0.33500000000000002</v>
      </c>
      <c r="I7" s="5" t="s">
        <v>33</v>
      </c>
      <c r="J7" s="5" t="s">
        <v>34</v>
      </c>
      <c r="K7" s="10">
        <f>H7*L7/1000/0.88</f>
        <v>57.102272727272698</v>
      </c>
      <c r="L7" s="5">
        <v>150000</v>
      </c>
      <c r="M7" s="10">
        <f>H7*L7/1000</f>
        <v>50.25</v>
      </c>
      <c r="N7" s="5">
        <v>50</v>
      </c>
      <c r="O7" s="5">
        <v>3000</v>
      </c>
      <c r="P7" s="5">
        <v>40</v>
      </c>
      <c r="Q7" s="5">
        <v>75</v>
      </c>
      <c r="R7" s="5">
        <v>151000</v>
      </c>
      <c r="S7" s="10">
        <f>R7*H7/1000</f>
        <v>50.585000000000001</v>
      </c>
      <c r="T7" s="23" t="s">
        <v>55</v>
      </c>
      <c r="U7" s="22" t="s">
        <v>50</v>
      </c>
      <c r="V7" s="5" t="s">
        <v>35</v>
      </c>
      <c r="W7" s="6" t="s">
        <v>36</v>
      </c>
    </row>
    <row r="8" spans="1:23" s="2" customFormat="1" ht="23.25" customHeight="1" x14ac:dyDescent="0.15">
      <c r="A8" s="25" t="s">
        <v>37</v>
      </c>
      <c r="B8" s="26"/>
      <c r="C8" s="7"/>
      <c r="D8" s="7"/>
      <c r="E8" s="7"/>
      <c r="F8" s="8"/>
      <c r="G8" s="7"/>
      <c r="H8" s="7"/>
      <c r="I8" s="7"/>
      <c r="J8" s="7"/>
      <c r="K8" s="11">
        <f>SUM(K7:K7)</f>
        <v>57.102272727272698</v>
      </c>
      <c r="L8" s="7">
        <f>SUM(L7:L7)</f>
        <v>150000</v>
      </c>
      <c r="M8" s="12">
        <f>SUM(M7:M7)</f>
        <v>50.25</v>
      </c>
      <c r="N8" s="13"/>
      <c r="O8" s="14">
        <f>SUM(O7:O7)</f>
        <v>3000</v>
      </c>
      <c r="P8" s="13"/>
      <c r="Q8" s="14">
        <f>SUM(Q7:Q7)</f>
        <v>75</v>
      </c>
      <c r="R8" s="7">
        <f>SUM(R7:R7)</f>
        <v>151000</v>
      </c>
      <c r="S8" s="15">
        <f>SUM(S7:S7)</f>
        <v>50.585000000000001</v>
      </c>
      <c r="T8" s="16"/>
      <c r="U8" s="17" t="s">
        <v>38</v>
      </c>
      <c r="V8" s="16"/>
      <c r="W8" s="16"/>
    </row>
    <row r="9" spans="1:23" s="3" customFormat="1" ht="21" customHeight="1" x14ac:dyDescent="0.15">
      <c r="A9" s="27"/>
      <c r="B9" s="28"/>
      <c r="C9" s="9"/>
      <c r="D9" s="9"/>
      <c r="E9" s="9"/>
      <c r="F9" s="9"/>
      <c r="G9" s="9"/>
      <c r="H9" s="9"/>
      <c r="I9" s="9"/>
      <c r="J9" s="9"/>
      <c r="K9" s="9" t="s">
        <v>25</v>
      </c>
      <c r="L9" s="9" t="s">
        <v>24</v>
      </c>
      <c r="M9" s="9" t="s">
        <v>25</v>
      </c>
      <c r="N9" s="9"/>
      <c r="O9" s="9" t="s">
        <v>27</v>
      </c>
      <c r="P9" s="9"/>
      <c r="Q9" s="9" t="s">
        <v>29</v>
      </c>
      <c r="R9" s="9" t="s">
        <v>24</v>
      </c>
      <c r="S9" s="9" t="s">
        <v>25</v>
      </c>
      <c r="T9" s="9"/>
      <c r="U9" s="9"/>
      <c r="V9" s="9"/>
      <c r="W9" s="9"/>
    </row>
    <row r="10" spans="1:23" ht="15" customHeight="1" x14ac:dyDescent="0.15">
      <c r="S10" s="18" t="s">
        <v>39</v>
      </c>
    </row>
    <row r="11" spans="1:23" s="1" customFormat="1" ht="19.5" customHeight="1" x14ac:dyDescent="0.15">
      <c r="B11" s="29" t="s">
        <v>40</v>
      </c>
      <c r="C11" s="29"/>
      <c r="R11" s="19" t="s">
        <v>41</v>
      </c>
    </row>
    <row r="12" spans="1:23" s="1" customFormat="1" ht="19.5" customHeight="1" x14ac:dyDescent="0.15">
      <c r="A12" s="1" t="s">
        <v>42</v>
      </c>
      <c r="B12" s="29" t="s">
        <v>43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3" s="1" customFormat="1" ht="19.5" customHeight="1" x14ac:dyDescent="0.15">
      <c r="B13" s="29" t="s">
        <v>44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23" s="1" customFormat="1" ht="19.5" customHeight="1" x14ac:dyDescent="0.15">
      <c r="A14" s="1" t="s">
        <v>45</v>
      </c>
      <c r="B14" s="29" t="s">
        <v>46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3" s="1" customFormat="1" ht="19.5" customHeight="1" x14ac:dyDescent="0.15">
      <c r="A15" s="1" t="s">
        <v>47</v>
      </c>
      <c r="B15" s="29" t="s">
        <v>48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3" ht="32.1" customHeight="1" x14ac:dyDescent="0.15">
      <c r="A16" s="1">
        <v>4</v>
      </c>
      <c r="B16" s="32" t="s">
        <v>56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S16" s="33">
        <v>45923</v>
      </c>
      <c r="T16" s="33"/>
      <c r="U16" s="33"/>
      <c r="V16" s="33"/>
    </row>
    <row r="17" spans="3:13" ht="20.25" customHeight="1" x14ac:dyDescent="0.15">
      <c r="C17" s="29" t="s">
        <v>49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</row>
  </sheetData>
  <mergeCells count="28">
    <mergeCell ref="A2:V2"/>
    <mergeCell ref="A4:B4"/>
    <mergeCell ref="G4:H4"/>
    <mergeCell ref="N4:O4"/>
    <mergeCell ref="T4:W4"/>
    <mergeCell ref="L5:Q5"/>
    <mergeCell ref="R5:S5"/>
    <mergeCell ref="B11:C11"/>
    <mergeCell ref="B12:V12"/>
    <mergeCell ref="T5:T6"/>
    <mergeCell ref="U5:U6"/>
    <mergeCell ref="V5:V6"/>
    <mergeCell ref="W5:W6"/>
    <mergeCell ref="A8:B9"/>
    <mergeCell ref="C17:M17"/>
    <mergeCell ref="A5:A6"/>
    <mergeCell ref="B5:B6"/>
    <mergeCell ref="C5:C6"/>
    <mergeCell ref="D5:D6"/>
    <mergeCell ref="E5:E6"/>
    <mergeCell ref="F5:F6"/>
    <mergeCell ref="G5:G6"/>
    <mergeCell ref="B13:V13"/>
    <mergeCell ref="B14:V14"/>
    <mergeCell ref="B15:V15"/>
    <mergeCell ref="B16:L16"/>
    <mergeCell ref="S16:V16"/>
    <mergeCell ref="I5:K5"/>
  </mergeCells>
  <phoneticPr fontId="8" type="noConversion"/>
  <pageMargins left="0.7" right="0.7" top="0.75" bottom="0.75" header="0.3" footer="0.3"/>
  <pageSetup paperSize="9" scale="94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2025-09-23T02:29:05Z</cp:lastPrinted>
  <dcterms:created xsi:type="dcterms:W3CDTF">2006-09-13T11:21:00Z</dcterms:created>
  <dcterms:modified xsi:type="dcterms:W3CDTF">2025-09-23T02:40:22Z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45B3E8CD250046B4B457ABFA7E8F2F81_13</vt:lpwstr>
  </property>
</Properties>
</file>