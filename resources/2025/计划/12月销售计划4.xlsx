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5153F384-114D-41CE-A64E-B99AC960AA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Q9" i="1"/>
  <c r="O9" i="1"/>
  <c r="L9" i="1"/>
  <c r="R8" i="1"/>
  <c r="S8" i="1" s="1"/>
  <c r="L8" i="1"/>
  <c r="M8" i="1" s="1"/>
  <c r="R7" i="1"/>
  <c r="S7" i="1" s="1"/>
  <c r="L7" i="1"/>
  <c r="M7" i="1" s="1"/>
  <c r="S6" i="1"/>
  <c r="S9" i="1" s="1"/>
  <c r="M6" i="1"/>
  <c r="M9" i="1" l="1"/>
  <c r="K6" i="1"/>
  <c r="K9" i="1" s="1"/>
</calcChain>
</file>

<file path=xl/sharedStrings.xml><?xml version="1.0" encoding="utf-8"?>
<sst xmlns="http://schemas.openxmlformats.org/spreadsheetml/2006/main" count="79" uniqueCount="66">
  <si>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</si>
  <si>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</si>
  <si>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</si>
  <si>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</si>
  <si>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</si>
  <si>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</si>
  <si>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</si>
  <si>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</si>
  <si>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</si>
  <si>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</si>
  <si>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</si>
  <si>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</si>
  <si>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</si>
  <si>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</si>
  <si>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</si>
  <si>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</si>
  <si>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</si>
  <si>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</si>
  <si>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</si>
  <si>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</si>
  <si>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</si>
  <si>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</si>
  <si>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</si>
  <si>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</si>
  <si>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</si>
  <si>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</si>
  <si>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</si>
  <si>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</si>
  <si>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</si>
  <si>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</si>
  <si>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10.9级</t>
  </si>
  <si>
    <t>40Cr</t>
  </si>
  <si>
    <t>编织袋+托盘</t>
  </si>
  <si>
    <t>螺母</t>
  </si>
  <si>
    <t>10级</t>
  </si>
  <si>
    <t>外购</t>
  </si>
  <si>
    <t>以上与螺栓装配</t>
  </si>
  <si>
    <t>Φ22</t>
  </si>
  <si>
    <t>KAI</t>
  </si>
  <si>
    <t>鱼尾板
螺栓</t>
  </si>
  <si>
    <t>7/8" x 163</t>
  </si>
  <si>
    <t>TRSC23008</t>
  </si>
  <si>
    <t>发黑</t>
  </si>
  <si>
    <t>7/8"</t>
  </si>
  <si>
    <t>TRSC23012</t>
  </si>
  <si>
    <t>弹垫</t>
  </si>
  <si>
    <t>TRSC23009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</si>
  <si>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</si>
  <si>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</si>
  <si>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</si>
  <si>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</si>
  <si>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</si>
  <si>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</si>
  <si>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2、</t>
  </si>
  <si>
    <t>3、</t>
  </si>
  <si>
    <t>品管部负责办理质量证明书，检测报告及相关数据。</t>
  </si>
  <si>
    <t>4、</t>
  </si>
  <si>
    <t>包装物是：编织袋+托盘。</t>
  </si>
  <si>
    <t>分发：总经理、总经办、品管部、生产部、技术部</t>
  </si>
  <si>
    <t xml:space="preserve">P202512120003
</t>
    <phoneticPr fontId="11" type="noConversion"/>
  </si>
  <si>
    <t>251215-1</t>
    <phoneticPr fontId="11" type="noConversion"/>
  </si>
  <si>
    <t>251215-2</t>
  </si>
  <si>
    <t>251215-3</t>
  </si>
  <si>
    <t>12  月  份  销  售  计  划  4</t>
    <phoneticPr fontId="11" type="noConversion"/>
  </si>
  <si>
    <t>生产部门按生产工艺生产，加强自检，严格质量管理。产品符合图纸中规格及相关要求，图纸号：《TRSC230525002》技术文件编号：
《TRJS230816002》。</t>
    <phoneticPr fontId="11" type="noConversion"/>
  </si>
  <si>
    <t>2026-1-10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</si>
</sst>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.0_ "/>
    <numFmt numFmtId="178" formatCode="0.00_ "/>
    <numFmt numFmtId="179" formatCode="0_ "/>
    <numFmt numFmtId="180" formatCode="[$-F800]dddd\,\ mmmm\ dd\,\ yyyy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wrapText="1"/>
    </xf>
    <xf numFmtId="179" fontId="5" fillId="0" borderId="3" xfId="0" applyNumberFormat="1" applyFont="1" applyBorder="1" applyAlignment="1">
      <alignment horizontal="center" wrapText="1"/>
    </xf>
    <xf numFmtId="178" fontId="5" fillId="0" borderId="3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180" fontId="10" fillId="0" borderId="0" xfId="0" applyNumberFormat="1" applyFont="1" applyAlignment="1">
      <alignment horizontal="center" vertical="center" wrapText="1"/>
    </xf>
    <xf numFmtId="178" fontId="1" fillId="0" borderId="11" xfId="0" applyNumberFormat="1" applyFont="1" applyBorder="1" applyAlignment="1">
      <alignment horizontal="center" vertical="center" wrapText="1"/>
    </xf>
    <xf numFmtId="178" fontId="1" fillId="0" borderId="12" xfId="0" applyNumberFormat="1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topLeftCell="A2" workbookViewId="0">
      <selection activeCell="S12" sqref="S12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0.375" style="4" customWidth="1"/>
    <col min="4" max="4" width="6.125" style="4" customWidth="1"/>
    <col min="5" max="5" width="5.875" style="4" customWidth="1"/>
    <col min="6" max="6" width="6.5" style="4" customWidth="1"/>
    <col min="7" max="7" width="6.25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8.1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6.875" style="4" customWidth="1"/>
    <col min="20" max="20" width="5.125" style="4" customWidth="1"/>
    <col min="21" max="21" width="7.5" style="4" customWidth="1"/>
    <col min="22" max="22" width="7.25" style="4" customWidth="1"/>
    <col min="23" max="23" width="7.375" style="4" customWidth="1"/>
    <col min="24" max="16384" width="9" style="4"/>
  </cols>
  <sheetData>
    <row r="2" spans="1:23" ht="45" customHeight="1" x14ac:dyDescent="0.15">
      <c r="A2" s="48" t="s">
        <v>63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</row>
    <row r="3" spans="1:23" s="1" customFormat="1" ht="27.75" customHeight="1" x14ac:dyDescent="0.15">
      <c r="B3" s="1" t="s">
        <v>0</v>
      </c>
      <c r="C3" s="1" t="s">
        <v>1</v>
      </c>
      <c r="H3" s="50" t="s">
        <v>2</v>
      </c>
      <c r="I3" s="50"/>
      <c r="O3" s="50" t="s">
        <v>3</v>
      </c>
      <c r="P3" s="50"/>
      <c r="U3" s="51" t="s">
        <v>4</v>
      </c>
      <c r="V3" s="52"/>
      <c r="W3" s="52"/>
    </row>
    <row r="4" spans="1:23" s="1" customFormat="1" ht="27" customHeight="1" x14ac:dyDescent="0.15">
      <c r="A4" s="37" t="s">
        <v>5</v>
      </c>
      <c r="B4" s="37" t="s">
        <v>6</v>
      </c>
      <c r="C4" s="37" t="s">
        <v>7</v>
      </c>
      <c r="D4" s="37" t="s">
        <v>8</v>
      </c>
      <c r="E4" s="37" t="s">
        <v>9</v>
      </c>
      <c r="F4" s="37" t="s">
        <v>10</v>
      </c>
      <c r="G4" s="37" t="s">
        <v>11</v>
      </c>
      <c r="H4" s="5" t="s">
        <v>12</v>
      </c>
      <c r="I4" s="37" t="s">
        <v>13</v>
      </c>
      <c r="J4" s="37"/>
      <c r="K4" s="37"/>
      <c r="L4" s="37" t="s">
        <v>14</v>
      </c>
      <c r="M4" s="37"/>
      <c r="N4" s="37"/>
      <c r="O4" s="37"/>
      <c r="P4" s="37"/>
      <c r="Q4" s="37"/>
      <c r="R4" s="37" t="s">
        <v>15</v>
      </c>
      <c r="S4" s="37"/>
      <c r="T4" s="37" t="s">
        <v>16</v>
      </c>
      <c r="U4" s="37" t="s">
        <v>17</v>
      </c>
      <c r="V4" s="37" t="s">
        <v>18</v>
      </c>
      <c r="W4" s="37" t="s">
        <v>19</v>
      </c>
    </row>
    <row r="5" spans="1:23" s="1" customFormat="1" ht="27.75" customHeight="1" x14ac:dyDescent="0.15">
      <c r="A5" s="39"/>
      <c r="B5" s="37"/>
      <c r="C5" s="37"/>
      <c r="D5" s="37"/>
      <c r="E5" s="37"/>
      <c r="F5" s="37"/>
      <c r="G5" s="37"/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24</v>
      </c>
      <c r="S5" s="5" t="s">
        <v>25</v>
      </c>
      <c r="T5" s="37"/>
      <c r="U5" s="37"/>
      <c r="V5" s="37"/>
      <c r="W5" s="37"/>
    </row>
    <row r="6" spans="1:23" s="1" customFormat="1" ht="36" customHeight="1" x14ac:dyDescent="0.15">
      <c r="A6" s="5">
        <v>1</v>
      </c>
      <c r="B6" s="6" t="s">
        <v>39</v>
      </c>
      <c r="C6" s="5" t="s">
        <v>40</v>
      </c>
      <c r="D6" s="23" t="s">
        <v>60</v>
      </c>
      <c r="E6" s="29" t="s">
        <v>59</v>
      </c>
      <c r="F6" s="5" t="s">
        <v>30</v>
      </c>
      <c r="G6" s="7" t="s">
        <v>41</v>
      </c>
      <c r="H6" s="8">
        <v>0.64</v>
      </c>
      <c r="I6" s="5" t="s">
        <v>31</v>
      </c>
      <c r="J6" s="5" t="s">
        <v>37</v>
      </c>
      <c r="K6" s="15">
        <f>M6/0.9</f>
        <v>0.49777777777777776</v>
      </c>
      <c r="L6" s="5">
        <v>700</v>
      </c>
      <c r="M6" s="16">
        <f>H6*L6*0.001</f>
        <v>0.44800000000000001</v>
      </c>
      <c r="N6" s="5">
        <v>20</v>
      </c>
      <c r="O6" s="5">
        <v>35</v>
      </c>
      <c r="P6" s="5">
        <v>35</v>
      </c>
      <c r="Q6" s="5">
        <v>1</v>
      </c>
      <c r="R6" s="5">
        <v>720</v>
      </c>
      <c r="S6" s="16">
        <f>H6*R6*0.001</f>
        <v>0.46080000000000004</v>
      </c>
      <c r="T6" s="35" t="s">
        <v>65</v>
      </c>
      <c r="U6" s="20" t="s">
        <v>38</v>
      </c>
      <c r="V6" s="5" t="s">
        <v>42</v>
      </c>
      <c r="W6" s="32" t="s">
        <v>32</v>
      </c>
    </row>
    <row r="7" spans="1:23" s="1" customFormat="1" ht="36" customHeight="1" x14ac:dyDescent="0.15">
      <c r="A7" s="5">
        <v>2</v>
      </c>
      <c r="B7" s="6" t="s">
        <v>33</v>
      </c>
      <c r="C7" s="9" t="s">
        <v>43</v>
      </c>
      <c r="D7" s="23" t="s">
        <v>61</v>
      </c>
      <c r="E7" s="30"/>
      <c r="F7" s="5" t="s">
        <v>34</v>
      </c>
      <c r="G7" s="7" t="s">
        <v>44</v>
      </c>
      <c r="H7" s="8">
        <v>0.23</v>
      </c>
      <c r="I7" s="42" t="s">
        <v>35</v>
      </c>
      <c r="J7" s="43"/>
      <c r="K7" s="44"/>
      <c r="L7" s="5">
        <f>L6</f>
        <v>700</v>
      </c>
      <c r="M7" s="16">
        <f>H7*L7*0.001</f>
        <v>0.161</v>
      </c>
      <c r="N7" s="45" t="s">
        <v>36</v>
      </c>
      <c r="O7" s="46"/>
      <c r="P7" s="46"/>
      <c r="Q7" s="47"/>
      <c r="R7" s="5">
        <f>R6</f>
        <v>720</v>
      </c>
      <c r="S7" s="16">
        <f>H7*R7*0.001</f>
        <v>0.1656</v>
      </c>
      <c r="T7" s="36"/>
      <c r="U7" s="21"/>
      <c r="V7" s="5" t="s">
        <v>42</v>
      </c>
      <c r="W7" s="33"/>
    </row>
    <row r="8" spans="1:23" s="1" customFormat="1" ht="36" customHeight="1" x14ac:dyDescent="0.15">
      <c r="A8" s="5">
        <v>3</v>
      </c>
      <c r="B8" s="6" t="s">
        <v>45</v>
      </c>
      <c r="C8" s="9" t="s">
        <v>43</v>
      </c>
      <c r="D8" s="23" t="s">
        <v>62</v>
      </c>
      <c r="E8" s="31"/>
      <c r="F8" s="5"/>
      <c r="G8" s="7" t="s">
        <v>46</v>
      </c>
      <c r="H8" s="8">
        <v>0.08</v>
      </c>
      <c r="I8" s="42" t="s">
        <v>35</v>
      </c>
      <c r="J8" s="43"/>
      <c r="K8" s="44"/>
      <c r="L8" s="5">
        <f>L6</f>
        <v>700</v>
      </c>
      <c r="M8" s="16">
        <f>H8*L8*0.001</f>
        <v>5.6000000000000001E-2</v>
      </c>
      <c r="N8" s="45" t="s">
        <v>36</v>
      </c>
      <c r="O8" s="46"/>
      <c r="P8" s="46"/>
      <c r="Q8" s="47"/>
      <c r="R8" s="5">
        <f>R6</f>
        <v>720</v>
      </c>
      <c r="S8" s="16">
        <f>H8*R8*0.001</f>
        <v>5.7600000000000005E-2</v>
      </c>
      <c r="T8" s="36"/>
      <c r="U8" s="21"/>
      <c r="V8" s="5" t="s">
        <v>42</v>
      </c>
      <c r="W8" s="34"/>
    </row>
    <row r="9" spans="1:23" s="2" customFormat="1" ht="21" customHeight="1" x14ac:dyDescent="0.15">
      <c r="A9" s="25" t="s">
        <v>47</v>
      </c>
      <c r="B9" s="26"/>
      <c r="C9" s="10"/>
      <c r="D9" s="10"/>
      <c r="E9" s="10"/>
      <c r="F9" s="11"/>
      <c r="G9" s="10"/>
      <c r="H9" s="10"/>
      <c r="I9" s="10"/>
      <c r="J9" s="10"/>
      <c r="K9" s="17">
        <f>K6</f>
        <v>0.49777777777777776</v>
      </c>
      <c r="L9" s="18">
        <f>L6</f>
        <v>700</v>
      </c>
      <c r="M9" s="17">
        <f>SUM(M6:M8)</f>
        <v>0.66500000000000004</v>
      </c>
      <c r="N9" s="19"/>
      <c r="O9" s="18">
        <f>O6</f>
        <v>35</v>
      </c>
      <c r="P9" s="19"/>
      <c r="Q9" s="18">
        <f>Q6</f>
        <v>1</v>
      </c>
      <c r="R9" s="18">
        <f>R6</f>
        <v>720</v>
      </c>
      <c r="S9" s="17">
        <f>SUM(S6:S8)</f>
        <v>0.68400000000000005</v>
      </c>
      <c r="T9" s="22"/>
      <c r="U9" s="32" t="s">
        <v>48</v>
      </c>
      <c r="V9" s="22"/>
      <c r="W9" s="22"/>
    </row>
    <row r="10" spans="1:23" s="3" customFormat="1" ht="21" customHeight="1" x14ac:dyDescent="0.15">
      <c r="A10" s="27"/>
      <c r="B10" s="28"/>
      <c r="C10" s="12"/>
      <c r="D10" s="12"/>
      <c r="E10" s="12"/>
      <c r="F10" s="12"/>
      <c r="G10" s="12"/>
      <c r="H10" s="12"/>
      <c r="I10" s="12"/>
      <c r="J10" s="12"/>
      <c r="K10" s="12" t="s">
        <v>25</v>
      </c>
      <c r="L10" s="12" t="s">
        <v>49</v>
      </c>
      <c r="M10" s="12" t="s">
        <v>25</v>
      </c>
      <c r="N10" s="12"/>
      <c r="O10" s="12" t="s">
        <v>27</v>
      </c>
      <c r="P10" s="12"/>
      <c r="Q10" s="12" t="s">
        <v>29</v>
      </c>
      <c r="R10" s="12" t="s">
        <v>49</v>
      </c>
      <c r="S10" s="12" t="s">
        <v>25</v>
      </c>
      <c r="T10" s="12"/>
      <c r="U10" s="34"/>
      <c r="V10" s="12"/>
      <c r="W10" s="12"/>
    </row>
    <row r="12" spans="1:23" s="1" customFormat="1" ht="19.5" customHeight="1" x14ac:dyDescent="0.15">
      <c r="B12" s="1" t="s">
        <v>50</v>
      </c>
      <c r="S12" s="24"/>
    </row>
    <row r="13" spans="1:23" s="1" customFormat="1" ht="19.5" customHeight="1" x14ac:dyDescent="0.15">
      <c r="A13" s="1" t="s">
        <v>51</v>
      </c>
      <c r="B13" s="38" t="s">
        <v>52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</row>
    <row r="14" spans="1:23" s="1" customFormat="1" ht="32.25" customHeight="1" x14ac:dyDescent="0.15">
      <c r="A14" s="1" t="s">
        <v>53</v>
      </c>
      <c r="B14" s="40" t="s">
        <v>64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</row>
    <row r="15" spans="1:23" s="1" customFormat="1" ht="19.5" customHeight="1" x14ac:dyDescent="0.15">
      <c r="A15" s="1" t="s">
        <v>54</v>
      </c>
      <c r="B15" s="38" t="s">
        <v>55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</row>
    <row r="16" spans="1:23" s="1" customFormat="1" ht="19.5" customHeight="1" x14ac:dyDescent="0.15">
      <c r="A16" s="1" t="s">
        <v>56</v>
      </c>
      <c r="B16" s="14" t="s">
        <v>57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3:23" ht="23.25" customHeight="1" x14ac:dyDescent="0.15">
      <c r="T17" s="41">
        <v>46006</v>
      </c>
      <c r="U17" s="41"/>
      <c r="V17" s="41"/>
      <c r="W17" s="41"/>
    </row>
    <row r="18" spans="3:23" ht="20.25" customHeight="1" x14ac:dyDescent="0.15">
      <c r="C18" s="38" t="s">
        <v>58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32">
    <mergeCell ref="A2:W2"/>
    <mergeCell ref="H3:I3"/>
    <mergeCell ref="O3:P3"/>
    <mergeCell ref="U3:W3"/>
    <mergeCell ref="I4:K4"/>
    <mergeCell ref="L4:Q4"/>
    <mergeCell ref="R4:S4"/>
    <mergeCell ref="T4:T5"/>
    <mergeCell ref="W4:W5"/>
    <mergeCell ref="C18:N18"/>
    <mergeCell ref="A4:A5"/>
    <mergeCell ref="B4:B5"/>
    <mergeCell ref="C4:C5"/>
    <mergeCell ref="D4:D5"/>
    <mergeCell ref="E4:E5"/>
    <mergeCell ref="F4:F5"/>
    <mergeCell ref="G4:G5"/>
    <mergeCell ref="B13:W13"/>
    <mergeCell ref="B14:W14"/>
    <mergeCell ref="B15:W15"/>
    <mergeCell ref="T17:W17"/>
    <mergeCell ref="I7:K7"/>
    <mergeCell ref="N7:Q7"/>
    <mergeCell ref="I8:K8"/>
    <mergeCell ref="N8:Q8"/>
    <mergeCell ref="A9:B10"/>
    <mergeCell ref="E6:E8"/>
    <mergeCell ref="W6:W8"/>
    <mergeCell ref="T6:T8"/>
    <mergeCell ref="U4:U5"/>
    <mergeCell ref="U9:U10"/>
    <mergeCell ref="V4:V5"/>
  </mergeCells>
  <phoneticPr fontId="11" type="noConversion"/>
  <pageMargins left="0.70069444444444495" right="0.70069444444444495" top="0.16111111111111101" bottom="0.16111111111111101" header="0.29861111111111099" footer="0.29861111111111099"/>
  <pageSetup paperSize="9" scale="83" orientation="landscape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2025-12-15T08:15:46Z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15D52DE1D9954D82BB0F8236EB88EE18_13</vt:lpwstr>
  </property>
  <property fmtid="{D5CDD505-2E9C-101B-9397-08002B2CF9AE}" pid="3" name="KSOProductBuildVer">
    <vt:lpwstr>2052-12.1.0.18276</vt:lpwstr>
  </property>
</Properties>
</file>