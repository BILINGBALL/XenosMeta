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00B394F7-F72C-4E52-B979-06B2C34E6F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M9" i="1"/>
  <c r="S8" i="1"/>
  <c r="T8" i="1" s="1"/>
  <c r="M8" i="1"/>
  <c r="N8" i="1" s="1"/>
  <c r="T7" i="1"/>
  <c r="T9" i="1" s="1"/>
  <c r="N7" i="1"/>
  <c r="N9" i="1" l="1"/>
  <c r="K7" i="1"/>
  <c r="K9" i="1" s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<sst xmlns="http://schemas.openxmlformats.org/spreadsheetml/2006/main" count="75" uniqueCount="67">
  <si>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</si>
  <si>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</si>
  <si>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</si>
  <si>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</si>
  <si>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</si>
  <si>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</si>
  <si>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</si>
  <si>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</si>
  <si>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</si>
  <si>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</si>
  <si>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</si>
  <si>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</si>
  <si>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</si>
  <si>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</si>
  <si>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</si>
  <si>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</si>
  <si>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</si>
  <si>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</si>
  <si>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</si>
  <si>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</si>
  <si>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</si>
  <si>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</si>
  <si>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</si>
  <si>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</si>
  <si>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</si>
  <si>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</si>
  <si>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</si>
  <si>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</si>
  <si>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</si>
  <si>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</si>
  <si>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</si>
  <si>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</si>
  <si>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</si>
  <si>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</si>
  <si>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</si>
  <si>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</si>
  <si>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</si>
  <si>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</si>
  <si>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</si>
  <si>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</si>
  <si>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</si>
  <si>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</si>
  <si>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</si>
  <si>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</si>
  <si>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</si>
  <si>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</si>
  <si>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</si>
  <si>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</si>
  <si>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</si>
  <si>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</si>
  <si>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</si>
  <si>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</si>
  <si>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</si>
  <si>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</si>
  <si>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</si>
  <si>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</si>
  <si>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</si>
  <si>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FM1 25
Ss25
KTZ</t>
    <phoneticPr fontId="7" type="noConversion"/>
  </si>
  <si>
    <t>5 月  份  销  售  计  划  2</t>
    <phoneticPr fontId="7" type="noConversion"/>
  </si>
  <si>
    <t>250506-3</t>
    <phoneticPr fontId="7" type="noConversion"/>
  </si>
  <si>
    <t>250506-4</t>
  </si>
  <si>
    <t>XIFENG-20250506-22</t>
    <phoneticPr fontId="7" type="noConversion"/>
  </si>
  <si>
    <t>2025-5-17发货249600套，5-29发货249600套，6-13发货249600套</t>
    <phoneticPr fontId="7" type="noConversion"/>
  </si>
  <si>
    <t>编织袋+免熏蒸托盘</t>
    <phoneticPr fontId="7" type="noConversion"/>
  </si>
  <si>
    <t>包装物为编织袋加免熏蒸托盘</t>
    <phoneticPr fontId="7" type="noConversion"/>
  </si>
  <si>
    <t>GKSL20250402</t>
    <phoneticPr fontId="7" type="noConversion"/>
  </si>
  <si>
    <t>冷弯90°不断裂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</si>
</sst>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8" workbookViewId="0">
      <selection activeCell="B14" sqref="B14:X14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19" t="s">
        <v>58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4" spans="1:24" s="1" customFormat="1" ht="27.75" customHeight="1" x14ac:dyDescent="0.15">
      <c r="A4" s="21" t="s">
        <v>0</v>
      </c>
      <c r="B4" s="21"/>
      <c r="C4" s="1" t="s">
        <v>1</v>
      </c>
      <c r="H4" s="21" t="s">
        <v>2</v>
      </c>
      <c r="I4" s="21"/>
      <c r="P4" s="21" t="s">
        <v>3</v>
      </c>
      <c r="Q4" s="21"/>
      <c r="V4" s="22"/>
      <c r="W4" s="23"/>
      <c r="X4" s="23"/>
    </row>
    <row r="5" spans="1:24" s="1" customFormat="1" ht="27" customHeight="1" x14ac:dyDescent="0.15">
      <c r="A5" s="28" t="s">
        <v>4</v>
      </c>
      <c r="B5" s="28" t="s">
        <v>5</v>
      </c>
      <c r="C5" s="28" t="s">
        <v>6</v>
      </c>
      <c r="D5" s="28" t="s">
        <v>7</v>
      </c>
      <c r="E5" s="28" t="s">
        <v>8</v>
      </c>
      <c r="F5" s="28" t="s">
        <v>9</v>
      </c>
      <c r="G5" s="28" t="s">
        <v>10</v>
      </c>
      <c r="H5" s="3" t="s">
        <v>11</v>
      </c>
      <c r="I5" s="26" t="s">
        <v>12</v>
      </c>
      <c r="J5" s="27"/>
      <c r="K5" s="27"/>
      <c r="L5" s="9"/>
      <c r="M5" s="28" t="s">
        <v>13</v>
      </c>
      <c r="N5" s="28"/>
      <c r="O5" s="28"/>
      <c r="P5" s="28"/>
      <c r="Q5" s="28"/>
      <c r="R5" s="28"/>
      <c r="S5" s="28" t="s">
        <v>14</v>
      </c>
      <c r="T5" s="28"/>
      <c r="U5" s="28" t="s">
        <v>15</v>
      </c>
      <c r="V5" s="28" t="s">
        <v>16</v>
      </c>
      <c r="W5" s="28" t="s">
        <v>17</v>
      </c>
      <c r="X5" s="28" t="s">
        <v>18</v>
      </c>
    </row>
    <row r="6" spans="1:24" s="1" customFormat="1" ht="27.75" customHeight="1" x14ac:dyDescent="0.15">
      <c r="A6" s="28"/>
      <c r="B6" s="28"/>
      <c r="C6" s="28"/>
      <c r="D6" s="28"/>
      <c r="E6" s="28"/>
      <c r="F6" s="28"/>
      <c r="G6" s="28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8"/>
      <c r="V6" s="28"/>
      <c r="W6" s="28"/>
      <c r="X6" s="28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17" t="s">
        <v>59</v>
      </c>
      <c r="E7" s="34" t="s">
        <v>61</v>
      </c>
      <c r="F7" s="3" t="s">
        <v>32</v>
      </c>
      <c r="G7" s="36" t="s">
        <v>65</v>
      </c>
      <c r="H7" s="3">
        <v>0.59</v>
      </c>
      <c r="I7" s="3" t="s">
        <v>33</v>
      </c>
      <c r="J7" s="3" t="s">
        <v>34</v>
      </c>
      <c r="K7" s="10">
        <f>N7/0.94</f>
        <v>469.99148936170212</v>
      </c>
      <c r="L7" s="3" t="s">
        <v>35</v>
      </c>
      <c r="M7" s="3">
        <v>748800</v>
      </c>
      <c r="N7" s="11">
        <f>M7*H7/1000</f>
        <v>441.79199999999997</v>
      </c>
      <c r="O7" s="3">
        <v>40</v>
      </c>
      <c r="P7" s="3">
        <v>18720</v>
      </c>
      <c r="Q7" s="3">
        <v>40</v>
      </c>
      <c r="R7" s="3">
        <v>468</v>
      </c>
      <c r="S7" s="3">
        <v>749500</v>
      </c>
      <c r="T7" s="11">
        <f>S7*H7/1000</f>
        <v>442.20499999999998</v>
      </c>
      <c r="U7" s="38" t="s">
        <v>62</v>
      </c>
      <c r="V7" s="18" t="s">
        <v>57</v>
      </c>
      <c r="W7" s="47" t="s">
        <v>36</v>
      </c>
      <c r="X7" s="48" t="s">
        <v>63</v>
      </c>
    </row>
    <row r="8" spans="1:24" s="1" customFormat="1" ht="63.95" customHeight="1" x14ac:dyDescent="0.15">
      <c r="A8" s="3">
        <v>2</v>
      </c>
      <c r="B8" s="3" t="s">
        <v>37</v>
      </c>
      <c r="C8" s="3" t="s">
        <v>38</v>
      </c>
      <c r="D8" s="17" t="s">
        <v>60</v>
      </c>
      <c r="E8" s="35"/>
      <c r="F8" s="4" t="s">
        <v>39</v>
      </c>
      <c r="G8" s="37"/>
      <c r="H8" s="5">
        <v>0.04</v>
      </c>
      <c r="I8" s="3" t="s">
        <v>40</v>
      </c>
      <c r="J8" s="29" t="s">
        <v>41</v>
      </c>
      <c r="K8" s="30"/>
      <c r="L8" s="31"/>
      <c r="M8" s="3">
        <f>M7</f>
        <v>748800</v>
      </c>
      <c r="N8" s="11">
        <f>M8*H8/1000</f>
        <v>29.952000000000002</v>
      </c>
      <c r="O8" s="26" t="s">
        <v>42</v>
      </c>
      <c r="P8" s="27"/>
      <c r="Q8" s="27"/>
      <c r="R8" s="32"/>
      <c r="S8" s="3">
        <f>S7</f>
        <v>749500</v>
      </c>
      <c r="T8" s="11">
        <f>S8*H8/1000</f>
        <v>29.98</v>
      </c>
      <c r="U8" s="39"/>
      <c r="V8" s="4" t="s">
        <v>43</v>
      </c>
      <c r="W8" s="37"/>
      <c r="X8" s="46"/>
    </row>
    <row r="9" spans="1:24" s="1" customFormat="1" ht="18" customHeight="1" x14ac:dyDescent="0.15">
      <c r="A9" s="41" t="s">
        <v>44</v>
      </c>
      <c r="B9" s="42"/>
      <c r="C9" s="6"/>
      <c r="D9" s="6"/>
      <c r="E9" s="6"/>
      <c r="F9" s="7"/>
      <c r="G9" s="6"/>
      <c r="H9" s="6"/>
      <c r="I9" s="6"/>
      <c r="J9" s="6"/>
      <c r="K9" s="12">
        <f t="shared" ref="K9:P9" si="0">K7</f>
        <v>469.99148936170212</v>
      </c>
      <c r="L9" s="13"/>
      <c r="M9" s="12">
        <f t="shared" si="0"/>
        <v>748800</v>
      </c>
      <c r="N9" s="12">
        <f>SUM(N7:N8)</f>
        <v>471.74399999999997</v>
      </c>
      <c r="O9" s="13"/>
      <c r="P9" s="12">
        <f t="shared" si="0"/>
        <v>18720</v>
      </c>
      <c r="Q9" s="13"/>
      <c r="R9" s="12">
        <f>R7</f>
        <v>468</v>
      </c>
      <c r="S9" s="12">
        <f>S7</f>
        <v>749500</v>
      </c>
      <c r="T9" s="12">
        <f>SUM(T7:T8)</f>
        <v>472.185</v>
      </c>
      <c r="U9" s="16"/>
      <c r="V9" s="45" t="s">
        <v>45</v>
      </c>
      <c r="W9" s="16"/>
      <c r="X9" s="16"/>
    </row>
    <row r="10" spans="1:24" ht="15" customHeight="1" x14ac:dyDescent="0.15">
      <c r="A10" s="43"/>
      <c r="B10" s="44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46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46</v>
      </c>
      <c r="T10" s="8" t="s">
        <v>25</v>
      </c>
      <c r="U10" s="8"/>
      <c r="V10" s="46"/>
      <c r="W10" s="8"/>
      <c r="X10" s="8"/>
    </row>
    <row r="11" spans="1:24" s="1" customFormat="1" ht="19.5" customHeight="1" x14ac:dyDescent="0.15">
      <c r="B11" s="1" t="s">
        <v>47</v>
      </c>
      <c r="N11" s="14"/>
      <c r="P11" s="15"/>
      <c r="S11" s="49" t="s">
        <v>66</v>
      </c>
    </row>
    <row r="12" spans="1:24" s="1" customFormat="1" ht="19.5" customHeight="1" x14ac:dyDescent="0.15">
      <c r="A12" s="1" t="s">
        <v>48</v>
      </c>
      <c r="B12" s="24" t="s">
        <v>49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s="1" customFormat="1" ht="19.5" customHeight="1" x14ac:dyDescent="0.15">
      <c r="B13" s="24" t="s">
        <v>50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s="1" customFormat="1" ht="19.5" customHeight="1" x14ac:dyDescent="0.15">
      <c r="A14" s="1" t="s">
        <v>51</v>
      </c>
      <c r="B14" s="24" t="s">
        <v>52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s="1" customFormat="1" ht="19.5" customHeight="1" x14ac:dyDescent="0.15">
      <c r="A15" s="1" t="s">
        <v>53</v>
      </c>
      <c r="B15" s="24" t="s">
        <v>54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s="1" customFormat="1" ht="19.5" customHeight="1" x14ac:dyDescent="0.15">
      <c r="A16" s="1" t="s">
        <v>55</v>
      </c>
      <c r="B16" s="25" t="s">
        <v>64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3:24" ht="42" customHeight="1" x14ac:dyDescent="0.15">
      <c r="P17" s="40"/>
      <c r="Q17" s="40"/>
      <c r="R17" s="40"/>
      <c r="S17" s="40"/>
      <c r="T17" s="40"/>
      <c r="U17" s="40"/>
      <c r="V17" s="40"/>
      <c r="W17" s="40"/>
      <c r="X17" s="40"/>
    </row>
    <row r="18" spans="3:24" ht="20.25" customHeight="1" x14ac:dyDescent="0.15">
      <c r="C18" s="24" t="s">
        <v>56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40"/>
      <c r="Q18" s="40"/>
      <c r="R18" s="40"/>
      <c r="S18" s="40"/>
      <c r="T18" s="40"/>
      <c r="U18" s="40"/>
      <c r="V18" s="40"/>
      <c r="W18" s="40"/>
      <c r="X18" s="40"/>
    </row>
    <row r="19" spans="3:24" x14ac:dyDescent="0.15">
      <c r="R19" s="33">
        <v>45783</v>
      </c>
      <c r="S19" s="33"/>
      <c r="T19" s="33"/>
      <c r="U19" s="33"/>
    </row>
  </sheetData>
  <mergeCells count="36"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V5:V6"/>
    <mergeCell ref="V9:V10"/>
    <mergeCell ref="W5:W6"/>
    <mergeCell ref="W7:W8"/>
    <mergeCell ref="X5:X6"/>
    <mergeCell ref="X7:X8"/>
    <mergeCell ref="A2:X2"/>
    <mergeCell ref="A4:B4"/>
    <mergeCell ref="H4:I4"/>
    <mergeCell ref="P4:Q4"/>
    <mergeCell ref="V4:X4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2025-05-06T06:39:12Z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