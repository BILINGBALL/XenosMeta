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95ED7C51-6AF1-446E-9EB1-A838EB6082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/>
  <c r="M8" i="1"/>
  <c r="K8" i="1"/>
  <c r="S7" i="1"/>
  <c r="M7" i="1"/>
  <c r="K7" i="1"/>
  <c r="S9" i="1"/>
  <c r="M9" i="1"/>
  <c r="K9" i="1"/>
</calcChain>
</file>

<file path=xl/sharedStrings.xml><?xml version="1.0" encoding="utf-8"?>
<sst xmlns="http://schemas.openxmlformats.org/spreadsheetml/2006/main" count="81" uniqueCount="77">
  <si>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</si>
  <si>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</si>
  <si>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</si>
  <si>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</si>
  <si>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</si>
  <si>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</si>
  <si>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</si>
  <si>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</si>
  <si>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</si>
  <si>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</si>
  <si>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</si>
  <si>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</si>
  <si>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</si>
  <si>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</si>
  <si>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</si>
  <si>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</si>
  <si>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</si>
  <si>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</si>
  <si>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</si>
  <si>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</si>
  <si>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</si>
  <si>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</si>
  <si>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</si>
  <si>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</si>
  <si>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</si>
  <si>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</si>
  <si>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</si>
  <si>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</si>
  <si>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</si>
  <si>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螺纹道钉R</t>
  </si>
  <si>
    <t>GB3098.1
5.6级</t>
  </si>
  <si>
    <t>DR.SS.R.01</t>
  </si>
  <si>
    <t>35K</t>
  </si>
  <si>
    <t>R</t>
  </si>
  <si>
    <t>热镀锌</t>
  </si>
  <si>
    <t>编织袋+免熏蒸木箱</t>
  </si>
  <si>
    <t>螺纹
道钉</t>
  </si>
  <si>
    <t>合计</t>
  </si>
  <si>
    <t>详见图纸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</si>
  <si>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</si>
  <si>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</si>
  <si>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</si>
  <si>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</si>
  <si>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</si>
  <si>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</si>
  <si>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</si>
  <si>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</si>
  <si>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</si>
  <si>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r>
      <rPr>
        <sz val="10"/>
        <color theme="1"/>
        <rFont val="宋体"/>
        <family val="3"/>
        <charset val="134"/>
        <scheme val="minor"/>
      </rPr>
      <t>包装物为编织袋加免熏蒸木箱。木箱外尺寸是：</t>
    </r>
    <r>
      <rPr>
        <b/>
        <sz val="10"/>
        <color theme="1"/>
        <rFont val="宋体"/>
        <family val="3"/>
        <charset val="134"/>
        <scheme val="minor"/>
      </rPr>
      <t>1100×800×550mm</t>
    </r>
  </si>
  <si>
    <t>分发：总经理、总经办、品管部、生产部</t>
  </si>
  <si>
    <t>螺纹
道钉</t>
    <phoneticPr fontId="9" type="noConversion"/>
  </si>
  <si>
    <t>26 X 190</t>
    <phoneticPr fontId="9" type="noConversion"/>
  </si>
  <si>
    <t>UIC864-1
8.8级</t>
    <phoneticPr fontId="9" type="noConversion"/>
  </si>
  <si>
    <t>QR-C-01</t>
    <phoneticPr fontId="9" type="noConversion"/>
  </si>
  <si>
    <t>45#</t>
    <phoneticPr fontId="9" type="noConversion"/>
  </si>
  <si>
    <t>Φ26</t>
    <phoneticPr fontId="9" type="noConversion"/>
  </si>
  <si>
    <r>
      <t xml:space="preserve">D
</t>
    </r>
    <r>
      <rPr>
        <sz val="14"/>
        <color theme="1"/>
        <rFont val="宋体"/>
        <family val="3"/>
        <charset val="134"/>
        <scheme val="minor"/>
      </rPr>
      <t>C</t>
    </r>
    <phoneticPr fontId="9" type="noConversion"/>
  </si>
  <si>
    <t>热镀锌</t>
    <phoneticPr fontId="9" type="noConversion"/>
  </si>
  <si>
    <t>24 X 165</t>
  </si>
  <si>
    <t>客户图纸
5.6级</t>
  </si>
  <si>
    <t>ACC-Ss8</t>
  </si>
  <si>
    <t>Φ24</t>
  </si>
  <si>
    <t>3  月  份  销  售  计  划 3</t>
    <phoneticPr fontId="8" type="noConversion"/>
  </si>
  <si>
    <t>250314-1</t>
    <phoneticPr fontId="9" type="noConversion"/>
  </si>
  <si>
    <t>250314-2</t>
  </si>
  <si>
    <t>250314-3</t>
  </si>
  <si>
    <t>DEL
165-1
SDL 25
Ss8</t>
    <phoneticPr fontId="8" type="noConversion"/>
  </si>
  <si>
    <t>2025-4-12</t>
    <phoneticPr fontId="9" type="noConversion"/>
  </si>
  <si>
    <t>30.7
吨</t>
    <phoneticPr fontId="8" type="noConversion"/>
  </si>
  <si>
    <t>40000
件</t>
    <phoneticPr fontId="8" type="noConversion"/>
  </si>
  <si>
    <t>27.5
吨</t>
    <phoneticPr fontId="8" type="noConversion"/>
  </si>
  <si>
    <t>1600
袋</t>
    <phoneticPr fontId="8" type="noConversion"/>
  </si>
  <si>
    <t>46
箱</t>
    <phoneticPr fontId="8" type="noConversion"/>
  </si>
  <si>
    <t>40300
件</t>
    <phoneticPr fontId="8" type="noConversion"/>
  </si>
  <si>
    <t>27.7
吨</t>
    <phoneticPr fontId="8" type="noConversion"/>
  </si>
  <si>
    <t>24 X 180</t>
    <phoneticPr fontId="8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</si>
  <si>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24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</si>
</sst>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_ "/>
    <numFmt numFmtId="178" formatCode="0_ "/>
  </numFmts>
  <fonts count="15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Calibri"/>
      <family val="3"/>
      <charset val="161"/>
    </font>
    <font>
      <sz val="10"/>
      <color theme="1"/>
      <name val="宋体"/>
      <family val="3"/>
      <charset val="161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76" fontId="1" fillId="0" borderId="5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right" wrapText="1"/>
    </xf>
    <xf numFmtId="14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9"/>
  <sheetViews>
    <sheetView tabSelected="1" topLeftCell="A5" workbookViewId="0">
      <selection activeCell="N10" sqref="N10"/>
    </sheetView>
  </sheetViews>
  <sheetFormatPr defaultColWidth="9" defaultRowHeight="13.5" x14ac:dyDescent="0.15"/>
  <cols>
    <col min="1" max="1" width="4.125" style="2" customWidth="1"/>
    <col min="2" max="2" width="6.5" style="2" customWidth="1"/>
    <col min="3" max="4" width="9.125" style="2" customWidth="1"/>
    <col min="5" max="5" width="5.875" style="2" customWidth="1"/>
    <col min="6" max="6" width="8" style="2" customWidth="1"/>
    <col min="7" max="7" width="6.25" style="2" customWidth="1"/>
    <col min="8" max="8" width="6.5" style="2" customWidth="1"/>
    <col min="9" max="9" width="5.625" style="2" customWidth="1"/>
    <col min="10" max="10" width="5.375" style="2" customWidth="1"/>
    <col min="11" max="11" width="6.125" style="2" customWidth="1"/>
    <col min="12" max="12" width="6.625" style="2" customWidth="1"/>
    <col min="13" max="13" width="5.625" style="2" customWidth="1"/>
    <col min="14" max="14" width="4.375" style="2" customWidth="1"/>
    <col min="15" max="15" width="5.625" style="2" customWidth="1"/>
    <col min="16" max="16" width="4.875" style="2" customWidth="1"/>
    <col min="17" max="19" width="5.625" style="2" customWidth="1"/>
    <col min="20" max="20" width="5.125" style="2" customWidth="1"/>
    <col min="21" max="21" width="5.75" style="2" customWidth="1"/>
    <col min="22" max="22" width="6.375" style="2" customWidth="1"/>
    <col min="23" max="23" width="6.125" style="2" customWidth="1"/>
    <col min="24" max="16384" width="9" style="2"/>
  </cols>
  <sheetData>
    <row r="2" spans="1:23" ht="45" customHeight="1" x14ac:dyDescent="0.15">
      <c r="A2" s="17" t="s">
        <v>62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4" spans="1:23" s="1" customFormat="1" ht="22.5" customHeight="1" x14ac:dyDescent="0.15">
      <c r="B4" s="3" t="s">
        <v>0</v>
      </c>
      <c r="C4" s="3" t="s">
        <v>1</v>
      </c>
      <c r="D4" s="3"/>
      <c r="E4" s="3"/>
      <c r="F4" s="3"/>
      <c r="G4" s="3"/>
      <c r="H4" s="3"/>
      <c r="I4" s="18" t="s">
        <v>2</v>
      </c>
      <c r="J4" s="18"/>
      <c r="K4" s="3"/>
      <c r="L4" s="3"/>
      <c r="M4" s="3"/>
      <c r="N4" s="19" t="s">
        <v>3</v>
      </c>
      <c r="O4" s="19"/>
      <c r="P4" s="3"/>
      <c r="Q4" s="3"/>
      <c r="R4" s="3"/>
      <c r="S4" s="3"/>
      <c r="T4" s="20"/>
      <c r="U4" s="21"/>
      <c r="V4" s="21"/>
      <c r="W4" s="21"/>
    </row>
    <row r="5" spans="1:23" s="1" customFormat="1" ht="29.25" customHeight="1" x14ac:dyDescent="0.15">
      <c r="A5" s="22" t="s">
        <v>4</v>
      </c>
      <c r="B5" s="22" t="s">
        <v>5</v>
      </c>
      <c r="C5" s="22" t="s">
        <v>6</v>
      </c>
      <c r="D5" s="22" t="s">
        <v>7</v>
      </c>
      <c r="E5" s="22" t="s">
        <v>8</v>
      </c>
      <c r="F5" s="22" t="s">
        <v>9</v>
      </c>
      <c r="G5" s="22" t="s">
        <v>10</v>
      </c>
      <c r="H5" s="4" t="s">
        <v>11</v>
      </c>
      <c r="I5" s="22" t="s">
        <v>12</v>
      </c>
      <c r="J5" s="22"/>
      <c r="K5" s="22"/>
      <c r="L5" s="22" t="s">
        <v>13</v>
      </c>
      <c r="M5" s="22"/>
      <c r="N5" s="22"/>
      <c r="O5" s="22"/>
      <c r="P5" s="22"/>
      <c r="Q5" s="22"/>
      <c r="R5" s="22" t="s">
        <v>14</v>
      </c>
      <c r="S5" s="22"/>
      <c r="T5" s="22" t="s">
        <v>15</v>
      </c>
      <c r="U5" s="22" t="s">
        <v>16</v>
      </c>
      <c r="V5" s="22" t="s">
        <v>17</v>
      </c>
      <c r="W5" s="22" t="s">
        <v>18</v>
      </c>
    </row>
    <row r="6" spans="1:23" s="1" customFormat="1" ht="29.25" customHeight="1" x14ac:dyDescent="0.15">
      <c r="A6" s="22"/>
      <c r="B6" s="22"/>
      <c r="C6" s="22"/>
      <c r="D6" s="22"/>
      <c r="E6" s="22"/>
      <c r="F6" s="22"/>
      <c r="G6" s="22"/>
      <c r="H6" s="4" t="s">
        <v>19</v>
      </c>
      <c r="I6" s="4" t="s">
        <v>20</v>
      </c>
      <c r="J6" s="4" t="s">
        <v>21</v>
      </c>
      <c r="K6" s="5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4" t="s">
        <v>23</v>
      </c>
      <c r="S6" s="4" t="s">
        <v>24</v>
      </c>
      <c r="T6" s="22"/>
      <c r="U6" s="22"/>
      <c r="V6" s="22"/>
      <c r="W6" s="22"/>
    </row>
    <row r="7" spans="1:23" s="1" customFormat="1" ht="60" customHeight="1" x14ac:dyDescent="0.15">
      <c r="A7" s="4">
        <v>1</v>
      </c>
      <c r="B7" s="4" t="s">
        <v>50</v>
      </c>
      <c r="C7" s="4" t="s">
        <v>51</v>
      </c>
      <c r="D7" s="4" t="s">
        <v>63</v>
      </c>
      <c r="E7" s="4">
        <v>9373</v>
      </c>
      <c r="F7" s="4" t="s">
        <v>52</v>
      </c>
      <c r="G7" s="4" t="s">
        <v>53</v>
      </c>
      <c r="H7" s="4">
        <v>0.75</v>
      </c>
      <c r="I7" s="4" t="s">
        <v>54</v>
      </c>
      <c r="J7" s="4" t="s">
        <v>55</v>
      </c>
      <c r="K7" s="9">
        <f>M7/0.88</f>
        <v>8.5227272727272734</v>
      </c>
      <c r="L7" s="4">
        <v>10000</v>
      </c>
      <c r="M7" s="9">
        <f>H7*L7/1000</f>
        <v>7.5</v>
      </c>
      <c r="N7" s="4">
        <v>25</v>
      </c>
      <c r="O7" s="4">
        <v>400</v>
      </c>
      <c r="P7" s="13">
        <v>32</v>
      </c>
      <c r="Q7" s="4">
        <v>13</v>
      </c>
      <c r="R7" s="4">
        <v>10100</v>
      </c>
      <c r="S7" s="9">
        <f t="shared" ref="S7" si="0">H7*R7/1000</f>
        <v>7.5750000000000002</v>
      </c>
      <c r="T7" s="25" t="s">
        <v>67</v>
      </c>
      <c r="U7" s="4" t="s">
        <v>56</v>
      </c>
      <c r="V7" s="4" t="s">
        <v>57</v>
      </c>
      <c r="W7" s="28" t="s">
        <v>35</v>
      </c>
    </row>
    <row r="8" spans="1:23" s="1" customFormat="1" ht="60" customHeight="1" x14ac:dyDescent="0.15">
      <c r="A8" s="4">
        <v>2</v>
      </c>
      <c r="B8" s="4" t="s">
        <v>36</v>
      </c>
      <c r="C8" s="4" t="s">
        <v>58</v>
      </c>
      <c r="D8" s="4" t="s">
        <v>64</v>
      </c>
      <c r="E8" s="12">
        <v>9374</v>
      </c>
      <c r="F8" s="4" t="s">
        <v>59</v>
      </c>
      <c r="G8" s="4" t="s">
        <v>60</v>
      </c>
      <c r="H8" s="4">
        <v>0.59</v>
      </c>
      <c r="I8" s="4" t="s">
        <v>32</v>
      </c>
      <c r="J8" s="4" t="s">
        <v>61</v>
      </c>
      <c r="K8" s="15">
        <f>M8/0.92</f>
        <v>12.82608695652174</v>
      </c>
      <c r="L8" s="4">
        <v>20000</v>
      </c>
      <c r="M8" s="9">
        <f>H8*L8/1000</f>
        <v>11.8</v>
      </c>
      <c r="N8" s="11">
        <v>25</v>
      </c>
      <c r="O8" s="11">
        <v>800</v>
      </c>
      <c r="P8" s="16">
        <v>40</v>
      </c>
      <c r="Q8" s="11">
        <v>20</v>
      </c>
      <c r="R8" s="4">
        <v>20100</v>
      </c>
      <c r="S8" s="9">
        <f>H8*R8/1000</f>
        <v>11.859</v>
      </c>
      <c r="T8" s="26"/>
      <c r="U8" s="5" t="s">
        <v>66</v>
      </c>
      <c r="V8" s="14" t="s">
        <v>34</v>
      </c>
      <c r="W8" s="29"/>
    </row>
    <row r="9" spans="1:23" s="1" customFormat="1" ht="60" customHeight="1" x14ac:dyDescent="0.15">
      <c r="A9" s="4">
        <v>3</v>
      </c>
      <c r="B9" s="4" t="s">
        <v>29</v>
      </c>
      <c r="C9" s="4" t="s">
        <v>75</v>
      </c>
      <c r="D9" s="4" t="s">
        <v>65</v>
      </c>
      <c r="E9" s="4">
        <v>9375</v>
      </c>
      <c r="F9" s="5" t="s">
        <v>30</v>
      </c>
      <c r="G9" s="4" t="s">
        <v>31</v>
      </c>
      <c r="H9" s="6">
        <v>0.82</v>
      </c>
      <c r="I9" s="8" t="s">
        <v>32</v>
      </c>
      <c r="J9" s="30" t="s">
        <v>76</v>
      </c>
      <c r="K9" s="9">
        <f>M9/0.88</f>
        <v>9.3181818181818166</v>
      </c>
      <c r="L9" s="4">
        <v>10000</v>
      </c>
      <c r="M9" s="10">
        <f>L9*H9/1000</f>
        <v>8.1999999999999993</v>
      </c>
      <c r="N9" s="4">
        <v>25</v>
      </c>
      <c r="O9" s="4">
        <v>400</v>
      </c>
      <c r="P9" s="4">
        <v>32</v>
      </c>
      <c r="Q9" s="4">
        <v>13</v>
      </c>
      <c r="R9" s="4">
        <v>10100</v>
      </c>
      <c r="S9" s="9">
        <f>R9*H9/1000</f>
        <v>8.282</v>
      </c>
      <c r="T9" s="27"/>
      <c r="U9" s="4" t="s">
        <v>33</v>
      </c>
      <c r="V9" s="4" t="s">
        <v>34</v>
      </c>
      <c r="W9" s="29"/>
    </row>
    <row r="10" spans="1:23" s="1" customFormat="1" ht="34.5" customHeight="1" x14ac:dyDescent="0.15">
      <c r="A10" s="22" t="s">
        <v>37</v>
      </c>
      <c r="B10" s="22"/>
      <c r="C10" s="4"/>
      <c r="D10" s="4"/>
      <c r="E10" s="4"/>
      <c r="F10" s="4"/>
      <c r="G10" s="4"/>
      <c r="H10" s="4"/>
      <c r="I10" s="4"/>
      <c r="J10" s="4"/>
      <c r="K10" s="4" t="s">
        <v>68</v>
      </c>
      <c r="L10" s="4" t="s">
        <v>69</v>
      </c>
      <c r="M10" s="4" t="s">
        <v>70</v>
      </c>
      <c r="N10" s="4"/>
      <c r="O10" s="4" t="s">
        <v>71</v>
      </c>
      <c r="P10" s="4"/>
      <c r="Q10" s="4" t="s">
        <v>72</v>
      </c>
      <c r="R10" s="4" t="s">
        <v>73</v>
      </c>
      <c r="S10" s="4" t="s">
        <v>74</v>
      </c>
      <c r="T10" s="4"/>
      <c r="U10" s="4" t="s">
        <v>38</v>
      </c>
      <c r="V10" s="4"/>
      <c r="W10" s="4"/>
    </row>
    <row r="11" spans="1:23" ht="17.25" customHeight="1" x14ac:dyDescent="0.15">
      <c r="H11" s="7"/>
    </row>
    <row r="12" spans="1:23" s="1" customFormat="1" ht="19.5" customHeight="1" x14ac:dyDescent="0.15">
      <c r="B12" s="1" t="s">
        <v>39</v>
      </c>
    </row>
    <row r="13" spans="1:23" s="1" customFormat="1" ht="19.5" customHeight="1" x14ac:dyDescent="0.15">
      <c r="A13" s="1" t="s">
        <v>40</v>
      </c>
      <c r="B13" s="23" t="s">
        <v>41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 spans="1:23" s="1" customFormat="1" ht="19.5" customHeight="1" x14ac:dyDescent="0.15">
      <c r="B14" s="23" t="s">
        <v>42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  <row r="15" spans="1:23" s="1" customFormat="1" ht="19.5" customHeight="1" x14ac:dyDescent="0.15">
      <c r="A15" s="1" t="s">
        <v>43</v>
      </c>
      <c r="B15" s="23" t="s">
        <v>44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spans="1:23" s="1" customFormat="1" ht="19.5" customHeight="1" x14ac:dyDescent="0.15">
      <c r="A16" s="1" t="s">
        <v>45</v>
      </c>
      <c r="B16" s="23" t="s">
        <v>46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 spans="1:23" s="1" customFormat="1" ht="19.5" customHeight="1" x14ac:dyDescent="0.15">
      <c r="A17" s="1" t="s">
        <v>47</v>
      </c>
      <c r="B17" s="23" t="s">
        <v>48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</row>
    <row r="18" spans="1:23" ht="42" customHeight="1" x14ac:dyDescent="0.15">
      <c r="T18" s="24">
        <v>45730</v>
      </c>
      <c r="U18" s="24"/>
      <c r="V18" s="24"/>
      <c r="W18" s="24"/>
    </row>
    <row r="19" spans="1:23" ht="20.25" customHeight="1" x14ac:dyDescent="0.15">
      <c r="C19" s="23" t="s">
        <v>49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</row>
  </sheetData>
  <mergeCells count="28">
    <mergeCell ref="B17:W17"/>
    <mergeCell ref="T18:W18"/>
    <mergeCell ref="C19:N19"/>
    <mergeCell ref="A5:A6"/>
    <mergeCell ref="B5:B6"/>
    <mergeCell ref="C5:C6"/>
    <mergeCell ref="D5:D6"/>
    <mergeCell ref="E5:E6"/>
    <mergeCell ref="F5:F6"/>
    <mergeCell ref="G5:G6"/>
    <mergeCell ref="T5:T6"/>
    <mergeCell ref="T7:T9"/>
    <mergeCell ref="U5:U6"/>
    <mergeCell ref="V5:V6"/>
    <mergeCell ref="W5:W6"/>
    <mergeCell ref="W7:W9"/>
    <mergeCell ref="A10:B10"/>
    <mergeCell ref="B13:W13"/>
    <mergeCell ref="B14:W14"/>
    <mergeCell ref="B15:W15"/>
    <mergeCell ref="B16:W16"/>
    <mergeCell ref="A2:W2"/>
    <mergeCell ref="I4:J4"/>
    <mergeCell ref="N4:O4"/>
    <mergeCell ref="T4:W4"/>
    <mergeCell ref="I5:K5"/>
    <mergeCell ref="L5:Q5"/>
    <mergeCell ref="R5:S5"/>
  </mergeCells>
  <phoneticPr fontId="8" type="noConversion"/>
  <pageMargins left="0.7" right="0.7" top="0.75" bottom="0.75" header="0.3" footer="0.3"/>
  <pageSetup paperSize="9" scale="85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2025-03-14T08:55:27Z</cp:lastPrinted>
  <dcterms:created xsi:type="dcterms:W3CDTF">2006-09-13T11:21:00Z</dcterms:created>
  <dcterms:modified xsi:type="dcterms:W3CDTF">2025-03-17T05:38:02Z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335BD3378D2445A2A84FE61212D612EC_13</vt:lpwstr>
  </property>
</Properties>
</file>