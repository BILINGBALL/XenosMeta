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6139CBA2-D8B2-4E45-A546-263BA9181F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Q15" i="1"/>
  <c r="O15" i="1"/>
  <c r="L15" i="1"/>
  <c r="S14" i="1"/>
  <c r="R14" i="1"/>
  <c r="L14" i="1"/>
  <c r="M14" i="1" s="1"/>
  <c r="S13" i="1"/>
  <c r="R13" i="1"/>
  <c r="L13" i="1"/>
  <c r="M13" i="1" s="1"/>
  <c r="S12" i="1"/>
  <c r="M12" i="1"/>
  <c r="K12" i="1"/>
  <c r="R11" i="1"/>
  <c r="S11" i="1" s="1"/>
  <c r="L11" i="1"/>
  <c r="M11" i="1" s="1"/>
  <c r="S10" i="1"/>
  <c r="M10" i="1"/>
  <c r="K10" i="1"/>
  <c r="R9" i="1"/>
  <c r="S9" i="1" s="1"/>
  <c r="L9" i="1"/>
  <c r="M9" i="1" s="1"/>
  <c r="S8" i="1"/>
  <c r="R8" i="1"/>
  <c r="L8" i="1"/>
  <c r="M8" i="1" s="1"/>
  <c r="R7" i="1"/>
  <c r="S7" i="1" s="1"/>
  <c r="L7" i="1"/>
  <c r="M7" i="1" s="1"/>
  <c r="S6" i="1"/>
  <c r="M6" i="1"/>
  <c r="S15" i="1" l="1"/>
  <c r="M15" i="1"/>
  <c r="K6" i="1"/>
  <c r="K15" i="1" s="1"/>
</calcChain>
</file>

<file path=xl/sharedStrings.xml><?xml version="1.0" encoding="utf-8"?>
<sst xmlns="http://schemas.openxmlformats.org/spreadsheetml/2006/main" count="122" uniqueCount="93">
  <si>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</si>
  <si>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</si>
  <si>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</si>
  <si>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</si>
  <si>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</si>
  <si>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</si>
  <si>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</si>
  <si>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</si>
  <si>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</si>
  <si>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</si>
  <si>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</si>
  <si>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</si>
  <si>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</si>
  <si>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</si>
  <si>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</si>
  <si>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</si>
  <si>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</si>
  <si>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</si>
  <si>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</si>
  <si>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</si>
  <si>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</si>
  <si>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</si>
  <si>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</si>
  <si>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</si>
  <si>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</si>
  <si>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</si>
  <si>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</si>
  <si>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</si>
  <si>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</si>
  <si>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</si>
  <si>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</si>
  <si>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18 x 270</t>
  </si>
  <si>
    <t>10.9级</t>
  </si>
  <si>
    <t>TRSC23014</t>
  </si>
  <si>
    <t>40Cr</t>
  </si>
  <si>
    <t>Φ20</t>
  </si>
  <si>
    <t>10.9
HB</t>
  </si>
  <si>
    <t>热处理发黑</t>
  </si>
  <si>
    <t>编织袋+托盘</t>
  </si>
  <si>
    <t>螺母</t>
  </si>
  <si>
    <t>10级</t>
  </si>
  <si>
    <t>TRSC23013</t>
  </si>
  <si>
    <t>外购</t>
  </si>
  <si>
    <t>以上与螺栓装配</t>
  </si>
  <si>
    <t>平垫</t>
  </si>
  <si>
    <t>TRSC23003</t>
  </si>
  <si>
    <t>本色涂油</t>
  </si>
  <si>
    <t>双层
弹垫</t>
  </si>
  <si>
    <t>TRSC23004</t>
  </si>
  <si>
    <t>螺纹
道钉</t>
  </si>
  <si>
    <t>20 X 145</t>
  </si>
  <si>
    <t>4.6级</t>
  </si>
  <si>
    <t>TRSC23010</t>
  </si>
  <si>
    <t>Q235B</t>
  </si>
  <si>
    <t>Φ22</t>
  </si>
  <si>
    <t>KAI</t>
  </si>
  <si>
    <t>热镀锌</t>
  </si>
  <si>
    <t>弹簧
垫圈</t>
  </si>
  <si>
    <t>与以上道钉装配一起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</si>
  <si>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</si>
  <si>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</si>
  <si>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</si>
  <si>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</si>
  <si>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</si>
  <si>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</si>
  <si>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</si>
  <si>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</si>
  <si>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</si>
  <si>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</si>
  <si>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</si>
  <si>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</si>
  <si>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</si>
  <si>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</si>
  <si>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</si>
  <si>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螺纹道钉螺纹部分经90°冷弯试验后不应折断，裂纹深度不大于0.75mm，防锈层和基材浅层允许有轻微的起皮、褶皱和裂纹。</t>
  </si>
  <si>
    <t>生产部门按生产工艺生产，加强自检，严格质量管理。技术要求及验收标准按《技术协议》规定执行，文件编号：TRJS230816001、TRJS230816002。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</si>
  <si>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</si>
  <si>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</si>
  <si>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</si>
  <si>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</si>
  <si>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</si>
  <si>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3  月  份  销  售  计  划  4</t>
    <phoneticPr fontId="11" type="noConversion"/>
  </si>
  <si>
    <t>250317-1</t>
    <phoneticPr fontId="11" type="noConversion"/>
  </si>
  <si>
    <t>250317-2</t>
  </si>
  <si>
    <t>250317-3</t>
  </si>
  <si>
    <t>250317-4</t>
  </si>
  <si>
    <t>250317-5</t>
  </si>
  <si>
    <t>250317-6</t>
  </si>
  <si>
    <t>250317-7</t>
  </si>
  <si>
    <t>250317-8</t>
  </si>
  <si>
    <t>250317-9</t>
  </si>
  <si>
    <t xml:space="preserve">TR3H20230823001/P202503040001
</t>
    <phoneticPr fontId="11" type="noConversion"/>
  </si>
  <si>
    <t>2025-3-19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</si>
</sst>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79" formatCode="0.0_ "/>
    <numFmt numFmtId="180" formatCode="0.00_ "/>
    <numFmt numFmtId="181" formatCode="0_ "/>
    <numFmt numFmtId="182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5" fillId="0" borderId="2" xfId="0" applyNumberFormat="1" applyFont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wrapText="1"/>
    </xf>
    <xf numFmtId="181" fontId="5" fillId="0" borderId="3" xfId="0" applyNumberFormat="1" applyFont="1" applyBorder="1" applyAlignment="1">
      <alignment horizontal="center" wrapText="1"/>
    </xf>
    <xf numFmtId="180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10" xfId="0" applyNumberFormat="1" applyFont="1" applyBorder="1" applyAlignment="1">
      <alignment horizontal="center" vertical="center" wrapText="1"/>
    </xf>
    <xf numFmtId="180" fontId="1" fillId="0" borderId="11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10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5"/>
  <sheetViews>
    <sheetView tabSelected="1" topLeftCell="A12" workbookViewId="0">
      <selection activeCell="H23" sqref="H23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49" t="s">
        <v>81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s="1" customFormat="1" ht="27.75" customHeight="1" x14ac:dyDescent="0.15">
      <c r="B3" s="1" t="s">
        <v>0</v>
      </c>
      <c r="C3" s="1" t="s">
        <v>1</v>
      </c>
      <c r="H3" s="27" t="s">
        <v>2</v>
      </c>
      <c r="I3" s="27"/>
      <c r="O3" s="27" t="s">
        <v>3</v>
      </c>
      <c r="P3" s="27"/>
      <c r="U3" s="28" t="s">
        <v>4</v>
      </c>
      <c r="V3" s="29"/>
      <c r="W3" s="29"/>
    </row>
    <row r="4" spans="1:23" s="1" customFormat="1" ht="27" customHeight="1" x14ac:dyDescent="0.15">
      <c r="A4" s="30" t="s">
        <v>5</v>
      </c>
      <c r="B4" s="30" t="s">
        <v>6</v>
      </c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5" t="s">
        <v>12</v>
      </c>
      <c r="I4" s="30" t="s">
        <v>13</v>
      </c>
      <c r="J4" s="30"/>
      <c r="K4" s="30"/>
      <c r="L4" s="30" t="s">
        <v>14</v>
      </c>
      <c r="M4" s="30"/>
      <c r="N4" s="30"/>
      <c r="O4" s="30"/>
      <c r="P4" s="30"/>
      <c r="Q4" s="30"/>
      <c r="R4" s="30" t="s">
        <v>15</v>
      </c>
      <c r="S4" s="30"/>
      <c r="T4" s="30" t="s">
        <v>16</v>
      </c>
      <c r="U4" s="30" t="s">
        <v>17</v>
      </c>
      <c r="V4" s="30" t="s">
        <v>18</v>
      </c>
      <c r="W4" s="30" t="s">
        <v>19</v>
      </c>
    </row>
    <row r="5" spans="1:23" s="1" customFormat="1" ht="27.75" customHeight="1" x14ac:dyDescent="0.15">
      <c r="A5" s="39"/>
      <c r="B5" s="39"/>
      <c r="C5" s="30"/>
      <c r="D5" s="30"/>
      <c r="E5" s="30"/>
      <c r="F5" s="30"/>
      <c r="G5" s="30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30"/>
      <c r="U5" s="30"/>
      <c r="V5" s="30"/>
      <c r="W5" s="30"/>
    </row>
    <row r="6" spans="1:23" s="1" customFormat="1" ht="36" customHeight="1" x14ac:dyDescent="0.15">
      <c r="A6" s="5">
        <v>1</v>
      </c>
      <c r="B6" s="5" t="s">
        <v>30</v>
      </c>
      <c r="C6" s="5" t="s">
        <v>31</v>
      </c>
      <c r="D6" s="51" t="s">
        <v>82</v>
      </c>
      <c r="E6" s="52" t="s">
        <v>91</v>
      </c>
      <c r="F6" s="5" t="s">
        <v>32</v>
      </c>
      <c r="G6" s="6" t="s">
        <v>33</v>
      </c>
      <c r="H6" s="7">
        <v>0.63</v>
      </c>
      <c r="I6" s="5" t="s">
        <v>34</v>
      </c>
      <c r="J6" s="5" t="s">
        <v>35</v>
      </c>
      <c r="K6" s="16">
        <f>M6/0.9</f>
        <v>6.7059999999999995</v>
      </c>
      <c r="L6" s="5">
        <v>9580</v>
      </c>
      <c r="M6" s="17">
        <f>H6*L6*0.001</f>
        <v>6.0354000000000001</v>
      </c>
      <c r="N6" s="5">
        <v>20</v>
      </c>
      <c r="O6" s="5">
        <v>479</v>
      </c>
      <c r="P6" s="5">
        <v>50</v>
      </c>
      <c r="Q6" s="5">
        <v>10</v>
      </c>
      <c r="R6" s="5">
        <v>9600</v>
      </c>
      <c r="S6" s="17">
        <f>H6*R6*0.001</f>
        <v>6.048</v>
      </c>
      <c r="T6" s="53" t="s">
        <v>92</v>
      </c>
      <c r="U6" s="22" t="s">
        <v>36</v>
      </c>
      <c r="V6" s="5" t="s">
        <v>37</v>
      </c>
      <c r="W6" s="45" t="s">
        <v>38</v>
      </c>
    </row>
    <row r="7" spans="1:23" s="1" customFormat="1" ht="36" customHeight="1" x14ac:dyDescent="0.15">
      <c r="A7" s="5">
        <v>2</v>
      </c>
      <c r="B7" s="5" t="s">
        <v>39</v>
      </c>
      <c r="C7" s="5">
        <v>18</v>
      </c>
      <c r="D7" s="51" t="s">
        <v>83</v>
      </c>
      <c r="E7" s="40"/>
      <c r="F7" s="8" t="s">
        <v>40</v>
      </c>
      <c r="G7" s="6" t="s">
        <v>41</v>
      </c>
      <c r="H7" s="7">
        <v>0.1</v>
      </c>
      <c r="I7" s="31" t="s">
        <v>42</v>
      </c>
      <c r="J7" s="32"/>
      <c r="K7" s="33"/>
      <c r="L7" s="5">
        <f>L6</f>
        <v>9580</v>
      </c>
      <c r="M7" s="17">
        <f>H7*L7*0.001</f>
        <v>0.95800000000000007</v>
      </c>
      <c r="N7" s="34" t="s">
        <v>43</v>
      </c>
      <c r="O7" s="35"/>
      <c r="P7" s="35"/>
      <c r="Q7" s="36"/>
      <c r="R7" s="5">
        <f>R6</f>
        <v>9600</v>
      </c>
      <c r="S7" s="17">
        <f>H7*R7*0.001</f>
        <v>0.96</v>
      </c>
      <c r="T7" s="41"/>
      <c r="U7" s="23"/>
      <c r="V7" s="5" t="s">
        <v>37</v>
      </c>
      <c r="W7" s="45"/>
    </row>
    <row r="8" spans="1:23" s="1" customFormat="1" ht="36" customHeight="1" x14ac:dyDescent="0.15">
      <c r="A8" s="5">
        <v>3</v>
      </c>
      <c r="B8" s="5" t="s">
        <v>44</v>
      </c>
      <c r="C8" s="5">
        <v>22</v>
      </c>
      <c r="D8" s="51" t="s">
        <v>84</v>
      </c>
      <c r="E8" s="40"/>
      <c r="F8" s="8"/>
      <c r="G8" s="6" t="s">
        <v>45</v>
      </c>
      <c r="H8" s="7">
        <v>0.04</v>
      </c>
      <c r="I8" s="31" t="s">
        <v>42</v>
      </c>
      <c r="J8" s="32"/>
      <c r="K8" s="33"/>
      <c r="L8" s="5">
        <f>L6</f>
        <v>9580</v>
      </c>
      <c r="M8" s="17">
        <f>H8*L8*0.001</f>
        <v>0.38319999999999999</v>
      </c>
      <c r="N8" s="34" t="s">
        <v>43</v>
      </c>
      <c r="O8" s="35"/>
      <c r="P8" s="35"/>
      <c r="Q8" s="36"/>
      <c r="R8" s="5">
        <f>R6</f>
        <v>9600</v>
      </c>
      <c r="S8" s="17">
        <f>H8*R8*0.001</f>
        <v>0.38400000000000001</v>
      </c>
      <c r="T8" s="41"/>
      <c r="U8" s="23"/>
      <c r="V8" s="5" t="s">
        <v>46</v>
      </c>
      <c r="W8" s="45"/>
    </row>
    <row r="9" spans="1:23" s="1" customFormat="1" ht="36" customHeight="1" x14ac:dyDescent="0.15">
      <c r="A9" s="5">
        <v>4</v>
      </c>
      <c r="B9" s="5" t="s">
        <v>47</v>
      </c>
      <c r="C9" s="5">
        <v>22</v>
      </c>
      <c r="D9" s="51" t="s">
        <v>85</v>
      </c>
      <c r="E9" s="40"/>
      <c r="F9" s="5"/>
      <c r="G9" s="9" t="s">
        <v>48</v>
      </c>
      <c r="H9" s="5">
        <v>9.1999999999999998E-2</v>
      </c>
      <c r="I9" s="31" t="s">
        <v>42</v>
      </c>
      <c r="J9" s="32"/>
      <c r="K9" s="33"/>
      <c r="L9" s="5">
        <f>L6</f>
        <v>9580</v>
      </c>
      <c r="M9" s="17">
        <f>H9*L9*0.001</f>
        <v>0.88136000000000003</v>
      </c>
      <c r="N9" s="34" t="s">
        <v>43</v>
      </c>
      <c r="O9" s="35"/>
      <c r="P9" s="35"/>
      <c r="Q9" s="36"/>
      <c r="R9" s="5">
        <f>R6</f>
        <v>9600</v>
      </c>
      <c r="S9" s="17">
        <f>H9*R9*0.001</f>
        <v>0.88319999999999999</v>
      </c>
      <c r="T9" s="41"/>
      <c r="U9" s="23"/>
      <c r="V9" s="5" t="s">
        <v>37</v>
      </c>
      <c r="W9" s="45"/>
    </row>
    <row r="10" spans="1:23" s="1" customFormat="1" ht="36" customHeight="1" x14ac:dyDescent="0.15">
      <c r="A10" s="5">
        <v>5</v>
      </c>
      <c r="B10" s="5" t="s">
        <v>49</v>
      </c>
      <c r="C10" s="5" t="s">
        <v>50</v>
      </c>
      <c r="D10" s="51" t="s">
        <v>86</v>
      </c>
      <c r="E10" s="40"/>
      <c r="F10" s="5" t="s">
        <v>51</v>
      </c>
      <c r="G10" s="6" t="s">
        <v>52</v>
      </c>
      <c r="H10" s="5">
        <v>0.43</v>
      </c>
      <c r="I10" s="5" t="s">
        <v>53</v>
      </c>
      <c r="J10" s="5" t="s">
        <v>54</v>
      </c>
      <c r="K10" s="18">
        <f>M10/0.88</f>
        <v>10.217386363636363</v>
      </c>
      <c r="L10" s="5">
        <v>20910</v>
      </c>
      <c r="M10" s="17">
        <f>L10*H10/1000</f>
        <v>8.991299999999999</v>
      </c>
      <c r="N10" s="5">
        <v>40</v>
      </c>
      <c r="O10" s="5">
        <v>523</v>
      </c>
      <c r="P10" s="5">
        <v>40</v>
      </c>
      <c r="Q10" s="5">
        <v>14</v>
      </c>
      <c r="R10" s="5">
        <v>21000</v>
      </c>
      <c r="S10" s="17">
        <f>R10*H10/1000</f>
        <v>9.0299999999999994</v>
      </c>
      <c r="T10" s="41"/>
      <c r="U10" s="5" t="s">
        <v>55</v>
      </c>
      <c r="V10" s="39" t="s">
        <v>56</v>
      </c>
      <c r="W10" s="45"/>
    </row>
    <row r="11" spans="1:23" s="1" customFormat="1" ht="36" customHeight="1" x14ac:dyDescent="0.15">
      <c r="A11" s="5">
        <v>6</v>
      </c>
      <c r="B11" s="5" t="s">
        <v>57</v>
      </c>
      <c r="C11" s="5">
        <v>23</v>
      </c>
      <c r="D11" s="51" t="s">
        <v>87</v>
      </c>
      <c r="E11" s="40"/>
      <c r="F11" s="5"/>
      <c r="G11" s="9" t="s">
        <v>48</v>
      </c>
      <c r="H11" s="5">
        <v>0.08</v>
      </c>
      <c r="I11" s="31" t="s">
        <v>42</v>
      </c>
      <c r="J11" s="32"/>
      <c r="K11" s="33"/>
      <c r="L11" s="5">
        <f>L10</f>
        <v>20910</v>
      </c>
      <c r="M11" s="17">
        <f t="shared" ref="M11" si="0">L11*H11/1000</f>
        <v>1.6728000000000001</v>
      </c>
      <c r="N11" s="34" t="s">
        <v>58</v>
      </c>
      <c r="O11" s="35"/>
      <c r="P11" s="35"/>
      <c r="Q11" s="36"/>
      <c r="R11" s="5">
        <f>R10</f>
        <v>21000</v>
      </c>
      <c r="S11" s="17">
        <f>R11*H11/1000</f>
        <v>1.68</v>
      </c>
      <c r="T11" s="41"/>
      <c r="U11" s="24"/>
      <c r="V11" s="44"/>
      <c r="W11" s="45"/>
    </row>
    <row r="12" spans="1:23" s="1" customFormat="1" ht="36" customHeight="1" x14ac:dyDescent="0.15">
      <c r="A12" s="5">
        <v>7</v>
      </c>
      <c r="B12" s="5" t="s">
        <v>59</v>
      </c>
      <c r="C12" s="5" t="s">
        <v>60</v>
      </c>
      <c r="D12" s="51" t="s">
        <v>88</v>
      </c>
      <c r="E12" s="40"/>
      <c r="F12" s="5" t="s">
        <v>32</v>
      </c>
      <c r="G12" s="6" t="s">
        <v>61</v>
      </c>
      <c r="H12" s="7">
        <v>0.64</v>
      </c>
      <c r="I12" s="5" t="s">
        <v>34</v>
      </c>
      <c r="J12" s="5" t="s">
        <v>54</v>
      </c>
      <c r="K12" s="16">
        <f>M12/0.9</f>
        <v>3.9822222222222221</v>
      </c>
      <c r="L12" s="5">
        <v>5600</v>
      </c>
      <c r="M12" s="17">
        <f>H12*L12*0.001</f>
        <v>3.5840000000000001</v>
      </c>
      <c r="N12" s="5">
        <v>20</v>
      </c>
      <c r="O12" s="5">
        <v>280</v>
      </c>
      <c r="P12" s="5">
        <v>50</v>
      </c>
      <c r="Q12" s="5">
        <v>6</v>
      </c>
      <c r="R12" s="5">
        <v>5650</v>
      </c>
      <c r="S12" s="17">
        <f>H12*R12*0.001</f>
        <v>3.6160000000000001</v>
      </c>
      <c r="T12" s="41"/>
      <c r="U12" s="22" t="s">
        <v>55</v>
      </c>
      <c r="V12" s="5" t="s">
        <v>62</v>
      </c>
      <c r="W12" s="45"/>
    </row>
    <row r="13" spans="1:23" s="1" customFormat="1" ht="36" customHeight="1" x14ac:dyDescent="0.15">
      <c r="A13" s="5">
        <v>8</v>
      </c>
      <c r="B13" s="5" t="s">
        <v>39</v>
      </c>
      <c r="C13" s="10" t="s">
        <v>63</v>
      </c>
      <c r="D13" s="51" t="s">
        <v>89</v>
      </c>
      <c r="E13" s="40"/>
      <c r="F13" s="5" t="s">
        <v>40</v>
      </c>
      <c r="G13" s="6" t="s">
        <v>64</v>
      </c>
      <c r="H13" s="7">
        <v>0.23</v>
      </c>
      <c r="I13" s="31" t="s">
        <v>42</v>
      </c>
      <c r="J13" s="32"/>
      <c r="K13" s="33"/>
      <c r="L13" s="5">
        <f>L12</f>
        <v>5600</v>
      </c>
      <c r="M13" s="17">
        <f>H13*L13*0.001</f>
        <v>1.288</v>
      </c>
      <c r="N13" s="34" t="s">
        <v>43</v>
      </c>
      <c r="O13" s="35"/>
      <c r="P13" s="35"/>
      <c r="Q13" s="36"/>
      <c r="R13" s="5">
        <f>R12</f>
        <v>5650</v>
      </c>
      <c r="S13" s="17">
        <f>H13*R13*0.001</f>
        <v>1.2995000000000001</v>
      </c>
      <c r="T13" s="41"/>
      <c r="U13" s="23"/>
      <c r="V13" s="5" t="s">
        <v>62</v>
      </c>
      <c r="W13" s="45"/>
    </row>
    <row r="14" spans="1:23" s="1" customFormat="1" ht="36" customHeight="1" x14ac:dyDescent="0.15">
      <c r="A14" s="5">
        <v>9</v>
      </c>
      <c r="B14" s="5" t="s">
        <v>65</v>
      </c>
      <c r="C14" s="10" t="s">
        <v>63</v>
      </c>
      <c r="D14" s="51" t="s">
        <v>90</v>
      </c>
      <c r="E14" s="40"/>
      <c r="F14" s="5"/>
      <c r="G14" s="6" t="s">
        <v>66</v>
      </c>
      <c r="H14" s="7">
        <v>0.08</v>
      </c>
      <c r="I14" s="31" t="s">
        <v>42</v>
      </c>
      <c r="J14" s="32"/>
      <c r="K14" s="33"/>
      <c r="L14" s="5">
        <f>L12</f>
        <v>5600</v>
      </c>
      <c r="M14" s="17">
        <f>H14*L14*0.001</f>
        <v>0.44800000000000001</v>
      </c>
      <c r="N14" s="34" t="s">
        <v>43</v>
      </c>
      <c r="O14" s="35"/>
      <c r="P14" s="35"/>
      <c r="Q14" s="36"/>
      <c r="R14" s="5">
        <f>R12</f>
        <v>5650</v>
      </c>
      <c r="S14" s="17">
        <f>H14*R14*0.001</f>
        <v>0.45200000000000001</v>
      </c>
      <c r="T14" s="41"/>
      <c r="U14" s="23"/>
      <c r="V14" s="5" t="s">
        <v>62</v>
      </c>
      <c r="W14" s="45"/>
    </row>
    <row r="15" spans="1:23" s="2" customFormat="1" ht="21" customHeight="1" x14ac:dyDescent="0.15">
      <c r="A15" s="46" t="s">
        <v>67</v>
      </c>
      <c r="B15" s="50"/>
      <c r="C15" s="11"/>
      <c r="D15" s="11"/>
      <c r="E15" s="11"/>
      <c r="F15" s="12"/>
      <c r="G15" s="11"/>
      <c r="H15" s="11"/>
      <c r="I15" s="11"/>
      <c r="J15" s="11"/>
      <c r="K15" s="19">
        <f>K6+K10+K12</f>
        <v>20.905608585858584</v>
      </c>
      <c r="L15" s="20">
        <f>L6+L10+L12</f>
        <v>36090</v>
      </c>
      <c r="M15" s="19">
        <f>SUM(M6:M14)</f>
        <v>24.242059999999999</v>
      </c>
      <c r="N15" s="21"/>
      <c r="O15" s="20">
        <f>O6+O10+O12</f>
        <v>1282</v>
      </c>
      <c r="P15" s="21"/>
      <c r="Q15" s="20">
        <f>Q6+Q10+Q12</f>
        <v>30</v>
      </c>
      <c r="R15" s="20">
        <f>R6+R10+R12</f>
        <v>36250</v>
      </c>
      <c r="S15" s="19">
        <f>SUM(S6:S14)</f>
        <v>24.352700000000002</v>
      </c>
      <c r="T15" s="25"/>
      <c r="U15" s="42" t="s">
        <v>68</v>
      </c>
      <c r="V15" s="25"/>
      <c r="W15" s="25"/>
    </row>
    <row r="16" spans="1:23" s="3" customFormat="1" ht="21" customHeight="1" x14ac:dyDescent="0.15">
      <c r="A16" s="47"/>
      <c r="B16" s="48"/>
      <c r="C16" s="13"/>
      <c r="D16" s="13"/>
      <c r="E16" s="13"/>
      <c r="F16" s="13"/>
      <c r="G16" s="13"/>
      <c r="H16" s="13"/>
      <c r="I16" s="13"/>
      <c r="J16" s="13"/>
      <c r="K16" s="13" t="s">
        <v>25</v>
      </c>
      <c r="L16" s="13" t="s">
        <v>69</v>
      </c>
      <c r="M16" s="13" t="s">
        <v>25</v>
      </c>
      <c r="N16" s="13"/>
      <c r="O16" s="13" t="s">
        <v>27</v>
      </c>
      <c r="P16" s="13"/>
      <c r="Q16" s="13" t="s">
        <v>29</v>
      </c>
      <c r="R16" s="13" t="s">
        <v>69</v>
      </c>
      <c r="S16" s="13" t="s">
        <v>25</v>
      </c>
      <c r="T16" s="13"/>
      <c r="U16" s="43"/>
      <c r="V16" s="13"/>
      <c r="W16" s="13"/>
    </row>
    <row r="18" spans="1:23" s="1" customFormat="1" ht="19.5" customHeight="1" x14ac:dyDescent="0.15">
      <c r="B18" s="1" t="s">
        <v>70</v>
      </c>
    </row>
    <row r="19" spans="1:23" s="1" customFormat="1" ht="19.5" customHeight="1" x14ac:dyDescent="0.15">
      <c r="A19" s="1" t="s">
        <v>71</v>
      </c>
      <c r="B19" s="37" t="s">
        <v>72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spans="1:23" s="1" customFormat="1" ht="19.5" customHeight="1" x14ac:dyDescent="0.15">
      <c r="A20" s="1" t="s">
        <v>73</v>
      </c>
      <c r="B20" s="37" t="s">
        <v>74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spans="1:23" s="1" customFormat="1" ht="19.5" customHeight="1" x14ac:dyDescent="0.15">
      <c r="B21" s="37" t="s">
        <v>75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spans="1:23" s="1" customFormat="1" ht="19.5" customHeight="1" x14ac:dyDescent="0.15">
      <c r="A22" s="1" t="s">
        <v>76</v>
      </c>
      <c r="B22" s="37" t="s">
        <v>77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spans="1:23" s="1" customFormat="1" ht="19.5" customHeight="1" x14ac:dyDescent="0.15">
      <c r="A23" s="1" t="s">
        <v>78</v>
      </c>
      <c r="B23" s="15" t="s">
        <v>79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23.25" customHeight="1" x14ac:dyDescent="0.15">
      <c r="T24" s="38">
        <v>45733</v>
      </c>
      <c r="U24" s="38"/>
      <c r="V24" s="38"/>
      <c r="W24" s="38"/>
    </row>
    <row r="25" spans="1:23" ht="20.25" customHeight="1" x14ac:dyDescent="0.15">
      <c r="C25" s="37" t="s">
        <v>80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</sheetData>
  <mergeCells count="42">
    <mergeCell ref="W6:W14"/>
    <mergeCell ref="A15:B16"/>
    <mergeCell ref="T6:T14"/>
    <mergeCell ref="U4:U5"/>
    <mergeCell ref="U15:U16"/>
    <mergeCell ref="V4:V5"/>
    <mergeCell ref="V10:V11"/>
    <mergeCell ref="C25:N25"/>
    <mergeCell ref="A4:A5"/>
    <mergeCell ref="B4:B5"/>
    <mergeCell ref="C4:C5"/>
    <mergeCell ref="D4:D5"/>
    <mergeCell ref="E4:E5"/>
    <mergeCell ref="E6:E14"/>
    <mergeCell ref="F4:F5"/>
    <mergeCell ref="G4:G5"/>
    <mergeCell ref="B19:W19"/>
    <mergeCell ref="B20:W20"/>
    <mergeCell ref="B21:W21"/>
    <mergeCell ref="B22:W22"/>
    <mergeCell ref="T24:W24"/>
    <mergeCell ref="I11:K11"/>
    <mergeCell ref="N11:Q11"/>
    <mergeCell ref="I13:K13"/>
    <mergeCell ref="N13:Q13"/>
    <mergeCell ref="I14:K14"/>
    <mergeCell ref="N14:Q14"/>
    <mergeCell ref="I7:K7"/>
    <mergeCell ref="N7:Q7"/>
    <mergeCell ref="I8:K8"/>
    <mergeCell ref="N8:Q8"/>
    <mergeCell ref="I9:K9"/>
    <mergeCell ref="N9:Q9"/>
    <mergeCell ref="A2:W2"/>
    <mergeCell ref="H3:I3"/>
    <mergeCell ref="O3:P3"/>
    <mergeCell ref="U3:W3"/>
    <mergeCell ref="I4:K4"/>
    <mergeCell ref="L4:Q4"/>
    <mergeCell ref="R4:S4"/>
    <mergeCell ref="T4:T5"/>
    <mergeCell ref="W4:W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2025-03-17T03:46:53Z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