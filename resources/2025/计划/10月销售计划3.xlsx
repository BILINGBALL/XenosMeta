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39308060-9469-4164-9069-417FCEA68B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<sst xmlns="http://schemas.openxmlformats.org/spreadsheetml/2006/main" count="55" uniqueCount="53">
  <si>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</si>
  <si>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</si>
  <si>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</si>
  <si>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</si>
  <si>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</si>
  <si>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</si>
  <si>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</si>
  <si>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</si>
  <si>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</si>
  <si>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</si>
  <si>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</si>
  <si>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</si>
  <si>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</si>
  <si>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</si>
  <si>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</si>
  <si>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</si>
  <si>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</si>
  <si>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</si>
  <si>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</si>
  <si>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</si>
  <si>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</si>
  <si>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</si>
  <si>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</si>
  <si>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</si>
  <si>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</si>
  <si>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</si>
  <si>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</si>
  <si>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</si>
  <si>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</si>
  <si>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</si>
  <si>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23*154</t>
  </si>
  <si>
    <t>客户图纸</t>
  </si>
  <si>
    <t>E225054 
E225235</t>
  </si>
  <si>
    <t>35K</t>
  </si>
  <si>
    <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</si>
  <si>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</si>
  <si>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</si>
  <si>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</si>
  <si>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</si>
  <si>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</si>
  <si>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</si>
  <si>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</si>
  <si>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</si>
  <si>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</si>
  <si>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</si>
  <si>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</si>
  <si>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</si>
  <si>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GS54-B6
25</t>
    </r>
    <phoneticPr fontId="11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</si>
  <si>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1" type="noConversion"/>
  </si>
  <si>
    <t>251028-1</t>
    <phoneticPr fontId="11" type="noConversion"/>
  </si>
  <si>
    <t>CA2505838</t>
    <phoneticPr fontId="11" type="noConversion"/>
  </si>
  <si>
    <t>2025-12-5</t>
    <phoneticPr fontId="11" type="noConversion"/>
  </si>
  <si>
    <t>10 月  份  销  售  计  划  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</si>
</sst>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workbookViewId="0">
      <selection activeCell="L5" sqref="L5:Q5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6" t="s">
        <v>52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4" spans="1:23" s="1" customFormat="1" ht="27.75" customHeight="1" x14ac:dyDescent="0.15">
      <c r="A4" s="17" t="s">
        <v>0</v>
      </c>
      <c r="B4" s="17"/>
      <c r="C4" s="1" t="s">
        <v>1</v>
      </c>
      <c r="H4" s="17" t="s">
        <v>2</v>
      </c>
      <c r="I4" s="17"/>
      <c r="O4" s="17" t="s">
        <v>3</v>
      </c>
      <c r="P4" s="17"/>
      <c r="U4" s="18"/>
      <c r="V4" s="19"/>
      <c r="W4" s="19"/>
    </row>
    <row r="5" spans="1:23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20" t="s">
        <v>12</v>
      </c>
      <c r="J5" s="21"/>
      <c r="K5" s="21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2"/>
      <c r="U6" s="22"/>
      <c r="V6" s="22"/>
      <c r="W6" s="22"/>
    </row>
    <row r="7" spans="1:23" s="1" customFormat="1" ht="115.5" customHeight="1" x14ac:dyDescent="0.15">
      <c r="A7" s="4">
        <v>1</v>
      </c>
      <c r="B7" s="3" t="s">
        <v>29</v>
      </c>
      <c r="C7" s="3" t="s">
        <v>30</v>
      </c>
      <c r="D7" s="3" t="s">
        <v>49</v>
      </c>
      <c r="E7" s="3" t="s">
        <v>50</v>
      </c>
      <c r="F7" s="5" t="s">
        <v>31</v>
      </c>
      <c r="G7" s="3" t="s">
        <v>32</v>
      </c>
      <c r="H7" s="3">
        <v>0.55000000000000004</v>
      </c>
      <c r="I7" s="6" t="s">
        <v>33</v>
      </c>
      <c r="J7" s="14" t="s">
        <v>48</v>
      </c>
      <c r="K7" s="7">
        <f>M7/0.92</f>
        <v>59.782608695652179</v>
      </c>
      <c r="L7" s="3">
        <v>100000</v>
      </c>
      <c r="M7" s="8">
        <f>L7*H7/1000</f>
        <v>55.000000000000007</v>
      </c>
      <c r="N7" s="3">
        <v>40</v>
      </c>
      <c r="O7" s="3">
        <v>2500</v>
      </c>
      <c r="P7" s="3">
        <v>30</v>
      </c>
      <c r="Q7" s="3">
        <v>84</v>
      </c>
      <c r="R7" s="3">
        <v>100500</v>
      </c>
      <c r="S7" s="8">
        <f>R7*H7/1000</f>
        <v>55.275000000000006</v>
      </c>
      <c r="T7" s="15" t="s">
        <v>51</v>
      </c>
      <c r="U7" s="5" t="s">
        <v>47</v>
      </c>
      <c r="V7" s="11" t="s">
        <v>34</v>
      </c>
      <c r="W7" s="5" t="s">
        <v>35</v>
      </c>
    </row>
    <row r="8" spans="1:23" s="1" customFormat="1" ht="42" customHeight="1" x14ac:dyDescent="0.15">
      <c r="A8" s="20" t="s">
        <v>36</v>
      </c>
      <c r="B8" s="21"/>
      <c r="C8" s="21"/>
      <c r="D8" s="21"/>
      <c r="E8" s="21"/>
      <c r="F8" s="21"/>
      <c r="G8" s="23"/>
      <c r="H8" s="3"/>
      <c r="I8" s="3"/>
      <c r="J8" s="3"/>
      <c r="K8" s="8">
        <f>SUM(K7:K7)</f>
        <v>59.782608695652179</v>
      </c>
      <c r="L8" s="9">
        <f>SUM(L7:L7)</f>
        <v>100000</v>
      </c>
      <c r="M8" s="8">
        <f>SUM(M7:M7)</f>
        <v>55.000000000000007</v>
      </c>
      <c r="N8" s="3"/>
      <c r="O8" s="9">
        <f>SUM(O7:O7)</f>
        <v>2500</v>
      </c>
      <c r="P8" s="3"/>
      <c r="Q8" s="9">
        <f>SUM(Q7:Q7)</f>
        <v>84</v>
      </c>
      <c r="R8" s="9">
        <f>SUM(R7:R7)</f>
        <v>100500</v>
      </c>
      <c r="S8" s="8">
        <f>SUM(S7:S7)</f>
        <v>55.275000000000006</v>
      </c>
      <c r="T8" s="12"/>
      <c r="U8" s="3" t="s">
        <v>37</v>
      </c>
      <c r="V8" s="3"/>
      <c r="W8" s="5"/>
    </row>
    <row r="9" spans="1:23" ht="29.25" customHeight="1" x14ac:dyDescent="0.15">
      <c r="R9" s="13" t="s">
        <v>38</v>
      </c>
      <c r="U9" s="25"/>
      <c r="V9" s="25"/>
    </row>
    <row r="10" spans="1:23" s="1" customFormat="1" ht="19.5" customHeight="1" x14ac:dyDescent="0.15">
      <c r="B10" s="1" t="s">
        <v>39</v>
      </c>
      <c r="O10" s="10"/>
      <c r="S10"/>
      <c r="U10" s="25"/>
      <c r="V10" s="25"/>
    </row>
    <row r="11" spans="1:23" s="1" customFormat="1" ht="19.5" customHeight="1" x14ac:dyDescent="0.15">
      <c r="A11" s="1" t="s">
        <v>40</v>
      </c>
      <c r="B11" s="24" t="s">
        <v>41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s="1" customFormat="1" ht="19.5" customHeight="1" x14ac:dyDescent="0.15">
      <c r="A12" s="1" t="s">
        <v>42</v>
      </c>
      <c r="B12" s="24" t="s">
        <v>43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s="1" customFormat="1" ht="19.5" customHeight="1" x14ac:dyDescent="0.15">
      <c r="A13" s="1" t="s">
        <v>44</v>
      </c>
      <c r="B13" s="24" t="s">
        <v>45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42" customHeight="1" x14ac:dyDescent="0.15"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20.25" customHeight="1" x14ac:dyDescent="0.15">
      <c r="C15" s="24" t="s">
        <v>46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7"/>
      <c r="P15" s="27"/>
      <c r="Q15" s="27"/>
      <c r="R15" s="27"/>
      <c r="S15" s="27"/>
      <c r="T15" s="27"/>
      <c r="U15" s="27"/>
      <c r="V15" s="27"/>
      <c r="W15" s="27"/>
    </row>
    <row r="16" spans="1:23" x14ac:dyDescent="0.15">
      <c r="Q16" s="26">
        <v>45958</v>
      </c>
      <c r="R16" s="26"/>
      <c r="S16" s="26"/>
      <c r="T16" s="26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1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2025-10-29T07:48:53Z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