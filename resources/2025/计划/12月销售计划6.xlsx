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H:\文件汇总\2025\计划\"/>
    </mc:Choice>
  </mc:AlternateContent>
  <xr:revisionPtr revIDLastSave="0" documentId="13_ncr:1_{C4DD42E3-4B2D-4879-90B8-AE828FDE3EE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7" i="1" l="1"/>
  <c r="K8" i="1"/>
  <c r="L8" i="1"/>
  <c r="R8" i="1"/>
  <c r="Q8" i="1"/>
  <c r="O8" i="1"/>
  <c r="S7" i="1"/>
  <c r="S8" i="1" s="1"/>
  <c r="M7" i="1"/>
  <c r="M8" i="1" s="1"/>
</calcChain>
</file>

<file path=xl/sharedStrings.xml><?xml version="1.0" encoding="utf-8"?>
<sst xmlns="http://schemas.openxmlformats.org/spreadsheetml/2006/main" count="65" uniqueCount="56">
  <si>
    <t>编制：</t>
  </si>
  <si>
    <t>高蕾</t>
  </si>
  <si>
    <t>复核：</t>
  </si>
  <si>
    <t>批准：</t>
  </si>
  <si>
    <t>SDL-D-ZJ-16</t>
  </si>
  <si>
    <t>序号</t>
  </si>
  <si>
    <t>产品
名称</t>
  </si>
  <si>
    <t>型号及规格</t>
  </si>
  <si>
    <t>生产令号</t>
  </si>
  <si>
    <t>合同号P.O.</t>
  </si>
  <si>
    <t>产品
标准</t>
  </si>
  <si>
    <t>产品图号</t>
  </si>
  <si>
    <t>净重</t>
  </si>
  <si>
    <t>原材料</t>
  </si>
  <si>
    <t>合同要求量</t>
  </si>
  <si>
    <t>计划生产数量</t>
  </si>
  <si>
    <t>完成时间</t>
  </si>
  <si>
    <t>头部标记</t>
  </si>
  <si>
    <t>表面处理</t>
  </si>
  <si>
    <t>包装物</t>
  </si>
  <si>
    <t>KG/件</t>
  </si>
  <si>
    <t>材质</t>
  </si>
  <si>
    <t>规格</t>
  </si>
  <si>
    <t>数量（吨）</t>
  </si>
  <si>
    <t>件</t>
  </si>
  <si>
    <t>吨</t>
  </si>
  <si>
    <t>件/袋</t>
  </si>
  <si>
    <t>袋</t>
  </si>
  <si>
    <t>袋/托</t>
  </si>
  <si>
    <t>托</t>
  </si>
  <si>
    <t>合计</t>
  </si>
  <si>
    <t>详见
图纸</t>
  </si>
  <si>
    <t>说明：</t>
  </si>
  <si>
    <t>1、</t>
  </si>
  <si>
    <t>对以上产品，生产部门应认真清查库存，适当调整生产计划数量，已减少及合理利用库存产品。</t>
  </si>
  <si>
    <t>注意：库存产品应是经品管部确认合格的产品。</t>
  </si>
  <si>
    <t>2、</t>
  </si>
  <si>
    <t>3、</t>
  </si>
  <si>
    <t>品管部负责办理质量证明书，检测报告及相关数据。</t>
  </si>
  <si>
    <t>分发：总经理、总经办、品管部、生产部、技术部</t>
  </si>
  <si>
    <t>GD-07</t>
    <phoneticPr fontId="7" type="noConversion"/>
  </si>
  <si>
    <t>螺纹道钉</t>
    <phoneticPr fontId="7" type="noConversion"/>
  </si>
  <si>
    <t>17X150</t>
    <phoneticPr fontId="7" type="noConversion"/>
  </si>
  <si>
    <t>Q235</t>
    <phoneticPr fontId="7" type="noConversion"/>
  </si>
  <si>
    <r>
      <rPr>
        <sz val="10"/>
        <color theme="1"/>
        <rFont val="Calibri"/>
        <family val="2"/>
      </rPr>
      <t>Φ</t>
    </r>
    <r>
      <rPr>
        <sz val="10"/>
        <color theme="1"/>
        <rFont val="宋体"/>
        <family val="3"/>
        <charset val="134"/>
        <scheme val="minor"/>
      </rPr>
      <t>18</t>
    </r>
    <phoneticPr fontId="7" type="noConversion"/>
  </si>
  <si>
    <t>本色</t>
    <phoneticPr fontId="7" type="noConversion"/>
  </si>
  <si>
    <t>编织袋+欧式托盘</t>
    <phoneticPr fontId="7" type="noConversion"/>
  </si>
  <si>
    <t>数量公差0</t>
    <phoneticPr fontId="7" type="noConversion"/>
  </si>
  <si>
    <t>UIC864-1</t>
    <phoneticPr fontId="7" type="noConversion"/>
  </si>
  <si>
    <t>251217-1</t>
    <phoneticPr fontId="7" type="noConversion"/>
  </si>
  <si>
    <t>2026-1-5</t>
    <phoneticPr fontId="7" type="noConversion"/>
  </si>
  <si>
    <t>12  月  份  销  售  计  划  6</t>
    <phoneticPr fontId="7" type="noConversion"/>
  </si>
  <si>
    <t>BS2512-011</t>
    <phoneticPr fontId="7" type="noConversion"/>
  </si>
  <si>
    <r>
      <t>包装为编织袋+欧式托盘。</t>
    </r>
    <r>
      <rPr>
        <b/>
        <sz val="10"/>
        <color theme="1"/>
        <rFont val="宋体"/>
        <family val="3"/>
        <charset val="134"/>
        <scheme val="minor"/>
      </rPr>
      <t>货送天津港。</t>
    </r>
    <phoneticPr fontId="7" type="noConversion"/>
  </si>
  <si>
    <t>生产部门按生产工艺生产，加强自检，严格质量管理，产品表面应光洁，不允许存在飞边，毛刺。</t>
    <phoneticPr fontId="7" type="noConversion"/>
  </si>
  <si>
    <t>BS 
25 
150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</si>
</sst>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.0_ "/>
    <numFmt numFmtId="177" formatCode="0.0;_峿"/>
    <numFmt numFmtId="178" formatCode="0.00_ "/>
    <numFmt numFmtId="179" formatCode="0_ "/>
    <numFmt numFmtId="180" formatCode="[$-F800]dddd\,\ mmmm\ dd\,\ yyyy"/>
  </numFmts>
  <fonts count="15" x14ac:knownFonts="1">
    <font>
      <sz val="11"/>
      <color theme="1"/>
      <name val="宋体"/>
      <charset val="134"/>
      <scheme val="minor"/>
    </font>
    <font>
      <sz val="10"/>
      <color theme="1"/>
      <name val="宋体"/>
      <family val="3"/>
      <charset val="134"/>
      <scheme val="minor"/>
    </font>
    <font>
      <b/>
      <sz val="20"/>
      <color theme="1"/>
      <name val="宋体"/>
      <family val="3"/>
      <charset val="134"/>
      <scheme val="minor"/>
    </font>
    <font>
      <sz val="8"/>
      <color theme="1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4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b/>
      <sz val="20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0"/>
      <color theme="1"/>
      <name val="Calibri"/>
      <family val="2"/>
    </font>
    <font>
      <sz val="10"/>
      <color theme="1"/>
      <name val="宋体"/>
      <family val="2"/>
      <charset val="134"/>
      <scheme val="minor"/>
    </font>
    <font>
      <b/>
      <sz val="16"/>
      <color theme="1"/>
      <name val="宋体"/>
      <family val="3"/>
      <charset val="134"/>
      <scheme val="minor"/>
    </font>
    <font>
      <b/>
      <sz val="10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9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wrapText="1"/>
    </xf>
    <xf numFmtId="0" fontId="3" fillId="0" borderId="3" xfId="0" applyFont="1" applyBorder="1" applyAlignment="1">
      <alignment horizontal="center" wrapText="1"/>
    </xf>
    <xf numFmtId="0" fontId="1" fillId="0" borderId="4" xfId="0" applyFont="1" applyBorder="1" applyAlignment="1">
      <alignment horizontal="center" vertical="top" wrapText="1"/>
    </xf>
    <xf numFmtId="176" fontId="1" fillId="0" borderId="2" xfId="0" applyNumberFormat="1" applyFont="1" applyBorder="1" applyAlignment="1">
      <alignment horizontal="center" vertical="center" wrapText="1"/>
    </xf>
    <xf numFmtId="177" fontId="4" fillId="0" borderId="3" xfId="0" applyNumberFormat="1" applyFont="1" applyBorder="1" applyAlignment="1">
      <alignment horizontal="center" wrapText="1"/>
    </xf>
    <xf numFmtId="176" fontId="0" fillId="0" borderId="3" xfId="0" applyNumberFormat="1" applyBorder="1" applyAlignment="1">
      <alignment horizontal="center" wrapText="1"/>
    </xf>
    <xf numFmtId="178" fontId="4" fillId="0" borderId="3" xfId="0" applyNumberFormat="1" applyFont="1" applyBorder="1" applyAlignment="1">
      <alignment horizontal="center" wrapText="1"/>
    </xf>
    <xf numFmtId="179" fontId="1" fillId="0" borderId="3" xfId="0" applyNumberFormat="1" applyFont="1" applyBorder="1" applyAlignment="1">
      <alignment horizontal="center" wrapText="1"/>
    </xf>
    <xf numFmtId="176" fontId="3" fillId="0" borderId="3" xfId="0" applyNumberFormat="1" applyFont="1" applyBorder="1" applyAlignment="1">
      <alignment horizontal="center" wrapText="1"/>
    </xf>
    <xf numFmtId="0" fontId="4" fillId="0" borderId="3" xfId="0" applyFont="1" applyBorder="1" applyAlignment="1">
      <alignment horizontal="center" wrapText="1"/>
    </xf>
    <xf numFmtId="0" fontId="4" fillId="0" borderId="3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9" fillId="0" borderId="2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49" fontId="9" fillId="0" borderId="3" xfId="0" applyNumberFormat="1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12" fillId="0" borderId="2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14" fontId="5" fillId="0" borderId="1" xfId="0" applyNumberFormat="1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9" fillId="0" borderId="0" xfId="0" applyFont="1" applyAlignment="1">
      <alignment horizontal="left" vertical="center" wrapText="1"/>
    </xf>
    <xf numFmtId="180" fontId="6" fillId="0" borderId="0" xfId="0" applyNumberFormat="1" applyFont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W17"/>
  <sheetViews>
    <sheetView tabSelected="1" topLeftCell="A4" workbookViewId="0">
      <selection activeCell="V11" sqref="V11"/>
    </sheetView>
  </sheetViews>
  <sheetFormatPr defaultColWidth="9" defaultRowHeight="13.5" x14ac:dyDescent="0.15"/>
  <cols>
    <col min="1" max="1" width="3" style="4" customWidth="1"/>
    <col min="2" max="2" width="5.25" style="4" customWidth="1"/>
    <col min="3" max="3" width="6.625" style="4" customWidth="1"/>
    <col min="4" max="4" width="4.625" style="4" customWidth="1"/>
    <col min="5" max="5" width="5.875" style="4" customWidth="1"/>
    <col min="6" max="6" width="6.875" style="4" customWidth="1"/>
    <col min="7" max="7" width="7.125" style="4" customWidth="1"/>
    <col min="8" max="8" width="5.875" style="4" customWidth="1"/>
    <col min="9" max="9" width="5.25" style="4" customWidth="1"/>
    <col min="10" max="10" width="5" style="4" customWidth="1"/>
    <col min="11" max="11" width="7.25" style="4" customWidth="1"/>
    <col min="12" max="12" width="7.5" style="4" customWidth="1"/>
    <col min="13" max="13" width="7.625" style="4" customWidth="1"/>
    <col min="14" max="14" width="4.125" style="4" customWidth="1"/>
    <col min="15" max="15" width="5.625" style="4" customWidth="1"/>
    <col min="16" max="16" width="4.25" style="4" customWidth="1"/>
    <col min="17" max="17" width="5" style="4" customWidth="1"/>
    <col min="18" max="19" width="7.375" style="4" customWidth="1"/>
    <col min="20" max="20" width="7.875" style="4" customWidth="1"/>
    <col min="21" max="21" width="7.25" style="4" customWidth="1"/>
    <col min="22" max="22" width="5.75" style="4" customWidth="1"/>
    <col min="23" max="23" width="6.125" style="4" customWidth="1"/>
    <col min="24" max="16384" width="9" style="4"/>
  </cols>
  <sheetData>
    <row r="2" spans="1:23" ht="45" customHeight="1" x14ac:dyDescent="0.15">
      <c r="A2" s="23" t="s">
        <v>51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</row>
    <row r="4" spans="1:23" s="1" customFormat="1" ht="27.75" customHeight="1" x14ac:dyDescent="0.15">
      <c r="A4" s="25" t="s">
        <v>0</v>
      </c>
      <c r="B4" s="25"/>
      <c r="C4" s="1" t="s">
        <v>1</v>
      </c>
      <c r="G4" s="26" t="s">
        <v>2</v>
      </c>
      <c r="H4" s="26"/>
      <c r="N4" s="26" t="s">
        <v>3</v>
      </c>
      <c r="O4" s="26"/>
      <c r="T4" s="27" t="s">
        <v>4</v>
      </c>
      <c r="U4" s="27"/>
      <c r="V4" s="27"/>
      <c r="W4" s="27"/>
    </row>
    <row r="5" spans="1:23" s="1" customFormat="1" ht="27" customHeight="1" x14ac:dyDescent="0.15">
      <c r="A5" s="28" t="s">
        <v>5</v>
      </c>
      <c r="B5" s="28" t="s">
        <v>6</v>
      </c>
      <c r="C5" s="28" t="s">
        <v>7</v>
      </c>
      <c r="D5" s="28" t="s">
        <v>8</v>
      </c>
      <c r="E5" s="28" t="s">
        <v>9</v>
      </c>
      <c r="F5" s="28" t="s">
        <v>10</v>
      </c>
      <c r="G5" s="34" t="s">
        <v>11</v>
      </c>
      <c r="H5" s="5" t="s">
        <v>12</v>
      </c>
      <c r="I5" s="28" t="s">
        <v>13</v>
      </c>
      <c r="J5" s="28"/>
      <c r="K5" s="28"/>
      <c r="L5" s="28" t="s">
        <v>14</v>
      </c>
      <c r="M5" s="28"/>
      <c r="N5" s="28"/>
      <c r="O5" s="28"/>
      <c r="P5" s="28"/>
      <c r="Q5" s="28"/>
      <c r="R5" s="28" t="s">
        <v>15</v>
      </c>
      <c r="S5" s="28"/>
      <c r="T5" s="28" t="s">
        <v>16</v>
      </c>
      <c r="U5" s="28" t="s">
        <v>17</v>
      </c>
      <c r="V5" s="28" t="s">
        <v>18</v>
      </c>
      <c r="W5" s="28" t="s">
        <v>19</v>
      </c>
    </row>
    <row r="6" spans="1:23" s="1" customFormat="1" ht="27.75" customHeight="1" x14ac:dyDescent="0.15">
      <c r="A6" s="28"/>
      <c r="B6" s="28"/>
      <c r="C6" s="28"/>
      <c r="D6" s="28"/>
      <c r="E6" s="28"/>
      <c r="F6" s="28"/>
      <c r="G6" s="35"/>
      <c r="H6" s="5" t="s">
        <v>20</v>
      </c>
      <c r="I6" s="5" t="s">
        <v>21</v>
      </c>
      <c r="J6" s="5" t="s">
        <v>22</v>
      </c>
      <c r="K6" s="5" t="s">
        <v>23</v>
      </c>
      <c r="L6" s="5" t="s">
        <v>24</v>
      </c>
      <c r="M6" s="5" t="s">
        <v>25</v>
      </c>
      <c r="N6" s="5" t="s">
        <v>26</v>
      </c>
      <c r="O6" s="5" t="s">
        <v>27</v>
      </c>
      <c r="P6" s="5" t="s">
        <v>28</v>
      </c>
      <c r="Q6" s="5" t="s">
        <v>29</v>
      </c>
      <c r="R6" s="5" t="s">
        <v>24</v>
      </c>
      <c r="S6" s="5" t="s">
        <v>25</v>
      </c>
      <c r="T6" s="28"/>
      <c r="U6" s="28"/>
      <c r="V6" s="28"/>
      <c r="W6" s="28"/>
    </row>
    <row r="7" spans="1:23" s="1" customFormat="1" ht="90.95" customHeight="1" x14ac:dyDescent="0.15">
      <c r="A7" s="5">
        <v>1</v>
      </c>
      <c r="B7" s="18" t="s">
        <v>41</v>
      </c>
      <c r="C7" s="18" t="s">
        <v>42</v>
      </c>
      <c r="D7" s="18" t="s">
        <v>49</v>
      </c>
      <c r="E7" s="19" t="s">
        <v>52</v>
      </c>
      <c r="F7" s="18" t="s">
        <v>48</v>
      </c>
      <c r="G7" s="18" t="s">
        <v>40</v>
      </c>
      <c r="H7" s="5">
        <v>0.37</v>
      </c>
      <c r="I7" s="18" t="s">
        <v>43</v>
      </c>
      <c r="J7" s="22" t="s">
        <v>44</v>
      </c>
      <c r="K7" s="9">
        <f>H7*L7/1000/0.92</f>
        <v>4.0217391304347823</v>
      </c>
      <c r="L7" s="5">
        <v>10000</v>
      </c>
      <c r="M7" s="9">
        <f>H7*L7/1000</f>
        <v>3.7</v>
      </c>
      <c r="N7" s="5">
        <v>50</v>
      </c>
      <c r="O7" s="5">
        <v>200</v>
      </c>
      <c r="P7" s="5">
        <v>40</v>
      </c>
      <c r="Q7" s="5">
        <v>5</v>
      </c>
      <c r="R7" s="5">
        <v>10100</v>
      </c>
      <c r="S7" s="9">
        <f>R7*H7/1000</f>
        <v>3.7370000000000001</v>
      </c>
      <c r="T7" s="20" t="s">
        <v>50</v>
      </c>
      <c r="U7" s="38" t="s">
        <v>55</v>
      </c>
      <c r="V7" s="18" t="s">
        <v>45</v>
      </c>
      <c r="W7" s="19" t="s">
        <v>46</v>
      </c>
    </row>
    <row r="8" spans="1:23" s="2" customFormat="1" ht="23.25" customHeight="1" x14ac:dyDescent="0.15">
      <c r="A8" s="30" t="s">
        <v>30</v>
      </c>
      <c r="B8" s="31"/>
      <c r="C8" s="6"/>
      <c r="D8" s="6"/>
      <c r="E8" s="6"/>
      <c r="F8" s="7"/>
      <c r="G8" s="6"/>
      <c r="H8" s="6"/>
      <c r="I8" s="6"/>
      <c r="J8" s="6"/>
      <c r="K8" s="10">
        <f>SUM(K7:K7)</f>
        <v>4.0217391304347823</v>
      </c>
      <c r="L8" s="6">
        <f>SUM(L7:L7)</f>
        <v>10000</v>
      </c>
      <c r="M8" s="11">
        <f>SUM(M7:M7)</f>
        <v>3.7</v>
      </c>
      <c r="N8" s="12"/>
      <c r="O8" s="13">
        <f>SUM(O7:O7)</f>
        <v>200</v>
      </c>
      <c r="P8" s="12"/>
      <c r="Q8" s="13">
        <f>SUM(Q7:Q7)</f>
        <v>5</v>
      </c>
      <c r="R8" s="6">
        <f>SUM(R7:R7)</f>
        <v>10100</v>
      </c>
      <c r="S8" s="14">
        <f>SUM(S7:S7)</f>
        <v>3.7370000000000001</v>
      </c>
      <c r="T8" s="15"/>
      <c r="U8" s="16" t="s">
        <v>31</v>
      </c>
      <c r="V8" s="15"/>
      <c r="W8" s="15"/>
    </row>
    <row r="9" spans="1:23" s="3" customFormat="1" ht="21" customHeight="1" x14ac:dyDescent="0.15">
      <c r="A9" s="32"/>
      <c r="B9" s="33"/>
      <c r="C9" s="8"/>
      <c r="D9" s="8"/>
      <c r="E9" s="8"/>
      <c r="F9" s="8"/>
      <c r="G9" s="8"/>
      <c r="H9" s="8"/>
      <c r="I9" s="8"/>
      <c r="J9" s="8"/>
      <c r="K9" s="8" t="s">
        <v>25</v>
      </c>
      <c r="L9" s="8" t="s">
        <v>24</v>
      </c>
      <c r="M9" s="8" t="s">
        <v>25</v>
      </c>
      <c r="N9" s="8"/>
      <c r="O9" s="8" t="s">
        <v>27</v>
      </c>
      <c r="P9" s="8"/>
      <c r="Q9" s="8" t="s">
        <v>29</v>
      </c>
      <c r="R9" s="8" t="s">
        <v>24</v>
      </c>
      <c r="S9" s="8" t="s">
        <v>25</v>
      </c>
      <c r="T9" s="8"/>
      <c r="U9" s="8"/>
      <c r="V9" s="8"/>
      <c r="W9" s="8"/>
    </row>
    <row r="10" spans="1:23" ht="15" customHeight="1" x14ac:dyDescent="0.15">
      <c r="S10" s="17"/>
    </row>
    <row r="11" spans="1:23" s="1" customFormat="1" ht="19.5" customHeight="1" x14ac:dyDescent="0.15">
      <c r="B11" s="29" t="s">
        <v>32</v>
      </c>
      <c r="C11" s="29"/>
      <c r="S11" s="21" t="s">
        <v>47</v>
      </c>
    </row>
    <row r="12" spans="1:23" s="1" customFormat="1" ht="19.5" customHeight="1" x14ac:dyDescent="0.15">
      <c r="A12" s="1" t="s">
        <v>33</v>
      </c>
      <c r="B12" s="29" t="s">
        <v>34</v>
      </c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</row>
    <row r="13" spans="1:23" s="1" customFormat="1" ht="19.5" customHeight="1" x14ac:dyDescent="0.15">
      <c r="B13" s="29" t="s">
        <v>35</v>
      </c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</row>
    <row r="14" spans="1:23" s="1" customFormat="1" ht="19.5" customHeight="1" x14ac:dyDescent="0.15">
      <c r="A14" s="1" t="s">
        <v>36</v>
      </c>
      <c r="B14" s="36" t="s">
        <v>54</v>
      </c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</row>
    <row r="15" spans="1:23" s="1" customFormat="1" ht="19.5" customHeight="1" x14ac:dyDescent="0.15">
      <c r="A15" s="1" t="s">
        <v>37</v>
      </c>
      <c r="B15" s="29" t="s">
        <v>38</v>
      </c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</row>
    <row r="16" spans="1:23" ht="32.1" customHeight="1" x14ac:dyDescent="0.15">
      <c r="A16" s="1">
        <v>4</v>
      </c>
      <c r="B16" s="36" t="s">
        <v>53</v>
      </c>
      <c r="C16" s="29"/>
      <c r="D16" s="29"/>
      <c r="E16" s="29"/>
      <c r="F16" s="29"/>
      <c r="G16" s="29"/>
      <c r="H16" s="29"/>
      <c r="I16" s="29"/>
      <c r="J16" s="29"/>
      <c r="K16" s="29"/>
      <c r="L16" s="29"/>
      <c r="S16" s="37">
        <v>46008</v>
      </c>
      <c r="T16" s="37"/>
      <c r="U16" s="37"/>
      <c r="V16" s="37"/>
    </row>
    <row r="17" spans="3:13" ht="20.25" customHeight="1" x14ac:dyDescent="0.15">
      <c r="C17" s="29" t="s">
        <v>39</v>
      </c>
      <c r="D17" s="29"/>
      <c r="E17" s="29"/>
      <c r="F17" s="29"/>
      <c r="G17" s="29"/>
      <c r="H17" s="29"/>
      <c r="I17" s="29"/>
      <c r="J17" s="29"/>
      <c r="K17" s="29"/>
      <c r="L17" s="29"/>
      <c r="M17" s="29"/>
    </row>
  </sheetData>
  <mergeCells count="28">
    <mergeCell ref="W5:W6"/>
    <mergeCell ref="A8:B9"/>
    <mergeCell ref="C17:M17"/>
    <mergeCell ref="A5:A6"/>
    <mergeCell ref="B5:B6"/>
    <mergeCell ref="C5:C6"/>
    <mergeCell ref="D5:D6"/>
    <mergeCell ref="E5:E6"/>
    <mergeCell ref="F5:F6"/>
    <mergeCell ref="G5:G6"/>
    <mergeCell ref="B13:V13"/>
    <mergeCell ref="B14:V14"/>
    <mergeCell ref="B15:V15"/>
    <mergeCell ref="B16:L16"/>
    <mergeCell ref="S16:V16"/>
    <mergeCell ref="I5:K5"/>
    <mergeCell ref="L5:Q5"/>
    <mergeCell ref="R5:S5"/>
    <mergeCell ref="B11:C11"/>
    <mergeCell ref="B12:V12"/>
    <mergeCell ref="T5:T6"/>
    <mergeCell ref="U5:U6"/>
    <mergeCell ref="V5:V6"/>
    <mergeCell ref="A2:V2"/>
    <mergeCell ref="A4:B4"/>
    <mergeCell ref="G4:H4"/>
    <mergeCell ref="N4:O4"/>
    <mergeCell ref="T4:W4"/>
  </mergeCells>
  <phoneticPr fontId="7" type="noConversion"/>
  <pageMargins left="0.7" right="0.7" top="0.75" bottom="0.75" header="0.3" footer="0.3"/>
  <pageSetup paperSize="9" scale="91" orientation="landscape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10" type="noConversion"/>
  <pageMargins left="0.7" right="0.7" top="0.75" bottom="0.75" header="0.3" footer="0.3"/>
  <pageSetup paperSize="9" orientation="portrait" horizontalDpi="2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10" type="noConversion"/>
  <pageMargins left="0.7" right="0.7" top="0.75" bottom="0.75" header="0.3" footer="0.3"/>
  <pageSetup paperSize="9" orientation="portrait" horizontalDpi="2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</dc:creator>
  <cp:lastModifiedBy>lu@sudelan.cn</cp:lastModifiedBy>
  <cp:lastPrinted>2025-12-17T02:09:06Z</cp:lastPrinted>
  <dcterms:created xsi:type="dcterms:W3CDTF">2006-09-13T11:21:00Z</dcterms:created>
  <dcterms:modified xsi:type="dcterms:W3CDTF">2025-12-17T05:39:02Z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2052-12.1.0.18276</vt:lpwstr>
  </property>
  <property fmtid="{D5CDD505-2E9C-101B-9397-08002B2CF9AE}" pid="3" name="ICV">
    <vt:lpwstr>B7B32B78FAB843269A1519063EDD71BB_13</vt:lpwstr>
  </property>
</Properties>
</file>