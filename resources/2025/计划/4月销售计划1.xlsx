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CE3EE509-331C-4F69-97D2-2E4A0D12B2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M5" i="1"/>
  <c r="K5" i="1" s="1"/>
</calcChain>
</file>

<file path=xl/sharedStrings.xml><?xml version="1.0" encoding="utf-8"?>
<sst xmlns="http://schemas.openxmlformats.org/spreadsheetml/2006/main" count="63" uniqueCount="60">
  <si>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</si>
  <si>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</si>
  <si>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</si>
  <si>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</si>
  <si>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</si>
  <si>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</si>
  <si>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</si>
  <si>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</si>
  <si>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</si>
  <si>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</si>
  <si>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</si>
  <si>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</si>
  <si>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</si>
  <si>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</si>
  <si>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</si>
  <si>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</si>
  <si>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</si>
  <si>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</si>
  <si>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</si>
  <si>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</si>
  <si>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</si>
  <si>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</si>
  <si>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</si>
  <si>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</si>
  <si>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</si>
  <si>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</si>
  <si>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</si>
  <si>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</si>
  <si>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</si>
  <si>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</si>
  <si>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22 X 150</t>
  </si>
  <si>
    <t>GB3098.1
5.6级</t>
  </si>
  <si>
    <t>DR.SS.T.01</t>
  </si>
  <si>
    <t>35K</t>
  </si>
  <si>
    <t>热镀锌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</si>
  <si>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</si>
  <si>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</si>
  <si>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</si>
  <si>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</si>
  <si>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</si>
  <si>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</si>
  <si>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</si>
  <si>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</si>
  <si>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</si>
  <si>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</si>
  <si>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</si>
  <si>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</si>
  <si>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</si>
  <si>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</si>
  <si>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250402-1</t>
    <phoneticPr fontId="8" type="noConversion"/>
  </si>
  <si>
    <t>2025-4-30</t>
    <phoneticPr fontId="8" type="noConversion"/>
  </si>
  <si>
    <r>
      <t xml:space="preserve">DEL 
25
</t>
    </r>
    <r>
      <rPr>
        <b/>
        <sz val="14"/>
        <color theme="1"/>
        <rFont val="宋体"/>
        <charset val="134"/>
        <scheme val="minor"/>
      </rPr>
      <t>T</t>
    </r>
    <phoneticPr fontId="8" type="noConversion"/>
  </si>
  <si>
    <t>6.2
吨</t>
    <phoneticPr fontId="8" type="noConversion"/>
  </si>
  <si>
    <t>10000
件</t>
    <phoneticPr fontId="8" type="noConversion"/>
  </si>
  <si>
    <t>5.7
吨</t>
    <phoneticPr fontId="8" type="noConversion"/>
  </si>
  <si>
    <t>400
袋</t>
    <phoneticPr fontId="8" type="noConversion"/>
  </si>
  <si>
    <t>10
箱</t>
    <phoneticPr fontId="8" type="noConversion"/>
  </si>
  <si>
    <t>10050
件</t>
    <phoneticPr fontId="8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</si>
  <si>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8" type="noConversion"/>
  </si>
  <si>
    <t>4  月  份  销  售  计  划  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</si>
</sst>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workbookViewId="0">
      <selection activeCell="F5" sqref="F5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18" t="s">
        <v>2</v>
      </c>
      <c r="J2" s="18"/>
      <c r="K2" s="3"/>
      <c r="L2" s="3"/>
      <c r="M2" s="3"/>
      <c r="N2" s="19" t="s">
        <v>3</v>
      </c>
      <c r="O2" s="19"/>
      <c r="P2" s="3"/>
      <c r="Q2" s="3"/>
      <c r="R2" s="3"/>
      <c r="S2" s="3"/>
      <c r="T2" s="20"/>
      <c r="U2" s="21"/>
      <c r="V2" s="21"/>
      <c r="W2" s="21"/>
    </row>
    <row r="3" spans="1:23" s="1" customFormat="1" ht="29.25" customHeight="1" x14ac:dyDescent="0.15">
      <c r="A3" s="22" t="s">
        <v>4</v>
      </c>
      <c r="B3" s="22" t="s">
        <v>5</v>
      </c>
      <c r="C3" s="22" t="s">
        <v>6</v>
      </c>
      <c r="D3" s="22" t="s">
        <v>7</v>
      </c>
      <c r="E3" s="22" t="s">
        <v>8</v>
      </c>
      <c r="F3" s="22" t="s">
        <v>9</v>
      </c>
      <c r="G3" s="22" t="s">
        <v>10</v>
      </c>
      <c r="H3" s="4" t="s">
        <v>11</v>
      </c>
      <c r="I3" s="22" t="s">
        <v>12</v>
      </c>
      <c r="J3" s="22"/>
      <c r="K3" s="22"/>
      <c r="L3" s="22" t="s">
        <v>13</v>
      </c>
      <c r="M3" s="22"/>
      <c r="N3" s="22"/>
      <c r="O3" s="22"/>
      <c r="P3" s="22"/>
      <c r="Q3" s="22"/>
      <c r="R3" s="22" t="s">
        <v>14</v>
      </c>
      <c r="S3" s="22"/>
      <c r="T3" s="22" t="s">
        <v>15</v>
      </c>
      <c r="U3" s="22" t="s">
        <v>16</v>
      </c>
      <c r="V3" s="22" t="s">
        <v>17</v>
      </c>
      <c r="W3" s="22" t="s">
        <v>18</v>
      </c>
    </row>
    <row r="4" spans="1:23" s="1" customFormat="1" ht="29.25" customHeight="1" x14ac:dyDescent="0.15">
      <c r="A4" s="22"/>
      <c r="B4" s="22"/>
      <c r="C4" s="22"/>
      <c r="D4" s="22"/>
      <c r="E4" s="22"/>
      <c r="F4" s="22"/>
      <c r="G4" s="22"/>
      <c r="H4" s="4" t="s">
        <v>19</v>
      </c>
      <c r="I4" s="4" t="s">
        <v>20</v>
      </c>
      <c r="J4" s="4" t="s">
        <v>21</v>
      </c>
      <c r="K4" s="7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2"/>
      <c r="U4" s="22"/>
      <c r="V4" s="22"/>
      <c r="W4" s="22"/>
    </row>
    <row r="5" spans="1:23" s="1" customFormat="1" ht="81.95" customHeight="1" x14ac:dyDescent="0.15">
      <c r="A5" s="5">
        <v>1</v>
      </c>
      <c r="B5" s="5" t="s">
        <v>29</v>
      </c>
      <c r="C5" s="5" t="s">
        <v>30</v>
      </c>
      <c r="D5" s="11" t="s">
        <v>49</v>
      </c>
      <c r="E5" s="4">
        <v>9387</v>
      </c>
      <c r="F5" s="6" t="s">
        <v>31</v>
      </c>
      <c r="G5" s="5" t="s">
        <v>32</v>
      </c>
      <c r="H5" s="5">
        <v>0.56999999999999995</v>
      </c>
      <c r="I5" s="4" t="s">
        <v>33</v>
      </c>
      <c r="J5" s="24" t="s">
        <v>58</v>
      </c>
      <c r="K5" s="8">
        <f>M5/0.92</f>
        <v>6.1956521739130421</v>
      </c>
      <c r="L5" s="5">
        <v>10000</v>
      </c>
      <c r="M5" s="9">
        <f>H5*L5/1000</f>
        <v>5.6999999999999993</v>
      </c>
      <c r="N5" s="5">
        <v>25</v>
      </c>
      <c r="O5" s="5">
        <v>400</v>
      </c>
      <c r="P5" s="5">
        <v>40</v>
      </c>
      <c r="Q5" s="5">
        <v>10</v>
      </c>
      <c r="R5" s="5">
        <v>10050</v>
      </c>
      <c r="S5" s="9">
        <f>H5*R5/1000</f>
        <v>5.7284999999999995</v>
      </c>
      <c r="T5" s="12" t="s">
        <v>50</v>
      </c>
      <c r="U5" s="13" t="s">
        <v>51</v>
      </c>
      <c r="V5" s="5" t="s">
        <v>34</v>
      </c>
      <c r="W5" s="10" t="s">
        <v>35</v>
      </c>
    </row>
    <row r="6" spans="1:23" s="1" customFormat="1" ht="34.5" customHeight="1" x14ac:dyDescent="0.15">
      <c r="A6" s="22" t="s">
        <v>36</v>
      </c>
      <c r="B6" s="22"/>
      <c r="C6" s="4"/>
      <c r="D6" s="4"/>
      <c r="E6" s="4"/>
      <c r="F6" s="4"/>
      <c r="G6" s="4"/>
      <c r="H6" s="4"/>
      <c r="I6" s="4"/>
      <c r="J6" s="4"/>
      <c r="K6" s="11" t="s">
        <v>52</v>
      </c>
      <c r="L6" s="11" t="s">
        <v>53</v>
      </c>
      <c r="M6" s="11" t="s">
        <v>54</v>
      </c>
      <c r="N6" s="4"/>
      <c r="O6" s="11" t="s">
        <v>55</v>
      </c>
      <c r="P6" s="4"/>
      <c r="Q6" s="11" t="s">
        <v>56</v>
      </c>
      <c r="R6" s="11" t="s">
        <v>57</v>
      </c>
      <c r="S6" s="11" t="s">
        <v>54</v>
      </c>
      <c r="T6" s="4"/>
      <c r="U6" s="4" t="s">
        <v>37</v>
      </c>
      <c r="V6" s="4"/>
      <c r="W6" s="4"/>
    </row>
    <row r="7" spans="1:23" ht="26.1" customHeight="1" x14ac:dyDescent="0.15"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s="1" customFormat="1" ht="19.5" customHeight="1" x14ac:dyDescent="0.15">
      <c r="B8" s="1" t="s">
        <v>38</v>
      </c>
    </row>
    <row r="9" spans="1:23" s="1" customFormat="1" ht="19.5" customHeight="1" x14ac:dyDescent="0.15">
      <c r="A9" s="1" t="s">
        <v>39</v>
      </c>
      <c r="B9" s="15" t="s">
        <v>40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s="1" customFormat="1" ht="19.5" customHeight="1" x14ac:dyDescent="0.15">
      <c r="B10" s="15" t="s">
        <v>41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s="1" customFormat="1" ht="19.5" customHeight="1" x14ac:dyDescent="0.15">
      <c r="A11" s="1" t="s">
        <v>42</v>
      </c>
      <c r="B11" s="15" t="s">
        <v>43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1" customFormat="1" ht="19.5" customHeight="1" x14ac:dyDescent="0.15">
      <c r="A12" s="1" t="s">
        <v>44</v>
      </c>
      <c r="B12" s="15" t="s">
        <v>45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1" customFormat="1" ht="19.5" customHeight="1" x14ac:dyDescent="0.15">
      <c r="A13" s="1" t="s">
        <v>46</v>
      </c>
      <c r="B13" s="15" t="s">
        <v>47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42" customHeight="1" x14ac:dyDescent="0.15">
      <c r="T14" s="23">
        <v>45749</v>
      </c>
      <c r="U14" s="23"/>
      <c r="V14" s="23"/>
      <c r="W14" s="23"/>
    </row>
    <row r="15" spans="1:23" ht="20.25" customHeight="1" x14ac:dyDescent="0.15">
      <c r="C15" s="15" t="s">
        <v>48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</sheetData>
  <mergeCells count="27">
    <mergeCell ref="B12:W12"/>
    <mergeCell ref="B13:W13"/>
    <mergeCell ref="T14:W14"/>
    <mergeCell ref="C15:N15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6:B6"/>
    <mergeCell ref="N7:W7"/>
    <mergeCell ref="B9:W9"/>
    <mergeCell ref="B10:W10"/>
    <mergeCell ref="B11:W11"/>
    <mergeCell ref="A1:W1"/>
    <mergeCell ref="I2:J2"/>
    <mergeCell ref="N2:O2"/>
    <mergeCell ref="T2:W2"/>
    <mergeCell ref="I3:K3"/>
    <mergeCell ref="L3:Q3"/>
    <mergeCell ref="R3:S3"/>
  </mergeCells>
  <phoneticPr fontId="8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2025-04-03T02:12:36Z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