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F541EF7B-F09B-4678-AD7A-82F12B65F1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Q7" i="1"/>
  <c r="R7" i="1"/>
  <c r="K7" i="1"/>
  <c r="L7" i="1"/>
  <c r="N7" i="1"/>
  <c r="J7" i="1"/>
  <c r="J6" i="1"/>
  <c r="J5" i="1"/>
  <c r="R5" i="1"/>
  <c r="L5" i="1"/>
  <c r="R6" i="1"/>
  <c r="L6" i="1"/>
</calcChain>
</file>

<file path=xl/sharedStrings.xml><?xml version="1.0" encoding="utf-8"?>
<sst xmlns="http://schemas.openxmlformats.org/spreadsheetml/2006/main" count="72" uniqueCount="62">
  <si>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</si>
  <si>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</si>
  <si>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</si>
  <si>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</si>
  <si>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</si>
  <si>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</si>
  <si>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</si>
  <si>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</si>
  <si>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</si>
  <si>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</si>
  <si>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</si>
  <si>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</si>
  <si>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</si>
  <si>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</si>
  <si>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</si>
  <si>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</si>
  <si>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</si>
  <si>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</si>
  <si>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</si>
  <si>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</si>
  <si>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</si>
  <si>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</si>
  <si>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</si>
  <si>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桶</t>
  </si>
  <si>
    <t>托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</si>
  <si>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</si>
  <si>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</si>
  <si>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</si>
  <si>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</si>
  <si>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</si>
  <si>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</si>
  <si>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</si>
  <si>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</si>
  <si>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</si>
  <si>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</si>
  <si>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</si>
  <si>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</si>
  <si>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</si>
  <si>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</si>
  <si>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</si>
  <si>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</si>
  <si>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7 月  份  销  售  计  划  6</t>
    <phoneticPr fontId="7" type="noConversion"/>
  </si>
  <si>
    <t>N2道钉</t>
    <phoneticPr fontId="7" type="noConversion"/>
  </si>
  <si>
    <t>N5道钉</t>
    <phoneticPr fontId="7" type="noConversion"/>
  </si>
  <si>
    <t>24*149</t>
    <phoneticPr fontId="7" type="noConversion"/>
  </si>
  <si>
    <t>24*150</t>
    <phoneticPr fontId="7" type="noConversion"/>
  </si>
  <si>
    <t>250729-1</t>
    <phoneticPr fontId="7" type="noConversion"/>
  </si>
  <si>
    <t>250729-2</t>
  </si>
  <si>
    <t>EFE
N2
A
25</t>
    <phoneticPr fontId="7" type="noConversion"/>
  </si>
  <si>
    <t>EFE
N5
A
25</t>
    <phoneticPr fontId="7" type="noConversion"/>
  </si>
  <si>
    <t>表面本色</t>
    <phoneticPr fontId="7" type="noConversion"/>
  </si>
  <si>
    <t>ZSTL-XN2025071501-2</t>
    <phoneticPr fontId="7" type="noConversion"/>
  </si>
  <si>
    <t>24820B</t>
    <phoneticPr fontId="7" type="noConversion"/>
  </si>
  <si>
    <t>24820A</t>
    <phoneticPr fontId="7" type="noConversion"/>
  </si>
  <si>
    <t>编织袋+托盘
（免熏蒸材质）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</si>
  <si>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</si>
  <si>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</si>
  <si>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</si>
  <si>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</si>
  <si>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2025-9-10</t>
    <phoneticPr fontId="7" type="noConversion"/>
  </si>
  <si>
    <t>Q235</t>
    <phoneticPr fontId="7" type="noConversion"/>
  </si>
  <si>
    <t>编织袋+托盘（免熏蒸材质）。包装足够结实，适合多次转运。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</si>
</sst>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[$-F800]dddd\,\ mmmm\ dd\,\ yyyy"/>
    <numFmt numFmtId="178" formatCode="0_ "/>
    <numFmt numFmtId="179" formatCode="0.00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tabSelected="1" topLeftCell="A6" workbookViewId="0">
      <selection activeCell="H19" sqref="H19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7.25" style="2" customWidth="1"/>
    <col min="22" max="22" width="6" style="2" customWidth="1"/>
    <col min="23" max="16384" width="9" style="2"/>
  </cols>
  <sheetData>
    <row r="1" spans="1:22" ht="33" customHeight="1" x14ac:dyDescent="0.15">
      <c r="A1" s="15" t="s">
        <v>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" customFormat="1" ht="21" customHeight="1" x14ac:dyDescent="0.15">
      <c r="B2" s="1" t="s">
        <v>0</v>
      </c>
      <c r="C2" s="12" t="s">
        <v>36</v>
      </c>
      <c r="G2" s="16" t="s">
        <v>1</v>
      </c>
      <c r="H2" s="16"/>
      <c r="N2" s="16" t="s">
        <v>2</v>
      </c>
      <c r="O2" s="16"/>
      <c r="T2" s="17" t="s">
        <v>3</v>
      </c>
      <c r="U2" s="18"/>
      <c r="V2" s="18"/>
    </row>
    <row r="3" spans="1:22" s="1" customFormat="1" ht="27" customHeight="1" x14ac:dyDescent="0.15">
      <c r="A3" s="21" t="s">
        <v>4</v>
      </c>
      <c r="B3" s="21" t="s">
        <v>5</v>
      </c>
      <c r="C3" s="21" t="s">
        <v>6</v>
      </c>
      <c r="D3" s="21" t="s">
        <v>7</v>
      </c>
      <c r="E3" s="21" t="s">
        <v>8</v>
      </c>
      <c r="F3" s="24" t="s">
        <v>37</v>
      </c>
      <c r="G3" s="3" t="s">
        <v>9</v>
      </c>
      <c r="H3" s="19" t="s">
        <v>10</v>
      </c>
      <c r="I3" s="20"/>
      <c r="J3" s="20"/>
      <c r="K3" s="21" t="s">
        <v>11</v>
      </c>
      <c r="L3" s="21"/>
      <c r="M3" s="21"/>
      <c r="N3" s="21"/>
      <c r="O3" s="21"/>
      <c r="P3" s="21"/>
      <c r="Q3" s="21" t="s">
        <v>12</v>
      </c>
      <c r="R3" s="21"/>
      <c r="S3" s="21" t="s">
        <v>13</v>
      </c>
      <c r="T3" s="21" t="s">
        <v>14</v>
      </c>
      <c r="U3" s="21" t="s">
        <v>15</v>
      </c>
      <c r="V3" s="21" t="s">
        <v>16</v>
      </c>
    </row>
    <row r="4" spans="1:22" s="1" customFormat="1" ht="27.75" customHeight="1" x14ac:dyDescent="0.15">
      <c r="A4" s="21"/>
      <c r="B4" s="21"/>
      <c r="C4" s="21"/>
      <c r="D4" s="21"/>
      <c r="E4" s="21"/>
      <c r="F4" s="21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56</v>
      </c>
      <c r="N4" s="3" t="s">
        <v>57</v>
      </c>
      <c r="O4" s="3" t="s">
        <v>58</v>
      </c>
      <c r="P4" s="3" t="s">
        <v>24</v>
      </c>
      <c r="Q4" s="3" t="s">
        <v>21</v>
      </c>
      <c r="R4" s="3" t="s">
        <v>22</v>
      </c>
      <c r="S4" s="21"/>
      <c r="T4" s="21"/>
      <c r="U4" s="21"/>
      <c r="V4" s="21"/>
    </row>
    <row r="5" spans="1:22" s="1" customFormat="1" ht="92.25" customHeight="1" x14ac:dyDescent="0.15">
      <c r="A5" s="3">
        <v>1</v>
      </c>
      <c r="B5" s="3" t="s">
        <v>42</v>
      </c>
      <c r="C5" s="3" t="s">
        <v>44</v>
      </c>
      <c r="D5" s="33" t="s">
        <v>46</v>
      </c>
      <c r="E5" s="22" t="s">
        <v>51</v>
      </c>
      <c r="F5" s="3" t="s">
        <v>52</v>
      </c>
      <c r="G5" s="34">
        <v>0.58499999999999996</v>
      </c>
      <c r="H5" s="3" t="s">
        <v>60</v>
      </c>
      <c r="I5" s="3" t="s">
        <v>25</v>
      </c>
      <c r="J5" s="13">
        <f>L5/0.9</f>
        <v>29.25</v>
      </c>
      <c r="K5" s="3">
        <v>45000</v>
      </c>
      <c r="L5" s="11">
        <f>K5*G5/1000</f>
        <v>26.324999999999999</v>
      </c>
      <c r="M5" s="3">
        <v>40</v>
      </c>
      <c r="N5" s="3">
        <v>1125</v>
      </c>
      <c r="O5" s="3">
        <v>30</v>
      </c>
      <c r="P5" s="3">
        <v>38</v>
      </c>
      <c r="Q5" s="3">
        <v>45100</v>
      </c>
      <c r="R5" s="11">
        <f>Q5*G5/1000</f>
        <v>26.383500000000002</v>
      </c>
      <c r="S5" s="37" t="s">
        <v>59</v>
      </c>
      <c r="T5" s="3" t="s">
        <v>48</v>
      </c>
      <c r="U5" s="3" t="s">
        <v>50</v>
      </c>
      <c r="V5" s="22" t="s">
        <v>54</v>
      </c>
    </row>
    <row r="6" spans="1:22" s="1" customFormat="1" ht="92.25" customHeight="1" x14ac:dyDescent="0.15">
      <c r="A6" s="3">
        <v>2</v>
      </c>
      <c r="B6" s="3" t="s">
        <v>43</v>
      </c>
      <c r="C6" s="3" t="s">
        <v>45</v>
      </c>
      <c r="D6" s="33" t="s">
        <v>47</v>
      </c>
      <c r="E6" s="31"/>
      <c r="F6" s="3" t="s">
        <v>53</v>
      </c>
      <c r="G6" s="5">
        <v>0.55000000000000004</v>
      </c>
      <c r="H6" s="3" t="s">
        <v>60</v>
      </c>
      <c r="I6" s="3" t="s">
        <v>25</v>
      </c>
      <c r="J6" s="13">
        <f>L6/0.9</f>
        <v>27.500000000000004</v>
      </c>
      <c r="K6" s="3">
        <v>45000</v>
      </c>
      <c r="L6" s="11">
        <f>K6*G6/1000</f>
        <v>24.750000000000004</v>
      </c>
      <c r="M6" s="3">
        <v>40</v>
      </c>
      <c r="N6" s="3">
        <v>1125</v>
      </c>
      <c r="O6" s="3">
        <v>30</v>
      </c>
      <c r="P6" s="3">
        <v>38</v>
      </c>
      <c r="Q6" s="3">
        <v>45100</v>
      </c>
      <c r="R6" s="11">
        <f>Q6*G6/1000</f>
        <v>24.805000000000003</v>
      </c>
      <c r="S6" s="36"/>
      <c r="T6" s="3" t="s">
        <v>49</v>
      </c>
      <c r="U6" s="3" t="s">
        <v>50</v>
      </c>
      <c r="V6" s="31"/>
    </row>
    <row r="7" spans="1:22" s="1" customFormat="1" ht="16.5" customHeight="1" x14ac:dyDescent="0.15">
      <c r="A7" s="26" t="s">
        <v>26</v>
      </c>
      <c r="B7" s="27"/>
      <c r="C7" s="22"/>
      <c r="D7" s="22"/>
      <c r="E7" s="22"/>
      <c r="F7" s="22"/>
      <c r="G7" s="22"/>
      <c r="H7" s="22"/>
      <c r="I7" s="22"/>
      <c r="J7" s="10">
        <f>SUM(J5:J6)</f>
        <v>56.75</v>
      </c>
      <c r="K7" s="10">
        <f t="shared" ref="K7:N7" si="0">SUM(K5:K6)</f>
        <v>90000</v>
      </c>
      <c r="L7" s="10">
        <f t="shared" si="0"/>
        <v>51.075000000000003</v>
      </c>
      <c r="M7" s="10"/>
      <c r="N7" s="10">
        <f t="shared" si="0"/>
        <v>2250</v>
      </c>
      <c r="O7" s="10"/>
      <c r="P7" s="10">
        <f t="shared" ref="P7" si="1">SUM(P5:P6)</f>
        <v>76</v>
      </c>
      <c r="Q7" s="10">
        <f t="shared" ref="Q7" si="2">SUM(Q5:Q6)</f>
        <v>90200</v>
      </c>
      <c r="R7" s="10">
        <f t="shared" ref="R7" si="3">SUM(R5:R6)</f>
        <v>51.188500000000005</v>
      </c>
      <c r="S7" s="4"/>
      <c r="T7" s="30" t="s">
        <v>39</v>
      </c>
      <c r="U7" s="4"/>
      <c r="V7" s="4"/>
    </row>
    <row r="8" spans="1:22" s="1" customFormat="1" ht="16.5" customHeight="1" x14ac:dyDescent="0.15">
      <c r="A8" s="28"/>
      <c r="B8" s="29"/>
      <c r="C8" s="23"/>
      <c r="D8" s="23"/>
      <c r="E8" s="23"/>
      <c r="F8" s="23"/>
      <c r="G8" s="23"/>
      <c r="H8" s="23"/>
      <c r="I8" s="23"/>
      <c r="J8" s="6" t="s">
        <v>22</v>
      </c>
      <c r="K8" s="14" t="s">
        <v>38</v>
      </c>
      <c r="L8" s="6" t="s">
        <v>22</v>
      </c>
      <c r="M8" s="6"/>
      <c r="N8" s="6" t="s">
        <v>23</v>
      </c>
      <c r="O8" s="6"/>
      <c r="P8" s="6" t="s">
        <v>24</v>
      </c>
      <c r="Q8" s="14" t="s">
        <v>38</v>
      </c>
      <c r="R8" s="7" t="s">
        <v>22</v>
      </c>
      <c r="S8" s="6"/>
      <c r="T8" s="31"/>
      <c r="U8" s="6"/>
      <c r="V8" s="6"/>
    </row>
    <row r="10" spans="1:22" s="1" customFormat="1" ht="19.5" customHeight="1" x14ac:dyDescent="0.15">
      <c r="B10" s="1" t="s">
        <v>27</v>
      </c>
      <c r="R10" s="8"/>
      <c r="S10" s="35" t="s">
        <v>55</v>
      </c>
    </row>
    <row r="11" spans="1:22" s="1" customFormat="1" ht="19.5" customHeight="1" x14ac:dyDescent="0.15">
      <c r="A11" s="1" t="s">
        <v>28</v>
      </c>
      <c r="B11" s="25" t="s">
        <v>29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 s="1" customFormat="1" ht="19.5" customHeight="1" x14ac:dyDescent="0.15">
      <c r="B12" s="25" t="s">
        <v>30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 s="1" customFormat="1" ht="19.5" customHeight="1" x14ac:dyDescent="0.15">
      <c r="A13" s="1" t="s">
        <v>31</v>
      </c>
      <c r="B13" s="25" t="s">
        <v>32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 s="1" customFormat="1" ht="19.5" customHeight="1" x14ac:dyDescent="0.15">
      <c r="A14" s="1" t="s">
        <v>33</v>
      </c>
      <c r="B14" s="25" t="s">
        <v>34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s="1" customFormat="1" ht="19.5" customHeight="1" x14ac:dyDescent="0.15">
      <c r="A15" s="12" t="s">
        <v>40</v>
      </c>
      <c r="B15" s="38" t="s">
        <v>61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ht="20.25" customHeight="1" x14ac:dyDescent="0.15">
      <c r="C16" s="25" t="s">
        <v>35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7:22" ht="22.5" x14ac:dyDescent="0.15">
      <c r="Q17" s="32">
        <v>45867</v>
      </c>
      <c r="R17" s="32"/>
      <c r="S17" s="32"/>
      <c r="T17" s="32"/>
      <c r="U17" s="32"/>
      <c r="V17" s="32"/>
    </row>
  </sheetData>
  <mergeCells count="35">
    <mergeCell ref="S5:S6"/>
    <mergeCell ref="B14:V14"/>
    <mergeCell ref="C16:M16"/>
    <mergeCell ref="Q17:V17"/>
    <mergeCell ref="B12:V12"/>
    <mergeCell ref="B13:V13"/>
    <mergeCell ref="E7:E8"/>
    <mergeCell ref="F3:F4"/>
    <mergeCell ref="F7:F8"/>
    <mergeCell ref="B11:V11"/>
    <mergeCell ref="G7:G8"/>
    <mergeCell ref="H7:H8"/>
    <mergeCell ref="I7:I8"/>
    <mergeCell ref="B3:B4"/>
    <mergeCell ref="C3:C4"/>
    <mergeCell ref="C7:C8"/>
    <mergeCell ref="D3:D4"/>
    <mergeCell ref="D7:D8"/>
    <mergeCell ref="A7:B8"/>
    <mergeCell ref="T7:T8"/>
    <mergeCell ref="E5:E6"/>
    <mergeCell ref="V5:V6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2025-02-12T07:13:11Z</cp:lastPrinted>
  <dcterms:created xsi:type="dcterms:W3CDTF">2006-09-13T11:21:00Z</dcterms:created>
  <dcterms:modified xsi:type="dcterms:W3CDTF">2025-07-29T06:50:06Z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