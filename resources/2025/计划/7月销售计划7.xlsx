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C7180002-25E6-43AA-AA30-B3602D208B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L10" i="1"/>
  <c r="S9" i="1"/>
  <c r="M8" i="1"/>
  <c r="K8" i="1" s="1"/>
  <c r="M9" i="1"/>
  <c r="S8" i="1"/>
  <c r="Q10" i="1" l="1"/>
  <c r="S7" i="1"/>
  <c r="S10" i="1" s="1"/>
  <c r="M7" i="1"/>
  <c r="K7" i="1" s="1"/>
  <c r="M10" i="1" l="1"/>
  <c r="K9" i="1"/>
  <c r="K10" i="1" s="1"/>
</calcChain>
</file>

<file path=xl/sharedStrings.xml><?xml version="1.0" encoding="utf-8"?>
<sst xmlns="http://schemas.openxmlformats.org/spreadsheetml/2006/main" count="74" uniqueCount="55">
  <si>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</si>
  <si>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</si>
  <si>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</si>
  <si>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</si>
  <si>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</si>
  <si>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</si>
  <si>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</si>
  <si>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</si>
  <si>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</si>
  <si>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</si>
  <si>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</si>
  <si>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</si>
  <si>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</si>
  <si>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</si>
  <si>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</si>
  <si>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</si>
  <si>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</si>
  <si>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</si>
  <si>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</si>
  <si>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</si>
  <si>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</si>
  <si>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</si>
  <si>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</si>
  <si>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</si>
  <si>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</si>
  <si>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</si>
  <si>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</si>
  <si>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</si>
  <si>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</si>
  <si>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</si>
  <si>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35K</t>
  </si>
  <si>
    <r>
      <rPr>
        <b/>
        <sz val="10"/>
        <color rgb="FFFF0000"/>
        <rFont val="宋体"/>
        <family val="3"/>
        <charset val="134"/>
        <scheme val="minor"/>
      </rPr>
      <t>电镀白锌</t>
    </r>
    <r>
      <rPr>
        <sz val="10"/>
        <color theme="1"/>
        <rFont val="宋体"/>
        <family val="3"/>
        <charset val="134"/>
        <scheme val="minor"/>
      </rPr>
      <t>≥12μm
90小时无白锈，200小时无红锈</t>
    </r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</si>
  <si>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</si>
  <si>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</si>
  <si>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</si>
  <si>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</si>
  <si>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</si>
  <si>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</si>
  <si>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</si>
  <si>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</si>
  <si>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</si>
  <si>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</si>
  <si>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</si>
  <si>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t xml:space="preserve"> E225195
 E225235</t>
  </si>
  <si>
    <t>客户图纸
UIC864-1</t>
    <phoneticPr fontId="10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</si>
  <si>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26</t>
    </r>
    <phoneticPr fontId="10" type="noConversion"/>
  </si>
  <si>
    <t>7 月  份  销  售  计  划  7</t>
    <phoneticPr fontId="10" type="noConversion"/>
  </si>
  <si>
    <t>250730-1</t>
    <phoneticPr fontId="10" type="noConversion"/>
  </si>
  <si>
    <t>250730-2</t>
  </si>
  <si>
    <t>250730-3</t>
  </si>
  <si>
    <t>25*219</t>
    <phoneticPr fontId="10" type="noConversion"/>
  </si>
  <si>
    <t>CA2504223</t>
    <phoneticPr fontId="10" type="noConversion"/>
  </si>
  <si>
    <t>2025-9-2</t>
    <phoneticPr fontId="10" type="noConversion"/>
  </si>
  <si>
    <t>2025-8-20</t>
    <phoneticPr fontId="10" type="noConversion"/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</si>
  <si>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GS195-A19
25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</si>
</sst>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topLeftCell="A5" workbookViewId="0">
      <selection activeCell="S10" sqref="S10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8" width="6.375" style="2" customWidth="1"/>
    <col min="9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16" t="s">
        <v>46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4" spans="1:23" s="1" customFormat="1" ht="27.75" customHeight="1" x14ac:dyDescent="0.15">
      <c r="A4" s="18" t="s">
        <v>0</v>
      </c>
      <c r="B4" s="18"/>
      <c r="C4" s="1" t="s">
        <v>1</v>
      </c>
      <c r="H4" s="18" t="s">
        <v>2</v>
      </c>
      <c r="I4" s="18"/>
      <c r="O4" s="18" t="s">
        <v>3</v>
      </c>
      <c r="P4" s="18"/>
      <c r="U4" s="19"/>
      <c r="V4" s="20"/>
      <c r="W4" s="20"/>
    </row>
    <row r="5" spans="1:23" s="1" customFormat="1" ht="27" customHeight="1" x14ac:dyDescent="0.15">
      <c r="A5" s="23" t="s">
        <v>4</v>
      </c>
      <c r="B5" s="23" t="s">
        <v>5</v>
      </c>
      <c r="C5" s="23" t="s">
        <v>6</v>
      </c>
      <c r="D5" s="23" t="s">
        <v>7</v>
      </c>
      <c r="E5" s="23" t="s">
        <v>8</v>
      </c>
      <c r="F5" s="23" t="s">
        <v>9</v>
      </c>
      <c r="G5" s="23" t="s">
        <v>10</v>
      </c>
      <c r="H5" s="3" t="s">
        <v>11</v>
      </c>
      <c r="I5" s="21" t="s">
        <v>12</v>
      </c>
      <c r="J5" s="22"/>
      <c r="K5" s="22"/>
      <c r="L5" s="23" t="s">
        <v>13</v>
      </c>
      <c r="M5" s="23"/>
      <c r="N5" s="23"/>
      <c r="O5" s="23"/>
      <c r="P5" s="23"/>
      <c r="Q5" s="23"/>
      <c r="R5" s="23" t="s">
        <v>14</v>
      </c>
      <c r="S5" s="23"/>
      <c r="T5" s="23" t="s">
        <v>15</v>
      </c>
      <c r="U5" s="23" t="s">
        <v>16</v>
      </c>
      <c r="V5" s="23" t="s">
        <v>17</v>
      </c>
      <c r="W5" s="23" t="s">
        <v>18</v>
      </c>
    </row>
    <row r="6" spans="1:23" s="1" customFormat="1" ht="27.75" customHeight="1" x14ac:dyDescent="0.15">
      <c r="A6" s="23"/>
      <c r="B6" s="23"/>
      <c r="C6" s="23"/>
      <c r="D6" s="23"/>
      <c r="E6" s="23"/>
      <c r="F6" s="23"/>
      <c r="G6" s="23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3"/>
      <c r="U6" s="23"/>
      <c r="V6" s="23"/>
      <c r="W6" s="23"/>
    </row>
    <row r="7" spans="1:23" s="1" customFormat="1" ht="74.25" customHeight="1" x14ac:dyDescent="0.15">
      <c r="A7" s="4">
        <v>1</v>
      </c>
      <c r="B7" s="3" t="s">
        <v>29</v>
      </c>
      <c r="C7" s="11" t="s">
        <v>50</v>
      </c>
      <c r="D7" s="11" t="s">
        <v>47</v>
      </c>
      <c r="E7" s="30" t="s">
        <v>51</v>
      </c>
      <c r="F7" s="12" t="s">
        <v>44</v>
      </c>
      <c r="G7" s="3" t="s">
        <v>43</v>
      </c>
      <c r="H7" s="3">
        <v>0.90500000000000003</v>
      </c>
      <c r="I7" s="6" t="s">
        <v>30</v>
      </c>
      <c r="J7" s="14" t="s">
        <v>45</v>
      </c>
      <c r="K7" s="7">
        <f>M7/0.92</f>
        <v>0.18198369565217393</v>
      </c>
      <c r="L7" s="3">
        <v>185</v>
      </c>
      <c r="M7" s="15">
        <f>L7*H7/1000</f>
        <v>0.16742500000000002</v>
      </c>
      <c r="N7" s="3">
        <v>20</v>
      </c>
      <c r="O7" s="3">
        <v>10</v>
      </c>
      <c r="P7" s="3">
        <v>10</v>
      </c>
      <c r="Q7" s="3">
        <v>1</v>
      </c>
      <c r="R7" s="3">
        <v>185</v>
      </c>
      <c r="S7" s="15">
        <f>R7*H7/1000</f>
        <v>0.16742500000000002</v>
      </c>
      <c r="T7" s="13" t="s">
        <v>53</v>
      </c>
      <c r="U7" s="12" t="s">
        <v>54</v>
      </c>
      <c r="V7" s="27" t="s">
        <v>31</v>
      </c>
      <c r="W7" s="5" t="s">
        <v>32</v>
      </c>
    </row>
    <row r="8" spans="1:23" s="1" customFormat="1" ht="74.25" customHeight="1" x14ac:dyDescent="0.15">
      <c r="A8" s="4">
        <v>2</v>
      </c>
      <c r="B8" s="3" t="s">
        <v>29</v>
      </c>
      <c r="C8" s="11" t="s">
        <v>50</v>
      </c>
      <c r="D8" s="11" t="s">
        <v>48</v>
      </c>
      <c r="E8" s="31"/>
      <c r="F8" s="12" t="s">
        <v>44</v>
      </c>
      <c r="G8" s="3" t="s">
        <v>43</v>
      </c>
      <c r="H8" s="3">
        <v>0.90500000000000003</v>
      </c>
      <c r="I8" s="6" t="s">
        <v>30</v>
      </c>
      <c r="J8" s="14" t="s">
        <v>45</v>
      </c>
      <c r="K8" s="7">
        <f>M8/0.92</f>
        <v>36.43510326086956</v>
      </c>
      <c r="L8" s="3">
        <v>37039</v>
      </c>
      <c r="M8" s="15">
        <f t="shared" ref="M8:M9" si="0">L8*H8/1000</f>
        <v>33.520294999999997</v>
      </c>
      <c r="N8" s="3">
        <v>20</v>
      </c>
      <c r="O8" s="3">
        <v>1852</v>
      </c>
      <c r="P8" s="3">
        <v>40</v>
      </c>
      <c r="Q8" s="3">
        <v>47</v>
      </c>
      <c r="R8" s="3">
        <v>37100</v>
      </c>
      <c r="S8" s="8">
        <f>R8*H8/1000</f>
        <v>33.575499999999998</v>
      </c>
      <c r="T8" s="13" t="s">
        <v>53</v>
      </c>
      <c r="U8" s="12" t="s">
        <v>54</v>
      </c>
      <c r="V8" s="28"/>
      <c r="W8" s="5" t="s">
        <v>32</v>
      </c>
    </row>
    <row r="9" spans="1:23" s="1" customFormat="1" ht="74.25" customHeight="1" x14ac:dyDescent="0.15">
      <c r="A9" s="4">
        <v>2</v>
      </c>
      <c r="B9" s="3" t="s">
        <v>29</v>
      </c>
      <c r="C9" s="11" t="s">
        <v>50</v>
      </c>
      <c r="D9" s="11" t="s">
        <v>49</v>
      </c>
      <c r="E9" s="32"/>
      <c r="F9" s="12" t="s">
        <v>44</v>
      </c>
      <c r="G9" s="3" t="s">
        <v>43</v>
      </c>
      <c r="H9" s="3">
        <v>0.90500000000000003</v>
      </c>
      <c r="I9" s="6" t="s">
        <v>30</v>
      </c>
      <c r="J9" s="14" t="s">
        <v>45</v>
      </c>
      <c r="K9" s="7">
        <f>M9/0.92</f>
        <v>8.9172010869565224</v>
      </c>
      <c r="L9" s="3">
        <v>9065</v>
      </c>
      <c r="M9" s="15">
        <f t="shared" si="0"/>
        <v>8.2038250000000001</v>
      </c>
      <c r="N9" s="3">
        <v>20</v>
      </c>
      <c r="O9" s="3">
        <v>454</v>
      </c>
      <c r="P9" s="3">
        <v>40</v>
      </c>
      <c r="Q9" s="3">
        <v>12</v>
      </c>
      <c r="R9" s="3">
        <v>9100</v>
      </c>
      <c r="S9" s="8">
        <f>R9*H9/1000</f>
        <v>8.2355</v>
      </c>
      <c r="T9" s="13" t="s">
        <v>52</v>
      </c>
      <c r="U9" s="12" t="s">
        <v>54</v>
      </c>
      <c r="V9" s="29"/>
      <c r="W9" s="5" t="s">
        <v>32</v>
      </c>
    </row>
    <row r="10" spans="1:23" s="1" customFormat="1" ht="42" customHeight="1" x14ac:dyDescent="0.15">
      <c r="A10" s="21" t="s">
        <v>33</v>
      </c>
      <c r="B10" s="22"/>
      <c r="C10" s="22"/>
      <c r="D10" s="22"/>
      <c r="E10" s="22"/>
      <c r="F10" s="22"/>
      <c r="G10" s="24"/>
      <c r="H10" s="3"/>
      <c r="I10" s="3"/>
      <c r="J10" s="3"/>
      <c r="K10" s="8">
        <f>SUM(K7:K9)</f>
        <v>45.534288043478256</v>
      </c>
      <c r="L10" s="8">
        <f>SUM(L7:L9)</f>
        <v>46289</v>
      </c>
      <c r="M10" s="8">
        <f>SUM(M7:M9)</f>
        <v>41.891545000000001</v>
      </c>
      <c r="N10" s="3"/>
      <c r="O10" s="8">
        <f>SUM(O7:O9)</f>
        <v>2316</v>
      </c>
      <c r="P10" s="3"/>
      <c r="Q10" s="8">
        <f>SUM(Q7:Q9)</f>
        <v>60</v>
      </c>
      <c r="R10" s="3"/>
      <c r="S10" s="8">
        <f>SUM(S7:S9)</f>
        <v>41.978425000000001</v>
      </c>
      <c r="T10" s="10"/>
      <c r="U10" s="3" t="s">
        <v>34</v>
      </c>
      <c r="V10" s="3"/>
      <c r="W10" s="5"/>
    </row>
    <row r="11" spans="1:23" ht="29.25" customHeight="1" x14ac:dyDescent="0.15">
      <c r="U11" s="26"/>
      <c r="V11" s="26"/>
    </row>
    <row r="12" spans="1:23" s="1" customFormat="1" ht="19.5" customHeight="1" x14ac:dyDescent="0.15">
      <c r="B12" s="1" t="s">
        <v>35</v>
      </c>
      <c r="O12" s="9"/>
      <c r="S12"/>
      <c r="U12" s="26"/>
      <c r="V12" s="26"/>
    </row>
    <row r="13" spans="1:23" s="1" customFormat="1" ht="19.5" customHeight="1" x14ac:dyDescent="0.15">
      <c r="A13" s="1" t="s">
        <v>36</v>
      </c>
      <c r="B13" s="25" t="s">
        <v>37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spans="1:23" s="1" customFormat="1" ht="19.5" customHeight="1" x14ac:dyDescent="0.15">
      <c r="A14" s="1" t="s">
        <v>38</v>
      </c>
      <c r="B14" s="25" t="s">
        <v>39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spans="1:23" s="1" customFormat="1" ht="19.5" customHeight="1" x14ac:dyDescent="0.15">
      <c r="A15" s="1" t="s">
        <v>40</v>
      </c>
      <c r="B15" s="25" t="s">
        <v>41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spans="1:23" ht="42" customHeight="1" x14ac:dyDescent="0.15">
      <c r="O16" s="34"/>
      <c r="P16" s="34"/>
      <c r="Q16" s="34"/>
      <c r="R16" s="34"/>
      <c r="S16" s="34"/>
      <c r="T16" s="34"/>
      <c r="U16" s="34"/>
      <c r="V16" s="34"/>
      <c r="W16" s="34"/>
    </row>
    <row r="17" spans="3:23" ht="20.25" customHeight="1" x14ac:dyDescent="0.15">
      <c r="C17" s="25" t="s">
        <v>42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34"/>
      <c r="P17" s="34"/>
      <c r="Q17" s="34"/>
      <c r="R17" s="34"/>
      <c r="S17" s="34"/>
      <c r="T17" s="34"/>
      <c r="U17" s="34"/>
      <c r="V17" s="34"/>
      <c r="W17" s="34"/>
    </row>
    <row r="18" spans="3:23" x14ac:dyDescent="0.15">
      <c r="Q18" s="33">
        <v>45868</v>
      </c>
      <c r="R18" s="33"/>
      <c r="S18" s="33"/>
      <c r="T18" s="33"/>
    </row>
  </sheetData>
  <mergeCells count="29">
    <mergeCell ref="B14:W14"/>
    <mergeCell ref="B15:W15"/>
    <mergeCell ref="C17:N17"/>
    <mergeCell ref="Q18:T18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6:W17"/>
    <mergeCell ref="I5:K5"/>
    <mergeCell ref="L5:Q5"/>
    <mergeCell ref="R5:S5"/>
    <mergeCell ref="A10:G10"/>
    <mergeCell ref="B13:W13"/>
    <mergeCell ref="U11:V12"/>
    <mergeCell ref="V7:V9"/>
    <mergeCell ref="E7:E9"/>
    <mergeCell ref="A2:W2"/>
    <mergeCell ref="A4:B4"/>
    <mergeCell ref="H4:I4"/>
    <mergeCell ref="O4:P4"/>
    <mergeCell ref="U4:W4"/>
  </mergeCells>
  <phoneticPr fontId="10" type="noConversion"/>
  <pageMargins left="0.7" right="0.7" top="0.75" bottom="0.75" header="0.3" footer="0.3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4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2025-02-18T03:21:15Z</cp:lastPrinted>
  <dcterms:created xsi:type="dcterms:W3CDTF">2006-09-13T11:21:00Z</dcterms:created>
  <dcterms:modified xsi:type="dcterms:W3CDTF">2025-08-01T02:04:54Z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