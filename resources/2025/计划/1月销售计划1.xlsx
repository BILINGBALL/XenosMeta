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00446FF-8A28-4D91-B9F7-9B48DB524A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/>
  <c r="S9" i="1"/>
  <c r="R9" i="1"/>
  <c r="R8" i="1"/>
  <c r="L9" i="1"/>
  <c r="L8" i="1"/>
  <c r="R10" i="1"/>
  <c r="Q10" i="1"/>
  <c r="O10" i="1"/>
  <c r="L10" i="1"/>
  <c r="S7" i="1"/>
  <c r="S10" i="1" s="1"/>
  <c r="M7" i="1"/>
  <c r="K7" i="1" s="1"/>
  <c r="K10" i="1" s="1"/>
  <c r="M10" i="1" l="1"/>
</calcChain>
</file>

<file path=xl/sharedStrings.xml><?xml version="1.0" encoding="utf-8"?>
<sst xmlns="http://schemas.openxmlformats.org/spreadsheetml/2006/main" count="73" uniqueCount="63">
  <si>
    <t>1  月  份  销  售  计  划  1</t>
  </si>
  <si>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</si>
  <si>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</si>
  <si>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</si>
  <si>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</si>
  <si>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</si>
  <si>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</si>
  <si>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</si>
  <si>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</si>
  <si>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</si>
  <si>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</si>
  <si>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</si>
  <si>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</si>
  <si>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</si>
  <si>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</si>
  <si>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</si>
  <si>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</si>
  <si>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</si>
  <si>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</si>
  <si>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</si>
  <si>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</si>
  <si>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</si>
  <si>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</si>
  <si>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</si>
  <si>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</si>
  <si>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</si>
  <si>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</si>
  <si>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</si>
  <si>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</si>
  <si>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</si>
  <si>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</si>
  <si>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LD-4/24-1</t>
  </si>
  <si>
    <t>Q235</t>
  </si>
  <si>
    <t>2024-1-28</t>
  </si>
  <si>
    <t>ART
0.75X5.5
2024</t>
  </si>
  <si>
    <t>本色
涂油</t>
  </si>
  <si>
    <t>编织袋+免熏蒸托盘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</si>
  <si>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</si>
  <si>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</si>
  <si>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</si>
  <si>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</si>
  <si>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</si>
  <si>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</si>
  <si>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</si>
  <si>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</si>
  <si>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生产部门按生产工艺生产，加强自检，严格质量管理，合同签订一周内提供样品10件送客户供检验。</t>
  </si>
  <si>
    <t>3、</t>
  </si>
  <si>
    <t>品管部负责办理质量证明书，检测报告及相关数据。</t>
  </si>
  <si>
    <t>4、</t>
  </si>
  <si>
    <t>包装物是：编织袋加托盘缠绕膜包装，托盘需采用免薰蒸型，编织袋和托盘的捆扎应牢固适合多次海
运和陆地运输。</t>
  </si>
  <si>
    <t>分发：总经理、总经办、品管部、生产部、技术部</t>
  </si>
  <si>
    <t>250116-1</t>
    <phoneticPr fontId="9" type="noConversion"/>
  </si>
  <si>
    <t>双头螺栓</t>
    <phoneticPr fontId="9" type="noConversion"/>
  </si>
  <si>
    <t>22X165.2</t>
    <phoneticPr fontId="9" type="noConversion"/>
  </si>
  <si>
    <t>SY20250115-01</t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</si>
  <si>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22</t>
    </r>
    <phoneticPr fontId="9" type="noConversion"/>
  </si>
  <si>
    <t>与螺栓装配</t>
    <phoneticPr fontId="9" type="noConversion"/>
  </si>
  <si>
    <t>螺母</t>
    <phoneticPr fontId="9" type="noConversion"/>
  </si>
  <si>
    <t>平垫</t>
    <phoneticPr fontId="9" type="noConversion"/>
  </si>
  <si>
    <t>250116-2</t>
  </si>
  <si>
    <t>250116-3</t>
  </si>
  <si>
    <t>样品单</t>
    <phoneticPr fontId="9" type="noConversion"/>
  </si>
  <si>
    <t>外购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</si>
</sst>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0_ "/>
    <numFmt numFmtId="179" formatCode="[$-F800]dddd\,\ mmmm\ dd\,\ yyyy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wrapText="1"/>
    </xf>
    <xf numFmtId="178" fontId="5" fillId="0" borderId="5" xfId="0" applyNumberFormat="1" applyFont="1" applyBorder="1" applyAlignment="1">
      <alignment horizontal="center" wrapText="1"/>
    </xf>
    <xf numFmtId="177" fontId="5" fillId="0" borderId="5" xfId="0" applyNumberFormat="1" applyFont="1" applyBorder="1" applyAlignment="1">
      <alignment horizontal="center" wrapText="1"/>
    </xf>
    <xf numFmtId="178" fontId="1" fillId="0" borderId="5" xfId="0" applyNumberFormat="1" applyFont="1" applyBorder="1" applyAlignment="1">
      <alignment horizont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7" fontId="10" fillId="0" borderId="10" xfId="0" applyNumberFormat="1" applyFont="1" applyBorder="1" applyAlignment="1">
      <alignment horizontal="center" vertical="center" wrapText="1"/>
    </xf>
    <xf numFmtId="177" fontId="10" fillId="0" borderId="11" xfId="0" applyNumberFormat="1" applyFont="1" applyBorder="1" applyAlignment="1">
      <alignment horizontal="center" vertical="center" wrapText="1"/>
    </xf>
    <xf numFmtId="177" fontId="10" fillId="0" borderId="12" xfId="0" applyNumberFormat="1" applyFont="1" applyBorder="1" applyAlignment="1">
      <alignment horizontal="center" vertical="center" wrapText="1"/>
    </xf>
    <xf numFmtId="179" fontId="8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1"/>
  <sheetViews>
    <sheetView tabSelected="1" topLeftCell="A2" workbookViewId="0">
      <selection activeCell="G9" sqref="G9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1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5.6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5.625" style="4" customWidth="1"/>
    <col min="20" max="20" width="5.125" style="4" customWidth="1"/>
    <col min="21" max="21" width="8.875" style="4" customWidth="1"/>
    <col min="22" max="22" width="5.75" style="4" customWidth="1"/>
    <col min="23" max="23" width="7.375" style="4" customWidth="1"/>
    <col min="24" max="16384" width="9" style="4"/>
  </cols>
  <sheetData>
    <row r="2" spans="1:23" ht="45" customHeight="1" x14ac:dyDescent="0.15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</row>
    <row r="4" spans="1:23" s="1" customFormat="1" ht="27.75" customHeight="1" x14ac:dyDescent="0.15">
      <c r="B4" s="1" t="s">
        <v>1</v>
      </c>
      <c r="C4" s="1" t="s">
        <v>2</v>
      </c>
      <c r="H4" s="48" t="s">
        <v>3</v>
      </c>
      <c r="I4" s="48"/>
      <c r="O4" s="48" t="s">
        <v>4</v>
      </c>
      <c r="P4" s="48"/>
      <c r="U4" s="49" t="s">
        <v>5</v>
      </c>
      <c r="V4" s="50"/>
      <c r="W4" s="50"/>
    </row>
    <row r="5" spans="1:23" s="1" customFormat="1" ht="27" customHeight="1" x14ac:dyDescent="0.15">
      <c r="A5" s="38" t="s">
        <v>6</v>
      </c>
      <c r="B5" s="38" t="s">
        <v>7</v>
      </c>
      <c r="C5" s="38" t="s">
        <v>8</v>
      </c>
      <c r="D5" s="38" t="s">
        <v>9</v>
      </c>
      <c r="E5" s="38" t="s">
        <v>10</v>
      </c>
      <c r="F5" s="38" t="s">
        <v>11</v>
      </c>
      <c r="G5" s="38" t="s">
        <v>12</v>
      </c>
      <c r="H5" s="5" t="s">
        <v>13</v>
      </c>
      <c r="I5" s="38" t="s">
        <v>14</v>
      </c>
      <c r="J5" s="38"/>
      <c r="K5" s="38"/>
      <c r="L5" s="38" t="s">
        <v>15</v>
      </c>
      <c r="M5" s="38"/>
      <c r="N5" s="38"/>
      <c r="O5" s="38"/>
      <c r="P5" s="38"/>
      <c r="Q5" s="38"/>
      <c r="R5" s="38" t="s">
        <v>16</v>
      </c>
      <c r="S5" s="38"/>
      <c r="T5" s="38" t="s">
        <v>17</v>
      </c>
      <c r="U5" s="38" t="s">
        <v>18</v>
      </c>
      <c r="V5" s="38" t="s">
        <v>19</v>
      </c>
      <c r="W5" s="38" t="s">
        <v>20</v>
      </c>
    </row>
    <row r="6" spans="1:23" s="1" customFormat="1" ht="27.75" customHeight="1" x14ac:dyDescent="0.15">
      <c r="A6" s="38"/>
      <c r="B6" s="38"/>
      <c r="C6" s="38"/>
      <c r="D6" s="38"/>
      <c r="E6" s="38"/>
      <c r="F6" s="38"/>
      <c r="G6" s="38"/>
      <c r="H6" s="5" t="s">
        <v>21</v>
      </c>
      <c r="I6" s="5" t="s">
        <v>22</v>
      </c>
      <c r="J6" s="5" t="s">
        <v>23</v>
      </c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5" t="s">
        <v>29</v>
      </c>
      <c r="Q6" s="5" t="s">
        <v>30</v>
      </c>
      <c r="R6" s="5" t="s">
        <v>25</v>
      </c>
      <c r="S6" s="5" t="s">
        <v>26</v>
      </c>
      <c r="T6" s="38"/>
      <c r="U6" s="38"/>
      <c r="V6" s="38"/>
      <c r="W6" s="38"/>
    </row>
    <row r="7" spans="1:23" s="1" customFormat="1" ht="48.95" customHeight="1" x14ac:dyDescent="0.15">
      <c r="A7" s="5">
        <v>1</v>
      </c>
      <c r="B7" s="20" t="s">
        <v>52</v>
      </c>
      <c r="C7" s="20" t="s">
        <v>53</v>
      </c>
      <c r="D7" s="20" t="s">
        <v>51</v>
      </c>
      <c r="E7" s="27" t="s">
        <v>54</v>
      </c>
      <c r="F7" s="5"/>
      <c r="G7" s="24" t="s">
        <v>31</v>
      </c>
      <c r="H7" s="5">
        <v>0.56000000000000005</v>
      </c>
      <c r="I7" s="5" t="s">
        <v>32</v>
      </c>
      <c r="J7" s="26" t="s">
        <v>55</v>
      </c>
      <c r="K7" s="12">
        <f>M7/0.88</f>
        <v>0.76363636363636378</v>
      </c>
      <c r="L7" s="5">
        <v>1200</v>
      </c>
      <c r="M7" s="13">
        <f>L7*H7/1000</f>
        <v>0.67200000000000015</v>
      </c>
      <c r="N7" s="5">
        <v>40</v>
      </c>
      <c r="O7" s="5">
        <v>30</v>
      </c>
      <c r="P7" s="5">
        <v>30</v>
      </c>
      <c r="Q7" s="5">
        <v>1</v>
      </c>
      <c r="R7" s="5">
        <v>1210</v>
      </c>
      <c r="S7" s="18">
        <f>R7*H7/1000</f>
        <v>0.67759999999999998</v>
      </c>
      <c r="T7" s="43" t="s">
        <v>33</v>
      </c>
      <c r="U7" s="5" t="s">
        <v>34</v>
      </c>
      <c r="V7" s="5" t="s">
        <v>35</v>
      </c>
      <c r="W7" s="30" t="s">
        <v>36</v>
      </c>
    </row>
    <row r="8" spans="1:23" s="1" customFormat="1" ht="48.95" customHeight="1" x14ac:dyDescent="0.15">
      <c r="A8" s="5">
        <v>2</v>
      </c>
      <c r="B8" s="21" t="s">
        <v>57</v>
      </c>
      <c r="C8" s="22">
        <v>22</v>
      </c>
      <c r="D8" s="20" t="s">
        <v>59</v>
      </c>
      <c r="E8" s="28"/>
      <c r="F8" s="23"/>
      <c r="G8" s="25"/>
      <c r="I8" s="54" t="s">
        <v>62</v>
      </c>
      <c r="J8" s="52"/>
      <c r="K8" s="53"/>
      <c r="L8" s="23">
        <f>L7</f>
        <v>1200</v>
      </c>
      <c r="M8" s="33" t="s">
        <v>56</v>
      </c>
      <c r="N8" s="34"/>
      <c r="O8" s="34"/>
      <c r="P8" s="34"/>
      <c r="Q8" s="35"/>
      <c r="R8" s="23">
        <f>R7</f>
        <v>1210</v>
      </c>
      <c r="S8" s="18">
        <f t="shared" ref="S8:S9" si="0">R8*H8/1000</f>
        <v>0</v>
      </c>
      <c r="T8" s="44"/>
      <c r="U8" s="23"/>
      <c r="V8" s="23"/>
      <c r="W8" s="31"/>
    </row>
    <row r="9" spans="1:23" s="1" customFormat="1" ht="48.95" customHeight="1" x14ac:dyDescent="0.15">
      <c r="A9" s="5">
        <v>3</v>
      </c>
      <c r="B9" s="21" t="s">
        <v>58</v>
      </c>
      <c r="C9" s="22">
        <v>22</v>
      </c>
      <c r="D9" s="20" t="s">
        <v>60</v>
      </c>
      <c r="E9" s="29"/>
      <c r="F9" s="23"/>
      <c r="G9" s="25"/>
      <c r="H9" s="23"/>
      <c r="I9" s="54" t="s">
        <v>62</v>
      </c>
      <c r="J9" s="52"/>
      <c r="K9" s="53"/>
      <c r="L9" s="23">
        <f>L7</f>
        <v>1200</v>
      </c>
      <c r="M9" s="33" t="s">
        <v>56</v>
      </c>
      <c r="N9" s="34"/>
      <c r="O9" s="34"/>
      <c r="P9" s="34"/>
      <c r="Q9" s="35"/>
      <c r="R9" s="23">
        <f>R7</f>
        <v>1210</v>
      </c>
      <c r="S9" s="18">
        <f t="shared" si="0"/>
        <v>0</v>
      </c>
      <c r="T9" s="45"/>
      <c r="U9" s="23"/>
      <c r="V9" s="23"/>
      <c r="W9" s="32"/>
    </row>
    <row r="10" spans="1:23" s="2" customFormat="1" ht="21" customHeight="1" x14ac:dyDescent="0.15">
      <c r="A10" s="39" t="s">
        <v>37</v>
      </c>
      <c r="B10" s="40"/>
      <c r="C10" s="6"/>
      <c r="D10" s="6"/>
      <c r="E10" s="6"/>
      <c r="F10" s="7"/>
      <c r="G10" s="6"/>
      <c r="H10" s="6"/>
      <c r="I10" s="6"/>
      <c r="J10" s="6"/>
      <c r="K10" s="14">
        <f>K7</f>
        <v>0.76363636363636378</v>
      </c>
      <c r="L10" s="15">
        <f>L7</f>
        <v>1200</v>
      </c>
      <c r="M10" s="16">
        <f>SUM(M7:M7)</f>
        <v>0.67200000000000015</v>
      </c>
      <c r="N10" s="14"/>
      <c r="O10" s="17">
        <f>O7</f>
        <v>30</v>
      </c>
      <c r="P10" s="14"/>
      <c r="Q10" s="17">
        <f>Q7</f>
        <v>1</v>
      </c>
      <c r="R10" s="15">
        <f>R7</f>
        <v>1210</v>
      </c>
      <c r="S10" s="16">
        <f>SUM(S7:S7)</f>
        <v>0.67759999999999998</v>
      </c>
      <c r="T10" s="19"/>
      <c r="U10" s="30" t="s">
        <v>38</v>
      </c>
      <c r="V10" s="19"/>
      <c r="W10" s="19"/>
    </row>
    <row r="11" spans="1:23" s="3" customFormat="1" ht="21" customHeight="1" x14ac:dyDescent="0.15">
      <c r="A11" s="41"/>
      <c r="B11" s="42"/>
      <c r="C11" s="8"/>
      <c r="D11" s="8"/>
      <c r="E11" s="8"/>
      <c r="F11" s="8"/>
      <c r="G11" s="8"/>
      <c r="H11" s="8"/>
      <c r="I11" s="8"/>
      <c r="J11" s="8"/>
      <c r="K11" s="8" t="s">
        <v>26</v>
      </c>
      <c r="L11" s="8" t="s">
        <v>39</v>
      </c>
      <c r="M11" s="8" t="s">
        <v>26</v>
      </c>
      <c r="N11" s="8"/>
      <c r="O11" s="8" t="s">
        <v>28</v>
      </c>
      <c r="P11" s="8"/>
      <c r="Q11" s="8" t="s">
        <v>30</v>
      </c>
      <c r="R11" s="8" t="s">
        <v>39</v>
      </c>
      <c r="S11" s="8" t="s">
        <v>26</v>
      </c>
      <c r="T11" s="8"/>
      <c r="U11" s="32"/>
      <c r="V11" s="8"/>
      <c r="W11" s="8"/>
    </row>
    <row r="13" spans="1:23" ht="22.5" x14ac:dyDescent="0.15"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9"/>
      <c r="O13" s="9"/>
      <c r="P13" s="9"/>
      <c r="Q13" s="9"/>
      <c r="R13" s="9"/>
      <c r="S13" s="51" t="s">
        <v>61</v>
      </c>
      <c r="T13" s="9"/>
      <c r="U13" s="9"/>
      <c r="V13" s="9"/>
      <c r="W13" s="9"/>
    </row>
    <row r="14" spans="1:23" s="1" customFormat="1" ht="19.5" customHeight="1" x14ac:dyDescent="0.15">
      <c r="B14" s="1" t="s">
        <v>40</v>
      </c>
    </row>
    <row r="15" spans="1:23" s="1" customFormat="1" ht="19.5" customHeight="1" x14ac:dyDescent="0.15">
      <c r="A15" s="1" t="s">
        <v>41</v>
      </c>
      <c r="B15" s="37" t="s">
        <v>42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6" spans="1:23" s="1" customFormat="1" ht="19.5" customHeight="1" x14ac:dyDescent="0.15">
      <c r="B16" s="37" t="s">
        <v>43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 s="1" customFormat="1" ht="19.5" customHeight="1" x14ac:dyDescent="0.15">
      <c r="A17" s="1" t="s">
        <v>44</v>
      </c>
      <c r="B17" s="37" t="s">
        <v>45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 s="1" customFormat="1" ht="19.5" customHeight="1" x14ac:dyDescent="0.15">
      <c r="A18" s="1" t="s">
        <v>46</v>
      </c>
      <c r="B18" s="37" t="s">
        <v>47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19" spans="1:23" s="1" customFormat="1" ht="19.5" customHeight="1" x14ac:dyDescent="0.15">
      <c r="A19" s="1" t="s">
        <v>48</v>
      </c>
      <c r="B19" s="11" t="s">
        <v>49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23.25" customHeight="1" x14ac:dyDescent="0.15">
      <c r="T20" s="36">
        <v>45673</v>
      </c>
      <c r="U20" s="36"/>
      <c r="V20" s="36"/>
      <c r="W20" s="36"/>
    </row>
    <row r="21" spans="1:23" ht="20.25" customHeight="1" x14ac:dyDescent="0.15">
      <c r="C21" s="37" t="s">
        <v>50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</sheetData>
  <mergeCells count="34">
    <mergeCell ref="A2:W2"/>
    <mergeCell ref="H4:I4"/>
    <mergeCell ref="O4:P4"/>
    <mergeCell ref="U4:W4"/>
    <mergeCell ref="I5:K5"/>
    <mergeCell ref="L5:Q5"/>
    <mergeCell ref="R5:S5"/>
    <mergeCell ref="T5:T6"/>
    <mergeCell ref="U5:U6"/>
    <mergeCell ref="U10:U11"/>
    <mergeCell ref="V5:V6"/>
    <mergeCell ref="W5:W6"/>
    <mergeCell ref="T7:T9"/>
    <mergeCell ref="C21:N21"/>
    <mergeCell ref="A5:A6"/>
    <mergeCell ref="B5:B6"/>
    <mergeCell ref="C5:C6"/>
    <mergeCell ref="D5:D6"/>
    <mergeCell ref="E5:E6"/>
    <mergeCell ref="F5:F6"/>
    <mergeCell ref="G5:G6"/>
    <mergeCell ref="A10:B11"/>
    <mergeCell ref="D13:M13"/>
    <mergeCell ref="B15:W15"/>
    <mergeCell ref="B16:W16"/>
    <mergeCell ref="B17:W17"/>
    <mergeCell ref="B18:W18"/>
    <mergeCell ref="I8:K8"/>
    <mergeCell ref="I9:K9"/>
    <mergeCell ref="E7:E9"/>
    <mergeCell ref="W7:W9"/>
    <mergeCell ref="M8:Q8"/>
    <mergeCell ref="M9:Q9"/>
    <mergeCell ref="T20:W20"/>
  </mergeCells>
  <phoneticPr fontId="9" type="noConversion"/>
  <pageMargins left="0.7" right="0.7" top="0.75" bottom="0.75" header="0.3" footer="0.3"/>
  <pageSetup paperSize="9" scale="74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2025-01-18T07:41:51Z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60631356D2F0450E8413A2C179298DA8_13</vt:lpwstr>
  </property>
  <property fmtid="{D5CDD505-2E9C-101B-9397-08002B2CF9AE}" pid="3" name="KSOProductBuildVer">
    <vt:lpwstr>2052-12.1.0.16120</vt:lpwstr>
  </property>
</Properties>
</file>