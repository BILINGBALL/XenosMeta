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925"/>
  <workbookPr/>
  <mc:AlternateContent xmlns:mc="http://schemas.openxmlformats.org/markup-compatibility/2006">
    <mc:Choice Requires="x15">
      <x15ac:absPath xmlns:x15ac="http://schemas.microsoft.com/office/spreadsheetml/2010/11/ac" url="C:\Users\lu\Desktop\"/>
    </mc:Choice>
  </mc:AlternateContent>
  <xr:revisionPtr revIDLastSave="0" documentId="8_{57EF059E-6A43-4C5B-A5C5-6F6E5FF06A26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8" i="1" l="1"/>
  <c r="K8" i="1"/>
  <c r="R5" i="1"/>
  <c r="K7" i="1"/>
  <c r="L7" i="1" s="1"/>
  <c r="Q8" i="1"/>
  <c r="Q7" i="1"/>
  <c r="R7" i="1" s="1"/>
  <c r="R6" i="1"/>
  <c r="N6" i="1"/>
  <c r="P6" i="1" s="1"/>
  <c r="L6" i="1"/>
  <c r="J6" i="1" s="1"/>
  <c r="N5" i="1"/>
  <c r="P5" i="1" s="1"/>
  <c r="L5" i="1"/>
  <c r="J5" i="1" s="1"/>
  <c r="J8" i="1" s="1"/>
  <c r="N8" i="1" l="1"/>
  <c r="R8" i="1"/>
  <c r="P8" i="1"/>
</calcChain>
</file>

<file path=xl/sharedStrings.xml><?xml version="1.0" encoding="utf-8"?>
<sst xmlns="http://schemas.openxmlformats.org/spreadsheetml/2006/main" count="78" uniqueCount="69">
  <si>
    <t>编制：</t>
  </si>
  <si>
    <t>复核：</t>
  </si>
  <si>
    <t>批准：</t>
  </si>
  <si>
    <t>SDL-D-ZJ-16</t>
  </si>
  <si>
    <t>序号</t>
  </si>
  <si>
    <t>产品
名称</t>
  </si>
  <si>
    <t>型号及规格</t>
  </si>
  <si>
    <t>生产令号</t>
  </si>
  <si>
    <t>合同号P.O.</t>
  </si>
  <si>
    <t>图纸号</t>
  </si>
  <si>
    <t>净重</t>
  </si>
  <si>
    <t>原材料</t>
  </si>
  <si>
    <t>合同要求量</t>
  </si>
  <si>
    <t>计划生产数量</t>
  </si>
  <si>
    <t>完成时间</t>
  </si>
  <si>
    <t>头部标记</t>
  </si>
  <si>
    <t>表面处理</t>
  </si>
  <si>
    <t>包装物</t>
  </si>
  <si>
    <t>KG/件</t>
  </si>
  <si>
    <t>材质</t>
  </si>
  <si>
    <t>规格</t>
  </si>
  <si>
    <t>数量（吨）</t>
  </si>
  <si>
    <t>件</t>
  </si>
  <si>
    <t>吨</t>
  </si>
  <si>
    <t>套/袋</t>
  </si>
  <si>
    <t>袋</t>
  </si>
  <si>
    <t>袋/托</t>
  </si>
  <si>
    <t>托</t>
  </si>
  <si>
    <t>外购</t>
  </si>
  <si>
    <t>45#</t>
  </si>
  <si>
    <t>35#/
45#</t>
  </si>
  <si>
    <t>与以上螺栓配套组装</t>
  </si>
  <si>
    <t>合计</t>
  </si>
  <si>
    <t>详见图纸</t>
  </si>
  <si>
    <t>套</t>
  </si>
  <si>
    <t>说明：</t>
  </si>
  <si>
    <t>1、</t>
  </si>
  <si>
    <t>对以上产品，生产部门应认真清查库存，适当调整生产计划数量，已减少及合理利用库存产品。</t>
  </si>
  <si>
    <t>注意：库存产品应是经品管部确认合格的产品。</t>
  </si>
  <si>
    <t>2、</t>
  </si>
  <si>
    <t>生产部门按生产工艺生产，加强自检，严格质量管理。</t>
  </si>
  <si>
    <t>3、</t>
  </si>
  <si>
    <t>品管部负责办理质量证明书，检测报告及相关数据。</t>
  </si>
  <si>
    <t>分发：总经理、总经办、品管部、生产部</t>
  </si>
  <si>
    <t>高蕾</t>
    <phoneticPr fontId="11" type="noConversion"/>
  </si>
  <si>
    <t>8 月  份  销  售  计  划  1</t>
    <phoneticPr fontId="11" type="noConversion"/>
  </si>
  <si>
    <t>螺纹道钉</t>
    <phoneticPr fontId="11" type="noConversion"/>
  </si>
  <si>
    <t>19*123</t>
    <phoneticPr fontId="11" type="noConversion"/>
  </si>
  <si>
    <t>250801-1</t>
    <phoneticPr fontId="11" type="noConversion"/>
  </si>
  <si>
    <t>250801-2</t>
  </si>
  <si>
    <t>250801-3</t>
  </si>
  <si>
    <t>螺栓</t>
    <phoneticPr fontId="11" type="noConversion"/>
  </si>
  <si>
    <t xml:space="preserve">2025-8-29
</t>
    <phoneticPr fontId="11" type="noConversion"/>
  </si>
  <si>
    <t>编织袋+木托盘</t>
    <phoneticPr fontId="11" type="noConversion"/>
  </si>
  <si>
    <t>M16*80</t>
    <phoneticPr fontId="11" type="noConversion"/>
  </si>
  <si>
    <t>螺母</t>
    <phoneticPr fontId="11" type="noConversion"/>
  </si>
  <si>
    <t>M16</t>
    <phoneticPr fontId="11" type="noConversion"/>
  </si>
  <si>
    <t>SUYU20250731</t>
    <phoneticPr fontId="11" type="noConversion"/>
  </si>
  <si>
    <t>SY-LWDD180615-01</t>
    <phoneticPr fontId="11" type="noConversion"/>
  </si>
  <si>
    <t>本色</t>
    <phoneticPr fontId="11" type="noConversion"/>
  </si>
  <si>
    <t>发黑</t>
    <phoneticPr fontId="11" type="noConversion"/>
  </si>
  <si>
    <t>Q235</t>
    <phoneticPr fontId="11" type="noConversion"/>
  </si>
  <si>
    <r>
      <rPr>
        <sz val="10"/>
        <color theme="1"/>
        <rFont val="Calibri"/>
        <family val="2"/>
      </rPr>
      <t>Φ</t>
    </r>
    <r>
      <rPr>
        <sz val="10"/>
        <color theme="1"/>
        <rFont val="宋体"/>
        <charset val="134"/>
        <scheme val="minor"/>
      </rPr>
      <t>20</t>
    </r>
    <phoneticPr fontId="11" type="noConversion"/>
  </si>
  <si>
    <r>
      <rPr>
        <sz val="10"/>
        <color theme="1"/>
        <rFont val="Calibri"/>
        <family val="2"/>
      </rPr>
      <t>Φ</t>
    </r>
    <r>
      <rPr>
        <sz val="10"/>
        <color theme="1"/>
        <rFont val="宋体"/>
        <charset val="134"/>
        <scheme val="minor"/>
      </rPr>
      <t>16</t>
    </r>
    <phoneticPr fontId="11" type="noConversion"/>
  </si>
  <si>
    <t>见图纸</t>
    <phoneticPr fontId="11" type="noConversion"/>
  </si>
  <si>
    <t>包装：编织袋+木托盘，包装结实，适于海运。</t>
    <phoneticPr fontId="11" type="noConversion"/>
  </si>
  <si>
    <t>4、</t>
    <phoneticPr fontId="11" type="noConversion"/>
  </si>
  <si>
    <t>包装待定</t>
    <phoneticPr fontId="11" type="noConversion"/>
  </si>
  <si>
    <t>SDL25801</t>
    <phoneticPr fontId="1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</si>
</sst>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76" formatCode="[$-F800]dddd\,\ mmmm\ dd\,\ yyyy"/>
    <numFmt numFmtId="177" formatCode="0_ "/>
    <numFmt numFmtId="178" formatCode="0.000_ "/>
    <numFmt numFmtId="179" formatCode="0_);[Red]\(0\)"/>
    <numFmt numFmtId="180" formatCode="0.00_);[Red]\(0.00\)"/>
  </numFmts>
  <fonts count="22" x14ac:knownFonts="1">
    <font>
      <sz val="11"/>
      <color theme="1"/>
      <name val="宋体"/>
      <charset val="134"/>
      <scheme val="minor"/>
    </font>
    <font>
      <sz val="10"/>
      <color theme="1"/>
      <name val="宋体"/>
      <charset val="134"/>
      <scheme val="minor"/>
    </font>
    <font>
      <b/>
      <sz val="20"/>
      <color theme="1"/>
      <name val="宋体"/>
      <charset val="134"/>
      <scheme val="minor"/>
    </font>
    <font>
      <sz val="10"/>
      <name val="宋体"/>
      <charset val="134"/>
      <scheme val="minor"/>
    </font>
    <font>
      <sz val="10"/>
      <color rgb="FFFF0000"/>
      <name val="宋体"/>
      <charset val="134"/>
      <scheme val="minor"/>
    </font>
    <font>
      <sz val="9"/>
      <color theme="1"/>
      <name val="宋体"/>
      <charset val="134"/>
      <scheme val="minor"/>
    </font>
    <font>
      <sz val="22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8"/>
      <name val="宋体"/>
      <charset val="134"/>
      <scheme val="minor"/>
    </font>
    <font>
      <b/>
      <sz val="12"/>
      <color theme="1"/>
      <name val="宋体"/>
      <charset val="134"/>
      <scheme val="minor"/>
    </font>
    <font>
      <sz val="18"/>
      <color theme="1"/>
      <name val="宋体"/>
      <charset val="134"/>
      <scheme val="minor"/>
    </font>
    <font>
      <sz val="9"/>
      <name val="宋体"/>
      <family val="3"/>
      <charset val="134"/>
      <scheme val="minor"/>
    </font>
    <font>
      <b/>
      <sz val="20"/>
      <color theme="1"/>
      <name val="宋体"/>
      <family val="3"/>
      <charset val="134"/>
      <scheme val="minor"/>
    </font>
    <font>
      <sz val="10"/>
      <color theme="1"/>
      <name val="宋体"/>
      <family val="3"/>
      <charset val="134"/>
      <scheme val="minor"/>
    </font>
    <font>
      <sz val="8"/>
      <name val="宋体"/>
      <family val="3"/>
      <charset val="134"/>
      <scheme val="minor"/>
    </font>
    <font>
      <sz val="10"/>
      <name val="宋体"/>
      <family val="3"/>
      <charset val="134"/>
      <scheme val="minor"/>
    </font>
    <font>
      <sz val="9"/>
      <color theme="1"/>
      <name val="宋体"/>
      <family val="3"/>
      <charset val="134"/>
      <scheme val="minor"/>
    </font>
    <font>
      <sz val="10"/>
      <color indexed="8"/>
      <name val="宋体"/>
      <family val="3"/>
      <charset val="134"/>
    </font>
    <font>
      <sz val="10"/>
      <color theme="1"/>
      <name val="Calibri"/>
      <family val="2"/>
    </font>
    <font>
      <sz val="10"/>
      <color theme="1"/>
      <name val="宋体"/>
      <family val="2"/>
      <charset val="134"/>
      <scheme val="minor"/>
    </font>
    <font>
      <sz val="11"/>
      <color theme="1"/>
      <name val="宋体"/>
      <family val="3"/>
      <charset val="134"/>
      <scheme val="minor"/>
    </font>
    <font>
      <b/>
      <sz val="12"/>
      <color theme="1"/>
      <name val="宋体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3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</borders>
  <cellStyleXfs count="1">
    <xf numFmtId="176" fontId="0" fillId="0" borderId="0">
      <alignment vertical="center"/>
    </xf>
  </cellStyleXfs>
  <cellXfs count="58">
    <xf numFmtId="176" fontId="0" fillId="0" borderId="0" xfId="0">
      <alignment vertical="center"/>
    </xf>
    <xf numFmtId="176" fontId="1" fillId="0" borderId="0" xfId="0" applyFont="1" applyAlignment="1">
      <alignment horizontal="center" vertical="center" wrapText="1"/>
    </xf>
    <xf numFmtId="176" fontId="0" fillId="0" borderId="0" xfId="0" applyAlignment="1">
      <alignment horizontal="center" vertical="center" wrapText="1"/>
    </xf>
    <xf numFmtId="176" fontId="1" fillId="0" borderId="2" xfId="0" applyFont="1" applyBorder="1" applyAlignment="1">
      <alignment horizontal="center" vertical="center" wrapText="1"/>
    </xf>
    <xf numFmtId="0" fontId="1" fillId="0" borderId="2" xfId="0" applyNumberFormat="1" applyFont="1" applyBorder="1" applyAlignment="1">
      <alignment horizontal="center" vertical="center" wrapText="1"/>
    </xf>
    <xf numFmtId="177" fontId="3" fillId="0" borderId="2" xfId="0" applyNumberFormat="1" applyFont="1" applyBorder="1" applyAlignment="1">
      <alignment horizontal="center" vertical="center" wrapText="1"/>
    </xf>
    <xf numFmtId="178" fontId="3" fillId="0" borderId="2" xfId="0" applyNumberFormat="1" applyFont="1" applyBorder="1" applyAlignment="1">
      <alignment horizontal="center" vertical="center" wrapText="1"/>
    </xf>
    <xf numFmtId="176" fontId="1" fillId="0" borderId="4" xfId="0" applyFont="1" applyBorder="1" applyAlignment="1">
      <alignment horizontal="center" vertical="center" wrapText="1"/>
    </xf>
    <xf numFmtId="176" fontId="1" fillId="0" borderId="6" xfId="0" applyFont="1" applyBorder="1" applyAlignment="1">
      <alignment horizontal="center" vertical="center" wrapText="1"/>
    </xf>
    <xf numFmtId="179" fontId="1" fillId="0" borderId="2" xfId="0" applyNumberFormat="1" applyFont="1" applyBorder="1" applyAlignment="1">
      <alignment horizontal="center" vertical="center" wrapText="1"/>
    </xf>
    <xf numFmtId="179" fontId="4" fillId="0" borderId="2" xfId="0" applyNumberFormat="1" applyFont="1" applyBorder="1" applyAlignment="1">
      <alignment horizontal="center" vertical="center" wrapText="1"/>
    </xf>
    <xf numFmtId="179" fontId="1" fillId="0" borderId="4" xfId="0" applyNumberFormat="1" applyFont="1" applyBorder="1" applyAlignment="1">
      <alignment horizontal="center" vertical="center" wrapText="1"/>
    </xf>
    <xf numFmtId="180" fontId="1" fillId="0" borderId="4" xfId="0" applyNumberFormat="1" applyFont="1" applyBorder="1" applyAlignment="1">
      <alignment horizontal="center" vertical="center" wrapText="1"/>
    </xf>
    <xf numFmtId="176" fontId="6" fillId="0" borderId="0" xfId="0" applyFont="1" applyAlignment="1">
      <alignment horizontal="center" vertical="center"/>
    </xf>
    <xf numFmtId="0" fontId="3" fillId="0" borderId="2" xfId="0" applyNumberFormat="1" applyFont="1" applyBorder="1" applyAlignment="1">
      <alignment horizontal="center" vertical="center" wrapText="1"/>
    </xf>
    <xf numFmtId="176" fontId="1" fillId="0" borderId="2" xfId="0" applyFont="1" applyBorder="1" applyAlignment="1">
      <alignment vertical="center" wrapText="1"/>
    </xf>
    <xf numFmtId="176" fontId="5" fillId="0" borderId="6" xfId="0" applyFont="1" applyBorder="1" applyAlignment="1">
      <alignment horizontal="center" vertical="center" wrapText="1"/>
    </xf>
    <xf numFmtId="0" fontId="13" fillId="0" borderId="2" xfId="0" applyNumberFormat="1" applyFont="1" applyBorder="1" applyAlignment="1">
      <alignment horizontal="center" vertical="center" wrapText="1"/>
    </xf>
    <xf numFmtId="176" fontId="13" fillId="0" borderId="2" xfId="0" applyFont="1" applyBorder="1" applyAlignment="1">
      <alignment horizontal="center" vertical="center" wrapText="1"/>
    </xf>
    <xf numFmtId="0" fontId="15" fillId="2" borderId="2" xfId="0" applyNumberFormat="1" applyFont="1" applyFill="1" applyBorder="1" applyAlignment="1">
      <alignment horizontal="center" vertical="center" wrapText="1"/>
    </xf>
    <xf numFmtId="0" fontId="13" fillId="0" borderId="4" xfId="0" applyNumberFormat="1" applyFont="1" applyBorder="1" applyAlignment="1">
      <alignment horizontal="center" vertical="center" wrapText="1"/>
    </xf>
    <xf numFmtId="177" fontId="1" fillId="0" borderId="2" xfId="0" applyNumberFormat="1" applyFont="1" applyBorder="1" applyAlignment="1">
      <alignment horizontal="center" vertical="center" wrapText="1"/>
    </xf>
    <xf numFmtId="177" fontId="1" fillId="0" borderId="4" xfId="0" applyNumberFormat="1" applyFont="1" applyBorder="1" applyAlignment="1">
      <alignment horizontal="center" vertical="center" wrapText="1"/>
    </xf>
    <xf numFmtId="177" fontId="5" fillId="0" borderId="2" xfId="0" applyNumberFormat="1" applyFont="1" applyBorder="1" applyAlignment="1">
      <alignment horizontal="center" vertical="center" wrapText="1"/>
    </xf>
    <xf numFmtId="177" fontId="5" fillId="0" borderId="4" xfId="0" applyNumberFormat="1" applyFont="1" applyBorder="1" applyAlignment="1">
      <alignment horizontal="center" vertical="center" wrapText="1"/>
    </xf>
    <xf numFmtId="176" fontId="12" fillId="0" borderId="0" xfId="0" applyFont="1" applyAlignment="1">
      <alignment horizontal="center" vertical="center" wrapText="1"/>
    </xf>
    <xf numFmtId="176" fontId="2" fillId="0" borderId="0" xfId="0" applyFont="1" applyAlignment="1">
      <alignment horizontal="center" vertical="center" wrapText="1"/>
    </xf>
    <xf numFmtId="176" fontId="1" fillId="0" borderId="1" xfId="0" applyFont="1" applyBorder="1" applyAlignment="1">
      <alignment horizontal="center" vertical="center" wrapText="1"/>
    </xf>
    <xf numFmtId="14" fontId="7" fillId="0" borderId="1" xfId="0" applyNumberFormat="1" applyFont="1" applyBorder="1" applyAlignment="1">
      <alignment horizontal="right" vertical="center" wrapText="1"/>
    </xf>
    <xf numFmtId="176" fontId="7" fillId="0" borderId="1" xfId="0" applyFont="1" applyBorder="1" applyAlignment="1">
      <alignment horizontal="right" vertical="center" wrapText="1"/>
    </xf>
    <xf numFmtId="176" fontId="1" fillId="0" borderId="3" xfId="0" applyFont="1" applyBorder="1" applyAlignment="1">
      <alignment horizontal="center" vertical="center" wrapText="1"/>
    </xf>
    <xf numFmtId="176" fontId="1" fillId="0" borderId="11" xfId="0" applyFont="1" applyBorder="1" applyAlignment="1">
      <alignment horizontal="center" vertical="center" wrapText="1"/>
    </xf>
    <xf numFmtId="176" fontId="1" fillId="0" borderId="2" xfId="0" applyFont="1" applyBorder="1" applyAlignment="1">
      <alignment horizontal="center" vertical="center" wrapText="1"/>
    </xf>
    <xf numFmtId="176" fontId="9" fillId="0" borderId="0" xfId="0" applyFont="1" applyAlignment="1">
      <alignment horizontal="center" vertical="center" wrapText="1"/>
    </xf>
    <xf numFmtId="176" fontId="1" fillId="0" borderId="0" xfId="0" applyFont="1" applyAlignment="1">
      <alignment horizontal="left" vertical="center" wrapText="1"/>
    </xf>
    <xf numFmtId="176" fontId="1" fillId="0" borderId="4" xfId="0" applyFont="1" applyBorder="1" applyAlignment="1">
      <alignment horizontal="center" vertical="center" wrapText="1"/>
    </xf>
    <xf numFmtId="176" fontId="1" fillId="0" borderId="6" xfId="0" applyFont="1" applyBorder="1" applyAlignment="1">
      <alignment horizontal="center" vertical="center" wrapText="1"/>
    </xf>
    <xf numFmtId="49" fontId="14" fillId="0" borderId="4" xfId="0" applyNumberFormat="1" applyFont="1" applyBorder="1" applyAlignment="1">
      <alignment horizontal="center" vertical="center" wrapText="1"/>
    </xf>
    <xf numFmtId="49" fontId="8" fillId="0" borderId="5" xfId="0" applyNumberFormat="1" applyFont="1" applyBorder="1" applyAlignment="1">
      <alignment horizontal="center" vertical="center" wrapText="1"/>
    </xf>
    <xf numFmtId="0" fontId="5" fillId="0" borderId="5" xfId="0" applyNumberFormat="1" applyFont="1" applyBorder="1" applyAlignment="1">
      <alignment horizontal="center" vertical="center" wrapText="1"/>
    </xf>
    <xf numFmtId="176" fontId="1" fillId="0" borderId="7" xfId="0" applyFont="1" applyBorder="1" applyAlignment="1">
      <alignment horizontal="center" vertical="center" wrapText="1"/>
    </xf>
    <xf numFmtId="176" fontId="1" fillId="0" borderId="8" xfId="0" applyFont="1" applyBorder="1" applyAlignment="1">
      <alignment horizontal="center" vertical="center" wrapText="1"/>
    </xf>
    <xf numFmtId="176" fontId="1" fillId="0" borderId="9" xfId="0" applyFont="1" applyBorder="1" applyAlignment="1">
      <alignment horizontal="center" vertical="center" wrapText="1"/>
    </xf>
    <xf numFmtId="176" fontId="1" fillId="0" borderId="10" xfId="0" applyFont="1" applyBorder="1" applyAlignment="1">
      <alignment horizontal="center" vertical="center" wrapText="1"/>
    </xf>
    <xf numFmtId="180" fontId="1" fillId="0" borderId="7" xfId="0" applyNumberFormat="1" applyFont="1" applyBorder="1" applyAlignment="1">
      <alignment horizontal="center" vertical="center" wrapText="1"/>
    </xf>
    <xf numFmtId="180" fontId="1" fillId="0" borderId="12" xfId="0" applyNumberFormat="1" applyFont="1" applyBorder="1" applyAlignment="1">
      <alignment horizontal="center" vertical="center" wrapText="1"/>
    </xf>
    <xf numFmtId="180" fontId="1" fillId="0" borderId="8" xfId="0" applyNumberFormat="1" applyFont="1" applyBorder="1" applyAlignment="1">
      <alignment horizontal="center" vertical="center" wrapText="1"/>
    </xf>
    <xf numFmtId="176" fontId="10" fillId="0" borderId="0" xfId="0" applyFont="1" applyAlignment="1">
      <alignment horizontal="right" vertical="center" wrapText="1"/>
    </xf>
    <xf numFmtId="0" fontId="13" fillId="0" borderId="4" xfId="0" applyNumberFormat="1" applyFont="1" applyBorder="1" applyAlignment="1">
      <alignment horizontal="center" vertical="center" wrapText="1"/>
    </xf>
    <xf numFmtId="0" fontId="1" fillId="0" borderId="5" xfId="0" applyNumberFormat="1" applyFont="1" applyBorder="1" applyAlignment="1">
      <alignment horizontal="center" vertical="center" wrapText="1"/>
    </xf>
    <xf numFmtId="176" fontId="13" fillId="0" borderId="0" xfId="0" applyFont="1" applyAlignment="1">
      <alignment horizontal="center" vertical="center" wrapText="1"/>
    </xf>
    <xf numFmtId="0" fontId="16" fillId="0" borderId="4" xfId="0" applyNumberFormat="1" applyFont="1" applyBorder="1" applyAlignment="1">
      <alignment horizontal="center" vertical="center" wrapText="1"/>
    </xf>
    <xf numFmtId="0" fontId="17" fillId="2" borderId="4" xfId="0" applyNumberFormat="1" applyFont="1" applyFill="1" applyBorder="1" applyAlignment="1">
      <alignment horizontal="center" vertical="center" wrapText="1"/>
    </xf>
    <xf numFmtId="176" fontId="13" fillId="0" borderId="4" xfId="0" applyFont="1" applyBorder="1" applyAlignment="1">
      <alignment horizontal="center" vertical="center" wrapText="1"/>
    </xf>
    <xf numFmtId="1" fontId="1" fillId="0" borderId="2" xfId="0" applyNumberFormat="1" applyFont="1" applyBorder="1" applyAlignment="1">
      <alignment horizontal="center" vertical="center" wrapText="1"/>
    </xf>
    <xf numFmtId="176" fontId="19" fillId="0" borderId="2" xfId="0" applyFont="1" applyBorder="1" applyAlignment="1">
      <alignment horizontal="center" vertical="center" wrapText="1"/>
    </xf>
    <xf numFmtId="176" fontId="20" fillId="0" borderId="0" xfId="0" applyFont="1" applyAlignment="1">
      <alignment horizontal="left" vertical="center"/>
    </xf>
    <xf numFmtId="176" fontId="21" fillId="0" borderId="0" xfId="0" applyFont="1" applyAlignment="1">
      <alignment horizontal="center" vertical="center" wrapText="1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17"/>
  <sheetViews>
    <sheetView tabSelected="1" topLeftCell="A2" workbookViewId="0">
      <selection activeCell="Q7" sqref="Q7"/>
    </sheetView>
  </sheetViews>
  <sheetFormatPr defaultColWidth="9" defaultRowHeight="13.5" x14ac:dyDescent="0.15"/>
  <cols>
    <col min="1" max="1" width="3.625" style="2" customWidth="1"/>
    <col min="2" max="2" width="8.75" style="2" customWidth="1"/>
    <col min="3" max="3" width="9.5" style="2" customWidth="1"/>
    <col min="4" max="4" width="7.75" style="2" customWidth="1"/>
    <col min="5" max="5" width="7.5" style="2" customWidth="1"/>
    <col min="6" max="6" width="9.75" style="2" customWidth="1"/>
    <col min="7" max="7" width="7.125" style="2" customWidth="1"/>
    <col min="8" max="8" width="5.625" style="2" customWidth="1"/>
    <col min="9" max="9" width="5.25" style="2" customWidth="1"/>
    <col min="10" max="10" width="5.875" style="2" customWidth="1"/>
    <col min="11" max="11" width="8.625" style="2" customWidth="1"/>
    <col min="12" max="12" width="6" style="2" customWidth="1"/>
    <col min="13" max="13" width="4.25" style="2" customWidth="1"/>
    <col min="14" max="14" width="7.125" style="2" customWidth="1"/>
    <col min="15" max="15" width="4.625" style="2" customWidth="1"/>
    <col min="16" max="16" width="5" style="2" customWidth="1"/>
    <col min="17" max="17" width="8.75" style="2" customWidth="1"/>
    <col min="18" max="18" width="8.125" style="2" customWidth="1"/>
    <col min="19" max="19" width="10" style="2" customWidth="1"/>
    <col min="20" max="20" width="8.375" style="2" customWidth="1"/>
    <col min="21" max="21" width="7.25" style="2" customWidth="1"/>
    <col min="22" max="22" width="7.375" style="2" customWidth="1"/>
    <col min="23" max="16384" width="9" style="2"/>
  </cols>
  <sheetData>
    <row r="1" spans="1:22" ht="33" customHeight="1" x14ac:dyDescent="0.15">
      <c r="A1" s="25" t="s">
        <v>45</v>
      </c>
      <c r="B1" s="26"/>
      <c r="C1" s="26"/>
      <c r="D1" s="26"/>
      <c r="E1" s="26"/>
      <c r="F1" s="26"/>
      <c r="G1" s="26"/>
      <c r="H1" s="26"/>
      <c r="I1" s="26"/>
      <c r="J1" s="26"/>
      <c r="K1" s="26"/>
      <c r="L1" s="26"/>
      <c r="M1" s="26"/>
      <c r="N1" s="26"/>
      <c r="O1" s="26"/>
      <c r="P1" s="26"/>
      <c r="Q1" s="26"/>
      <c r="R1" s="26"/>
      <c r="S1" s="26"/>
      <c r="T1" s="26"/>
      <c r="U1" s="26"/>
      <c r="V1" s="26"/>
    </row>
    <row r="2" spans="1:22" s="1" customFormat="1" ht="21" customHeight="1" x14ac:dyDescent="0.15">
      <c r="B2" s="1" t="s">
        <v>0</v>
      </c>
      <c r="C2" s="50" t="s">
        <v>44</v>
      </c>
      <c r="G2" s="27" t="s">
        <v>1</v>
      </c>
      <c r="H2" s="27"/>
      <c r="N2" s="27" t="s">
        <v>2</v>
      </c>
      <c r="O2" s="27"/>
      <c r="T2" s="28" t="s">
        <v>3</v>
      </c>
      <c r="U2" s="29"/>
      <c r="V2" s="29"/>
    </row>
    <row r="3" spans="1:22" s="1" customFormat="1" ht="27" customHeight="1" x14ac:dyDescent="0.15">
      <c r="A3" s="32" t="s">
        <v>4</v>
      </c>
      <c r="B3" s="32" t="s">
        <v>5</v>
      </c>
      <c r="C3" s="32" t="s">
        <v>6</v>
      </c>
      <c r="D3" s="32" t="s">
        <v>7</v>
      </c>
      <c r="E3" s="32" t="s">
        <v>8</v>
      </c>
      <c r="F3" s="32" t="s">
        <v>9</v>
      </c>
      <c r="G3" s="3" t="s">
        <v>10</v>
      </c>
      <c r="H3" s="30" t="s">
        <v>11</v>
      </c>
      <c r="I3" s="31"/>
      <c r="J3" s="31"/>
      <c r="K3" s="32" t="s">
        <v>12</v>
      </c>
      <c r="L3" s="32"/>
      <c r="M3" s="32"/>
      <c r="N3" s="32"/>
      <c r="O3" s="32"/>
      <c r="P3" s="32"/>
      <c r="Q3" s="32" t="s">
        <v>13</v>
      </c>
      <c r="R3" s="32"/>
      <c r="S3" s="32" t="s">
        <v>14</v>
      </c>
      <c r="T3" s="32" t="s">
        <v>15</v>
      </c>
      <c r="U3" s="32" t="s">
        <v>16</v>
      </c>
      <c r="V3" s="32" t="s">
        <v>17</v>
      </c>
    </row>
    <row r="4" spans="1:22" s="1" customFormat="1" ht="27.75" customHeight="1" x14ac:dyDescent="0.15">
      <c r="A4" s="32"/>
      <c r="B4" s="32"/>
      <c r="C4" s="32"/>
      <c r="D4" s="32"/>
      <c r="E4" s="32"/>
      <c r="F4" s="32"/>
      <c r="G4" s="3" t="s">
        <v>18</v>
      </c>
      <c r="H4" s="3" t="s">
        <v>19</v>
      </c>
      <c r="I4" s="3" t="s">
        <v>20</v>
      </c>
      <c r="J4" s="3" t="s">
        <v>21</v>
      </c>
      <c r="K4" s="3" t="s">
        <v>22</v>
      </c>
      <c r="L4" s="3" t="s">
        <v>23</v>
      </c>
      <c r="M4" s="3" t="s">
        <v>24</v>
      </c>
      <c r="N4" s="3" t="s">
        <v>25</v>
      </c>
      <c r="O4" s="3" t="s">
        <v>26</v>
      </c>
      <c r="P4" s="3" t="s">
        <v>27</v>
      </c>
      <c r="Q4" s="3" t="s">
        <v>22</v>
      </c>
      <c r="R4" s="3" t="s">
        <v>23</v>
      </c>
      <c r="S4" s="32"/>
      <c r="T4" s="32"/>
      <c r="U4" s="32"/>
      <c r="V4" s="32"/>
    </row>
    <row r="5" spans="1:22" s="1" customFormat="1" ht="48.95" customHeight="1" x14ac:dyDescent="0.15">
      <c r="A5" s="4">
        <v>1</v>
      </c>
      <c r="B5" s="17" t="s">
        <v>46</v>
      </c>
      <c r="C5" s="17" t="s">
        <v>47</v>
      </c>
      <c r="D5" s="17" t="s">
        <v>48</v>
      </c>
      <c r="E5" s="48" t="s">
        <v>57</v>
      </c>
      <c r="F5" s="17" t="s">
        <v>58</v>
      </c>
      <c r="G5" s="4">
        <v>0.35499999999999998</v>
      </c>
      <c r="H5" s="20" t="s">
        <v>61</v>
      </c>
      <c r="I5" s="55" t="s">
        <v>62</v>
      </c>
      <c r="J5" s="21">
        <f>L5/0.93</f>
        <v>8.7795698924731163</v>
      </c>
      <c r="K5" s="4">
        <v>23000</v>
      </c>
      <c r="L5" s="21">
        <f>K5*G5/1000</f>
        <v>8.1649999999999991</v>
      </c>
      <c r="M5" s="4">
        <v>50</v>
      </c>
      <c r="N5" s="4">
        <f>K5/M5</f>
        <v>460</v>
      </c>
      <c r="O5" s="4">
        <v>60</v>
      </c>
      <c r="P5" s="54">
        <f>N5/O5</f>
        <v>7.666666666666667</v>
      </c>
      <c r="Q5" s="14">
        <v>23100</v>
      </c>
      <c r="R5" s="5">
        <f>Q5*G5/1000</f>
        <v>8.2004999999999999</v>
      </c>
      <c r="S5" s="37" t="s">
        <v>52</v>
      </c>
      <c r="T5" s="19" t="s">
        <v>64</v>
      </c>
      <c r="U5" s="52" t="s">
        <v>59</v>
      </c>
      <c r="V5" s="51" t="s">
        <v>53</v>
      </c>
    </row>
    <row r="6" spans="1:22" s="1" customFormat="1" ht="48.95" customHeight="1" x14ac:dyDescent="0.15">
      <c r="A6" s="5">
        <v>2</v>
      </c>
      <c r="B6" s="18" t="s">
        <v>51</v>
      </c>
      <c r="C6" s="18" t="s">
        <v>54</v>
      </c>
      <c r="D6" s="17" t="s">
        <v>49</v>
      </c>
      <c r="E6" s="49"/>
      <c r="F6" s="18" t="s">
        <v>68</v>
      </c>
      <c r="G6" s="6">
        <v>0.19</v>
      </c>
      <c r="H6" s="3" t="s">
        <v>29</v>
      </c>
      <c r="I6" s="55" t="s">
        <v>63</v>
      </c>
      <c r="J6" s="21">
        <f>L6/0.93</f>
        <v>1.021505376344086</v>
      </c>
      <c r="K6" s="9">
        <v>5000</v>
      </c>
      <c r="L6" s="21">
        <f>K6*G6/1000</f>
        <v>0.95</v>
      </c>
      <c r="M6" s="10">
        <v>50</v>
      </c>
      <c r="N6" s="54">
        <f>K6/M6</f>
        <v>100</v>
      </c>
      <c r="O6" s="9">
        <v>50</v>
      </c>
      <c r="P6" s="54">
        <f>N6/O6</f>
        <v>2</v>
      </c>
      <c r="Q6" s="9">
        <v>5050</v>
      </c>
      <c r="R6" s="23">
        <f>G6*Q6/1000</f>
        <v>0.95950000000000002</v>
      </c>
      <c r="S6" s="38"/>
      <c r="T6" s="18"/>
      <c r="U6" s="53" t="s">
        <v>60</v>
      </c>
      <c r="V6" s="39"/>
    </row>
    <row r="7" spans="1:22" s="1" customFormat="1" ht="42.95" customHeight="1" x14ac:dyDescent="0.15">
      <c r="A7" s="5">
        <v>3</v>
      </c>
      <c r="B7" s="18" t="s">
        <v>55</v>
      </c>
      <c r="C7" s="18" t="s">
        <v>56</v>
      </c>
      <c r="D7" s="17" t="s">
        <v>50</v>
      </c>
      <c r="E7" s="49"/>
      <c r="F7" s="3"/>
      <c r="G7" s="6">
        <v>0.06</v>
      </c>
      <c r="H7" s="3" t="s">
        <v>30</v>
      </c>
      <c r="I7" s="40" t="s">
        <v>28</v>
      </c>
      <c r="J7" s="41"/>
      <c r="K7" s="9">
        <f>K6</f>
        <v>5000</v>
      </c>
      <c r="L7" s="21">
        <f>K7*G7/1000</f>
        <v>0.3</v>
      </c>
      <c r="M7" s="44" t="s">
        <v>31</v>
      </c>
      <c r="N7" s="45"/>
      <c r="O7" s="45"/>
      <c r="P7" s="46"/>
      <c r="Q7" s="9">
        <f>Q6</f>
        <v>5050</v>
      </c>
      <c r="R7" s="23">
        <f t="shared" ref="R7" si="0">G7*Q7/1000</f>
        <v>0.30299999999999999</v>
      </c>
      <c r="S7" s="38"/>
      <c r="T7" s="15"/>
      <c r="U7" s="53" t="s">
        <v>60</v>
      </c>
      <c r="V7" s="39"/>
    </row>
    <row r="8" spans="1:22" s="1" customFormat="1" ht="16.5" customHeight="1" x14ac:dyDescent="0.15">
      <c r="A8" s="40" t="s">
        <v>32</v>
      </c>
      <c r="B8" s="41"/>
      <c r="C8" s="35"/>
      <c r="D8" s="35"/>
      <c r="E8" s="35"/>
      <c r="F8" s="35"/>
      <c r="G8" s="35"/>
      <c r="H8" s="35"/>
      <c r="I8" s="35"/>
      <c r="J8" s="22">
        <f>SUM(J5:J6)</f>
        <v>9.8010752688172023</v>
      </c>
      <c r="K8" s="11">
        <f>K5+K6</f>
        <v>28000</v>
      </c>
      <c r="L8" s="24">
        <f>SUM(L5:L7)</f>
        <v>9.4149999999999991</v>
      </c>
      <c r="M8" s="12"/>
      <c r="N8" s="11">
        <f>N5+N6</f>
        <v>560</v>
      </c>
      <c r="O8" s="11"/>
      <c r="P8" s="11">
        <f>P5+P6</f>
        <v>9.6666666666666679</v>
      </c>
      <c r="Q8" s="11">
        <f>Q5+Q6</f>
        <v>28150</v>
      </c>
      <c r="R8" s="24">
        <f>SUM(R5:R7)</f>
        <v>9.463000000000001</v>
      </c>
      <c r="S8" s="7"/>
      <c r="T8" s="35" t="s">
        <v>33</v>
      </c>
      <c r="U8" s="7"/>
      <c r="V8" s="7"/>
    </row>
    <row r="9" spans="1:22" s="1" customFormat="1" ht="16.5" customHeight="1" x14ac:dyDescent="0.15">
      <c r="A9" s="42"/>
      <c r="B9" s="43"/>
      <c r="C9" s="36"/>
      <c r="D9" s="36"/>
      <c r="E9" s="36"/>
      <c r="F9" s="36"/>
      <c r="G9" s="36"/>
      <c r="H9" s="36"/>
      <c r="I9" s="36"/>
      <c r="J9" s="8" t="s">
        <v>23</v>
      </c>
      <c r="K9" s="8" t="s">
        <v>34</v>
      </c>
      <c r="L9" s="8" t="s">
        <v>23</v>
      </c>
      <c r="M9" s="8"/>
      <c r="N9" s="8" t="s">
        <v>25</v>
      </c>
      <c r="O9" s="8"/>
      <c r="P9" s="8" t="s">
        <v>27</v>
      </c>
      <c r="Q9" s="8" t="s">
        <v>34</v>
      </c>
      <c r="R9" s="16" t="s">
        <v>23</v>
      </c>
      <c r="S9" s="8"/>
      <c r="T9" s="36"/>
      <c r="U9" s="8"/>
      <c r="V9" s="8"/>
    </row>
    <row r="10" spans="1:22" s="1" customFormat="1" ht="23.25" customHeight="1" x14ac:dyDescent="0.15">
      <c r="B10" s="1" t="s">
        <v>35</v>
      </c>
      <c r="P10" s="13"/>
      <c r="R10" s="57" t="s">
        <v>67</v>
      </c>
      <c r="S10" s="33"/>
      <c r="T10" s="33"/>
      <c r="U10" s="33"/>
      <c r="V10" s="33"/>
    </row>
    <row r="11" spans="1:22" s="1" customFormat="1" ht="19.5" customHeight="1" x14ac:dyDescent="0.15">
      <c r="A11" s="1" t="s">
        <v>36</v>
      </c>
      <c r="B11" s="34" t="s">
        <v>37</v>
      </c>
      <c r="C11" s="34"/>
      <c r="D11" s="34"/>
      <c r="E11" s="34"/>
      <c r="F11" s="34"/>
      <c r="G11" s="34"/>
      <c r="H11" s="34"/>
      <c r="I11" s="34"/>
      <c r="J11" s="34"/>
      <c r="K11" s="34"/>
      <c r="L11" s="34"/>
      <c r="M11" s="34"/>
      <c r="N11" s="34"/>
      <c r="O11" s="34"/>
      <c r="P11" s="34"/>
      <c r="Q11" s="34"/>
      <c r="R11" s="34"/>
      <c r="S11" s="34"/>
      <c r="T11" s="34"/>
      <c r="U11" s="34"/>
      <c r="V11" s="34"/>
    </row>
    <row r="12" spans="1:22" s="1" customFormat="1" ht="19.5" customHeight="1" x14ac:dyDescent="0.15">
      <c r="B12" s="34" t="s">
        <v>38</v>
      </c>
      <c r="C12" s="34"/>
      <c r="D12" s="34"/>
      <c r="E12" s="34"/>
      <c r="F12" s="34"/>
      <c r="G12" s="34"/>
      <c r="H12" s="34"/>
      <c r="I12" s="34"/>
      <c r="J12" s="34"/>
      <c r="K12" s="34"/>
      <c r="L12" s="34"/>
      <c r="M12" s="34"/>
      <c r="N12" s="34"/>
      <c r="O12" s="34"/>
      <c r="P12" s="34"/>
      <c r="Q12" s="34"/>
      <c r="R12" s="34"/>
      <c r="S12" s="34"/>
      <c r="T12" s="34"/>
      <c r="U12" s="34"/>
      <c r="V12" s="34"/>
    </row>
    <row r="13" spans="1:22" s="1" customFormat="1" ht="19.5" customHeight="1" x14ac:dyDescent="0.15">
      <c r="A13" s="1" t="s">
        <v>39</v>
      </c>
      <c r="B13" s="34" t="s">
        <v>40</v>
      </c>
      <c r="C13" s="34"/>
      <c r="D13" s="34"/>
      <c r="E13" s="34"/>
      <c r="F13" s="34"/>
      <c r="G13" s="34"/>
      <c r="H13" s="34"/>
      <c r="I13" s="34"/>
      <c r="J13" s="34"/>
      <c r="K13" s="34"/>
      <c r="L13" s="34"/>
      <c r="M13" s="34"/>
      <c r="N13" s="34"/>
      <c r="O13" s="34"/>
      <c r="P13" s="34"/>
      <c r="Q13" s="34"/>
      <c r="R13" s="34"/>
      <c r="S13" s="34"/>
      <c r="T13" s="34"/>
      <c r="U13" s="34"/>
      <c r="V13" s="34"/>
    </row>
    <row r="14" spans="1:22" s="1" customFormat="1" ht="19.5" customHeight="1" x14ac:dyDescent="0.15">
      <c r="A14" s="1" t="s">
        <v>41</v>
      </c>
      <c r="B14" s="34" t="s">
        <v>42</v>
      </c>
      <c r="C14" s="34"/>
      <c r="D14" s="34"/>
      <c r="E14" s="34"/>
      <c r="F14" s="34"/>
      <c r="G14" s="34"/>
      <c r="H14" s="34"/>
      <c r="I14" s="34"/>
      <c r="J14" s="34"/>
      <c r="K14" s="34"/>
      <c r="L14" s="34"/>
      <c r="M14" s="34"/>
      <c r="N14" s="34"/>
      <c r="O14" s="34"/>
      <c r="P14" s="34"/>
      <c r="Q14" s="34"/>
      <c r="R14" s="34"/>
      <c r="S14" s="34"/>
      <c r="T14" s="34"/>
      <c r="U14" s="34"/>
      <c r="V14" s="34"/>
    </row>
    <row r="15" spans="1:22" ht="27.75" customHeight="1" x14ac:dyDescent="0.15">
      <c r="A15" s="50" t="s">
        <v>66</v>
      </c>
      <c r="B15" s="56" t="s">
        <v>65</v>
      </c>
    </row>
    <row r="16" spans="1:22" ht="20.25" customHeight="1" x14ac:dyDescent="0.15">
      <c r="C16" s="34" t="s">
        <v>43</v>
      </c>
      <c r="D16" s="34"/>
      <c r="E16" s="34"/>
      <c r="F16" s="34"/>
      <c r="G16" s="34"/>
      <c r="H16" s="34"/>
      <c r="I16" s="34"/>
      <c r="J16" s="34"/>
      <c r="K16" s="34"/>
      <c r="L16" s="34"/>
      <c r="M16" s="34"/>
    </row>
    <row r="17" spans="17:22" ht="22.5" x14ac:dyDescent="0.15">
      <c r="Q17" s="47">
        <v>45870</v>
      </c>
      <c r="R17" s="47"/>
      <c r="S17" s="47"/>
      <c r="T17" s="47"/>
      <c r="U17" s="47"/>
      <c r="V17" s="47"/>
    </row>
  </sheetData>
  <mergeCells count="38">
    <mergeCell ref="B13:V13"/>
    <mergeCell ref="B14:V14"/>
    <mergeCell ref="C16:M16"/>
    <mergeCell ref="Q17:V17"/>
    <mergeCell ref="A3:A4"/>
    <mergeCell ref="B3:B4"/>
    <mergeCell ref="C3:C4"/>
    <mergeCell ref="C8:C9"/>
    <mergeCell ref="D3:D4"/>
    <mergeCell ref="D8:D9"/>
    <mergeCell ref="E3:E4"/>
    <mergeCell ref="E5:E7"/>
    <mergeCell ref="E8:E9"/>
    <mergeCell ref="F3:F4"/>
    <mergeCell ref="F8:F9"/>
    <mergeCell ref="G8:G9"/>
    <mergeCell ref="R10:V10"/>
    <mergeCell ref="B11:V11"/>
    <mergeCell ref="B12:V12"/>
    <mergeCell ref="H8:H9"/>
    <mergeCell ref="I8:I9"/>
    <mergeCell ref="S5:S7"/>
    <mergeCell ref="T8:T9"/>
    <mergeCell ref="V5:V7"/>
    <mergeCell ref="A8:B9"/>
    <mergeCell ref="I7:J7"/>
    <mergeCell ref="M7:P7"/>
    <mergeCell ref="A1:V1"/>
    <mergeCell ref="G2:H2"/>
    <mergeCell ref="N2:O2"/>
    <mergeCell ref="T2:V2"/>
    <mergeCell ref="H3:J3"/>
    <mergeCell ref="K3:P3"/>
    <mergeCell ref="Q3:R3"/>
    <mergeCell ref="S3:S4"/>
    <mergeCell ref="T3:T4"/>
    <mergeCell ref="U3:U4"/>
    <mergeCell ref="V3:V4"/>
  </mergeCells>
  <phoneticPr fontId="11" type="noConversion"/>
  <pageMargins left="0" right="0" top="0.74803149606299202" bottom="0.74803149606299202" header="0.31496062992126" footer="0.31496062992126"/>
  <pageSetup paperSize="9" scale="90" orientation="landscape" horizontalDpi="2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" defaultRowHeight="13.5" x14ac:dyDescent="0.15"/>
  <sheetData/>
  <phoneticPr fontId="11" type="noConversion"/>
  <pageMargins left="0.7" right="0.7" top="0.75" bottom="0.75" header="0.3" footer="0.3"/>
  <pageSetup paperSize="9" orientation="portrait" horizontalDpi="2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" defaultRowHeight="13.5" x14ac:dyDescent="0.15"/>
  <sheetData/>
  <phoneticPr fontId="11" type="noConversion"/>
  <pageMargins left="0.7" right="0.7" top="0.75" bottom="0.75" header="0.3" footer="0.3"/>
  <pageSetup paperSize="9" orientation="portrait" horizontalDpi="2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</dc:creator>
  <cp:lastModifiedBy>lu@sudelan.cn</cp:lastModifiedBy>
  <cp:lastPrinted>2025-02-05T06:01:48Z</cp:lastPrinted>
  <dcterms:created xsi:type="dcterms:W3CDTF">2006-09-13T11:21:00Z</dcterms:created>
  <dcterms:modified xsi:type="dcterms:W3CDTF">2025-08-01T07:56:17Z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A60A86319CDF47CE9E23DDC080F4B5FE_13</vt:lpwstr>
  </property>
  <property fmtid="{D5CDD505-2E9C-101B-9397-08002B2CF9AE}" pid="3" name="KSOProductBuildVer">
    <vt:lpwstr>2052-12.1.0.17147</vt:lpwstr>
  </property>
</Properties>
</file>