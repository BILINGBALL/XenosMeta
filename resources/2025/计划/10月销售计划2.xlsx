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025CRCC\客户满意度\"/>
    </mc:Choice>
  </mc:AlternateContent>
  <xr:revisionPtr revIDLastSave="0" documentId="8_{D6EC0162-B9F6-4D71-B2E5-4C7E987013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<sst xmlns="http://schemas.openxmlformats.org/spreadsheetml/2006/main" count="72" uniqueCount="64">
  <si>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</si>
  <si>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</si>
  <si>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</si>
  <si>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</si>
  <si>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</si>
  <si>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</si>
  <si>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</si>
  <si>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</si>
  <si>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</si>
  <si>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</si>
  <si>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</si>
  <si>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</si>
  <si>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</si>
  <si>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</si>
  <si>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</si>
  <si>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</si>
  <si>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</si>
  <si>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</si>
  <si>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</si>
  <si>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</si>
  <si>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</si>
  <si>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</si>
  <si>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</si>
  <si>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</si>
  <si>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</si>
  <si>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</si>
  <si>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</si>
  <si>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</si>
  <si>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</si>
  <si>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</si>
  <si>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</si>
  <si>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</si>
  <si>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1.3861.h</t>
  </si>
  <si>
    <t>TD16</t>
  </si>
  <si>
    <t>Φ25</t>
  </si>
  <si>
    <t>热镀锌</t>
  </si>
  <si>
    <t>麻袋+托盘</t>
  </si>
  <si>
    <t>平垫圈</t>
  </si>
  <si>
    <t>Uls7</t>
  </si>
  <si>
    <t>1.1138.j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</si>
  <si>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</si>
  <si>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</si>
  <si>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</si>
  <si>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</si>
  <si>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</si>
  <si>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</si>
  <si>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</si>
  <si>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</si>
  <si>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</si>
  <si>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</si>
  <si>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</si>
  <si>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</si>
  <si>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</si>
  <si>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</si>
  <si>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</si>
  <si>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</si>
  <si>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高蕾</t>
    <phoneticPr fontId="8" type="noConversion"/>
  </si>
  <si>
    <t>Ss36  230
SDL  25  5.6
CRCC  生产周</t>
    <phoneticPr fontId="8" type="noConversion"/>
  </si>
  <si>
    <t>Uls7
SDL 25</t>
    <phoneticPr fontId="8" type="noConversion"/>
  </si>
  <si>
    <t>10  月  份  销  售  计  划  2</t>
    <phoneticPr fontId="8" type="noConversion"/>
  </si>
  <si>
    <t>251015-1</t>
    <phoneticPr fontId="8" type="noConversion"/>
  </si>
  <si>
    <t>251015-2</t>
  </si>
  <si>
    <t>4500108329</t>
    <phoneticPr fontId="8" type="noConversion"/>
  </si>
  <si>
    <t>2025-12-31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</si>
</sst>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_ "/>
    <numFmt numFmtId="178" formatCode="0.00_ "/>
    <numFmt numFmtId="179" formatCode="[$-F800]dddd\,\ mmmm\ dd\,\ yyyy"/>
    <numFmt numFmtId="180" formatCode="0;_샿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9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topLeftCell="A2" workbookViewId="0">
      <selection activeCell="E6" sqref="E6:E7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40" t="s">
        <v>59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3" spans="1:23" s="1" customFormat="1" ht="21" customHeight="1" x14ac:dyDescent="0.15">
      <c r="B3" s="1" t="s">
        <v>0</v>
      </c>
      <c r="C3" s="15" t="s">
        <v>56</v>
      </c>
      <c r="H3" s="42" t="s">
        <v>1</v>
      </c>
      <c r="I3" s="42"/>
      <c r="O3" s="42" t="s">
        <v>2</v>
      </c>
      <c r="P3" s="42"/>
      <c r="U3" s="43" t="s">
        <v>3</v>
      </c>
      <c r="V3" s="44"/>
      <c r="W3" s="44"/>
    </row>
    <row r="4" spans="1:23" s="1" customFormat="1" ht="20.25" customHeight="1" x14ac:dyDescent="0.15">
      <c r="A4" s="24" t="s">
        <v>4</v>
      </c>
      <c r="B4" s="24" t="s">
        <v>5</v>
      </c>
      <c r="C4" s="24" t="s">
        <v>6</v>
      </c>
      <c r="D4" s="24" t="s">
        <v>7</v>
      </c>
      <c r="E4" s="24" t="s">
        <v>8</v>
      </c>
      <c r="F4" s="24" t="s">
        <v>9</v>
      </c>
      <c r="G4" s="27" t="s">
        <v>10</v>
      </c>
      <c r="H4" s="5" t="s">
        <v>11</v>
      </c>
      <c r="I4" s="24" t="s">
        <v>12</v>
      </c>
      <c r="J4" s="24"/>
      <c r="K4" s="24"/>
      <c r="L4" s="24" t="s">
        <v>13</v>
      </c>
      <c r="M4" s="24"/>
      <c r="N4" s="24"/>
      <c r="O4" s="24"/>
      <c r="P4" s="24"/>
      <c r="Q4" s="24"/>
      <c r="R4" s="24" t="s">
        <v>14</v>
      </c>
      <c r="S4" s="24"/>
      <c r="T4" s="24" t="s">
        <v>15</v>
      </c>
      <c r="U4" s="24" t="s">
        <v>16</v>
      </c>
      <c r="V4" s="24" t="s">
        <v>17</v>
      </c>
      <c r="W4" s="24" t="s">
        <v>18</v>
      </c>
    </row>
    <row r="5" spans="1:23" s="1" customFormat="1" ht="31.5" customHeight="1" x14ac:dyDescent="0.15">
      <c r="A5" s="24"/>
      <c r="B5" s="24"/>
      <c r="C5" s="24"/>
      <c r="D5" s="24"/>
      <c r="E5" s="24"/>
      <c r="F5" s="24"/>
      <c r="G5" s="28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24"/>
      <c r="U5" s="24"/>
      <c r="V5" s="24"/>
      <c r="W5" s="24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16" t="s">
        <v>60</v>
      </c>
      <c r="E6" s="25" t="s">
        <v>62</v>
      </c>
      <c r="F6" s="27" t="s">
        <v>31</v>
      </c>
      <c r="G6" s="5" t="s">
        <v>32</v>
      </c>
      <c r="H6" s="8">
        <v>0.73499999999999999</v>
      </c>
      <c r="I6" s="5" t="s">
        <v>33</v>
      </c>
      <c r="J6" s="5" t="s">
        <v>34</v>
      </c>
      <c r="K6" s="17">
        <f>M6/0.94</f>
        <v>156.38297872340428</v>
      </c>
      <c r="L6" s="5">
        <v>200000</v>
      </c>
      <c r="M6" s="20">
        <f>H6*L6/1000</f>
        <v>147</v>
      </c>
      <c r="N6" s="5">
        <v>36</v>
      </c>
      <c r="O6" s="5">
        <f>INT(L6/N6+1)</f>
        <v>5556</v>
      </c>
      <c r="P6" s="5">
        <v>32</v>
      </c>
      <c r="Q6" s="5">
        <f>INT(O6/P6+1)</f>
        <v>174</v>
      </c>
      <c r="R6" s="5">
        <f>INT(L6/1000+1)*1000</f>
        <v>201000</v>
      </c>
      <c r="S6" s="19">
        <f t="shared" ref="S6:S7" si="0">H6*R6/1000</f>
        <v>147.73500000000001</v>
      </c>
      <c r="T6" s="29" t="s">
        <v>63</v>
      </c>
      <c r="U6" s="18" t="s">
        <v>57</v>
      </c>
      <c r="V6" s="27" t="s">
        <v>35</v>
      </c>
      <c r="W6" s="27" t="s">
        <v>36</v>
      </c>
    </row>
    <row r="7" spans="1:23" s="1" customFormat="1" ht="37.5" customHeight="1" x14ac:dyDescent="0.15">
      <c r="A7" s="6">
        <v>2</v>
      </c>
      <c r="B7" s="5" t="s">
        <v>37</v>
      </c>
      <c r="C7" s="5" t="s">
        <v>38</v>
      </c>
      <c r="D7" s="16" t="s">
        <v>61</v>
      </c>
      <c r="E7" s="26"/>
      <c r="F7" s="28"/>
      <c r="G7" s="7" t="s">
        <v>39</v>
      </c>
      <c r="H7" s="5">
        <v>3.5999999999999997E-2</v>
      </c>
      <c r="I7" s="5" t="s">
        <v>40</v>
      </c>
      <c r="J7" s="31"/>
      <c r="K7" s="32"/>
      <c r="L7" s="5">
        <f>L6</f>
        <v>200000</v>
      </c>
      <c r="M7" s="20">
        <f>H7*L7/1000</f>
        <v>7.1999999999999993</v>
      </c>
      <c r="N7" s="31" t="s">
        <v>41</v>
      </c>
      <c r="O7" s="33"/>
      <c r="P7" s="33"/>
      <c r="Q7" s="32"/>
      <c r="R7" s="5">
        <f>R6</f>
        <v>201000</v>
      </c>
      <c r="S7" s="19">
        <f t="shared" si="0"/>
        <v>7.2359999999999989</v>
      </c>
      <c r="T7" s="30"/>
      <c r="U7" s="18" t="s">
        <v>58</v>
      </c>
      <c r="V7" s="28"/>
      <c r="W7" s="28"/>
    </row>
    <row r="8" spans="1:23" s="2" customFormat="1" ht="21" customHeight="1" x14ac:dyDescent="0.15">
      <c r="A8" s="36" t="s">
        <v>42</v>
      </c>
      <c r="B8" s="37"/>
      <c r="C8" s="9"/>
      <c r="D8" s="9"/>
      <c r="E8" s="9"/>
      <c r="F8" s="10"/>
      <c r="G8" s="10"/>
      <c r="H8" s="9"/>
      <c r="I8" s="9"/>
      <c r="J8" s="9"/>
      <c r="K8" s="12">
        <f>SUM(K6:K7)</f>
        <v>156.38297872340428</v>
      </c>
      <c r="L8" s="12">
        <f>L6</f>
        <v>200000</v>
      </c>
      <c r="M8" s="12">
        <f>SUM(M6:M7)</f>
        <v>154.19999999999999</v>
      </c>
      <c r="N8" s="13"/>
      <c r="O8" s="12">
        <f>O6</f>
        <v>5556</v>
      </c>
      <c r="P8" s="13"/>
      <c r="Q8" s="12">
        <f>Q6</f>
        <v>174</v>
      </c>
      <c r="R8" s="12">
        <f>R6</f>
        <v>201000</v>
      </c>
      <c r="S8" s="12">
        <f>SUM(S6:S7)</f>
        <v>154.971</v>
      </c>
      <c r="T8" s="14"/>
      <c r="U8" s="34" t="s">
        <v>43</v>
      </c>
      <c r="V8" s="14"/>
      <c r="W8" s="14"/>
    </row>
    <row r="9" spans="1:23" s="3" customFormat="1" ht="21" customHeight="1" x14ac:dyDescent="0.15">
      <c r="A9" s="38"/>
      <c r="B9" s="39"/>
      <c r="C9" s="11"/>
      <c r="D9" s="11"/>
      <c r="E9" s="11"/>
      <c r="F9" s="11"/>
      <c r="G9" s="11"/>
      <c r="H9" s="11"/>
      <c r="I9" s="11"/>
      <c r="J9" s="11"/>
      <c r="K9" s="11" t="s">
        <v>24</v>
      </c>
      <c r="L9" s="11" t="s">
        <v>44</v>
      </c>
      <c r="M9" s="11" t="s">
        <v>24</v>
      </c>
      <c r="N9" s="11"/>
      <c r="O9" s="11" t="s">
        <v>26</v>
      </c>
      <c r="P9" s="11"/>
      <c r="Q9" s="11" t="s">
        <v>28</v>
      </c>
      <c r="R9" s="11" t="s">
        <v>44</v>
      </c>
      <c r="S9" s="11" t="s">
        <v>24</v>
      </c>
      <c r="T9" s="11"/>
      <c r="U9" s="35"/>
      <c r="V9" s="11"/>
      <c r="W9" s="11"/>
    </row>
    <row r="10" spans="1:23" s="1" customFormat="1" ht="19.5" customHeight="1" x14ac:dyDescent="0.15">
      <c r="B10" s="1" t="s">
        <v>45</v>
      </c>
    </row>
    <row r="11" spans="1:23" s="1" customFormat="1" ht="19.5" customHeight="1" x14ac:dyDescent="0.15">
      <c r="A11" s="1" t="s">
        <v>46</v>
      </c>
      <c r="B11" s="21" t="s">
        <v>47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s="1" customFormat="1" ht="19.5" customHeight="1" x14ac:dyDescent="0.15">
      <c r="B12" s="21" t="s">
        <v>48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49</v>
      </c>
      <c r="B13" s="21" t="s">
        <v>50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51</v>
      </c>
      <c r="B14" s="21" t="s">
        <v>52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23.25" customHeight="1" x14ac:dyDescent="0.15">
      <c r="A15" s="1" t="s">
        <v>53</v>
      </c>
      <c r="B15" s="22" t="s">
        <v>54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>
        <v>45945</v>
      </c>
      <c r="U15" s="23"/>
      <c r="V15" s="23"/>
      <c r="W15" s="23"/>
    </row>
    <row r="16" spans="1:23" ht="20.25" customHeight="1" x14ac:dyDescent="0.15">
      <c r="C16" s="22" t="s">
        <v>55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</sheetData>
  <mergeCells count="34">
    <mergeCell ref="A1:W1"/>
    <mergeCell ref="H3:I3"/>
    <mergeCell ref="O3:P3"/>
    <mergeCell ref="U3:W3"/>
    <mergeCell ref="I4:K4"/>
    <mergeCell ref="L4:Q4"/>
    <mergeCell ref="R4:S4"/>
    <mergeCell ref="V4:V5"/>
    <mergeCell ref="W4:W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2025-10-15T02:22:34Z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