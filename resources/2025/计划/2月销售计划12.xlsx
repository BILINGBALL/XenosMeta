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EB070FD3-DBAF-408B-ACCF-43E8A04EAF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Q9" i="1"/>
  <c r="O9" i="1"/>
  <c r="M9" i="1"/>
  <c r="L9" i="1"/>
  <c r="K9" i="1"/>
  <c r="S7" i="1"/>
  <c r="M7" i="1"/>
  <c r="K7" i="1" s="1"/>
  <c r="S8" i="1"/>
  <c r="M8" i="1"/>
  <c r="K8" i="1" l="1"/>
</calcChain>
</file>

<file path=xl/sharedStrings.xml><?xml version="1.0" encoding="utf-8"?>
<sst xmlns="http://schemas.openxmlformats.org/spreadsheetml/2006/main" count="64" uniqueCount="58">
  <si>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</si>
  <si>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</si>
  <si>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</si>
  <si>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</si>
  <si>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</si>
  <si>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</si>
  <si>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</si>
  <si>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</si>
  <si>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</si>
  <si>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</si>
  <si>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</si>
  <si>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</si>
  <si>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</si>
  <si>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</si>
  <si>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</si>
  <si>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</si>
  <si>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</si>
  <si>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</si>
  <si>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</si>
  <si>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</si>
  <si>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</si>
  <si>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</si>
  <si>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</si>
  <si>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</si>
  <si>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</si>
  <si>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</si>
  <si>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</si>
  <si>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</si>
  <si>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</si>
  <si>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</si>
  <si>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23*174</t>
  </si>
  <si>
    <t>E225054 
E225235</t>
  </si>
  <si>
    <t>35K</t>
  </si>
  <si>
    <r>
      <rPr>
        <b/>
        <sz val="10"/>
        <color rgb="FFFF0000"/>
        <rFont val="宋体"/>
        <charset val="134"/>
        <scheme val="minor"/>
      </rPr>
      <t>电镀白锌</t>
    </r>
    <r>
      <rPr>
        <sz val="10"/>
        <color theme="1"/>
        <rFont val="宋体"/>
        <charset val="134"/>
        <scheme val="minor"/>
      </rPr>
      <t>≥12μm
90小时无白锈，200小时无红锈</t>
    </r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</si>
  <si>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</si>
  <si>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</si>
  <si>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</si>
  <si>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</si>
  <si>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</si>
  <si>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</si>
  <si>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</si>
  <si>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</si>
  <si>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</si>
  <si>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</si>
  <si>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</si>
  <si>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25*179</t>
  </si>
  <si>
    <t xml:space="preserve"> E225195
 E225235</t>
  </si>
  <si>
    <r>
      <t xml:space="preserve">PANDROL
SDL
</t>
    </r>
    <r>
      <rPr>
        <b/>
        <sz val="12"/>
        <color theme="1"/>
        <rFont val="宋体"/>
        <charset val="134"/>
        <scheme val="minor"/>
      </rPr>
      <t>5.6</t>
    </r>
    <r>
      <rPr>
        <sz val="9"/>
        <color theme="1"/>
        <rFont val="宋体"/>
        <charset val="134"/>
        <scheme val="minor"/>
      </rPr>
      <t xml:space="preserve">
GS195-J11
25</t>
    </r>
    <phoneticPr fontId="10" type="noConversion"/>
  </si>
  <si>
    <r>
      <t xml:space="preserve">PANDROL
SDL
</t>
    </r>
    <r>
      <rPr>
        <b/>
        <sz val="12"/>
        <color theme="1"/>
        <rFont val="宋体"/>
        <charset val="134"/>
        <scheme val="minor"/>
      </rPr>
      <t>5.6</t>
    </r>
    <r>
      <rPr>
        <sz val="9"/>
        <color theme="1"/>
        <rFont val="宋体"/>
        <charset val="134"/>
        <scheme val="minor"/>
      </rPr>
      <t xml:space="preserve">
GS54-J10
25</t>
    </r>
    <phoneticPr fontId="10" type="noConversion"/>
  </si>
  <si>
    <t>CA2500772</t>
    <phoneticPr fontId="10" type="noConversion"/>
  </si>
  <si>
    <t>客户图纸
UIC864-1</t>
    <phoneticPr fontId="10" type="noConversion"/>
  </si>
  <si>
    <t>250218-1</t>
    <phoneticPr fontId="10" type="noConversion"/>
  </si>
  <si>
    <t>250218-2</t>
  </si>
  <si>
    <t>2025-3-25</t>
    <phoneticPr fontId="10" type="noConversion"/>
  </si>
  <si>
    <t>2 月  份  销  售  计  划  12</t>
    <phoneticPr fontId="10" type="noConversion"/>
  </si>
  <si>
    <t>2025-3-5</t>
    <phoneticPr fontId="10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</si>
  <si>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22</t>
    </r>
    <phoneticPr fontId="10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</si>
  <si>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26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</si>
</sst>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2" workbookViewId="0">
      <selection activeCell="M8" sqref="M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6" t="s">
        <v>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4" spans="1:23" s="1" customFormat="1" ht="27.75" customHeight="1" x14ac:dyDescent="0.15">
      <c r="A4" s="28" t="s">
        <v>0</v>
      </c>
      <c r="B4" s="28"/>
      <c r="C4" s="1" t="s">
        <v>1</v>
      </c>
      <c r="H4" s="28" t="s">
        <v>2</v>
      </c>
      <c r="I4" s="28"/>
      <c r="O4" s="28" t="s">
        <v>3</v>
      </c>
      <c r="P4" s="28"/>
      <c r="U4" s="29"/>
      <c r="V4" s="30"/>
      <c r="W4" s="30"/>
    </row>
    <row r="5" spans="1:23" s="1" customFormat="1" ht="27" customHeight="1" x14ac:dyDescent="0.15">
      <c r="A5" s="16" t="s">
        <v>4</v>
      </c>
      <c r="B5" s="16" t="s">
        <v>5</v>
      </c>
      <c r="C5" s="16" t="s">
        <v>6</v>
      </c>
      <c r="D5" s="16" t="s">
        <v>7</v>
      </c>
      <c r="E5" s="16" t="s">
        <v>8</v>
      </c>
      <c r="F5" s="16" t="s">
        <v>9</v>
      </c>
      <c r="G5" s="16" t="s">
        <v>10</v>
      </c>
      <c r="H5" s="3" t="s">
        <v>11</v>
      </c>
      <c r="I5" s="18" t="s">
        <v>12</v>
      </c>
      <c r="J5" s="19"/>
      <c r="K5" s="19"/>
      <c r="L5" s="16" t="s">
        <v>13</v>
      </c>
      <c r="M5" s="16"/>
      <c r="N5" s="16"/>
      <c r="O5" s="16"/>
      <c r="P5" s="16"/>
      <c r="Q5" s="16"/>
      <c r="R5" s="16" t="s">
        <v>14</v>
      </c>
      <c r="S5" s="16"/>
      <c r="T5" s="16" t="s">
        <v>15</v>
      </c>
      <c r="U5" s="16" t="s">
        <v>16</v>
      </c>
      <c r="V5" s="16" t="s">
        <v>17</v>
      </c>
      <c r="W5" s="16" t="s">
        <v>18</v>
      </c>
    </row>
    <row r="6" spans="1:23" s="1" customFormat="1" ht="27.75" customHeight="1" x14ac:dyDescent="0.15">
      <c r="A6" s="16"/>
      <c r="B6" s="16"/>
      <c r="C6" s="16"/>
      <c r="D6" s="16"/>
      <c r="E6" s="16"/>
      <c r="F6" s="16"/>
      <c r="G6" s="16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6"/>
      <c r="U6" s="16"/>
      <c r="V6" s="16"/>
      <c r="W6" s="16"/>
    </row>
    <row r="7" spans="1:23" s="1" customFormat="1" ht="74.25" customHeight="1" x14ac:dyDescent="0.15">
      <c r="A7" s="4">
        <v>1</v>
      </c>
      <c r="B7" s="3" t="s">
        <v>29</v>
      </c>
      <c r="C7" s="3" t="s">
        <v>45</v>
      </c>
      <c r="D7" s="11" t="s">
        <v>51</v>
      </c>
      <c r="E7" s="24" t="s">
        <v>49</v>
      </c>
      <c r="F7" s="12" t="s">
        <v>50</v>
      </c>
      <c r="G7" s="3" t="s">
        <v>46</v>
      </c>
      <c r="H7" s="3">
        <v>0.69</v>
      </c>
      <c r="I7" s="6" t="s">
        <v>32</v>
      </c>
      <c r="J7" s="31" t="s">
        <v>57</v>
      </c>
      <c r="K7" s="7">
        <f>M7/0.92</f>
        <v>5.4037499999999996</v>
      </c>
      <c r="L7" s="3">
        <v>7205</v>
      </c>
      <c r="M7" s="8">
        <f>L7*H7/1000</f>
        <v>4.9714499999999999</v>
      </c>
      <c r="N7" s="3">
        <v>30</v>
      </c>
      <c r="O7" s="3">
        <v>241</v>
      </c>
      <c r="P7" s="3">
        <v>35</v>
      </c>
      <c r="Q7" s="3">
        <v>7</v>
      </c>
      <c r="R7" s="3">
        <v>7250</v>
      </c>
      <c r="S7" s="8">
        <f>R7*H7/1000</f>
        <v>5.0025000000000004</v>
      </c>
      <c r="T7" s="13" t="s">
        <v>55</v>
      </c>
      <c r="U7" s="12" t="s">
        <v>47</v>
      </c>
      <c r="V7" s="22" t="s">
        <v>33</v>
      </c>
      <c r="W7" s="5" t="s">
        <v>34</v>
      </c>
    </row>
    <row r="8" spans="1:23" s="1" customFormat="1" ht="74.25" customHeight="1" x14ac:dyDescent="0.15">
      <c r="A8" s="4">
        <v>2</v>
      </c>
      <c r="B8" s="3" t="s">
        <v>29</v>
      </c>
      <c r="C8" s="3" t="s">
        <v>30</v>
      </c>
      <c r="D8" s="11" t="s">
        <v>52</v>
      </c>
      <c r="E8" s="25"/>
      <c r="F8" s="12" t="s">
        <v>50</v>
      </c>
      <c r="G8" s="3" t="s">
        <v>31</v>
      </c>
      <c r="H8" s="3">
        <v>0.53400000000000003</v>
      </c>
      <c r="I8" s="6" t="s">
        <v>32</v>
      </c>
      <c r="J8" s="31" t="s">
        <v>56</v>
      </c>
      <c r="K8" s="7">
        <f>M8/0.92</f>
        <v>18.478260869565215</v>
      </c>
      <c r="L8" s="3">
        <v>40000</v>
      </c>
      <c r="M8" s="8">
        <f>L8*0.425/1000</f>
        <v>17</v>
      </c>
      <c r="N8" s="3">
        <v>40</v>
      </c>
      <c r="O8" s="3">
        <v>1000</v>
      </c>
      <c r="P8" s="3">
        <v>30</v>
      </c>
      <c r="Q8" s="3">
        <v>34</v>
      </c>
      <c r="R8" s="3">
        <v>40100</v>
      </c>
      <c r="S8" s="8">
        <f>R8*0.425/1000</f>
        <v>17.0425</v>
      </c>
      <c r="T8" s="13" t="s">
        <v>53</v>
      </c>
      <c r="U8" s="12" t="s">
        <v>48</v>
      </c>
      <c r="V8" s="23"/>
      <c r="W8" s="5" t="s">
        <v>34</v>
      </c>
    </row>
    <row r="9" spans="1:23" s="1" customFormat="1" ht="42" customHeight="1" x14ac:dyDescent="0.15">
      <c r="A9" s="18" t="s">
        <v>35</v>
      </c>
      <c r="B9" s="19"/>
      <c r="C9" s="19"/>
      <c r="D9" s="19"/>
      <c r="E9" s="19"/>
      <c r="F9" s="19"/>
      <c r="G9" s="20"/>
      <c r="H9" s="3"/>
      <c r="I9" s="3"/>
      <c r="J9" s="3"/>
      <c r="K9" s="8">
        <f>SUM(K7:K8)</f>
        <v>23.882010869565214</v>
      </c>
      <c r="L9" s="8">
        <f>SUM(L7:L8)</f>
        <v>47205</v>
      </c>
      <c r="M9" s="8">
        <f>SUM(M7:M8)</f>
        <v>21.971450000000001</v>
      </c>
      <c r="N9" s="3"/>
      <c r="O9" s="8">
        <f>SUM(O7:O8)</f>
        <v>1241</v>
      </c>
      <c r="P9" s="3"/>
      <c r="Q9" s="8">
        <f>SUM(Q7:Q8)</f>
        <v>41</v>
      </c>
      <c r="R9" s="3"/>
      <c r="S9" s="8">
        <f>SUM(S7:S8)</f>
        <v>22.045000000000002</v>
      </c>
      <c r="T9" s="10"/>
      <c r="U9" s="3" t="s">
        <v>36</v>
      </c>
      <c r="V9" s="3"/>
      <c r="W9" s="5"/>
    </row>
    <row r="10" spans="1:23" ht="29.25" customHeight="1" x14ac:dyDescent="0.15">
      <c r="U10" s="21"/>
      <c r="V10" s="21"/>
    </row>
    <row r="11" spans="1:23" s="1" customFormat="1" ht="19.5" customHeight="1" x14ac:dyDescent="0.15">
      <c r="B11" s="1" t="s">
        <v>37</v>
      </c>
      <c r="O11" s="9"/>
      <c r="S11"/>
      <c r="U11" s="21"/>
      <c r="V11" s="21"/>
    </row>
    <row r="12" spans="1:23" s="1" customFormat="1" ht="19.5" customHeight="1" x14ac:dyDescent="0.15">
      <c r="A12" s="1" t="s">
        <v>38</v>
      </c>
      <c r="B12" s="14" t="s">
        <v>39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s="1" customFormat="1" ht="19.5" customHeight="1" x14ac:dyDescent="0.15">
      <c r="A13" s="1" t="s">
        <v>40</v>
      </c>
      <c r="B13" s="14" t="s">
        <v>41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s="1" customFormat="1" ht="19.5" customHeight="1" x14ac:dyDescent="0.15">
      <c r="A14" s="1" t="s">
        <v>42</v>
      </c>
      <c r="B14" s="14" t="s">
        <v>43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ht="42" customHeight="1" x14ac:dyDescent="0.15">
      <c r="O15" s="17"/>
      <c r="P15" s="17"/>
      <c r="Q15" s="17"/>
      <c r="R15" s="17"/>
      <c r="S15" s="17"/>
      <c r="T15" s="17"/>
      <c r="U15" s="17"/>
      <c r="V15" s="17"/>
      <c r="W15" s="17"/>
    </row>
    <row r="16" spans="1:23" ht="20.25" customHeight="1" x14ac:dyDescent="0.15">
      <c r="C16" s="14" t="s">
        <v>44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7"/>
      <c r="P16" s="17"/>
      <c r="Q16" s="17"/>
      <c r="R16" s="17"/>
      <c r="S16" s="17"/>
      <c r="T16" s="17"/>
      <c r="U16" s="17"/>
      <c r="V16" s="17"/>
      <c r="W16" s="17"/>
    </row>
    <row r="17" spans="17:20" x14ac:dyDescent="0.15">
      <c r="Q17" s="15">
        <v>45706</v>
      </c>
      <c r="R17" s="15"/>
      <c r="S17" s="15"/>
      <c r="T17" s="15"/>
    </row>
  </sheetData>
  <mergeCells count="29">
    <mergeCell ref="A2:W2"/>
    <mergeCell ref="A4:B4"/>
    <mergeCell ref="H4:I4"/>
    <mergeCell ref="O4:P4"/>
    <mergeCell ref="U4:W4"/>
    <mergeCell ref="I5:K5"/>
    <mergeCell ref="L5:Q5"/>
    <mergeCell ref="R5:S5"/>
    <mergeCell ref="A9:G9"/>
    <mergeCell ref="B12:W12"/>
    <mergeCell ref="U10:V11"/>
    <mergeCell ref="V7:V8"/>
    <mergeCell ref="E7:E8"/>
    <mergeCell ref="B13:W13"/>
    <mergeCell ref="B14:W14"/>
    <mergeCell ref="C16:N16"/>
    <mergeCell ref="Q17:T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5:W16"/>
  </mergeCells>
  <phoneticPr fontId="10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2025-02-18T03:21:15Z</cp:lastPrinted>
  <dcterms:created xsi:type="dcterms:W3CDTF">2006-09-13T11:21:00Z</dcterms:created>
  <dcterms:modified xsi:type="dcterms:W3CDTF">2025-02-21T03:33:50Z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