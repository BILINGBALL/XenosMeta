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75C75225-8DB0-4285-B10A-22843A6556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Q9" i="1"/>
  <c r="O9" i="1"/>
  <c r="S8" i="1"/>
  <c r="M8" i="1"/>
  <c r="S7" i="1"/>
  <c r="M7" i="1"/>
  <c r="M9" i="1" l="1"/>
  <c r="S9" i="1"/>
  <c r="K7" i="1"/>
  <c r="K9" i="1" s="1"/>
</calcChain>
</file>

<file path=xl/sharedStrings.xml><?xml version="1.0" encoding="utf-8"?>
<sst xmlns="http://schemas.openxmlformats.org/spreadsheetml/2006/main" count="61" uniqueCount="58">
  <si>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</si>
  <si>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</si>
  <si>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</si>
  <si>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</si>
  <si>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</si>
  <si>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</si>
  <si>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</si>
  <si>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</si>
  <si>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</si>
  <si>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</si>
  <si>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</si>
  <si>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</si>
  <si>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</si>
  <si>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</si>
  <si>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</si>
  <si>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</si>
  <si>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</si>
  <si>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</si>
  <si>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</si>
  <si>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</si>
  <si>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</si>
  <si>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</si>
  <si>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</si>
  <si>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</si>
  <si>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</si>
  <si>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</si>
  <si>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</si>
  <si>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</si>
  <si>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</si>
  <si>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</si>
  <si>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ISO 898-1
UIC 864-1
5.6级</t>
  </si>
  <si>
    <t>35K</t>
  </si>
  <si>
    <t>Φ24</t>
  </si>
  <si>
    <t>合 计</t>
  </si>
  <si>
    <t>详见
对应
图纸</t>
  </si>
  <si>
    <t>冷弯90°</t>
  </si>
  <si>
    <t>说明：</t>
  </si>
  <si>
    <t>1、</t>
  </si>
  <si>
    <r>
      <rPr>
        <sz val="10"/>
        <color theme="1"/>
        <rFont val="宋体"/>
        <family val="3"/>
        <charset val="134"/>
        <scheme val="minor"/>
      </rPr>
      <t>生产部门按生产工艺生产，加强自检，严格质量管理</t>
    </r>
    <r>
      <rPr>
        <sz val="10"/>
        <color theme="1"/>
        <rFont val="宋体"/>
        <family val="3"/>
        <charset val="134"/>
        <scheme val="minor"/>
      </rPr>
      <t>。</t>
    </r>
  </si>
  <si>
    <t>2、</t>
  </si>
  <si>
    <t>品管部负责办理质量证明书，检测报告及相关数据。</t>
  </si>
  <si>
    <t>3、</t>
  </si>
  <si>
    <t>分发：总经理、总经办、品管部、生产部</t>
  </si>
  <si>
    <t>弹垫</t>
    <phoneticPr fontId="10" type="noConversion"/>
  </si>
  <si>
    <t>60Si2Mn</t>
    <phoneticPr fontId="10" type="noConversion"/>
  </si>
  <si>
    <t>外购</t>
    <phoneticPr fontId="10" type="noConversion"/>
  </si>
  <si>
    <t>5 月  份  销  售  计  划  1</t>
    <phoneticPr fontId="9" type="noConversion"/>
  </si>
  <si>
    <t>250506-1</t>
    <phoneticPr fontId="9" type="noConversion"/>
  </si>
  <si>
    <t>250506-2</t>
  </si>
  <si>
    <t>923393-00</t>
    <phoneticPr fontId="9" type="noConversion"/>
  </si>
  <si>
    <t>432116-00</t>
    <phoneticPr fontId="9" type="noConversion"/>
  </si>
  <si>
    <t>SS35
24*142</t>
    <phoneticPr fontId="9" type="noConversion"/>
  </si>
  <si>
    <t>2025-5-13完成</t>
    <phoneticPr fontId="9" type="noConversion"/>
  </si>
  <si>
    <t>包装不确定</t>
    <phoneticPr fontId="9" type="noConversion"/>
  </si>
  <si>
    <t>编织袋+欧式托盘</t>
    <phoneticPr fontId="9" type="noConversion"/>
  </si>
  <si>
    <t xml:space="preserve">包装物为编织袋加欧式托盘。 </t>
    <phoneticPr fontId="9" type="noConversion"/>
  </si>
  <si>
    <t>SDL
25</t>
    <phoneticPr fontId="9" type="noConversion"/>
  </si>
  <si>
    <r>
      <t>热镀锌
≥45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</si>
</sst>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topLeftCell="A2" workbookViewId="0">
      <selection activeCell="K7" sqref="K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.75" style="2" customWidth="1"/>
    <col min="8" max="8" width="6.875" style="2" customWidth="1"/>
    <col min="9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6.7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8.375" style="2" customWidth="1"/>
    <col min="21" max="21" width="5.875" style="2" customWidth="1"/>
    <col min="22" max="22" width="7.75" style="2" customWidth="1"/>
    <col min="23" max="23" width="4.875" style="2" customWidth="1"/>
    <col min="24" max="16384" width="9" style="2"/>
  </cols>
  <sheetData>
    <row r="2" spans="1:23" ht="45" customHeight="1" x14ac:dyDescent="0.15">
      <c r="A2" s="20" t="s">
        <v>46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4" spans="1:23" s="1" customFormat="1" ht="27.75" customHeight="1" x14ac:dyDescent="0.15">
      <c r="A4" s="21" t="s">
        <v>0</v>
      </c>
      <c r="B4" s="21"/>
      <c r="C4" s="1" t="s">
        <v>1</v>
      </c>
      <c r="H4" s="21" t="s">
        <v>2</v>
      </c>
      <c r="I4" s="21"/>
      <c r="O4" s="21" t="s">
        <v>3</v>
      </c>
      <c r="P4" s="21"/>
      <c r="U4" s="22"/>
      <c r="V4" s="23"/>
      <c r="W4" s="23"/>
    </row>
    <row r="5" spans="1:23" s="1" customFormat="1" ht="27" customHeight="1" x14ac:dyDescent="0.15">
      <c r="A5" s="26" t="s">
        <v>4</v>
      </c>
      <c r="B5" s="26" t="s">
        <v>5</v>
      </c>
      <c r="C5" s="26" t="s">
        <v>6</v>
      </c>
      <c r="D5" s="26" t="s">
        <v>7</v>
      </c>
      <c r="E5" s="26" t="s">
        <v>8</v>
      </c>
      <c r="F5" s="26" t="s">
        <v>9</v>
      </c>
      <c r="G5" s="26" t="s">
        <v>10</v>
      </c>
      <c r="H5" s="3" t="s">
        <v>11</v>
      </c>
      <c r="I5" s="24" t="s">
        <v>12</v>
      </c>
      <c r="J5" s="25"/>
      <c r="K5" s="25"/>
      <c r="L5" s="26" t="s">
        <v>13</v>
      </c>
      <c r="M5" s="26"/>
      <c r="N5" s="26"/>
      <c r="O5" s="26"/>
      <c r="P5" s="26"/>
      <c r="Q5" s="26"/>
      <c r="R5" s="26" t="s">
        <v>14</v>
      </c>
      <c r="S5" s="26"/>
      <c r="T5" s="26" t="s">
        <v>15</v>
      </c>
      <c r="U5" s="26" t="s">
        <v>16</v>
      </c>
      <c r="V5" s="26" t="s">
        <v>17</v>
      </c>
      <c r="W5" s="26" t="s">
        <v>18</v>
      </c>
    </row>
    <row r="6" spans="1:23" s="1" customFormat="1" ht="27.75" customHeight="1" x14ac:dyDescent="0.15">
      <c r="A6" s="26"/>
      <c r="B6" s="26"/>
      <c r="C6" s="26"/>
      <c r="D6" s="26"/>
      <c r="E6" s="26"/>
      <c r="F6" s="26"/>
      <c r="G6" s="26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6"/>
      <c r="U6" s="26"/>
      <c r="V6" s="26"/>
      <c r="W6" s="26"/>
    </row>
    <row r="7" spans="1:23" s="1" customFormat="1" ht="84" customHeight="1" x14ac:dyDescent="0.15">
      <c r="A7" s="4">
        <v>1</v>
      </c>
      <c r="B7" s="3" t="s">
        <v>29</v>
      </c>
      <c r="C7" s="14" t="s">
        <v>51</v>
      </c>
      <c r="D7" s="14" t="s">
        <v>47</v>
      </c>
      <c r="E7" s="31">
        <v>176026</v>
      </c>
      <c r="F7" s="5" t="s">
        <v>30</v>
      </c>
      <c r="G7" s="15" t="s">
        <v>50</v>
      </c>
      <c r="H7" s="3">
        <v>0.55600000000000005</v>
      </c>
      <c r="I7" s="3" t="s">
        <v>31</v>
      </c>
      <c r="J7" s="3" t="s">
        <v>32</v>
      </c>
      <c r="K7" s="19">
        <f>M7/0.92</f>
        <v>16.20316956521739</v>
      </c>
      <c r="L7" s="3">
        <v>26811</v>
      </c>
      <c r="M7" s="6">
        <f>L7*H7/1000</f>
        <v>14.906916000000001</v>
      </c>
      <c r="N7" s="3">
        <v>40</v>
      </c>
      <c r="O7" s="3">
        <v>671</v>
      </c>
      <c r="P7" s="3">
        <v>32</v>
      </c>
      <c r="Q7" s="3">
        <v>21</v>
      </c>
      <c r="R7" s="3">
        <v>27000</v>
      </c>
      <c r="S7" s="6">
        <f>R7*H7/1000</f>
        <v>15.012000000000002</v>
      </c>
      <c r="T7" s="33" t="s">
        <v>52</v>
      </c>
      <c r="U7" s="40" t="s">
        <v>56</v>
      </c>
      <c r="V7" s="41" t="s">
        <v>57</v>
      </c>
      <c r="W7" s="35" t="s">
        <v>54</v>
      </c>
    </row>
    <row r="8" spans="1:23" s="13" customFormat="1" ht="83.25" customHeight="1" x14ac:dyDescent="0.15">
      <c r="A8" s="10">
        <v>2</v>
      </c>
      <c r="B8" s="10" t="s">
        <v>43</v>
      </c>
      <c r="C8" s="10">
        <v>26</v>
      </c>
      <c r="D8" s="14" t="s">
        <v>48</v>
      </c>
      <c r="E8" s="32"/>
      <c r="F8" s="10"/>
      <c r="G8" s="10" t="s">
        <v>49</v>
      </c>
      <c r="H8" s="11">
        <v>0.09</v>
      </c>
      <c r="I8" s="12" t="s">
        <v>44</v>
      </c>
      <c r="J8" s="29" t="s">
        <v>45</v>
      </c>
      <c r="K8" s="30"/>
      <c r="L8" s="10">
        <v>26811</v>
      </c>
      <c r="M8" s="18">
        <f>L8*H8/1000</f>
        <v>2.4129899999999997</v>
      </c>
      <c r="N8" s="10">
        <v>200</v>
      </c>
      <c r="O8" s="10">
        <v>134</v>
      </c>
      <c r="P8" s="10">
        <v>50</v>
      </c>
      <c r="Q8" s="10">
        <v>3</v>
      </c>
      <c r="R8" s="10">
        <v>27000</v>
      </c>
      <c r="S8" s="17">
        <f>H8*R8/1000</f>
        <v>2.4300000000000002</v>
      </c>
      <c r="T8" s="34"/>
      <c r="U8" s="42"/>
      <c r="V8" s="41" t="s">
        <v>57</v>
      </c>
      <c r="W8" s="36"/>
    </row>
    <row r="9" spans="1:23" s="1" customFormat="1" ht="47.25" customHeight="1" x14ac:dyDescent="0.15">
      <c r="A9" s="24" t="s">
        <v>33</v>
      </c>
      <c r="B9" s="25"/>
      <c r="C9" s="25"/>
      <c r="D9" s="25"/>
      <c r="E9" s="25"/>
      <c r="F9" s="25"/>
      <c r="G9" s="27"/>
      <c r="H9" s="3"/>
      <c r="I9" s="3"/>
      <c r="J9" s="3"/>
      <c r="K9" s="6">
        <f>SUM(K7:K7)</f>
        <v>16.20316956521739</v>
      </c>
      <c r="L9" s="6">
        <f>SUM(L7:L8)</f>
        <v>53622</v>
      </c>
      <c r="M9" s="6">
        <f>SUM(M7:M8)</f>
        <v>17.319906</v>
      </c>
      <c r="N9" s="3"/>
      <c r="O9" s="6">
        <f>SUM(O7:O8)</f>
        <v>805</v>
      </c>
      <c r="P9" s="6"/>
      <c r="Q9" s="6">
        <f>SUM(Q7:Q8)</f>
        <v>24</v>
      </c>
      <c r="R9" s="3"/>
      <c r="S9" s="6">
        <f>SUM(S7:S8)</f>
        <v>17.442000000000004</v>
      </c>
      <c r="T9" s="8"/>
      <c r="U9" s="3" t="s">
        <v>34</v>
      </c>
      <c r="V9" s="3"/>
      <c r="W9" s="5"/>
    </row>
    <row r="10" spans="1:23" ht="29.25" customHeight="1" x14ac:dyDescent="0.15">
      <c r="O10" s="16" t="s">
        <v>53</v>
      </c>
      <c r="T10" s="9" t="s">
        <v>35</v>
      </c>
    </row>
    <row r="11" spans="1:23" s="1" customFormat="1" ht="19.5" customHeight="1" x14ac:dyDescent="0.15">
      <c r="B11" s="1" t="s">
        <v>36</v>
      </c>
      <c r="O11" s="7"/>
    </row>
    <row r="12" spans="1:23" s="1" customFormat="1" ht="19.5" customHeight="1" x14ac:dyDescent="0.15">
      <c r="A12" s="1" t="s">
        <v>37</v>
      </c>
      <c r="B12" s="28" t="s">
        <v>38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s="1" customFormat="1" ht="19.5" customHeight="1" x14ac:dyDescent="0.15">
      <c r="A13" s="1" t="s">
        <v>39</v>
      </c>
      <c r="B13" s="28" t="s">
        <v>40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s="1" customFormat="1" ht="19.5" customHeight="1" x14ac:dyDescent="0.15">
      <c r="A14" s="1" t="s">
        <v>41</v>
      </c>
      <c r="B14" s="37" t="s">
        <v>55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12.75" customHeight="1" x14ac:dyDescent="0.15">
      <c r="O15" s="39"/>
      <c r="P15" s="39"/>
      <c r="Q15" s="39"/>
      <c r="R15" s="39"/>
      <c r="S15" s="39"/>
      <c r="T15" s="39"/>
      <c r="U15" s="39"/>
      <c r="V15" s="39"/>
      <c r="W15" s="39"/>
    </row>
    <row r="16" spans="1:23" ht="20.25" customHeight="1" x14ac:dyDescent="0.15">
      <c r="C16" s="37" t="s">
        <v>42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9"/>
      <c r="P16" s="39"/>
      <c r="Q16" s="39"/>
      <c r="R16" s="39"/>
      <c r="S16" s="39"/>
      <c r="T16" s="39"/>
      <c r="U16" s="39"/>
      <c r="V16" s="39"/>
      <c r="W16" s="39"/>
    </row>
    <row r="17" spans="17:20" x14ac:dyDescent="0.15">
      <c r="Q17" s="38">
        <v>45783</v>
      </c>
      <c r="R17" s="38"/>
      <c r="S17" s="38"/>
      <c r="T17" s="38"/>
    </row>
  </sheetData>
  <mergeCells count="30"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  <mergeCell ref="I5:K5"/>
    <mergeCell ref="L5:Q5"/>
    <mergeCell ref="R5:S5"/>
    <mergeCell ref="A9:G9"/>
    <mergeCell ref="B12:W12"/>
    <mergeCell ref="J8:K8"/>
    <mergeCell ref="E7:E8"/>
    <mergeCell ref="T7:T8"/>
    <mergeCell ref="W7:W8"/>
    <mergeCell ref="A2:W2"/>
    <mergeCell ref="A4:B4"/>
    <mergeCell ref="H4:I4"/>
    <mergeCell ref="O4:P4"/>
    <mergeCell ref="U4:W4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2025-02-12T06:41:52Z</cp:lastPrinted>
  <dcterms:created xsi:type="dcterms:W3CDTF">2006-09-13T11:21:00Z</dcterms:created>
  <dcterms:modified xsi:type="dcterms:W3CDTF">2025-05-06T08:47:44Z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E0B849F37F42414C93837EC853CEBE76_13</vt:lpwstr>
  </property>
  <property fmtid="{D5CDD505-2E9C-101B-9397-08002B2CF9AE}" pid="3" name="KSOProductBuildVer">
    <vt:lpwstr>2052-12.1.0.15712</vt:lpwstr>
  </property>
</Properties>
</file>