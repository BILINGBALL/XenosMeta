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07F535C6-B0FC-4EC3-9EA5-1A09D63A3D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1" l="1"/>
  <c r="Q24" i="1"/>
  <c r="O24" i="1"/>
  <c r="L24" i="1"/>
  <c r="S23" i="1"/>
  <c r="M23" i="1"/>
  <c r="S22" i="1"/>
  <c r="S21" i="1"/>
  <c r="M22" i="1"/>
  <c r="S20" i="1"/>
  <c r="M20" i="1"/>
  <c r="S19" i="1"/>
  <c r="M19" i="1"/>
  <c r="S18" i="1"/>
  <c r="M18" i="1"/>
  <c r="K18" i="1" s="1"/>
  <c r="S13" i="1"/>
  <c r="M13" i="1"/>
  <c r="S12" i="1"/>
  <c r="M12" i="1"/>
  <c r="S11" i="1"/>
  <c r="M11" i="1"/>
  <c r="S10" i="1"/>
  <c r="M10" i="1"/>
  <c r="S17" i="1"/>
  <c r="M17" i="1"/>
  <c r="S16" i="1"/>
  <c r="M16" i="1"/>
  <c r="S15" i="1"/>
  <c r="M15" i="1"/>
  <c r="S14" i="1"/>
  <c r="M14" i="1"/>
  <c r="S8" i="1"/>
  <c r="S9" i="1"/>
  <c r="M9" i="1"/>
  <c r="M8" i="1"/>
  <c r="K8" i="1" s="1"/>
  <c r="S7" i="1"/>
  <c r="M7" i="1"/>
  <c r="K7" i="1" s="1"/>
  <c r="S6" i="1"/>
  <c r="M6" i="1"/>
  <c r="K6" i="1" s="1"/>
  <c r="S5" i="1"/>
  <c r="M5" i="1"/>
  <c r="K5" i="1" s="1"/>
  <c r="S24" i="1" l="1"/>
  <c r="K24" i="1"/>
  <c r="M21" i="1"/>
  <c r="M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</author>
  </authors>
  <commentList>
    <comment ref="V8" authorId="0" shapeId="0" xr:uid="{E49DF4C9-F8E0-4134-85D4-703A099792F7}">
      <text>
        <r>
          <rPr>
            <b/>
            <sz val="9"/>
            <color indexed="81"/>
            <rFont val="宋体"/>
            <family val="3"/>
            <charset val="134"/>
          </rPr>
          <t>lu: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<sst xmlns="http://schemas.openxmlformats.org/spreadsheetml/2006/main" count="210" uniqueCount="137">
  <si>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</si>
  <si>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</si>
  <si>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</si>
  <si>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</si>
  <si>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</si>
  <si>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</si>
  <si>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</si>
  <si>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</si>
  <si>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</si>
  <si>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</si>
  <si>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</si>
  <si>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</si>
  <si>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</si>
  <si>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</si>
  <si>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</si>
  <si>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</si>
  <si>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</si>
  <si>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</si>
  <si>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</si>
  <si>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</si>
  <si>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</si>
  <si>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</si>
  <si>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</si>
  <si>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</si>
  <si>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</si>
  <si>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</si>
  <si>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</si>
  <si>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</si>
  <si>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袋/托</t>
  </si>
  <si>
    <t>托</t>
  </si>
  <si>
    <t>8.8级</t>
  </si>
  <si>
    <t>FSCR-1901(A)-3</t>
  </si>
  <si>
    <t>40Cr</t>
  </si>
  <si>
    <t>Φ24</t>
  </si>
  <si>
    <t>编织袋+托盘</t>
  </si>
  <si>
    <t>合计</t>
  </si>
  <si>
    <t>详见
图纸</t>
  </si>
  <si>
    <t>说明：</t>
  </si>
  <si>
    <t>包装待定</t>
  </si>
  <si>
    <t>1、</t>
  </si>
  <si>
    <t>对以上产品，生产部门应认真清查库存，适当调整生产计划数量，已减少及合理利用库存产品。</t>
  </si>
  <si>
    <t>2、</t>
  </si>
  <si>
    <t>螺纹道钉螺纹部分15°冷弯。</t>
  </si>
  <si>
    <t>生产部门按生产工艺生产，加强自检，严格质量管理。技术要求及验收标准按客户《技术协议》规定执行。</t>
  </si>
  <si>
    <t>3、</t>
  </si>
  <si>
    <t>品管部负责办理质量证明书，检测报告及相关数据。</t>
  </si>
  <si>
    <t>4、</t>
  </si>
  <si>
    <t>包装物是：编织袋+托盘。</t>
  </si>
  <si>
    <t>分发：总经理、总经办、品管部、生产部、技术部</t>
  </si>
  <si>
    <t>Φ30</t>
  </si>
  <si>
    <t>螺旋道钉</t>
    <phoneticPr fontId="11" type="noConversion"/>
  </si>
  <si>
    <t>锚固螺栓</t>
    <phoneticPr fontId="11" type="noConversion"/>
  </si>
  <si>
    <t>24 x 225</t>
    <phoneticPr fontId="11" type="noConversion"/>
  </si>
  <si>
    <t>24 x 235</t>
    <phoneticPr fontId="11" type="noConversion"/>
  </si>
  <si>
    <t>30 x 200</t>
    <phoneticPr fontId="11" type="noConversion"/>
  </si>
  <si>
    <t>FCF0321</t>
    <phoneticPr fontId="11" type="noConversion"/>
  </si>
  <si>
    <t>见图纸</t>
    <phoneticPr fontId="11" type="noConversion"/>
  </si>
  <si>
    <t>11  月  份  销  售  计  划  1</t>
    <phoneticPr fontId="11" type="noConversion"/>
  </si>
  <si>
    <t>251105-1</t>
    <phoneticPr fontId="11" type="noConversion"/>
  </si>
  <si>
    <t>251105-2</t>
  </si>
  <si>
    <t>251105-3</t>
  </si>
  <si>
    <t>FCF0306</t>
    <phoneticPr fontId="11" type="noConversion"/>
  </si>
  <si>
    <t>螺旋道钉
FS1-175</t>
  </si>
  <si>
    <t>24 x 175</t>
  </si>
  <si>
    <t>平垫圈 F24</t>
  </si>
  <si>
    <t>FSCR-1901(A)-4</t>
  </si>
  <si>
    <t>S235B</t>
  </si>
  <si>
    <t>外购</t>
  </si>
  <si>
    <t>冷镀锌</t>
  </si>
  <si>
    <t>FCF0313</t>
    <phoneticPr fontId="11" type="noConversion"/>
  </si>
  <si>
    <t>六角螺栓
AHB4</t>
  </si>
  <si>
    <t>24 x 100</t>
  </si>
  <si>
    <t>ISO8985.6级</t>
  </si>
  <si>
    <t>20N04.D2</t>
  </si>
  <si>
    <t>35K</t>
  </si>
  <si>
    <t>FR
5.6</t>
  </si>
  <si>
    <t>渗锌</t>
  </si>
  <si>
    <t>弹簧垫圈
ASLB24</t>
  </si>
  <si>
    <t>20T06.D2</t>
  </si>
  <si>
    <t>65Mn/60Si2Mn</t>
  </si>
  <si>
    <t>螺母 AMA24</t>
  </si>
  <si>
    <t>M24-6H</t>
  </si>
  <si>
    <t>ISO8986级</t>
  </si>
  <si>
    <t>20U02.D2</t>
  </si>
  <si>
    <t>平垫圈AHFA24</t>
  </si>
  <si>
    <t>25*44*4</t>
  </si>
  <si>
    <t>20P07.D2</t>
  </si>
  <si>
    <t>45#</t>
  </si>
  <si>
    <t>FCF0316</t>
    <phoneticPr fontId="11" type="noConversion"/>
  </si>
  <si>
    <t>螺旋道钉
FS1-215</t>
  </si>
  <si>
    <t>24 x 215</t>
  </si>
  <si>
    <t>FCF0309</t>
    <phoneticPr fontId="11" type="noConversion"/>
  </si>
  <si>
    <t>/</t>
  </si>
  <si>
    <t>ISO 7089</t>
  </si>
  <si>
    <t>螺纹杆
ADB2</t>
    <phoneticPr fontId="11" type="noConversion"/>
  </si>
  <si>
    <t>尼龙锁紧螺母ANMA24</t>
    <phoneticPr fontId="11" type="noConversion"/>
  </si>
  <si>
    <t>螺母
ATMA24</t>
    <phoneticPr fontId="11" type="noConversion"/>
  </si>
  <si>
    <t>20N03.D2</t>
    <phoneticPr fontId="11" type="noConversion"/>
  </si>
  <si>
    <t>20U03.D2</t>
    <phoneticPr fontId="11" type="noConversion"/>
  </si>
  <si>
    <t>20P07.D2</t>
    <phoneticPr fontId="11" type="noConversion"/>
  </si>
  <si>
    <t>20U04.D2</t>
    <phoneticPr fontId="11" type="noConversion"/>
  </si>
  <si>
    <t>FCF0</t>
    <phoneticPr fontId="11" type="noConversion"/>
  </si>
  <si>
    <t>M24 X 250</t>
    <phoneticPr fontId="11" type="noConversion"/>
  </si>
  <si>
    <t>ISO 
898-1
5.6级</t>
    <phoneticPr fontId="11" type="noConversion"/>
  </si>
  <si>
    <t>35K</t>
    <phoneticPr fontId="11" type="noConversion"/>
  </si>
  <si>
    <t>M24</t>
    <phoneticPr fontId="11" type="noConversion"/>
  </si>
  <si>
    <t>ISO 
898-2
5级</t>
    <phoneticPr fontId="11" type="noConversion"/>
  </si>
  <si>
    <r>
      <t>冷镀锌≥8</t>
    </r>
    <r>
      <rPr>
        <sz val="10"/>
        <color theme="1"/>
        <rFont val="Calibri"/>
        <family val="3"/>
        <charset val="161"/>
      </rPr>
      <t>μ</t>
    </r>
    <r>
      <rPr>
        <sz val="10"/>
        <color theme="1"/>
        <rFont val="宋体"/>
        <family val="3"/>
        <charset val="134"/>
        <scheme val="minor"/>
      </rPr>
      <t>m</t>
    </r>
    <phoneticPr fontId="11" type="noConversion"/>
  </si>
  <si>
    <r>
      <t>冷镀锌≥25</t>
    </r>
    <r>
      <rPr>
        <sz val="10"/>
        <color theme="1"/>
        <rFont val="Calibri"/>
        <family val="3"/>
        <charset val="161"/>
      </rPr>
      <t>μ</t>
    </r>
    <r>
      <rPr>
        <sz val="10"/>
        <color theme="1"/>
        <rFont val="宋体"/>
        <family val="3"/>
        <charset val="134"/>
        <scheme val="minor"/>
      </rPr>
      <t>m</t>
    </r>
    <phoneticPr fontId="11" type="noConversion"/>
  </si>
  <si>
    <t>BS 3692
5级</t>
    <phoneticPr fontId="11" type="noConversion"/>
  </si>
  <si>
    <t>251105-4</t>
  </si>
  <si>
    <t>251105-5</t>
  </si>
  <si>
    <t>251105-6</t>
  </si>
  <si>
    <t>251105-7</t>
  </si>
  <si>
    <t>251105-8</t>
  </si>
  <si>
    <t>251105-9</t>
  </si>
  <si>
    <t>251105-10</t>
  </si>
  <si>
    <t>251105-11</t>
  </si>
  <si>
    <t>251105-12</t>
  </si>
  <si>
    <t>251105-13</t>
  </si>
  <si>
    <t>251105-14</t>
  </si>
  <si>
    <t>251105-15</t>
  </si>
  <si>
    <t>251105-16</t>
  </si>
  <si>
    <t>251105-17</t>
  </si>
  <si>
    <t>251105-18</t>
  </si>
  <si>
    <t>251105-19</t>
  </si>
  <si>
    <t>编织袋+托盘</t>
    <phoneticPr fontId="11" type="noConversion"/>
  </si>
  <si>
    <t>FSCR-2008(B)-8</t>
    <phoneticPr fontId="11" type="noConversion"/>
  </si>
  <si>
    <t>20N04.D2</t>
    <phoneticPr fontId="11" type="noConversion"/>
  </si>
  <si>
    <t>FR
5.6</t>
    <phoneticPr fontId="11" type="noConversion"/>
  </si>
  <si>
    <t>FSCR-1901(A)-4</t>
    <phoneticPr fontId="11" type="noConversion"/>
  </si>
  <si>
    <t>弹簧垫圈
ASLB24</t>
    <phoneticPr fontId="11" type="noConversion"/>
  </si>
  <si>
    <t>20T06.D2</t>
    <phoneticPr fontId="11" type="noConversion"/>
  </si>
  <si>
    <t>螺母 AMA24</t>
    <phoneticPr fontId="11" type="noConversion"/>
  </si>
  <si>
    <t>20U02.D2</t>
    <phoneticPr fontId="11" type="noConversion"/>
  </si>
  <si>
    <t>35K
/
45#</t>
    <phoneticPr fontId="11" type="noConversion"/>
  </si>
  <si>
    <t>平垫圈
AHFA24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</si>
</sst>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_ "/>
    <numFmt numFmtId="178" formatCode="0_ "/>
    <numFmt numFmtId="179" formatCode="[$-F800]dddd\,\ mmmm\ dd\,\ yyyy"/>
    <numFmt numFmtId="180" formatCode="0.000_ "/>
  </numFmts>
  <fonts count="21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Calibri"/>
      <family val="3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8" fontId="5" fillId="0" borderId="3" xfId="0" applyNumberFormat="1" applyFont="1" applyBorder="1" applyAlignment="1">
      <alignment horizontal="center" wrapText="1"/>
    </xf>
    <xf numFmtId="176" fontId="5" fillId="0" borderId="3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178" fontId="13" fillId="0" borderId="2" xfId="0" applyNumberFormat="1" applyFont="1" applyBorder="1" applyAlignment="1">
      <alignment horizontal="center" vertical="center" wrapText="1"/>
    </xf>
    <xf numFmtId="177" fontId="10" fillId="0" borderId="2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77" fontId="12" fillId="0" borderId="2" xfId="0" applyNumberFormat="1" applyFont="1" applyBorder="1" applyAlignment="1">
      <alignment horizontal="center" vertical="center" wrapText="1"/>
    </xf>
    <xf numFmtId="180" fontId="10" fillId="0" borderId="2" xfId="0" applyNumberFormat="1" applyFont="1" applyBorder="1" applyAlignment="1">
      <alignment horizontal="center" vertical="center" wrapText="1"/>
    </xf>
    <xf numFmtId="176" fontId="10" fillId="0" borderId="10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176" fontId="12" fillId="0" borderId="2" xfId="0" applyNumberFormat="1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176" fontId="10" fillId="0" borderId="10" xfId="0" applyNumberFormat="1" applyFont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5" fillId="0" borderId="5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19" fillId="0" borderId="5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3"/>
  <sheetViews>
    <sheetView tabSelected="1" topLeftCell="A2" workbookViewId="0">
      <selection activeCell="L21" sqref="L21"/>
    </sheetView>
  </sheetViews>
  <sheetFormatPr defaultColWidth="9" defaultRowHeight="13.5" x14ac:dyDescent="0.15"/>
  <cols>
    <col min="1" max="1" width="4.125" style="4" customWidth="1"/>
    <col min="2" max="2" width="7.5" style="4" customWidth="1"/>
    <col min="3" max="3" width="10.375" style="4" customWidth="1"/>
    <col min="4" max="4" width="6.125" style="4" customWidth="1"/>
    <col min="5" max="5" width="5.875" style="4" customWidth="1"/>
    <col min="6" max="6" width="6.5" style="4" customWidth="1"/>
    <col min="7" max="7" width="7" style="4" customWidth="1"/>
    <col min="8" max="8" width="7.125" style="4" customWidth="1"/>
    <col min="9" max="9" width="7" style="4" customWidth="1"/>
    <col min="10" max="10" width="5.25" style="4" customWidth="1"/>
    <col min="11" max="11" width="6.375" style="4" customWidth="1"/>
    <col min="12" max="12" width="8.25" style="4" customWidth="1"/>
    <col min="13" max="13" width="6" style="4" customWidth="1"/>
    <col min="14" max="14" width="4.75" style="4" customWidth="1"/>
    <col min="15" max="15" width="5.625" style="4" customWidth="1"/>
    <col min="16" max="16" width="4.625" style="4" customWidth="1"/>
    <col min="17" max="17" width="6.125" style="4" customWidth="1"/>
    <col min="18" max="18" width="6.625" style="4" customWidth="1"/>
    <col min="19" max="19" width="6.75" style="4" customWidth="1"/>
    <col min="20" max="20" width="5.125" style="4" customWidth="1"/>
    <col min="21" max="21" width="7.5" style="4" customWidth="1"/>
    <col min="22" max="22" width="7.25" style="4" customWidth="1"/>
    <col min="23" max="23" width="7.375" style="4" customWidth="1"/>
    <col min="24" max="16384" width="9" style="4"/>
  </cols>
  <sheetData>
    <row r="1" spans="1:23" ht="45" customHeight="1" x14ac:dyDescent="0.15">
      <c r="A1" s="60" t="s">
        <v>57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</row>
    <row r="2" spans="1:23" s="1" customFormat="1" ht="27.75" customHeight="1" x14ac:dyDescent="0.15">
      <c r="B2" s="1" t="s">
        <v>0</v>
      </c>
      <c r="C2" s="1" t="s">
        <v>1</v>
      </c>
      <c r="H2" s="62" t="s">
        <v>2</v>
      </c>
      <c r="I2" s="62"/>
      <c r="O2" s="62" t="s">
        <v>3</v>
      </c>
      <c r="P2" s="62"/>
      <c r="U2" s="63" t="s">
        <v>4</v>
      </c>
      <c r="V2" s="64"/>
      <c r="W2" s="64"/>
    </row>
    <row r="3" spans="1:23" s="1" customFormat="1" ht="27" customHeight="1" x14ac:dyDescent="0.15">
      <c r="A3" s="65" t="s">
        <v>5</v>
      </c>
      <c r="B3" s="65" t="s">
        <v>6</v>
      </c>
      <c r="C3" s="65" t="s">
        <v>7</v>
      </c>
      <c r="D3" s="65" t="s">
        <v>8</v>
      </c>
      <c r="E3" s="65" t="s">
        <v>9</v>
      </c>
      <c r="F3" s="65" t="s">
        <v>10</v>
      </c>
      <c r="G3" s="65" t="s">
        <v>11</v>
      </c>
      <c r="H3" s="5" t="s">
        <v>12</v>
      </c>
      <c r="I3" s="65" t="s">
        <v>13</v>
      </c>
      <c r="J3" s="65"/>
      <c r="K3" s="65"/>
      <c r="L3" s="65" t="s">
        <v>14</v>
      </c>
      <c r="M3" s="65"/>
      <c r="N3" s="65"/>
      <c r="O3" s="65"/>
      <c r="P3" s="65"/>
      <c r="Q3" s="65"/>
      <c r="R3" s="65" t="s">
        <v>15</v>
      </c>
      <c r="S3" s="65"/>
      <c r="T3" s="65" t="s">
        <v>16</v>
      </c>
      <c r="U3" s="65" t="s">
        <v>17</v>
      </c>
      <c r="V3" s="65" t="s">
        <v>18</v>
      </c>
      <c r="W3" s="65" t="s">
        <v>19</v>
      </c>
    </row>
    <row r="4" spans="1:23" s="1" customFormat="1" ht="27.75" customHeight="1" x14ac:dyDescent="0.15">
      <c r="A4" s="66"/>
      <c r="B4" s="65"/>
      <c r="C4" s="65"/>
      <c r="D4" s="65"/>
      <c r="E4" s="65"/>
      <c r="F4" s="65"/>
      <c r="G4" s="65"/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5" t="s">
        <v>26</v>
      </c>
      <c r="O4" s="5" t="s">
        <v>27</v>
      </c>
      <c r="P4" s="5" t="s">
        <v>28</v>
      </c>
      <c r="Q4" s="5" t="s">
        <v>29</v>
      </c>
      <c r="R4" s="5" t="s">
        <v>24</v>
      </c>
      <c r="S4" s="5" t="s">
        <v>25</v>
      </c>
      <c r="T4" s="65"/>
      <c r="U4" s="65"/>
      <c r="V4" s="65"/>
      <c r="W4" s="65"/>
    </row>
    <row r="5" spans="1:23" s="1" customFormat="1" ht="36" customHeight="1" x14ac:dyDescent="0.15">
      <c r="A5" s="5">
        <v>1</v>
      </c>
      <c r="B5" s="20" t="s">
        <v>50</v>
      </c>
      <c r="C5" s="21" t="s">
        <v>52</v>
      </c>
      <c r="D5" s="21" t="s">
        <v>58</v>
      </c>
      <c r="E5" s="43" t="s">
        <v>55</v>
      </c>
      <c r="F5" s="5" t="s">
        <v>30</v>
      </c>
      <c r="G5" s="6" t="s">
        <v>31</v>
      </c>
      <c r="H5" s="13">
        <v>0.83</v>
      </c>
      <c r="I5" s="5" t="s">
        <v>32</v>
      </c>
      <c r="J5" s="5" t="s">
        <v>33</v>
      </c>
      <c r="K5" s="14">
        <f t="shared" ref="K5:K6" si="0">M5/0.95</f>
        <v>1.7473684210526319</v>
      </c>
      <c r="L5" s="5">
        <v>2000</v>
      </c>
      <c r="M5" s="12">
        <f t="shared" ref="M5:M10" si="1">H5*L5*0.001</f>
        <v>1.6600000000000001</v>
      </c>
      <c r="N5" s="5">
        <v>25</v>
      </c>
      <c r="O5" s="5">
        <v>80</v>
      </c>
      <c r="P5" s="5">
        <v>40</v>
      </c>
      <c r="Q5" s="5">
        <v>2</v>
      </c>
      <c r="R5" s="5">
        <v>2050</v>
      </c>
      <c r="S5" s="12">
        <f t="shared" ref="S5:S10" si="2">H5*R5*0.001</f>
        <v>1.7015</v>
      </c>
      <c r="T5" s="45"/>
      <c r="U5" s="43" t="s">
        <v>56</v>
      </c>
      <c r="V5" s="53"/>
      <c r="W5" s="48" t="s">
        <v>34</v>
      </c>
    </row>
    <row r="6" spans="1:23" s="1" customFormat="1" ht="36" customHeight="1" x14ac:dyDescent="0.15">
      <c r="A6" s="5">
        <v>2</v>
      </c>
      <c r="B6" s="20" t="s">
        <v>50</v>
      </c>
      <c r="C6" s="21" t="s">
        <v>53</v>
      </c>
      <c r="D6" s="21" t="s">
        <v>59</v>
      </c>
      <c r="E6" s="44"/>
      <c r="F6" s="5" t="s">
        <v>30</v>
      </c>
      <c r="G6" s="6" t="s">
        <v>31</v>
      </c>
      <c r="H6" s="13">
        <v>0.85</v>
      </c>
      <c r="I6" s="5" t="s">
        <v>32</v>
      </c>
      <c r="J6" s="5" t="s">
        <v>33</v>
      </c>
      <c r="K6" s="14">
        <f t="shared" si="0"/>
        <v>1.7894736842105263</v>
      </c>
      <c r="L6" s="5">
        <v>2000</v>
      </c>
      <c r="M6" s="12">
        <f t="shared" si="1"/>
        <v>1.7</v>
      </c>
      <c r="N6" s="5">
        <v>25</v>
      </c>
      <c r="O6" s="5">
        <v>80</v>
      </c>
      <c r="P6" s="5">
        <v>40</v>
      </c>
      <c r="Q6" s="5">
        <v>2</v>
      </c>
      <c r="R6" s="5">
        <v>2050</v>
      </c>
      <c r="S6" s="12">
        <f t="shared" si="2"/>
        <v>1.7424999999999999</v>
      </c>
      <c r="T6" s="46"/>
      <c r="U6" s="44"/>
      <c r="V6" s="72"/>
      <c r="W6" s="48"/>
    </row>
    <row r="7" spans="1:23" s="1" customFormat="1" ht="36" customHeight="1" x14ac:dyDescent="0.15">
      <c r="A7" s="5">
        <v>3</v>
      </c>
      <c r="B7" s="20" t="s">
        <v>51</v>
      </c>
      <c r="C7" s="21" t="s">
        <v>54</v>
      </c>
      <c r="D7" s="21" t="s">
        <v>60</v>
      </c>
      <c r="E7" s="55"/>
      <c r="F7" s="5" t="s">
        <v>30</v>
      </c>
      <c r="G7" s="22" t="s">
        <v>127</v>
      </c>
      <c r="H7" s="23">
        <v>1.3</v>
      </c>
      <c r="I7" s="5" t="s">
        <v>32</v>
      </c>
      <c r="J7" s="21" t="s">
        <v>49</v>
      </c>
      <c r="K7" s="24">
        <f>M7/0.94</f>
        <v>0.55319148936170215</v>
      </c>
      <c r="L7" s="21">
        <v>400</v>
      </c>
      <c r="M7" s="25">
        <f t="shared" si="1"/>
        <v>0.52</v>
      </c>
      <c r="N7" s="21">
        <v>20</v>
      </c>
      <c r="O7" s="21">
        <v>20</v>
      </c>
      <c r="P7" s="21">
        <v>20</v>
      </c>
      <c r="Q7" s="21">
        <v>1</v>
      </c>
      <c r="R7" s="21">
        <v>410</v>
      </c>
      <c r="S7" s="25">
        <f t="shared" si="2"/>
        <v>0.53300000000000003</v>
      </c>
      <c r="T7" s="46"/>
      <c r="U7" s="55"/>
      <c r="V7" s="54"/>
      <c r="W7" s="48"/>
    </row>
    <row r="8" spans="1:23" s="1" customFormat="1" ht="36" customHeight="1" x14ac:dyDescent="0.15">
      <c r="A8" s="5">
        <v>4</v>
      </c>
      <c r="B8" s="20" t="s">
        <v>62</v>
      </c>
      <c r="C8" s="21" t="s">
        <v>63</v>
      </c>
      <c r="D8" s="21" t="s">
        <v>110</v>
      </c>
      <c r="E8" s="43" t="s">
        <v>61</v>
      </c>
      <c r="F8" s="21" t="s">
        <v>30</v>
      </c>
      <c r="G8" s="22" t="s">
        <v>31</v>
      </c>
      <c r="H8" s="21">
        <v>0.58499999999999996</v>
      </c>
      <c r="I8" s="21" t="s">
        <v>32</v>
      </c>
      <c r="J8" s="21" t="s">
        <v>33</v>
      </c>
      <c r="K8" s="29">
        <f>M8/0.95</f>
        <v>0.73894736842105269</v>
      </c>
      <c r="L8" s="21">
        <v>1200</v>
      </c>
      <c r="M8" s="25">
        <f t="shared" si="1"/>
        <v>0.70200000000000007</v>
      </c>
      <c r="N8" s="21">
        <v>40</v>
      </c>
      <c r="O8" s="21">
        <v>30</v>
      </c>
      <c r="P8" s="21">
        <v>25</v>
      </c>
      <c r="Q8" s="21">
        <v>2</v>
      </c>
      <c r="R8" s="21">
        <v>1250</v>
      </c>
      <c r="S8" s="25">
        <f t="shared" si="2"/>
        <v>0.73125000000000007</v>
      </c>
      <c r="T8" s="45"/>
      <c r="U8" s="21" t="s">
        <v>56</v>
      </c>
      <c r="V8" s="21" t="s">
        <v>68</v>
      </c>
      <c r="W8" s="48" t="s">
        <v>34</v>
      </c>
    </row>
    <row r="9" spans="1:23" s="1" customFormat="1" ht="36" customHeight="1" x14ac:dyDescent="0.15">
      <c r="A9" s="5">
        <v>5</v>
      </c>
      <c r="B9" s="20" t="s">
        <v>64</v>
      </c>
      <c r="C9" s="21">
        <v>25</v>
      </c>
      <c r="D9" s="21" t="s">
        <v>111</v>
      </c>
      <c r="E9" s="44"/>
      <c r="F9" s="21"/>
      <c r="G9" s="22" t="s">
        <v>130</v>
      </c>
      <c r="H9" s="30">
        <v>7.0000000000000007E-2</v>
      </c>
      <c r="I9" s="31" t="s">
        <v>66</v>
      </c>
      <c r="J9" s="41" t="s">
        <v>67</v>
      </c>
      <c r="K9" s="42"/>
      <c r="L9" s="21">
        <v>3000</v>
      </c>
      <c r="M9" s="25">
        <f t="shared" si="1"/>
        <v>0.21000000000000002</v>
      </c>
      <c r="N9" s="21">
        <v>400</v>
      </c>
      <c r="O9" s="21">
        <v>8</v>
      </c>
      <c r="P9" s="21">
        <v>8</v>
      </c>
      <c r="Q9" s="21">
        <v>1</v>
      </c>
      <c r="R9" s="21">
        <v>3050</v>
      </c>
      <c r="S9" s="25">
        <f t="shared" si="2"/>
        <v>0.21350000000000002</v>
      </c>
      <c r="T9" s="46"/>
      <c r="U9" s="32"/>
      <c r="V9" s="21" t="s">
        <v>68</v>
      </c>
      <c r="W9" s="48"/>
    </row>
    <row r="10" spans="1:23" s="1" customFormat="1" ht="36" customHeight="1" x14ac:dyDescent="0.15">
      <c r="A10" s="5">
        <v>6</v>
      </c>
      <c r="B10" s="20" t="s">
        <v>70</v>
      </c>
      <c r="C10" s="21" t="s">
        <v>71</v>
      </c>
      <c r="D10" s="21" t="s">
        <v>112</v>
      </c>
      <c r="E10" s="43" t="s">
        <v>69</v>
      </c>
      <c r="F10" s="21" t="s">
        <v>72</v>
      </c>
      <c r="G10" s="22" t="s">
        <v>128</v>
      </c>
      <c r="H10" s="21">
        <v>0.45</v>
      </c>
      <c r="I10" s="21" t="s">
        <v>74</v>
      </c>
      <c r="J10" s="41" t="s">
        <v>67</v>
      </c>
      <c r="K10" s="42"/>
      <c r="L10" s="21">
        <v>50</v>
      </c>
      <c r="M10" s="25">
        <f t="shared" si="1"/>
        <v>2.2499999999999999E-2</v>
      </c>
      <c r="N10" s="21">
        <v>50</v>
      </c>
      <c r="O10" s="21">
        <v>1</v>
      </c>
      <c r="P10" s="21">
        <v>1</v>
      </c>
      <c r="Q10" s="21">
        <v>1</v>
      </c>
      <c r="R10" s="21">
        <v>55</v>
      </c>
      <c r="S10" s="25">
        <f t="shared" si="2"/>
        <v>2.4750000000000001E-2</v>
      </c>
      <c r="T10" s="45"/>
      <c r="U10" s="21" t="s">
        <v>129</v>
      </c>
      <c r="V10" s="21" t="s">
        <v>76</v>
      </c>
      <c r="W10" s="56" t="s">
        <v>34</v>
      </c>
    </row>
    <row r="11" spans="1:23" s="1" customFormat="1" ht="36" customHeight="1" x14ac:dyDescent="0.15">
      <c r="A11" s="5">
        <v>7</v>
      </c>
      <c r="B11" s="20" t="s">
        <v>131</v>
      </c>
      <c r="C11" s="21">
        <v>24.55</v>
      </c>
      <c r="D11" s="21" t="s">
        <v>113</v>
      </c>
      <c r="E11" s="44"/>
      <c r="F11" s="21"/>
      <c r="G11" s="22" t="s">
        <v>132</v>
      </c>
      <c r="H11" s="30">
        <v>4.4999999999999998E-2</v>
      </c>
      <c r="I11" s="31" t="s">
        <v>79</v>
      </c>
      <c r="J11" s="41" t="s">
        <v>67</v>
      </c>
      <c r="K11" s="42"/>
      <c r="L11" s="21">
        <v>50</v>
      </c>
      <c r="M11" s="23">
        <f t="shared" ref="M11" si="3">L11*H11/1000</f>
        <v>2.2499999999999998E-3</v>
      </c>
      <c r="N11" s="21">
        <v>50</v>
      </c>
      <c r="O11" s="21">
        <v>1</v>
      </c>
      <c r="P11" s="21">
        <v>1</v>
      </c>
      <c r="Q11" s="21">
        <v>1</v>
      </c>
      <c r="R11" s="21">
        <v>55</v>
      </c>
      <c r="S11" s="25">
        <f t="shared" ref="S11" si="4">R11*H11/1000</f>
        <v>2.4750000000000002E-3</v>
      </c>
      <c r="T11" s="46"/>
      <c r="U11" s="33"/>
      <c r="V11" s="21" t="s">
        <v>76</v>
      </c>
      <c r="W11" s="56"/>
    </row>
    <row r="12" spans="1:23" s="1" customFormat="1" ht="36" customHeight="1" x14ac:dyDescent="0.15">
      <c r="A12" s="5">
        <v>8</v>
      </c>
      <c r="B12" s="20" t="s">
        <v>133</v>
      </c>
      <c r="C12" s="21" t="s">
        <v>81</v>
      </c>
      <c r="D12" s="21" t="s">
        <v>114</v>
      </c>
      <c r="E12" s="44"/>
      <c r="F12" s="21" t="s">
        <v>82</v>
      </c>
      <c r="G12" s="22" t="s">
        <v>134</v>
      </c>
      <c r="H12" s="23">
        <v>0.11</v>
      </c>
      <c r="I12" s="21" t="s">
        <v>104</v>
      </c>
      <c r="J12" s="41" t="s">
        <v>67</v>
      </c>
      <c r="K12" s="42"/>
      <c r="L12" s="21">
        <v>50</v>
      </c>
      <c r="M12" s="25">
        <f t="shared" ref="M12:M13" si="5">H12*L12*0.001</f>
        <v>5.4999999999999997E-3</v>
      </c>
      <c r="N12" s="21">
        <v>50</v>
      </c>
      <c r="O12" s="21">
        <v>1</v>
      </c>
      <c r="P12" s="21">
        <v>1</v>
      </c>
      <c r="Q12" s="21">
        <v>1</v>
      </c>
      <c r="R12" s="21">
        <v>55</v>
      </c>
      <c r="S12" s="25">
        <f t="shared" ref="S12:S13" si="6">H12*R12*0.001</f>
        <v>6.0499999999999998E-3</v>
      </c>
      <c r="T12" s="46"/>
      <c r="U12" s="34"/>
      <c r="V12" s="21" t="s">
        <v>76</v>
      </c>
      <c r="W12" s="56"/>
    </row>
    <row r="13" spans="1:23" s="1" customFormat="1" ht="36" customHeight="1" x14ac:dyDescent="0.15">
      <c r="A13" s="5">
        <v>9</v>
      </c>
      <c r="B13" s="20" t="s">
        <v>84</v>
      </c>
      <c r="C13" s="21" t="s">
        <v>85</v>
      </c>
      <c r="D13" s="21" t="s">
        <v>115</v>
      </c>
      <c r="E13" s="55"/>
      <c r="F13" s="21"/>
      <c r="G13" s="22" t="s">
        <v>99</v>
      </c>
      <c r="H13" s="30">
        <v>3.2000000000000001E-2</v>
      </c>
      <c r="I13" s="21" t="s">
        <v>87</v>
      </c>
      <c r="J13" s="41" t="s">
        <v>67</v>
      </c>
      <c r="K13" s="42"/>
      <c r="L13" s="21">
        <v>80</v>
      </c>
      <c r="M13" s="25">
        <f t="shared" si="5"/>
        <v>2.5600000000000002E-3</v>
      </c>
      <c r="N13" s="21">
        <v>80</v>
      </c>
      <c r="O13" s="21">
        <v>1</v>
      </c>
      <c r="P13" s="21">
        <v>1</v>
      </c>
      <c r="Q13" s="21">
        <v>1</v>
      </c>
      <c r="R13" s="21">
        <v>90</v>
      </c>
      <c r="S13" s="25">
        <f t="shared" si="6"/>
        <v>2.8799999999999997E-3</v>
      </c>
      <c r="T13" s="46"/>
      <c r="U13" s="35"/>
      <c r="V13" s="21" t="s">
        <v>76</v>
      </c>
      <c r="W13" s="56"/>
    </row>
    <row r="14" spans="1:23" s="1" customFormat="1" ht="36" customHeight="1" x14ac:dyDescent="0.15">
      <c r="A14" s="5">
        <v>10</v>
      </c>
      <c r="B14" s="20" t="s">
        <v>70</v>
      </c>
      <c r="C14" s="21" t="s">
        <v>71</v>
      </c>
      <c r="D14" s="21" t="s">
        <v>116</v>
      </c>
      <c r="E14" s="43" t="s">
        <v>88</v>
      </c>
      <c r="F14" s="21" t="s">
        <v>72</v>
      </c>
      <c r="G14" s="22" t="s">
        <v>73</v>
      </c>
      <c r="H14" s="21">
        <v>0.45</v>
      </c>
      <c r="I14" s="21" t="s">
        <v>74</v>
      </c>
      <c r="J14" s="41" t="s">
        <v>67</v>
      </c>
      <c r="K14" s="42"/>
      <c r="L14" s="21">
        <v>100</v>
      </c>
      <c r="M14" s="25">
        <f>H14*L14*0.001</f>
        <v>4.4999999999999998E-2</v>
      </c>
      <c r="N14" s="21">
        <v>50</v>
      </c>
      <c r="O14" s="21">
        <v>2</v>
      </c>
      <c r="P14" s="21">
        <v>2</v>
      </c>
      <c r="Q14" s="21">
        <v>1</v>
      </c>
      <c r="R14" s="21">
        <v>110</v>
      </c>
      <c r="S14" s="25">
        <f>H14*R14*0.001</f>
        <v>4.9500000000000002E-2</v>
      </c>
      <c r="T14" s="45"/>
      <c r="U14" s="21" t="s">
        <v>75</v>
      </c>
      <c r="V14" s="39" t="s">
        <v>107</v>
      </c>
      <c r="W14" s="56" t="s">
        <v>34</v>
      </c>
    </row>
    <row r="15" spans="1:23" s="1" customFormat="1" ht="36" customHeight="1" x14ac:dyDescent="0.15">
      <c r="A15" s="5">
        <v>11</v>
      </c>
      <c r="B15" s="20" t="s">
        <v>77</v>
      </c>
      <c r="C15" s="21">
        <v>24.55</v>
      </c>
      <c r="D15" s="21" t="s">
        <v>117</v>
      </c>
      <c r="E15" s="44"/>
      <c r="F15" s="21"/>
      <c r="G15" s="22" t="s">
        <v>78</v>
      </c>
      <c r="H15" s="30">
        <v>4.4999999999999998E-2</v>
      </c>
      <c r="I15" s="31" t="s">
        <v>79</v>
      </c>
      <c r="J15" s="41" t="s">
        <v>67</v>
      </c>
      <c r="K15" s="42"/>
      <c r="L15" s="21">
        <v>100</v>
      </c>
      <c r="M15" s="23">
        <f t="shared" ref="M15" si="7">L15*H15/1000</f>
        <v>4.4999999999999997E-3</v>
      </c>
      <c r="N15" s="21">
        <v>100</v>
      </c>
      <c r="O15" s="21">
        <v>1</v>
      </c>
      <c r="P15" s="21">
        <v>1</v>
      </c>
      <c r="Q15" s="21">
        <v>1</v>
      </c>
      <c r="R15" s="21">
        <v>110</v>
      </c>
      <c r="S15" s="25">
        <f t="shared" ref="S15" si="8">R15*H15/1000</f>
        <v>4.9500000000000004E-3</v>
      </c>
      <c r="T15" s="46"/>
      <c r="U15" s="33"/>
      <c r="V15" s="40" t="s">
        <v>108</v>
      </c>
      <c r="W15" s="56"/>
    </row>
    <row r="16" spans="1:23" s="1" customFormat="1" ht="36" customHeight="1" x14ac:dyDescent="0.15">
      <c r="A16" s="5">
        <v>12</v>
      </c>
      <c r="B16" s="20" t="s">
        <v>80</v>
      </c>
      <c r="C16" s="21" t="s">
        <v>81</v>
      </c>
      <c r="D16" s="21" t="s">
        <v>118</v>
      </c>
      <c r="E16" s="44"/>
      <c r="F16" s="21" t="s">
        <v>82</v>
      </c>
      <c r="G16" s="22" t="s">
        <v>83</v>
      </c>
      <c r="H16" s="23">
        <v>0.11</v>
      </c>
      <c r="I16" s="21" t="s">
        <v>74</v>
      </c>
      <c r="J16" s="41" t="s">
        <v>67</v>
      </c>
      <c r="K16" s="42"/>
      <c r="L16" s="21">
        <v>100</v>
      </c>
      <c r="M16" s="25">
        <f t="shared" ref="M16:M17" si="9">H16*L16*0.001</f>
        <v>1.0999999999999999E-2</v>
      </c>
      <c r="N16" s="21">
        <v>100</v>
      </c>
      <c r="O16" s="21">
        <v>1</v>
      </c>
      <c r="P16" s="21">
        <v>1</v>
      </c>
      <c r="Q16" s="21">
        <v>1</v>
      </c>
      <c r="R16" s="21">
        <v>110</v>
      </c>
      <c r="S16" s="25">
        <f t="shared" ref="S16:S17" si="10">H16*R16*0.001</f>
        <v>1.21E-2</v>
      </c>
      <c r="T16" s="46"/>
      <c r="U16" s="34"/>
      <c r="V16" s="39" t="s">
        <v>107</v>
      </c>
      <c r="W16" s="56"/>
    </row>
    <row r="17" spans="1:23" s="1" customFormat="1" ht="36" customHeight="1" x14ac:dyDescent="0.15">
      <c r="A17" s="5">
        <v>13</v>
      </c>
      <c r="B17" s="20" t="s">
        <v>84</v>
      </c>
      <c r="C17" s="21" t="s">
        <v>85</v>
      </c>
      <c r="D17" s="21" t="s">
        <v>119</v>
      </c>
      <c r="E17" s="55"/>
      <c r="F17" s="21"/>
      <c r="G17" s="22" t="s">
        <v>86</v>
      </c>
      <c r="H17" s="30">
        <v>3.2000000000000001E-2</v>
      </c>
      <c r="I17" s="21" t="s">
        <v>87</v>
      </c>
      <c r="J17" s="41" t="s">
        <v>67</v>
      </c>
      <c r="K17" s="42"/>
      <c r="L17" s="21">
        <v>200</v>
      </c>
      <c r="M17" s="25">
        <f t="shared" si="9"/>
        <v>6.4000000000000003E-3</v>
      </c>
      <c r="N17" s="21">
        <v>200</v>
      </c>
      <c r="O17" s="21">
        <v>1</v>
      </c>
      <c r="P17" s="21">
        <v>1</v>
      </c>
      <c r="Q17" s="21">
        <v>1</v>
      </c>
      <c r="R17" s="21">
        <v>220</v>
      </c>
      <c r="S17" s="25">
        <f t="shared" si="10"/>
        <v>7.0400000000000003E-3</v>
      </c>
      <c r="T17" s="46"/>
      <c r="U17" s="35"/>
      <c r="V17" s="40" t="s">
        <v>108</v>
      </c>
      <c r="W17" s="56"/>
    </row>
    <row r="18" spans="1:23" s="1" customFormat="1" ht="36" customHeight="1" x14ac:dyDescent="0.15">
      <c r="A18" s="5">
        <v>14</v>
      </c>
      <c r="B18" s="20" t="s">
        <v>89</v>
      </c>
      <c r="C18" s="21" t="s">
        <v>90</v>
      </c>
      <c r="D18" s="21" t="s">
        <v>120</v>
      </c>
      <c r="E18" s="43" t="s">
        <v>91</v>
      </c>
      <c r="F18" s="21" t="s">
        <v>30</v>
      </c>
      <c r="G18" s="22" t="s">
        <v>31</v>
      </c>
      <c r="H18" s="30">
        <v>0.73</v>
      </c>
      <c r="I18" s="21" t="s">
        <v>32</v>
      </c>
      <c r="J18" s="21" t="s">
        <v>33</v>
      </c>
      <c r="K18" s="36">
        <f t="shared" ref="K18" si="11">M18/0.95</f>
        <v>0.12294736842105264</v>
      </c>
      <c r="L18" s="21">
        <v>160</v>
      </c>
      <c r="M18" s="25">
        <f>H18*L18*0.001</f>
        <v>0.1168</v>
      </c>
      <c r="N18" s="21">
        <v>25</v>
      </c>
      <c r="O18" s="21">
        <v>7</v>
      </c>
      <c r="P18" s="21">
        <v>7</v>
      </c>
      <c r="Q18" s="21">
        <v>1</v>
      </c>
      <c r="R18" s="21">
        <v>170</v>
      </c>
      <c r="S18" s="25">
        <f>H18*R18*0.001</f>
        <v>0.1241</v>
      </c>
      <c r="T18" s="45"/>
      <c r="U18" s="21" t="s">
        <v>56</v>
      </c>
      <c r="V18" s="21" t="s">
        <v>76</v>
      </c>
      <c r="W18" s="47" t="s">
        <v>126</v>
      </c>
    </row>
    <row r="19" spans="1:23" s="1" customFormat="1" ht="36" customHeight="1" x14ac:dyDescent="0.15">
      <c r="A19" s="5">
        <v>15</v>
      </c>
      <c r="B19" s="20" t="s">
        <v>64</v>
      </c>
      <c r="C19" s="21">
        <v>25</v>
      </c>
      <c r="D19" s="21" t="s">
        <v>121</v>
      </c>
      <c r="E19" s="44"/>
      <c r="F19" s="37"/>
      <c r="G19" s="22" t="s">
        <v>65</v>
      </c>
      <c r="H19" s="30">
        <v>7.0000000000000007E-2</v>
      </c>
      <c r="I19" s="31" t="s">
        <v>66</v>
      </c>
      <c r="J19" s="41" t="s">
        <v>67</v>
      </c>
      <c r="K19" s="42"/>
      <c r="L19" s="21">
        <v>160</v>
      </c>
      <c r="M19" s="23">
        <f>H19*L19*0.001</f>
        <v>1.1200000000000002E-2</v>
      </c>
      <c r="N19" s="21">
        <v>160</v>
      </c>
      <c r="O19" s="21">
        <v>1</v>
      </c>
      <c r="P19" s="21">
        <v>1</v>
      </c>
      <c r="Q19" s="21">
        <v>1</v>
      </c>
      <c r="R19" s="21">
        <v>170</v>
      </c>
      <c r="S19" s="25">
        <f>H19*R19*0.001</f>
        <v>1.1900000000000001E-2</v>
      </c>
      <c r="T19" s="46"/>
      <c r="U19" s="32"/>
      <c r="V19" s="21" t="s">
        <v>76</v>
      </c>
      <c r="W19" s="48"/>
    </row>
    <row r="20" spans="1:23" s="27" customFormat="1" ht="41.1" customHeight="1" x14ac:dyDescent="0.15">
      <c r="A20" s="5">
        <v>16</v>
      </c>
      <c r="B20" s="21" t="s">
        <v>94</v>
      </c>
      <c r="C20" s="21" t="s">
        <v>102</v>
      </c>
      <c r="D20" s="21" t="s">
        <v>122</v>
      </c>
      <c r="E20" s="43" t="s">
        <v>101</v>
      </c>
      <c r="F20" s="21" t="s">
        <v>103</v>
      </c>
      <c r="G20" s="21" t="s">
        <v>97</v>
      </c>
      <c r="H20" s="21">
        <v>0.8</v>
      </c>
      <c r="I20" s="21" t="s">
        <v>104</v>
      </c>
      <c r="J20" s="41" t="s">
        <v>67</v>
      </c>
      <c r="K20" s="42"/>
      <c r="L20" s="21">
        <v>50</v>
      </c>
      <c r="M20" s="25">
        <f>H20*L20/1000</f>
        <v>0.04</v>
      </c>
      <c r="N20" s="21">
        <v>25</v>
      </c>
      <c r="O20" s="21">
        <v>2</v>
      </c>
      <c r="P20" s="21">
        <v>2</v>
      </c>
      <c r="Q20" s="21">
        <v>1</v>
      </c>
      <c r="R20" s="21">
        <v>55</v>
      </c>
      <c r="S20" s="25">
        <f>H20*R20/1000</f>
        <v>4.3999999999999997E-2</v>
      </c>
      <c r="T20" s="50"/>
      <c r="U20" s="52" t="s">
        <v>92</v>
      </c>
      <c r="V20" s="39" t="s">
        <v>107</v>
      </c>
      <c r="W20" s="43" t="s">
        <v>126</v>
      </c>
    </row>
    <row r="21" spans="1:23" s="27" customFormat="1" ht="41.1" customHeight="1" x14ac:dyDescent="0.15">
      <c r="A21" s="5">
        <v>17</v>
      </c>
      <c r="B21" s="28" t="s">
        <v>95</v>
      </c>
      <c r="C21" s="28" t="s">
        <v>105</v>
      </c>
      <c r="D21" s="21" t="s">
        <v>123</v>
      </c>
      <c r="E21" s="49"/>
      <c r="F21" s="21" t="s">
        <v>106</v>
      </c>
      <c r="G21" s="28" t="s">
        <v>98</v>
      </c>
      <c r="H21" s="28">
        <v>0.15</v>
      </c>
      <c r="I21" s="53" t="s">
        <v>135</v>
      </c>
      <c r="J21" s="41" t="s">
        <v>67</v>
      </c>
      <c r="K21" s="42"/>
      <c r="L21" s="28">
        <v>200</v>
      </c>
      <c r="M21" s="25">
        <f>H21*L21/1000</f>
        <v>0.03</v>
      </c>
      <c r="N21" s="21">
        <v>160</v>
      </c>
      <c r="O21" s="21">
        <v>2</v>
      </c>
      <c r="P21" s="21">
        <v>2</v>
      </c>
      <c r="Q21" s="21">
        <v>1</v>
      </c>
      <c r="R21" s="21">
        <v>210</v>
      </c>
      <c r="S21" s="25">
        <f>H21*R21/1000</f>
        <v>3.15E-2</v>
      </c>
      <c r="T21" s="51"/>
      <c r="U21" s="47"/>
      <c r="V21" s="39" t="s">
        <v>107</v>
      </c>
      <c r="W21" s="49"/>
    </row>
    <row r="22" spans="1:23" s="27" customFormat="1" ht="41.1" customHeight="1" x14ac:dyDescent="0.15">
      <c r="A22" s="5">
        <v>18</v>
      </c>
      <c r="B22" s="28" t="s">
        <v>96</v>
      </c>
      <c r="C22" s="28" t="s">
        <v>105</v>
      </c>
      <c r="D22" s="21" t="s">
        <v>124</v>
      </c>
      <c r="E22" s="49"/>
      <c r="F22" s="38" t="s">
        <v>109</v>
      </c>
      <c r="G22" s="28" t="s">
        <v>100</v>
      </c>
      <c r="H22" s="28">
        <v>0.05</v>
      </c>
      <c r="I22" s="54"/>
      <c r="J22" s="41" t="s">
        <v>67</v>
      </c>
      <c r="K22" s="42"/>
      <c r="L22" s="28">
        <v>50</v>
      </c>
      <c r="M22" s="25">
        <f>H22*L22/1000</f>
        <v>2.5000000000000001E-3</v>
      </c>
      <c r="N22" s="21">
        <v>50</v>
      </c>
      <c r="O22" s="21">
        <v>1</v>
      </c>
      <c r="P22" s="21">
        <v>1</v>
      </c>
      <c r="Q22" s="21">
        <v>1</v>
      </c>
      <c r="R22" s="21">
        <v>55</v>
      </c>
      <c r="S22" s="25">
        <f>H22*R22/1000</f>
        <v>2.7499999999999998E-3</v>
      </c>
      <c r="T22" s="51"/>
      <c r="U22" s="47"/>
      <c r="V22" s="21" t="s">
        <v>68</v>
      </c>
      <c r="W22" s="49"/>
    </row>
    <row r="23" spans="1:23" s="27" customFormat="1" ht="41.1" customHeight="1" x14ac:dyDescent="0.15">
      <c r="A23" s="5">
        <v>19</v>
      </c>
      <c r="B23" s="21" t="s">
        <v>136</v>
      </c>
      <c r="C23" s="21" t="s">
        <v>85</v>
      </c>
      <c r="D23" s="21" t="s">
        <v>125</v>
      </c>
      <c r="E23" s="49"/>
      <c r="F23" s="26" t="s">
        <v>93</v>
      </c>
      <c r="G23" s="28" t="s">
        <v>99</v>
      </c>
      <c r="H23" s="30">
        <v>3.2000000000000001E-2</v>
      </c>
      <c r="I23" s="21" t="s">
        <v>87</v>
      </c>
      <c r="J23" s="41" t="s">
        <v>67</v>
      </c>
      <c r="K23" s="42"/>
      <c r="L23" s="21">
        <v>100</v>
      </c>
      <c r="M23" s="25">
        <f>L23*H23/1000</f>
        <v>3.2000000000000002E-3</v>
      </c>
      <c r="N23" s="21">
        <v>100</v>
      </c>
      <c r="O23" s="21">
        <v>1</v>
      </c>
      <c r="P23" s="21">
        <v>1</v>
      </c>
      <c r="Q23" s="21">
        <v>1</v>
      </c>
      <c r="R23" s="21">
        <v>110</v>
      </c>
      <c r="S23" s="25">
        <f>H23*R23/1000</f>
        <v>3.5200000000000001E-3</v>
      </c>
      <c r="T23" s="51"/>
      <c r="U23" s="47"/>
      <c r="V23" s="40" t="s">
        <v>108</v>
      </c>
      <c r="W23" s="49"/>
    </row>
    <row r="24" spans="1:23" s="2" customFormat="1" ht="21" customHeight="1" x14ac:dyDescent="0.15">
      <c r="A24" s="68" t="s">
        <v>35</v>
      </c>
      <c r="B24" s="69"/>
      <c r="C24" s="7"/>
      <c r="D24" s="7"/>
      <c r="E24" s="7"/>
      <c r="F24" s="8"/>
      <c r="G24" s="7"/>
      <c r="H24" s="7"/>
      <c r="I24" s="7"/>
      <c r="J24" s="7"/>
      <c r="K24" s="15">
        <f>SUM(K5:K23)</f>
        <v>4.9519283314669655</v>
      </c>
      <c r="L24" s="15">
        <f>SUM(L5:L23)</f>
        <v>10050</v>
      </c>
      <c r="M24" s="15">
        <f>SUM(M5:M23)</f>
        <v>5.0954100000000002</v>
      </c>
      <c r="N24" s="16"/>
      <c r="O24" s="15">
        <f>SUM(O5:O23)</f>
        <v>241</v>
      </c>
      <c r="P24" s="16"/>
      <c r="Q24" s="15">
        <f>SUM(Q5:Q23)</f>
        <v>22</v>
      </c>
      <c r="R24" s="15">
        <f>SUM(R5:R23)</f>
        <v>10385</v>
      </c>
      <c r="S24" s="15">
        <f>SUM(S5:S23)</f>
        <v>5.2492649999999994</v>
      </c>
      <c r="T24" s="18"/>
      <c r="U24" s="58" t="s">
        <v>36</v>
      </c>
      <c r="V24" s="18"/>
      <c r="W24" s="18"/>
    </row>
    <row r="25" spans="1:23" s="3" customFormat="1" ht="21" customHeight="1" x14ac:dyDescent="0.15">
      <c r="A25" s="70"/>
      <c r="B25" s="71"/>
      <c r="C25" s="9"/>
      <c r="D25" s="9"/>
      <c r="E25" s="9"/>
      <c r="F25" s="9"/>
      <c r="G25" s="9"/>
      <c r="H25" s="9"/>
      <c r="I25" s="9"/>
      <c r="J25" s="9"/>
      <c r="K25" s="9" t="s">
        <v>25</v>
      </c>
      <c r="L25" s="9" t="s">
        <v>24</v>
      </c>
      <c r="M25" s="9" t="s">
        <v>25</v>
      </c>
      <c r="N25" s="9"/>
      <c r="O25" s="9" t="s">
        <v>27</v>
      </c>
      <c r="P25" s="9"/>
      <c r="Q25" s="9" t="s">
        <v>29</v>
      </c>
      <c r="R25" s="9" t="s">
        <v>24</v>
      </c>
      <c r="S25" s="9" t="s">
        <v>25</v>
      </c>
      <c r="T25" s="9"/>
      <c r="U25" s="59"/>
      <c r="V25" s="9"/>
      <c r="W25" s="9"/>
    </row>
    <row r="26" spans="1:23" s="1" customFormat="1" ht="19.5" customHeight="1" x14ac:dyDescent="0.15">
      <c r="B26" s="1" t="s">
        <v>37</v>
      </c>
      <c r="N26" s="27"/>
      <c r="O26" s="17"/>
      <c r="S26" s="19" t="s">
        <v>38</v>
      </c>
    </row>
    <row r="27" spans="1:23" s="1" customFormat="1" ht="19.5" customHeight="1" x14ac:dyDescent="0.15">
      <c r="A27" s="1" t="s">
        <v>39</v>
      </c>
      <c r="B27" s="57" t="s">
        <v>40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s="1" customFormat="1" ht="19.5" customHeight="1" x14ac:dyDescent="0.15">
      <c r="A28" s="1" t="s">
        <v>41</v>
      </c>
      <c r="B28" s="57" t="s">
        <v>42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</row>
    <row r="29" spans="1:23" s="1" customFormat="1" ht="19.5" customHeight="1" x14ac:dyDescent="0.15">
      <c r="B29" s="57" t="s">
        <v>43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s="1" customFormat="1" ht="19.5" customHeight="1" x14ac:dyDescent="0.15">
      <c r="A30" s="1" t="s">
        <v>44</v>
      </c>
      <c r="B30" s="57" t="s">
        <v>45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</row>
    <row r="31" spans="1:23" s="1" customFormat="1" ht="19.5" customHeight="1" x14ac:dyDescent="0.15">
      <c r="A31" s="1" t="s">
        <v>46</v>
      </c>
      <c r="B31" s="11" t="s">
        <v>47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/>
    </row>
    <row r="32" spans="1:23" ht="23.25" customHeight="1" x14ac:dyDescent="0.15">
      <c r="T32" s="67">
        <v>45966</v>
      </c>
      <c r="U32" s="67"/>
      <c r="V32" s="67"/>
      <c r="W32" s="67"/>
    </row>
    <row r="33" spans="3:14" ht="20.25" customHeight="1" x14ac:dyDescent="0.15">
      <c r="C33" s="57" t="s">
        <v>48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</row>
  </sheetData>
  <mergeCells count="62">
    <mergeCell ref="V3:V4"/>
    <mergeCell ref="W3:W4"/>
    <mergeCell ref="W8:W9"/>
    <mergeCell ref="A24:B25"/>
    <mergeCell ref="E8:E9"/>
    <mergeCell ref="G3:G4"/>
    <mergeCell ref="T3:T4"/>
    <mergeCell ref="U3:U4"/>
    <mergeCell ref="E5:E7"/>
    <mergeCell ref="T5:T7"/>
    <mergeCell ref="U5:U7"/>
    <mergeCell ref="V5:V7"/>
    <mergeCell ref="W5:W7"/>
    <mergeCell ref="J9:K9"/>
    <mergeCell ref="B28:W28"/>
    <mergeCell ref="B29:W29"/>
    <mergeCell ref="B30:W30"/>
    <mergeCell ref="T32:W32"/>
    <mergeCell ref="C33:N33"/>
    <mergeCell ref="B27:W27"/>
    <mergeCell ref="T8:T9"/>
    <mergeCell ref="U24:U25"/>
    <mergeCell ref="A1:W1"/>
    <mergeCell ref="H2:I2"/>
    <mergeCell ref="O2:P2"/>
    <mergeCell ref="U2:W2"/>
    <mergeCell ref="I3:K3"/>
    <mergeCell ref="L3:Q3"/>
    <mergeCell ref="R3:S3"/>
    <mergeCell ref="A3:A4"/>
    <mergeCell ref="B3:B4"/>
    <mergeCell ref="C3:C4"/>
    <mergeCell ref="D3:D4"/>
    <mergeCell ref="E3:E4"/>
    <mergeCell ref="F3:F4"/>
    <mergeCell ref="E14:E17"/>
    <mergeCell ref="T14:T17"/>
    <mergeCell ref="W14:W17"/>
    <mergeCell ref="J14:K14"/>
    <mergeCell ref="J15:K15"/>
    <mergeCell ref="J16:K16"/>
    <mergeCell ref="J17:K17"/>
    <mergeCell ref="E10:E13"/>
    <mergeCell ref="J10:K10"/>
    <mergeCell ref="T10:T13"/>
    <mergeCell ref="W10:W13"/>
    <mergeCell ref="J11:K11"/>
    <mergeCell ref="J12:K12"/>
    <mergeCell ref="J13:K13"/>
    <mergeCell ref="W18:W19"/>
    <mergeCell ref="J19:K19"/>
    <mergeCell ref="E20:E23"/>
    <mergeCell ref="T20:T23"/>
    <mergeCell ref="U20:U23"/>
    <mergeCell ref="W20:W23"/>
    <mergeCell ref="I21:I22"/>
    <mergeCell ref="J20:K20"/>
    <mergeCell ref="J21:K21"/>
    <mergeCell ref="J22:K22"/>
    <mergeCell ref="J23:K23"/>
    <mergeCell ref="E18:E19"/>
    <mergeCell ref="T18:T19"/>
  </mergeCells>
  <phoneticPr fontId="11" type="noConversion"/>
  <pageMargins left="0.70069444444444495" right="0.70069444444444495" top="0.16111111111111101" bottom="0.16111111111111101" header="0.29861111111111099" footer="0.29861111111111099"/>
  <pageSetup paperSize="9" scale="89" fitToHeight="0" orientation="landscape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2025-11-05T06:31:45Z</cp:lastPrinted>
  <dcterms:created xsi:type="dcterms:W3CDTF">2006-09-13T11:21:00Z</dcterms:created>
  <dcterms:modified xsi:type="dcterms:W3CDTF">2025-11-06T03:36:55Z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59441E3EF51841088A6EE2EE534C9BC1_13</vt:lpwstr>
  </property>
  <property fmtid="{D5CDD505-2E9C-101B-9397-08002B2CF9AE}" pid="3" name="KSOProductBuildVer">
    <vt:lpwstr>2052-12.1.0.18276</vt:lpwstr>
  </property>
</Properties>
</file>