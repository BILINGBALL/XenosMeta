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5382A1A-AEA9-49AD-BFC3-99485E1D96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M8" i="1"/>
  <c r="K8" i="1"/>
  <c r="R7" i="1"/>
  <c r="S7" i="1" s="1"/>
  <c r="L7" i="1"/>
  <c r="M7" i="1" s="1"/>
  <c r="S6" i="1"/>
  <c r="S8" i="1" s="1"/>
  <c r="M6" i="1"/>
  <c r="K6" i="1"/>
  <c r="R8" i="1" l="1"/>
  <c r="L8" i="1"/>
</calcChain>
</file>

<file path=xl/sharedStrings.xml><?xml version="1.0" encoding="utf-8"?>
<sst xmlns="http://schemas.openxmlformats.org/spreadsheetml/2006/main" count="71" uniqueCount="62">
  <si>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</si>
  <si>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</si>
  <si>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</si>
  <si>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</si>
  <si>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</si>
  <si>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</si>
  <si>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</si>
  <si>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</si>
  <si>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</si>
  <si>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</si>
  <si>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</si>
  <si>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</si>
  <si>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</si>
  <si>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</si>
  <si>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</si>
  <si>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</si>
  <si>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</si>
  <si>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</si>
  <si>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</si>
  <si>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</si>
  <si>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</si>
  <si>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</si>
  <si>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</si>
  <si>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</si>
  <si>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</si>
  <si>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</si>
  <si>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</si>
  <si>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</si>
  <si>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</si>
  <si>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</si>
  <si>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8.8级</t>
  </si>
  <si>
    <t>40Cr</t>
  </si>
  <si>
    <t>Φ24</t>
  </si>
  <si>
    <t>平垫圈 F24</t>
  </si>
  <si>
    <t>S235B</t>
  </si>
  <si>
    <t>外购</t>
  </si>
  <si>
    <t>冷镀锌</t>
  </si>
  <si>
    <t>螺旋道钉
FS1-175</t>
  </si>
  <si>
    <t>24 x 175</t>
  </si>
  <si>
    <t>FR 8.8
FS1-175
生产批号</t>
  </si>
  <si>
    <t>冷镀
锌</t>
  </si>
  <si>
    <t>合计</t>
  </si>
  <si>
    <t>详见
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</si>
  <si>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</si>
  <si>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</si>
  <si>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</si>
  <si>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</si>
  <si>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2、</t>
  </si>
  <si>
    <t>螺纹道钉螺纹部分15°冷弯。</t>
  </si>
  <si>
    <t>生产部门按生产工艺生产，加强自检，严格质量管理。技术要求及验收标准按客户《技术协议》规定执行。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</si>
  <si>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</si>
  <si>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</si>
  <si>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</si>
  <si>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</si>
  <si>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</si>
  <si>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5  月  份  销  售  计  划  4</t>
    <phoneticPr fontId="11" type="noConversion"/>
  </si>
  <si>
    <t>250507-2</t>
    <phoneticPr fontId="11" type="noConversion"/>
  </si>
  <si>
    <t>250507-3</t>
  </si>
  <si>
    <t>FCF0297</t>
    <phoneticPr fontId="11" type="noConversion"/>
  </si>
  <si>
    <t>FSCR-1901(A)-3</t>
    <phoneticPr fontId="11" type="noConversion"/>
  </si>
  <si>
    <t>FSCR-1901(A)-4</t>
    <phoneticPr fontId="11" type="noConversion"/>
  </si>
  <si>
    <t>2025-6-5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</si>
</sst>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00_ "/>
    <numFmt numFmtId="179" formatCode="0.00_ "/>
    <numFmt numFmtId="180" formatCode="0.0_ "/>
    <numFmt numFmtId="181" formatCode="0_ "/>
    <numFmt numFmtId="182" formatCode="[$-F800]dddd\,\ mmmm\ dd\,\ yyyy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80" fontId="1" fillId="0" borderId="2" xfId="0" applyNumberFormat="1" applyFont="1" applyBorder="1" applyAlignment="1">
      <alignment horizontal="center" vertical="center" wrapText="1"/>
    </xf>
    <xf numFmtId="179" fontId="1" fillId="0" borderId="11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1" fontId="5" fillId="0" borderId="3" xfId="0" applyNumberFormat="1" applyFont="1" applyBorder="1" applyAlignment="1">
      <alignment horizontal="center" wrapText="1"/>
    </xf>
    <xf numFmtId="179" fontId="5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9" fontId="1" fillId="0" borderId="11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2" fontId="6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28575</xdr:colOff>
      <xdr:row>9</xdr:row>
      <xdr:rowOff>95250</xdr:rowOff>
    </xdr:from>
    <xdr:to>
      <xdr:col>22</xdr:col>
      <xdr:colOff>315595</xdr:colOff>
      <xdr:row>16</xdr:row>
      <xdr:rowOff>38100</xdr:rowOff>
    </xdr:to>
    <xdr:pic>
      <xdr:nvPicPr>
        <xdr:cNvPr id="2" name="图片 1" descr="微信截图_20240905151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3724275"/>
          <a:ext cx="1410970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3" workbookViewId="0">
      <selection activeCell="B12" sqref="B12:W12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7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23" t="s">
        <v>55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s="1" customFormat="1" ht="27.75" customHeight="1" x14ac:dyDescent="0.15">
      <c r="B3" s="1" t="s">
        <v>0</v>
      </c>
      <c r="C3" s="1" t="s">
        <v>1</v>
      </c>
      <c r="H3" s="24" t="s">
        <v>2</v>
      </c>
      <c r="I3" s="24"/>
      <c r="O3" s="24" t="s">
        <v>3</v>
      </c>
      <c r="P3" s="24"/>
      <c r="U3" s="25" t="s">
        <v>4</v>
      </c>
      <c r="V3" s="26"/>
      <c r="W3" s="26"/>
    </row>
    <row r="4" spans="1:23" s="1" customFormat="1" ht="27" customHeight="1" x14ac:dyDescent="0.15">
      <c r="A4" s="27" t="s">
        <v>5</v>
      </c>
      <c r="B4" s="27" t="s">
        <v>6</v>
      </c>
      <c r="C4" s="27" t="s">
        <v>7</v>
      </c>
      <c r="D4" s="27" t="s">
        <v>8</v>
      </c>
      <c r="E4" s="27" t="s">
        <v>9</v>
      </c>
      <c r="F4" s="27" t="s">
        <v>10</v>
      </c>
      <c r="G4" s="27" t="s">
        <v>11</v>
      </c>
      <c r="H4" s="5" t="s">
        <v>12</v>
      </c>
      <c r="I4" s="27" t="s">
        <v>13</v>
      </c>
      <c r="J4" s="27"/>
      <c r="K4" s="27"/>
      <c r="L4" s="27" t="s">
        <v>14</v>
      </c>
      <c r="M4" s="27"/>
      <c r="N4" s="27"/>
      <c r="O4" s="27"/>
      <c r="P4" s="27"/>
      <c r="Q4" s="27"/>
      <c r="R4" s="27" t="s">
        <v>15</v>
      </c>
      <c r="S4" s="27"/>
      <c r="T4" s="27" t="s">
        <v>16</v>
      </c>
      <c r="U4" s="27" t="s">
        <v>17</v>
      </c>
      <c r="V4" s="27" t="s">
        <v>18</v>
      </c>
      <c r="W4" s="27" t="s">
        <v>19</v>
      </c>
    </row>
    <row r="5" spans="1:23" s="1" customFormat="1" ht="27.75" customHeight="1" x14ac:dyDescent="0.15">
      <c r="A5" s="32"/>
      <c r="B5" s="27"/>
      <c r="C5" s="27"/>
      <c r="D5" s="27"/>
      <c r="E5" s="27"/>
      <c r="F5" s="27"/>
      <c r="G5" s="27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27"/>
      <c r="U5" s="27"/>
      <c r="V5" s="27"/>
      <c r="W5" s="27"/>
    </row>
    <row r="6" spans="1:23" s="1" customFormat="1" ht="54" customHeight="1" x14ac:dyDescent="0.15">
      <c r="A6" s="5">
        <v>1</v>
      </c>
      <c r="B6" s="6" t="s">
        <v>37</v>
      </c>
      <c r="C6" s="5" t="s">
        <v>38</v>
      </c>
      <c r="D6" s="5" t="s">
        <v>56</v>
      </c>
      <c r="E6" s="27" t="s">
        <v>58</v>
      </c>
      <c r="F6" s="5" t="s">
        <v>30</v>
      </c>
      <c r="G6" s="7" t="s">
        <v>59</v>
      </c>
      <c r="H6" s="5">
        <v>0.58499999999999996</v>
      </c>
      <c r="I6" s="5" t="s">
        <v>31</v>
      </c>
      <c r="J6" s="5" t="s">
        <v>32</v>
      </c>
      <c r="K6" s="16">
        <f>M6/0.95</f>
        <v>0.49263157894736848</v>
      </c>
      <c r="L6" s="5">
        <v>800</v>
      </c>
      <c r="M6" s="14">
        <f>H6*L6*0.001</f>
        <v>0.46800000000000003</v>
      </c>
      <c r="N6" s="5">
        <v>40</v>
      </c>
      <c r="O6" s="5">
        <v>20</v>
      </c>
      <c r="P6" s="5">
        <v>20</v>
      </c>
      <c r="Q6" s="5">
        <v>1</v>
      </c>
      <c r="R6" s="5">
        <v>810</v>
      </c>
      <c r="S6" s="14">
        <f>H6*R6*0.001</f>
        <v>0.47384999999999999</v>
      </c>
      <c r="T6" s="33" t="s">
        <v>61</v>
      </c>
      <c r="U6" s="5" t="s">
        <v>39</v>
      </c>
      <c r="V6" s="5" t="s">
        <v>36</v>
      </c>
      <c r="W6" s="36"/>
    </row>
    <row r="7" spans="1:23" s="1" customFormat="1" ht="48.75" customHeight="1" x14ac:dyDescent="0.15">
      <c r="A7" s="5">
        <v>2</v>
      </c>
      <c r="B7" s="6" t="s">
        <v>33</v>
      </c>
      <c r="C7" s="5">
        <v>25</v>
      </c>
      <c r="D7" s="5" t="s">
        <v>57</v>
      </c>
      <c r="E7" s="27"/>
      <c r="F7" s="5"/>
      <c r="G7" s="7" t="s">
        <v>60</v>
      </c>
      <c r="H7" s="8">
        <v>7.0000000000000007E-2</v>
      </c>
      <c r="I7" s="15" t="s">
        <v>34</v>
      </c>
      <c r="J7" s="28" t="s">
        <v>35</v>
      </c>
      <c r="K7" s="29"/>
      <c r="L7" s="5">
        <f>L6</f>
        <v>800</v>
      </c>
      <c r="M7" s="14">
        <f>H7*L7*0.001</f>
        <v>5.6000000000000008E-2</v>
      </c>
      <c r="N7" s="5">
        <v>400</v>
      </c>
      <c r="O7" s="5">
        <v>2</v>
      </c>
      <c r="P7" s="5">
        <v>2</v>
      </c>
      <c r="Q7" s="5">
        <v>1</v>
      </c>
      <c r="R7" s="5">
        <f>R6</f>
        <v>810</v>
      </c>
      <c r="S7" s="14">
        <f>H7*R7*0.001</f>
        <v>5.6700000000000007E-2</v>
      </c>
      <c r="T7" s="33"/>
      <c r="U7" s="20"/>
      <c r="V7" s="5" t="s">
        <v>40</v>
      </c>
      <c r="W7" s="36"/>
    </row>
    <row r="8" spans="1:23" s="2" customFormat="1" ht="21" customHeight="1" x14ac:dyDescent="0.15">
      <c r="A8" s="37" t="s">
        <v>41</v>
      </c>
      <c r="B8" s="38"/>
      <c r="C8" s="9"/>
      <c r="D8" s="9"/>
      <c r="E8" s="9"/>
      <c r="F8" s="10"/>
      <c r="G8" s="9"/>
      <c r="H8" s="9"/>
      <c r="I8" s="9"/>
      <c r="J8" s="9"/>
      <c r="K8" s="41">
        <f>K6</f>
        <v>0.49263157894736848</v>
      </c>
      <c r="L8" s="17">
        <f>SUM(L6:L7)</f>
        <v>1600</v>
      </c>
      <c r="M8" s="17">
        <f>M6+M7</f>
        <v>0.52400000000000002</v>
      </c>
      <c r="N8" s="18"/>
      <c r="O8" s="17">
        <f>O6+O7</f>
        <v>22</v>
      </c>
      <c r="P8" s="18"/>
      <c r="Q8" s="17">
        <f>Q6+Q7</f>
        <v>2</v>
      </c>
      <c r="R8" s="17">
        <f>R6+R7</f>
        <v>1620</v>
      </c>
      <c r="S8" s="17">
        <f>S6+S7</f>
        <v>0.53054999999999997</v>
      </c>
      <c r="T8" s="21"/>
      <c r="U8" s="34" t="s">
        <v>42</v>
      </c>
      <c r="V8" s="21"/>
      <c r="W8" s="21"/>
    </row>
    <row r="9" spans="1:23" s="3" customFormat="1" ht="21" customHeight="1" x14ac:dyDescent="0.15">
      <c r="A9" s="39"/>
      <c r="B9" s="40"/>
      <c r="C9" s="11"/>
      <c r="D9" s="11"/>
      <c r="E9" s="11"/>
      <c r="F9" s="11"/>
      <c r="G9" s="11"/>
      <c r="H9" s="11"/>
      <c r="I9" s="11"/>
      <c r="J9" s="11"/>
      <c r="K9" s="11" t="s">
        <v>25</v>
      </c>
      <c r="L9" s="11" t="s">
        <v>24</v>
      </c>
      <c r="M9" s="11" t="s">
        <v>25</v>
      </c>
      <c r="N9" s="11"/>
      <c r="O9" s="11" t="s">
        <v>27</v>
      </c>
      <c r="P9" s="11"/>
      <c r="Q9" s="11" t="s">
        <v>29</v>
      </c>
      <c r="R9" s="11" t="s">
        <v>24</v>
      </c>
      <c r="S9" s="11" t="s">
        <v>25</v>
      </c>
      <c r="T9" s="11"/>
      <c r="U9" s="35"/>
      <c r="V9" s="11"/>
      <c r="W9" s="11"/>
    </row>
    <row r="11" spans="1:23" s="1" customFormat="1" ht="19.5" customHeight="1" x14ac:dyDescent="0.15">
      <c r="B11" s="1" t="s">
        <v>43</v>
      </c>
      <c r="O11" s="19"/>
      <c r="S11" s="22" t="s">
        <v>44</v>
      </c>
    </row>
    <row r="12" spans="1:23" s="1" customFormat="1" ht="19.5" customHeight="1" x14ac:dyDescent="0.15">
      <c r="A12" s="1" t="s">
        <v>45</v>
      </c>
      <c r="B12" s="30" t="s">
        <v>46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s="1" customFormat="1" ht="19.5" customHeight="1" x14ac:dyDescent="0.15">
      <c r="A13" s="1" t="s">
        <v>47</v>
      </c>
      <c r="B13" s="30" t="s">
        <v>48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s="1" customFormat="1" ht="19.5" customHeight="1" x14ac:dyDescent="0.15">
      <c r="B14" s="30" t="s">
        <v>49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s="1" customFormat="1" ht="19.5" customHeight="1" x14ac:dyDescent="0.15">
      <c r="A15" s="1" t="s">
        <v>50</v>
      </c>
      <c r="B15" s="30" t="s">
        <v>51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s="1" customFormat="1" ht="19.5" customHeight="1" x14ac:dyDescent="0.15">
      <c r="A16" s="1" t="s">
        <v>52</v>
      </c>
      <c r="B16" s="13" t="s">
        <v>53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3:23" ht="23.25" customHeight="1" x14ac:dyDescent="0.15">
      <c r="T17" s="31">
        <v>45784</v>
      </c>
      <c r="U17" s="31"/>
      <c r="V17" s="31"/>
      <c r="W17" s="31"/>
    </row>
    <row r="18" spans="3:23" ht="20.25" customHeight="1" x14ac:dyDescent="0.15">
      <c r="C18" s="30" t="s">
        <v>54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</sheetData>
  <mergeCells count="30">
    <mergeCell ref="V4:V5"/>
    <mergeCell ref="W4:W5"/>
    <mergeCell ref="W6:W7"/>
    <mergeCell ref="A8:B9"/>
    <mergeCell ref="B13:W13"/>
    <mergeCell ref="B14:W14"/>
    <mergeCell ref="B15:W15"/>
    <mergeCell ref="T17:W17"/>
    <mergeCell ref="C18:N18"/>
    <mergeCell ref="J7:K7"/>
    <mergeCell ref="B12:W12"/>
    <mergeCell ref="E6:E7"/>
    <mergeCell ref="T6:T7"/>
    <mergeCell ref="U8:U9"/>
    <mergeCell ref="A2:W2"/>
    <mergeCell ref="H3:I3"/>
    <mergeCell ref="O3:P3"/>
    <mergeCell ref="U3:W3"/>
    <mergeCell ref="I4:K4"/>
    <mergeCell ref="L4:Q4"/>
    <mergeCell ref="R4:S4"/>
    <mergeCell ref="A4:A5"/>
    <mergeCell ref="B4:B5"/>
    <mergeCell ref="C4:C5"/>
    <mergeCell ref="D4:D5"/>
    <mergeCell ref="E4:E5"/>
    <mergeCell ref="F4:F5"/>
    <mergeCell ref="G4:G5"/>
    <mergeCell ref="T4:T5"/>
    <mergeCell ref="U4:U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9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2025-05-07T07:52:06Z</cp:lastPrinted>
  <dcterms:created xsi:type="dcterms:W3CDTF">2006-09-13T11:21:00Z</dcterms:created>
  <dcterms:modified xsi:type="dcterms:W3CDTF">2025-05-07T07:53:15Z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59441E3EF51841088A6EE2EE534C9BC1_13</vt:lpwstr>
  </property>
  <property fmtid="{D5CDD505-2E9C-101B-9397-08002B2CF9AE}" pid="3" name="KSOProductBuildVer">
    <vt:lpwstr>2052-12.1.0.18276</vt:lpwstr>
  </property>
</Properties>
</file>