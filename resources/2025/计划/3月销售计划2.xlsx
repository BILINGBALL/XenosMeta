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0666D74B-9525-4757-87D9-3BBB90F194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O7" i="1"/>
  <c r="M7" i="1"/>
</calcChain>
</file>

<file path=xl/sharedStrings.xml><?xml version="1.0" encoding="utf-8"?>
<sst xmlns="http://schemas.openxmlformats.org/spreadsheetml/2006/main" count="61" uniqueCount="58">
  <si>
    <t>编制：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</si>
  <si>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</si>
  <si>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</si>
  <si>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</si>
  <si>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</si>
  <si>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</si>
  <si>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</si>
  <si>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</si>
  <si>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</si>
  <si>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</si>
  <si>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</si>
  <si>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</si>
  <si>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</si>
  <si>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</si>
  <si>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</si>
  <si>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</si>
  <si>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</si>
  <si>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</si>
  <si>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</si>
  <si>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</si>
  <si>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</si>
  <si>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</si>
  <si>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</si>
  <si>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</si>
  <si>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</si>
  <si>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</si>
  <si>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</si>
  <si>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</si>
  <si>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弹簧
垫圈</t>
  </si>
  <si>
    <t>FE6</t>
  </si>
  <si>
    <t>ACC-FE6-01_A</t>
  </si>
  <si>
    <t>38Si7</t>
  </si>
  <si>
    <t>外购</t>
  </si>
  <si>
    <t>外购
等通知</t>
  </si>
  <si>
    <t>热镀锌</t>
  </si>
  <si>
    <t>编织袋+免熏蒸木箱</t>
  </si>
  <si>
    <t>合计</t>
  </si>
  <si>
    <t>32
箱</t>
  </si>
  <si>
    <t>详见图纸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</si>
  <si>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</si>
  <si>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</si>
  <si>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</si>
  <si>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</si>
  <si>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</si>
  <si>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</si>
  <si>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</si>
  <si>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</si>
  <si>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</si>
  <si>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charset val="134"/>
        <scheme val="minor"/>
      </rPr>
      <t>包装物为编织袋加免熏蒸木箱。木箱外尺寸是：</t>
    </r>
    <r>
      <rPr>
        <b/>
        <sz val="10"/>
        <color theme="1"/>
        <rFont val="宋体"/>
        <charset val="134"/>
        <scheme val="minor"/>
      </rPr>
      <t>1100×800×550mm</t>
    </r>
  </si>
  <si>
    <t>分发：总经理、总经办、品管部、生产部</t>
  </si>
  <si>
    <t>高蕾</t>
    <phoneticPr fontId="7" type="noConversion"/>
  </si>
  <si>
    <t>3  月  份  销  售  计  划  2</t>
    <phoneticPr fontId="7" type="noConversion"/>
  </si>
  <si>
    <t>250313-1</t>
    <phoneticPr fontId="7" type="noConversion"/>
  </si>
  <si>
    <t>11680
件</t>
    <phoneticPr fontId="7" type="noConversion"/>
  </si>
  <si>
    <t>1.05
吨</t>
    <phoneticPr fontId="7" type="noConversion"/>
  </si>
  <si>
    <t>59
袋</t>
    <phoneticPr fontId="7" type="noConversion"/>
  </si>
  <si>
    <t>11700
件</t>
    <phoneticPr fontId="7" type="noConversion"/>
  </si>
  <si>
    <t>S25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</si>
</sst>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_ "/>
    <numFmt numFmtId="179" formatCode="0.00_ 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179" fontId="3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right" wrapText="1"/>
    </xf>
    <xf numFmtId="1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7"/>
  <sheetViews>
    <sheetView tabSelected="1" workbookViewId="0">
      <selection activeCell="G7" sqref="G7:W8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3" width="9.125" style="2" customWidth="1"/>
    <col min="4" max="4" width="8.125" style="2" customWidth="1"/>
    <col min="5" max="5" width="5.875" style="2" customWidth="1"/>
    <col min="6" max="6" width="8" style="2" customWidth="1"/>
    <col min="7" max="7" width="6.25" style="2" customWidth="1"/>
    <col min="8" max="8" width="6.5" style="2" customWidth="1"/>
    <col min="9" max="9" width="5.625" style="2" customWidth="1"/>
    <col min="10" max="10" width="5.375" style="2" customWidth="1"/>
    <col min="11" max="11" width="7.625" style="2" customWidth="1"/>
    <col min="12" max="12" width="6.5" style="2" customWidth="1"/>
    <col min="13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7" width="5.625" style="2" customWidth="1"/>
    <col min="18" max="18" width="6.5" style="2" customWidth="1"/>
    <col min="19" max="19" width="6.875" style="2" customWidth="1"/>
    <col min="20" max="20" width="5.125" style="2" customWidth="1"/>
    <col min="21" max="21" width="7.375" style="2" customWidth="1"/>
    <col min="22" max="22" width="5.625" style="2" customWidth="1"/>
    <col min="23" max="23" width="6.125" style="2" customWidth="1"/>
    <col min="24" max="16384" width="9" style="2"/>
  </cols>
  <sheetData>
    <row r="2" spans="1:23" ht="45" customHeight="1" x14ac:dyDescent="0.15">
      <c r="A2" s="24" t="s">
        <v>51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4" spans="1:23" s="1" customFormat="1" ht="22.5" customHeight="1" x14ac:dyDescent="0.15">
      <c r="B4" s="3" t="s">
        <v>0</v>
      </c>
      <c r="C4" s="23" t="s">
        <v>50</v>
      </c>
      <c r="D4" s="3"/>
      <c r="E4" s="3"/>
      <c r="F4" s="3"/>
      <c r="G4" s="3"/>
      <c r="H4" s="3"/>
      <c r="I4" s="14" t="s">
        <v>1</v>
      </c>
      <c r="J4" s="14"/>
      <c r="K4" s="3"/>
      <c r="L4" s="3"/>
      <c r="M4" s="3"/>
      <c r="N4" s="15" t="s">
        <v>2</v>
      </c>
      <c r="O4" s="15"/>
      <c r="P4" s="3"/>
      <c r="Q4" s="3"/>
      <c r="R4" s="3"/>
      <c r="S4" s="3"/>
      <c r="T4" s="16"/>
      <c r="U4" s="17"/>
      <c r="V4" s="17"/>
      <c r="W4" s="17"/>
    </row>
    <row r="5" spans="1:23" s="1" customFormat="1" ht="29.25" customHeight="1" x14ac:dyDescent="0.15">
      <c r="A5" s="18" t="s">
        <v>3</v>
      </c>
      <c r="B5" s="18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4" t="s">
        <v>10</v>
      </c>
      <c r="I5" s="18" t="s">
        <v>11</v>
      </c>
      <c r="J5" s="18"/>
      <c r="K5" s="18"/>
      <c r="L5" s="18" t="s">
        <v>12</v>
      </c>
      <c r="M5" s="18"/>
      <c r="N5" s="18"/>
      <c r="O5" s="18"/>
      <c r="P5" s="18"/>
      <c r="Q5" s="18"/>
      <c r="R5" s="18" t="s">
        <v>13</v>
      </c>
      <c r="S5" s="18"/>
      <c r="T5" s="18" t="s">
        <v>14</v>
      </c>
      <c r="U5" s="18" t="s">
        <v>15</v>
      </c>
      <c r="V5" s="18" t="s">
        <v>16</v>
      </c>
      <c r="W5" s="18" t="s">
        <v>17</v>
      </c>
    </row>
    <row r="6" spans="1:23" s="1" customFormat="1" ht="29.25" customHeight="1" x14ac:dyDescent="0.15">
      <c r="A6" s="18"/>
      <c r="B6" s="18"/>
      <c r="C6" s="18"/>
      <c r="D6" s="18"/>
      <c r="E6" s="18"/>
      <c r="F6" s="18"/>
      <c r="G6" s="18"/>
      <c r="H6" s="4" t="s">
        <v>18</v>
      </c>
      <c r="I6" s="4" t="s">
        <v>19</v>
      </c>
      <c r="J6" s="4" t="s">
        <v>20</v>
      </c>
      <c r="K6" s="7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22</v>
      </c>
      <c r="S6" s="4" t="s">
        <v>23</v>
      </c>
      <c r="T6" s="18"/>
      <c r="U6" s="18"/>
      <c r="V6" s="18"/>
      <c r="W6" s="18"/>
    </row>
    <row r="7" spans="1:23" s="1" customFormat="1" ht="84" customHeight="1" x14ac:dyDescent="0.15">
      <c r="A7" s="5">
        <v>1</v>
      </c>
      <c r="B7" s="5" t="s">
        <v>28</v>
      </c>
      <c r="C7" s="5" t="s">
        <v>29</v>
      </c>
      <c r="D7" s="25" t="s">
        <v>52</v>
      </c>
      <c r="E7" s="5">
        <v>9231</v>
      </c>
      <c r="F7" s="6"/>
      <c r="G7" s="4" t="s">
        <v>30</v>
      </c>
      <c r="H7" s="5">
        <v>0.09</v>
      </c>
      <c r="I7" s="4" t="s">
        <v>31</v>
      </c>
      <c r="J7" s="19" t="s">
        <v>32</v>
      </c>
      <c r="K7" s="20"/>
      <c r="L7" s="8">
        <v>11680</v>
      </c>
      <c r="M7" s="9">
        <f>H7*L7/1000</f>
        <v>1.0512000000000001</v>
      </c>
      <c r="N7" s="5">
        <v>200</v>
      </c>
      <c r="O7" s="5">
        <f>INT(L7/N7)+1</f>
        <v>59</v>
      </c>
      <c r="P7" s="5">
        <v>20</v>
      </c>
      <c r="Q7" s="5">
        <v>3</v>
      </c>
      <c r="R7" s="5">
        <v>11700</v>
      </c>
      <c r="S7" s="10">
        <f>H7*R7/1000</f>
        <v>1.0529999999999999</v>
      </c>
      <c r="T7" s="11" t="s">
        <v>33</v>
      </c>
      <c r="U7" s="26" t="s">
        <v>57</v>
      </c>
      <c r="V7" s="5" t="s">
        <v>34</v>
      </c>
      <c r="W7" s="12" t="s">
        <v>35</v>
      </c>
    </row>
    <row r="8" spans="1:23" s="1" customFormat="1" ht="34.5" customHeight="1" x14ac:dyDescent="0.15">
      <c r="A8" s="18" t="s">
        <v>36</v>
      </c>
      <c r="B8" s="18"/>
      <c r="C8" s="4"/>
      <c r="D8" s="4"/>
      <c r="E8" s="4"/>
      <c r="F8" s="4"/>
      <c r="G8" s="4"/>
      <c r="H8" s="4"/>
      <c r="I8" s="4"/>
      <c r="J8" s="4"/>
      <c r="K8" s="4"/>
      <c r="L8" s="25" t="s">
        <v>53</v>
      </c>
      <c r="M8" s="25" t="s">
        <v>54</v>
      </c>
      <c r="N8" s="4"/>
      <c r="O8" s="25" t="s">
        <v>55</v>
      </c>
      <c r="P8" s="4"/>
      <c r="Q8" s="4" t="s">
        <v>37</v>
      </c>
      <c r="R8" s="25" t="s">
        <v>56</v>
      </c>
      <c r="S8" s="25" t="s">
        <v>54</v>
      </c>
      <c r="T8" s="4"/>
      <c r="U8" s="4" t="s">
        <v>38</v>
      </c>
      <c r="V8" s="4"/>
      <c r="W8" s="4"/>
    </row>
    <row r="9" spans="1:23" ht="17.25" customHeight="1" x14ac:dyDescent="0.15"/>
    <row r="10" spans="1:23" s="1" customFormat="1" ht="19.5" customHeight="1" x14ac:dyDescent="0.15">
      <c r="B10" s="1" t="s">
        <v>39</v>
      </c>
    </row>
    <row r="11" spans="1:23" s="1" customFormat="1" ht="19.5" customHeight="1" x14ac:dyDescent="0.15">
      <c r="A11" s="1" t="s">
        <v>40</v>
      </c>
      <c r="B11" s="21" t="s">
        <v>41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</row>
    <row r="12" spans="1:23" s="1" customFormat="1" ht="19.5" customHeight="1" x14ac:dyDescent="0.15">
      <c r="B12" s="21" t="s">
        <v>42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</row>
    <row r="13" spans="1:23" s="1" customFormat="1" ht="19.5" customHeight="1" x14ac:dyDescent="0.15">
      <c r="A13" s="1" t="s">
        <v>43</v>
      </c>
      <c r="B13" s="21" t="s">
        <v>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pans="1:23" s="1" customFormat="1" ht="19.5" customHeight="1" x14ac:dyDescent="0.15">
      <c r="A14" s="1" t="s">
        <v>45</v>
      </c>
      <c r="B14" s="21" t="s">
        <v>46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pans="1:23" s="1" customFormat="1" ht="19.5" customHeight="1" x14ac:dyDescent="0.15">
      <c r="A15" s="1" t="s">
        <v>47</v>
      </c>
      <c r="B15" s="21" t="s">
        <v>48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spans="1:23" ht="42" customHeight="1" x14ac:dyDescent="0.15">
      <c r="T16" s="22">
        <v>45729</v>
      </c>
      <c r="U16" s="22"/>
      <c r="V16" s="22"/>
      <c r="W16" s="22"/>
    </row>
    <row r="17" spans="3:14" ht="20.25" customHeight="1" x14ac:dyDescent="0.15">
      <c r="C17" s="21" t="s">
        <v>49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</sheetData>
  <mergeCells count="27">
    <mergeCell ref="B14:W14"/>
    <mergeCell ref="B15:W15"/>
    <mergeCell ref="T16:W16"/>
    <mergeCell ref="C17:N17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J7:K7"/>
    <mergeCell ref="A8:B8"/>
    <mergeCell ref="B11:W11"/>
    <mergeCell ref="B12:W12"/>
    <mergeCell ref="B13:W13"/>
    <mergeCell ref="A2:W2"/>
    <mergeCell ref="I4:J4"/>
    <mergeCell ref="N4:O4"/>
    <mergeCell ref="T4:W4"/>
    <mergeCell ref="I5:K5"/>
    <mergeCell ref="L5:Q5"/>
    <mergeCell ref="R5:S5"/>
  </mergeCells>
  <phoneticPr fontId="7" type="noConversion"/>
  <pageMargins left="0.7" right="0.7" top="0.75" bottom="0.75" header="0.3" footer="0.3"/>
  <pageSetup paperSize="9" scale="93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2025-03-13T07:03:04Z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DC8418C224AF4ADAB3D16263B4671E0A_13</vt:lpwstr>
  </property>
  <property fmtid="{D5CDD505-2E9C-101B-9397-08002B2CF9AE}" pid="3" name="KSOProductBuildVer">
    <vt:lpwstr>2052-12.1.0.17142</vt:lpwstr>
  </property>
</Properties>
</file>