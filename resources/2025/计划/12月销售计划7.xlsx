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C6517544-80C0-4661-A15E-6617D73B01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M7" i="1" s="1"/>
  <c r="R6" i="1"/>
  <c r="R7" i="1" s="1"/>
  <c r="S7" i="1" s="1"/>
  <c r="O6" i="1"/>
  <c r="Q6" i="1" s="1"/>
  <c r="Q8" i="1" s="1"/>
  <c r="M6" i="1"/>
  <c r="K6" i="1" s="1"/>
  <c r="K8" i="1" s="1"/>
  <c r="M8" i="1" l="1"/>
  <c r="O8" i="1"/>
  <c r="S6" i="1"/>
  <c r="S8" i="1" s="1"/>
  <c r="R8" i="1"/>
</calcChain>
</file>

<file path=xl/sharedStrings.xml><?xml version="1.0" encoding="utf-8"?>
<sst xmlns="http://schemas.openxmlformats.org/spreadsheetml/2006/main" count="72" uniqueCount="64">
  <si>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</si>
  <si>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</si>
  <si>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</si>
  <si>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</si>
  <si>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</si>
  <si>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</si>
  <si>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</si>
  <si>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</si>
  <si>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</si>
  <si>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</si>
  <si>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 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</si>
  <si>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</si>
  <si>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</si>
  <si>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</si>
  <si>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</si>
  <si>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</si>
  <si>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</si>
  <si>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</si>
  <si>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</si>
  <si>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</si>
  <si>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</si>
  <si>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</si>
  <si>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</si>
  <si>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</si>
  <si>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</si>
  <si>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</si>
  <si>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</si>
  <si>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</si>
  <si>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</si>
  <si>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螺旋
道钉</t>
  </si>
  <si>
    <t>Ss36-230</t>
  </si>
  <si>
    <t>客户图纸及交货说明</t>
  </si>
  <si>
    <t>1.3861.h</t>
  </si>
  <si>
    <t>TD16</t>
  </si>
  <si>
    <t>Φ25</t>
  </si>
  <si>
    <t>热镀锌</t>
  </si>
  <si>
    <t>麻袋+托盘</t>
  </si>
  <si>
    <t>平垫圈</t>
  </si>
  <si>
    <t>Uls7</t>
  </si>
  <si>
    <t>Q235</t>
  </si>
  <si>
    <t>与以上道钉锚固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</si>
  <si>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</si>
  <si>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</si>
  <si>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</si>
  <si>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</si>
  <si>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</si>
  <si>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</si>
  <si>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</si>
  <si>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</si>
  <si>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</si>
  <si>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</si>
  <si>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</si>
  <si>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</si>
  <si>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包装为麻袋栈板。</t>
  </si>
  <si>
    <t>分发：总经理、总经办、品管部、生产部、技术部</t>
  </si>
  <si>
    <t>高蕾</t>
    <phoneticPr fontId="8" type="noConversion"/>
  </si>
  <si>
    <t>Ss36  230
SDL  25  5.6
CRCC  生产周</t>
    <phoneticPr fontId="8" type="noConversion"/>
  </si>
  <si>
    <t>Uls7
SDL 25</t>
    <phoneticPr fontId="8" type="noConversion"/>
  </si>
  <si>
    <t>1.1138.j</t>
    <phoneticPr fontId="8" type="noConversion"/>
  </si>
  <si>
    <t>2026-1-25</t>
    <phoneticPr fontId="8" type="noConversion"/>
  </si>
  <si>
    <t>12  月  份  销  售  计  划  7</t>
    <phoneticPr fontId="8" type="noConversion"/>
  </si>
  <si>
    <t>4500109209</t>
    <phoneticPr fontId="8" type="noConversion"/>
  </si>
  <si>
    <t>251218-1</t>
    <phoneticPr fontId="8" type="noConversion"/>
  </si>
  <si>
    <t>251218-2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</si>
</sst>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_ "/>
    <numFmt numFmtId="178" formatCode="0.00_ "/>
    <numFmt numFmtId="179" formatCode="[$-F800]dddd\,\ mmmm\ dd\,\ yyyy"/>
    <numFmt numFmtId="180" formatCode="0;_샿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9" fontId="7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"/>
  <sheetViews>
    <sheetView tabSelected="1" topLeftCell="A10" workbookViewId="0">
      <selection activeCell="T15" sqref="T15:W15"/>
    </sheetView>
  </sheetViews>
  <sheetFormatPr defaultColWidth="9" defaultRowHeight="13.5" x14ac:dyDescent="0.15"/>
  <cols>
    <col min="1" max="1" width="2.625" style="4" customWidth="1"/>
    <col min="2" max="2" width="6.5" style="4" customWidth="1"/>
    <col min="3" max="3" width="8.75" style="4" customWidth="1"/>
    <col min="4" max="4" width="7.75" style="4" customWidth="1"/>
    <col min="5" max="5" width="5.875" style="4" customWidth="1"/>
    <col min="6" max="6" width="6.5" style="4" customWidth="1"/>
    <col min="7" max="7" width="5.875" style="4" customWidth="1"/>
    <col min="8" max="8" width="6.5" style="4" customWidth="1"/>
    <col min="9" max="9" width="6" style="4" customWidth="1"/>
    <col min="10" max="10" width="5.25" style="4" customWidth="1"/>
    <col min="11" max="11" width="6.125" style="4" customWidth="1"/>
    <col min="12" max="12" width="7.625" style="4" customWidth="1"/>
    <col min="13" max="13" width="6.375" style="4" customWidth="1"/>
    <col min="14" max="14" width="4.75" style="4" customWidth="1"/>
    <col min="15" max="15" width="5.625" style="4" customWidth="1"/>
    <col min="16" max="17" width="4.625" style="4" customWidth="1"/>
    <col min="18" max="18" width="8.125" style="4" customWidth="1"/>
    <col min="19" max="19" width="7.25" style="4" customWidth="1"/>
    <col min="20" max="20" width="6.625" style="4" customWidth="1"/>
    <col min="21" max="21" width="12.25" style="4" customWidth="1"/>
    <col min="22" max="23" width="5.75" style="4" customWidth="1"/>
    <col min="24" max="16384" width="9" style="4"/>
  </cols>
  <sheetData>
    <row r="1" spans="1:23" ht="38.25" customHeight="1" x14ac:dyDescent="0.15">
      <c r="A1" s="37" t="s">
        <v>60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3" spans="1:23" s="1" customFormat="1" ht="21" customHeight="1" x14ac:dyDescent="0.15">
      <c r="B3" s="1" t="s">
        <v>0</v>
      </c>
      <c r="C3" s="14" t="s">
        <v>55</v>
      </c>
      <c r="H3" s="38" t="s">
        <v>1</v>
      </c>
      <c r="I3" s="38"/>
      <c r="O3" s="38" t="s">
        <v>2</v>
      </c>
      <c r="P3" s="38"/>
      <c r="U3" s="39" t="s">
        <v>3</v>
      </c>
      <c r="V3" s="40"/>
      <c r="W3" s="40"/>
    </row>
    <row r="4" spans="1:23" s="1" customFormat="1" ht="20.25" customHeight="1" x14ac:dyDescent="0.15">
      <c r="A4" s="23" t="s">
        <v>4</v>
      </c>
      <c r="B4" s="23" t="s">
        <v>5</v>
      </c>
      <c r="C4" s="23" t="s">
        <v>6</v>
      </c>
      <c r="D4" s="23" t="s">
        <v>7</v>
      </c>
      <c r="E4" s="23" t="s">
        <v>8</v>
      </c>
      <c r="F4" s="23" t="s">
        <v>9</v>
      </c>
      <c r="G4" s="25" t="s">
        <v>10</v>
      </c>
      <c r="H4" s="5" t="s">
        <v>11</v>
      </c>
      <c r="I4" s="23" t="s">
        <v>12</v>
      </c>
      <c r="J4" s="23"/>
      <c r="K4" s="23"/>
      <c r="L4" s="23" t="s">
        <v>13</v>
      </c>
      <c r="M4" s="23"/>
      <c r="N4" s="23"/>
      <c r="O4" s="23"/>
      <c r="P4" s="23"/>
      <c r="Q4" s="23"/>
      <c r="R4" s="23" t="s">
        <v>14</v>
      </c>
      <c r="S4" s="23"/>
      <c r="T4" s="23" t="s">
        <v>15</v>
      </c>
      <c r="U4" s="23" t="s">
        <v>16</v>
      </c>
      <c r="V4" s="23" t="s">
        <v>17</v>
      </c>
      <c r="W4" s="23" t="s">
        <v>18</v>
      </c>
    </row>
    <row r="5" spans="1:23" s="1" customFormat="1" ht="31.5" customHeight="1" x14ac:dyDescent="0.15">
      <c r="A5" s="23"/>
      <c r="B5" s="23"/>
      <c r="C5" s="23"/>
      <c r="D5" s="23"/>
      <c r="E5" s="23"/>
      <c r="F5" s="23"/>
      <c r="G5" s="26"/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23</v>
      </c>
      <c r="S5" s="5" t="s">
        <v>24</v>
      </c>
      <c r="T5" s="23"/>
      <c r="U5" s="23"/>
      <c r="V5" s="23"/>
      <c r="W5" s="23"/>
    </row>
    <row r="6" spans="1:23" s="1" customFormat="1" ht="61.5" customHeight="1" x14ac:dyDescent="0.15">
      <c r="A6" s="6">
        <v>1</v>
      </c>
      <c r="B6" s="5" t="s">
        <v>29</v>
      </c>
      <c r="C6" s="5" t="s">
        <v>30</v>
      </c>
      <c r="D6" s="43" t="s">
        <v>62</v>
      </c>
      <c r="E6" s="42" t="s">
        <v>61</v>
      </c>
      <c r="F6" s="25" t="s">
        <v>31</v>
      </c>
      <c r="G6" s="5" t="s">
        <v>32</v>
      </c>
      <c r="H6" s="7">
        <v>0.73499999999999999</v>
      </c>
      <c r="I6" s="5" t="s">
        <v>33</v>
      </c>
      <c r="J6" s="5" t="s">
        <v>34</v>
      </c>
      <c r="K6" s="15">
        <f>M6/0.94</f>
        <v>156.38297872340428</v>
      </c>
      <c r="L6" s="5">
        <v>200000</v>
      </c>
      <c r="M6" s="18">
        <f>H6*L6/1000</f>
        <v>147</v>
      </c>
      <c r="N6" s="5">
        <v>36</v>
      </c>
      <c r="O6" s="5">
        <f>INT(L6/N6+1)</f>
        <v>5556</v>
      </c>
      <c r="P6" s="5">
        <v>32</v>
      </c>
      <c r="Q6" s="5">
        <f>INT(O6/P6+1)</f>
        <v>174</v>
      </c>
      <c r="R6" s="5">
        <f>INT(L6/1000+1)*1000</f>
        <v>201000</v>
      </c>
      <c r="S6" s="17">
        <f t="shared" ref="S6:S7" si="0">H6*R6/1000</f>
        <v>147.73500000000001</v>
      </c>
      <c r="T6" s="41" t="s">
        <v>59</v>
      </c>
      <c r="U6" s="16" t="s">
        <v>56</v>
      </c>
      <c r="V6" s="25" t="s">
        <v>35</v>
      </c>
      <c r="W6" s="25" t="s">
        <v>36</v>
      </c>
    </row>
    <row r="7" spans="1:23" s="1" customFormat="1" ht="37.5" customHeight="1" x14ac:dyDescent="0.15">
      <c r="A7" s="6">
        <v>2</v>
      </c>
      <c r="B7" s="5" t="s">
        <v>37</v>
      </c>
      <c r="C7" s="5" t="s">
        <v>38</v>
      </c>
      <c r="D7" s="43" t="s">
        <v>63</v>
      </c>
      <c r="E7" s="24"/>
      <c r="F7" s="26"/>
      <c r="G7" s="19" t="s">
        <v>58</v>
      </c>
      <c r="H7" s="5">
        <v>3.5999999999999997E-2</v>
      </c>
      <c r="I7" s="5" t="s">
        <v>39</v>
      </c>
      <c r="J7" s="28"/>
      <c r="K7" s="29"/>
      <c r="L7" s="5">
        <f>L6</f>
        <v>200000</v>
      </c>
      <c r="M7" s="18">
        <f>H7*L7/1000</f>
        <v>7.1999999999999993</v>
      </c>
      <c r="N7" s="28" t="s">
        <v>40</v>
      </c>
      <c r="O7" s="30"/>
      <c r="P7" s="30"/>
      <c r="Q7" s="29"/>
      <c r="R7" s="5">
        <f>R6</f>
        <v>201000</v>
      </c>
      <c r="S7" s="17">
        <f t="shared" si="0"/>
        <v>7.2359999999999989</v>
      </c>
      <c r="T7" s="27"/>
      <c r="U7" s="16" t="s">
        <v>57</v>
      </c>
      <c r="V7" s="26"/>
      <c r="W7" s="26"/>
    </row>
    <row r="8" spans="1:23" s="2" customFormat="1" ht="21" customHeight="1" x14ac:dyDescent="0.15">
      <c r="A8" s="33" t="s">
        <v>41</v>
      </c>
      <c r="B8" s="34"/>
      <c r="C8" s="8"/>
      <c r="D8" s="8"/>
      <c r="E8" s="8"/>
      <c r="F8" s="9"/>
      <c r="G8" s="9"/>
      <c r="H8" s="8"/>
      <c r="I8" s="8"/>
      <c r="J8" s="8"/>
      <c r="K8" s="11">
        <f>SUM(K6:K7)</f>
        <v>156.38297872340428</v>
      </c>
      <c r="L8" s="11">
        <f>L6</f>
        <v>200000</v>
      </c>
      <c r="M8" s="11">
        <f>SUM(M6:M7)</f>
        <v>154.19999999999999</v>
      </c>
      <c r="N8" s="12"/>
      <c r="O8" s="11">
        <f>O6</f>
        <v>5556</v>
      </c>
      <c r="P8" s="12"/>
      <c r="Q8" s="11">
        <f>Q6</f>
        <v>174</v>
      </c>
      <c r="R8" s="11">
        <f>R6</f>
        <v>201000</v>
      </c>
      <c r="S8" s="11">
        <f>SUM(S6:S7)</f>
        <v>154.971</v>
      </c>
      <c r="T8" s="13"/>
      <c r="U8" s="31" t="s">
        <v>42</v>
      </c>
      <c r="V8" s="13"/>
      <c r="W8" s="13"/>
    </row>
    <row r="9" spans="1:23" s="3" customFormat="1" ht="21" customHeight="1" x14ac:dyDescent="0.15">
      <c r="A9" s="35"/>
      <c r="B9" s="36"/>
      <c r="C9" s="10"/>
      <c r="D9" s="10"/>
      <c r="E9" s="10"/>
      <c r="F9" s="10"/>
      <c r="G9" s="10"/>
      <c r="H9" s="10"/>
      <c r="I9" s="10"/>
      <c r="J9" s="10"/>
      <c r="K9" s="10" t="s">
        <v>24</v>
      </c>
      <c r="L9" s="10" t="s">
        <v>43</v>
      </c>
      <c r="M9" s="10" t="s">
        <v>24</v>
      </c>
      <c r="N9" s="10"/>
      <c r="O9" s="10" t="s">
        <v>26</v>
      </c>
      <c r="P9" s="10"/>
      <c r="Q9" s="10" t="s">
        <v>28</v>
      </c>
      <c r="R9" s="10" t="s">
        <v>43</v>
      </c>
      <c r="S9" s="10" t="s">
        <v>24</v>
      </c>
      <c r="T9" s="10"/>
      <c r="U9" s="32"/>
      <c r="V9" s="10"/>
      <c r="W9" s="10"/>
    </row>
    <row r="10" spans="1:23" s="1" customFormat="1" ht="19.5" customHeight="1" x14ac:dyDescent="0.15">
      <c r="B10" s="1" t="s">
        <v>44</v>
      </c>
    </row>
    <row r="11" spans="1:23" s="1" customFormat="1" ht="19.5" customHeight="1" x14ac:dyDescent="0.15">
      <c r="A11" s="1" t="s">
        <v>45</v>
      </c>
      <c r="B11" s="20" t="s">
        <v>46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s="1" customFormat="1" ht="19.5" customHeight="1" x14ac:dyDescent="0.15">
      <c r="B12" s="20" t="s">
        <v>47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s="1" customFormat="1" ht="19.5" customHeight="1" x14ac:dyDescent="0.15">
      <c r="A13" s="1" t="s">
        <v>48</v>
      </c>
      <c r="B13" s="20" t="s">
        <v>49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A14" s="1" t="s">
        <v>50</v>
      </c>
      <c r="B14" s="20" t="s">
        <v>51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3.25" customHeight="1" x14ac:dyDescent="0.15">
      <c r="A15" s="1" t="s">
        <v>52</v>
      </c>
      <c r="B15" s="21" t="s">
        <v>53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2">
        <v>46009</v>
      </c>
      <c r="U15" s="22"/>
      <c r="V15" s="22"/>
      <c r="W15" s="22"/>
    </row>
    <row r="16" spans="1:23" ht="20.25" customHeight="1" x14ac:dyDescent="0.15">
      <c r="C16" s="21" t="s">
        <v>54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mergeCells count="34">
    <mergeCell ref="A1:W1"/>
    <mergeCell ref="H3:I3"/>
    <mergeCell ref="O3:P3"/>
    <mergeCell ref="U3:W3"/>
    <mergeCell ref="I4:K4"/>
    <mergeCell ref="L4:Q4"/>
    <mergeCell ref="R4:S4"/>
    <mergeCell ref="V4:V5"/>
    <mergeCell ref="W4:W5"/>
    <mergeCell ref="J7:K7"/>
    <mergeCell ref="N7:Q7"/>
    <mergeCell ref="B11:W11"/>
    <mergeCell ref="B12:W12"/>
    <mergeCell ref="B13:W13"/>
    <mergeCell ref="U8:U9"/>
    <mergeCell ref="V6:V7"/>
    <mergeCell ref="W6:W7"/>
    <mergeCell ref="A8:B9"/>
    <mergeCell ref="B14:W14"/>
    <mergeCell ref="B15:S15"/>
    <mergeCell ref="T15:W15"/>
    <mergeCell ref="C16:N16"/>
    <mergeCell ref="A4:A5"/>
    <mergeCell ref="B4:B5"/>
    <mergeCell ref="C4:C5"/>
    <mergeCell ref="D4:D5"/>
    <mergeCell ref="E4:E5"/>
    <mergeCell ref="E6:E7"/>
    <mergeCell ref="F4:F5"/>
    <mergeCell ref="F6:F7"/>
    <mergeCell ref="G4:G5"/>
    <mergeCell ref="T4:T5"/>
    <mergeCell ref="T6:T7"/>
    <mergeCell ref="U4:U5"/>
  </mergeCells>
  <phoneticPr fontId="8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2025-04-07T07:12:30Z</cp:lastPrinted>
  <dcterms:created xsi:type="dcterms:W3CDTF">2006-09-13T11:21:00Z</dcterms:created>
  <dcterms:modified xsi:type="dcterms:W3CDTF">2025-12-18T05:44:14Z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2DD979414055408590FA4978FAC76147_12</vt:lpwstr>
  </property>
  <property fmtid="{D5CDD505-2E9C-101B-9397-08002B2CF9AE}" pid="3" name="KSOProductBuildVer">
    <vt:lpwstr>2052-12.1.0.16929</vt:lpwstr>
  </property>
</Properties>
</file>