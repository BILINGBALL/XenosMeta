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文件汇总\2025\计划\"/>
    </mc:Choice>
  </mc:AlternateContent>
  <xr:revisionPtr revIDLastSave="0" documentId="13_ncr:1_{88AD75AD-22A9-4DA0-8DAC-349CF0B373DB}" xr6:coauthVersionLast="47" xr6:coauthVersionMax="47" xr10:uidLastSave="{00000000-0000-0000-0000-000000000000}"/>
  <bookViews>
    <workbookView minimized="1" xWindow="5355" yWindow="3660" windowWidth="15120" windowHeight="760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" l="1"/>
  <c r="Q9" i="1"/>
  <c r="O9" i="1"/>
  <c r="L9" i="1"/>
  <c r="S8" i="1"/>
  <c r="S9" i="1" s="1"/>
  <c r="M8" i="1"/>
  <c r="M9" i="1" s="1"/>
  <c r="S7" i="1"/>
  <c r="M7" i="1"/>
  <c r="K7" i="1" s="1"/>
  <c r="K8" i="1" l="1"/>
  <c r="K9" i="1" s="1"/>
</calcChain>
</file>

<file path=xl/sharedStrings.xml><?xml version="1.0" encoding="utf-8"?>
<sst xmlns="http://schemas.openxmlformats.org/spreadsheetml/2006/main" count="66" uniqueCount="62">
  <si>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</si>
  <si>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</si>
  <si>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</si>
  <si>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</si>
  <si>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</si>
  <si>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</si>
  <si>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</si>
  <si>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</si>
  <si>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</si>
  <si>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</si>
  <si>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</si>
  <si>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</si>
  <si>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</si>
  <si>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</si>
  <si>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</si>
  <si>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</si>
  <si>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</si>
  <si>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</si>
  <si>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</si>
  <si>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</si>
  <si>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</si>
  <si>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</si>
  <si>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</si>
  <si>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</si>
  <si>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</si>
  <si>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</si>
  <si>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</si>
  <si>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</si>
  <si>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</si>
  <si>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</si>
  <si>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</si>
  <si>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</si>
  <si>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</si>
  <si>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</si>
  <si>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</si>
  <si>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</si>
  <si>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</si>
  <si>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</si>
  <si>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</si>
  <si>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</si>
  <si>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</si>
  <si>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</si>
  <si>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</si>
  <si>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10" type="noConversion"/>
  </si>
  <si>
    <t>251118-2</t>
    <phoneticPr fontId="10" type="noConversion"/>
  </si>
  <si>
    <t>23*135</t>
    <phoneticPr fontId="10" type="noConversion"/>
  </si>
  <si>
    <t>CA2506193</t>
    <phoneticPr fontId="10" type="noConversion"/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</si>
  <si>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10" type="noConversion"/>
  </si>
  <si>
    <t>E225/23FV</t>
    <phoneticPr fontId="10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</si>
  <si>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N9</t>
    </r>
    <phoneticPr fontId="10" type="noConversion"/>
  </si>
  <si>
    <t>锚固
螺栓</t>
    <phoneticPr fontId="15" type="noConversion"/>
  </si>
  <si>
    <t>23X131.5</t>
    <phoneticPr fontId="15" type="noConversion"/>
  </si>
  <si>
    <t>NF F 50-014
5.6级</t>
    <phoneticPr fontId="15" type="noConversion"/>
  </si>
  <si>
    <t xml:space="preserve"> E225/045
E225/235</t>
    <phoneticPr fontId="15" type="noConversion"/>
  </si>
  <si>
    <r>
      <rPr>
        <sz val="10"/>
        <color indexed="8"/>
        <rFont val="Calibri"/>
        <family val="2"/>
      </rPr>
      <t>Φ</t>
    </r>
    <r>
      <rPr>
        <sz val="10"/>
        <color indexed="8"/>
        <rFont val="宋体"/>
        <family val="3"/>
        <charset val="134"/>
      </rPr>
      <t>24</t>
    </r>
    <phoneticPr fontId="15" type="noConversion"/>
  </si>
  <si>
    <t>电镀锌≥12μm</t>
  </si>
  <si>
    <t>编织袋+欧式托盘</t>
  </si>
  <si>
    <t>11 月  份  销  售  计  划  4增</t>
    <phoneticPr fontId="10" type="noConversion"/>
  </si>
  <si>
    <t>251201-1</t>
    <phoneticPr fontId="15" type="noConversion"/>
  </si>
  <si>
    <t>NF F 50-006</t>
    <phoneticPr fontId="15" type="noConversion"/>
  </si>
  <si>
    <t>2025-1-4</t>
    <phoneticPr fontId="10" type="noConversion"/>
  </si>
  <si>
    <t>PANDROL
SDL
T45-B5
26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</si>
</sst>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Calibri"/>
      <family val="2"/>
    </font>
    <font>
      <sz val="9"/>
      <color indexed="8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6" fontId="17" fillId="0" borderId="2" xfId="0" applyNumberFormat="1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1" fontId="0" fillId="0" borderId="0" xfId="0" applyNumberForma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G8" sqref="G8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3" t="s">
        <v>57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1" customFormat="1" ht="27.75" customHeight="1" x14ac:dyDescent="0.15">
      <c r="A4" s="24" t="s">
        <v>0</v>
      </c>
      <c r="B4" s="24"/>
      <c r="C4" s="1" t="s">
        <v>1</v>
      </c>
      <c r="H4" s="24" t="s">
        <v>2</v>
      </c>
      <c r="I4" s="24"/>
      <c r="O4" s="24" t="s">
        <v>3</v>
      </c>
      <c r="P4" s="24"/>
      <c r="U4" s="25"/>
      <c r="V4" s="26"/>
      <c r="W4" s="26"/>
    </row>
    <row r="5" spans="1:23" s="1" customFormat="1" ht="27" customHeight="1" x14ac:dyDescent="0.15">
      <c r="A5" s="29" t="s">
        <v>4</v>
      </c>
      <c r="B5" s="29" t="s">
        <v>5</v>
      </c>
      <c r="C5" s="29" t="s">
        <v>6</v>
      </c>
      <c r="D5" s="29" t="s">
        <v>7</v>
      </c>
      <c r="E5" s="29" t="s">
        <v>8</v>
      </c>
      <c r="F5" s="29" t="s">
        <v>9</v>
      </c>
      <c r="G5" s="29" t="s">
        <v>10</v>
      </c>
      <c r="H5" s="3" t="s">
        <v>11</v>
      </c>
      <c r="I5" s="27" t="s">
        <v>12</v>
      </c>
      <c r="J5" s="28"/>
      <c r="K5" s="28"/>
      <c r="L5" s="29" t="s">
        <v>13</v>
      </c>
      <c r="M5" s="29"/>
      <c r="N5" s="29"/>
      <c r="O5" s="29"/>
      <c r="P5" s="29"/>
      <c r="Q5" s="29"/>
      <c r="R5" s="29" t="s">
        <v>14</v>
      </c>
      <c r="S5" s="29"/>
      <c r="T5" s="29" t="s">
        <v>15</v>
      </c>
      <c r="U5" s="29" t="s">
        <v>16</v>
      </c>
      <c r="V5" s="29" t="s">
        <v>17</v>
      </c>
      <c r="W5" s="29" t="s">
        <v>18</v>
      </c>
    </row>
    <row r="6" spans="1:23" s="1" customFormat="1" ht="27.75" customHeight="1" x14ac:dyDescent="0.15">
      <c r="A6" s="29"/>
      <c r="B6" s="29"/>
      <c r="C6" s="29"/>
      <c r="D6" s="29"/>
      <c r="E6" s="29"/>
      <c r="F6" s="29"/>
      <c r="G6" s="29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9"/>
      <c r="U6" s="29"/>
      <c r="V6" s="29"/>
      <c r="W6" s="29"/>
    </row>
    <row r="7" spans="1:23" s="1" customFormat="1" ht="66" customHeight="1" x14ac:dyDescent="0.15">
      <c r="A7" s="4">
        <v>1</v>
      </c>
      <c r="B7" s="3" t="s">
        <v>29</v>
      </c>
      <c r="C7" s="3" t="s">
        <v>45</v>
      </c>
      <c r="D7" s="3" t="s">
        <v>44</v>
      </c>
      <c r="E7" s="33" t="s">
        <v>46</v>
      </c>
      <c r="F7" s="15" t="s">
        <v>59</v>
      </c>
      <c r="G7" s="3" t="s">
        <v>48</v>
      </c>
      <c r="H7" s="3">
        <v>0.55000000000000004</v>
      </c>
      <c r="I7" s="6" t="s">
        <v>30</v>
      </c>
      <c r="J7" s="13" t="s">
        <v>43</v>
      </c>
      <c r="K7" s="7">
        <f>M7/0.92</f>
        <v>14.347826086956522</v>
      </c>
      <c r="L7" s="3">
        <v>24000</v>
      </c>
      <c r="M7" s="8">
        <f>L7*H7/1000</f>
        <v>13.200000000000001</v>
      </c>
      <c r="N7" s="3">
        <v>40</v>
      </c>
      <c r="O7" s="3">
        <v>600</v>
      </c>
      <c r="P7" s="3">
        <v>30</v>
      </c>
      <c r="Q7" s="3">
        <v>20</v>
      </c>
      <c r="R7" s="3">
        <v>24100</v>
      </c>
      <c r="S7" s="8">
        <f>R7*H7/1000</f>
        <v>13.255000000000003</v>
      </c>
      <c r="T7" s="21" t="s">
        <v>60</v>
      </c>
      <c r="U7" s="5" t="s">
        <v>49</v>
      </c>
      <c r="V7" s="14" t="s">
        <v>47</v>
      </c>
      <c r="W7" s="5" t="s">
        <v>31</v>
      </c>
    </row>
    <row r="8" spans="1:23" s="20" customFormat="1" ht="66" customHeight="1" x14ac:dyDescent="0.15">
      <c r="A8" s="15">
        <v>2</v>
      </c>
      <c r="B8" s="15" t="s">
        <v>50</v>
      </c>
      <c r="C8" s="15" t="s">
        <v>51</v>
      </c>
      <c r="D8" s="15" t="s">
        <v>58</v>
      </c>
      <c r="E8" s="34"/>
      <c r="F8" s="15" t="s">
        <v>52</v>
      </c>
      <c r="G8" s="15" t="s">
        <v>53</v>
      </c>
      <c r="H8" s="15">
        <v>0.54200000000000004</v>
      </c>
      <c r="I8" s="15" t="s">
        <v>30</v>
      </c>
      <c r="J8" s="15" t="s">
        <v>54</v>
      </c>
      <c r="K8" s="16">
        <f>M8/0.92</f>
        <v>5.8913043478260869</v>
      </c>
      <c r="L8" s="15">
        <v>10000</v>
      </c>
      <c r="M8" s="17">
        <f>L8*H8/1000</f>
        <v>5.42</v>
      </c>
      <c r="N8" s="15">
        <v>40</v>
      </c>
      <c r="O8" s="15">
        <v>250</v>
      </c>
      <c r="P8" s="15">
        <v>30</v>
      </c>
      <c r="Q8" s="15">
        <v>9</v>
      </c>
      <c r="R8" s="15">
        <v>10100</v>
      </c>
      <c r="S8" s="17">
        <f>R8*H8/1000</f>
        <v>5.4742000000000006</v>
      </c>
      <c r="T8" s="21" t="s">
        <v>60</v>
      </c>
      <c r="U8" s="22" t="s">
        <v>61</v>
      </c>
      <c r="V8" s="18" t="s">
        <v>55</v>
      </c>
      <c r="W8" s="19" t="s">
        <v>56</v>
      </c>
    </row>
    <row r="9" spans="1:23" s="1" customFormat="1" ht="42" customHeight="1" x14ac:dyDescent="0.15">
      <c r="A9" s="27" t="s">
        <v>32</v>
      </c>
      <c r="B9" s="28"/>
      <c r="C9" s="28"/>
      <c r="D9" s="28"/>
      <c r="E9" s="28"/>
      <c r="F9" s="28"/>
      <c r="G9" s="30"/>
      <c r="H9" s="3"/>
      <c r="I9" s="3"/>
      <c r="J9" s="3"/>
      <c r="K9" s="8">
        <f>SUM(K7:K8)</f>
        <v>20.239130434782609</v>
      </c>
      <c r="L9" s="9">
        <f t="shared" ref="L9:M9" si="0">SUM(L7:L8)</f>
        <v>34000</v>
      </c>
      <c r="M9" s="8">
        <f t="shared" si="0"/>
        <v>18.62</v>
      </c>
      <c r="N9" s="3"/>
      <c r="O9" s="9">
        <f>SUM(O7:O8)</f>
        <v>850</v>
      </c>
      <c r="P9" s="3"/>
      <c r="Q9" s="9">
        <f t="shared" ref="Q9:S9" si="1">SUM(Q7:Q8)</f>
        <v>29</v>
      </c>
      <c r="R9" s="9">
        <f t="shared" si="1"/>
        <v>34200</v>
      </c>
      <c r="S9" s="8">
        <f t="shared" si="1"/>
        <v>18.729200000000002</v>
      </c>
      <c r="T9" s="11"/>
      <c r="U9" s="3" t="s">
        <v>33</v>
      </c>
      <c r="V9" s="3"/>
      <c r="W9" s="5"/>
    </row>
    <row r="10" spans="1:23" ht="29.25" customHeight="1" x14ac:dyDescent="0.15">
      <c r="R10" s="12" t="s">
        <v>34</v>
      </c>
      <c r="U10" s="32"/>
      <c r="V10" s="32"/>
    </row>
    <row r="11" spans="1:23" s="1" customFormat="1" ht="19.5" customHeight="1" x14ac:dyDescent="0.15">
      <c r="B11" s="1" t="s">
        <v>35</v>
      </c>
      <c r="O11" s="10"/>
      <c r="S11"/>
      <c r="U11" s="32"/>
      <c r="V11" s="32"/>
    </row>
    <row r="12" spans="1:23" s="1" customFormat="1" ht="19.5" customHeight="1" x14ac:dyDescent="0.15">
      <c r="A12" s="1" t="s">
        <v>36</v>
      </c>
      <c r="B12" s="31" t="s">
        <v>37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</row>
    <row r="13" spans="1:23" s="1" customFormat="1" ht="19.5" customHeight="1" x14ac:dyDescent="0.15">
      <c r="A13" s="1" t="s">
        <v>38</v>
      </c>
      <c r="B13" s="31" t="s">
        <v>39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</row>
    <row r="14" spans="1:23" s="1" customFormat="1" ht="19.5" customHeight="1" x14ac:dyDescent="0.15">
      <c r="A14" s="1" t="s">
        <v>40</v>
      </c>
      <c r="B14" s="31" t="s">
        <v>41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</row>
    <row r="15" spans="1:23" ht="42" customHeight="1" x14ac:dyDescent="0.15">
      <c r="O15" s="36"/>
      <c r="P15" s="36"/>
      <c r="Q15" s="36"/>
      <c r="R15" s="36"/>
      <c r="S15" s="36"/>
      <c r="T15" s="36"/>
      <c r="U15" s="36"/>
      <c r="V15" s="36"/>
      <c r="W15" s="36"/>
    </row>
    <row r="16" spans="1:23" ht="20.25" customHeight="1" x14ac:dyDescent="0.15">
      <c r="C16" s="31" t="s">
        <v>42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6"/>
      <c r="P16" s="36"/>
      <c r="Q16" s="36"/>
      <c r="R16" s="36"/>
      <c r="S16" s="36"/>
      <c r="T16" s="36"/>
      <c r="U16" s="36"/>
      <c r="V16" s="36"/>
      <c r="W16" s="36"/>
    </row>
    <row r="17" spans="17:20" x14ac:dyDescent="0.15">
      <c r="Q17" s="35">
        <v>45992</v>
      </c>
      <c r="R17" s="35"/>
      <c r="S17" s="35"/>
      <c r="T17" s="35"/>
    </row>
  </sheetData>
  <mergeCells count="28">
    <mergeCell ref="B13:W13"/>
    <mergeCell ref="B14:W14"/>
    <mergeCell ref="C16:N16"/>
    <mergeCell ref="Q17:T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5:W16"/>
    <mergeCell ref="I5:K5"/>
    <mergeCell ref="L5:Q5"/>
    <mergeCell ref="R5:S5"/>
    <mergeCell ref="A9:G9"/>
    <mergeCell ref="B12:W12"/>
    <mergeCell ref="U10:V11"/>
    <mergeCell ref="E7:E8"/>
    <mergeCell ref="A2:W2"/>
    <mergeCell ref="A4:B4"/>
    <mergeCell ref="H4:I4"/>
    <mergeCell ref="O4:P4"/>
    <mergeCell ref="U4:W4"/>
  </mergeCells>
  <phoneticPr fontId="10" type="noConversion"/>
  <pageMargins left="0.7" right="0.7" top="0.75" bottom="0.75" header="0.3" footer="0.3"/>
  <pageSetup paperSize="9" scale="95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2025-12-01T06:08:14Z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