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B36A6B71-4D3D-410D-80C3-BD504B18BB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R10" i="1"/>
  <c r="L10" i="1"/>
  <c r="M10" i="1" s="1"/>
  <c r="R9" i="1"/>
  <c r="S9" i="1" s="1"/>
  <c r="L9" i="1"/>
  <c r="M9" i="1" s="1"/>
  <c r="R8" i="1"/>
  <c r="S8" i="1" s="1"/>
  <c r="L8" i="1"/>
  <c r="M8" i="1" s="1"/>
  <c r="S7" i="1"/>
  <c r="M7" i="1"/>
</calcChain>
</file>

<file path=xl/sharedStrings.xml><?xml version="1.0" encoding="utf-8"?>
<sst xmlns="http://schemas.openxmlformats.org/spreadsheetml/2006/main" count="76" uniqueCount="70">
  <si>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</si>
  <si>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</si>
  <si>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</si>
  <si>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</si>
  <si>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</si>
  <si>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</si>
  <si>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</si>
  <si>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</si>
  <si>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</si>
  <si>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</si>
  <si>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产品图号/要求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</si>
  <si>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</si>
  <si>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</si>
  <si>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</si>
  <si>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</si>
  <si>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</si>
  <si>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</si>
  <si>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</si>
  <si>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</si>
  <si>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</si>
  <si>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</si>
  <si>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</si>
  <si>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</si>
  <si>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</si>
  <si>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</si>
  <si>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</si>
  <si>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</si>
  <si>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袋/箱</t>
  </si>
  <si>
    <t>箱</t>
  </si>
  <si>
    <t>螺杆</t>
  </si>
  <si>
    <t>M24 X 335</t>
  </si>
  <si>
    <t>客户图纸
5.6级</t>
  </si>
  <si>
    <t>SDL-21-YT-04</t>
  </si>
  <si>
    <t>产品外购</t>
  </si>
  <si>
    <t>电镀锌
≥25μm</t>
  </si>
  <si>
    <t>编织袋+免熏蒸木箱</t>
  </si>
  <si>
    <t>尼龙锁紧螺母</t>
  </si>
  <si>
    <t>M24</t>
  </si>
  <si>
    <t xml:space="preserve"> ISO 898-2 Class 6</t>
  </si>
  <si>
    <t xml:space="preserve"> ISO 7040</t>
  </si>
  <si>
    <t>平垫圈</t>
  </si>
  <si>
    <t>ISO 7089</t>
  </si>
  <si>
    <t>200-300HV</t>
  </si>
  <si>
    <t>弹垫</t>
  </si>
  <si>
    <t xml:space="preserve">ASTM A682
ASME B18.21.2M </t>
  </si>
  <si>
    <t>38-46HRC</t>
  </si>
  <si>
    <t>合计</t>
  </si>
  <si>
    <t>详见图纸</t>
  </si>
  <si>
    <t>说明：</t>
  </si>
  <si>
    <t>包装待定</t>
  </si>
  <si>
    <t xml:space="preserve">镀锌后，所有零件都涂上透明的铬酸盐面漆和密封剂
</t>
  </si>
  <si>
    <t>1、</t>
  </si>
  <si>
    <t>对以上产品为外协产品。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</si>
  <si>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</si>
  <si>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</si>
  <si>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</si>
  <si>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需装配，包装物为编织袋加免熏蒸木箱。木箱外尺寸是：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</si>
  <si>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</si>
  <si>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2025-3-20</t>
    <phoneticPr fontId="9" type="noConversion"/>
  </si>
  <si>
    <t>2  月  份  销  售  计  划 11</t>
    <phoneticPr fontId="9" type="noConversion"/>
  </si>
  <si>
    <t>250217-1</t>
    <phoneticPr fontId="9" type="noConversion"/>
  </si>
  <si>
    <t>250217-2</t>
  </si>
  <si>
    <t>250217-3</t>
  </si>
  <si>
    <t>250217-4</t>
  </si>
  <si>
    <t>ORP00909</t>
    <phoneticPr fontId="9" type="noConversion"/>
  </si>
  <si>
    <t>9952
套</t>
    <phoneticPr fontId="9" type="noConversion"/>
  </si>
  <si>
    <t>11.8
吨</t>
    <phoneticPr fontId="9" type="noConversion"/>
  </si>
  <si>
    <t>498
袋</t>
    <phoneticPr fontId="9" type="noConversion"/>
  </si>
  <si>
    <t>17
箱</t>
    <phoneticPr fontId="9" type="noConversion"/>
  </si>
  <si>
    <t>10000
套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</si>
</sst>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right" wrapText="1"/>
    </xf>
    <xf numFmtId="1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49" fontId="12" fillId="2" borderId="2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workbookViewId="0">
      <selection activeCell="O7" sqref="O7:O10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625" style="2" customWidth="1"/>
    <col min="13" max="13" width="6.37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7.125" style="2" customWidth="1"/>
    <col min="19" max="19" width="7.75" style="2" customWidth="1"/>
    <col min="20" max="20" width="5.125" style="2" customWidth="1"/>
    <col min="21" max="21" width="5" style="2" customWidth="1"/>
    <col min="22" max="22" width="7.5" style="2" customWidth="1"/>
    <col min="23" max="23" width="6.125" style="2" customWidth="1"/>
    <col min="24" max="16384" width="9" style="2"/>
  </cols>
  <sheetData>
    <row r="2" spans="1:23" ht="45" customHeight="1" x14ac:dyDescent="0.15">
      <c r="A2" s="31" t="s">
        <v>59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33" t="s">
        <v>2</v>
      </c>
      <c r="J4" s="33"/>
      <c r="K4" s="3"/>
      <c r="L4" s="3"/>
      <c r="M4" s="3"/>
      <c r="N4" s="34" t="s">
        <v>3</v>
      </c>
      <c r="O4" s="34"/>
      <c r="P4" s="3"/>
      <c r="Q4" s="3"/>
      <c r="R4" s="3"/>
      <c r="S4" s="3"/>
      <c r="T4" s="35"/>
      <c r="U4" s="36"/>
      <c r="V4" s="36"/>
      <c r="W4" s="36"/>
    </row>
    <row r="5" spans="1:23" s="1" customFormat="1" ht="29.25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4" t="s">
        <v>11</v>
      </c>
      <c r="I5" s="19" t="s">
        <v>12</v>
      </c>
      <c r="J5" s="19"/>
      <c r="K5" s="19"/>
      <c r="L5" s="19" t="s">
        <v>13</v>
      </c>
      <c r="M5" s="19"/>
      <c r="N5" s="19"/>
      <c r="O5" s="19"/>
      <c r="P5" s="19"/>
      <c r="Q5" s="19"/>
      <c r="R5" s="19" t="s">
        <v>14</v>
      </c>
      <c r="S5" s="19"/>
      <c r="T5" s="19" t="s">
        <v>15</v>
      </c>
      <c r="U5" s="19" t="s">
        <v>16</v>
      </c>
      <c r="V5" s="19" t="s">
        <v>17</v>
      </c>
      <c r="W5" s="19" t="s">
        <v>18</v>
      </c>
    </row>
    <row r="6" spans="1:23" s="1" customFormat="1" ht="29.25" customHeight="1" x14ac:dyDescent="0.15">
      <c r="A6" s="19"/>
      <c r="B6" s="19"/>
      <c r="C6" s="19"/>
      <c r="D6" s="19"/>
      <c r="E6" s="19"/>
      <c r="F6" s="19"/>
      <c r="G6" s="19"/>
      <c r="H6" s="4" t="s">
        <v>19</v>
      </c>
      <c r="I6" s="4" t="s">
        <v>20</v>
      </c>
      <c r="J6" s="4" t="s">
        <v>21</v>
      </c>
      <c r="K6" s="9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19"/>
      <c r="U6" s="19"/>
      <c r="V6" s="19"/>
      <c r="W6" s="19"/>
    </row>
    <row r="7" spans="1:23" s="1" customFormat="1" ht="48" customHeight="1" x14ac:dyDescent="0.15">
      <c r="A7" s="4">
        <v>1</v>
      </c>
      <c r="B7" s="4" t="s">
        <v>29</v>
      </c>
      <c r="C7" s="4" t="s">
        <v>30</v>
      </c>
      <c r="D7" s="15" t="s">
        <v>60</v>
      </c>
      <c r="E7" s="24" t="s">
        <v>64</v>
      </c>
      <c r="F7" s="4" t="s">
        <v>31</v>
      </c>
      <c r="G7" s="4" t="s">
        <v>32</v>
      </c>
      <c r="H7" s="4">
        <v>0.99</v>
      </c>
      <c r="I7" s="28" t="s">
        <v>33</v>
      </c>
      <c r="J7" s="29"/>
      <c r="K7" s="30"/>
      <c r="L7" s="4">
        <v>9952</v>
      </c>
      <c r="M7" s="10">
        <f>H7*L7/1000</f>
        <v>9.8524799999999999</v>
      </c>
      <c r="N7" s="20">
        <v>20</v>
      </c>
      <c r="O7" s="20">
        <v>498</v>
      </c>
      <c r="P7" s="20">
        <v>30</v>
      </c>
      <c r="Q7" s="20">
        <v>17</v>
      </c>
      <c r="R7" s="4">
        <v>10000</v>
      </c>
      <c r="S7" s="10">
        <f>H7*R7/1000</f>
        <v>9.9</v>
      </c>
      <c r="T7" s="37" t="s">
        <v>58</v>
      </c>
      <c r="U7" s="9"/>
      <c r="V7" s="16" t="s">
        <v>34</v>
      </c>
      <c r="W7" s="20" t="s">
        <v>35</v>
      </c>
    </row>
    <row r="8" spans="1:23" s="1" customFormat="1" ht="48" customHeight="1" x14ac:dyDescent="0.15">
      <c r="A8" s="6">
        <v>2</v>
      </c>
      <c r="B8" s="6" t="s">
        <v>36</v>
      </c>
      <c r="C8" s="6" t="s">
        <v>37</v>
      </c>
      <c r="D8" s="15" t="s">
        <v>61</v>
      </c>
      <c r="E8" s="21"/>
      <c r="F8" s="7" t="s">
        <v>38</v>
      </c>
      <c r="G8" s="6" t="s">
        <v>39</v>
      </c>
      <c r="H8" s="6">
        <v>0.12</v>
      </c>
      <c r="I8" s="28" t="s">
        <v>33</v>
      </c>
      <c r="J8" s="29"/>
      <c r="K8" s="30"/>
      <c r="L8" s="6">
        <f>L7</f>
        <v>9952</v>
      </c>
      <c r="M8" s="10">
        <f>H8*L8/1000</f>
        <v>1.19424</v>
      </c>
      <c r="N8" s="21"/>
      <c r="O8" s="21"/>
      <c r="P8" s="21"/>
      <c r="Q8" s="21"/>
      <c r="R8" s="4">
        <f>R7</f>
        <v>10000</v>
      </c>
      <c r="S8" s="10">
        <f>H8*R8/1000</f>
        <v>1.2</v>
      </c>
      <c r="T8" s="38"/>
      <c r="U8" s="12"/>
      <c r="V8" s="17"/>
      <c r="W8" s="21"/>
    </row>
    <row r="9" spans="1:23" s="1" customFormat="1" ht="48" customHeight="1" x14ac:dyDescent="0.15">
      <c r="A9" s="5">
        <v>3</v>
      </c>
      <c r="B9" s="4" t="s">
        <v>40</v>
      </c>
      <c r="C9" s="4">
        <v>24</v>
      </c>
      <c r="D9" s="15" t="s">
        <v>62</v>
      </c>
      <c r="E9" s="21"/>
      <c r="F9" s="5" t="s">
        <v>41</v>
      </c>
      <c r="G9" s="4" t="s">
        <v>42</v>
      </c>
      <c r="H9" s="8">
        <v>3.5000000000000003E-2</v>
      </c>
      <c r="I9" s="28" t="s">
        <v>33</v>
      </c>
      <c r="J9" s="29"/>
      <c r="K9" s="30"/>
      <c r="L9" s="4">
        <f>L7</f>
        <v>9952</v>
      </c>
      <c r="M9" s="10">
        <f>L9*H9/1000</f>
        <v>0.34832000000000007</v>
      </c>
      <c r="N9" s="21"/>
      <c r="O9" s="21"/>
      <c r="P9" s="21"/>
      <c r="Q9" s="21"/>
      <c r="R9" s="4">
        <f>R7</f>
        <v>10000</v>
      </c>
      <c r="S9" s="10">
        <f>H9*R9/1000</f>
        <v>0.35000000000000003</v>
      </c>
      <c r="T9" s="38"/>
      <c r="U9" s="13"/>
      <c r="V9" s="17"/>
      <c r="W9" s="21"/>
    </row>
    <row r="10" spans="1:23" s="1" customFormat="1" ht="69" customHeight="1" x14ac:dyDescent="0.15">
      <c r="A10" s="5">
        <v>4</v>
      </c>
      <c r="B10" s="4" t="s">
        <v>43</v>
      </c>
      <c r="C10" s="4">
        <v>24</v>
      </c>
      <c r="D10" s="15" t="s">
        <v>63</v>
      </c>
      <c r="E10" s="22"/>
      <c r="F10" s="5" t="s">
        <v>44</v>
      </c>
      <c r="G10" s="4" t="s">
        <v>45</v>
      </c>
      <c r="H10" s="8">
        <v>3.7999999999999999E-2</v>
      </c>
      <c r="I10" s="28" t="s">
        <v>33</v>
      </c>
      <c r="J10" s="29"/>
      <c r="K10" s="30"/>
      <c r="L10" s="4">
        <f>L7</f>
        <v>9952</v>
      </c>
      <c r="M10" s="10">
        <f>L10*H10/1000</f>
        <v>0.37817600000000001</v>
      </c>
      <c r="N10" s="22"/>
      <c r="O10" s="22"/>
      <c r="P10" s="22"/>
      <c r="Q10" s="22"/>
      <c r="R10" s="4">
        <f>R7</f>
        <v>10000</v>
      </c>
      <c r="S10" s="10">
        <f>H10*R10/1000</f>
        <v>0.38</v>
      </c>
      <c r="T10" s="39"/>
      <c r="U10" s="14"/>
      <c r="V10" s="18"/>
      <c r="W10" s="21"/>
    </row>
    <row r="11" spans="1:23" s="1" customFormat="1" ht="34.5" customHeight="1" x14ac:dyDescent="0.15">
      <c r="A11" s="19" t="s">
        <v>46</v>
      </c>
      <c r="B11" s="19"/>
      <c r="C11" s="4"/>
      <c r="D11" s="4"/>
      <c r="E11" s="4"/>
      <c r="F11" s="4"/>
      <c r="G11" s="4"/>
      <c r="H11" s="4"/>
      <c r="I11" s="4"/>
      <c r="J11" s="4"/>
      <c r="K11" s="4"/>
      <c r="L11" s="15" t="s">
        <v>65</v>
      </c>
      <c r="M11" s="15" t="s">
        <v>66</v>
      </c>
      <c r="N11" s="4"/>
      <c r="O11" s="15" t="s">
        <v>67</v>
      </c>
      <c r="P11" s="4"/>
      <c r="Q11" s="15" t="s">
        <v>68</v>
      </c>
      <c r="R11" s="15" t="s">
        <v>69</v>
      </c>
      <c r="S11" s="15" t="s">
        <v>66</v>
      </c>
      <c r="T11" s="4"/>
      <c r="U11" s="4" t="s">
        <v>47</v>
      </c>
      <c r="V11" s="4"/>
      <c r="W11" s="4"/>
    </row>
    <row r="12" spans="1:23" ht="17.25" customHeight="1" x14ac:dyDescent="0.15"/>
    <row r="13" spans="1:23" s="1" customFormat="1" ht="19.5" customHeight="1" x14ac:dyDescent="0.15">
      <c r="B13" s="1" t="s">
        <v>48</v>
      </c>
      <c r="L13" s="11" t="s">
        <v>49</v>
      </c>
      <c r="P13" s="25" t="s">
        <v>50</v>
      </c>
      <c r="Q13" s="26"/>
      <c r="R13" s="26"/>
      <c r="S13" s="26"/>
      <c r="T13" s="26"/>
      <c r="U13" s="26"/>
      <c r="V13" s="26"/>
      <c r="W13" s="26"/>
    </row>
    <row r="14" spans="1:23" s="1" customFormat="1" ht="19.5" customHeight="1" x14ac:dyDescent="0.15">
      <c r="A14" s="1" t="s">
        <v>51</v>
      </c>
      <c r="B14" s="23" t="s">
        <v>52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s="1" customFormat="1" ht="19.5" customHeight="1" x14ac:dyDescent="0.15">
      <c r="A15" s="1" t="s">
        <v>53</v>
      </c>
      <c r="B15" s="23" t="s">
        <v>54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s="1" customFormat="1" ht="19.5" customHeight="1" x14ac:dyDescent="0.15">
      <c r="A16" s="1" t="s">
        <v>55</v>
      </c>
      <c r="B16" s="23" t="s">
        <v>56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3:23" ht="42" customHeight="1" x14ac:dyDescent="0.15">
      <c r="T17" s="27">
        <v>45705</v>
      </c>
      <c r="U17" s="27"/>
      <c r="V17" s="27"/>
      <c r="W17" s="27"/>
    </row>
    <row r="18" spans="3:23" ht="20.25" customHeight="1" x14ac:dyDescent="0.15">
      <c r="C18" s="23" t="s">
        <v>57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</sheetData>
  <mergeCells count="37">
    <mergeCell ref="A2:W2"/>
    <mergeCell ref="I4:J4"/>
    <mergeCell ref="N4:O4"/>
    <mergeCell ref="T4:W4"/>
    <mergeCell ref="I5:K5"/>
    <mergeCell ref="L5:Q5"/>
    <mergeCell ref="R5:S5"/>
    <mergeCell ref="U5:U6"/>
    <mergeCell ref="V5:V6"/>
    <mergeCell ref="P13:W13"/>
    <mergeCell ref="B14:W14"/>
    <mergeCell ref="B15:W15"/>
    <mergeCell ref="B16:W16"/>
    <mergeCell ref="T17:W17"/>
    <mergeCell ref="C18:N18"/>
    <mergeCell ref="A5:A6"/>
    <mergeCell ref="B5:B6"/>
    <mergeCell ref="C5:C6"/>
    <mergeCell ref="D5:D6"/>
    <mergeCell ref="E5:E6"/>
    <mergeCell ref="E7:E10"/>
    <mergeCell ref="F5:F6"/>
    <mergeCell ref="G5:G6"/>
    <mergeCell ref="N7:N10"/>
    <mergeCell ref="I7:K7"/>
    <mergeCell ref="I8:K8"/>
    <mergeCell ref="I9:K9"/>
    <mergeCell ref="I10:K10"/>
    <mergeCell ref="A11:B11"/>
    <mergeCell ref="V7:V10"/>
    <mergeCell ref="W5:W6"/>
    <mergeCell ref="W7:W10"/>
    <mergeCell ref="O7:O10"/>
    <mergeCell ref="P7:P10"/>
    <mergeCell ref="Q7:Q10"/>
    <mergeCell ref="T5:T6"/>
    <mergeCell ref="T7:T10"/>
  </mergeCells>
  <phoneticPr fontId="9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2025-02-17T08:10:40Z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DBD79EFAE20649968928F04633E122E7_13</vt:lpwstr>
  </property>
  <property fmtid="{D5CDD505-2E9C-101B-9397-08002B2CF9AE}" pid="3" name="KSOProductBuildVer">
    <vt:lpwstr>2052-12.1.0.18276</vt:lpwstr>
  </property>
</Properties>
</file>