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C9518F7D-0B5A-44FD-AF87-10333938F8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8" i="1"/>
  <c r="M8" i="1"/>
  <c r="R7" i="1"/>
  <c r="S7" i="1" s="1"/>
  <c r="L7" i="1"/>
  <c r="M7" i="1" s="1"/>
  <c r="M6" i="1"/>
  <c r="K6" i="1" s="1"/>
  <c r="S5" i="1"/>
  <c r="M5" i="1"/>
  <c r="K5" i="1" s="1"/>
</calcChain>
</file>

<file path=xl/sharedStrings.xml><?xml version="1.0" encoding="utf-8"?>
<sst xmlns="http://schemas.openxmlformats.org/spreadsheetml/2006/main" count="88" uniqueCount="75">
  <si>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</si>
  <si>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</si>
  <si>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</si>
  <si>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</si>
  <si>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</si>
  <si>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</si>
  <si>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</si>
  <si>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</si>
  <si>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</si>
  <si>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</si>
  <si>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</si>
  <si>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</si>
  <si>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</si>
  <si>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</si>
  <si>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</si>
  <si>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</si>
  <si>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</si>
  <si>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</si>
  <si>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</si>
  <si>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</si>
  <si>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</si>
  <si>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</si>
  <si>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</si>
  <si>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</si>
  <si>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</si>
  <si>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</si>
  <si>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</si>
  <si>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</si>
  <si>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</si>
  <si>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24 X 165</t>
  </si>
  <si>
    <t>客户图纸
5.6级</t>
  </si>
  <si>
    <t>35K</t>
  </si>
  <si>
    <t>Φ24</t>
  </si>
  <si>
    <t>编织袋+免熏蒸木箱</t>
  </si>
  <si>
    <t>ACC-Ss8-165-3_A</t>
  </si>
  <si>
    <t>弹簧
垫圈</t>
  </si>
  <si>
    <t>FE6</t>
  </si>
  <si>
    <t>ACC-FE6-01_A</t>
  </si>
  <si>
    <t>38Si7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</si>
  <si>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</si>
  <si>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</si>
  <si>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</si>
  <si>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</si>
  <si>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</si>
  <si>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</si>
  <si>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</si>
  <si>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</si>
  <si>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</si>
  <si>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</si>
  <si>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</si>
  <si>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</si>
  <si>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</si>
  <si>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高蕾</t>
    <phoneticPr fontId="8" type="noConversion"/>
  </si>
  <si>
    <t>S25</t>
    <phoneticPr fontId="8" type="noConversion"/>
  </si>
  <si>
    <t>DEL
165
SDL 25
Ss8</t>
    <phoneticPr fontId="8" type="noConversion"/>
  </si>
  <si>
    <t>外购
与螺纹道钉
装配、铆定</t>
    <phoneticPr fontId="8" type="noConversion"/>
  </si>
  <si>
    <t>外购</t>
  </si>
  <si>
    <t>250903-1</t>
    <phoneticPr fontId="8" type="noConversion"/>
  </si>
  <si>
    <t>250903-2</t>
  </si>
  <si>
    <t>250903-3</t>
  </si>
  <si>
    <t>250903-4</t>
  </si>
  <si>
    <t>9  月  份  销  售  计  划 1</t>
    <phoneticPr fontId="8" type="noConversion"/>
  </si>
  <si>
    <t>HSR 602L</t>
    <phoneticPr fontId="8" type="noConversion"/>
  </si>
  <si>
    <t>2025-10-13</t>
    <phoneticPr fontId="8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</si>
  <si>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28</t>
    </r>
    <phoneticPr fontId="8" type="noConversion"/>
  </si>
  <si>
    <t>27 X 165</t>
    <phoneticPr fontId="8" type="noConversion"/>
  </si>
  <si>
    <r>
      <t>热镀锌
≥55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8" type="noConversion"/>
  </si>
  <si>
    <t>2025-10-25</t>
    <phoneticPr fontId="8" type="noConversion"/>
  </si>
  <si>
    <t>175600
件</t>
    <phoneticPr fontId="8" type="noConversion"/>
  </si>
  <si>
    <t>1730
袋</t>
    <phoneticPr fontId="8" type="noConversion"/>
  </si>
  <si>
    <t>30.3
吨</t>
    <phoneticPr fontId="8" type="noConversion"/>
  </si>
  <si>
    <t>18.2
吨</t>
    <phoneticPr fontId="8" type="noConversion"/>
  </si>
  <si>
    <t>30.4
吨</t>
    <phoneticPr fontId="8" type="noConversion"/>
  </si>
  <si>
    <t>66
箱</t>
    <phoneticPr fontId="8" type="noConversion"/>
  </si>
  <si>
    <t>176350
件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</si>
</sst>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yyyy&quot;年&quot;m&quot;月&quot;d&quot;日&quot;;@"/>
    <numFmt numFmtId="178" formatCode="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0" fillId="0" borderId="0" xfId="0" applyNumberForma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8"/>
  <sheetViews>
    <sheetView tabSelected="1" topLeftCell="D7" zoomScale="130" zoomScaleNormal="130" workbookViewId="0">
      <selection activeCell="B13" sqref="B13:W13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2" width="6.7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875" style="2" customWidth="1"/>
    <col min="19" max="19" width="7.375" style="2" customWidth="1"/>
    <col min="20" max="20" width="4.75" style="2" customWidth="1"/>
    <col min="21" max="21" width="6.375" style="2" customWidth="1"/>
    <col min="22" max="22" width="6.5" style="2" customWidth="1"/>
    <col min="23" max="23" width="6.125" style="2" customWidth="1"/>
    <col min="24" max="16384" width="9" style="2"/>
  </cols>
  <sheetData>
    <row r="1" spans="1:23" ht="33" customHeight="1" x14ac:dyDescent="0.15">
      <c r="A1" s="25" t="s">
        <v>61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s="1" customFormat="1" ht="18" customHeight="1" x14ac:dyDescent="0.15">
      <c r="B2" s="3" t="s">
        <v>0</v>
      </c>
      <c r="C2" s="3" t="s">
        <v>52</v>
      </c>
      <c r="D2" s="3"/>
      <c r="E2" s="3"/>
      <c r="F2" s="3"/>
      <c r="G2" s="3"/>
      <c r="H2" s="3"/>
      <c r="I2" s="26" t="s">
        <v>1</v>
      </c>
      <c r="J2" s="26"/>
      <c r="K2" s="3"/>
      <c r="L2" s="3"/>
      <c r="M2" s="3"/>
      <c r="N2" s="27" t="s">
        <v>2</v>
      </c>
      <c r="O2" s="27"/>
      <c r="P2" s="3"/>
      <c r="Q2" s="3"/>
      <c r="R2" s="3"/>
      <c r="S2" s="3"/>
      <c r="T2" s="28"/>
      <c r="U2" s="29"/>
      <c r="V2" s="29"/>
      <c r="W2" s="29"/>
    </row>
    <row r="3" spans="1:23" s="1" customFormat="1" ht="29.25" customHeight="1" x14ac:dyDescent="0.15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4" t="s">
        <v>10</v>
      </c>
      <c r="I3" s="14" t="s">
        <v>11</v>
      </c>
      <c r="J3" s="14"/>
      <c r="K3" s="14"/>
      <c r="L3" s="14" t="s">
        <v>12</v>
      </c>
      <c r="M3" s="14"/>
      <c r="N3" s="14"/>
      <c r="O3" s="14"/>
      <c r="P3" s="14"/>
      <c r="Q3" s="14"/>
      <c r="R3" s="14" t="s">
        <v>13</v>
      </c>
      <c r="S3" s="14"/>
      <c r="T3" s="14" t="s">
        <v>14</v>
      </c>
      <c r="U3" s="14" t="s">
        <v>15</v>
      </c>
      <c r="V3" s="14" t="s">
        <v>16</v>
      </c>
      <c r="W3" s="14" t="s">
        <v>17</v>
      </c>
    </row>
    <row r="4" spans="1:23" s="1" customFormat="1" ht="29.25" customHeight="1" x14ac:dyDescent="0.15">
      <c r="A4" s="14"/>
      <c r="B4" s="14"/>
      <c r="C4" s="14"/>
      <c r="D4" s="14"/>
      <c r="E4" s="14"/>
      <c r="F4" s="14"/>
      <c r="G4" s="14"/>
      <c r="H4" s="4" t="s">
        <v>18</v>
      </c>
      <c r="I4" s="4" t="s">
        <v>19</v>
      </c>
      <c r="J4" s="4" t="s">
        <v>20</v>
      </c>
      <c r="K4" s="8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22</v>
      </c>
      <c r="S4" s="4" t="s">
        <v>23</v>
      </c>
      <c r="T4" s="14"/>
      <c r="U4" s="14"/>
      <c r="V4" s="14"/>
      <c r="W4" s="14"/>
    </row>
    <row r="5" spans="1:23" s="1" customFormat="1" ht="53.25" customHeight="1" x14ac:dyDescent="0.15">
      <c r="A5" s="5">
        <v>1</v>
      </c>
      <c r="B5" s="4" t="s">
        <v>28</v>
      </c>
      <c r="C5" s="4" t="s">
        <v>65</v>
      </c>
      <c r="D5" s="4" t="s">
        <v>57</v>
      </c>
      <c r="E5" s="6">
        <v>9460</v>
      </c>
      <c r="F5" s="4" t="s">
        <v>30</v>
      </c>
      <c r="G5" s="4" t="s">
        <v>62</v>
      </c>
      <c r="H5" s="35">
        <v>0.92</v>
      </c>
      <c r="I5" s="4" t="s">
        <v>31</v>
      </c>
      <c r="J5" s="31" t="s">
        <v>64</v>
      </c>
      <c r="K5" s="12">
        <f>M5/0.92</f>
        <v>5.6</v>
      </c>
      <c r="L5" s="4">
        <v>5600</v>
      </c>
      <c r="M5" s="9">
        <f>H5*L5/1000</f>
        <v>5.1520000000000001</v>
      </c>
      <c r="N5" s="10">
        <v>20</v>
      </c>
      <c r="O5" s="10">
        <v>280</v>
      </c>
      <c r="P5" s="13">
        <v>35</v>
      </c>
      <c r="Q5" s="10">
        <v>8</v>
      </c>
      <c r="R5" s="4">
        <v>5650</v>
      </c>
      <c r="S5" s="9">
        <f>H5*R5/1000</f>
        <v>5.1980000000000004</v>
      </c>
      <c r="T5" s="33" t="s">
        <v>63</v>
      </c>
      <c r="U5" s="8">
        <v>60</v>
      </c>
      <c r="V5" s="11" t="s">
        <v>66</v>
      </c>
      <c r="W5" s="15" t="s">
        <v>33</v>
      </c>
    </row>
    <row r="6" spans="1:23" s="1" customFormat="1" ht="53.25" customHeight="1" x14ac:dyDescent="0.15">
      <c r="A6" s="16">
        <v>2</v>
      </c>
      <c r="B6" s="4" t="s">
        <v>28</v>
      </c>
      <c r="C6" s="4" t="s">
        <v>29</v>
      </c>
      <c r="D6" s="4" t="s">
        <v>58</v>
      </c>
      <c r="E6" s="14">
        <v>9461</v>
      </c>
      <c r="F6" s="4" t="s">
        <v>30</v>
      </c>
      <c r="G6" s="4" t="s">
        <v>34</v>
      </c>
      <c r="H6" s="4">
        <v>0.57999999999999996</v>
      </c>
      <c r="I6" s="4" t="s">
        <v>31</v>
      </c>
      <c r="J6" s="4" t="s">
        <v>32</v>
      </c>
      <c r="K6" s="12">
        <f>M6/0.92</f>
        <v>12.608695652173912</v>
      </c>
      <c r="L6" s="4">
        <v>20000</v>
      </c>
      <c r="M6" s="9">
        <f>H6*L6/1000</f>
        <v>11.6</v>
      </c>
      <c r="N6" s="15">
        <v>25</v>
      </c>
      <c r="O6" s="15">
        <v>800</v>
      </c>
      <c r="P6" s="23">
        <v>32</v>
      </c>
      <c r="Q6" s="15">
        <v>25</v>
      </c>
      <c r="R6" s="4">
        <v>20100</v>
      </c>
      <c r="S6" s="9">
        <f>H6*R6/1000</f>
        <v>11.657999999999999</v>
      </c>
      <c r="T6" s="33"/>
      <c r="U6" s="8" t="s">
        <v>54</v>
      </c>
      <c r="V6" s="11" t="s">
        <v>66</v>
      </c>
      <c r="W6" s="16"/>
    </row>
    <row r="7" spans="1:23" s="1" customFormat="1" ht="53.25" customHeight="1" x14ac:dyDescent="0.15">
      <c r="A7" s="22"/>
      <c r="B7" s="5" t="s">
        <v>35</v>
      </c>
      <c r="C7" s="5" t="s">
        <v>36</v>
      </c>
      <c r="D7" s="4" t="s">
        <v>59</v>
      </c>
      <c r="E7" s="14"/>
      <c r="F7" s="7"/>
      <c r="G7" s="4" t="s">
        <v>37</v>
      </c>
      <c r="H7" s="5">
        <v>0.09</v>
      </c>
      <c r="I7" s="4" t="s">
        <v>38</v>
      </c>
      <c r="J7" s="19" t="s">
        <v>55</v>
      </c>
      <c r="K7" s="20"/>
      <c r="L7" s="5">
        <f>L6</f>
        <v>20000</v>
      </c>
      <c r="M7" s="9">
        <f>H7*L7/1000</f>
        <v>1.8</v>
      </c>
      <c r="N7" s="22"/>
      <c r="O7" s="22"/>
      <c r="P7" s="24"/>
      <c r="Q7" s="22"/>
      <c r="R7" s="5">
        <f>R6</f>
        <v>20100</v>
      </c>
      <c r="S7" s="9">
        <f>H7*R7/1000</f>
        <v>1.8089999999999999</v>
      </c>
      <c r="T7" s="33"/>
      <c r="U7" s="8" t="s">
        <v>53</v>
      </c>
      <c r="V7" s="11" t="s">
        <v>66</v>
      </c>
      <c r="W7" s="16"/>
    </row>
    <row r="8" spans="1:23" s="1" customFormat="1" ht="53.25" customHeight="1" x14ac:dyDescent="0.15">
      <c r="A8" s="5">
        <v>3</v>
      </c>
      <c r="B8" s="5" t="s">
        <v>35</v>
      </c>
      <c r="C8" s="5" t="s">
        <v>36</v>
      </c>
      <c r="D8" s="4" t="s">
        <v>60</v>
      </c>
      <c r="E8" s="5">
        <v>9462</v>
      </c>
      <c r="F8" s="7"/>
      <c r="G8" s="4" t="s">
        <v>37</v>
      </c>
      <c r="H8" s="5">
        <v>0.09</v>
      </c>
      <c r="I8" s="4" t="s">
        <v>38</v>
      </c>
      <c r="J8" s="19" t="s">
        <v>56</v>
      </c>
      <c r="K8" s="20"/>
      <c r="L8" s="30">
        <v>130000</v>
      </c>
      <c r="M8" s="34">
        <f>H8*L8/1000</f>
        <v>11.7</v>
      </c>
      <c r="N8" s="5">
        <v>200</v>
      </c>
      <c r="O8" s="5">
        <v>650</v>
      </c>
      <c r="P8" s="5">
        <v>20</v>
      </c>
      <c r="Q8" s="5">
        <v>33</v>
      </c>
      <c r="R8" s="5">
        <v>130500</v>
      </c>
      <c r="S8" s="9">
        <f>H8*R8/1000</f>
        <v>11.744999999999999</v>
      </c>
      <c r="T8" s="32" t="s">
        <v>67</v>
      </c>
      <c r="U8" s="8" t="s">
        <v>53</v>
      </c>
      <c r="V8" s="11" t="s">
        <v>66</v>
      </c>
      <c r="W8" s="16"/>
    </row>
    <row r="9" spans="1:23" s="1" customFormat="1" ht="34.5" customHeight="1" x14ac:dyDescent="0.15">
      <c r="A9" s="14" t="s">
        <v>39</v>
      </c>
      <c r="B9" s="14"/>
      <c r="C9" s="4"/>
      <c r="D9" s="4"/>
      <c r="E9" s="4"/>
      <c r="F9" s="4"/>
      <c r="G9" s="4"/>
      <c r="H9" s="4"/>
      <c r="I9" s="4"/>
      <c r="J9" s="4"/>
      <c r="K9" s="35" t="s">
        <v>71</v>
      </c>
      <c r="L9" s="4" t="s">
        <v>68</v>
      </c>
      <c r="M9" s="4" t="s">
        <v>70</v>
      </c>
      <c r="N9" s="4"/>
      <c r="O9" s="4" t="s">
        <v>69</v>
      </c>
      <c r="P9" s="4"/>
      <c r="Q9" s="4" t="s">
        <v>73</v>
      </c>
      <c r="R9" s="4" t="s">
        <v>74</v>
      </c>
      <c r="S9" s="4" t="s">
        <v>72</v>
      </c>
      <c r="T9" s="4"/>
      <c r="U9" s="4" t="s">
        <v>40</v>
      </c>
      <c r="V9" s="4"/>
      <c r="W9" s="4"/>
    </row>
    <row r="10" spans="1:23" ht="26.1" customHeight="1" x14ac:dyDescent="0.15"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spans="1:23" s="1" customFormat="1" ht="19.5" customHeight="1" x14ac:dyDescent="0.15">
      <c r="B11" s="1" t="s">
        <v>41</v>
      </c>
    </row>
    <row r="12" spans="1:23" s="1" customFormat="1" ht="19.5" customHeight="1" x14ac:dyDescent="0.15">
      <c r="A12" s="1" t="s">
        <v>42</v>
      </c>
      <c r="B12" s="17" t="s">
        <v>43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1" customFormat="1" ht="19.5" customHeight="1" x14ac:dyDescent="0.15">
      <c r="B13" s="17" t="s">
        <v>44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s="1" customFormat="1" ht="19.5" customHeight="1" x14ac:dyDescent="0.15">
      <c r="A14" s="1" t="s">
        <v>45</v>
      </c>
      <c r="B14" s="17" t="s">
        <v>46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s="1" customFormat="1" ht="19.5" customHeight="1" x14ac:dyDescent="0.15">
      <c r="A15" s="1" t="s">
        <v>47</v>
      </c>
      <c r="B15" s="17" t="s">
        <v>48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s="1" customFormat="1" ht="19.5" customHeight="1" x14ac:dyDescent="0.15">
      <c r="A16" s="1" t="s">
        <v>49</v>
      </c>
      <c r="B16" s="17" t="s">
        <v>50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3:23" ht="42" customHeight="1" x14ac:dyDescent="0.15">
      <c r="T17" s="18">
        <v>45903</v>
      </c>
      <c r="U17" s="18"/>
      <c r="V17" s="18"/>
      <c r="W17" s="18"/>
    </row>
    <row r="18" spans="3:23" ht="20.25" customHeight="1" x14ac:dyDescent="0.15">
      <c r="C18" s="17" t="s">
        <v>51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</sheetData>
  <mergeCells count="37">
    <mergeCell ref="A1:W1"/>
    <mergeCell ref="I2:J2"/>
    <mergeCell ref="N2:O2"/>
    <mergeCell ref="T2:W2"/>
    <mergeCell ref="I3:K3"/>
    <mergeCell ref="L3:Q3"/>
    <mergeCell ref="R3:S3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B16:W16"/>
    <mergeCell ref="T17:W17"/>
    <mergeCell ref="C18:N18"/>
    <mergeCell ref="A9:B9"/>
    <mergeCell ref="N10:W10"/>
    <mergeCell ref="B12:W12"/>
    <mergeCell ref="B13:W13"/>
    <mergeCell ref="A6:A7"/>
    <mergeCell ref="V3:V4"/>
    <mergeCell ref="W3:W4"/>
    <mergeCell ref="W5:W8"/>
    <mergeCell ref="B14:W14"/>
    <mergeCell ref="B15:W15"/>
    <mergeCell ref="E6:E7"/>
    <mergeCell ref="N6:N7"/>
    <mergeCell ref="O6:O7"/>
    <mergeCell ref="P6:P7"/>
    <mergeCell ref="Q6:Q7"/>
    <mergeCell ref="J7:K7"/>
    <mergeCell ref="J8:K8"/>
    <mergeCell ref="T5:T7"/>
  </mergeCells>
  <phoneticPr fontId="8" type="noConversion"/>
  <pageMargins left="0.7" right="0.7" top="0.75" bottom="0.75" header="0.3" footer="0.3"/>
  <pageSetup paperSize="9" scale="86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2025-09-04T06:13:13Z</cp:lastPrinted>
  <dcterms:created xsi:type="dcterms:W3CDTF">2006-09-13T11:21:00Z</dcterms:created>
  <dcterms:modified xsi:type="dcterms:W3CDTF">2025-09-04T06:14:32Z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1A77189912D641F882C4915A1CC6F724_13</vt:lpwstr>
  </property>
  <property fmtid="{D5CDD505-2E9C-101B-9397-08002B2CF9AE}" pid="3" name="KSOProductBuildVer">
    <vt:lpwstr>2052-12.1.0.16729</vt:lpwstr>
  </property>
</Properties>
</file>