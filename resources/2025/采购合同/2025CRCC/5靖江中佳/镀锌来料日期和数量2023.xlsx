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7"/>
  </bookViews>
  <sheets>
    <sheet name="2022" sheetId="6" r:id="rId1"/>
    <sheet name="20" sheetId="5" r:id="rId2"/>
    <sheet name="2019" sheetId="1" r:id="rId3"/>
    <sheet name="兴欣" sheetId="3" r:id="rId4"/>
    <sheet name="2018" sheetId="2" r:id="rId5"/>
    <sheet name="Sheet1" sheetId="4" r:id="rId6"/>
    <sheet name="2023" sheetId="7" r:id="rId7"/>
    <sheet name="2024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<sst xmlns="http://schemas.openxmlformats.org/spreadsheetml/2006/main" count="413" uniqueCount="132">
  <si>
    <t>供方实物质量月报表</t>
  </si>
  <si>
    <t>供应商名称：靖江市中佳特种标准件厂</t>
  </si>
  <si>
    <t>提供原材料（产品）：Ss36螺旋道钉热镀锌</t>
  </si>
  <si>
    <t>B/1</t>
  </si>
  <si>
    <t>SDL-D-PG-02</t>
  </si>
  <si>
    <t>序号</t>
  </si>
  <si>
    <t>进货日期</t>
  </si>
  <si>
    <t>来料数量（件）</t>
  </si>
  <si>
    <t>月份</t>
  </si>
  <si>
    <t>月份
数量汇总（件）</t>
  </si>
  <si>
    <t>不合格数</t>
  </si>
  <si>
    <t>检测结果</t>
  </si>
  <si>
    <t>2022.06.30</t>
  </si>
  <si>
    <t>6月</t>
  </si>
  <si>
    <t>100％合格</t>
  </si>
  <si>
    <t>2022.07.04</t>
  </si>
  <si>
    <t>7月</t>
  </si>
  <si>
    <t>2022.07.07</t>
  </si>
  <si>
    <t>2022.07.08</t>
  </si>
  <si>
    <t>2022.07.13</t>
  </si>
  <si>
    <t>2022.07.14</t>
  </si>
  <si>
    <t>2022.07.15</t>
  </si>
  <si>
    <t>2022.07.17</t>
  </si>
  <si>
    <t>2022.07.18</t>
  </si>
  <si>
    <t>2022.07.19</t>
  </si>
  <si>
    <t>2022.07.21</t>
  </si>
  <si>
    <t>2022.07.22</t>
  </si>
  <si>
    <t>2022.07.25</t>
  </si>
  <si>
    <t>2022.07.26</t>
  </si>
  <si>
    <t>2022.07.27</t>
  </si>
  <si>
    <t>2022.07.28</t>
  </si>
  <si>
    <t>2022.07.31</t>
  </si>
  <si>
    <t>2022.08.02</t>
  </si>
  <si>
    <t>8月</t>
  </si>
  <si>
    <t>2022.08.05</t>
  </si>
  <si>
    <t>2022.08.14</t>
  </si>
  <si>
    <t>2022.08.16</t>
  </si>
  <si>
    <t>2022.08.31</t>
  </si>
  <si>
    <t>2022.09.03</t>
  </si>
  <si>
    <t>9月</t>
  </si>
  <si>
    <t>合计</t>
  </si>
  <si>
    <t>镀锌来料日期和数量</t>
  </si>
  <si>
    <t>来料日期</t>
  </si>
  <si>
    <t>规格</t>
  </si>
  <si>
    <t>生产厂家</t>
  </si>
  <si>
    <t>月份总数量（件）</t>
  </si>
  <si>
    <t>2020.03.05</t>
  </si>
  <si>
    <t>Ss36-230</t>
  </si>
  <si>
    <t>靖江</t>
  </si>
  <si>
    <t>3月</t>
  </si>
  <si>
    <r>
      <rPr>
        <sz val="11"/>
        <color theme="1"/>
        <rFont val="Tahoma"/>
        <charset val="134"/>
      </rPr>
      <t>100%</t>
    </r>
    <r>
      <rPr>
        <sz val="11"/>
        <color theme="1"/>
        <rFont val="宋体"/>
        <charset val="134"/>
      </rPr>
      <t>合格</t>
    </r>
  </si>
  <si>
    <t>2020.03.06</t>
  </si>
  <si>
    <t>2020.03.10</t>
  </si>
  <si>
    <t>2020.03.11</t>
  </si>
  <si>
    <t>2020.03.14</t>
  </si>
  <si>
    <t>2020.03.15</t>
  </si>
  <si>
    <t>2020.03.16</t>
  </si>
  <si>
    <t>2020.03.21</t>
  </si>
  <si>
    <t>2020.03.22</t>
  </si>
  <si>
    <t>2020.03.23</t>
  </si>
  <si>
    <t>2020.03.24</t>
  </si>
  <si>
    <t>2020.03.25</t>
  </si>
  <si>
    <t>2020.03.26</t>
  </si>
  <si>
    <t>2020.03.27</t>
  </si>
  <si>
    <t>2020.03.28</t>
  </si>
  <si>
    <t>2020.03.29</t>
  </si>
  <si>
    <t>2020.04.02</t>
  </si>
  <si>
    <t>4月</t>
  </si>
  <si>
    <t>2020.04.03</t>
  </si>
  <si>
    <t>2020.04.18</t>
  </si>
  <si>
    <t>2020.04.20</t>
  </si>
  <si>
    <t>靖江中佳</t>
  </si>
  <si>
    <t>2020.04.23</t>
  </si>
  <si>
    <t>共计</t>
  </si>
  <si>
    <t>2020.09.20</t>
  </si>
  <si>
    <t>2020.09.24</t>
  </si>
  <si>
    <t>2020.09.25</t>
  </si>
  <si>
    <t>2020.09.26</t>
  </si>
  <si>
    <t>2020.09.28</t>
  </si>
  <si>
    <t>2020.09.29</t>
  </si>
  <si>
    <t>2020.09.30</t>
  </si>
  <si>
    <t>2020.10.05</t>
  </si>
  <si>
    <t>10月</t>
  </si>
  <si>
    <t>2020.10.06</t>
  </si>
  <si>
    <t>2020.10.07</t>
  </si>
  <si>
    <t>2020.10.08</t>
  </si>
  <si>
    <t>2020.10.10</t>
  </si>
  <si>
    <t>2020.10.11</t>
  </si>
  <si>
    <t>2020.10.12</t>
  </si>
  <si>
    <t>2020.10.13</t>
  </si>
  <si>
    <t>2020.10.14</t>
  </si>
  <si>
    <t>Ss36-240镀锌来料日期和数量</t>
  </si>
  <si>
    <t>月份数量（件）</t>
  </si>
  <si>
    <t>2019.04.17</t>
  </si>
  <si>
    <t>浙江兴欣</t>
  </si>
  <si>
    <t>Ss36-250镀锌来料日期和数量</t>
  </si>
  <si>
    <t>2019.07.09</t>
  </si>
  <si>
    <t>Ss36-260镀锌来料日期和数量</t>
  </si>
  <si>
    <t>Ss36-270镀锌来料日期和数量</t>
  </si>
  <si>
    <t>Ss36-280镀锌来料日期和数量</t>
  </si>
  <si>
    <t>2018.10.27</t>
  </si>
  <si>
    <t>2018.10.29</t>
  </si>
  <si>
    <t>2023.06.20</t>
  </si>
  <si>
    <t>2023.06.22</t>
  </si>
  <si>
    <t>2023.06.24</t>
  </si>
  <si>
    <t>2023.06.26</t>
  </si>
  <si>
    <t>2023.06.27</t>
  </si>
  <si>
    <t>2023.06.28</t>
  </si>
  <si>
    <t>2023.07.01</t>
  </si>
  <si>
    <t>2023.07.03</t>
  </si>
  <si>
    <t>2023.07.04</t>
  </si>
  <si>
    <t>2023.07.06</t>
  </si>
  <si>
    <t>2023.07.07</t>
  </si>
  <si>
    <t>2023.07.08</t>
  </si>
  <si>
    <t>2023.07.10</t>
  </si>
  <si>
    <t>2023.07.11</t>
  </si>
  <si>
    <t>2023.07.13</t>
  </si>
  <si>
    <t>2023.07.16</t>
  </si>
  <si>
    <t>2023.12.25</t>
  </si>
  <si>
    <t>12月</t>
  </si>
  <si>
    <t>2023.12.26</t>
  </si>
  <si>
    <t>2023.12.27</t>
  </si>
  <si>
    <t>2023.12.28</t>
  </si>
  <si>
    <t>2023.12.29</t>
  </si>
  <si>
    <t>2023.12.30</t>
  </si>
  <si>
    <t>2024.01.03</t>
  </si>
  <si>
    <t>1月</t>
  </si>
  <si>
    <t>2024.01.04</t>
  </si>
  <si>
    <t>2024.01.05</t>
  </si>
  <si>
    <t>2024.01.07</t>
  </si>
  <si>
    <t>2024.01.09</t>
  </si>
  <si>
    <t>2024.01.11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</si>
</sst>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Tahoma"/>
      <charset val="134"/>
    </font>
    <font>
      <b/>
      <sz val="18"/>
      <color theme="1"/>
      <name val="宋体"/>
      <charset val="134"/>
    </font>
    <font>
      <sz val="11"/>
      <color theme="1"/>
      <name val="宋体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sz val="14"/>
      <color theme="1"/>
      <name val="宋体"/>
      <charset val="134"/>
    </font>
    <font>
      <b/>
      <sz val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619125</xdr:colOff>
      <xdr:row>0</xdr:row>
      <xdr:rowOff>323850</xdr:rowOff>
    </xdr:from>
    <xdr:to>
      <xdr:col>6</xdr:col>
      <xdr:colOff>396438</xdr:colOff>
      <xdr:row>1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314950" y="323850"/>
          <a:ext cx="434340" cy="466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619125</xdr:colOff>
      <xdr:row>0</xdr:row>
      <xdr:rowOff>323850</xdr:rowOff>
    </xdr:from>
    <xdr:to>
      <xdr:col>6</xdr:col>
      <xdr:colOff>396240</xdr:colOff>
      <xdr:row>1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314950" y="323850"/>
          <a:ext cx="434340" cy="466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619125</xdr:colOff>
      <xdr:row>0</xdr:row>
      <xdr:rowOff>323850</xdr:rowOff>
    </xdr:from>
    <xdr:to>
      <xdr:col>6</xdr:col>
      <xdr:colOff>396240</xdr:colOff>
      <xdr:row>1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314950" y="323850"/>
          <a:ext cx="434340" cy="466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selection activeCell="A1" sqref="$A1:$XFD1048576"/>
    </sheetView>
  </sheetViews>
  <sheetFormatPr defaultColWidth="9" defaultRowHeight="14.25"/>
  <cols>
    <col min="2" max="2" width="13.25" customWidth="1"/>
    <col min="3" max="3" width="15.5" customWidth="1"/>
    <col min="4" max="4" width="9.875" customWidth="1"/>
    <col min="5" max="5" width="14" customWidth="1"/>
    <col min="6" max="6" width="8.625" customWidth="1"/>
    <col min="7" max="7" width="11.125" customWidth="1"/>
  </cols>
  <sheetData>
    <row r="1" ht="36" customHeight="1" spans="1:7">
      <c r="A1" s="2" t="s">
        <v>0</v>
      </c>
      <c r="B1" s="2"/>
      <c r="C1" s="2"/>
      <c r="D1" s="2"/>
      <c r="E1" s="2"/>
      <c r="F1" s="2"/>
      <c r="G1" s="2"/>
    </row>
    <row r="2" ht="33.75" customHeight="1" spans="1:5">
      <c r="A2" s="3" t="s">
        <v>1</v>
      </c>
      <c r="B2" s="4"/>
      <c r="C2" s="4"/>
      <c r="D2" s="4"/>
      <c r="E2" s="4"/>
    </row>
    <row r="3" ht="33" customHeight="1" spans="1:16383">
      <c r="A3" s="3" t="s">
        <v>2</v>
      </c>
      <c r="B3" s="3"/>
      <c r="C3" s="3"/>
      <c r="D3" s="3"/>
      <c r="E3" s="5" t="s">
        <v>3</v>
      </c>
      <c r="F3" s="5" t="s">
        <v>4</v>
      </c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</row>
    <row r="4" s="1" customFormat="1" ht="33" customHeight="1" spans="1:7">
      <c r="A4" s="6" t="s">
        <v>5</v>
      </c>
      <c r="B4" s="6" t="s">
        <v>6</v>
      </c>
      <c r="C4" s="6" t="s">
        <v>7</v>
      </c>
      <c r="D4" s="6" t="s">
        <v>8</v>
      </c>
      <c r="E4" s="7" t="s">
        <v>9</v>
      </c>
      <c r="F4" s="6" t="s">
        <v>10</v>
      </c>
      <c r="G4" s="6" t="s">
        <v>11</v>
      </c>
    </row>
    <row r="5" s="1" customFormat="1" ht="21" customHeight="1" spans="1:7">
      <c r="A5" s="6">
        <v>1</v>
      </c>
      <c r="B5" s="8" t="s">
        <v>12</v>
      </c>
      <c r="C5" s="6">
        <v>59843</v>
      </c>
      <c r="D5" s="9" t="s">
        <v>13</v>
      </c>
      <c r="E5" s="9">
        <v>59843</v>
      </c>
      <c r="F5" s="9">
        <v>0</v>
      </c>
      <c r="G5" s="9" t="s">
        <v>14</v>
      </c>
    </row>
    <row r="6" s="1" customFormat="1" ht="21" customHeight="1" spans="1:7">
      <c r="A6" s="6">
        <v>2</v>
      </c>
      <c r="B6" s="6" t="s">
        <v>15</v>
      </c>
      <c r="C6" s="6">
        <v>59836</v>
      </c>
      <c r="D6" s="6" t="s">
        <v>16</v>
      </c>
      <c r="E6" s="6">
        <v>598185</v>
      </c>
      <c r="F6" s="6">
        <v>0</v>
      </c>
      <c r="G6" s="8" t="s">
        <v>14</v>
      </c>
    </row>
    <row r="7" s="1" customFormat="1" ht="21" customHeight="1" spans="1:7">
      <c r="A7" s="6">
        <v>3</v>
      </c>
      <c r="B7" s="6" t="s">
        <v>17</v>
      </c>
      <c r="C7" s="8">
        <v>59843</v>
      </c>
      <c r="D7" s="6"/>
      <c r="E7" s="6"/>
      <c r="F7" s="6"/>
      <c r="G7" s="8"/>
    </row>
    <row r="8" s="1" customFormat="1" ht="21" customHeight="1" spans="1:7">
      <c r="A8" s="6">
        <v>4</v>
      </c>
      <c r="B8" s="6" t="s">
        <v>18</v>
      </c>
      <c r="C8" s="6">
        <v>59843</v>
      </c>
      <c r="D8" s="6"/>
      <c r="E8" s="6"/>
      <c r="F8" s="6"/>
      <c r="G8" s="8"/>
    </row>
    <row r="9" s="1" customFormat="1" ht="21" customHeight="1" spans="1:7">
      <c r="A9" s="6">
        <v>5</v>
      </c>
      <c r="B9" s="6" t="s">
        <v>19</v>
      </c>
      <c r="C9" s="6">
        <v>39892</v>
      </c>
      <c r="D9" s="6"/>
      <c r="E9" s="6"/>
      <c r="F9" s="6"/>
      <c r="G9" s="8"/>
    </row>
    <row r="10" s="1" customFormat="1" ht="21" customHeight="1" spans="1:7">
      <c r="A10" s="6">
        <v>6</v>
      </c>
      <c r="B10" s="6" t="s">
        <v>20</v>
      </c>
      <c r="C10" s="6">
        <v>39896</v>
      </c>
      <c r="D10" s="6"/>
      <c r="E10" s="6"/>
      <c r="F10" s="6"/>
      <c r="G10" s="8"/>
    </row>
    <row r="11" s="1" customFormat="1" ht="21" customHeight="1" spans="1:7">
      <c r="A11" s="6">
        <v>7</v>
      </c>
      <c r="B11" s="6" t="s">
        <v>21</v>
      </c>
      <c r="C11" s="6">
        <v>39891</v>
      </c>
      <c r="D11" s="6"/>
      <c r="E11" s="6"/>
      <c r="F11" s="6"/>
      <c r="G11" s="8"/>
    </row>
    <row r="12" s="1" customFormat="1" ht="21" customHeight="1" spans="1:7">
      <c r="A12" s="6">
        <v>8</v>
      </c>
      <c r="B12" s="6" t="s">
        <v>22</v>
      </c>
      <c r="C12" s="6">
        <v>39897</v>
      </c>
      <c r="D12" s="6"/>
      <c r="E12" s="6"/>
      <c r="F12" s="6"/>
      <c r="G12" s="8"/>
    </row>
    <row r="13" s="1" customFormat="1" ht="21" customHeight="1" spans="1:7">
      <c r="A13" s="6">
        <v>9</v>
      </c>
      <c r="B13" s="6" t="s">
        <v>23</v>
      </c>
      <c r="C13" s="6">
        <v>39894</v>
      </c>
      <c r="D13" s="6"/>
      <c r="E13" s="6"/>
      <c r="F13" s="6"/>
      <c r="G13" s="8"/>
    </row>
    <row r="14" s="1" customFormat="1" ht="21" customHeight="1" spans="1:7">
      <c r="A14" s="6">
        <v>10</v>
      </c>
      <c r="B14" s="6" t="s">
        <v>24</v>
      </c>
      <c r="C14" s="6">
        <v>39676</v>
      </c>
      <c r="D14" s="6"/>
      <c r="E14" s="6"/>
      <c r="F14" s="6"/>
      <c r="G14" s="8"/>
    </row>
    <row r="15" s="1" customFormat="1" ht="21" customHeight="1" spans="1:7">
      <c r="A15" s="6">
        <v>11</v>
      </c>
      <c r="B15" s="6" t="s">
        <v>25</v>
      </c>
      <c r="C15" s="6">
        <v>39890</v>
      </c>
      <c r="D15" s="6"/>
      <c r="E15" s="6"/>
      <c r="F15" s="6"/>
      <c r="G15" s="8"/>
    </row>
    <row r="16" s="1" customFormat="1" ht="21" customHeight="1" spans="1:7">
      <c r="A16" s="6">
        <v>12</v>
      </c>
      <c r="B16" s="6" t="s">
        <v>26</v>
      </c>
      <c r="C16" s="6">
        <v>39892</v>
      </c>
      <c r="D16" s="6"/>
      <c r="E16" s="6"/>
      <c r="F16" s="6"/>
      <c r="G16" s="8"/>
    </row>
    <row r="17" s="1" customFormat="1" ht="21" customHeight="1" spans="1:7">
      <c r="A17" s="6">
        <v>13</v>
      </c>
      <c r="B17" s="6" t="s">
        <v>27</v>
      </c>
      <c r="C17" s="6">
        <v>19946</v>
      </c>
      <c r="D17" s="6"/>
      <c r="E17" s="6"/>
      <c r="F17" s="6"/>
      <c r="G17" s="8"/>
    </row>
    <row r="18" s="1" customFormat="1" ht="21" customHeight="1" spans="1:7">
      <c r="A18" s="6">
        <v>14</v>
      </c>
      <c r="B18" s="6" t="s">
        <v>28</v>
      </c>
      <c r="C18" s="6">
        <v>19945</v>
      </c>
      <c r="D18" s="6"/>
      <c r="E18" s="6"/>
      <c r="F18" s="6"/>
      <c r="G18" s="8"/>
    </row>
    <row r="19" s="1" customFormat="1" ht="21" customHeight="1" spans="1:7">
      <c r="A19" s="6">
        <v>15</v>
      </c>
      <c r="B19" s="6" t="s">
        <v>29</v>
      </c>
      <c r="C19" s="6">
        <v>19946</v>
      </c>
      <c r="D19" s="6"/>
      <c r="E19" s="6"/>
      <c r="F19" s="6"/>
      <c r="G19" s="8"/>
    </row>
    <row r="20" s="1" customFormat="1" ht="21" customHeight="1" spans="1:7">
      <c r="A20" s="6">
        <v>16</v>
      </c>
      <c r="B20" s="6" t="s">
        <v>30</v>
      </c>
      <c r="C20" s="6">
        <v>19949</v>
      </c>
      <c r="D20" s="6"/>
      <c r="E20" s="6"/>
      <c r="F20" s="6"/>
      <c r="G20" s="8"/>
    </row>
    <row r="21" s="1" customFormat="1" ht="21" customHeight="1" spans="1:7">
      <c r="A21" s="6">
        <v>17</v>
      </c>
      <c r="B21" s="6" t="s">
        <v>31</v>
      </c>
      <c r="C21" s="6">
        <v>19949</v>
      </c>
      <c r="D21" s="6"/>
      <c r="E21" s="6"/>
      <c r="F21" s="6"/>
      <c r="G21" s="8"/>
    </row>
    <row r="22" s="1" customFormat="1" ht="21" customHeight="1" spans="1:7">
      <c r="A22" s="6">
        <v>18</v>
      </c>
      <c r="B22" s="6" t="s">
        <v>32</v>
      </c>
      <c r="C22" s="6">
        <v>19946</v>
      </c>
      <c r="D22" s="6" t="s">
        <v>33</v>
      </c>
      <c r="E22" s="6">
        <v>139455</v>
      </c>
      <c r="F22" s="6">
        <v>0</v>
      </c>
      <c r="G22" s="8" t="s">
        <v>14</v>
      </c>
    </row>
    <row r="23" s="1" customFormat="1" ht="21" customHeight="1" spans="1:7">
      <c r="A23" s="6">
        <v>19</v>
      </c>
      <c r="B23" s="6" t="s">
        <v>34</v>
      </c>
      <c r="C23" s="6">
        <v>39875</v>
      </c>
      <c r="D23" s="6"/>
      <c r="E23" s="6"/>
      <c r="F23" s="6"/>
      <c r="G23" s="8"/>
    </row>
    <row r="24" s="1" customFormat="1" ht="21" customHeight="1" spans="1:7">
      <c r="A24" s="6">
        <v>20</v>
      </c>
      <c r="B24" s="6" t="s">
        <v>35</v>
      </c>
      <c r="C24" s="6">
        <v>39829</v>
      </c>
      <c r="D24" s="6"/>
      <c r="E24" s="6"/>
      <c r="F24" s="6"/>
      <c r="G24" s="8"/>
    </row>
    <row r="25" s="1" customFormat="1" ht="21" customHeight="1" spans="1:7">
      <c r="A25" s="6">
        <v>21</v>
      </c>
      <c r="B25" s="6" t="s">
        <v>36</v>
      </c>
      <c r="C25" s="6">
        <v>19901</v>
      </c>
      <c r="D25" s="6"/>
      <c r="E25" s="6"/>
      <c r="F25" s="6"/>
      <c r="G25" s="8"/>
    </row>
    <row r="26" s="1" customFormat="1" ht="21" customHeight="1" spans="1:7">
      <c r="A26" s="6">
        <v>22</v>
      </c>
      <c r="B26" s="6" t="s">
        <v>37</v>
      </c>
      <c r="C26" s="6">
        <v>19904</v>
      </c>
      <c r="D26" s="6"/>
      <c r="E26" s="6"/>
      <c r="F26" s="6"/>
      <c r="G26" s="8"/>
    </row>
    <row r="27" s="1" customFormat="1" ht="21" customHeight="1" spans="1:7">
      <c r="A27" s="6">
        <v>23</v>
      </c>
      <c r="B27" s="6" t="s">
        <v>38</v>
      </c>
      <c r="C27" s="6">
        <v>39812</v>
      </c>
      <c r="D27" s="10" t="s">
        <v>39</v>
      </c>
      <c r="E27" s="10">
        <v>39812</v>
      </c>
      <c r="F27" s="10">
        <v>0</v>
      </c>
      <c r="G27" s="17" t="s">
        <v>14</v>
      </c>
    </row>
    <row r="28" s="1" customFormat="1" ht="21" customHeight="1" spans="1:7">
      <c r="A28" s="6"/>
      <c r="B28" s="6"/>
      <c r="C28" s="6"/>
      <c r="D28" s="6"/>
      <c r="E28" s="6"/>
      <c r="F28" s="6"/>
      <c r="G28" s="8"/>
    </row>
    <row r="29" s="1" customFormat="1" ht="21" customHeight="1" spans="1:7">
      <c r="A29" s="6"/>
      <c r="B29" s="6"/>
      <c r="C29" s="6"/>
      <c r="D29" s="6"/>
      <c r="E29" s="6"/>
      <c r="F29" s="6"/>
      <c r="G29" s="8"/>
    </row>
    <row r="30" s="1" customFormat="1" ht="21" customHeight="1" spans="1:7">
      <c r="A30" s="6"/>
      <c r="B30" s="6"/>
      <c r="C30" s="6"/>
      <c r="D30" s="6"/>
      <c r="E30" s="6"/>
      <c r="F30" s="6"/>
      <c r="G30" s="8"/>
    </row>
    <row r="31" s="1" customFormat="1" ht="21" customHeight="1" spans="1:7">
      <c r="A31" s="6"/>
      <c r="B31" s="6" t="s">
        <v>40</v>
      </c>
      <c r="C31" s="6">
        <f>SUM(C5:C30)</f>
        <v>837295</v>
      </c>
      <c r="D31" s="6"/>
      <c r="E31" s="6"/>
      <c r="F31" s="6"/>
      <c r="G31" s="8"/>
    </row>
  </sheetData>
  <mergeCells count="10">
    <mergeCell ref="A1:G1"/>
    <mergeCell ref="F3:G3"/>
    <mergeCell ref="D6:D21"/>
    <mergeCell ref="D22:D26"/>
    <mergeCell ref="E6:E21"/>
    <mergeCell ref="E22:E26"/>
    <mergeCell ref="F6:F21"/>
    <mergeCell ref="F22:F26"/>
    <mergeCell ref="G6:G21"/>
    <mergeCell ref="G22:G2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9"/>
  <sheetViews>
    <sheetView topLeftCell="A22" workbookViewId="0">
      <selection activeCell="H27" sqref="H27"/>
    </sheetView>
  </sheetViews>
  <sheetFormatPr defaultColWidth="9" defaultRowHeight="14.25"/>
  <cols>
    <col min="1" max="1" width="3.625" style="22" customWidth="1"/>
    <col min="2" max="2" width="11.75" style="22" customWidth="1"/>
    <col min="3" max="3" width="10.75" style="22" customWidth="1"/>
    <col min="4" max="4" width="10.125" style="22" customWidth="1"/>
    <col min="5" max="5" width="12" style="22" customWidth="1"/>
    <col min="6" max="6" width="7.375" style="22" customWidth="1"/>
    <col min="7" max="7" width="11.75" style="22" customWidth="1"/>
    <col min="8" max="8" width="10.125" style="22" customWidth="1"/>
    <col min="9" max="9" width="11.875" style="22" customWidth="1"/>
  </cols>
  <sheetData>
    <row r="1" ht="36" customHeight="1" spans="1:9">
      <c r="A1" s="2" t="s">
        <v>41</v>
      </c>
      <c r="B1" s="2"/>
      <c r="C1" s="4"/>
      <c r="D1" s="4"/>
      <c r="E1" s="4"/>
      <c r="F1" s="4"/>
      <c r="G1" s="4"/>
      <c r="H1" s="4"/>
      <c r="I1" s="4"/>
    </row>
    <row r="2" s="1" customFormat="1" ht="44.25" customHeight="1" spans="1:9">
      <c r="A2" s="23" t="s">
        <v>5</v>
      </c>
      <c r="B2" s="24" t="s">
        <v>42</v>
      </c>
      <c r="C2" s="24" t="s">
        <v>43</v>
      </c>
      <c r="D2" s="24" t="s">
        <v>44</v>
      </c>
      <c r="E2" s="23" t="s">
        <v>7</v>
      </c>
      <c r="F2" s="23" t="s">
        <v>8</v>
      </c>
      <c r="G2" s="23" t="s">
        <v>45</v>
      </c>
      <c r="H2" s="24" t="s">
        <v>10</v>
      </c>
      <c r="I2" s="24" t="s">
        <v>11</v>
      </c>
    </row>
    <row r="3" s="1" customFormat="1" ht="24.95" customHeight="1" spans="1:9">
      <c r="A3" s="6">
        <v>1</v>
      </c>
      <c r="B3" s="8" t="s">
        <v>46</v>
      </c>
      <c r="C3" s="6" t="s">
        <v>47</v>
      </c>
      <c r="D3" s="26" t="s">
        <v>48</v>
      </c>
      <c r="E3" s="6">
        <v>29859</v>
      </c>
      <c r="F3" s="6" t="s">
        <v>49</v>
      </c>
      <c r="G3" s="6">
        <v>468456</v>
      </c>
      <c r="H3" s="6">
        <v>0</v>
      </c>
      <c r="I3" s="6" t="s">
        <v>50</v>
      </c>
    </row>
    <row r="4" s="1" customFormat="1" ht="24.95" customHeight="1" spans="1:9">
      <c r="A4" s="6">
        <v>2</v>
      </c>
      <c r="B4" s="8" t="s">
        <v>51</v>
      </c>
      <c r="C4" s="6" t="s">
        <v>47</v>
      </c>
      <c r="D4" s="26" t="s">
        <v>48</v>
      </c>
      <c r="E4" s="6">
        <v>29852</v>
      </c>
      <c r="F4" s="6"/>
      <c r="G4" s="6"/>
      <c r="H4" s="6">
        <v>0</v>
      </c>
      <c r="I4" s="6" t="s">
        <v>50</v>
      </c>
    </row>
    <row r="5" s="1" customFormat="1" ht="24.95" customHeight="1" spans="1:9">
      <c r="A5" s="6">
        <v>3</v>
      </c>
      <c r="B5" s="8" t="s">
        <v>52</v>
      </c>
      <c r="C5" s="6" t="s">
        <v>47</v>
      </c>
      <c r="D5" s="26" t="s">
        <v>48</v>
      </c>
      <c r="E5" s="6">
        <v>59799</v>
      </c>
      <c r="F5" s="6"/>
      <c r="G5" s="6"/>
      <c r="H5" s="6">
        <v>0</v>
      </c>
      <c r="I5" s="6" t="s">
        <v>50</v>
      </c>
    </row>
    <row r="6" s="1" customFormat="1" ht="24.95" customHeight="1" spans="1:9">
      <c r="A6" s="6">
        <v>4</v>
      </c>
      <c r="B6" s="8" t="s">
        <v>53</v>
      </c>
      <c r="C6" s="6" t="s">
        <v>47</v>
      </c>
      <c r="D6" s="26" t="s">
        <v>48</v>
      </c>
      <c r="E6" s="6">
        <v>29895</v>
      </c>
      <c r="F6" s="6"/>
      <c r="G6" s="6"/>
      <c r="H6" s="6">
        <v>0</v>
      </c>
      <c r="I6" s="6" t="s">
        <v>50</v>
      </c>
    </row>
    <row r="7" s="1" customFormat="1" ht="24.95" customHeight="1" spans="1:9">
      <c r="A7" s="6">
        <v>5</v>
      </c>
      <c r="B7" s="8" t="s">
        <v>54</v>
      </c>
      <c r="C7" s="6" t="s">
        <v>47</v>
      </c>
      <c r="D7" s="26" t="s">
        <v>48</v>
      </c>
      <c r="E7" s="6">
        <v>39868</v>
      </c>
      <c r="F7" s="6"/>
      <c r="G7" s="6"/>
      <c r="H7" s="6">
        <v>0</v>
      </c>
      <c r="I7" s="6" t="s">
        <v>50</v>
      </c>
    </row>
    <row r="8" s="1" customFormat="1" ht="24.95" customHeight="1" spans="1:9">
      <c r="A8" s="6">
        <v>6</v>
      </c>
      <c r="B8" s="8" t="s">
        <v>55</v>
      </c>
      <c r="C8" s="6" t="s">
        <v>47</v>
      </c>
      <c r="D8" s="26" t="s">
        <v>48</v>
      </c>
      <c r="E8" s="6">
        <v>19935</v>
      </c>
      <c r="F8" s="6"/>
      <c r="G8" s="6"/>
      <c r="H8" s="6">
        <v>0</v>
      </c>
      <c r="I8" s="6" t="s">
        <v>50</v>
      </c>
    </row>
    <row r="9" s="1" customFormat="1" ht="24.95" customHeight="1" spans="1:9">
      <c r="A9" s="6">
        <v>7</v>
      </c>
      <c r="B9" s="8" t="s">
        <v>56</v>
      </c>
      <c r="C9" s="6" t="s">
        <v>47</v>
      </c>
      <c r="D9" s="26" t="s">
        <v>48</v>
      </c>
      <c r="E9" s="6">
        <v>19938</v>
      </c>
      <c r="F9" s="6"/>
      <c r="G9" s="6"/>
      <c r="H9" s="6">
        <v>0</v>
      </c>
      <c r="I9" s="6" t="s">
        <v>50</v>
      </c>
    </row>
    <row r="10" s="1" customFormat="1" ht="24.95" customHeight="1" spans="1:9">
      <c r="A10" s="6">
        <v>8</v>
      </c>
      <c r="B10" s="8" t="s">
        <v>57</v>
      </c>
      <c r="C10" s="6" t="s">
        <v>47</v>
      </c>
      <c r="D10" s="26" t="s">
        <v>48</v>
      </c>
      <c r="E10" s="6">
        <v>59779</v>
      </c>
      <c r="F10" s="6"/>
      <c r="G10" s="6"/>
      <c r="H10" s="6">
        <v>0</v>
      </c>
      <c r="I10" s="6" t="s">
        <v>50</v>
      </c>
    </row>
    <row r="11" s="1" customFormat="1" ht="24.95" customHeight="1" spans="1:9">
      <c r="A11" s="6">
        <v>9</v>
      </c>
      <c r="B11" s="8" t="s">
        <v>58</v>
      </c>
      <c r="C11" s="6" t="s">
        <v>47</v>
      </c>
      <c r="D11" s="26" t="s">
        <v>48</v>
      </c>
      <c r="E11" s="6">
        <v>19941</v>
      </c>
      <c r="F11" s="6"/>
      <c r="G11" s="6"/>
      <c r="H11" s="6">
        <v>0</v>
      </c>
      <c r="I11" s="6" t="s">
        <v>50</v>
      </c>
    </row>
    <row r="12" s="1" customFormat="1" ht="24.95" customHeight="1" spans="1:9">
      <c r="A12" s="6">
        <v>10</v>
      </c>
      <c r="B12" s="8" t="s">
        <v>59</v>
      </c>
      <c r="C12" s="6" t="s">
        <v>47</v>
      </c>
      <c r="D12" s="26" t="s">
        <v>48</v>
      </c>
      <c r="E12" s="6">
        <v>19947</v>
      </c>
      <c r="F12" s="6"/>
      <c r="G12" s="6"/>
      <c r="H12" s="6">
        <v>0</v>
      </c>
      <c r="I12" s="6" t="s">
        <v>50</v>
      </c>
    </row>
    <row r="13" s="1" customFormat="1" ht="24.95" customHeight="1" spans="1:9">
      <c r="A13" s="6">
        <v>11</v>
      </c>
      <c r="B13" s="8" t="s">
        <v>60</v>
      </c>
      <c r="C13" s="6" t="s">
        <v>47</v>
      </c>
      <c r="D13" s="26" t="s">
        <v>48</v>
      </c>
      <c r="E13" s="6">
        <v>19947</v>
      </c>
      <c r="F13" s="6"/>
      <c r="G13" s="6"/>
      <c r="H13" s="6">
        <v>0</v>
      </c>
      <c r="I13" s="6" t="s">
        <v>50</v>
      </c>
    </row>
    <row r="14" s="1" customFormat="1" ht="24.95" customHeight="1" spans="1:9">
      <c r="A14" s="6">
        <v>12</v>
      </c>
      <c r="B14" s="8" t="s">
        <v>61</v>
      </c>
      <c r="C14" s="6" t="s">
        <v>47</v>
      </c>
      <c r="D14" s="26" t="s">
        <v>48</v>
      </c>
      <c r="E14" s="6">
        <v>19947</v>
      </c>
      <c r="F14" s="6"/>
      <c r="G14" s="6"/>
      <c r="H14" s="6">
        <v>0</v>
      </c>
      <c r="I14" s="6" t="s">
        <v>50</v>
      </c>
    </row>
    <row r="15" s="1" customFormat="1" ht="24.95" customHeight="1" spans="1:9">
      <c r="A15" s="6">
        <v>13</v>
      </c>
      <c r="B15" s="8" t="s">
        <v>62</v>
      </c>
      <c r="C15" s="6" t="s">
        <v>47</v>
      </c>
      <c r="D15" s="26" t="s">
        <v>48</v>
      </c>
      <c r="E15" s="6">
        <v>19952</v>
      </c>
      <c r="F15" s="6"/>
      <c r="G15" s="6"/>
      <c r="H15" s="6">
        <v>0</v>
      </c>
      <c r="I15" s="6" t="s">
        <v>50</v>
      </c>
    </row>
    <row r="16" s="1" customFormat="1" ht="24.95" customHeight="1" spans="1:9">
      <c r="A16" s="6">
        <v>14</v>
      </c>
      <c r="B16" s="8" t="s">
        <v>63</v>
      </c>
      <c r="C16" s="6" t="s">
        <v>47</v>
      </c>
      <c r="D16" s="26" t="s">
        <v>48</v>
      </c>
      <c r="E16" s="6">
        <v>9974</v>
      </c>
      <c r="F16" s="6"/>
      <c r="G16" s="6"/>
      <c r="H16" s="6">
        <v>0</v>
      </c>
      <c r="I16" s="6" t="s">
        <v>50</v>
      </c>
    </row>
    <row r="17" s="1" customFormat="1" ht="24.95" customHeight="1" spans="1:9">
      <c r="A17" s="6">
        <v>15</v>
      </c>
      <c r="B17" s="8" t="s">
        <v>64</v>
      </c>
      <c r="C17" s="6" t="s">
        <v>47</v>
      </c>
      <c r="D17" s="26" t="s">
        <v>48</v>
      </c>
      <c r="E17" s="6">
        <v>59851</v>
      </c>
      <c r="F17" s="6"/>
      <c r="G17" s="6"/>
      <c r="H17" s="6">
        <v>0</v>
      </c>
      <c r="I17" s="6" t="s">
        <v>50</v>
      </c>
    </row>
    <row r="18" s="1" customFormat="1" ht="24.95" customHeight="1" spans="1:9">
      <c r="A18" s="6">
        <v>16</v>
      </c>
      <c r="B18" s="8" t="s">
        <v>65</v>
      </c>
      <c r="C18" s="6" t="s">
        <v>47</v>
      </c>
      <c r="D18" s="26" t="s">
        <v>48</v>
      </c>
      <c r="E18" s="6">
        <v>9972</v>
      </c>
      <c r="F18" s="6"/>
      <c r="G18" s="6"/>
      <c r="H18" s="6">
        <v>0</v>
      </c>
      <c r="I18" s="6" t="s">
        <v>50</v>
      </c>
    </row>
    <row r="19" s="1" customFormat="1" ht="24.95" customHeight="1" spans="1:9">
      <c r="A19" s="6">
        <v>17</v>
      </c>
      <c r="B19" s="18" t="s">
        <v>66</v>
      </c>
      <c r="C19" s="6" t="s">
        <v>47</v>
      </c>
      <c r="D19" s="26" t="s">
        <v>48</v>
      </c>
      <c r="E19" s="12">
        <v>29894</v>
      </c>
      <c r="F19" s="6" t="s">
        <v>67</v>
      </c>
      <c r="G19" s="6">
        <v>129561</v>
      </c>
      <c r="H19" s="6">
        <v>0</v>
      </c>
      <c r="I19" s="6" t="s">
        <v>50</v>
      </c>
    </row>
    <row r="20" s="1" customFormat="1" ht="24.95" customHeight="1" spans="1:9">
      <c r="A20" s="6">
        <v>18</v>
      </c>
      <c r="B20" s="18" t="s">
        <v>68</v>
      </c>
      <c r="C20" s="6" t="s">
        <v>47</v>
      </c>
      <c r="D20" s="26" t="s">
        <v>48</v>
      </c>
      <c r="E20" s="6">
        <v>19942</v>
      </c>
      <c r="F20" s="6"/>
      <c r="G20" s="6"/>
      <c r="H20" s="6">
        <v>0</v>
      </c>
      <c r="I20" s="6" t="s">
        <v>50</v>
      </c>
    </row>
    <row r="21" s="1" customFormat="1" ht="24.95" customHeight="1" spans="1:9">
      <c r="A21" s="6">
        <v>19</v>
      </c>
      <c r="B21" s="8" t="s">
        <v>69</v>
      </c>
      <c r="C21" s="6" t="s">
        <v>47</v>
      </c>
      <c r="D21" s="26" t="s">
        <v>48</v>
      </c>
      <c r="E21" s="6">
        <v>39872</v>
      </c>
      <c r="F21" s="6"/>
      <c r="G21" s="6"/>
      <c r="H21" s="6">
        <v>0</v>
      </c>
      <c r="I21" s="6" t="s">
        <v>50</v>
      </c>
    </row>
    <row r="22" s="1" customFormat="1" ht="24.95" customHeight="1" spans="1:9">
      <c r="A22" s="6">
        <v>20</v>
      </c>
      <c r="B22" s="8" t="s">
        <v>70</v>
      </c>
      <c r="C22" s="8" t="s">
        <v>71</v>
      </c>
      <c r="D22" s="26" t="s">
        <v>48</v>
      </c>
      <c r="E22" s="6">
        <v>19932</v>
      </c>
      <c r="F22" s="6"/>
      <c r="G22" s="6"/>
      <c r="H22" s="6">
        <v>0</v>
      </c>
      <c r="I22" s="6" t="s">
        <v>50</v>
      </c>
    </row>
    <row r="23" s="1" customFormat="1" ht="24.95" customHeight="1" spans="1:9">
      <c r="A23" s="6">
        <v>21</v>
      </c>
      <c r="B23" s="8" t="s">
        <v>72</v>
      </c>
      <c r="C23" s="8" t="s">
        <v>71</v>
      </c>
      <c r="D23" s="26" t="s">
        <v>48</v>
      </c>
      <c r="E23" s="6">
        <v>19921</v>
      </c>
      <c r="F23" s="6"/>
      <c r="G23" s="6"/>
      <c r="H23" s="6">
        <v>0</v>
      </c>
      <c r="I23" s="6" t="s">
        <v>50</v>
      </c>
    </row>
    <row r="24" s="1" customFormat="1" ht="24.95" customHeight="1" spans="1:9">
      <c r="A24" s="6"/>
      <c r="B24" s="6"/>
      <c r="C24" s="26" t="s">
        <v>73</v>
      </c>
      <c r="D24" s="26"/>
      <c r="E24" s="6">
        <f>SUM(E3:E23)</f>
        <v>598017</v>
      </c>
      <c r="F24" s="6"/>
      <c r="G24" s="6"/>
      <c r="H24" s="6"/>
      <c r="I24" s="6"/>
    </row>
    <row r="25" s="1" customFormat="1" ht="24.95" customHeight="1" spans="1:9">
      <c r="A25" s="6"/>
      <c r="B25" s="6"/>
      <c r="C25" s="6"/>
      <c r="D25" s="6"/>
      <c r="E25" s="6"/>
      <c r="F25" s="6"/>
      <c r="G25" s="6"/>
      <c r="H25" s="6"/>
      <c r="I25" s="6"/>
    </row>
    <row r="36" ht="36" customHeight="1" spans="1:9">
      <c r="A36" s="2" t="s">
        <v>41</v>
      </c>
      <c r="B36" s="2"/>
      <c r="C36" s="4"/>
      <c r="D36" s="4"/>
      <c r="E36" s="4"/>
      <c r="F36" s="4"/>
      <c r="G36" s="4"/>
      <c r="H36" s="4"/>
      <c r="I36" s="4"/>
    </row>
    <row r="37" s="1" customFormat="1" ht="44.25" customHeight="1" spans="1:9">
      <c r="A37" s="23" t="s">
        <v>5</v>
      </c>
      <c r="B37" s="24" t="s">
        <v>42</v>
      </c>
      <c r="C37" s="24" t="s">
        <v>43</v>
      </c>
      <c r="D37" s="24" t="s">
        <v>44</v>
      </c>
      <c r="E37" s="23" t="s">
        <v>7</v>
      </c>
      <c r="F37" s="23" t="s">
        <v>8</v>
      </c>
      <c r="G37" s="23" t="s">
        <v>45</v>
      </c>
      <c r="H37" s="24" t="s">
        <v>10</v>
      </c>
      <c r="I37" s="24" t="s">
        <v>11</v>
      </c>
    </row>
    <row r="38" s="1" customFormat="1" ht="24.95" customHeight="1" spans="1:9">
      <c r="A38" s="6">
        <v>1</v>
      </c>
      <c r="B38" s="8" t="s">
        <v>74</v>
      </c>
      <c r="C38" s="6" t="s">
        <v>47</v>
      </c>
      <c r="D38" s="26" t="s">
        <v>48</v>
      </c>
      <c r="E38" s="6">
        <v>39824</v>
      </c>
      <c r="F38" s="6" t="s">
        <v>39</v>
      </c>
      <c r="G38" s="6">
        <v>216456</v>
      </c>
      <c r="H38" s="6">
        <v>0</v>
      </c>
      <c r="I38" s="6" t="s">
        <v>50</v>
      </c>
    </row>
    <row r="39" s="1" customFormat="1" ht="24.95" customHeight="1" spans="1:9">
      <c r="A39" s="6">
        <v>2</v>
      </c>
      <c r="B39" s="8" t="s">
        <v>75</v>
      </c>
      <c r="C39" s="6" t="s">
        <v>47</v>
      </c>
      <c r="D39" s="26" t="s">
        <v>48</v>
      </c>
      <c r="E39" s="6">
        <v>39895</v>
      </c>
      <c r="F39" s="6"/>
      <c r="G39" s="6"/>
      <c r="H39" s="6">
        <v>0</v>
      </c>
      <c r="I39" s="6" t="s">
        <v>50</v>
      </c>
    </row>
    <row r="40" s="1" customFormat="1" ht="24.95" customHeight="1" spans="1:9">
      <c r="A40" s="6">
        <v>3</v>
      </c>
      <c r="B40" s="8" t="s">
        <v>76</v>
      </c>
      <c r="C40" s="6" t="s">
        <v>47</v>
      </c>
      <c r="D40" s="26" t="s">
        <v>48</v>
      </c>
      <c r="E40" s="6">
        <v>19947</v>
      </c>
      <c r="F40" s="6"/>
      <c r="G40" s="6"/>
      <c r="H40" s="6">
        <v>0</v>
      </c>
      <c r="I40" s="6" t="s">
        <v>50</v>
      </c>
    </row>
    <row r="41" s="1" customFormat="1" ht="24.95" customHeight="1" spans="1:9">
      <c r="A41" s="6">
        <v>4</v>
      </c>
      <c r="B41" s="8" t="s">
        <v>77</v>
      </c>
      <c r="C41" s="6" t="s">
        <v>47</v>
      </c>
      <c r="D41" s="26" t="s">
        <v>48</v>
      </c>
      <c r="E41" s="6">
        <v>19943</v>
      </c>
      <c r="F41" s="6"/>
      <c r="G41" s="6"/>
      <c r="H41" s="6">
        <v>0</v>
      </c>
      <c r="I41" s="6" t="s">
        <v>50</v>
      </c>
    </row>
    <row r="42" s="1" customFormat="1" ht="24.95" customHeight="1" spans="1:9">
      <c r="A42" s="6">
        <v>5</v>
      </c>
      <c r="B42" s="8" t="s">
        <v>78</v>
      </c>
      <c r="C42" s="6" t="s">
        <v>47</v>
      </c>
      <c r="D42" s="26" t="s">
        <v>48</v>
      </c>
      <c r="E42" s="6">
        <v>39899</v>
      </c>
      <c r="F42" s="6"/>
      <c r="G42" s="6"/>
      <c r="H42" s="6">
        <v>0</v>
      </c>
      <c r="I42" s="6" t="s">
        <v>50</v>
      </c>
    </row>
    <row r="43" s="1" customFormat="1" ht="24.95" customHeight="1" spans="1:9">
      <c r="A43" s="6">
        <v>6</v>
      </c>
      <c r="B43" s="8" t="s">
        <v>79</v>
      </c>
      <c r="C43" s="6" t="s">
        <v>47</v>
      </c>
      <c r="D43" s="26" t="s">
        <v>48</v>
      </c>
      <c r="E43" s="6">
        <v>17057</v>
      </c>
      <c r="F43" s="6"/>
      <c r="G43" s="6"/>
      <c r="H43" s="6">
        <v>0</v>
      </c>
      <c r="I43" s="6" t="s">
        <v>50</v>
      </c>
    </row>
    <row r="44" s="1" customFormat="1" ht="24.95" customHeight="1" spans="1:9">
      <c r="A44" s="6">
        <v>7</v>
      </c>
      <c r="B44" s="8" t="s">
        <v>80</v>
      </c>
      <c r="C44" s="6" t="s">
        <v>47</v>
      </c>
      <c r="D44" s="26" t="s">
        <v>48</v>
      </c>
      <c r="E44" s="6">
        <v>39891</v>
      </c>
      <c r="F44" s="6"/>
      <c r="G44" s="6"/>
      <c r="H44" s="6">
        <v>0</v>
      </c>
      <c r="I44" s="6" t="s">
        <v>50</v>
      </c>
    </row>
    <row r="45" s="1" customFormat="1" ht="24.95" customHeight="1" spans="1:9">
      <c r="A45" s="6">
        <v>8</v>
      </c>
      <c r="B45" s="8" t="s">
        <v>81</v>
      </c>
      <c r="C45" s="6" t="s">
        <v>47</v>
      </c>
      <c r="D45" s="26" t="s">
        <v>48</v>
      </c>
      <c r="E45" s="6">
        <v>19919</v>
      </c>
      <c r="F45" s="6" t="s">
        <v>82</v>
      </c>
      <c r="G45" s="6">
        <v>179381</v>
      </c>
      <c r="H45" s="6">
        <v>0</v>
      </c>
      <c r="I45" s="6" t="s">
        <v>50</v>
      </c>
    </row>
    <row r="46" s="1" customFormat="1" ht="24.95" customHeight="1" spans="1:9">
      <c r="A46" s="6">
        <v>9</v>
      </c>
      <c r="B46" s="8" t="s">
        <v>83</v>
      </c>
      <c r="C46" s="6" t="s">
        <v>47</v>
      </c>
      <c r="D46" s="26" t="s">
        <v>48</v>
      </c>
      <c r="E46" s="6">
        <v>19921</v>
      </c>
      <c r="F46" s="6"/>
      <c r="G46" s="6"/>
      <c r="H46" s="6">
        <v>0</v>
      </c>
      <c r="I46" s="6" t="s">
        <v>50</v>
      </c>
    </row>
    <row r="47" s="1" customFormat="1" ht="24.95" customHeight="1" spans="1:9">
      <c r="A47" s="6">
        <v>10</v>
      </c>
      <c r="B47" s="8" t="s">
        <v>84</v>
      </c>
      <c r="C47" s="6" t="s">
        <v>47</v>
      </c>
      <c r="D47" s="26" t="s">
        <v>48</v>
      </c>
      <c r="E47" s="6">
        <v>19933</v>
      </c>
      <c r="F47" s="6"/>
      <c r="G47" s="6"/>
      <c r="H47" s="6">
        <v>0</v>
      </c>
      <c r="I47" s="6" t="s">
        <v>50</v>
      </c>
    </row>
    <row r="48" s="1" customFormat="1" ht="24.95" customHeight="1" spans="1:9">
      <c r="A48" s="6">
        <v>11</v>
      </c>
      <c r="B48" s="8" t="s">
        <v>85</v>
      </c>
      <c r="C48" s="6" t="s">
        <v>47</v>
      </c>
      <c r="D48" s="26" t="s">
        <v>48</v>
      </c>
      <c r="E48" s="6">
        <v>19936</v>
      </c>
      <c r="F48" s="6"/>
      <c r="G48" s="6"/>
      <c r="H48" s="6">
        <v>0</v>
      </c>
      <c r="I48" s="6" t="s">
        <v>50</v>
      </c>
    </row>
    <row r="49" s="1" customFormat="1" ht="24.95" customHeight="1" spans="1:9">
      <c r="A49" s="6">
        <v>12</v>
      </c>
      <c r="B49" s="6" t="s">
        <v>86</v>
      </c>
      <c r="C49" s="6" t="s">
        <v>47</v>
      </c>
      <c r="D49" s="26" t="s">
        <v>48</v>
      </c>
      <c r="E49" s="6">
        <v>19929</v>
      </c>
      <c r="F49" s="6"/>
      <c r="G49" s="6"/>
      <c r="H49" s="6">
        <v>0</v>
      </c>
      <c r="I49" s="6" t="s">
        <v>50</v>
      </c>
    </row>
    <row r="50" s="1" customFormat="1" ht="24.95" customHeight="1" spans="1:9">
      <c r="A50" s="6">
        <v>13</v>
      </c>
      <c r="B50" s="6" t="s">
        <v>87</v>
      </c>
      <c r="C50" s="6" t="s">
        <v>47</v>
      </c>
      <c r="D50" s="26" t="s">
        <v>48</v>
      </c>
      <c r="E50" s="6">
        <v>19933</v>
      </c>
      <c r="F50" s="6"/>
      <c r="G50" s="6"/>
      <c r="H50" s="6">
        <v>0</v>
      </c>
      <c r="I50" s="6" t="s">
        <v>50</v>
      </c>
    </row>
    <row r="51" s="1" customFormat="1" ht="24.95" customHeight="1" spans="1:9">
      <c r="A51" s="6">
        <v>14</v>
      </c>
      <c r="B51" s="6" t="s">
        <v>88</v>
      </c>
      <c r="C51" s="6" t="s">
        <v>47</v>
      </c>
      <c r="D51" s="26" t="s">
        <v>48</v>
      </c>
      <c r="E51" s="6">
        <v>19934</v>
      </c>
      <c r="F51" s="6"/>
      <c r="G51" s="6"/>
      <c r="H51" s="6">
        <v>0</v>
      </c>
      <c r="I51" s="6" t="s">
        <v>50</v>
      </c>
    </row>
    <row r="52" s="1" customFormat="1" ht="24.95" customHeight="1" spans="1:9">
      <c r="A52" s="6">
        <v>15</v>
      </c>
      <c r="B52" s="6" t="s">
        <v>89</v>
      </c>
      <c r="C52" s="6" t="s">
        <v>47</v>
      </c>
      <c r="D52" s="26" t="s">
        <v>48</v>
      </c>
      <c r="E52" s="6">
        <v>19935</v>
      </c>
      <c r="F52" s="6"/>
      <c r="G52" s="6"/>
      <c r="H52" s="6">
        <v>0</v>
      </c>
      <c r="I52" s="6" t="s">
        <v>50</v>
      </c>
    </row>
    <row r="53" s="1" customFormat="1" ht="24.95" customHeight="1" spans="1:9">
      <c r="A53" s="6">
        <v>16</v>
      </c>
      <c r="B53" s="6" t="s">
        <v>90</v>
      </c>
      <c r="C53" s="6" t="s">
        <v>47</v>
      </c>
      <c r="D53" s="26" t="s">
        <v>48</v>
      </c>
      <c r="E53" s="6">
        <v>19941</v>
      </c>
      <c r="F53" s="6"/>
      <c r="G53" s="6"/>
      <c r="H53" s="6">
        <v>0</v>
      </c>
      <c r="I53" s="6" t="s">
        <v>50</v>
      </c>
    </row>
    <row r="54" s="1" customFormat="1" ht="24.95" customHeight="1" spans="1:9">
      <c r="A54" s="6">
        <v>17</v>
      </c>
      <c r="B54" s="25"/>
      <c r="C54" s="6"/>
      <c r="D54" s="6"/>
      <c r="E54" s="6"/>
      <c r="F54" s="6"/>
      <c r="G54" s="6"/>
      <c r="H54" s="6"/>
      <c r="I54" s="6"/>
    </row>
    <row r="55" s="1" customFormat="1" ht="24.95" customHeight="1" spans="1:9">
      <c r="A55" s="6">
        <v>18</v>
      </c>
      <c r="B55" s="25"/>
      <c r="C55" s="6"/>
      <c r="D55" s="6"/>
      <c r="E55" s="6"/>
      <c r="F55" s="6"/>
      <c r="G55" s="6"/>
      <c r="H55" s="6"/>
      <c r="I55" s="6"/>
    </row>
    <row r="56" s="1" customFormat="1" ht="24.95" customHeight="1" spans="1:9">
      <c r="A56" s="6">
        <v>19</v>
      </c>
      <c r="B56" s="25"/>
      <c r="C56" s="6"/>
      <c r="D56" s="6"/>
      <c r="E56" s="6"/>
      <c r="F56" s="6"/>
      <c r="G56" s="6"/>
      <c r="H56" s="6"/>
      <c r="I56" s="6"/>
    </row>
    <row r="57" s="1" customFormat="1" ht="24.95" customHeight="1" spans="1:9">
      <c r="A57" s="6">
        <v>20</v>
      </c>
      <c r="B57" s="25"/>
      <c r="C57" s="6"/>
      <c r="D57" s="6"/>
      <c r="E57" s="6"/>
      <c r="F57" s="6"/>
      <c r="G57" s="6"/>
      <c r="H57" s="6"/>
      <c r="I57" s="6"/>
    </row>
    <row r="58" s="1" customFormat="1" ht="24.95" customHeight="1" spans="1:9">
      <c r="A58" s="6"/>
      <c r="B58" s="6"/>
      <c r="C58" s="26" t="s">
        <v>73</v>
      </c>
      <c r="D58" s="26"/>
      <c r="E58" s="6">
        <f>SUM(E38:E57)</f>
        <v>395837</v>
      </c>
      <c r="F58" s="6"/>
      <c r="G58" s="6"/>
      <c r="H58" s="6"/>
      <c r="I58" s="6"/>
    </row>
    <row r="59" s="1" customFormat="1" ht="24.95" customHeight="1" spans="1:9">
      <c r="A59" s="6"/>
      <c r="B59" s="6"/>
      <c r="C59" s="6"/>
      <c r="D59" s="6"/>
      <c r="E59" s="6"/>
      <c r="F59" s="6"/>
      <c r="G59" s="6"/>
      <c r="H59" s="6"/>
      <c r="I59" s="6"/>
    </row>
  </sheetData>
  <mergeCells count="10">
    <mergeCell ref="A1:I1"/>
    <mergeCell ref="A36:I36"/>
    <mergeCell ref="F3:F18"/>
    <mergeCell ref="F19:F23"/>
    <mergeCell ref="F38:F44"/>
    <mergeCell ref="F45:F53"/>
    <mergeCell ref="G3:G18"/>
    <mergeCell ref="G19:G23"/>
    <mergeCell ref="G38:G44"/>
    <mergeCell ref="G45:G53"/>
  </mergeCells>
  <pageMargins left="0.7" right="0.7" top="0.75" bottom="0.75" header="0.3" footer="0.3"/>
  <pageSetup paperSize="9" scale="91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D10" sqref="D10"/>
    </sheetView>
  </sheetViews>
  <sheetFormatPr defaultColWidth="9" defaultRowHeight="14.25"/>
  <cols>
    <col min="1" max="1" width="3.625" style="22" customWidth="1"/>
    <col min="2" max="2" width="11.75" style="22" customWidth="1"/>
    <col min="3" max="3" width="10.75" style="22" customWidth="1"/>
    <col min="4" max="4" width="10.125" style="22" customWidth="1"/>
    <col min="5" max="5" width="12" style="22" customWidth="1"/>
    <col min="6" max="6" width="7.375" style="22" customWidth="1"/>
    <col min="7" max="7" width="11.75" style="22" customWidth="1"/>
    <col min="8" max="8" width="10.125" style="22" customWidth="1"/>
    <col min="9" max="9" width="11.875" style="22" customWidth="1"/>
  </cols>
  <sheetData>
    <row r="1" ht="36" customHeight="1" spans="1:9">
      <c r="A1" s="2" t="s">
        <v>41</v>
      </c>
      <c r="B1" s="2"/>
      <c r="C1" s="4"/>
      <c r="D1" s="4"/>
      <c r="E1" s="4"/>
      <c r="F1" s="4"/>
      <c r="G1" s="4"/>
      <c r="H1" s="4"/>
      <c r="I1" s="4"/>
    </row>
    <row r="2" s="1" customFormat="1" ht="44.25" customHeight="1" spans="1:9">
      <c r="A2" s="23" t="s">
        <v>5</v>
      </c>
      <c r="B2" s="24" t="s">
        <v>42</v>
      </c>
      <c r="C2" s="24" t="s">
        <v>43</v>
      </c>
      <c r="D2" s="24" t="s">
        <v>44</v>
      </c>
      <c r="E2" s="23" t="s">
        <v>7</v>
      </c>
      <c r="F2" s="23" t="s">
        <v>8</v>
      </c>
      <c r="G2" s="23" t="s">
        <v>45</v>
      </c>
      <c r="H2" s="24" t="s">
        <v>10</v>
      </c>
      <c r="I2" s="24" t="s">
        <v>11</v>
      </c>
    </row>
    <row r="3" s="1" customFormat="1" ht="24.95" customHeight="1" spans="1:9">
      <c r="A3" s="6">
        <v>1</v>
      </c>
      <c r="B3" s="25">
        <v>43715</v>
      </c>
      <c r="C3" s="6" t="s">
        <v>47</v>
      </c>
      <c r="D3" s="26" t="s">
        <v>48</v>
      </c>
      <c r="E3" s="6">
        <v>39882</v>
      </c>
      <c r="F3" s="6">
        <v>9</v>
      </c>
      <c r="G3" s="9">
        <f>E3+E4+E5+E6</f>
        <v>137343</v>
      </c>
      <c r="H3" s="6">
        <v>0</v>
      </c>
      <c r="I3" s="6" t="s">
        <v>50</v>
      </c>
    </row>
    <row r="4" s="1" customFormat="1" ht="24.95" customHeight="1" spans="1:9">
      <c r="A4" s="6">
        <v>2</v>
      </c>
      <c r="B4" s="25">
        <v>43716</v>
      </c>
      <c r="C4" s="6" t="s">
        <v>47</v>
      </c>
      <c r="D4" s="26" t="s">
        <v>48</v>
      </c>
      <c r="E4" s="6">
        <v>29893</v>
      </c>
      <c r="F4" s="6">
        <v>9</v>
      </c>
      <c r="G4" s="10"/>
      <c r="H4" s="6">
        <v>0</v>
      </c>
      <c r="I4" s="6" t="s">
        <v>50</v>
      </c>
    </row>
    <row r="5" s="1" customFormat="1" ht="24.95" customHeight="1" spans="1:9">
      <c r="A5" s="6">
        <v>3</v>
      </c>
      <c r="B5" s="25">
        <v>43717</v>
      </c>
      <c r="C5" s="6" t="s">
        <v>47</v>
      </c>
      <c r="D5" s="26" t="s">
        <v>48</v>
      </c>
      <c r="E5" s="6">
        <v>29908</v>
      </c>
      <c r="F5" s="6">
        <v>9</v>
      </c>
      <c r="G5" s="10"/>
      <c r="H5" s="6">
        <v>0</v>
      </c>
      <c r="I5" s="6" t="s">
        <v>50</v>
      </c>
    </row>
    <row r="6" s="1" customFormat="1" ht="24.95" customHeight="1" spans="1:9">
      <c r="A6" s="6">
        <v>4</v>
      </c>
      <c r="B6" s="25">
        <v>43718</v>
      </c>
      <c r="C6" s="6" t="s">
        <v>47</v>
      </c>
      <c r="D6" s="26" t="s">
        <v>48</v>
      </c>
      <c r="E6" s="6">
        <v>37660</v>
      </c>
      <c r="F6" s="6">
        <v>9</v>
      </c>
      <c r="G6" s="10"/>
      <c r="H6" s="6">
        <v>0</v>
      </c>
      <c r="I6" s="6" t="s">
        <v>50</v>
      </c>
    </row>
    <row r="7" s="1" customFormat="1" ht="24.95" customHeight="1" spans="1:9">
      <c r="A7" s="6">
        <v>5</v>
      </c>
      <c r="B7" s="25">
        <v>43754</v>
      </c>
      <c r="C7" s="6" t="s">
        <v>47</v>
      </c>
      <c r="D7" s="26" t="s">
        <v>48</v>
      </c>
      <c r="E7" s="6">
        <v>44107</v>
      </c>
      <c r="F7" s="6">
        <v>10</v>
      </c>
      <c r="G7" s="6">
        <v>44107</v>
      </c>
      <c r="H7" s="6">
        <v>0</v>
      </c>
      <c r="I7" s="6" t="s">
        <v>50</v>
      </c>
    </row>
    <row r="8" s="1" customFormat="1" ht="24.95" customHeight="1" spans="1:9">
      <c r="A8" s="6"/>
      <c r="B8" s="25"/>
      <c r="C8" s="6"/>
      <c r="D8" s="6"/>
      <c r="E8" s="6"/>
      <c r="F8" s="6"/>
      <c r="G8" s="6"/>
      <c r="H8" s="6"/>
      <c r="I8" s="6"/>
    </row>
    <row r="9" s="1" customFormat="1" ht="24.95" customHeight="1" spans="1:9">
      <c r="A9" s="6"/>
      <c r="B9" s="25"/>
      <c r="C9" s="6"/>
      <c r="D9" s="6"/>
      <c r="E9" s="6"/>
      <c r="F9" s="6"/>
      <c r="G9" s="6"/>
      <c r="H9" s="6"/>
      <c r="I9" s="6"/>
    </row>
    <row r="10" s="1" customFormat="1" ht="24.95" customHeight="1" spans="1:9">
      <c r="A10" s="6"/>
      <c r="B10" s="25"/>
      <c r="C10" s="6"/>
      <c r="D10" s="6"/>
      <c r="E10" s="6"/>
      <c r="F10" s="6"/>
      <c r="G10" s="6"/>
      <c r="H10" s="6"/>
      <c r="I10" s="6"/>
    </row>
    <row r="11" s="1" customFormat="1" ht="24.95" customHeight="1" spans="1:9">
      <c r="A11" s="6"/>
      <c r="B11" s="25"/>
      <c r="C11" s="6"/>
      <c r="D11" s="6"/>
      <c r="E11" s="6"/>
      <c r="F11" s="6"/>
      <c r="G11" s="6"/>
      <c r="H11" s="6"/>
      <c r="I11" s="6"/>
    </row>
    <row r="12" s="1" customFormat="1" ht="24.95" customHeight="1" spans="1:9">
      <c r="A12" s="6"/>
      <c r="B12" s="25"/>
      <c r="C12" s="6"/>
      <c r="D12" s="6"/>
      <c r="E12" s="6"/>
      <c r="F12" s="6"/>
      <c r="G12" s="6"/>
      <c r="H12" s="6"/>
      <c r="I12" s="6"/>
    </row>
    <row r="13" s="1" customFormat="1" ht="24.95" customHeight="1" spans="1:9">
      <c r="A13" s="6"/>
      <c r="B13" s="25"/>
      <c r="C13" s="6"/>
      <c r="D13" s="6"/>
      <c r="E13" s="6"/>
      <c r="F13" s="6"/>
      <c r="G13" s="6"/>
      <c r="H13" s="6"/>
      <c r="I13" s="6"/>
    </row>
    <row r="14" s="1" customFormat="1" ht="24.75" customHeight="1" spans="1:9">
      <c r="A14" s="6"/>
      <c r="B14" s="25"/>
      <c r="C14" s="6"/>
      <c r="D14" s="6"/>
      <c r="E14" s="6"/>
      <c r="F14" s="6"/>
      <c r="G14" s="6"/>
      <c r="H14" s="6"/>
      <c r="I14" s="6"/>
    </row>
    <row r="15" s="1" customFormat="1" ht="24.95" customHeight="1" spans="1:9">
      <c r="A15" s="6"/>
      <c r="B15" s="25"/>
      <c r="C15" s="6"/>
      <c r="D15" s="6"/>
      <c r="E15" s="6"/>
      <c r="F15" s="6"/>
      <c r="G15" s="6"/>
      <c r="H15" s="6"/>
      <c r="I15" s="6"/>
    </row>
    <row r="16" s="1" customFormat="1" ht="24.95" customHeight="1" spans="1:9">
      <c r="A16" s="6"/>
      <c r="B16" s="6"/>
      <c r="C16" s="6"/>
      <c r="D16" s="6"/>
      <c r="E16" s="6"/>
      <c r="F16" s="6"/>
      <c r="G16" s="6"/>
      <c r="H16" s="6"/>
      <c r="I16" s="6"/>
    </row>
    <row r="17" s="1" customFormat="1" ht="24.95" customHeight="1" spans="1:9">
      <c r="A17" s="6"/>
      <c r="B17" s="6"/>
      <c r="C17" s="6"/>
      <c r="D17" s="6"/>
      <c r="E17" s="6"/>
      <c r="F17" s="6"/>
      <c r="G17" s="6"/>
      <c r="H17" s="6"/>
      <c r="I17" s="6"/>
    </row>
    <row r="18" s="1" customFormat="1" ht="24.95" customHeight="1" spans="1:9">
      <c r="A18" s="6"/>
      <c r="B18" s="6"/>
      <c r="C18" s="6"/>
      <c r="D18" s="6"/>
      <c r="E18" s="6"/>
      <c r="F18" s="6"/>
      <c r="G18" s="6"/>
      <c r="H18" s="6"/>
      <c r="I18" s="6"/>
    </row>
    <row r="19" s="1" customFormat="1" ht="24.95" customHeight="1" spans="1:9">
      <c r="A19" s="6"/>
      <c r="B19" s="6"/>
      <c r="C19" s="6"/>
      <c r="D19" s="6"/>
      <c r="E19" s="6"/>
      <c r="F19" s="6"/>
      <c r="G19" s="6"/>
      <c r="H19" s="6"/>
      <c r="I19" s="6"/>
    </row>
    <row r="20" s="1" customFormat="1" ht="24.95" customHeight="1" spans="1:9">
      <c r="A20" s="6"/>
      <c r="B20" s="6"/>
      <c r="C20" s="6"/>
      <c r="D20" s="6"/>
      <c r="E20" s="6"/>
      <c r="F20" s="6"/>
      <c r="G20" s="6"/>
      <c r="H20" s="6"/>
      <c r="I20" s="6"/>
    </row>
    <row r="21" s="1" customFormat="1" ht="24.95" customHeight="1" spans="1:9">
      <c r="A21" s="6"/>
      <c r="B21" s="6"/>
      <c r="C21" s="6"/>
      <c r="D21" s="6"/>
      <c r="E21" s="6"/>
      <c r="F21" s="6"/>
      <c r="G21" s="6"/>
      <c r="H21" s="6"/>
      <c r="I21" s="6"/>
    </row>
    <row r="22" s="1" customFormat="1" ht="24.95" customHeight="1" spans="1:9">
      <c r="A22" s="6"/>
      <c r="B22" s="6"/>
      <c r="C22" s="26" t="s">
        <v>73</v>
      </c>
      <c r="D22" s="26"/>
      <c r="E22" s="6">
        <f>SUM(E3:E21)</f>
        <v>181450</v>
      </c>
      <c r="F22" s="6"/>
      <c r="G22" s="6"/>
      <c r="H22" s="6"/>
      <c r="I22" s="6"/>
    </row>
    <row r="23" s="1" customFormat="1" ht="24.95" customHeight="1" spans="1:9">
      <c r="A23" s="6"/>
      <c r="B23" s="6"/>
      <c r="C23" s="6"/>
      <c r="D23" s="6"/>
      <c r="E23" s="6"/>
      <c r="F23" s="6"/>
      <c r="G23" s="6"/>
      <c r="H23" s="6"/>
      <c r="I23" s="6"/>
    </row>
  </sheetData>
  <mergeCells count="2">
    <mergeCell ref="A1:I1"/>
    <mergeCell ref="G3:G6"/>
  </mergeCells>
  <pageMargins left="0.393700787401575" right="0.31496062992126" top="0.748031496062992" bottom="0.748031496062992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1"/>
  <sheetViews>
    <sheetView topLeftCell="A4" workbookViewId="0">
      <selection activeCell="D17" sqref="D17"/>
    </sheetView>
  </sheetViews>
  <sheetFormatPr defaultColWidth="9" defaultRowHeight="14.25" outlineLevelCol="7"/>
  <cols>
    <col min="1" max="1" width="5.125" style="1" customWidth="1"/>
    <col min="2" max="2" width="11.25" style="1" customWidth="1"/>
    <col min="3" max="3" width="10.25" style="1" customWidth="1"/>
    <col min="4" max="4" width="14.5" style="1" customWidth="1"/>
    <col min="5" max="5" width="7" style="1" customWidth="1"/>
    <col min="6" max="6" width="14.25" style="1" customWidth="1"/>
    <col min="7" max="7" width="9.75" style="1" customWidth="1"/>
    <col min="8" max="8" width="11.5" style="1" customWidth="1"/>
    <col min="9" max="256" width="9" style="1"/>
    <col min="257" max="257" width="5.125" style="1" customWidth="1"/>
    <col min="258" max="258" width="11.25" style="1" customWidth="1"/>
    <col min="259" max="259" width="10.25" style="1" customWidth="1"/>
    <col min="260" max="260" width="14.5" style="1" customWidth="1"/>
    <col min="261" max="261" width="7" style="1" customWidth="1"/>
    <col min="262" max="262" width="14.25" style="1" customWidth="1"/>
    <col min="263" max="263" width="9.75" style="1" customWidth="1"/>
    <col min="264" max="264" width="11.5" style="1" customWidth="1"/>
    <col min="265" max="512" width="9" style="1"/>
    <col min="513" max="513" width="5.125" style="1" customWidth="1"/>
    <col min="514" max="514" width="11.25" style="1" customWidth="1"/>
    <col min="515" max="515" width="10.25" style="1" customWidth="1"/>
    <col min="516" max="516" width="14.5" style="1" customWidth="1"/>
    <col min="517" max="517" width="7" style="1" customWidth="1"/>
    <col min="518" max="518" width="14.25" style="1" customWidth="1"/>
    <col min="519" max="519" width="9.75" style="1" customWidth="1"/>
    <col min="520" max="520" width="11.5" style="1" customWidth="1"/>
    <col min="521" max="768" width="9" style="1"/>
    <col min="769" max="769" width="5.125" style="1" customWidth="1"/>
    <col min="770" max="770" width="11.25" style="1" customWidth="1"/>
    <col min="771" max="771" width="10.25" style="1" customWidth="1"/>
    <col min="772" max="772" width="14.5" style="1" customWidth="1"/>
    <col min="773" max="773" width="7" style="1" customWidth="1"/>
    <col min="774" max="774" width="14.25" style="1" customWidth="1"/>
    <col min="775" max="775" width="9.75" style="1" customWidth="1"/>
    <col min="776" max="776" width="11.5" style="1" customWidth="1"/>
    <col min="777" max="1024" width="9" style="1"/>
    <col min="1025" max="1025" width="5.125" style="1" customWidth="1"/>
    <col min="1026" max="1026" width="11.25" style="1" customWidth="1"/>
    <col min="1027" max="1027" width="10.25" style="1" customWidth="1"/>
    <col min="1028" max="1028" width="14.5" style="1" customWidth="1"/>
    <col min="1029" max="1029" width="7" style="1" customWidth="1"/>
    <col min="1030" max="1030" width="14.25" style="1" customWidth="1"/>
    <col min="1031" max="1031" width="9.75" style="1" customWidth="1"/>
    <col min="1032" max="1032" width="11.5" style="1" customWidth="1"/>
    <col min="1033" max="1280" width="9" style="1"/>
    <col min="1281" max="1281" width="5.125" style="1" customWidth="1"/>
    <col min="1282" max="1282" width="11.25" style="1" customWidth="1"/>
    <col min="1283" max="1283" width="10.25" style="1" customWidth="1"/>
    <col min="1284" max="1284" width="14.5" style="1" customWidth="1"/>
    <col min="1285" max="1285" width="7" style="1" customWidth="1"/>
    <col min="1286" max="1286" width="14.25" style="1" customWidth="1"/>
    <col min="1287" max="1287" width="9.75" style="1" customWidth="1"/>
    <col min="1288" max="1288" width="11.5" style="1" customWidth="1"/>
    <col min="1289" max="1536" width="9" style="1"/>
    <col min="1537" max="1537" width="5.125" style="1" customWidth="1"/>
    <col min="1538" max="1538" width="11.25" style="1" customWidth="1"/>
    <col min="1539" max="1539" width="10.25" style="1" customWidth="1"/>
    <col min="1540" max="1540" width="14.5" style="1" customWidth="1"/>
    <col min="1541" max="1541" width="7" style="1" customWidth="1"/>
    <col min="1542" max="1542" width="14.25" style="1" customWidth="1"/>
    <col min="1543" max="1543" width="9.75" style="1" customWidth="1"/>
    <col min="1544" max="1544" width="11.5" style="1" customWidth="1"/>
    <col min="1545" max="1792" width="9" style="1"/>
    <col min="1793" max="1793" width="5.125" style="1" customWidth="1"/>
    <col min="1794" max="1794" width="11.25" style="1" customWidth="1"/>
    <col min="1795" max="1795" width="10.25" style="1" customWidth="1"/>
    <col min="1796" max="1796" width="14.5" style="1" customWidth="1"/>
    <col min="1797" max="1797" width="7" style="1" customWidth="1"/>
    <col min="1798" max="1798" width="14.25" style="1" customWidth="1"/>
    <col min="1799" max="1799" width="9.75" style="1" customWidth="1"/>
    <col min="1800" max="1800" width="11.5" style="1" customWidth="1"/>
    <col min="1801" max="2048" width="9" style="1"/>
    <col min="2049" max="2049" width="5.125" style="1" customWidth="1"/>
    <col min="2050" max="2050" width="11.25" style="1" customWidth="1"/>
    <col min="2051" max="2051" width="10.25" style="1" customWidth="1"/>
    <col min="2052" max="2052" width="14.5" style="1" customWidth="1"/>
    <col min="2053" max="2053" width="7" style="1" customWidth="1"/>
    <col min="2054" max="2054" width="14.25" style="1" customWidth="1"/>
    <col min="2055" max="2055" width="9.75" style="1" customWidth="1"/>
    <col min="2056" max="2056" width="11.5" style="1" customWidth="1"/>
    <col min="2057" max="2304" width="9" style="1"/>
    <col min="2305" max="2305" width="5.125" style="1" customWidth="1"/>
    <col min="2306" max="2306" width="11.25" style="1" customWidth="1"/>
    <col min="2307" max="2307" width="10.25" style="1" customWidth="1"/>
    <col min="2308" max="2308" width="14.5" style="1" customWidth="1"/>
    <col min="2309" max="2309" width="7" style="1" customWidth="1"/>
    <col min="2310" max="2310" width="14.25" style="1" customWidth="1"/>
    <col min="2311" max="2311" width="9.75" style="1" customWidth="1"/>
    <col min="2312" max="2312" width="11.5" style="1" customWidth="1"/>
    <col min="2313" max="2560" width="9" style="1"/>
    <col min="2561" max="2561" width="5.125" style="1" customWidth="1"/>
    <col min="2562" max="2562" width="11.25" style="1" customWidth="1"/>
    <col min="2563" max="2563" width="10.25" style="1" customWidth="1"/>
    <col min="2564" max="2564" width="14.5" style="1" customWidth="1"/>
    <col min="2565" max="2565" width="7" style="1" customWidth="1"/>
    <col min="2566" max="2566" width="14.25" style="1" customWidth="1"/>
    <col min="2567" max="2567" width="9.75" style="1" customWidth="1"/>
    <col min="2568" max="2568" width="11.5" style="1" customWidth="1"/>
    <col min="2569" max="2816" width="9" style="1"/>
    <col min="2817" max="2817" width="5.125" style="1" customWidth="1"/>
    <col min="2818" max="2818" width="11.25" style="1" customWidth="1"/>
    <col min="2819" max="2819" width="10.25" style="1" customWidth="1"/>
    <col min="2820" max="2820" width="14.5" style="1" customWidth="1"/>
    <col min="2821" max="2821" width="7" style="1" customWidth="1"/>
    <col min="2822" max="2822" width="14.25" style="1" customWidth="1"/>
    <col min="2823" max="2823" width="9.75" style="1" customWidth="1"/>
    <col min="2824" max="2824" width="11.5" style="1" customWidth="1"/>
    <col min="2825" max="3072" width="9" style="1"/>
    <col min="3073" max="3073" width="5.125" style="1" customWidth="1"/>
    <col min="3074" max="3074" width="11.25" style="1" customWidth="1"/>
    <col min="3075" max="3075" width="10.25" style="1" customWidth="1"/>
    <col min="3076" max="3076" width="14.5" style="1" customWidth="1"/>
    <col min="3077" max="3077" width="7" style="1" customWidth="1"/>
    <col min="3078" max="3078" width="14.25" style="1" customWidth="1"/>
    <col min="3079" max="3079" width="9.75" style="1" customWidth="1"/>
    <col min="3080" max="3080" width="11.5" style="1" customWidth="1"/>
    <col min="3081" max="3328" width="9" style="1"/>
    <col min="3329" max="3329" width="5.125" style="1" customWidth="1"/>
    <col min="3330" max="3330" width="11.25" style="1" customWidth="1"/>
    <col min="3331" max="3331" width="10.25" style="1" customWidth="1"/>
    <col min="3332" max="3332" width="14.5" style="1" customWidth="1"/>
    <col min="3333" max="3333" width="7" style="1" customWidth="1"/>
    <col min="3334" max="3334" width="14.25" style="1" customWidth="1"/>
    <col min="3335" max="3335" width="9.75" style="1" customWidth="1"/>
    <col min="3336" max="3336" width="11.5" style="1" customWidth="1"/>
    <col min="3337" max="3584" width="9" style="1"/>
    <col min="3585" max="3585" width="5.125" style="1" customWidth="1"/>
    <col min="3586" max="3586" width="11.25" style="1" customWidth="1"/>
    <col min="3587" max="3587" width="10.25" style="1" customWidth="1"/>
    <col min="3588" max="3588" width="14.5" style="1" customWidth="1"/>
    <col min="3589" max="3589" width="7" style="1" customWidth="1"/>
    <col min="3590" max="3590" width="14.25" style="1" customWidth="1"/>
    <col min="3591" max="3591" width="9.75" style="1" customWidth="1"/>
    <col min="3592" max="3592" width="11.5" style="1" customWidth="1"/>
    <col min="3593" max="3840" width="9" style="1"/>
    <col min="3841" max="3841" width="5.125" style="1" customWidth="1"/>
    <col min="3842" max="3842" width="11.25" style="1" customWidth="1"/>
    <col min="3843" max="3843" width="10.25" style="1" customWidth="1"/>
    <col min="3844" max="3844" width="14.5" style="1" customWidth="1"/>
    <col min="3845" max="3845" width="7" style="1" customWidth="1"/>
    <col min="3846" max="3846" width="14.25" style="1" customWidth="1"/>
    <col min="3847" max="3847" width="9.75" style="1" customWidth="1"/>
    <col min="3848" max="3848" width="11.5" style="1" customWidth="1"/>
    <col min="3849" max="4096" width="9" style="1"/>
    <col min="4097" max="4097" width="5.125" style="1" customWidth="1"/>
    <col min="4098" max="4098" width="11.25" style="1" customWidth="1"/>
    <col min="4099" max="4099" width="10.25" style="1" customWidth="1"/>
    <col min="4100" max="4100" width="14.5" style="1" customWidth="1"/>
    <col min="4101" max="4101" width="7" style="1" customWidth="1"/>
    <col min="4102" max="4102" width="14.25" style="1" customWidth="1"/>
    <col min="4103" max="4103" width="9.75" style="1" customWidth="1"/>
    <col min="4104" max="4104" width="11.5" style="1" customWidth="1"/>
    <col min="4105" max="4352" width="9" style="1"/>
    <col min="4353" max="4353" width="5.125" style="1" customWidth="1"/>
    <col min="4354" max="4354" width="11.25" style="1" customWidth="1"/>
    <col min="4355" max="4355" width="10.25" style="1" customWidth="1"/>
    <col min="4356" max="4356" width="14.5" style="1" customWidth="1"/>
    <col min="4357" max="4357" width="7" style="1" customWidth="1"/>
    <col min="4358" max="4358" width="14.25" style="1" customWidth="1"/>
    <col min="4359" max="4359" width="9.75" style="1" customWidth="1"/>
    <col min="4360" max="4360" width="11.5" style="1" customWidth="1"/>
    <col min="4361" max="4608" width="9" style="1"/>
    <col min="4609" max="4609" width="5.125" style="1" customWidth="1"/>
    <col min="4610" max="4610" width="11.25" style="1" customWidth="1"/>
    <col min="4611" max="4611" width="10.25" style="1" customWidth="1"/>
    <col min="4612" max="4612" width="14.5" style="1" customWidth="1"/>
    <col min="4613" max="4613" width="7" style="1" customWidth="1"/>
    <col min="4614" max="4614" width="14.25" style="1" customWidth="1"/>
    <col min="4615" max="4615" width="9.75" style="1" customWidth="1"/>
    <col min="4616" max="4616" width="11.5" style="1" customWidth="1"/>
    <col min="4617" max="4864" width="9" style="1"/>
    <col min="4865" max="4865" width="5.125" style="1" customWidth="1"/>
    <col min="4866" max="4866" width="11.25" style="1" customWidth="1"/>
    <col min="4867" max="4867" width="10.25" style="1" customWidth="1"/>
    <col min="4868" max="4868" width="14.5" style="1" customWidth="1"/>
    <col min="4869" max="4869" width="7" style="1" customWidth="1"/>
    <col min="4870" max="4870" width="14.25" style="1" customWidth="1"/>
    <col min="4871" max="4871" width="9.75" style="1" customWidth="1"/>
    <col min="4872" max="4872" width="11.5" style="1" customWidth="1"/>
    <col min="4873" max="5120" width="9" style="1"/>
    <col min="5121" max="5121" width="5.125" style="1" customWidth="1"/>
    <col min="5122" max="5122" width="11.25" style="1" customWidth="1"/>
    <col min="5123" max="5123" width="10.25" style="1" customWidth="1"/>
    <col min="5124" max="5124" width="14.5" style="1" customWidth="1"/>
    <col min="5125" max="5125" width="7" style="1" customWidth="1"/>
    <col min="5126" max="5126" width="14.25" style="1" customWidth="1"/>
    <col min="5127" max="5127" width="9.75" style="1" customWidth="1"/>
    <col min="5128" max="5128" width="11.5" style="1" customWidth="1"/>
    <col min="5129" max="5376" width="9" style="1"/>
    <col min="5377" max="5377" width="5.125" style="1" customWidth="1"/>
    <col min="5378" max="5378" width="11.25" style="1" customWidth="1"/>
    <col min="5379" max="5379" width="10.25" style="1" customWidth="1"/>
    <col min="5380" max="5380" width="14.5" style="1" customWidth="1"/>
    <col min="5381" max="5381" width="7" style="1" customWidth="1"/>
    <col min="5382" max="5382" width="14.25" style="1" customWidth="1"/>
    <col min="5383" max="5383" width="9.75" style="1" customWidth="1"/>
    <col min="5384" max="5384" width="11.5" style="1" customWidth="1"/>
    <col min="5385" max="5632" width="9" style="1"/>
    <col min="5633" max="5633" width="5.125" style="1" customWidth="1"/>
    <col min="5634" max="5634" width="11.25" style="1" customWidth="1"/>
    <col min="5635" max="5635" width="10.25" style="1" customWidth="1"/>
    <col min="5636" max="5636" width="14.5" style="1" customWidth="1"/>
    <col min="5637" max="5637" width="7" style="1" customWidth="1"/>
    <col min="5638" max="5638" width="14.25" style="1" customWidth="1"/>
    <col min="5639" max="5639" width="9.75" style="1" customWidth="1"/>
    <col min="5640" max="5640" width="11.5" style="1" customWidth="1"/>
    <col min="5641" max="5888" width="9" style="1"/>
    <col min="5889" max="5889" width="5.125" style="1" customWidth="1"/>
    <col min="5890" max="5890" width="11.25" style="1" customWidth="1"/>
    <col min="5891" max="5891" width="10.25" style="1" customWidth="1"/>
    <col min="5892" max="5892" width="14.5" style="1" customWidth="1"/>
    <col min="5893" max="5893" width="7" style="1" customWidth="1"/>
    <col min="5894" max="5894" width="14.25" style="1" customWidth="1"/>
    <col min="5895" max="5895" width="9.75" style="1" customWidth="1"/>
    <col min="5896" max="5896" width="11.5" style="1" customWidth="1"/>
    <col min="5897" max="6144" width="9" style="1"/>
    <col min="6145" max="6145" width="5.125" style="1" customWidth="1"/>
    <col min="6146" max="6146" width="11.25" style="1" customWidth="1"/>
    <col min="6147" max="6147" width="10.25" style="1" customWidth="1"/>
    <col min="6148" max="6148" width="14.5" style="1" customWidth="1"/>
    <col min="6149" max="6149" width="7" style="1" customWidth="1"/>
    <col min="6150" max="6150" width="14.25" style="1" customWidth="1"/>
    <col min="6151" max="6151" width="9.75" style="1" customWidth="1"/>
    <col min="6152" max="6152" width="11.5" style="1" customWidth="1"/>
    <col min="6153" max="6400" width="9" style="1"/>
    <col min="6401" max="6401" width="5.125" style="1" customWidth="1"/>
    <col min="6402" max="6402" width="11.25" style="1" customWidth="1"/>
    <col min="6403" max="6403" width="10.25" style="1" customWidth="1"/>
    <col min="6404" max="6404" width="14.5" style="1" customWidth="1"/>
    <col min="6405" max="6405" width="7" style="1" customWidth="1"/>
    <col min="6406" max="6406" width="14.25" style="1" customWidth="1"/>
    <col min="6407" max="6407" width="9.75" style="1" customWidth="1"/>
    <col min="6408" max="6408" width="11.5" style="1" customWidth="1"/>
    <col min="6409" max="6656" width="9" style="1"/>
    <col min="6657" max="6657" width="5.125" style="1" customWidth="1"/>
    <col min="6658" max="6658" width="11.25" style="1" customWidth="1"/>
    <col min="6659" max="6659" width="10.25" style="1" customWidth="1"/>
    <col min="6660" max="6660" width="14.5" style="1" customWidth="1"/>
    <col min="6661" max="6661" width="7" style="1" customWidth="1"/>
    <col min="6662" max="6662" width="14.25" style="1" customWidth="1"/>
    <col min="6663" max="6663" width="9.75" style="1" customWidth="1"/>
    <col min="6664" max="6664" width="11.5" style="1" customWidth="1"/>
    <col min="6665" max="6912" width="9" style="1"/>
    <col min="6913" max="6913" width="5.125" style="1" customWidth="1"/>
    <col min="6914" max="6914" width="11.25" style="1" customWidth="1"/>
    <col min="6915" max="6915" width="10.25" style="1" customWidth="1"/>
    <col min="6916" max="6916" width="14.5" style="1" customWidth="1"/>
    <col min="6917" max="6917" width="7" style="1" customWidth="1"/>
    <col min="6918" max="6918" width="14.25" style="1" customWidth="1"/>
    <col min="6919" max="6919" width="9.75" style="1" customWidth="1"/>
    <col min="6920" max="6920" width="11.5" style="1" customWidth="1"/>
    <col min="6921" max="7168" width="9" style="1"/>
    <col min="7169" max="7169" width="5.125" style="1" customWidth="1"/>
    <col min="7170" max="7170" width="11.25" style="1" customWidth="1"/>
    <col min="7171" max="7171" width="10.25" style="1" customWidth="1"/>
    <col min="7172" max="7172" width="14.5" style="1" customWidth="1"/>
    <col min="7173" max="7173" width="7" style="1" customWidth="1"/>
    <col min="7174" max="7174" width="14.25" style="1" customWidth="1"/>
    <col min="7175" max="7175" width="9.75" style="1" customWidth="1"/>
    <col min="7176" max="7176" width="11.5" style="1" customWidth="1"/>
    <col min="7177" max="7424" width="9" style="1"/>
    <col min="7425" max="7425" width="5.125" style="1" customWidth="1"/>
    <col min="7426" max="7426" width="11.25" style="1" customWidth="1"/>
    <col min="7427" max="7427" width="10.25" style="1" customWidth="1"/>
    <col min="7428" max="7428" width="14.5" style="1" customWidth="1"/>
    <col min="7429" max="7429" width="7" style="1" customWidth="1"/>
    <col min="7430" max="7430" width="14.25" style="1" customWidth="1"/>
    <col min="7431" max="7431" width="9.75" style="1" customWidth="1"/>
    <col min="7432" max="7432" width="11.5" style="1" customWidth="1"/>
    <col min="7433" max="7680" width="9" style="1"/>
    <col min="7681" max="7681" width="5.125" style="1" customWidth="1"/>
    <col min="7682" max="7682" width="11.25" style="1" customWidth="1"/>
    <col min="7683" max="7683" width="10.25" style="1" customWidth="1"/>
    <col min="7684" max="7684" width="14.5" style="1" customWidth="1"/>
    <col min="7685" max="7685" width="7" style="1" customWidth="1"/>
    <col min="7686" max="7686" width="14.25" style="1" customWidth="1"/>
    <col min="7687" max="7687" width="9.75" style="1" customWidth="1"/>
    <col min="7688" max="7688" width="11.5" style="1" customWidth="1"/>
    <col min="7689" max="7936" width="9" style="1"/>
    <col min="7937" max="7937" width="5.125" style="1" customWidth="1"/>
    <col min="7938" max="7938" width="11.25" style="1" customWidth="1"/>
    <col min="7939" max="7939" width="10.25" style="1" customWidth="1"/>
    <col min="7940" max="7940" width="14.5" style="1" customWidth="1"/>
    <col min="7941" max="7941" width="7" style="1" customWidth="1"/>
    <col min="7942" max="7942" width="14.25" style="1" customWidth="1"/>
    <col min="7943" max="7943" width="9.75" style="1" customWidth="1"/>
    <col min="7944" max="7944" width="11.5" style="1" customWidth="1"/>
    <col min="7945" max="8192" width="9" style="1"/>
    <col min="8193" max="8193" width="5.125" style="1" customWidth="1"/>
    <col min="8194" max="8194" width="11.25" style="1" customWidth="1"/>
    <col min="8195" max="8195" width="10.25" style="1" customWidth="1"/>
    <col min="8196" max="8196" width="14.5" style="1" customWidth="1"/>
    <col min="8197" max="8197" width="7" style="1" customWidth="1"/>
    <col min="8198" max="8198" width="14.25" style="1" customWidth="1"/>
    <col min="8199" max="8199" width="9.75" style="1" customWidth="1"/>
    <col min="8200" max="8200" width="11.5" style="1" customWidth="1"/>
    <col min="8201" max="8448" width="9" style="1"/>
    <col min="8449" max="8449" width="5.125" style="1" customWidth="1"/>
    <col min="8450" max="8450" width="11.25" style="1" customWidth="1"/>
    <col min="8451" max="8451" width="10.25" style="1" customWidth="1"/>
    <col min="8452" max="8452" width="14.5" style="1" customWidth="1"/>
    <col min="8453" max="8453" width="7" style="1" customWidth="1"/>
    <col min="8454" max="8454" width="14.25" style="1" customWidth="1"/>
    <col min="8455" max="8455" width="9.75" style="1" customWidth="1"/>
    <col min="8456" max="8456" width="11.5" style="1" customWidth="1"/>
    <col min="8457" max="8704" width="9" style="1"/>
    <col min="8705" max="8705" width="5.125" style="1" customWidth="1"/>
    <col min="8706" max="8706" width="11.25" style="1" customWidth="1"/>
    <col min="8707" max="8707" width="10.25" style="1" customWidth="1"/>
    <col min="8708" max="8708" width="14.5" style="1" customWidth="1"/>
    <col min="8709" max="8709" width="7" style="1" customWidth="1"/>
    <col min="8710" max="8710" width="14.25" style="1" customWidth="1"/>
    <col min="8711" max="8711" width="9.75" style="1" customWidth="1"/>
    <col min="8712" max="8712" width="11.5" style="1" customWidth="1"/>
    <col min="8713" max="8960" width="9" style="1"/>
    <col min="8961" max="8961" width="5.125" style="1" customWidth="1"/>
    <col min="8962" max="8962" width="11.25" style="1" customWidth="1"/>
    <col min="8963" max="8963" width="10.25" style="1" customWidth="1"/>
    <col min="8964" max="8964" width="14.5" style="1" customWidth="1"/>
    <col min="8965" max="8965" width="7" style="1" customWidth="1"/>
    <col min="8966" max="8966" width="14.25" style="1" customWidth="1"/>
    <col min="8967" max="8967" width="9.75" style="1" customWidth="1"/>
    <col min="8968" max="8968" width="11.5" style="1" customWidth="1"/>
    <col min="8969" max="9216" width="9" style="1"/>
    <col min="9217" max="9217" width="5.125" style="1" customWidth="1"/>
    <col min="9218" max="9218" width="11.25" style="1" customWidth="1"/>
    <col min="9219" max="9219" width="10.25" style="1" customWidth="1"/>
    <col min="9220" max="9220" width="14.5" style="1" customWidth="1"/>
    <col min="9221" max="9221" width="7" style="1" customWidth="1"/>
    <col min="9222" max="9222" width="14.25" style="1" customWidth="1"/>
    <col min="9223" max="9223" width="9.75" style="1" customWidth="1"/>
    <col min="9224" max="9224" width="11.5" style="1" customWidth="1"/>
    <col min="9225" max="9472" width="9" style="1"/>
    <col min="9473" max="9473" width="5.125" style="1" customWidth="1"/>
    <col min="9474" max="9474" width="11.25" style="1" customWidth="1"/>
    <col min="9475" max="9475" width="10.25" style="1" customWidth="1"/>
    <col min="9476" max="9476" width="14.5" style="1" customWidth="1"/>
    <col min="9477" max="9477" width="7" style="1" customWidth="1"/>
    <col min="9478" max="9478" width="14.25" style="1" customWidth="1"/>
    <col min="9479" max="9479" width="9.75" style="1" customWidth="1"/>
    <col min="9480" max="9480" width="11.5" style="1" customWidth="1"/>
    <col min="9481" max="9728" width="9" style="1"/>
    <col min="9729" max="9729" width="5.125" style="1" customWidth="1"/>
    <col min="9730" max="9730" width="11.25" style="1" customWidth="1"/>
    <col min="9731" max="9731" width="10.25" style="1" customWidth="1"/>
    <col min="9732" max="9732" width="14.5" style="1" customWidth="1"/>
    <col min="9733" max="9733" width="7" style="1" customWidth="1"/>
    <col min="9734" max="9734" width="14.25" style="1" customWidth="1"/>
    <col min="9735" max="9735" width="9.75" style="1" customWidth="1"/>
    <col min="9736" max="9736" width="11.5" style="1" customWidth="1"/>
    <col min="9737" max="9984" width="9" style="1"/>
    <col min="9985" max="9985" width="5.125" style="1" customWidth="1"/>
    <col min="9986" max="9986" width="11.25" style="1" customWidth="1"/>
    <col min="9987" max="9987" width="10.25" style="1" customWidth="1"/>
    <col min="9988" max="9988" width="14.5" style="1" customWidth="1"/>
    <col min="9989" max="9989" width="7" style="1" customWidth="1"/>
    <col min="9990" max="9990" width="14.25" style="1" customWidth="1"/>
    <col min="9991" max="9991" width="9.75" style="1" customWidth="1"/>
    <col min="9992" max="9992" width="11.5" style="1" customWidth="1"/>
    <col min="9993" max="10240" width="9" style="1"/>
    <col min="10241" max="10241" width="5.125" style="1" customWidth="1"/>
    <col min="10242" max="10242" width="11.25" style="1" customWidth="1"/>
    <col min="10243" max="10243" width="10.25" style="1" customWidth="1"/>
    <col min="10244" max="10244" width="14.5" style="1" customWidth="1"/>
    <col min="10245" max="10245" width="7" style="1" customWidth="1"/>
    <col min="10246" max="10246" width="14.25" style="1" customWidth="1"/>
    <col min="10247" max="10247" width="9.75" style="1" customWidth="1"/>
    <col min="10248" max="10248" width="11.5" style="1" customWidth="1"/>
    <col min="10249" max="10496" width="9" style="1"/>
    <col min="10497" max="10497" width="5.125" style="1" customWidth="1"/>
    <col min="10498" max="10498" width="11.25" style="1" customWidth="1"/>
    <col min="10499" max="10499" width="10.25" style="1" customWidth="1"/>
    <col min="10500" max="10500" width="14.5" style="1" customWidth="1"/>
    <col min="10501" max="10501" width="7" style="1" customWidth="1"/>
    <col min="10502" max="10502" width="14.25" style="1" customWidth="1"/>
    <col min="10503" max="10503" width="9.75" style="1" customWidth="1"/>
    <col min="10504" max="10504" width="11.5" style="1" customWidth="1"/>
    <col min="10505" max="10752" width="9" style="1"/>
    <col min="10753" max="10753" width="5.125" style="1" customWidth="1"/>
    <col min="10754" max="10754" width="11.25" style="1" customWidth="1"/>
    <col min="10755" max="10755" width="10.25" style="1" customWidth="1"/>
    <col min="10756" max="10756" width="14.5" style="1" customWidth="1"/>
    <col min="10757" max="10757" width="7" style="1" customWidth="1"/>
    <col min="10758" max="10758" width="14.25" style="1" customWidth="1"/>
    <col min="10759" max="10759" width="9.75" style="1" customWidth="1"/>
    <col min="10760" max="10760" width="11.5" style="1" customWidth="1"/>
    <col min="10761" max="11008" width="9" style="1"/>
    <col min="11009" max="11009" width="5.125" style="1" customWidth="1"/>
    <col min="11010" max="11010" width="11.25" style="1" customWidth="1"/>
    <col min="11011" max="11011" width="10.25" style="1" customWidth="1"/>
    <col min="11012" max="11012" width="14.5" style="1" customWidth="1"/>
    <col min="11013" max="11013" width="7" style="1" customWidth="1"/>
    <col min="11014" max="11014" width="14.25" style="1" customWidth="1"/>
    <col min="11015" max="11015" width="9.75" style="1" customWidth="1"/>
    <col min="11016" max="11016" width="11.5" style="1" customWidth="1"/>
    <col min="11017" max="11264" width="9" style="1"/>
    <col min="11265" max="11265" width="5.125" style="1" customWidth="1"/>
    <col min="11266" max="11266" width="11.25" style="1" customWidth="1"/>
    <col min="11267" max="11267" width="10.25" style="1" customWidth="1"/>
    <col min="11268" max="11268" width="14.5" style="1" customWidth="1"/>
    <col min="11269" max="11269" width="7" style="1" customWidth="1"/>
    <col min="11270" max="11270" width="14.25" style="1" customWidth="1"/>
    <col min="11271" max="11271" width="9.75" style="1" customWidth="1"/>
    <col min="11272" max="11272" width="11.5" style="1" customWidth="1"/>
    <col min="11273" max="11520" width="9" style="1"/>
    <col min="11521" max="11521" width="5.125" style="1" customWidth="1"/>
    <col min="11522" max="11522" width="11.25" style="1" customWidth="1"/>
    <col min="11523" max="11523" width="10.25" style="1" customWidth="1"/>
    <col min="11524" max="11524" width="14.5" style="1" customWidth="1"/>
    <col min="11525" max="11525" width="7" style="1" customWidth="1"/>
    <col min="11526" max="11526" width="14.25" style="1" customWidth="1"/>
    <col min="11527" max="11527" width="9.75" style="1" customWidth="1"/>
    <col min="11528" max="11528" width="11.5" style="1" customWidth="1"/>
    <col min="11529" max="11776" width="9" style="1"/>
    <col min="11777" max="11777" width="5.125" style="1" customWidth="1"/>
    <col min="11778" max="11778" width="11.25" style="1" customWidth="1"/>
    <col min="11779" max="11779" width="10.25" style="1" customWidth="1"/>
    <col min="11780" max="11780" width="14.5" style="1" customWidth="1"/>
    <col min="11781" max="11781" width="7" style="1" customWidth="1"/>
    <col min="11782" max="11782" width="14.25" style="1" customWidth="1"/>
    <col min="11783" max="11783" width="9.75" style="1" customWidth="1"/>
    <col min="11784" max="11784" width="11.5" style="1" customWidth="1"/>
    <col min="11785" max="12032" width="9" style="1"/>
    <col min="12033" max="12033" width="5.125" style="1" customWidth="1"/>
    <col min="12034" max="12034" width="11.25" style="1" customWidth="1"/>
    <col min="12035" max="12035" width="10.25" style="1" customWidth="1"/>
    <col min="12036" max="12036" width="14.5" style="1" customWidth="1"/>
    <col min="12037" max="12037" width="7" style="1" customWidth="1"/>
    <col min="12038" max="12038" width="14.25" style="1" customWidth="1"/>
    <col min="12039" max="12039" width="9.75" style="1" customWidth="1"/>
    <col min="12040" max="12040" width="11.5" style="1" customWidth="1"/>
    <col min="12041" max="12288" width="9" style="1"/>
    <col min="12289" max="12289" width="5.125" style="1" customWidth="1"/>
    <col min="12290" max="12290" width="11.25" style="1" customWidth="1"/>
    <col min="12291" max="12291" width="10.25" style="1" customWidth="1"/>
    <col min="12292" max="12292" width="14.5" style="1" customWidth="1"/>
    <col min="12293" max="12293" width="7" style="1" customWidth="1"/>
    <col min="12294" max="12294" width="14.25" style="1" customWidth="1"/>
    <col min="12295" max="12295" width="9.75" style="1" customWidth="1"/>
    <col min="12296" max="12296" width="11.5" style="1" customWidth="1"/>
    <col min="12297" max="12544" width="9" style="1"/>
    <col min="12545" max="12545" width="5.125" style="1" customWidth="1"/>
    <col min="12546" max="12546" width="11.25" style="1" customWidth="1"/>
    <col min="12547" max="12547" width="10.25" style="1" customWidth="1"/>
    <col min="12548" max="12548" width="14.5" style="1" customWidth="1"/>
    <col min="12549" max="12549" width="7" style="1" customWidth="1"/>
    <col min="12550" max="12550" width="14.25" style="1" customWidth="1"/>
    <col min="12551" max="12551" width="9.75" style="1" customWidth="1"/>
    <col min="12552" max="12552" width="11.5" style="1" customWidth="1"/>
    <col min="12553" max="12800" width="9" style="1"/>
    <col min="12801" max="12801" width="5.125" style="1" customWidth="1"/>
    <col min="12802" max="12802" width="11.25" style="1" customWidth="1"/>
    <col min="12803" max="12803" width="10.25" style="1" customWidth="1"/>
    <col min="12804" max="12804" width="14.5" style="1" customWidth="1"/>
    <col min="12805" max="12805" width="7" style="1" customWidth="1"/>
    <col min="12806" max="12806" width="14.25" style="1" customWidth="1"/>
    <col min="12807" max="12807" width="9.75" style="1" customWidth="1"/>
    <col min="12808" max="12808" width="11.5" style="1" customWidth="1"/>
    <col min="12809" max="13056" width="9" style="1"/>
    <col min="13057" max="13057" width="5.125" style="1" customWidth="1"/>
    <col min="13058" max="13058" width="11.25" style="1" customWidth="1"/>
    <col min="13059" max="13059" width="10.25" style="1" customWidth="1"/>
    <col min="13060" max="13060" width="14.5" style="1" customWidth="1"/>
    <col min="13061" max="13061" width="7" style="1" customWidth="1"/>
    <col min="13062" max="13062" width="14.25" style="1" customWidth="1"/>
    <col min="13063" max="13063" width="9.75" style="1" customWidth="1"/>
    <col min="13064" max="13064" width="11.5" style="1" customWidth="1"/>
    <col min="13065" max="13312" width="9" style="1"/>
    <col min="13313" max="13313" width="5.125" style="1" customWidth="1"/>
    <col min="13314" max="13314" width="11.25" style="1" customWidth="1"/>
    <col min="13315" max="13315" width="10.25" style="1" customWidth="1"/>
    <col min="13316" max="13316" width="14.5" style="1" customWidth="1"/>
    <col min="13317" max="13317" width="7" style="1" customWidth="1"/>
    <col min="13318" max="13318" width="14.25" style="1" customWidth="1"/>
    <col min="13319" max="13319" width="9.75" style="1" customWidth="1"/>
    <col min="13320" max="13320" width="11.5" style="1" customWidth="1"/>
    <col min="13321" max="13568" width="9" style="1"/>
    <col min="13569" max="13569" width="5.125" style="1" customWidth="1"/>
    <col min="13570" max="13570" width="11.25" style="1" customWidth="1"/>
    <col min="13571" max="13571" width="10.25" style="1" customWidth="1"/>
    <col min="13572" max="13572" width="14.5" style="1" customWidth="1"/>
    <col min="13573" max="13573" width="7" style="1" customWidth="1"/>
    <col min="13574" max="13574" width="14.25" style="1" customWidth="1"/>
    <col min="13575" max="13575" width="9.75" style="1" customWidth="1"/>
    <col min="13576" max="13576" width="11.5" style="1" customWidth="1"/>
    <col min="13577" max="13824" width="9" style="1"/>
    <col min="13825" max="13825" width="5.125" style="1" customWidth="1"/>
    <col min="13826" max="13826" width="11.25" style="1" customWidth="1"/>
    <col min="13827" max="13827" width="10.25" style="1" customWidth="1"/>
    <col min="13828" max="13828" width="14.5" style="1" customWidth="1"/>
    <col min="13829" max="13829" width="7" style="1" customWidth="1"/>
    <col min="13830" max="13830" width="14.25" style="1" customWidth="1"/>
    <col min="13831" max="13831" width="9.75" style="1" customWidth="1"/>
    <col min="13832" max="13832" width="11.5" style="1" customWidth="1"/>
    <col min="13833" max="14080" width="9" style="1"/>
    <col min="14081" max="14081" width="5.125" style="1" customWidth="1"/>
    <col min="14082" max="14082" width="11.25" style="1" customWidth="1"/>
    <col min="14083" max="14083" width="10.25" style="1" customWidth="1"/>
    <col min="14084" max="14084" width="14.5" style="1" customWidth="1"/>
    <col min="14085" max="14085" width="7" style="1" customWidth="1"/>
    <col min="14086" max="14086" width="14.25" style="1" customWidth="1"/>
    <col min="14087" max="14087" width="9.75" style="1" customWidth="1"/>
    <col min="14088" max="14088" width="11.5" style="1" customWidth="1"/>
    <col min="14089" max="14336" width="9" style="1"/>
    <col min="14337" max="14337" width="5.125" style="1" customWidth="1"/>
    <col min="14338" max="14338" width="11.25" style="1" customWidth="1"/>
    <col min="14339" max="14339" width="10.25" style="1" customWidth="1"/>
    <col min="14340" max="14340" width="14.5" style="1" customWidth="1"/>
    <col min="14341" max="14341" width="7" style="1" customWidth="1"/>
    <col min="14342" max="14342" width="14.25" style="1" customWidth="1"/>
    <col min="14343" max="14343" width="9.75" style="1" customWidth="1"/>
    <col min="14344" max="14344" width="11.5" style="1" customWidth="1"/>
    <col min="14345" max="14592" width="9" style="1"/>
    <col min="14593" max="14593" width="5.125" style="1" customWidth="1"/>
    <col min="14594" max="14594" width="11.25" style="1" customWidth="1"/>
    <col min="14595" max="14595" width="10.25" style="1" customWidth="1"/>
    <col min="14596" max="14596" width="14.5" style="1" customWidth="1"/>
    <col min="14597" max="14597" width="7" style="1" customWidth="1"/>
    <col min="14598" max="14598" width="14.25" style="1" customWidth="1"/>
    <col min="14599" max="14599" width="9.75" style="1" customWidth="1"/>
    <col min="14600" max="14600" width="11.5" style="1" customWidth="1"/>
    <col min="14601" max="14848" width="9" style="1"/>
    <col min="14849" max="14849" width="5.125" style="1" customWidth="1"/>
    <col min="14850" max="14850" width="11.25" style="1" customWidth="1"/>
    <col min="14851" max="14851" width="10.25" style="1" customWidth="1"/>
    <col min="14852" max="14852" width="14.5" style="1" customWidth="1"/>
    <col min="14853" max="14853" width="7" style="1" customWidth="1"/>
    <col min="14854" max="14854" width="14.25" style="1" customWidth="1"/>
    <col min="14855" max="14855" width="9.75" style="1" customWidth="1"/>
    <col min="14856" max="14856" width="11.5" style="1" customWidth="1"/>
    <col min="14857" max="15104" width="9" style="1"/>
    <col min="15105" max="15105" width="5.125" style="1" customWidth="1"/>
    <col min="15106" max="15106" width="11.25" style="1" customWidth="1"/>
    <col min="15107" max="15107" width="10.25" style="1" customWidth="1"/>
    <col min="15108" max="15108" width="14.5" style="1" customWidth="1"/>
    <col min="15109" max="15109" width="7" style="1" customWidth="1"/>
    <col min="15110" max="15110" width="14.25" style="1" customWidth="1"/>
    <col min="15111" max="15111" width="9.75" style="1" customWidth="1"/>
    <col min="15112" max="15112" width="11.5" style="1" customWidth="1"/>
    <col min="15113" max="15360" width="9" style="1"/>
    <col min="15361" max="15361" width="5.125" style="1" customWidth="1"/>
    <col min="15362" max="15362" width="11.25" style="1" customWidth="1"/>
    <col min="15363" max="15363" width="10.25" style="1" customWidth="1"/>
    <col min="15364" max="15364" width="14.5" style="1" customWidth="1"/>
    <col min="15365" max="15365" width="7" style="1" customWidth="1"/>
    <col min="15366" max="15366" width="14.25" style="1" customWidth="1"/>
    <col min="15367" max="15367" width="9.75" style="1" customWidth="1"/>
    <col min="15368" max="15368" width="11.5" style="1" customWidth="1"/>
    <col min="15369" max="15616" width="9" style="1"/>
    <col min="15617" max="15617" width="5.125" style="1" customWidth="1"/>
    <col min="15618" max="15618" width="11.25" style="1" customWidth="1"/>
    <col min="15619" max="15619" width="10.25" style="1" customWidth="1"/>
    <col min="15620" max="15620" width="14.5" style="1" customWidth="1"/>
    <col min="15621" max="15621" width="7" style="1" customWidth="1"/>
    <col min="15622" max="15622" width="14.25" style="1" customWidth="1"/>
    <col min="15623" max="15623" width="9.75" style="1" customWidth="1"/>
    <col min="15624" max="15624" width="11.5" style="1" customWidth="1"/>
    <col min="15625" max="15872" width="9" style="1"/>
    <col min="15873" max="15873" width="5.125" style="1" customWidth="1"/>
    <col min="15874" max="15874" width="11.25" style="1" customWidth="1"/>
    <col min="15875" max="15875" width="10.25" style="1" customWidth="1"/>
    <col min="15876" max="15876" width="14.5" style="1" customWidth="1"/>
    <col min="15877" max="15877" width="7" style="1" customWidth="1"/>
    <col min="15878" max="15878" width="14.25" style="1" customWidth="1"/>
    <col min="15879" max="15879" width="9.75" style="1" customWidth="1"/>
    <col min="15880" max="15880" width="11.5" style="1" customWidth="1"/>
    <col min="15881" max="16128" width="9" style="1"/>
    <col min="16129" max="16129" width="5.125" style="1" customWidth="1"/>
    <col min="16130" max="16130" width="11.25" style="1" customWidth="1"/>
    <col min="16131" max="16131" width="10.25" style="1" customWidth="1"/>
    <col min="16132" max="16132" width="14.5" style="1" customWidth="1"/>
    <col min="16133" max="16133" width="7" style="1" customWidth="1"/>
    <col min="16134" max="16134" width="14.25" style="1" customWidth="1"/>
    <col min="16135" max="16135" width="9.75" style="1" customWidth="1"/>
    <col min="16136" max="16136" width="11.5" style="1" customWidth="1"/>
    <col min="16137" max="16384" width="9" style="1"/>
  </cols>
  <sheetData>
    <row r="2" ht="22.5" customHeight="1" spans="1:8">
      <c r="A2" s="27" t="s">
        <v>91</v>
      </c>
      <c r="B2" s="27"/>
      <c r="C2" s="27"/>
      <c r="D2" s="27"/>
      <c r="E2" s="27"/>
      <c r="F2" s="27"/>
      <c r="G2" s="27"/>
      <c r="H2" s="27"/>
    </row>
    <row r="3" ht="21" customHeight="1" spans="1:8">
      <c r="A3" s="6" t="s">
        <v>5</v>
      </c>
      <c r="B3" s="6" t="s">
        <v>42</v>
      </c>
      <c r="C3" s="6" t="s">
        <v>44</v>
      </c>
      <c r="D3" s="6" t="s">
        <v>7</v>
      </c>
      <c r="E3" s="6" t="s">
        <v>8</v>
      </c>
      <c r="F3" s="6" t="s">
        <v>92</v>
      </c>
      <c r="G3" s="6" t="s">
        <v>10</v>
      </c>
      <c r="H3" s="6" t="s">
        <v>11</v>
      </c>
    </row>
    <row r="4" ht="21" customHeight="1" spans="1:8">
      <c r="A4" s="6">
        <v>1</v>
      </c>
      <c r="B4" s="8" t="s">
        <v>93</v>
      </c>
      <c r="C4" s="6" t="s">
        <v>94</v>
      </c>
      <c r="D4" s="6">
        <v>44719</v>
      </c>
      <c r="E4" s="6" t="s">
        <v>67</v>
      </c>
      <c r="F4" s="6">
        <v>44719</v>
      </c>
      <c r="G4" s="6">
        <v>0</v>
      </c>
      <c r="H4" s="6" t="s">
        <v>14</v>
      </c>
    </row>
    <row r="5" ht="21" customHeight="1" spans="1:8">
      <c r="A5" s="6"/>
      <c r="B5" s="6" t="s">
        <v>40</v>
      </c>
      <c r="C5" s="6"/>
      <c r="D5" s="6">
        <f>SUM(D4:D4)</f>
        <v>44719</v>
      </c>
      <c r="E5" s="6"/>
      <c r="F5" s="6"/>
      <c r="G5" s="6"/>
      <c r="H5" s="8"/>
    </row>
    <row r="6" ht="21" customHeight="1" spans="1:8">
      <c r="A6" s="6"/>
      <c r="B6" s="6"/>
      <c r="C6" s="6"/>
      <c r="D6" s="6"/>
      <c r="E6" s="6"/>
      <c r="F6" s="6"/>
      <c r="G6" s="6"/>
      <c r="H6" s="6"/>
    </row>
    <row r="7" ht="21" customHeight="1" spans="1:8">
      <c r="A7" s="28"/>
      <c r="B7" s="28"/>
      <c r="C7" s="28"/>
      <c r="D7" s="28"/>
      <c r="E7" s="28"/>
      <c r="F7" s="28"/>
      <c r="G7" s="28"/>
      <c r="H7" s="28"/>
    </row>
    <row r="8" ht="22.5" customHeight="1" spans="1:8">
      <c r="A8" s="27" t="s">
        <v>95</v>
      </c>
      <c r="B8" s="27"/>
      <c r="C8" s="27"/>
      <c r="D8" s="27"/>
      <c r="E8" s="27"/>
      <c r="F8" s="27"/>
      <c r="G8" s="27"/>
      <c r="H8" s="27"/>
    </row>
    <row r="9" ht="21" customHeight="1" spans="1:8">
      <c r="A9" s="6" t="s">
        <v>5</v>
      </c>
      <c r="B9" s="6" t="s">
        <v>42</v>
      </c>
      <c r="C9" s="6" t="s">
        <v>44</v>
      </c>
      <c r="D9" s="6" t="s">
        <v>7</v>
      </c>
      <c r="E9" s="6" t="s">
        <v>8</v>
      </c>
      <c r="F9" s="6" t="s">
        <v>92</v>
      </c>
      <c r="G9" s="6" t="s">
        <v>10</v>
      </c>
      <c r="H9" s="6" t="s">
        <v>11</v>
      </c>
    </row>
    <row r="10" ht="21" customHeight="1" spans="1:8">
      <c r="A10" s="6">
        <v>1</v>
      </c>
      <c r="B10" s="8" t="s">
        <v>93</v>
      </c>
      <c r="C10" s="6" t="s">
        <v>94</v>
      </c>
      <c r="D10" s="6">
        <v>9976</v>
      </c>
      <c r="E10" s="6" t="s">
        <v>67</v>
      </c>
      <c r="F10" s="6">
        <v>9976</v>
      </c>
      <c r="G10" s="6">
        <v>0</v>
      </c>
      <c r="H10" s="6" t="s">
        <v>14</v>
      </c>
    </row>
    <row r="11" ht="21" customHeight="1" spans="1:8">
      <c r="A11" s="6">
        <v>2</v>
      </c>
      <c r="B11" s="8" t="s">
        <v>96</v>
      </c>
      <c r="C11" s="6" t="s">
        <v>94</v>
      </c>
      <c r="D11" s="6">
        <v>19938</v>
      </c>
      <c r="E11" s="6" t="s">
        <v>16</v>
      </c>
      <c r="F11" s="6">
        <v>19938</v>
      </c>
      <c r="G11" s="6">
        <v>0</v>
      </c>
      <c r="H11" s="6" t="s">
        <v>14</v>
      </c>
    </row>
    <row r="12" ht="21" customHeight="1" spans="1:8">
      <c r="A12" s="6"/>
      <c r="B12" s="6" t="s">
        <v>40</v>
      </c>
      <c r="C12" s="6"/>
      <c r="D12" s="6">
        <f>D11+D10</f>
        <v>29914</v>
      </c>
      <c r="E12" s="6"/>
      <c r="F12" s="6"/>
      <c r="G12" s="6"/>
      <c r="H12" s="8"/>
    </row>
    <row r="13" ht="21" customHeight="1" spans="1:8">
      <c r="A13" s="6"/>
      <c r="B13" s="6"/>
      <c r="C13" s="6"/>
      <c r="D13" s="6"/>
      <c r="E13" s="6"/>
      <c r="F13" s="6"/>
      <c r="G13" s="6"/>
      <c r="H13" s="6"/>
    </row>
    <row r="15" ht="22.5" customHeight="1" spans="1:8">
      <c r="A15" s="27" t="s">
        <v>97</v>
      </c>
      <c r="B15" s="27"/>
      <c r="C15" s="27"/>
      <c r="D15" s="27"/>
      <c r="E15" s="27"/>
      <c r="F15" s="27"/>
      <c r="G15" s="27"/>
      <c r="H15" s="27"/>
    </row>
    <row r="16" ht="21" customHeight="1" spans="1:8">
      <c r="A16" s="6" t="s">
        <v>5</v>
      </c>
      <c r="B16" s="6" t="s">
        <v>42</v>
      </c>
      <c r="C16" s="6" t="s">
        <v>44</v>
      </c>
      <c r="D16" s="6" t="s">
        <v>7</v>
      </c>
      <c r="E16" s="6" t="s">
        <v>8</v>
      </c>
      <c r="F16" s="6" t="s">
        <v>92</v>
      </c>
      <c r="G16" s="6" t="s">
        <v>10</v>
      </c>
      <c r="H16" s="6" t="s">
        <v>11</v>
      </c>
    </row>
    <row r="17" ht="21" customHeight="1" spans="1:8">
      <c r="A17" s="6">
        <v>1</v>
      </c>
      <c r="B17" s="8" t="s">
        <v>96</v>
      </c>
      <c r="C17" s="6" t="s">
        <v>94</v>
      </c>
      <c r="D17" s="6">
        <v>9937</v>
      </c>
      <c r="E17" s="6" t="s">
        <v>16</v>
      </c>
      <c r="F17" s="6">
        <v>9937</v>
      </c>
      <c r="G17" s="6">
        <v>0</v>
      </c>
      <c r="H17" s="6" t="s">
        <v>14</v>
      </c>
    </row>
    <row r="18" ht="21" customHeight="1" spans="1:8">
      <c r="A18" s="6"/>
      <c r="B18" s="6" t="s">
        <v>40</v>
      </c>
      <c r="C18" s="6"/>
      <c r="D18" s="6">
        <f>SUM(D17:D17)</f>
        <v>9937</v>
      </c>
      <c r="E18" s="6"/>
      <c r="F18" s="6"/>
      <c r="G18" s="6"/>
      <c r="H18" s="8"/>
    </row>
    <row r="19" ht="21" customHeight="1" spans="1:8">
      <c r="A19" s="6"/>
      <c r="B19" s="6"/>
      <c r="C19" s="6"/>
      <c r="D19" s="6"/>
      <c r="E19" s="6"/>
      <c r="F19" s="6"/>
      <c r="G19" s="6"/>
      <c r="H19" s="6"/>
    </row>
    <row r="21" ht="22.5" customHeight="1" spans="1:8">
      <c r="A21" s="27" t="s">
        <v>98</v>
      </c>
      <c r="B21" s="27"/>
      <c r="C21" s="27"/>
      <c r="D21" s="27"/>
      <c r="E21" s="27"/>
      <c r="F21" s="27"/>
      <c r="G21" s="27"/>
      <c r="H21" s="27"/>
    </row>
    <row r="22" ht="21" customHeight="1" spans="1:8">
      <c r="A22" s="6" t="s">
        <v>5</v>
      </c>
      <c r="B22" s="6" t="s">
        <v>42</v>
      </c>
      <c r="C22" s="6" t="s">
        <v>44</v>
      </c>
      <c r="D22" s="6" t="s">
        <v>7</v>
      </c>
      <c r="E22" s="6" t="s">
        <v>8</v>
      </c>
      <c r="F22" s="6" t="s">
        <v>92</v>
      </c>
      <c r="G22" s="6" t="s">
        <v>10</v>
      </c>
      <c r="H22" s="6" t="s">
        <v>11</v>
      </c>
    </row>
    <row r="23" ht="21" customHeight="1" spans="1:8">
      <c r="A23" s="6">
        <v>1</v>
      </c>
      <c r="B23" s="8" t="s">
        <v>96</v>
      </c>
      <c r="C23" s="6" t="s">
        <v>94</v>
      </c>
      <c r="D23" s="6">
        <v>9936</v>
      </c>
      <c r="E23" s="6" t="s">
        <v>16</v>
      </c>
      <c r="F23" s="6">
        <v>9936</v>
      </c>
      <c r="G23" s="6">
        <v>0</v>
      </c>
      <c r="H23" s="6" t="s">
        <v>14</v>
      </c>
    </row>
    <row r="24" ht="21" customHeight="1" spans="1:8">
      <c r="A24" s="6"/>
      <c r="B24" s="6" t="s">
        <v>40</v>
      </c>
      <c r="C24" s="6"/>
      <c r="D24" s="6">
        <f>SUM(D23:D23)</f>
        <v>9936</v>
      </c>
      <c r="E24" s="6"/>
      <c r="F24" s="6"/>
      <c r="G24" s="6"/>
      <c r="H24" s="8"/>
    </row>
    <row r="25" ht="21" customHeight="1" spans="1:8">
      <c r="A25" s="6"/>
      <c r="B25" s="6"/>
      <c r="C25" s="6"/>
      <c r="D25" s="6"/>
      <c r="E25" s="6"/>
      <c r="F25" s="6"/>
      <c r="G25" s="6"/>
      <c r="H25" s="6"/>
    </row>
    <row r="27" ht="22.5" customHeight="1" spans="1:8">
      <c r="A27" s="27" t="s">
        <v>99</v>
      </c>
      <c r="B27" s="27"/>
      <c r="C27" s="27"/>
      <c r="D27" s="27"/>
      <c r="E27" s="27"/>
      <c r="F27" s="27"/>
      <c r="G27" s="27"/>
      <c r="H27" s="27"/>
    </row>
    <row r="28" ht="21" customHeight="1" spans="1:8">
      <c r="A28" s="6" t="s">
        <v>5</v>
      </c>
      <c r="B28" s="6" t="s">
        <v>42</v>
      </c>
      <c r="C28" s="6" t="s">
        <v>44</v>
      </c>
      <c r="D28" s="6" t="s">
        <v>7</v>
      </c>
      <c r="E28" s="6" t="s">
        <v>8</v>
      </c>
      <c r="F28" s="6" t="s">
        <v>92</v>
      </c>
      <c r="G28" s="6" t="s">
        <v>10</v>
      </c>
      <c r="H28" s="6" t="s">
        <v>11</v>
      </c>
    </row>
    <row r="29" ht="21" customHeight="1" spans="1:8">
      <c r="A29" s="6">
        <v>1</v>
      </c>
      <c r="B29" s="8" t="s">
        <v>96</v>
      </c>
      <c r="C29" s="6" t="s">
        <v>94</v>
      </c>
      <c r="D29" s="6">
        <v>9932</v>
      </c>
      <c r="E29" s="6" t="s">
        <v>16</v>
      </c>
      <c r="F29" s="6">
        <v>9932</v>
      </c>
      <c r="G29" s="6">
        <v>0</v>
      </c>
      <c r="H29" s="6" t="s">
        <v>14</v>
      </c>
    </row>
    <row r="30" ht="21" customHeight="1" spans="1:8">
      <c r="A30" s="6"/>
      <c r="B30" s="6" t="s">
        <v>40</v>
      </c>
      <c r="C30" s="6"/>
      <c r="D30" s="6">
        <f>SUM(D29:D29)</f>
        <v>9932</v>
      </c>
      <c r="E30" s="6"/>
      <c r="F30" s="6"/>
      <c r="G30" s="6"/>
      <c r="H30" s="8"/>
    </row>
    <row r="31" ht="21" customHeight="1" spans="1:8">
      <c r="A31" s="6"/>
      <c r="B31" s="6"/>
      <c r="C31" s="6"/>
      <c r="D31" s="6"/>
      <c r="E31" s="6"/>
      <c r="F31" s="6"/>
      <c r="G31" s="6"/>
      <c r="H31" s="6"/>
    </row>
  </sheetData>
  <mergeCells count="5">
    <mergeCell ref="A2:H2"/>
    <mergeCell ref="A8:H8"/>
    <mergeCell ref="A15:H15"/>
    <mergeCell ref="A21:H21"/>
    <mergeCell ref="A27:H2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D4" sqref="D4"/>
    </sheetView>
  </sheetViews>
  <sheetFormatPr defaultColWidth="9" defaultRowHeight="14.25"/>
  <cols>
    <col min="1" max="1" width="3.625" style="22" customWidth="1"/>
    <col min="2" max="2" width="11.75" style="22" customWidth="1"/>
    <col min="3" max="3" width="10.75" style="22" customWidth="1"/>
    <col min="4" max="4" width="10.125" style="22" customWidth="1"/>
    <col min="5" max="5" width="12" style="22" customWidth="1"/>
    <col min="6" max="6" width="7.375" style="22" customWidth="1"/>
    <col min="7" max="7" width="10.75" style="22" customWidth="1"/>
    <col min="8" max="8" width="9.75" style="22" customWidth="1"/>
    <col min="9" max="9" width="11" style="22" customWidth="1"/>
  </cols>
  <sheetData>
    <row r="1" ht="36" customHeight="1" spans="1:9">
      <c r="A1" s="2" t="s">
        <v>41</v>
      </c>
      <c r="B1" s="2"/>
      <c r="C1" s="4"/>
      <c r="D1" s="4"/>
      <c r="E1" s="4"/>
      <c r="F1" s="4"/>
      <c r="G1" s="4"/>
      <c r="H1" s="4"/>
      <c r="I1" s="4"/>
    </row>
    <row r="2" s="1" customFormat="1" ht="44.25" customHeight="1" spans="1:9">
      <c r="A2" s="23" t="s">
        <v>5</v>
      </c>
      <c r="B2" s="24" t="s">
        <v>42</v>
      </c>
      <c r="C2" s="24" t="s">
        <v>43</v>
      </c>
      <c r="D2" s="24" t="s">
        <v>44</v>
      </c>
      <c r="E2" s="23" t="s">
        <v>7</v>
      </c>
      <c r="F2" s="23" t="s">
        <v>8</v>
      </c>
      <c r="G2" s="23" t="s">
        <v>45</v>
      </c>
      <c r="H2" s="24" t="s">
        <v>10</v>
      </c>
      <c r="I2" s="24" t="s">
        <v>11</v>
      </c>
    </row>
    <row r="3" s="1" customFormat="1" ht="24.95" customHeight="1" spans="1:9">
      <c r="A3" s="6">
        <v>1</v>
      </c>
      <c r="B3" s="8" t="s">
        <v>100</v>
      </c>
      <c r="C3" s="6" t="s">
        <v>47</v>
      </c>
      <c r="D3" s="8" t="s">
        <v>94</v>
      </c>
      <c r="E3" s="6">
        <v>49859</v>
      </c>
      <c r="F3" s="6">
        <v>10</v>
      </c>
      <c r="G3" s="9">
        <f>E3+E4</f>
        <v>76578</v>
      </c>
      <c r="H3" s="6">
        <v>0</v>
      </c>
      <c r="I3" s="6" t="s">
        <v>50</v>
      </c>
    </row>
    <row r="4" s="1" customFormat="1" ht="24.95" customHeight="1" spans="1:9">
      <c r="A4" s="6">
        <v>2</v>
      </c>
      <c r="B4" s="8" t="s">
        <v>101</v>
      </c>
      <c r="C4" s="6" t="s">
        <v>47</v>
      </c>
      <c r="D4" s="8" t="s">
        <v>94</v>
      </c>
      <c r="E4" s="6">
        <v>26719</v>
      </c>
      <c r="F4" s="6">
        <v>10</v>
      </c>
      <c r="G4" s="12"/>
      <c r="H4" s="6">
        <v>0</v>
      </c>
      <c r="I4" s="6" t="s">
        <v>50</v>
      </c>
    </row>
    <row r="5" s="1" customFormat="1" ht="24.95" customHeight="1" spans="1:9">
      <c r="A5" s="6"/>
      <c r="B5" s="25"/>
      <c r="C5" s="6"/>
      <c r="D5" s="26"/>
      <c r="E5" s="6"/>
      <c r="F5" s="6"/>
      <c r="G5" s="6"/>
      <c r="H5" s="6"/>
      <c r="I5" s="6"/>
    </row>
    <row r="6" s="1" customFormat="1" ht="24.95" customHeight="1" spans="1:9">
      <c r="A6" s="6"/>
      <c r="B6" s="25"/>
      <c r="C6" s="6"/>
      <c r="D6" s="26"/>
      <c r="E6" s="6"/>
      <c r="F6" s="6"/>
      <c r="G6" s="6"/>
      <c r="H6" s="6"/>
      <c r="I6" s="6"/>
    </row>
    <row r="7" s="1" customFormat="1" ht="24.95" customHeight="1" spans="1:9">
      <c r="A7" s="6"/>
      <c r="B7" s="25"/>
      <c r="C7" s="6"/>
      <c r="D7" s="26"/>
      <c r="E7" s="6"/>
      <c r="F7" s="6"/>
      <c r="G7" s="6"/>
      <c r="H7" s="6"/>
      <c r="I7" s="6"/>
    </row>
    <row r="8" s="1" customFormat="1" ht="24.95" customHeight="1" spans="1:9">
      <c r="A8" s="6"/>
      <c r="B8" s="25"/>
      <c r="C8" s="6"/>
      <c r="D8" s="26"/>
      <c r="E8" s="6"/>
      <c r="F8" s="6"/>
      <c r="G8" s="6"/>
      <c r="H8" s="6"/>
      <c r="I8" s="6"/>
    </row>
    <row r="9" s="1" customFormat="1" ht="24.95" customHeight="1" spans="1:9">
      <c r="A9" s="6"/>
      <c r="B9" s="25"/>
      <c r="C9" s="6"/>
      <c r="D9" s="26"/>
      <c r="E9" s="6"/>
      <c r="F9" s="6"/>
      <c r="G9" s="6"/>
      <c r="H9" s="6"/>
      <c r="I9" s="6"/>
    </row>
    <row r="10" s="1" customFormat="1" ht="24.95" customHeight="1" spans="1:9">
      <c r="A10" s="6"/>
      <c r="B10" s="25"/>
      <c r="C10" s="6"/>
      <c r="D10" s="26"/>
      <c r="E10" s="6"/>
      <c r="F10" s="6"/>
      <c r="G10" s="6"/>
      <c r="H10" s="6"/>
      <c r="I10" s="6"/>
    </row>
    <row r="11" s="1" customFormat="1" ht="24.95" customHeight="1" spans="1:9">
      <c r="A11" s="6"/>
      <c r="B11" s="25"/>
      <c r="C11" s="6"/>
      <c r="D11" s="26"/>
      <c r="E11" s="6"/>
      <c r="F11" s="6"/>
      <c r="G11" s="6"/>
      <c r="H11" s="6"/>
      <c r="I11" s="6"/>
    </row>
    <row r="12" s="1" customFormat="1" ht="24.95" customHeight="1" spans="1:9">
      <c r="A12" s="6"/>
      <c r="B12" s="25"/>
      <c r="C12" s="6"/>
      <c r="D12" s="26"/>
      <c r="E12" s="6"/>
      <c r="F12" s="6"/>
      <c r="G12" s="6"/>
      <c r="H12" s="6"/>
      <c r="I12" s="6"/>
    </row>
    <row r="13" s="1" customFormat="1" ht="24.95" customHeight="1" spans="1:9">
      <c r="A13" s="6"/>
      <c r="B13" s="25"/>
      <c r="C13" s="6"/>
      <c r="D13" s="26"/>
      <c r="E13" s="6"/>
      <c r="F13" s="6"/>
      <c r="G13" s="6"/>
      <c r="H13" s="6"/>
      <c r="I13" s="6"/>
    </row>
    <row r="14" s="1" customFormat="1" ht="24.95" customHeight="1" spans="1:9">
      <c r="A14" s="6"/>
      <c r="B14" s="25"/>
      <c r="C14" s="6"/>
      <c r="D14" s="6"/>
      <c r="E14" s="6"/>
      <c r="F14" s="6"/>
      <c r="G14" s="6"/>
      <c r="H14" s="6"/>
      <c r="I14" s="6"/>
    </row>
    <row r="15" s="1" customFormat="1" ht="24.95" customHeight="1" spans="1:9">
      <c r="A15" s="6"/>
      <c r="B15" s="25"/>
      <c r="C15" s="6"/>
      <c r="D15" s="6"/>
      <c r="E15" s="6"/>
      <c r="F15" s="6"/>
      <c r="G15" s="6"/>
      <c r="H15" s="6"/>
      <c r="I15" s="6"/>
    </row>
    <row r="16" s="1" customFormat="1" ht="24.95" customHeight="1" spans="1:9">
      <c r="A16" s="6"/>
      <c r="B16" s="25"/>
      <c r="C16" s="6"/>
      <c r="D16" s="6"/>
      <c r="E16" s="6"/>
      <c r="F16" s="6"/>
      <c r="G16" s="6"/>
      <c r="H16" s="6"/>
      <c r="I16" s="6"/>
    </row>
    <row r="17" s="1" customFormat="1" ht="24.95" customHeight="1" spans="1:9">
      <c r="A17" s="6"/>
      <c r="B17" s="6"/>
      <c r="C17" s="6"/>
      <c r="D17" s="6"/>
      <c r="E17" s="6"/>
      <c r="F17" s="6"/>
      <c r="G17" s="6"/>
      <c r="H17" s="6"/>
      <c r="I17" s="6"/>
    </row>
    <row r="18" s="1" customFormat="1" ht="24.95" customHeight="1" spans="1:9">
      <c r="A18" s="6"/>
      <c r="B18" s="6"/>
      <c r="C18" s="6"/>
      <c r="D18" s="6"/>
      <c r="E18" s="6"/>
      <c r="F18" s="6"/>
      <c r="G18" s="6"/>
      <c r="H18" s="6"/>
      <c r="I18" s="6"/>
    </row>
    <row r="19" s="1" customFormat="1" ht="24.95" customHeight="1" spans="1:9">
      <c r="A19" s="6"/>
      <c r="B19" s="6"/>
      <c r="C19" s="6"/>
      <c r="D19" s="6"/>
      <c r="E19" s="6"/>
      <c r="F19" s="6"/>
      <c r="G19" s="6"/>
      <c r="H19" s="6"/>
      <c r="I19" s="6"/>
    </row>
    <row r="20" s="1" customFormat="1" ht="24.95" customHeight="1" spans="1:9">
      <c r="A20" s="6"/>
      <c r="B20" s="6"/>
      <c r="C20" s="6"/>
      <c r="D20" s="6"/>
      <c r="E20" s="6"/>
      <c r="F20" s="6"/>
      <c r="G20" s="6"/>
      <c r="H20" s="6"/>
      <c r="I20" s="6"/>
    </row>
    <row r="21" s="1" customFormat="1" ht="24.95" customHeight="1" spans="1:9">
      <c r="A21" s="6"/>
      <c r="B21" s="6"/>
      <c r="C21" s="6"/>
      <c r="D21" s="6"/>
      <c r="E21" s="6"/>
      <c r="F21" s="6"/>
      <c r="G21" s="6"/>
      <c r="H21" s="6"/>
      <c r="I21" s="6"/>
    </row>
    <row r="22" s="1" customFormat="1" ht="24.95" customHeight="1" spans="1:9">
      <c r="A22" s="6"/>
      <c r="B22" s="6"/>
      <c r="C22" s="6"/>
      <c r="D22" s="6"/>
      <c r="E22" s="6"/>
      <c r="F22" s="6"/>
      <c r="G22" s="6"/>
      <c r="H22" s="6"/>
      <c r="I22" s="6"/>
    </row>
    <row r="23" s="1" customFormat="1" ht="24.95" customHeight="1" spans="1:9">
      <c r="A23" s="6"/>
      <c r="B23" s="6"/>
      <c r="C23" s="26" t="s">
        <v>73</v>
      </c>
      <c r="D23" s="26"/>
      <c r="E23" s="6">
        <f>SUM(E3:E22)</f>
        <v>76578</v>
      </c>
      <c r="F23" s="6"/>
      <c r="G23" s="6"/>
      <c r="H23" s="6"/>
      <c r="I23" s="6"/>
    </row>
    <row r="24" s="1" customFormat="1" ht="24.95" customHeight="1" spans="1:9">
      <c r="A24" s="6"/>
      <c r="B24" s="6"/>
      <c r="C24" s="6"/>
      <c r="D24" s="6"/>
      <c r="E24" s="6"/>
      <c r="F24" s="6"/>
      <c r="G24" s="6"/>
      <c r="H24" s="6"/>
      <c r="I24" s="6"/>
    </row>
  </sheetData>
  <mergeCells count="2">
    <mergeCell ref="A1:I1"/>
    <mergeCell ref="G3:G4"/>
  </mergeCells>
  <pageMargins left="0.31496062992126" right="0.31496062992126" top="0.748031496062992" bottom="0.748031496062992" header="0.31496062992126" footer="0.3149606299212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E10" sqref="E10"/>
    </sheetView>
  </sheetViews>
  <sheetFormatPr defaultColWidth="9" defaultRowHeight="14.25"/>
  <cols>
    <col min="1" max="1" width="3.625" style="22" customWidth="1"/>
    <col min="2" max="2" width="11.75" style="22" customWidth="1"/>
    <col min="3" max="3" width="10.75" style="22" customWidth="1"/>
    <col min="4" max="4" width="10.125" style="22" customWidth="1"/>
    <col min="5" max="5" width="12" style="22" customWidth="1"/>
    <col min="6" max="6" width="7.375" style="22" customWidth="1"/>
    <col min="7" max="7" width="11.75" style="22" customWidth="1"/>
    <col min="8" max="8" width="10.125" style="22" customWidth="1"/>
    <col min="9" max="9" width="11.875" style="22" customWidth="1"/>
  </cols>
  <sheetData>
    <row r="1" ht="36" customHeight="1" spans="1:9">
      <c r="A1" s="2" t="s">
        <v>41</v>
      </c>
      <c r="B1" s="2"/>
      <c r="C1" s="4"/>
      <c r="D1" s="4"/>
      <c r="E1" s="4"/>
      <c r="F1" s="4"/>
      <c r="G1" s="4"/>
      <c r="H1" s="4"/>
      <c r="I1" s="4"/>
    </row>
    <row r="2" s="1" customFormat="1" ht="44.25" customHeight="1" spans="1:9">
      <c r="A2" s="23" t="s">
        <v>5</v>
      </c>
      <c r="B2" s="24" t="s">
        <v>42</v>
      </c>
      <c r="C2" s="24" t="s">
        <v>43</v>
      </c>
      <c r="D2" s="24" t="s">
        <v>44</v>
      </c>
      <c r="E2" s="23" t="s">
        <v>7</v>
      </c>
      <c r="F2" s="23" t="s">
        <v>8</v>
      </c>
      <c r="G2" s="23" t="s">
        <v>45</v>
      </c>
      <c r="H2" s="24" t="s">
        <v>10</v>
      </c>
      <c r="I2" s="24" t="s">
        <v>11</v>
      </c>
    </row>
    <row r="3" s="1" customFormat="1" ht="24.95" customHeight="1" spans="1:9">
      <c r="A3" s="6">
        <v>1</v>
      </c>
      <c r="B3" s="25">
        <v>43719</v>
      </c>
      <c r="C3" s="6" t="s">
        <v>47</v>
      </c>
      <c r="D3" s="8" t="s">
        <v>94</v>
      </c>
      <c r="E3" s="6">
        <v>29885</v>
      </c>
      <c r="F3" s="6">
        <v>9</v>
      </c>
      <c r="G3" s="12">
        <f>SUM(E3)</f>
        <v>29885</v>
      </c>
      <c r="H3" s="6">
        <v>0</v>
      </c>
      <c r="I3" s="6" t="s">
        <v>50</v>
      </c>
    </row>
    <row r="4" s="1" customFormat="1" ht="24.95" customHeight="1" spans="1:9">
      <c r="A4" s="6"/>
      <c r="B4" s="25"/>
      <c r="C4" s="6"/>
      <c r="D4" s="6"/>
      <c r="E4" s="6"/>
      <c r="F4" s="6"/>
      <c r="G4" s="6"/>
      <c r="H4" s="6"/>
      <c r="I4" s="6"/>
    </row>
    <row r="5" s="1" customFormat="1" ht="24.95" customHeight="1" spans="1:9">
      <c r="A5" s="6"/>
      <c r="B5" s="25"/>
      <c r="C5" s="6"/>
      <c r="D5" s="6"/>
      <c r="E5" s="6"/>
      <c r="F5" s="6"/>
      <c r="G5" s="6"/>
      <c r="H5" s="6"/>
      <c r="I5" s="6"/>
    </row>
    <row r="6" s="1" customFormat="1" ht="24.95" customHeight="1" spans="1:9">
      <c r="A6" s="6"/>
      <c r="B6" s="25"/>
      <c r="C6" s="6"/>
      <c r="D6" s="6"/>
      <c r="E6" s="6"/>
      <c r="F6" s="6"/>
      <c r="G6" s="6"/>
      <c r="H6" s="6"/>
      <c r="I6" s="6"/>
    </row>
    <row r="7" s="1" customFormat="1" ht="24.95" customHeight="1" spans="1:9">
      <c r="A7" s="6"/>
      <c r="B7" s="25"/>
      <c r="C7" s="6"/>
      <c r="D7" s="6"/>
      <c r="E7" s="6"/>
      <c r="F7" s="6"/>
      <c r="G7" s="6"/>
      <c r="H7" s="6"/>
      <c r="I7" s="6"/>
    </row>
    <row r="8" s="1" customFormat="1" ht="24.95" customHeight="1" spans="1:9">
      <c r="A8" s="6"/>
      <c r="B8" s="25"/>
      <c r="C8" s="6"/>
      <c r="D8" s="6"/>
      <c r="E8" s="6"/>
      <c r="F8" s="6"/>
      <c r="G8" s="6"/>
      <c r="H8" s="6"/>
      <c r="I8" s="6"/>
    </row>
    <row r="9" s="1" customFormat="1" ht="24.95" customHeight="1" spans="1:9">
      <c r="A9" s="6"/>
      <c r="B9" s="25"/>
      <c r="C9" s="6"/>
      <c r="D9" s="6"/>
      <c r="E9" s="6"/>
      <c r="F9" s="6"/>
      <c r="G9" s="6"/>
      <c r="H9" s="6"/>
      <c r="I9" s="6"/>
    </row>
    <row r="10" s="1" customFormat="1" ht="24.95" customHeight="1" spans="1:9">
      <c r="A10" s="6"/>
      <c r="B10" s="25"/>
      <c r="C10" s="6"/>
      <c r="D10" s="6"/>
      <c r="E10" s="6"/>
      <c r="F10" s="6"/>
      <c r="G10" s="6"/>
      <c r="H10" s="6"/>
      <c r="I10" s="6"/>
    </row>
    <row r="11" s="1" customFormat="1" ht="24.95" customHeight="1" spans="1:9">
      <c r="A11" s="6"/>
      <c r="B11" s="25"/>
      <c r="C11" s="6"/>
      <c r="D11" s="6"/>
      <c r="E11" s="6"/>
      <c r="F11" s="6"/>
      <c r="G11" s="6"/>
      <c r="H11" s="6"/>
      <c r="I11" s="6"/>
    </row>
    <row r="12" s="1" customFormat="1" ht="24.95" customHeight="1" spans="1:9">
      <c r="A12" s="6"/>
      <c r="B12" s="25"/>
      <c r="C12" s="6"/>
      <c r="D12" s="6"/>
      <c r="E12" s="6"/>
      <c r="F12" s="6"/>
      <c r="G12" s="6"/>
      <c r="H12" s="6"/>
      <c r="I12" s="6"/>
    </row>
    <row r="13" s="1" customFormat="1" ht="24.95" customHeight="1" spans="1:9">
      <c r="A13" s="6"/>
      <c r="B13" s="25"/>
      <c r="C13" s="6"/>
      <c r="D13" s="6"/>
      <c r="E13" s="6"/>
      <c r="F13" s="6"/>
      <c r="G13" s="6"/>
      <c r="H13" s="6"/>
      <c r="I13" s="6"/>
    </row>
    <row r="14" s="1" customFormat="1" ht="24.95" customHeight="1" spans="1:9">
      <c r="A14" s="6"/>
      <c r="B14" s="25"/>
      <c r="C14" s="6"/>
      <c r="D14" s="6"/>
      <c r="E14" s="6"/>
      <c r="F14" s="6"/>
      <c r="G14" s="6"/>
      <c r="H14" s="6"/>
      <c r="I14" s="6"/>
    </row>
    <row r="15" s="1" customFormat="1" ht="24.95" customHeight="1" spans="1:9">
      <c r="A15" s="6"/>
      <c r="B15" s="25"/>
      <c r="C15" s="6"/>
      <c r="D15" s="6"/>
      <c r="E15" s="6"/>
      <c r="F15" s="6"/>
      <c r="G15" s="6"/>
      <c r="H15" s="6"/>
      <c r="I15" s="6"/>
    </row>
    <row r="16" s="1" customFormat="1" ht="24.95" customHeight="1" spans="1:9">
      <c r="A16" s="6"/>
      <c r="B16" s="25"/>
      <c r="C16" s="6"/>
      <c r="D16" s="6"/>
      <c r="E16" s="6"/>
      <c r="F16" s="6"/>
      <c r="G16" s="6"/>
      <c r="H16" s="6"/>
      <c r="I16" s="6"/>
    </row>
    <row r="17" s="1" customFormat="1" ht="24.95" customHeight="1" spans="1:9">
      <c r="A17" s="6"/>
      <c r="B17" s="25"/>
      <c r="C17" s="6"/>
      <c r="D17" s="6"/>
      <c r="E17" s="6"/>
      <c r="F17" s="6"/>
      <c r="G17" s="6"/>
      <c r="H17" s="6"/>
      <c r="I17" s="6"/>
    </row>
    <row r="18" s="1" customFormat="1" ht="24.95" customHeight="1" spans="1:9">
      <c r="A18" s="6"/>
      <c r="B18" s="6"/>
      <c r="C18" s="6"/>
      <c r="D18" s="6"/>
      <c r="E18" s="6"/>
      <c r="F18" s="6"/>
      <c r="G18" s="6"/>
      <c r="H18" s="6"/>
      <c r="I18" s="6"/>
    </row>
    <row r="19" s="1" customFormat="1" ht="24.95" customHeight="1" spans="1:9">
      <c r="A19" s="6"/>
      <c r="B19" s="6"/>
      <c r="C19" s="6"/>
      <c r="D19" s="6"/>
      <c r="E19" s="6"/>
      <c r="F19" s="6"/>
      <c r="G19" s="6"/>
      <c r="H19" s="6"/>
      <c r="I19" s="6"/>
    </row>
    <row r="20" s="1" customFormat="1" ht="24.95" customHeight="1" spans="1:9">
      <c r="A20" s="6"/>
      <c r="B20" s="6"/>
      <c r="C20" s="6"/>
      <c r="D20" s="6"/>
      <c r="E20" s="6"/>
      <c r="F20" s="6"/>
      <c r="G20" s="6"/>
      <c r="H20" s="6"/>
      <c r="I20" s="6"/>
    </row>
    <row r="21" s="1" customFormat="1" ht="24.95" customHeight="1" spans="1:9">
      <c r="A21" s="6"/>
      <c r="B21" s="6"/>
      <c r="C21" s="6"/>
      <c r="D21" s="6"/>
      <c r="E21" s="6"/>
      <c r="F21" s="6"/>
      <c r="G21" s="6"/>
      <c r="H21" s="6"/>
      <c r="I21" s="6"/>
    </row>
    <row r="22" s="1" customFormat="1" ht="24.95" customHeight="1" spans="1:9">
      <c r="A22" s="6"/>
      <c r="B22" s="6"/>
      <c r="C22" s="6"/>
      <c r="D22" s="6"/>
      <c r="E22" s="6"/>
      <c r="F22" s="6"/>
      <c r="G22" s="6"/>
      <c r="H22" s="6"/>
      <c r="I22" s="6"/>
    </row>
    <row r="23" s="1" customFormat="1" ht="24.95" customHeight="1" spans="1:9">
      <c r="A23" s="6"/>
      <c r="B23" s="6"/>
      <c r="C23" s="6"/>
      <c r="D23" s="6"/>
      <c r="E23" s="6"/>
      <c r="F23" s="6"/>
      <c r="G23" s="6"/>
      <c r="H23" s="6"/>
      <c r="I23" s="6"/>
    </row>
    <row r="24" s="1" customFormat="1" ht="24.95" customHeight="1" spans="1:9">
      <c r="A24" s="6"/>
      <c r="B24" s="6"/>
      <c r="C24" s="26" t="s">
        <v>73</v>
      </c>
      <c r="D24" s="26"/>
      <c r="E24" s="6">
        <f>SUM(E3:E23)</f>
        <v>29885</v>
      </c>
      <c r="F24" s="6"/>
      <c r="G24" s="6"/>
      <c r="H24" s="6"/>
      <c r="I24" s="6"/>
    </row>
    <row r="25" s="1" customFormat="1" ht="24.95" customHeight="1" spans="1:9">
      <c r="A25" s="6"/>
      <c r="B25" s="6"/>
      <c r="C25" s="6"/>
      <c r="D25" s="6"/>
      <c r="E25" s="6"/>
      <c r="F25" s="6"/>
      <c r="G25" s="6"/>
      <c r="H25" s="6"/>
      <c r="I25" s="6"/>
    </row>
  </sheetData>
  <mergeCells count="1">
    <mergeCell ref="A1:I1"/>
  </mergeCells>
  <pageMargins left="0.118110236220472" right="0.118110236220472" top="0.748031496062992" bottom="0.748031496062992" header="0.31496062992126" footer="0.3149606299212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0"/>
  <sheetViews>
    <sheetView topLeftCell="A13" workbookViewId="0">
      <selection activeCell="C28" sqref="C28"/>
    </sheetView>
  </sheetViews>
  <sheetFormatPr defaultColWidth="9" defaultRowHeight="14.25"/>
  <cols>
    <col min="2" max="2" width="13.25" customWidth="1"/>
    <col min="3" max="3" width="15.5" customWidth="1"/>
    <col min="4" max="4" width="9.875" customWidth="1"/>
    <col min="5" max="5" width="14" customWidth="1"/>
    <col min="6" max="6" width="8.625" customWidth="1"/>
    <col min="7" max="7" width="11.125" customWidth="1"/>
  </cols>
  <sheetData>
    <row r="1" ht="36" customHeight="1" spans="1:7">
      <c r="A1" s="2" t="s">
        <v>0</v>
      </c>
      <c r="B1" s="2"/>
      <c r="C1" s="2"/>
      <c r="D1" s="2"/>
      <c r="E1" s="2"/>
      <c r="F1" s="2"/>
      <c r="G1" s="2"/>
    </row>
    <row r="2" customFormat="1" ht="33.75" customHeight="1" spans="1:5">
      <c r="A2" s="3" t="s">
        <v>1</v>
      </c>
      <c r="B2" s="4"/>
      <c r="C2" s="4"/>
      <c r="D2" s="4"/>
      <c r="E2" s="4"/>
    </row>
    <row r="3" ht="33" customHeight="1" spans="1:16383">
      <c r="A3" s="3" t="s">
        <v>2</v>
      </c>
      <c r="B3" s="3"/>
      <c r="C3" s="3"/>
      <c r="D3" s="3"/>
      <c r="E3" s="5" t="s">
        <v>3</v>
      </c>
      <c r="F3" s="5" t="s">
        <v>4</v>
      </c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</row>
    <row r="4" s="1" customFormat="1" ht="33" customHeight="1" spans="1:7">
      <c r="A4" s="6" t="s">
        <v>5</v>
      </c>
      <c r="B4" s="6" t="s">
        <v>6</v>
      </c>
      <c r="C4" s="6" t="s">
        <v>7</v>
      </c>
      <c r="D4" s="6" t="s">
        <v>8</v>
      </c>
      <c r="E4" s="7" t="s">
        <v>9</v>
      </c>
      <c r="F4" s="6" t="s">
        <v>10</v>
      </c>
      <c r="G4" s="6" t="s">
        <v>11</v>
      </c>
    </row>
    <row r="5" s="1" customFormat="1" ht="21" customHeight="1" spans="1:7">
      <c r="A5" s="6">
        <v>1</v>
      </c>
      <c r="B5" s="8" t="s">
        <v>102</v>
      </c>
      <c r="C5" s="6">
        <v>19953</v>
      </c>
      <c r="D5" s="9" t="s">
        <v>13</v>
      </c>
      <c r="E5" s="9">
        <v>178839</v>
      </c>
      <c r="F5" s="9">
        <v>0</v>
      </c>
      <c r="G5" s="9" t="s">
        <v>14</v>
      </c>
    </row>
    <row r="6" s="1" customFormat="1" ht="21" customHeight="1" spans="1:7">
      <c r="A6" s="6">
        <v>2</v>
      </c>
      <c r="B6" s="6" t="s">
        <v>103</v>
      </c>
      <c r="C6" s="6">
        <v>29931</v>
      </c>
      <c r="D6" s="10"/>
      <c r="E6" s="10"/>
      <c r="F6" s="10"/>
      <c r="G6" s="11"/>
    </row>
    <row r="7" s="1" customFormat="1" ht="21" customHeight="1" spans="1:7">
      <c r="A7" s="6">
        <v>3</v>
      </c>
      <c r="B7" s="6" t="s">
        <v>104</v>
      </c>
      <c r="C7" s="8">
        <v>29929</v>
      </c>
      <c r="D7" s="10"/>
      <c r="E7" s="10"/>
      <c r="F7" s="10"/>
      <c r="G7" s="11"/>
    </row>
    <row r="8" s="1" customFormat="1" ht="21" customHeight="1" spans="1:7">
      <c r="A8" s="6">
        <v>4</v>
      </c>
      <c r="B8" s="6" t="s">
        <v>105</v>
      </c>
      <c r="C8" s="6">
        <v>39180</v>
      </c>
      <c r="D8" s="10"/>
      <c r="E8" s="10"/>
      <c r="F8" s="10"/>
      <c r="G8" s="11"/>
    </row>
    <row r="9" s="1" customFormat="1" ht="21" customHeight="1" spans="1:7">
      <c r="A9" s="6">
        <v>5</v>
      </c>
      <c r="B9" s="6" t="s">
        <v>106</v>
      </c>
      <c r="C9" s="6">
        <v>29923</v>
      </c>
      <c r="D9" s="10"/>
      <c r="E9" s="10"/>
      <c r="F9" s="10"/>
      <c r="G9" s="11"/>
    </row>
    <row r="10" s="1" customFormat="1" ht="21" customHeight="1" spans="1:7">
      <c r="A10" s="6">
        <v>6</v>
      </c>
      <c r="B10" s="6" t="s">
        <v>107</v>
      </c>
      <c r="C10" s="6">
        <v>29923</v>
      </c>
      <c r="D10" s="12"/>
      <c r="E10" s="12"/>
      <c r="F10" s="12"/>
      <c r="G10" s="13"/>
    </row>
    <row r="11" s="1" customFormat="1" ht="21" customHeight="1" spans="1:7">
      <c r="A11" s="6">
        <v>7</v>
      </c>
      <c r="B11" s="6" t="s">
        <v>108</v>
      </c>
      <c r="C11" s="6">
        <v>39901</v>
      </c>
      <c r="D11" s="9" t="s">
        <v>16</v>
      </c>
      <c r="E11" s="9">
        <f>SUM(C11:C20)</f>
        <v>379050</v>
      </c>
      <c r="F11" s="9">
        <v>0</v>
      </c>
      <c r="G11" s="16" t="s">
        <v>14</v>
      </c>
    </row>
    <row r="12" s="1" customFormat="1" ht="21" customHeight="1" spans="1:7">
      <c r="A12" s="6">
        <v>8</v>
      </c>
      <c r="B12" s="6" t="s">
        <v>109</v>
      </c>
      <c r="C12" s="6">
        <v>39898</v>
      </c>
      <c r="D12" s="10"/>
      <c r="E12" s="10"/>
      <c r="F12" s="10"/>
      <c r="G12" s="17"/>
    </row>
    <row r="13" s="1" customFormat="1" ht="21" customHeight="1" spans="1:7">
      <c r="A13" s="6">
        <v>9</v>
      </c>
      <c r="B13" s="6" t="s">
        <v>110</v>
      </c>
      <c r="C13" s="6">
        <v>39901</v>
      </c>
      <c r="D13" s="10"/>
      <c r="E13" s="10"/>
      <c r="F13" s="10"/>
      <c r="G13" s="17"/>
    </row>
    <row r="14" s="1" customFormat="1" ht="21" customHeight="1" spans="1:7">
      <c r="A14" s="6">
        <v>10</v>
      </c>
      <c r="B14" s="6" t="s">
        <v>111</v>
      </c>
      <c r="C14" s="6">
        <v>39901</v>
      </c>
      <c r="D14" s="10"/>
      <c r="E14" s="10"/>
      <c r="F14" s="10"/>
      <c r="G14" s="17"/>
    </row>
    <row r="15" s="1" customFormat="1" ht="21" customHeight="1" spans="1:7">
      <c r="A15" s="6">
        <v>11</v>
      </c>
      <c r="B15" s="6" t="s">
        <v>112</v>
      </c>
      <c r="C15" s="6">
        <v>39899</v>
      </c>
      <c r="D15" s="10"/>
      <c r="E15" s="10"/>
      <c r="F15" s="10"/>
      <c r="G15" s="17"/>
    </row>
    <row r="16" s="1" customFormat="1" ht="21" customHeight="1" spans="1:7">
      <c r="A16" s="6">
        <v>12</v>
      </c>
      <c r="B16" s="6" t="s">
        <v>113</v>
      </c>
      <c r="C16" s="6">
        <v>39898</v>
      </c>
      <c r="D16" s="10"/>
      <c r="E16" s="10"/>
      <c r="F16" s="10"/>
      <c r="G16" s="17"/>
    </row>
    <row r="17" s="1" customFormat="1" ht="21" customHeight="1" spans="1:7">
      <c r="A17" s="6">
        <v>13</v>
      </c>
      <c r="B17" s="6" t="s">
        <v>114</v>
      </c>
      <c r="C17" s="6">
        <v>39903</v>
      </c>
      <c r="D17" s="10"/>
      <c r="E17" s="10"/>
      <c r="F17" s="10"/>
      <c r="G17" s="17"/>
    </row>
    <row r="18" s="1" customFormat="1" ht="21" customHeight="1" spans="1:7">
      <c r="A18" s="6">
        <v>14</v>
      </c>
      <c r="B18" s="6" t="s">
        <v>115</v>
      </c>
      <c r="C18" s="6">
        <v>39902</v>
      </c>
      <c r="D18" s="10"/>
      <c r="E18" s="10"/>
      <c r="F18" s="10"/>
      <c r="G18" s="17"/>
    </row>
    <row r="19" s="1" customFormat="1" ht="21" customHeight="1" spans="1:7">
      <c r="A19" s="6">
        <v>15</v>
      </c>
      <c r="B19" s="6" t="s">
        <v>116</v>
      </c>
      <c r="C19" s="6">
        <v>39898</v>
      </c>
      <c r="D19" s="10"/>
      <c r="E19" s="10"/>
      <c r="F19" s="10"/>
      <c r="G19" s="17"/>
    </row>
    <row r="20" s="1" customFormat="1" ht="21" customHeight="1" spans="1:7">
      <c r="A20" s="6">
        <v>16</v>
      </c>
      <c r="B20" s="6" t="s">
        <v>117</v>
      </c>
      <c r="C20" s="6">
        <v>19949</v>
      </c>
      <c r="D20" s="12"/>
      <c r="E20" s="12"/>
      <c r="F20" s="12"/>
      <c r="G20" s="18"/>
    </row>
    <row r="21" s="1" customFormat="1" ht="21" customHeight="1" spans="1:7">
      <c r="A21" s="6">
        <v>17</v>
      </c>
      <c r="B21" s="6" t="s">
        <v>118</v>
      </c>
      <c r="C21" s="6">
        <v>29906</v>
      </c>
      <c r="D21" s="19" t="s">
        <v>119</v>
      </c>
      <c r="E21" s="19">
        <v>219328</v>
      </c>
      <c r="F21" s="19">
        <v>0</v>
      </c>
      <c r="G21" s="19" t="s">
        <v>14</v>
      </c>
    </row>
    <row r="22" s="1" customFormat="1" ht="21" customHeight="1" spans="1:7">
      <c r="A22" s="6">
        <v>18</v>
      </c>
      <c r="B22" s="6" t="s">
        <v>120</v>
      </c>
      <c r="C22" s="6">
        <v>29910</v>
      </c>
      <c r="D22" s="20"/>
      <c r="E22" s="20"/>
      <c r="F22" s="20"/>
      <c r="G22" s="20"/>
    </row>
    <row r="23" s="1" customFormat="1" ht="21" customHeight="1" spans="1:7">
      <c r="A23" s="6">
        <v>19</v>
      </c>
      <c r="B23" s="6" t="s">
        <v>121</v>
      </c>
      <c r="C23" s="6">
        <v>39878</v>
      </c>
      <c r="D23" s="20"/>
      <c r="E23" s="20"/>
      <c r="F23" s="20"/>
      <c r="G23" s="20"/>
    </row>
    <row r="24" s="1" customFormat="1" ht="21" customHeight="1" spans="1:7">
      <c r="A24" s="6">
        <v>20</v>
      </c>
      <c r="B24" s="6" t="s">
        <v>122</v>
      </c>
      <c r="C24" s="6">
        <v>39881</v>
      </c>
      <c r="D24" s="20"/>
      <c r="E24" s="20"/>
      <c r="F24" s="20"/>
      <c r="G24" s="20"/>
    </row>
    <row r="25" s="1" customFormat="1" ht="21" customHeight="1" spans="1:7">
      <c r="A25" s="6">
        <v>21</v>
      </c>
      <c r="B25" s="6" t="s">
        <v>123</v>
      </c>
      <c r="C25" s="6">
        <v>39876</v>
      </c>
      <c r="D25" s="20"/>
      <c r="E25" s="20"/>
      <c r="F25" s="20"/>
      <c r="G25" s="20"/>
    </row>
    <row r="26" s="1" customFormat="1" ht="21" customHeight="1" spans="1:7">
      <c r="A26" s="6">
        <v>22</v>
      </c>
      <c r="B26" s="6" t="s">
        <v>124</v>
      </c>
      <c r="C26" s="6">
        <v>39877</v>
      </c>
      <c r="D26" s="21"/>
      <c r="E26" s="21"/>
      <c r="F26" s="21"/>
      <c r="G26" s="21"/>
    </row>
    <row r="27" s="1" customFormat="1" ht="21" customHeight="1" spans="1:7">
      <c r="A27" s="6">
        <v>23</v>
      </c>
      <c r="B27" s="6"/>
      <c r="C27" s="6"/>
      <c r="D27" s="14"/>
      <c r="E27" s="14"/>
      <c r="F27" s="14"/>
      <c r="G27" s="15"/>
    </row>
    <row r="28" s="1" customFormat="1" ht="21" customHeight="1" spans="1:7">
      <c r="A28" s="6">
        <v>24</v>
      </c>
      <c r="B28" s="6"/>
      <c r="C28" s="6"/>
      <c r="D28" s="14"/>
      <c r="E28" s="14"/>
      <c r="F28" s="14"/>
      <c r="G28" s="15"/>
    </row>
    <row r="29" s="1" customFormat="1" ht="21" customHeight="1" spans="1:7">
      <c r="A29" s="6">
        <v>25</v>
      </c>
      <c r="B29" s="6"/>
      <c r="C29" s="6"/>
      <c r="D29" s="6"/>
      <c r="E29" s="6"/>
      <c r="F29" s="6"/>
      <c r="G29" s="8"/>
    </row>
    <row r="30" s="1" customFormat="1" ht="21" customHeight="1" spans="1:7">
      <c r="A30" s="6"/>
      <c r="B30" s="6" t="s">
        <v>40</v>
      </c>
      <c r="C30" s="6">
        <f>SUM(C5:C29)</f>
        <v>777217</v>
      </c>
      <c r="D30" s="6"/>
      <c r="E30" s="6"/>
      <c r="F30" s="6"/>
      <c r="G30" s="8"/>
    </row>
  </sheetData>
  <mergeCells count="14">
    <mergeCell ref="A1:G1"/>
    <mergeCell ref="F3:G3"/>
    <mergeCell ref="D5:D10"/>
    <mergeCell ref="D11:D20"/>
    <mergeCell ref="D21:D26"/>
    <mergeCell ref="E5:E10"/>
    <mergeCell ref="E11:E20"/>
    <mergeCell ref="E21:E26"/>
    <mergeCell ref="F5:F10"/>
    <mergeCell ref="F11:F20"/>
    <mergeCell ref="F21:F26"/>
    <mergeCell ref="G5:G10"/>
    <mergeCell ref="G11:G20"/>
    <mergeCell ref="G21:G26"/>
  </mergeCells>
  <pageMargins left="0.75" right="0.75" top="1" bottom="1" header="0.5" footer="0.5"/>
  <pageSetup paperSize="9" scale="9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24"/>
  <sheetViews>
    <sheetView tabSelected="1" workbookViewId="0">
      <selection activeCell="C5" sqref="C5:C10"/>
    </sheetView>
  </sheetViews>
  <sheetFormatPr defaultColWidth="9" defaultRowHeight="14.25"/>
  <cols>
    <col min="2" max="2" width="13.25" customWidth="1"/>
    <col min="3" max="3" width="15.5" customWidth="1"/>
    <col min="4" max="4" width="9.875" customWidth="1"/>
    <col min="5" max="5" width="14" customWidth="1"/>
    <col min="6" max="6" width="8.625" customWidth="1"/>
    <col min="7" max="7" width="11.125" customWidth="1"/>
  </cols>
  <sheetData>
    <row r="1" ht="36" customHeight="1" spans="1:7">
      <c r="A1" s="2" t="s">
        <v>0</v>
      </c>
      <c r="B1" s="2"/>
      <c r="C1" s="2"/>
      <c r="D1" s="2"/>
      <c r="E1" s="2"/>
      <c r="F1" s="2"/>
      <c r="G1" s="2"/>
    </row>
    <row r="2" customFormat="1" ht="33.75" customHeight="1" spans="1:5">
      <c r="A2" s="3" t="s">
        <v>1</v>
      </c>
      <c r="B2" s="4"/>
      <c r="C2" s="4"/>
      <c r="D2" s="4"/>
      <c r="E2" s="4"/>
    </row>
    <row r="3" ht="33" customHeight="1" spans="1:16383">
      <c r="A3" s="3" t="s">
        <v>2</v>
      </c>
      <c r="B3" s="3"/>
      <c r="C3" s="3"/>
      <c r="D3" s="3"/>
      <c r="E3" s="5" t="s">
        <v>3</v>
      </c>
      <c r="F3" s="5" t="s">
        <v>4</v>
      </c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</row>
    <row r="4" s="1" customFormat="1" ht="33" customHeight="1" spans="1:7">
      <c r="A4" s="6" t="s">
        <v>5</v>
      </c>
      <c r="B4" s="6" t="s">
        <v>6</v>
      </c>
      <c r="C4" s="6" t="s">
        <v>7</v>
      </c>
      <c r="D4" s="6" t="s">
        <v>8</v>
      </c>
      <c r="E4" s="7" t="s">
        <v>9</v>
      </c>
      <c r="F4" s="6" t="s">
        <v>10</v>
      </c>
      <c r="G4" s="6" t="s">
        <v>11</v>
      </c>
    </row>
    <row r="5" s="1" customFormat="1" ht="21" customHeight="1" spans="1:7">
      <c r="A5" s="6">
        <v>1</v>
      </c>
      <c r="B5" s="8" t="s">
        <v>125</v>
      </c>
      <c r="C5" s="6">
        <v>39878</v>
      </c>
      <c r="D5" s="9" t="s">
        <v>126</v>
      </c>
      <c r="E5" s="9">
        <v>179424</v>
      </c>
      <c r="F5" s="9">
        <v>0</v>
      </c>
      <c r="G5" s="9" t="s">
        <v>14</v>
      </c>
    </row>
    <row r="6" s="1" customFormat="1" ht="21" customHeight="1" spans="1:7">
      <c r="A6" s="6">
        <v>2</v>
      </c>
      <c r="B6" s="6" t="s">
        <v>127</v>
      </c>
      <c r="C6" s="6">
        <v>39876</v>
      </c>
      <c r="D6" s="10"/>
      <c r="E6" s="10"/>
      <c r="F6" s="10"/>
      <c r="G6" s="11"/>
    </row>
    <row r="7" s="1" customFormat="1" ht="21" customHeight="1" spans="1:7">
      <c r="A7" s="6">
        <v>3</v>
      </c>
      <c r="B7" s="6" t="s">
        <v>128</v>
      </c>
      <c r="C7" s="8">
        <v>19942</v>
      </c>
      <c r="D7" s="10"/>
      <c r="E7" s="10"/>
      <c r="F7" s="10"/>
      <c r="G7" s="11"/>
    </row>
    <row r="8" s="1" customFormat="1" ht="21" customHeight="1" spans="1:7">
      <c r="A8" s="6">
        <v>4</v>
      </c>
      <c r="B8" s="6" t="s">
        <v>129</v>
      </c>
      <c r="C8" s="6">
        <v>19938</v>
      </c>
      <c r="D8" s="10"/>
      <c r="E8" s="10"/>
      <c r="F8" s="10"/>
      <c r="G8" s="11"/>
    </row>
    <row r="9" s="1" customFormat="1" ht="21" customHeight="1" spans="1:7">
      <c r="A9" s="6">
        <v>5</v>
      </c>
      <c r="B9" s="6" t="s">
        <v>130</v>
      </c>
      <c r="C9" s="6">
        <v>19936</v>
      </c>
      <c r="D9" s="10"/>
      <c r="E9" s="10"/>
      <c r="F9" s="10"/>
      <c r="G9" s="11"/>
    </row>
    <row r="10" s="1" customFormat="1" ht="21" customHeight="1" spans="1:7">
      <c r="A10" s="6">
        <v>6</v>
      </c>
      <c r="B10" s="6" t="s">
        <v>131</v>
      </c>
      <c r="C10" s="6">
        <v>39854</v>
      </c>
      <c r="D10" s="12"/>
      <c r="E10" s="12"/>
      <c r="F10" s="12"/>
      <c r="G10" s="13"/>
    </row>
    <row r="11" s="1" customFormat="1" ht="21" customHeight="1" spans="1:7">
      <c r="A11" s="6">
        <v>7</v>
      </c>
      <c r="B11" s="6"/>
      <c r="C11" s="6"/>
      <c r="D11" s="14"/>
      <c r="E11" s="14"/>
      <c r="F11" s="14"/>
      <c r="G11" s="15"/>
    </row>
    <row r="12" s="1" customFormat="1" ht="21" customHeight="1" spans="1:7">
      <c r="A12" s="6">
        <v>8</v>
      </c>
      <c r="B12" s="6"/>
      <c r="C12" s="6"/>
      <c r="D12" s="14"/>
      <c r="E12" s="14"/>
      <c r="F12" s="14"/>
      <c r="G12" s="15"/>
    </row>
    <row r="13" s="1" customFormat="1" ht="21" customHeight="1" spans="1:7">
      <c r="A13" s="6">
        <v>9</v>
      </c>
      <c r="B13" s="6"/>
      <c r="C13" s="6"/>
      <c r="D13" s="14"/>
      <c r="E13" s="14"/>
      <c r="F13" s="14"/>
      <c r="G13" s="15"/>
    </row>
    <row r="14" s="1" customFormat="1" ht="21" customHeight="1" spans="1:7">
      <c r="A14" s="6">
        <v>10</v>
      </c>
      <c r="B14" s="6"/>
      <c r="C14" s="6"/>
      <c r="D14" s="14"/>
      <c r="E14" s="14"/>
      <c r="F14" s="14"/>
      <c r="G14" s="15"/>
    </row>
    <row r="15" s="1" customFormat="1" ht="21" customHeight="1" spans="1:7">
      <c r="A15" s="6">
        <v>11</v>
      </c>
      <c r="B15" s="6"/>
      <c r="C15" s="6"/>
      <c r="D15" s="14"/>
      <c r="E15" s="14"/>
      <c r="F15" s="14"/>
      <c r="G15" s="15"/>
    </row>
    <row r="16" s="1" customFormat="1" ht="21" customHeight="1" spans="1:7">
      <c r="A16" s="6">
        <v>12</v>
      </c>
      <c r="B16" s="6"/>
      <c r="C16" s="6"/>
      <c r="D16" s="14"/>
      <c r="E16" s="14"/>
      <c r="F16" s="14"/>
      <c r="G16" s="15"/>
    </row>
    <row r="17" s="1" customFormat="1" ht="21" customHeight="1" spans="1:7">
      <c r="A17" s="6">
        <v>13</v>
      </c>
      <c r="B17" s="6"/>
      <c r="C17" s="6"/>
      <c r="D17" s="14"/>
      <c r="E17" s="14"/>
      <c r="F17" s="14"/>
      <c r="G17" s="15"/>
    </row>
    <row r="18" s="1" customFormat="1" ht="21" customHeight="1" spans="1:7">
      <c r="A18" s="6">
        <v>14</v>
      </c>
      <c r="B18" s="6"/>
      <c r="C18" s="6"/>
      <c r="D18" s="14"/>
      <c r="E18" s="14"/>
      <c r="F18" s="14"/>
      <c r="G18" s="15"/>
    </row>
    <row r="19" s="1" customFormat="1" ht="21" customHeight="1" spans="1:7">
      <c r="A19" s="6">
        <v>15</v>
      </c>
      <c r="B19" s="6"/>
      <c r="C19" s="6"/>
      <c r="D19" s="14"/>
      <c r="E19" s="14"/>
      <c r="F19" s="14"/>
      <c r="G19" s="15"/>
    </row>
    <row r="20" s="1" customFormat="1" ht="21" customHeight="1" spans="1:7">
      <c r="A20" s="6">
        <v>16</v>
      </c>
      <c r="B20" s="6"/>
      <c r="C20" s="6"/>
      <c r="D20" s="14"/>
      <c r="E20" s="14"/>
      <c r="F20" s="14"/>
      <c r="G20" s="15"/>
    </row>
    <row r="21" s="1" customFormat="1" ht="21" customHeight="1" spans="1:7">
      <c r="A21" s="6">
        <v>17</v>
      </c>
      <c r="B21" s="6"/>
      <c r="C21" s="6"/>
      <c r="D21" s="14"/>
      <c r="E21" s="14"/>
      <c r="F21" s="14"/>
      <c r="G21" s="15"/>
    </row>
    <row r="22" s="1" customFormat="1" ht="21" customHeight="1" spans="1:7">
      <c r="A22" s="6">
        <v>18</v>
      </c>
      <c r="B22" s="6"/>
      <c r="C22" s="6"/>
      <c r="D22" s="14"/>
      <c r="E22" s="14"/>
      <c r="F22" s="14"/>
      <c r="G22" s="15"/>
    </row>
    <row r="23" s="1" customFormat="1" ht="21" customHeight="1" spans="1:7">
      <c r="A23" s="6">
        <v>19</v>
      </c>
      <c r="B23" s="6"/>
      <c r="C23" s="6"/>
      <c r="D23" s="6"/>
      <c r="E23" s="6"/>
      <c r="F23" s="6"/>
      <c r="G23" s="8"/>
    </row>
    <row r="24" s="1" customFormat="1" ht="21" customHeight="1" spans="1:7">
      <c r="A24" s="6"/>
      <c r="B24" s="6" t="s">
        <v>40</v>
      </c>
      <c r="C24" s="6">
        <f>SUM(C5:C23)</f>
        <v>179424</v>
      </c>
      <c r="D24" s="6"/>
      <c r="E24" s="6"/>
      <c r="F24" s="6"/>
      <c r="G24" s="8"/>
    </row>
  </sheetData>
  <mergeCells count="6">
    <mergeCell ref="A1:G1"/>
    <mergeCell ref="F3:G3"/>
    <mergeCell ref="D5:D10"/>
    <mergeCell ref="E5:E10"/>
    <mergeCell ref="F5:F10"/>
    <mergeCell ref="G5:G10"/>
  </mergeCells>
  <pageMargins left="0.75" right="0.75" top="1" bottom="1" header="0.5" footer="0.5"/>
  <pageSetup paperSize="9" scale="9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2022</vt:lpstr>
      <vt:lpstr>20</vt:lpstr>
      <vt:lpstr>2019</vt:lpstr>
      <vt:lpstr>兴欣</vt:lpstr>
      <vt:lpstr>2018</vt:lpstr>
      <vt:lpstr>Sheet1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2022-10-09T01:55:00Z</cp:lastPrinted>
  <dcterms:modified xsi:type="dcterms:W3CDTF">2024-10-09T08:42:28Z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E2D13B8AA0C54EE185400F68F8598731_12</vt:lpwstr>
  </property>
  <property fmtid="{D5CDD505-2E9C-101B-9397-08002B2CF9AE}" pid="3" name="KSOProductBuildVer">
    <vt:lpwstr>2052-12.1.0.18276</vt:lpwstr>
  </property>
</Properties>
</file>