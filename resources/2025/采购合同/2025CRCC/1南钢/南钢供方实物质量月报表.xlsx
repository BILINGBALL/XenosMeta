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4"/>
  </bookViews>
  <sheets>
    <sheet name="2021" sheetId="3" r:id="rId1"/>
    <sheet name="20" sheetId="2" r:id="rId2"/>
    <sheet name="Sheet1" sheetId="1" r:id="rId3"/>
    <sheet name="2022" sheetId="4" r:id="rId4"/>
    <sheet name="2023" sheetId="5" r:id="rId5"/>
    <sheet name="202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<sst xmlns="http://schemas.openxmlformats.org/spreadsheetml/2006/main" count="112" uniqueCount="37">
  <si>
    <t>供方实物质量月报表</t>
  </si>
  <si>
    <t>供应商名称：南京钢铁有限公司</t>
  </si>
  <si>
    <t>提供原材料（产品）：φ25 TD16圆钢</t>
  </si>
  <si>
    <t>B/1</t>
  </si>
  <si>
    <t>SDL-D-PG-02</t>
  </si>
  <si>
    <t>序号</t>
  </si>
  <si>
    <t>进货日期</t>
  </si>
  <si>
    <t>原材料炉号</t>
  </si>
  <si>
    <t>进货数量（吨）</t>
  </si>
  <si>
    <t>进货
月份</t>
  </si>
  <si>
    <t>月份
数量汇总（吨）</t>
  </si>
  <si>
    <t>质量
检测结果</t>
  </si>
  <si>
    <t>2021.03.18</t>
  </si>
  <si>
    <t>3月</t>
  </si>
  <si>
    <r>
      <rPr>
        <sz val="11"/>
        <color theme="1"/>
        <rFont val="Tahoma"/>
        <charset val="134"/>
      </rPr>
      <t>100%</t>
    </r>
    <r>
      <rPr>
        <sz val="11"/>
        <color theme="1"/>
        <rFont val="宋体"/>
        <charset val="134"/>
      </rPr>
      <t>合格</t>
    </r>
  </si>
  <si>
    <t>2021.03.31</t>
  </si>
  <si>
    <t>共计</t>
  </si>
  <si>
    <t>2020.01.18</t>
  </si>
  <si>
    <t>1月</t>
  </si>
  <si>
    <t>2020.02.25</t>
  </si>
  <si>
    <t>2月</t>
  </si>
  <si>
    <t>2020.03.14</t>
  </si>
  <si>
    <t>2020.08.28</t>
  </si>
  <si>
    <t>8月</t>
  </si>
  <si>
    <t>淮钢特钢TD16原材料进货日期和数量</t>
  </si>
  <si>
    <t>月份</t>
  </si>
  <si>
    <t>月份数量（吨）</t>
  </si>
  <si>
    <t>检测结果</t>
  </si>
  <si>
    <t>2022.06.02</t>
  </si>
  <si>
    <t>6月</t>
  </si>
  <si>
    <t>100％合格</t>
  </si>
  <si>
    <t>2023.06.08</t>
  </si>
  <si>
    <t>2023.12.01</t>
  </si>
  <si>
    <t>12月</t>
  </si>
  <si>
    <t>2024.07.26</t>
  </si>
  <si>
    <r>
      <rPr>
        <sz val="12"/>
        <rFont val="Arial"/>
        <charset val="134"/>
      </rPr>
      <t>7</t>
    </r>
    <r>
      <rPr>
        <sz val="12"/>
        <rFont val="宋体"/>
        <charset val="134"/>
      </rPr>
      <t>月</t>
    </r>
  </si>
  <si>
    <r>
      <rPr>
        <sz val="12"/>
        <rFont val="Arial"/>
        <charset val="134"/>
      </rPr>
      <t>100</t>
    </r>
    <r>
      <rPr>
        <sz val="12"/>
        <rFont val="宋体"/>
        <charset val="134"/>
      </rPr>
      <t>％合格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</si>
</sst>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18"/>
      <color theme="1"/>
      <name val="宋体"/>
      <charset val="134"/>
    </font>
    <font>
      <b/>
      <sz val="18"/>
      <color theme="1"/>
      <name val="Tahoma"/>
      <charset val="134"/>
    </font>
    <font>
      <sz val="11"/>
      <color theme="1"/>
      <name val="宋体"/>
      <charset val="134"/>
    </font>
    <font>
      <sz val="12"/>
      <color theme="1"/>
      <name val="Tahoma"/>
      <charset val="134"/>
    </font>
    <font>
      <sz val="14"/>
      <color theme="1"/>
      <name val="宋体"/>
      <charset val="134"/>
    </font>
    <font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76200</xdr:colOff>
      <xdr:row>0</xdr:row>
      <xdr:rowOff>247650</xdr:rowOff>
    </xdr:from>
    <xdr:to>
      <xdr:col>6</xdr:col>
      <xdr:colOff>494316</xdr:colOff>
      <xdr:row>1</xdr:row>
      <xdr:rowOff>239537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800725" y="2476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95250</xdr:colOff>
      <xdr:row>1</xdr:row>
      <xdr:rowOff>57150</xdr:rowOff>
    </xdr:from>
    <xdr:to>
      <xdr:col>5</xdr:col>
      <xdr:colOff>513366</xdr:colOff>
      <xdr:row>2</xdr:row>
      <xdr:rowOff>191912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353050" y="5143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76200</xdr:colOff>
      <xdr:row>0</xdr:row>
      <xdr:rowOff>247650</xdr:rowOff>
    </xdr:from>
    <xdr:to>
      <xdr:col>6</xdr:col>
      <xdr:colOff>494316</xdr:colOff>
      <xdr:row>1</xdr:row>
      <xdr:rowOff>239537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800725" y="2476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76200</xdr:colOff>
      <xdr:row>0</xdr:row>
      <xdr:rowOff>247650</xdr:rowOff>
    </xdr:from>
    <xdr:to>
      <xdr:col>6</xdr:col>
      <xdr:colOff>494030</xdr:colOff>
      <xdr:row>1</xdr:row>
      <xdr:rowOff>239395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800725" y="2476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76200</xdr:colOff>
      <xdr:row>0</xdr:row>
      <xdr:rowOff>247650</xdr:rowOff>
    </xdr:from>
    <xdr:to>
      <xdr:col>6</xdr:col>
      <xdr:colOff>494030</xdr:colOff>
      <xdr:row>1</xdr:row>
      <xdr:rowOff>239395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800725" y="2476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26"/>
  <sheetViews>
    <sheetView workbookViewId="0">
      <selection activeCell="A1" sqref="$A1:$XFD1048576"/>
    </sheetView>
  </sheetViews>
  <sheetFormatPr defaultColWidth="9" defaultRowHeight="14.25"/>
  <cols>
    <col min="1" max="1" width="6.125" style="2" customWidth="1"/>
    <col min="2" max="2" width="12.25" style="2" customWidth="1"/>
    <col min="3" max="3" width="12.625" style="2" customWidth="1"/>
    <col min="4" max="4" width="18" style="2" customWidth="1"/>
    <col min="5" max="5" width="7.875" style="2" customWidth="1"/>
    <col min="6" max="6" width="18.25" style="2" customWidth="1"/>
    <col min="7" max="7" width="11.875" style="2" customWidth="1"/>
  </cols>
  <sheetData>
    <row r="1" ht="36" customHeight="1" spans="1:7">
      <c r="A1" s="3" t="s">
        <v>0</v>
      </c>
      <c r="B1" s="4"/>
      <c r="C1" s="4"/>
      <c r="D1" s="4"/>
      <c r="E1" s="4"/>
      <c r="F1" s="4"/>
      <c r="G1" s="4"/>
    </row>
    <row r="2" ht="24.75" customHeight="1" spans="1:7">
      <c r="A2" s="5" t="s">
        <v>1</v>
      </c>
      <c r="B2" s="4"/>
      <c r="C2" s="4"/>
      <c r="D2" s="4"/>
      <c r="E2" s="4"/>
      <c r="F2" s="4"/>
      <c r="G2" s="4"/>
    </row>
    <row r="3" ht="24.75" customHeight="1" spans="1:16384">
      <c r="A3" s="5" t="s">
        <v>2</v>
      </c>
      <c r="B3" s="5"/>
      <c r="C3" s="5"/>
      <c r="D3" s="5"/>
      <c r="E3" s="6" t="s">
        <v>3</v>
      </c>
      <c r="F3" s="6" t="s">
        <v>4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s="1" customFormat="1" ht="41.25" customHeight="1" spans="1:7">
      <c r="A4" s="7" t="s">
        <v>5</v>
      </c>
      <c r="B4" s="7" t="s">
        <v>6</v>
      </c>
      <c r="C4" s="8" t="s">
        <v>7</v>
      </c>
      <c r="D4" s="7" t="s">
        <v>8</v>
      </c>
      <c r="E4" s="9" t="s">
        <v>9</v>
      </c>
      <c r="F4" s="9" t="s">
        <v>10</v>
      </c>
      <c r="G4" s="9" t="s">
        <v>11</v>
      </c>
    </row>
    <row r="5" s="1" customFormat="1" ht="24.95" customHeight="1" spans="1:7">
      <c r="A5" s="10">
        <v>1</v>
      </c>
      <c r="B5" s="10" t="s">
        <v>12</v>
      </c>
      <c r="C5" s="10">
        <v>21402688</v>
      </c>
      <c r="D5" s="10">
        <v>101.288</v>
      </c>
      <c r="E5" s="15" t="s">
        <v>13</v>
      </c>
      <c r="F5" s="15">
        <v>690.965</v>
      </c>
      <c r="G5" s="10" t="s">
        <v>14</v>
      </c>
    </row>
    <row r="6" s="1" customFormat="1" ht="24.95" customHeight="1" spans="1:7">
      <c r="A6" s="10">
        <v>2</v>
      </c>
      <c r="B6" s="15" t="s">
        <v>15</v>
      </c>
      <c r="C6" s="10">
        <v>21403168</v>
      </c>
      <c r="D6" s="10">
        <v>123.161</v>
      </c>
      <c r="E6" s="16"/>
      <c r="F6" s="16"/>
      <c r="G6" s="10" t="s">
        <v>14</v>
      </c>
    </row>
    <row r="7" s="1" customFormat="1" ht="24.95" customHeight="1" spans="1:7">
      <c r="A7" s="10">
        <v>3</v>
      </c>
      <c r="B7" s="16"/>
      <c r="C7" s="10">
        <v>21403169</v>
      </c>
      <c r="D7" s="10">
        <v>125.94</v>
      </c>
      <c r="E7" s="16"/>
      <c r="F7" s="16"/>
      <c r="G7" s="10" t="s">
        <v>14</v>
      </c>
    </row>
    <row r="8" s="1" customFormat="1" ht="24.95" customHeight="1" spans="1:7">
      <c r="A8" s="10">
        <v>4</v>
      </c>
      <c r="B8" s="16"/>
      <c r="C8" s="10">
        <v>21503100</v>
      </c>
      <c r="D8" s="10">
        <v>112.973</v>
      </c>
      <c r="E8" s="16"/>
      <c r="F8" s="16"/>
      <c r="G8" s="10" t="s">
        <v>14</v>
      </c>
    </row>
    <row r="9" s="1" customFormat="1" ht="24.95" customHeight="1" spans="1:7">
      <c r="A9" s="10">
        <v>5</v>
      </c>
      <c r="B9" s="16"/>
      <c r="C9" s="10">
        <v>21503101</v>
      </c>
      <c r="D9" s="10">
        <v>109.75</v>
      </c>
      <c r="E9" s="16"/>
      <c r="F9" s="16"/>
      <c r="G9" s="10" t="s">
        <v>14</v>
      </c>
    </row>
    <row r="10" s="1" customFormat="1" ht="24.95" customHeight="1" spans="1:7">
      <c r="A10" s="10">
        <v>6</v>
      </c>
      <c r="B10" s="14"/>
      <c r="C10" s="10">
        <v>21503107</v>
      </c>
      <c r="D10" s="10">
        <v>117.853</v>
      </c>
      <c r="E10" s="14"/>
      <c r="F10" s="14"/>
      <c r="G10" s="10" t="s">
        <v>14</v>
      </c>
    </row>
    <row r="11" s="1" customFormat="1" ht="24.95" customHeight="1" spans="1:7">
      <c r="A11" s="10">
        <v>7</v>
      </c>
      <c r="B11" s="14"/>
      <c r="C11" s="10"/>
      <c r="D11" s="10"/>
      <c r="E11" s="14"/>
      <c r="F11" s="14"/>
      <c r="G11" s="10"/>
    </row>
    <row r="12" s="1" customFormat="1" ht="24.95" customHeight="1" spans="1:7">
      <c r="A12" s="10">
        <v>8</v>
      </c>
      <c r="B12" s="14"/>
      <c r="C12" s="10"/>
      <c r="D12" s="10"/>
      <c r="E12" s="14"/>
      <c r="F12" s="14"/>
      <c r="G12" s="10"/>
    </row>
    <row r="13" s="1" customFormat="1" ht="24.95" customHeight="1" spans="1:7">
      <c r="A13" s="10">
        <v>9</v>
      </c>
      <c r="B13" s="14"/>
      <c r="C13" s="10"/>
      <c r="D13" s="10"/>
      <c r="E13" s="14"/>
      <c r="F13" s="14"/>
      <c r="G13" s="10"/>
    </row>
    <row r="14" s="1" customFormat="1" ht="24.95" customHeight="1" spans="1:7">
      <c r="A14" s="10">
        <v>10</v>
      </c>
      <c r="B14" s="14"/>
      <c r="C14" s="10"/>
      <c r="D14" s="10"/>
      <c r="E14" s="14"/>
      <c r="F14" s="14"/>
      <c r="G14" s="10"/>
    </row>
    <row r="15" s="1" customFormat="1" ht="24.95" customHeight="1" spans="1:7">
      <c r="A15" s="10">
        <v>11</v>
      </c>
      <c r="B15" s="10"/>
      <c r="C15" s="10"/>
      <c r="D15" s="10"/>
      <c r="E15" s="10"/>
      <c r="F15" s="10"/>
      <c r="G15" s="10"/>
    </row>
    <row r="16" s="1" customFormat="1" ht="24.95" customHeight="1" spans="1:7">
      <c r="A16" s="10">
        <v>12</v>
      </c>
      <c r="B16" s="10"/>
      <c r="C16" s="10"/>
      <c r="D16" s="10"/>
      <c r="E16" s="10"/>
      <c r="F16" s="10"/>
      <c r="G16" s="10"/>
    </row>
    <row r="17" s="1" customFormat="1" ht="24.95" customHeight="1" spans="1:7">
      <c r="A17" s="10">
        <v>13</v>
      </c>
      <c r="B17" s="10"/>
      <c r="C17" s="10"/>
      <c r="D17" s="10"/>
      <c r="E17" s="10"/>
      <c r="F17" s="10"/>
      <c r="G17" s="10"/>
    </row>
    <row r="18" s="1" customFormat="1" ht="24.95" customHeight="1" spans="1:7">
      <c r="A18" s="10">
        <v>14</v>
      </c>
      <c r="B18" s="10"/>
      <c r="C18" s="10"/>
      <c r="D18" s="10"/>
      <c r="E18" s="10"/>
      <c r="F18" s="10"/>
      <c r="G18" s="10"/>
    </row>
    <row r="19" s="1" customFormat="1" ht="24.95" customHeight="1" spans="1:7">
      <c r="A19" s="10">
        <v>15</v>
      </c>
      <c r="B19" s="10"/>
      <c r="C19" s="10"/>
      <c r="D19" s="10"/>
      <c r="E19" s="10"/>
      <c r="F19" s="10"/>
      <c r="G19" s="10"/>
    </row>
    <row r="20" s="1" customFormat="1" ht="24.95" customHeight="1" spans="1:7">
      <c r="A20" s="10">
        <v>16</v>
      </c>
      <c r="B20" s="10"/>
      <c r="C20" s="10"/>
      <c r="D20" s="10"/>
      <c r="E20" s="10"/>
      <c r="F20" s="10"/>
      <c r="G20" s="10"/>
    </row>
    <row r="21" s="1" customFormat="1" ht="24.95" customHeight="1" spans="1:7">
      <c r="A21" s="10">
        <v>17</v>
      </c>
      <c r="B21" s="10"/>
      <c r="C21" s="10"/>
      <c r="D21" s="10"/>
      <c r="E21" s="10"/>
      <c r="F21" s="10"/>
      <c r="G21" s="10"/>
    </row>
    <row r="22" s="1" customFormat="1" ht="24.95" customHeight="1" spans="1:7">
      <c r="A22" s="10">
        <v>18</v>
      </c>
      <c r="B22" s="10"/>
      <c r="C22" s="10"/>
      <c r="D22" s="10"/>
      <c r="E22" s="10"/>
      <c r="F22" s="10"/>
      <c r="G22" s="10"/>
    </row>
    <row r="23" s="1" customFormat="1" ht="24.95" customHeight="1" spans="1:7">
      <c r="A23" s="10">
        <v>19</v>
      </c>
      <c r="B23" s="10"/>
      <c r="C23" s="10"/>
      <c r="D23" s="10"/>
      <c r="E23" s="10"/>
      <c r="F23" s="10"/>
      <c r="G23" s="10"/>
    </row>
    <row r="24" s="1" customFormat="1" ht="24.95" customHeight="1" spans="1:7">
      <c r="A24" s="10">
        <v>20</v>
      </c>
      <c r="B24" s="10"/>
      <c r="C24" s="10"/>
      <c r="D24" s="10"/>
      <c r="E24" s="10"/>
      <c r="F24" s="10"/>
      <c r="G24" s="10"/>
    </row>
    <row r="25" s="1" customFormat="1" ht="24.95" customHeight="1" spans="1:7">
      <c r="A25" s="10"/>
      <c r="B25" s="23" t="s">
        <v>16</v>
      </c>
      <c r="C25" s="23"/>
      <c r="D25" s="10">
        <f>SUM(D5:D24)</f>
        <v>690.965</v>
      </c>
      <c r="E25" s="10"/>
      <c r="F25" s="10">
        <f>SUM(F5:F24)</f>
        <v>690.965</v>
      </c>
      <c r="G25" s="10"/>
    </row>
    <row r="26" s="1" customFormat="1" ht="24.95" customHeight="1" spans="1:7">
      <c r="A26" s="10"/>
      <c r="B26" s="10"/>
      <c r="C26" s="10"/>
      <c r="D26" s="10"/>
      <c r="E26" s="10"/>
      <c r="F26" s="10"/>
      <c r="G26" s="10"/>
    </row>
  </sheetData>
  <mergeCells count="5">
    <mergeCell ref="A1:G1"/>
    <mergeCell ref="F3:G3"/>
    <mergeCell ref="B6:B10"/>
    <mergeCell ref="E5:E10"/>
    <mergeCell ref="F5:F10"/>
  </mergeCells>
  <pageMargins left="0.7" right="0.7" top="0.75" bottom="0.75" header="0.3" footer="0.3"/>
  <pageSetup paperSize="9" scale="94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selection activeCell="D9" sqref="D9:D10"/>
    </sheetView>
  </sheetViews>
  <sheetFormatPr defaultColWidth="9" defaultRowHeight="14.25"/>
  <cols>
    <col min="1" max="1" width="7" style="2" customWidth="1"/>
    <col min="2" max="2" width="13.625" style="2" customWidth="1"/>
    <col min="3" max="3" width="19" style="2" customWidth="1"/>
    <col min="4" max="4" width="9.125" style="2" customWidth="1"/>
    <col min="5" max="5" width="20.25" style="2" customWidth="1"/>
    <col min="6" max="6" width="11.875" style="2" customWidth="1"/>
  </cols>
  <sheetData>
    <row r="1" ht="36" customHeight="1" spans="1:6">
      <c r="A1" s="3" t="s">
        <v>0</v>
      </c>
      <c r="B1" s="4"/>
      <c r="C1" s="4"/>
      <c r="D1" s="4"/>
      <c r="E1" s="4"/>
      <c r="F1" s="4"/>
    </row>
    <row r="2" ht="24.75" customHeight="1" spans="1:6">
      <c r="A2" s="5" t="s">
        <v>1</v>
      </c>
      <c r="B2" s="4"/>
      <c r="C2" s="4"/>
      <c r="D2" s="4"/>
      <c r="E2" s="4"/>
      <c r="F2" s="4"/>
    </row>
    <row r="3" ht="24.75" customHeight="1" spans="1:1638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s="1" customFormat="1" ht="41.25" customHeight="1" spans="1:6">
      <c r="A4" s="7" t="s">
        <v>5</v>
      </c>
      <c r="B4" s="7" t="s">
        <v>6</v>
      </c>
      <c r="C4" s="7" t="s">
        <v>8</v>
      </c>
      <c r="D4" s="9" t="s">
        <v>9</v>
      </c>
      <c r="E4" s="9" t="s">
        <v>10</v>
      </c>
      <c r="F4" s="9" t="s">
        <v>11</v>
      </c>
    </row>
    <row r="5" s="1" customFormat="1" ht="24.95" customHeight="1" spans="1:6">
      <c r="A5" s="10">
        <v>1</v>
      </c>
      <c r="B5" s="10" t="s">
        <v>17</v>
      </c>
      <c r="C5" s="10">
        <v>79.581</v>
      </c>
      <c r="D5" s="15" t="s">
        <v>18</v>
      </c>
      <c r="E5" s="10">
        <f>SUM(C5:C6)</f>
        <v>165.654</v>
      </c>
      <c r="F5" s="10" t="s">
        <v>14</v>
      </c>
    </row>
    <row r="6" s="1" customFormat="1" ht="24.95" customHeight="1" spans="1:6">
      <c r="A6" s="10">
        <v>2</v>
      </c>
      <c r="B6" s="10"/>
      <c r="C6" s="10">
        <v>86.073</v>
      </c>
      <c r="D6" s="14"/>
      <c r="E6" s="10"/>
      <c r="F6" s="10" t="s">
        <v>14</v>
      </c>
    </row>
    <row r="7" s="1" customFormat="1" ht="24.95" customHeight="1" spans="1:6">
      <c r="A7" s="10">
        <v>3</v>
      </c>
      <c r="B7" s="10" t="s">
        <v>19</v>
      </c>
      <c r="C7" s="10">
        <v>86.342</v>
      </c>
      <c r="D7" s="10" t="s">
        <v>20</v>
      </c>
      <c r="E7" s="10">
        <f>SUM(C7:C8)</f>
        <v>172.605</v>
      </c>
      <c r="F7" s="10" t="s">
        <v>14</v>
      </c>
    </row>
    <row r="8" s="1" customFormat="1" ht="24.95" customHeight="1" spans="1:6">
      <c r="A8" s="10">
        <v>4</v>
      </c>
      <c r="B8" s="10"/>
      <c r="C8" s="10">
        <v>86.263</v>
      </c>
      <c r="D8" s="10"/>
      <c r="E8" s="10"/>
      <c r="F8" s="10" t="s">
        <v>14</v>
      </c>
    </row>
    <row r="9" s="1" customFormat="1" ht="24.95" customHeight="1" spans="1:6">
      <c r="A9" s="10">
        <v>5</v>
      </c>
      <c r="B9" s="15" t="s">
        <v>21</v>
      </c>
      <c r="C9" s="10">
        <v>86.249</v>
      </c>
      <c r="D9" s="10" t="s">
        <v>13</v>
      </c>
      <c r="E9" s="10">
        <f>SUM(C9:C10)</f>
        <v>165.395</v>
      </c>
      <c r="F9" s="10" t="s">
        <v>14</v>
      </c>
    </row>
    <row r="10" s="1" customFormat="1" ht="24.95" customHeight="1" spans="1:6">
      <c r="A10" s="10">
        <v>6</v>
      </c>
      <c r="B10" s="14"/>
      <c r="C10" s="10">
        <v>79.146</v>
      </c>
      <c r="D10" s="10"/>
      <c r="E10" s="10"/>
      <c r="F10" s="10" t="s">
        <v>14</v>
      </c>
    </row>
    <row r="11" s="1" customFormat="1" ht="24.95" customHeight="1" spans="1:6">
      <c r="A11" s="10">
        <v>7</v>
      </c>
      <c r="B11" s="16" t="s">
        <v>22</v>
      </c>
      <c r="C11" s="10">
        <v>82.757</v>
      </c>
      <c r="D11" s="15" t="s">
        <v>23</v>
      </c>
      <c r="E11" s="10">
        <f>SUM(C11:C14)</f>
        <v>356.52</v>
      </c>
      <c r="F11" s="10" t="s">
        <v>14</v>
      </c>
    </row>
    <row r="12" s="1" customFormat="1" ht="24.95" customHeight="1" spans="1:6">
      <c r="A12" s="10">
        <v>8</v>
      </c>
      <c r="B12" s="16"/>
      <c r="C12" s="10">
        <v>88.526</v>
      </c>
      <c r="D12" s="16"/>
      <c r="E12" s="10"/>
      <c r="F12" s="10" t="s">
        <v>14</v>
      </c>
    </row>
    <row r="13" s="1" customFormat="1" ht="24.95" customHeight="1" spans="1:6">
      <c r="A13" s="10">
        <v>9</v>
      </c>
      <c r="B13" s="16"/>
      <c r="C13" s="10">
        <v>86.709</v>
      </c>
      <c r="D13" s="16"/>
      <c r="E13" s="10"/>
      <c r="F13" s="10" t="s">
        <v>14</v>
      </c>
    </row>
    <row r="14" s="1" customFormat="1" ht="24.95" customHeight="1" spans="1:6">
      <c r="A14" s="10">
        <v>10</v>
      </c>
      <c r="B14" s="14"/>
      <c r="C14" s="10">
        <v>98.528</v>
      </c>
      <c r="D14" s="14"/>
      <c r="E14" s="10"/>
      <c r="F14" s="10" t="s">
        <v>14</v>
      </c>
    </row>
    <row r="15" s="1" customFormat="1" ht="24.95" customHeight="1" spans="1:6">
      <c r="A15" s="10">
        <v>11</v>
      </c>
      <c r="B15" s="10"/>
      <c r="C15" s="10"/>
      <c r="D15" s="10"/>
      <c r="E15" s="10"/>
      <c r="F15" s="10"/>
    </row>
    <row r="16" s="1" customFormat="1" ht="24.95" customHeight="1" spans="1:6">
      <c r="A16" s="10">
        <v>12</v>
      </c>
      <c r="B16" s="10"/>
      <c r="C16" s="10"/>
      <c r="D16" s="10"/>
      <c r="E16" s="10"/>
      <c r="F16" s="10"/>
    </row>
    <row r="17" s="1" customFormat="1" ht="24.95" customHeight="1" spans="1:6">
      <c r="A17" s="10">
        <v>13</v>
      </c>
      <c r="B17" s="10"/>
      <c r="C17" s="10"/>
      <c r="D17" s="10"/>
      <c r="E17" s="10"/>
      <c r="F17" s="10"/>
    </row>
    <row r="18" s="1" customFormat="1" ht="24.95" customHeight="1" spans="1:6">
      <c r="A18" s="10">
        <v>14</v>
      </c>
      <c r="B18" s="10"/>
      <c r="C18" s="10"/>
      <c r="D18" s="10"/>
      <c r="E18" s="10"/>
      <c r="F18" s="10"/>
    </row>
    <row r="19" s="1" customFormat="1" ht="24.95" customHeight="1" spans="1:6">
      <c r="A19" s="10">
        <v>15</v>
      </c>
      <c r="B19" s="10"/>
      <c r="C19" s="10"/>
      <c r="D19" s="10"/>
      <c r="E19" s="10"/>
      <c r="F19" s="10"/>
    </row>
    <row r="20" s="1" customFormat="1" ht="24.95" customHeight="1" spans="1:6">
      <c r="A20" s="10">
        <v>16</v>
      </c>
      <c r="B20" s="10"/>
      <c r="C20" s="10"/>
      <c r="D20" s="10"/>
      <c r="E20" s="10"/>
      <c r="F20" s="10"/>
    </row>
    <row r="21" s="1" customFormat="1" ht="24.95" customHeight="1" spans="1:6">
      <c r="A21" s="10">
        <v>17</v>
      </c>
      <c r="B21" s="10"/>
      <c r="C21" s="10"/>
      <c r="D21" s="10"/>
      <c r="E21" s="10"/>
      <c r="F21" s="10"/>
    </row>
    <row r="22" s="1" customFormat="1" ht="24.95" customHeight="1" spans="1:6">
      <c r="A22" s="10">
        <v>18</v>
      </c>
      <c r="B22" s="10"/>
      <c r="C22" s="10"/>
      <c r="D22" s="10"/>
      <c r="E22" s="10"/>
      <c r="F22" s="10"/>
    </row>
    <row r="23" s="1" customFormat="1" ht="24.95" customHeight="1" spans="1:6">
      <c r="A23" s="10">
        <v>19</v>
      </c>
      <c r="B23" s="10"/>
      <c r="C23" s="10"/>
      <c r="D23" s="10"/>
      <c r="E23" s="10"/>
      <c r="F23" s="10"/>
    </row>
    <row r="24" s="1" customFormat="1" ht="24.95" customHeight="1" spans="1:6">
      <c r="A24" s="10">
        <v>20</v>
      </c>
      <c r="B24" s="10"/>
      <c r="C24" s="10"/>
      <c r="D24" s="10"/>
      <c r="E24" s="10"/>
      <c r="F24" s="10"/>
    </row>
    <row r="25" s="1" customFormat="1" ht="24.95" customHeight="1" spans="1:6">
      <c r="A25" s="10"/>
      <c r="B25" s="23" t="s">
        <v>16</v>
      </c>
      <c r="C25" s="10">
        <f>SUM(C5:C24)</f>
        <v>860.174</v>
      </c>
      <c r="D25" s="10"/>
      <c r="E25" s="10">
        <f>SUM(E5:E24)</f>
        <v>860.174</v>
      </c>
      <c r="F25" s="10"/>
    </row>
    <row r="26" s="1" customFormat="1" ht="24.95" customHeight="1" spans="1:6">
      <c r="A26" s="10"/>
      <c r="B26" s="10"/>
      <c r="C26" s="10"/>
      <c r="D26" s="10"/>
      <c r="E26" s="10"/>
      <c r="F26" s="10"/>
    </row>
  </sheetData>
  <mergeCells count="13">
    <mergeCell ref="A1:F1"/>
    <mergeCell ref="B5:B6"/>
    <mergeCell ref="B7:B8"/>
    <mergeCell ref="B9:B10"/>
    <mergeCell ref="B11:B14"/>
    <mergeCell ref="D5:D6"/>
    <mergeCell ref="D7:D8"/>
    <mergeCell ref="D9:D10"/>
    <mergeCell ref="D11:D14"/>
    <mergeCell ref="E5:E6"/>
    <mergeCell ref="E7:E8"/>
    <mergeCell ref="E9:E10"/>
    <mergeCell ref="E11:E1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$A1:$XFD1048576"/>
    </sheetView>
  </sheetViews>
  <sheetFormatPr defaultColWidth="9" defaultRowHeight="14.25" outlineLevelCol="5"/>
  <cols>
    <col min="1" max="1" width="7" style="2" customWidth="1"/>
    <col min="2" max="2" width="13.625" style="2" customWidth="1"/>
    <col min="3" max="3" width="19" style="2" customWidth="1"/>
    <col min="4" max="4" width="9.125" style="2" customWidth="1"/>
    <col min="5" max="5" width="20.25" style="2" customWidth="1"/>
    <col min="6" max="6" width="11.875" style="2" customWidth="1"/>
  </cols>
  <sheetData>
    <row r="1" ht="36" customHeight="1" spans="1:6">
      <c r="A1" s="3" t="s">
        <v>24</v>
      </c>
      <c r="B1" s="4"/>
      <c r="C1" s="4"/>
      <c r="D1" s="4"/>
      <c r="E1" s="4"/>
      <c r="F1" s="4"/>
    </row>
    <row r="2" s="1" customFormat="1" ht="24.95" customHeight="1" spans="1:6">
      <c r="A2" s="7" t="s">
        <v>5</v>
      </c>
      <c r="B2" s="7" t="s">
        <v>6</v>
      </c>
      <c r="C2" s="7" t="s">
        <v>8</v>
      </c>
      <c r="D2" s="7" t="s">
        <v>25</v>
      </c>
      <c r="E2" s="7" t="s">
        <v>26</v>
      </c>
      <c r="F2" s="7" t="s">
        <v>27</v>
      </c>
    </row>
    <row r="3" s="1" customFormat="1" ht="24.95" customHeight="1" spans="1:6">
      <c r="A3" s="10">
        <v>1</v>
      </c>
      <c r="B3" s="20">
        <v>43731</v>
      </c>
      <c r="C3" s="10">
        <v>69.178</v>
      </c>
      <c r="D3" s="10">
        <v>9</v>
      </c>
      <c r="E3" s="10">
        <f>C3</f>
        <v>69.178</v>
      </c>
      <c r="F3" s="10" t="s">
        <v>14</v>
      </c>
    </row>
    <row r="4" s="1" customFormat="1" ht="24.95" customHeight="1" spans="1:6">
      <c r="A4" s="10">
        <v>2</v>
      </c>
      <c r="B4" s="20">
        <v>43728</v>
      </c>
      <c r="C4" s="10">
        <v>85.559</v>
      </c>
      <c r="D4" s="10">
        <v>10</v>
      </c>
      <c r="E4" s="21">
        <f>C4+C5</f>
        <v>182.658</v>
      </c>
      <c r="F4" s="10" t="s">
        <v>14</v>
      </c>
    </row>
    <row r="5" s="1" customFormat="1" ht="24.95" customHeight="1" spans="1:6">
      <c r="A5" s="10">
        <v>3</v>
      </c>
      <c r="B5" s="20">
        <v>43746</v>
      </c>
      <c r="C5" s="10">
        <v>97.099</v>
      </c>
      <c r="D5" s="10">
        <v>10</v>
      </c>
      <c r="E5" s="22"/>
      <c r="F5" s="10" t="s">
        <v>14</v>
      </c>
    </row>
    <row r="6" s="1" customFormat="1" ht="24.95" customHeight="1" spans="1:6">
      <c r="A6" s="10">
        <v>4</v>
      </c>
      <c r="B6" s="10"/>
      <c r="C6" s="10"/>
      <c r="D6" s="10"/>
      <c r="E6" s="10"/>
      <c r="F6" s="10"/>
    </row>
    <row r="7" s="1" customFormat="1" ht="24.95" customHeight="1" spans="1:6">
      <c r="A7" s="10">
        <v>5</v>
      </c>
      <c r="B7" s="10"/>
      <c r="C7" s="10"/>
      <c r="D7" s="10"/>
      <c r="E7" s="10"/>
      <c r="F7" s="10"/>
    </row>
    <row r="8" s="1" customFormat="1" ht="24.95" customHeight="1" spans="1:6">
      <c r="A8" s="10">
        <v>6</v>
      </c>
      <c r="B8" s="10"/>
      <c r="C8" s="10"/>
      <c r="D8" s="10"/>
      <c r="E8" s="10"/>
      <c r="F8" s="10"/>
    </row>
    <row r="9" s="1" customFormat="1" ht="24.95" customHeight="1" spans="1:6">
      <c r="A9" s="10">
        <v>7</v>
      </c>
      <c r="B9" s="10"/>
      <c r="C9" s="10"/>
      <c r="D9" s="10"/>
      <c r="E9" s="10"/>
      <c r="F9" s="10"/>
    </row>
    <row r="10" s="1" customFormat="1" ht="24.95" customHeight="1" spans="1:6">
      <c r="A10" s="10">
        <v>8</v>
      </c>
      <c r="B10" s="10"/>
      <c r="C10" s="10"/>
      <c r="D10" s="10"/>
      <c r="E10" s="10"/>
      <c r="F10" s="10"/>
    </row>
    <row r="11" s="1" customFormat="1" ht="24.95" customHeight="1" spans="1:6">
      <c r="A11" s="10">
        <v>9</v>
      </c>
      <c r="B11" s="10"/>
      <c r="C11" s="10"/>
      <c r="D11" s="10"/>
      <c r="E11" s="10"/>
      <c r="F11" s="10"/>
    </row>
    <row r="12" s="1" customFormat="1" ht="24.95" customHeight="1" spans="1:6">
      <c r="A12" s="10">
        <v>10</v>
      </c>
      <c r="B12" s="10"/>
      <c r="C12" s="10"/>
      <c r="D12" s="10"/>
      <c r="E12" s="10"/>
      <c r="F12" s="10"/>
    </row>
    <row r="13" s="1" customFormat="1" ht="24.95" customHeight="1" spans="1:6">
      <c r="A13" s="10">
        <v>11</v>
      </c>
      <c r="B13" s="10"/>
      <c r="C13" s="10"/>
      <c r="D13" s="10"/>
      <c r="E13" s="10"/>
      <c r="F13" s="10"/>
    </row>
    <row r="14" s="1" customFormat="1" ht="24.95" customHeight="1" spans="1:6">
      <c r="A14" s="10">
        <v>12</v>
      </c>
      <c r="B14" s="10"/>
      <c r="C14" s="10"/>
      <c r="D14" s="10"/>
      <c r="E14" s="10"/>
      <c r="F14" s="10"/>
    </row>
    <row r="15" s="1" customFormat="1" ht="24.95" customHeight="1" spans="1:6">
      <c r="A15" s="10">
        <v>13</v>
      </c>
      <c r="B15" s="10"/>
      <c r="C15" s="10"/>
      <c r="D15" s="10"/>
      <c r="E15" s="10"/>
      <c r="F15" s="10"/>
    </row>
    <row r="16" s="1" customFormat="1" ht="24.95" customHeight="1" spans="1:6">
      <c r="A16" s="10">
        <v>14</v>
      </c>
      <c r="B16" s="10"/>
      <c r="C16" s="10"/>
      <c r="D16" s="10"/>
      <c r="E16" s="10"/>
      <c r="F16" s="10"/>
    </row>
    <row r="17" s="1" customFormat="1" ht="24.95" customHeight="1" spans="1:6">
      <c r="A17" s="10">
        <v>15</v>
      </c>
      <c r="B17" s="10"/>
      <c r="C17" s="10"/>
      <c r="D17" s="10"/>
      <c r="E17" s="10"/>
      <c r="F17" s="10"/>
    </row>
    <row r="18" s="1" customFormat="1" ht="24.95" customHeight="1" spans="1:6">
      <c r="A18" s="10">
        <v>16</v>
      </c>
      <c r="B18" s="10"/>
      <c r="C18" s="10"/>
      <c r="D18" s="10"/>
      <c r="E18" s="10"/>
      <c r="F18" s="10"/>
    </row>
    <row r="19" s="1" customFormat="1" ht="24.95" customHeight="1" spans="1:6">
      <c r="A19" s="10">
        <v>17</v>
      </c>
      <c r="B19" s="10"/>
      <c r="C19" s="10"/>
      <c r="D19" s="10"/>
      <c r="E19" s="10"/>
      <c r="F19" s="10"/>
    </row>
    <row r="20" s="1" customFormat="1" ht="24.95" customHeight="1" spans="1:6">
      <c r="A20" s="10">
        <v>18</v>
      </c>
      <c r="B20" s="10"/>
      <c r="C20" s="10"/>
      <c r="D20" s="10"/>
      <c r="E20" s="10"/>
      <c r="F20" s="10"/>
    </row>
    <row r="21" s="1" customFormat="1" ht="24.95" customHeight="1" spans="1:6">
      <c r="A21" s="10">
        <v>19</v>
      </c>
      <c r="B21" s="10"/>
      <c r="C21" s="10"/>
      <c r="D21" s="10"/>
      <c r="E21" s="10"/>
      <c r="F21" s="10"/>
    </row>
    <row r="22" s="1" customFormat="1" ht="24.95" customHeight="1" spans="1:6">
      <c r="A22" s="10">
        <v>20</v>
      </c>
      <c r="B22" s="10"/>
      <c r="C22" s="10"/>
      <c r="D22" s="10"/>
      <c r="E22" s="10"/>
      <c r="F22" s="10"/>
    </row>
    <row r="23" s="1" customFormat="1" ht="24.95" customHeight="1" spans="1:6">
      <c r="A23" s="10"/>
      <c r="B23" s="23" t="s">
        <v>16</v>
      </c>
      <c r="C23" s="10">
        <f>SUM(C3:C22)</f>
        <v>251.836</v>
      </c>
      <c r="D23" s="10"/>
      <c r="E23" s="10">
        <f>SUM(E3:E22)</f>
        <v>251.836</v>
      </c>
      <c r="F23" s="10"/>
    </row>
    <row r="24" s="1" customFormat="1" ht="24.95" customHeight="1" spans="1:6">
      <c r="A24" s="10"/>
      <c r="B24" s="10"/>
      <c r="C24" s="10"/>
      <c r="D24" s="10"/>
      <c r="E24" s="10"/>
      <c r="F24" s="10"/>
    </row>
  </sheetData>
  <mergeCells count="1">
    <mergeCell ref="A1:F1"/>
  </mergeCells>
  <pageMargins left="0.78740157480315" right="0.708661417322835" top="0.748031496062992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4"/>
  <sheetViews>
    <sheetView workbookViewId="0">
      <selection activeCell="A1" sqref="$A1:$XFD1048576"/>
    </sheetView>
  </sheetViews>
  <sheetFormatPr defaultColWidth="9" defaultRowHeight="14.25"/>
  <cols>
    <col min="1" max="1" width="6.125" style="2" customWidth="1"/>
    <col min="2" max="2" width="12.25" style="2" customWidth="1"/>
    <col min="3" max="3" width="12.625" style="2" customWidth="1"/>
    <col min="4" max="4" width="18" style="2" customWidth="1"/>
    <col min="5" max="5" width="7.875" style="2" customWidth="1"/>
    <col min="6" max="6" width="18.25" style="2" customWidth="1"/>
    <col min="7" max="7" width="11.875" style="2" customWidth="1"/>
  </cols>
  <sheetData>
    <row r="1" ht="36" customHeight="1" spans="1:7">
      <c r="A1" s="3" t="s">
        <v>0</v>
      </c>
      <c r="B1" s="4"/>
      <c r="C1" s="4"/>
      <c r="D1" s="4"/>
      <c r="E1" s="4"/>
      <c r="F1" s="4"/>
      <c r="G1" s="4"/>
    </row>
    <row r="2" ht="24.75" customHeight="1" spans="1:7">
      <c r="A2" s="5" t="s">
        <v>1</v>
      </c>
      <c r="B2" s="4"/>
      <c r="C2" s="4"/>
      <c r="D2" s="4"/>
      <c r="E2" s="4"/>
      <c r="F2" s="4"/>
      <c r="G2" s="4"/>
    </row>
    <row r="3" ht="24.75" customHeight="1" spans="1:16384">
      <c r="A3" s="5" t="s">
        <v>2</v>
      </c>
      <c r="B3" s="5"/>
      <c r="C3" s="5"/>
      <c r="D3" s="5"/>
      <c r="E3" s="6" t="s">
        <v>3</v>
      </c>
      <c r="F3" s="6" t="s">
        <v>4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s="1" customFormat="1" ht="41.25" customHeight="1" spans="1:7">
      <c r="A4" s="7" t="s">
        <v>5</v>
      </c>
      <c r="B4" s="7" t="s">
        <v>6</v>
      </c>
      <c r="C4" s="8" t="s">
        <v>7</v>
      </c>
      <c r="D4" s="7" t="s">
        <v>8</v>
      </c>
      <c r="E4" s="9" t="s">
        <v>9</v>
      </c>
      <c r="F4" s="9" t="s">
        <v>10</v>
      </c>
      <c r="G4" s="9" t="s">
        <v>11</v>
      </c>
    </row>
    <row r="5" s="1" customFormat="1" ht="24.95" customHeight="1" spans="1:7">
      <c r="A5" s="10">
        <v>1</v>
      </c>
      <c r="B5" s="15" t="s">
        <v>28</v>
      </c>
      <c r="C5" s="10">
        <v>22405208</v>
      </c>
      <c r="D5" s="10">
        <v>124.692</v>
      </c>
      <c r="E5" s="15" t="s">
        <v>29</v>
      </c>
      <c r="F5" s="15">
        <v>813.406</v>
      </c>
      <c r="G5" s="15" t="s">
        <v>30</v>
      </c>
    </row>
    <row r="6" s="1" customFormat="1" ht="24.95" customHeight="1" spans="1:7">
      <c r="A6" s="10">
        <v>2</v>
      </c>
      <c r="B6" s="16"/>
      <c r="C6" s="10">
        <v>22405210</v>
      </c>
      <c r="D6" s="10">
        <v>112.819</v>
      </c>
      <c r="E6" s="16"/>
      <c r="F6" s="16"/>
      <c r="G6" s="16"/>
    </row>
    <row r="7" s="1" customFormat="1" ht="24.95" customHeight="1" spans="1:7">
      <c r="A7" s="10">
        <v>3</v>
      </c>
      <c r="B7" s="16"/>
      <c r="C7" s="10">
        <v>22505205</v>
      </c>
      <c r="D7" s="10">
        <v>123.453</v>
      </c>
      <c r="E7" s="16"/>
      <c r="F7" s="16"/>
      <c r="G7" s="16"/>
    </row>
    <row r="8" s="1" customFormat="1" ht="24.95" customHeight="1" spans="1:7">
      <c r="A8" s="10">
        <v>4</v>
      </c>
      <c r="B8" s="16"/>
      <c r="C8" s="10">
        <v>22505208</v>
      </c>
      <c r="D8" s="10">
        <v>124.687</v>
      </c>
      <c r="E8" s="16"/>
      <c r="F8" s="16"/>
      <c r="G8" s="16"/>
    </row>
    <row r="9" s="1" customFormat="1" ht="24.95" customHeight="1" spans="1:7">
      <c r="A9" s="10">
        <v>5</v>
      </c>
      <c r="B9" s="16"/>
      <c r="C9" s="10">
        <v>22604918</v>
      </c>
      <c r="D9" s="10">
        <v>112.02</v>
      </c>
      <c r="E9" s="16"/>
      <c r="F9" s="16"/>
      <c r="G9" s="16"/>
    </row>
    <row r="10" s="1" customFormat="1" ht="24.95" customHeight="1" spans="1:7">
      <c r="A10" s="10">
        <v>6</v>
      </c>
      <c r="B10" s="16"/>
      <c r="C10" s="10">
        <v>22604919</v>
      </c>
      <c r="D10" s="10">
        <v>106.106</v>
      </c>
      <c r="E10" s="16"/>
      <c r="F10" s="16"/>
      <c r="G10" s="16"/>
    </row>
    <row r="11" s="1" customFormat="1" ht="24.95" customHeight="1" spans="1:7">
      <c r="A11" s="10">
        <v>7</v>
      </c>
      <c r="B11" s="14"/>
      <c r="C11" s="10">
        <v>22604939</v>
      </c>
      <c r="D11" s="10">
        <v>109.629</v>
      </c>
      <c r="E11" s="14"/>
      <c r="F11" s="14"/>
      <c r="G11" s="14"/>
    </row>
    <row r="12" s="1" customFormat="1" ht="24.95" customHeight="1" spans="1:7">
      <c r="A12" s="10">
        <v>8</v>
      </c>
      <c r="B12" s="10"/>
      <c r="C12" s="10"/>
      <c r="D12" s="10"/>
      <c r="E12" s="10"/>
      <c r="F12" s="10"/>
      <c r="G12" s="10"/>
    </row>
    <row r="13" s="1" customFormat="1" ht="24.95" customHeight="1" spans="1:7">
      <c r="A13" s="10"/>
      <c r="B13" s="10" t="s">
        <v>16</v>
      </c>
      <c r="C13" s="10"/>
      <c r="D13" s="10">
        <f>SUM(D5:D12)</f>
        <v>813.406</v>
      </c>
      <c r="E13" s="10"/>
      <c r="F13" s="10"/>
      <c r="G13" s="10"/>
    </row>
    <row r="14" s="1" customFormat="1" ht="24.95" customHeight="1" spans="1:7">
      <c r="A14" s="10"/>
      <c r="B14" s="14"/>
      <c r="C14" s="10"/>
      <c r="D14" s="10"/>
      <c r="E14" s="14"/>
      <c r="F14" s="14"/>
      <c r="G14" s="10"/>
    </row>
  </sheetData>
  <mergeCells count="6">
    <mergeCell ref="A1:G1"/>
    <mergeCell ref="F3:G3"/>
    <mergeCell ref="B5:B11"/>
    <mergeCell ref="E5:E11"/>
    <mergeCell ref="F5:F11"/>
    <mergeCell ref="G5:G11"/>
  </mergeCells>
  <pageMargins left="0.7" right="0.7" top="0.75" bottom="0.75" header="0.3" footer="0.3"/>
  <pageSetup paperSize="9" scale="94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tabSelected="1" topLeftCell="A4" workbookViewId="0">
      <selection activeCell="H12" sqref="H12"/>
    </sheetView>
  </sheetViews>
  <sheetFormatPr defaultColWidth="9" defaultRowHeight="14.25"/>
  <cols>
    <col min="1" max="1" width="6.125" style="2" customWidth="1"/>
    <col min="2" max="2" width="12.25" style="2" customWidth="1"/>
    <col min="3" max="3" width="12.625" style="2" customWidth="1"/>
    <col min="4" max="4" width="18" style="2" customWidth="1"/>
    <col min="5" max="5" width="7.875" style="2" customWidth="1"/>
    <col min="6" max="6" width="18.25" style="2" customWidth="1"/>
    <col min="7" max="7" width="11.875" style="2" customWidth="1"/>
  </cols>
  <sheetData>
    <row r="1" ht="36" customHeight="1" spans="1:7">
      <c r="A1" s="3" t="s">
        <v>0</v>
      </c>
      <c r="B1" s="4"/>
      <c r="C1" s="4"/>
      <c r="D1" s="4"/>
      <c r="E1" s="4"/>
      <c r="F1" s="4"/>
      <c r="G1" s="4"/>
    </row>
    <row r="2" ht="24.75" customHeight="1" spans="1:7">
      <c r="A2" s="5" t="s">
        <v>1</v>
      </c>
      <c r="B2" s="4"/>
      <c r="C2" s="4"/>
      <c r="D2" s="4"/>
      <c r="E2" s="4"/>
      <c r="F2" s="4"/>
      <c r="G2" s="4"/>
    </row>
    <row r="3" ht="24.75" customHeight="1" spans="1:16384">
      <c r="A3" s="5" t="s">
        <v>2</v>
      </c>
      <c r="B3" s="5"/>
      <c r="C3" s="5"/>
      <c r="D3" s="5"/>
      <c r="E3" s="6" t="s">
        <v>3</v>
      </c>
      <c r="F3" s="6" t="s">
        <v>4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s="1" customFormat="1" ht="41.25" customHeight="1" spans="1:7">
      <c r="A4" s="7" t="s">
        <v>5</v>
      </c>
      <c r="B4" s="7" t="s">
        <v>6</v>
      </c>
      <c r="C4" s="8" t="s">
        <v>7</v>
      </c>
      <c r="D4" s="7" t="s">
        <v>8</v>
      </c>
      <c r="E4" s="9" t="s">
        <v>9</v>
      </c>
      <c r="F4" s="9" t="s">
        <v>10</v>
      </c>
      <c r="G4" s="9" t="s">
        <v>11</v>
      </c>
    </row>
    <row r="5" s="1" customFormat="1" ht="24.95" customHeight="1" spans="1:7">
      <c r="A5" s="10">
        <v>1</v>
      </c>
      <c r="B5" s="15" t="s">
        <v>31</v>
      </c>
      <c r="C5" s="10">
        <v>23401469</v>
      </c>
      <c r="D5" s="10">
        <v>24.936</v>
      </c>
      <c r="E5" s="15" t="s">
        <v>29</v>
      </c>
      <c r="F5" s="15">
        <v>646.056</v>
      </c>
      <c r="G5" s="15" t="s">
        <v>30</v>
      </c>
    </row>
    <row r="6" s="1" customFormat="1" ht="24.95" customHeight="1" spans="1:7">
      <c r="A6" s="10">
        <v>2</v>
      </c>
      <c r="B6" s="16"/>
      <c r="C6" s="10">
        <v>23501376</v>
      </c>
      <c r="D6" s="10">
        <v>126.367</v>
      </c>
      <c r="E6" s="16"/>
      <c r="F6" s="16"/>
      <c r="G6" s="16"/>
    </row>
    <row r="7" s="1" customFormat="1" ht="24.95" customHeight="1" spans="1:7">
      <c r="A7" s="10">
        <v>3</v>
      </c>
      <c r="B7" s="16"/>
      <c r="C7" s="10">
        <v>23704435</v>
      </c>
      <c r="D7" s="10">
        <v>121.205</v>
      </c>
      <c r="E7" s="16"/>
      <c r="F7" s="16"/>
      <c r="G7" s="16"/>
    </row>
    <row r="8" s="1" customFormat="1" ht="24.95" customHeight="1" spans="1:7">
      <c r="A8" s="10">
        <v>4</v>
      </c>
      <c r="B8" s="16"/>
      <c r="C8" s="10">
        <v>23704436</v>
      </c>
      <c r="D8" s="10">
        <v>124.726</v>
      </c>
      <c r="E8" s="16"/>
      <c r="F8" s="16"/>
      <c r="G8" s="16"/>
    </row>
    <row r="9" s="1" customFormat="1" ht="24.95" customHeight="1" spans="1:7">
      <c r="A9" s="10">
        <v>5</v>
      </c>
      <c r="B9" s="16"/>
      <c r="C9" s="10">
        <v>23704437</v>
      </c>
      <c r="D9" s="10">
        <v>123.56</v>
      </c>
      <c r="E9" s="16"/>
      <c r="F9" s="16"/>
      <c r="G9" s="16"/>
    </row>
    <row r="10" s="1" customFormat="1" ht="24.95" customHeight="1" spans="1:7">
      <c r="A10" s="10">
        <v>6</v>
      </c>
      <c r="B10" s="16"/>
      <c r="C10" s="15">
        <v>23704438</v>
      </c>
      <c r="D10" s="15">
        <v>125.262</v>
      </c>
      <c r="E10" s="16"/>
      <c r="F10" s="16"/>
      <c r="G10" s="16"/>
    </row>
    <row r="11" s="1" customFormat="1" ht="24.95" customHeight="1" spans="1:7">
      <c r="A11" s="10">
        <v>7</v>
      </c>
      <c r="B11" s="17" t="s">
        <v>32</v>
      </c>
      <c r="C11" s="10">
        <v>23512826</v>
      </c>
      <c r="D11" s="10">
        <v>118.95</v>
      </c>
      <c r="E11" s="17" t="s">
        <v>33</v>
      </c>
      <c r="F11" s="17">
        <v>362.265</v>
      </c>
      <c r="G11" s="17" t="s">
        <v>30</v>
      </c>
    </row>
    <row r="12" s="1" customFormat="1" ht="24.95" customHeight="1" spans="1:7">
      <c r="A12" s="10">
        <v>8</v>
      </c>
      <c r="B12" s="18"/>
      <c r="C12" s="10">
        <v>23512827</v>
      </c>
      <c r="D12" s="10">
        <v>123.165</v>
      </c>
      <c r="E12" s="18"/>
      <c r="F12" s="18"/>
      <c r="G12" s="18"/>
    </row>
    <row r="13" s="1" customFormat="1" ht="24.95" customHeight="1" spans="1:7">
      <c r="A13" s="10">
        <v>9</v>
      </c>
      <c r="B13" s="19"/>
      <c r="C13" s="10">
        <v>23612593</v>
      </c>
      <c r="D13" s="10">
        <v>120.15</v>
      </c>
      <c r="E13" s="19"/>
      <c r="F13" s="19"/>
      <c r="G13" s="19"/>
    </row>
    <row r="14" s="1" customFormat="1" ht="24.95" customHeight="1" spans="1:7">
      <c r="A14" s="10">
        <v>10</v>
      </c>
      <c r="B14" s="10"/>
      <c r="C14" s="10"/>
      <c r="D14" s="10"/>
      <c r="E14" s="10"/>
      <c r="F14" s="10"/>
      <c r="G14" s="10"/>
    </row>
    <row r="15" s="1" customFormat="1" ht="24.95" customHeight="1" spans="1:7">
      <c r="A15" s="10">
        <v>11</v>
      </c>
      <c r="B15" s="10"/>
      <c r="C15" s="10"/>
      <c r="D15" s="10"/>
      <c r="E15" s="10"/>
      <c r="F15" s="10"/>
      <c r="G15" s="10"/>
    </row>
    <row r="16" s="1" customFormat="1" ht="24.95" customHeight="1" spans="1:7">
      <c r="A16" s="10">
        <v>12</v>
      </c>
      <c r="B16" s="10"/>
      <c r="C16" s="10"/>
      <c r="D16" s="10"/>
      <c r="E16" s="10"/>
      <c r="F16" s="10"/>
      <c r="G16" s="10"/>
    </row>
    <row r="17" s="1" customFormat="1" ht="24.95" customHeight="1" spans="1:7">
      <c r="A17" s="10"/>
      <c r="B17" s="10" t="s">
        <v>16</v>
      </c>
      <c r="C17" s="10"/>
      <c r="D17" s="10">
        <f>SUM(D5:D16)</f>
        <v>1008.321</v>
      </c>
      <c r="E17" s="10"/>
      <c r="F17" s="10"/>
      <c r="G17" s="10"/>
    </row>
    <row r="18" s="1" customFormat="1" ht="24.95" customHeight="1" spans="1:7">
      <c r="A18" s="10"/>
      <c r="B18" s="14"/>
      <c r="C18" s="10"/>
      <c r="D18" s="10"/>
      <c r="E18" s="14"/>
      <c r="F18" s="14"/>
      <c r="G18" s="10"/>
    </row>
  </sheetData>
  <mergeCells count="10">
    <mergeCell ref="A1:G1"/>
    <mergeCell ref="F3:G3"/>
    <mergeCell ref="B5:B10"/>
    <mergeCell ref="B11:B13"/>
    <mergeCell ref="E5:E10"/>
    <mergeCell ref="E11:E13"/>
    <mergeCell ref="F5:F10"/>
    <mergeCell ref="F11:F13"/>
    <mergeCell ref="G5:G10"/>
    <mergeCell ref="G11:G13"/>
  </mergeCells>
  <pageMargins left="0.75" right="0.75" top="1" bottom="1" header="0.5" footer="0.5"/>
  <pageSetup paperSize="9" scale="93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2"/>
  <sheetViews>
    <sheetView topLeftCell="A4" workbookViewId="0">
      <selection activeCell="F5" sqref="F5:F9"/>
    </sheetView>
  </sheetViews>
  <sheetFormatPr defaultColWidth="9" defaultRowHeight="14.25"/>
  <cols>
    <col min="1" max="1" width="6.125" style="2" customWidth="1"/>
    <col min="2" max="2" width="12.25" style="2" customWidth="1"/>
    <col min="3" max="3" width="12.625" style="2" customWidth="1"/>
    <col min="4" max="4" width="18" style="2" customWidth="1"/>
    <col min="5" max="5" width="7.875" style="2" customWidth="1"/>
    <col min="6" max="6" width="18.25" style="2" customWidth="1"/>
    <col min="7" max="7" width="11.875" style="2" customWidth="1"/>
  </cols>
  <sheetData>
    <row r="1" ht="36" customHeight="1" spans="1:7">
      <c r="A1" s="3" t="s">
        <v>0</v>
      </c>
      <c r="B1" s="4"/>
      <c r="C1" s="4"/>
      <c r="D1" s="4"/>
      <c r="E1" s="4"/>
      <c r="F1" s="4"/>
      <c r="G1" s="4"/>
    </row>
    <row r="2" ht="24.75" customHeight="1" spans="1:7">
      <c r="A2" s="5" t="s">
        <v>1</v>
      </c>
      <c r="B2" s="4"/>
      <c r="C2" s="4"/>
      <c r="D2" s="4"/>
      <c r="E2" s="4"/>
      <c r="F2" s="4"/>
      <c r="G2" s="4"/>
    </row>
    <row r="3" ht="24.75" customHeight="1" spans="1:16384">
      <c r="A3" s="5" t="s">
        <v>2</v>
      </c>
      <c r="B3" s="5"/>
      <c r="C3" s="5"/>
      <c r="D3" s="5"/>
      <c r="E3" s="6" t="s">
        <v>3</v>
      </c>
      <c r="F3" s="6" t="s">
        <v>4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s="1" customFormat="1" ht="41.25" customHeight="1" spans="1:7">
      <c r="A4" s="7" t="s">
        <v>5</v>
      </c>
      <c r="B4" s="7" t="s">
        <v>6</v>
      </c>
      <c r="C4" s="8" t="s">
        <v>7</v>
      </c>
      <c r="D4" s="7" t="s">
        <v>8</v>
      </c>
      <c r="E4" s="9" t="s">
        <v>9</v>
      </c>
      <c r="F4" s="9" t="s">
        <v>10</v>
      </c>
      <c r="G4" s="9" t="s">
        <v>11</v>
      </c>
    </row>
    <row r="5" s="1" customFormat="1" ht="24.95" customHeight="1" spans="1:7">
      <c r="A5" s="10">
        <v>1</v>
      </c>
      <c r="B5" s="11" t="s">
        <v>34</v>
      </c>
      <c r="C5" s="12">
        <v>24406787</v>
      </c>
      <c r="D5" s="12">
        <v>110.964</v>
      </c>
      <c r="E5" s="11" t="s">
        <v>35</v>
      </c>
      <c r="F5" s="11">
        <v>536.197</v>
      </c>
      <c r="G5" s="11" t="s">
        <v>36</v>
      </c>
    </row>
    <row r="6" s="1" customFormat="1" ht="24.95" customHeight="1" spans="1:7">
      <c r="A6" s="10">
        <v>2</v>
      </c>
      <c r="B6" s="13"/>
      <c r="C6" s="12">
        <v>24406792</v>
      </c>
      <c r="D6" s="12">
        <v>110.524</v>
      </c>
      <c r="E6" s="13"/>
      <c r="F6" s="13"/>
      <c r="G6" s="13"/>
    </row>
    <row r="7" s="1" customFormat="1" ht="24.95" customHeight="1" spans="1:7">
      <c r="A7" s="10">
        <v>3</v>
      </c>
      <c r="B7" s="13"/>
      <c r="C7" s="12">
        <v>24606592</v>
      </c>
      <c r="D7" s="12">
        <v>110.19</v>
      </c>
      <c r="E7" s="13"/>
      <c r="F7" s="13"/>
      <c r="G7" s="13"/>
    </row>
    <row r="8" s="1" customFormat="1" ht="24.95" customHeight="1" spans="1:7">
      <c r="A8" s="10">
        <v>4</v>
      </c>
      <c r="B8" s="13"/>
      <c r="C8" s="12">
        <v>24606594</v>
      </c>
      <c r="D8" s="12">
        <v>110.364</v>
      </c>
      <c r="E8" s="13"/>
      <c r="F8" s="13"/>
      <c r="G8" s="13"/>
    </row>
    <row r="9" s="1" customFormat="1" ht="24.95" customHeight="1" spans="1:7">
      <c r="A9" s="10">
        <v>5</v>
      </c>
      <c r="B9" s="13"/>
      <c r="C9" s="12">
        <v>24606595</v>
      </c>
      <c r="D9" s="12">
        <v>94.155</v>
      </c>
      <c r="E9" s="13"/>
      <c r="F9" s="13"/>
      <c r="G9" s="13"/>
    </row>
    <row r="10" s="1" customFormat="1" ht="24.95" customHeight="1" spans="1:7">
      <c r="A10" s="10">
        <v>6</v>
      </c>
      <c r="B10" s="10"/>
      <c r="C10" s="10"/>
      <c r="D10" s="10"/>
      <c r="E10" s="10"/>
      <c r="F10" s="10"/>
      <c r="G10" s="10"/>
    </row>
    <row r="11" s="1" customFormat="1" ht="24.95" customHeight="1" spans="1:7">
      <c r="A11" s="10"/>
      <c r="B11" s="10" t="s">
        <v>16</v>
      </c>
      <c r="C11" s="10"/>
      <c r="D11" s="10">
        <f>SUM(D5:D10)</f>
        <v>536.197</v>
      </c>
      <c r="E11" s="10"/>
      <c r="F11" s="10"/>
      <c r="G11" s="10"/>
    </row>
    <row r="12" s="1" customFormat="1" ht="24.95" customHeight="1" spans="1:7">
      <c r="A12" s="10"/>
      <c r="B12" s="14"/>
      <c r="C12" s="10"/>
      <c r="D12" s="10"/>
      <c r="E12" s="14"/>
      <c r="F12" s="14"/>
      <c r="G12" s="10"/>
    </row>
  </sheetData>
  <mergeCells count="6">
    <mergeCell ref="A1:G1"/>
    <mergeCell ref="F3:G3"/>
    <mergeCell ref="B5:B9"/>
    <mergeCell ref="E5:E9"/>
    <mergeCell ref="F5:F9"/>
    <mergeCell ref="G5:G9"/>
  </mergeCells>
  <pageMargins left="0.75" right="0.75" top="1" bottom="1" header="0.5" footer="0.5"/>
  <pageSetup paperSize="9" scale="9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2021</vt:lpstr>
      <vt:lpstr>20</vt:lpstr>
      <vt:lpstr>Sheet1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2008-09-11T17:22:00Z</dcterms:created>
  <cp:lastPrinted>2022-10-09T02:25:00Z</cp:lastPrinted>
  <dcterms:modified xsi:type="dcterms:W3CDTF">2024-10-10T01:49:01Z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EE12B1DAB69A46E59ABAA9AA4B9516CF_12</vt:lpwstr>
  </property>
  <property fmtid="{D5CDD505-2E9C-101B-9397-08002B2CF9AE}" pid="3" name="KSOProductBuildVer">
    <vt:lpwstr>2052-12.1.0.18276</vt:lpwstr>
  </property>
</Properties>
</file>