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苏禹\鹰嘴螺栓20-100 20000件 11-7\"/>
    </mc:Choice>
  </mc:AlternateContent>
  <xr:revisionPtr revIDLastSave="0" documentId="13_ncr:1_{7F7C3ED9-C1DC-4559-966A-3383358CFD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O5" i="1" s="1"/>
  <c r="P4" i="1"/>
  <c r="P5" i="1"/>
  <c r="N5" i="1"/>
  <c r="I5" i="1"/>
  <c r="J7" i="1"/>
  <c r="N4" i="1"/>
  <c r="O4" i="1"/>
  <c r="I4" i="1"/>
  <c r="F4" i="1" s="1"/>
  <c r="O7" i="1" l="1"/>
  <c r="P7" i="1"/>
  <c r="N7" i="1"/>
  <c r="I6" i="1"/>
  <c r="F7" i="1" s="1"/>
</calcChain>
</file>

<file path=xl/sharedStrings.xml><?xml version="1.0" encoding="utf-8"?>
<sst xmlns="http://schemas.openxmlformats.org/spreadsheetml/2006/main" count="29" uniqueCount="27">
  <si>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</si>
  <si>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</si>
  <si>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</si>
  <si>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</si>
  <si>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</si>
  <si>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</si>
  <si>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</si>
  <si>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</si>
  <si>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</si>
  <si>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</si>
  <si>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</si>
  <si>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</si>
  <si>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</si>
  <si>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</si>
  <si>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</si>
  <si>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</si>
  <si>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</si>
  <si>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</si>
  <si>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</si>
  <si>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苏州苏德兰铁路配套有限公司</t>
  </si>
  <si>
    <t>SUYU20251122-01</t>
    <phoneticPr fontId="6" type="noConversion"/>
  </si>
  <si>
    <t>鹰嘴螺栓配螺母</t>
    <phoneticPr fontId="6" type="noConversion"/>
  </si>
  <si>
    <t>M20*100</t>
    <phoneticPr fontId="6" type="noConversion"/>
  </si>
  <si>
    <t>1200*800*570
0.55</t>
    <phoneticPr fontId="6" type="noConversion"/>
  </si>
  <si>
    <t>1200*800*600
0.58</t>
    <phoneticPr fontId="6" type="noConversion"/>
  </si>
  <si>
    <t>‘1-9</t>
    <phoneticPr fontId="6" type="noConversion"/>
  </si>
  <si>
    <t>’10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</si>
</sst>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[$-F800]dddd\,\ mmmm\ dd\,\ yyyy"/>
  </numFmts>
  <fonts count="8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8"/>
  <sheetViews>
    <sheetView tabSelected="1" topLeftCell="B2" zoomScale="115" zoomScaleNormal="115" workbookViewId="0">
      <selection activeCell="D10" sqref="D10:E10"/>
    </sheetView>
  </sheetViews>
  <sheetFormatPr defaultColWidth="9" defaultRowHeight="13.5" x14ac:dyDescent="0.15"/>
  <cols>
    <col min="1" max="1" width="4.625" customWidth="1"/>
    <col min="2" max="3" width="9.125" customWidth="1"/>
    <col min="4" max="4" width="12.625" customWidth="1"/>
    <col min="5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32.25" customHeight="1" x14ac:dyDescent="0.1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5" t="s">
        <v>11</v>
      </c>
      <c r="L3" s="5" t="s">
        <v>12</v>
      </c>
      <c r="M3" s="3" t="s">
        <v>13</v>
      </c>
      <c r="N3" s="5" t="s">
        <v>14</v>
      </c>
      <c r="O3" s="5" t="s">
        <v>15</v>
      </c>
      <c r="P3" s="5" t="s">
        <v>16</v>
      </c>
    </row>
    <row r="4" spans="1:16" ht="69.75" customHeight="1" x14ac:dyDescent="0.15">
      <c r="A4" s="4">
        <v>1</v>
      </c>
      <c r="B4" s="5" t="s">
        <v>21</v>
      </c>
      <c r="C4" s="5" t="s">
        <v>22</v>
      </c>
      <c r="D4" s="21" t="s">
        <v>20</v>
      </c>
      <c r="E4" s="6" t="s">
        <v>25</v>
      </c>
      <c r="F4" s="3">
        <f>I4*J4</f>
        <v>19440</v>
      </c>
      <c r="G4" s="3">
        <v>60</v>
      </c>
      <c r="H4" s="3">
        <v>36</v>
      </c>
      <c r="I4" s="3">
        <f>G4*H4</f>
        <v>2160</v>
      </c>
      <c r="J4" s="3">
        <v>9</v>
      </c>
      <c r="K4" s="3">
        <v>761</v>
      </c>
      <c r="L4" s="3">
        <v>788</v>
      </c>
      <c r="M4" s="27" t="s">
        <v>23</v>
      </c>
      <c r="N4" s="3">
        <f>K4*J4</f>
        <v>6849</v>
      </c>
      <c r="O4" s="3">
        <f>L4*J4</f>
        <v>7092</v>
      </c>
      <c r="P4" s="11">
        <f>0.55*J4</f>
        <v>4.95</v>
      </c>
    </row>
    <row r="5" spans="1:16" ht="32.25" customHeight="1" x14ac:dyDescent="0.15">
      <c r="A5" s="19">
        <v>2</v>
      </c>
      <c r="B5" s="21" t="s">
        <v>21</v>
      </c>
      <c r="C5" s="21" t="s">
        <v>22</v>
      </c>
      <c r="D5" s="23"/>
      <c r="E5" s="29" t="s">
        <v>26</v>
      </c>
      <c r="F5" s="19">
        <v>2420</v>
      </c>
      <c r="G5" s="3">
        <v>60</v>
      </c>
      <c r="H5" s="3">
        <v>40</v>
      </c>
      <c r="I5" s="3">
        <f>G5*H5</f>
        <v>2400</v>
      </c>
      <c r="J5" s="19">
        <v>1</v>
      </c>
      <c r="K5" s="19">
        <v>852</v>
      </c>
      <c r="L5" s="19">
        <f>K5+28</f>
        <v>880</v>
      </c>
      <c r="M5" s="28" t="s">
        <v>24</v>
      </c>
      <c r="N5" s="19">
        <f>K5*J5</f>
        <v>852</v>
      </c>
      <c r="O5" s="19">
        <f>L5*J5</f>
        <v>880</v>
      </c>
      <c r="P5" s="25">
        <f>0.5*J5</f>
        <v>0.5</v>
      </c>
    </row>
    <row r="6" spans="1:16" ht="32.25" customHeight="1" x14ac:dyDescent="0.15">
      <c r="A6" s="20"/>
      <c r="B6" s="22"/>
      <c r="C6" s="22"/>
      <c r="D6" s="22"/>
      <c r="E6" s="30"/>
      <c r="F6" s="20"/>
      <c r="G6" s="3">
        <v>20</v>
      </c>
      <c r="H6" s="3">
        <v>1</v>
      </c>
      <c r="I6" s="3">
        <f>G6*H6</f>
        <v>20</v>
      </c>
      <c r="J6" s="20"/>
      <c r="K6" s="20"/>
      <c r="L6" s="20"/>
      <c r="M6" s="24"/>
      <c r="N6" s="20"/>
      <c r="O6" s="20"/>
      <c r="P6" s="26"/>
    </row>
    <row r="7" spans="1:16" ht="36" customHeight="1" x14ac:dyDescent="0.15">
      <c r="A7" s="13" t="s">
        <v>17</v>
      </c>
      <c r="B7" s="14"/>
      <c r="C7" s="15"/>
      <c r="D7" s="3"/>
      <c r="E7" s="6"/>
      <c r="F7" s="3">
        <f>SUM(F4:F6)</f>
        <v>21860</v>
      </c>
      <c r="G7" s="3"/>
      <c r="H7" s="3"/>
      <c r="I7" s="3"/>
      <c r="J7" s="3">
        <f>SUM(J4:J6)</f>
        <v>10</v>
      </c>
      <c r="K7" s="3"/>
      <c r="L7" s="3"/>
      <c r="M7" s="3"/>
      <c r="N7" s="3">
        <f t="shared" ref="N7:P7" si="0">SUM(N4:N6)</f>
        <v>7701</v>
      </c>
      <c r="O7" s="3">
        <f t="shared" si="0"/>
        <v>7972</v>
      </c>
      <c r="P7" s="18">
        <f t="shared" si="0"/>
        <v>5.45</v>
      </c>
    </row>
    <row r="8" spans="1:16" ht="21" customHeight="1" x14ac:dyDescent="0.1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21" customHeight="1" x14ac:dyDescent="0.15">
      <c r="A9" s="7"/>
      <c r="B9" s="7" t="s">
        <v>18</v>
      </c>
      <c r="C9" s="8"/>
      <c r="D9" s="9"/>
      <c r="E9" s="9"/>
      <c r="F9" s="9"/>
      <c r="G9" s="9"/>
      <c r="H9" s="9"/>
      <c r="I9" s="9"/>
      <c r="J9" s="9"/>
      <c r="K9" s="9"/>
      <c r="L9" s="9"/>
      <c r="M9" s="7"/>
      <c r="N9" s="7"/>
      <c r="O9" s="7"/>
      <c r="P9" s="7"/>
    </row>
    <row r="10" spans="1:16" ht="14.25" x14ac:dyDescent="0.15">
      <c r="A10" s="7"/>
      <c r="B10" s="7"/>
      <c r="C10" s="8"/>
      <c r="D10" s="9"/>
      <c r="E10" s="9"/>
      <c r="F10" s="9"/>
      <c r="G10" s="9"/>
      <c r="H10" s="9"/>
      <c r="I10" s="9"/>
      <c r="J10" s="9"/>
      <c r="K10" s="9"/>
      <c r="L10" s="9"/>
      <c r="M10" s="16" t="s">
        <v>19</v>
      </c>
      <c r="N10" s="16"/>
      <c r="O10" s="16"/>
      <c r="P10" s="16"/>
    </row>
    <row r="11" spans="1:16" ht="14.25" x14ac:dyDescent="0.15">
      <c r="A11" s="7"/>
      <c r="B11" s="7"/>
      <c r="C11" s="8"/>
      <c r="D11" s="9"/>
      <c r="E11" s="9"/>
      <c r="F11" s="9"/>
      <c r="G11" s="9"/>
      <c r="H11" s="9"/>
      <c r="I11" s="9"/>
      <c r="J11" s="9"/>
      <c r="K11" s="9"/>
      <c r="L11" s="9"/>
      <c r="M11" s="17">
        <v>46050</v>
      </c>
      <c r="N11" s="17"/>
      <c r="O11" s="17"/>
      <c r="P11" s="17"/>
    </row>
    <row r="12" spans="1:16" x14ac:dyDescent="0.15">
      <c r="A12" s="10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10"/>
      <c r="N12" s="10"/>
      <c r="O12" s="10"/>
      <c r="P12" s="10"/>
    </row>
    <row r="13" spans="1:16" x14ac:dyDescent="0.1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x14ac:dyDescent="0.1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x14ac:dyDescent="0.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x14ac:dyDescent="0.1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x14ac:dyDescent="0.1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x14ac:dyDescent="0.1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</sheetData>
  <mergeCells count="17">
    <mergeCell ref="E5:E6"/>
    <mergeCell ref="A1:P1"/>
    <mergeCell ref="A7:C7"/>
    <mergeCell ref="M10:P10"/>
    <mergeCell ref="M11:P11"/>
    <mergeCell ref="A5:A6"/>
    <mergeCell ref="B5:B6"/>
    <mergeCell ref="C5:C6"/>
    <mergeCell ref="D4:D6"/>
    <mergeCell ref="J5:J6"/>
    <mergeCell ref="K5:K6"/>
    <mergeCell ref="L5:L6"/>
    <mergeCell ref="M5:M6"/>
    <mergeCell ref="N5:N6"/>
    <mergeCell ref="O5:O6"/>
    <mergeCell ref="P5:P6"/>
    <mergeCell ref="F5:F6"/>
  </mergeCells>
  <phoneticPr fontId="6" type="noConversion"/>
  <pageMargins left="0.7" right="0.7" top="0.75" bottom="0.75" header="0.3" footer="0.3"/>
  <pageSetup paperSize="9" scale="92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2026-01-28T08:06:48Z</cp:lastPrinted>
  <dcterms:created xsi:type="dcterms:W3CDTF">2006-09-13T11:21:00Z</dcterms:created>
  <dcterms:modified xsi:type="dcterms:W3CDTF">2026-01-28T08:06:54Z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E71B17BA7F7B4B2084E8074904EA6012_13</vt:lpwstr>
  </property>
  <property fmtid="{D5CDD505-2E9C-101B-9397-08002B2CF9AE}" pid="3" name="KSOProductBuildVer">
    <vt:lpwstr>2052-12.1.0.16417</vt:lpwstr>
  </property>
</Properties>
</file>