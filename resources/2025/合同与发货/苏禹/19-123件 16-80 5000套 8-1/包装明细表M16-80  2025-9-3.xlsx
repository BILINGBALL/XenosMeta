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苏禹\19-123件 16-80 5000套 8-1\"/>
    </mc:Choice>
  </mc:AlternateContent>
  <xr:revisionPtr revIDLastSave="0" documentId="13_ncr:1_{682E510A-572F-4995-B068-56B4210EEF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J5" i="1" l="1"/>
  <c r="P5" i="1"/>
  <c r="N4" i="1"/>
  <c r="N5" i="1" s="1"/>
  <c r="L4" i="1"/>
  <c r="O4" i="1" s="1"/>
  <c r="O5" i="1" s="1"/>
  <c r="I4" i="1"/>
  <c r="F4" i="1" s="1"/>
  <c r="F5" i="1" s="1"/>
</calcChain>
</file>

<file path=xl/sharedStrings.xml><?xml version="1.0" encoding="utf-8"?>
<sst xmlns="http://schemas.openxmlformats.org/spreadsheetml/2006/main" count="25" uniqueCount="25">
  <si>
    <t>包  装  明  细  表</t>
  </si>
  <si>
    <t>项号</t>
  </si>
  <si>
    <t>产品名称</t>
  </si>
  <si>
    <t>型号及规格</t>
  </si>
  <si>
    <t>合同号</t>
  </si>
  <si>
    <t>托号</t>
  </si>
  <si>
    <t>数量</t>
  </si>
  <si>
    <t>套/袋</t>
  </si>
  <si>
    <t>袋/托</t>
  </si>
  <si>
    <t>套/托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</si>
  <si>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</si>
  <si>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</si>
  <si>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</si>
  <si>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</si>
  <si>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</si>
  <si>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</si>
  <si>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</si>
  <si>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合计</t>
  </si>
  <si>
    <t>唛头：</t>
  </si>
  <si>
    <t>套单重</t>
  </si>
  <si>
    <t>苏州苏德兰铁路配套有限公司</t>
  </si>
  <si>
    <t>SUYU20250731</t>
    <phoneticPr fontId="6" type="noConversion"/>
  </si>
  <si>
    <t>M16*80</t>
    <phoneticPr fontId="6" type="noConversion"/>
  </si>
  <si>
    <t>螺栓配螺母</t>
    <phoneticPr fontId="6" type="noConversion"/>
  </si>
  <si>
    <t>950*950*550
0.5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</si>
</sst>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[$-F800]dddd\,\ mmmm\ dd\,\ yyyy"/>
  </numFmts>
  <fonts count="9" x14ac:knownFonts="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6"/>
  <sheetViews>
    <sheetView tabSelected="1" zoomScale="115" zoomScaleNormal="115" workbookViewId="0">
      <selection activeCell="D10" sqref="D10"/>
    </sheetView>
  </sheetViews>
  <sheetFormatPr defaultColWidth="9" defaultRowHeight="13.5" x14ac:dyDescent="0.15"/>
  <cols>
    <col min="1" max="1" width="4.625" customWidth="1"/>
    <col min="2" max="3" width="9.125" customWidth="1"/>
    <col min="4" max="4" width="12.625" customWidth="1"/>
    <col min="5" max="5" width="12.125" customWidth="1"/>
    <col min="6" max="7" width="8.875" customWidth="1"/>
    <col min="8" max="9" width="10.375" customWidth="1"/>
    <col min="10" max="10" width="5.5" customWidth="1"/>
    <col min="11" max="11" width="8.125" customWidth="1"/>
    <col min="12" max="12" width="8.5" customWidth="1"/>
    <col min="13" max="13" width="10.25" customWidth="1"/>
    <col min="14" max="16" width="10" customWidth="1"/>
  </cols>
  <sheetData>
    <row r="1" spans="1:16" ht="65.25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32.25" customHeight="1" x14ac:dyDescent="0.1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0" customHeight="1" x14ac:dyDescent="0.1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5" t="s">
        <v>11</v>
      </c>
      <c r="L3" s="5" t="s">
        <v>12</v>
      </c>
      <c r="M3" s="3" t="s">
        <v>13</v>
      </c>
      <c r="N3" s="5" t="s">
        <v>14</v>
      </c>
      <c r="O3" s="5" t="s">
        <v>15</v>
      </c>
      <c r="P3" s="5" t="s">
        <v>16</v>
      </c>
    </row>
    <row r="4" spans="1:16" ht="69.75" customHeight="1" x14ac:dyDescent="0.15">
      <c r="A4" s="4">
        <v>1</v>
      </c>
      <c r="B4" s="19" t="s">
        <v>23</v>
      </c>
      <c r="C4" s="19" t="s">
        <v>22</v>
      </c>
      <c r="D4" s="12" t="s">
        <v>21</v>
      </c>
      <c r="E4" s="6"/>
      <c r="F4" s="3">
        <f>I4*J4</f>
        <v>4800</v>
      </c>
      <c r="G4" s="3">
        <v>50</v>
      </c>
      <c r="H4" s="3">
        <v>48</v>
      </c>
      <c r="I4" s="3">
        <f>G4*H4</f>
        <v>2400</v>
      </c>
      <c r="J4" s="3">
        <v>2</v>
      </c>
      <c r="K4" s="3">
        <v>564</v>
      </c>
      <c r="L4" s="3">
        <f>K4+20</f>
        <v>584</v>
      </c>
      <c r="M4" s="20" t="s">
        <v>24</v>
      </c>
      <c r="N4" s="3">
        <f>K4*J4</f>
        <v>1128</v>
      </c>
      <c r="O4" s="3">
        <f>L4*J4</f>
        <v>1168</v>
      </c>
      <c r="P4" s="11">
        <f>0.5*J4</f>
        <v>1</v>
      </c>
    </row>
    <row r="5" spans="1:16" ht="36" customHeight="1" x14ac:dyDescent="0.15">
      <c r="A5" s="14" t="s">
        <v>17</v>
      </c>
      <c r="B5" s="15"/>
      <c r="C5" s="16"/>
      <c r="D5" s="3"/>
      <c r="E5" s="6"/>
      <c r="F5" s="3">
        <f>SUM(F4:F4)</f>
        <v>4800</v>
      </c>
      <c r="G5" s="3"/>
      <c r="H5" s="3"/>
      <c r="I5" s="3"/>
      <c r="J5" s="3">
        <f>SUM(J4:J4)</f>
        <v>2</v>
      </c>
      <c r="K5" s="3"/>
      <c r="L5" s="3"/>
      <c r="M5" s="3"/>
      <c r="N5" s="3">
        <f>SUM(N4:N4)</f>
        <v>1128</v>
      </c>
      <c r="O5" s="3">
        <f>SUM(O4:O4)</f>
        <v>1168</v>
      </c>
      <c r="P5" s="11">
        <f>SUM(P4:P4)</f>
        <v>1</v>
      </c>
    </row>
    <row r="6" spans="1:16" ht="21" customHeight="1" x14ac:dyDescent="0.1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21" customHeight="1" x14ac:dyDescent="0.15">
      <c r="A7" s="7"/>
      <c r="B7" s="7" t="s">
        <v>18</v>
      </c>
      <c r="C7" s="8"/>
      <c r="D7" s="9"/>
      <c r="E7" s="9"/>
      <c r="F7" s="9"/>
      <c r="G7" s="9"/>
      <c r="H7" s="9"/>
      <c r="I7" s="9"/>
      <c r="J7" s="9"/>
      <c r="K7" s="9"/>
      <c r="L7" s="9"/>
      <c r="M7" s="7"/>
      <c r="N7" s="7"/>
      <c r="O7" s="7"/>
      <c r="P7" s="7"/>
    </row>
    <row r="8" spans="1:16" ht="14.25" x14ac:dyDescent="0.15">
      <c r="A8" s="7"/>
      <c r="B8" s="7"/>
      <c r="C8" s="8"/>
      <c r="D8" s="9" t="s">
        <v>19</v>
      </c>
      <c r="E8" s="9">
        <v>0.23499999999999999</v>
      </c>
      <c r="F8" s="9"/>
      <c r="G8" s="9"/>
      <c r="H8" s="9"/>
      <c r="I8" s="9"/>
      <c r="J8" s="9"/>
      <c r="K8" s="9"/>
      <c r="L8" s="9"/>
      <c r="M8" s="17" t="s">
        <v>20</v>
      </c>
      <c r="N8" s="17"/>
      <c r="O8" s="17"/>
      <c r="P8" s="17"/>
    </row>
    <row r="9" spans="1:16" ht="14.25" x14ac:dyDescent="0.15">
      <c r="A9" s="7"/>
      <c r="B9" s="7"/>
      <c r="C9" s="8"/>
      <c r="D9" s="9"/>
      <c r="E9" s="9"/>
      <c r="F9" s="9"/>
      <c r="G9" s="9"/>
      <c r="H9" s="9"/>
      <c r="I9" s="9"/>
      <c r="J9" s="9"/>
      <c r="K9" s="9"/>
      <c r="L9" s="9"/>
      <c r="M9" s="18">
        <v>45903</v>
      </c>
      <c r="N9" s="18"/>
      <c r="O9" s="18"/>
      <c r="P9" s="18"/>
    </row>
    <row r="10" spans="1:16" x14ac:dyDescent="0.15">
      <c r="A10" s="10"/>
      <c r="B10" s="10"/>
      <c r="C10" s="9"/>
      <c r="D10" s="9"/>
      <c r="E10" s="9"/>
      <c r="F10" s="9"/>
      <c r="G10" s="9"/>
      <c r="H10" s="9"/>
      <c r="I10" s="9"/>
      <c r="J10" s="9"/>
      <c r="K10" s="9"/>
      <c r="L10" s="9"/>
      <c r="M10" s="10"/>
      <c r="N10" s="10"/>
      <c r="O10" s="10"/>
      <c r="P10" s="10"/>
    </row>
    <row r="11" spans="1:16" x14ac:dyDescent="0.1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x14ac:dyDescent="0.1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x14ac:dyDescent="0.1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 x14ac:dyDescent="0.1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x14ac:dyDescent="0.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x14ac:dyDescent="0.1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</sheetData>
  <mergeCells count="4">
    <mergeCell ref="A1:P1"/>
    <mergeCell ref="A5:C5"/>
    <mergeCell ref="M8:P8"/>
    <mergeCell ref="M9:P9"/>
  </mergeCells>
  <phoneticPr fontId="6" type="noConversion"/>
  <pageMargins left="0.7" right="0.7" top="0.75" bottom="0.75" header="0.3" footer="0.3"/>
  <pageSetup paperSize="9" scale="90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2025-09-03T08:14:06Z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E71B17BA7F7B4B2084E8074904EA6012_13</vt:lpwstr>
  </property>
  <property fmtid="{D5CDD505-2E9C-101B-9397-08002B2CF9AE}" pid="3" name="KSOProductBuildVer">
    <vt:lpwstr>2052-12.1.0.16417</vt:lpwstr>
  </property>
</Properties>
</file>