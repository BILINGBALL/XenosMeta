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弹簧板+螺栓186  各224000套 1-2\"/>
    </mc:Choice>
  </mc:AlternateContent>
  <xr:revisionPtr revIDLastSave="0" documentId="8_{95A8391C-02FA-4E61-8FB6-98C6BE8E2A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J5" i="1"/>
  <c r="F5" i="1"/>
  <c r="P4" i="1"/>
  <c r="O4" i="1"/>
  <c r="N4" i="1"/>
  <c r="L4" i="1"/>
  <c r="I4" i="1"/>
  <c r="F4" i="1"/>
</calcChain>
</file>

<file path=xl/sharedStrings.xml><?xml version="1.0" encoding="utf-8"?>
<sst xmlns="http://schemas.openxmlformats.org/spreadsheetml/2006/main" count="26" uniqueCount="26">
  <si>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</si>
  <si>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</si>
  <si>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</si>
  <si>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</si>
  <si>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</si>
  <si>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</si>
  <si>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</si>
  <si>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</si>
  <si>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</si>
  <si>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</si>
  <si>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</si>
  <si>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</si>
  <si>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</si>
  <si>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</si>
  <si>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</si>
  <si>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</si>
  <si>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</si>
  <si>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T型螺栓
配螺母平垫</t>
  </si>
  <si>
    <t>7/8"*186</t>
  </si>
  <si>
    <t>01-80</t>
  </si>
  <si>
    <t>950*950*750
0.68</t>
  </si>
  <si>
    <t>合计</t>
  </si>
  <si>
    <t>唛头：</t>
  </si>
  <si>
    <t>套单重</t>
  </si>
  <si>
    <t>苏州苏德兰铁路配套有限公司</t>
  </si>
  <si>
    <t>SUYU20250118-01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</si>
</sst>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topLeftCell="A2" zoomScale="115" zoomScaleNormal="115" workbookViewId="0">
      <selection activeCell="M10" sqref="M10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12</v>
      </c>
      <c r="M3" s="3" t="s">
        <v>13</v>
      </c>
      <c r="N3" s="6" t="s">
        <v>14</v>
      </c>
      <c r="O3" s="6" t="s">
        <v>15</v>
      </c>
      <c r="P3" s="6" t="s">
        <v>16</v>
      </c>
    </row>
    <row r="4" spans="1:16" ht="69.75" customHeight="1" x14ac:dyDescent="0.15">
      <c r="A4" s="4">
        <v>1</v>
      </c>
      <c r="B4" s="5" t="s">
        <v>17</v>
      </c>
      <c r="C4" s="6" t="s">
        <v>18</v>
      </c>
      <c r="D4" s="20" t="s">
        <v>25</v>
      </c>
      <c r="E4" s="7" t="s">
        <v>19</v>
      </c>
      <c r="F4" s="3">
        <f>I4*J4</f>
        <v>112000</v>
      </c>
      <c r="G4" s="3">
        <v>35</v>
      </c>
      <c r="H4" s="3">
        <v>40</v>
      </c>
      <c r="I4" s="3">
        <f>G4*H4</f>
        <v>1400</v>
      </c>
      <c r="J4" s="3">
        <v>80</v>
      </c>
      <c r="K4" s="3">
        <v>1005</v>
      </c>
      <c r="L4" s="3">
        <f>K4+20</f>
        <v>1025</v>
      </c>
      <c r="M4" s="12" t="s">
        <v>20</v>
      </c>
      <c r="N4" s="3">
        <f>K4*J4</f>
        <v>80400</v>
      </c>
      <c r="O4" s="3">
        <f>L4*J4</f>
        <v>82000</v>
      </c>
      <c r="P4" s="13">
        <f>0.68*J4</f>
        <v>54.4</v>
      </c>
    </row>
    <row r="5" spans="1:16" ht="36" customHeight="1" x14ac:dyDescent="0.15">
      <c r="A5" s="15" t="s">
        <v>21</v>
      </c>
      <c r="B5" s="16"/>
      <c r="C5" s="17"/>
      <c r="D5" s="3"/>
      <c r="E5" s="7"/>
      <c r="F5" s="3">
        <f>SUM(F4:F4)</f>
        <v>112000</v>
      </c>
      <c r="G5" s="3"/>
      <c r="H5" s="3"/>
      <c r="I5" s="3"/>
      <c r="J5" s="3">
        <f>SUM(J4:J4)</f>
        <v>80</v>
      </c>
      <c r="K5" s="3"/>
      <c r="L5" s="3"/>
      <c r="M5" s="3"/>
      <c r="N5" s="3">
        <f>SUM(N4:N4)</f>
        <v>80400</v>
      </c>
      <c r="O5" s="3">
        <f>SUM(O4:O4)</f>
        <v>82000</v>
      </c>
      <c r="P5" s="13">
        <f>SUM(P4:P4)</f>
        <v>54.4</v>
      </c>
    </row>
    <row r="6" spans="1:16" ht="21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1" customHeight="1" x14ac:dyDescent="0.15">
      <c r="A7" s="8"/>
      <c r="B7" s="8" t="s">
        <v>22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</row>
    <row r="8" spans="1:16" ht="14.25" x14ac:dyDescent="0.15">
      <c r="A8" s="8"/>
      <c r="B8" s="8"/>
      <c r="C8" s="9"/>
      <c r="D8" s="10" t="s">
        <v>23</v>
      </c>
      <c r="E8" s="10">
        <v>0.71799999999999997</v>
      </c>
      <c r="F8" s="10"/>
      <c r="G8" s="10"/>
      <c r="H8" s="10"/>
      <c r="I8" s="10"/>
      <c r="J8" s="10"/>
      <c r="K8" s="10"/>
      <c r="L8" s="10"/>
      <c r="M8" s="18" t="s">
        <v>24</v>
      </c>
      <c r="N8" s="18"/>
      <c r="O8" s="18"/>
      <c r="P8" s="18"/>
    </row>
    <row r="9" spans="1:16" ht="14.25" x14ac:dyDescent="0.15">
      <c r="A9" s="8"/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19">
        <v>45719</v>
      </c>
      <c r="N9" s="19"/>
      <c r="O9" s="19"/>
      <c r="P9" s="19"/>
    </row>
    <row r="10" spans="1:16" x14ac:dyDescent="0.1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</row>
    <row r="11" spans="1:16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</sheetData>
  <mergeCells count="4">
    <mergeCell ref="A1:P1"/>
    <mergeCell ref="A5:C5"/>
    <mergeCell ref="M8:P8"/>
    <mergeCell ref="M9:P9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2025-03-03T02:33:20Z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E71B17BA7F7B4B2084E8074904EA6012_13</vt:lpwstr>
  </property>
  <property fmtid="{D5CDD505-2E9C-101B-9397-08002B2CF9AE}" pid="3" name="KSOProductBuildVer">
    <vt:lpwstr>2052-12.1.0.16417</vt:lpwstr>
  </property>
</Properties>
</file>