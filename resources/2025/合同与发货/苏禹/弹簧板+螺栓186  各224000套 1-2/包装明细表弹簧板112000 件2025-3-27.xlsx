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H:\文件汇总\2025\合同与发货\苏禹\弹簧板+螺栓186  各224000套 1-2\"/>
    </mc:Choice>
  </mc:AlternateContent>
  <xr:revisionPtr revIDLastSave="0" documentId="8_{616540A9-C2F8-483D-AE6E-F96143DEE68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1" l="1"/>
  <c r="O5" i="1"/>
  <c r="N5" i="1"/>
  <c r="J5" i="1"/>
  <c r="F5" i="1"/>
  <c r="P4" i="1"/>
  <c r="O4" i="1"/>
  <c r="N4" i="1"/>
  <c r="L4" i="1"/>
  <c r="I4" i="1"/>
</calcChain>
</file>

<file path=xl/sharedStrings.xml><?xml version="1.0" encoding="utf-8"?>
<sst xmlns="http://schemas.openxmlformats.org/spreadsheetml/2006/main" count="26" uniqueCount="26">
  <si>
    <t>包  装  明  细  表</t>
  </si>
  <si>
    <t>项号</t>
  </si>
  <si>
    <t>产品名称</t>
  </si>
  <si>
    <t>型号及规格</t>
  </si>
  <si>
    <t>合同号</t>
  </si>
  <si>
    <t>托号</t>
  </si>
  <si>
    <t>数量</t>
  </si>
  <si>
    <t>件/袋</t>
  </si>
  <si>
    <t>袋/托</t>
  </si>
  <si>
    <t>件/托</t>
  </si>
  <si>
    <t>托</t>
  </si>
  <si>
    <t>净重/托
（KG）</t>
  </si>
  <si>
    <t>毛重/托
（KG）</t>
  </si>
  <si>
    <t>体积/托 m³</t>
  </si>
  <si>
    <t>总净重
（KG）</t>
  </si>
  <si>
    <t>总毛重
(KG）</t>
  </si>
  <si>
    <t>总体积
立方米</t>
  </si>
  <si>
    <t>弹簧板</t>
  </si>
  <si>
    <t>GN130x102</t>
  </si>
  <si>
    <t>01-56</t>
  </si>
  <si>
    <t>1230*820*300    0.3</t>
  </si>
  <si>
    <t>合计</t>
  </si>
  <si>
    <t>唛头：</t>
  </si>
  <si>
    <t>套单重</t>
  </si>
  <si>
    <t>苏州苏德兰铁路配件有限公司</t>
  </si>
  <si>
    <t>SUYU20250118-01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</si>
</sst>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F800]dddd\,\ mmmm\ dd\,\ yyyy"/>
    <numFmt numFmtId="177" formatCode="0.00_ "/>
  </numFmts>
  <fonts count="8" x14ac:knownFonts="1">
    <font>
      <sz val="11"/>
      <color theme="1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8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 wrapText="1"/>
    </xf>
    <xf numFmtId="177" fontId="2" fillId="0" borderId="2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6"/>
  <sheetViews>
    <sheetView tabSelected="1" topLeftCell="A2" zoomScale="115" zoomScaleNormal="115" workbookViewId="0">
      <selection activeCell="K9" sqref="K9"/>
    </sheetView>
  </sheetViews>
  <sheetFormatPr defaultColWidth="9" defaultRowHeight="13.5" x14ac:dyDescent="0.15"/>
  <cols>
    <col min="1" max="1" width="4.625" customWidth="1"/>
    <col min="2" max="3" width="9.125" customWidth="1"/>
    <col min="4" max="4" width="17.25" customWidth="1"/>
    <col min="5" max="5" width="12.125" customWidth="1"/>
    <col min="6" max="7" width="8.875" customWidth="1"/>
    <col min="8" max="9" width="10.375" customWidth="1"/>
    <col min="10" max="10" width="5.5" customWidth="1"/>
    <col min="11" max="11" width="8.125" customWidth="1"/>
    <col min="12" max="12" width="8.5" customWidth="1"/>
    <col min="13" max="13" width="10.25" customWidth="1"/>
    <col min="14" max="16" width="10" customWidth="1"/>
  </cols>
  <sheetData>
    <row r="1" spans="1:16" ht="65.25" customHeight="1" x14ac:dyDescent="0.1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32.25" customHeight="1" x14ac:dyDescent="0.1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30" customHeight="1" x14ac:dyDescent="0.1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6" t="s">
        <v>11</v>
      </c>
      <c r="L3" s="6" t="s">
        <v>12</v>
      </c>
      <c r="M3" s="3" t="s">
        <v>13</v>
      </c>
      <c r="N3" s="6" t="s">
        <v>14</v>
      </c>
      <c r="O3" s="6" t="s">
        <v>15</v>
      </c>
      <c r="P3" s="6" t="s">
        <v>16</v>
      </c>
    </row>
    <row r="4" spans="1:16" ht="69.75" customHeight="1" x14ac:dyDescent="0.15">
      <c r="A4" s="4">
        <v>1</v>
      </c>
      <c r="B4" s="5" t="s">
        <v>17</v>
      </c>
      <c r="C4" s="6" t="s">
        <v>18</v>
      </c>
      <c r="D4" s="7" t="s">
        <v>25</v>
      </c>
      <c r="E4" s="8" t="s">
        <v>19</v>
      </c>
      <c r="F4" s="3">
        <v>112000</v>
      </c>
      <c r="G4" s="3">
        <v>50</v>
      </c>
      <c r="H4" s="3">
        <v>40</v>
      </c>
      <c r="I4" s="3">
        <f>G4*H4</f>
        <v>2000</v>
      </c>
      <c r="J4" s="3">
        <v>56</v>
      </c>
      <c r="K4" s="3">
        <v>968</v>
      </c>
      <c r="L4" s="3">
        <f>K4+20</f>
        <v>988</v>
      </c>
      <c r="M4" s="13" t="s">
        <v>20</v>
      </c>
      <c r="N4" s="3">
        <f>K4*J4</f>
        <v>54208</v>
      </c>
      <c r="O4" s="3">
        <f>L4*J4</f>
        <v>55328</v>
      </c>
      <c r="P4" s="14">
        <f>0.3*J4</f>
        <v>16.8</v>
      </c>
    </row>
    <row r="5" spans="1:16" ht="36" customHeight="1" x14ac:dyDescent="0.15">
      <c r="A5" s="16" t="s">
        <v>21</v>
      </c>
      <c r="B5" s="17"/>
      <c r="C5" s="18"/>
      <c r="D5" s="3"/>
      <c r="E5" s="8"/>
      <c r="F5" s="3">
        <f>SUM(F4:F4)</f>
        <v>112000</v>
      </c>
      <c r="G5" s="3"/>
      <c r="H5" s="3"/>
      <c r="I5" s="3"/>
      <c r="J5" s="3">
        <f>SUM(J4:J4)</f>
        <v>56</v>
      </c>
      <c r="K5" s="3"/>
      <c r="L5" s="3"/>
      <c r="M5" s="3"/>
      <c r="N5" s="3">
        <f>SUM(N4:N4)</f>
        <v>54208</v>
      </c>
      <c r="O5" s="3">
        <f>SUM(O4:O4)</f>
        <v>55328</v>
      </c>
      <c r="P5" s="14">
        <f>SUM(P4:P4)</f>
        <v>16.8</v>
      </c>
    </row>
    <row r="6" spans="1:16" ht="21" customHeight="1" x14ac:dyDescent="0.1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16" ht="21" customHeight="1" x14ac:dyDescent="0.15">
      <c r="A7" s="9"/>
      <c r="B7" s="9" t="s">
        <v>22</v>
      </c>
      <c r="C7" s="10"/>
      <c r="D7" s="11"/>
      <c r="E7" s="11"/>
      <c r="F7" s="11"/>
      <c r="G7" s="11"/>
      <c r="H7" s="11"/>
      <c r="I7" s="11"/>
      <c r="J7" s="11"/>
      <c r="K7" s="11"/>
      <c r="L7" s="11"/>
      <c r="M7" s="9"/>
      <c r="N7" s="9"/>
      <c r="O7" s="9"/>
      <c r="P7" s="9"/>
    </row>
    <row r="8" spans="1:16" ht="14.25" x14ac:dyDescent="0.15">
      <c r="A8" s="9"/>
      <c r="B8" s="9"/>
      <c r="C8" s="10">
        <v>0.71499999999999997</v>
      </c>
      <c r="D8" s="11" t="s">
        <v>23</v>
      </c>
      <c r="E8" s="11"/>
      <c r="F8" s="11"/>
      <c r="G8" s="11"/>
      <c r="H8" s="11"/>
      <c r="I8" s="11"/>
      <c r="J8" s="11"/>
      <c r="K8" s="11"/>
      <c r="L8" s="11"/>
      <c r="M8" s="19" t="s">
        <v>24</v>
      </c>
      <c r="N8" s="19"/>
      <c r="O8" s="19"/>
      <c r="P8" s="19"/>
    </row>
    <row r="9" spans="1:16" ht="14.25" x14ac:dyDescent="0.15">
      <c r="A9" s="9"/>
      <c r="B9" s="9"/>
      <c r="C9" s="10"/>
      <c r="D9" s="11"/>
      <c r="E9" s="11"/>
      <c r="F9" s="11"/>
      <c r="G9" s="11"/>
      <c r="H9" s="11"/>
      <c r="I9" s="11"/>
      <c r="J9" s="11"/>
      <c r="K9" s="11"/>
      <c r="L9" s="11"/>
      <c r="M9" s="20">
        <v>45743</v>
      </c>
      <c r="N9" s="20"/>
      <c r="O9" s="20"/>
      <c r="P9" s="20"/>
    </row>
    <row r="10" spans="1:16" x14ac:dyDescent="0.15">
      <c r="A10" s="12"/>
      <c r="B10" s="12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2"/>
      <c r="N10" s="12"/>
      <c r="O10" s="12"/>
      <c r="P10" s="12"/>
    </row>
    <row r="11" spans="1:16" x14ac:dyDescent="0.1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1:16" x14ac:dyDescent="0.1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1:16" x14ac:dyDescent="0.1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</row>
    <row r="14" spans="1:16" x14ac:dyDescent="0.1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</row>
    <row r="15" spans="1:16" x14ac:dyDescent="0.1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</row>
    <row r="16" spans="1:16" x14ac:dyDescent="0.1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</row>
  </sheetData>
  <mergeCells count="4">
    <mergeCell ref="A1:P1"/>
    <mergeCell ref="A5:C5"/>
    <mergeCell ref="M8:P8"/>
    <mergeCell ref="M9:P9"/>
  </mergeCells>
  <phoneticPr fontId="7" type="noConversion"/>
  <pageMargins left="0.7" right="0.7" top="0.75" bottom="0.75" header="0.3" footer="0.3"/>
  <pageSetup paperSize="9" scale="90" orientation="landscape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2025-03-27T07:24:58Z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C68BCE104E74435697A5769007A14264_13</vt:lpwstr>
  </property>
  <property fmtid="{D5CDD505-2E9C-101B-9397-08002B2CF9AE}" pid="3" name="KSOProductBuildVer">
    <vt:lpwstr>2052-12.1.0.16417</vt:lpwstr>
  </property>
</Properties>
</file>