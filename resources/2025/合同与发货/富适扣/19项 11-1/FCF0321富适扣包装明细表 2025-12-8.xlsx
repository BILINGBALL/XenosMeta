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6F78A3BC-D7BF-4B63-8F24-8D6E6E5D08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4" i="1"/>
  <c r="P3" i="1"/>
  <c r="L4" i="1"/>
  <c r="L5" i="1"/>
  <c r="L3" i="1"/>
  <c r="F4" i="1"/>
  <c r="F6" i="1" s="1"/>
  <c r="P6" i="1" l="1"/>
  <c r="J6" i="1"/>
  <c r="O5" i="1"/>
  <c r="N5" i="1"/>
  <c r="I5" i="1"/>
  <c r="F5" i="1" s="1"/>
  <c r="O4" i="1"/>
  <c r="N4" i="1"/>
  <c r="I4" i="1"/>
  <c r="N3" i="1"/>
  <c r="O3" i="1"/>
  <c r="I3" i="1"/>
  <c r="F3" i="1" s="1"/>
  <c r="O6" i="1" l="1"/>
  <c r="N6" i="1"/>
</calcChain>
</file>

<file path=xl/sharedStrings.xml><?xml version="1.0" encoding="utf-8"?>
<sst xmlns="http://schemas.openxmlformats.org/spreadsheetml/2006/main" count="29" uniqueCount="28">
  <si>
    <t>项号</t>
  </si>
  <si>
    <t>产品名称</t>
  </si>
  <si>
    <t>型号及规格</t>
  </si>
  <si>
    <t>合同号</t>
  </si>
  <si>
    <t>托号</t>
  </si>
  <si>
    <t>数量</t>
  </si>
  <si>
    <t>件/袋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</si>
  <si>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</si>
  <si>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</si>
  <si>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</si>
  <si>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</si>
  <si>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</si>
  <si>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</si>
  <si>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</si>
  <si>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</si>
  <si>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</si>
  <si>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</si>
  <si>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苏州苏德兰铁路配套有限公司</t>
  </si>
  <si>
    <t>包  装  明  细  表</t>
    <phoneticPr fontId="6" type="noConversion"/>
  </si>
  <si>
    <t>FCF0321</t>
    <phoneticPr fontId="6" type="noConversion"/>
  </si>
  <si>
    <t>螺旋道钉</t>
    <phoneticPr fontId="6" type="noConversion"/>
  </si>
  <si>
    <t>锚固螺栓</t>
    <phoneticPr fontId="6" type="noConversion"/>
  </si>
  <si>
    <t>24*225</t>
    <phoneticPr fontId="6" type="noConversion"/>
  </si>
  <si>
    <t>24*235</t>
    <phoneticPr fontId="6" type="noConversion"/>
  </si>
  <si>
    <t>M30*200</t>
    <phoneticPr fontId="6" type="noConversion"/>
  </si>
  <si>
    <t>950*950*500
0.45</t>
    <phoneticPr fontId="6" type="noConversion"/>
  </si>
  <si>
    <t>950*950*500
0.5</t>
    <phoneticPr fontId="6" type="noConversion"/>
  </si>
  <si>
    <t>950*950*500
0.41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</si>
</sst>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11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"/>
  <sheetViews>
    <sheetView tabSelected="1" workbookViewId="0">
      <selection activeCell="K7" sqref="K7"/>
    </sheetView>
  </sheetViews>
  <sheetFormatPr defaultColWidth="9" defaultRowHeight="13.5" x14ac:dyDescent="0.15"/>
  <cols>
    <col min="1" max="1" width="4.625" customWidth="1"/>
    <col min="2" max="2" width="13.75" customWidth="1"/>
    <col min="3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2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30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1" t="s">
        <v>12</v>
      </c>
      <c r="N2" s="2" t="s">
        <v>13</v>
      </c>
      <c r="O2" s="2" t="s">
        <v>14</v>
      </c>
      <c r="P2" s="2" t="s">
        <v>15</v>
      </c>
    </row>
    <row r="3" spans="1:16" ht="39.75" customHeight="1" x14ac:dyDescent="0.15">
      <c r="A3" s="1">
        <v>1</v>
      </c>
      <c r="B3" s="23" t="s">
        <v>20</v>
      </c>
      <c r="C3" s="25" t="s">
        <v>22</v>
      </c>
      <c r="D3" s="19" t="s">
        <v>19</v>
      </c>
      <c r="E3" s="3"/>
      <c r="F3" s="1">
        <f>I3*J3</f>
        <v>2000</v>
      </c>
      <c r="G3" s="1">
        <v>25</v>
      </c>
      <c r="H3" s="1">
        <v>40</v>
      </c>
      <c r="I3" s="1">
        <f>G3*H3</f>
        <v>1000</v>
      </c>
      <c r="J3" s="1">
        <v>2</v>
      </c>
      <c r="K3" s="1">
        <v>830</v>
      </c>
      <c r="L3" s="1">
        <f>K3+20</f>
        <v>850</v>
      </c>
      <c r="M3" s="20" t="s">
        <v>25</v>
      </c>
      <c r="N3" s="1">
        <f>K3*J3</f>
        <v>1660</v>
      </c>
      <c r="O3" s="1">
        <f>L3*J3</f>
        <v>1700</v>
      </c>
      <c r="P3" s="21">
        <f>0.45*J3</f>
        <v>0.9</v>
      </c>
    </row>
    <row r="4" spans="1:16" ht="39.75" customHeight="1" x14ac:dyDescent="0.15">
      <c r="A4" s="10">
        <v>2</v>
      </c>
      <c r="B4" s="24" t="s">
        <v>20</v>
      </c>
      <c r="C4" s="26" t="s">
        <v>23</v>
      </c>
      <c r="D4" s="22"/>
      <c r="E4" s="3"/>
      <c r="F4" s="1">
        <f>I4*J4</f>
        <v>2000</v>
      </c>
      <c r="G4" s="1">
        <v>25</v>
      </c>
      <c r="H4" s="1">
        <v>40</v>
      </c>
      <c r="I4" s="1">
        <f t="shared" ref="I4:I5" si="0">G4*H4</f>
        <v>1000</v>
      </c>
      <c r="J4" s="1">
        <v>2</v>
      </c>
      <c r="K4" s="1">
        <v>850</v>
      </c>
      <c r="L4" s="1">
        <f t="shared" ref="L4:L5" si="1">K4+20</f>
        <v>870</v>
      </c>
      <c r="M4" s="20" t="s">
        <v>26</v>
      </c>
      <c r="N4" s="1">
        <f>K4*J4</f>
        <v>1700</v>
      </c>
      <c r="O4" s="1">
        <f>L4*J4</f>
        <v>1740</v>
      </c>
      <c r="P4" s="21">
        <f>0.5*J4</f>
        <v>1</v>
      </c>
    </row>
    <row r="5" spans="1:16" ht="39.75" customHeight="1" x14ac:dyDescent="0.15">
      <c r="A5" s="1">
        <v>3</v>
      </c>
      <c r="B5" s="23" t="s">
        <v>21</v>
      </c>
      <c r="C5" s="25" t="s">
        <v>24</v>
      </c>
      <c r="D5" s="22"/>
      <c r="E5" s="3"/>
      <c r="F5" s="1">
        <f>I5*J5</f>
        <v>400</v>
      </c>
      <c r="G5" s="1">
        <v>20</v>
      </c>
      <c r="H5" s="1">
        <v>20</v>
      </c>
      <c r="I5" s="1">
        <f t="shared" si="0"/>
        <v>400</v>
      </c>
      <c r="J5" s="1">
        <v>1</v>
      </c>
      <c r="K5" s="1">
        <v>520</v>
      </c>
      <c r="L5" s="1">
        <f t="shared" si="1"/>
        <v>540</v>
      </c>
      <c r="M5" s="20" t="s">
        <v>27</v>
      </c>
      <c r="N5" s="1">
        <f>K5*J5</f>
        <v>520</v>
      </c>
      <c r="O5" s="1">
        <f>L5*J5</f>
        <v>540</v>
      </c>
      <c r="P5" s="21">
        <f>0.41*J5</f>
        <v>0.41</v>
      </c>
    </row>
    <row r="6" spans="1:16" ht="24" customHeight="1" x14ac:dyDescent="0.15">
      <c r="A6" s="14" t="s">
        <v>16</v>
      </c>
      <c r="B6" s="15"/>
      <c r="C6" s="16"/>
      <c r="D6" s="4"/>
      <c r="E6" s="5"/>
      <c r="F6" s="4">
        <f>SUM(F3:F5)</f>
        <v>4400</v>
      </c>
      <c r="G6" s="4"/>
      <c r="H6" s="4"/>
      <c r="I6" s="4"/>
      <c r="J6" s="4">
        <f>SUM(J3:J5)</f>
        <v>5</v>
      </c>
      <c r="K6" s="4"/>
      <c r="L6" s="4"/>
      <c r="M6" s="4"/>
      <c r="N6" s="4">
        <f>SUM(N3:N5)</f>
        <v>3880</v>
      </c>
      <c r="O6" s="4">
        <f>SUM(O3:O5)</f>
        <v>3980</v>
      </c>
      <c r="P6" s="4">
        <f>SUM(P3:P5)</f>
        <v>2.31</v>
      </c>
    </row>
    <row r="7" spans="1:16" ht="21" customHeight="1" x14ac:dyDescent="0.15">
      <c r="A7" s="6"/>
      <c r="B7" s="11"/>
      <c r="C7" s="7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spans="1:16" ht="14.25" x14ac:dyDescent="0.1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17" t="s">
        <v>17</v>
      </c>
      <c r="N8" s="17"/>
      <c r="O8" s="17"/>
      <c r="P8" s="17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18">
        <v>45999</v>
      </c>
      <c r="N9" s="18"/>
      <c r="O9" s="18"/>
      <c r="P9" s="18"/>
    </row>
    <row r="10" spans="1:16" x14ac:dyDescent="0.15">
      <c r="A10" s="9"/>
      <c r="B10" s="9"/>
      <c r="C10" s="7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</sheetData>
  <mergeCells count="5">
    <mergeCell ref="A1:P1"/>
    <mergeCell ref="A6:C6"/>
    <mergeCell ref="M8:P8"/>
    <mergeCell ref="M9:P9"/>
    <mergeCell ref="D3:D5"/>
  </mergeCells>
  <phoneticPr fontId="6" type="noConversion"/>
  <pageMargins left="0" right="0" top="0" bottom="0" header="0.29861111111111099" footer="0.29861111111111099"/>
  <pageSetup paperSize="9" scale="9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2024-12-20T05:28:13Z</cp:lastPrinted>
  <dcterms:created xsi:type="dcterms:W3CDTF">2006-09-13T11:21:00Z</dcterms:created>
  <dcterms:modified xsi:type="dcterms:W3CDTF">2025-12-08T06:28:14Z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E77F645FB20E462CAD819DF92C09D3B0_13</vt:lpwstr>
  </property>
  <property fmtid="{D5CDD505-2E9C-101B-9397-08002B2CF9AE}" pid="3" name="KSOProductBuildVer">
    <vt:lpwstr>2052-12.1.0.18276</vt:lpwstr>
  </property>
</Properties>
</file>