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:\文件汇总\2025\合同与发货\富适扣\19项 11-1\"/>
    </mc:Choice>
  </mc:AlternateContent>
  <xr:revisionPtr revIDLastSave="0" documentId="8_{644E0729-9C09-4809-B535-E16930AF501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N3" i="1"/>
  <c r="I16" i="1"/>
  <c r="F16" i="1" s="1"/>
  <c r="I15" i="1"/>
  <c r="F15" i="1" s="1"/>
  <c r="I14" i="1"/>
  <c r="F14" i="1" s="1"/>
  <c r="I13" i="1"/>
  <c r="F13" i="1" s="1"/>
  <c r="I12" i="1"/>
  <c r="F12" i="1" s="1"/>
  <c r="I11" i="1"/>
  <c r="F11" i="1" s="1"/>
  <c r="I10" i="1"/>
  <c r="F10" i="1" s="1"/>
  <c r="I9" i="1"/>
  <c r="F9" i="1" s="1"/>
  <c r="I8" i="1"/>
  <c r="F8" i="1" s="1"/>
  <c r="I7" i="1"/>
  <c r="F7" i="1" s="1"/>
  <c r="I6" i="1"/>
  <c r="F6" i="1" s="1"/>
  <c r="I5" i="1"/>
  <c r="F5" i="1" s="1"/>
  <c r="I4" i="1"/>
  <c r="F4" i="1" s="1"/>
  <c r="L3" i="1"/>
  <c r="N19" i="1" l="1"/>
  <c r="J19" i="1"/>
  <c r="I18" i="1"/>
  <c r="F18" i="1" s="1"/>
  <c r="I17" i="1"/>
  <c r="F17" i="1" s="1"/>
  <c r="I3" i="1"/>
  <c r="F3" i="1" s="1"/>
  <c r="F19" i="1" l="1"/>
</calcChain>
</file>

<file path=xl/sharedStrings.xml><?xml version="1.0" encoding="utf-8"?>
<sst xmlns="http://schemas.openxmlformats.org/spreadsheetml/2006/main" count="54" uniqueCount="46">
  <si>
    <t>项号</t>
  </si>
  <si>
    <t>产品名称</t>
  </si>
  <si>
    <t>型号及规格</t>
  </si>
  <si>
    <t>合同号</t>
  </si>
  <si>
    <t>托号</t>
  </si>
  <si>
    <t>数量</t>
  </si>
  <si>
    <t>件/袋</t>
  </si>
  <si>
    <t>袋/托</t>
  </si>
  <si>
    <t>件/托</t>
  </si>
  <si>
    <t>托</t>
  </si>
  <si>
    <t>净重/托
（KG）</t>
  </si>
  <si>
    <t>毛重/托
（KG）</t>
  </si>
  <si>
    <t>体积/托 m³</t>
  </si>
  <si>
    <t>总体积
立方米</t>
  </si>
  <si>
    <t>合计</t>
  </si>
  <si>
    <t>苏州苏德兰铁路配套有限公司</t>
  </si>
  <si>
    <t>包  装  明  细  表</t>
    <phoneticPr fontId="6" type="noConversion"/>
  </si>
  <si>
    <t>950*950*500
0.45</t>
    <phoneticPr fontId="6" type="noConversion"/>
  </si>
  <si>
    <t>螺旋道钉
FS1-175</t>
  </si>
  <si>
    <t>24 x 175</t>
  </si>
  <si>
    <t>平垫圈 F24</t>
  </si>
  <si>
    <t>六角螺栓
AHB4</t>
  </si>
  <si>
    <t>24 x 100</t>
  </si>
  <si>
    <t>弹簧垫圈
ASLB24</t>
    <phoneticPr fontId="11" type="noConversion"/>
  </si>
  <si>
    <t>螺母 AMA24</t>
    <phoneticPr fontId="11" type="noConversion"/>
  </si>
  <si>
    <t>M24-6H</t>
  </si>
  <si>
    <t>平垫圈AHFA24</t>
  </si>
  <si>
    <t>25*44*4</t>
  </si>
  <si>
    <t>弹簧垫圈
ASLB24</t>
  </si>
  <si>
    <t>螺母 AMA24</t>
  </si>
  <si>
    <t>螺旋道钉
FS1-215</t>
  </si>
  <si>
    <t>24 x 215</t>
  </si>
  <si>
    <t>螺纹杆
ADB2</t>
    <phoneticPr fontId="11" type="noConversion"/>
  </si>
  <si>
    <t>M24 X 250</t>
    <phoneticPr fontId="11" type="noConversion"/>
  </si>
  <si>
    <t>尼龙锁紧螺母ANMA24</t>
    <phoneticPr fontId="11" type="noConversion"/>
  </si>
  <si>
    <t>M24</t>
    <phoneticPr fontId="11" type="noConversion"/>
  </si>
  <si>
    <t>螺母
ATMA24</t>
    <phoneticPr fontId="11" type="noConversion"/>
  </si>
  <si>
    <t>平垫圈
AHFA24</t>
    <phoneticPr fontId="11" type="noConversion"/>
  </si>
  <si>
    <t>FCF0306</t>
    <phoneticPr fontId="11" type="noConversion"/>
  </si>
  <si>
    <t>FCF0313</t>
    <phoneticPr fontId="11" type="noConversion"/>
  </si>
  <si>
    <t>FCF0316</t>
    <phoneticPr fontId="11" type="noConversion"/>
  </si>
  <si>
    <t>FCF0309</t>
    <phoneticPr fontId="11" type="noConversion"/>
  </si>
  <si>
    <t>FCF0</t>
    <phoneticPr fontId="11" type="noConversion"/>
  </si>
  <si>
    <t>1/2</t>
    <phoneticPr fontId="6" type="noConversion"/>
  </si>
  <si>
    <t>2/2</t>
    <phoneticPr fontId="6" type="noConversion"/>
  </si>
  <si>
    <t>950*950*600
0.54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</si>
</sst>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[$-F800]dddd\,\ mmmm\ dd\,\ yyyy"/>
  </numFmts>
  <fonts count="12" x14ac:knownFonts="1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8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name val="宋体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b/>
      <sz val="12"/>
      <color rgb="FFFF000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10" fillId="0" borderId="2" xfId="0" quotePrefix="1" applyNumberFormat="1" applyFont="1" applyBorder="1" applyAlignment="1">
      <alignment horizontal="center" vertical="center" wrapText="1"/>
    </xf>
    <xf numFmtId="49" fontId="10" fillId="0" borderId="4" xfId="0" quotePrefix="1" applyNumberFormat="1" applyFont="1" applyBorder="1" applyAlignment="1">
      <alignment horizontal="center" vertical="center" wrapText="1"/>
    </xf>
    <xf numFmtId="176" fontId="2" fillId="0" borderId="4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8"/>
  <sheetViews>
    <sheetView tabSelected="1" topLeftCell="A10" workbookViewId="0">
      <selection activeCell="I16" sqref="I16"/>
    </sheetView>
  </sheetViews>
  <sheetFormatPr defaultColWidth="9" defaultRowHeight="13.5" x14ac:dyDescent="0.15"/>
  <cols>
    <col min="1" max="1" width="4.625" customWidth="1"/>
    <col min="2" max="2" width="13.75" customWidth="1"/>
    <col min="3" max="3" width="9.125" customWidth="1"/>
    <col min="4" max="4" width="12.625" customWidth="1"/>
    <col min="5" max="5" width="9.5" customWidth="1"/>
    <col min="6" max="7" width="8.875" customWidth="1"/>
    <col min="8" max="9" width="10.375" customWidth="1"/>
    <col min="10" max="10" width="5.5" customWidth="1"/>
    <col min="11" max="11" width="8.125" customWidth="1"/>
    <col min="12" max="12" width="8.5" customWidth="1"/>
    <col min="13" max="13" width="10.25" customWidth="1"/>
    <col min="14" max="14" width="10" customWidth="1"/>
  </cols>
  <sheetData>
    <row r="1" spans="1:14" ht="65.25" customHeight="1" x14ac:dyDescent="0.15">
      <c r="A1" s="14" t="s">
        <v>16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30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10</v>
      </c>
      <c r="L2" s="2" t="s">
        <v>11</v>
      </c>
      <c r="M2" s="1" t="s">
        <v>12</v>
      </c>
      <c r="N2" s="2" t="s">
        <v>13</v>
      </c>
    </row>
    <row r="3" spans="1:14" ht="29.25" customHeight="1" x14ac:dyDescent="0.15">
      <c r="A3" s="1">
        <v>1</v>
      </c>
      <c r="B3" s="13" t="s">
        <v>18</v>
      </c>
      <c r="C3" s="10" t="s">
        <v>19</v>
      </c>
      <c r="D3" s="23" t="s">
        <v>38</v>
      </c>
      <c r="E3" s="34" t="s">
        <v>43</v>
      </c>
      <c r="F3" s="1">
        <f>I3*J3</f>
        <v>1200</v>
      </c>
      <c r="G3" s="1">
        <v>40</v>
      </c>
      <c r="H3" s="1">
        <v>30</v>
      </c>
      <c r="I3" s="1">
        <f>G3*H3</f>
        <v>1200</v>
      </c>
      <c r="J3" s="1">
        <v>1</v>
      </c>
      <c r="K3" s="1">
        <v>702</v>
      </c>
      <c r="L3" s="1">
        <f>K3+20</f>
        <v>722</v>
      </c>
      <c r="M3" s="11" t="s">
        <v>45</v>
      </c>
      <c r="N3" s="12">
        <f>0.54*J3</f>
        <v>0.54</v>
      </c>
    </row>
    <row r="4" spans="1:14" ht="29.25" customHeight="1" x14ac:dyDescent="0.15">
      <c r="A4" s="1">
        <v>2</v>
      </c>
      <c r="B4" s="13" t="s">
        <v>20</v>
      </c>
      <c r="C4" s="10">
        <v>25</v>
      </c>
      <c r="D4" s="24"/>
      <c r="E4" s="35" t="s">
        <v>44</v>
      </c>
      <c r="F4" s="1">
        <f>I4</f>
        <v>3000</v>
      </c>
      <c r="G4" s="1">
        <v>300</v>
      </c>
      <c r="H4" s="1">
        <v>10</v>
      </c>
      <c r="I4" s="1">
        <f>G4*H4</f>
        <v>3000</v>
      </c>
      <c r="J4" s="26">
        <v>1</v>
      </c>
      <c r="K4" s="1">
        <v>210</v>
      </c>
      <c r="L4" s="26">
        <v>533</v>
      </c>
      <c r="M4" s="29" t="s">
        <v>17</v>
      </c>
      <c r="N4" s="36">
        <f>0.45*J18</f>
        <v>0</v>
      </c>
    </row>
    <row r="5" spans="1:14" ht="29.25" customHeight="1" x14ac:dyDescent="0.15">
      <c r="A5" s="1">
        <v>3</v>
      </c>
      <c r="B5" s="13" t="s">
        <v>21</v>
      </c>
      <c r="C5" s="10" t="s">
        <v>22</v>
      </c>
      <c r="D5" s="23" t="s">
        <v>39</v>
      </c>
      <c r="E5" s="32"/>
      <c r="F5" s="1">
        <f t="shared" ref="F5:F18" si="0">I5</f>
        <v>50</v>
      </c>
      <c r="G5" s="1">
        <v>50</v>
      </c>
      <c r="H5" s="1">
        <v>1</v>
      </c>
      <c r="I5" s="1">
        <f>G5*H5</f>
        <v>50</v>
      </c>
      <c r="J5" s="27"/>
      <c r="K5" s="1">
        <v>22.5</v>
      </c>
      <c r="L5" s="27"/>
      <c r="M5" s="30"/>
      <c r="N5" s="37"/>
    </row>
    <row r="6" spans="1:14" ht="29.25" customHeight="1" x14ac:dyDescent="0.15">
      <c r="A6" s="1">
        <v>4</v>
      </c>
      <c r="B6" s="13" t="s">
        <v>23</v>
      </c>
      <c r="C6" s="10">
        <v>24.55</v>
      </c>
      <c r="D6" s="24"/>
      <c r="E6" s="32"/>
      <c r="F6" s="1">
        <f t="shared" si="0"/>
        <v>50</v>
      </c>
      <c r="G6" s="1">
        <v>50</v>
      </c>
      <c r="H6" s="1">
        <v>1</v>
      </c>
      <c r="I6" s="1">
        <f>G6*H6</f>
        <v>50</v>
      </c>
      <c r="J6" s="27"/>
      <c r="K6" s="1">
        <v>2.25</v>
      </c>
      <c r="L6" s="27"/>
      <c r="M6" s="30"/>
      <c r="N6" s="37"/>
    </row>
    <row r="7" spans="1:14" ht="29.25" customHeight="1" x14ac:dyDescent="0.15">
      <c r="A7" s="1">
        <v>5</v>
      </c>
      <c r="B7" s="13" t="s">
        <v>24</v>
      </c>
      <c r="C7" s="10" t="s">
        <v>25</v>
      </c>
      <c r="D7" s="24"/>
      <c r="E7" s="32"/>
      <c r="F7" s="1">
        <f t="shared" si="0"/>
        <v>50</v>
      </c>
      <c r="G7" s="1">
        <v>50</v>
      </c>
      <c r="H7" s="1">
        <v>1</v>
      </c>
      <c r="I7" s="1">
        <f>G7*H7</f>
        <v>50</v>
      </c>
      <c r="J7" s="27"/>
      <c r="K7" s="1">
        <v>5.5</v>
      </c>
      <c r="L7" s="27"/>
      <c r="M7" s="30"/>
      <c r="N7" s="37"/>
    </row>
    <row r="8" spans="1:14" ht="29.25" customHeight="1" x14ac:dyDescent="0.15">
      <c r="A8" s="1">
        <v>6</v>
      </c>
      <c r="B8" s="13" t="s">
        <v>26</v>
      </c>
      <c r="C8" s="10" t="s">
        <v>27</v>
      </c>
      <c r="D8" s="25"/>
      <c r="E8" s="32"/>
      <c r="F8" s="1">
        <f t="shared" si="0"/>
        <v>80</v>
      </c>
      <c r="G8" s="1">
        <v>80</v>
      </c>
      <c r="H8" s="1">
        <v>1</v>
      </c>
      <c r="I8" s="1">
        <f>G8*H8</f>
        <v>80</v>
      </c>
      <c r="J8" s="27"/>
      <c r="K8" s="1">
        <v>2.56</v>
      </c>
      <c r="L8" s="27"/>
      <c r="M8" s="30"/>
      <c r="N8" s="37"/>
    </row>
    <row r="9" spans="1:14" ht="29.25" customHeight="1" x14ac:dyDescent="0.15">
      <c r="A9" s="1">
        <v>7</v>
      </c>
      <c r="B9" s="13" t="s">
        <v>21</v>
      </c>
      <c r="C9" s="10" t="s">
        <v>22</v>
      </c>
      <c r="D9" s="23" t="s">
        <v>40</v>
      </c>
      <c r="E9" s="32"/>
      <c r="F9" s="1">
        <f t="shared" si="0"/>
        <v>100</v>
      </c>
      <c r="G9" s="1">
        <v>50</v>
      </c>
      <c r="H9" s="1">
        <v>2</v>
      </c>
      <c r="I9" s="1">
        <f>G9*H9</f>
        <v>100</v>
      </c>
      <c r="J9" s="27"/>
      <c r="K9" s="1">
        <v>45</v>
      </c>
      <c r="L9" s="27"/>
      <c r="M9" s="30"/>
      <c r="N9" s="37"/>
    </row>
    <row r="10" spans="1:14" ht="29.25" customHeight="1" x14ac:dyDescent="0.15">
      <c r="A10" s="1">
        <v>8</v>
      </c>
      <c r="B10" s="13" t="s">
        <v>28</v>
      </c>
      <c r="C10" s="10">
        <v>24.55</v>
      </c>
      <c r="D10" s="24"/>
      <c r="E10" s="32"/>
      <c r="F10" s="1">
        <f t="shared" si="0"/>
        <v>100</v>
      </c>
      <c r="G10" s="1">
        <v>100</v>
      </c>
      <c r="H10" s="1">
        <v>1</v>
      </c>
      <c r="I10" s="1">
        <f>G10*H10</f>
        <v>100</v>
      </c>
      <c r="J10" s="27"/>
      <c r="K10" s="1">
        <v>4.5</v>
      </c>
      <c r="L10" s="27"/>
      <c r="M10" s="30"/>
      <c r="N10" s="37"/>
    </row>
    <row r="11" spans="1:14" ht="29.25" customHeight="1" x14ac:dyDescent="0.15">
      <c r="A11" s="1">
        <v>9</v>
      </c>
      <c r="B11" s="13" t="s">
        <v>29</v>
      </c>
      <c r="C11" s="10" t="s">
        <v>25</v>
      </c>
      <c r="D11" s="24"/>
      <c r="E11" s="32"/>
      <c r="F11" s="1">
        <f t="shared" si="0"/>
        <v>100</v>
      </c>
      <c r="G11" s="1">
        <v>100</v>
      </c>
      <c r="H11" s="1">
        <v>1</v>
      </c>
      <c r="I11" s="1">
        <f>G11*H11</f>
        <v>100</v>
      </c>
      <c r="J11" s="27"/>
      <c r="K11" s="1">
        <v>11</v>
      </c>
      <c r="L11" s="27"/>
      <c r="M11" s="30"/>
      <c r="N11" s="37"/>
    </row>
    <row r="12" spans="1:14" ht="29.25" customHeight="1" x14ac:dyDescent="0.15">
      <c r="A12" s="1">
        <v>10</v>
      </c>
      <c r="B12" s="13" t="s">
        <v>26</v>
      </c>
      <c r="C12" s="10" t="s">
        <v>27</v>
      </c>
      <c r="D12" s="25"/>
      <c r="E12" s="32"/>
      <c r="F12" s="1">
        <f t="shared" si="0"/>
        <v>200</v>
      </c>
      <c r="G12" s="1">
        <v>200</v>
      </c>
      <c r="H12" s="1">
        <v>1</v>
      </c>
      <c r="I12" s="1">
        <f>G12*H12</f>
        <v>200</v>
      </c>
      <c r="J12" s="27"/>
      <c r="K12" s="1">
        <v>6.4</v>
      </c>
      <c r="L12" s="27"/>
      <c r="M12" s="30"/>
      <c r="N12" s="37"/>
    </row>
    <row r="13" spans="1:14" ht="29.25" customHeight="1" x14ac:dyDescent="0.15">
      <c r="A13" s="1">
        <v>11</v>
      </c>
      <c r="B13" s="13" t="s">
        <v>30</v>
      </c>
      <c r="C13" s="10" t="s">
        <v>31</v>
      </c>
      <c r="D13" s="23" t="s">
        <v>41</v>
      </c>
      <c r="E13" s="32"/>
      <c r="F13" s="1">
        <f t="shared" si="0"/>
        <v>160</v>
      </c>
      <c r="G13" s="1">
        <v>20</v>
      </c>
      <c r="H13" s="1">
        <v>8</v>
      </c>
      <c r="I13" s="1">
        <f>G13*H13</f>
        <v>160</v>
      </c>
      <c r="J13" s="27"/>
      <c r="K13" s="1">
        <v>116.8</v>
      </c>
      <c r="L13" s="27"/>
      <c r="M13" s="30"/>
      <c r="N13" s="37"/>
    </row>
    <row r="14" spans="1:14" ht="29.25" customHeight="1" x14ac:dyDescent="0.15">
      <c r="A14" s="1">
        <v>12</v>
      </c>
      <c r="B14" s="13" t="s">
        <v>20</v>
      </c>
      <c r="C14" s="10">
        <v>25</v>
      </c>
      <c r="D14" s="24"/>
      <c r="E14" s="32"/>
      <c r="F14" s="1">
        <f t="shared" si="0"/>
        <v>160</v>
      </c>
      <c r="G14" s="1">
        <v>160</v>
      </c>
      <c r="H14" s="1">
        <v>1</v>
      </c>
      <c r="I14" s="1">
        <f>G14*H14</f>
        <v>160</v>
      </c>
      <c r="J14" s="27"/>
      <c r="K14" s="1">
        <v>11.2</v>
      </c>
      <c r="L14" s="27"/>
      <c r="M14" s="30"/>
      <c r="N14" s="37"/>
    </row>
    <row r="15" spans="1:14" ht="29.25" customHeight="1" x14ac:dyDescent="0.15">
      <c r="A15" s="1">
        <v>13</v>
      </c>
      <c r="B15" s="10" t="s">
        <v>32</v>
      </c>
      <c r="C15" s="10" t="s">
        <v>33</v>
      </c>
      <c r="D15" s="21" t="s">
        <v>42</v>
      </c>
      <c r="E15" s="32"/>
      <c r="F15" s="1">
        <f t="shared" si="0"/>
        <v>50</v>
      </c>
      <c r="G15" s="1">
        <v>25</v>
      </c>
      <c r="H15" s="1">
        <v>2</v>
      </c>
      <c r="I15" s="1">
        <f>G15*H15</f>
        <v>50</v>
      </c>
      <c r="J15" s="27"/>
      <c r="K15" s="1">
        <v>40</v>
      </c>
      <c r="L15" s="27"/>
      <c r="M15" s="30"/>
      <c r="N15" s="37"/>
    </row>
    <row r="16" spans="1:14" ht="29.25" customHeight="1" x14ac:dyDescent="0.15">
      <c r="A16" s="1">
        <v>14</v>
      </c>
      <c r="B16" s="22" t="s">
        <v>34</v>
      </c>
      <c r="C16" s="22" t="s">
        <v>35</v>
      </c>
      <c r="D16" s="21"/>
      <c r="E16" s="32"/>
      <c r="F16" s="1">
        <f t="shared" si="0"/>
        <v>200</v>
      </c>
      <c r="G16" s="1">
        <v>100</v>
      </c>
      <c r="H16" s="1">
        <v>2</v>
      </c>
      <c r="I16" s="1">
        <f>G16*H16</f>
        <v>200</v>
      </c>
      <c r="J16" s="27"/>
      <c r="K16" s="1">
        <v>30</v>
      </c>
      <c r="L16" s="27"/>
      <c r="M16" s="30"/>
      <c r="N16" s="37"/>
    </row>
    <row r="17" spans="1:14" ht="29.25" customHeight="1" x14ac:dyDescent="0.15">
      <c r="A17" s="1">
        <v>15</v>
      </c>
      <c r="B17" s="22" t="s">
        <v>36</v>
      </c>
      <c r="C17" s="22" t="s">
        <v>35</v>
      </c>
      <c r="D17" s="21"/>
      <c r="E17" s="32"/>
      <c r="F17" s="1">
        <f t="shared" si="0"/>
        <v>50</v>
      </c>
      <c r="G17" s="1">
        <v>50</v>
      </c>
      <c r="H17" s="1">
        <v>1</v>
      </c>
      <c r="I17" s="1">
        <f t="shared" ref="I17:I18" si="1">G17*H17</f>
        <v>50</v>
      </c>
      <c r="J17" s="27"/>
      <c r="K17" s="1">
        <v>2.5</v>
      </c>
      <c r="L17" s="27"/>
      <c r="M17" s="30"/>
      <c r="N17" s="37"/>
    </row>
    <row r="18" spans="1:14" ht="29.25" customHeight="1" x14ac:dyDescent="0.15">
      <c r="A18" s="1">
        <v>16</v>
      </c>
      <c r="B18" s="10" t="s">
        <v>37</v>
      </c>
      <c r="C18" s="10" t="s">
        <v>27</v>
      </c>
      <c r="D18" s="21"/>
      <c r="E18" s="33"/>
      <c r="F18" s="1">
        <f t="shared" si="0"/>
        <v>100</v>
      </c>
      <c r="G18" s="1">
        <v>100</v>
      </c>
      <c r="H18" s="1">
        <v>1</v>
      </c>
      <c r="I18" s="1">
        <f t="shared" si="1"/>
        <v>100</v>
      </c>
      <c r="J18" s="28"/>
      <c r="K18" s="1">
        <v>3.2</v>
      </c>
      <c r="L18" s="28"/>
      <c r="M18" s="31"/>
      <c r="N18" s="38"/>
    </row>
    <row r="19" spans="1:14" ht="24" customHeight="1" x14ac:dyDescent="0.15">
      <c r="A19" s="16" t="s">
        <v>14</v>
      </c>
      <c r="B19" s="17"/>
      <c r="C19" s="18"/>
      <c r="D19" s="3"/>
      <c r="E19" s="4"/>
      <c r="F19" s="3">
        <f>SUM(F3:F18)</f>
        <v>5650</v>
      </c>
      <c r="G19" s="3"/>
      <c r="H19" s="3"/>
      <c r="I19" s="3"/>
      <c r="J19" s="3">
        <f>SUM(J3:J18)</f>
        <v>2</v>
      </c>
      <c r="K19" s="3"/>
      <c r="L19" s="3"/>
      <c r="M19" s="3"/>
      <c r="N19" s="3">
        <f>SUM(N3:N17)</f>
        <v>0.54</v>
      </c>
    </row>
    <row r="20" spans="1:14" ht="21" customHeight="1" x14ac:dyDescent="0.15">
      <c r="A20" s="5"/>
      <c r="B20" s="9"/>
      <c r="C20" s="6"/>
      <c r="D20" s="7"/>
      <c r="E20" s="7"/>
      <c r="F20" s="7"/>
      <c r="G20" s="7"/>
      <c r="H20" s="7"/>
      <c r="I20" s="7"/>
      <c r="J20" s="7"/>
      <c r="K20" s="7"/>
      <c r="L20" s="7"/>
      <c r="M20" s="5"/>
      <c r="N20" s="5"/>
    </row>
    <row r="21" spans="1:14" ht="14.25" x14ac:dyDescent="0.15">
      <c r="A21" s="5"/>
      <c r="B21" s="5"/>
      <c r="C21" s="6"/>
      <c r="D21" s="7"/>
      <c r="E21" s="7"/>
      <c r="F21" s="7"/>
      <c r="G21" s="7"/>
      <c r="H21" s="7"/>
      <c r="I21" s="7"/>
      <c r="J21" s="7"/>
      <c r="K21" s="7"/>
      <c r="L21" s="7"/>
      <c r="M21" s="19" t="s">
        <v>15</v>
      </c>
      <c r="N21" s="19"/>
    </row>
    <row r="22" spans="1:14" ht="14.25" x14ac:dyDescent="0.15">
      <c r="A22" s="5"/>
      <c r="B22" s="5"/>
      <c r="C22" s="6"/>
      <c r="D22" s="7"/>
      <c r="E22" s="7"/>
      <c r="F22" s="7"/>
      <c r="G22" s="7"/>
      <c r="H22" s="7"/>
      <c r="I22" s="7"/>
      <c r="J22" s="7"/>
      <c r="K22" s="7"/>
      <c r="L22" s="7"/>
      <c r="M22" s="20">
        <v>46003</v>
      </c>
      <c r="N22" s="20"/>
    </row>
    <row r="23" spans="1:14" x14ac:dyDescent="0.15">
      <c r="A23" s="8"/>
      <c r="B23" s="8"/>
      <c r="C23" s="6"/>
      <c r="D23" s="7"/>
      <c r="E23" s="7"/>
      <c r="F23" s="7"/>
      <c r="G23" s="7"/>
      <c r="H23" s="7"/>
      <c r="I23" s="7"/>
      <c r="J23" s="7"/>
      <c r="K23" s="7"/>
      <c r="L23" s="7"/>
      <c r="M23" s="8"/>
      <c r="N23" s="8"/>
    </row>
    <row r="24" spans="1:14" x14ac:dyDescent="0.1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 x14ac:dyDescent="0.1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x14ac:dyDescent="0.1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14" x14ac:dyDescent="0.1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x14ac:dyDescent="0.1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</sheetData>
  <mergeCells count="14">
    <mergeCell ref="A1:N1"/>
    <mergeCell ref="A19:C19"/>
    <mergeCell ref="M21:N21"/>
    <mergeCell ref="M22:N22"/>
    <mergeCell ref="D3:D4"/>
    <mergeCell ref="D5:D8"/>
    <mergeCell ref="D9:D12"/>
    <mergeCell ref="D13:D14"/>
    <mergeCell ref="D15:D18"/>
    <mergeCell ref="J4:J18"/>
    <mergeCell ref="L4:L18"/>
    <mergeCell ref="M4:M18"/>
    <mergeCell ref="E4:E18"/>
    <mergeCell ref="N4:N18"/>
  </mergeCells>
  <phoneticPr fontId="6" type="noConversion"/>
  <pageMargins left="0" right="0" top="0" bottom="0" header="0.29861111111111099" footer="0.29861111111111099"/>
  <pageSetup paperSize="9" scale="96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2024-12-20T05:28:13Z</cp:lastPrinted>
  <dcterms:created xsi:type="dcterms:W3CDTF">2006-09-13T11:21:00Z</dcterms:created>
  <dcterms:modified xsi:type="dcterms:W3CDTF">2025-12-12T02:42:19Z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E77F645FB20E462CAD819DF92C09D3B0_13</vt:lpwstr>
  </property>
  <property fmtid="{D5CDD505-2E9C-101B-9397-08002B2CF9AE}" pid="3" name="KSOProductBuildVer">
    <vt:lpwstr>2052-12.1.0.18276</vt:lpwstr>
  </property>
</Properties>
</file>