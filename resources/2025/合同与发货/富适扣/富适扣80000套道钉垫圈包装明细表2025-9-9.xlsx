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EC3FC01-7C1B-47BC-AC43-5D5D3A9F7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N4" i="1"/>
  <c r="L4" i="1"/>
  <c r="O4" i="1" s="1"/>
  <c r="I4" i="1"/>
  <c r="F4" i="1"/>
  <c r="J5" i="1"/>
  <c r="P3" i="1"/>
  <c r="N3" i="1"/>
  <c r="L3" i="1"/>
  <c r="O3" i="1" s="1"/>
  <c r="I3" i="1"/>
  <c r="F3" i="1" s="1"/>
  <c r="F5" i="1" l="1"/>
  <c r="N5" i="1"/>
  <c r="O5" i="1"/>
  <c r="P5" i="1"/>
</calcChain>
</file>

<file path=xl/sharedStrings.xml><?xml version="1.0" encoding="utf-8"?>
<sst xmlns="http://schemas.openxmlformats.org/spreadsheetml/2006/main" count="27" uniqueCount="27">
  <si>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</si>
  <si>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</si>
  <si>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</si>
  <si>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</si>
  <si>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</si>
  <si>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</si>
  <si>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</si>
  <si>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</si>
  <si>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</si>
  <si>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</si>
  <si>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</si>
  <si>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</si>
  <si>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</si>
  <si>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</si>
  <si>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</si>
  <si>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</si>
  <si>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</si>
  <si>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螺旋道钉
FS1-215
（冷镀锌）</t>
  </si>
  <si>
    <t>24 x 215</t>
  </si>
  <si>
    <t>FCF0261</t>
  </si>
  <si>
    <t>950*950*500
0.45</t>
  </si>
  <si>
    <t>平垫圈F24
(冷镀锌)</t>
  </si>
  <si>
    <t>950*950*450
0.41</t>
  </si>
  <si>
    <t>合计</t>
  </si>
  <si>
    <t>包装物为编织袋+托盘</t>
  </si>
  <si>
    <t>备注：</t>
  </si>
  <si>
    <t>苏州苏德兰铁路配件有限公司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</si>
</sst>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.000_);[Red]\(0.000\)"/>
    <numFmt numFmtId="178" formatCode="0.00_ 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7" fontId="6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"/>
  <sheetViews>
    <sheetView tabSelected="1" workbookViewId="0">
      <selection activeCell="I9" sqref="I9"/>
    </sheetView>
  </sheetViews>
  <sheetFormatPr defaultColWidth="9" defaultRowHeight="13.5" x14ac:dyDescent="0.15"/>
  <cols>
    <col min="1" max="1" width="4.625" customWidth="1"/>
    <col min="2" max="2" width="10.625" customWidth="1"/>
    <col min="3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4" width="12.375" customWidth="1"/>
    <col min="15" max="16" width="10" customWidth="1"/>
  </cols>
  <sheetData>
    <row r="1" spans="1:18" ht="65.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8" ht="30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2" t="s">
        <v>13</v>
      </c>
      <c r="N2" s="3" t="s">
        <v>14</v>
      </c>
      <c r="O2" s="3" t="s">
        <v>15</v>
      </c>
      <c r="P2" s="3" t="s">
        <v>16</v>
      </c>
    </row>
    <row r="3" spans="1:18" ht="45" customHeight="1" x14ac:dyDescent="0.15">
      <c r="A3" s="2">
        <v>1</v>
      </c>
      <c r="B3" s="3" t="s">
        <v>17</v>
      </c>
      <c r="C3" s="3" t="s">
        <v>18</v>
      </c>
      <c r="D3" s="25" t="s">
        <v>19</v>
      </c>
      <c r="E3" s="4"/>
      <c r="F3" s="2">
        <f>I3*J3</f>
        <v>80000</v>
      </c>
      <c r="G3" s="2">
        <v>25</v>
      </c>
      <c r="H3" s="2">
        <v>40</v>
      </c>
      <c r="I3" s="2">
        <f>G3*H3</f>
        <v>1000</v>
      </c>
      <c r="J3" s="2">
        <v>80</v>
      </c>
      <c r="K3" s="2">
        <v>728</v>
      </c>
      <c r="L3" s="2">
        <f>K3+20</f>
        <v>748</v>
      </c>
      <c r="M3" s="15" t="s">
        <v>20</v>
      </c>
      <c r="N3" s="2">
        <f>K3*J3</f>
        <v>58240</v>
      </c>
      <c r="O3" s="2">
        <f>L3*J3</f>
        <v>59840</v>
      </c>
      <c r="P3" s="16">
        <f>0.45*J3</f>
        <v>36</v>
      </c>
    </row>
    <row r="4" spans="1:18" ht="36" customHeight="1" x14ac:dyDescent="0.15">
      <c r="A4" s="2">
        <v>2</v>
      </c>
      <c r="B4" s="3" t="s">
        <v>21</v>
      </c>
      <c r="C4" s="3">
        <v>25</v>
      </c>
      <c r="D4" s="25"/>
      <c r="E4" s="4"/>
      <c r="F4" s="2">
        <f>I4*J4</f>
        <v>80000</v>
      </c>
      <c r="G4" s="2">
        <v>250</v>
      </c>
      <c r="H4" s="2">
        <v>40</v>
      </c>
      <c r="I4" s="2">
        <f>G4*H4</f>
        <v>10000</v>
      </c>
      <c r="J4" s="2">
        <v>8</v>
      </c>
      <c r="K4" s="2">
        <v>650</v>
      </c>
      <c r="L4" s="2">
        <f>K4+20</f>
        <v>670</v>
      </c>
      <c r="M4" s="15" t="s">
        <v>22</v>
      </c>
      <c r="N4" s="2">
        <f>K4*J4</f>
        <v>5200</v>
      </c>
      <c r="O4" s="2">
        <f>L4*J4</f>
        <v>5360</v>
      </c>
      <c r="P4" s="16">
        <f>0.41*J4</f>
        <v>3.28</v>
      </c>
    </row>
    <row r="5" spans="1:18" ht="24" customHeight="1" x14ac:dyDescent="0.15">
      <c r="A5" s="19" t="s">
        <v>23</v>
      </c>
      <c r="B5" s="20"/>
      <c r="C5" s="21"/>
      <c r="D5" s="5"/>
      <c r="E5" s="6"/>
      <c r="F5" s="5">
        <f>SUM(F3:F4)</f>
        <v>160000</v>
      </c>
      <c r="G5" s="5"/>
      <c r="H5" s="5"/>
      <c r="I5" s="5"/>
      <c r="J5" s="5">
        <f>SUM(J3:J4)</f>
        <v>88</v>
      </c>
      <c r="K5" s="5"/>
      <c r="L5" s="5"/>
      <c r="M5" s="5"/>
      <c r="N5" s="5">
        <f>SUM(N3:N4)</f>
        <v>63440</v>
      </c>
      <c r="O5" s="5">
        <f>SUM(O3:O4)</f>
        <v>65200</v>
      </c>
      <c r="P5" s="5">
        <f>SUM(P3:P4)</f>
        <v>39.28</v>
      </c>
    </row>
    <row r="6" spans="1:18" ht="21" customHeight="1" x14ac:dyDescent="0.15">
      <c r="A6" s="7"/>
      <c r="B6" s="8" t="s">
        <v>24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7"/>
      <c r="N6" s="7"/>
      <c r="O6" s="7"/>
      <c r="P6" s="7"/>
    </row>
    <row r="7" spans="1:18" s="1" customFormat="1" ht="18.75" x14ac:dyDescent="0.15">
      <c r="A7" s="22" t="s">
        <v>25</v>
      </c>
      <c r="B7" s="22"/>
      <c r="C7" s="22"/>
      <c r="D7" s="11"/>
      <c r="E7" s="11"/>
      <c r="F7" s="11"/>
      <c r="G7" s="11"/>
      <c r="H7" s="11"/>
      <c r="I7" s="11"/>
      <c r="J7" s="11"/>
      <c r="K7" s="11"/>
      <c r="L7" s="11"/>
      <c r="M7" s="17" t="s">
        <v>26</v>
      </c>
      <c r="N7" s="12"/>
      <c r="P7" s="17"/>
      <c r="Q7" s="17"/>
      <c r="R7" s="17"/>
    </row>
    <row r="8" spans="1:18" s="1" customFormat="1" ht="18.75" x14ac:dyDescent="0.15">
      <c r="A8" s="23"/>
      <c r="B8" s="23"/>
      <c r="C8" s="23"/>
      <c r="D8" s="11"/>
      <c r="E8" s="11"/>
      <c r="F8" s="11"/>
      <c r="G8" s="11"/>
      <c r="H8" s="11"/>
      <c r="I8" s="11"/>
      <c r="J8" s="11"/>
      <c r="K8" s="11"/>
      <c r="L8" s="11"/>
      <c r="M8" s="24">
        <v>45909</v>
      </c>
      <c r="N8" s="24"/>
      <c r="O8" s="24"/>
      <c r="P8" s="17"/>
      <c r="Q8" s="17"/>
      <c r="R8" s="17"/>
    </row>
    <row r="9" spans="1:18" x14ac:dyDescent="0.15">
      <c r="A9" s="13"/>
      <c r="B9" s="13"/>
      <c r="C9" s="9"/>
      <c r="D9" s="14"/>
      <c r="E9" s="14"/>
      <c r="F9" s="14"/>
      <c r="G9" s="14"/>
      <c r="H9" s="14"/>
      <c r="I9" s="14"/>
      <c r="J9" s="14"/>
      <c r="K9" s="14"/>
      <c r="L9" s="14"/>
      <c r="N9" s="13"/>
      <c r="O9" s="13"/>
      <c r="P9" s="13"/>
    </row>
    <row r="10" spans="1:18" x14ac:dyDescent="0.1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8" x14ac:dyDescent="0.1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8" x14ac:dyDescent="0.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18" x14ac:dyDescent="0.1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8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</sheetData>
  <mergeCells count="6">
    <mergeCell ref="A1:P1"/>
    <mergeCell ref="A5:C5"/>
    <mergeCell ref="A7:C7"/>
    <mergeCell ref="A8:C8"/>
    <mergeCell ref="M8:O8"/>
    <mergeCell ref="D3:D4"/>
  </mergeCells>
  <phoneticPr fontId="8" type="noConversion"/>
  <pageMargins left="0" right="0" top="0" bottom="0" header="0.29861111111111099" footer="0.29861111111111099"/>
  <pageSetup paperSize="9" scale="96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2024-12-11T07:54:10Z</cp:lastPrinted>
  <dcterms:created xsi:type="dcterms:W3CDTF">2006-09-13T11:21:00Z</dcterms:created>
  <dcterms:modified xsi:type="dcterms:W3CDTF">2025-09-09T02:38:37Z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0F938A6A05D140429C0769306D0F820A_13</vt:lpwstr>
  </property>
  <property fmtid="{D5CDD505-2E9C-101B-9397-08002B2CF9AE}" pid="3" name="KSOProductBuildVer">
    <vt:lpwstr>2052-12.1.0.18608</vt:lpwstr>
  </property>
</Properties>
</file>