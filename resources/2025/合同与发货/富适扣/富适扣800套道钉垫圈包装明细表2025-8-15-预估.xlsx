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富适扣\"/>
    </mc:Choice>
  </mc:AlternateContent>
  <xr:revisionPtr revIDLastSave="0" documentId="13_ncr:1_{637B3557-C8D8-460A-99D7-6355E0DD27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6" i="1"/>
  <c r="J6" i="1"/>
  <c r="F6" i="1"/>
  <c r="N4" i="1"/>
  <c r="N6" i="1" s="1"/>
  <c r="L4" i="1"/>
  <c r="O4" i="1" s="1"/>
  <c r="O6" i="1" s="1"/>
  <c r="F4" i="1"/>
  <c r="P3" i="1"/>
  <c r="N3" i="1"/>
  <c r="L3" i="1"/>
  <c r="O3" i="1" s="1"/>
  <c r="I3" i="1"/>
  <c r="F3" i="1" s="1"/>
</calcChain>
</file>

<file path=xl/sharedStrings.xml><?xml version="1.0" encoding="utf-8"?>
<sst xmlns="http://schemas.openxmlformats.org/spreadsheetml/2006/main" count="29" uniqueCount="29">
  <si>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</si>
  <si>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</si>
  <si>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</si>
  <si>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</si>
  <si>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</si>
  <si>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</si>
  <si>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</si>
  <si>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件/袋</t>
  </si>
  <si>
    <t>袋/托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</si>
  <si>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</si>
  <si>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</si>
  <si>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</si>
  <si>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</si>
  <si>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</si>
  <si>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</si>
  <si>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</si>
  <si>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</si>
  <si>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</si>
  <si>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包装物为编织袋+托盘</t>
  </si>
  <si>
    <t>备注：</t>
  </si>
  <si>
    <t>苏州苏德兰铁路配件有限公司</t>
  </si>
  <si>
    <t>FCF0297</t>
    <phoneticPr fontId="8" type="noConversion"/>
  </si>
  <si>
    <t>24 x 175</t>
    <phoneticPr fontId="8" type="noConversion"/>
  </si>
  <si>
    <t>螺旋道钉
FS1-175
(冷镀锌）</t>
    <phoneticPr fontId="8" type="noConversion"/>
  </si>
  <si>
    <t>950*950*500
0.45</t>
    <phoneticPr fontId="8" type="noConversion"/>
  </si>
  <si>
    <t>平垫圈F24
(冷镀锌)</t>
  </si>
  <si>
    <t>950*950*150
0.14</t>
    <phoneticPr fontId="8" type="noConversion"/>
  </si>
  <si>
    <t>3/4</t>
    <phoneticPr fontId="8" type="noConversion"/>
  </si>
  <si>
    <t>4/4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</si>
</sst>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.000_);[Red]\(0.000\)"/>
    <numFmt numFmtId="178" formatCode="0.00_ "/>
  </numFmts>
  <fonts count="9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7" fontId="6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76" fontId="7" fillId="0" borderId="0" xfId="0" applyNumberFormat="1" applyFont="1">
      <alignment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2" xfId="0" quotePrefix="1" applyNumberFormat="1" applyFont="1" applyBorder="1" applyAlignment="1">
      <alignment horizontal="center" vertical="center" wrapText="1"/>
    </xf>
    <xf numFmtId="49" fontId="2" fillId="0" borderId="6" xfId="0" quotePrefix="1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5"/>
  <sheetViews>
    <sheetView tabSelected="1" workbookViewId="0">
      <selection activeCell="F7" sqref="F7"/>
    </sheetView>
  </sheetViews>
  <sheetFormatPr defaultColWidth="9" defaultRowHeight="13.5" x14ac:dyDescent="0.15"/>
  <cols>
    <col min="1" max="1" width="4.625" customWidth="1"/>
    <col min="2" max="2" width="10.625" customWidth="1"/>
    <col min="3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4" width="12.375" customWidth="1"/>
    <col min="15" max="16" width="10" customWidth="1"/>
  </cols>
  <sheetData>
    <row r="1" spans="1:18" ht="65.2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8" ht="30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  <c r="M2" s="2" t="s">
        <v>13</v>
      </c>
      <c r="N2" s="3" t="s">
        <v>14</v>
      </c>
      <c r="O2" s="3" t="s">
        <v>15</v>
      </c>
      <c r="P2" s="3" t="s">
        <v>16</v>
      </c>
    </row>
    <row r="3" spans="1:18" ht="57" customHeight="1" x14ac:dyDescent="0.15">
      <c r="A3" s="2">
        <v>1</v>
      </c>
      <c r="B3" s="3" t="s">
        <v>23</v>
      </c>
      <c r="C3" s="3" t="s">
        <v>22</v>
      </c>
      <c r="D3" s="28" t="s">
        <v>21</v>
      </c>
      <c r="E3" s="34" t="s">
        <v>27</v>
      </c>
      <c r="F3" s="2">
        <f>I3*J3</f>
        <v>800</v>
      </c>
      <c r="G3" s="2">
        <v>25</v>
      </c>
      <c r="H3" s="2">
        <v>32</v>
      </c>
      <c r="I3" s="2">
        <f>G3*H3</f>
        <v>800</v>
      </c>
      <c r="J3" s="2">
        <v>1</v>
      </c>
      <c r="K3" s="2">
        <v>460</v>
      </c>
      <c r="L3" s="2">
        <f>K3+20</f>
        <v>480</v>
      </c>
      <c r="M3" s="14" t="s">
        <v>24</v>
      </c>
      <c r="N3" s="2">
        <f>K3*J3</f>
        <v>460</v>
      </c>
      <c r="O3" s="2">
        <f>L3*J3</f>
        <v>480</v>
      </c>
      <c r="P3" s="15">
        <f>0.45*J3</f>
        <v>0.45</v>
      </c>
    </row>
    <row r="4" spans="1:18" ht="41.25" customHeight="1" x14ac:dyDescent="0.15">
      <c r="A4" s="26">
        <v>2</v>
      </c>
      <c r="B4" s="28" t="s">
        <v>25</v>
      </c>
      <c r="C4" s="28">
        <v>25</v>
      </c>
      <c r="D4" s="30"/>
      <c r="E4" s="35" t="s">
        <v>28</v>
      </c>
      <c r="F4" s="2">
        <f>G4*H4</f>
        <v>750</v>
      </c>
      <c r="G4" s="2">
        <v>250</v>
      </c>
      <c r="H4" s="2">
        <v>3</v>
      </c>
      <c r="I4" s="26">
        <v>800</v>
      </c>
      <c r="J4" s="26">
        <v>1</v>
      </c>
      <c r="K4" s="26">
        <v>52</v>
      </c>
      <c r="L4" s="26">
        <f>K4+20</f>
        <v>72</v>
      </c>
      <c r="M4" s="31" t="s">
        <v>26</v>
      </c>
      <c r="N4" s="26">
        <f>K4*J4</f>
        <v>52</v>
      </c>
      <c r="O4" s="26">
        <f>L4*J4</f>
        <v>72</v>
      </c>
      <c r="P4" s="17">
        <f>0.14*J4</f>
        <v>0.14000000000000001</v>
      </c>
    </row>
    <row r="5" spans="1:18" ht="41.25" customHeight="1" x14ac:dyDescent="0.15">
      <c r="A5" s="27"/>
      <c r="B5" s="29"/>
      <c r="C5" s="29"/>
      <c r="D5" s="29"/>
      <c r="E5" s="33"/>
      <c r="F5" s="2">
        <v>50</v>
      </c>
      <c r="G5" s="2">
        <v>50</v>
      </c>
      <c r="H5" s="2">
        <v>1</v>
      </c>
      <c r="I5" s="27"/>
      <c r="J5" s="27"/>
      <c r="K5" s="27"/>
      <c r="L5" s="27"/>
      <c r="M5" s="32"/>
      <c r="N5" s="27"/>
      <c r="O5" s="27"/>
      <c r="P5" s="18"/>
    </row>
    <row r="6" spans="1:18" ht="24" customHeight="1" x14ac:dyDescent="0.15">
      <c r="A6" s="20" t="s">
        <v>17</v>
      </c>
      <c r="B6" s="21"/>
      <c r="C6" s="22"/>
      <c r="D6" s="4"/>
      <c r="E6" s="5"/>
      <c r="F6" s="4">
        <f>SUM(F3:F5)</f>
        <v>1600</v>
      </c>
      <c r="G6" s="4"/>
      <c r="H6" s="4"/>
      <c r="I6" s="4"/>
      <c r="J6" s="4">
        <f>SUM(J3:J5)</f>
        <v>2</v>
      </c>
      <c r="K6" s="4"/>
      <c r="L6" s="4"/>
      <c r="M6" s="4"/>
      <c r="N6" s="4">
        <f>SUM(N3:N5)</f>
        <v>512</v>
      </c>
      <c r="O6" s="4">
        <f>SUM(O3:O5)</f>
        <v>552</v>
      </c>
      <c r="P6" s="4">
        <f>SUM(P3:P5)</f>
        <v>0.59000000000000008</v>
      </c>
    </row>
    <row r="7" spans="1:18" ht="21" customHeight="1" x14ac:dyDescent="0.15">
      <c r="A7" s="6"/>
      <c r="B7" s="7" t="s">
        <v>18</v>
      </c>
      <c r="C7" s="8"/>
      <c r="D7" s="9"/>
      <c r="E7" s="9"/>
      <c r="F7" s="9"/>
      <c r="G7" s="9"/>
      <c r="H7" s="9"/>
      <c r="I7" s="9"/>
      <c r="J7" s="9"/>
      <c r="K7" s="9"/>
      <c r="L7" s="9"/>
      <c r="M7" s="6"/>
      <c r="N7" s="6"/>
      <c r="O7" s="6"/>
      <c r="P7" s="6"/>
    </row>
    <row r="8" spans="1:18" s="1" customFormat="1" ht="18.75" x14ac:dyDescent="0.15">
      <c r="A8" s="23" t="s">
        <v>19</v>
      </c>
      <c r="B8" s="23"/>
      <c r="C8" s="23"/>
      <c r="D8" s="10"/>
      <c r="E8" s="10"/>
      <c r="F8" s="10"/>
      <c r="G8" s="10"/>
      <c r="H8" s="10"/>
      <c r="I8" s="10"/>
      <c r="J8" s="10"/>
      <c r="K8" s="10"/>
      <c r="L8" s="10"/>
      <c r="M8" s="16" t="s">
        <v>20</v>
      </c>
      <c r="N8" s="11"/>
      <c r="P8" s="16"/>
      <c r="Q8" s="16"/>
      <c r="R8" s="16"/>
    </row>
    <row r="9" spans="1:18" s="1" customFormat="1" ht="18.75" x14ac:dyDescent="0.15">
      <c r="A9" s="24"/>
      <c r="B9" s="24"/>
      <c r="C9" s="24"/>
      <c r="D9" s="10"/>
      <c r="E9" s="10"/>
      <c r="F9" s="10"/>
      <c r="G9" s="10"/>
      <c r="H9" s="10"/>
      <c r="I9" s="10"/>
      <c r="J9" s="10"/>
      <c r="K9" s="10"/>
      <c r="L9" s="10"/>
      <c r="M9" s="25">
        <v>45884</v>
      </c>
      <c r="N9" s="25"/>
      <c r="O9" s="25"/>
      <c r="P9" s="16"/>
      <c r="Q9" s="16"/>
      <c r="R9" s="16"/>
    </row>
    <row r="10" spans="1:18" x14ac:dyDescent="0.15">
      <c r="A10" s="12"/>
      <c r="B10" s="12"/>
      <c r="C10" s="8"/>
      <c r="D10" s="13"/>
      <c r="E10" s="13"/>
      <c r="F10" s="13"/>
      <c r="G10" s="13"/>
      <c r="H10" s="13"/>
      <c r="I10" s="13"/>
      <c r="J10" s="13"/>
      <c r="K10" s="13"/>
      <c r="L10" s="13"/>
      <c r="N10" s="12"/>
      <c r="O10" s="12"/>
      <c r="P10" s="12"/>
    </row>
    <row r="11" spans="1:18" x14ac:dyDescent="0.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8" x14ac:dyDescent="0.1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8" x14ac:dyDescent="0.1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8" x14ac:dyDescent="0.1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8" x14ac:dyDescent="0.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</sheetData>
  <mergeCells count="18">
    <mergeCell ref="O4:O5"/>
    <mergeCell ref="E4:E5"/>
    <mergeCell ref="P4:P5"/>
    <mergeCell ref="A1:P1"/>
    <mergeCell ref="A6:C6"/>
    <mergeCell ref="A8:C8"/>
    <mergeCell ref="A9:C9"/>
    <mergeCell ref="M9:O9"/>
    <mergeCell ref="A4:A5"/>
    <mergeCell ref="B4:B5"/>
    <mergeCell ref="C4:C5"/>
    <mergeCell ref="D3:D5"/>
    <mergeCell ref="I4:I5"/>
    <mergeCell ref="J4:J5"/>
    <mergeCell ref="K4:K5"/>
    <mergeCell ref="L4:L5"/>
    <mergeCell ref="M4:M5"/>
    <mergeCell ref="N4:N5"/>
  </mergeCells>
  <phoneticPr fontId="8" type="noConversion"/>
  <pageMargins left="0" right="0" top="0" bottom="0" header="0.29861111111111099" footer="0.29861111111111099"/>
  <pageSetup paperSize="9" scale="96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2024-12-11T07:54:10Z</cp:lastPrinted>
  <dcterms:created xsi:type="dcterms:W3CDTF">2006-09-13T11:21:00Z</dcterms:created>
  <dcterms:modified xsi:type="dcterms:W3CDTF">2025-08-21T06:12:25Z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0F938A6A05D140429C0769306D0F820A_13</vt:lpwstr>
  </property>
  <property fmtid="{D5CDD505-2E9C-101B-9397-08002B2CF9AE}" pid="3" name="KSOProductBuildVer">
    <vt:lpwstr>2052-12.1.0.18608</vt:lpwstr>
  </property>
</Properties>
</file>