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H:\文件汇总\2025\合同与发货\昆山希格朗\勾头道钉5-8 12960件 5-9\"/>
    </mc:Choice>
  </mc:AlternateContent>
  <xr:revisionPtr revIDLastSave="0" documentId="13_ncr:1_{1E9D3C62-B889-44D6-8F2A-A976C5EFA25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" i="1" l="1"/>
  <c r="P4" i="1"/>
  <c r="J5" i="1"/>
  <c r="O4" i="1"/>
  <c r="I4" i="1"/>
  <c r="F4" i="1" s="1"/>
  <c r="F5" i="1" l="1"/>
  <c r="N5" i="1"/>
  <c r="O5" i="1"/>
  <c r="P5" i="1"/>
</calcChain>
</file>

<file path=xl/sharedStrings.xml><?xml version="1.0" encoding="utf-8"?>
<sst xmlns="http://schemas.openxmlformats.org/spreadsheetml/2006/main" count="25" uniqueCount="25">
  <si>
    <t>包  装  明  细  表</t>
  </si>
  <si>
    <t>项号</t>
  </si>
  <si>
    <t>产品名称</t>
  </si>
  <si>
    <t>型号及规格</t>
  </si>
  <si>
    <t>合同号</t>
  </si>
  <si>
    <t>托号</t>
  </si>
  <si>
    <t>数量</t>
  </si>
  <si>
    <t>桶/托</t>
  </si>
  <si>
    <t>托</t>
  </si>
  <si>
    <t>净重/托
（KG）</t>
  </si>
  <si>
    <t>毛重/托
（KG）</t>
  </si>
  <si>
    <t>体积/托 m³</t>
  </si>
  <si>
    <t>总净重
（KG）</t>
  </si>
  <si>
    <t>总毛重
(KG）</t>
  </si>
  <si>
    <t>总体积
立方米</t>
  </si>
  <si>
    <t>勾头道钉</t>
  </si>
  <si>
    <t>合计</t>
  </si>
  <si>
    <t>唛头：</t>
  </si>
  <si>
    <t>5/8"×6"</t>
    <phoneticPr fontId="7" type="noConversion"/>
  </si>
  <si>
    <t>1100*800*920
0.81</t>
    <phoneticPr fontId="7" type="noConversion"/>
  </si>
  <si>
    <t>件/桶</t>
    <phoneticPr fontId="7" type="noConversion"/>
  </si>
  <si>
    <t>件/托</t>
    <phoneticPr fontId="7" type="noConversion"/>
  </si>
  <si>
    <t>SGM20250512A</t>
    <phoneticPr fontId="7" type="noConversion"/>
  </si>
  <si>
    <t>2025.07.19</t>
    <phoneticPr fontId="7" type="noConversion"/>
  </si>
  <si>
    <t>苏州苏德兰铁路配件有限公司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</si>
</sst>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[$-F800]dddd\,\ mmmm\ dd\,\ yyyy"/>
  </numFmts>
  <fonts count="11" x14ac:knownFonts="1">
    <font>
      <sz val="11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b/>
      <sz val="8"/>
      <color theme="1"/>
      <name val="宋体"/>
      <charset val="134"/>
      <scheme val="minor"/>
    </font>
    <font>
      <sz val="8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8"/>
      <color theme="1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176" fontId="2" fillId="0" borderId="3" xfId="0" applyNumberFormat="1" applyFont="1" applyBorder="1" applyAlignment="1">
      <alignment horizontal="center" vertical="center"/>
    </xf>
    <xf numFmtId="176" fontId="2" fillId="0" borderId="6" xfId="0" applyNumberFormat="1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77" fontId="6" fillId="0" borderId="0" xfId="0" applyNumberFormat="1" applyFont="1" applyAlignment="1">
      <alignment horizontal="center" vertical="center"/>
    </xf>
    <xf numFmtId="177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16"/>
  <sheetViews>
    <sheetView tabSelected="1" workbookViewId="0">
      <selection activeCell="K9" sqref="K9"/>
    </sheetView>
  </sheetViews>
  <sheetFormatPr defaultColWidth="9" defaultRowHeight="13.5" x14ac:dyDescent="0.15"/>
  <cols>
    <col min="1" max="1" width="4.625" customWidth="1"/>
    <col min="2" max="3" width="9.125" customWidth="1"/>
    <col min="4" max="4" width="12.625" customWidth="1"/>
    <col min="5" max="5" width="12.125" customWidth="1"/>
    <col min="6" max="7" width="8.875" customWidth="1"/>
    <col min="8" max="9" width="10.375" customWidth="1"/>
    <col min="10" max="10" width="5.5" customWidth="1"/>
    <col min="11" max="11" width="8.125" customWidth="1"/>
    <col min="12" max="12" width="8.5" customWidth="1"/>
    <col min="13" max="13" width="12.125" customWidth="1"/>
    <col min="14" max="16" width="10" customWidth="1"/>
  </cols>
  <sheetData>
    <row r="1" spans="1:16" ht="65.25" customHeight="1" x14ac:dyDescent="0.15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</row>
    <row r="2" spans="1:16" ht="32.25" customHeight="1" x14ac:dyDescent="0.15">
      <c r="A2" s="2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30" customHeight="1" x14ac:dyDescent="0.1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18" t="s">
        <v>20</v>
      </c>
      <c r="H3" s="3" t="s">
        <v>7</v>
      </c>
      <c r="I3" s="18" t="s">
        <v>21</v>
      </c>
      <c r="J3" s="3" t="s">
        <v>8</v>
      </c>
      <c r="K3" s="12" t="s">
        <v>9</v>
      </c>
      <c r="L3" s="12" t="s">
        <v>10</v>
      </c>
      <c r="M3" s="3" t="s">
        <v>11</v>
      </c>
      <c r="N3" s="12" t="s">
        <v>12</v>
      </c>
      <c r="O3" s="12" t="s">
        <v>13</v>
      </c>
      <c r="P3" s="12" t="s">
        <v>14</v>
      </c>
    </row>
    <row r="4" spans="1:16" ht="45" customHeight="1" x14ac:dyDescent="0.15">
      <c r="A4" s="4">
        <v>1</v>
      </c>
      <c r="B4" s="16" t="s">
        <v>15</v>
      </c>
      <c r="C4" s="17" t="s">
        <v>18</v>
      </c>
      <c r="D4" s="17" t="s">
        <v>22</v>
      </c>
      <c r="E4" s="5"/>
      <c r="F4" s="4">
        <f>I4*J4</f>
        <v>12960</v>
      </c>
      <c r="G4" s="4">
        <v>60</v>
      </c>
      <c r="H4" s="4">
        <v>36</v>
      </c>
      <c r="I4" s="4">
        <f t="shared" ref="I4" si="0">G4*H4</f>
        <v>2160</v>
      </c>
      <c r="J4" s="4">
        <v>6</v>
      </c>
      <c r="K4" s="4">
        <v>791</v>
      </c>
      <c r="L4" s="4">
        <v>832</v>
      </c>
      <c r="M4" s="15" t="s">
        <v>19</v>
      </c>
      <c r="N4" s="4">
        <f>K4*J4</f>
        <v>4746</v>
      </c>
      <c r="O4" s="4">
        <f t="shared" ref="O4" si="1">L4*J4</f>
        <v>4992</v>
      </c>
      <c r="P4" s="13">
        <f>0.81*J4</f>
        <v>4.8600000000000003</v>
      </c>
    </row>
    <row r="5" spans="1:16" ht="36" customHeight="1" x14ac:dyDescent="0.15">
      <c r="A5" s="20" t="s">
        <v>16</v>
      </c>
      <c r="B5" s="21"/>
      <c r="C5" s="22"/>
      <c r="D5" s="6"/>
      <c r="E5" s="7"/>
      <c r="F5" s="6">
        <f>SUM(F4:F4)</f>
        <v>12960</v>
      </c>
      <c r="G5" s="6"/>
      <c r="H5" s="6"/>
      <c r="I5" s="6"/>
      <c r="J5" s="6">
        <f>SUM(J4:J4)</f>
        <v>6</v>
      </c>
      <c r="K5" s="6"/>
      <c r="L5" s="6"/>
      <c r="M5" s="6"/>
      <c r="N5" s="6">
        <f>SUM(N4:N4)</f>
        <v>4746</v>
      </c>
      <c r="O5" s="6">
        <f>SUM(O4:O4)</f>
        <v>4992</v>
      </c>
      <c r="P5" s="14">
        <f>SUM(P4:P4)</f>
        <v>4.8600000000000003</v>
      </c>
    </row>
    <row r="6" spans="1:16" ht="21" customHeight="1" x14ac:dyDescent="0.15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</row>
    <row r="7" spans="1:16" ht="21" customHeight="1" x14ac:dyDescent="0.15">
      <c r="A7" s="8"/>
      <c r="B7" s="8" t="s">
        <v>17</v>
      </c>
      <c r="C7" s="9"/>
      <c r="D7" s="10"/>
      <c r="E7" s="10"/>
      <c r="F7" s="10"/>
      <c r="G7" s="10"/>
      <c r="H7" s="10"/>
      <c r="I7" s="10"/>
      <c r="J7" s="10"/>
      <c r="K7" s="10"/>
      <c r="L7" s="10"/>
      <c r="M7" s="8"/>
      <c r="N7" s="8"/>
      <c r="O7" s="8"/>
      <c r="P7" s="8"/>
    </row>
    <row r="8" spans="1:16" ht="14.25" x14ac:dyDescent="0.15">
      <c r="A8" s="8"/>
      <c r="B8" s="8"/>
      <c r="C8" s="9">
        <v>0.36599999999999999</v>
      </c>
      <c r="D8" s="10"/>
      <c r="E8" s="10"/>
      <c r="F8" s="10"/>
      <c r="G8" s="10"/>
      <c r="H8" s="10"/>
      <c r="I8" s="10"/>
      <c r="J8" s="10"/>
      <c r="K8" s="10"/>
      <c r="L8" s="10"/>
      <c r="M8" s="26" t="s">
        <v>24</v>
      </c>
      <c r="N8" s="23"/>
      <c r="O8" s="23"/>
      <c r="P8" s="23"/>
    </row>
    <row r="9" spans="1:16" ht="14.25" x14ac:dyDescent="0.15">
      <c r="A9" s="8"/>
      <c r="B9" s="8"/>
      <c r="C9" s="9"/>
      <c r="D9" s="10"/>
      <c r="E9" s="10"/>
      <c r="F9" s="10"/>
      <c r="G9" s="10"/>
      <c r="H9" s="10"/>
      <c r="I9" s="10"/>
      <c r="J9" s="10"/>
      <c r="K9" s="10"/>
      <c r="L9" s="10"/>
      <c r="M9" s="25" t="s">
        <v>23</v>
      </c>
      <c r="N9" s="24"/>
      <c r="O9" s="24"/>
      <c r="P9" s="24"/>
    </row>
    <row r="10" spans="1:16" x14ac:dyDescent="0.15">
      <c r="A10" s="11"/>
      <c r="B10" s="11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1"/>
      <c r="N10" s="11"/>
      <c r="O10" s="11"/>
      <c r="P10" s="11"/>
    </row>
    <row r="11" spans="1:16" x14ac:dyDescent="0.15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</row>
    <row r="12" spans="1:16" x14ac:dyDescent="0.15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</row>
    <row r="13" spans="1:16" x14ac:dyDescent="0.15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</row>
    <row r="14" spans="1:16" x14ac:dyDescent="0.15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</row>
    <row r="15" spans="1:16" x14ac:dyDescent="0.1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</row>
    <row r="16" spans="1:16" x14ac:dyDescent="0.15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</row>
  </sheetData>
  <mergeCells count="4">
    <mergeCell ref="A1:P1"/>
    <mergeCell ref="A5:C5"/>
    <mergeCell ref="M8:P8"/>
    <mergeCell ref="M9:P9"/>
  </mergeCells>
  <phoneticPr fontId="7" type="noConversion"/>
  <pageMargins left="0.7" right="0.7" top="0.75" bottom="0.75" header="0.3" footer="0.3"/>
  <pageSetup paperSize="9" scale="90" orientation="landscape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lu@sudelan.cn</cp:lastModifiedBy>
  <dcterms:created xsi:type="dcterms:W3CDTF">2006-09-13T11:21:00Z</dcterms:created>
  <dcterms:modified xsi:type="dcterms:W3CDTF">2025-07-19T01:07:19Z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D7C51468072347A885C06B6E4C0686D1_12</vt:lpwstr>
  </property>
  <property fmtid="{D5CDD505-2E9C-101B-9397-08002B2CF9AE}" pid="3" name="KSOProductBuildVer">
    <vt:lpwstr>2052-12.1.0.17827</vt:lpwstr>
  </property>
</Properties>
</file>