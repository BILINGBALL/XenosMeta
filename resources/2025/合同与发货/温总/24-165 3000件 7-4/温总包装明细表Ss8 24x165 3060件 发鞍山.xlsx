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温总\24-165 3000件 7-4\"/>
    </mc:Choice>
  </mc:AlternateContent>
  <xr:revisionPtr revIDLastSave="0" documentId="13_ncr:1_{41CDF859-6A2F-408B-901D-69C844A5D1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 s="1"/>
  <c r="J4" i="1"/>
  <c r="O3" i="1"/>
  <c r="O4" i="1" s="1"/>
  <c r="N3" i="1"/>
  <c r="N4" i="1" s="1"/>
  <c r="I3" i="1"/>
  <c r="F3" i="1" s="1"/>
  <c r="F4" i="1" s="1"/>
</calcChain>
</file>

<file path=xl/sharedStrings.xml><?xml version="1.0" encoding="utf-8"?>
<sst xmlns="http://schemas.openxmlformats.org/spreadsheetml/2006/main" count="25" uniqueCount="25">
  <si>
    <t>桶  装  明  细  表</t>
  </si>
  <si>
    <t>序号</t>
  </si>
  <si>
    <t>产品名称</t>
  </si>
  <si>
    <t>型号及规格</t>
  </si>
  <si>
    <t>合同号</t>
  </si>
  <si>
    <t>托号</t>
  </si>
  <si>
    <t>数量</t>
  </si>
  <si>
    <t>件/桶</t>
  </si>
  <si>
    <t>桶/托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</si>
  <si>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</si>
  <si>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</si>
  <si>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</si>
  <si>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</si>
  <si>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</si>
  <si>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</si>
  <si>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</si>
  <si>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</si>
  <si>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螺纹道钉</t>
  </si>
  <si>
    <t>Ss8-
24x165</t>
  </si>
  <si>
    <t>合计</t>
  </si>
  <si>
    <t>唛头：</t>
  </si>
  <si>
    <t>苏州苏德兰铁路配件有限公司</t>
  </si>
  <si>
    <t>AR251640CP</t>
    <phoneticPr fontId="8" type="noConversion"/>
  </si>
  <si>
    <t>920*920*840
0.71</t>
    <phoneticPr fontId="8" type="noConversion"/>
  </si>
  <si>
    <t>1-2~2-2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</si>
</sst>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[$-F800]dddd\,\ mmmm\ dd\,\ yyyy"/>
  </numFmts>
  <fonts count="11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B3" sqref="B3:P3"/>
    </sheetView>
  </sheetViews>
  <sheetFormatPr defaultColWidth="9" defaultRowHeight="13.5" x14ac:dyDescent="0.15"/>
  <cols>
    <col min="1" max="1" width="4.625" customWidth="1"/>
    <col min="2" max="3" width="9.125" customWidth="1"/>
    <col min="4" max="4" width="11.375" customWidth="1"/>
    <col min="5" max="5" width="10.125" customWidth="1"/>
    <col min="6" max="6" width="8.875" customWidth="1"/>
    <col min="7" max="9" width="8.375" customWidth="1"/>
    <col min="10" max="10" width="5.5" customWidth="1"/>
    <col min="11" max="11" width="8.125" customWidth="1"/>
    <col min="12" max="12" width="8.5" customWidth="1"/>
    <col min="13" max="13" width="10.25" customWidth="1"/>
    <col min="15" max="15" width="7.875" customWidth="1"/>
    <col min="16" max="16" width="7.125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2.2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  <c r="L2" s="4" t="s">
        <v>12</v>
      </c>
      <c r="M2" s="1" t="s">
        <v>13</v>
      </c>
      <c r="N2" s="4" t="s">
        <v>14</v>
      </c>
      <c r="O2" s="4" t="s">
        <v>15</v>
      </c>
      <c r="P2" s="4" t="s">
        <v>16</v>
      </c>
    </row>
    <row r="3" spans="1:16" ht="54" customHeight="1" x14ac:dyDescent="0.15">
      <c r="A3" s="2">
        <v>1</v>
      </c>
      <c r="B3" s="3" t="s">
        <v>17</v>
      </c>
      <c r="C3" s="4" t="s">
        <v>18</v>
      </c>
      <c r="D3" s="12" t="s">
        <v>22</v>
      </c>
      <c r="E3" s="1" t="s">
        <v>24</v>
      </c>
      <c r="F3" s="1">
        <f>I3*J3</f>
        <v>3060</v>
      </c>
      <c r="G3" s="1">
        <v>85</v>
      </c>
      <c r="H3" s="1">
        <v>18</v>
      </c>
      <c r="I3" s="1">
        <f>G3*H3</f>
        <v>1530</v>
      </c>
      <c r="J3" s="1">
        <v>2</v>
      </c>
      <c r="K3" s="10">
        <v>843</v>
      </c>
      <c r="L3" s="10">
        <v>890</v>
      </c>
      <c r="M3" s="13" t="s">
        <v>23</v>
      </c>
      <c r="N3" s="1">
        <f>K3*J3</f>
        <v>1686</v>
      </c>
      <c r="O3" s="1">
        <f>L3*J3</f>
        <v>1780</v>
      </c>
      <c r="P3" s="11">
        <f>0.71*J3</f>
        <v>1.42</v>
      </c>
    </row>
    <row r="4" spans="1:16" ht="35.25" customHeight="1" x14ac:dyDescent="0.15">
      <c r="A4" s="15" t="s">
        <v>19</v>
      </c>
      <c r="B4" s="16"/>
      <c r="C4" s="17"/>
      <c r="D4" s="1"/>
      <c r="E4" s="5"/>
      <c r="F4" s="1">
        <f>SUM(F3:F3)</f>
        <v>3060</v>
      </c>
      <c r="G4" s="1"/>
      <c r="H4" s="1"/>
      <c r="I4" s="1"/>
      <c r="J4" s="1">
        <f>SUM(J3:J3)</f>
        <v>2</v>
      </c>
      <c r="K4" s="1"/>
      <c r="L4" s="1"/>
      <c r="M4" s="10"/>
      <c r="N4" s="1">
        <f>SUM(N3:N3)</f>
        <v>1686</v>
      </c>
      <c r="O4" s="1">
        <f>SUM(O3:O3)</f>
        <v>1780</v>
      </c>
      <c r="P4" s="11">
        <f>SUM(P3:P3)</f>
        <v>1.42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20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8" t="s">
        <v>21</v>
      </c>
      <c r="N8" s="18"/>
      <c r="O8" s="18"/>
      <c r="P8" s="18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9">
        <v>45888</v>
      </c>
      <c r="N9" s="19"/>
      <c r="O9" s="19"/>
      <c r="P9" s="19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4:C4"/>
    <mergeCell ref="M8:P8"/>
    <mergeCell ref="M9:P9"/>
  </mergeCells>
  <phoneticPr fontId="8" type="noConversion"/>
  <pageMargins left="0.7" right="0.7" top="0.75" bottom="0.75" header="0.3" footer="0.3"/>
  <pageSetup paperSize="9" scale="95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2025-08-19T08:47:07Z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3BE17D852FBB43D685FCA45FB140A480_12</vt:lpwstr>
  </property>
  <property fmtid="{D5CDD505-2E9C-101B-9397-08002B2CF9AE}" pid="3" name="KSOProductBuildVer">
    <vt:lpwstr>2052-12.1.0.16929</vt:lpwstr>
  </property>
</Properties>
</file>