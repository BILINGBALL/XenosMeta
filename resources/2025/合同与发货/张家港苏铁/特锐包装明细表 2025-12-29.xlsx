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4\合同与发货\无锡苏铁\"/>
    </mc:Choice>
  </mc:AlternateContent>
  <xr:revisionPtr revIDLastSave="0" documentId="13_ncr:1_{B3A5B856-000A-4593-9408-F1DFBB68FE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O4" i="1"/>
  <c r="O6" i="1"/>
  <c r="H4" i="1"/>
  <c r="H5" i="1"/>
  <c r="N4" i="1"/>
  <c r="M4" i="1"/>
  <c r="M6" i="1"/>
  <c r="K6" i="1"/>
  <c r="N6" i="1" s="1"/>
  <c r="H6" i="1"/>
  <c r="E6" i="1" s="1"/>
  <c r="I7" i="1"/>
  <c r="O3" i="1"/>
  <c r="M3" i="1"/>
  <c r="K3" i="1"/>
  <c r="N3" i="1" s="1"/>
  <c r="H3" i="1"/>
  <c r="E3" i="1" s="1"/>
  <c r="M7" i="1" l="1"/>
  <c r="O7" i="1"/>
  <c r="N7" i="1"/>
  <c r="E7" i="1"/>
</calcChain>
</file>

<file path=xl/sharedStrings.xml><?xml version="1.0" encoding="utf-8"?>
<sst xmlns="http://schemas.openxmlformats.org/spreadsheetml/2006/main" count="26" uniqueCount="26">
  <si>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</si>
  <si>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</si>
  <si>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</si>
  <si>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</si>
  <si>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</si>
  <si>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</si>
  <si>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</si>
  <si>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</si>
  <si>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</si>
  <si>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</si>
  <si>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</si>
  <si>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</si>
  <si>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</si>
  <si>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</si>
  <si>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</si>
  <si>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</si>
  <si>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</si>
  <si>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</si>
  <si>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7/8鱼尾板螺栓配螺母弹垫</t>
  </si>
  <si>
    <t>7/8X163</t>
  </si>
  <si>
    <t>合计</t>
  </si>
  <si>
    <t>唛头：</t>
  </si>
  <si>
    <t>苏州苏德兰铁路配套有限公司</t>
  </si>
  <si>
    <t>950*950*600
0.54</t>
    <phoneticPr fontId="7" type="noConversion"/>
  </si>
  <si>
    <t>950*950*500
0.45</t>
    <phoneticPr fontId="7" type="noConversion"/>
  </si>
  <si>
    <t>950*950*300
0.27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</si>
</sst>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3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6" fontId="4" fillId="0" borderId="0" xfId="0" applyFont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zoomScale="115" zoomScaleNormal="115" workbookViewId="0">
      <selection activeCell="F11" sqref="F11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12" t="s">
        <v>11</v>
      </c>
      <c r="L2" s="9" t="s">
        <v>12</v>
      </c>
      <c r="M2" s="12" t="s">
        <v>13</v>
      </c>
      <c r="N2" s="12" t="s">
        <v>14</v>
      </c>
      <c r="O2" s="12" t="s">
        <v>15</v>
      </c>
    </row>
    <row r="3" spans="1:15" ht="28.5" customHeight="1" x14ac:dyDescent="0.15">
      <c r="A3" s="9">
        <v>1</v>
      </c>
      <c r="B3" s="22" t="s">
        <v>16</v>
      </c>
      <c r="C3" s="24" t="s">
        <v>17</v>
      </c>
      <c r="D3" s="19"/>
      <c r="E3" s="9">
        <f>I3*H3</f>
        <v>17600</v>
      </c>
      <c r="F3" s="9">
        <v>40</v>
      </c>
      <c r="G3" s="9">
        <v>40</v>
      </c>
      <c r="H3" s="9">
        <f t="shared" ref="H3:H6" si="0">F3*G3</f>
        <v>1600</v>
      </c>
      <c r="I3" s="9">
        <v>11</v>
      </c>
      <c r="J3" s="12">
        <v>800</v>
      </c>
      <c r="K3" s="12">
        <f t="shared" ref="K3:K6" si="1">J3+20</f>
        <v>820</v>
      </c>
      <c r="L3" s="15" t="s">
        <v>23</v>
      </c>
      <c r="M3" s="12">
        <f t="shared" ref="M3:M6" si="2">J3*I3</f>
        <v>8800</v>
      </c>
      <c r="N3" s="12">
        <f t="shared" ref="N3:N6" si="3">K3*I3</f>
        <v>9020</v>
      </c>
      <c r="O3" s="16">
        <f>0.54*I3</f>
        <v>5.94</v>
      </c>
    </row>
    <row r="4" spans="1:15" ht="18" customHeight="1" x14ac:dyDescent="0.15">
      <c r="A4" s="9">
        <v>2</v>
      </c>
      <c r="B4" s="23"/>
      <c r="C4" s="25"/>
      <c r="D4" s="20"/>
      <c r="E4" s="24">
        <v>443</v>
      </c>
      <c r="F4" s="9">
        <v>40</v>
      </c>
      <c r="G4" s="10">
        <v>11</v>
      </c>
      <c r="H4" s="9">
        <f>F4*G4</f>
        <v>440</v>
      </c>
      <c r="I4" s="24">
        <v>1</v>
      </c>
      <c r="J4" s="22">
        <v>222</v>
      </c>
      <c r="K4" s="22">
        <f>J4+20</f>
        <v>242</v>
      </c>
      <c r="L4" s="22" t="s">
        <v>25</v>
      </c>
      <c r="M4" s="22">
        <f>J4*I4</f>
        <v>222</v>
      </c>
      <c r="N4" s="22">
        <f>K4*I4</f>
        <v>242</v>
      </c>
      <c r="O4" s="28">
        <f>0.27*I4</f>
        <v>0.27</v>
      </c>
    </row>
    <row r="5" spans="1:15" ht="18" customHeight="1" x14ac:dyDescent="0.15">
      <c r="A5" s="9">
        <v>3</v>
      </c>
      <c r="B5" s="23"/>
      <c r="C5" s="25"/>
      <c r="D5" s="20"/>
      <c r="E5" s="26"/>
      <c r="F5" s="12">
        <v>3</v>
      </c>
      <c r="G5" s="10">
        <v>1</v>
      </c>
      <c r="H5" s="9">
        <f t="shared" ref="H5" si="4">F5*G5</f>
        <v>3</v>
      </c>
      <c r="I5" s="26"/>
      <c r="J5" s="27"/>
      <c r="K5" s="27"/>
      <c r="L5" s="27"/>
      <c r="M5" s="27"/>
      <c r="N5" s="27"/>
      <c r="O5" s="29"/>
    </row>
    <row r="6" spans="1:15" ht="44.25" customHeight="1" x14ac:dyDescent="0.15">
      <c r="A6" s="9">
        <v>4</v>
      </c>
      <c r="B6" s="11" t="s">
        <v>18</v>
      </c>
      <c r="C6" s="10" t="s">
        <v>19</v>
      </c>
      <c r="D6" s="17"/>
      <c r="E6" s="9">
        <f t="shared" ref="E6" si="5">I6*H6</f>
        <v>700</v>
      </c>
      <c r="F6" s="9">
        <v>25</v>
      </c>
      <c r="G6" s="9">
        <v>28</v>
      </c>
      <c r="H6" s="9">
        <f t="shared" si="0"/>
        <v>700</v>
      </c>
      <c r="I6" s="9">
        <v>1</v>
      </c>
      <c r="J6" s="12">
        <v>665</v>
      </c>
      <c r="K6" s="12">
        <f t="shared" si="1"/>
        <v>685</v>
      </c>
      <c r="L6" s="12" t="s">
        <v>24</v>
      </c>
      <c r="M6" s="12">
        <f t="shared" si="2"/>
        <v>665</v>
      </c>
      <c r="N6" s="12">
        <f t="shared" si="3"/>
        <v>685</v>
      </c>
      <c r="O6" s="16">
        <f>0.45*I6</f>
        <v>0.45</v>
      </c>
    </row>
    <row r="7" spans="1:15" ht="35.25" customHeight="1" x14ac:dyDescent="0.15">
      <c r="A7" s="30" t="s">
        <v>20</v>
      </c>
      <c r="B7" s="31"/>
      <c r="C7" s="32"/>
      <c r="D7" s="9"/>
      <c r="E7" s="9">
        <f>SUM(E3:E6)</f>
        <v>18743</v>
      </c>
      <c r="F7" s="9"/>
      <c r="G7" s="9"/>
      <c r="H7" s="9"/>
      <c r="I7" s="9">
        <f>SUM(I3:I6)</f>
        <v>13</v>
      </c>
      <c r="J7" s="9"/>
      <c r="K7" s="9"/>
      <c r="L7" s="13"/>
      <c r="M7" s="9">
        <f>SUM(M3:M6)</f>
        <v>9687</v>
      </c>
      <c r="N7" s="9">
        <f>SUM(N3:N6)</f>
        <v>9947</v>
      </c>
      <c r="O7" s="14">
        <f>SUM(O3:O6)</f>
        <v>6.660000000000001</v>
      </c>
    </row>
    <row r="8" spans="1:15" ht="21" customHeight="1" x14ac:dyDescent="0.15">
      <c r="A8" s="1"/>
      <c r="B8" s="1"/>
      <c r="C8" s="2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8"/>
    </row>
    <row r="9" spans="1:15" ht="21" customHeight="1" x14ac:dyDescent="0.15">
      <c r="A9" s="1"/>
      <c r="B9" s="1" t="s">
        <v>21</v>
      </c>
      <c r="C9" s="4"/>
      <c r="D9" s="3"/>
      <c r="E9" s="3"/>
      <c r="F9" s="3"/>
      <c r="G9" s="5"/>
      <c r="H9" s="3"/>
      <c r="I9" s="3"/>
      <c r="J9" s="3"/>
      <c r="K9" s="3"/>
      <c r="L9" s="1"/>
      <c r="M9" s="1"/>
      <c r="N9" s="1"/>
      <c r="O9" s="8"/>
    </row>
    <row r="10" spans="1:15" ht="14.25" x14ac:dyDescent="0.15">
      <c r="A10" s="6"/>
      <c r="B10" s="6"/>
      <c r="C10" s="2"/>
      <c r="D10" s="5"/>
      <c r="E10" s="5"/>
      <c r="F10" s="5"/>
      <c r="G10" s="5"/>
      <c r="H10" s="5"/>
      <c r="I10" s="5"/>
      <c r="J10" s="5"/>
      <c r="K10" s="5"/>
      <c r="L10" s="21" t="s">
        <v>22</v>
      </c>
      <c r="M10" s="21"/>
      <c r="N10" s="21"/>
      <c r="O10" s="21"/>
    </row>
    <row r="11" spans="1:15" ht="14.25" x14ac:dyDescent="0.15">
      <c r="A11" s="6"/>
      <c r="B11" s="6"/>
      <c r="C11" s="2"/>
      <c r="D11" s="5"/>
      <c r="E11" s="5"/>
      <c r="F11" s="5"/>
      <c r="G11" s="5"/>
      <c r="H11" s="5"/>
      <c r="I11" s="5"/>
      <c r="J11" s="5"/>
      <c r="K11" s="5"/>
      <c r="L11" s="21">
        <v>46020</v>
      </c>
      <c r="M11" s="21"/>
      <c r="N11" s="21"/>
      <c r="O11" s="21"/>
    </row>
    <row r="12" spans="1:15" x14ac:dyDescent="0.15">
      <c r="A12" s="7"/>
      <c r="B12" s="7"/>
      <c r="C12" s="5"/>
      <c r="D12" s="5"/>
      <c r="E12" s="5"/>
      <c r="F12" s="5"/>
      <c r="G12" s="7"/>
      <c r="H12" s="5"/>
      <c r="I12" s="5"/>
      <c r="J12" s="5"/>
      <c r="K12" s="5"/>
      <c r="L12" s="7"/>
      <c r="M12" s="7"/>
      <c r="N12" s="7"/>
      <c r="O12" s="7"/>
    </row>
    <row r="13" spans="1:15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15">
      <c r="A14" s="7"/>
      <c r="B14" s="7"/>
      <c r="C14" s="7"/>
      <c r="D14" s="7"/>
      <c r="E14" s="7"/>
      <c r="F14" s="7"/>
      <c r="H14" s="7"/>
      <c r="I14" s="7"/>
      <c r="J14" s="7"/>
      <c r="K14" s="7"/>
      <c r="L14" s="7"/>
      <c r="M14" s="7"/>
      <c r="N14" s="7"/>
      <c r="O14" s="7"/>
    </row>
    <row r="15" spans="1:15" x14ac:dyDescent="0.15">
      <c r="A15" s="7"/>
      <c r="B15" s="7"/>
      <c r="C15" s="7"/>
      <c r="D15" s="7"/>
      <c r="G15" s="7"/>
    </row>
    <row r="16" spans="1:15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E18" s="7"/>
      <c r="F18" s="7"/>
      <c r="H18" s="7"/>
      <c r="I18" s="7"/>
      <c r="J18" s="7"/>
      <c r="K18" s="7"/>
      <c r="L18" s="7"/>
      <c r="M18" s="7"/>
      <c r="N18" s="7"/>
      <c r="O18" s="7"/>
    </row>
  </sheetData>
  <mergeCells count="15">
    <mergeCell ref="A1:O1"/>
    <mergeCell ref="D3:D5"/>
    <mergeCell ref="L11:O11"/>
    <mergeCell ref="B3:B5"/>
    <mergeCell ref="C3:C5"/>
    <mergeCell ref="E4:E5"/>
    <mergeCell ref="I4:I5"/>
    <mergeCell ref="J4:J5"/>
    <mergeCell ref="K4:K5"/>
    <mergeCell ref="L4:L5"/>
    <mergeCell ref="M4:M5"/>
    <mergeCell ref="N4:N5"/>
    <mergeCell ref="O4:O5"/>
    <mergeCell ref="A7:C7"/>
    <mergeCell ref="L10:O10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2025-12-31T02:18:44Z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