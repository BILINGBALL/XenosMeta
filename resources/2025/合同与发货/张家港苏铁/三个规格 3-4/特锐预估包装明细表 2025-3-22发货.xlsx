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张家港苏铁\"/>
    </mc:Choice>
  </mc:AlternateContent>
  <xr:revisionPtr revIDLastSave="0" documentId="13_ncr:1_{DE3A8D2E-4025-43B6-8290-CFAA5AD6EB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.7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N15" i="1"/>
  <c r="M15" i="1"/>
  <c r="H15" i="1"/>
  <c r="O6" i="1"/>
  <c r="O13" i="1"/>
  <c r="H14" i="1"/>
  <c r="M13" i="1"/>
  <c r="N13" i="1"/>
  <c r="H13" i="1"/>
  <c r="O12" i="1"/>
  <c r="M12" i="1"/>
  <c r="K12" i="1"/>
  <c r="N12" i="1" s="1"/>
  <c r="H12" i="1"/>
  <c r="K10" i="1"/>
  <c r="N10" i="1" s="1"/>
  <c r="H11" i="1"/>
  <c r="O10" i="1"/>
  <c r="M10" i="1"/>
  <c r="H10" i="1"/>
  <c r="O9" i="1"/>
  <c r="O8" i="1"/>
  <c r="H5" i="1"/>
  <c r="O4" i="1"/>
  <c r="N4" i="1"/>
  <c r="M4" i="1"/>
  <c r="H4" i="1"/>
  <c r="M9" i="1"/>
  <c r="K9" i="1"/>
  <c r="N9" i="1" s="1"/>
  <c r="H9" i="1"/>
  <c r="E9" i="1" s="1"/>
  <c r="O7" i="1"/>
  <c r="M7" i="1"/>
  <c r="K7" i="1"/>
  <c r="N7" i="1" s="1"/>
  <c r="H7" i="1"/>
  <c r="E7" i="1" s="1"/>
  <c r="H6" i="1"/>
  <c r="I16" i="1"/>
  <c r="M8" i="1"/>
  <c r="K8" i="1"/>
  <c r="N8" i="1" s="1"/>
  <c r="H8" i="1"/>
  <c r="E8" i="1" s="1"/>
  <c r="M6" i="1"/>
  <c r="N6" i="1"/>
  <c r="O3" i="1"/>
  <c r="M3" i="1"/>
  <c r="K3" i="1"/>
  <c r="N3" i="1" s="1"/>
  <c r="H3" i="1"/>
  <c r="E3" i="1" s="1"/>
  <c r="M16" i="1" l="1"/>
  <c r="O16" i="1"/>
  <c r="N16" i="1"/>
  <c r="E16" i="1"/>
</calcChain>
</file>

<file path=xl/sharedStrings.xml><?xml version="1.0" encoding="utf-8"?>
<sst xmlns="http://schemas.openxmlformats.org/spreadsheetml/2006/main" count="35" uniqueCount="29">
  <si>
    <t>包  装  明  细  表</t>
  </si>
  <si>
    <t>序号</t>
  </si>
  <si>
    <t>产品名称</t>
  </si>
  <si>
    <t>型号及规格</t>
  </si>
  <si>
    <t>合同号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</si>
  <si>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</si>
  <si>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</si>
  <si>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</si>
  <si>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</si>
  <si>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</si>
  <si>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</si>
  <si>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</si>
  <si>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</si>
  <si>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</si>
  <si>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</si>
  <si>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</si>
  <si>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螺纹道钉配弹垫</t>
  </si>
  <si>
    <t>20X145</t>
  </si>
  <si>
    <t>950*950*600
0.54</t>
  </si>
  <si>
    <t>六角螺栓配螺母平垫弹垫</t>
  </si>
  <si>
    <t>18X270</t>
  </si>
  <si>
    <t>7/8鱼尾板螺栓配螺母弹垫</t>
  </si>
  <si>
    <t>7/8X163</t>
  </si>
  <si>
    <t>合计</t>
  </si>
  <si>
    <t>唛头：</t>
  </si>
  <si>
    <t>苏州苏德兰铁路配套有限公司</t>
  </si>
  <si>
    <t>950*950*600
0.54</t>
    <phoneticPr fontId="7" type="noConversion"/>
  </si>
  <si>
    <t>950*950*400
0.36</t>
    <phoneticPr fontId="7" type="noConversion"/>
  </si>
  <si>
    <t>950*950*450
0.41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</si>
</sst>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);[Red]\(0\)"/>
    <numFmt numFmtId="178" formatCode="0.000_);[Red]\(0.000\)"/>
    <numFmt numFmtId="179" formatCode="0.0_);[Red]\(0.0\)"/>
    <numFmt numFmtId="180" formatCode="0.00_);[Red]\(0.00\)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6">
    <xf numFmtId="176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176" fontId="2" fillId="0" borderId="0" xfId="0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180" fontId="1" fillId="0" borderId="3" xfId="0" applyNumberFormat="1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 wrapText="1"/>
    </xf>
    <xf numFmtId="180" fontId="1" fillId="0" borderId="3" xfId="0" applyNumberFormat="1" applyFont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6" fontId="5" fillId="0" borderId="1" xfId="0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 wrapText="1"/>
    </xf>
    <xf numFmtId="177" fontId="9" fillId="0" borderId="3" xfId="0" applyNumberFormat="1" applyFont="1" applyBorder="1" applyAlignment="1">
      <alignment horizontal="center" vertical="center" wrapText="1"/>
    </xf>
    <xf numFmtId="177" fontId="9" fillId="0" borderId="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553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zoomScale="115" zoomScaleNormal="115" workbookViewId="0">
      <selection activeCell="H13" sqref="H13"/>
    </sheetView>
  </sheetViews>
  <sheetFormatPr defaultColWidth="9" defaultRowHeight="13.5" x14ac:dyDescent="0.15"/>
  <cols>
    <col min="1" max="1" width="4.625" customWidth="1"/>
    <col min="2" max="3" width="9.125" customWidth="1"/>
    <col min="4" max="4" width="9.75" customWidth="1"/>
    <col min="5" max="5" width="8.875" customWidth="1"/>
    <col min="6" max="7" width="8.375" customWidth="1"/>
    <col min="8" max="8" width="7.125" customWidth="1"/>
    <col min="9" max="9" width="5.5" customWidth="1"/>
    <col min="10" max="10" width="7.625" customWidth="1"/>
    <col min="11" max="11" width="8.5" customWidth="1"/>
    <col min="12" max="12" width="12.75" customWidth="1"/>
    <col min="14" max="14" width="7.875" customWidth="1"/>
    <col min="15" max="15" width="7.125" customWidth="1"/>
  </cols>
  <sheetData>
    <row r="1" spans="1:15" ht="41.25" customHeight="1" x14ac:dyDescent="0.1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32.25" customHeight="1" x14ac:dyDescent="0.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2" t="s">
        <v>10</v>
      </c>
      <c r="K2" s="12" t="s">
        <v>11</v>
      </c>
      <c r="L2" s="9" t="s">
        <v>12</v>
      </c>
      <c r="M2" s="12" t="s">
        <v>13</v>
      </c>
      <c r="N2" s="12" t="s">
        <v>14</v>
      </c>
      <c r="O2" s="12" t="s">
        <v>15</v>
      </c>
    </row>
    <row r="3" spans="1:15" ht="28.5" customHeight="1" x14ac:dyDescent="0.15">
      <c r="A3" s="9">
        <v>1</v>
      </c>
      <c r="B3" s="19" t="s">
        <v>16</v>
      </c>
      <c r="C3" s="24" t="s">
        <v>17</v>
      </c>
      <c r="D3" s="27"/>
      <c r="E3" s="9">
        <f>I3*H3</f>
        <v>19200</v>
      </c>
      <c r="F3" s="9">
        <v>40</v>
      </c>
      <c r="G3" s="9">
        <v>40</v>
      </c>
      <c r="H3" s="9">
        <f t="shared" ref="H3:H12" si="0">F3*G3</f>
        <v>1600</v>
      </c>
      <c r="I3" s="9">
        <v>12</v>
      </c>
      <c r="J3" s="12">
        <v>800</v>
      </c>
      <c r="K3" s="12">
        <f t="shared" ref="K3:K9" si="1">J3+20</f>
        <v>820</v>
      </c>
      <c r="L3" s="15" t="s">
        <v>26</v>
      </c>
      <c r="M3" s="12">
        <f t="shared" ref="M3:M9" si="2">J3*I3</f>
        <v>9600</v>
      </c>
      <c r="N3" s="12">
        <f t="shared" ref="N3:N9" si="3">K3*I3</f>
        <v>9840</v>
      </c>
      <c r="O3" s="16">
        <f>0.54*I3</f>
        <v>6.48</v>
      </c>
    </row>
    <row r="4" spans="1:15" ht="18" customHeight="1" x14ac:dyDescent="0.15">
      <c r="A4" s="9">
        <v>2</v>
      </c>
      <c r="B4" s="23"/>
      <c r="C4" s="26"/>
      <c r="D4" s="33"/>
      <c r="E4" s="24">
        <v>1510</v>
      </c>
      <c r="F4" s="9">
        <v>40</v>
      </c>
      <c r="G4" s="10">
        <v>37</v>
      </c>
      <c r="H4" s="9">
        <f t="shared" ref="H4:H5" si="4">F4*G4</f>
        <v>1480</v>
      </c>
      <c r="I4" s="24">
        <v>1</v>
      </c>
      <c r="J4" s="19">
        <v>755</v>
      </c>
      <c r="K4" s="19">
        <v>775</v>
      </c>
      <c r="L4" s="27" t="s">
        <v>26</v>
      </c>
      <c r="M4" s="19">
        <f>J4*I4</f>
        <v>755</v>
      </c>
      <c r="N4" s="19">
        <f>K4*I4</f>
        <v>775</v>
      </c>
      <c r="O4" s="21">
        <f>0.54*I4</f>
        <v>0.54</v>
      </c>
    </row>
    <row r="5" spans="1:15" ht="18" customHeight="1" x14ac:dyDescent="0.15">
      <c r="A5" s="9">
        <v>3</v>
      </c>
      <c r="B5" s="23"/>
      <c r="C5" s="26"/>
      <c r="D5" s="33"/>
      <c r="E5" s="25"/>
      <c r="F5" s="12">
        <v>30</v>
      </c>
      <c r="G5" s="10">
        <v>1</v>
      </c>
      <c r="H5" s="9">
        <f t="shared" si="4"/>
        <v>30</v>
      </c>
      <c r="I5" s="25"/>
      <c r="J5" s="20"/>
      <c r="K5" s="20"/>
      <c r="L5" s="20"/>
      <c r="M5" s="20"/>
      <c r="N5" s="20"/>
      <c r="O5" s="22"/>
    </row>
    <row r="6" spans="1:15" ht="25.5" customHeight="1" x14ac:dyDescent="0.15">
      <c r="A6" s="9">
        <v>4</v>
      </c>
      <c r="B6" s="23"/>
      <c r="C6" s="26"/>
      <c r="D6" s="23"/>
      <c r="E6" s="10">
        <v>200</v>
      </c>
      <c r="F6" s="9">
        <v>40</v>
      </c>
      <c r="G6" s="10">
        <v>5</v>
      </c>
      <c r="H6" s="9">
        <f t="shared" si="0"/>
        <v>200</v>
      </c>
      <c r="I6" s="10">
        <v>1</v>
      </c>
      <c r="J6" s="11">
        <v>100</v>
      </c>
      <c r="K6" s="11">
        <v>120</v>
      </c>
      <c r="L6" s="11" t="s">
        <v>27</v>
      </c>
      <c r="M6" s="11">
        <f>J6*I6</f>
        <v>100</v>
      </c>
      <c r="N6" s="11">
        <f>K6*I6</f>
        <v>120</v>
      </c>
      <c r="O6" s="17">
        <f>0.36*I6</f>
        <v>0.36</v>
      </c>
    </row>
    <row r="7" spans="1:15" ht="27.75" customHeight="1" x14ac:dyDescent="0.15">
      <c r="A7" s="9">
        <v>5</v>
      </c>
      <c r="B7" s="19" t="s">
        <v>19</v>
      </c>
      <c r="C7" s="24" t="s">
        <v>20</v>
      </c>
      <c r="D7" s="27"/>
      <c r="E7" s="9">
        <f t="shared" ref="E7:E9" si="5">I7*H7</f>
        <v>9000</v>
      </c>
      <c r="F7" s="9">
        <v>20</v>
      </c>
      <c r="G7" s="9">
        <v>50</v>
      </c>
      <c r="H7" s="9">
        <f t="shared" ref="H7" si="6">F7*G7</f>
        <v>1000</v>
      </c>
      <c r="I7" s="9">
        <v>9</v>
      </c>
      <c r="J7" s="12">
        <v>850</v>
      </c>
      <c r="K7" s="12">
        <f t="shared" si="1"/>
        <v>870</v>
      </c>
      <c r="L7" s="12" t="s">
        <v>18</v>
      </c>
      <c r="M7" s="12">
        <f t="shared" ref="M7" si="7">J7*I7</f>
        <v>7650</v>
      </c>
      <c r="N7" s="12">
        <f t="shared" ref="N7" si="8">K7*I7</f>
        <v>7830</v>
      </c>
      <c r="O7" s="16">
        <f>0.54*I7</f>
        <v>4.8600000000000003</v>
      </c>
    </row>
    <row r="8" spans="1:15" ht="27.75" customHeight="1" x14ac:dyDescent="0.15">
      <c r="A8" s="9">
        <v>6</v>
      </c>
      <c r="B8" s="20"/>
      <c r="C8" s="25"/>
      <c r="D8" s="20"/>
      <c r="E8" s="9">
        <f t="shared" si="5"/>
        <v>580</v>
      </c>
      <c r="F8" s="9">
        <v>20</v>
      </c>
      <c r="G8" s="9">
        <v>29</v>
      </c>
      <c r="H8" s="9">
        <f t="shared" si="0"/>
        <v>580</v>
      </c>
      <c r="I8" s="9">
        <v>1</v>
      </c>
      <c r="J8" s="12">
        <v>493</v>
      </c>
      <c r="K8" s="12">
        <f t="shared" si="1"/>
        <v>513</v>
      </c>
      <c r="L8" s="12" t="s">
        <v>28</v>
      </c>
      <c r="M8" s="12">
        <f t="shared" si="2"/>
        <v>493</v>
      </c>
      <c r="N8" s="12">
        <f t="shared" si="3"/>
        <v>513</v>
      </c>
      <c r="O8" s="16">
        <f>0.41*I8</f>
        <v>0.41</v>
      </c>
    </row>
    <row r="9" spans="1:15" ht="27" customHeight="1" x14ac:dyDescent="0.15">
      <c r="A9" s="9">
        <v>7</v>
      </c>
      <c r="B9" s="19" t="s">
        <v>21</v>
      </c>
      <c r="C9" s="24" t="s">
        <v>22</v>
      </c>
      <c r="D9" s="27"/>
      <c r="E9" s="9">
        <f t="shared" si="5"/>
        <v>5000</v>
      </c>
      <c r="F9" s="9">
        <v>20</v>
      </c>
      <c r="G9" s="9">
        <v>50</v>
      </c>
      <c r="H9" s="9">
        <f t="shared" si="0"/>
        <v>1000</v>
      </c>
      <c r="I9" s="9">
        <v>5</v>
      </c>
      <c r="J9" s="12">
        <v>950</v>
      </c>
      <c r="K9" s="12">
        <f t="shared" si="1"/>
        <v>970</v>
      </c>
      <c r="L9" s="12" t="s">
        <v>26</v>
      </c>
      <c r="M9" s="12">
        <f t="shared" si="2"/>
        <v>4750</v>
      </c>
      <c r="N9" s="12">
        <f t="shared" si="3"/>
        <v>4850</v>
      </c>
      <c r="O9" s="16">
        <f>0.54*I9</f>
        <v>2.7</v>
      </c>
    </row>
    <row r="10" spans="1:15" ht="27" customHeight="1" x14ac:dyDescent="0.15">
      <c r="A10" s="9">
        <v>8</v>
      </c>
      <c r="B10" s="23"/>
      <c r="C10" s="26"/>
      <c r="D10" s="33"/>
      <c r="E10" s="24">
        <v>810</v>
      </c>
      <c r="F10" s="9">
        <v>20</v>
      </c>
      <c r="G10" s="10">
        <v>40</v>
      </c>
      <c r="H10" s="9">
        <f t="shared" si="0"/>
        <v>800</v>
      </c>
      <c r="I10" s="24">
        <v>1</v>
      </c>
      <c r="J10" s="19">
        <v>769.5</v>
      </c>
      <c r="K10" s="19">
        <f>J10+20</f>
        <v>789.5</v>
      </c>
      <c r="L10" s="27" t="s">
        <v>26</v>
      </c>
      <c r="M10" s="19">
        <f>J10*I10</f>
        <v>769.5</v>
      </c>
      <c r="N10" s="19">
        <f>K10*I10</f>
        <v>789.5</v>
      </c>
      <c r="O10" s="21">
        <f>0.54*I10</f>
        <v>0.54</v>
      </c>
    </row>
    <row r="11" spans="1:15" ht="27" customHeight="1" x14ac:dyDescent="0.15">
      <c r="A11" s="9">
        <v>9</v>
      </c>
      <c r="B11" s="23"/>
      <c r="C11" s="26"/>
      <c r="D11" s="33"/>
      <c r="E11" s="25"/>
      <c r="F11" s="12">
        <v>10</v>
      </c>
      <c r="G11" s="10">
        <v>1</v>
      </c>
      <c r="H11" s="9">
        <f t="shared" si="0"/>
        <v>10</v>
      </c>
      <c r="I11" s="25"/>
      <c r="J11" s="20"/>
      <c r="K11" s="20"/>
      <c r="L11" s="20"/>
      <c r="M11" s="20"/>
      <c r="N11" s="20"/>
      <c r="O11" s="22"/>
    </row>
    <row r="12" spans="1:15" ht="27.75" customHeight="1" x14ac:dyDescent="0.15">
      <c r="A12" s="9">
        <v>10</v>
      </c>
      <c r="B12" s="23"/>
      <c r="C12" s="26"/>
      <c r="D12" s="33"/>
      <c r="E12" s="18">
        <v>600</v>
      </c>
      <c r="F12" s="12">
        <v>20</v>
      </c>
      <c r="G12" s="10">
        <v>30</v>
      </c>
      <c r="H12" s="9">
        <f t="shared" si="0"/>
        <v>600</v>
      </c>
      <c r="I12" s="18">
        <v>1</v>
      </c>
      <c r="J12" s="12">
        <v>570</v>
      </c>
      <c r="K12" s="12">
        <f t="shared" ref="K12" si="9">J12+20</f>
        <v>590</v>
      </c>
      <c r="L12" s="12" t="s">
        <v>26</v>
      </c>
      <c r="M12" s="12">
        <f t="shared" ref="M12" si="10">J12*I12</f>
        <v>570</v>
      </c>
      <c r="N12" s="12">
        <f t="shared" ref="N12" si="11">K12*I12</f>
        <v>590</v>
      </c>
      <c r="O12" s="16">
        <f>0.54*I12</f>
        <v>0.54</v>
      </c>
    </row>
    <row r="13" spans="1:15" ht="27.75" customHeight="1" x14ac:dyDescent="0.15">
      <c r="A13" s="9">
        <v>11</v>
      </c>
      <c r="B13" s="23"/>
      <c r="C13" s="26"/>
      <c r="D13" s="33"/>
      <c r="E13" s="24">
        <v>190</v>
      </c>
      <c r="F13" s="9">
        <v>20</v>
      </c>
      <c r="G13" s="10">
        <v>9</v>
      </c>
      <c r="H13" s="9">
        <f t="shared" ref="H13:H15" si="12">F13*G13</f>
        <v>180</v>
      </c>
      <c r="I13" s="24">
        <v>1</v>
      </c>
      <c r="J13" s="19">
        <v>180.5</v>
      </c>
      <c r="K13" s="34">
        <v>220</v>
      </c>
      <c r="L13" s="19" t="s">
        <v>27</v>
      </c>
      <c r="M13" s="19">
        <f>J13*I13</f>
        <v>180.5</v>
      </c>
      <c r="N13" s="19">
        <f>K13*I13</f>
        <v>220</v>
      </c>
      <c r="O13" s="21">
        <f>0.36*I13</f>
        <v>0.36</v>
      </c>
    </row>
    <row r="14" spans="1:15" ht="27.75" customHeight="1" x14ac:dyDescent="0.15">
      <c r="A14" s="9">
        <v>12</v>
      </c>
      <c r="B14" s="23"/>
      <c r="C14" s="26"/>
      <c r="D14" s="33"/>
      <c r="E14" s="25"/>
      <c r="F14" s="12">
        <v>10</v>
      </c>
      <c r="G14" s="10">
        <v>1</v>
      </c>
      <c r="H14" s="9">
        <f t="shared" si="12"/>
        <v>10</v>
      </c>
      <c r="I14" s="25"/>
      <c r="J14" s="20"/>
      <c r="K14" s="35"/>
      <c r="L14" s="20"/>
      <c r="M14" s="20"/>
      <c r="N14" s="20"/>
      <c r="O14" s="22"/>
    </row>
    <row r="15" spans="1:15" ht="27.75" customHeight="1" x14ac:dyDescent="0.15">
      <c r="A15" s="9">
        <v>13</v>
      </c>
      <c r="B15" s="23"/>
      <c r="C15" s="26"/>
      <c r="D15" s="33"/>
      <c r="E15" s="9">
        <v>100</v>
      </c>
      <c r="F15" s="9">
        <v>20</v>
      </c>
      <c r="G15" s="9">
        <v>5</v>
      </c>
      <c r="H15" s="9">
        <f t="shared" si="12"/>
        <v>100</v>
      </c>
      <c r="I15" s="9">
        <v>1</v>
      </c>
      <c r="J15" s="12">
        <v>95</v>
      </c>
      <c r="K15" s="12">
        <v>115</v>
      </c>
      <c r="L15" s="12" t="s">
        <v>27</v>
      </c>
      <c r="M15" s="12">
        <f t="shared" ref="M15" si="13">J15*I15</f>
        <v>95</v>
      </c>
      <c r="N15" s="12">
        <f t="shared" ref="N15" si="14">K15*I15</f>
        <v>115</v>
      </c>
      <c r="O15" s="16">
        <f>0.54*I15</f>
        <v>0.54</v>
      </c>
    </row>
    <row r="16" spans="1:15" ht="35.25" customHeight="1" x14ac:dyDescent="0.15">
      <c r="A16" s="28" t="s">
        <v>23</v>
      </c>
      <c r="B16" s="29"/>
      <c r="C16" s="30"/>
      <c r="D16" s="9"/>
      <c r="E16" s="9">
        <f>SUM(E3:E15)</f>
        <v>37190</v>
      </c>
      <c r="F16" s="9"/>
      <c r="G16" s="9"/>
      <c r="H16" s="9"/>
      <c r="I16" s="9">
        <f>SUM(I3:I15)</f>
        <v>33</v>
      </c>
      <c r="J16" s="9"/>
      <c r="K16" s="9"/>
      <c r="L16" s="13"/>
      <c r="M16" s="9">
        <f>SUM(M3:M15)</f>
        <v>24963</v>
      </c>
      <c r="N16" s="9">
        <f>SUM(N3:N15)</f>
        <v>25642.5</v>
      </c>
      <c r="O16" s="14">
        <f>SUM(O3:O15)</f>
        <v>17.329999999999998</v>
      </c>
    </row>
    <row r="17" spans="1:15" ht="21" customHeight="1" x14ac:dyDescent="0.15">
      <c r="A17" s="1"/>
      <c r="B17" s="1"/>
      <c r="C17" s="2"/>
      <c r="D17" s="1"/>
      <c r="E17" s="1"/>
      <c r="F17" s="1"/>
      <c r="G17" s="3"/>
      <c r="H17" s="1"/>
      <c r="I17" s="1"/>
      <c r="J17" s="1"/>
      <c r="K17" s="1"/>
      <c r="L17" s="1"/>
      <c r="M17" s="1"/>
      <c r="N17" s="1"/>
      <c r="O17" s="8"/>
    </row>
    <row r="18" spans="1:15" ht="21" customHeight="1" x14ac:dyDescent="0.15">
      <c r="A18" s="1"/>
      <c r="B18" s="1" t="s">
        <v>24</v>
      </c>
      <c r="C18" s="4"/>
      <c r="D18" s="3"/>
      <c r="E18" s="3"/>
      <c r="F18" s="3"/>
      <c r="G18" s="5"/>
      <c r="H18" s="3"/>
      <c r="I18" s="3"/>
      <c r="J18" s="3"/>
      <c r="K18" s="3"/>
      <c r="L18" s="1"/>
      <c r="M18" s="1"/>
      <c r="N18" s="1"/>
      <c r="O18" s="8"/>
    </row>
    <row r="19" spans="1:15" ht="14.25" x14ac:dyDescent="0.15">
      <c r="A19" s="6"/>
      <c r="B19" s="6"/>
      <c r="C19" s="2"/>
      <c r="D19" s="5"/>
      <c r="E19" s="5"/>
      <c r="F19" s="5"/>
      <c r="G19" s="5"/>
      <c r="H19" s="5"/>
      <c r="I19" s="5"/>
      <c r="J19" s="5"/>
      <c r="K19" s="5"/>
      <c r="L19" s="31" t="s">
        <v>25</v>
      </c>
      <c r="M19" s="31"/>
      <c r="N19" s="31"/>
      <c r="O19" s="31"/>
    </row>
    <row r="20" spans="1:15" ht="14.25" x14ac:dyDescent="0.15">
      <c r="A20" s="6"/>
      <c r="B20" s="6"/>
      <c r="C20" s="2"/>
      <c r="D20" s="5"/>
      <c r="E20" s="5"/>
      <c r="F20" s="5"/>
      <c r="G20" s="5"/>
      <c r="H20" s="5"/>
      <c r="I20" s="5"/>
      <c r="J20" s="5"/>
      <c r="K20" s="5"/>
      <c r="L20" s="31">
        <v>45737</v>
      </c>
      <c r="M20" s="31"/>
      <c r="N20" s="31"/>
      <c r="O20" s="31"/>
    </row>
    <row r="21" spans="1:15" x14ac:dyDescent="0.15">
      <c r="A21" s="7"/>
      <c r="B21" s="7"/>
      <c r="C21" s="5"/>
      <c r="D21" s="5"/>
      <c r="E21" s="5"/>
      <c r="F21" s="5"/>
      <c r="G21" s="7"/>
      <c r="H21" s="5"/>
      <c r="I21" s="5"/>
      <c r="J21" s="5"/>
      <c r="K21" s="5"/>
      <c r="L21" s="7"/>
      <c r="M21" s="7"/>
      <c r="N21" s="7"/>
      <c r="O21" s="7"/>
    </row>
    <row r="22" spans="1:15" x14ac:dyDescent="0.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15">
      <c r="A23" s="7"/>
      <c r="B23" s="7"/>
      <c r="C23" s="7"/>
      <c r="D23" s="7"/>
      <c r="E23" s="7"/>
      <c r="F23" s="7"/>
      <c r="H23" s="7"/>
      <c r="I23" s="7"/>
      <c r="J23" s="7"/>
      <c r="K23" s="7"/>
      <c r="L23" s="7"/>
      <c r="M23" s="7"/>
      <c r="N23" s="7"/>
      <c r="O23" s="7"/>
    </row>
    <row r="24" spans="1:15" x14ac:dyDescent="0.15">
      <c r="A24" s="7"/>
      <c r="B24" s="7"/>
      <c r="C24" s="7"/>
      <c r="D24" s="7"/>
      <c r="G24" s="7"/>
    </row>
    <row r="25" spans="1:15" x14ac:dyDescent="0.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15">
      <c r="A27" s="7"/>
      <c r="B27" s="7"/>
      <c r="C27" s="7"/>
      <c r="D27" s="7"/>
      <c r="E27" s="7"/>
      <c r="F27" s="7"/>
      <c r="H27" s="7"/>
      <c r="I27" s="7"/>
      <c r="J27" s="7"/>
      <c r="K27" s="7"/>
      <c r="L27" s="7"/>
      <c r="M27" s="7"/>
      <c r="N27" s="7"/>
      <c r="O27" s="7"/>
    </row>
  </sheetData>
  <mergeCells count="37">
    <mergeCell ref="A1:O1"/>
    <mergeCell ref="D3:D6"/>
    <mergeCell ref="D7:D8"/>
    <mergeCell ref="D9:D15"/>
    <mergeCell ref="I13:I14"/>
    <mergeCell ref="J13:J14"/>
    <mergeCell ref="K13:K14"/>
    <mergeCell ref="L13:L14"/>
    <mergeCell ref="A16:C16"/>
    <mergeCell ref="L19:O19"/>
    <mergeCell ref="L20:O20"/>
    <mergeCell ref="B3:B6"/>
    <mergeCell ref="C3:C6"/>
    <mergeCell ref="E4:E5"/>
    <mergeCell ref="I4:I5"/>
    <mergeCell ref="J4:J5"/>
    <mergeCell ref="K4:K5"/>
    <mergeCell ref="L4:L5"/>
    <mergeCell ref="I10:I11"/>
    <mergeCell ref="J10:J11"/>
    <mergeCell ref="K10:K11"/>
    <mergeCell ref="L10:L11"/>
    <mergeCell ref="M10:M11"/>
    <mergeCell ref="B9:B15"/>
    <mergeCell ref="B7:B8"/>
    <mergeCell ref="C7:C8"/>
    <mergeCell ref="C9:C15"/>
    <mergeCell ref="E10:E11"/>
    <mergeCell ref="E13:E14"/>
    <mergeCell ref="M13:M14"/>
    <mergeCell ref="N13:N14"/>
    <mergeCell ref="O13:O14"/>
    <mergeCell ref="M4:M5"/>
    <mergeCell ref="N4:N5"/>
    <mergeCell ref="O4:O5"/>
    <mergeCell ref="N10:N11"/>
    <mergeCell ref="O10:O11"/>
  </mergeCells>
  <phoneticPr fontId="7" type="noConversion"/>
  <pageMargins left="0.7" right="0.7" top="0.75" bottom="0.75" header="0.3" footer="0.3"/>
  <pageSetup paperSize="9" scale="9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2025-03-21T05:57:32Z</cp:lastPrinted>
  <dcterms:created xsi:type="dcterms:W3CDTF">2006-09-13T11:21:00Z</dcterms:created>
  <dcterms:modified xsi:type="dcterms:W3CDTF">2025-03-21T05:57:50Z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A200758EDF514EDDA77764A225D62735_13</vt:lpwstr>
  </property>
  <property fmtid="{D5CDD505-2E9C-101B-9397-08002B2CF9AE}" pid="3" name="KSOProductBuildVer">
    <vt:lpwstr>2052-12.1.0.18276</vt:lpwstr>
  </property>
</Properties>
</file>