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B9D7738D-1377-4A95-B881-6EBCAD9C09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K4" i="1"/>
  <c r="K6" i="1"/>
  <c r="N6" i="1" s="1"/>
  <c r="E3" i="1"/>
  <c r="E8" i="1"/>
  <c r="H5" i="1"/>
  <c r="O4" i="1"/>
  <c r="N4" i="1"/>
  <c r="M4" i="1"/>
  <c r="H4" i="1"/>
  <c r="H7" i="1"/>
  <c r="M6" i="1"/>
  <c r="H6" i="1"/>
  <c r="I8" i="1"/>
  <c r="O3" i="1"/>
  <c r="M3" i="1"/>
  <c r="K3" i="1"/>
  <c r="N3" i="1" s="1"/>
  <c r="H3" i="1"/>
  <c r="M8" i="1" l="1"/>
  <c r="O8" i="1"/>
  <c r="N8" i="1"/>
</calcChain>
</file>

<file path=xl/sharedStrings.xml><?xml version="1.0" encoding="utf-8"?>
<sst xmlns="http://schemas.openxmlformats.org/spreadsheetml/2006/main" count="25" uniqueCount="24">
  <si>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</si>
  <si>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</si>
  <si>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</si>
  <si>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</si>
  <si>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</si>
  <si>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</si>
  <si>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</si>
  <si>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</si>
  <si>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</si>
  <si>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</si>
  <si>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</si>
  <si>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</si>
  <si>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</si>
  <si>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</si>
  <si>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</si>
  <si>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</si>
  <si>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</si>
  <si>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</si>
  <si>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合计</t>
  </si>
  <si>
    <t>唛头：</t>
  </si>
  <si>
    <t>苏州苏德兰铁路配套有限公司</t>
  </si>
  <si>
    <t>950*950*600
0.54</t>
    <phoneticPr fontId="7" type="noConversion"/>
  </si>
  <si>
    <t>950*950*350
0.32</t>
    <phoneticPr fontId="7" type="noConversion"/>
  </si>
  <si>
    <t>P202410180001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</si>
</sst>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1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topLeftCell="A2" zoomScale="115" zoomScaleNormal="115" workbookViewId="0">
      <selection activeCell="F3" sqref="F3:H7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1" t="s">
        <v>10</v>
      </c>
      <c r="K2" s="11" t="s">
        <v>11</v>
      </c>
      <c r="L2" s="9" t="s">
        <v>12</v>
      </c>
      <c r="M2" s="11" t="s">
        <v>13</v>
      </c>
      <c r="N2" s="11" t="s">
        <v>14</v>
      </c>
      <c r="O2" s="11" t="s">
        <v>15</v>
      </c>
    </row>
    <row r="3" spans="1:15" ht="53.25" customHeight="1" x14ac:dyDescent="0.15">
      <c r="A3" s="9">
        <v>1</v>
      </c>
      <c r="B3" s="23" t="s">
        <v>16</v>
      </c>
      <c r="C3" s="21" t="s">
        <v>17</v>
      </c>
      <c r="D3" s="23" t="s">
        <v>23</v>
      </c>
      <c r="E3" s="9">
        <f>I3*H3</f>
        <v>35200</v>
      </c>
      <c r="F3" s="9">
        <v>40</v>
      </c>
      <c r="G3" s="9">
        <v>40</v>
      </c>
      <c r="H3" s="9">
        <f t="shared" ref="H3:H5" si="0">F3*G3</f>
        <v>1600</v>
      </c>
      <c r="I3" s="9">
        <v>22</v>
      </c>
      <c r="J3" s="11">
        <v>800</v>
      </c>
      <c r="K3" s="11">
        <f t="shared" ref="K3:K7" si="1">J3+20</f>
        <v>820</v>
      </c>
      <c r="L3" s="14" t="s">
        <v>21</v>
      </c>
      <c r="M3" s="11">
        <f t="shared" ref="M3" si="2">J3*I3</f>
        <v>17600</v>
      </c>
      <c r="N3" s="11">
        <f t="shared" ref="N3" si="3">K3*I3</f>
        <v>18040</v>
      </c>
      <c r="O3" s="15">
        <f>0.54*I3</f>
        <v>11.88</v>
      </c>
    </row>
    <row r="4" spans="1:15" ht="30.75" customHeight="1" x14ac:dyDescent="0.15">
      <c r="A4" s="9">
        <v>2</v>
      </c>
      <c r="B4" s="19"/>
      <c r="C4" s="28"/>
      <c r="D4" s="18"/>
      <c r="E4" s="21">
        <v>1340</v>
      </c>
      <c r="F4" s="9">
        <v>40</v>
      </c>
      <c r="G4" s="10">
        <v>33</v>
      </c>
      <c r="H4" s="9">
        <f t="shared" si="0"/>
        <v>1320</v>
      </c>
      <c r="I4" s="21">
        <v>1</v>
      </c>
      <c r="J4" s="23">
        <v>670</v>
      </c>
      <c r="K4" s="23">
        <f t="shared" si="1"/>
        <v>690</v>
      </c>
      <c r="L4" s="17" t="s">
        <v>21</v>
      </c>
      <c r="M4" s="23">
        <f>J4*I4</f>
        <v>670</v>
      </c>
      <c r="N4" s="23">
        <f>K4*I4</f>
        <v>690</v>
      </c>
      <c r="O4" s="29">
        <f>0.54*I4</f>
        <v>0.54</v>
      </c>
    </row>
    <row r="5" spans="1:15" ht="30.75" customHeight="1" x14ac:dyDescent="0.15">
      <c r="A5" s="9">
        <v>3</v>
      </c>
      <c r="B5" s="19"/>
      <c r="C5" s="28"/>
      <c r="D5" s="18"/>
      <c r="E5" s="22"/>
      <c r="F5" s="11">
        <v>20</v>
      </c>
      <c r="G5" s="10">
        <v>1</v>
      </c>
      <c r="H5" s="9">
        <f t="shared" si="0"/>
        <v>20</v>
      </c>
      <c r="I5" s="22"/>
      <c r="J5" s="20"/>
      <c r="K5" s="20"/>
      <c r="L5" s="20"/>
      <c r="M5" s="20"/>
      <c r="N5" s="20"/>
      <c r="O5" s="30"/>
    </row>
    <row r="6" spans="1:15" ht="30.75" customHeight="1" x14ac:dyDescent="0.15">
      <c r="A6" s="9">
        <v>4</v>
      </c>
      <c r="B6" s="19"/>
      <c r="C6" s="28"/>
      <c r="D6" s="18"/>
      <c r="E6" s="21">
        <v>460</v>
      </c>
      <c r="F6" s="9">
        <v>40</v>
      </c>
      <c r="G6" s="10">
        <v>11</v>
      </c>
      <c r="H6" s="9">
        <f t="shared" ref="H6:H7" si="4">F6*G6</f>
        <v>440</v>
      </c>
      <c r="I6" s="21">
        <v>1</v>
      </c>
      <c r="J6" s="23">
        <v>230</v>
      </c>
      <c r="K6" s="23">
        <f t="shared" si="1"/>
        <v>250</v>
      </c>
      <c r="L6" s="23" t="s">
        <v>22</v>
      </c>
      <c r="M6" s="23">
        <f>J6*I6</f>
        <v>230</v>
      </c>
      <c r="N6" s="23">
        <f>K6*I6</f>
        <v>250</v>
      </c>
      <c r="O6" s="29">
        <f>0.32*I6</f>
        <v>0.32</v>
      </c>
    </row>
    <row r="7" spans="1:15" ht="30.75" customHeight="1" x14ac:dyDescent="0.15">
      <c r="A7" s="9">
        <v>5</v>
      </c>
      <c r="B7" s="19"/>
      <c r="C7" s="28"/>
      <c r="D7" s="18"/>
      <c r="E7" s="22"/>
      <c r="F7" s="11">
        <v>20</v>
      </c>
      <c r="G7" s="10">
        <v>1</v>
      </c>
      <c r="H7" s="9">
        <f t="shared" si="4"/>
        <v>20</v>
      </c>
      <c r="I7" s="22"/>
      <c r="J7" s="20"/>
      <c r="K7" s="20"/>
      <c r="L7" s="20"/>
      <c r="M7" s="20"/>
      <c r="N7" s="20"/>
      <c r="O7" s="30"/>
    </row>
    <row r="8" spans="1:15" ht="35.25" customHeight="1" x14ac:dyDescent="0.15">
      <c r="A8" s="24" t="s">
        <v>18</v>
      </c>
      <c r="B8" s="25"/>
      <c r="C8" s="26"/>
      <c r="D8" s="9"/>
      <c r="E8" s="9">
        <f>SUM(E3:E7)</f>
        <v>37000</v>
      </c>
      <c r="F8" s="9"/>
      <c r="G8" s="9"/>
      <c r="H8" s="9"/>
      <c r="I8" s="9">
        <f>SUM(I3:I7)</f>
        <v>24</v>
      </c>
      <c r="J8" s="9"/>
      <c r="K8" s="9"/>
      <c r="L8" s="12"/>
      <c r="M8" s="9">
        <f>SUM(M3:M7)</f>
        <v>18500</v>
      </c>
      <c r="N8" s="9">
        <f>SUM(N3:N7)</f>
        <v>18980</v>
      </c>
      <c r="O8" s="13">
        <f>SUM(O3:O7)</f>
        <v>12.740000000000002</v>
      </c>
    </row>
    <row r="9" spans="1:15" ht="21" customHeight="1" x14ac:dyDescent="0.15">
      <c r="A9" s="1"/>
      <c r="B9" s="1"/>
      <c r="C9" s="2"/>
      <c r="D9" s="1"/>
      <c r="E9" s="1"/>
      <c r="F9" s="1"/>
      <c r="G9" s="3"/>
      <c r="H9" s="1"/>
      <c r="I9" s="1"/>
      <c r="J9" s="1"/>
      <c r="K9" s="1"/>
      <c r="L9" s="1"/>
      <c r="M9" s="1"/>
      <c r="N9" s="1"/>
      <c r="O9" s="8"/>
    </row>
    <row r="10" spans="1:15" ht="21" customHeight="1" x14ac:dyDescent="0.15">
      <c r="A10" s="1"/>
      <c r="B10" s="1" t="s">
        <v>19</v>
      </c>
      <c r="C10" s="4"/>
      <c r="D10" s="3"/>
      <c r="E10" s="3"/>
      <c r="F10" s="3"/>
      <c r="G10" s="5"/>
      <c r="H10" s="3"/>
      <c r="I10" s="3"/>
      <c r="J10" s="3"/>
      <c r="K10" s="3"/>
      <c r="L10" s="1"/>
      <c r="M10" s="1"/>
      <c r="N10" s="1"/>
      <c r="O10" s="8"/>
    </row>
    <row r="11" spans="1:15" ht="14.25" x14ac:dyDescent="0.15">
      <c r="A11" s="6"/>
      <c r="B11" s="6"/>
      <c r="C11" s="2"/>
      <c r="D11" s="5"/>
      <c r="E11" s="5"/>
      <c r="F11" s="5"/>
      <c r="G11" s="5"/>
      <c r="H11" s="5"/>
      <c r="I11" s="5"/>
      <c r="J11" s="5"/>
      <c r="K11" s="5"/>
      <c r="L11" s="27" t="s">
        <v>20</v>
      </c>
      <c r="M11" s="27"/>
      <c r="N11" s="27"/>
      <c r="O11" s="27"/>
    </row>
    <row r="12" spans="1:15" ht="14.25" x14ac:dyDescent="0.15">
      <c r="A12" s="6"/>
      <c r="B12" s="6"/>
      <c r="C12" s="2"/>
      <c r="D12" s="5"/>
      <c r="E12" s="5"/>
      <c r="F12" s="5"/>
      <c r="G12" s="5"/>
      <c r="H12" s="5"/>
      <c r="I12" s="5"/>
      <c r="J12" s="5"/>
      <c r="K12" s="5"/>
      <c r="L12" s="27">
        <v>45922</v>
      </c>
      <c r="M12" s="27"/>
      <c r="N12" s="27"/>
      <c r="O12" s="27"/>
    </row>
    <row r="13" spans="1:15" x14ac:dyDescent="0.15">
      <c r="A13" s="7"/>
      <c r="B13" s="7"/>
      <c r="C13" s="5"/>
      <c r="D13" s="5"/>
      <c r="E13" s="5"/>
      <c r="F13" s="5"/>
      <c r="G13" s="7"/>
      <c r="H13" s="5"/>
      <c r="I13" s="5"/>
      <c r="J13" s="5"/>
      <c r="K13" s="5"/>
      <c r="L13" s="7"/>
      <c r="M13" s="7"/>
      <c r="N13" s="7"/>
      <c r="O13" s="7"/>
    </row>
    <row r="14" spans="1:15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15">
      <c r="A15" s="7"/>
      <c r="B15" s="7"/>
      <c r="C15" s="7"/>
      <c r="D15" s="7"/>
      <c r="E15" s="7"/>
      <c r="F15" s="7"/>
      <c r="H15" s="7"/>
      <c r="I15" s="7"/>
      <c r="J15" s="7"/>
      <c r="K15" s="7"/>
      <c r="L15" s="7"/>
      <c r="M15" s="7"/>
      <c r="N15" s="7"/>
      <c r="O15" s="7"/>
    </row>
    <row r="16" spans="1:15" x14ac:dyDescent="0.15">
      <c r="A16" s="7"/>
      <c r="B16" s="7"/>
      <c r="C16" s="7"/>
      <c r="D16" s="7"/>
      <c r="G16" s="7"/>
    </row>
    <row r="17" spans="1:15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15">
      <c r="A19" s="7"/>
      <c r="B19" s="7"/>
      <c r="C19" s="7"/>
      <c r="D19" s="7"/>
      <c r="E19" s="7"/>
      <c r="F19" s="7"/>
      <c r="H19" s="7"/>
      <c r="I19" s="7"/>
      <c r="J19" s="7"/>
      <c r="K19" s="7"/>
      <c r="L19" s="7"/>
      <c r="M19" s="7"/>
      <c r="N19" s="7"/>
      <c r="O19" s="7"/>
    </row>
  </sheetData>
  <mergeCells count="23">
    <mergeCell ref="M4:M5"/>
    <mergeCell ref="N4:N5"/>
    <mergeCell ref="O4:O5"/>
    <mergeCell ref="E4:E5"/>
    <mergeCell ref="I4:I5"/>
    <mergeCell ref="J4:J5"/>
    <mergeCell ref="K4:K5"/>
    <mergeCell ref="L4:L5"/>
    <mergeCell ref="M6:M7"/>
    <mergeCell ref="N6:N7"/>
    <mergeCell ref="O6:O7"/>
    <mergeCell ref="A8:C8"/>
    <mergeCell ref="L11:O11"/>
    <mergeCell ref="L12:O12"/>
    <mergeCell ref="B3:B7"/>
    <mergeCell ref="C3:C7"/>
    <mergeCell ref="E6:E7"/>
    <mergeCell ref="I6:I7"/>
    <mergeCell ref="J6:J7"/>
    <mergeCell ref="K6:K7"/>
    <mergeCell ref="L6:L7"/>
    <mergeCell ref="A1:O1"/>
    <mergeCell ref="D3:D7"/>
  </mergeCells>
  <phoneticPr fontId="7" type="noConversion"/>
  <pageMargins left="0.7" right="0.7" top="0.75" bottom="0.75" header="0.3" footer="0.3"/>
  <pageSetup paperSize="9" scale="9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2025-03-21T05:57:32Z</cp:lastPrinted>
  <dcterms:created xsi:type="dcterms:W3CDTF">2006-09-13T11:21:00Z</dcterms:created>
  <dcterms:modified xsi:type="dcterms:W3CDTF">2025-09-22T06:36:12Z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