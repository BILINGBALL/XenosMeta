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国际潘德路\西班牙 23-160.5 26600套 11-8\"/>
    </mc:Choice>
  </mc:AlternateContent>
  <xr:revisionPtr revIDLastSave="0" documentId="13_ncr:1_{E40033B1-7D2F-4E04-B8AB-6DFA13263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F4" i="2"/>
  <c r="H4" i="2"/>
  <c r="J4" i="2" s="1"/>
  <c r="M4" i="2"/>
  <c r="K5" i="2" l="1"/>
  <c r="O4" i="2"/>
  <c r="P4" i="2"/>
  <c r="Q3" i="2"/>
  <c r="O3" i="2"/>
  <c r="M3" i="2"/>
  <c r="P3" i="2" s="1"/>
  <c r="J3" i="2"/>
  <c r="F3" i="2" s="1"/>
  <c r="F5" i="2" s="1"/>
  <c r="H3" i="2"/>
  <c r="H5" i="2" s="1"/>
  <c r="O5" i="2" l="1"/>
  <c r="Q5" i="2"/>
  <c r="P5" i="2"/>
</calcChain>
</file>

<file path=xl/sharedStrings.xml><?xml version="1.0" encoding="utf-8"?>
<sst xmlns="http://schemas.openxmlformats.org/spreadsheetml/2006/main" count="29" uniqueCount="25">
  <si>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</si>
  <si>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</si>
  <si>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</si>
  <si>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</si>
  <si>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</si>
  <si>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</si>
  <si>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</si>
  <si>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</si>
  <si>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</si>
  <si>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</si>
  <si>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</si>
  <si>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</si>
  <si>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</si>
  <si>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</si>
  <si>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</si>
  <si>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</si>
  <si>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</si>
  <si>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</si>
  <si>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2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</si>
  <si>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2" type="noConversion"/>
  </si>
  <si>
    <t>23*160.5</t>
    <phoneticPr fontId="12" type="noConversion"/>
  </si>
  <si>
    <t>Coachscrew with washer</t>
    <phoneticPr fontId="12" type="noConversion"/>
  </si>
  <si>
    <t>PC25-02633</t>
    <phoneticPr fontId="12" type="noConversion"/>
  </si>
  <si>
    <t>1/22-21/22</t>
    <phoneticPr fontId="12" type="noConversion"/>
  </si>
  <si>
    <t>22/22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</si>
</sst>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"/>
  <sheetViews>
    <sheetView tabSelected="1" workbookViewId="0">
      <selection activeCell="E5" sqref="E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8" customHeight="1">
      <c r="A3" s="4">
        <v>1</v>
      </c>
      <c r="B3" s="3" t="s">
        <v>21</v>
      </c>
      <c r="C3" s="17" t="s">
        <v>20</v>
      </c>
      <c r="D3" s="13" t="s">
        <v>22</v>
      </c>
      <c r="E3" s="22" t="s">
        <v>23</v>
      </c>
      <c r="F3" s="4">
        <f>J3*K3</f>
        <v>25725</v>
      </c>
      <c r="G3" s="4">
        <v>35</v>
      </c>
      <c r="H3" s="4">
        <f>K3*I3</f>
        <v>735</v>
      </c>
      <c r="I3" s="4">
        <v>35</v>
      </c>
      <c r="J3" s="4">
        <f>G3*I3</f>
        <v>1225</v>
      </c>
      <c r="K3" s="4">
        <v>21</v>
      </c>
      <c r="L3" s="4">
        <v>729</v>
      </c>
      <c r="M3" s="4">
        <f>L3+42</f>
        <v>771</v>
      </c>
      <c r="N3" s="15" t="s">
        <v>18</v>
      </c>
      <c r="O3" s="4">
        <f>L3*K3</f>
        <v>15309</v>
      </c>
      <c r="P3" s="4">
        <f>M3*K3</f>
        <v>16191</v>
      </c>
      <c r="Q3" s="4">
        <f>0.53*K3</f>
        <v>11.13</v>
      </c>
    </row>
    <row r="4" spans="1:17" ht="52.5" customHeight="1">
      <c r="A4" s="4">
        <v>2</v>
      </c>
      <c r="B4" s="23" t="s">
        <v>21</v>
      </c>
      <c r="C4" s="17" t="s">
        <v>20</v>
      </c>
      <c r="D4" s="17" t="s">
        <v>22</v>
      </c>
      <c r="E4" s="24" t="s">
        <v>24</v>
      </c>
      <c r="F4" s="4">
        <f>J4*K4</f>
        <v>875</v>
      </c>
      <c r="G4" s="4">
        <v>35</v>
      </c>
      <c r="H4" s="4">
        <f>K4*I4</f>
        <v>25</v>
      </c>
      <c r="I4" s="4">
        <v>25</v>
      </c>
      <c r="J4" s="4">
        <f>G4*H4</f>
        <v>875</v>
      </c>
      <c r="K4" s="4">
        <v>1</v>
      </c>
      <c r="L4" s="4">
        <v>520</v>
      </c>
      <c r="M4" s="4">
        <f>L4+42</f>
        <v>562</v>
      </c>
      <c r="N4" s="15" t="s">
        <v>18</v>
      </c>
      <c r="O4" s="4">
        <f>L4*K4</f>
        <v>520</v>
      </c>
      <c r="P4" s="4">
        <f>M4*K4</f>
        <v>562</v>
      </c>
      <c r="Q4" s="4">
        <f>0.53*K4</f>
        <v>0.53</v>
      </c>
    </row>
    <row r="5" spans="1:17" ht="35.25" customHeight="1">
      <c r="A5" s="21" t="s">
        <v>17</v>
      </c>
      <c r="B5" s="21"/>
      <c r="C5" s="21"/>
      <c r="D5" s="6"/>
      <c r="E5" s="5"/>
      <c r="F5" s="5">
        <f>SUM(F3:F4)</f>
        <v>26600</v>
      </c>
      <c r="G5" s="5"/>
      <c r="H5" s="5">
        <f>SUM(H3:H4)</f>
        <v>760</v>
      </c>
      <c r="I5" s="5"/>
      <c r="J5" s="5"/>
      <c r="K5" s="5">
        <f>SUM(K3:K4)</f>
        <v>22</v>
      </c>
      <c r="L5" s="5"/>
      <c r="M5" s="5"/>
      <c r="N5" s="9"/>
      <c r="O5" s="5">
        <f>SUM(O3:O4)</f>
        <v>15829</v>
      </c>
      <c r="P5" s="5">
        <f>SUM(P3:P4)</f>
        <v>16753</v>
      </c>
      <c r="Q5" s="5">
        <f>SUM(Q3:Q4)</f>
        <v>11.66</v>
      </c>
    </row>
    <row r="6" spans="1:17" ht="21" customHeight="1">
      <c r="A6" s="16"/>
      <c r="B6" s="11"/>
      <c r="C6" s="14"/>
      <c r="N6" s="10"/>
      <c r="O6" s="10"/>
      <c r="P6" s="10"/>
      <c r="Q6" s="10"/>
    </row>
    <row r="7" spans="1:17" ht="21" customHeight="1">
      <c r="A7" s="10"/>
      <c r="B7" s="12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8.75">
      <c r="A8" s="10"/>
      <c r="B8" s="10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8">
        <v>46003</v>
      </c>
      <c r="O8" s="18"/>
      <c r="P8" s="18"/>
      <c r="Q8" s="18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</sheetData>
  <mergeCells count="3">
    <mergeCell ref="N8:Q8"/>
    <mergeCell ref="A1:Q1"/>
    <mergeCell ref="A5:C5"/>
  </mergeCells>
  <phoneticPr fontId="12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2025-12-12T09:14:03Z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