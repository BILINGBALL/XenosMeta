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C:\Users\lu\Desktop\英国4000件\"/>
    </mc:Choice>
  </mc:AlternateContent>
  <xr:revisionPtr revIDLastSave="0" documentId="13_ncr:1_{A63C5871-171E-41FF-B838-A2D7DAF0336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" i="1" l="1"/>
  <c r="Q6" i="1"/>
  <c r="K6" i="1"/>
  <c r="H6" i="1"/>
  <c r="F6" i="1"/>
  <c r="Q3" i="1"/>
  <c r="M3" i="1"/>
  <c r="H3" i="1"/>
  <c r="J3" i="1"/>
  <c r="O3" i="1"/>
  <c r="P3" i="1"/>
  <c r="F3" i="1"/>
  <c r="Q4" i="1"/>
  <c r="M4" i="1"/>
  <c r="P4" i="1" s="1"/>
  <c r="J4" i="1"/>
  <c r="F4" i="1" s="1"/>
  <c r="O4" i="1"/>
  <c r="O6" i="1" s="1"/>
  <c r="I4" i="1"/>
</calcChain>
</file>

<file path=xl/sharedStrings.xml><?xml version="1.0" encoding="utf-8"?>
<sst xmlns="http://schemas.openxmlformats.org/spreadsheetml/2006/main" count="32" uniqueCount="28">
  <si>
    <r>
      <rPr>
        <b/>
        <sz val="22"/>
        <color rgb="FFFFC000"/>
        <rFont val="宋体"/>
        <family val="3"/>
        <charset val="134"/>
        <scheme val="minor"/>
      </rPr>
      <t>PANDROL</t>
    </r>
    <r>
      <rPr>
        <b/>
        <sz val="16"/>
        <color theme="1"/>
        <rFont val="宋体"/>
        <family val="3"/>
        <charset val="134"/>
        <scheme val="minor"/>
      </rPr>
      <t xml:space="preserve">
PACKING DETAILS
</t>
    </r>
  </si>
  <si>
    <t xml:space="preserve">
No</t>
  </si>
  <si>
    <t xml:space="preserve">
Name</t>
  </si>
  <si>
    <t xml:space="preserve">
Spec.</t>
  </si>
  <si>
    <t xml:space="preserve">
PO</t>
  </si>
  <si>
    <t xml:space="preserve">
Case No.</t>
  </si>
  <si>
    <r>
      <rPr>
        <sz val="9"/>
        <color theme="1"/>
        <rFont val="宋体"/>
        <family val="3"/>
        <charset val="134"/>
        <scheme val="minor"/>
      </rPr>
      <t xml:space="preserve">
</t>
    </r>
    <r>
      <rPr>
        <b/>
        <sz val="9"/>
        <color theme="1"/>
        <rFont val="宋体"/>
        <family val="3"/>
        <charset val="134"/>
        <scheme val="minor"/>
      </rPr>
      <t>Quantity</t>
    </r>
  </si>
  <si>
    <t xml:space="preserve">
Pieces
/bag     (*)</t>
  </si>
  <si>
    <t xml:space="preserve">
Bags</t>
  </si>
  <si>
    <t xml:space="preserve">
Bags
/case</t>
  </si>
  <si>
    <t>Pieces
/case</t>
  </si>
  <si>
    <t xml:space="preserve">
CASE</t>
  </si>
  <si>
    <t>Net weight
NW/CASE
（KG）</t>
  </si>
  <si>
    <t>Gross weight
GW/CASE
（KG）</t>
  </si>
  <si>
    <t>Dimensions (mm) and volume (m3) / case</t>
  </si>
  <si>
    <t>Total Net weight
NW
（KG）</t>
  </si>
  <si>
    <t>Total Gross weight
GW
(KG）</t>
  </si>
  <si>
    <t xml:space="preserve">
Volume M³</t>
  </si>
  <si>
    <t>Coachscrew</t>
  </si>
  <si>
    <t>24*142</t>
  </si>
  <si>
    <r>
      <rPr>
        <b/>
        <sz val="11"/>
        <color theme="1"/>
        <rFont val="宋体"/>
        <family val="3"/>
        <charset val="134"/>
        <scheme val="minor"/>
      </rPr>
      <t>Total</t>
    </r>
    <r>
      <rPr>
        <sz val="10"/>
        <color theme="1"/>
        <rFont val="宋体"/>
        <family val="3"/>
        <charset val="134"/>
        <scheme val="minor"/>
      </rPr>
      <t>：</t>
    </r>
  </si>
  <si>
    <t>(*)</t>
  </si>
  <si>
    <t>1100*800*350
0.31</t>
    <phoneticPr fontId="15" type="noConversion"/>
  </si>
  <si>
    <t>1/4-3/4</t>
    <phoneticPr fontId="15" type="noConversion"/>
  </si>
  <si>
    <t>4/4</t>
    <phoneticPr fontId="15" type="noConversion"/>
  </si>
  <si>
    <t>1100*800*550
0.48</t>
    <phoneticPr fontId="15" type="noConversion"/>
  </si>
  <si>
    <t>PO006711</t>
    <phoneticPr fontId="15" type="noConversion"/>
  </si>
  <si>
    <t>The pieces are packed in a bag : 35（10） pieces per bag and 32（19） bags per case so 1120（640） pieces per case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</si>
</sst>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09]dd\-mmm\-yy;@"/>
  </numFmts>
  <fonts count="16">
    <font>
      <sz val="11"/>
      <color theme="1"/>
      <name val="宋体"/>
      <charset val="134"/>
      <scheme val="minor"/>
    </font>
    <font>
      <b/>
      <sz val="16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b/>
      <sz val="9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color theme="1"/>
      <name val="Arial Unicode MS"/>
      <family val="2"/>
    </font>
    <font>
      <sz val="14"/>
      <color theme="1"/>
      <name val="宋体"/>
      <family val="3"/>
      <charset val="134"/>
      <scheme val="minor"/>
    </font>
    <font>
      <sz val="14"/>
      <color theme="1"/>
      <name val="Arial Unicode MS"/>
      <family val="2"/>
    </font>
    <font>
      <sz val="8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22"/>
      <color rgb="FFFFC000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6" fontId="9" fillId="0" borderId="0" xfId="0" applyNumberFormat="1" applyFont="1">
      <alignment vertical="center"/>
    </xf>
    <xf numFmtId="0" fontId="5" fillId="0" borderId="2" xfId="0" quotePrefix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 wrapText="1"/>
    </xf>
    <xf numFmtId="0" fontId="5" fillId="0" borderId="0" xfId="0" applyFo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9" fillId="0" borderId="0" xfId="0" applyNumberFormat="1" applyFont="1" applyAlignment="1">
      <alignment horizontal="right" vertical="center"/>
    </xf>
    <xf numFmtId="0" fontId="5" fillId="0" borderId="2" xfId="0" quotePrefix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8"/>
  <sheetViews>
    <sheetView tabSelected="1" zoomScale="115" zoomScaleNormal="115" workbookViewId="0">
      <selection activeCell="M4" sqref="M4:M5"/>
    </sheetView>
  </sheetViews>
  <sheetFormatPr defaultColWidth="8.75" defaultRowHeight="13.5"/>
  <cols>
    <col min="1" max="1" width="4.625" customWidth="1"/>
    <col min="2" max="2" width="8.625" customWidth="1"/>
    <col min="3" max="3" width="9.5" customWidth="1"/>
    <col min="4" max="4" width="11.5" customWidth="1"/>
    <col min="5" max="5" width="11.125" customWidth="1"/>
    <col min="6" max="6" width="7.75" customWidth="1"/>
    <col min="7" max="7" width="5.75" customWidth="1"/>
    <col min="8" max="8" width="6.625" customWidth="1"/>
    <col min="9" max="9" width="6.875" customWidth="1"/>
    <col min="10" max="10" width="6.25" customWidth="1"/>
    <col min="11" max="11" width="5.5" customWidth="1"/>
    <col min="12" max="12" width="8.125" customWidth="1"/>
    <col min="13" max="13" width="8.5" customWidth="1"/>
    <col min="14" max="14" width="10.25" customWidth="1"/>
  </cols>
  <sheetData>
    <row r="1" spans="1:17" ht="80.45" customHeight="1">
      <c r="A1" s="21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</row>
    <row r="2" spans="1:17" ht="68.45" customHeight="1">
      <c r="A2" s="1" t="s">
        <v>1</v>
      </c>
      <c r="B2" s="1" t="s">
        <v>2</v>
      </c>
      <c r="C2" s="1" t="s">
        <v>3</v>
      </c>
      <c r="D2" s="2" t="s">
        <v>4</v>
      </c>
      <c r="E2" s="2" t="s">
        <v>5</v>
      </c>
      <c r="F2" s="3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1" t="s">
        <v>15</v>
      </c>
      <c r="P2" s="1" t="s">
        <v>16</v>
      </c>
      <c r="Q2" s="1" t="s">
        <v>17</v>
      </c>
    </row>
    <row r="3" spans="1:17" ht="41.25" customHeight="1">
      <c r="A3" s="4">
        <v>1</v>
      </c>
      <c r="B3" s="5" t="s">
        <v>18</v>
      </c>
      <c r="C3" s="6" t="s">
        <v>19</v>
      </c>
      <c r="D3" s="33" t="s">
        <v>26</v>
      </c>
      <c r="E3" s="17" t="s">
        <v>23</v>
      </c>
      <c r="F3" s="4">
        <f>J3*K3</f>
        <v>3360</v>
      </c>
      <c r="G3" s="7">
        <v>35</v>
      </c>
      <c r="H3" s="7">
        <f>I3*K3</f>
        <v>96</v>
      </c>
      <c r="I3" s="4">
        <v>32</v>
      </c>
      <c r="J3" s="4">
        <f>G3*I3</f>
        <v>1120</v>
      </c>
      <c r="K3" s="4">
        <v>3</v>
      </c>
      <c r="L3" s="18">
        <v>610</v>
      </c>
      <c r="M3" s="18">
        <f>L3+42</f>
        <v>652</v>
      </c>
      <c r="N3" s="19" t="s">
        <v>25</v>
      </c>
      <c r="O3" s="18">
        <f>L3*K3</f>
        <v>1830</v>
      </c>
      <c r="P3" s="18">
        <f>M3*K3</f>
        <v>1956</v>
      </c>
      <c r="Q3" s="18">
        <f>0.48*K3</f>
        <v>1.44</v>
      </c>
    </row>
    <row r="4" spans="1:17" ht="37.5" customHeight="1">
      <c r="A4" s="4">
        <v>2</v>
      </c>
      <c r="B4" s="5" t="s">
        <v>18</v>
      </c>
      <c r="C4" s="6" t="s">
        <v>19</v>
      </c>
      <c r="D4" s="34"/>
      <c r="E4" s="26" t="s">
        <v>24</v>
      </c>
      <c r="F4" s="28">
        <f>J4*K4</f>
        <v>640</v>
      </c>
      <c r="G4" s="7">
        <v>35</v>
      </c>
      <c r="H4" s="7">
        <v>18</v>
      </c>
      <c r="I4" s="28">
        <f>H4+H5</f>
        <v>19</v>
      </c>
      <c r="J4" s="28">
        <f>G4*H4+G5*H5</f>
        <v>640</v>
      </c>
      <c r="K4" s="28">
        <v>1</v>
      </c>
      <c r="L4" s="29">
        <v>349</v>
      </c>
      <c r="M4" s="29">
        <f>L4+30</f>
        <v>379</v>
      </c>
      <c r="N4" s="31" t="s">
        <v>22</v>
      </c>
      <c r="O4" s="29">
        <f>L4*K4</f>
        <v>349</v>
      </c>
      <c r="P4" s="29">
        <f>M4*K4</f>
        <v>379</v>
      </c>
      <c r="Q4" s="29">
        <f>0.31*K4</f>
        <v>0.31</v>
      </c>
    </row>
    <row r="5" spans="1:17" ht="37.5" customHeight="1">
      <c r="A5" s="4">
        <v>3</v>
      </c>
      <c r="B5" s="5" t="s">
        <v>18</v>
      </c>
      <c r="C5" s="6" t="s">
        <v>19</v>
      </c>
      <c r="D5" s="35"/>
      <c r="E5" s="27"/>
      <c r="F5" s="27"/>
      <c r="G5" s="7">
        <v>10</v>
      </c>
      <c r="H5" s="7">
        <v>1</v>
      </c>
      <c r="I5" s="27"/>
      <c r="J5" s="27"/>
      <c r="K5" s="27"/>
      <c r="L5" s="30"/>
      <c r="M5" s="30"/>
      <c r="N5" s="32"/>
      <c r="O5" s="30"/>
      <c r="P5" s="30"/>
      <c r="Q5" s="30"/>
    </row>
    <row r="6" spans="1:17" ht="35.25" customHeight="1">
      <c r="A6" s="23" t="s">
        <v>20</v>
      </c>
      <c r="B6" s="24"/>
      <c r="C6" s="24"/>
      <c r="D6" s="8"/>
      <c r="E6" s="7"/>
      <c r="F6" s="7">
        <f>SUM(F3:F5)</f>
        <v>4000</v>
      </c>
      <c r="G6" s="7"/>
      <c r="H6" s="7">
        <f>SUM(H3:H5)</f>
        <v>115</v>
      </c>
      <c r="I6" s="7"/>
      <c r="J6" s="7"/>
      <c r="K6" s="7">
        <f>SUM(K3:K5)</f>
        <v>4</v>
      </c>
      <c r="L6" s="7"/>
      <c r="M6" s="7"/>
      <c r="N6" s="7"/>
      <c r="O6" s="7">
        <f>SUM(O3:O5)</f>
        <v>2179</v>
      </c>
      <c r="P6" s="7">
        <f t="shared" ref="P6:Q6" si="0">SUM(P3:P5)</f>
        <v>2335</v>
      </c>
      <c r="Q6" s="7">
        <f t="shared" si="0"/>
        <v>1.75</v>
      </c>
    </row>
    <row r="7" spans="1:17" ht="14.45" customHeight="1">
      <c r="A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</row>
    <row r="8" spans="1:17" ht="21" customHeight="1">
      <c r="A8" s="9"/>
      <c r="B8" s="10" t="s">
        <v>21</v>
      </c>
      <c r="C8" s="20" t="s">
        <v>27</v>
      </c>
      <c r="N8" s="9"/>
      <c r="O8" s="9"/>
      <c r="P8" s="9"/>
      <c r="Q8" s="9"/>
    </row>
    <row r="9" spans="1:17" ht="21" customHeight="1">
      <c r="A9" s="9"/>
      <c r="C9" s="11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</row>
    <row r="10" spans="1:17" ht="18.75">
      <c r="A10" s="9"/>
      <c r="B10" s="12"/>
      <c r="C10" s="13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25">
        <v>45847</v>
      </c>
      <c r="O10" s="25"/>
      <c r="P10" s="25"/>
      <c r="Q10" s="25"/>
    </row>
    <row r="11" spans="1:17" ht="18.75">
      <c r="A11" s="9"/>
      <c r="B11" s="12"/>
      <c r="C11" s="13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6"/>
      <c r="O11" s="16"/>
      <c r="P11" s="16"/>
      <c r="Q11" s="16"/>
    </row>
    <row r="12" spans="1:17">
      <c r="A12" s="15"/>
      <c r="B12" s="15"/>
      <c r="C12" s="11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</row>
    <row r="13" spans="1:17">
      <c r="A13" s="15"/>
      <c r="B13" s="15"/>
      <c r="C13" s="11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</row>
    <row r="14" spans="1:17">
      <c r="A14" s="15"/>
      <c r="B14" s="15"/>
      <c r="C14" s="11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</row>
    <row r="15" spans="1:17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</row>
    <row r="16" spans="1:17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</row>
    <row r="17" spans="1:17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</row>
    <row r="18" spans="1:17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</row>
  </sheetData>
  <mergeCells count="15">
    <mergeCell ref="A1:Q1"/>
    <mergeCell ref="A6:C6"/>
    <mergeCell ref="N10:Q10"/>
    <mergeCell ref="E4:E5"/>
    <mergeCell ref="F4:F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D3:D5"/>
  </mergeCells>
  <phoneticPr fontId="15" type="noConversion"/>
  <pageMargins left="0.511811023622047" right="0.511811023622047" top="0.196850393700787" bottom="0.74803149606299202" header="0.31496062992126" footer="0.31496062992126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lu@sudelan.cn</cp:lastModifiedBy>
  <cp:lastPrinted>2025-07-14T03:30:43Z</cp:lastPrinted>
  <dcterms:created xsi:type="dcterms:W3CDTF">2006-09-13T11:21:00Z</dcterms:created>
  <dcterms:modified xsi:type="dcterms:W3CDTF">2025-07-14T03:42:51Z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B62F7A5C00D04218AFDA2DDEBEDB145C_12</vt:lpwstr>
  </property>
  <property fmtid="{D5CDD505-2E9C-101B-9397-08002B2CF9AE}" pid="3" name="KSOProductBuildVer">
    <vt:lpwstr>2052-12.1.0.15374</vt:lpwstr>
  </property>
</Properties>
</file>