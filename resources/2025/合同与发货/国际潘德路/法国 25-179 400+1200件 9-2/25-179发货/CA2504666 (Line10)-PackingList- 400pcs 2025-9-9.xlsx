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u\Desktop\25-179发货\"/>
    </mc:Choice>
  </mc:AlternateContent>
  <xr:revisionPtr revIDLastSave="0" documentId="13_ncr:1_{2C32D823-B3C4-48F8-A18F-20A4EF75B5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5" i="1"/>
  <c r="M3" i="1"/>
  <c r="F5" i="1"/>
  <c r="K5" i="1"/>
  <c r="O3" i="1"/>
  <c r="P3" i="1"/>
  <c r="H5" i="1"/>
  <c r="O5" i="1" l="1"/>
  <c r="P5" i="1"/>
</calcChain>
</file>

<file path=xl/sharedStrings.xml><?xml version="1.0" encoding="utf-8"?>
<sst xmlns="http://schemas.openxmlformats.org/spreadsheetml/2006/main" count="26" uniqueCount="26">
  <si>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</si>
  <si>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No.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</si>
  <si>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</si>
  <si>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</si>
  <si>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</si>
  <si>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</si>
  <si>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</si>
  <si>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</si>
  <si>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</si>
  <si>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</si>
  <si>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</si>
  <si>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</si>
  <si>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</si>
  <si>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</si>
  <si>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</si>
  <si>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</si>
  <si>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</si>
  <si>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</si>
  <si>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</si>
  <si>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</si>
  <si>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</si>
  <si>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25*179</t>
    <phoneticPr fontId="12" type="noConversion"/>
  </si>
  <si>
    <t>The pieces are packed in a bag : 30(10) pieces per bag and 14 bags per case so 400 pieces per case</t>
    <phoneticPr fontId="12" type="noConversion"/>
  </si>
  <si>
    <t>CA2504666</t>
    <phoneticPr fontId="12" type="noConversion"/>
  </si>
  <si>
    <t>1/1</t>
    <phoneticPr fontId="12" type="noConversion"/>
  </si>
  <si>
    <t>1100*800*350
0.31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</si>
</sst>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4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"/>
  <sheetViews>
    <sheetView tabSelected="1" topLeftCell="A2" workbookViewId="0">
      <selection activeCell="J7" sqref="J7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66.9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39.950000000000003" customHeight="1">
      <c r="A3" s="14">
        <v>1</v>
      </c>
      <c r="B3" s="21" t="s">
        <v>18</v>
      </c>
      <c r="C3" s="23" t="s">
        <v>21</v>
      </c>
      <c r="D3" s="23" t="s">
        <v>23</v>
      </c>
      <c r="E3" s="29" t="s">
        <v>24</v>
      </c>
      <c r="F3" s="5">
        <v>390</v>
      </c>
      <c r="G3" s="4">
        <v>30</v>
      </c>
      <c r="H3" s="4">
        <v>13</v>
      </c>
      <c r="I3" s="14">
        <v>14</v>
      </c>
      <c r="J3" s="14">
        <v>400</v>
      </c>
      <c r="K3" s="14">
        <v>1</v>
      </c>
      <c r="L3" s="14">
        <v>280</v>
      </c>
      <c r="M3" s="14">
        <f>L3+30</f>
        <v>310</v>
      </c>
      <c r="N3" s="25" t="s">
        <v>25</v>
      </c>
      <c r="O3" s="27">
        <f>L3*K3</f>
        <v>280</v>
      </c>
      <c r="P3" s="27">
        <f>M3*K3</f>
        <v>310</v>
      </c>
      <c r="Q3" s="27">
        <f>0.31*K3</f>
        <v>0.31</v>
      </c>
    </row>
    <row r="4" spans="1:17" ht="35.1" customHeight="1">
      <c r="A4" s="15"/>
      <c r="B4" s="22"/>
      <c r="C4" s="24"/>
      <c r="D4" s="24"/>
      <c r="E4" s="30"/>
      <c r="F4" s="5">
        <v>10</v>
      </c>
      <c r="G4" s="4">
        <v>10</v>
      </c>
      <c r="H4" s="4">
        <v>1</v>
      </c>
      <c r="I4" s="15"/>
      <c r="J4" s="15"/>
      <c r="K4" s="15"/>
      <c r="L4" s="15"/>
      <c r="M4" s="15"/>
      <c r="N4" s="26"/>
      <c r="O4" s="28"/>
      <c r="P4" s="28"/>
      <c r="Q4" s="28"/>
    </row>
    <row r="5" spans="1:17" ht="35.25" customHeight="1">
      <c r="A5" s="18" t="s">
        <v>19</v>
      </c>
      <c r="B5" s="18"/>
      <c r="C5" s="18"/>
      <c r="D5" s="6"/>
      <c r="E5" s="4"/>
      <c r="F5" s="4">
        <f>SUM(F3:F4)</f>
        <v>400</v>
      </c>
      <c r="G5" s="4"/>
      <c r="H5" s="4">
        <f>SUM(H3:H4)</f>
        <v>14</v>
      </c>
      <c r="I5" s="4"/>
      <c r="J5" s="4"/>
      <c r="K5" s="4">
        <f>SUM(K3:K3)</f>
        <v>1</v>
      </c>
      <c r="L5" s="4"/>
      <c r="M5" s="4"/>
      <c r="N5" s="13"/>
      <c r="O5" s="4">
        <f>SUM(O3:O3)</f>
        <v>280</v>
      </c>
      <c r="P5" s="4">
        <f>SUM(P3:P3)</f>
        <v>310</v>
      </c>
      <c r="Q5" s="4">
        <f>SUM(Q3:Q3)</f>
        <v>0.31</v>
      </c>
    </row>
    <row r="6" spans="1:17" ht="14.45" customHeight="1">
      <c r="A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21" customHeight="1">
      <c r="A7" s="7"/>
      <c r="B7" s="8" t="s">
        <v>20</v>
      </c>
      <c r="C7" s="9" t="s">
        <v>22</v>
      </c>
      <c r="N7" s="7"/>
      <c r="O7" s="7"/>
      <c r="P7" s="7"/>
      <c r="Q7" s="7"/>
    </row>
    <row r="8" spans="1:17" ht="21" customHeight="1">
      <c r="A8" s="7"/>
      <c r="B8" s="10"/>
      <c r="C8" s="11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ht="18.75">
      <c r="A9" s="7"/>
      <c r="B9" s="7"/>
      <c r="C9" s="11"/>
      <c r="D9" s="7"/>
      <c r="E9" s="7"/>
      <c r="F9" s="7"/>
      <c r="G9" s="7"/>
      <c r="H9" s="7"/>
      <c r="I9" s="7"/>
      <c r="J9" s="7"/>
      <c r="K9" s="7"/>
      <c r="L9" s="7"/>
      <c r="M9" s="7"/>
      <c r="N9" s="19">
        <v>45930</v>
      </c>
      <c r="O9" s="19"/>
      <c r="P9" s="19"/>
      <c r="Q9" s="19"/>
    </row>
    <row r="10" spans="1:17" ht="18.75">
      <c r="A10" s="7"/>
      <c r="B10" s="7"/>
      <c r="C10" s="11"/>
      <c r="D10" s="7"/>
      <c r="E10" s="7"/>
      <c r="F10" s="7"/>
      <c r="G10" s="7"/>
      <c r="H10" s="7"/>
      <c r="I10" s="7"/>
      <c r="J10" s="7"/>
      <c r="K10" s="7"/>
      <c r="L10" s="7"/>
      <c r="M10" s="7"/>
      <c r="N10" s="20"/>
      <c r="O10" s="20"/>
      <c r="P10" s="20"/>
      <c r="Q10" s="20"/>
    </row>
    <row r="11" spans="1:17">
      <c r="A11" s="12"/>
      <c r="B11" s="12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7">
      <c r="A12" s="12"/>
      <c r="B12" s="12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spans="1:17">
      <c r="A13" s="12"/>
      <c r="B13" s="12"/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</sheetData>
  <mergeCells count="18">
    <mergeCell ref="N10:Q10"/>
    <mergeCell ref="A3:A4"/>
    <mergeCell ref="B3:B4"/>
    <mergeCell ref="C3:C4"/>
    <mergeCell ref="D3:D4"/>
    <mergeCell ref="L3:L4"/>
    <mergeCell ref="M3:M4"/>
    <mergeCell ref="N3:N4"/>
    <mergeCell ref="O3:O4"/>
    <mergeCell ref="P3:P4"/>
    <mergeCell ref="Q3:Q4"/>
    <mergeCell ref="K3:K4"/>
    <mergeCell ref="E3:E4"/>
    <mergeCell ref="I3:I4"/>
    <mergeCell ref="J3:J4"/>
    <mergeCell ref="A1:Q1"/>
    <mergeCell ref="A5:C5"/>
    <mergeCell ref="N9:Q9"/>
  </mergeCells>
  <phoneticPr fontId="12" type="noConversion"/>
  <pageMargins left="0.511811023622047" right="0.511811023622047" top="0.196850393700787" bottom="0.74803149606299202" header="0.31496062992126" footer="0.31496062992126"/>
  <pageSetup paperSize="9" scale="9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1FD0F0C3-FD85-4F4A-B3C7-C631F71BA556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2025-09-30T02:19:13Z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2B455B5BDD5842FCB06B47B10219E44B_13</vt:lpwstr>
  </property>
  <property fmtid="{D5CDD505-2E9C-101B-9397-08002B2CF9AE}" pid="4" name="KSOProductBuildVer">
    <vt:lpwstr>2052-12.1.0.18608</vt:lpwstr>
  </property>
</Properties>
</file>