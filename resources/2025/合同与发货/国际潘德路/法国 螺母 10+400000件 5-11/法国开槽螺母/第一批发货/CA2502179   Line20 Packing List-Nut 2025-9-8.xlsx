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法国开槽螺母\"/>
    </mc:Choice>
  </mc:AlternateContent>
  <xr:revisionPtr revIDLastSave="0" documentId="13_ncr:1_{492DCE8C-0A80-4D99-AF8C-18088E2CC6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Q4" i="1"/>
  <c r="M4" i="1"/>
  <c r="P4" i="1" s="1"/>
  <c r="K5" i="1"/>
  <c r="Q3" i="1"/>
  <c r="M3" i="1"/>
  <c r="P3" i="1" s="1"/>
  <c r="J3" i="1"/>
  <c r="F3" i="1" s="1"/>
  <c r="F5" i="1" s="1"/>
  <c r="H3" i="1"/>
  <c r="H5" i="1" s="1"/>
  <c r="P5" i="1" l="1"/>
  <c r="Q5" i="1"/>
  <c r="O5" i="1"/>
</calcChain>
</file>

<file path=xl/sharedStrings.xml><?xml version="1.0" encoding="utf-8"?>
<sst xmlns="http://schemas.openxmlformats.org/spreadsheetml/2006/main" count="30" uniqueCount="28">
  <si>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</si>
  <si>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</si>
  <si>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</si>
  <si>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</si>
  <si>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</si>
  <si>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</si>
  <si>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</si>
  <si>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</si>
  <si>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</si>
  <si>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</si>
  <si>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</si>
  <si>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</si>
  <si>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</si>
  <si>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</si>
  <si>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</si>
  <si>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</si>
  <si>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</si>
  <si>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</si>
  <si>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M22</t>
  </si>
  <si>
    <t>1200*800*550
0.53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</si>
  <si>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</si>
  <si>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(*)</t>
  </si>
  <si>
    <t>CA2502179</t>
    <phoneticPr fontId="18" type="noConversion"/>
  </si>
  <si>
    <t>1200*800*350
0.34</t>
    <phoneticPr fontId="18" type="noConversion"/>
  </si>
  <si>
    <t>1/34-33/34</t>
    <phoneticPr fontId="18" type="noConversion"/>
  </si>
  <si>
    <t>34/34</t>
    <phoneticPr fontId="18" type="noConversion"/>
  </si>
  <si>
    <t>The pieces are packed in a bag : 200 pieces per bag and 30（10） bags per case so 6000(2000) pieces per case</t>
    <phoneticPr fontId="18" type="noConversion"/>
  </si>
  <si>
    <t>Nut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</si>
</sst>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[$-409]dd\-mmm\-yy;@"/>
  </numFmts>
  <fonts count="20">
    <font>
      <sz val="11"/>
      <color theme="1"/>
      <name val="宋体"/>
      <charset val="134"/>
      <scheme val="minor"/>
    </font>
    <font>
      <b/>
      <sz val="22"/>
      <color rgb="FFFFC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Arial Unicode MS"/>
      <family val="2"/>
    </font>
    <font>
      <sz val="1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5" fillId="0" borderId="2" xfId="0" quotePrefix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10" fillId="0" borderId="0" xfId="0" applyNumberFormat="1" applyFont="1" applyAlignment="1">
      <alignment horizontal="right" vertical="center"/>
    </xf>
    <xf numFmtId="177" fontId="10" fillId="0" borderId="0" xfId="0" applyNumberFormat="1" applyFont="1" applyAlignment="1">
      <alignment horizontal="right" vertical="center"/>
    </xf>
    <xf numFmtId="0" fontId="19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topLeftCell="A2" workbookViewId="0">
      <selection activeCell="Q5" sqref="Q5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51" customHeight="1">
      <c r="A3" s="4">
        <v>1</v>
      </c>
      <c r="B3" s="20" t="s">
        <v>27</v>
      </c>
      <c r="C3" s="5" t="s">
        <v>18</v>
      </c>
      <c r="D3" s="21" t="s">
        <v>22</v>
      </c>
      <c r="E3" s="17" t="s">
        <v>24</v>
      </c>
      <c r="F3" s="6">
        <f>J3*K3</f>
        <v>198000</v>
      </c>
      <c r="G3" s="4">
        <v>200</v>
      </c>
      <c r="H3" s="4">
        <f>I3*K3</f>
        <v>990</v>
      </c>
      <c r="I3" s="6">
        <v>30</v>
      </c>
      <c r="J3" s="6">
        <f>G3*I3</f>
        <v>6000</v>
      </c>
      <c r="K3" s="6">
        <v>33</v>
      </c>
      <c r="L3" s="13">
        <v>576</v>
      </c>
      <c r="M3" s="13">
        <f>L3+42</f>
        <v>618</v>
      </c>
      <c r="N3" s="14" t="s">
        <v>19</v>
      </c>
      <c r="O3" s="6">
        <f>L3*K3</f>
        <v>19008</v>
      </c>
      <c r="P3" s="15">
        <f>M3*K3</f>
        <v>20394</v>
      </c>
      <c r="Q3" s="15">
        <f>0.53*K3</f>
        <v>17.490000000000002</v>
      </c>
    </row>
    <row r="4" spans="1:17" ht="51" customHeight="1">
      <c r="A4" s="6">
        <v>2</v>
      </c>
      <c r="B4" s="20" t="s">
        <v>27</v>
      </c>
      <c r="C4" s="5" t="s">
        <v>18</v>
      </c>
      <c r="D4" s="22"/>
      <c r="E4" s="19" t="s">
        <v>25</v>
      </c>
      <c r="F4" s="6">
        <v>2000</v>
      </c>
      <c r="G4" s="4">
        <v>200</v>
      </c>
      <c r="H4" s="4">
        <v>10</v>
      </c>
      <c r="I4" s="6">
        <v>10</v>
      </c>
      <c r="J4" s="6">
        <v>2000</v>
      </c>
      <c r="K4" s="6">
        <v>1</v>
      </c>
      <c r="L4" s="6">
        <v>192</v>
      </c>
      <c r="M4" s="6">
        <f>L4+30</f>
        <v>222</v>
      </c>
      <c r="N4" s="18" t="s">
        <v>23</v>
      </c>
      <c r="O4" s="6">
        <f t="shared" ref="O4" si="0">L4*K4</f>
        <v>192</v>
      </c>
      <c r="P4" s="6">
        <f>M4</f>
        <v>222</v>
      </c>
      <c r="Q4" s="15">
        <f>0.34*K4</f>
        <v>0.34</v>
      </c>
    </row>
    <row r="5" spans="1:17" ht="35.25" customHeight="1">
      <c r="A5" s="25" t="s">
        <v>20</v>
      </c>
      <c r="B5" s="25"/>
      <c r="C5" s="25"/>
      <c r="D5" s="7"/>
      <c r="E5" s="4"/>
      <c r="F5" s="4">
        <f>SUM(F3:F4)</f>
        <v>200000</v>
      </c>
      <c r="G5" s="4"/>
      <c r="H5" s="4">
        <f>SUM(H3:H4)</f>
        <v>1000</v>
      </c>
      <c r="I5" s="4"/>
      <c r="J5" s="4"/>
      <c r="K5" s="4">
        <f>SUM(K3:K4)</f>
        <v>34</v>
      </c>
      <c r="L5" s="4"/>
      <c r="M5" s="4"/>
      <c r="N5" s="4"/>
      <c r="O5" s="28">
        <f>SUM(O3:O4)</f>
        <v>19200</v>
      </c>
      <c r="P5" s="4">
        <f>SUM(P3:P4)</f>
        <v>20616</v>
      </c>
      <c r="Q5" s="28">
        <f>SUM(Q3:Q4)</f>
        <v>17.830000000000002</v>
      </c>
    </row>
    <row r="6" spans="1:17" ht="14.45" customHeight="1">
      <c r="A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ht="21" customHeight="1">
      <c r="A7" s="8"/>
      <c r="B7" s="9" t="s">
        <v>21</v>
      </c>
      <c r="C7" s="16" t="s">
        <v>26</v>
      </c>
      <c r="N7" s="8"/>
      <c r="O7" s="8"/>
      <c r="P7" s="8"/>
      <c r="Q7" s="8"/>
    </row>
    <row r="8" spans="1:17" ht="21" customHeight="1">
      <c r="A8" s="8"/>
      <c r="B8" s="10"/>
      <c r="C8" s="11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ht="18.75">
      <c r="A9" s="8"/>
      <c r="B9" s="8"/>
      <c r="C9" s="11"/>
      <c r="D9" s="8"/>
      <c r="E9" s="8"/>
      <c r="F9" s="8"/>
      <c r="G9" s="8"/>
      <c r="H9" s="8"/>
      <c r="I9" s="8"/>
      <c r="J9" s="8"/>
      <c r="K9" s="8"/>
      <c r="L9" s="8"/>
      <c r="M9" s="8"/>
      <c r="N9" s="26">
        <v>45908</v>
      </c>
      <c r="O9" s="26"/>
      <c r="P9" s="26"/>
      <c r="Q9" s="26"/>
    </row>
    <row r="10" spans="1:17" ht="18.75">
      <c r="A10" s="8"/>
      <c r="B10" s="8"/>
      <c r="C10" s="11"/>
      <c r="D10" s="8"/>
      <c r="E10" s="8"/>
      <c r="F10" s="8"/>
      <c r="G10" s="8"/>
      <c r="H10" s="8"/>
      <c r="I10" s="8"/>
      <c r="J10" s="8"/>
      <c r="K10" s="8"/>
      <c r="L10" s="8"/>
      <c r="M10" s="8"/>
      <c r="N10" s="27"/>
      <c r="O10" s="27"/>
      <c r="P10" s="27"/>
      <c r="Q10" s="27"/>
    </row>
    <row r="11" spans="1:17">
      <c r="A11" s="12"/>
      <c r="B11" s="12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>
      <c r="A12" s="12"/>
      <c r="B12" s="12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>
      <c r="A13" s="12"/>
      <c r="B13" s="12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</sheetData>
  <mergeCells count="5">
    <mergeCell ref="D3:D4"/>
    <mergeCell ref="A1:Q1"/>
    <mergeCell ref="A5:C5"/>
    <mergeCell ref="N9:Q9"/>
    <mergeCell ref="N10:Q10"/>
  </mergeCells>
  <phoneticPr fontId="18" type="noConversion"/>
  <pageMargins left="0.511811023622047" right="0.511811023622047" top="0.196850393700787" bottom="0.74803149606299202" header="0.31496062992126" footer="0.31496062992126"/>
  <pageSetup paperSize="9" scale="9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8A6DA2-9912-4902-93FB-649328AF6ADB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2025-09-08T03:23:55Z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ECF38207753847FDBE326142DBD2239F_12</vt:lpwstr>
  </property>
  <property fmtid="{D5CDD505-2E9C-101B-9397-08002B2CF9AE}" pid="4" name="KSOProductBuildVer">
    <vt:lpwstr>2052-12.1.0.17827</vt:lpwstr>
  </property>
</Properties>
</file>