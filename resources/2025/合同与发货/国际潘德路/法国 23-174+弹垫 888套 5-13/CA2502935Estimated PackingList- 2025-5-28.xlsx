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87E071D3-E813-467F-9AE6-E1EC1AA499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Q5" i="1"/>
  <c r="P5" i="1" l="1"/>
  <c r="M3" i="1"/>
  <c r="P3" i="1" s="1"/>
  <c r="O5" i="1"/>
  <c r="K7" i="1"/>
  <c r="Q3" i="1"/>
  <c r="O3" i="1"/>
  <c r="H7" i="1"/>
  <c r="O7" i="1" l="1"/>
  <c r="P7" i="1"/>
  <c r="Q7" i="1"/>
  <c r="F7" i="1"/>
</calcChain>
</file>

<file path=xl/sharedStrings.xml><?xml version="1.0" encoding="utf-8"?>
<sst xmlns="http://schemas.openxmlformats.org/spreadsheetml/2006/main" count="28" uniqueCount="28">
  <si>
    <t xml:space="preserve">
No</t>
  </si>
  <si>
    <t xml:space="preserve">
Name
品名</t>
  </si>
  <si>
    <t xml:space="preserve">
Spec.</t>
  </si>
  <si>
    <t xml:space="preserve">
PO
合同</t>
  </si>
  <si>
    <t xml:space="preserve">
Case No.
箱号</t>
  </si>
  <si>
    <r>
      <t xml:space="preserve">
</t>
    </r>
    <r>
      <rPr>
        <b/>
        <sz val="9"/>
        <color theme="1"/>
        <rFont val="宋体"/>
        <family val="3"/>
        <charset val="134"/>
        <scheme val="minor"/>
      </rPr>
      <t>Quantity数量</t>
    </r>
  </si>
  <si>
    <t xml:space="preserve">
Pieces
/bag     (*)
件/包</t>
  </si>
  <si>
    <t xml:space="preserve">
Bags
总袋数</t>
  </si>
  <si>
    <t xml:space="preserve">
Bags
/case
袋/箱</t>
  </si>
  <si>
    <t>Pieces
/case
件/箱</t>
  </si>
  <si>
    <t xml:space="preserve">
CASE
箱</t>
  </si>
  <si>
    <t>Net weight
NW/CASE
（KG）
净重</t>
  </si>
  <si>
    <t>Gross weight
GW/CASE
（KG）
总重</t>
  </si>
  <si>
    <t>Dimensions (mm) and volume (m3) / case
箱子尺寸</t>
  </si>
  <si>
    <t>Total Net weight
NW
（KG）
总净重</t>
  </si>
  <si>
    <t>Total Gross weight
GW
(KG）
总毛重</t>
  </si>
  <si>
    <t xml:space="preserve">
Volume M³
总体积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</si>
  <si>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</si>
  <si>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</si>
  <si>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</si>
  <si>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SPRING WASHER</t>
  </si>
  <si>
    <t>φ26</t>
  </si>
  <si>
    <t>CA2502935</t>
    <phoneticPr fontId="14" type="noConversion"/>
  </si>
  <si>
    <t>Coachscrew</t>
  </si>
  <si>
    <t>23*174</t>
  </si>
  <si>
    <t>1100*800*350
0.34</t>
    <phoneticPr fontId="14" type="noConversion"/>
  </si>
  <si>
    <t>The pieces are packed in a bag : 40（8）/200（88） pieces per bag and 23（5） bags per case so 888 pieces per case</t>
    <phoneticPr fontId="14" type="noConversion"/>
  </si>
  <si>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PRE-PACKING DETAILS
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</si>
</sst>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8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9"/>
  <sheetViews>
    <sheetView tabSelected="1" topLeftCell="A2" workbookViewId="0">
      <selection activeCell="K8" sqref="K8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34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84.9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36.75" customHeight="1">
      <c r="A3" s="20">
        <v>1</v>
      </c>
      <c r="B3" s="25" t="s">
        <v>23</v>
      </c>
      <c r="C3" s="27" t="s">
        <v>24</v>
      </c>
      <c r="D3" s="27" t="s">
        <v>22</v>
      </c>
      <c r="E3" s="20"/>
      <c r="F3" s="4">
        <v>880</v>
      </c>
      <c r="G3" s="5">
        <v>40</v>
      </c>
      <c r="H3" s="5">
        <v>22</v>
      </c>
      <c r="I3" s="20">
        <v>23</v>
      </c>
      <c r="J3" s="20">
        <v>888</v>
      </c>
      <c r="K3" s="20">
        <v>1</v>
      </c>
      <c r="L3" s="20">
        <v>474</v>
      </c>
      <c r="M3" s="20">
        <f>L3+40</f>
        <v>514</v>
      </c>
      <c r="N3" s="32" t="s">
        <v>17</v>
      </c>
      <c r="O3" s="20">
        <f>L3*K3</f>
        <v>474</v>
      </c>
      <c r="P3" s="20">
        <f>M3*K3</f>
        <v>514</v>
      </c>
      <c r="Q3" s="20">
        <f>0.53*K3</f>
        <v>0.53</v>
      </c>
    </row>
    <row r="4" spans="1:17" ht="36.75" customHeight="1">
      <c r="A4" s="21"/>
      <c r="B4" s="26"/>
      <c r="C4" s="29"/>
      <c r="D4" s="28"/>
      <c r="E4" s="21"/>
      <c r="F4" s="11">
        <v>8</v>
      </c>
      <c r="G4" s="12">
        <v>8</v>
      </c>
      <c r="H4" s="12">
        <v>1</v>
      </c>
      <c r="I4" s="21"/>
      <c r="J4" s="21"/>
      <c r="K4" s="21"/>
      <c r="L4" s="21"/>
      <c r="M4" s="21"/>
      <c r="N4" s="33"/>
      <c r="O4" s="21"/>
      <c r="P4" s="21"/>
      <c r="Q4" s="21"/>
    </row>
    <row r="5" spans="1:17" ht="35.25" customHeight="1">
      <c r="A5" s="23">
        <v>2</v>
      </c>
      <c r="B5" s="25" t="s">
        <v>20</v>
      </c>
      <c r="C5" s="27" t="s">
        <v>21</v>
      </c>
      <c r="D5" s="28"/>
      <c r="E5" s="30"/>
      <c r="F5" s="11">
        <v>800</v>
      </c>
      <c r="G5" s="12">
        <v>200</v>
      </c>
      <c r="H5" s="12">
        <v>4</v>
      </c>
      <c r="I5" s="22">
        <v>5</v>
      </c>
      <c r="J5" s="22">
        <v>888</v>
      </c>
      <c r="K5" s="22">
        <v>1</v>
      </c>
      <c r="L5" s="22">
        <v>80</v>
      </c>
      <c r="M5" s="22">
        <f>L5+30</f>
        <v>110</v>
      </c>
      <c r="N5" s="32" t="s">
        <v>25</v>
      </c>
      <c r="O5" s="14">
        <f>L5*K5</f>
        <v>80</v>
      </c>
      <c r="P5" s="14">
        <f>M5*K5</f>
        <v>110</v>
      </c>
      <c r="Q5" s="14">
        <f>0.34*K5</f>
        <v>0.34</v>
      </c>
    </row>
    <row r="6" spans="1:17" ht="35.25" customHeight="1">
      <c r="A6" s="24"/>
      <c r="B6" s="26"/>
      <c r="C6" s="29"/>
      <c r="D6" s="29"/>
      <c r="E6" s="31"/>
      <c r="F6" s="11">
        <v>88</v>
      </c>
      <c r="G6" s="12">
        <v>88</v>
      </c>
      <c r="H6" s="12">
        <v>1</v>
      </c>
      <c r="I6" s="24"/>
      <c r="J6" s="24"/>
      <c r="K6" s="24"/>
      <c r="L6" s="24"/>
      <c r="M6" s="24"/>
      <c r="N6" s="33"/>
      <c r="O6" s="15"/>
      <c r="P6" s="15"/>
      <c r="Q6" s="15"/>
    </row>
    <row r="7" spans="1:17" ht="35.25" customHeight="1">
      <c r="A7" s="17" t="s">
        <v>18</v>
      </c>
      <c r="B7" s="17"/>
      <c r="C7" s="17"/>
      <c r="D7" s="6"/>
      <c r="E7" s="5"/>
      <c r="F7" s="5">
        <f>SUM(F3:F6)</f>
        <v>1776</v>
      </c>
      <c r="G7" s="5"/>
      <c r="H7" s="5">
        <f>SUM(H3:H6)</f>
        <v>28</v>
      </c>
      <c r="I7" s="5"/>
      <c r="J7" s="5"/>
      <c r="K7" s="5">
        <f>SUM(K3:K6)</f>
        <v>2</v>
      </c>
      <c r="L7" s="5"/>
      <c r="M7" s="5"/>
      <c r="N7" s="5"/>
      <c r="O7" s="5">
        <f>SUM(O3:O6)</f>
        <v>554</v>
      </c>
      <c r="P7" s="5">
        <f>SUM(P3:P6)</f>
        <v>624</v>
      </c>
      <c r="Q7" s="5">
        <f>SUM(Q3:Q6)</f>
        <v>0.87000000000000011</v>
      </c>
    </row>
    <row r="8" spans="1:17" ht="14.45" customHeight="1">
      <c r="A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21" customHeight="1">
      <c r="A9" s="7"/>
      <c r="B9" s="8" t="s">
        <v>19</v>
      </c>
      <c r="C9" s="13" t="s">
        <v>26</v>
      </c>
      <c r="N9" s="7"/>
      <c r="O9" s="7"/>
      <c r="P9" s="7"/>
      <c r="Q9" s="7"/>
    </row>
    <row r="10" spans="1:17" ht="21" customHeight="1">
      <c r="A10" s="7"/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8.75">
      <c r="A11" s="7"/>
      <c r="B11" s="7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18">
        <v>45805</v>
      </c>
      <c r="O11" s="18"/>
      <c r="P11" s="18"/>
      <c r="Q11" s="18"/>
    </row>
    <row r="12" spans="1:17" ht="18.75">
      <c r="A12" s="7"/>
      <c r="B12" s="7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19"/>
      <c r="O12" s="19"/>
      <c r="P12" s="19"/>
      <c r="Q12" s="19"/>
    </row>
    <row r="13" spans="1:17">
      <c r="A13" s="10"/>
      <c r="B13" s="10"/>
      <c r="C13" s="9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A14" s="10"/>
      <c r="B14" s="10"/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1:17">
      <c r="A15" s="10"/>
      <c r="B15" s="10"/>
      <c r="C15" s="9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</row>
    <row r="16" spans="1:1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1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1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</sheetData>
  <mergeCells count="31">
    <mergeCell ref="C5:C6"/>
    <mergeCell ref="D3:D6"/>
    <mergeCell ref="E3:E4"/>
    <mergeCell ref="A7:C7"/>
    <mergeCell ref="N11:Q11"/>
    <mergeCell ref="N12:Q12"/>
    <mergeCell ref="A3:A4"/>
    <mergeCell ref="B3:B4"/>
    <mergeCell ref="C3:C4"/>
    <mergeCell ref="A5:A6"/>
    <mergeCell ref="E5:E6"/>
    <mergeCell ref="K5:K6"/>
    <mergeCell ref="L5:L6"/>
    <mergeCell ref="M5:M6"/>
    <mergeCell ref="N5:N6"/>
    <mergeCell ref="K3:K4"/>
    <mergeCell ref="O5:O6"/>
    <mergeCell ref="P5:P6"/>
    <mergeCell ref="Q5:Q6"/>
    <mergeCell ref="A1:Q1"/>
    <mergeCell ref="L3:L4"/>
    <mergeCell ref="M3:M4"/>
    <mergeCell ref="N3:N4"/>
    <mergeCell ref="O3:O4"/>
    <mergeCell ref="P3:P4"/>
    <mergeCell ref="Q3:Q4"/>
    <mergeCell ref="J3:J4"/>
    <mergeCell ref="I3:I4"/>
    <mergeCell ref="J5:J6"/>
    <mergeCell ref="I5:I6"/>
    <mergeCell ref="B5:B6"/>
  </mergeCells>
  <phoneticPr fontId="14" type="noConversion"/>
  <pageMargins left="0.90551181102362199" right="0.511811023622047" top="0.196850393700787" bottom="0.74803149606299202" header="0.31496062992126" footer="0.31496062992126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2025-05-28T07:39:25Z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B2BADA30BFA84D8E9E0840C12BEFC0B4_12</vt:lpwstr>
  </property>
  <property fmtid="{D5CDD505-2E9C-101B-9397-08002B2CF9AE}" pid="3" name="KSOProductBuildVer">
    <vt:lpwstr>2052-12.1.0.16729</vt:lpwstr>
  </property>
</Properties>
</file>