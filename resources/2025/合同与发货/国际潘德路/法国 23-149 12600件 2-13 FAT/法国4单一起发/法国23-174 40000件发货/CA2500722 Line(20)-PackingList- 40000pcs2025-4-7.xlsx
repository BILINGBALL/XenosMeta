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u\Desktop\法国23-174 40000件发货\"/>
    </mc:Choice>
  </mc:AlternateContent>
  <xr:revisionPtr revIDLastSave="0" documentId="13_ncr:1_{43001CF7-E61A-46C5-94A3-F656B173735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2" l="1"/>
  <c r="Q8" i="2"/>
  <c r="O8" i="2"/>
  <c r="M8" i="2"/>
  <c r="P8" i="2" s="1"/>
  <c r="Q7" i="2"/>
  <c r="O7" i="2"/>
  <c r="M7" i="2"/>
  <c r="P7" i="2" s="1"/>
  <c r="J7" i="2"/>
  <c r="H7" i="2"/>
  <c r="F7" i="2"/>
  <c r="Q6" i="2"/>
  <c r="O6" i="2"/>
  <c r="M6" i="2"/>
  <c r="P6" i="2" s="1"/>
  <c r="J6" i="2"/>
  <c r="F6" i="2" s="1"/>
  <c r="H6" i="2"/>
  <c r="Q5" i="2"/>
  <c r="P5" i="2"/>
  <c r="O5" i="2"/>
  <c r="O10" i="2" s="1"/>
  <c r="M5" i="2"/>
  <c r="J5" i="2"/>
  <c r="F5" i="2" s="1"/>
  <c r="H5" i="2"/>
  <c r="Q4" i="2"/>
  <c r="O4" i="2"/>
  <c r="M4" i="2"/>
  <c r="P4" i="2" s="1"/>
  <c r="F4" i="2"/>
  <c r="Q3" i="2"/>
  <c r="Q10" i="2" s="1"/>
  <c r="O3" i="2"/>
  <c r="M3" i="2"/>
  <c r="P3" i="2" s="1"/>
  <c r="P10" i="2" s="1"/>
  <c r="J3" i="2"/>
  <c r="F3" i="2" s="1"/>
  <c r="F10" i="2" s="1"/>
  <c r="H3" i="2"/>
  <c r="H10" i="2" s="1"/>
  <c r="M4" i="1" l="1"/>
  <c r="K5" i="1"/>
  <c r="Q4" i="1"/>
  <c r="O4" i="1"/>
  <c r="P4" i="1"/>
  <c r="F4" i="1"/>
  <c r="Q3" i="1"/>
  <c r="Q5" i="1" s="1"/>
  <c r="O3" i="1"/>
  <c r="O5" i="1" s="1"/>
  <c r="M3" i="1"/>
  <c r="P3" i="1" s="1"/>
  <c r="P5" i="1" s="1"/>
  <c r="J3" i="1"/>
  <c r="F3" i="1" s="1"/>
  <c r="F5" i="1" s="1"/>
  <c r="H3" i="1"/>
  <c r="H5" i="1" s="1"/>
</calcChain>
</file>

<file path=xl/sharedStrings.xml><?xml version="1.0" encoding="utf-8"?>
<sst xmlns="http://schemas.openxmlformats.org/spreadsheetml/2006/main" count="66" uniqueCount="31">
  <si>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</si>
  <si>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No.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</si>
  <si>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</si>
  <si>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</si>
  <si>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</si>
  <si>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</si>
  <si>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</si>
  <si>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</si>
  <si>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</si>
  <si>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</si>
  <si>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</si>
  <si>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</si>
  <si>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</si>
  <si>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</si>
  <si>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</si>
  <si>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</si>
  <si>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</si>
  <si>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</si>
  <si>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1200*800*550
0.53</t>
  </si>
  <si>
    <t>Coachscrew</t>
  </si>
  <si>
    <t>23*174</t>
  </si>
  <si>
    <t>1200*800*350
0.34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</si>
  <si>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</si>
  <si>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</si>
  <si>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23*174</t>
    <phoneticPr fontId="16" type="noConversion"/>
  </si>
  <si>
    <t>CA2500722</t>
    <phoneticPr fontId="16" type="noConversion"/>
  </si>
  <si>
    <t>The pieces are packed in a bag : 40 pieces per bag and 30（10） bags per case so 1200（400）pieces per case</t>
    <phoneticPr fontId="16" type="noConversion"/>
  </si>
  <si>
    <t>23*149</t>
  </si>
  <si>
    <t>CA2500969</t>
    <phoneticPr fontId="16" type="noConversion"/>
  </si>
  <si>
    <t>1200*800*350
0.34</t>
    <phoneticPr fontId="16" type="noConversion"/>
  </si>
  <si>
    <t>CA2501005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</si>
</sst>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20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0" fontId="15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8" fillId="0" borderId="2" xfId="0" quotePrefix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8" fillId="0" borderId="3" xfId="0" quotePrefix="1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"/>
  <sheetViews>
    <sheetView workbookViewId="0">
      <selection sqref="A1:XFD1048576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66.9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39.950000000000003" customHeight="1">
      <c r="A3" s="8">
        <v>1</v>
      </c>
      <c r="B3" s="5" t="s">
        <v>19</v>
      </c>
      <c r="C3" s="18" t="s">
        <v>24</v>
      </c>
      <c r="D3" s="18" t="s">
        <v>25</v>
      </c>
      <c r="E3" s="7"/>
      <c r="F3" s="8">
        <f>J3*K3</f>
        <v>39600</v>
      </c>
      <c r="G3" s="4">
        <v>40</v>
      </c>
      <c r="H3" s="4">
        <f>K3*I3</f>
        <v>990</v>
      </c>
      <c r="I3" s="4">
        <v>30</v>
      </c>
      <c r="J3" s="8">
        <f>G3*I3</f>
        <v>1200</v>
      </c>
      <c r="K3" s="8">
        <v>33</v>
      </c>
      <c r="L3" s="8">
        <v>641</v>
      </c>
      <c r="M3" s="8">
        <f>L3+42</f>
        <v>683</v>
      </c>
      <c r="N3" s="15" t="s">
        <v>18</v>
      </c>
      <c r="O3" s="16">
        <f>L3*K3</f>
        <v>21153</v>
      </c>
      <c r="P3" s="16">
        <f>M3*K3</f>
        <v>22539</v>
      </c>
      <c r="Q3" s="16">
        <f>0.53*K3</f>
        <v>17.490000000000002</v>
      </c>
    </row>
    <row r="4" spans="1:17" ht="35.1" customHeight="1">
      <c r="A4" s="8">
        <v>2</v>
      </c>
      <c r="B4" s="5" t="s">
        <v>19</v>
      </c>
      <c r="C4" s="6" t="s">
        <v>20</v>
      </c>
      <c r="D4" s="18" t="s">
        <v>25</v>
      </c>
      <c r="E4" s="7"/>
      <c r="F4" s="8">
        <f>J4*K4</f>
        <v>400</v>
      </c>
      <c r="G4" s="4">
        <v>40</v>
      </c>
      <c r="H4" s="4">
        <v>10</v>
      </c>
      <c r="I4" s="8">
        <v>10</v>
      </c>
      <c r="J4" s="8">
        <v>400</v>
      </c>
      <c r="K4" s="8">
        <v>1</v>
      </c>
      <c r="L4" s="8">
        <v>214</v>
      </c>
      <c r="M4" s="8">
        <f>L4+30</f>
        <v>244</v>
      </c>
      <c r="N4" s="15" t="s">
        <v>21</v>
      </c>
      <c r="O4" s="16">
        <f>L4*K4</f>
        <v>214</v>
      </c>
      <c r="P4" s="16">
        <f>M4*K4</f>
        <v>244</v>
      </c>
      <c r="Q4" s="16">
        <f>0.34*K4</f>
        <v>0.34</v>
      </c>
    </row>
    <row r="5" spans="1:17" ht="35.25" customHeight="1">
      <c r="A5" s="22" t="s">
        <v>22</v>
      </c>
      <c r="B5" s="22"/>
      <c r="C5" s="22"/>
      <c r="D5" s="9"/>
      <c r="E5" s="4"/>
      <c r="F5" s="4">
        <f>SUM(F3:F4)</f>
        <v>40000</v>
      </c>
      <c r="G5" s="4"/>
      <c r="H5" s="4">
        <f>SUM(H3:H4)</f>
        <v>1000</v>
      </c>
      <c r="I5" s="4"/>
      <c r="J5" s="4"/>
      <c r="K5" s="4">
        <f>SUM(K3:K4)</f>
        <v>34</v>
      </c>
      <c r="L5" s="4"/>
      <c r="M5" s="4"/>
      <c r="N5" s="17"/>
      <c r="O5" s="4">
        <f>SUM(O3:O4)</f>
        <v>21367</v>
      </c>
      <c r="P5" s="4">
        <f>SUM(P3:P4)</f>
        <v>22783</v>
      </c>
      <c r="Q5" s="4">
        <f>SUM(Q3:Q4)</f>
        <v>17.830000000000002</v>
      </c>
    </row>
    <row r="6" spans="1:17" ht="14.45" customHeight="1">
      <c r="A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ht="21" customHeight="1">
      <c r="A7" s="10"/>
      <c r="B7" s="11" t="s">
        <v>23</v>
      </c>
      <c r="C7" s="19" t="s">
        <v>26</v>
      </c>
      <c r="N7" s="10"/>
      <c r="O7" s="10"/>
      <c r="P7" s="10"/>
      <c r="Q7" s="10"/>
    </row>
    <row r="8" spans="1:17" ht="21" customHeight="1">
      <c r="A8" s="10"/>
      <c r="B8" s="12"/>
      <c r="C8" s="13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17" ht="18.75">
      <c r="A9" s="10"/>
      <c r="B9" s="10"/>
      <c r="C9" s="13"/>
      <c r="D9" s="10"/>
      <c r="E9" s="10"/>
      <c r="F9" s="10"/>
      <c r="G9" s="10"/>
      <c r="H9" s="10"/>
      <c r="I9" s="10"/>
      <c r="J9" s="10"/>
      <c r="K9" s="10"/>
      <c r="L9" s="10"/>
      <c r="M9" s="10"/>
      <c r="N9" s="23">
        <v>45754</v>
      </c>
      <c r="O9" s="23"/>
      <c r="P9" s="23"/>
      <c r="Q9" s="23"/>
    </row>
    <row r="10" spans="1:17" ht="18.75">
      <c r="A10" s="10"/>
      <c r="B10" s="10"/>
      <c r="C10" s="13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24"/>
      <c r="O10" s="24"/>
      <c r="P10" s="24"/>
      <c r="Q10" s="24"/>
    </row>
    <row r="11" spans="1:17">
      <c r="A11" s="14"/>
      <c r="B11" s="14"/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spans="1:17">
      <c r="A12" s="14"/>
      <c r="B12" s="14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spans="1:17">
      <c r="A13" s="14"/>
      <c r="B13" s="14"/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 spans="1:17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1:17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 spans="1:17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</row>
    <row r="17" spans="1: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</sheetData>
  <mergeCells count="4">
    <mergeCell ref="A1:Q1"/>
    <mergeCell ref="A5:C5"/>
    <mergeCell ref="N9:Q9"/>
    <mergeCell ref="N10:Q10"/>
  </mergeCells>
  <phoneticPr fontId="16" type="noConversion"/>
  <pageMargins left="0.511811023622047" right="0.511811023622047" top="0.196850393700787" bottom="0.74803149606299202" header="0.31496062992126" footer="0.31496062992126"/>
  <pageSetup paperSize="9" scale="9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CBD3-AE5B-4A0F-8226-C798D42C2B33}">
  <dimension ref="A1:Q21"/>
  <sheetViews>
    <sheetView tabSelected="1" workbookViewId="0">
      <selection activeCell="A2" sqref="A2:Q10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66.9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44" t="s">
        <v>15</v>
      </c>
      <c r="P2" s="44" t="s">
        <v>16</v>
      </c>
      <c r="Q2" s="1" t="s">
        <v>17</v>
      </c>
    </row>
    <row r="3" spans="1:17" ht="39.950000000000003" customHeight="1">
      <c r="A3" s="8">
        <v>1</v>
      </c>
      <c r="B3" s="5" t="s">
        <v>19</v>
      </c>
      <c r="C3" s="18" t="s">
        <v>24</v>
      </c>
      <c r="D3" s="18" t="s">
        <v>25</v>
      </c>
      <c r="E3" s="7"/>
      <c r="F3" s="8">
        <f>J3*K3</f>
        <v>39600</v>
      </c>
      <c r="G3" s="4">
        <v>40</v>
      </c>
      <c r="H3" s="4">
        <f>K3*I3</f>
        <v>990</v>
      </c>
      <c r="I3" s="4">
        <v>30</v>
      </c>
      <c r="J3" s="8">
        <f>G3*I3</f>
        <v>1200</v>
      </c>
      <c r="K3" s="8">
        <v>33</v>
      </c>
      <c r="L3" s="8">
        <v>641</v>
      </c>
      <c r="M3" s="8">
        <f>L3+42</f>
        <v>683</v>
      </c>
      <c r="N3" s="15" t="s">
        <v>18</v>
      </c>
      <c r="O3" s="16">
        <f>L3*K3</f>
        <v>21153</v>
      </c>
      <c r="P3" s="16">
        <f>M3*K3</f>
        <v>22539</v>
      </c>
      <c r="Q3" s="16">
        <f>0.53*K3</f>
        <v>17.490000000000002</v>
      </c>
    </row>
    <row r="4" spans="1:17" ht="35.1" customHeight="1">
      <c r="A4" s="8">
        <v>2</v>
      </c>
      <c r="B4" s="5" t="s">
        <v>19</v>
      </c>
      <c r="C4" s="6" t="s">
        <v>20</v>
      </c>
      <c r="D4" s="18" t="s">
        <v>25</v>
      </c>
      <c r="E4" s="7"/>
      <c r="F4" s="8">
        <f>J4*K4</f>
        <v>400</v>
      </c>
      <c r="G4" s="4">
        <v>40</v>
      </c>
      <c r="H4" s="4">
        <v>10</v>
      </c>
      <c r="I4" s="8">
        <v>10</v>
      </c>
      <c r="J4" s="8">
        <v>400</v>
      </c>
      <c r="K4" s="8">
        <v>1</v>
      </c>
      <c r="L4" s="8">
        <v>214</v>
      </c>
      <c r="M4" s="8">
        <f>L4+30</f>
        <v>244</v>
      </c>
      <c r="N4" s="15" t="s">
        <v>21</v>
      </c>
      <c r="O4" s="16">
        <f>L4*K4</f>
        <v>214</v>
      </c>
      <c r="P4" s="16">
        <f>M4*K4</f>
        <v>244</v>
      </c>
      <c r="Q4" s="16">
        <f>0.34*K4</f>
        <v>0.34</v>
      </c>
    </row>
    <row r="5" spans="1:17" ht="38.25" customHeight="1">
      <c r="A5" s="25">
        <v>3</v>
      </c>
      <c r="B5" s="26" t="s">
        <v>19</v>
      </c>
      <c r="C5" s="27" t="s">
        <v>27</v>
      </c>
      <c r="D5" s="27" t="s">
        <v>28</v>
      </c>
      <c r="E5" s="28"/>
      <c r="F5" s="29">
        <f>J5*K5</f>
        <v>12250</v>
      </c>
      <c r="G5" s="29">
        <v>35</v>
      </c>
      <c r="H5" s="29">
        <f>K5*I5</f>
        <v>350</v>
      </c>
      <c r="I5" s="29">
        <v>35</v>
      </c>
      <c r="J5" s="29">
        <f>G5*I5</f>
        <v>1225</v>
      </c>
      <c r="K5" s="29">
        <v>10</v>
      </c>
      <c r="L5" s="29">
        <v>654</v>
      </c>
      <c r="M5" s="29">
        <f>L5+42</f>
        <v>696</v>
      </c>
      <c r="N5" s="30" t="s">
        <v>18</v>
      </c>
      <c r="O5" s="29">
        <f>L5*K5</f>
        <v>6540</v>
      </c>
      <c r="P5" s="29">
        <f>M5*K5</f>
        <v>6960</v>
      </c>
      <c r="Q5" s="29">
        <f>0.53*K5</f>
        <v>5.3000000000000007</v>
      </c>
    </row>
    <row r="6" spans="1:17" ht="38.25" customHeight="1">
      <c r="A6" s="31"/>
      <c r="B6" s="32"/>
      <c r="C6" s="33"/>
      <c r="D6" s="33"/>
      <c r="E6" s="28"/>
      <c r="F6" s="29">
        <f>J6*K6</f>
        <v>350</v>
      </c>
      <c r="G6" s="29">
        <v>35</v>
      </c>
      <c r="H6" s="29">
        <f>K6*I6</f>
        <v>10</v>
      </c>
      <c r="I6" s="29">
        <v>10</v>
      </c>
      <c r="J6" s="29">
        <f>G6*I6</f>
        <v>350</v>
      </c>
      <c r="K6" s="29">
        <v>1</v>
      </c>
      <c r="L6" s="29">
        <v>187</v>
      </c>
      <c r="M6" s="29">
        <f>L6+30</f>
        <v>217</v>
      </c>
      <c r="N6" s="34" t="s">
        <v>29</v>
      </c>
      <c r="O6" s="29">
        <f>L6*K6</f>
        <v>187</v>
      </c>
      <c r="P6" s="29">
        <f>M6*K6</f>
        <v>217</v>
      </c>
      <c r="Q6" s="29">
        <f>0.34*K6</f>
        <v>0.34</v>
      </c>
    </row>
    <row r="7" spans="1:17" ht="38.25" customHeight="1">
      <c r="A7" s="25">
        <v>4</v>
      </c>
      <c r="B7" s="26" t="s">
        <v>19</v>
      </c>
      <c r="C7" s="27" t="s">
        <v>27</v>
      </c>
      <c r="D7" s="27" t="s">
        <v>30</v>
      </c>
      <c r="E7" s="28"/>
      <c r="F7" s="29">
        <f>J7*K7</f>
        <v>1225</v>
      </c>
      <c r="G7" s="29">
        <v>35</v>
      </c>
      <c r="H7" s="29">
        <f>K7*I7</f>
        <v>35</v>
      </c>
      <c r="I7" s="29">
        <v>35</v>
      </c>
      <c r="J7" s="29">
        <f>G7*I7</f>
        <v>1225</v>
      </c>
      <c r="K7" s="29">
        <v>1</v>
      </c>
      <c r="L7" s="29">
        <v>654</v>
      </c>
      <c r="M7" s="29">
        <f>L7+42</f>
        <v>696</v>
      </c>
      <c r="N7" s="30" t="s">
        <v>18</v>
      </c>
      <c r="O7" s="29">
        <f>L7*K7</f>
        <v>654</v>
      </c>
      <c r="P7" s="29">
        <f>M7*K7</f>
        <v>696</v>
      </c>
      <c r="Q7" s="29">
        <f>0.53*K7</f>
        <v>0.53</v>
      </c>
    </row>
    <row r="8" spans="1:17" ht="29.25" customHeight="1">
      <c r="A8" s="35"/>
      <c r="B8" s="36"/>
      <c r="C8" s="37"/>
      <c r="D8" s="37"/>
      <c r="E8" s="38"/>
      <c r="F8" s="29">
        <v>1260</v>
      </c>
      <c r="G8" s="29">
        <v>35</v>
      </c>
      <c r="H8" s="25">
        <v>37</v>
      </c>
      <c r="I8" s="29">
        <v>36</v>
      </c>
      <c r="J8" s="25">
        <v>1275</v>
      </c>
      <c r="K8" s="25">
        <v>1</v>
      </c>
      <c r="L8" s="25">
        <v>681</v>
      </c>
      <c r="M8" s="25">
        <f>L8+42</f>
        <v>723</v>
      </c>
      <c r="N8" s="39" t="s">
        <v>29</v>
      </c>
      <c r="O8" s="25">
        <f>L8*K8</f>
        <v>681</v>
      </c>
      <c r="P8" s="25">
        <f>M8*K8</f>
        <v>723</v>
      </c>
      <c r="Q8" s="25">
        <f>0.34*K8</f>
        <v>0.34</v>
      </c>
    </row>
    <row r="9" spans="1:17" ht="29.25" customHeight="1">
      <c r="A9" s="31"/>
      <c r="B9" s="32"/>
      <c r="C9" s="33"/>
      <c r="D9" s="33"/>
      <c r="E9" s="40"/>
      <c r="F9" s="29">
        <v>15</v>
      </c>
      <c r="G9" s="29">
        <v>15</v>
      </c>
      <c r="H9" s="31"/>
      <c r="I9" s="29">
        <v>1</v>
      </c>
      <c r="J9" s="31"/>
      <c r="K9" s="31"/>
      <c r="L9" s="31"/>
      <c r="M9" s="31"/>
      <c r="N9" s="41"/>
      <c r="O9" s="31"/>
      <c r="P9" s="31"/>
      <c r="Q9" s="31"/>
    </row>
    <row r="10" spans="1:17" ht="35.25" customHeight="1">
      <c r="A10" s="22" t="s">
        <v>22</v>
      </c>
      <c r="B10" s="22"/>
      <c r="C10" s="22"/>
      <c r="D10" s="9"/>
      <c r="E10" s="4"/>
      <c r="F10" s="4">
        <f>SUM(F3:F9)</f>
        <v>55100</v>
      </c>
      <c r="G10" s="4"/>
      <c r="H10" s="4">
        <f>SUM(H3:H9)</f>
        <v>1432</v>
      </c>
      <c r="I10" s="4"/>
      <c r="J10" s="4"/>
      <c r="K10" s="4">
        <f>SUM(K3:K9)</f>
        <v>47</v>
      </c>
      <c r="L10" s="4"/>
      <c r="M10" s="4"/>
      <c r="N10" s="17"/>
      <c r="O10" s="43">
        <f>SUM(O3:O9)</f>
        <v>29429</v>
      </c>
      <c r="P10" s="43">
        <f>SUM(P3:P9)</f>
        <v>31379</v>
      </c>
      <c r="Q10" s="42">
        <f>SUM(Q3:Q4)</f>
        <v>17.830000000000002</v>
      </c>
    </row>
    <row r="11" spans="1:17" ht="14.45" customHeight="1">
      <c r="A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 ht="21" customHeight="1">
      <c r="A12" s="10"/>
      <c r="B12" s="12"/>
      <c r="C12" s="13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 ht="18.75">
      <c r="A13" s="10"/>
      <c r="B13" s="10"/>
      <c r="C13" s="13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23">
        <v>45754</v>
      </c>
      <c r="O13" s="23"/>
      <c r="P13" s="23"/>
      <c r="Q13" s="23"/>
    </row>
    <row r="14" spans="1:17" ht="18.75">
      <c r="A14" s="10"/>
      <c r="B14" s="10"/>
      <c r="C14" s="13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24"/>
      <c r="O14" s="24"/>
      <c r="P14" s="24"/>
      <c r="Q14" s="24"/>
    </row>
    <row r="15" spans="1:17">
      <c r="A15" s="14"/>
      <c r="B15" s="14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 spans="1:17">
      <c r="A16" s="14"/>
      <c r="B16" s="14"/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</row>
    <row r="17" spans="1:17">
      <c r="A17" s="14"/>
      <c r="B17" s="14"/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17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1:17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1:17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spans="1:17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</sheetData>
  <mergeCells count="22">
    <mergeCell ref="L8:L9"/>
    <mergeCell ref="M8:M9"/>
    <mergeCell ref="N8:N9"/>
    <mergeCell ref="O8:O9"/>
    <mergeCell ref="P8:P9"/>
    <mergeCell ref="Q8:Q9"/>
    <mergeCell ref="C7:C9"/>
    <mergeCell ref="D7:D9"/>
    <mergeCell ref="E8:E9"/>
    <mergeCell ref="H8:H9"/>
    <mergeCell ref="J8:J9"/>
    <mergeCell ref="K8:K9"/>
    <mergeCell ref="A1:Q1"/>
    <mergeCell ref="A10:C10"/>
    <mergeCell ref="N13:Q13"/>
    <mergeCell ref="N14:Q14"/>
    <mergeCell ref="A5:A6"/>
    <mergeCell ref="B5:B6"/>
    <mergeCell ref="C5:C6"/>
    <mergeCell ref="D5:D6"/>
    <mergeCell ref="A7:A9"/>
    <mergeCell ref="B7:B9"/>
  </mergeCells>
  <phoneticPr fontId="1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938A6DA2-9912-4902-93FB-649328AF6ADB}">
  <ds:schemaRefs/>
</ds:datastoreItem>
</file>

<file path=customXml/itemProps3.xml><?xml version="1.0" encoding="utf-8"?>
<ds:datastoreItem xmlns:ds="http://schemas.openxmlformats.org/officeDocument/2006/customXml" ds:itemID="{1FD0F0C3-FD85-4F4A-B3C7-C631F71BA5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2025-04-07T09:17:34Z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2B455B5BDD5842FCB06B47B10219E44B_13</vt:lpwstr>
  </property>
  <property fmtid="{D5CDD505-2E9C-101B-9397-08002B2CF9AE}" pid="4" name="KSOProductBuildVer">
    <vt:lpwstr>2052-12.1.0.18608</vt:lpwstr>
  </property>
</Properties>
</file>