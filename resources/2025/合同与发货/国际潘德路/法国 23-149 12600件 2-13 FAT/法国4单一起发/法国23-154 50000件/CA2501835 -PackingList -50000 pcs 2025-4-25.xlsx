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法国23-154 50000件\"/>
    </mc:Choice>
  </mc:AlternateContent>
  <xr:revisionPtr revIDLastSave="0" documentId="13_ncr:1_{67A8ADFE-8804-4ACE-A540-EAC922575E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F4" i="2" s="1"/>
  <c r="H4" i="2"/>
  <c r="Q4" i="2"/>
  <c r="O4" i="2"/>
  <c r="M4" i="2"/>
  <c r="P4" i="2" s="1"/>
  <c r="K5" i="2"/>
  <c r="Q3" i="2"/>
  <c r="O3" i="2"/>
  <c r="M3" i="2"/>
  <c r="P3" i="2" s="1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<sst xmlns="http://schemas.openxmlformats.org/spreadsheetml/2006/main" count="31" uniqueCount="28">
  <si>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</si>
  <si>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</si>
  <si>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</si>
  <si>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</si>
  <si>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</si>
  <si>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</si>
  <si>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</si>
  <si>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</si>
  <si>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</si>
  <si>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</si>
  <si>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</si>
  <si>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</si>
  <si>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</si>
  <si>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</si>
  <si>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</si>
  <si>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</si>
  <si>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</si>
  <si>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</si>
  <si>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</si>
  <si>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</si>
  <si>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</si>
  <si>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</si>
  <si>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 xml:space="preserve">CA2501835 </t>
    <phoneticPr fontId="13" type="noConversion"/>
  </si>
  <si>
    <t>23*154</t>
    <phoneticPr fontId="13" type="noConversion"/>
  </si>
  <si>
    <t xml:space="preserve">CA2501835  </t>
    <phoneticPr fontId="13" type="noConversion"/>
  </si>
  <si>
    <t>The pieces are packed in a bag : 40 pieces per bag and 30（20） bags per case so 1200（800）pieces per case</t>
    <phoneticPr fontId="13" type="noConversion"/>
  </si>
  <si>
    <t>42/42</t>
    <phoneticPr fontId="13" type="noConversion"/>
  </si>
  <si>
    <t>1/42-41/42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</si>
</sst>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F6" sqref="F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3.5" customHeight="1">
      <c r="A3" s="15">
        <v>1</v>
      </c>
      <c r="B3" s="3" t="s">
        <v>18</v>
      </c>
      <c r="C3" s="16" t="s">
        <v>23</v>
      </c>
      <c r="D3" s="16" t="s">
        <v>22</v>
      </c>
      <c r="E3" s="18" t="s">
        <v>27</v>
      </c>
      <c r="F3" s="4">
        <f>J3*K3</f>
        <v>49200</v>
      </c>
      <c r="G3" s="4">
        <v>40</v>
      </c>
      <c r="H3" s="4">
        <f>K3*I3</f>
        <v>1230</v>
      </c>
      <c r="I3" s="4">
        <v>30</v>
      </c>
      <c r="J3" s="4">
        <f>G3*I3</f>
        <v>1200</v>
      </c>
      <c r="K3" s="4">
        <v>41</v>
      </c>
      <c r="L3" s="4">
        <v>652</v>
      </c>
      <c r="M3" s="4">
        <f>L3+42</f>
        <v>694</v>
      </c>
      <c r="N3" s="19" t="s">
        <v>21</v>
      </c>
      <c r="O3" s="4">
        <f>L3*K3</f>
        <v>26732</v>
      </c>
      <c r="P3" s="4">
        <f>M3*K3</f>
        <v>28454</v>
      </c>
      <c r="Q3" s="4">
        <f>0.53*K3</f>
        <v>21.73</v>
      </c>
    </row>
    <row r="4" spans="1:17" ht="48" customHeight="1">
      <c r="A4" s="4">
        <v>2</v>
      </c>
      <c r="B4" s="20" t="s">
        <v>18</v>
      </c>
      <c r="C4" s="21" t="s">
        <v>23</v>
      </c>
      <c r="D4" s="21" t="s">
        <v>24</v>
      </c>
      <c r="E4" s="22" t="s">
        <v>26</v>
      </c>
      <c r="F4" s="4">
        <f>J4*K4</f>
        <v>800</v>
      </c>
      <c r="G4" s="4">
        <v>40</v>
      </c>
      <c r="H4" s="4">
        <f>K4*I4</f>
        <v>20</v>
      </c>
      <c r="I4" s="4">
        <v>20</v>
      </c>
      <c r="J4" s="4">
        <f>G4*I4</f>
        <v>800</v>
      </c>
      <c r="K4" s="4">
        <v>1</v>
      </c>
      <c r="L4" s="4">
        <v>434</v>
      </c>
      <c r="M4" s="4">
        <f>L4+30</f>
        <v>464</v>
      </c>
      <c r="N4" s="19" t="s">
        <v>21</v>
      </c>
      <c r="O4" s="4">
        <f>L4*K4</f>
        <v>434</v>
      </c>
      <c r="P4" s="4">
        <f>M4*K4</f>
        <v>464</v>
      </c>
      <c r="Q4" s="4">
        <f>0.53*K4</f>
        <v>0.53</v>
      </c>
    </row>
    <row r="5" spans="1:17" ht="35.25" customHeight="1">
      <c r="A5" s="26" t="s">
        <v>19</v>
      </c>
      <c r="B5" s="26"/>
      <c r="C5" s="26"/>
      <c r="D5" s="6"/>
      <c r="E5" s="5"/>
      <c r="F5" s="5">
        <f>SUM(F3:F4)</f>
        <v>50000</v>
      </c>
      <c r="G5" s="5"/>
      <c r="H5" s="5">
        <f>SUM(H3:H4)</f>
        <v>1250</v>
      </c>
      <c r="I5" s="5"/>
      <c r="J5" s="5"/>
      <c r="K5" s="5">
        <f>SUM(K3:K4)</f>
        <v>42</v>
      </c>
      <c r="L5" s="5"/>
      <c r="M5" s="5"/>
      <c r="N5" s="10"/>
      <c r="O5" s="5">
        <f>SUM(O3:O4)</f>
        <v>27166</v>
      </c>
      <c r="P5" s="5">
        <f>SUM(P3:P4)</f>
        <v>28918</v>
      </c>
      <c r="Q5" s="11">
        <f>SUM(Q3:Q4)</f>
        <v>22.26</v>
      </c>
    </row>
    <row r="6" spans="1:17" ht="14.45" customHeight="1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" customHeight="1">
      <c r="A7" s="12"/>
      <c r="B7" s="13" t="s">
        <v>20</v>
      </c>
      <c r="C7" s="17" t="s">
        <v>25</v>
      </c>
      <c r="N7" s="12"/>
      <c r="O7" s="12"/>
      <c r="P7" s="12"/>
      <c r="Q7" s="12"/>
    </row>
    <row r="8" spans="1:17" ht="21" customHeight="1">
      <c r="A8" s="12"/>
      <c r="B8" s="14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18.75">
      <c r="A9" s="12"/>
      <c r="B9" s="12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23">
        <v>45773</v>
      </c>
      <c r="O9" s="23"/>
      <c r="P9" s="23"/>
      <c r="Q9" s="23"/>
    </row>
    <row r="10" spans="1:17">
      <c r="A10" s="9"/>
      <c r="B10" s="9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</sheetData>
  <mergeCells count="3">
    <mergeCell ref="N9:Q9"/>
    <mergeCell ref="A1:Q1"/>
    <mergeCell ref="A5:C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2025-04-29T08:29:59Z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