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u\Desktop\法国4单一起发\"/>
    </mc:Choice>
  </mc:AlternateContent>
  <xr:revisionPtr revIDLastSave="0" documentId="13_ncr:1_{982A4F54-9E8E-4FAC-8387-453266EADD0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2" l="1"/>
  <c r="I13" i="2"/>
  <c r="Q13" i="2"/>
  <c r="P13" i="2"/>
  <c r="R13" i="2"/>
  <c r="I4" i="2"/>
  <c r="N12" i="2"/>
  <c r="Q12" i="2" s="1"/>
  <c r="R8" i="2"/>
  <c r="R10" i="2"/>
  <c r="P10" i="2"/>
  <c r="N10" i="2"/>
  <c r="Q10" i="2" s="1"/>
  <c r="K10" i="2"/>
  <c r="G10" i="2" s="1"/>
  <c r="I10" i="2"/>
  <c r="L13" i="2"/>
  <c r="R12" i="2"/>
  <c r="P12" i="2"/>
  <c r="K12" i="2"/>
  <c r="G12" i="2" s="1"/>
  <c r="I12" i="2"/>
  <c r="R11" i="2"/>
  <c r="P11" i="2"/>
  <c r="N11" i="2"/>
  <c r="Q11" i="2" s="1"/>
  <c r="K11" i="2"/>
  <c r="G11" i="2" s="1"/>
  <c r="I11" i="2"/>
  <c r="P8" i="2" l="1"/>
  <c r="N8" i="2"/>
  <c r="Q8" i="2" s="1"/>
  <c r="R7" i="2"/>
  <c r="P7" i="2"/>
  <c r="N7" i="2"/>
  <c r="Q7" i="2" s="1"/>
  <c r="K7" i="2"/>
  <c r="G7" i="2" s="1"/>
  <c r="I7" i="2"/>
  <c r="R6" i="2"/>
  <c r="P6" i="2"/>
  <c r="N6" i="2"/>
  <c r="Q6" i="2" s="1"/>
  <c r="K6" i="2"/>
  <c r="G6" i="2" s="1"/>
  <c r="I6" i="2"/>
  <c r="R5" i="2"/>
  <c r="P5" i="2"/>
  <c r="N5" i="2"/>
  <c r="Q5" i="2" s="1"/>
  <c r="K5" i="2"/>
  <c r="G5" i="2" s="1"/>
  <c r="I5" i="2"/>
  <c r="R4" i="2"/>
  <c r="P4" i="2"/>
  <c r="N4" i="2"/>
  <c r="Q4" i="2" s="1"/>
  <c r="G4" i="2"/>
  <c r="R3" i="2"/>
  <c r="P3" i="2"/>
  <c r="N3" i="2"/>
  <c r="Q3" i="2" s="1"/>
  <c r="K3" i="2"/>
  <c r="G3" i="2" s="1"/>
  <c r="I3" i="2"/>
  <c r="M4" i="1" l="1"/>
  <c r="K5" i="1"/>
  <c r="Q4" i="1"/>
  <c r="O4" i="1"/>
  <c r="P4" i="1"/>
  <c r="F4" i="1"/>
  <c r="Q3" i="1"/>
  <c r="Q5" i="1" s="1"/>
  <c r="O3" i="1"/>
  <c r="O5" i="1" s="1"/>
  <c r="M3" i="1"/>
  <c r="P3" i="1" s="1"/>
  <c r="P5" i="1" s="1"/>
  <c r="J3" i="1"/>
  <c r="F3" i="1" s="1"/>
  <c r="F5" i="1" s="1"/>
  <c r="H3" i="1"/>
  <c r="H5" i="1" s="1"/>
</calcChain>
</file>

<file path=xl/sharedStrings.xml><?xml version="1.0" encoding="utf-8"?>
<sst xmlns="http://schemas.openxmlformats.org/spreadsheetml/2006/main" count="86" uniqueCount="44">
  <si>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</si>
  <si>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No.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</si>
  <si>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</si>
  <si>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</si>
  <si>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</si>
  <si>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</si>
  <si>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</si>
  <si>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</si>
  <si>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</si>
  <si>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</si>
  <si>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</si>
  <si>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</si>
  <si>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</si>
  <si>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</si>
  <si>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</si>
  <si>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</si>
  <si>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</si>
  <si>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</si>
  <si>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1200*800*550
0.53</t>
  </si>
  <si>
    <t>Coachscrew</t>
  </si>
  <si>
    <t>23*174</t>
  </si>
  <si>
    <t>1200*800*350
0.34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</si>
  <si>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</si>
  <si>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</si>
  <si>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23*174</t>
    <phoneticPr fontId="14" type="noConversion"/>
  </si>
  <si>
    <t>CA2500722</t>
    <phoneticPr fontId="14" type="noConversion"/>
  </si>
  <si>
    <t>The pieces are packed in a bag : 40 pieces per bag and 30（10） bags per case so 1200（400）pieces per case</t>
    <phoneticPr fontId="14" type="noConversion"/>
  </si>
  <si>
    <t>23*149</t>
  </si>
  <si>
    <t>CA2500969</t>
    <phoneticPr fontId="14" type="noConversion"/>
  </si>
  <si>
    <t>1200*800*350
0.34</t>
    <phoneticPr fontId="14" type="noConversion"/>
  </si>
  <si>
    <t>CA2501005</t>
    <phoneticPr fontId="14" type="noConversion"/>
  </si>
  <si>
    <t>23*154</t>
    <phoneticPr fontId="14" type="noConversion"/>
  </si>
  <si>
    <t xml:space="preserve">CA2501835 </t>
    <phoneticPr fontId="14" type="noConversion"/>
  </si>
  <si>
    <t>1200*800*550
0.53</t>
    <phoneticPr fontId="14" type="noConversion"/>
  </si>
  <si>
    <t>CON.</t>
    <phoneticPr fontId="14" type="noConversion"/>
  </si>
  <si>
    <t>1/89-33/89</t>
    <phoneticPr fontId="14" type="noConversion"/>
  </si>
  <si>
    <t>35/89-44/89</t>
    <phoneticPr fontId="14" type="noConversion"/>
  </si>
  <si>
    <t>34/89</t>
    <phoneticPr fontId="14" type="noConversion"/>
  </si>
  <si>
    <t>45/89</t>
    <phoneticPr fontId="14" type="noConversion"/>
  </si>
  <si>
    <t>46/89</t>
    <phoneticPr fontId="14" type="noConversion"/>
  </si>
  <si>
    <t>47/89</t>
    <phoneticPr fontId="14" type="noConversion"/>
  </si>
  <si>
    <t>48/89-67/89</t>
    <phoneticPr fontId="14" type="noConversion"/>
  </si>
  <si>
    <t>68/89-88/89</t>
    <phoneticPr fontId="14" type="noConversion"/>
  </si>
  <si>
    <t>89/89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</si>
</sst>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9">
    <font>
      <sz val="11"/>
      <color theme="1"/>
      <name val="宋体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98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>
      <alignment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6" fillId="0" borderId="11" xfId="0" quotePrefix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6" fillId="0" borderId="1" xfId="0" quotePrefix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176" fontId="9" fillId="0" borderId="0" xfId="0" applyNumberFormat="1" applyFont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6" fillId="0" borderId="2" xfId="0" quotePrefix="1" applyFont="1" applyBorder="1" applyAlignment="1">
      <alignment horizontal="center" vertical="center"/>
    </xf>
    <xf numFmtId="0" fontId="16" fillId="0" borderId="3" xfId="0" quotePrefix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7"/>
  <sheetViews>
    <sheetView workbookViewId="0">
      <selection sqref="A1:XFD1048576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spans="1:17" ht="80.45" customHeight="1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</row>
    <row r="2" spans="1:17" ht="66.9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39.950000000000003" customHeight="1">
      <c r="A3" s="8">
        <v>1</v>
      </c>
      <c r="B3" s="5" t="s">
        <v>19</v>
      </c>
      <c r="C3" s="18" t="s">
        <v>24</v>
      </c>
      <c r="D3" s="18" t="s">
        <v>25</v>
      </c>
      <c r="E3" s="7"/>
      <c r="F3" s="8">
        <f>J3*K3</f>
        <v>39600</v>
      </c>
      <c r="G3" s="4">
        <v>40</v>
      </c>
      <c r="H3" s="4">
        <f>K3*I3</f>
        <v>990</v>
      </c>
      <c r="I3" s="4">
        <v>30</v>
      </c>
      <c r="J3" s="8">
        <f>G3*I3</f>
        <v>1200</v>
      </c>
      <c r="K3" s="8">
        <v>33</v>
      </c>
      <c r="L3" s="8">
        <v>641</v>
      </c>
      <c r="M3" s="8">
        <f>L3+42</f>
        <v>683</v>
      </c>
      <c r="N3" s="15" t="s">
        <v>18</v>
      </c>
      <c r="O3" s="16">
        <f>L3*K3</f>
        <v>21153</v>
      </c>
      <c r="P3" s="16">
        <f>M3*K3</f>
        <v>22539</v>
      </c>
      <c r="Q3" s="16">
        <f>0.53*K3</f>
        <v>17.490000000000002</v>
      </c>
    </row>
    <row r="4" spans="1:17" ht="35.1" customHeight="1">
      <c r="A4" s="8">
        <v>2</v>
      </c>
      <c r="B4" s="5" t="s">
        <v>19</v>
      </c>
      <c r="C4" s="6" t="s">
        <v>20</v>
      </c>
      <c r="D4" s="18" t="s">
        <v>25</v>
      </c>
      <c r="E4" s="7"/>
      <c r="F4" s="8">
        <f>J4*K4</f>
        <v>400</v>
      </c>
      <c r="G4" s="4">
        <v>40</v>
      </c>
      <c r="H4" s="4">
        <v>10</v>
      </c>
      <c r="I4" s="8">
        <v>10</v>
      </c>
      <c r="J4" s="8">
        <v>400</v>
      </c>
      <c r="K4" s="8">
        <v>1</v>
      </c>
      <c r="L4" s="8">
        <v>214</v>
      </c>
      <c r="M4" s="8">
        <f>L4+30</f>
        <v>244</v>
      </c>
      <c r="N4" s="15" t="s">
        <v>21</v>
      </c>
      <c r="O4" s="16">
        <f>L4*K4</f>
        <v>214</v>
      </c>
      <c r="P4" s="16">
        <f>M4*K4</f>
        <v>244</v>
      </c>
      <c r="Q4" s="16">
        <f>0.34*K4</f>
        <v>0.34</v>
      </c>
    </row>
    <row r="5" spans="1:17" ht="35.25" customHeight="1">
      <c r="A5" s="65" t="s">
        <v>22</v>
      </c>
      <c r="B5" s="65"/>
      <c r="C5" s="65"/>
      <c r="D5" s="9"/>
      <c r="E5" s="4"/>
      <c r="F5" s="4">
        <f>SUM(F3:F4)</f>
        <v>40000</v>
      </c>
      <c r="G5" s="4"/>
      <c r="H5" s="4">
        <f>SUM(H3:H4)</f>
        <v>1000</v>
      </c>
      <c r="I5" s="4"/>
      <c r="J5" s="4"/>
      <c r="K5" s="4">
        <f>SUM(K3:K4)</f>
        <v>34</v>
      </c>
      <c r="L5" s="4"/>
      <c r="M5" s="4"/>
      <c r="N5" s="17"/>
      <c r="O5" s="4">
        <f>SUM(O3:O4)</f>
        <v>21367</v>
      </c>
      <c r="P5" s="4">
        <f>SUM(P3:P4)</f>
        <v>22783</v>
      </c>
      <c r="Q5" s="4">
        <f>SUM(Q3:Q4)</f>
        <v>17.830000000000002</v>
      </c>
    </row>
    <row r="6" spans="1:17" ht="14.45" customHeight="1">
      <c r="A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ht="21" customHeight="1">
      <c r="A7" s="10"/>
      <c r="B7" s="11" t="s">
        <v>23</v>
      </c>
      <c r="C7" s="19" t="s">
        <v>26</v>
      </c>
      <c r="N7" s="10"/>
      <c r="O7" s="10"/>
      <c r="P7" s="10"/>
      <c r="Q7" s="10"/>
    </row>
    <row r="8" spans="1:17" ht="21" customHeight="1">
      <c r="A8" s="10"/>
      <c r="B8" s="12"/>
      <c r="C8" s="13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spans="1:17" ht="18.75">
      <c r="A9" s="10"/>
      <c r="B9" s="10"/>
      <c r="C9" s="13"/>
      <c r="D9" s="10"/>
      <c r="E9" s="10"/>
      <c r="F9" s="10"/>
      <c r="G9" s="10"/>
      <c r="H9" s="10"/>
      <c r="I9" s="10"/>
      <c r="J9" s="10"/>
      <c r="K9" s="10"/>
      <c r="L9" s="10"/>
      <c r="M9" s="10"/>
      <c r="N9" s="66">
        <v>45754</v>
      </c>
      <c r="O9" s="66"/>
      <c r="P9" s="66"/>
      <c r="Q9" s="66"/>
    </row>
    <row r="10" spans="1:17" ht="18.75">
      <c r="A10" s="10"/>
      <c r="B10" s="10"/>
      <c r="C10" s="13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67"/>
      <c r="O10" s="67"/>
      <c r="P10" s="67"/>
      <c r="Q10" s="67"/>
    </row>
    <row r="11" spans="1:17">
      <c r="A11" s="14"/>
      <c r="B11" s="14"/>
      <c r="C11" s="1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</row>
    <row r="12" spans="1:17">
      <c r="A12" s="14"/>
      <c r="B12" s="14"/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</row>
    <row r="13" spans="1:17">
      <c r="A13" s="14"/>
      <c r="B13" s="14"/>
      <c r="C13" s="13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</row>
    <row r="14" spans="1:17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1:17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</row>
    <row r="16" spans="1:17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</row>
    <row r="17" spans="1: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</sheetData>
  <mergeCells count="4">
    <mergeCell ref="A1:Q1"/>
    <mergeCell ref="A5:C5"/>
    <mergeCell ref="N9:Q9"/>
    <mergeCell ref="N10:Q10"/>
  </mergeCells>
  <phoneticPr fontId="14" type="noConversion"/>
  <pageMargins left="0.511811023622047" right="0.511811023622047" top="0.196850393700787" bottom="0.74803149606299202" header="0.31496062992126" footer="0.31496062992126"/>
  <pageSetup paperSize="9" scale="9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CBD3-AE5B-4A0F-8226-C798D42C2B33}">
  <sheetPr>
    <pageSetUpPr fitToPage="1"/>
  </sheetPr>
  <dimension ref="A1:R24"/>
  <sheetViews>
    <sheetView tabSelected="1" topLeftCell="A6" workbookViewId="0">
      <selection activeCell="F13" sqref="F13"/>
    </sheetView>
  </sheetViews>
  <sheetFormatPr defaultColWidth="8.75" defaultRowHeight="13.5"/>
  <cols>
    <col min="1" max="2" width="4.625" customWidth="1"/>
    <col min="3" max="3" width="8.625" customWidth="1"/>
    <col min="4" max="4" width="9.375" customWidth="1"/>
    <col min="5" max="5" width="11.375" customWidth="1"/>
    <col min="6" max="6" width="12.25" customWidth="1"/>
    <col min="7" max="7" width="7.75" customWidth="1"/>
    <col min="8" max="8" width="5.75" customWidth="1"/>
    <col min="9" max="9" width="6.625" customWidth="1"/>
    <col min="10" max="10" width="6.875" customWidth="1"/>
    <col min="11" max="11" width="6.25" customWidth="1"/>
    <col min="12" max="12" width="5.375" customWidth="1"/>
    <col min="13" max="13" width="8.125" customWidth="1"/>
    <col min="14" max="14" width="8.375" customWidth="1"/>
    <col min="15" max="15" width="13.5" customWidth="1"/>
  </cols>
  <sheetData>
    <row r="1" spans="1:18" ht="80.45" customHeight="1">
      <c r="A1" s="63" t="s">
        <v>0</v>
      </c>
      <c r="B1" s="63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</row>
    <row r="2" spans="1:18" ht="66.95" customHeight="1" thickBot="1">
      <c r="A2" s="43" t="s">
        <v>1</v>
      </c>
      <c r="B2" s="44" t="s">
        <v>34</v>
      </c>
      <c r="C2" s="43" t="s">
        <v>2</v>
      </c>
      <c r="D2" s="43" t="s">
        <v>3</v>
      </c>
      <c r="E2" s="45" t="s">
        <v>4</v>
      </c>
      <c r="F2" s="45" t="s">
        <v>5</v>
      </c>
      <c r="G2" s="5" t="s">
        <v>6</v>
      </c>
      <c r="H2" s="45" t="s">
        <v>7</v>
      </c>
      <c r="I2" s="45" t="s">
        <v>8</v>
      </c>
      <c r="J2" s="45" t="s">
        <v>9</v>
      </c>
      <c r="K2" s="45" t="s">
        <v>10</v>
      </c>
      <c r="L2" s="45" t="s">
        <v>11</v>
      </c>
      <c r="M2" s="45" t="s">
        <v>12</v>
      </c>
      <c r="N2" s="45" t="s">
        <v>13</v>
      </c>
      <c r="O2" s="45" t="s">
        <v>14</v>
      </c>
      <c r="P2" s="46" t="s">
        <v>15</v>
      </c>
      <c r="Q2" s="46" t="s">
        <v>16</v>
      </c>
      <c r="R2" s="43" t="s">
        <v>17</v>
      </c>
    </row>
    <row r="3" spans="1:18" ht="39.950000000000003" customHeight="1" thickBot="1">
      <c r="A3" s="47">
        <v>1</v>
      </c>
      <c r="B3" s="80">
        <v>1</v>
      </c>
      <c r="C3" s="48" t="s">
        <v>19</v>
      </c>
      <c r="D3" s="28" t="s">
        <v>24</v>
      </c>
      <c r="E3" s="73" t="s">
        <v>25</v>
      </c>
      <c r="F3" s="62" t="s">
        <v>35</v>
      </c>
      <c r="G3" s="49">
        <f>K3*L3</f>
        <v>39600</v>
      </c>
      <c r="H3" s="50">
        <v>40</v>
      </c>
      <c r="I3" s="50">
        <f>L3*J3</f>
        <v>990</v>
      </c>
      <c r="J3" s="50">
        <v>30</v>
      </c>
      <c r="K3" s="49">
        <f>H3*J3</f>
        <v>1200</v>
      </c>
      <c r="L3" s="49">
        <v>33</v>
      </c>
      <c r="M3" s="49">
        <v>641</v>
      </c>
      <c r="N3" s="49">
        <f>M3+42</f>
        <v>683</v>
      </c>
      <c r="O3" s="51" t="s">
        <v>18</v>
      </c>
      <c r="P3" s="52">
        <f t="shared" ref="P3:P6" si="0">M3*L3</f>
        <v>21153</v>
      </c>
      <c r="Q3" s="52">
        <f t="shared" ref="Q3:Q6" si="1">N3*L3</f>
        <v>22539</v>
      </c>
      <c r="R3" s="53">
        <f>0.53*L3</f>
        <v>17.490000000000002</v>
      </c>
    </row>
    <row r="4" spans="1:18" ht="35.1" customHeight="1" thickBot="1">
      <c r="A4" s="54">
        <v>2</v>
      </c>
      <c r="B4" s="81"/>
      <c r="C4" s="55" t="s">
        <v>19</v>
      </c>
      <c r="D4" s="56" t="s">
        <v>20</v>
      </c>
      <c r="E4" s="79"/>
      <c r="F4" s="36" t="s">
        <v>37</v>
      </c>
      <c r="G4" s="57">
        <f>K4*L4</f>
        <v>400</v>
      </c>
      <c r="H4" s="57">
        <v>40</v>
      </c>
      <c r="I4" s="50">
        <f>L4*J4</f>
        <v>10</v>
      </c>
      <c r="J4" s="57">
        <v>10</v>
      </c>
      <c r="K4" s="57">
        <v>400</v>
      </c>
      <c r="L4" s="57">
        <v>1</v>
      </c>
      <c r="M4" s="57">
        <v>214</v>
      </c>
      <c r="N4" s="57">
        <f>M4+30</f>
        <v>244</v>
      </c>
      <c r="O4" s="58" t="s">
        <v>21</v>
      </c>
      <c r="P4" s="59">
        <f t="shared" si="0"/>
        <v>214</v>
      </c>
      <c r="Q4" s="59">
        <f t="shared" si="1"/>
        <v>244</v>
      </c>
      <c r="R4" s="60">
        <f>0.34*L4</f>
        <v>0.34</v>
      </c>
    </row>
    <row r="5" spans="1:18" ht="38.25" customHeight="1">
      <c r="A5" s="69">
        <v>3</v>
      </c>
      <c r="B5" s="82">
        <v>2</v>
      </c>
      <c r="C5" s="71" t="s">
        <v>19</v>
      </c>
      <c r="D5" s="73" t="s">
        <v>27</v>
      </c>
      <c r="E5" s="73" t="s">
        <v>28</v>
      </c>
      <c r="F5" s="29" t="s">
        <v>36</v>
      </c>
      <c r="G5" s="30">
        <f>K5*L5</f>
        <v>12250</v>
      </c>
      <c r="H5" s="30">
        <v>35</v>
      </c>
      <c r="I5" s="30">
        <f>L5*J5</f>
        <v>350</v>
      </c>
      <c r="J5" s="30">
        <v>35</v>
      </c>
      <c r="K5" s="30">
        <f>H5*J5</f>
        <v>1225</v>
      </c>
      <c r="L5" s="30">
        <v>10</v>
      </c>
      <c r="M5" s="30">
        <v>654</v>
      </c>
      <c r="N5" s="30">
        <f>M5+42</f>
        <v>696</v>
      </c>
      <c r="O5" s="40" t="s">
        <v>18</v>
      </c>
      <c r="P5" s="30">
        <f t="shared" si="0"/>
        <v>6540</v>
      </c>
      <c r="Q5" s="30">
        <f t="shared" si="1"/>
        <v>6960</v>
      </c>
      <c r="R5" s="32">
        <f>0.53*L5</f>
        <v>5.3000000000000007</v>
      </c>
    </row>
    <row r="6" spans="1:18" ht="38.25" customHeight="1">
      <c r="A6" s="70"/>
      <c r="B6" s="83"/>
      <c r="C6" s="72"/>
      <c r="D6" s="74"/>
      <c r="E6" s="74"/>
      <c r="F6" s="61" t="s">
        <v>38</v>
      </c>
      <c r="G6" s="20">
        <f>K6*L6</f>
        <v>350</v>
      </c>
      <c r="H6" s="20">
        <v>35</v>
      </c>
      <c r="I6" s="20">
        <f>L6*J6</f>
        <v>10</v>
      </c>
      <c r="J6" s="20">
        <v>10</v>
      </c>
      <c r="K6" s="20">
        <f>H6*J6</f>
        <v>350</v>
      </c>
      <c r="L6" s="20">
        <v>1</v>
      </c>
      <c r="M6" s="20">
        <v>187</v>
      </c>
      <c r="N6" s="20">
        <f>M6+30</f>
        <v>217</v>
      </c>
      <c r="O6" s="22" t="s">
        <v>29</v>
      </c>
      <c r="P6" s="20">
        <f t="shared" si="0"/>
        <v>187</v>
      </c>
      <c r="Q6" s="20">
        <f t="shared" si="1"/>
        <v>217</v>
      </c>
      <c r="R6" s="41">
        <f>0.34*L6</f>
        <v>0.34</v>
      </c>
    </row>
    <row r="7" spans="1:18" ht="38.25" customHeight="1">
      <c r="A7" s="75">
        <v>4</v>
      </c>
      <c r="B7" s="83"/>
      <c r="C7" s="77" t="s">
        <v>19</v>
      </c>
      <c r="D7" s="89" t="s">
        <v>27</v>
      </c>
      <c r="E7" s="89" t="s">
        <v>30</v>
      </c>
      <c r="F7" s="61" t="s">
        <v>39</v>
      </c>
      <c r="G7" s="20">
        <f>K7*L7</f>
        <v>1225</v>
      </c>
      <c r="H7" s="20">
        <v>35</v>
      </c>
      <c r="I7" s="20">
        <f>L7*J7</f>
        <v>35</v>
      </c>
      <c r="J7" s="20">
        <v>35</v>
      </c>
      <c r="K7" s="20">
        <f>H7*J7</f>
        <v>1225</v>
      </c>
      <c r="L7" s="20">
        <v>1</v>
      </c>
      <c r="M7" s="20">
        <v>654</v>
      </c>
      <c r="N7" s="20">
        <f>M7+42</f>
        <v>696</v>
      </c>
      <c r="O7" s="21" t="s">
        <v>18</v>
      </c>
      <c r="P7" s="20">
        <f>M7*L7</f>
        <v>654</v>
      </c>
      <c r="Q7" s="20">
        <f>N7*L7</f>
        <v>696</v>
      </c>
      <c r="R7" s="41">
        <f>0.53*L7</f>
        <v>0.53</v>
      </c>
    </row>
    <row r="8" spans="1:18" ht="29.25" customHeight="1">
      <c r="A8" s="76"/>
      <c r="B8" s="83"/>
      <c r="C8" s="78"/>
      <c r="D8" s="90"/>
      <c r="E8" s="90"/>
      <c r="F8" s="91" t="s">
        <v>40</v>
      </c>
      <c r="G8" s="20">
        <v>1260</v>
      </c>
      <c r="H8" s="20">
        <v>35</v>
      </c>
      <c r="I8" s="93">
        <v>37</v>
      </c>
      <c r="J8" s="20">
        <v>36</v>
      </c>
      <c r="K8" s="93">
        <v>1275</v>
      </c>
      <c r="L8" s="93">
        <v>1</v>
      </c>
      <c r="M8" s="93">
        <v>681</v>
      </c>
      <c r="N8" s="93">
        <f>M8+42</f>
        <v>723</v>
      </c>
      <c r="O8" s="95" t="s">
        <v>33</v>
      </c>
      <c r="P8" s="93">
        <f>M8*L8</f>
        <v>681</v>
      </c>
      <c r="Q8" s="93">
        <f>N8*L8</f>
        <v>723</v>
      </c>
      <c r="R8" s="87">
        <f>0.53*L8</f>
        <v>0.53</v>
      </c>
    </row>
    <row r="9" spans="1:18" ht="29.25" customHeight="1">
      <c r="A9" s="70"/>
      <c r="B9" s="83"/>
      <c r="C9" s="72"/>
      <c r="D9" s="74"/>
      <c r="E9" s="74"/>
      <c r="F9" s="92"/>
      <c r="G9" s="20">
        <v>15</v>
      </c>
      <c r="H9" s="20">
        <v>15</v>
      </c>
      <c r="I9" s="94"/>
      <c r="J9" s="20">
        <v>1</v>
      </c>
      <c r="K9" s="94"/>
      <c r="L9" s="94"/>
      <c r="M9" s="94"/>
      <c r="N9" s="94"/>
      <c r="O9" s="96"/>
      <c r="P9" s="94"/>
      <c r="Q9" s="94"/>
      <c r="R9" s="88"/>
    </row>
    <row r="10" spans="1:18" ht="43.5" customHeight="1" thickBot="1">
      <c r="A10" s="33">
        <v>5</v>
      </c>
      <c r="B10" s="84"/>
      <c r="C10" s="34" t="s">
        <v>19</v>
      </c>
      <c r="D10" s="35" t="s">
        <v>31</v>
      </c>
      <c r="E10" s="35" t="s">
        <v>32</v>
      </c>
      <c r="F10" s="42" t="s">
        <v>41</v>
      </c>
      <c r="G10" s="37">
        <f>K10*L10</f>
        <v>24000</v>
      </c>
      <c r="H10" s="37">
        <v>40</v>
      </c>
      <c r="I10" s="37">
        <f>L10*J10</f>
        <v>600</v>
      </c>
      <c r="J10" s="37">
        <v>30</v>
      </c>
      <c r="K10" s="37">
        <f>H10*J10</f>
        <v>1200</v>
      </c>
      <c r="L10" s="37">
        <v>20</v>
      </c>
      <c r="M10" s="37">
        <v>652</v>
      </c>
      <c r="N10" s="37">
        <f>M10+42</f>
        <v>694</v>
      </c>
      <c r="O10" s="38" t="s">
        <v>33</v>
      </c>
      <c r="P10" s="37">
        <f>M10*L10</f>
        <v>13040</v>
      </c>
      <c r="Q10" s="37">
        <f>N10*L10</f>
        <v>13880</v>
      </c>
      <c r="R10" s="39">
        <f>0.53*L10</f>
        <v>10.600000000000001</v>
      </c>
    </row>
    <row r="11" spans="1:18" ht="43.5" customHeight="1" thickBot="1">
      <c r="A11" s="26">
        <v>6</v>
      </c>
      <c r="B11" s="85">
        <v>3</v>
      </c>
      <c r="C11" s="27" t="s">
        <v>19</v>
      </c>
      <c r="D11" s="28" t="s">
        <v>31</v>
      </c>
      <c r="E11" s="73" t="s">
        <v>32</v>
      </c>
      <c r="F11" s="29" t="s">
        <v>42</v>
      </c>
      <c r="G11" s="30">
        <f>K11*L11</f>
        <v>25200</v>
      </c>
      <c r="H11" s="30">
        <v>40</v>
      </c>
      <c r="I11" s="30">
        <f>L11*J11</f>
        <v>630</v>
      </c>
      <c r="J11" s="30">
        <v>30</v>
      </c>
      <c r="K11" s="30">
        <f>H11*J11</f>
        <v>1200</v>
      </c>
      <c r="L11" s="30">
        <v>21</v>
      </c>
      <c r="M11" s="30">
        <v>652</v>
      </c>
      <c r="N11" s="30">
        <f>M11+42</f>
        <v>694</v>
      </c>
      <c r="O11" s="31" t="s">
        <v>33</v>
      </c>
      <c r="P11" s="30">
        <f>M11*L11</f>
        <v>13692</v>
      </c>
      <c r="Q11" s="30">
        <f>N11*L11</f>
        <v>14574</v>
      </c>
      <c r="R11" s="32">
        <f>0.53*L11</f>
        <v>11.13</v>
      </c>
    </row>
    <row r="12" spans="1:18" ht="48" customHeight="1" thickBot="1">
      <c r="A12" s="33">
        <v>7</v>
      </c>
      <c r="B12" s="86"/>
      <c r="C12" s="34" t="s">
        <v>19</v>
      </c>
      <c r="D12" s="35" t="s">
        <v>31</v>
      </c>
      <c r="E12" s="79"/>
      <c r="F12" s="36" t="s">
        <v>43</v>
      </c>
      <c r="G12" s="37">
        <f>K12*L12</f>
        <v>800</v>
      </c>
      <c r="H12" s="37">
        <v>40</v>
      </c>
      <c r="I12" s="37">
        <f>L12*J12</f>
        <v>20</v>
      </c>
      <c r="J12" s="37">
        <v>20</v>
      </c>
      <c r="K12" s="37">
        <f>H12*J12</f>
        <v>800</v>
      </c>
      <c r="L12" s="37">
        <v>1</v>
      </c>
      <c r="M12" s="37">
        <v>434</v>
      </c>
      <c r="N12" s="30">
        <f>M12+42</f>
        <v>476</v>
      </c>
      <c r="O12" s="38" t="s">
        <v>33</v>
      </c>
      <c r="P12" s="37">
        <f>M12*L12</f>
        <v>434</v>
      </c>
      <c r="Q12" s="37">
        <f>N12*L12</f>
        <v>476</v>
      </c>
      <c r="R12" s="39">
        <f>0.53*L12</f>
        <v>0.53</v>
      </c>
    </row>
    <row r="13" spans="1:18" ht="35.25" customHeight="1">
      <c r="A13" s="68" t="s">
        <v>22</v>
      </c>
      <c r="B13" s="68"/>
      <c r="C13" s="68"/>
      <c r="D13" s="68"/>
      <c r="E13" s="24"/>
      <c r="F13" s="23"/>
      <c r="G13" s="23">
        <f>SUM(G3:G12)</f>
        <v>105100</v>
      </c>
      <c r="H13" s="23"/>
      <c r="I13" s="23">
        <f>SUM(I3:I12)</f>
        <v>2682</v>
      </c>
      <c r="J13" s="23"/>
      <c r="K13" s="23"/>
      <c r="L13" s="23">
        <f>SUM(L3:L12)</f>
        <v>89</v>
      </c>
      <c r="M13" s="23"/>
      <c r="N13" s="23"/>
      <c r="O13" s="25"/>
      <c r="P13" s="97">
        <f>SUM(P3:P12)</f>
        <v>56595</v>
      </c>
      <c r="Q13" s="97">
        <f>SUM(Q3:Q12)</f>
        <v>60309</v>
      </c>
      <c r="R13" s="97">
        <f>SUM(R3:R12)</f>
        <v>46.790000000000013</v>
      </c>
    </row>
    <row r="14" spans="1:18" ht="14.45" customHeight="1">
      <c r="A14" s="10"/>
      <c r="B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spans="1:18" ht="21" customHeight="1">
      <c r="A15" s="10"/>
      <c r="B15" s="10"/>
      <c r="C15" s="12"/>
      <c r="D15" s="13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18" ht="18.75">
      <c r="A16" s="10"/>
      <c r="B16" s="10"/>
      <c r="C16" s="10"/>
      <c r="D16" s="13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66">
        <v>45799</v>
      </c>
      <c r="P16" s="66"/>
      <c r="Q16" s="66"/>
      <c r="R16" s="66"/>
    </row>
    <row r="17" spans="1:18" ht="18.75">
      <c r="A17" s="10"/>
      <c r="B17" s="10"/>
      <c r="C17" s="10"/>
      <c r="D17" s="13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67"/>
      <c r="P17" s="67"/>
      <c r="Q17" s="67"/>
      <c r="R17" s="67"/>
    </row>
    <row r="18" spans="1:18">
      <c r="A18" s="14"/>
      <c r="B18" s="14"/>
      <c r="C18" s="14"/>
      <c r="D18" s="13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spans="1:18">
      <c r="A19" s="14"/>
      <c r="B19" s="14"/>
      <c r="C19" s="14"/>
      <c r="D19" s="13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</row>
    <row r="20" spans="1:18">
      <c r="A20" s="14"/>
      <c r="B20" s="14"/>
      <c r="C20" s="14"/>
      <c r="D20" s="13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 spans="1:18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 spans="1:18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</row>
    <row r="24" spans="1:18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</row>
  </sheetData>
  <mergeCells count="27">
    <mergeCell ref="Q8:Q9"/>
    <mergeCell ref="L8:L9"/>
    <mergeCell ref="M8:M9"/>
    <mergeCell ref="N8:N9"/>
    <mergeCell ref="O8:O9"/>
    <mergeCell ref="P8:P9"/>
    <mergeCell ref="D7:D9"/>
    <mergeCell ref="E7:E9"/>
    <mergeCell ref="F8:F9"/>
    <mergeCell ref="I8:I9"/>
    <mergeCell ref="K8:K9"/>
    <mergeCell ref="A1:R1"/>
    <mergeCell ref="A13:D13"/>
    <mergeCell ref="O16:R16"/>
    <mergeCell ref="O17:R17"/>
    <mergeCell ref="A5:A6"/>
    <mergeCell ref="C5:C6"/>
    <mergeCell ref="D5:D6"/>
    <mergeCell ref="E5:E6"/>
    <mergeCell ref="A7:A9"/>
    <mergeCell ref="C7:C9"/>
    <mergeCell ref="E3:E4"/>
    <mergeCell ref="E11:E12"/>
    <mergeCell ref="B3:B4"/>
    <mergeCell ref="B5:B10"/>
    <mergeCell ref="B11:B12"/>
    <mergeCell ref="R8:R9"/>
  </mergeCells>
  <phoneticPr fontId="14" type="noConversion"/>
  <pageMargins left="0.7" right="0.7" top="0.75" bottom="0.75" header="0.3" footer="0.3"/>
  <pageSetup paperSize="9" scale="75" orientation="landscape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D0F0C3-FD85-4F4A-B3C7-C631F71BA556}">
  <ds:schemaRefs/>
</ds:datastoreItem>
</file>

<file path=customXml/itemProps2.xml><?xml version="1.0" encoding="utf-8"?>
<ds:datastoreItem xmlns:ds="http://schemas.openxmlformats.org/officeDocument/2006/customXml" ds:itemID="{12532537-10CC-40F5-A17B-2B64C178E5CF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2025-05-23T03:30:07Z</cp:lastPrinted>
  <dcterms:created xsi:type="dcterms:W3CDTF">2006-09-13T11:21:00Z</dcterms:created>
  <dcterms:modified xsi:type="dcterms:W3CDTF">2025-05-23T03:30:37Z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2B455B5BDD5842FCB06B47B10219E44B_13</vt:lpwstr>
  </property>
  <property fmtid="{D5CDD505-2E9C-101B-9397-08002B2CF9AE}" pid="4" name="KSOProductBuildVer">
    <vt:lpwstr>2052-12.1.0.18608</vt:lpwstr>
  </property>
</Properties>
</file>