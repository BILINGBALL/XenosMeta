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12600件发货\"/>
    </mc:Choice>
  </mc:AlternateContent>
  <xr:revisionPtr revIDLastSave="0" documentId="13_ncr:1_{1EBF3FF9-6EA7-4C77-9A0A-2DC386FA05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O6" i="2"/>
  <c r="M6" i="2"/>
  <c r="P6" i="2" s="1"/>
  <c r="Q5" i="2"/>
  <c r="O5" i="2"/>
  <c r="M5" i="2"/>
  <c r="P5" i="2" s="1"/>
  <c r="J5" i="2"/>
  <c r="F5" i="2" s="1"/>
  <c r="H5" i="2"/>
  <c r="M4" i="2"/>
  <c r="P4" i="2" s="1"/>
  <c r="Q4" i="2"/>
  <c r="O4" i="2"/>
  <c r="J4" i="2"/>
  <c r="F4" i="2" s="1"/>
  <c r="H4" i="2"/>
  <c r="K8" i="2"/>
  <c r="Q3" i="2"/>
  <c r="O3" i="2"/>
  <c r="M3" i="2"/>
  <c r="P3" i="2" s="1"/>
  <c r="J3" i="2"/>
  <c r="F3" i="2" s="1"/>
  <c r="H3" i="2"/>
  <c r="H8" i="2" l="1"/>
  <c r="O8" i="2"/>
  <c r="Q8" i="2"/>
  <c r="F8" i="2"/>
  <c r="P8" i="2"/>
</calcChain>
</file>

<file path=xl/sharedStrings.xml><?xml version="1.0" encoding="utf-8"?>
<sst xmlns="http://schemas.openxmlformats.org/spreadsheetml/2006/main" count="35" uniqueCount="31">
  <si>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</si>
  <si>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</si>
  <si>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</si>
  <si>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</si>
  <si>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</si>
  <si>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</si>
  <si>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</si>
  <si>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</si>
  <si>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</si>
  <si>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</si>
  <si>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</si>
  <si>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</si>
  <si>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</si>
  <si>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</si>
  <si>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</si>
  <si>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</si>
  <si>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</si>
  <si>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</si>
  <si>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</si>
  <si>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23*149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</si>
  <si>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</si>
  <si>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</si>
  <si>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CA2500969</t>
    <phoneticPr fontId="17" type="noConversion"/>
  </si>
  <si>
    <t>1200*800*350
0.34</t>
    <phoneticPr fontId="17" type="noConversion"/>
  </si>
  <si>
    <t>CA2501005</t>
    <phoneticPr fontId="17" type="noConversion"/>
  </si>
  <si>
    <t>(*)</t>
  </si>
  <si>
    <t>1/13-10/13</t>
    <phoneticPr fontId="17" type="noConversion"/>
  </si>
  <si>
    <t>11/13</t>
    <phoneticPr fontId="17" type="noConversion"/>
  </si>
  <si>
    <t>12/13</t>
    <phoneticPr fontId="17" type="noConversion"/>
  </si>
  <si>
    <t>13/13</t>
    <phoneticPr fontId="17" type="noConversion"/>
  </si>
  <si>
    <t>The pieces are packed in a bag : 35（15） pieces per bag and 35（10）（37） bags per case so 1225（350）（1275）pieces per case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</si>
</sst>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>
    <font>
      <sz val="11"/>
      <color theme="1"/>
      <name val="宋体"/>
      <charset val="134"/>
      <scheme val="minor"/>
    </font>
    <font>
      <b/>
      <sz val="22"/>
      <color rgb="FFFFC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A2" workbookViewId="0">
      <selection activeCell="L12" sqref="L12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8.25" customHeight="1">
      <c r="A3" s="18">
        <v>1</v>
      </c>
      <c r="B3" s="25" t="s">
        <v>18</v>
      </c>
      <c r="C3" s="27" t="s">
        <v>19</v>
      </c>
      <c r="D3" s="29" t="s">
        <v>22</v>
      </c>
      <c r="E3" s="36" t="s">
        <v>26</v>
      </c>
      <c r="F3" s="4">
        <f>J3*K3</f>
        <v>12250</v>
      </c>
      <c r="G3" s="4">
        <v>35</v>
      </c>
      <c r="H3" s="4">
        <f>K3*I3</f>
        <v>350</v>
      </c>
      <c r="I3" s="4">
        <v>35</v>
      </c>
      <c r="J3" s="4">
        <f>G3*I3</f>
        <v>1225</v>
      </c>
      <c r="K3" s="4">
        <v>10</v>
      </c>
      <c r="L3" s="4">
        <v>654</v>
      </c>
      <c r="M3" s="4">
        <f>L3+42</f>
        <v>696</v>
      </c>
      <c r="N3" s="10" t="s">
        <v>20</v>
      </c>
      <c r="O3" s="4">
        <f>L3*K3</f>
        <v>6540</v>
      </c>
      <c r="P3" s="4">
        <f>M3*K3</f>
        <v>6960</v>
      </c>
      <c r="Q3" s="4">
        <f>0.53*K3</f>
        <v>5.3000000000000007</v>
      </c>
    </row>
    <row r="4" spans="1:17" ht="38.25" customHeight="1">
      <c r="A4" s="19"/>
      <c r="B4" s="26"/>
      <c r="C4" s="28"/>
      <c r="D4" s="30"/>
      <c r="E4" s="37" t="s">
        <v>27</v>
      </c>
      <c r="F4" s="4">
        <f>J4*K4</f>
        <v>350</v>
      </c>
      <c r="G4" s="4">
        <v>35</v>
      </c>
      <c r="H4" s="4">
        <f>K4*I4</f>
        <v>10</v>
      </c>
      <c r="I4" s="4">
        <v>10</v>
      </c>
      <c r="J4" s="4">
        <f>G4*I4</f>
        <v>350</v>
      </c>
      <c r="K4" s="4">
        <v>1</v>
      </c>
      <c r="L4" s="4">
        <v>187</v>
      </c>
      <c r="M4" s="4">
        <f>L4+30</f>
        <v>217</v>
      </c>
      <c r="N4" s="13" t="s">
        <v>23</v>
      </c>
      <c r="O4" s="4">
        <f>L4*K4</f>
        <v>187</v>
      </c>
      <c r="P4" s="4">
        <f>M4*K4</f>
        <v>217</v>
      </c>
      <c r="Q4" s="4">
        <f>0.34*K4</f>
        <v>0.34</v>
      </c>
    </row>
    <row r="5" spans="1:17" ht="38.25" customHeight="1">
      <c r="A5" s="18">
        <v>2</v>
      </c>
      <c r="B5" s="25" t="s">
        <v>18</v>
      </c>
      <c r="C5" s="27" t="s">
        <v>19</v>
      </c>
      <c r="D5" s="29" t="s">
        <v>24</v>
      </c>
      <c r="E5" s="37" t="s">
        <v>28</v>
      </c>
      <c r="F5" s="4">
        <f>J5*K5</f>
        <v>1225</v>
      </c>
      <c r="G5" s="4">
        <v>35</v>
      </c>
      <c r="H5" s="4">
        <f>K5*I5</f>
        <v>35</v>
      </c>
      <c r="I5" s="4">
        <v>35</v>
      </c>
      <c r="J5" s="4">
        <f>G5*I5</f>
        <v>1225</v>
      </c>
      <c r="K5" s="4">
        <v>1</v>
      </c>
      <c r="L5" s="4">
        <v>654</v>
      </c>
      <c r="M5" s="4">
        <f>L5+42</f>
        <v>696</v>
      </c>
      <c r="N5" s="10" t="s">
        <v>20</v>
      </c>
      <c r="O5" s="4">
        <f>L5*K5</f>
        <v>654</v>
      </c>
      <c r="P5" s="4">
        <f>M5*K5</f>
        <v>696</v>
      </c>
      <c r="Q5" s="4">
        <f>0.53*K5</f>
        <v>0.53</v>
      </c>
    </row>
    <row r="6" spans="1:17" ht="29.25" customHeight="1">
      <c r="A6" s="31"/>
      <c r="B6" s="32"/>
      <c r="C6" s="33"/>
      <c r="D6" s="34"/>
      <c r="E6" s="38" t="s">
        <v>29</v>
      </c>
      <c r="F6" s="4">
        <v>1260</v>
      </c>
      <c r="G6" s="4">
        <v>35</v>
      </c>
      <c r="H6" s="18">
        <v>37</v>
      </c>
      <c r="I6" s="4">
        <v>36</v>
      </c>
      <c r="J6" s="18">
        <v>1275</v>
      </c>
      <c r="K6" s="18">
        <v>1</v>
      </c>
      <c r="L6" s="18">
        <v>681</v>
      </c>
      <c r="M6" s="18">
        <f>L6+42</f>
        <v>723</v>
      </c>
      <c r="N6" s="20" t="s">
        <v>23</v>
      </c>
      <c r="O6" s="18">
        <f>L6*K6</f>
        <v>681</v>
      </c>
      <c r="P6" s="18">
        <f>M6*K6</f>
        <v>723</v>
      </c>
      <c r="Q6" s="18">
        <f>0.34*K6</f>
        <v>0.34</v>
      </c>
    </row>
    <row r="7" spans="1:17" ht="29.25" customHeight="1">
      <c r="A7" s="19"/>
      <c r="B7" s="26"/>
      <c r="C7" s="28"/>
      <c r="D7" s="30"/>
      <c r="E7" s="35"/>
      <c r="F7" s="4">
        <v>15</v>
      </c>
      <c r="G7" s="4">
        <v>15</v>
      </c>
      <c r="H7" s="19"/>
      <c r="I7" s="4">
        <v>1</v>
      </c>
      <c r="J7" s="19"/>
      <c r="K7" s="19"/>
      <c r="L7" s="19"/>
      <c r="M7" s="19"/>
      <c r="N7" s="21"/>
      <c r="O7" s="19"/>
      <c r="P7" s="19"/>
      <c r="Q7" s="19"/>
    </row>
    <row r="8" spans="1:17" ht="35.25" customHeight="1">
      <c r="A8" s="19" t="s">
        <v>21</v>
      </c>
      <c r="B8" s="19"/>
      <c r="C8" s="19"/>
      <c r="D8" s="6"/>
      <c r="E8" s="5"/>
      <c r="F8" s="5">
        <f>SUM(F3:F7)</f>
        <v>15100</v>
      </c>
      <c r="G8" s="5"/>
      <c r="H8" s="5">
        <f>SUM(H3:H7)</f>
        <v>432</v>
      </c>
      <c r="I8" s="5"/>
      <c r="J8" s="5"/>
      <c r="K8" s="5">
        <f>SUM(K3:K7)</f>
        <v>13</v>
      </c>
      <c r="L8" s="5"/>
      <c r="M8" s="5"/>
      <c r="N8" s="11"/>
      <c r="O8" s="5">
        <f>SUM(O3:O7)</f>
        <v>8062</v>
      </c>
      <c r="P8" s="5">
        <f>SUM(P3:P7)</f>
        <v>8596</v>
      </c>
      <c r="Q8" s="12">
        <f>SUM(Q3:Q7)</f>
        <v>6.5100000000000007</v>
      </c>
    </row>
    <row r="9" spans="1:17" ht="14.45" customHeight="1">
      <c r="A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1" customHeight="1">
      <c r="A10" s="14"/>
      <c r="B10" s="15" t="s">
        <v>25</v>
      </c>
      <c r="C10" s="16" t="s">
        <v>30</v>
      </c>
      <c r="N10" s="14"/>
      <c r="O10" s="14"/>
      <c r="P10" s="14"/>
      <c r="Q10" s="14"/>
    </row>
    <row r="11" spans="1:17" ht="21" customHeight="1">
      <c r="A11" s="14"/>
      <c r="B11" s="17"/>
      <c r="C11" s="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ht="18.75">
      <c r="A12" s="14"/>
      <c r="B12" s="14"/>
      <c r="C12" s="8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2">
        <v>45754</v>
      </c>
      <c r="O12" s="22"/>
      <c r="P12" s="22"/>
      <c r="Q12" s="22"/>
    </row>
    <row r="13" spans="1:17">
      <c r="A13" s="9"/>
      <c r="B13" s="9"/>
      <c r="C13" s="8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</sheetData>
  <mergeCells count="21">
    <mergeCell ref="Q6:Q7"/>
    <mergeCell ref="N12:Q12"/>
    <mergeCell ref="A1:Q1"/>
    <mergeCell ref="A8:C8"/>
    <mergeCell ref="A3:A4"/>
    <mergeCell ref="B3:B4"/>
    <mergeCell ref="C3:C4"/>
    <mergeCell ref="D3:D4"/>
    <mergeCell ref="A5:A7"/>
    <mergeCell ref="B5:B7"/>
    <mergeCell ref="C5:C7"/>
    <mergeCell ref="D5:D7"/>
    <mergeCell ref="K6:K7"/>
    <mergeCell ref="E6:E7"/>
    <mergeCell ref="L6:L7"/>
    <mergeCell ref="M6:M7"/>
    <mergeCell ref="H6:H7"/>
    <mergeCell ref="J6:J7"/>
    <mergeCell ref="N6:N7"/>
    <mergeCell ref="O6:O7"/>
    <mergeCell ref="P6:P7"/>
  </mergeCells>
  <phoneticPr fontId="17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2025-04-11T07:42:45Z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