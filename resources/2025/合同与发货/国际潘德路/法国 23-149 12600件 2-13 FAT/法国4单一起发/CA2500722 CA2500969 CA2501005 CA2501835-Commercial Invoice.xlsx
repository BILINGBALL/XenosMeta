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"/>
    </mc:Choice>
  </mc:AlternateContent>
  <xr:revisionPtr revIDLastSave="0" documentId="13_ncr:1_{0588CDAC-6580-4B86-861A-E02E6937D4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5" i="2"/>
  <c r="G22" i="2"/>
  <c r="D27" i="2"/>
  <c r="G23" i="2"/>
  <c r="G27" i="2" l="1"/>
</calcChain>
</file>

<file path=xl/sharedStrings.xml><?xml version="1.0" encoding="utf-8"?>
<sst xmlns="http://schemas.openxmlformats.org/spreadsheetml/2006/main" count="45" uniqueCount="40">
  <si>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</si>
  <si>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</si>
  <si>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</si>
  <si>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</si>
  <si>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</si>
  <si>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</si>
  <si>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</si>
  <si>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</si>
  <si>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 xml:space="preserve">205 RUE DE SIN LE NOBLE 59504 DOUAI CEDDEX, FRANCE
Consigee: Rodolphe Gruchy 
T:  +33 647568635 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</si>
  <si>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</si>
  <si>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</si>
  <si>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</si>
  <si>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</si>
  <si>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</si>
  <si>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</si>
  <si>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</si>
  <si>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</si>
  <si>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</si>
  <si>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</si>
  <si>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</si>
  <si>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</si>
  <si>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</si>
  <si>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</si>
  <si>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</si>
  <si>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</si>
  <si>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</si>
  <si>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</si>
  <si>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</si>
  <si>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</si>
  <si>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</si>
  <si>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</si>
  <si>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</si>
  <si>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</si>
  <si>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</si>
  <si>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GS54-J10</t>
  </si>
  <si>
    <t>T  O  T  A  L</t>
  </si>
  <si>
    <t>250522-PANDROL</t>
    <phoneticPr fontId="11" type="noConversion"/>
  </si>
  <si>
    <t>CA2500722 CA2500969 CA2501005 CA2501835</t>
    <phoneticPr fontId="11" type="noConversion"/>
  </si>
  <si>
    <t>GS54-B5</t>
    <phoneticPr fontId="11" type="noConversion"/>
  </si>
  <si>
    <t>GS54-B6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</si>
</sst>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3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9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2" fillId="0" borderId="6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29</xdr:row>
      <xdr:rowOff>133350</xdr:rowOff>
    </xdr:from>
    <xdr:to>
      <xdr:col>6</xdr:col>
      <xdr:colOff>762000</xdr:colOff>
      <xdr:row>34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7" workbookViewId="0">
      <selection activeCell="K24" sqref="K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4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5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6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7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8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9</v>
      </c>
      <c r="B11" s="34"/>
      <c r="C11" s="33" t="s">
        <v>10</v>
      </c>
      <c r="D11" s="34"/>
      <c r="E11" s="33" t="s">
        <v>11</v>
      </c>
      <c r="F11" s="35"/>
      <c r="G11" s="34"/>
    </row>
    <row r="12" spans="1:7" ht="15" customHeight="1" x14ac:dyDescent="0.15">
      <c r="A12" s="27" t="s">
        <v>12</v>
      </c>
      <c r="B12" s="29"/>
      <c r="C12" s="36" t="s">
        <v>36</v>
      </c>
      <c r="D12" s="37"/>
      <c r="E12" s="38">
        <v>45799</v>
      </c>
      <c r="F12" s="39"/>
      <c r="G12" s="40"/>
    </row>
    <row r="13" spans="1:7" ht="15" customHeight="1" x14ac:dyDescent="0.15">
      <c r="A13" s="33" t="s">
        <v>13</v>
      </c>
      <c r="B13" s="34"/>
      <c r="C13" s="5" t="s">
        <v>14</v>
      </c>
      <c r="D13" s="6"/>
      <c r="E13" s="33" t="s">
        <v>15</v>
      </c>
      <c r="F13" s="35"/>
      <c r="G13" s="34"/>
    </row>
    <row r="14" spans="1:7" ht="28.5" customHeight="1" x14ac:dyDescent="0.15">
      <c r="A14" s="27" t="s">
        <v>16</v>
      </c>
      <c r="B14" s="29"/>
      <c r="C14" s="69" t="s">
        <v>37</v>
      </c>
      <c r="D14" s="7"/>
      <c r="E14" s="27"/>
      <c r="F14" s="28"/>
      <c r="G14" s="29"/>
    </row>
    <row r="15" spans="1:7" ht="15" customHeight="1" x14ac:dyDescent="0.15">
      <c r="A15" s="41" t="s">
        <v>17</v>
      </c>
      <c r="B15" s="42"/>
      <c r="C15" s="33" t="s">
        <v>18</v>
      </c>
      <c r="D15" s="35"/>
      <c r="E15" s="35"/>
      <c r="F15" s="35"/>
      <c r="G15" s="34"/>
    </row>
    <row r="16" spans="1:7" ht="15" customHeight="1" x14ac:dyDescent="0.15">
      <c r="A16" s="43" t="s">
        <v>19</v>
      </c>
      <c r="B16" s="44"/>
      <c r="C16" s="27" t="s">
        <v>20</v>
      </c>
      <c r="D16" s="28"/>
      <c r="E16" s="28"/>
      <c r="F16" s="28"/>
      <c r="G16" s="29"/>
    </row>
    <row r="17" spans="1:7" ht="15" customHeight="1" x14ac:dyDescent="0.15">
      <c r="A17" s="33" t="s">
        <v>21</v>
      </c>
      <c r="B17" s="34"/>
      <c r="C17" s="33" t="s">
        <v>22</v>
      </c>
      <c r="D17" s="35"/>
      <c r="E17" s="35"/>
      <c r="F17" s="35"/>
      <c r="G17" s="34"/>
    </row>
    <row r="18" spans="1:7" ht="15" customHeight="1" x14ac:dyDescent="0.15">
      <c r="A18" s="30" t="s">
        <v>23</v>
      </c>
      <c r="B18" s="32"/>
      <c r="C18" s="24" t="s">
        <v>24</v>
      </c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65" t="s">
        <v>25</v>
      </c>
      <c r="B20" s="67" t="s">
        <v>26</v>
      </c>
      <c r="C20" s="67" t="s">
        <v>27</v>
      </c>
      <c r="D20" s="45" t="s">
        <v>28</v>
      </c>
      <c r="E20" s="46"/>
      <c r="F20" s="8" t="s">
        <v>29</v>
      </c>
      <c r="G20" s="8" t="s">
        <v>30</v>
      </c>
    </row>
    <row r="21" spans="1:7" ht="15" customHeight="1" x14ac:dyDescent="0.15">
      <c r="A21" s="66"/>
      <c r="B21" s="68"/>
      <c r="C21" s="68"/>
      <c r="D21" s="47" t="s">
        <v>31</v>
      </c>
      <c r="E21" s="48"/>
      <c r="F21" s="9" t="s">
        <v>32</v>
      </c>
      <c r="G21" s="9" t="s">
        <v>32</v>
      </c>
    </row>
    <row r="22" spans="1:7" ht="27.75" customHeight="1" x14ac:dyDescent="0.15">
      <c r="A22" s="10">
        <v>1</v>
      </c>
      <c r="B22" s="11" t="s">
        <v>33</v>
      </c>
      <c r="C22" s="11" t="s">
        <v>34</v>
      </c>
      <c r="D22" s="49">
        <v>40000</v>
      </c>
      <c r="E22" s="50"/>
      <c r="F22" s="12">
        <v>0.8</v>
      </c>
      <c r="G22" s="13">
        <f>D22*F22</f>
        <v>32000</v>
      </c>
    </row>
    <row r="23" spans="1:7" ht="27.75" customHeight="1" thickBot="1" x14ac:dyDescent="0.2">
      <c r="A23" s="14">
        <v>2</v>
      </c>
      <c r="B23" s="11" t="s">
        <v>33</v>
      </c>
      <c r="C23" s="11" t="s">
        <v>38</v>
      </c>
      <c r="D23" s="49">
        <v>12600</v>
      </c>
      <c r="E23" s="50"/>
      <c r="F23" s="12">
        <v>0.77</v>
      </c>
      <c r="G23" s="13">
        <f>D23*F23</f>
        <v>9702</v>
      </c>
    </row>
    <row r="24" spans="1:7" ht="27" customHeight="1" thickBot="1" x14ac:dyDescent="0.2">
      <c r="A24" s="15">
        <v>3</v>
      </c>
      <c r="B24" s="11" t="s">
        <v>33</v>
      </c>
      <c r="C24" s="11" t="s">
        <v>38</v>
      </c>
      <c r="D24" s="51">
        <v>2500</v>
      </c>
      <c r="E24" s="52"/>
      <c r="F24" s="15">
        <v>0.77</v>
      </c>
      <c r="G24" s="13">
        <f t="shared" ref="G24:G25" si="0">D24*F24</f>
        <v>1925</v>
      </c>
    </row>
    <row r="25" spans="1:7" ht="27" customHeight="1" thickBot="1" x14ac:dyDescent="0.2">
      <c r="A25" s="14">
        <v>4</v>
      </c>
      <c r="B25" s="11" t="s">
        <v>33</v>
      </c>
      <c r="C25" s="11" t="s">
        <v>39</v>
      </c>
      <c r="D25" s="53">
        <v>50000</v>
      </c>
      <c r="E25" s="54"/>
      <c r="F25" s="14">
        <v>0.78300000000000003</v>
      </c>
      <c r="G25" s="13">
        <f t="shared" si="0"/>
        <v>39150</v>
      </c>
    </row>
    <row r="26" spans="1:7" ht="27" customHeight="1" thickBot="1" x14ac:dyDescent="0.2">
      <c r="A26" s="14"/>
      <c r="B26" s="16"/>
      <c r="C26" s="16"/>
      <c r="D26" s="51"/>
      <c r="E26" s="52"/>
      <c r="F26" s="14"/>
      <c r="G26" s="16"/>
    </row>
    <row r="27" spans="1:7" ht="24.95" customHeight="1" x14ac:dyDescent="0.15">
      <c r="A27" s="55" t="s">
        <v>35</v>
      </c>
      <c r="B27" s="56"/>
      <c r="C27" s="17"/>
      <c r="D27" s="57">
        <f>SUM(D22:E26)</f>
        <v>105100</v>
      </c>
      <c r="E27" s="58"/>
      <c r="F27" s="18"/>
      <c r="G27" s="19">
        <f>SUM(G22:G26)</f>
        <v>82777</v>
      </c>
    </row>
    <row r="28" spans="1:7" ht="36.75" customHeight="1" x14ac:dyDescent="0.15">
      <c r="A28" s="59"/>
      <c r="B28" s="60"/>
      <c r="C28" s="60"/>
      <c r="D28" s="60"/>
      <c r="E28" s="60"/>
      <c r="F28" s="60"/>
      <c r="G28" s="61"/>
    </row>
    <row r="29" spans="1:7" ht="24.95" customHeight="1" x14ac:dyDescent="0.15">
      <c r="A29" s="62"/>
      <c r="B29" s="63"/>
      <c r="C29" s="63"/>
      <c r="D29" s="63"/>
      <c r="E29" s="63"/>
      <c r="F29" s="63"/>
      <c r="G29" s="64"/>
    </row>
  </sheetData>
  <mergeCells count="41">
    <mergeCell ref="A27:B27"/>
    <mergeCell ref="D27:E27"/>
    <mergeCell ref="A28:G28"/>
    <mergeCell ref="A29:G29"/>
    <mergeCell ref="A20:A21"/>
    <mergeCell ref="B20:B21"/>
    <mergeCell ref="C20:C21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2025-05-23T03:40:25Z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