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锥形72000+10000发货\"/>
    </mc:Choice>
  </mc:AlternateContent>
  <xr:revisionPtr revIDLastSave="0" documentId="13_ncr:1_{73D30CE3-98BB-4C88-965C-B3ADFFE179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2" l="1"/>
  <c r="P7" i="2" s="1"/>
  <c r="K9" i="2"/>
  <c r="Q4" i="2"/>
  <c r="O4" i="2"/>
  <c r="M4" i="2"/>
  <c r="P4" i="2" s="1"/>
  <c r="Q3" i="2"/>
  <c r="O3" i="2"/>
  <c r="P3" i="2"/>
  <c r="J3" i="2"/>
  <c r="F3" i="2" s="1"/>
  <c r="H3" i="2"/>
  <c r="Q7" i="2"/>
  <c r="O7" i="2"/>
  <c r="P9" i="2" l="1"/>
  <c r="Q6" i="2"/>
  <c r="Q9" i="2" s="1"/>
  <c r="O6" i="2"/>
  <c r="O9" i="2" s="1"/>
  <c r="P6" i="2"/>
  <c r="J6" i="2"/>
  <c r="F6" i="2" s="1"/>
  <c r="F9" i="2" s="1"/>
  <c r="H6" i="2"/>
  <c r="H9" i="2" s="1"/>
</calcChain>
</file>

<file path=xl/sharedStrings.xml><?xml version="1.0" encoding="utf-8"?>
<sst xmlns="http://schemas.openxmlformats.org/spreadsheetml/2006/main" count="37" uniqueCount="30">
  <si>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</si>
  <si>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</si>
  <si>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</si>
  <si>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</si>
  <si>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</si>
  <si>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</si>
  <si>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</si>
  <si>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</si>
  <si>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</si>
  <si>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</si>
  <si>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</si>
  <si>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</si>
  <si>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</si>
  <si>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</si>
  <si>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</si>
  <si>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</si>
  <si>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</si>
  <si>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</si>
  <si>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</si>
  <si>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</si>
  <si>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</si>
  <si>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CA2506193</t>
    <phoneticPr fontId="13" type="noConversion"/>
  </si>
  <si>
    <t>23*135</t>
    <phoneticPr fontId="13" type="noConversion"/>
  </si>
  <si>
    <t>23*175</t>
    <phoneticPr fontId="13" type="noConversion"/>
  </si>
  <si>
    <t>1200*800*350
0.34</t>
    <phoneticPr fontId="13" type="noConversion"/>
  </si>
  <si>
    <t>ALL THE CASES ARE STACKABLE.</t>
    <phoneticPr fontId="13" type="noConversion"/>
  </si>
  <si>
    <t>1/69-58/69</t>
    <phoneticPr fontId="13" type="noConversion"/>
  </si>
  <si>
    <t>59/69</t>
    <phoneticPr fontId="13" type="noConversion"/>
  </si>
  <si>
    <t>69/69</t>
    <phoneticPr fontId="13" type="noConversion"/>
  </si>
  <si>
    <t>60/69-68/69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</si>
</sst>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topLeftCell="A5" workbookViewId="0">
      <selection activeCell="M9" sqref="M9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6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8" customHeight="1">
      <c r="A3" s="4">
        <v>1</v>
      </c>
      <c r="B3" s="19" t="s">
        <v>18</v>
      </c>
      <c r="C3" s="20" t="s">
        <v>22</v>
      </c>
      <c r="D3" s="24" t="s">
        <v>21</v>
      </c>
      <c r="E3" s="17" t="s">
        <v>26</v>
      </c>
      <c r="F3" s="4">
        <f>J3*K3</f>
        <v>71050</v>
      </c>
      <c r="G3" s="4">
        <v>35</v>
      </c>
      <c r="H3" s="4">
        <f>K3*I3</f>
        <v>2030</v>
      </c>
      <c r="I3" s="4">
        <v>35</v>
      </c>
      <c r="J3" s="4">
        <f>G3*I3</f>
        <v>1225</v>
      </c>
      <c r="K3" s="4">
        <v>58</v>
      </c>
      <c r="L3" s="4">
        <v>671</v>
      </c>
      <c r="M3" s="4">
        <v>712</v>
      </c>
      <c r="N3" s="18" t="s">
        <v>20</v>
      </c>
      <c r="O3" s="4">
        <f>L3*K3</f>
        <v>38918</v>
      </c>
      <c r="P3" s="4">
        <f>M3*K3</f>
        <v>41296</v>
      </c>
      <c r="Q3" s="4">
        <f>0.53*K3</f>
        <v>30.740000000000002</v>
      </c>
    </row>
    <row r="4" spans="1:17" ht="24.75" customHeight="1">
      <c r="A4" s="22">
        <v>2</v>
      </c>
      <c r="B4" s="26" t="s">
        <v>18</v>
      </c>
      <c r="C4" s="24" t="s">
        <v>22</v>
      </c>
      <c r="D4" s="25"/>
      <c r="E4" s="31" t="s">
        <v>27</v>
      </c>
      <c r="F4" s="22">
        <v>950</v>
      </c>
      <c r="G4" s="4">
        <v>35</v>
      </c>
      <c r="H4" s="4">
        <v>27</v>
      </c>
      <c r="I4" s="22">
        <v>28</v>
      </c>
      <c r="J4" s="22">
        <v>950</v>
      </c>
      <c r="K4" s="22">
        <v>1</v>
      </c>
      <c r="L4" s="22">
        <v>520</v>
      </c>
      <c r="M4" s="22">
        <f>L4+42</f>
        <v>562</v>
      </c>
      <c r="N4" s="29" t="s">
        <v>20</v>
      </c>
      <c r="O4" s="22">
        <f>L4*K4</f>
        <v>520</v>
      </c>
      <c r="P4" s="22">
        <f>M4*K4</f>
        <v>562</v>
      </c>
      <c r="Q4" s="22">
        <f>0.53*K4</f>
        <v>0.53</v>
      </c>
    </row>
    <row r="5" spans="1:17" ht="24.75" customHeight="1">
      <c r="A5" s="23"/>
      <c r="B5" s="27"/>
      <c r="C5" s="28"/>
      <c r="D5" s="25"/>
      <c r="E5" s="32"/>
      <c r="F5" s="23"/>
      <c r="G5" s="4">
        <v>5</v>
      </c>
      <c r="H5" s="4">
        <v>1</v>
      </c>
      <c r="I5" s="23"/>
      <c r="J5" s="23"/>
      <c r="K5" s="23"/>
      <c r="L5" s="23"/>
      <c r="M5" s="23"/>
      <c r="N5" s="30"/>
      <c r="O5" s="23"/>
      <c r="P5" s="23"/>
      <c r="Q5" s="23"/>
    </row>
    <row r="6" spans="1:17" ht="43.5" customHeight="1">
      <c r="A6" s="14">
        <v>3</v>
      </c>
      <c r="B6" s="3" t="s">
        <v>18</v>
      </c>
      <c r="C6" s="15" t="s">
        <v>23</v>
      </c>
      <c r="D6" s="25"/>
      <c r="E6" s="17" t="s">
        <v>29</v>
      </c>
      <c r="F6" s="4">
        <f>J6*K6</f>
        <v>9450</v>
      </c>
      <c r="G6" s="4">
        <v>30</v>
      </c>
      <c r="H6" s="4">
        <f>K6*I6</f>
        <v>315</v>
      </c>
      <c r="I6" s="4">
        <v>35</v>
      </c>
      <c r="J6" s="4">
        <f>G6*I6</f>
        <v>1050</v>
      </c>
      <c r="K6" s="4">
        <v>9</v>
      </c>
      <c r="L6" s="4">
        <v>673</v>
      </c>
      <c r="M6" s="4">
        <v>714</v>
      </c>
      <c r="N6" s="18" t="s">
        <v>20</v>
      </c>
      <c r="O6" s="4">
        <f>L6*K6</f>
        <v>6057</v>
      </c>
      <c r="P6" s="4">
        <f>M6*K6</f>
        <v>6426</v>
      </c>
      <c r="Q6" s="4">
        <f>0.53*K6</f>
        <v>4.7700000000000005</v>
      </c>
    </row>
    <row r="7" spans="1:17" ht="30.75" customHeight="1">
      <c r="A7" s="22">
        <v>4</v>
      </c>
      <c r="B7" s="26" t="s">
        <v>18</v>
      </c>
      <c r="C7" s="24" t="s">
        <v>23</v>
      </c>
      <c r="D7" s="25"/>
      <c r="E7" s="31" t="s">
        <v>28</v>
      </c>
      <c r="F7" s="22">
        <v>550</v>
      </c>
      <c r="G7" s="4">
        <v>30</v>
      </c>
      <c r="H7" s="4">
        <v>18</v>
      </c>
      <c r="I7" s="22">
        <v>19</v>
      </c>
      <c r="J7" s="22">
        <v>550</v>
      </c>
      <c r="K7" s="22">
        <v>1</v>
      </c>
      <c r="L7" s="22">
        <v>352</v>
      </c>
      <c r="M7" s="22">
        <f>L7+30</f>
        <v>382</v>
      </c>
      <c r="N7" s="29" t="s">
        <v>24</v>
      </c>
      <c r="O7" s="22">
        <f>L7*K7</f>
        <v>352</v>
      </c>
      <c r="P7" s="22">
        <f>M7*K7</f>
        <v>382</v>
      </c>
      <c r="Q7" s="22">
        <f>0.34*K7</f>
        <v>0.34</v>
      </c>
    </row>
    <row r="8" spans="1:17" ht="30.75" customHeight="1">
      <c r="A8" s="23"/>
      <c r="B8" s="27"/>
      <c r="C8" s="28"/>
      <c r="D8" s="25"/>
      <c r="E8" s="32"/>
      <c r="F8" s="23"/>
      <c r="G8" s="4">
        <v>10</v>
      </c>
      <c r="H8" s="4">
        <v>1</v>
      </c>
      <c r="I8" s="23"/>
      <c r="J8" s="23"/>
      <c r="K8" s="23"/>
      <c r="L8" s="23"/>
      <c r="M8" s="23"/>
      <c r="N8" s="30"/>
      <c r="O8" s="23"/>
      <c r="P8" s="23"/>
      <c r="Q8" s="23"/>
    </row>
    <row r="9" spans="1:17" ht="35.25" customHeight="1">
      <c r="A9" s="23" t="s">
        <v>19</v>
      </c>
      <c r="B9" s="23"/>
      <c r="C9" s="23"/>
      <c r="D9" s="6"/>
      <c r="E9" s="5"/>
      <c r="F9" s="5">
        <f>SUM(F3:F8)</f>
        <v>82000</v>
      </c>
      <c r="G9" s="5"/>
      <c r="H9" s="5">
        <f>SUM(H3:H8)</f>
        <v>2392</v>
      </c>
      <c r="I9" s="5"/>
      <c r="J9" s="5"/>
      <c r="K9" s="5">
        <f>SUM(K3:K8)</f>
        <v>69</v>
      </c>
      <c r="L9" s="5"/>
      <c r="M9" s="5"/>
      <c r="N9" s="10"/>
      <c r="O9" s="5">
        <f t="shared" ref="O9:Q9" si="0">SUM(O3:O8)</f>
        <v>45847</v>
      </c>
      <c r="P9" s="5">
        <f t="shared" si="0"/>
        <v>48666</v>
      </c>
      <c r="Q9" s="5">
        <f t="shared" si="0"/>
        <v>36.38000000000001</v>
      </c>
    </row>
    <row r="10" spans="1:17" ht="14.45" customHeight="1">
      <c r="A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21" customHeight="1">
      <c r="A11" s="21" t="s">
        <v>25</v>
      </c>
      <c r="B11" s="12"/>
      <c r="C11" s="16"/>
      <c r="N11" s="11"/>
      <c r="O11" s="11"/>
      <c r="P11" s="11"/>
      <c r="Q11" s="11"/>
    </row>
    <row r="12" spans="1:17" ht="21" customHeight="1">
      <c r="A12" s="11"/>
      <c r="B12" s="13"/>
      <c r="C12" s="8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 ht="18.75">
      <c r="A13" s="11"/>
      <c r="B13" s="11"/>
      <c r="C13" s="8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33">
        <v>46057</v>
      </c>
      <c r="O13" s="33"/>
      <c r="P13" s="33"/>
      <c r="Q13" s="33"/>
    </row>
    <row r="14" spans="1:17">
      <c r="A14" s="9"/>
      <c r="B14" s="9"/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</sheetData>
  <mergeCells count="32">
    <mergeCell ref="E4:E5"/>
    <mergeCell ref="E7:E8"/>
    <mergeCell ref="I7:I8"/>
    <mergeCell ref="N13:Q13"/>
    <mergeCell ref="A1:Q1"/>
    <mergeCell ref="A9:C9"/>
    <mergeCell ref="A7:A8"/>
    <mergeCell ref="B7:B8"/>
    <mergeCell ref="C7:C8"/>
    <mergeCell ref="F7:F8"/>
    <mergeCell ref="K7:K8"/>
    <mergeCell ref="L7:L8"/>
    <mergeCell ref="M7:M8"/>
    <mergeCell ref="N7:N8"/>
    <mergeCell ref="O7:O8"/>
    <mergeCell ref="P7:P8"/>
    <mergeCell ref="J7:J8"/>
    <mergeCell ref="Q7:Q8"/>
    <mergeCell ref="D3:D8"/>
    <mergeCell ref="A4:A5"/>
    <mergeCell ref="B4:B5"/>
    <mergeCell ref="C4:C5"/>
    <mergeCell ref="F4:F5"/>
    <mergeCell ref="K4:K5"/>
    <mergeCell ref="J4:J5"/>
    <mergeCell ref="L4:L5"/>
    <mergeCell ref="M4:M5"/>
    <mergeCell ref="N4:N5"/>
    <mergeCell ref="O4:O5"/>
    <mergeCell ref="P4:P5"/>
    <mergeCell ref="Q4:Q5"/>
    <mergeCell ref="I4:I5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2026-02-04T06:06:21Z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