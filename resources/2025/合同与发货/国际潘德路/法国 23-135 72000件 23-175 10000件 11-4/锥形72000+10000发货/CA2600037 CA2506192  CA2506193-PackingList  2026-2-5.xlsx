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锥形72000+10000发货\"/>
    </mc:Choice>
  </mc:AlternateContent>
  <xr:revisionPtr revIDLastSave="0" documentId="13_ncr:1_{4C96E6E8-F6F1-408D-B624-09852D31A5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2" l="1"/>
  <c r="P12" i="2"/>
  <c r="O12" i="2"/>
  <c r="J12" i="2"/>
  <c r="F12" i="2" s="1"/>
  <c r="H12" i="2"/>
  <c r="Q11" i="2"/>
  <c r="P11" i="2"/>
  <c r="O11" i="2"/>
  <c r="J11" i="2"/>
  <c r="F11" i="2" s="1"/>
  <c r="H11" i="2"/>
  <c r="Q7" i="2"/>
  <c r="P7" i="2"/>
  <c r="O7" i="2"/>
  <c r="J7" i="2"/>
  <c r="F7" i="2" s="1"/>
  <c r="H7" i="2"/>
  <c r="Q8" i="2"/>
  <c r="P8" i="2"/>
  <c r="O8" i="2"/>
  <c r="J8" i="2"/>
  <c r="F8" i="2" s="1"/>
  <c r="H8" i="2"/>
  <c r="K18" i="2"/>
  <c r="Q16" i="2"/>
  <c r="O16" i="2"/>
  <c r="M16" i="2"/>
  <c r="P16" i="2" s="1"/>
  <c r="Q15" i="2"/>
  <c r="P15" i="2"/>
  <c r="O15" i="2"/>
  <c r="J15" i="2"/>
  <c r="F15" i="2" s="1"/>
  <c r="H15" i="2"/>
  <c r="Q13" i="2"/>
  <c r="O13" i="2"/>
  <c r="M13" i="2"/>
  <c r="P13" i="2" s="1"/>
  <c r="Q10" i="2"/>
  <c r="P10" i="2"/>
  <c r="O10" i="2"/>
  <c r="J10" i="2"/>
  <c r="F10" i="2" s="1"/>
  <c r="H10" i="2"/>
  <c r="Q9" i="2"/>
  <c r="O9" i="2"/>
  <c r="M9" i="2"/>
  <c r="P9" i="2" s="1"/>
  <c r="J9" i="2"/>
  <c r="F9" i="2" s="1"/>
  <c r="H9" i="2"/>
  <c r="Q6" i="2"/>
  <c r="P6" i="2"/>
  <c r="O6" i="2"/>
  <c r="J6" i="2"/>
  <c r="F6" i="2" s="1"/>
  <c r="H6" i="2"/>
  <c r="O4" i="2"/>
  <c r="Q3" i="2"/>
  <c r="Q4" i="2"/>
  <c r="M4" i="2"/>
  <c r="P4" i="2" s="1"/>
  <c r="M3" i="2"/>
  <c r="P3" i="2" s="1"/>
  <c r="J3" i="2"/>
  <c r="F3" i="2" s="1"/>
  <c r="O3" i="2"/>
  <c r="Q18" i="2" l="1"/>
  <c r="H18" i="2"/>
  <c r="P18" i="2"/>
  <c r="O18" i="2"/>
  <c r="F18" i="2"/>
</calcChain>
</file>

<file path=xl/sharedStrings.xml><?xml version="1.0" encoding="utf-8"?>
<sst xmlns="http://schemas.openxmlformats.org/spreadsheetml/2006/main" count="78" uniqueCount="48">
  <si>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</si>
  <si>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</si>
  <si>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</si>
  <si>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</si>
  <si>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</si>
  <si>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</si>
  <si>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</si>
  <si>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</si>
  <si>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</si>
  <si>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</si>
  <si>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</si>
  <si>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</si>
  <si>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</si>
  <si>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</si>
  <si>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</si>
  <si>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</si>
  <si>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</si>
  <si>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</si>
  <si>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</si>
  <si>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</si>
  <si>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CA2600037</t>
    <phoneticPr fontId="13" type="noConversion"/>
  </si>
  <si>
    <t>24*151</t>
    <phoneticPr fontId="13" type="noConversion"/>
  </si>
  <si>
    <t>1200*800*550
0.53</t>
    <phoneticPr fontId="13" type="noConversion"/>
  </si>
  <si>
    <t>3/3</t>
    <phoneticPr fontId="13" type="noConversion"/>
  </si>
  <si>
    <t>1/3-2/3</t>
    <phoneticPr fontId="13" type="noConversion"/>
  </si>
  <si>
    <t>23*115</t>
    <phoneticPr fontId="13" type="noConversion"/>
  </si>
  <si>
    <t>CA2506192</t>
    <phoneticPr fontId="13" type="noConversion"/>
  </si>
  <si>
    <t>72/72</t>
    <phoneticPr fontId="13" type="noConversion"/>
  </si>
  <si>
    <t>1200*800*350
0.34</t>
    <phoneticPr fontId="13" type="noConversion"/>
  </si>
  <si>
    <t>23*135</t>
    <phoneticPr fontId="13" type="noConversion"/>
  </si>
  <si>
    <t>CA2506193</t>
    <phoneticPr fontId="13" type="noConversion"/>
  </si>
  <si>
    <t>59/69</t>
    <phoneticPr fontId="13" type="noConversion"/>
  </si>
  <si>
    <t>23*175</t>
    <phoneticPr fontId="13" type="noConversion"/>
  </si>
  <si>
    <t>60/69-68/69</t>
    <phoneticPr fontId="13" type="noConversion"/>
  </si>
  <si>
    <t>69/69</t>
    <phoneticPr fontId="13" type="noConversion"/>
  </si>
  <si>
    <t>1/72-25/72</t>
    <phoneticPr fontId="13" type="noConversion"/>
  </si>
  <si>
    <t>26/72-55/72</t>
    <phoneticPr fontId="13" type="noConversion"/>
  </si>
  <si>
    <t>56/72-71/72</t>
    <phoneticPr fontId="13" type="noConversion"/>
  </si>
  <si>
    <t>1/69-14/69</t>
    <phoneticPr fontId="13" type="noConversion"/>
  </si>
  <si>
    <t>15/69-43/69</t>
    <phoneticPr fontId="13" type="noConversion"/>
  </si>
  <si>
    <t>44/69-58/69</t>
    <phoneticPr fontId="13" type="noConversion"/>
  </si>
  <si>
    <t>分柜</t>
    <phoneticPr fontId="13" type="noConversion"/>
  </si>
  <si>
    <t>箱封号</t>
    <phoneticPr fontId="13" type="noConversion"/>
  </si>
  <si>
    <t>TCKU3685075
/FX45131461</t>
    <phoneticPr fontId="13" type="noConversion"/>
  </si>
  <si>
    <t>MSNU1340807
/FX45131462</t>
    <phoneticPr fontId="13" type="noConversion"/>
  </si>
  <si>
    <t>BMOU2606956
/FX45145220</t>
    <phoneticPr fontId="13" type="noConversion"/>
  </si>
  <si>
    <t>MSNU2126298
/FX45146336</t>
    <phoneticPr fontId="13" type="noConversion"/>
  </si>
  <si>
    <t>FCIU4196817
/FX45146303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</si>
</sst>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5"/>
  <sheetViews>
    <sheetView tabSelected="1" topLeftCell="C6" workbookViewId="0">
      <selection activeCell="M13" sqref="M13:M14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2.3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7.75" style="8" customWidth="1"/>
    <col min="19" max="19" width="15.625" style="37" customWidth="1"/>
  </cols>
  <sheetData>
    <row r="1" spans="1:19" ht="44.25" customHeight="1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9" ht="60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  <c r="R2" s="18" t="s">
        <v>41</v>
      </c>
      <c r="S2" s="38" t="s">
        <v>42</v>
      </c>
    </row>
    <row r="3" spans="1:19" ht="33.75" customHeight="1">
      <c r="A3" s="4">
        <v>1</v>
      </c>
      <c r="B3" s="11" t="s">
        <v>18</v>
      </c>
      <c r="C3" s="12" t="s">
        <v>21</v>
      </c>
      <c r="D3" s="12" t="s">
        <v>20</v>
      </c>
      <c r="E3" s="13" t="s">
        <v>24</v>
      </c>
      <c r="F3" s="4">
        <f>K3*J3</f>
        <v>2240</v>
      </c>
      <c r="G3" s="4">
        <v>35</v>
      </c>
      <c r="H3" s="4">
        <v>80</v>
      </c>
      <c r="I3" s="4">
        <v>32</v>
      </c>
      <c r="J3" s="4">
        <f>I3*G3</f>
        <v>1120</v>
      </c>
      <c r="K3" s="4">
        <v>2</v>
      </c>
      <c r="L3" s="4">
        <v>661</v>
      </c>
      <c r="M3" s="4">
        <f>L3+42</f>
        <v>703</v>
      </c>
      <c r="N3" s="14" t="s">
        <v>22</v>
      </c>
      <c r="O3" s="4">
        <f>L3*K3</f>
        <v>1322</v>
      </c>
      <c r="P3" s="4">
        <f>M3*K3</f>
        <v>1406</v>
      </c>
      <c r="Q3" s="4">
        <f>0.53*K3</f>
        <v>1.06</v>
      </c>
      <c r="R3" s="22">
        <v>1</v>
      </c>
      <c r="S3" s="39" t="s">
        <v>43</v>
      </c>
    </row>
    <row r="4" spans="1:19" ht="30.75" customHeight="1">
      <c r="A4" s="20">
        <v>2</v>
      </c>
      <c r="B4" s="23" t="s">
        <v>18</v>
      </c>
      <c r="C4" s="25" t="s">
        <v>21</v>
      </c>
      <c r="D4" s="25" t="s">
        <v>20</v>
      </c>
      <c r="E4" s="27" t="s">
        <v>23</v>
      </c>
      <c r="F4" s="20">
        <v>1044</v>
      </c>
      <c r="G4" s="4">
        <v>35</v>
      </c>
      <c r="H4" s="4">
        <v>29</v>
      </c>
      <c r="I4" s="4">
        <v>29</v>
      </c>
      <c r="J4" s="20">
        <v>1044</v>
      </c>
      <c r="K4" s="20">
        <v>1</v>
      </c>
      <c r="L4" s="20">
        <v>616</v>
      </c>
      <c r="M4" s="20">
        <f>L4+42</f>
        <v>658</v>
      </c>
      <c r="N4" s="29" t="s">
        <v>22</v>
      </c>
      <c r="O4" s="20">
        <f>L4*K4</f>
        <v>616</v>
      </c>
      <c r="P4" s="20">
        <f>M4*K4</f>
        <v>658</v>
      </c>
      <c r="Q4" s="20">
        <f>0.53*K4</f>
        <v>0.53</v>
      </c>
      <c r="R4" s="22"/>
      <c r="S4" s="39"/>
    </row>
    <row r="5" spans="1:19" ht="30.75" customHeight="1">
      <c r="A5" s="21"/>
      <c r="B5" s="24"/>
      <c r="C5" s="26"/>
      <c r="D5" s="26"/>
      <c r="E5" s="36"/>
      <c r="F5" s="21"/>
      <c r="G5" s="4">
        <v>29</v>
      </c>
      <c r="H5" s="4">
        <v>1</v>
      </c>
      <c r="I5" s="4">
        <v>1</v>
      </c>
      <c r="J5" s="21"/>
      <c r="K5" s="21"/>
      <c r="L5" s="21"/>
      <c r="M5" s="21"/>
      <c r="N5" s="30"/>
      <c r="O5" s="21"/>
      <c r="P5" s="21"/>
      <c r="Q5" s="21"/>
      <c r="R5" s="22"/>
      <c r="S5" s="39"/>
    </row>
    <row r="6" spans="1:19" ht="33.75" customHeight="1">
      <c r="A6" s="4">
        <v>3</v>
      </c>
      <c r="B6" s="11" t="s">
        <v>18</v>
      </c>
      <c r="C6" s="12" t="s">
        <v>25</v>
      </c>
      <c r="D6" s="31" t="s">
        <v>26</v>
      </c>
      <c r="E6" s="17" t="s">
        <v>35</v>
      </c>
      <c r="F6" s="4">
        <f t="shared" ref="F6:F12" si="0">J6*K6</f>
        <v>35000</v>
      </c>
      <c r="G6" s="4">
        <v>40</v>
      </c>
      <c r="H6" s="4">
        <f t="shared" ref="H6:H12" si="1">K6*I6</f>
        <v>875</v>
      </c>
      <c r="I6" s="4">
        <v>35</v>
      </c>
      <c r="J6" s="4">
        <f t="shared" ref="J6:J12" si="2">G6*I6</f>
        <v>1400</v>
      </c>
      <c r="K6" s="4">
        <v>25</v>
      </c>
      <c r="L6" s="4">
        <v>679</v>
      </c>
      <c r="M6" s="4">
        <v>720</v>
      </c>
      <c r="N6" s="14" t="s">
        <v>22</v>
      </c>
      <c r="O6" s="4">
        <f t="shared" ref="O6:O13" si="3">L6*K6</f>
        <v>16975</v>
      </c>
      <c r="P6" s="4">
        <f t="shared" ref="P6:P13" si="4">M6*K6</f>
        <v>18000</v>
      </c>
      <c r="Q6" s="4">
        <f>0.53*K6</f>
        <v>13.25</v>
      </c>
      <c r="R6" s="22"/>
      <c r="S6" s="39"/>
    </row>
    <row r="7" spans="1:19" ht="33.75" customHeight="1">
      <c r="A7" s="4">
        <v>4</v>
      </c>
      <c r="B7" s="11" t="s">
        <v>18</v>
      </c>
      <c r="C7" s="12" t="s">
        <v>25</v>
      </c>
      <c r="D7" s="31"/>
      <c r="E7" s="17" t="s">
        <v>36</v>
      </c>
      <c r="F7" s="4">
        <f t="shared" si="0"/>
        <v>42000</v>
      </c>
      <c r="G7" s="4">
        <v>40</v>
      </c>
      <c r="H7" s="4">
        <f t="shared" si="1"/>
        <v>1050</v>
      </c>
      <c r="I7" s="4">
        <v>35</v>
      </c>
      <c r="J7" s="4">
        <f t="shared" si="2"/>
        <v>1400</v>
      </c>
      <c r="K7" s="4">
        <v>30</v>
      </c>
      <c r="L7" s="4">
        <v>679</v>
      </c>
      <c r="M7" s="4">
        <v>720</v>
      </c>
      <c r="N7" s="14" t="s">
        <v>22</v>
      </c>
      <c r="O7" s="4">
        <f t="shared" si="3"/>
        <v>20370</v>
      </c>
      <c r="P7" s="4">
        <f t="shared" si="4"/>
        <v>21600</v>
      </c>
      <c r="Q7" s="4">
        <f>0.53*K7</f>
        <v>15.9</v>
      </c>
      <c r="R7" s="19">
        <v>2</v>
      </c>
      <c r="S7" s="40" t="s">
        <v>44</v>
      </c>
    </row>
    <row r="8" spans="1:19" ht="33.75" customHeight="1">
      <c r="A8" s="4">
        <v>5</v>
      </c>
      <c r="B8" s="11" t="s">
        <v>18</v>
      </c>
      <c r="C8" s="12" t="s">
        <v>25</v>
      </c>
      <c r="D8" s="31"/>
      <c r="E8" s="17" t="s">
        <v>37</v>
      </c>
      <c r="F8" s="4">
        <f t="shared" si="0"/>
        <v>22400</v>
      </c>
      <c r="G8" s="4">
        <v>40</v>
      </c>
      <c r="H8" s="4">
        <f t="shared" si="1"/>
        <v>560</v>
      </c>
      <c r="I8" s="4">
        <v>35</v>
      </c>
      <c r="J8" s="4">
        <f t="shared" si="2"/>
        <v>1400</v>
      </c>
      <c r="K8" s="4">
        <v>16</v>
      </c>
      <c r="L8" s="4">
        <v>679</v>
      </c>
      <c r="M8" s="4">
        <v>720</v>
      </c>
      <c r="N8" s="14" t="s">
        <v>22</v>
      </c>
      <c r="O8" s="4">
        <f t="shared" si="3"/>
        <v>10864</v>
      </c>
      <c r="P8" s="4">
        <f t="shared" si="4"/>
        <v>11520</v>
      </c>
      <c r="Q8" s="4">
        <f>0.53*K8</f>
        <v>8.48</v>
      </c>
      <c r="R8" s="22">
        <v>3</v>
      </c>
      <c r="S8" s="39" t="s">
        <v>45</v>
      </c>
    </row>
    <row r="9" spans="1:19" ht="33.75" customHeight="1">
      <c r="A9" s="4">
        <v>6</v>
      </c>
      <c r="B9" s="11" t="s">
        <v>18</v>
      </c>
      <c r="C9" s="12" t="s">
        <v>25</v>
      </c>
      <c r="D9" s="31"/>
      <c r="E9" s="13" t="s">
        <v>27</v>
      </c>
      <c r="F9" s="4">
        <f t="shared" si="0"/>
        <v>600</v>
      </c>
      <c r="G9" s="4">
        <v>40</v>
      </c>
      <c r="H9" s="4">
        <f t="shared" si="1"/>
        <v>15</v>
      </c>
      <c r="I9" s="4">
        <v>15</v>
      </c>
      <c r="J9" s="4">
        <f t="shared" si="2"/>
        <v>600</v>
      </c>
      <c r="K9" s="4">
        <v>1</v>
      </c>
      <c r="L9" s="4">
        <v>290</v>
      </c>
      <c r="M9" s="4">
        <f>L9+30</f>
        <v>320</v>
      </c>
      <c r="N9" s="14" t="s">
        <v>28</v>
      </c>
      <c r="O9" s="4">
        <f t="shared" si="3"/>
        <v>290</v>
      </c>
      <c r="P9" s="4">
        <f t="shared" si="4"/>
        <v>320</v>
      </c>
      <c r="Q9" s="4">
        <f>0.34*K9</f>
        <v>0.34</v>
      </c>
      <c r="R9" s="22"/>
      <c r="S9" s="39"/>
    </row>
    <row r="10" spans="1:19" ht="33.75" customHeight="1">
      <c r="A10" s="4">
        <v>7</v>
      </c>
      <c r="B10" s="11" t="s">
        <v>18</v>
      </c>
      <c r="C10" s="12" t="s">
        <v>29</v>
      </c>
      <c r="D10" s="25" t="s">
        <v>30</v>
      </c>
      <c r="E10" s="17" t="s">
        <v>38</v>
      </c>
      <c r="F10" s="4">
        <f t="shared" si="0"/>
        <v>17150</v>
      </c>
      <c r="G10" s="4">
        <v>35</v>
      </c>
      <c r="H10" s="4">
        <f t="shared" si="1"/>
        <v>490</v>
      </c>
      <c r="I10" s="4">
        <v>35</v>
      </c>
      <c r="J10" s="4">
        <f t="shared" si="2"/>
        <v>1225</v>
      </c>
      <c r="K10" s="4">
        <v>14</v>
      </c>
      <c r="L10" s="4">
        <v>671</v>
      </c>
      <c r="M10" s="4">
        <v>712</v>
      </c>
      <c r="N10" s="14" t="s">
        <v>22</v>
      </c>
      <c r="O10" s="4">
        <f t="shared" si="3"/>
        <v>9394</v>
      </c>
      <c r="P10" s="4">
        <f t="shared" si="4"/>
        <v>9968</v>
      </c>
      <c r="Q10" s="4">
        <f>0.53*K10</f>
        <v>7.42</v>
      </c>
      <c r="R10" s="22"/>
      <c r="S10" s="39"/>
    </row>
    <row r="11" spans="1:19" ht="33.75" customHeight="1">
      <c r="A11" s="4">
        <v>8</v>
      </c>
      <c r="B11" s="11" t="s">
        <v>18</v>
      </c>
      <c r="C11" s="12" t="s">
        <v>29</v>
      </c>
      <c r="D11" s="32"/>
      <c r="E11" s="17" t="s">
        <v>39</v>
      </c>
      <c r="F11" s="4">
        <f t="shared" si="0"/>
        <v>35525</v>
      </c>
      <c r="G11" s="4">
        <v>35</v>
      </c>
      <c r="H11" s="4">
        <f t="shared" si="1"/>
        <v>1015</v>
      </c>
      <c r="I11" s="4">
        <v>35</v>
      </c>
      <c r="J11" s="4">
        <f t="shared" si="2"/>
        <v>1225</v>
      </c>
      <c r="K11" s="4">
        <v>29</v>
      </c>
      <c r="L11" s="4">
        <v>671</v>
      </c>
      <c r="M11" s="4">
        <v>712</v>
      </c>
      <c r="N11" s="14" t="s">
        <v>22</v>
      </c>
      <c r="O11" s="4">
        <f t="shared" si="3"/>
        <v>19459</v>
      </c>
      <c r="P11" s="4">
        <f t="shared" si="4"/>
        <v>20648</v>
      </c>
      <c r="Q11" s="4">
        <f>0.53*K11</f>
        <v>15.370000000000001</v>
      </c>
      <c r="R11" s="19">
        <v>4</v>
      </c>
      <c r="S11" s="40" t="s">
        <v>46</v>
      </c>
    </row>
    <row r="12" spans="1:19" ht="33.75" customHeight="1">
      <c r="A12" s="4">
        <v>9</v>
      </c>
      <c r="B12" s="11" t="s">
        <v>18</v>
      </c>
      <c r="C12" s="12" t="s">
        <v>29</v>
      </c>
      <c r="D12" s="32"/>
      <c r="E12" s="17" t="s">
        <v>40</v>
      </c>
      <c r="F12" s="4">
        <f t="shared" si="0"/>
        <v>18375</v>
      </c>
      <c r="G12" s="4">
        <v>35</v>
      </c>
      <c r="H12" s="4">
        <f t="shared" si="1"/>
        <v>525</v>
      </c>
      <c r="I12" s="4">
        <v>35</v>
      </c>
      <c r="J12" s="4">
        <f t="shared" si="2"/>
        <v>1225</v>
      </c>
      <c r="K12" s="4">
        <v>15</v>
      </c>
      <c r="L12" s="4">
        <v>671</v>
      </c>
      <c r="M12" s="4">
        <v>712</v>
      </c>
      <c r="N12" s="14" t="s">
        <v>22</v>
      </c>
      <c r="O12" s="4">
        <f t="shared" si="3"/>
        <v>10065</v>
      </c>
      <c r="P12" s="4">
        <f t="shared" si="4"/>
        <v>10680</v>
      </c>
      <c r="Q12" s="4">
        <f>0.53*K12</f>
        <v>7.95</v>
      </c>
      <c r="R12" s="22">
        <v>5</v>
      </c>
      <c r="S12" s="39" t="s">
        <v>47</v>
      </c>
    </row>
    <row r="13" spans="1:19" ht="24.75" customHeight="1">
      <c r="A13" s="20">
        <v>10</v>
      </c>
      <c r="B13" s="23" t="s">
        <v>18</v>
      </c>
      <c r="C13" s="25" t="s">
        <v>29</v>
      </c>
      <c r="D13" s="32"/>
      <c r="E13" s="27" t="s">
        <v>31</v>
      </c>
      <c r="F13" s="20">
        <v>950</v>
      </c>
      <c r="G13" s="4">
        <v>35</v>
      </c>
      <c r="H13" s="4">
        <v>27</v>
      </c>
      <c r="I13" s="20">
        <v>28</v>
      </c>
      <c r="J13" s="20">
        <v>950</v>
      </c>
      <c r="K13" s="20">
        <v>1</v>
      </c>
      <c r="L13" s="20">
        <v>520</v>
      </c>
      <c r="M13" s="20">
        <f>L13+42</f>
        <v>562</v>
      </c>
      <c r="N13" s="29" t="s">
        <v>22</v>
      </c>
      <c r="O13" s="20">
        <f t="shared" si="3"/>
        <v>520</v>
      </c>
      <c r="P13" s="20">
        <f t="shared" si="4"/>
        <v>562</v>
      </c>
      <c r="Q13" s="20">
        <f>0.53*K13</f>
        <v>0.53</v>
      </c>
      <c r="R13" s="22"/>
      <c r="S13" s="39"/>
    </row>
    <row r="14" spans="1:19" ht="24.75" customHeight="1">
      <c r="A14" s="21"/>
      <c r="B14" s="24"/>
      <c r="C14" s="26"/>
      <c r="D14" s="32"/>
      <c r="E14" s="28"/>
      <c r="F14" s="21"/>
      <c r="G14" s="4">
        <v>5</v>
      </c>
      <c r="H14" s="4">
        <v>1</v>
      </c>
      <c r="I14" s="21"/>
      <c r="J14" s="21"/>
      <c r="K14" s="21"/>
      <c r="L14" s="21"/>
      <c r="M14" s="21"/>
      <c r="N14" s="30"/>
      <c r="O14" s="21"/>
      <c r="P14" s="21"/>
      <c r="Q14" s="21"/>
      <c r="R14" s="22"/>
      <c r="S14" s="39"/>
    </row>
    <row r="15" spans="1:19" ht="33.75" customHeight="1">
      <c r="A15" s="15">
        <v>11</v>
      </c>
      <c r="B15" s="3" t="s">
        <v>18</v>
      </c>
      <c r="C15" s="16" t="s">
        <v>32</v>
      </c>
      <c r="D15" s="32"/>
      <c r="E15" s="17" t="s">
        <v>33</v>
      </c>
      <c r="F15" s="4">
        <f>J15*K15</f>
        <v>9450</v>
      </c>
      <c r="G15" s="4">
        <v>30</v>
      </c>
      <c r="H15" s="4">
        <f>K15*I15</f>
        <v>315</v>
      </c>
      <c r="I15" s="4">
        <v>35</v>
      </c>
      <c r="J15" s="4">
        <f>G15*I15</f>
        <v>1050</v>
      </c>
      <c r="K15" s="4">
        <v>9</v>
      </c>
      <c r="L15" s="4">
        <v>673</v>
      </c>
      <c r="M15" s="4">
        <v>714</v>
      </c>
      <c r="N15" s="14" t="s">
        <v>22</v>
      </c>
      <c r="O15" s="4">
        <f>L15*K15</f>
        <v>6057</v>
      </c>
      <c r="P15" s="4">
        <f>M15*K15</f>
        <v>6426</v>
      </c>
      <c r="Q15" s="4">
        <f>0.53*K15</f>
        <v>4.7700000000000005</v>
      </c>
      <c r="R15" s="22"/>
      <c r="S15" s="39"/>
    </row>
    <row r="16" spans="1:19" ht="24.75" customHeight="1">
      <c r="A16" s="20">
        <v>12</v>
      </c>
      <c r="B16" s="23" t="s">
        <v>18</v>
      </c>
      <c r="C16" s="25" t="s">
        <v>32</v>
      </c>
      <c r="D16" s="32"/>
      <c r="E16" s="27" t="s">
        <v>34</v>
      </c>
      <c r="F16" s="20">
        <v>550</v>
      </c>
      <c r="G16" s="4">
        <v>30</v>
      </c>
      <c r="H16" s="4">
        <v>18</v>
      </c>
      <c r="I16" s="20">
        <v>19</v>
      </c>
      <c r="J16" s="20">
        <v>550</v>
      </c>
      <c r="K16" s="20">
        <v>1</v>
      </c>
      <c r="L16" s="20">
        <v>352</v>
      </c>
      <c r="M16" s="20">
        <f>L16+30</f>
        <v>382</v>
      </c>
      <c r="N16" s="29" t="s">
        <v>28</v>
      </c>
      <c r="O16" s="20">
        <f>L16*K16</f>
        <v>352</v>
      </c>
      <c r="P16" s="20">
        <f>M16*K16</f>
        <v>382</v>
      </c>
      <c r="Q16" s="20">
        <f>0.34*K16</f>
        <v>0.34</v>
      </c>
      <c r="R16" s="22"/>
      <c r="S16" s="39"/>
    </row>
    <row r="17" spans="1:19" ht="24.75" customHeight="1">
      <c r="A17" s="21"/>
      <c r="B17" s="24"/>
      <c r="C17" s="26"/>
      <c r="D17" s="32"/>
      <c r="E17" s="28"/>
      <c r="F17" s="21"/>
      <c r="G17" s="4">
        <v>10</v>
      </c>
      <c r="H17" s="4">
        <v>1</v>
      </c>
      <c r="I17" s="21"/>
      <c r="J17" s="21"/>
      <c r="K17" s="21"/>
      <c r="L17" s="21"/>
      <c r="M17" s="21"/>
      <c r="N17" s="30"/>
      <c r="O17" s="21"/>
      <c r="P17" s="21"/>
      <c r="Q17" s="21"/>
      <c r="R17" s="22"/>
      <c r="S17" s="39"/>
    </row>
    <row r="18" spans="1:19" ht="27.75" customHeight="1">
      <c r="A18" s="21" t="s">
        <v>19</v>
      </c>
      <c r="B18" s="21"/>
      <c r="C18" s="21"/>
      <c r="D18" s="6"/>
      <c r="E18" s="5"/>
      <c r="F18" s="5">
        <f>SUM(F3:F17)</f>
        <v>185284</v>
      </c>
      <c r="G18" s="5"/>
      <c r="H18" s="5">
        <f>SUM(H3:H17)</f>
        <v>5002</v>
      </c>
      <c r="I18" s="5"/>
      <c r="J18" s="5"/>
      <c r="K18" s="5">
        <f>SUM(K3:K17)</f>
        <v>144</v>
      </c>
      <c r="L18" s="5"/>
      <c r="M18" s="5"/>
      <c r="N18" s="9"/>
      <c r="O18" s="5">
        <f>SUM(O3:O17)</f>
        <v>96284</v>
      </c>
      <c r="P18" s="5">
        <f>SUM(P3:P17)</f>
        <v>102170</v>
      </c>
      <c r="Q18" s="5">
        <f>SUM(Q3:Q17)</f>
        <v>75.940000000000012</v>
      </c>
    </row>
    <row r="19" spans="1:19" ht="18.75">
      <c r="A19" s="10"/>
      <c r="B19" s="10"/>
      <c r="C19" s="7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33">
        <v>46057</v>
      </c>
      <c r="O19" s="33"/>
      <c r="P19" s="33"/>
      <c r="Q19" s="33"/>
    </row>
    <row r="20" spans="1:19">
      <c r="A20" s="8"/>
      <c r="B20" s="8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9">
      <c r="A21" s="8"/>
      <c r="B21" s="8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9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9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9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9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</sheetData>
  <mergeCells count="53">
    <mergeCell ref="S3:S6"/>
    <mergeCell ref="S8:S10"/>
    <mergeCell ref="S12:S17"/>
    <mergeCell ref="N19:Q19"/>
    <mergeCell ref="A1:Q1"/>
    <mergeCell ref="A18:C18"/>
    <mergeCell ref="A4:A5"/>
    <mergeCell ref="B4:B5"/>
    <mergeCell ref="C4:C5"/>
    <mergeCell ref="D4:D5"/>
    <mergeCell ref="E4:E5"/>
    <mergeCell ref="J4:J5"/>
    <mergeCell ref="F4:F5"/>
    <mergeCell ref="K4:K5"/>
    <mergeCell ref="L4:L5"/>
    <mergeCell ref="M4:M5"/>
    <mergeCell ref="A13:A14"/>
    <mergeCell ref="B13:B14"/>
    <mergeCell ref="C13:C14"/>
    <mergeCell ref="N4:N5"/>
    <mergeCell ref="D6:D9"/>
    <mergeCell ref="D10:D17"/>
    <mergeCell ref="I13:I14"/>
    <mergeCell ref="J13:J14"/>
    <mergeCell ref="K13:K14"/>
    <mergeCell ref="L13:L14"/>
    <mergeCell ref="M13:M14"/>
    <mergeCell ref="N13:N14"/>
    <mergeCell ref="E13:E14"/>
    <mergeCell ref="F13:F14"/>
    <mergeCell ref="N16:N17"/>
    <mergeCell ref="I16:I17"/>
    <mergeCell ref="J16:J17"/>
    <mergeCell ref="K16:K17"/>
    <mergeCell ref="L16:L17"/>
    <mergeCell ref="M16:M17"/>
    <mergeCell ref="A16:A17"/>
    <mergeCell ref="B16:B17"/>
    <mergeCell ref="C16:C17"/>
    <mergeCell ref="E16:E17"/>
    <mergeCell ref="F16:F17"/>
    <mergeCell ref="Q16:Q17"/>
    <mergeCell ref="R3:R6"/>
    <mergeCell ref="R8:R10"/>
    <mergeCell ref="R12:R17"/>
    <mergeCell ref="O13:O14"/>
    <mergeCell ref="P13:P14"/>
    <mergeCell ref="Q13:Q14"/>
    <mergeCell ref="Q4:Q5"/>
    <mergeCell ref="O4:O5"/>
    <mergeCell ref="P4:P5"/>
    <mergeCell ref="O16:O17"/>
    <mergeCell ref="P16:P17"/>
  </mergeCells>
  <phoneticPr fontId="13" type="noConversion"/>
  <pageMargins left="0" right="0" top="0.23622047244094491" bottom="0" header="0.51181102362204722" footer="0.51181102362204722"/>
  <pageSetup paperSize="9" scale="91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2026-02-06T01:29:08Z</cp:lastPrinted>
  <dcterms:created xsi:type="dcterms:W3CDTF">2006-09-13T11:21:00Z</dcterms:created>
  <dcterms:modified xsi:type="dcterms:W3CDTF">2026-02-06T02:57:52Z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