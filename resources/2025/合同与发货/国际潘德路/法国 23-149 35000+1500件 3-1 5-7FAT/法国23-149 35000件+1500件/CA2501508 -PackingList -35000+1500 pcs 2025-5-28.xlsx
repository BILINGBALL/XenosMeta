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35000件+1500件\"/>
    </mc:Choice>
  </mc:AlternateContent>
  <xr:revisionPtr revIDLastSave="0" documentId="13_ncr:1_{34CF3636-67AE-405F-B6DF-32306F34BD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K8" i="2"/>
  <c r="Q4" i="2"/>
  <c r="O4" i="2"/>
  <c r="M4" i="2"/>
  <c r="P4" i="2" s="1"/>
  <c r="J4" i="2"/>
  <c r="F4" i="2"/>
  <c r="Q3" i="2"/>
  <c r="O3" i="2"/>
  <c r="M3" i="2"/>
  <c r="P3" i="2" s="1"/>
  <c r="J3" i="2"/>
  <c r="F3" i="2" s="1"/>
  <c r="H3" i="2"/>
  <c r="O6" i="2"/>
  <c r="M6" i="2"/>
  <c r="P6" i="2" s="1"/>
  <c r="Q5" i="2"/>
  <c r="O5" i="2"/>
  <c r="M5" i="2"/>
  <c r="P5" i="2" s="1"/>
  <c r="J5" i="2"/>
  <c r="F5" i="2" s="1"/>
  <c r="H5" i="2"/>
  <c r="P8" i="2" l="1"/>
  <c r="H8" i="2"/>
  <c r="Q8" i="2"/>
  <c r="F8" i="2"/>
  <c r="O8" i="2"/>
</calcChain>
</file>

<file path=xl/sharedStrings.xml><?xml version="1.0" encoding="utf-8"?>
<sst xmlns="http://schemas.openxmlformats.org/spreadsheetml/2006/main" count="41" uniqueCount="30">
  <si>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</si>
  <si>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</si>
  <si>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</si>
  <si>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</si>
  <si>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</si>
  <si>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</si>
  <si>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</si>
  <si>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</si>
  <si>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</si>
  <si>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</si>
  <si>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</si>
  <si>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</si>
  <si>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</si>
  <si>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</si>
  <si>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</si>
  <si>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</si>
  <si>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</si>
  <si>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</si>
  <si>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</si>
  <si>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23*149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</si>
  <si>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</si>
  <si>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</si>
  <si>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</si>
  <si>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CA2501508</t>
    <phoneticPr fontId="13" type="noConversion"/>
  </si>
  <si>
    <t>1200*800*350
0.34</t>
    <phoneticPr fontId="13" type="noConversion"/>
  </si>
  <si>
    <t>1/31-28/31</t>
    <phoneticPr fontId="13" type="noConversion"/>
  </si>
  <si>
    <t>29/31</t>
    <phoneticPr fontId="13" type="noConversion"/>
  </si>
  <si>
    <t>30/31</t>
    <phoneticPr fontId="13" type="noConversion"/>
  </si>
  <si>
    <t>31/31</t>
    <phoneticPr fontId="13" type="noConversion"/>
  </si>
  <si>
    <t>The pieces are packed in a bag : 35(30) pieces per bag and 35（20）(8) bags per case so 1225（700）(275)pieces per case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</si>
</sst>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A2" workbookViewId="0">
      <selection activeCell="H5" sqref="H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8.25" customHeight="1">
      <c r="A3" s="14">
        <v>1</v>
      </c>
      <c r="B3" s="3" t="s">
        <v>18</v>
      </c>
      <c r="C3" s="15" t="s">
        <v>19</v>
      </c>
      <c r="D3" s="15" t="s">
        <v>23</v>
      </c>
      <c r="E3" s="17" t="s">
        <v>25</v>
      </c>
      <c r="F3" s="4">
        <f>J3*K3</f>
        <v>34300</v>
      </c>
      <c r="G3" s="4">
        <v>35</v>
      </c>
      <c r="H3" s="4">
        <f>K3*I3</f>
        <v>980</v>
      </c>
      <c r="I3" s="4">
        <v>35</v>
      </c>
      <c r="J3" s="4">
        <f>G3*I3</f>
        <v>1225</v>
      </c>
      <c r="K3" s="4">
        <v>28</v>
      </c>
      <c r="L3" s="4">
        <v>654</v>
      </c>
      <c r="M3" s="4">
        <f>L3+42</f>
        <v>696</v>
      </c>
      <c r="N3" s="18" t="s">
        <v>22</v>
      </c>
      <c r="O3" s="4">
        <f>L3*K3</f>
        <v>18312</v>
      </c>
      <c r="P3" s="4">
        <f>M3*K3</f>
        <v>19488</v>
      </c>
      <c r="Q3" s="4">
        <f>0.53*K3</f>
        <v>14.84</v>
      </c>
    </row>
    <row r="4" spans="1:17" ht="45.75" customHeight="1">
      <c r="A4" s="4">
        <v>2</v>
      </c>
      <c r="B4" s="19" t="s">
        <v>18</v>
      </c>
      <c r="C4" s="20" t="s">
        <v>19</v>
      </c>
      <c r="D4" s="20" t="s">
        <v>23</v>
      </c>
      <c r="E4" s="21" t="s">
        <v>26</v>
      </c>
      <c r="F4" s="4">
        <f>J4*K4</f>
        <v>700</v>
      </c>
      <c r="G4" s="4">
        <v>35</v>
      </c>
      <c r="H4" s="4">
        <v>20</v>
      </c>
      <c r="I4" s="4">
        <v>20</v>
      </c>
      <c r="J4" s="4">
        <f>G4*I4</f>
        <v>700</v>
      </c>
      <c r="K4" s="4">
        <v>1</v>
      </c>
      <c r="L4" s="4">
        <v>373</v>
      </c>
      <c r="M4" s="4">
        <f>L4+30</f>
        <v>403</v>
      </c>
      <c r="N4" s="18" t="s">
        <v>22</v>
      </c>
      <c r="O4" s="4">
        <f>L4*K4</f>
        <v>373</v>
      </c>
      <c r="P4" s="4">
        <f>M4*K4</f>
        <v>403</v>
      </c>
      <c r="Q4" s="4">
        <f>0.53*K4</f>
        <v>0.53</v>
      </c>
    </row>
    <row r="5" spans="1:17" ht="38.25" customHeight="1">
      <c r="A5" s="14">
        <v>3</v>
      </c>
      <c r="B5" s="3" t="s">
        <v>18</v>
      </c>
      <c r="C5" s="15" t="s">
        <v>19</v>
      </c>
      <c r="D5" s="15" t="s">
        <v>23</v>
      </c>
      <c r="E5" s="21" t="s">
        <v>27</v>
      </c>
      <c r="F5" s="4">
        <f>J5*K5</f>
        <v>1225</v>
      </c>
      <c r="G5" s="4">
        <v>35</v>
      </c>
      <c r="H5" s="4">
        <f>K5*I5</f>
        <v>35</v>
      </c>
      <c r="I5" s="4">
        <v>35</v>
      </c>
      <c r="J5" s="4">
        <f>G5*I5</f>
        <v>1225</v>
      </c>
      <c r="K5" s="4">
        <v>1</v>
      </c>
      <c r="L5" s="4">
        <v>654</v>
      </c>
      <c r="M5" s="4">
        <f>L5+42</f>
        <v>696</v>
      </c>
      <c r="N5" s="18" t="s">
        <v>22</v>
      </c>
      <c r="O5" s="4">
        <f>L5*K5</f>
        <v>654</v>
      </c>
      <c r="P5" s="4">
        <f>M5*K5</f>
        <v>696</v>
      </c>
      <c r="Q5" s="4">
        <f>0.53*K5</f>
        <v>0.53</v>
      </c>
    </row>
    <row r="6" spans="1:17" ht="31.5" customHeight="1">
      <c r="A6" s="26">
        <v>4</v>
      </c>
      <c r="B6" s="27" t="s">
        <v>18</v>
      </c>
      <c r="C6" s="29" t="s">
        <v>19</v>
      </c>
      <c r="D6" s="29" t="s">
        <v>23</v>
      </c>
      <c r="E6" s="31" t="s">
        <v>28</v>
      </c>
      <c r="F6" s="4">
        <v>245</v>
      </c>
      <c r="G6" s="4">
        <v>35</v>
      </c>
      <c r="H6" s="4">
        <v>7</v>
      </c>
      <c r="I6" s="26">
        <v>8</v>
      </c>
      <c r="J6" s="26">
        <v>275</v>
      </c>
      <c r="K6" s="26">
        <v>1</v>
      </c>
      <c r="L6" s="26">
        <v>120</v>
      </c>
      <c r="M6" s="26">
        <f>L6+30</f>
        <v>150</v>
      </c>
      <c r="N6" s="33" t="s">
        <v>24</v>
      </c>
      <c r="O6" s="26">
        <f>L6*K6</f>
        <v>120</v>
      </c>
      <c r="P6" s="26">
        <f>M6*K6</f>
        <v>150</v>
      </c>
      <c r="Q6" s="26">
        <f>0.34*K6</f>
        <v>0.34</v>
      </c>
    </row>
    <row r="7" spans="1:17" ht="31.5" customHeight="1">
      <c r="A7" s="25"/>
      <c r="B7" s="28"/>
      <c r="C7" s="30"/>
      <c r="D7" s="30"/>
      <c r="E7" s="32"/>
      <c r="F7" s="4">
        <v>30</v>
      </c>
      <c r="G7" s="4">
        <v>30</v>
      </c>
      <c r="H7" s="4">
        <v>1</v>
      </c>
      <c r="I7" s="25"/>
      <c r="J7" s="25"/>
      <c r="K7" s="25"/>
      <c r="L7" s="25"/>
      <c r="M7" s="25"/>
      <c r="N7" s="34"/>
      <c r="O7" s="25"/>
      <c r="P7" s="25"/>
      <c r="Q7" s="25"/>
    </row>
    <row r="8" spans="1:17" ht="35.25" customHeight="1">
      <c r="A8" s="25" t="s">
        <v>20</v>
      </c>
      <c r="B8" s="25"/>
      <c r="C8" s="25"/>
      <c r="D8" s="6"/>
      <c r="E8" s="5"/>
      <c r="F8" s="5">
        <f>SUM(F3:F7)</f>
        <v>36500</v>
      </c>
      <c r="G8" s="5"/>
      <c r="H8" s="5">
        <f>SUM(H3:H7)</f>
        <v>1043</v>
      </c>
      <c r="I8" s="5"/>
      <c r="J8" s="5"/>
      <c r="K8" s="5">
        <f>SUM(K3:K6)</f>
        <v>31</v>
      </c>
      <c r="L8" s="5"/>
      <c r="M8" s="5"/>
      <c r="N8" s="10"/>
      <c r="O8" s="5">
        <f>SUM(O3:O6)</f>
        <v>19459</v>
      </c>
      <c r="P8" s="5">
        <f>SUM(P3:P6)</f>
        <v>20737</v>
      </c>
      <c r="Q8" s="5">
        <f>SUM(Q3:Q6)</f>
        <v>16.239999999999998</v>
      </c>
    </row>
    <row r="9" spans="1:17" ht="14.45" customHeight="1">
      <c r="A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1" customHeight="1">
      <c r="A10" s="11"/>
      <c r="B10" s="12" t="s">
        <v>21</v>
      </c>
      <c r="C10" s="16" t="s">
        <v>29</v>
      </c>
      <c r="N10" s="11"/>
      <c r="O10" s="11"/>
      <c r="P10" s="11"/>
      <c r="Q10" s="11"/>
    </row>
    <row r="11" spans="1:17" ht="21" customHeight="1">
      <c r="A11" s="11"/>
      <c r="B11" s="13"/>
      <c r="C11" s="8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8.75">
      <c r="A12" s="11"/>
      <c r="B12" s="11"/>
      <c r="C12" s="8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22">
        <v>45805</v>
      </c>
      <c r="O12" s="22"/>
      <c r="P12" s="22"/>
      <c r="Q12" s="22"/>
    </row>
    <row r="13" spans="1:17">
      <c r="A13" s="9"/>
      <c r="B13" s="9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</sheetData>
  <mergeCells count="17">
    <mergeCell ref="Q6:Q7"/>
    <mergeCell ref="N12:Q12"/>
    <mergeCell ref="A1:Q1"/>
    <mergeCell ref="A8:C8"/>
    <mergeCell ref="A6:A7"/>
    <mergeCell ref="B6:B7"/>
    <mergeCell ref="C6:C7"/>
    <mergeCell ref="D6:D7"/>
    <mergeCell ref="E6:E7"/>
    <mergeCell ref="J6:J7"/>
    <mergeCell ref="K6:K7"/>
    <mergeCell ref="L6:L7"/>
    <mergeCell ref="M6:M7"/>
    <mergeCell ref="N6:N7"/>
    <mergeCell ref="O6:O7"/>
    <mergeCell ref="I6:I7"/>
    <mergeCell ref="P6:P7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2025-05-28T06:07:02Z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