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印度发货\"/>
    </mc:Choice>
  </mc:AlternateContent>
  <xr:revisionPtr revIDLastSave="0" documentId="13_ncr:1_{8507A5E3-B902-4C07-9345-6E1B142F6C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J7" i="1"/>
  <c r="Q7" i="1" l="1"/>
  <c r="Q4" i="1"/>
  <c r="P4" i="1"/>
  <c r="O4" i="1"/>
  <c r="H6" i="1"/>
  <c r="H3" i="1"/>
  <c r="M7" i="1"/>
  <c r="K9" i="1"/>
  <c r="Q6" i="1"/>
  <c r="O6" i="1"/>
  <c r="P6" i="1"/>
  <c r="J6" i="1"/>
  <c r="F6" i="1" s="1"/>
  <c r="H9" i="1" l="1"/>
  <c r="P7" i="1"/>
  <c r="O7" i="1"/>
  <c r="Q3" i="1"/>
  <c r="Q9" i="1" s="1"/>
  <c r="O3" i="1"/>
  <c r="J3" i="1"/>
  <c r="F3" i="1" s="1"/>
  <c r="F9" i="1" l="1"/>
  <c r="O9" i="1"/>
  <c r="P9" i="1"/>
</calcChain>
</file>

<file path=xl/sharedStrings.xml><?xml version="1.0" encoding="utf-8"?>
<sst xmlns="http://schemas.openxmlformats.org/spreadsheetml/2006/main" count="40" uniqueCount="34">
  <si>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</si>
  <si>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</si>
  <si>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</si>
  <si>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</si>
  <si>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</si>
  <si>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</si>
  <si>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t xml:space="preserve">
Bags</t>
  </si>
  <si>
    <t xml:space="preserve">
Bags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</si>
  <si>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</si>
  <si>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</si>
  <si>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</si>
  <si>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</si>
  <si>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</si>
  <si>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</si>
  <si>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</si>
  <si>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24*142</t>
  </si>
  <si>
    <t>(*)</t>
  </si>
  <si>
    <t>PORT OF LOADING: SHANGHAI</t>
  </si>
  <si>
    <t>φ26</t>
    <phoneticPr fontId="10" type="noConversion"/>
  </si>
  <si>
    <r>
      <t xml:space="preserve">
</t>
    </r>
    <r>
      <rPr>
        <b/>
        <sz val="11"/>
        <color theme="1"/>
        <rFont val="宋体"/>
        <family val="3"/>
        <charset val="134"/>
        <scheme val="minor"/>
      </rPr>
      <t>Quantity</t>
    </r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</si>
  <si>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1"/>
        <color theme="1"/>
        <rFont val="宋体"/>
        <family val="3"/>
        <charset val="134"/>
        <scheme val="minor"/>
      </rPr>
      <t>：</t>
    </r>
  </si>
  <si>
    <t xml:space="preserve">
Pcs
/bag     (*)</t>
    <phoneticPr fontId="9" type="noConversion"/>
  </si>
  <si>
    <t>Pcs
/case</t>
    <phoneticPr fontId="9" type="noConversion"/>
  </si>
  <si>
    <t>1200*800*550
0.53</t>
    <phoneticPr fontId="10" type="noConversion"/>
  </si>
  <si>
    <t>PO001318</t>
    <phoneticPr fontId="9" type="noConversion"/>
  </si>
  <si>
    <t>1200*800*350
0.34</t>
    <phoneticPr fontId="9" type="noConversion"/>
  </si>
  <si>
    <t>1200*800*550
0.53</t>
    <phoneticPr fontId="9" type="noConversion"/>
  </si>
  <si>
    <t>The pieces are packed in a bag : 40(30)(200)(155) pieces per bag and 32（11）(33)bags per case so 1280(430)（6600）(6555) pieces per case</t>
    <phoneticPr fontId="9" type="noConversion"/>
  </si>
  <si>
    <t>29/29</t>
    <phoneticPr fontId="9" type="noConversion"/>
  </si>
  <si>
    <t>27/29-28/29</t>
    <phoneticPr fontId="9" type="noConversion"/>
  </si>
  <si>
    <t>26/29</t>
    <phoneticPr fontId="9" type="noConversion"/>
  </si>
  <si>
    <t>1/29-25/29</t>
    <phoneticPr fontId="9" type="noConversion"/>
  </si>
  <si>
    <t>Screw spike</t>
    <phoneticPr fontId="9" type="noConversion"/>
  </si>
  <si>
    <t>Spring washer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</si>
</sst>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1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8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0" fontId="5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1"/>
  <sheetViews>
    <sheetView tabSelected="1" topLeftCell="A3" workbookViewId="0">
      <selection activeCell="E7" sqref="E7:E8"/>
    </sheetView>
  </sheetViews>
  <sheetFormatPr defaultColWidth="8.75" defaultRowHeight="13.5"/>
  <cols>
    <col min="1" max="1" width="4.625" customWidth="1"/>
    <col min="2" max="2" width="13.75" customWidth="1"/>
    <col min="3" max="3" width="9.5" customWidth="1"/>
    <col min="4" max="4" width="11.5" customWidth="1"/>
    <col min="5" max="5" width="13" customWidth="1"/>
    <col min="6" max="6" width="7.75" customWidth="1"/>
    <col min="7" max="7" width="7.375" customWidth="1"/>
    <col min="8" max="8" width="6.625" customWidth="1"/>
    <col min="9" max="9" width="6.875" customWidth="1"/>
    <col min="10" max="10" width="7.25" customWidth="1"/>
    <col min="11" max="11" width="6.75" customWidth="1"/>
    <col min="12" max="13" width="9.75" customWidth="1"/>
    <col min="14" max="14" width="14.5" customWidth="1"/>
  </cols>
  <sheetData>
    <row r="1" spans="1:17" ht="80.4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68.4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19</v>
      </c>
      <c r="G2" s="5" t="s">
        <v>21</v>
      </c>
      <c r="H2" s="5" t="s">
        <v>6</v>
      </c>
      <c r="I2" s="5" t="s">
        <v>7</v>
      </c>
      <c r="J2" s="5" t="s">
        <v>22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14</v>
      </c>
    </row>
    <row r="3" spans="1:17" ht="42.75" customHeight="1">
      <c r="A3" s="7">
        <v>1</v>
      </c>
      <c r="B3" s="8" t="s">
        <v>32</v>
      </c>
      <c r="C3" s="8" t="s">
        <v>15</v>
      </c>
      <c r="D3" s="17" t="s">
        <v>24</v>
      </c>
      <c r="E3" s="7" t="s">
        <v>31</v>
      </c>
      <c r="F3" s="7">
        <f>J3*K3</f>
        <v>32000</v>
      </c>
      <c r="G3" s="9">
        <v>40</v>
      </c>
      <c r="H3" s="9">
        <f>I3*K3</f>
        <v>800</v>
      </c>
      <c r="I3" s="9">
        <v>32</v>
      </c>
      <c r="J3" s="7">
        <f>G3*I3</f>
        <v>1280</v>
      </c>
      <c r="K3" s="7">
        <v>25</v>
      </c>
      <c r="L3" s="7">
        <v>701</v>
      </c>
      <c r="M3" s="7">
        <f>L3+24</f>
        <v>725</v>
      </c>
      <c r="N3" s="8" t="s">
        <v>26</v>
      </c>
      <c r="O3" s="7">
        <f>L3*K3</f>
        <v>17525</v>
      </c>
      <c r="P3" s="7">
        <v>18124</v>
      </c>
      <c r="Q3" s="7">
        <f>0.53*K3</f>
        <v>13.25</v>
      </c>
    </row>
    <row r="4" spans="1:17" ht="33.75" customHeight="1">
      <c r="A4" s="15">
        <v>2</v>
      </c>
      <c r="B4" s="17" t="s">
        <v>32</v>
      </c>
      <c r="C4" s="17" t="s">
        <v>15</v>
      </c>
      <c r="D4" s="26"/>
      <c r="E4" s="19" t="s">
        <v>30</v>
      </c>
      <c r="F4" s="15">
        <v>430</v>
      </c>
      <c r="G4" s="9">
        <v>40</v>
      </c>
      <c r="H4" s="9">
        <v>10</v>
      </c>
      <c r="I4" s="15">
        <v>11</v>
      </c>
      <c r="J4" s="7">
        <v>400</v>
      </c>
      <c r="K4" s="15">
        <v>1</v>
      </c>
      <c r="L4" s="15">
        <v>235</v>
      </c>
      <c r="M4" s="15">
        <v>266</v>
      </c>
      <c r="N4" s="17" t="s">
        <v>25</v>
      </c>
      <c r="O4" s="15">
        <f>L4*K4</f>
        <v>235</v>
      </c>
      <c r="P4" s="15">
        <f>M4*K4</f>
        <v>266</v>
      </c>
      <c r="Q4" s="15">
        <f>0.34*K4</f>
        <v>0.34</v>
      </c>
    </row>
    <row r="5" spans="1:17" ht="33.75" customHeight="1">
      <c r="A5" s="16"/>
      <c r="B5" s="18"/>
      <c r="C5" s="18"/>
      <c r="D5" s="26"/>
      <c r="E5" s="16"/>
      <c r="F5" s="16"/>
      <c r="G5" s="9">
        <v>30</v>
      </c>
      <c r="H5" s="9">
        <v>1</v>
      </c>
      <c r="I5" s="16"/>
      <c r="J5" s="7">
        <v>30</v>
      </c>
      <c r="K5" s="16"/>
      <c r="L5" s="16"/>
      <c r="M5" s="16"/>
      <c r="N5" s="18"/>
      <c r="O5" s="16"/>
      <c r="P5" s="16"/>
      <c r="Q5" s="16"/>
    </row>
    <row r="6" spans="1:17" ht="42.75" customHeight="1">
      <c r="A6" s="7">
        <v>3</v>
      </c>
      <c r="B6" s="8" t="s">
        <v>33</v>
      </c>
      <c r="C6" s="8" t="s">
        <v>18</v>
      </c>
      <c r="D6" s="26"/>
      <c r="E6" s="7" t="s">
        <v>29</v>
      </c>
      <c r="F6" s="7">
        <f>J6*K6</f>
        <v>13200</v>
      </c>
      <c r="G6" s="9">
        <v>200</v>
      </c>
      <c r="H6" s="9">
        <f t="shared" ref="H6" si="0">I6*K6</f>
        <v>66</v>
      </c>
      <c r="I6" s="9">
        <v>33</v>
      </c>
      <c r="J6" s="7">
        <f>G6*I6</f>
        <v>6600</v>
      </c>
      <c r="K6" s="7">
        <v>2</v>
      </c>
      <c r="L6" s="7">
        <v>594</v>
      </c>
      <c r="M6" s="7">
        <v>631</v>
      </c>
      <c r="N6" s="12" t="s">
        <v>23</v>
      </c>
      <c r="O6" s="13">
        <f>L6*K6</f>
        <v>1188</v>
      </c>
      <c r="P6" s="13">
        <f>M6*K6</f>
        <v>1262</v>
      </c>
      <c r="Q6" s="13">
        <f>0.53*K6</f>
        <v>1.06</v>
      </c>
    </row>
    <row r="7" spans="1:17" ht="42.75" customHeight="1">
      <c r="A7" s="15">
        <v>4</v>
      </c>
      <c r="B7" s="17" t="s">
        <v>33</v>
      </c>
      <c r="C7" s="17" t="s">
        <v>18</v>
      </c>
      <c r="D7" s="26"/>
      <c r="E7" s="19" t="s">
        <v>28</v>
      </c>
      <c r="F7" s="15">
        <v>6555</v>
      </c>
      <c r="G7" s="9">
        <v>200</v>
      </c>
      <c r="H7" s="9">
        <v>32</v>
      </c>
      <c r="I7" s="15">
        <v>33</v>
      </c>
      <c r="J7" s="7">
        <f>G7*H7</f>
        <v>6400</v>
      </c>
      <c r="K7" s="15">
        <v>1</v>
      </c>
      <c r="L7" s="15">
        <v>590</v>
      </c>
      <c r="M7" s="15">
        <f>L7+30</f>
        <v>620</v>
      </c>
      <c r="N7" s="17" t="s">
        <v>26</v>
      </c>
      <c r="O7" s="15">
        <f>L7*K7</f>
        <v>590</v>
      </c>
      <c r="P7" s="15">
        <f>M7*K7</f>
        <v>620</v>
      </c>
      <c r="Q7" s="15">
        <f>0.53*K7</f>
        <v>0.53</v>
      </c>
    </row>
    <row r="8" spans="1:17" ht="42.75" customHeight="1">
      <c r="A8" s="16"/>
      <c r="B8" s="18"/>
      <c r="C8" s="18"/>
      <c r="D8" s="18"/>
      <c r="E8" s="20"/>
      <c r="F8" s="16"/>
      <c r="G8" s="9">
        <v>155</v>
      </c>
      <c r="H8" s="9">
        <v>1</v>
      </c>
      <c r="I8" s="16"/>
      <c r="J8" s="7">
        <v>155</v>
      </c>
      <c r="K8" s="16"/>
      <c r="L8" s="16"/>
      <c r="M8" s="16"/>
      <c r="N8" s="18"/>
      <c r="O8" s="16"/>
      <c r="P8" s="16"/>
      <c r="Q8" s="16"/>
    </row>
    <row r="9" spans="1:17" ht="35.25" customHeight="1">
      <c r="A9" s="23" t="s">
        <v>20</v>
      </c>
      <c r="B9" s="23"/>
      <c r="C9" s="23"/>
      <c r="D9" s="10"/>
      <c r="E9" s="9"/>
      <c r="F9" s="9">
        <f>SUM(F3:F7)</f>
        <v>52185</v>
      </c>
      <c r="G9" s="9"/>
      <c r="H9" s="9">
        <f>SUM(H3:H8)</f>
        <v>910</v>
      </c>
      <c r="I9" s="9"/>
      <c r="J9" s="9"/>
      <c r="K9" s="9">
        <f>SUM(K3:K7)</f>
        <v>29</v>
      </c>
      <c r="L9" s="9"/>
      <c r="M9" s="9"/>
      <c r="N9" s="9"/>
      <c r="O9" s="14">
        <f>SUM(O3:O7)</f>
        <v>19538</v>
      </c>
      <c r="P9" s="14">
        <f>SUM(P3:P7)</f>
        <v>20272</v>
      </c>
      <c r="Q9" s="9">
        <f>SUM(Q3:Q7)</f>
        <v>15.18</v>
      </c>
    </row>
    <row r="10" spans="1:17" ht="14.45" customHeight="1">
      <c r="A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1" customHeight="1">
      <c r="A11" s="1"/>
      <c r="B11" s="2" t="s">
        <v>16</v>
      </c>
      <c r="C11" s="11" t="s">
        <v>27</v>
      </c>
      <c r="N11" s="1"/>
      <c r="O11" s="1"/>
      <c r="P11" s="1"/>
      <c r="Q11" s="1"/>
    </row>
    <row r="12" spans="1:17" ht="21" customHeight="1">
      <c r="A12" s="1"/>
      <c r="B12" s="2" t="s">
        <v>16</v>
      </c>
      <c r="C12" s="3" t="s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8.75">
      <c r="A13" s="1"/>
      <c r="B13" s="1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24">
        <v>45911</v>
      </c>
      <c r="O13" s="24"/>
      <c r="P13" s="24"/>
      <c r="Q13" s="24"/>
    </row>
    <row r="14" spans="1:17" ht="18.75">
      <c r="A14" s="1"/>
      <c r="B14" s="1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25"/>
      <c r="O14" s="25"/>
      <c r="P14" s="25"/>
      <c r="Q14" s="25"/>
    </row>
    <row r="15" spans="1:17">
      <c r="A15" s="4"/>
      <c r="B15" s="4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>
      <c r="A16" s="4"/>
      <c r="B16" s="4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>
      <c r="A17" s="4"/>
      <c r="B17" s="4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</sheetData>
  <mergeCells count="31">
    <mergeCell ref="A1:Q1"/>
    <mergeCell ref="A9:C9"/>
    <mergeCell ref="N13:Q13"/>
    <mergeCell ref="N14:Q14"/>
    <mergeCell ref="D3:D8"/>
    <mergeCell ref="A4:A5"/>
    <mergeCell ref="B4:B5"/>
    <mergeCell ref="C4:C5"/>
    <mergeCell ref="E4:E5"/>
    <mergeCell ref="F4:F5"/>
    <mergeCell ref="K4:K5"/>
    <mergeCell ref="L4:L5"/>
    <mergeCell ref="M4:M5"/>
    <mergeCell ref="N4:N5"/>
    <mergeCell ref="O4:O5"/>
    <mergeCell ref="P4:P5"/>
    <mergeCell ref="Q4:Q5"/>
    <mergeCell ref="I4:I5"/>
    <mergeCell ref="A7:A8"/>
    <mergeCell ref="B7:B8"/>
    <mergeCell ref="C7:C8"/>
    <mergeCell ref="E7:E8"/>
    <mergeCell ref="F7:F8"/>
    <mergeCell ref="K7:K8"/>
    <mergeCell ref="L7:L8"/>
    <mergeCell ref="M7:M8"/>
    <mergeCell ref="N7:N8"/>
    <mergeCell ref="O7:O8"/>
    <mergeCell ref="P7:P8"/>
    <mergeCell ref="Q7:Q8"/>
    <mergeCell ref="I7:I8"/>
  </mergeCells>
  <phoneticPr fontId="9" type="noConversion"/>
  <pageMargins left="0.90551181102362199" right="0.511811023622047" top="0.196850393700787" bottom="0.74803149606299202" header="0.31496062992126" footer="0.31496062992126"/>
  <pageSetup paperSize="9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2025-09-11T07:08:40Z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B2BADA30BFA84D8E9E0840C12BEFC0B4_12</vt:lpwstr>
  </property>
  <property fmtid="{D5CDD505-2E9C-101B-9397-08002B2CF9AE}" pid="3" name="KSOProductBuildVer">
    <vt:lpwstr>2052-12.1.0.15712</vt:lpwstr>
  </property>
</Properties>
</file>