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双头出货\"/>
    </mc:Choice>
  </mc:AlternateContent>
  <xr:revisionPtr revIDLastSave="0" documentId="13_ncr:1_{7A423DC3-E9B1-45E7-B00D-CC04838741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P3" i="1"/>
  <c r="Q6" i="1"/>
  <c r="K6" i="1"/>
  <c r="H6" i="1"/>
  <c r="F6" i="1"/>
  <c r="J4" i="1"/>
  <c r="Q3" i="1"/>
  <c r="O3" i="1"/>
  <c r="J3" i="1"/>
  <c r="H3" i="1"/>
  <c r="F3" i="1" s="1"/>
  <c r="Q4" i="1"/>
  <c r="P4" i="1"/>
  <c r="O4" i="1"/>
  <c r="O6" i="1" s="1"/>
  <c r="J5" i="1"/>
  <c r="P6" i="1" l="1"/>
</calcChain>
</file>

<file path=xl/sharedStrings.xml><?xml version="1.0" encoding="utf-8"?>
<sst xmlns="http://schemas.openxmlformats.org/spreadsheetml/2006/main" count="31" uniqueCount="27">
  <si>
    <t xml:space="preserve"> 包  装  明  细  表
PACKING DETAILS
</t>
  </si>
  <si>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</si>
  <si>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</si>
  <si>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</si>
  <si>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</si>
  <si>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</si>
  <si>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</si>
  <si>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</si>
  <si>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</si>
  <si>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</si>
  <si>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</si>
  <si>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CASE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</si>
  <si>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</si>
  <si>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</si>
  <si>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</si>
  <si>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</si>
  <si>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</si>
  <si>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</si>
  <si>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 xml:space="preserve">双头螺栓
Stud bolt </t>
  </si>
  <si>
    <t>23*164</t>
  </si>
  <si>
    <t>1200*800*550
0.53</t>
  </si>
  <si>
    <t>合计Total：</t>
  </si>
  <si>
    <t>备注：</t>
  </si>
  <si>
    <t>苏州苏德兰铁路配件有限公司</t>
  </si>
  <si>
    <t xml:space="preserve">CA2502239 </t>
    <phoneticPr fontId="8" type="noConversion"/>
  </si>
  <si>
    <t>1/29-28/29</t>
    <phoneticPr fontId="8" type="noConversion"/>
  </si>
  <si>
    <t>29/29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</si>
</sst>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0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topLeftCell="A2" workbookViewId="0">
      <selection activeCell="H9" sqref="H9"/>
    </sheetView>
  </sheetViews>
  <sheetFormatPr defaultColWidth="9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79.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9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72.95" customHeight="1">
      <c r="A3" s="2">
        <v>1</v>
      </c>
      <c r="B3" s="3" t="s">
        <v>18</v>
      </c>
      <c r="C3" s="4" t="s">
        <v>19</v>
      </c>
      <c r="D3" s="12" t="s">
        <v>24</v>
      </c>
      <c r="E3" s="13" t="s">
        <v>25</v>
      </c>
      <c r="F3" s="2">
        <f>G3*H3</f>
        <v>44800</v>
      </c>
      <c r="G3" s="5">
        <v>40</v>
      </c>
      <c r="H3" s="5">
        <f>I3*K3</f>
        <v>1120</v>
      </c>
      <c r="I3" s="5">
        <v>40</v>
      </c>
      <c r="J3" s="2">
        <f>G3*I3</f>
        <v>1600</v>
      </c>
      <c r="K3" s="2">
        <v>28</v>
      </c>
      <c r="L3" s="2">
        <v>656</v>
      </c>
      <c r="M3" s="2">
        <v>702</v>
      </c>
      <c r="N3" s="11" t="s">
        <v>20</v>
      </c>
      <c r="O3" s="2">
        <f>L3*K3</f>
        <v>18368</v>
      </c>
      <c r="P3" s="2">
        <f>M3*K3</f>
        <v>19656</v>
      </c>
      <c r="Q3" s="2">
        <f>0.53*K3</f>
        <v>14.84</v>
      </c>
    </row>
    <row r="4" spans="1:17" ht="51" customHeight="1">
      <c r="A4" s="14">
        <v>2</v>
      </c>
      <c r="B4" s="22" t="s">
        <v>18</v>
      </c>
      <c r="C4" s="24" t="s">
        <v>19</v>
      </c>
      <c r="D4" s="26" t="s">
        <v>24</v>
      </c>
      <c r="E4" s="16" t="s">
        <v>26</v>
      </c>
      <c r="F4" s="14">
        <v>1068</v>
      </c>
      <c r="G4" s="5">
        <v>40</v>
      </c>
      <c r="H4" s="5">
        <v>26</v>
      </c>
      <c r="I4" s="5">
        <v>26</v>
      </c>
      <c r="J4" s="2">
        <f>G4*I4</f>
        <v>1040</v>
      </c>
      <c r="K4" s="14">
        <v>1</v>
      </c>
      <c r="L4" s="14">
        <v>438</v>
      </c>
      <c r="M4" s="14">
        <f>L4+46</f>
        <v>484</v>
      </c>
      <c r="N4" s="28" t="s">
        <v>20</v>
      </c>
      <c r="O4" s="14">
        <f>L4*K4</f>
        <v>438</v>
      </c>
      <c r="P4" s="14">
        <f>M4*K4</f>
        <v>484</v>
      </c>
      <c r="Q4" s="14">
        <f>0.53*K4</f>
        <v>0.53</v>
      </c>
    </row>
    <row r="5" spans="1:17" ht="51" customHeight="1">
      <c r="A5" s="15"/>
      <c r="B5" s="23"/>
      <c r="C5" s="25"/>
      <c r="D5" s="27"/>
      <c r="E5" s="15"/>
      <c r="F5" s="15"/>
      <c r="G5" s="5">
        <v>28</v>
      </c>
      <c r="H5" s="5">
        <v>1</v>
      </c>
      <c r="I5" s="5">
        <v>1</v>
      </c>
      <c r="J5" s="2">
        <f>G5*I5</f>
        <v>28</v>
      </c>
      <c r="K5" s="15"/>
      <c r="L5" s="15"/>
      <c r="M5" s="15"/>
      <c r="N5" s="29"/>
      <c r="O5" s="15"/>
      <c r="P5" s="15"/>
      <c r="Q5" s="15"/>
    </row>
    <row r="6" spans="1:17" ht="35.25" customHeight="1">
      <c r="A6" s="19" t="s">
        <v>21</v>
      </c>
      <c r="B6" s="19"/>
      <c r="C6" s="19"/>
      <c r="D6" s="6"/>
      <c r="E6" s="5"/>
      <c r="F6" s="5">
        <f>SUM(F3:F5)</f>
        <v>45868</v>
      </c>
      <c r="G6" s="5"/>
      <c r="H6" s="5">
        <f>SUM(H3:H5)</f>
        <v>1147</v>
      </c>
      <c r="I6" s="5"/>
      <c r="J6" s="5"/>
      <c r="K6" s="5">
        <f>SUM(K3:K5)</f>
        <v>29</v>
      </c>
      <c r="L6" s="5"/>
      <c r="M6" s="5"/>
      <c r="N6" s="5"/>
      <c r="O6" s="5">
        <f t="shared" ref="O6:Q6" si="0">SUM(O3:O5)</f>
        <v>18806</v>
      </c>
      <c r="P6" s="5">
        <f t="shared" si="0"/>
        <v>20140</v>
      </c>
      <c r="Q6" s="5">
        <f t="shared" si="0"/>
        <v>15.37</v>
      </c>
    </row>
    <row r="7" spans="1:17" ht="21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21" customHeight="1">
      <c r="A9" s="7"/>
      <c r="B9" s="8" t="s">
        <v>22</v>
      </c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8.75">
      <c r="A10" s="7"/>
      <c r="B10" s="7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20" t="s">
        <v>23</v>
      </c>
      <c r="O10" s="20"/>
      <c r="P10" s="20"/>
      <c r="Q10" s="20"/>
    </row>
    <row r="11" spans="1:17" ht="18.75">
      <c r="A11" s="7"/>
      <c r="B11" s="7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21">
        <v>45928</v>
      </c>
      <c r="O11" s="21"/>
      <c r="P11" s="21"/>
      <c r="Q11" s="21"/>
    </row>
    <row r="12" spans="1:17">
      <c r="A12" s="10"/>
      <c r="B12" s="10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10"/>
      <c r="B13" s="10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10"/>
      <c r="B14" s="10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</sheetData>
  <mergeCells count="17">
    <mergeCell ref="N11:Q11"/>
    <mergeCell ref="A4:A5"/>
    <mergeCell ref="B4:B5"/>
    <mergeCell ref="C4:C5"/>
    <mergeCell ref="D4:D5"/>
    <mergeCell ref="N4:N5"/>
    <mergeCell ref="Q4:Q5"/>
    <mergeCell ref="P4:P5"/>
    <mergeCell ref="O4:O5"/>
    <mergeCell ref="M4:M5"/>
    <mergeCell ref="L4:L5"/>
    <mergeCell ref="K4:K5"/>
    <mergeCell ref="F4:F5"/>
    <mergeCell ref="E4:E5"/>
    <mergeCell ref="A1:Q1"/>
    <mergeCell ref="A6:C6"/>
    <mergeCell ref="N10:Q10"/>
  </mergeCells>
  <phoneticPr fontId="8" type="noConversion"/>
  <pageMargins left="0.511811023622047" right="0.511811023622047" top="0.196850393700787" bottom="0.74803149606299202" header="0.31496062992126" footer="0.31496062992126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2025-09-28T03:17:52Z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E93792F2F8224AD89085C0A7E1044D33_12</vt:lpwstr>
  </property>
  <property fmtid="{D5CDD505-2E9C-101B-9397-08002B2CF9AE}" pid="3" name="KSOProductBuildVer">
    <vt:lpwstr>2052-12.1.0.16250</vt:lpwstr>
  </property>
</Properties>
</file>