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50070件\"/>
    </mc:Choice>
  </mc:AlternateContent>
  <xr:revisionPtr revIDLastSave="0" documentId="13_ncr:1_{BB58A73F-F06C-482F-A382-4EA5B9CB61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O4" i="2"/>
  <c r="M4" i="2"/>
  <c r="P4" i="2" s="1"/>
  <c r="J4" i="2"/>
  <c r="H4" i="2"/>
  <c r="F4" i="2"/>
  <c r="Q5" i="2"/>
  <c r="O5" i="2"/>
  <c r="M5" i="2"/>
  <c r="P5" i="2" s="1"/>
  <c r="J5" i="2"/>
  <c r="F5" i="2" s="1"/>
  <c r="H5" i="2"/>
  <c r="K6" i="2"/>
  <c r="Q3" i="2"/>
  <c r="O3" i="2"/>
  <c r="M3" i="2"/>
  <c r="P3" i="2" s="1"/>
  <c r="J3" i="2"/>
  <c r="F3" i="2" s="1"/>
  <c r="H3" i="2"/>
  <c r="H6" i="2" l="1"/>
  <c r="O6" i="2"/>
  <c r="Q6" i="2"/>
  <c r="F6" i="2"/>
  <c r="P6" i="2"/>
</calcChain>
</file>

<file path=xl/sharedStrings.xml><?xml version="1.0" encoding="utf-8"?>
<sst xmlns="http://schemas.openxmlformats.org/spreadsheetml/2006/main" count="37" uniqueCount="31">
  <si>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</si>
  <si>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</si>
  <si>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</si>
  <si>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</si>
  <si>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</si>
  <si>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</si>
  <si>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</si>
  <si>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</si>
  <si>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</si>
  <si>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</si>
  <si>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</si>
  <si>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</si>
  <si>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</si>
  <si>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</si>
  <si>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</si>
  <si>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</si>
  <si>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</si>
  <si>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</si>
  <si>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</si>
  <si>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</si>
  <si>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</si>
  <si>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</si>
  <si>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CA2504338</t>
    <phoneticPr fontId="13" type="noConversion"/>
  </si>
  <si>
    <t>SS35
24*161</t>
    <phoneticPr fontId="13" type="noConversion"/>
  </si>
  <si>
    <t>The pieces are packed in a bag : 30 pieces per bag and 35（24） bags per case so 1050（720） pieces per case</t>
    <phoneticPr fontId="13" type="noConversion"/>
  </si>
  <si>
    <t>48/48</t>
    <phoneticPr fontId="13" type="noConversion"/>
  </si>
  <si>
    <t>The cases are all stackable.</t>
    <phoneticPr fontId="13" type="noConversion"/>
  </si>
  <si>
    <t>1/48-24/48</t>
    <phoneticPr fontId="13" type="noConversion"/>
  </si>
  <si>
    <t>25/48-47/48</t>
    <phoneticPr fontId="13" type="noConversion"/>
  </si>
  <si>
    <t>1柜</t>
    <phoneticPr fontId="13" type="noConversion"/>
  </si>
  <si>
    <t>2柜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</si>
</sst>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topLeftCell="A2" workbookViewId="0">
      <selection activeCell="E4" sqref="E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7.375" customWidth="1"/>
  </cols>
  <sheetData>
    <row r="1" spans="1:18" ht="59.1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8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8" ht="43.5" customHeight="1">
      <c r="A3" s="15">
        <v>1</v>
      </c>
      <c r="B3" s="3" t="s">
        <v>18</v>
      </c>
      <c r="C3" s="16" t="s">
        <v>23</v>
      </c>
      <c r="D3" s="28" t="s">
        <v>22</v>
      </c>
      <c r="E3" s="18" t="s">
        <v>27</v>
      </c>
      <c r="F3" s="4">
        <f>J3*K3</f>
        <v>25200</v>
      </c>
      <c r="G3" s="4">
        <v>30</v>
      </c>
      <c r="H3" s="4">
        <f>K3*I3</f>
        <v>840</v>
      </c>
      <c r="I3" s="4">
        <v>35</v>
      </c>
      <c r="J3" s="4">
        <f>G3*I3</f>
        <v>1050</v>
      </c>
      <c r="K3" s="4">
        <v>24</v>
      </c>
      <c r="L3" s="4">
        <v>716</v>
      </c>
      <c r="M3" s="4">
        <f>L3+42</f>
        <v>758</v>
      </c>
      <c r="N3" s="19" t="s">
        <v>21</v>
      </c>
      <c r="O3" s="4">
        <f>L3*K3</f>
        <v>17184</v>
      </c>
      <c r="P3" s="4">
        <f>M3*K3</f>
        <v>18192</v>
      </c>
      <c r="Q3" s="4">
        <f>0.53*K3</f>
        <v>12.72</v>
      </c>
      <c r="R3" s="29" t="s">
        <v>29</v>
      </c>
    </row>
    <row r="4" spans="1:18" ht="43.5" customHeight="1">
      <c r="A4" s="15">
        <v>2</v>
      </c>
      <c r="B4" s="3" t="s">
        <v>18</v>
      </c>
      <c r="C4" s="16" t="s">
        <v>23</v>
      </c>
      <c r="D4" s="28"/>
      <c r="E4" s="18" t="s">
        <v>28</v>
      </c>
      <c r="F4" s="4">
        <f>J4*K4</f>
        <v>24150</v>
      </c>
      <c r="G4" s="4">
        <v>30</v>
      </c>
      <c r="H4" s="4">
        <f>K4*I4</f>
        <v>805</v>
      </c>
      <c r="I4" s="4">
        <v>35</v>
      </c>
      <c r="J4" s="4">
        <f>G4*I4</f>
        <v>1050</v>
      </c>
      <c r="K4" s="4">
        <v>23</v>
      </c>
      <c r="L4" s="4">
        <v>716</v>
      </c>
      <c r="M4" s="4">
        <f>L4+42</f>
        <v>758</v>
      </c>
      <c r="N4" s="19" t="s">
        <v>21</v>
      </c>
      <c r="O4" s="4">
        <f>L4*K4</f>
        <v>16468</v>
      </c>
      <c r="P4" s="4">
        <f>M4*K4</f>
        <v>17434</v>
      </c>
      <c r="Q4" s="4">
        <f>0.53*K4</f>
        <v>12.190000000000001</v>
      </c>
      <c r="R4" s="30" t="s">
        <v>30</v>
      </c>
    </row>
    <row r="5" spans="1:18" ht="48" customHeight="1">
      <c r="A5" s="4">
        <v>3</v>
      </c>
      <c r="B5" s="20" t="s">
        <v>18</v>
      </c>
      <c r="C5" s="21" t="s">
        <v>23</v>
      </c>
      <c r="D5" s="28"/>
      <c r="E5" s="22" t="s">
        <v>25</v>
      </c>
      <c r="F5" s="4">
        <f>J5*K5</f>
        <v>720</v>
      </c>
      <c r="G5" s="4">
        <v>30</v>
      </c>
      <c r="H5" s="4">
        <f>K5*I5</f>
        <v>24</v>
      </c>
      <c r="I5" s="4">
        <v>24</v>
      </c>
      <c r="J5" s="4">
        <f>G5*I5</f>
        <v>720</v>
      </c>
      <c r="K5" s="4">
        <v>1</v>
      </c>
      <c r="L5" s="4">
        <v>491</v>
      </c>
      <c r="M5" s="4">
        <f>L5+42</f>
        <v>533</v>
      </c>
      <c r="N5" s="19" t="s">
        <v>21</v>
      </c>
      <c r="O5" s="4">
        <f>L5*K5</f>
        <v>491</v>
      </c>
      <c r="P5" s="4">
        <f>M5*K5</f>
        <v>533</v>
      </c>
      <c r="Q5" s="4">
        <f>0.53*K5</f>
        <v>0.53</v>
      </c>
      <c r="R5" s="30"/>
    </row>
    <row r="6" spans="1:18" ht="35.25" customHeight="1">
      <c r="A6" s="27" t="s">
        <v>19</v>
      </c>
      <c r="B6" s="27"/>
      <c r="C6" s="27"/>
      <c r="D6" s="6"/>
      <c r="E6" s="5"/>
      <c r="F6" s="5">
        <f>SUM(F3:F5)</f>
        <v>50070</v>
      </c>
      <c r="G6" s="5"/>
      <c r="H6" s="5">
        <f>SUM(H3:H5)</f>
        <v>1669</v>
      </c>
      <c r="I6" s="5"/>
      <c r="J6" s="5"/>
      <c r="K6" s="5">
        <f>SUM(K3:K5)</f>
        <v>48</v>
      </c>
      <c r="L6" s="5"/>
      <c r="M6" s="5"/>
      <c r="N6" s="10"/>
      <c r="O6" s="5">
        <f>SUM(O3:O5)</f>
        <v>34143</v>
      </c>
      <c r="P6" s="5">
        <f>SUM(P3:P5)</f>
        <v>36159</v>
      </c>
      <c r="Q6" s="11">
        <f>SUM(Q3:Q5)</f>
        <v>25.440000000000005</v>
      </c>
    </row>
    <row r="7" spans="1:18" ht="27" customHeight="1">
      <c r="A7" s="23" t="s">
        <v>26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8" ht="21" customHeight="1">
      <c r="A8" s="12"/>
      <c r="B8" s="13" t="s">
        <v>20</v>
      </c>
      <c r="C8" s="17" t="s">
        <v>24</v>
      </c>
      <c r="N8" s="12"/>
      <c r="O8" s="12"/>
      <c r="P8" s="12"/>
      <c r="Q8" s="12"/>
    </row>
    <row r="9" spans="1:18" ht="21" customHeight="1">
      <c r="A9" s="12"/>
      <c r="B9" s="14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8" ht="18.75">
      <c r="A10" s="12"/>
      <c r="B10" s="12"/>
      <c r="C10" s="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4">
        <v>45965</v>
      </c>
      <c r="O10" s="24"/>
      <c r="P10" s="24"/>
      <c r="Q10" s="24"/>
    </row>
    <row r="11" spans="1:18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8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8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</sheetData>
  <mergeCells count="5">
    <mergeCell ref="N10:Q10"/>
    <mergeCell ref="A1:Q1"/>
    <mergeCell ref="A6:C6"/>
    <mergeCell ref="D3:D5"/>
    <mergeCell ref="R4:R5"/>
  </mergeCells>
  <phoneticPr fontId="13" type="noConversion"/>
  <pageMargins left="0.196527777777778" right="0.196527777777778" top="0.43263888888888902" bottom="0.70833333333333304" header="0.5" footer="0.5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2026-01-15T06:17:27Z</cp:lastPrinted>
  <dcterms:created xsi:type="dcterms:W3CDTF">2006-09-13T11:21:00Z</dcterms:created>
  <dcterms:modified xsi:type="dcterms:W3CDTF">2026-01-20T06:57:15Z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