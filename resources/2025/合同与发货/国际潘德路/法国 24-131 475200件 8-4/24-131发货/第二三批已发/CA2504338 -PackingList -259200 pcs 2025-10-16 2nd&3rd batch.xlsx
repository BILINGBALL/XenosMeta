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lu\Desktop\24-131发货\第二三批\"/>
    </mc:Choice>
  </mc:AlternateContent>
  <xr:revisionPtr revIDLastSave="0" documentId="13_ncr:1_{052102CC-E96F-4F79-8DF8-D22935A7F1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整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2" l="1"/>
  <c r="Q11" i="2"/>
  <c r="P11" i="2"/>
  <c r="O11" i="2"/>
  <c r="M11" i="2"/>
  <c r="J11" i="2"/>
  <c r="H11" i="2"/>
  <c r="F11" i="2"/>
  <c r="Q10" i="2"/>
  <c r="O10" i="2"/>
  <c r="M10" i="2"/>
  <c r="P10" i="2" s="1"/>
  <c r="J10" i="2"/>
  <c r="H10" i="2"/>
  <c r="F10" i="2"/>
  <c r="Q9" i="2"/>
  <c r="Q12" i="2" s="1"/>
  <c r="O9" i="2"/>
  <c r="O12" i="2" s="1"/>
  <c r="M9" i="2"/>
  <c r="P9" i="2" s="1"/>
  <c r="J9" i="2"/>
  <c r="F9" i="2" s="1"/>
  <c r="F12" i="2" s="1"/>
  <c r="H9" i="2"/>
  <c r="H12" i="2" s="1"/>
  <c r="Q4" i="2"/>
  <c r="P4" i="2"/>
  <c r="O4" i="2"/>
  <c r="M4" i="2"/>
  <c r="J4" i="2"/>
  <c r="F4" i="2" s="1"/>
  <c r="H4" i="2"/>
  <c r="Q5" i="2"/>
  <c r="O5" i="2"/>
  <c r="M5" i="2"/>
  <c r="P5" i="2" s="1"/>
  <c r="J5" i="2"/>
  <c r="F5" i="2" s="1"/>
  <c r="H5" i="2"/>
  <c r="K6" i="2"/>
  <c r="Q3" i="2"/>
  <c r="O3" i="2"/>
  <c r="M3" i="2"/>
  <c r="P3" i="2" s="1"/>
  <c r="J3" i="2"/>
  <c r="F3" i="2" s="1"/>
  <c r="H3" i="2"/>
  <c r="P12" i="2" l="1"/>
  <c r="H6" i="2"/>
  <c r="O6" i="2"/>
  <c r="Q6" i="2"/>
  <c r="F6" i="2"/>
  <c r="P6" i="2"/>
</calcChain>
</file>

<file path=xl/sharedStrings.xml><?xml version="1.0" encoding="utf-8"?>
<sst xmlns="http://schemas.openxmlformats.org/spreadsheetml/2006/main" count="67" uniqueCount="30">
  <si>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</si>
  <si>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</si>
  <si>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</si>
  <si>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</si>
  <si>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</si>
  <si>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</si>
  <si>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</si>
  <si>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</si>
  <si>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</si>
  <si>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</si>
  <si>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</si>
  <si>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</si>
  <si>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</si>
  <si>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</si>
  <si>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</si>
  <si>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</si>
  <si>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</si>
  <si>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</si>
  <si>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</si>
  <si>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</si>
  <si>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(*)</t>
  </si>
  <si>
    <t>1200*800*550
0.53</t>
    <phoneticPr fontId="13" type="noConversion"/>
  </si>
  <si>
    <t>SS35
24*131</t>
    <phoneticPr fontId="13" type="noConversion"/>
  </si>
  <si>
    <t>The pieces are packed in a bag : 40 pieces per bag and 30 bags per case so 1200 pieces per case</t>
    <phoneticPr fontId="13" type="noConversion"/>
  </si>
  <si>
    <t>CA2504338</t>
    <phoneticPr fontId="13" type="noConversion"/>
  </si>
  <si>
    <t>1/108-36/108</t>
    <phoneticPr fontId="13" type="noConversion"/>
  </si>
  <si>
    <t>37/108-72/108</t>
    <phoneticPr fontId="13" type="noConversion"/>
  </si>
  <si>
    <t>73/108-108/108</t>
    <phoneticPr fontId="13" type="noConversion"/>
  </si>
  <si>
    <t>第二批3柜,Line50,60,70</t>
    <phoneticPr fontId="13" type="noConversion"/>
  </si>
  <si>
    <t>第三批3柜,Line80,90,100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</si>
</sst>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6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4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topLeftCell="A6" workbookViewId="0">
      <selection activeCell="N16" sqref="N16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6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  <col min="18" max="18" width="10.125" customWidth="1"/>
  </cols>
  <sheetData>
    <row r="1" spans="1:18" ht="59.1" customHeight="1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8" ht="68.4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8" ht="43.5" customHeight="1">
      <c r="A3" s="15">
        <v>1</v>
      </c>
      <c r="B3" s="3" t="s">
        <v>18</v>
      </c>
      <c r="C3" s="16" t="s">
        <v>22</v>
      </c>
      <c r="D3" s="26" t="s">
        <v>24</v>
      </c>
      <c r="E3" s="18" t="s">
        <v>25</v>
      </c>
      <c r="F3" s="4">
        <f>J3*K3</f>
        <v>43200</v>
      </c>
      <c r="G3" s="4">
        <v>40</v>
      </c>
      <c r="H3" s="4">
        <f>K3*I3</f>
        <v>1080</v>
      </c>
      <c r="I3" s="4">
        <v>30</v>
      </c>
      <c r="J3" s="4">
        <f>G3*I3</f>
        <v>1200</v>
      </c>
      <c r="K3" s="4">
        <v>36</v>
      </c>
      <c r="L3" s="4">
        <v>642</v>
      </c>
      <c r="M3" s="4">
        <f>L3+42</f>
        <v>684</v>
      </c>
      <c r="N3" s="19" t="s">
        <v>21</v>
      </c>
      <c r="O3" s="4">
        <f>L3*K3</f>
        <v>23112</v>
      </c>
      <c r="P3" s="4">
        <f>M3*K3</f>
        <v>24624</v>
      </c>
      <c r="Q3" s="4">
        <f>0.53*K3</f>
        <v>19.080000000000002</v>
      </c>
      <c r="R3" s="29" t="s">
        <v>28</v>
      </c>
    </row>
    <row r="4" spans="1:18" ht="48" customHeight="1">
      <c r="A4" s="4">
        <v>2</v>
      </c>
      <c r="B4" s="20" t="s">
        <v>18</v>
      </c>
      <c r="C4" s="21" t="s">
        <v>22</v>
      </c>
      <c r="D4" s="27"/>
      <c r="E4" s="18" t="s">
        <v>26</v>
      </c>
      <c r="F4" s="4">
        <f>J4*K4</f>
        <v>43200</v>
      </c>
      <c r="G4" s="4">
        <v>40</v>
      </c>
      <c r="H4" s="4">
        <f>K4*I4</f>
        <v>1080</v>
      </c>
      <c r="I4" s="4">
        <v>30</v>
      </c>
      <c r="J4" s="4">
        <f>G4*I4</f>
        <v>1200</v>
      </c>
      <c r="K4" s="4">
        <v>36</v>
      </c>
      <c r="L4" s="4">
        <v>642</v>
      </c>
      <c r="M4" s="4">
        <f>L4+42</f>
        <v>684</v>
      </c>
      <c r="N4" s="19" t="s">
        <v>21</v>
      </c>
      <c r="O4" s="4">
        <f>L4*K4</f>
        <v>23112</v>
      </c>
      <c r="P4" s="4">
        <f>M4*K4</f>
        <v>24624</v>
      </c>
      <c r="Q4" s="4">
        <f>0.53*K4</f>
        <v>19.080000000000002</v>
      </c>
      <c r="R4" s="29"/>
    </row>
    <row r="5" spans="1:18" ht="48" customHeight="1">
      <c r="A5" s="4">
        <v>3</v>
      </c>
      <c r="B5" s="20" t="s">
        <v>18</v>
      </c>
      <c r="C5" s="21" t="s">
        <v>22</v>
      </c>
      <c r="D5" s="28"/>
      <c r="E5" s="18" t="s">
        <v>27</v>
      </c>
      <c r="F5" s="4">
        <f>J5*K5</f>
        <v>43200</v>
      </c>
      <c r="G5" s="4">
        <v>40</v>
      </c>
      <c r="H5" s="4">
        <f>K5*I5</f>
        <v>1080</v>
      </c>
      <c r="I5" s="4">
        <v>30</v>
      </c>
      <c r="J5" s="4">
        <f>G5*I5</f>
        <v>1200</v>
      </c>
      <c r="K5" s="4">
        <v>36</v>
      </c>
      <c r="L5" s="4">
        <v>642</v>
      </c>
      <c r="M5" s="4">
        <f>L5+42</f>
        <v>684</v>
      </c>
      <c r="N5" s="19" t="s">
        <v>21</v>
      </c>
      <c r="O5" s="4">
        <f>L5*K5</f>
        <v>23112</v>
      </c>
      <c r="P5" s="4">
        <f>M5*K5</f>
        <v>24624</v>
      </c>
      <c r="Q5" s="4">
        <f>0.53*K5</f>
        <v>19.080000000000002</v>
      </c>
      <c r="R5" s="29"/>
    </row>
    <row r="6" spans="1:18" ht="35.25" customHeight="1">
      <c r="A6" s="25" t="s">
        <v>19</v>
      </c>
      <c r="B6" s="25"/>
      <c r="C6" s="25"/>
      <c r="D6" s="6"/>
      <c r="E6" s="5"/>
      <c r="F6" s="5">
        <f>SUM(F3:F5)</f>
        <v>129600</v>
      </c>
      <c r="G6" s="5"/>
      <c r="H6" s="5">
        <f>SUM(H3:H5)</f>
        <v>3240</v>
      </c>
      <c r="I6" s="5"/>
      <c r="J6" s="5"/>
      <c r="K6" s="5">
        <f>SUM(K3:K5)</f>
        <v>108</v>
      </c>
      <c r="L6" s="5"/>
      <c r="M6" s="5"/>
      <c r="N6" s="10"/>
      <c r="O6" s="5">
        <f>SUM(O3:O5)</f>
        <v>69336</v>
      </c>
      <c r="P6" s="5">
        <f>SUM(P3:P5)</f>
        <v>73872</v>
      </c>
      <c r="Q6" s="11">
        <f>SUM(Q3:Q5)</f>
        <v>57.240000000000009</v>
      </c>
    </row>
    <row r="7" spans="1:18" ht="14.45" customHeight="1">
      <c r="A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8" ht="68.45" customHeight="1">
      <c r="A8" s="1" t="s">
        <v>1</v>
      </c>
      <c r="B8" s="1" t="s">
        <v>2</v>
      </c>
      <c r="C8" s="1" t="s">
        <v>3</v>
      </c>
      <c r="D8" s="2" t="s">
        <v>4</v>
      </c>
      <c r="E8" s="2" t="s">
        <v>5</v>
      </c>
      <c r="F8" s="3" t="s">
        <v>6</v>
      </c>
      <c r="G8" s="2" t="s">
        <v>7</v>
      </c>
      <c r="H8" s="2" t="s">
        <v>8</v>
      </c>
      <c r="I8" s="2" t="s">
        <v>9</v>
      </c>
      <c r="J8" s="2" t="s">
        <v>10</v>
      </c>
      <c r="K8" s="2" t="s">
        <v>11</v>
      </c>
      <c r="L8" s="2" t="s">
        <v>12</v>
      </c>
      <c r="M8" s="2" t="s">
        <v>13</v>
      </c>
      <c r="N8" s="2" t="s">
        <v>14</v>
      </c>
      <c r="O8" s="1" t="s">
        <v>15</v>
      </c>
      <c r="P8" s="1" t="s">
        <v>16</v>
      </c>
      <c r="Q8" s="1" t="s">
        <v>17</v>
      </c>
    </row>
    <row r="9" spans="1:18" ht="43.5" customHeight="1">
      <c r="A9" s="15">
        <v>1</v>
      </c>
      <c r="B9" s="3" t="s">
        <v>18</v>
      </c>
      <c r="C9" s="16" t="s">
        <v>22</v>
      </c>
      <c r="D9" s="26" t="s">
        <v>24</v>
      </c>
      <c r="E9" s="18" t="s">
        <v>25</v>
      </c>
      <c r="F9" s="4">
        <f>J9*K9</f>
        <v>43200</v>
      </c>
      <c r="G9" s="4">
        <v>40</v>
      </c>
      <c r="H9" s="4">
        <f>K9*I9</f>
        <v>1080</v>
      </c>
      <c r="I9" s="4">
        <v>30</v>
      </c>
      <c r="J9" s="4">
        <f>G9*I9</f>
        <v>1200</v>
      </c>
      <c r="K9" s="4">
        <v>36</v>
      </c>
      <c r="L9" s="4">
        <v>642</v>
      </c>
      <c r="M9" s="4">
        <f>L9+42</f>
        <v>684</v>
      </c>
      <c r="N9" s="19" t="s">
        <v>21</v>
      </c>
      <c r="O9" s="4">
        <f>L9*K9</f>
        <v>23112</v>
      </c>
      <c r="P9" s="4">
        <f>M9*K9</f>
        <v>24624</v>
      </c>
      <c r="Q9" s="4">
        <f>0.53*K9</f>
        <v>19.080000000000002</v>
      </c>
      <c r="R9" s="29" t="s">
        <v>29</v>
      </c>
    </row>
    <row r="10" spans="1:18" ht="48" customHeight="1">
      <c r="A10" s="4">
        <v>2</v>
      </c>
      <c r="B10" s="20" t="s">
        <v>18</v>
      </c>
      <c r="C10" s="21" t="s">
        <v>22</v>
      </c>
      <c r="D10" s="27"/>
      <c r="E10" s="18" t="s">
        <v>26</v>
      </c>
      <c r="F10" s="4">
        <f>J10*K10</f>
        <v>43200</v>
      </c>
      <c r="G10" s="4">
        <v>40</v>
      </c>
      <c r="H10" s="4">
        <f>K10*I10</f>
        <v>1080</v>
      </c>
      <c r="I10" s="4">
        <v>30</v>
      </c>
      <c r="J10" s="4">
        <f>G10*I10</f>
        <v>1200</v>
      </c>
      <c r="K10" s="4">
        <v>36</v>
      </c>
      <c r="L10" s="4">
        <v>642</v>
      </c>
      <c r="M10" s="4">
        <f>L10+42</f>
        <v>684</v>
      </c>
      <c r="N10" s="19" t="s">
        <v>21</v>
      </c>
      <c r="O10" s="4">
        <f>L10*K10</f>
        <v>23112</v>
      </c>
      <c r="P10" s="4">
        <f>M10*K10</f>
        <v>24624</v>
      </c>
      <c r="Q10" s="4">
        <f>0.53*K10</f>
        <v>19.080000000000002</v>
      </c>
      <c r="R10" s="29"/>
    </row>
    <row r="11" spans="1:18" ht="48" customHeight="1">
      <c r="A11" s="4">
        <v>3</v>
      </c>
      <c r="B11" s="20" t="s">
        <v>18</v>
      </c>
      <c r="C11" s="21" t="s">
        <v>22</v>
      </c>
      <c r="D11" s="28"/>
      <c r="E11" s="18" t="s">
        <v>27</v>
      </c>
      <c r="F11" s="4">
        <f>J11*K11</f>
        <v>43200</v>
      </c>
      <c r="G11" s="4">
        <v>40</v>
      </c>
      <c r="H11" s="4">
        <f>K11*I11</f>
        <v>1080</v>
      </c>
      <c r="I11" s="4">
        <v>30</v>
      </c>
      <c r="J11" s="4">
        <f>G11*I11</f>
        <v>1200</v>
      </c>
      <c r="K11" s="4">
        <v>36</v>
      </c>
      <c r="L11" s="4">
        <v>642</v>
      </c>
      <c r="M11" s="4">
        <f>L11+42</f>
        <v>684</v>
      </c>
      <c r="N11" s="19" t="s">
        <v>21</v>
      </c>
      <c r="O11" s="4">
        <f>L11*K11</f>
        <v>23112</v>
      </c>
      <c r="P11" s="4">
        <f>M11*K11</f>
        <v>24624</v>
      </c>
      <c r="Q11" s="4">
        <f>0.53*K11</f>
        <v>19.080000000000002</v>
      </c>
      <c r="R11" s="29"/>
    </row>
    <row r="12" spans="1:18" ht="35.25" customHeight="1">
      <c r="A12" s="25" t="s">
        <v>19</v>
      </c>
      <c r="B12" s="25"/>
      <c r="C12" s="25"/>
      <c r="D12" s="6"/>
      <c r="E12" s="5"/>
      <c r="F12" s="5">
        <f>SUM(F9:F11)</f>
        <v>129600</v>
      </c>
      <c r="G12" s="5"/>
      <c r="H12" s="5">
        <f>SUM(H9:H11)</f>
        <v>3240</v>
      </c>
      <c r="I12" s="5"/>
      <c r="J12" s="5"/>
      <c r="K12" s="5">
        <f>SUM(K9:K11)</f>
        <v>108</v>
      </c>
      <c r="L12" s="5"/>
      <c r="M12" s="5"/>
      <c r="N12" s="10"/>
      <c r="O12" s="5">
        <f>SUM(O9:O11)</f>
        <v>69336</v>
      </c>
      <c r="P12" s="5">
        <f>SUM(P9:P11)</f>
        <v>73872</v>
      </c>
      <c r="Q12" s="11">
        <f>SUM(Q9:Q11)</f>
        <v>57.240000000000009</v>
      </c>
    </row>
    <row r="13" spans="1:18" ht="21" customHeight="1">
      <c r="A13" s="12"/>
      <c r="B13" s="13" t="s">
        <v>20</v>
      </c>
      <c r="C13" s="17" t="s">
        <v>23</v>
      </c>
      <c r="N13" s="12"/>
      <c r="O13" s="12"/>
      <c r="P13" s="12"/>
      <c r="Q13" s="12"/>
    </row>
    <row r="14" spans="1:18" ht="21" customHeight="1">
      <c r="A14" s="12"/>
      <c r="B14" s="14"/>
      <c r="C14" s="8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8" ht="18.75">
      <c r="A15" s="12"/>
      <c r="B15" s="12"/>
      <c r="C15" s="8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22">
        <v>45946</v>
      </c>
      <c r="O15" s="22"/>
      <c r="P15" s="22"/>
      <c r="Q15" s="22"/>
    </row>
    <row r="16" spans="1:18">
      <c r="A16" s="9"/>
      <c r="B16" s="9"/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>
      <c r="A17" s="9"/>
      <c r="B17" s="9"/>
      <c r="C17" s="8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</sheetData>
  <mergeCells count="8">
    <mergeCell ref="N15:Q15"/>
    <mergeCell ref="A1:Q1"/>
    <mergeCell ref="A6:C6"/>
    <mergeCell ref="D3:D5"/>
    <mergeCell ref="R3:R5"/>
    <mergeCell ref="D9:D11"/>
    <mergeCell ref="R9:R11"/>
    <mergeCell ref="A12:C12"/>
  </mergeCells>
  <phoneticPr fontId="13" type="noConversion"/>
  <pageMargins left="0.196527777777778" right="0.196527777777778" top="0.43263888888888902" bottom="0.70833333333333304" header="0.5" footer="0.5"/>
  <pageSetup paperSize="9" scale="82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532537-10CC-40F5-A17B-2B64C178E5CF}">
  <ds:schemaRefs/>
</ds:datastoreItem>
</file>

<file path=customXml/itemProps2.xml><?xml version="1.0" encoding="utf-8"?>
<ds:datastoreItem xmlns:ds="http://schemas.openxmlformats.org/officeDocument/2006/customXml" ds:itemID="{938A6DA2-9912-4902-93FB-649328AF6ADB}">
  <ds:schemaRefs/>
</ds:datastoreItem>
</file>

<file path=customXml/itemProps3.xml><?xml version="1.0" encoding="utf-8"?>
<ds:datastoreItem xmlns:ds="http://schemas.openxmlformats.org/officeDocument/2006/customXml" ds:itemID="{1FD0F0C3-FD85-4F4A-B3C7-C631F71BA55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2025-10-16T02:44:53Z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