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defaultThemeVersion="124226"/>
  <mc:AlternateContent xmlns:mc="http://schemas.openxmlformats.org/markup-compatibility/2006">
    <mc:Choice Requires="x15">
      <x15ac:absPath xmlns:x15ac="http://schemas.microsoft.com/office/spreadsheetml/2010/11/ac" url="C:\Users\lu\Desktop\"/>
    </mc:Choice>
  </mc:AlternateContent>
  <xr:revisionPtr revIDLastSave="0" documentId="13_ncr:1_{AC397A49-0245-4B83-9613-375905AA18E0}" xr6:coauthVersionLast="47" xr6:coauthVersionMax="47" xr10:uidLastSave="{00000000-0000-0000-0000-000000000000}"/>
  <bookViews>
    <workbookView xWindow="-120" yWindow="-120" windowWidth="20730" windowHeight="11160" tabRatio="509" xr2:uid="{00000000-000D-0000-FFFF-FFFF00000000}"/>
  </bookViews>
  <sheets>
    <sheet name="data" sheetId="1" r:id="rId1"/>
    <sheet name="箱型尺寸" sheetId="8" r:id="rId2"/>
    <sheet name="包装代码" sheetId="2" r:id="rId3"/>
    <sheet name="付款方式" sheetId="3" r:id="rId4"/>
    <sheet name="地区编码" sheetId="6" r:id="rId5"/>
    <sheet name="运输条款" sheetId="7" r:id="rId6"/>
    <sheet name="港口代码" sheetId="11" r:id="rId7"/>
    <sheet name="rule_mapping" sheetId="9" state="hidden" r:id="rId8"/>
    <sheet name="checking" sheetId="10" r:id="rId9"/>
    <sheet name="数据规范" sheetId="12" r:id="rId10"/>
    <sheet name="version" sheetId="13" state="hidden" r:id="rId11"/>
  </sheets>
  <definedNames>
    <definedName name="_xlnm._FilterDatabase" localSheetId="6" hidden="1">港口代码!$A$1:$J$582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W277" i="10" l="1"/>
  <c r="AV277" i="10"/>
  <c r="AU277" i="10"/>
  <c r="AT277" i="10"/>
  <c r="AS277" i="10"/>
  <c r="AR277" i="10"/>
  <c r="AQ277" i="10"/>
  <c r="AP277" i="10"/>
  <c r="AO277" i="10"/>
  <c r="AN277" i="10"/>
  <c r="AM277" i="10"/>
  <c r="AL277" i="10"/>
  <c r="AK277" i="10"/>
  <c r="AJ277" i="10"/>
  <c r="AI277" i="10"/>
  <c r="AH277" i="10"/>
  <c r="AG277" i="10"/>
  <c r="AF277" i="10"/>
  <c r="AE277" i="10"/>
  <c r="AD277" i="10"/>
  <c r="AC277" i="10"/>
  <c r="AB277" i="10"/>
  <c r="AA277" i="10"/>
  <c r="Z277" i="10"/>
  <c r="Y277" i="10"/>
  <c r="X277" i="10"/>
  <c r="W277" i="10"/>
  <c r="V277" i="10"/>
  <c r="U277" i="10"/>
  <c r="T277" i="10"/>
  <c r="S277" i="10"/>
  <c r="R277" i="10"/>
  <c r="Q277" i="10"/>
  <c r="P277" i="10"/>
  <c r="O277" i="10"/>
  <c r="N277" i="10"/>
  <c r="M277" i="10"/>
  <c r="L277" i="10"/>
  <c r="K277" i="10"/>
  <c r="J277" i="10"/>
  <c r="I277" i="10"/>
  <c r="H277" i="10"/>
  <c r="G277" i="10"/>
  <c r="F277" i="10"/>
  <c r="E277" i="10"/>
  <c r="D277" i="10"/>
  <c r="C277" i="10"/>
  <c r="B277" i="10"/>
  <c r="AX277" i="10"/>
  <c r="A277" i="10"/>
  <c r="AW276" i="10"/>
  <c r="AV276" i="10"/>
  <c r="AU276" i="10"/>
  <c r="AT276" i="10"/>
  <c r="AS276" i="10"/>
  <c r="AR276" i="10"/>
  <c r="AQ276" i="10"/>
  <c r="AP276" i="10"/>
  <c r="AO276" i="10"/>
  <c r="AN276" i="10"/>
  <c r="AM276" i="10"/>
  <c r="AL276" i="10"/>
  <c r="AK276" i="10"/>
  <c r="AJ276" i="10"/>
  <c r="AI276" i="10"/>
  <c r="AH276" i="10"/>
  <c r="AG276" i="10"/>
  <c r="AF276" i="10"/>
  <c r="AE276" i="10"/>
  <c r="AD276" i="10"/>
  <c r="AC276" i="10"/>
  <c r="AB276" i="10"/>
  <c r="AA276" i="10"/>
  <c r="Z276" i="10"/>
  <c r="Y276" i="10"/>
  <c r="X276" i="10"/>
  <c r="W276" i="10"/>
  <c r="V276" i="10"/>
  <c r="U276" i="10"/>
  <c r="T276" i="10"/>
  <c r="S276" i="10"/>
  <c r="R276" i="10"/>
  <c r="Q276" i="10"/>
  <c r="P276" i="10"/>
  <c r="O276" i="10"/>
  <c r="N276" i="10"/>
  <c r="M276" i="10"/>
  <c r="L276" i="10"/>
  <c r="K276" i="10"/>
  <c r="J276" i="10"/>
  <c r="I276" i="10"/>
  <c r="H276" i="10"/>
  <c r="G276" i="10"/>
  <c r="F276" i="10"/>
  <c r="E276" i="10"/>
  <c r="D276" i="10"/>
  <c r="C276" i="10"/>
  <c r="B276" i="10"/>
  <c r="AX276" i="10"/>
  <c r="AW275" i="10"/>
  <c r="AV275" i="10"/>
  <c r="AU275" i="10"/>
  <c r="AT275" i="10"/>
  <c r="AS275" i="10"/>
  <c r="AR275" i="10"/>
  <c r="AQ275" i="10"/>
  <c r="AP275" i="10"/>
  <c r="AO275" i="10"/>
  <c r="AN275" i="10"/>
  <c r="AM275" i="10"/>
  <c r="AL275" i="10"/>
  <c r="AK275" i="10"/>
  <c r="AJ275" i="10"/>
  <c r="AI275" i="10"/>
  <c r="AH275" i="10"/>
  <c r="AG275" i="10"/>
  <c r="AF275" i="10"/>
  <c r="AE275" i="10"/>
  <c r="AD275" i="10"/>
  <c r="AC275" i="10"/>
  <c r="AB275" i="10"/>
  <c r="AA275" i="10"/>
  <c r="Z275" i="10"/>
  <c r="Y275" i="10"/>
  <c r="X275" i="10"/>
  <c r="W275" i="10"/>
  <c r="V275" i="10"/>
  <c r="U275" i="10"/>
  <c r="T275" i="10"/>
  <c r="S275" i="10"/>
  <c r="R275" i="10"/>
  <c r="Q275" i="10"/>
  <c r="P275" i="10"/>
  <c r="O275" i="10"/>
  <c r="N275" i="10"/>
  <c r="M275" i="10"/>
  <c r="L275" i="10"/>
  <c r="K275" i="10"/>
  <c r="J275" i="10"/>
  <c r="I275" i="10"/>
  <c r="H275" i="10"/>
  <c r="G275" i="10"/>
  <c r="F275" i="10"/>
  <c r="E275" i="10"/>
  <c r="D275" i="10"/>
  <c r="A275" i="10"/>
  <c r="C275" i="10"/>
  <c r="B275" i="10"/>
  <c r="AX275" i="10"/>
  <c r="AW274" i="10"/>
  <c r="AV274" i="10"/>
  <c r="AU274" i="10"/>
  <c r="AT274" i="10"/>
  <c r="AS274" i="10"/>
  <c r="AR274" i="10"/>
  <c r="AQ274" i="10"/>
  <c r="AP274" i="10"/>
  <c r="AO274" i="10"/>
  <c r="AN274" i="10"/>
  <c r="AM274" i="10"/>
  <c r="AL274" i="10"/>
  <c r="AK274" i="10"/>
  <c r="AJ274" i="10"/>
  <c r="AI274" i="10"/>
  <c r="AH274" i="10"/>
  <c r="AG274" i="10"/>
  <c r="AF274" i="10"/>
  <c r="AE274" i="10"/>
  <c r="AD274" i="10"/>
  <c r="AC274" i="10"/>
  <c r="AB274" i="10"/>
  <c r="AA274" i="10"/>
  <c r="Z274" i="10"/>
  <c r="Y274" i="10"/>
  <c r="X274" i="10"/>
  <c r="W274" i="10"/>
  <c r="V274" i="10"/>
  <c r="U274" i="10"/>
  <c r="T274" i="10"/>
  <c r="S274" i="10"/>
  <c r="R274" i="10"/>
  <c r="Q274" i="10"/>
  <c r="P274" i="10"/>
  <c r="O274" i="10"/>
  <c r="N274" i="10"/>
  <c r="M274" i="10"/>
  <c r="L274" i="10"/>
  <c r="K274" i="10"/>
  <c r="J274" i="10"/>
  <c r="I274" i="10"/>
  <c r="H274" i="10"/>
  <c r="G274" i="10"/>
  <c r="F274" i="10"/>
  <c r="E274" i="10"/>
  <c r="D274" i="10"/>
  <c r="C274" i="10"/>
  <c r="B274" i="10"/>
  <c r="AW273" i="10"/>
  <c r="AV273" i="10"/>
  <c r="AU273" i="10"/>
  <c r="AT273" i="10"/>
  <c r="AS273" i="10"/>
  <c r="AR273" i="10"/>
  <c r="AQ273" i="10"/>
  <c r="AP273" i="10"/>
  <c r="AO273" i="10"/>
  <c r="AN273" i="10"/>
  <c r="AM273" i="10"/>
  <c r="AL273" i="10"/>
  <c r="AK273" i="10"/>
  <c r="AJ273" i="10"/>
  <c r="AI273" i="10"/>
  <c r="AH273" i="10"/>
  <c r="AG273" i="10"/>
  <c r="AF273" i="10"/>
  <c r="AE273" i="10"/>
  <c r="AD273" i="10"/>
  <c r="AC273" i="10"/>
  <c r="AB273" i="10"/>
  <c r="AA273" i="10"/>
  <c r="Z273" i="10"/>
  <c r="Y273" i="10"/>
  <c r="X273" i="10"/>
  <c r="W273" i="10"/>
  <c r="V273" i="10"/>
  <c r="U273" i="10"/>
  <c r="T273" i="10"/>
  <c r="S273" i="10"/>
  <c r="R273" i="10"/>
  <c r="Q273" i="10"/>
  <c r="P273" i="10"/>
  <c r="O273" i="10"/>
  <c r="N273" i="10"/>
  <c r="M273" i="10"/>
  <c r="L273" i="10"/>
  <c r="K273" i="10"/>
  <c r="J273" i="10"/>
  <c r="I273" i="10"/>
  <c r="H273" i="10"/>
  <c r="G273" i="10"/>
  <c r="F273" i="10"/>
  <c r="E273" i="10"/>
  <c r="D273" i="10"/>
  <c r="C273" i="10"/>
  <c r="B273" i="10"/>
  <c r="A273" i="10"/>
  <c r="AW272" i="10"/>
  <c r="AV272" i="10"/>
  <c r="AU272" i="10"/>
  <c r="AT272" i="10"/>
  <c r="AS272" i="10"/>
  <c r="AR272" i="10"/>
  <c r="AQ272" i="10"/>
  <c r="AP272" i="10"/>
  <c r="AO272" i="10"/>
  <c r="AN272" i="10"/>
  <c r="AM272" i="10"/>
  <c r="AL272" i="10"/>
  <c r="AK272" i="10"/>
  <c r="AJ272" i="10"/>
  <c r="AI272" i="10"/>
  <c r="AH272" i="10"/>
  <c r="AG272" i="10"/>
  <c r="AF272" i="10"/>
  <c r="AE272" i="10"/>
  <c r="AD272" i="10"/>
  <c r="AC272" i="10"/>
  <c r="AB272" i="10"/>
  <c r="AA272" i="10"/>
  <c r="Z272" i="10"/>
  <c r="Y272" i="10"/>
  <c r="X272" i="10"/>
  <c r="W272" i="10"/>
  <c r="V272" i="10"/>
  <c r="U272" i="10"/>
  <c r="T272" i="10"/>
  <c r="S272" i="10"/>
  <c r="R272" i="10"/>
  <c r="Q272" i="10"/>
  <c r="P272" i="10"/>
  <c r="O272" i="10"/>
  <c r="N272" i="10"/>
  <c r="M272" i="10"/>
  <c r="L272" i="10"/>
  <c r="K272" i="10"/>
  <c r="J272" i="10"/>
  <c r="I272" i="10"/>
  <c r="H272" i="10"/>
  <c r="G272" i="10"/>
  <c r="F272" i="10"/>
  <c r="E272" i="10"/>
  <c r="D272" i="10"/>
  <c r="C272" i="10"/>
  <c r="B272" i="10"/>
  <c r="A272" i="10"/>
  <c r="AW271" i="10"/>
  <c r="AV271" i="10"/>
  <c r="AU271" i="10"/>
  <c r="AT271" i="10"/>
  <c r="AS271" i="10"/>
  <c r="AR271" i="10"/>
  <c r="AQ271" i="10"/>
  <c r="AP271" i="10"/>
  <c r="AO271" i="10"/>
  <c r="AN271" i="10"/>
  <c r="AM271" i="10"/>
  <c r="AL271" i="10"/>
  <c r="AK271" i="10"/>
  <c r="AJ271" i="10"/>
  <c r="AI271" i="10"/>
  <c r="AH271" i="10"/>
  <c r="AG271" i="10"/>
  <c r="AF271" i="10"/>
  <c r="AE271" i="10"/>
  <c r="AD271" i="10"/>
  <c r="AC271" i="10"/>
  <c r="AB271" i="10"/>
  <c r="AA271" i="10"/>
  <c r="Z271" i="10"/>
  <c r="Y271" i="10"/>
  <c r="X271" i="10"/>
  <c r="W271" i="10"/>
  <c r="V271" i="10"/>
  <c r="U271" i="10"/>
  <c r="T271" i="10"/>
  <c r="S271" i="10"/>
  <c r="R271" i="10"/>
  <c r="Q271" i="10"/>
  <c r="P271" i="10"/>
  <c r="O271" i="10"/>
  <c r="N271" i="10"/>
  <c r="M271" i="10"/>
  <c r="L271" i="10"/>
  <c r="K271" i="10"/>
  <c r="J271" i="10"/>
  <c r="I271" i="10"/>
  <c r="H271" i="10"/>
  <c r="G271" i="10"/>
  <c r="F271" i="10"/>
  <c r="E271" i="10"/>
  <c r="D271" i="10"/>
  <c r="C271" i="10"/>
  <c r="A271" i="10"/>
  <c r="B271" i="10"/>
  <c r="AX271" i="10"/>
  <c r="AW270" i="10"/>
  <c r="AV270" i="10"/>
  <c r="AU270" i="10"/>
  <c r="AT270" i="10"/>
  <c r="AS270" i="10"/>
  <c r="AR270" i="10"/>
  <c r="AQ270" i="10"/>
  <c r="AP270" i="10"/>
  <c r="AO270" i="10"/>
  <c r="AN270" i="10"/>
  <c r="AM270" i="10"/>
  <c r="AL270" i="10"/>
  <c r="AK270" i="10"/>
  <c r="AJ270" i="10"/>
  <c r="AI270" i="10"/>
  <c r="AH270" i="10"/>
  <c r="AG270" i="10"/>
  <c r="AF270" i="10"/>
  <c r="AE270" i="10"/>
  <c r="AD270" i="10"/>
  <c r="AC270" i="10"/>
  <c r="AB270" i="10"/>
  <c r="AA270" i="10"/>
  <c r="Z270" i="10"/>
  <c r="Y270" i="10"/>
  <c r="X270" i="10"/>
  <c r="W270" i="10"/>
  <c r="V270" i="10"/>
  <c r="U270" i="10"/>
  <c r="T270" i="10"/>
  <c r="S270" i="10"/>
  <c r="R270" i="10"/>
  <c r="Q270" i="10"/>
  <c r="P270" i="10"/>
  <c r="O270" i="10"/>
  <c r="N270" i="10"/>
  <c r="M270" i="10"/>
  <c r="L270" i="10"/>
  <c r="K270" i="10"/>
  <c r="J270" i="10"/>
  <c r="I270" i="10"/>
  <c r="H270" i="10"/>
  <c r="G270" i="10"/>
  <c r="F270" i="10"/>
  <c r="E270" i="10"/>
  <c r="D270" i="10"/>
  <c r="C270" i="10"/>
  <c r="B270" i="10"/>
  <c r="A270" i="10"/>
  <c r="AW269" i="10"/>
  <c r="AV269" i="10"/>
  <c r="AU269" i="10"/>
  <c r="AT269" i="10"/>
  <c r="AS269" i="10"/>
  <c r="AR269" i="10"/>
  <c r="AQ269" i="10"/>
  <c r="AP269" i="10"/>
  <c r="AO269" i="10"/>
  <c r="AN269" i="10"/>
  <c r="AM269" i="10"/>
  <c r="AL269" i="10"/>
  <c r="AK269" i="10"/>
  <c r="AJ269" i="10"/>
  <c r="AI269" i="10"/>
  <c r="AH269" i="10"/>
  <c r="AG269" i="10"/>
  <c r="AF269" i="10"/>
  <c r="AE269" i="10"/>
  <c r="AD269" i="10"/>
  <c r="AC269" i="10"/>
  <c r="AB269" i="10"/>
  <c r="AA269" i="10"/>
  <c r="Z269" i="10"/>
  <c r="Y269" i="10"/>
  <c r="X269" i="10"/>
  <c r="W269" i="10"/>
  <c r="V269" i="10"/>
  <c r="U269" i="10"/>
  <c r="T269" i="10"/>
  <c r="S269" i="10"/>
  <c r="R269" i="10"/>
  <c r="Q269" i="10"/>
  <c r="P269" i="10"/>
  <c r="O269" i="10"/>
  <c r="N269" i="10"/>
  <c r="M269" i="10"/>
  <c r="L269" i="10"/>
  <c r="K269" i="10"/>
  <c r="J269" i="10"/>
  <c r="I269" i="10"/>
  <c r="H269" i="10"/>
  <c r="G269" i="10"/>
  <c r="F269" i="10"/>
  <c r="E269" i="10"/>
  <c r="D269" i="10"/>
  <c r="A269" i="10"/>
  <c r="C269" i="10"/>
  <c r="B269" i="10"/>
  <c r="AW268" i="10"/>
  <c r="AV268" i="10"/>
  <c r="AU268" i="10"/>
  <c r="AT268" i="10"/>
  <c r="AS268" i="10"/>
  <c r="AR268" i="10"/>
  <c r="AQ268" i="10"/>
  <c r="AP268" i="10"/>
  <c r="AO268" i="10"/>
  <c r="AN268" i="10"/>
  <c r="AM268" i="10"/>
  <c r="AL268" i="10"/>
  <c r="AK268" i="10"/>
  <c r="AJ268" i="10"/>
  <c r="AI268" i="10"/>
  <c r="AH268" i="10"/>
  <c r="AG268" i="10"/>
  <c r="AF268" i="10"/>
  <c r="AE268" i="10"/>
  <c r="AD268" i="10"/>
  <c r="AC268" i="10"/>
  <c r="AB268" i="10"/>
  <c r="AA268" i="10"/>
  <c r="Z268" i="10"/>
  <c r="Y268" i="10"/>
  <c r="X268" i="10"/>
  <c r="W268" i="10"/>
  <c r="V268" i="10"/>
  <c r="U268" i="10"/>
  <c r="T268" i="10"/>
  <c r="S268" i="10"/>
  <c r="R268" i="10"/>
  <c r="Q268" i="10"/>
  <c r="P268" i="10"/>
  <c r="O268" i="10"/>
  <c r="N268" i="10"/>
  <c r="M268" i="10"/>
  <c r="L268" i="10"/>
  <c r="K268" i="10"/>
  <c r="J268" i="10"/>
  <c r="I268" i="10"/>
  <c r="H268" i="10"/>
  <c r="G268" i="10"/>
  <c r="F268" i="10"/>
  <c r="E268" i="10"/>
  <c r="D268" i="10"/>
  <c r="C268" i="10"/>
  <c r="A268" i="10"/>
  <c r="B268" i="10"/>
  <c r="AX268" i="10"/>
  <c r="AW267" i="10"/>
  <c r="AV267" i="10"/>
  <c r="AU267" i="10"/>
  <c r="AT267" i="10"/>
  <c r="AS267" i="10"/>
  <c r="AR267" i="10"/>
  <c r="AQ267" i="10"/>
  <c r="AP267" i="10"/>
  <c r="AO267" i="10"/>
  <c r="AN267" i="10"/>
  <c r="AM267" i="10"/>
  <c r="AL267" i="10"/>
  <c r="AK267" i="10"/>
  <c r="AJ267" i="10"/>
  <c r="AI267" i="10"/>
  <c r="AH267" i="10"/>
  <c r="AG267" i="10"/>
  <c r="AF267" i="10"/>
  <c r="AE267" i="10"/>
  <c r="AD267" i="10"/>
  <c r="AC267" i="10"/>
  <c r="AB267" i="10"/>
  <c r="AA267" i="10"/>
  <c r="Z267" i="10"/>
  <c r="Y267" i="10"/>
  <c r="X267" i="10"/>
  <c r="W267" i="10"/>
  <c r="V267" i="10"/>
  <c r="U267" i="10"/>
  <c r="T267" i="10"/>
  <c r="S267" i="10"/>
  <c r="R267" i="10"/>
  <c r="Q267" i="10"/>
  <c r="P267" i="10"/>
  <c r="O267" i="10"/>
  <c r="N267" i="10"/>
  <c r="M267" i="10"/>
  <c r="L267" i="10"/>
  <c r="K267" i="10"/>
  <c r="J267" i="10"/>
  <c r="I267" i="10"/>
  <c r="H267" i="10"/>
  <c r="G267" i="10"/>
  <c r="F267" i="10"/>
  <c r="E267" i="10"/>
  <c r="D267" i="10"/>
  <c r="C267" i="10"/>
  <c r="B267" i="10"/>
  <c r="AW266" i="10"/>
  <c r="AV266" i="10"/>
  <c r="AU266" i="10"/>
  <c r="AT266" i="10"/>
  <c r="AS266" i="10"/>
  <c r="AR266" i="10"/>
  <c r="AQ266" i="10"/>
  <c r="AP266" i="10"/>
  <c r="AO266" i="10"/>
  <c r="AN266" i="10"/>
  <c r="AM266" i="10"/>
  <c r="AL266" i="10"/>
  <c r="AK266" i="10"/>
  <c r="AJ266" i="10"/>
  <c r="AI266" i="10"/>
  <c r="AH266" i="10"/>
  <c r="AG266" i="10"/>
  <c r="AF266" i="10"/>
  <c r="AE266" i="10"/>
  <c r="AD266" i="10"/>
  <c r="AC266" i="10"/>
  <c r="AB266" i="10"/>
  <c r="AA266" i="10"/>
  <c r="Z266" i="10"/>
  <c r="Y266" i="10"/>
  <c r="X266" i="10"/>
  <c r="W266" i="10"/>
  <c r="V266" i="10"/>
  <c r="U266" i="10"/>
  <c r="T266" i="10"/>
  <c r="S266" i="10"/>
  <c r="R266" i="10"/>
  <c r="Q266" i="10"/>
  <c r="P266" i="10"/>
  <c r="O266" i="10"/>
  <c r="N266" i="10"/>
  <c r="M266" i="10"/>
  <c r="L266" i="10"/>
  <c r="K266" i="10"/>
  <c r="J266" i="10"/>
  <c r="I266" i="10"/>
  <c r="H266" i="10"/>
  <c r="G266" i="10"/>
  <c r="F266" i="10"/>
  <c r="E266" i="10"/>
  <c r="D266" i="10"/>
  <c r="C266" i="10"/>
  <c r="B266" i="10"/>
  <c r="AX266" i="10"/>
  <c r="A266" i="10"/>
  <c r="AW265" i="10"/>
  <c r="AV265" i="10"/>
  <c r="AU265" i="10"/>
  <c r="AT265" i="10"/>
  <c r="AS265" i="10"/>
  <c r="AR265" i="10"/>
  <c r="AQ265" i="10"/>
  <c r="AP265" i="10"/>
  <c r="AO265" i="10"/>
  <c r="AN265" i="10"/>
  <c r="AM265" i="10"/>
  <c r="AL265" i="10"/>
  <c r="AK265" i="10"/>
  <c r="AJ265" i="10"/>
  <c r="AI265" i="10"/>
  <c r="AH265" i="10"/>
  <c r="AG265" i="10"/>
  <c r="AF265" i="10"/>
  <c r="AE265" i="10"/>
  <c r="AD265" i="10"/>
  <c r="AC265" i="10"/>
  <c r="AB265" i="10"/>
  <c r="AA265" i="10"/>
  <c r="Z265" i="10"/>
  <c r="Y265" i="10"/>
  <c r="X265" i="10"/>
  <c r="W265" i="10"/>
  <c r="V265" i="10"/>
  <c r="U265" i="10"/>
  <c r="T265" i="10"/>
  <c r="S265" i="10"/>
  <c r="R265" i="10"/>
  <c r="Q265" i="10"/>
  <c r="P265" i="10"/>
  <c r="O265" i="10"/>
  <c r="N265" i="10"/>
  <c r="M265" i="10"/>
  <c r="L265" i="10"/>
  <c r="K265" i="10"/>
  <c r="J265" i="10"/>
  <c r="I265" i="10"/>
  <c r="H265" i="10"/>
  <c r="G265" i="10"/>
  <c r="F265" i="10"/>
  <c r="E265" i="10"/>
  <c r="D265" i="10"/>
  <c r="C265" i="10"/>
  <c r="B265" i="10"/>
  <c r="AW264" i="10"/>
  <c r="AV264" i="10"/>
  <c r="AU264" i="10"/>
  <c r="AT264" i="10"/>
  <c r="AS264" i="10"/>
  <c r="AR264" i="10"/>
  <c r="AQ264" i="10"/>
  <c r="AP264" i="10"/>
  <c r="AO264" i="10"/>
  <c r="AN264" i="10"/>
  <c r="AM264" i="10"/>
  <c r="AL264" i="10"/>
  <c r="AK264" i="10"/>
  <c r="AJ264" i="10"/>
  <c r="AI264" i="10"/>
  <c r="AH264" i="10"/>
  <c r="AG264" i="10"/>
  <c r="AF264" i="10"/>
  <c r="AE264" i="10"/>
  <c r="AD264" i="10"/>
  <c r="AC264" i="10"/>
  <c r="AB264" i="10"/>
  <c r="AA264" i="10"/>
  <c r="Z264" i="10"/>
  <c r="Y264" i="10"/>
  <c r="X264" i="10"/>
  <c r="W264" i="10"/>
  <c r="V264" i="10"/>
  <c r="U264" i="10"/>
  <c r="T264" i="10"/>
  <c r="S264" i="10"/>
  <c r="R264" i="10"/>
  <c r="Q264" i="10"/>
  <c r="P264" i="10"/>
  <c r="O264" i="10"/>
  <c r="N264" i="10"/>
  <c r="M264" i="10"/>
  <c r="L264" i="10"/>
  <c r="K264" i="10"/>
  <c r="J264" i="10"/>
  <c r="I264" i="10"/>
  <c r="H264" i="10"/>
  <c r="G264" i="10"/>
  <c r="F264" i="10"/>
  <c r="E264" i="10"/>
  <c r="D264" i="10"/>
  <c r="C264" i="10"/>
  <c r="B264" i="10"/>
  <c r="A264" i="10"/>
  <c r="AW263" i="10"/>
  <c r="AV263" i="10"/>
  <c r="AU263" i="10"/>
  <c r="AT263" i="10"/>
  <c r="AS263" i="10"/>
  <c r="AR263" i="10"/>
  <c r="AQ263" i="10"/>
  <c r="AP263" i="10"/>
  <c r="AO263" i="10"/>
  <c r="AN263" i="10"/>
  <c r="AM263" i="10"/>
  <c r="AL263" i="10"/>
  <c r="AK263" i="10"/>
  <c r="AJ263" i="10"/>
  <c r="AI263" i="10"/>
  <c r="AH263" i="10"/>
  <c r="AG263" i="10"/>
  <c r="AF263" i="10"/>
  <c r="AE263" i="10"/>
  <c r="AD263" i="10"/>
  <c r="AC263" i="10"/>
  <c r="AB263" i="10"/>
  <c r="AA263" i="10"/>
  <c r="Z263" i="10"/>
  <c r="Y263" i="10"/>
  <c r="X263" i="10"/>
  <c r="W263" i="10"/>
  <c r="V263" i="10"/>
  <c r="U263" i="10"/>
  <c r="T263" i="10"/>
  <c r="S263" i="10"/>
  <c r="R263" i="10"/>
  <c r="Q263" i="10"/>
  <c r="P263" i="10"/>
  <c r="O263" i="10"/>
  <c r="N263" i="10"/>
  <c r="M263" i="10"/>
  <c r="L263" i="10"/>
  <c r="K263" i="10"/>
  <c r="J263" i="10"/>
  <c r="I263" i="10"/>
  <c r="H263" i="10"/>
  <c r="G263" i="10"/>
  <c r="F263" i="10"/>
  <c r="E263" i="10"/>
  <c r="D263" i="10"/>
  <c r="C263" i="10"/>
  <c r="B263" i="10"/>
  <c r="A263" i="10"/>
  <c r="AW262" i="10"/>
  <c r="AV262" i="10"/>
  <c r="AU262" i="10"/>
  <c r="AT262" i="10"/>
  <c r="AS262" i="10"/>
  <c r="AR262" i="10"/>
  <c r="AQ262" i="10"/>
  <c r="AP262" i="10"/>
  <c r="AO262" i="10"/>
  <c r="AN262" i="10"/>
  <c r="AM262" i="10"/>
  <c r="AL262" i="10"/>
  <c r="AK262" i="10"/>
  <c r="AJ262" i="10"/>
  <c r="AI262" i="10"/>
  <c r="AH262" i="10"/>
  <c r="AG262" i="10"/>
  <c r="AF262" i="10"/>
  <c r="AE262" i="10"/>
  <c r="AD262" i="10"/>
  <c r="AC262" i="10"/>
  <c r="AB262" i="10"/>
  <c r="AA262" i="10"/>
  <c r="Z262" i="10"/>
  <c r="Y262" i="10"/>
  <c r="X262" i="10"/>
  <c r="W262" i="10"/>
  <c r="V262" i="10"/>
  <c r="U262" i="10"/>
  <c r="T262" i="10"/>
  <c r="S262" i="10"/>
  <c r="R262" i="10"/>
  <c r="Q262" i="10"/>
  <c r="P262" i="10"/>
  <c r="O262" i="10"/>
  <c r="N262" i="10"/>
  <c r="M262" i="10"/>
  <c r="L262" i="10"/>
  <c r="K262" i="10"/>
  <c r="J262" i="10"/>
  <c r="I262" i="10"/>
  <c r="H262" i="10"/>
  <c r="G262" i="10"/>
  <c r="F262" i="10"/>
  <c r="E262" i="10"/>
  <c r="D262" i="10"/>
  <c r="C262" i="10"/>
  <c r="A262" i="10"/>
  <c r="B262" i="10"/>
  <c r="AX262" i="10"/>
  <c r="AW261" i="10"/>
  <c r="AV261" i="10"/>
  <c r="AU261" i="10"/>
  <c r="AT261" i="10"/>
  <c r="AS261" i="10"/>
  <c r="AR261" i="10"/>
  <c r="AQ261" i="10"/>
  <c r="AP261" i="10"/>
  <c r="AO261" i="10"/>
  <c r="AN261" i="10"/>
  <c r="AM261" i="10"/>
  <c r="AL261" i="10"/>
  <c r="AK261" i="10"/>
  <c r="AJ261" i="10"/>
  <c r="AI261" i="10"/>
  <c r="AH261" i="10"/>
  <c r="AG261" i="10"/>
  <c r="AF261" i="10"/>
  <c r="AE261" i="10"/>
  <c r="AD261" i="10"/>
  <c r="AC261" i="10"/>
  <c r="AB261" i="10"/>
  <c r="AA261" i="10"/>
  <c r="Z261" i="10"/>
  <c r="Y261" i="10"/>
  <c r="X261" i="10"/>
  <c r="W261" i="10"/>
  <c r="V261" i="10"/>
  <c r="U261" i="10"/>
  <c r="T261" i="10"/>
  <c r="S261" i="10"/>
  <c r="R261" i="10"/>
  <c r="Q261" i="10"/>
  <c r="P261" i="10"/>
  <c r="O261" i="10"/>
  <c r="N261" i="10"/>
  <c r="M261" i="10"/>
  <c r="L261" i="10"/>
  <c r="K261" i="10"/>
  <c r="J261" i="10"/>
  <c r="I261" i="10"/>
  <c r="H261" i="10"/>
  <c r="G261" i="10"/>
  <c r="F261" i="10"/>
  <c r="E261" i="10"/>
  <c r="D261" i="10"/>
  <c r="C261" i="10"/>
  <c r="B261" i="10"/>
  <c r="AW260" i="10"/>
  <c r="AV260" i="10"/>
  <c r="AU260" i="10"/>
  <c r="AT260" i="10"/>
  <c r="AS260" i="10"/>
  <c r="AR260" i="10"/>
  <c r="AQ260" i="10"/>
  <c r="AP260" i="10"/>
  <c r="AO260" i="10"/>
  <c r="AN260" i="10"/>
  <c r="AM260" i="10"/>
  <c r="AL260" i="10"/>
  <c r="AK260" i="10"/>
  <c r="AJ260" i="10"/>
  <c r="AI260" i="10"/>
  <c r="AH260" i="10"/>
  <c r="AG260" i="10"/>
  <c r="AF260" i="10"/>
  <c r="AE260" i="10"/>
  <c r="AD260" i="10"/>
  <c r="AC260" i="10"/>
  <c r="AB260" i="10"/>
  <c r="AA260" i="10"/>
  <c r="Z260" i="10"/>
  <c r="Y260" i="10"/>
  <c r="X260" i="10"/>
  <c r="W260" i="10"/>
  <c r="V260" i="10"/>
  <c r="U260" i="10"/>
  <c r="T260" i="10"/>
  <c r="S260" i="10"/>
  <c r="R260" i="10"/>
  <c r="Q260" i="10"/>
  <c r="P260" i="10"/>
  <c r="O260" i="10"/>
  <c r="N260" i="10"/>
  <c r="M260" i="10"/>
  <c r="L260" i="10"/>
  <c r="K260" i="10"/>
  <c r="J260" i="10"/>
  <c r="I260" i="10"/>
  <c r="H260" i="10"/>
  <c r="G260" i="10"/>
  <c r="F260" i="10"/>
  <c r="E260" i="10"/>
  <c r="D260" i="10"/>
  <c r="A260" i="10"/>
  <c r="C260" i="10"/>
  <c r="B260" i="10"/>
  <c r="AW259" i="10"/>
  <c r="AV259" i="10"/>
  <c r="AU259" i="10"/>
  <c r="AT259" i="10"/>
  <c r="AS259" i="10"/>
  <c r="AR259" i="10"/>
  <c r="AQ259" i="10"/>
  <c r="AP259" i="10"/>
  <c r="AO259" i="10"/>
  <c r="AN259" i="10"/>
  <c r="AM259" i="10"/>
  <c r="AL259" i="10"/>
  <c r="AK259" i="10"/>
  <c r="AJ259" i="10"/>
  <c r="AI259" i="10"/>
  <c r="AH259" i="10"/>
  <c r="AG259" i="10"/>
  <c r="AF259" i="10"/>
  <c r="AE259" i="10"/>
  <c r="AD259" i="10"/>
  <c r="AC259" i="10"/>
  <c r="AB259" i="10"/>
  <c r="AA259" i="10"/>
  <c r="Z259" i="10"/>
  <c r="Y259" i="10"/>
  <c r="X259" i="10"/>
  <c r="W259" i="10"/>
  <c r="V259" i="10"/>
  <c r="U259" i="10"/>
  <c r="T259" i="10"/>
  <c r="S259" i="10"/>
  <c r="R259" i="10"/>
  <c r="Q259" i="10"/>
  <c r="P259" i="10"/>
  <c r="O259" i="10"/>
  <c r="N259" i="10"/>
  <c r="M259" i="10"/>
  <c r="L259" i="10"/>
  <c r="K259" i="10"/>
  <c r="J259" i="10"/>
  <c r="I259" i="10"/>
  <c r="H259" i="10"/>
  <c r="G259" i="10"/>
  <c r="F259" i="10"/>
  <c r="E259" i="10"/>
  <c r="D259" i="10"/>
  <c r="C259" i="10"/>
  <c r="B259" i="10"/>
  <c r="AX259" i="10"/>
  <c r="AW258" i="10"/>
  <c r="AV258" i="10"/>
  <c r="AU258" i="10"/>
  <c r="AT258" i="10"/>
  <c r="AS258" i="10"/>
  <c r="AR258" i="10"/>
  <c r="AQ258" i="10"/>
  <c r="AP258" i="10"/>
  <c r="AO258" i="10"/>
  <c r="AN258" i="10"/>
  <c r="AM258" i="10"/>
  <c r="AL258" i="10"/>
  <c r="AK258" i="10"/>
  <c r="AJ258" i="10"/>
  <c r="AI258" i="10"/>
  <c r="AH258" i="10"/>
  <c r="AG258" i="10"/>
  <c r="AF258" i="10"/>
  <c r="AE258" i="10"/>
  <c r="AD258" i="10"/>
  <c r="AC258" i="10"/>
  <c r="AB258" i="10"/>
  <c r="AA258" i="10"/>
  <c r="Z258" i="10"/>
  <c r="Y258" i="10"/>
  <c r="X258" i="10"/>
  <c r="W258" i="10"/>
  <c r="V258" i="10"/>
  <c r="U258" i="10"/>
  <c r="T258" i="10"/>
  <c r="S258" i="10"/>
  <c r="R258" i="10"/>
  <c r="Q258" i="10"/>
  <c r="P258" i="10"/>
  <c r="O258" i="10"/>
  <c r="N258" i="10"/>
  <c r="M258" i="10"/>
  <c r="L258" i="10"/>
  <c r="K258" i="10"/>
  <c r="J258" i="10"/>
  <c r="I258" i="10"/>
  <c r="H258" i="10"/>
  <c r="G258" i="10"/>
  <c r="F258" i="10"/>
  <c r="E258" i="10"/>
  <c r="D258" i="10"/>
  <c r="C258" i="10"/>
  <c r="B258" i="10"/>
  <c r="AW257" i="10"/>
  <c r="AV257" i="10"/>
  <c r="AU257" i="10"/>
  <c r="AT257" i="10"/>
  <c r="AS257" i="10"/>
  <c r="AR257" i="10"/>
  <c r="AQ257" i="10"/>
  <c r="AP257" i="10"/>
  <c r="AO257" i="10"/>
  <c r="AN257" i="10"/>
  <c r="AM257" i="10"/>
  <c r="AL257" i="10"/>
  <c r="AK257" i="10"/>
  <c r="AJ257" i="10"/>
  <c r="AI257" i="10"/>
  <c r="AH257" i="10"/>
  <c r="AG257" i="10"/>
  <c r="AF257" i="10"/>
  <c r="AE257" i="10"/>
  <c r="AD257" i="10"/>
  <c r="AC257" i="10"/>
  <c r="AB257" i="10"/>
  <c r="AA257" i="10"/>
  <c r="Z257" i="10"/>
  <c r="Y257" i="10"/>
  <c r="X257" i="10"/>
  <c r="W257" i="10"/>
  <c r="V257" i="10"/>
  <c r="U257" i="10"/>
  <c r="T257" i="10"/>
  <c r="S257" i="10"/>
  <c r="R257" i="10"/>
  <c r="Q257" i="10"/>
  <c r="P257" i="10"/>
  <c r="O257" i="10"/>
  <c r="N257" i="10"/>
  <c r="M257" i="10"/>
  <c r="L257" i="10"/>
  <c r="K257" i="10"/>
  <c r="J257" i="10"/>
  <c r="I257" i="10"/>
  <c r="H257" i="10"/>
  <c r="G257" i="10"/>
  <c r="F257" i="10"/>
  <c r="E257" i="10"/>
  <c r="D257" i="10"/>
  <c r="C257" i="10"/>
  <c r="B257" i="10"/>
  <c r="AX257" i="10"/>
  <c r="A257" i="10"/>
  <c r="AW256" i="10"/>
  <c r="AV256" i="10"/>
  <c r="AU256" i="10"/>
  <c r="AT256" i="10"/>
  <c r="AS256" i="10"/>
  <c r="AR256" i="10"/>
  <c r="AQ256" i="10"/>
  <c r="AP256" i="10"/>
  <c r="AO256" i="10"/>
  <c r="AN256" i="10"/>
  <c r="AM256" i="10"/>
  <c r="AL256" i="10"/>
  <c r="AK256" i="10"/>
  <c r="AJ256" i="10"/>
  <c r="AI256" i="10"/>
  <c r="AH256" i="10"/>
  <c r="AG256" i="10"/>
  <c r="AF256" i="10"/>
  <c r="AE256" i="10"/>
  <c r="AD256" i="10"/>
  <c r="AC256" i="10"/>
  <c r="AB256" i="10"/>
  <c r="AA256" i="10"/>
  <c r="Z256" i="10"/>
  <c r="Y256" i="10"/>
  <c r="X256" i="10"/>
  <c r="W256" i="10"/>
  <c r="V256" i="10"/>
  <c r="U256" i="10"/>
  <c r="T256" i="10"/>
  <c r="S256" i="10"/>
  <c r="R256" i="10"/>
  <c r="Q256" i="10"/>
  <c r="P256" i="10"/>
  <c r="O256" i="10"/>
  <c r="N256" i="10"/>
  <c r="M256" i="10"/>
  <c r="L256" i="10"/>
  <c r="K256" i="10"/>
  <c r="J256" i="10"/>
  <c r="I256" i="10"/>
  <c r="H256" i="10"/>
  <c r="G256" i="10"/>
  <c r="F256" i="10"/>
  <c r="E256" i="10"/>
  <c r="D256" i="10"/>
  <c r="C256" i="10"/>
  <c r="B256" i="10"/>
  <c r="AW255" i="10"/>
  <c r="AV255" i="10"/>
  <c r="AU255" i="10"/>
  <c r="AT255" i="10"/>
  <c r="AS255" i="10"/>
  <c r="AR255" i="10"/>
  <c r="AQ255" i="10"/>
  <c r="AP255" i="10"/>
  <c r="AO255" i="10"/>
  <c r="AN255" i="10"/>
  <c r="AM255" i="10"/>
  <c r="AL255" i="10"/>
  <c r="AK255" i="10"/>
  <c r="AJ255" i="10"/>
  <c r="AI255" i="10"/>
  <c r="AH255" i="10"/>
  <c r="AG255" i="10"/>
  <c r="AF255" i="10"/>
  <c r="AE255" i="10"/>
  <c r="AD255" i="10"/>
  <c r="AC255" i="10"/>
  <c r="AB255" i="10"/>
  <c r="AA255" i="10"/>
  <c r="Z255" i="10"/>
  <c r="Y255" i="10"/>
  <c r="X255" i="10"/>
  <c r="W255" i="10"/>
  <c r="V255" i="10"/>
  <c r="U255" i="10"/>
  <c r="T255" i="10"/>
  <c r="S255" i="10"/>
  <c r="R255" i="10"/>
  <c r="Q255" i="10"/>
  <c r="P255" i="10"/>
  <c r="O255" i="10"/>
  <c r="N255" i="10"/>
  <c r="M255" i="10"/>
  <c r="L255" i="10"/>
  <c r="K255" i="10"/>
  <c r="J255" i="10"/>
  <c r="I255" i="10"/>
  <c r="H255" i="10"/>
  <c r="G255" i="10"/>
  <c r="F255" i="10"/>
  <c r="E255" i="10"/>
  <c r="D255" i="10"/>
  <c r="C255" i="10"/>
  <c r="B255" i="10"/>
  <c r="A255" i="10"/>
  <c r="AW254" i="10"/>
  <c r="AV254" i="10"/>
  <c r="AU254" i="10"/>
  <c r="AT254" i="10"/>
  <c r="AS254" i="10"/>
  <c r="AR254" i="10"/>
  <c r="AQ254" i="10"/>
  <c r="AP254" i="10"/>
  <c r="AO254" i="10"/>
  <c r="AN254" i="10"/>
  <c r="AM254" i="10"/>
  <c r="AL254" i="10"/>
  <c r="AK254" i="10"/>
  <c r="AJ254" i="10"/>
  <c r="AI254" i="10"/>
  <c r="AH254" i="10"/>
  <c r="AG254" i="10"/>
  <c r="AF254" i="10"/>
  <c r="AE254" i="10"/>
  <c r="AD254" i="10"/>
  <c r="AC254" i="10"/>
  <c r="AB254" i="10"/>
  <c r="AA254" i="10"/>
  <c r="Z254" i="10"/>
  <c r="Y254" i="10"/>
  <c r="X254" i="10"/>
  <c r="W254" i="10"/>
  <c r="V254" i="10"/>
  <c r="U254" i="10"/>
  <c r="T254" i="10"/>
  <c r="S254" i="10"/>
  <c r="R254" i="10"/>
  <c r="Q254" i="10"/>
  <c r="P254" i="10"/>
  <c r="O254" i="10"/>
  <c r="N254" i="10"/>
  <c r="M254" i="10"/>
  <c r="L254" i="10"/>
  <c r="K254" i="10"/>
  <c r="J254" i="10"/>
  <c r="I254" i="10"/>
  <c r="H254" i="10"/>
  <c r="G254" i="10"/>
  <c r="F254" i="10"/>
  <c r="E254" i="10"/>
  <c r="D254" i="10"/>
  <c r="C254" i="10"/>
  <c r="B254" i="10"/>
  <c r="A254" i="10"/>
  <c r="AW253" i="10"/>
  <c r="AV253" i="10"/>
  <c r="AU253" i="10"/>
  <c r="AT253" i="10"/>
  <c r="AS253" i="10"/>
  <c r="AR253" i="10"/>
  <c r="AQ253" i="10"/>
  <c r="AP253" i="10"/>
  <c r="AO253" i="10"/>
  <c r="AN253" i="10"/>
  <c r="AM253" i="10"/>
  <c r="AL253" i="10"/>
  <c r="AK253" i="10"/>
  <c r="AJ253" i="10"/>
  <c r="AI253" i="10"/>
  <c r="AH253" i="10"/>
  <c r="AG253" i="10"/>
  <c r="AF253" i="10"/>
  <c r="AE253" i="10"/>
  <c r="AD253" i="10"/>
  <c r="AC253" i="10"/>
  <c r="AB253" i="10"/>
  <c r="AA253" i="10"/>
  <c r="Z253" i="10"/>
  <c r="Y253" i="10"/>
  <c r="X253" i="10"/>
  <c r="W253" i="10"/>
  <c r="V253" i="10"/>
  <c r="U253" i="10"/>
  <c r="T253" i="10"/>
  <c r="S253" i="10"/>
  <c r="R253" i="10"/>
  <c r="Q253" i="10"/>
  <c r="P253" i="10"/>
  <c r="O253" i="10"/>
  <c r="N253" i="10"/>
  <c r="M253" i="10"/>
  <c r="L253" i="10"/>
  <c r="K253" i="10"/>
  <c r="J253" i="10"/>
  <c r="I253" i="10"/>
  <c r="H253" i="10"/>
  <c r="G253" i="10"/>
  <c r="F253" i="10"/>
  <c r="E253" i="10"/>
  <c r="D253" i="10"/>
  <c r="C253" i="10"/>
  <c r="A253" i="10"/>
  <c r="B253" i="10"/>
  <c r="AX253" i="10"/>
  <c r="AW252" i="10"/>
  <c r="AV252" i="10"/>
  <c r="AU252" i="10"/>
  <c r="AT252" i="10"/>
  <c r="AS252" i="10"/>
  <c r="AR252" i="10"/>
  <c r="AQ252" i="10"/>
  <c r="AP252" i="10"/>
  <c r="AO252" i="10"/>
  <c r="AN252" i="10"/>
  <c r="AM252" i="10"/>
  <c r="AL252" i="10"/>
  <c r="AK252" i="10"/>
  <c r="AJ252" i="10"/>
  <c r="AI252" i="10"/>
  <c r="AH252" i="10"/>
  <c r="AG252" i="10"/>
  <c r="AF252" i="10"/>
  <c r="AE252" i="10"/>
  <c r="AD252" i="10"/>
  <c r="AC252" i="10"/>
  <c r="AB252" i="10"/>
  <c r="AA252" i="10"/>
  <c r="Z252" i="10"/>
  <c r="Y252" i="10"/>
  <c r="X252" i="10"/>
  <c r="W252" i="10"/>
  <c r="V252" i="10"/>
  <c r="U252" i="10"/>
  <c r="T252" i="10"/>
  <c r="S252" i="10"/>
  <c r="R252" i="10"/>
  <c r="Q252" i="10"/>
  <c r="P252" i="10"/>
  <c r="O252" i="10"/>
  <c r="N252" i="10"/>
  <c r="M252" i="10"/>
  <c r="L252" i="10"/>
  <c r="K252" i="10"/>
  <c r="J252" i="10"/>
  <c r="I252" i="10"/>
  <c r="H252" i="10"/>
  <c r="G252" i="10"/>
  <c r="F252" i="10"/>
  <c r="E252" i="10"/>
  <c r="D252" i="10"/>
  <c r="C252" i="10"/>
  <c r="B252" i="10"/>
  <c r="AW251" i="10"/>
  <c r="AV251" i="10"/>
  <c r="AU251" i="10"/>
  <c r="AT251" i="10"/>
  <c r="AS251" i="10"/>
  <c r="AR251" i="10"/>
  <c r="AQ251" i="10"/>
  <c r="AP251" i="10"/>
  <c r="AO251" i="10"/>
  <c r="AN251" i="10"/>
  <c r="AM251" i="10"/>
  <c r="AL251" i="10"/>
  <c r="AK251" i="10"/>
  <c r="AJ251" i="10"/>
  <c r="AI251" i="10"/>
  <c r="AH251" i="10"/>
  <c r="AG251" i="10"/>
  <c r="AF251" i="10"/>
  <c r="AE251" i="10"/>
  <c r="AD251" i="10"/>
  <c r="AC251" i="10"/>
  <c r="AB251" i="10"/>
  <c r="AA251" i="10"/>
  <c r="Z251" i="10"/>
  <c r="Y251" i="10"/>
  <c r="X251" i="10"/>
  <c r="W251" i="10"/>
  <c r="V251" i="10"/>
  <c r="U251" i="10"/>
  <c r="T251" i="10"/>
  <c r="S251" i="10"/>
  <c r="R251" i="10"/>
  <c r="Q251" i="10"/>
  <c r="P251" i="10"/>
  <c r="O251" i="10"/>
  <c r="N251" i="10"/>
  <c r="M251" i="10"/>
  <c r="L251" i="10"/>
  <c r="K251" i="10"/>
  <c r="J251" i="10"/>
  <c r="I251" i="10"/>
  <c r="H251" i="10"/>
  <c r="G251" i="10"/>
  <c r="F251" i="10"/>
  <c r="E251" i="10"/>
  <c r="D251" i="10"/>
  <c r="A251" i="10"/>
  <c r="C251" i="10"/>
  <c r="B251" i="10"/>
  <c r="AW250" i="10"/>
  <c r="AV250" i="10"/>
  <c r="AU250" i="10"/>
  <c r="AT250" i="10"/>
  <c r="AS250" i="10"/>
  <c r="AR250" i="10"/>
  <c r="AQ250" i="10"/>
  <c r="AP250" i="10"/>
  <c r="AO250" i="10"/>
  <c r="AN250" i="10"/>
  <c r="AM250" i="10"/>
  <c r="AL250" i="10"/>
  <c r="AK250" i="10"/>
  <c r="AJ250" i="10"/>
  <c r="AI250" i="10"/>
  <c r="AH250" i="10"/>
  <c r="AG250" i="10"/>
  <c r="AF250" i="10"/>
  <c r="AE250" i="10"/>
  <c r="AD250" i="10"/>
  <c r="AC250" i="10"/>
  <c r="AB250" i="10"/>
  <c r="AA250" i="10"/>
  <c r="Z250" i="10"/>
  <c r="Y250" i="10"/>
  <c r="X250" i="10"/>
  <c r="W250" i="10"/>
  <c r="V250" i="10"/>
  <c r="U250" i="10"/>
  <c r="T250" i="10"/>
  <c r="S250" i="10"/>
  <c r="R250" i="10"/>
  <c r="Q250" i="10"/>
  <c r="P250" i="10"/>
  <c r="O250" i="10"/>
  <c r="N250" i="10"/>
  <c r="M250" i="10"/>
  <c r="L250" i="10"/>
  <c r="K250" i="10"/>
  <c r="J250" i="10"/>
  <c r="I250" i="10"/>
  <c r="H250" i="10"/>
  <c r="G250" i="10"/>
  <c r="F250" i="10"/>
  <c r="E250" i="10"/>
  <c r="D250" i="10"/>
  <c r="C250" i="10"/>
  <c r="B250" i="10"/>
  <c r="AX250" i="10"/>
  <c r="AW249" i="10"/>
  <c r="AV249" i="10"/>
  <c r="AU249" i="10"/>
  <c r="AT249" i="10"/>
  <c r="AS249" i="10"/>
  <c r="AR249" i="10"/>
  <c r="AQ249" i="10"/>
  <c r="AP249" i="10"/>
  <c r="AO249" i="10"/>
  <c r="AN249" i="10"/>
  <c r="AM249" i="10"/>
  <c r="AL249" i="10"/>
  <c r="AK249" i="10"/>
  <c r="AJ249" i="10"/>
  <c r="AI249" i="10"/>
  <c r="AH249" i="10"/>
  <c r="AG249" i="10"/>
  <c r="AF249" i="10"/>
  <c r="AE249" i="10"/>
  <c r="AD249" i="10"/>
  <c r="AC249" i="10"/>
  <c r="AB249" i="10"/>
  <c r="AA249" i="10"/>
  <c r="Z249" i="10"/>
  <c r="Y249" i="10"/>
  <c r="X249" i="10"/>
  <c r="W249" i="10"/>
  <c r="V249" i="10"/>
  <c r="U249" i="10"/>
  <c r="T249" i="10"/>
  <c r="S249" i="10"/>
  <c r="R249" i="10"/>
  <c r="Q249" i="10"/>
  <c r="P249" i="10"/>
  <c r="O249" i="10"/>
  <c r="N249" i="10"/>
  <c r="M249" i="10"/>
  <c r="L249" i="10"/>
  <c r="K249" i="10"/>
  <c r="J249" i="10"/>
  <c r="I249" i="10"/>
  <c r="H249" i="10"/>
  <c r="G249" i="10"/>
  <c r="F249" i="10"/>
  <c r="E249" i="10"/>
  <c r="D249" i="10"/>
  <c r="C249" i="10"/>
  <c r="B249" i="10"/>
  <c r="AW248" i="10"/>
  <c r="AV248" i="10"/>
  <c r="AU248" i="10"/>
  <c r="AT248" i="10"/>
  <c r="AS248" i="10"/>
  <c r="AR248" i="10"/>
  <c r="AQ248" i="10"/>
  <c r="AP248" i="10"/>
  <c r="AO248" i="10"/>
  <c r="AN248" i="10"/>
  <c r="AM248" i="10"/>
  <c r="AL248" i="10"/>
  <c r="AK248" i="10"/>
  <c r="AJ248" i="10"/>
  <c r="AI248" i="10"/>
  <c r="AH248" i="10"/>
  <c r="AG248" i="10"/>
  <c r="AF248" i="10"/>
  <c r="AE248" i="10"/>
  <c r="AD248" i="10"/>
  <c r="AC248" i="10"/>
  <c r="AB248" i="10"/>
  <c r="AA248" i="10"/>
  <c r="Z248" i="10"/>
  <c r="Y248" i="10"/>
  <c r="X248" i="10"/>
  <c r="W248" i="10"/>
  <c r="V248" i="10"/>
  <c r="U248" i="10"/>
  <c r="T248" i="10"/>
  <c r="S248" i="10"/>
  <c r="R248" i="10"/>
  <c r="Q248" i="10"/>
  <c r="P248" i="10"/>
  <c r="O248" i="10"/>
  <c r="N248" i="10"/>
  <c r="M248" i="10"/>
  <c r="L248" i="10"/>
  <c r="K248" i="10"/>
  <c r="J248" i="10"/>
  <c r="I248" i="10"/>
  <c r="H248" i="10"/>
  <c r="G248" i="10"/>
  <c r="F248" i="10"/>
  <c r="E248" i="10"/>
  <c r="D248" i="10"/>
  <c r="C248" i="10"/>
  <c r="B248" i="10"/>
  <c r="AX248" i="10"/>
  <c r="A248" i="10"/>
  <c r="AW247" i="10"/>
  <c r="AV247" i="10"/>
  <c r="AU247" i="10"/>
  <c r="AT247" i="10"/>
  <c r="AS247" i="10"/>
  <c r="AR247" i="10"/>
  <c r="AQ247" i="10"/>
  <c r="AP247" i="10"/>
  <c r="AO247" i="10"/>
  <c r="AN247" i="10"/>
  <c r="AM247" i="10"/>
  <c r="AL247" i="10"/>
  <c r="AK247" i="10"/>
  <c r="AJ247" i="10"/>
  <c r="AI247" i="10"/>
  <c r="AH247" i="10"/>
  <c r="AG247" i="10"/>
  <c r="AF247" i="10"/>
  <c r="AE247" i="10"/>
  <c r="AD247" i="10"/>
  <c r="AC247" i="10"/>
  <c r="AB247" i="10"/>
  <c r="AA247" i="10"/>
  <c r="Z247" i="10"/>
  <c r="Y247" i="10"/>
  <c r="X247" i="10"/>
  <c r="W247" i="10"/>
  <c r="V247" i="10"/>
  <c r="U247" i="10"/>
  <c r="T247" i="10"/>
  <c r="S247" i="10"/>
  <c r="R247" i="10"/>
  <c r="Q247" i="10"/>
  <c r="P247" i="10"/>
  <c r="O247" i="10"/>
  <c r="N247" i="10"/>
  <c r="M247" i="10"/>
  <c r="L247" i="10"/>
  <c r="K247" i="10"/>
  <c r="J247" i="10"/>
  <c r="I247" i="10"/>
  <c r="H247" i="10"/>
  <c r="G247" i="10"/>
  <c r="F247" i="10"/>
  <c r="E247" i="10"/>
  <c r="D247" i="10"/>
  <c r="C247" i="10"/>
  <c r="B247" i="10"/>
  <c r="AW246" i="10"/>
  <c r="AV246" i="10"/>
  <c r="AU246" i="10"/>
  <c r="AT246" i="10"/>
  <c r="AS246" i="10"/>
  <c r="AR246" i="10"/>
  <c r="AQ246" i="10"/>
  <c r="AP246" i="10"/>
  <c r="AO246" i="10"/>
  <c r="AN246" i="10"/>
  <c r="AM246" i="10"/>
  <c r="AL246" i="10"/>
  <c r="AK246" i="10"/>
  <c r="AJ246" i="10"/>
  <c r="AI246" i="10"/>
  <c r="AH246" i="10"/>
  <c r="AG246" i="10"/>
  <c r="AF246" i="10"/>
  <c r="AE246" i="10"/>
  <c r="AD246" i="10"/>
  <c r="AC246" i="10"/>
  <c r="AB246" i="10"/>
  <c r="AA246" i="10"/>
  <c r="Z246" i="10"/>
  <c r="Y246" i="10"/>
  <c r="X246" i="10"/>
  <c r="W246" i="10"/>
  <c r="V246" i="10"/>
  <c r="U246" i="10"/>
  <c r="T246" i="10"/>
  <c r="S246" i="10"/>
  <c r="R246" i="10"/>
  <c r="Q246" i="10"/>
  <c r="P246" i="10"/>
  <c r="O246" i="10"/>
  <c r="N246" i="10"/>
  <c r="M246" i="10"/>
  <c r="L246" i="10"/>
  <c r="K246" i="10"/>
  <c r="J246" i="10"/>
  <c r="I246" i="10"/>
  <c r="H246" i="10"/>
  <c r="G246" i="10"/>
  <c r="F246" i="10"/>
  <c r="E246" i="10"/>
  <c r="D246" i="10"/>
  <c r="C246" i="10"/>
  <c r="B246" i="10"/>
  <c r="A246" i="10"/>
  <c r="AW245" i="10"/>
  <c r="AV245" i="10"/>
  <c r="AU245" i="10"/>
  <c r="AT245" i="10"/>
  <c r="AS245" i="10"/>
  <c r="AR245" i="10"/>
  <c r="AQ245" i="10"/>
  <c r="AP245" i="10"/>
  <c r="AO245" i="10"/>
  <c r="AN245" i="10"/>
  <c r="AM245" i="10"/>
  <c r="AL245" i="10"/>
  <c r="AK245" i="10"/>
  <c r="AJ245" i="10"/>
  <c r="AI245" i="10"/>
  <c r="AH245" i="10"/>
  <c r="AG245" i="10"/>
  <c r="AF245" i="10"/>
  <c r="AE245" i="10"/>
  <c r="AD245" i="10"/>
  <c r="AC245" i="10"/>
  <c r="AB245" i="10"/>
  <c r="AA245" i="10"/>
  <c r="Z245" i="10"/>
  <c r="Y245" i="10"/>
  <c r="X245" i="10"/>
  <c r="W245" i="10"/>
  <c r="V245" i="10"/>
  <c r="U245" i="10"/>
  <c r="T245" i="10"/>
  <c r="S245" i="10"/>
  <c r="R245" i="10"/>
  <c r="Q245" i="10"/>
  <c r="P245" i="10"/>
  <c r="O245" i="10"/>
  <c r="N245" i="10"/>
  <c r="M245" i="10"/>
  <c r="L245" i="10"/>
  <c r="K245" i="10"/>
  <c r="J245" i="10"/>
  <c r="I245" i="10"/>
  <c r="H245" i="10"/>
  <c r="G245" i="10"/>
  <c r="F245" i="10"/>
  <c r="E245" i="10"/>
  <c r="D245" i="10"/>
  <c r="C245" i="10"/>
  <c r="B245" i="10"/>
  <c r="A245" i="10"/>
  <c r="AW244" i="10"/>
  <c r="AV244" i="10"/>
  <c r="AU244" i="10"/>
  <c r="AT244" i="10"/>
  <c r="AS244" i="10"/>
  <c r="AR244" i="10"/>
  <c r="AQ244" i="10"/>
  <c r="AP244" i="10"/>
  <c r="AO244" i="10"/>
  <c r="AN244" i="10"/>
  <c r="AM244" i="10"/>
  <c r="AL244" i="10"/>
  <c r="AK244" i="10"/>
  <c r="AJ244" i="10"/>
  <c r="AI244" i="10"/>
  <c r="AH244" i="10"/>
  <c r="AG244" i="10"/>
  <c r="AF244" i="10"/>
  <c r="AE244" i="10"/>
  <c r="AD244" i="10"/>
  <c r="AC244" i="10"/>
  <c r="AB244" i="10"/>
  <c r="AA244" i="10"/>
  <c r="Z244" i="10"/>
  <c r="Y244" i="10"/>
  <c r="X244" i="10"/>
  <c r="W244" i="10"/>
  <c r="V244" i="10"/>
  <c r="U244" i="10"/>
  <c r="T244" i="10"/>
  <c r="S244" i="10"/>
  <c r="R244" i="10"/>
  <c r="Q244" i="10"/>
  <c r="P244" i="10"/>
  <c r="O244" i="10"/>
  <c r="N244" i="10"/>
  <c r="M244" i="10"/>
  <c r="L244" i="10"/>
  <c r="K244" i="10"/>
  <c r="J244" i="10"/>
  <c r="I244" i="10"/>
  <c r="H244" i="10"/>
  <c r="G244" i="10"/>
  <c r="F244" i="10"/>
  <c r="E244" i="10"/>
  <c r="D244" i="10"/>
  <c r="C244" i="10"/>
  <c r="A244" i="10"/>
  <c r="B244" i="10"/>
  <c r="AX244" i="10"/>
  <c r="AW243" i="10"/>
  <c r="AV243" i="10"/>
  <c r="AU243" i="10"/>
  <c r="AT243" i="10"/>
  <c r="AS243" i="10"/>
  <c r="AR243" i="10"/>
  <c r="AQ243" i="10"/>
  <c r="AP243" i="10"/>
  <c r="AO243" i="10"/>
  <c r="AN243" i="10"/>
  <c r="AM243" i="10"/>
  <c r="AL243" i="10"/>
  <c r="AK243" i="10"/>
  <c r="AJ243" i="10"/>
  <c r="AI243" i="10"/>
  <c r="AH243" i="10"/>
  <c r="AG243" i="10"/>
  <c r="AF243" i="10"/>
  <c r="AE243" i="10"/>
  <c r="AD243" i="10"/>
  <c r="AC243" i="10"/>
  <c r="AB243" i="10"/>
  <c r="AA243" i="10"/>
  <c r="Z243" i="10"/>
  <c r="Y243" i="10"/>
  <c r="X243" i="10"/>
  <c r="W243" i="10"/>
  <c r="V243" i="10"/>
  <c r="U243" i="10"/>
  <c r="T243" i="10"/>
  <c r="S243" i="10"/>
  <c r="R243" i="10"/>
  <c r="Q243" i="10"/>
  <c r="P243" i="10"/>
  <c r="O243" i="10"/>
  <c r="N243" i="10"/>
  <c r="M243" i="10"/>
  <c r="L243" i="10"/>
  <c r="K243" i="10"/>
  <c r="J243" i="10"/>
  <c r="I243" i="10"/>
  <c r="H243" i="10"/>
  <c r="G243" i="10"/>
  <c r="F243" i="10"/>
  <c r="E243" i="10"/>
  <c r="D243" i="10"/>
  <c r="C243" i="10"/>
  <c r="B243" i="10"/>
  <c r="AW242" i="10"/>
  <c r="AV242" i="10"/>
  <c r="AU242" i="10"/>
  <c r="AT242" i="10"/>
  <c r="AS242" i="10"/>
  <c r="AR242" i="10"/>
  <c r="AQ242" i="10"/>
  <c r="AP242" i="10"/>
  <c r="AO242" i="10"/>
  <c r="AN242" i="10"/>
  <c r="AM242" i="10"/>
  <c r="AL242" i="10"/>
  <c r="AK242" i="10"/>
  <c r="AJ242" i="10"/>
  <c r="AI242" i="10"/>
  <c r="AH242" i="10"/>
  <c r="AG242" i="10"/>
  <c r="AF242" i="10"/>
  <c r="AE242" i="10"/>
  <c r="AD242" i="10"/>
  <c r="AC242" i="10"/>
  <c r="AB242" i="10"/>
  <c r="AA242" i="10"/>
  <c r="Z242" i="10"/>
  <c r="Y242" i="10"/>
  <c r="X242" i="10"/>
  <c r="W242" i="10"/>
  <c r="V242" i="10"/>
  <c r="U242" i="10"/>
  <c r="T242" i="10"/>
  <c r="S242" i="10"/>
  <c r="R242" i="10"/>
  <c r="Q242" i="10"/>
  <c r="P242" i="10"/>
  <c r="O242" i="10"/>
  <c r="N242" i="10"/>
  <c r="M242" i="10"/>
  <c r="L242" i="10"/>
  <c r="K242" i="10"/>
  <c r="J242" i="10"/>
  <c r="I242" i="10"/>
  <c r="H242" i="10"/>
  <c r="G242" i="10"/>
  <c r="F242" i="10"/>
  <c r="E242" i="10"/>
  <c r="D242" i="10"/>
  <c r="A242" i="10"/>
  <c r="C242" i="10"/>
  <c r="B242" i="10"/>
  <c r="AW241" i="10"/>
  <c r="AV241" i="10"/>
  <c r="AU241" i="10"/>
  <c r="AT241" i="10"/>
  <c r="AS241" i="10"/>
  <c r="AR241" i="10"/>
  <c r="AQ241" i="10"/>
  <c r="AP241" i="10"/>
  <c r="AO241" i="10"/>
  <c r="AN241" i="10"/>
  <c r="AM241" i="10"/>
  <c r="AL241" i="10"/>
  <c r="AK241" i="10"/>
  <c r="AJ241" i="10"/>
  <c r="AI241" i="10"/>
  <c r="AH241" i="10"/>
  <c r="AG241" i="10"/>
  <c r="AF241" i="10"/>
  <c r="AE241" i="10"/>
  <c r="AD241" i="10"/>
  <c r="AC241" i="10"/>
  <c r="AB241" i="10"/>
  <c r="AA241" i="10"/>
  <c r="Z241" i="10"/>
  <c r="Y241" i="10"/>
  <c r="X241" i="10"/>
  <c r="W241" i="10"/>
  <c r="V241" i="10"/>
  <c r="U241" i="10"/>
  <c r="T241" i="10"/>
  <c r="S241" i="10"/>
  <c r="R241" i="10"/>
  <c r="Q241" i="10"/>
  <c r="P241" i="10"/>
  <c r="O241" i="10"/>
  <c r="N241" i="10"/>
  <c r="M241" i="10"/>
  <c r="L241" i="10"/>
  <c r="K241" i="10"/>
  <c r="J241" i="10"/>
  <c r="I241" i="10"/>
  <c r="H241" i="10"/>
  <c r="G241" i="10"/>
  <c r="F241" i="10"/>
  <c r="E241" i="10"/>
  <c r="D241" i="10"/>
  <c r="C241" i="10"/>
  <c r="B241" i="10"/>
  <c r="AX241" i="10"/>
  <c r="AW240" i="10"/>
  <c r="AV240" i="10"/>
  <c r="AU240" i="10"/>
  <c r="AT240" i="10"/>
  <c r="AS240" i="10"/>
  <c r="AR240" i="10"/>
  <c r="AQ240" i="10"/>
  <c r="AP240" i="10"/>
  <c r="AO240" i="10"/>
  <c r="AN240" i="10"/>
  <c r="AM240" i="10"/>
  <c r="AL240" i="10"/>
  <c r="AK240" i="10"/>
  <c r="AJ240" i="10"/>
  <c r="AI240" i="10"/>
  <c r="AH240" i="10"/>
  <c r="AG240" i="10"/>
  <c r="AF240" i="10"/>
  <c r="AE240" i="10"/>
  <c r="AD240" i="10"/>
  <c r="AC240" i="10"/>
  <c r="AB240" i="10"/>
  <c r="AA240" i="10"/>
  <c r="Z240" i="10"/>
  <c r="Y240" i="10"/>
  <c r="X240" i="10"/>
  <c r="W240" i="10"/>
  <c r="V240" i="10"/>
  <c r="U240" i="10"/>
  <c r="T240" i="10"/>
  <c r="S240" i="10"/>
  <c r="R240" i="10"/>
  <c r="Q240" i="10"/>
  <c r="P240" i="10"/>
  <c r="O240" i="10"/>
  <c r="N240" i="10"/>
  <c r="M240" i="10"/>
  <c r="L240" i="10"/>
  <c r="K240" i="10"/>
  <c r="J240" i="10"/>
  <c r="I240" i="10"/>
  <c r="H240" i="10"/>
  <c r="G240" i="10"/>
  <c r="F240" i="10"/>
  <c r="E240" i="10"/>
  <c r="D240" i="10"/>
  <c r="C240" i="10"/>
  <c r="B240" i="10"/>
  <c r="AW239" i="10"/>
  <c r="AV239" i="10"/>
  <c r="AU239" i="10"/>
  <c r="AT239" i="10"/>
  <c r="AS239" i="10"/>
  <c r="AR239" i="10"/>
  <c r="AQ239" i="10"/>
  <c r="AP239" i="10"/>
  <c r="AO239" i="10"/>
  <c r="AN239" i="10"/>
  <c r="AM239" i="10"/>
  <c r="AL239" i="10"/>
  <c r="AK239" i="10"/>
  <c r="AJ239" i="10"/>
  <c r="AI239" i="10"/>
  <c r="AH239" i="10"/>
  <c r="AG239" i="10"/>
  <c r="AF239" i="10"/>
  <c r="AE239" i="10"/>
  <c r="AD239" i="10"/>
  <c r="AC239" i="10"/>
  <c r="AB239" i="10"/>
  <c r="AA239" i="10"/>
  <c r="Z239" i="10"/>
  <c r="Y239" i="10"/>
  <c r="X239" i="10"/>
  <c r="W239" i="10"/>
  <c r="V239" i="10"/>
  <c r="U239" i="10"/>
  <c r="T239" i="10"/>
  <c r="S239" i="10"/>
  <c r="R239" i="10"/>
  <c r="Q239" i="10"/>
  <c r="P239" i="10"/>
  <c r="O239" i="10"/>
  <c r="N239" i="10"/>
  <c r="M239" i="10"/>
  <c r="L239" i="10"/>
  <c r="K239" i="10"/>
  <c r="J239" i="10"/>
  <c r="I239" i="10"/>
  <c r="H239" i="10"/>
  <c r="G239" i="10"/>
  <c r="F239" i="10"/>
  <c r="E239" i="10"/>
  <c r="D239" i="10"/>
  <c r="C239" i="10"/>
  <c r="B239" i="10"/>
  <c r="AX239" i="10"/>
  <c r="A239" i="10"/>
  <c r="AW238" i="10"/>
  <c r="AV238" i="10"/>
  <c r="AU238" i="10"/>
  <c r="AT238" i="10"/>
  <c r="AS238" i="10"/>
  <c r="AR238" i="10"/>
  <c r="AQ238" i="10"/>
  <c r="AP238" i="10"/>
  <c r="AO238" i="10"/>
  <c r="AN238" i="10"/>
  <c r="AM238" i="10"/>
  <c r="AL238" i="10"/>
  <c r="AK238" i="10"/>
  <c r="AJ238" i="10"/>
  <c r="AI238" i="10"/>
  <c r="AH238" i="10"/>
  <c r="AG238" i="10"/>
  <c r="AF238" i="10"/>
  <c r="AE238" i="10"/>
  <c r="AD238" i="10"/>
  <c r="AC238" i="10"/>
  <c r="AB238" i="10"/>
  <c r="AA238" i="10"/>
  <c r="Z238" i="10"/>
  <c r="Y238" i="10"/>
  <c r="X238" i="10"/>
  <c r="W238" i="10"/>
  <c r="V238" i="10"/>
  <c r="U238" i="10"/>
  <c r="T238" i="10"/>
  <c r="S238" i="10"/>
  <c r="R238" i="10"/>
  <c r="Q238" i="10"/>
  <c r="P238" i="10"/>
  <c r="O238" i="10"/>
  <c r="N238" i="10"/>
  <c r="M238" i="10"/>
  <c r="L238" i="10"/>
  <c r="K238" i="10"/>
  <c r="J238" i="10"/>
  <c r="I238" i="10"/>
  <c r="H238" i="10"/>
  <c r="G238" i="10"/>
  <c r="F238" i="10"/>
  <c r="E238" i="10"/>
  <c r="D238" i="10"/>
  <c r="C238" i="10"/>
  <c r="B238" i="10"/>
  <c r="AW237" i="10"/>
  <c r="AV237" i="10"/>
  <c r="AU237" i="10"/>
  <c r="AT237" i="10"/>
  <c r="AS237" i="10"/>
  <c r="AR237" i="10"/>
  <c r="AQ237" i="10"/>
  <c r="AP237" i="10"/>
  <c r="AO237" i="10"/>
  <c r="AN237" i="10"/>
  <c r="AM237" i="10"/>
  <c r="AL237" i="10"/>
  <c r="AK237" i="10"/>
  <c r="AJ237" i="10"/>
  <c r="AI237" i="10"/>
  <c r="AH237" i="10"/>
  <c r="AG237" i="10"/>
  <c r="AF237" i="10"/>
  <c r="AE237" i="10"/>
  <c r="AD237" i="10"/>
  <c r="AC237" i="10"/>
  <c r="AB237" i="10"/>
  <c r="AA237" i="10"/>
  <c r="Z237" i="10"/>
  <c r="Y237" i="10"/>
  <c r="X237" i="10"/>
  <c r="W237" i="10"/>
  <c r="V237" i="10"/>
  <c r="U237" i="10"/>
  <c r="T237" i="10"/>
  <c r="S237" i="10"/>
  <c r="R237" i="10"/>
  <c r="Q237" i="10"/>
  <c r="P237" i="10"/>
  <c r="O237" i="10"/>
  <c r="N237" i="10"/>
  <c r="M237" i="10"/>
  <c r="L237" i="10"/>
  <c r="K237" i="10"/>
  <c r="J237" i="10"/>
  <c r="I237" i="10"/>
  <c r="H237" i="10"/>
  <c r="G237" i="10"/>
  <c r="F237" i="10"/>
  <c r="E237" i="10"/>
  <c r="D237" i="10"/>
  <c r="C237" i="10"/>
  <c r="B237" i="10"/>
  <c r="A237" i="10"/>
  <c r="AW236" i="10"/>
  <c r="AV236" i="10"/>
  <c r="AU236" i="10"/>
  <c r="AT236" i="10"/>
  <c r="AS236" i="10"/>
  <c r="AR236" i="10"/>
  <c r="AQ236" i="10"/>
  <c r="AP236" i="10"/>
  <c r="AO236" i="10"/>
  <c r="AN236" i="10"/>
  <c r="AM236" i="10"/>
  <c r="AL236" i="10"/>
  <c r="AK236" i="10"/>
  <c r="AJ236" i="10"/>
  <c r="AI236" i="10"/>
  <c r="AH236" i="10"/>
  <c r="AG236" i="10"/>
  <c r="AF236" i="10"/>
  <c r="AE236" i="10"/>
  <c r="AD236" i="10"/>
  <c r="AC236" i="10"/>
  <c r="AB236" i="10"/>
  <c r="AA236" i="10"/>
  <c r="Z236" i="10"/>
  <c r="Y236" i="10"/>
  <c r="X236" i="10"/>
  <c r="W236" i="10"/>
  <c r="V236" i="10"/>
  <c r="U236" i="10"/>
  <c r="T236" i="10"/>
  <c r="S236" i="10"/>
  <c r="R236" i="10"/>
  <c r="Q236" i="10"/>
  <c r="P236" i="10"/>
  <c r="O236" i="10"/>
  <c r="N236" i="10"/>
  <c r="M236" i="10"/>
  <c r="L236" i="10"/>
  <c r="K236" i="10"/>
  <c r="J236" i="10"/>
  <c r="I236" i="10"/>
  <c r="H236" i="10"/>
  <c r="G236" i="10"/>
  <c r="F236" i="10"/>
  <c r="E236" i="10"/>
  <c r="D236" i="10"/>
  <c r="C236" i="10"/>
  <c r="B236" i="10"/>
  <c r="A236" i="10"/>
  <c r="AW235" i="10"/>
  <c r="AV235" i="10"/>
  <c r="AU235" i="10"/>
  <c r="AT235" i="10"/>
  <c r="AS235" i="10"/>
  <c r="AR235" i="10"/>
  <c r="AQ235" i="10"/>
  <c r="AP235" i="10"/>
  <c r="AO235" i="10"/>
  <c r="AN235" i="10"/>
  <c r="AM235" i="10"/>
  <c r="AL235" i="10"/>
  <c r="AK235" i="10"/>
  <c r="AJ235" i="10"/>
  <c r="AI235" i="10"/>
  <c r="AH235" i="10"/>
  <c r="AG235" i="10"/>
  <c r="AF235" i="10"/>
  <c r="AE235" i="10"/>
  <c r="AD235" i="10"/>
  <c r="AC235" i="10"/>
  <c r="AB235" i="10"/>
  <c r="AA235" i="10"/>
  <c r="Z235" i="10"/>
  <c r="Y235" i="10"/>
  <c r="X235" i="10"/>
  <c r="W235" i="10"/>
  <c r="V235" i="10"/>
  <c r="U235" i="10"/>
  <c r="T235" i="10"/>
  <c r="S235" i="10"/>
  <c r="R235" i="10"/>
  <c r="Q235" i="10"/>
  <c r="P235" i="10"/>
  <c r="O235" i="10"/>
  <c r="N235" i="10"/>
  <c r="M235" i="10"/>
  <c r="L235" i="10"/>
  <c r="K235" i="10"/>
  <c r="J235" i="10"/>
  <c r="I235" i="10"/>
  <c r="H235" i="10"/>
  <c r="G235" i="10"/>
  <c r="F235" i="10"/>
  <c r="E235" i="10"/>
  <c r="D235" i="10"/>
  <c r="C235" i="10"/>
  <c r="A235" i="10"/>
  <c r="B235" i="10"/>
  <c r="AX235" i="10"/>
  <c r="AW234" i="10"/>
  <c r="AV234" i="10"/>
  <c r="AU234" i="10"/>
  <c r="AT234" i="10"/>
  <c r="AS234" i="10"/>
  <c r="AR234" i="10"/>
  <c r="AQ234" i="10"/>
  <c r="AP234" i="10"/>
  <c r="AO234" i="10"/>
  <c r="AN234" i="10"/>
  <c r="AM234" i="10"/>
  <c r="AL234" i="10"/>
  <c r="AK234" i="10"/>
  <c r="AJ234" i="10"/>
  <c r="AI234" i="10"/>
  <c r="AH234" i="10"/>
  <c r="AG234" i="10"/>
  <c r="AF234" i="10"/>
  <c r="AE234" i="10"/>
  <c r="AD234" i="10"/>
  <c r="AC234" i="10"/>
  <c r="AB234" i="10"/>
  <c r="AA234" i="10"/>
  <c r="Z234" i="10"/>
  <c r="Y234" i="10"/>
  <c r="X234" i="10"/>
  <c r="W234" i="10"/>
  <c r="V234" i="10"/>
  <c r="U234" i="10"/>
  <c r="T234" i="10"/>
  <c r="S234" i="10"/>
  <c r="R234" i="10"/>
  <c r="Q234" i="10"/>
  <c r="P234" i="10"/>
  <c r="O234" i="10"/>
  <c r="N234" i="10"/>
  <c r="M234" i="10"/>
  <c r="L234" i="10"/>
  <c r="K234" i="10"/>
  <c r="J234" i="10"/>
  <c r="I234" i="10"/>
  <c r="H234" i="10"/>
  <c r="G234" i="10"/>
  <c r="F234" i="10"/>
  <c r="E234" i="10"/>
  <c r="D234" i="10"/>
  <c r="C234" i="10"/>
  <c r="B234" i="10"/>
  <c r="AW233" i="10"/>
  <c r="AV233" i="10"/>
  <c r="AU233" i="10"/>
  <c r="AT233" i="10"/>
  <c r="AS233" i="10"/>
  <c r="AR233" i="10"/>
  <c r="AQ233" i="10"/>
  <c r="AP233" i="10"/>
  <c r="AO233" i="10"/>
  <c r="AN233" i="10"/>
  <c r="AM233" i="10"/>
  <c r="AL233" i="10"/>
  <c r="AK233" i="10"/>
  <c r="AJ233" i="10"/>
  <c r="AI233" i="10"/>
  <c r="AH233" i="10"/>
  <c r="AG233" i="10"/>
  <c r="AF233" i="10"/>
  <c r="AE233" i="10"/>
  <c r="AD233" i="10"/>
  <c r="AC233" i="10"/>
  <c r="AB233" i="10"/>
  <c r="AA233" i="10"/>
  <c r="Z233" i="10"/>
  <c r="Y233" i="10"/>
  <c r="X233" i="10"/>
  <c r="W233" i="10"/>
  <c r="V233" i="10"/>
  <c r="U233" i="10"/>
  <c r="T233" i="10"/>
  <c r="S233" i="10"/>
  <c r="R233" i="10"/>
  <c r="Q233" i="10"/>
  <c r="P233" i="10"/>
  <c r="O233" i="10"/>
  <c r="N233" i="10"/>
  <c r="M233" i="10"/>
  <c r="L233" i="10"/>
  <c r="K233" i="10"/>
  <c r="J233" i="10"/>
  <c r="I233" i="10"/>
  <c r="H233" i="10"/>
  <c r="G233" i="10"/>
  <c r="F233" i="10"/>
  <c r="E233" i="10"/>
  <c r="D233" i="10"/>
  <c r="A233" i="10"/>
  <c r="C233" i="10"/>
  <c r="B233" i="10"/>
  <c r="AW232" i="10"/>
  <c r="AV232" i="10"/>
  <c r="AU232" i="10"/>
  <c r="AT232" i="10"/>
  <c r="AS232" i="10"/>
  <c r="AR232" i="10"/>
  <c r="AQ232" i="10"/>
  <c r="AP232" i="10"/>
  <c r="AO232" i="10"/>
  <c r="AN232" i="10"/>
  <c r="AM232" i="10"/>
  <c r="AL232" i="10"/>
  <c r="AK232" i="10"/>
  <c r="AJ232" i="10"/>
  <c r="AI232" i="10"/>
  <c r="AH232" i="10"/>
  <c r="AG232" i="10"/>
  <c r="AF232" i="10"/>
  <c r="AE232" i="10"/>
  <c r="AD232" i="10"/>
  <c r="AC232" i="10"/>
  <c r="AB232" i="10"/>
  <c r="AA232" i="10"/>
  <c r="Z232" i="10"/>
  <c r="Y232" i="10"/>
  <c r="X232" i="10"/>
  <c r="W232" i="10"/>
  <c r="V232" i="10"/>
  <c r="U232" i="10"/>
  <c r="T232" i="10"/>
  <c r="S232" i="10"/>
  <c r="R232" i="10"/>
  <c r="Q232" i="10"/>
  <c r="P232" i="10"/>
  <c r="O232" i="10"/>
  <c r="N232" i="10"/>
  <c r="M232" i="10"/>
  <c r="L232" i="10"/>
  <c r="K232" i="10"/>
  <c r="J232" i="10"/>
  <c r="I232" i="10"/>
  <c r="H232" i="10"/>
  <c r="G232" i="10"/>
  <c r="F232" i="10"/>
  <c r="E232" i="10"/>
  <c r="D232" i="10"/>
  <c r="C232" i="10"/>
  <c r="B232" i="10"/>
  <c r="AX232" i="10"/>
  <c r="AW231" i="10"/>
  <c r="AV231" i="10"/>
  <c r="AU231" i="10"/>
  <c r="AT231" i="10"/>
  <c r="AS231" i="10"/>
  <c r="AR231" i="10"/>
  <c r="AQ231" i="10"/>
  <c r="AP231" i="10"/>
  <c r="AO231" i="10"/>
  <c r="AN231" i="10"/>
  <c r="AM231" i="10"/>
  <c r="AL231" i="10"/>
  <c r="AK231" i="10"/>
  <c r="AJ231" i="10"/>
  <c r="AI231" i="10"/>
  <c r="AH231" i="10"/>
  <c r="AG231" i="10"/>
  <c r="AF231" i="10"/>
  <c r="AE231" i="10"/>
  <c r="AD231" i="10"/>
  <c r="AC231" i="10"/>
  <c r="AB231" i="10"/>
  <c r="AA231" i="10"/>
  <c r="Z231" i="10"/>
  <c r="Y231" i="10"/>
  <c r="X231" i="10"/>
  <c r="W231" i="10"/>
  <c r="V231" i="10"/>
  <c r="U231" i="10"/>
  <c r="T231" i="10"/>
  <c r="S231" i="10"/>
  <c r="R231" i="10"/>
  <c r="Q231" i="10"/>
  <c r="P231" i="10"/>
  <c r="O231" i="10"/>
  <c r="N231" i="10"/>
  <c r="M231" i="10"/>
  <c r="L231" i="10"/>
  <c r="K231" i="10"/>
  <c r="J231" i="10"/>
  <c r="I231" i="10"/>
  <c r="H231" i="10"/>
  <c r="G231" i="10"/>
  <c r="F231" i="10"/>
  <c r="E231" i="10"/>
  <c r="D231" i="10"/>
  <c r="C231" i="10"/>
  <c r="B231" i="10"/>
  <c r="AW230" i="10"/>
  <c r="AV230" i="10"/>
  <c r="AU230" i="10"/>
  <c r="AT230" i="10"/>
  <c r="AS230" i="10"/>
  <c r="AR230" i="10"/>
  <c r="AQ230" i="10"/>
  <c r="AP230" i="10"/>
  <c r="AO230" i="10"/>
  <c r="AN230" i="10"/>
  <c r="AM230" i="10"/>
  <c r="AL230" i="10"/>
  <c r="AK230" i="10"/>
  <c r="AJ230" i="10"/>
  <c r="AI230" i="10"/>
  <c r="AH230" i="10"/>
  <c r="AG230" i="10"/>
  <c r="AF230" i="10"/>
  <c r="AE230" i="10"/>
  <c r="AD230" i="10"/>
  <c r="AC230" i="10"/>
  <c r="AB230" i="10"/>
  <c r="AA230" i="10"/>
  <c r="Z230" i="10"/>
  <c r="Y230" i="10"/>
  <c r="X230" i="10"/>
  <c r="W230" i="10"/>
  <c r="V230" i="10"/>
  <c r="U230" i="10"/>
  <c r="T230" i="10"/>
  <c r="S230" i="10"/>
  <c r="R230" i="10"/>
  <c r="Q230" i="10"/>
  <c r="P230" i="10"/>
  <c r="O230" i="10"/>
  <c r="N230" i="10"/>
  <c r="M230" i="10"/>
  <c r="L230" i="10"/>
  <c r="K230" i="10"/>
  <c r="J230" i="10"/>
  <c r="I230" i="10"/>
  <c r="H230" i="10"/>
  <c r="G230" i="10"/>
  <c r="F230" i="10"/>
  <c r="E230" i="10"/>
  <c r="D230" i="10"/>
  <c r="C230" i="10"/>
  <c r="B230" i="10"/>
  <c r="AX230" i="10"/>
  <c r="A230" i="10"/>
  <c r="AW229" i="10"/>
  <c r="AV229" i="10"/>
  <c r="AU229" i="10"/>
  <c r="AT229" i="10"/>
  <c r="AS229" i="10"/>
  <c r="AR229" i="10"/>
  <c r="AQ229" i="10"/>
  <c r="AP229" i="10"/>
  <c r="AO229" i="10"/>
  <c r="AN229" i="10"/>
  <c r="AM229" i="10"/>
  <c r="AL229" i="10"/>
  <c r="AK229" i="10"/>
  <c r="AJ229" i="10"/>
  <c r="AI229" i="10"/>
  <c r="AH229" i="10"/>
  <c r="AG229" i="10"/>
  <c r="AF229" i="10"/>
  <c r="AE229" i="10"/>
  <c r="AD229" i="10"/>
  <c r="AC229" i="10"/>
  <c r="AB229" i="10"/>
  <c r="AA229" i="10"/>
  <c r="Z229" i="10"/>
  <c r="Y229" i="10"/>
  <c r="X229" i="10"/>
  <c r="W229" i="10"/>
  <c r="V229" i="10"/>
  <c r="U229" i="10"/>
  <c r="T229" i="10"/>
  <c r="S229" i="10"/>
  <c r="R229" i="10"/>
  <c r="Q229" i="10"/>
  <c r="P229" i="10"/>
  <c r="O229" i="10"/>
  <c r="N229" i="10"/>
  <c r="M229" i="10"/>
  <c r="L229" i="10"/>
  <c r="K229" i="10"/>
  <c r="J229" i="10"/>
  <c r="I229" i="10"/>
  <c r="H229" i="10"/>
  <c r="G229" i="10"/>
  <c r="F229" i="10"/>
  <c r="E229" i="10"/>
  <c r="D229" i="10"/>
  <c r="C229" i="10"/>
  <c r="B229" i="10"/>
  <c r="AW228" i="10"/>
  <c r="AV228" i="10"/>
  <c r="AU228" i="10"/>
  <c r="AT228" i="10"/>
  <c r="AS228" i="10"/>
  <c r="AR228" i="10"/>
  <c r="AQ228" i="10"/>
  <c r="AP228" i="10"/>
  <c r="AO228" i="10"/>
  <c r="AN228" i="10"/>
  <c r="AM228" i="10"/>
  <c r="AL228" i="10"/>
  <c r="AK228" i="10"/>
  <c r="AJ228" i="10"/>
  <c r="AI228" i="10"/>
  <c r="AH228" i="10"/>
  <c r="AG228" i="10"/>
  <c r="AF228" i="10"/>
  <c r="AE228" i="10"/>
  <c r="AD228" i="10"/>
  <c r="AC228" i="10"/>
  <c r="AB228" i="10"/>
  <c r="AA228" i="10"/>
  <c r="Z228" i="10"/>
  <c r="Y228" i="10"/>
  <c r="X228" i="10"/>
  <c r="W228" i="10"/>
  <c r="V228" i="10"/>
  <c r="U228" i="10"/>
  <c r="T228" i="10"/>
  <c r="S228" i="10"/>
  <c r="R228" i="10"/>
  <c r="Q228" i="10"/>
  <c r="P228" i="10"/>
  <c r="O228" i="10"/>
  <c r="N228" i="10"/>
  <c r="M228" i="10"/>
  <c r="L228" i="10"/>
  <c r="K228" i="10"/>
  <c r="J228" i="10"/>
  <c r="I228" i="10"/>
  <c r="H228" i="10"/>
  <c r="G228" i="10"/>
  <c r="F228" i="10"/>
  <c r="E228" i="10"/>
  <c r="D228" i="10"/>
  <c r="C228" i="10"/>
  <c r="B228" i="10"/>
  <c r="AW227" i="10"/>
  <c r="AV227" i="10"/>
  <c r="AU227" i="10"/>
  <c r="AT227" i="10"/>
  <c r="AS227" i="10"/>
  <c r="AR227" i="10"/>
  <c r="AQ227" i="10"/>
  <c r="AP227" i="10"/>
  <c r="AO227" i="10"/>
  <c r="AN227" i="10"/>
  <c r="AM227" i="10"/>
  <c r="AL227" i="10"/>
  <c r="AK227" i="10"/>
  <c r="AJ227" i="10"/>
  <c r="AI227" i="10"/>
  <c r="AH227" i="10"/>
  <c r="AG227" i="10"/>
  <c r="AF227" i="10"/>
  <c r="AE227" i="10"/>
  <c r="AD227" i="10"/>
  <c r="AC227" i="10"/>
  <c r="AB227" i="10"/>
  <c r="AA227" i="10"/>
  <c r="Z227" i="10"/>
  <c r="Y227" i="10"/>
  <c r="X227" i="10"/>
  <c r="W227" i="10"/>
  <c r="V227" i="10"/>
  <c r="U227" i="10"/>
  <c r="T227" i="10"/>
  <c r="S227" i="10"/>
  <c r="R227" i="10"/>
  <c r="Q227" i="10"/>
  <c r="P227" i="10"/>
  <c r="O227" i="10"/>
  <c r="N227" i="10"/>
  <c r="M227" i="10"/>
  <c r="L227" i="10"/>
  <c r="K227" i="10"/>
  <c r="J227" i="10"/>
  <c r="I227" i="10"/>
  <c r="H227" i="10"/>
  <c r="G227" i="10"/>
  <c r="F227" i="10"/>
  <c r="E227" i="10"/>
  <c r="D227" i="10"/>
  <c r="C227" i="10"/>
  <c r="B227" i="10"/>
  <c r="A227" i="10"/>
  <c r="AW226" i="10"/>
  <c r="AV226" i="10"/>
  <c r="AU226" i="10"/>
  <c r="AT226" i="10"/>
  <c r="AS226" i="10"/>
  <c r="AR226" i="10"/>
  <c r="AQ226" i="10"/>
  <c r="AP226" i="10"/>
  <c r="AO226" i="10"/>
  <c r="AN226" i="10"/>
  <c r="AM226" i="10"/>
  <c r="AL226" i="10"/>
  <c r="AK226" i="10"/>
  <c r="AJ226" i="10"/>
  <c r="AI226" i="10"/>
  <c r="AH226" i="10"/>
  <c r="AG226" i="10"/>
  <c r="AF226" i="10"/>
  <c r="AE226" i="10"/>
  <c r="AD226" i="10"/>
  <c r="AC226" i="10"/>
  <c r="AB226" i="10"/>
  <c r="AA226" i="10"/>
  <c r="Z226" i="10"/>
  <c r="Y226" i="10"/>
  <c r="X226" i="10"/>
  <c r="W226" i="10"/>
  <c r="V226" i="10"/>
  <c r="U226" i="10"/>
  <c r="T226" i="10"/>
  <c r="S226" i="10"/>
  <c r="R226" i="10"/>
  <c r="Q226" i="10"/>
  <c r="P226" i="10"/>
  <c r="O226" i="10"/>
  <c r="N226" i="10"/>
  <c r="M226" i="10"/>
  <c r="L226" i="10"/>
  <c r="K226" i="10"/>
  <c r="J226" i="10"/>
  <c r="I226" i="10"/>
  <c r="H226" i="10"/>
  <c r="G226" i="10"/>
  <c r="F226" i="10"/>
  <c r="E226" i="10"/>
  <c r="D226" i="10"/>
  <c r="C226" i="10"/>
  <c r="B226" i="10"/>
  <c r="AX226" i="10"/>
  <c r="AW225" i="10"/>
  <c r="AV225" i="10"/>
  <c r="AU225" i="10"/>
  <c r="AT225" i="10"/>
  <c r="AS225" i="10"/>
  <c r="AR225" i="10"/>
  <c r="AQ225" i="10"/>
  <c r="AP225" i="10"/>
  <c r="AO225" i="10"/>
  <c r="AN225" i="10"/>
  <c r="AM225" i="10"/>
  <c r="AL225" i="10"/>
  <c r="AK225" i="10"/>
  <c r="AJ225" i="10"/>
  <c r="AI225" i="10"/>
  <c r="AH225" i="10"/>
  <c r="AG225" i="10"/>
  <c r="AF225" i="10"/>
  <c r="AE225" i="10"/>
  <c r="AD225" i="10"/>
  <c r="AC225" i="10"/>
  <c r="AB225" i="10"/>
  <c r="AA225" i="10"/>
  <c r="Z225" i="10"/>
  <c r="Y225" i="10"/>
  <c r="X225" i="10"/>
  <c r="W225" i="10"/>
  <c r="V225" i="10"/>
  <c r="U225" i="10"/>
  <c r="T225" i="10"/>
  <c r="S225" i="10"/>
  <c r="R225" i="10"/>
  <c r="Q225" i="10"/>
  <c r="P225" i="10"/>
  <c r="O225" i="10"/>
  <c r="N225" i="10"/>
  <c r="M225" i="10"/>
  <c r="L225" i="10"/>
  <c r="K225" i="10"/>
  <c r="J225" i="10"/>
  <c r="I225" i="10"/>
  <c r="H225" i="10"/>
  <c r="G225" i="10"/>
  <c r="F225" i="10"/>
  <c r="E225" i="10"/>
  <c r="D225" i="10"/>
  <c r="C225" i="10"/>
  <c r="B225" i="10"/>
  <c r="AW224" i="10"/>
  <c r="AV224" i="10"/>
  <c r="AU224" i="10"/>
  <c r="AT224" i="10"/>
  <c r="AS224" i="10"/>
  <c r="AR224" i="10"/>
  <c r="AQ224" i="10"/>
  <c r="AP224" i="10"/>
  <c r="AO224" i="10"/>
  <c r="AN224" i="10"/>
  <c r="AM224" i="10"/>
  <c r="AL224" i="10"/>
  <c r="AK224" i="10"/>
  <c r="AJ224" i="10"/>
  <c r="AI224" i="10"/>
  <c r="AH224" i="10"/>
  <c r="AG224" i="10"/>
  <c r="AF224" i="10"/>
  <c r="AE224" i="10"/>
  <c r="AD224" i="10"/>
  <c r="AC224" i="10"/>
  <c r="AB224" i="10"/>
  <c r="AA224" i="10"/>
  <c r="Z224" i="10"/>
  <c r="Y224" i="10"/>
  <c r="X224" i="10"/>
  <c r="W224" i="10"/>
  <c r="V224" i="10"/>
  <c r="U224" i="10"/>
  <c r="T224" i="10"/>
  <c r="S224" i="10"/>
  <c r="R224" i="10"/>
  <c r="Q224" i="10"/>
  <c r="P224" i="10"/>
  <c r="O224" i="10"/>
  <c r="N224" i="10"/>
  <c r="M224" i="10"/>
  <c r="L224" i="10"/>
  <c r="K224" i="10"/>
  <c r="J224" i="10"/>
  <c r="I224" i="10"/>
  <c r="H224" i="10"/>
  <c r="G224" i="10"/>
  <c r="F224" i="10"/>
  <c r="E224" i="10"/>
  <c r="D224" i="10"/>
  <c r="C224" i="10"/>
  <c r="B224" i="10"/>
  <c r="A224" i="10"/>
  <c r="AW223" i="10"/>
  <c r="AV223" i="10"/>
  <c r="AU223" i="10"/>
  <c r="AT223" i="10"/>
  <c r="AS223" i="10"/>
  <c r="AR223" i="10"/>
  <c r="AQ223" i="10"/>
  <c r="AP223" i="10"/>
  <c r="AO223" i="10"/>
  <c r="AN223" i="10"/>
  <c r="AM223" i="10"/>
  <c r="AL223" i="10"/>
  <c r="AK223" i="10"/>
  <c r="AJ223" i="10"/>
  <c r="AI223" i="10"/>
  <c r="AH223" i="10"/>
  <c r="AG223" i="10"/>
  <c r="AF223" i="10"/>
  <c r="AE223" i="10"/>
  <c r="AD223" i="10"/>
  <c r="AC223" i="10"/>
  <c r="AB223" i="10"/>
  <c r="AA223" i="10"/>
  <c r="Z223" i="10"/>
  <c r="Y223" i="10"/>
  <c r="X223" i="10"/>
  <c r="W223" i="10"/>
  <c r="V223" i="10"/>
  <c r="U223" i="10"/>
  <c r="T223" i="10"/>
  <c r="S223" i="10"/>
  <c r="R223" i="10"/>
  <c r="Q223" i="10"/>
  <c r="P223" i="10"/>
  <c r="O223" i="10"/>
  <c r="N223" i="10"/>
  <c r="M223" i="10"/>
  <c r="L223" i="10"/>
  <c r="K223" i="10"/>
  <c r="J223" i="10"/>
  <c r="I223" i="10"/>
  <c r="H223" i="10"/>
  <c r="G223" i="10"/>
  <c r="F223" i="10"/>
  <c r="E223" i="10"/>
  <c r="D223" i="10"/>
  <c r="C223" i="10"/>
  <c r="B223" i="10"/>
  <c r="AX223" i="10"/>
  <c r="AW222" i="10"/>
  <c r="AV222" i="10"/>
  <c r="AU222" i="10"/>
  <c r="AT222" i="10"/>
  <c r="AS222" i="10"/>
  <c r="AR222" i="10"/>
  <c r="AQ222" i="10"/>
  <c r="AP222" i="10"/>
  <c r="AO222" i="10"/>
  <c r="AN222" i="10"/>
  <c r="AM222" i="10"/>
  <c r="AL222" i="10"/>
  <c r="AK222" i="10"/>
  <c r="AJ222" i="10"/>
  <c r="AI222" i="10"/>
  <c r="AH222" i="10"/>
  <c r="AG222" i="10"/>
  <c r="AF222" i="10"/>
  <c r="AE222" i="10"/>
  <c r="AD222" i="10"/>
  <c r="AC222" i="10"/>
  <c r="AB222" i="10"/>
  <c r="AA222" i="10"/>
  <c r="Z222" i="10"/>
  <c r="Y222" i="10"/>
  <c r="X222" i="10"/>
  <c r="W222" i="10"/>
  <c r="V222" i="10"/>
  <c r="U222" i="10"/>
  <c r="T222" i="10"/>
  <c r="S222" i="10"/>
  <c r="R222" i="10"/>
  <c r="Q222" i="10"/>
  <c r="P222" i="10"/>
  <c r="O222" i="10"/>
  <c r="N222" i="10"/>
  <c r="M222" i="10"/>
  <c r="L222" i="10"/>
  <c r="K222" i="10"/>
  <c r="J222" i="10"/>
  <c r="I222" i="10"/>
  <c r="H222" i="10"/>
  <c r="G222" i="10"/>
  <c r="F222" i="10"/>
  <c r="E222" i="10"/>
  <c r="D222" i="10"/>
  <c r="C222" i="10"/>
  <c r="B222" i="10"/>
  <c r="AW221" i="10"/>
  <c r="AV221" i="10"/>
  <c r="AU221" i="10"/>
  <c r="AT221" i="10"/>
  <c r="AS221" i="10"/>
  <c r="AR221" i="10"/>
  <c r="AQ221" i="10"/>
  <c r="AP221" i="10"/>
  <c r="AO221" i="10"/>
  <c r="AN221" i="10"/>
  <c r="AM221" i="10"/>
  <c r="AL221" i="10"/>
  <c r="AK221" i="10"/>
  <c r="AJ221" i="10"/>
  <c r="AI221" i="10"/>
  <c r="AH221" i="10"/>
  <c r="AG221" i="10"/>
  <c r="AF221" i="10"/>
  <c r="AE221" i="10"/>
  <c r="AD221" i="10"/>
  <c r="AC221" i="10"/>
  <c r="AB221" i="10"/>
  <c r="AA221" i="10"/>
  <c r="Z221" i="10"/>
  <c r="Y221" i="10"/>
  <c r="X221" i="10"/>
  <c r="W221" i="10"/>
  <c r="V221" i="10"/>
  <c r="U221" i="10"/>
  <c r="T221" i="10"/>
  <c r="S221" i="10"/>
  <c r="R221" i="10"/>
  <c r="Q221" i="10"/>
  <c r="P221" i="10"/>
  <c r="O221" i="10"/>
  <c r="N221" i="10"/>
  <c r="M221" i="10"/>
  <c r="L221" i="10"/>
  <c r="K221" i="10"/>
  <c r="J221" i="10"/>
  <c r="I221" i="10"/>
  <c r="H221" i="10"/>
  <c r="G221" i="10"/>
  <c r="F221" i="10"/>
  <c r="E221" i="10"/>
  <c r="D221" i="10"/>
  <c r="C221" i="10"/>
  <c r="B221" i="10"/>
  <c r="AX221" i="10"/>
  <c r="A221" i="10"/>
  <c r="AW220" i="10"/>
  <c r="AV220" i="10"/>
  <c r="AU220" i="10"/>
  <c r="AT220" i="10"/>
  <c r="AS220" i="10"/>
  <c r="AR220" i="10"/>
  <c r="AQ220" i="10"/>
  <c r="AP220" i="10"/>
  <c r="AO220" i="10"/>
  <c r="AN220" i="10"/>
  <c r="AM220" i="10"/>
  <c r="AL220" i="10"/>
  <c r="AK220" i="10"/>
  <c r="AJ220" i="10"/>
  <c r="AI220" i="10"/>
  <c r="AH220" i="10"/>
  <c r="AG220" i="10"/>
  <c r="AF220" i="10"/>
  <c r="AE220" i="10"/>
  <c r="AD220" i="10"/>
  <c r="AC220" i="10"/>
  <c r="AB220" i="10"/>
  <c r="AA220" i="10"/>
  <c r="Z220" i="10"/>
  <c r="Y220" i="10"/>
  <c r="X220" i="10"/>
  <c r="W220" i="10"/>
  <c r="V220" i="10"/>
  <c r="U220" i="10"/>
  <c r="T220" i="10"/>
  <c r="S220" i="10"/>
  <c r="R220" i="10"/>
  <c r="Q220" i="10"/>
  <c r="P220" i="10"/>
  <c r="O220" i="10"/>
  <c r="N220" i="10"/>
  <c r="M220" i="10"/>
  <c r="L220" i="10"/>
  <c r="K220" i="10"/>
  <c r="J220" i="10"/>
  <c r="I220" i="10"/>
  <c r="H220" i="10"/>
  <c r="G220" i="10"/>
  <c r="F220" i="10"/>
  <c r="E220" i="10"/>
  <c r="D220" i="10"/>
  <c r="C220" i="10"/>
  <c r="B220" i="10"/>
  <c r="AW219" i="10"/>
  <c r="AV219" i="10"/>
  <c r="AU219" i="10"/>
  <c r="AT219" i="10"/>
  <c r="AS219" i="10"/>
  <c r="AR219" i="10"/>
  <c r="AQ219" i="10"/>
  <c r="AP219" i="10"/>
  <c r="AO219" i="10"/>
  <c r="AN219" i="10"/>
  <c r="AM219" i="10"/>
  <c r="AL219" i="10"/>
  <c r="AK219" i="10"/>
  <c r="AJ219" i="10"/>
  <c r="AI219" i="10"/>
  <c r="AH219" i="10"/>
  <c r="AG219" i="10"/>
  <c r="AF219" i="10"/>
  <c r="AE219" i="10"/>
  <c r="AD219" i="10"/>
  <c r="AC219" i="10"/>
  <c r="AB219" i="10"/>
  <c r="AA219" i="10"/>
  <c r="Z219" i="10"/>
  <c r="Y219" i="10"/>
  <c r="X219" i="10"/>
  <c r="W219" i="10"/>
  <c r="V219" i="10"/>
  <c r="U219" i="10"/>
  <c r="T219" i="10"/>
  <c r="S219" i="10"/>
  <c r="R219" i="10"/>
  <c r="Q219" i="10"/>
  <c r="P219" i="10"/>
  <c r="O219" i="10"/>
  <c r="N219" i="10"/>
  <c r="M219" i="10"/>
  <c r="L219" i="10"/>
  <c r="K219" i="10"/>
  <c r="J219" i="10"/>
  <c r="I219" i="10"/>
  <c r="H219" i="10"/>
  <c r="G219" i="10"/>
  <c r="F219" i="10"/>
  <c r="E219" i="10"/>
  <c r="D219" i="10"/>
  <c r="C219" i="10"/>
  <c r="B219" i="10"/>
  <c r="AW218" i="10"/>
  <c r="AV218" i="10"/>
  <c r="AU218" i="10"/>
  <c r="AT218" i="10"/>
  <c r="AS218" i="10"/>
  <c r="AR218" i="10"/>
  <c r="AQ218" i="10"/>
  <c r="AP218" i="10"/>
  <c r="AO218" i="10"/>
  <c r="AN218" i="10"/>
  <c r="AM218" i="10"/>
  <c r="AL218" i="10"/>
  <c r="AK218" i="10"/>
  <c r="AJ218" i="10"/>
  <c r="AI218" i="10"/>
  <c r="AH218" i="10"/>
  <c r="AG218" i="10"/>
  <c r="AF218" i="10"/>
  <c r="AE218" i="10"/>
  <c r="AD218" i="10"/>
  <c r="AC218" i="10"/>
  <c r="AB218" i="10"/>
  <c r="AA218" i="10"/>
  <c r="Z218" i="10"/>
  <c r="Y218" i="10"/>
  <c r="X218" i="10"/>
  <c r="W218" i="10"/>
  <c r="V218" i="10"/>
  <c r="U218" i="10"/>
  <c r="T218" i="10"/>
  <c r="S218" i="10"/>
  <c r="R218" i="10"/>
  <c r="Q218" i="10"/>
  <c r="P218" i="10"/>
  <c r="O218" i="10"/>
  <c r="N218" i="10"/>
  <c r="M218" i="10"/>
  <c r="L218" i="10"/>
  <c r="K218" i="10"/>
  <c r="J218" i="10"/>
  <c r="I218" i="10"/>
  <c r="H218" i="10"/>
  <c r="G218" i="10"/>
  <c r="F218" i="10"/>
  <c r="E218" i="10"/>
  <c r="D218" i="10"/>
  <c r="C218" i="10"/>
  <c r="B218" i="10"/>
  <c r="A218" i="10"/>
  <c r="AW217" i="10"/>
  <c r="AV217" i="10"/>
  <c r="AU217" i="10"/>
  <c r="AT217" i="10"/>
  <c r="AS217" i="10"/>
  <c r="AR217" i="10"/>
  <c r="AQ217" i="10"/>
  <c r="AP217" i="10"/>
  <c r="AO217" i="10"/>
  <c r="AN217" i="10"/>
  <c r="AM217" i="10"/>
  <c r="AL217" i="10"/>
  <c r="AK217" i="10"/>
  <c r="AJ217" i="10"/>
  <c r="AI217" i="10"/>
  <c r="AH217" i="10"/>
  <c r="AG217" i="10"/>
  <c r="AF217" i="10"/>
  <c r="AE217" i="10"/>
  <c r="AD217" i="10"/>
  <c r="AC217" i="10"/>
  <c r="AB217" i="10"/>
  <c r="AA217" i="10"/>
  <c r="Z217" i="10"/>
  <c r="Y217" i="10"/>
  <c r="X217" i="10"/>
  <c r="W217" i="10"/>
  <c r="V217" i="10"/>
  <c r="U217" i="10"/>
  <c r="T217" i="10"/>
  <c r="S217" i="10"/>
  <c r="R217" i="10"/>
  <c r="Q217" i="10"/>
  <c r="P217" i="10"/>
  <c r="O217" i="10"/>
  <c r="N217" i="10"/>
  <c r="M217" i="10"/>
  <c r="L217" i="10"/>
  <c r="K217" i="10"/>
  <c r="J217" i="10"/>
  <c r="I217" i="10"/>
  <c r="H217" i="10"/>
  <c r="G217" i="10"/>
  <c r="F217" i="10"/>
  <c r="E217" i="10"/>
  <c r="D217" i="10"/>
  <c r="C217" i="10"/>
  <c r="B217" i="10"/>
  <c r="AX217" i="10"/>
  <c r="AW216" i="10"/>
  <c r="AV216" i="10"/>
  <c r="AU216" i="10"/>
  <c r="AT216" i="10"/>
  <c r="AS216" i="10"/>
  <c r="AR216" i="10"/>
  <c r="AQ216" i="10"/>
  <c r="AP216" i="10"/>
  <c r="AO216" i="10"/>
  <c r="AN216" i="10"/>
  <c r="AM216" i="10"/>
  <c r="AL216" i="10"/>
  <c r="AK216" i="10"/>
  <c r="AJ216" i="10"/>
  <c r="AI216" i="10"/>
  <c r="AH216" i="10"/>
  <c r="AG216" i="10"/>
  <c r="AF216" i="10"/>
  <c r="AE216" i="10"/>
  <c r="AD216" i="10"/>
  <c r="AC216" i="10"/>
  <c r="AB216" i="10"/>
  <c r="AA216" i="10"/>
  <c r="Z216" i="10"/>
  <c r="Y216" i="10"/>
  <c r="X216" i="10"/>
  <c r="W216" i="10"/>
  <c r="V216" i="10"/>
  <c r="U216" i="10"/>
  <c r="T216" i="10"/>
  <c r="S216" i="10"/>
  <c r="R216" i="10"/>
  <c r="Q216" i="10"/>
  <c r="P216" i="10"/>
  <c r="O216" i="10"/>
  <c r="N216" i="10"/>
  <c r="M216" i="10"/>
  <c r="L216" i="10"/>
  <c r="K216" i="10"/>
  <c r="J216" i="10"/>
  <c r="I216" i="10"/>
  <c r="H216" i="10"/>
  <c r="G216" i="10"/>
  <c r="F216" i="10"/>
  <c r="E216" i="10"/>
  <c r="D216" i="10"/>
  <c r="C216" i="10"/>
  <c r="B216" i="10"/>
  <c r="AW215" i="10"/>
  <c r="AV215" i="10"/>
  <c r="AU215" i="10"/>
  <c r="AT215" i="10"/>
  <c r="AS215" i="10"/>
  <c r="AR215" i="10"/>
  <c r="AQ215" i="10"/>
  <c r="AP215" i="10"/>
  <c r="AO215" i="10"/>
  <c r="AN215" i="10"/>
  <c r="AM215" i="10"/>
  <c r="AL215" i="10"/>
  <c r="AK215" i="10"/>
  <c r="AJ215" i="10"/>
  <c r="AI215" i="10"/>
  <c r="AH215" i="10"/>
  <c r="AG215" i="10"/>
  <c r="AF215" i="10"/>
  <c r="AE215" i="10"/>
  <c r="AD215" i="10"/>
  <c r="AC215" i="10"/>
  <c r="AB215" i="10"/>
  <c r="AA215" i="10"/>
  <c r="Z215" i="10"/>
  <c r="Y215" i="10"/>
  <c r="X215" i="10"/>
  <c r="W215" i="10"/>
  <c r="V215" i="10"/>
  <c r="U215" i="10"/>
  <c r="T215" i="10"/>
  <c r="S215" i="10"/>
  <c r="R215" i="10"/>
  <c r="Q215" i="10"/>
  <c r="P215" i="10"/>
  <c r="O215" i="10"/>
  <c r="N215" i="10"/>
  <c r="M215" i="10"/>
  <c r="L215" i="10"/>
  <c r="K215" i="10"/>
  <c r="J215" i="10"/>
  <c r="I215" i="10"/>
  <c r="H215" i="10"/>
  <c r="G215" i="10"/>
  <c r="F215" i="10"/>
  <c r="E215" i="10"/>
  <c r="D215" i="10"/>
  <c r="C215" i="10"/>
  <c r="B215" i="10"/>
  <c r="A215" i="10"/>
  <c r="AW214" i="10"/>
  <c r="AV214" i="10"/>
  <c r="AU214" i="10"/>
  <c r="AT214" i="10"/>
  <c r="AS214" i="10"/>
  <c r="AR214" i="10"/>
  <c r="AQ214" i="10"/>
  <c r="AP214" i="10"/>
  <c r="AO214" i="10"/>
  <c r="AN214" i="10"/>
  <c r="AM214" i="10"/>
  <c r="AL214" i="10"/>
  <c r="AK214" i="10"/>
  <c r="AJ214" i="10"/>
  <c r="AI214" i="10"/>
  <c r="AH214" i="10"/>
  <c r="AG214" i="10"/>
  <c r="AF214" i="10"/>
  <c r="AE214" i="10"/>
  <c r="AD214" i="10"/>
  <c r="AC214" i="10"/>
  <c r="AB214" i="10"/>
  <c r="AA214" i="10"/>
  <c r="Z214" i="10"/>
  <c r="Y214" i="10"/>
  <c r="X214" i="10"/>
  <c r="W214" i="10"/>
  <c r="V214" i="10"/>
  <c r="U214" i="10"/>
  <c r="T214" i="10"/>
  <c r="S214" i="10"/>
  <c r="R214" i="10"/>
  <c r="Q214" i="10"/>
  <c r="P214" i="10"/>
  <c r="O214" i="10"/>
  <c r="N214" i="10"/>
  <c r="M214" i="10"/>
  <c r="L214" i="10"/>
  <c r="K214" i="10"/>
  <c r="J214" i="10"/>
  <c r="I214" i="10"/>
  <c r="H214" i="10"/>
  <c r="G214" i="10"/>
  <c r="F214" i="10"/>
  <c r="E214" i="10"/>
  <c r="D214" i="10"/>
  <c r="C214" i="10"/>
  <c r="B214" i="10"/>
  <c r="AX214" i="10"/>
  <c r="AW213" i="10"/>
  <c r="AV213" i="10"/>
  <c r="AU213" i="10"/>
  <c r="AT213" i="10"/>
  <c r="AS213" i="10"/>
  <c r="AR213" i="10"/>
  <c r="AQ213" i="10"/>
  <c r="AP213" i="10"/>
  <c r="AO213" i="10"/>
  <c r="AN213" i="10"/>
  <c r="AM213" i="10"/>
  <c r="AL213" i="10"/>
  <c r="AK213" i="10"/>
  <c r="AJ213" i="10"/>
  <c r="AI213" i="10"/>
  <c r="AH213" i="10"/>
  <c r="AG213" i="10"/>
  <c r="AF213" i="10"/>
  <c r="AE213" i="10"/>
  <c r="AD213" i="10"/>
  <c r="AC213" i="10"/>
  <c r="AB213" i="10"/>
  <c r="AA213" i="10"/>
  <c r="Z213" i="10"/>
  <c r="Y213" i="10"/>
  <c r="X213" i="10"/>
  <c r="W213" i="10"/>
  <c r="V213" i="10"/>
  <c r="U213" i="10"/>
  <c r="T213" i="10"/>
  <c r="S213" i="10"/>
  <c r="R213" i="10"/>
  <c r="Q213" i="10"/>
  <c r="P213" i="10"/>
  <c r="O213" i="10"/>
  <c r="N213" i="10"/>
  <c r="M213" i="10"/>
  <c r="L213" i="10"/>
  <c r="K213" i="10"/>
  <c r="J213" i="10"/>
  <c r="I213" i="10"/>
  <c r="H213" i="10"/>
  <c r="G213" i="10"/>
  <c r="F213" i="10"/>
  <c r="E213" i="10"/>
  <c r="D213" i="10"/>
  <c r="C213" i="10"/>
  <c r="B213" i="10"/>
  <c r="AW212" i="10"/>
  <c r="AV212" i="10"/>
  <c r="AU212" i="10"/>
  <c r="AT212" i="10"/>
  <c r="AS212" i="10"/>
  <c r="AR212" i="10"/>
  <c r="AQ212" i="10"/>
  <c r="AP212" i="10"/>
  <c r="AO212" i="10"/>
  <c r="AN212" i="10"/>
  <c r="AM212" i="10"/>
  <c r="AL212" i="10"/>
  <c r="AK212" i="10"/>
  <c r="AJ212" i="10"/>
  <c r="AI212" i="10"/>
  <c r="AH212" i="10"/>
  <c r="AG212" i="10"/>
  <c r="AF212" i="10"/>
  <c r="AE212" i="10"/>
  <c r="AD212" i="10"/>
  <c r="AC212" i="10"/>
  <c r="AB212" i="10"/>
  <c r="AA212" i="10"/>
  <c r="Z212" i="10"/>
  <c r="Y212" i="10"/>
  <c r="X212" i="10"/>
  <c r="W212" i="10"/>
  <c r="V212" i="10"/>
  <c r="U212" i="10"/>
  <c r="T212" i="10"/>
  <c r="S212" i="10"/>
  <c r="R212" i="10"/>
  <c r="Q212" i="10"/>
  <c r="P212" i="10"/>
  <c r="O212" i="10"/>
  <c r="N212" i="10"/>
  <c r="M212" i="10"/>
  <c r="L212" i="10"/>
  <c r="K212" i="10"/>
  <c r="J212" i="10"/>
  <c r="I212" i="10"/>
  <c r="H212" i="10"/>
  <c r="G212" i="10"/>
  <c r="F212" i="10"/>
  <c r="E212" i="10"/>
  <c r="D212" i="10"/>
  <c r="C212" i="10"/>
  <c r="B212" i="10"/>
  <c r="AX212" i="10"/>
  <c r="A212" i="10"/>
  <c r="AW211" i="10"/>
  <c r="AV211" i="10"/>
  <c r="AU211" i="10"/>
  <c r="AT211" i="10"/>
  <c r="AS211" i="10"/>
  <c r="AR211" i="10"/>
  <c r="AQ211" i="10"/>
  <c r="AP211" i="10"/>
  <c r="AO211" i="10"/>
  <c r="AN211" i="10"/>
  <c r="AM211" i="10"/>
  <c r="AL211" i="10"/>
  <c r="AK211" i="10"/>
  <c r="AJ211" i="10"/>
  <c r="AI211" i="10"/>
  <c r="AH211" i="10"/>
  <c r="AG211" i="10"/>
  <c r="AF211" i="10"/>
  <c r="AE211" i="10"/>
  <c r="AD211" i="10"/>
  <c r="AC211" i="10"/>
  <c r="AB211" i="10"/>
  <c r="AA211" i="10"/>
  <c r="Z211" i="10"/>
  <c r="Y211" i="10"/>
  <c r="X211" i="10"/>
  <c r="W211" i="10"/>
  <c r="V211" i="10"/>
  <c r="U211" i="10"/>
  <c r="T211" i="10"/>
  <c r="S211" i="10"/>
  <c r="R211" i="10"/>
  <c r="Q211" i="10"/>
  <c r="P211" i="10"/>
  <c r="O211" i="10"/>
  <c r="N211" i="10"/>
  <c r="M211" i="10"/>
  <c r="L211" i="10"/>
  <c r="K211" i="10"/>
  <c r="J211" i="10"/>
  <c r="I211" i="10"/>
  <c r="H211" i="10"/>
  <c r="G211" i="10"/>
  <c r="F211" i="10"/>
  <c r="E211" i="10"/>
  <c r="D211" i="10"/>
  <c r="C211" i="10"/>
  <c r="B211" i="10"/>
  <c r="AW210" i="10"/>
  <c r="AV210" i="10"/>
  <c r="AU210" i="10"/>
  <c r="AT210" i="10"/>
  <c r="AS210" i="10"/>
  <c r="AR210" i="10"/>
  <c r="AQ210" i="10"/>
  <c r="AP210" i="10"/>
  <c r="AO210" i="10"/>
  <c r="AN210" i="10"/>
  <c r="AM210" i="10"/>
  <c r="AL210" i="10"/>
  <c r="AK210" i="10"/>
  <c r="AJ210" i="10"/>
  <c r="AI210" i="10"/>
  <c r="AH210" i="10"/>
  <c r="AG210" i="10"/>
  <c r="AF210" i="10"/>
  <c r="AE210" i="10"/>
  <c r="AD210" i="10"/>
  <c r="AC210" i="10"/>
  <c r="AB210" i="10"/>
  <c r="AA210" i="10"/>
  <c r="Z210" i="10"/>
  <c r="Y210" i="10"/>
  <c r="X210" i="10"/>
  <c r="W210" i="10"/>
  <c r="V210" i="10"/>
  <c r="U210" i="10"/>
  <c r="T210" i="10"/>
  <c r="S210" i="10"/>
  <c r="R210" i="10"/>
  <c r="Q210" i="10"/>
  <c r="P210" i="10"/>
  <c r="O210" i="10"/>
  <c r="N210" i="10"/>
  <c r="M210" i="10"/>
  <c r="L210" i="10"/>
  <c r="K210" i="10"/>
  <c r="J210" i="10"/>
  <c r="I210" i="10"/>
  <c r="H210" i="10"/>
  <c r="G210" i="10"/>
  <c r="F210" i="10"/>
  <c r="E210" i="10"/>
  <c r="D210" i="10"/>
  <c r="C210" i="10"/>
  <c r="B210" i="10"/>
  <c r="AW209" i="10"/>
  <c r="AV209" i="10"/>
  <c r="AU209" i="10"/>
  <c r="AT209" i="10"/>
  <c r="AS209" i="10"/>
  <c r="AR209" i="10"/>
  <c r="AQ209" i="10"/>
  <c r="AP209" i="10"/>
  <c r="AO209" i="10"/>
  <c r="AN209" i="10"/>
  <c r="AM209" i="10"/>
  <c r="AL209" i="10"/>
  <c r="AK209" i="10"/>
  <c r="AJ209" i="10"/>
  <c r="AI209" i="10"/>
  <c r="AH209" i="10"/>
  <c r="AG209" i="10"/>
  <c r="AF209" i="10"/>
  <c r="AE209" i="10"/>
  <c r="AD209" i="10"/>
  <c r="AC209" i="10"/>
  <c r="AB209" i="10"/>
  <c r="AA209" i="10"/>
  <c r="Z209" i="10"/>
  <c r="Y209" i="10"/>
  <c r="X209" i="10"/>
  <c r="W209" i="10"/>
  <c r="V209" i="10"/>
  <c r="U209" i="10"/>
  <c r="T209" i="10"/>
  <c r="S209" i="10"/>
  <c r="R209" i="10"/>
  <c r="Q209" i="10"/>
  <c r="P209" i="10"/>
  <c r="O209" i="10"/>
  <c r="N209" i="10"/>
  <c r="M209" i="10"/>
  <c r="L209" i="10"/>
  <c r="K209" i="10"/>
  <c r="J209" i="10"/>
  <c r="I209" i="10"/>
  <c r="H209" i="10"/>
  <c r="G209" i="10"/>
  <c r="F209" i="10"/>
  <c r="E209" i="10"/>
  <c r="D209" i="10"/>
  <c r="C209" i="10"/>
  <c r="B209" i="10"/>
  <c r="A209" i="10"/>
  <c r="AW208" i="10"/>
  <c r="AV208" i="10"/>
  <c r="AU208" i="10"/>
  <c r="AT208" i="10"/>
  <c r="AS208" i="10"/>
  <c r="AR208" i="10"/>
  <c r="AQ208" i="10"/>
  <c r="AP208" i="10"/>
  <c r="AO208" i="10"/>
  <c r="AN208" i="10"/>
  <c r="AM208" i="10"/>
  <c r="AL208" i="10"/>
  <c r="AK208" i="10"/>
  <c r="AJ208" i="10"/>
  <c r="AI208" i="10"/>
  <c r="AH208" i="10"/>
  <c r="AG208" i="10"/>
  <c r="AF208" i="10"/>
  <c r="AE208" i="10"/>
  <c r="AD208" i="10"/>
  <c r="AC208" i="10"/>
  <c r="AB208" i="10"/>
  <c r="AA208" i="10"/>
  <c r="Z208" i="10"/>
  <c r="Y208" i="10"/>
  <c r="X208" i="10"/>
  <c r="W208" i="10"/>
  <c r="V208" i="10"/>
  <c r="U208" i="10"/>
  <c r="T208" i="10"/>
  <c r="S208" i="10"/>
  <c r="R208" i="10"/>
  <c r="Q208" i="10"/>
  <c r="P208" i="10"/>
  <c r="O208" i="10"/>
  <c r="N208" i="10"/>
  <c r="M208" i="10"/>
  <c r="L208" i="10"/>
  <c r="K208" i="10"/>
  <c r="J208" i="10"/>
  <c r="I208" i="10"/>
  <c r="H208" i="10"/>
  <c r="G208" i="10"/>
  <c r="F208" i="10"/>
  <c r="E208" i="10"/>
  <c r="D208" i="10"/>
  <c r="C208" i="10"/>
  <c r="B208" i="10"/>
  <c r="AX208" i="10"/>
  <c r="AW207" i="10"/>
  <c r="AV207" i="10"/>
  <c r="AU207" i="10"/>
  <c r="AT207" i="10"/>
  <c r="AS207" i="10"/>
  <c r="AR207" i="10"/>
  <c r="AQ207" i="10"/>
  <c r="AP207" i="10"/>
  <c r="AO207" i="10"/>
  <c r="AN207" i="10"/>
  <c r="AM207" i="10"/>
  <c r="AL207" i="10"/>
  <c r="AK207" i="10"/>
  <c r="AJ207" i="10"/>
  <c r="AI207" i="10"/>
  <c r="AH207" i="10"/>
  <c r="AG207" i="10"/>
  <c r="AF207" i="10"/>
  <c r="AE207" i="10"/>
  <c r="AD207" i="10"/>
  <c r="AC207" i="10"/>
  <c r="AB207" i="10"/>
  <c r="AA207" i="10"/>
  <c r="Z207" i="10"/>
  <c r="Y207" i="10"/>
  <c r="X207" i="10"/>
  <c r="W207" i="10"/>
  <c r="V207" i="10"/>
  <c r="U207" i="10"/>
  <c r="T207" i="10"/>
  <c r="S207" i="10"/>
  <c r="R207" i="10"/>
  <c r="Q207" i="10"/>
  <c r="P207" i="10"/>
  <c r="O207" i="10"/>
  <c r="N207" i="10"/>
  <c r="M207" i="10"/>
  <c r="L207" i="10"/>
  <c r="K207" i="10"/>
  <c r="J207" i="10"/>
  <c r="I207" i="10"/>
  <c r="H207" i="10"/>
  <c r="G207" i="10"/>
  <c r="F207" i="10"/>
  <c r="E207" i="10"/>
  <c r="D207" i="10"/>
  <c r="C207" i="10"/>
  <c r="B207" i="10"/>
  <c r="AW206" i="10"/>
  <c r="AV206" i="10"/>
  <c r="AU206" i="10"/>
  <c r="AT206" i="10"/>
  <c r="AS206" i="10"/>
  <c r="AR206" i="10"/>
  <c r="AQ206" i="10"/>
  <c r="AP206" i="10"/>
  <c r="AO206" i="10"/>
  <c r="AN206" i="10"/>
  <c r="AM206" i="10"/>
  <c r="AL206" i="10"/>
  <c r="AK206" i="10"/>
  <c r="AJ206" i="10"/>
  <c r="AI206" i="10"/>
  <c r="AH206" i="10"/>
  <c r="AG206" i="10"/>
  <c r="AF206" i="10"/>
  <c r="AE206" i="10"/>
  <c r="AD206" i="10"/>
  <c r="AC206" i="10"/>
  <c r="AB206" i="10"/>
  <c r="AA206" i="10"/>
  <c r="Z206" i="10"/>
  <c r="Y206" i="10"/>
  <c r="X206" i="10"/>
  <c r="W206" i="10"/>
  <c r="V206" i="10"/>
  <c r="U206" i="10"/>
  <c r="T206" i="10"/>
  <c r="S206" i="10"/>
  <c r="R206" i="10"/>
  <c r="Q206" i="10"/>
  <c r="P206" i="10"/>
  <c r="O206" i="10"/>
  <c r="N206" i="10"/>
  <c r="M206" i="10"/>
  <c r="L206" i="10"/>
  <c r="K206" i="10"/>
  <c r="J206" i="10"/>
  <c r="I206" i="10"/>
  <c r="H206" i="10"/>
  <c r="G206" i="10"/>
  <c r="F206" i="10"/>
  <c r="E206" i="10"/>
  <c r="D206" i="10"/>
  <c r="C206" i="10"/>
  <c r="B206" i="10"/>
  <c r="A206" i="10"/>
  <c r="AW205" i="10"/>
  <c r="AV205" i="10"/>
  <c r="AU205" i="10"/>
  <c r="AT205" i="10"/>
  <c r="AS205" i="10"/>
  <c r="AR205" i="10"/>
  <c r="AQ205" i="10"/>
  <c r="AP205" i="10"/>
  <c r="AO205" i="10"/>
  <c r="AN205" i="10"/>
  <c r="AM205" i="10"/>
  <c r="AL205" i="10"/>
  <c r="AK205" i="10"/>
  <c r="AJ205" i="10"/>
  <c r="AI205" i="10"/>
  <c r="AH205" i="10"/>
  <c r="AG205" i="10"/>
  <c r="AF205" i="10"/>
  <c r="AE205" i="10"/>
  <c r="AD205" i="10"/>
  <c r="AC205" i="10"/>
  <c r="AB205" i="10"/>
  <c r="AA205" i="10"/>
  <c r="Z205" i="10"/>
  <c r="Y205" i="10"/>
  <c r="X205" i="10"/>
  <c r="W205" i="10"/>
  <c r="V205" i="10"/>
  <c r="U205" i="10"/>
  <c r="T205" i="10"/>
  <c r="S205" i="10"/>
  <c r="R205" i="10"/>
  <c r="Q205" i="10"/>
  <c r="P205" i="10"/>
  <c r="O205" i="10"/>
  <c r="N205" i="10"/>
  <c r="M205" i="10"/>
  <c r="L205" i="10"/>
  <c r="K205" i="10"/>
  <c r="J205" i="10"/>
  <c r="I205" i="10"/>
  <c r="H205" i="10"/>
  <c r="G205" i="10"/>
  <c r="F205" i="10"/>
  <c r="E205" i="10"/>
  <c r="D205" i="10"/>
  <c r="C205" i="10"/>
  <c r="B205" i="10"/>
  <c r="AX205" i="10"/>
  <c r="AW204" i="10"/>
  <c r="AV204" i="10"/>
  <c r="AU204" i="10"/>
  <c r="AT204" i="10"/>
  <c r="AS204" i="10"/>
  <c r="AR204" i="10"/>
  <c r="AQ204" i="10"/>
  <c r="AP204" i="10"/>
  <c r="AO204" i="10"/>
  <c r="AN204" i="10"/>
  <c r="AM204" i="10"/>
  <c r="AL204" i="10"/>
  <c r="AK204" i="10"/>
  <c r="AJ204" i="10"/>
  <c r="AI204" i="10"/>
  <c r="AH204" i="10"/>
  <c r="AG204" i="10"/>
  <c r="AF204" i="10"/>
  <c r="AE204" i="10"/>
  <c r="AD204" i="10"/>
  <c r="AC204" i="10"/>
  <c r="AB204" i="10"/>
  <c r="AA204" i="10"/>
  <c r="Z204" i="10"/>
  <c r="Y204" i="10"/>
  <c r="X204" i="10"/>
  <c r="W204" i="10"/>
  <c r="V204" i="10"/>
  <c r="U204" i="10"/>
  <c r="T204" i="10"/>
  <c r="S204" i="10"/>
  <c r="R204" i="10"/>
  <c r="Q204" i="10"/>
  <c r="P204" i="10"/>
  <c r="O204" i="10"/>
  <c r="N204" i="10"/>
  <c r="M204" i="10"/>
  <c r="L204" i="10"/>
  <c r="K204" i="10"/>
  <c r="J204" i="10"/>
  <c r="I204" i="10"/>
  <c r="H204" i="10"/>
  <c r="G204" i="10"/>
  <c r="F204" i="10"/>
  <c r="E204" i="10"/>
  <c r="D204" i="10"/>
  <c r="C204" i="10"/>
  <c r="B204" i="10"/>
  <c r="AW203" i="10"/>
  <c r="AV203" i="10"/>
  <c r="AU203" i="10"/>
  <c r="AT203" i="10"/>
  <c r="AS203" i="10"/>
  <c r="AR203" i="10"/>
  <c r="AQ203" i="10"/>
  <c r="AP203" i="10"/>
  <c r="AO203" i="10"/>
  <c r="AN203" i="10"/>
  <c r="AM203" i="10"/>
  <c r="AL203" i="10"/>
  <c r="AK203" i="10"/>
  <c r="AJ203" i="10"/>
  <c r="AI203" i="10"/>
  <c r="AH203" i="10"/>
  <c r="AG203" i="10"/>
  <c r="AF203" i="10"/>
  <c r="AE203" i="10"/>
  <c r="AD203" i="10"/>
  <c r="AC203" i="10"/>
  <c r="AB203" i="10"/>
  <c r="AA203" i="10"/>
  <c r="Z203" i="10"/>
  <c r="Y203" i="10"/>
  <c r="X203" i="10"/>
  <c r="W203" i="10"/>
  <c r="V203" i="10"/>
  <c r="U203" i="10"/>
  <c r="T203" i="10"/>
  <c r="S203" i="10"/>
  <c r="R203" i="10"/>
  <c r="Q203" i="10"/>
  <c r="P203" i="10"/>
  <c r="O203" i="10"/>
  <c r="N203" i="10"/>
  <c r="M203" i="10"/>
  <c r="L203" i="10"/>
  <c r="K203" i="10"/>
  <c r="J203" i="10"/>
  <c r="I203" i="10"/>
  <c r="H203" i="10"/>
  <c r="G203" i="10"/>
  <c r="F203" i="10"/>
  <c r="E203" i="10"/>
  <c r="D203" i="10"/>
  <c r="C203" i="10"/>
  <c r="B203" i="10"/>
  <c r="AX203" i="10"/>
  <c r="A203" i="10"/>
  <c r="AW202" i="10"/>
  <c r="AV202" i="10"/>
  <c r="AU202" i="10"/>
  <c r="AT202" i="10"/>
  <c r="AS202" i="10"/>
  <c r="AR202" i="10"/>
  <c r="AQ202" i="10"/>
  <c r="AP202" i="10"/>
  <c r="AO202" i="10"/>
  <c r="AN202" i="10"/>
  <c r="AM202" i="10"/>
  <c r="AL202" i="10"/>
  <c r="AK202" i="10"/>
  <c r="AJ202" i="10"/>
  <c r="AI202" i="10"/>
  <c r="AH202" i="10"/>
  <c r="AG202" i="10"/>
  <c r="AF202" i="10"/>
  <c r="AE202" i="10"/>
  <c r="AD202" i="10"/>
  <c r="AC202" i="10"/>
  <c r="AB202" i="10"/>
  <c r="AA202" i="10"/>
  <c r="Z202" i="10"/>
  <c r="Y202" i="10"/>
  <c r="X202" i="10"/>
  <c r="W202" i="10"/>
  <c r="V202" i="10"/>
  <c r="U202" i="10"/>
  <c r="T202" i="10"/>
  <c r="S202" i="10"/>
  <c r="R202" i="10"/>
  <c r="Q202" i="10"/>
  <c r="P202" i="10"/>
  <c r="O202" i="10"/>
  <c r="N202" i="10"/>
  <c r="M202" i="10"/>
  <c r="L202" i="10"/>
  <c r="K202" i="10"/>
  <c r="J202" i="10"/>
  <c r="I202" i="10"/>
  <c r="H202" i="10"/>
  <c r="G202" i="10"/>
  <c r="F202" i="10"/>
  <c r="E202" i="10"/>
  <c r="D202" i="10"/>
  <c r="C202" i="10"/>
  <c r="B202" i="10"/>
  <c r="AW201" i="10"/>
  <c r="AV201" i="10"/>
  <c r="AU201" i="10"/>
  <c r="AT201" i="10"/>
  <c r="AS201" i="10"/>
  <c r="AR201" i="10"/>
  <c r="AQ201" i="10"/>
  <c r="AP201" i="10"/>
  <c r="AO201" i="10"/>
  <c r="AN201" i="10"/>
  <c r="AM201" i="10"/>
  <c r="AL201" i="10"/>
  <c r="AK201" i="10"/>
  <c r="AJ201" i="10"/>
  <c r="AI201" i="10"/>
  <c r="AH201" i="10"/>
  <c r="AG201" i="10"/>
  <c r="AF201" i="10"/>
  <c r="AE201" i="10"/>
  <c r="AD201" i="10"/>
  <c r="AC201" i="10"/>
  <c r="AB201" i="10"/>
  <c r="AA201" i="10"/>
  <c r="Z201" i="10"/>
  <c r="Y201" i="10"/>
  <c r="X201" i="10"/>
  <c r="W201" i="10"/>
  <c r="V201" i="10"/>
  <c r="U201" i="10"/>
  <c r="T201" i="10"/>
  <c r="S201" i="10"/>
  <c r="R201" i="10"/>
  <c r="Q201" i="10"/>
  <c r="P201" i="10"/>
  <c r="O201" i="10"/>
  <c r="N201" i="10"/>
  <c r="M201" i="10"/>
  <c r="L201" i="10"/>
  <c r="K201" i="10"/>
  <c r="J201" i="10"/>
  <c r="I201" i="10"/>
  <c r="H201" i="10"/>
  <c r="G201" i="10"/>
  <c r="F201" i="10"/>
  <c r="E201" i="10"/>
  <c r="D201" i="10"/>
  <c r="C201" i="10"/>
  <c r="B201" i="10"/>
  <c r="AW200" i="10"/>
  <c r="AV200" i="10"/>
  <c r="AU200" i="10"/>
  <c r="AT200" i="10"/>
  <c r="AS200" i="10"/>
  <c r="AR200" i="10"/>
  <c r="AQ200" i="10"/>
  <c r="AP200" i="10"/>
  <c r="AO200" i="10"/>
  <c r="AN200" i="10"/>
  <c r="AM200" i="10"/>
  <c r="AL200" i="10"/>
  <c r="AK200" i="10"/>
  <c r="AJ200" i="10"/>
  <c r="AI200" i="10"/>
  <c r="AH200" i="10"/>
  <c r="AG200" i="10"/>
  <c r="AF200" i="10"/>
  <c r="AE200" i="10"/>
  <c r="AD200" i="10"/>
  <c r="AC200" i="10"/>
  <c r="AB200" i="10"/>
  <c r="AA200" i="10"/>
  <c r="Z200" i="10"/>
  <c r="Y200" i="10"/>
  <c r="X200" i="10"/>
  <c r="W200" i="10"/>
  <c r="V200" i="10"/>
  <c r="U200" i="10"/>
  <c r="T200" i="10"/>
  <c r="S200" i="10"/>
  <c r="R200" i="10"/>
  <c r="Q200" i="10"/>
  <c r="P200" i="10"/>
  <c r="O200" i="10"/>
  <c r="N200" i="10"/>
  <c r="M200" i="10"/>
  <c r="L200" i="10"/>
  <c r="K200" i="10"/>
  <c r="J200" i="10"/>
  <c r="I200" i="10"/>
  <c r="H200" i="10"/>
  <c r="G200" i="10"/>
  <c r="F200" i="10"/>
  <c r="E200" i="10"/>
  <c r="D200" i="10"/>
  <c r="C200" i="10"/>
  <c r="B200" i="10"/>
  <c r="A200" i="10"/>
  <c r="AW199" i="10"/>
  <c r="AV199" i="10"/>
  <c r="AU199" i="10"/>
  <c r="AT199" i="10"/>
  <c r="AS199" i="10"/>
  <c r="AR199" i="10"/>
  <c r="AQ199" i="10"/>
  <c r="AP199" i="10"/>
  <c r="AO199" i="10"/>
  <c r="AN199" i="10"/>
  <c r="AM199" i="10"/>
  <c r="AL199" i="10"/>
  <c r="AK199" i="10"/>
  <c r="AJ199" i="10"/>
  <c r="AI199" i="10"/>
  <c r="AH199" i="10"/>
  <c r="AG199" i="10"/>
  <c r="AF199" i="10"/>
  <c r="AE199" i="10"/>
  <c r="AD199" i="10"/>
  <c r="AC199" i="10"/>
  <c r="AB199" i="10"/>
  <c r="AA199" i="10"/>
  <c r="Z199" i="10"/>
  <c r="Y199" i="10"/>
  <c r="X199" i="10"/>
  <c r="W199" i="10"/>
  <c r="V199" i="10"/>
  <c r="U199" i="10"/>
  <c r="T199" i="10"/>
  <c r="S199" i="10"/>
  <c r="R199" i="10"/>
  <c r="Q199" i="10"/>
  <c r="P199" i="10"/>
  <c r="O199" i="10"/>
  <c r="N199" i="10"/>
  <c r="M199" i="10"/>
  <c r="L199" i="10"/>
  <c r="K199" i="10"/>
  <c r="J199" i="10"/>
  <c r="I199" i="10"/>
  <c r="H199" i="10"/>
  <c r="G199" i="10"/>
  <c r="F199" i="10"/>
  <c r="E199" i="10"/>
  <c r="D199" i="10"/>
  <c r="C199" i="10"/>
  <c r="B199" i="10"/>
  <c r="AX199" i="10"/>
  <c r="AW198" i="10"/>
  <c r="AV198" i="10"/>
  <c r="AU198" i="10"/>
  <c r="AT198" i="10"/>
  <c r="AS198" i="10"/>
  <c r="AR198" i="10"/>
  <c r="AQ198" i="10"/>
  <c r="AP198" i="10"/>
  <c r="AO198" i="10"/>
  <c r="AN198" i="10"/>
  <c r="AM198" i="10"/>
  <c r="AL198" i="10"/>
  <c r="AK198" i="10"/>
  <c r="AJ198" i="10"/>
  <c r="AI198" i="10"/>
  <c r="AH198" i="10"/>
  <c r="AG198" i="10"/>
  <c r="AF198" i="10"/>
  <c r="AE198" i="10"/>
  <c r="AD198" i="10"/>
  <c r="AC198" i="10"/>
  <c r="AB198" i="10"/>
  <c r="AA198" i="10"/>
  <c r="Z198" i="10"/>
  <c r="Y198" i="10"/>
  <c r="X198" i="10"/>
  <c r="W198" i="10"/>
  <c r="V198" i="10"/>
  <c r="U198" i="10"/>
  <c r="T198" i="10"/>
  <c r="S198" i="10"/>
  <c r="R198" i="10"/>
  <c r="Q198" i="10"/>
  <c r="P198" i="10"/>
  <c r="O198" i="10"/>
  <c r="N198" i="10"/>
  <c r="M198" i="10"/>
  <c r="L198" i="10"/>
  <c r="K198" i="10"/>
  <c r="J198" i="10"/>
  <c r="I198" i="10"/>
  <c r="H198" i="10"/>
  <c r="G198" i="10"/>
  <c r="F198" i="10"/>
  <c r="E198" i="10"/>
  <c r="D198" i="10"/>
  <c r="C198" i="10"/>
  <c r="B198" i="10"/>
  <c r="AW197" i="10"/>
  <c r="AV197" i="10"/>
  <c r="AU197" i="10"/>
  <c r="AT197" i="10"/>
  <c r="AS197" i="10"/>
  <c r="AR197" i="10"/>
  <c r="AQ197" i="10"/>
  <c r="AP197" i="10"/>
  <c r="AO197" i="10"/>
  <c r="AN197" i="10"/>
  <c r="AM197" i="10"/>
  <c r="AL197" i="10"/>
  <c r="AK197" i="10"/>
  <c r="AJ197" i="10"/>
  <c r="AI197" i="10"/>
  <c r="AH197" i="10"/>
  <c r="AG197" i="10"/>
  <c r="AF197" i="10"/>
  <c r="AE197" i="10"/>
  <c r="AD197" i="10"/>
  <c r="AC197" i="10"/>
  <c r="AB197" i="10"/>
  <c r="AA197" i="10"/>
  <c r="Z197" i="10"/>
  <c r="Y197" i="10"/>
  <c r="X197" i="10"/>
  <c r="W197" i="10"/>
  <c r="V197" i="10"/>
  <c r="U197" i="10"/>
  <c r="T197" i="10"/>
  <c r="S197" i="10"/>
  <c r="R197" i="10"/>
  <c r="Q197" i="10"/>
  <c r="P197" i="10"/>
  <c r="O197" i="10"/>
  <c r="N197" i="10"/>
  <c r="M197" i="10"/>
  <c r="L197" i="10"/>
  <c r="K197" i="10"/>
  <c r="J197" i="10"/>
  <c r="I197" i="10"/>
  <c r="H197" i="10"/>
  <c r="G197" i="10"/>
  <c r="F197" i="10"/>
  <c r="E197" i="10"/>
  <c r="D197" i="10"/>
  <c r="C197" i="10"/>
  <c r="B197" i="10"/>
  <c r="A197" i="10"/>
  <c r="AW196" i="10"/>
  <c r="AV196" i="10"/>
  <c r="AU196" i="10"/>
  <c r="AT196" i="10"/>
  <c r="AS196" i="10"/>
  <c r="AR196" i="10"/>
  <c r="AQ196" i="10"/>
  <c r="AP196" i="10"/>
  <c r="AO196" i="10"/>
  <c r="AN196" i="10"/>
  <c r="AM196" i="10"/>
  <c r="AL196" i="10"/>
  <c r="AK196" i="10"/>
  <c r="AJ196" i="10"/>
  <c r="AI196" i="10"/>
  <c r="AH196" i="10"/>
  <c r="AG196" i="10"/>
  <c r="AF196" i="10"/>
  <c r="AE196" i="10"/>
  <c r="AD196" i="10"/>
  <c r="AC196" i="10"/>
  <c r="AB196" i="10"/>
  <c r="AA196" i="10"/>
  <c r="Z196" i="10"/>
  <c r="Y196" i="10"/>
  <c r="X196" i="10"/>
  <c r="W196" i="10"/>
  <c r="V196" i="10"/>
  <c r="U196" i="10"/>
  <c r="T196" i="10"/>
  <c r="S196" i="10"/>
  <c r="R196" i="10"/>
  <c r="Q196" i="10"/>
  <c r="P196" i="10"/>
  <c r="O196" i="10"/>
  <c r="N196" i="10"/>
  <c r="M196" i="10"/>
  <c r="L196" i="10"/>
  <c r="K196" i="10"/>
  <c r="J196" i="10"/>
  <c r="I196" i="10"/>
  <c r="H196" i="10"/>
  <c r="G196" i="10"/>
  <c r="F196" i="10"/>
  <c r="E196" i="10"/>
  <c r="D196" i="10"/>
  <c r="C196" i="10"/>
  <c r="B196" i="10"/>
  <c r="AX196" i="10"/>
  <c r="AW195" i="10"/>
  <c r="AV195" i="10"/>
  <c r="AU195" i="10"/>
  <c r="AT195" i="10"/>
  <c r="AS195" i="10"/>
  <c r="AR195" i="10"/>
  <c r="AQ195" i="10"/>
  <c r="AP195" i="10"/>
  <c r="AO195" i="10"/>
  <c r="AN195" i="10"/>
  <c r="AM195" i="10"/>
  <c r="AL195" i="10"/>
  <c r="AK195" i="10"/>
  <c r="AJ195" i="10"/>
  <c r="AI195" i="10"/>
  <c r="AH195" i="10"/>
  <c r="AG195" i="10"/>
  <c r="AF195" i="10"/>
  <c r="AE195" i="10"/>
  <c r="AD195" i="10"/>
  <c r="AC195" i="10"/>
  <c r="AB195" i="10"/>
  <c r="AA195" i="10"/>
  <c r="Z195" i="10"/>
  <c r="Y195" i="10"/>
  <c r="X195" i="10"/>
  <c r="W195" i="10"/>
  <c r="V195" i="10"/>
  <c r="U195" i="10"/>
  <c r="T195" i="10"/>
  <c r="S195" i="10"/>
  <c r="R195" i="10"/>
  <c r="Q195" i="10"/>
  <c r="P195" i="10"/>
  <c r="O195" i="10"/>
  <c r="N195" i="10"/>
  <c r="M195" i="10"/>
  <c r="L195" i="10"/>
  <c r="K195" i="10"/>
  <c r="J195" i="10"/>
  <c r="I195" i="10"/>
  <c r="H195" i="10"/>
  <c r="G195" i="10"/>
  <c r="F195" i="10"/>
  <c r="E195" i="10"/>
  <c r="D195" i="10"/>
  <c r="C195" i="10"/>
  <c r="B195" i="10"/>
  <c r="AW194" i="10"/>
  <c r="AV194" i="10"/>
  <c r="AU194" i="10"/>
  <c r="AT194" i="10"/>
  <c r="AS194" i="10"/>
  <c r="AR194" i="10"/>
  <c r="AQ194" i="10"/>
  <c r="AP194" i="10"/>
  <c r="AO194" i="10"/>
  <c r="AN194" i="10"/>
  <c r="AM194" i="10"/>
  <c r="AL194" i="10"/>
  <c r="AK194" i="10"/>
  <c r="AJ194" i="10"/>
  <c r="AI194" i="10"/>
  <c r="AH194" i="10"/>
  <c r="AG194" i="10"/>
  <c r="AF194" i="10"/>
  <c r="AE194" i="10"/>
  <c r="AD194" i="10"/>
  <c r="AC194" i="10"/>
  <c r="AB194" i="10"/>
  <c r="AA194" i="10"/>
  <c r="Z194" i="10"/>
  <c r="Y194" i="10"/>
  <c r="X194" i="10"/>
  <c r="W194" i="10"/>
  <c r="V194" i="10"/>
  <c r="U194" i="10"/>
  <c r="T194" i="10"/>
  <c r="S194" i="10"/>
  <c r="R194" i="10"/>
  <c r="Q194" i="10"/>
  <c r="P194" i="10"/>
  <c r="O194" i="10"/>
  <c r="N194" i="10"/>
  <c r="M194" i="10"/>
  <c r="L194" i="10"/>
  <c r="K194" i="10"/>
  <c r="J194" i="10"/>
  <c r="I194" i="10"/>
  <c r="H194" i="10"/>
  <c r="G194" i="10"/>
  <c r="F194" i="10"/>
  <c r="E194" i="10"/>
  <c r="D194" i="10"/>
  <c r="C194" i="10"/>
  <c r="B194" i="10"/>
  <c r="AX194" i="10"/>
  <c r="A194" i="10"/>
  <c r="AW193" i="10"/>
  <c r="AV193" i="10"/>
  <c r="AU193" i="10"/>
  <c r="AT193" i="10"/>
  <c r="AS193" i="10"/>
  <c r="AR193" i="10"/>
  <c r="AQ193" i="10"/>
  <c r="AP193" i="10"/>
  <c r="AO193" i="10"/>
  <c r="AN193" i="10"/>
  <c r="AM193" i="10"/>
  <c r="AL193" i="10"/>
  <c r="AK193" i="10"/>
  <c r="AJ193" i="10"/>
  <c r="AI193" i="10"/>
  <c r="AH193" i="10"/>
  <c r="AG193" i="10"/>
  <c r="AF193" i="10"/>
  <c r="AE193" i="10"/>
  <c r="AD193" i="10"/>
  <c r="AC193" i="10"/>
  <c r="AB193" i="10"/>
  <c r="AA193" i="10"/>
  <c r="Z193" i="10"/>
  <c r="Y193" i="10"/>
  <c r="X193" i="10"/>
  <c r="W193" i="10"/>
  <c r="V193" i="10"/>
  <c r="U193" i="10"/>
  <c r="T193" i="10"/>
  <c r="S193" i="10"/>
  <c r="R193" i="10"/>
  <c r="Q193" i="10"/>
  <c r="P193" i="10"/>
  <c r="O193" i="10"/>
  <c r="N193" i="10"/>
  <c r="M193" i="10"/>
  <c r="L193" i="10"/>
  <c r="K193" i="10"/>
  <c r="J193" i="10"/>
  <c r="I193" i="10"/>
  <c r="H193" i="10"/>
  <c r="G193" i="10"/>
  <c r="F193" i="10"/>
  <c r="E193" i="10"/>
  <c r="D193" i="10"/>
  <c r="C193" i="10"/>
  <c r="B193" i="10"/>
  <c r="AW192" i="10"/>
  <c r="AV192" i="10"/>
  <c r="AU192" i="10"/>
  <c r="AT192" i="10"/>
  <c r="AS192" i="10"/>
  <c r="AR192" i="10"/>
  <c r="AQ192" i="10"/>
  <c r="AP192" i="10"/>
  <c r="AO192" i="10"/>
  <c r="AN192" i="10"/>
  <c r="AM192" i="10"/>
  <c r="AL192" i="10"/>
  <c r="AK192" i="10"/>
  <c r="AJ192" i="10"/>
  <c r="AI192" i="10"/>
  <c r="AH192" i="10"/>
  <c r="AG192" i="10"/>
  <c r="AF192" i="10"/>
  <c r="AE192" i="10"/>
  <c r="AD192" i="10"/>
  <c r="AC192" i="10"/>
  <c r="AB192" i="10"/>
  <c r="AA192" i="10"/>
  <c r="Z192" i="10"/>
  <c r="Y192" i="10"/>
  <c r="X192" i="10"/>
  <c r="W192" i="10"/>
  <c r="V192" i="10"/>
  <c r="U192" i="10"/>
  <c r="T192" i="10"/>
  <c r="S192" i="10"/>
  <c r="R192" i="10"/>
  <c r="Q192" i="10"/>
  <c r="P192" i="10"/>
  <c r="O192" i="10"/>
  <c r="N192" i="10"/>
  <c r="M192" i="10"/>
  <c r="L192" i="10"/>
  <c r="K192" i="10"/>
  <c r="J192" i="10"/>
  <c r="I192" i="10"/>
  <c r="H192" i="10"/>
  <c r="G192" i="10"/>
  <c r="F192" i="10"/>
  <c r="E192" i="10"/>
  <c r="D192" i="10"/>
  <c r="C192" i="10"/>
  <c r="B192" i="10"/>
  <c r="AW191" i="10"/>
  <c r="AV191" i="10"/>
  <c r="AU191" i="10"/>
  <c r="AT191" i="10"/>
  <c r="AS191" i="10"/>
  <c r="AR191" i="10"/>
  <c r="AQ191" i="10"/>
  <c r="AP191" i="10"/>
  <c r="AO191" i="10"/>
  <c r="AN191" i="10"/>
  <c r="AM191" i="10"/>
  <c r="AL191" i="10"/>
  <c r="AK191" i="10"/>
  <c r="AJ191" i="10"/>
  <c r="AI191" i="10"/>
  <c r="AH191" i="10"/>
  <c r="AG191" i="10"/>
  <c r="AF191" i="10"/>
  <c r="AE191" i="10"/>
  <c r="AD191" i="10"/>
  <c r="AC191" i="10"/>
  <c r="AB191" i="10"/>
  <c r="AA191" i="10"/>
  <c r="Z191" i="10"/>
  <c r="Y191" i="10"/>
  <c r="X191" i="10"/>
  <c r="W191" i="10"/>
  <c r="V191" i="10"/>
  <c r="U191" i="10"/>
  <c r="T191" i="10"/>
  <c r="S191" i="10"/>
  <c r="R191" i="10"/>
  <c r="Q191" i="10"/>
  <c r="P191" i="10"/>
  <c r="O191" i="10"/>
  <c r="N191" i="10"/>
  <c r="M191" i="10"/>
  <c r="L191" i="10"/>
  <c r="K191" i="10"/>
  <c r="J191" i="10"/>
  <c r="I191" i="10"/>
  <c r="H191" i="10"/>
  <c r="G191" i="10"/>
  <c r="F191" i="10"/>
  <c r="E191" i="10"/>
  <c r="D191" i="10"/>
  <c r="C191" i="10"/>
  <c r="B191" i="10"/>
  <c r="A191" i="10"/>
  <c r="AW190" i="10"/>
  <c r="AV190" i="10"/>
  <c r="AU190" i="10"/>
  <c r="AT190" i="10"/>
  <c r="AS190" i="10"/>
  <c r="AR190" i="10"/>
  <c r="AQ190" i="10"/>
  <c r="AP190" i="10"/>
  <c r="AO190" i="10"/>
  <c r="AN190" i="10"/>
  <c r="AM190" i="10"/>
  <c r="AL190" i="10"/>
  <c r="AK190" i="10"/>
  <c r="AJ190" i="10"/>
  <c r="AI190" i="10"/>
  <c r="AH190" i="10"/>
  <c r="AG190" i="10"/>
  <c r="AF190" i="10"/>
  <c r="AE190" i="10"/>
  <c r="AD190" i="10"/>
  <c r="AC190" i="10"/>
  <c r="AB190" i="10"/>
  <c r="AA190" i="10"/>
  <c r="Z190" i="10"/>
  <c r="Y190" i="10"/>
  <c r="X190" i="10"/>
  <c r="W190" i="10"/>
  <c r="V190" i="10"/>
  <c r="U190" i="10"/>
  <c r="T190" i="10"/>
  <c r="S190" i="10"/>
  <c r="R190" i="10"/>
  <c r="Q190" i="10"/>
  <c r="P190" i="10"/>
  <c r="O190" i="10"/>
  <c r="N190" i="10"/>
  <c r="M190" i="10"/>
  <c r="L190" i="10"/>
  <c r="K190" i="10"/>
  <c r="J190" i="10"/>
  <c r="I190" i="10"/>
  <c r="H190" i="10"/>
  <c r="G190" i="10"/>
  <c r="F190" i="10"/>
  <c r="E190" i="10"/>
  <c r="D190" i="10"/>
  <c r="C190" i="10"/>
  <c r="B190" i="10"/>
  <c r="AX190" i="10"/>
  <c r="AW189" i="10"/>
  <c r="AV189" i="10"/>
  <c r="AU189" i="10"/>
  <c r="AT189" i="10"/>
  <c r="AS189" i="10"/>
  <c r="AR189" i="10"/>
  <c r="AQ189" i="10"/>
  <c r="AP189" i="10"/>
  <c r="AO189" i="10"/>
  <c r="AN189" i="10"/>
  <c r="AM189" i="10"/>
  <c r="AL189" i="10"/>
  <c r="AK189" i="10"/>
  <c r="AJ189" i="10"/>
  <c r="AI189" i="10"/>
  <c r="AH189" i="10"/>
  <c r="AG189" i="10"/>
  <c r="AF189" i="10"/>
  <c r="AE189" i="10"/>
  <c r="AD189" i="10"/>
  <c r="AC189" i="10"/>
  <c r="AB189" i="10"/>
  <c r="AA189" i="10"/>
  <c r="Z189" i="10"/>
  <c r="Y189" i="10"/>
  <c r="X189" i="10"/>
  <c r="W189" i="10"/>
  <c r="V189" i="10"/>
  <c r="U189" i="10"/>
  <c r="T189" i="10"/>
  <c r="S189" i="10"/>
  <c r="R189" i="10"/>
  <c r="Q189" i="10"/>
  <c r="P189" i="10"/>
  <c r="O189" i="10"/>
  <c r="N189" i="10"/>
  <c r="M189" i="10"/>
  <c r="L189" i="10"/>
  <c r="K189" i="10"/>
  <c r="J189" i="10"/>
  <c r="I189" i="10"/>
  <c r="H189" i="10"/>
  <c r="G189" i="10"/>
  <c r="F189" i="10"/>
  <c r="E189" i="10"/>
  <c r="D189" i="10"/>
  <c r="C189" i="10"/>
  <c r="B189" i="10"/>
  <c r="AW188" i="10"/>
  <c r="AV188" i="10"/>
  <c r="AU188" i="10"/>
  <c r="AT188" i="10"/>
  <c r="AS188" i="10"/>
  <c r="AR188" i="10"/>
  <c r="AQ188" i="10"/>
  <c r="AP188" i="10"/>
  <c r="AO188" i="10"/>
  <c r="AN188" i="10"/>
  <c r="AM188" i="10"/>
  <c r="AL188" i="10"/>
  <c r="AK188" i="10"/>
  <c r="AJ188" i="10"/>
  <c r="AI188" i="10"/>
  <c r="AH188" i="10"/>
  <c r="AG188" i="10"/>
  <c r="AF188" i="10"/>
  <c r="AE188" i="10"/>
  <c r="AD188" i="10"/>
  <c r="AC188" i="10"/>
  <c r="AB188" i="10"/>
  <c r="AA188" i="10"/>
  <c r="Z188" i="10"/>
  <c r="Y188" i="10"/>
  <c r="X188" i="10"/>
  <c r="W188" i="10"/>
  <c r="V188" i="10"/>
  <c r="U188" i="10"/>
  <c r="T188" i="10"/>
  <c r="S188" i="10"/>
  <c r="R188" i="10"/>
  <c r="Q188" i="10"/>
  <c r="P188" i="10"/>
  <c r="O188" i="10"/>
  <c r="N188" i="10"/>
  <c r="M188" i="10"/>
  <c r="L188" i="10"/>
  <c r="K188" i="10"/>
  <c r="J188" i="10"/>
  <c r="I188" i="10"/>
  <c r="H188" i="10"/>
  <c r="G188" i="10"/>
  <c r="F188" i="10"/>
  <c r="E188" i="10"/>
  <c r="D188" i="10"/>
  <c r="C188" i="10"/>
  <c r="B188" i="10"/>
  <c r="A188" i="10"/>
  <c r="AW187" i="10"/>
  <c r="AV187" i="10"/>
  <c r="AU187" i="10"/>
  <c r="AT187" i="10"/>
  <c r="AS187" i="10"/>
  <c r="AR187" i="10"/>
  <c r="AQ187" i="10"/>
  <c r="AP187" i="10"/>
  <c r="AO187" i="10"/>
  <c r="AN187" i="10"/>
  <c r="AM187" i="10"/>
  <c r="AL187" i="10"/>
  <c r="AK187" i="10"/>
  <c r="AJ187" i="10"/>
  <c r="AI187" i="10"/>
  <c r="AH187" i="10"/>
  <c r="AG187" i="10"/>
  <c r="AF187" i="10"/>
  <c r="AE187" i="10"/>
  <c r="AD187" i="10"/>
  <c r="AC187" i="10"/>
  <c r="AB187" i="10"/>
  <c r="AA187" i="10"/>
  <c r="Z187" i="10"/>
  <c r="Y187" i="10"/>
  <c r="X187" i="10"/>
  <c r="W187" i="10"/>
  <c r="V187" i="10"/>
  <c r="U187" i="10"/>
  <c r="T187" i="10"/>
  <c r="S187" i="10"/>
  <c r="R187" i="10"/>
  <c r="Q187" i="10"/>
  <c r="P187" i="10"/>
  <c r="O187" i="10"/>
  <c r="N187" i="10"/>
  <c r="M187" i="10"/>
  <c r="L187" i="10"/>
  <c r="K187" i="10"/>
  <c r="J187" i="10"/>
  <c r="I187" i="10"/>
  <c r="H187" i="10"/>
  <c r="G187" i="10"/>
  <c r="F187" i="10"/>
  <c r="E187" i="10"/>
  <c r="D187" i="10"/>
  <c r="C187" i="10"/>
  <c r="B187" i="10"/>
  <c r="AX187" i="10"/>
  <c r="AW186" i="10"/>
  <c r="AV186" i="10"/>
  <c r="AU186" i="10"/>
  <c r="AT186" i="10"/>
  <c r="AS186" i="10"/>
  <c r="AR186" i="10"/>
  <c r="AQ186" i="10"/>
  <c r="AP186" i="10"/>
  <c r="AO186" i="10"/>
  <c r="AN186" i="10"/>
  <c r="AM186" i="10"/>
  <c r="AL186" i="10"/>
  <c r="AK186" i="10"/>
  <c r="AJ186" i="10"/>
  <c r="AI186" i="10"/>
  <c r="AH186" i="10"/>
  <c r="AG186" i="10"/>
  <c r="AF186" i="10"/>
  <c r="AE186" i="10"/>
  <c r="AD186" i="10"/>
  <c r="AC186" i="10"/>
  <c r="AB186" i="10"/>
  <c r="AA186" i="10"/>
  <c r="Z186" i="10"/>
  <c r="Y186" i="10"/>
  <c r="X186" i="10"/>
  <c r="W186" i="10"/>
  <c r="V186" i="10"/>
  <c r="U186" i="10"/>
  <c r="T186" i="10"/>
  <c r="S186" i="10"/>
  <c r="R186" i="10"/>
  <c r="Q186" i="10"/>
  <c r="P186" i="10"/>
  <c r="O186" i="10"/>
  <c r="N186" i="10"/>
  <c r="M186" i="10"/>
  <c r="L186" i="10"/>
  <c r="K186" i="10"/>
  <c r="J186" i="10"/>
  <c r="I186" i="10"/>
  <c r="H186" i="10"/>
  <c r="G186" i="10"/>
  <c r="F186" i="10"/>
  <c r="E186" i="10"/>
  <c r="D186" i="10"/>
  <c r="C186" i="10"/>
  <c r="B186" i="10"/>
  <c r="AW185" i="10"/>
  <c r="AV185" i="10"/>
  <c r="AU185" i="10"/>
  <c r="AT185" i="10"/>
  <c r="AS185" i="10"/>
  <c r="AR185" i="10"/>
  <c r="AQ185" i="10"/>
  <c r="AP185" i="10"/>
  <c r="AO185" i="10"/>
  <c r="AN185" i="10"/>
  <c r="AM185" i="10"/>
  <c r="AL185" i="10"/>
  <c r="AK185" i="10"/>
  <c r="AJ185" i="10"/>
  <c r="AI185" i="10"/>
  <c r="AH185" i="10"/>
  <c r="AG185" i="10"/>
  <c r="AF185" i="10"/>
  <c r="AE185" i="10"/>
  <c r="AD185" i="10"/>
  <c r="AC185" i="10"/>
  <c r="AB185" i="10"/>
  <c r="AA185" i="10"/>
  <c r="Z185" i="10"/>
  <c r="Y185" i="10"/>
  <c r="X185" i="10"/>
  <c r="W185" i="10"/>
  <c r="V185" i="10"/>
  <c r="U185" i="10"/>
  <c r="T185" i="10"/>
  <c r="S185" i="10"/>
  <c r="R185" i="10"/>
  <c r="Q185" i="10"/>
  <c r="P185" i="10"/>
  <c r="O185" i="10"/>
  <c r="N185" i="10"/>
  <c r="M185" i="10"/>
  <c r="L185" i="10"/>
  <c r="K185" i="10"/>
  <c r="J185" i="10"/>
  <c r="I185" i="10"/>
  <c r="H185" i="10"/>
  <c r="G185" i="10"/>
  <c r="F185" i="10"/>
  <c r="E185" i="10"/>
  <c r="D185" i="10"/>
  <c r="C185" i="10"/>
  <c r="B185" i="10"/>
  <c r="AX185" i="10"/>
  <c r="A185" i="10"/>
  <c r="AW184" i="10"/>
  <c r="AV184" i="10"/>
  <c r="AU184" i="10"/>
  <c r="AT184" i="10"/>
  <c r="AS184" i="10"/>
  <c r="AR184" i="10"/>
  <c r="AQ184" i="10"/>
  <c r="AP184" i="10"/>
  <c r="AO184" i="10"/>
  <c r="AN184" i="10"/>
  <c r="AM184" i="10"/>
  <c r="AL184" i="10"/>
  <c r="AK184" i="10"/>
  <c r="AJ184" i="10"/>
  <c r="AI184" i="10"/>
  <c r="AH184" i="10"/>
  <c r="AG184" i="10"/>
  <c r="AF184" i="10"/>
  <c r="AE184" i="10"/>
  <c r="AD184" i="10"/>
  <c r="AC184" i="10"/>
  <c r="AB184" i="10"/>
  <c r="AA184" i="10"/>
  <c r="Z184" i="10"/>
  <c r="Y184" i="10"/>
  <c r="X184" i="10"/>
  <c r="W184" i="10"/>
  <c r="V184" i="10"/>
  <c r="U184" i="10"/>
  <c r="T184" i="10"/>
  <c r="S184" i="10"/>
  <c r="R184" i="10"/>
  <c r="Q184" i="10"/>
  <c r="P184" i="10"/>
  <c r="O184" i="10"/>
  <c r="N184" i="10"/>
  <c r="M184" i="10"/>
  <c r="L184" i="10"/>
  <c r="K184" i="10"/>
  <c r="J184" i="10"/>
  <c r="I184" i="10"/>
  <c r="H184" i="10"/>
  <c r="G184" i="10"/>
  <c r="F184" i="10"/>
  <c r="E184" i="10"/>
  <c r="D184" i="10"/>
  <c r="C184" i="10"/>
  <c r="B184" i="10"/>
  <c r="AW183" i="10"/>
  <c r="AV183" i="10"/>
  <c r="AU183" i="10"/>
  <c r="AT183" i="10"/>
  <c r="AS183" i="10"/>
  <c r="AR183" i="10"/>
  <c r="AQ183" i="10"/>
  <c r="AP183" i="10"/>
  <c r="AO183" i="10"/>
  <c r="AN183" i="10"/>
  <c r="AM183" i="10"/>
  <c r="AL183" i="10"/>
  <c r="AK183" i="10"/>
  <c r="AJ183" i="10"/>
  <c r="AI183" i="10"/>
  <c r="AH183" i="10"/>
  <c r="AG183" i="10"/>
  <c r="AF183" i="10"/>
  <c r="AE183" i="10"/>
  <c r="AD183" i="10"/>
  <c r="AC183" i="10"/>
  <c r="AB183" i="10"/>
  <c r="AA183" i="10"/>
  <c r="Z183" i="10"/>
  <c r="Y183" i="10"/>
  <c r="X183" i="10"/>
  <c r="W183" i="10"/>
  <c r="V183" i="10"/>
  <c r="U183" i="10"/>
  <c r="T183" i="10"/>
  <c r="S183" i="10"/>
  <c r="R183" i="10"/>
  <c r="Q183" i="10"/>
  <c r="P183" i="10"/>
  <c r="O183" i="10"/>
  <c r="N183" i="10"/>
  <c r="M183" i="10"/>
  <c r="L183" i="10"/>
  <c r="K183" i="10"/>
  <c r="J183" i="10"/>
  <c r="I183" i="10"/>
  <c r="H183" i="10"/>
  <c r="G183" i="10"/>
  <c r="F183" i="10"/>
  <c r="E183" i="10"/>
  <c r="D183" i="10"/>
  <c r="C183" i="10"/>
  <c r="B183" i="10"/>
  <c r="AW182" i="10"/>
  <c r="AV182" i="10"/>
  <c r="AU182" i="10"/>
  <c r="AT182" i="10"/>
  <c r="AS182" i="10"/>
  <c r="AR182" i="10"/>
  <c r="AQ182" i="10"/>
  <c r="AP182" i="10"/>
  <c r="AO182" i="10"/>
  <c r="AN182" i="10"/>
  <c r="AM182" i="10"/>
  <c r="AL182" i="10"/>
  <c r="AK182" i="10"/>
  <c r="AJ182" i="10"/>
  <c r="AI182" i="10"/>
  <c r="AH182" i="10"/>
  <c r="AG182" i="10"/>
  <c r="AF182" i="10"/>
  <c r="AE182" i="10"/>
  <c r="AD182" i="10"/>
  <c r="AC182" i="10"/>
  <c r="AB182" i="10"/>
  <c r="AA182" i="10"/>
  <c r="Z182" i="10"/>
  <c r="Y182" i="10"/>
  <c r="X182" i="10"/>
  <c r="W182" i="10"/>
  <c r="V182" i="10"/>
  <c r="U182" i="10"/>
  <c r="T182" i="10"/>
  <c r="S182" i="10"/>
  <c r="R182" i="10"/>
  <c r="Q182" i="10"/>
  <c r="P182" i="10"/>
  <c r="O182" i="10"/>
  <c r="N182" i="10"/>
  <c r="M182" i="10"/>
  <c r="L182" i="10"/>
  <c r="K182" i="10"/>
  <c r="J182" i="10"/>
  <c r="I182" i="10"/>
  <c r="H182" i="10"/>
  <c r="G182" i="10"/>
  <c r="F182" i="10"/>
  <c r="E182" i="10"/>
  <c r="D182" i="10"/>
  <c r="C182" i="10"/>
  <c r="B182" i="10"/>
  <c r="A182" i="10"/>
  <c r="AW181" i="10"/>
  <c r="AV181" i="10"/>
  <c r="AU181" i="10"/>
  <c r="AT181" i="10"/>
  <c r="AS181" i="10"/>
  <c r="AR181" i="10"/>
  <c r="AQ181" i="10"/>
  <c r="AP181" i="10"/>
  <c r="AO181" i="10"/>
  <c r="AN181" i="10"/>
  <c r="AM181" i="10"/>
  <c r="AL181" i="10"/>
  <c r="AK181" i="10"/>
  <c r="AJ181" i="10"/>
  <c r="AI181" i="10"/>
  <c r="AH181" i="10"/>
  <c r="AG181" i="10"/>
  <c r="AF181" i="10"/>
  <c r="AE181" i="10"/>
  <c r="AD181" i="10"/>
  <c r="AC181" i="10"/>
  <c r="AB181" i="10"/>
  <c r="AA181" i="10"/>
  <c r="Z181" i="10"/>
  <c r="Y181" i="10"/>
  <c r="X181" i="10"/>
  <c r="W181" i="10"/>
  <c r="V181" i="10"/>
  <c r="U181" i="10"/>
  <c r="T181" i="10"/>
  <c r="S181" i="10"/>
  <c r="R181" i="10"/>
  <c r="Q181" i="10"/>
  <c r="P181" i="10"/>
  <c r="O181" i="10"/>
  <c r="N181" i="10"/>
  <c r="M181" i="10"/>
  <c r="L181" i="10"/>
  <c r="K181" i="10"/>
  <c r="J181" i="10"/>
  <c r="I181" i="10"/>
  <c r="H181" i="10"/>
  <c r="G181" i="10"/>
  <c r="F181" i="10"/>
  <c r="E181" i="10"/>
  <c r="D181" i="10"/>
  <c r="C181" i="10"/>
  <c r="B181" i="10"/>
  <c r="AX181" i="10"/>
  <c r="AW180" i="10"/>
  <c r="AV180" i="10"/>
  <c r="AU180" i="10"/>
  <c r="AT180" i="10"/>
  <c r="AS180" i="10"/>
  <c r="AR180" i="10"/>
  <c r="AQ180" i="10"/>
  <c r="AP180" i="10"/>
  <c r="AO180" i="10"/>
  <c r="AN180" i="10"/>
  <c r="AM180" i="10"/>
  <c r="AL180" i="10"/>
  <c r="AK180" i="10"/>
  <c r="AJ180" i="10"/>
  <c r="AI180" i="10"/>
  <c r="AH180" i="10"/>
  <c r="AG180" i="10"/>
  <c r="AF180" i="10"/>
  <c r="AE180" i="10"/>
  <c r="AD180" i="10"/>
  <c r="AC180" i="10"/>
  <c r="AB180" i="10"/>
  <c r="AA180" i="10"/>
  <c r="Z180" i="10"/>
  <c r="Y180" i="10"/>
  <c r="X180" i="10"/>
  <c r="W180" i="10"/>
  <c r="V180" i="10"/>
  <c r="U180" i="10"/>
  <c r="T180" i="10"/>
  <c r="S180" i="10"/>
  <c r="R180" i="10"/>
  <c r="Q180" i="10"/>
  <c r="P180" i="10"/>
  <c r="O180" i="10"/>
  <c r="N180" i="10"/>
  <c r="M180" i="10"/>
  <c r="L180" i="10"/>
  <c r="K180" i="10"/>
  <c r="J180" i="10"/>
  <c r="I180" i="10"/>
  <c r="H180" i="10"/>
  <c r="G180" i="10"/>
  <c r="F180" i="10"/>
  <c r="E180" i="10"/>
  <c r="D180" i="10"/>
  <c r="C180" i="10"/>
  <c r="B180" i="10"/>
  <c r="AW179" i="10"/>
  <c r="AV179" i="10"/>
  <c r="AU179" i="10"/>
  <c r="AT179" i="10"/>
  <c r="AS179" i="10"/>
  <c r="AR179" i="10"/>
  <c r="AQ179" i="10"/>
  <c r="AP179" i="10"/>
  <c r="AO179" i="10"/>
  <c r="AN179" i="10"/>
  <c r="AM179" i="10"/>
  <c r="AL179" i="10"/>
  <c r="AK179" i="10"/>
  <c r="AJ179" i="10"/>
  <c r="AI179" i="10"/>
  <c r="AH179" i="10"/>
  <c r="AG179" i="10"/>
  <c r="AF179" i="10"/>
  <c r="AE179" i="10"/>
  <c r="AD179" i="10"/>
  <c r="AC179" i="10"/>
  <c r="AB179" i="10"/>
  <c r="AA179" i="10"/>
  <c r="Z179" i="10"/>
  <c r="Y179" i="10"/>
  <c r="X179" i="10"/>
  <c r="W179" i="10"/>
  <c r="V179" i="10"/>
  <c r="U179" i="10"/>
  <c r="T179" i="10"/>
  <c r="S179" i="10"/>
  <c r="R179" i="10"/>
  <c r="Q179" i="10"/>
  <c r="P179" i="10"/>
  <c r="O179" i="10"/>
  <c r="N179" i="10"/>
  <c r="M179" i="10"/>
  <c r="L179" i="10"/>
  <c r="K179" i="10"/>
  <c r="J179" i="10"/>
  <c r="I179" i="10"/>
  <c r="H179" i="10"/>
  <c r="G179" i="10"/>
  <c r="F179" i="10"/>
  <c r="E179" i="10"/>
  <c r="D179" i="10"/>
  <c r="C179" i="10"/>
  <c r="B179" i="10"/>
  <c r="A179" i="10"/>
  <c r="AW178" i="10"/>
  <c r="AV178" i="10"/>
  <c r="AU178" i="10"/>
  <c r="AT178" i="10"/>
  <c r="AS178" i="10"/>
  <c r="AR178" i="10"/>
  <c r="AQ178" i="10"/>
  <c r="AP178" i="10"/>
  <c r="AO178" i="10"/>
  <c r="AN178" i="10"/>
  <c r="AM178" i="10"/>
  <c r="AL178" i="10"/>
  <c r="AK178" i="10"/>
  <c r="AJ178" i="10"/>
  <c r="AI178" i="10"/>
  <c r="AH178" i="10"/>
  <c r="AG178" i="10"/>
  <c r="AF178" i="10"/>
  <c r="AE178" i="10"/>
  <c r="AD178" i="10"/>
  <c r="AC178" i="10"/>
  <c r="AB178" i="10"/>
  <c r="AA178" i="10"/>
  <c r="Z178" i="10"/>
  <c r="Y178" i="10"/>
  <c r="X178" i="10"/>
  <c r="W178" i="10"/>
  <c r="V178" i="10"/>
  <c r="U178" i="10"/>
  <c r="T178" i="10"/>
  <c r="S178" i="10"/>
  <c r="R178" i="10"/>
  <c r="Q178" i="10"/>
  <c r="P178" i="10"/>
  <c r="O178" i="10"/>
  <c r="N178" i="10"/>
  <c r="M178" i="10"/>
  <c r="L178" i="10"/>
  <c r="K178" i="10"/>
  <c r="J178" i="10"/>
  <c r="I178" i="10"/>
  <c r="H178" i="10"/>
  <c r="G178" i="10"/>
  <c r="F178" i="10"/>
  <c r="E178" i="10"/>
  <c r="D178" i="10"/>
  <c r="C178" i="10"/>
  <c r="B178" i="10"/>
  <c r="AX178" i="10"/>
  <c r="AW177" i="10"/>
  <c r="AV177" i="10"/>
  <c r="AU177" i="10"/>
  <c r="AT177" i="10"/>
  <c r="AS177" i="10"/>
  <c r="AR177" i="10"/>
  <c r="AQ177" i="10"/>
  <c r="AP177" i="10"/>
  <c r="AO177" i="10"/>
  <c r="AN177" i="10"/>
  <c r="AM177" i="10"/>
  <c r="AL177" i="10"/>
  <c r="AK177" i="10"/>
  <c r="AJ177" i="10"/>
  <c r="AI177" i="10"/>
  <c r="AH177" i="10"/>
  <c r="AG177" i="10"/>
  <c r="AF177" i="10"/>
  <c r="AE177" i="10"/>
  <c r="AD177" i="10"/>
  <c r="AC177" i="10"/>
  <c r="AB177" i="10"/>
  <c r="AA177" i="10"/>
  <c r="Z177" i="10"/>
  <c r="Y177" i="10"/>
  <c r="X177" i="10"/>
  <c r="W177" i="10"/>
  <c r="V177" i="10"/>
  <c r="U177" i="10"/>
  <c r="T177" i="10"/>
  <c r="S177" i="10"/>
  <c r="R177" i="10"/>
  <c r="Q177" i="10"/>
  <c r="P177" i="10"/>
  <c r="O177" i="10"/>
  <c r="N177" i="10"/>
  <c r="M177" i="10"/>
  <c r="L177" i="10"/>
  <c r="K177" i="10"/>
  <c r="J177" i="10"/>
  <c r="I177" i="10"/>
  <c r="H177" i="10"/>
  <c r="G177" i="10"/>
  <c r="F177" i="10"/>
  <c r="E177" i="10"/>
  <c r="D177" i="10"/>
  <c r="C177" i="10"/>
  <c r="B177" i="10"/>
  <c r="AW176" i="10"/>
  <c r="AV176" i="10"/>
  <c r="AU176" i="10"/>
  <c r="AT176" i="10"/>
  <c r="AS176" i="10"/>
  <c r="AR176" i="10"/>
  <c r="AQ176" i="10"/>
  <c r="AP176" i="10"/>
  <c r="AO176" i="10"/>
  <c r="AN176" i="10"/>
  <c r="AM176" i="10"/>
  <c r="AL176" i="10"/>
  <c r="AK176" i="10"/>
  <c r="AJ176" i="10"/>
  <c r="AI176" i="10"/>
  <c r="AH176" i="10"/>
  <c r="AG176" i="10"/>
  <c r="AF176" i="10"/>
  <c r="AE176" i="10"/>
  <c r="AD176" i="10"/>
  <c r="AC176" i="10"/>
  <c r="AB176" i="10"/>
  <c r="AA176" i="10"/>
  <c r="Z176" i="10"/>
  <c r="Y176" i="10"/>
  <c r="X176" i="10"/>
  <c r="W176" i="10"/>
  <c r="V176" i="10"/>
  <c r="U176" i="10"/>
  <c r="T176" i="10"/>
  <c r="S176" i="10"/>
  <c r="R176" i="10"/>
  <c r="Q176" i="10"/>
  <c r="P176" i="10"/>
  <c r="O176" i="10"/>
  <c r="N176" i="10"/>
  <c r="M176" i="10"/>
  <c r="L176" i="10"/>
  <c r="K176" i="10"/>
  <c r="J176" i="10"/>
  <c r="I176" i="10"/>
  <c r="H176" i="10"/>
  <c r="G176" i="10"/>
  <c r="F176" i="10"/>
  <c r="E176" i="10"/>
  <c r="D176" i="10"/>
  <c r="C176" i="10"/>
  <c r="B176" i="10"/>
  <c r="AX176" i="10"/>
  <c r="A176" i="10"/>
  <c r="AW175" i="10"/>
  <c r="AV175" i="10"/>
  <c r="AU175" i="10"/>
  <c r="AT175" i="10"/>
  <c r="AS175" i="10"/>
  <c r="AR175" i="10"/>
  <c r="AQ175" i="10"/>
  <c r="AP175" i="10"/>
  <c r="AO175" i="10"/>
  <c r="AN175" i="10"/>
  <c r="AM175" i="10"/>
  <c r="AL175" i="10"/>
  <c r="AK175" i="10"/>
  <c r="AJ175" i="10"/>
  <c r="AI175" i="10"/>
  <c r="AH175" i="10"/>
  <c r="AG175" i="10"/>
  <c r="AF175" i="10"/>
  <c r="AE175" i="10"/>
  <c r="AD175" i="10"/>
  <c r="AC175" i="10"/>
  <c r="AB175" i="10"/>
  <c r="AA175" i="10"/>
  <c r="Z175" i="10"/>
  <c r="Y175" i="10"/>
  <c r="X175" i="10"/>
  <c r="W175" i="10"/>
  <c r="V175" i="10"/>
  <c r="U175" i="10"/>
  <c r="T175" i="10"/>
  <c r="S175" i="10"/>
  <c r="R175" i="10"/>
  <c r="Q175" i="10"/>
  <c r="P175" i="10"/>
  <c r="O175" i="10"/>
  <c r="N175" i="10"/>
  <c r="M175" i="10"/>
  <c r="L175" i="10"/>
  <c r="K175" i="10"/>
  <c r="J175" i="10"/>
  <c r="I175" i="10"/>
  <c r="H175" i="10"/>
  <c r="G175" i="10"/>
  <c r="F175" i="10"/>
  <c r="E175" i="10"/>
  <c r="D175" i="10"/>
  <c r="C175" i="10"/>
  <c r="B175" i="10"/>
  <c r="AW174" i="10"/>
  <c r="AV174" i="10"/>
  <c r="AU174" i="10"/>
  <c r="AT174" i="10"/>
  <c r="AS174" i="10"/>
  <c r="AR174" i="10"/>
  <c r="AQ174" i="10"/>
  <c r="AP174" i="10"/>
  <c r="AO174" i="10"/>
  <c r="AN174" i="10"/>
  <c r="AM174" i="10"/>
  <c r="AL174" i="10"/>
  <c r="AK174" i="10"/>
  <c r="AJ174" i="10"/>
  <c r="AI174" i="10"/>
  <c r="AH174" i="10"/>
  <c r="AG174" i="10"/>
  <c r="AF174" i="10"/>
  <c r="AE174" i="10"/>
  <c r="AD174" i="10"/>
  <c r="AC174" i="10"/>
  <c r="AB174" i="10"/>
  <c r="AA174" i="10"/>
  <c r="Z174" i="10"/>
  <c r="Y174" i="10"/>
  <c r="X174" i="10"/>
  <c r="W174" i="10"/>
  <c r="V174" i="10"/>
  <c r="U174" i="10"/>
  <c r="T174" i="10"/>
  <c r="S174" i="10"/>
  <c r="R174" i="10"/>
  <c r="Q174" i="10"/>
  <c r="P174" i="10"/>
  <c r="O174" i="10"/>
  <c r="N174" i="10"/>
  <c r="M174" i="10"/>
  <c r="L174" i="10"/>
  <c r="K174" i="10"/>
  <c r="J174" i="10"/>
  <c r="I174" i="10"/>
  <c r="H174" i="10"/>
  <c r="G174" i="10"/>
  <c r="F174" i="10"/>
  <c r="E174" i="10"/>
  <c r="D174" i="10"/>
  <c r="C174" i="10"/>
  <c r="B174" i="10"/>
  <c r="AW173" i="10"/>
  <c r="AV173" i="10"/>
  <c r="AU173" i="10"/>
  <c r="AT173" i="10"/>
  <c r="AS173" i="10"/>
  <c r="AR173" i="10"/>
  <c r="AQ173" i="10"/>
  <c r="AP173" i="10"/>
  <c r="AO173" i="10"/>
  <c r="AN173" i="10"/>
  <c r="AM173" i="10"/>
  <c r="AL173" i="10"/>
  <c r="AK173" i="10"/>
  <c r="AJ173" i="10"/>
  <c r="AI173" i="10"/>
  <c r="AH173" i="10"/>
  <c r="AG173" i="10"/>
  <c r="AF173" i="10"/>
  <c r="AE173" i="10"/>
  <c r="AD173" i="10"/>
  <c r="AC173" i="10"/>
  <c r="AB173" i="10"/>
  <c r="AA173" i="10"/>
  <c r="Z173" i="10"/>
  <c r="Y173" i="10"/>
  <c r="X173" i="10"/>
  <c r="W173" i="10"/>
  <c r="V173" i="10"/>
  <c r="U173" i="10"/>
  <c r="T173" i="10"/>
  <c r="S173" i="10"/>
  <c r="R173" i="10"/>
  <c r="Q173" i="10"/>
  <c r="P173" i="10"/>
  <c r="O173" i="10"/>
  <c r="N173" i="10"/>
  <c r="M173" i="10"/>
  <c r="L173" i="10"/>
  <c r="K173" i="10"/>
  <c r="J173" i="10"/>
  <c r="I173" i="10"/>
  <c r="H173" i="10"/>
  <c r="G173" i="10"/>
  <c r="F173" i="10"/>
  <c r="E173" i="10"/>
  <c r="D173" i="10"/>
  <c r="C173" i="10"/>
  <c r="B173" i="10"/>
  <c r="A173" i="10"/>
  <c r="AW172" i="10"/>
  <c r="AV172" i="10"/>
  <c r="AU172" i="10"/>
  <c r="AT172" i="10"/>
  <c r="AS172" i="10"/>
  <c r="AR172" i="10"/>
  <c r="AQ172" i="10"/>
  <c r="AP172" i="10"/>
  <c r="AO172" i="10"/>
  <c r="AN172" i="10"/>
  <c r="AM172" i="10"/>
  <c r="AL172" i="10"/>
  <c r="AK172" i="10"/>
  <c r="AJ172" i="10"/>
  <c r="AI172" i="10"/>
  <c r="AH172" i="10"/>
  <c r="AG172" i="10"/>
  <c r="AF172" i="10"/>
  <c r="AE172" i="10"/>
  <c r="AD172" i="10"/>
  <c r="AC172" i="10"/>
  <c r="AB172" i="10"/>
  <c r="AA172" i="10"/>
  <c r="Z172" i="10"/>
  <c r="Y172" i="10"/>
  <c r="X172" i="10"/>
  <c r="W172" i="10"/>
  <c r="V172" i="10"/>
  <c r="U172" i="10"/>
  <c r="T172" i="10"/>
  <c r="S172" i="10"/>
  <c r="R172" i="10"/>
  <c r="Q172" i="10"/>
  <c r="P172" i="10"/>
  <c r="O172" i="10"/>
  <c r="N172" i="10"/>
  <c r="M172" i="10"/>
  <c r="L172" i="10"/>
  <c r="K172" i="10"/>
  <c r="J172" i="10"/>
  <c r="I172" i="10"/>
  <c r="H172" i="10"/>
  <c r="G172" i="10"/>
  <c r="F172" i="10"/>
  <c r="E172" i="10"/>
  <c r="D172" i="10"/>
  <c r="C172" i="10"/>
  <c r="B172" i="10"/>
  <c r="AX172" i="10"/>
  <c r="AW171" i="10"/>
  <c r="AV171" i="10"/>
  <c r="AU171" i="10"/>
  <c r="AT171" i="10"/>
  <c r="AS171" i="10"/>
  <c r="AR171" i="10"/>
  <c r="AQ171" i="10"/>
  <c r="AP171" i="10"/>
  <c r="AO171" i="10"/>
  <c r="AN171" i="10"/>
  <c r="AM171" i="10"/>
  <c r="AL171" i="10"/>
  <c r="AK171" i="10"/>
  <c r="AJ171" i="10"/>
  <c r="AI171" i="10"/>
  <c r="AH171" i="10"/>
  <c r="AG171" i="10"/>
  <c r="AF171" i="10"/>
  <c r="AE171" i="10"/>
  <c r="AD171" i="10"/>
  <c r="AC171" i="10"/>
  <c r="AB171" i="10"/>
  <c r="AA171" i="10"/>
  <c r="Z171" i="10"/>
  <c r="Y171" i="10"/>
  <c r="X171" i="10"/>
  <c r="W171" i="10"/>
  <c r="V171" i="10"/>
  <c r="U171" i="10"/>
  <c r="T171" i="10"/>
  <c r="S171" i="10"/>
  <c r="R171" i="10"/>
  <c r="Q171" i="10"/>
  <c r="P171" i="10"/>
  <c r="O171" i="10"/>
  <c r="N171" i="10"/>
  <c r="M171" i="10"/>
  <c r="L171" i="10"/>
  <c r="K171" i="10"/>
  <c r="J171" i="10"/>
  <c r="I171" i="10"/>
  <c r="H171" i="10"/>
  <c r="G171" i="10"/>
  <c r="F171" i="10"/>
  <c r="E171" i="10"/>
  <c r="D171" i="10"/>
  <c r="C171" i="10"/>
  <c r="B171" i="10"/>
  <c r="AW170" i="10"/>
  <c r="AV170" i="10"/>
  <c r="AU170" i="10"/>
  <c r="AT170" i="10"/>
  <c r="AS170" i="10"/>
  <c r="AR170" i="10"/>
  <c r="AQ170" i="10"/>
  <c r="AP170" i="10"/>
  <c r="AO170" i="10"/>
  <c r="AN170" i="10"/>
  <c r="AM170" i="10"/>
  <c r="AL170" i="10"/>
  <c r="AK170" i="10"/>
  <c r="AJ170" i="10"/>
  <c r="AI170" i="10"/>
  <c r="AH170" i="10"/>
  <c r="AG170" i="10"/>
  <c r="AF170" i="10"/>
  <c r="AE170" i="10"/>
  <c r="AD170" i="10"/>
  <c r="AC170" i="10"/>
  <c r="AB170" i="10"/>
  <c r="AA170" i="10"/>
  <c r="Z170" i="10"/>
  <c r="Y170" i="10"/>
  <c r="X170" i="10"/>
  <c r="W170" i="10"/>
  <c r="V170" i="10"/>
  <c r="U170" i="10"/>
  <c r="T170" i="10"/>
  <c r="S170" i="10"/>
  <c r="R170" i="10"/>
  <c r="Q170" i="10"/>
  <c r="P170" i="10"/>
  <c r="O170" i="10"/>
  <c r="N170" i="10"/>
  <c r="M170" i="10"/>
  <c r="L170" i="10"/>
  <c r="K170" i="10"/>
  <c r="J170" i="10"/>
  <c r="I170" i="10"/>
  <c r="H170" i="10"/>
  <c r="G170" i="10"/>
  <c r="F170" i="10"/>
  <c r="E170" i="10"/>
  <c r="D170" i="10"/>
  <c r="C170" i="10"/>
  <c r="B170" i="10"/>
  <c r="A170" i="10"/>
  <c r="AW169" i="10"/>
  <c r="AV169" i="10"/>
  <c r="AU169" i="10"/>
  <c r="AT169" i="10"/>
  <c r="AS169" i="10"/>
  <c r="AR169" i="10"/>
  <c r="AQ169" i="10"/>
  <c r="AP169" i="10"/>
  <c r="AO169" i="10"/>
  <c r="AN169" i="10"/>
  <c r="AM169" i="10"/>
  <c r="AL169" i="10"/>
  <c r="AK169" i="10"/>
  <c r="AJ169" i="10"/>
  <c r="AI169" i="10"/>
  <c r="AH169" i="10"/>
  <c r="AG169" i="10"/>
  <c r="AF169" i="10"/>
  <c r="AE169" i="10"/>
  <c r="AD169" i="10"/>
  <c r="AC169" i="10"/>
  <c r="AB169" i="10"/>
  <c r="AA169" i="10"/>
  <c r="Z169" i="10"/>
  <c r="Y169" i="10"/>
  <c r="X169" i="10"/>
  <c r="W169" i="10"/>
  <c r="V169" i="10"/>
  <c r="U169" i="10"/>
  <c r="T169" i="10"/>
  <c r="S169" i="10"/>
  <c r="R169" i="10"/>
  <c r="Q169" i="10"/>
  <c r="P169" i="10"/>
  <c r="O169" i="10"/>
  <c r="N169" i="10"/>
  <c r="M169" i="10"/>
  <c r="L169" i="10"/>
  <c r="K169" i="10"/>
  <c r="J169" i="10"/>
  <c r="I169" i="10"/>
  <c r="H169" i="10"/>
  <c r="G169" i="10"/>
  <c r="F169" i="10"/>
  <c r="E169" i="10"/>
  <c r="D169" i="10"/>
  <c r="C169" i="10"/>
  <c r="B169" i="10"/>
  <c r="AX169" i="10"/>
  <c r="AW168" i="10"/>
  <c r="AV168" i="10"/>
  <c r="AU168" i="10"/>
  <c r="AT168" i="10"/>
  <c r="AS168" i="10"/>
  <c r="AR168" i="10"/>
  <c r="AQ168" i="10"/>
  <c r="AP168" i="10"/>
  <c r="AO168" i="10"/>
  <c r="AN168" i="10"/>
  <c r="AM168" i="10"/>
  <c r="AL168" i="10"/>
  <c r="AK168" i="10"/>
  <c r="AJ168" i="10"/>
  <c r="AI168" i="10"/>
  <c r="AH168" i="10"/>
  <c r="AG168" i="10"/>
  <c r="AF168" i="10"/>
  <c r="AE168" i="10"/>
  <c r="AD168" i="10"/>
  <c r="AC168" i="10"/>
  <c r="AB168" i="10"/>
  <c r="AA168" i="10"/>
  <c r="Z168" i="10"/>
  <c r="Y168" i="10"/>
  <c r="X168" i="10"/>
  <c r="W168" i="10"/>
  <c r="V168" i="10"/>
  <c r="U168" i="10"/>
  <c r="T168" i="10"/>
  <c r="S168" i="10"/>
  <c r="R168" i="10"/>
  <c r="Q168" i="10"/>
  <c r="P168" i="10"/>
  <c r="O168" i="10"/>
  <c r="N168" i="10"/>
  <c r="M168" i="10"/>
  <c r="L168" i="10"/>
  <c r="K168" i="10"/>
  <c r="J168" i="10"/>
  <c r="I168" i="10"/>
  <c r="H168" i="10"/>
  <c r="G168" i="10"/>
  <c r="F168" i="10"/>
  <c r="E168" i="10"/>
  <c r="D168" i="10"/>
  <c r="C168" i="10"/>
  <c r="B168" i="10"/>
  <c r="AW167" i="10"/>
  <c r="AV167" i="10"/>
  <c r="AU167" i="10"/>
  <c r="AT167" i="10"/>
  <c r="AS167" i="10"/>
  <c r="AR167" i="10"/>
  <c r="AQ167" i="10"/>
  <c r="AP167" i="10"/>
  <c r="AO167" i="10"/>
  <c r="AN167" i="10"/>
  <c r="AM167" i="10"/>
  <c r="AL167" i="10"/>
  <c r="AK167" i="10"/>
  <c r="AJ167" i="10"/>
  <c r="AI167" i="10"/>
  <c r="AH167" i="10"/>
  <c r="AG167" i="10"/>
  <c r="AF167" i="10"/>
  <c r="AE167" i="10"/>
  <c r="AD167" i="10"/>
  <c r="AC167" i="10"/>
  <c r="AB167" i="10"/>
  <c r="AA167" i="10"/>
  <c r="Z167" i="10"/>
  <c r="Y167" i="10"/>
  <c r="X167" i="10"/>
  <c r="W167" i="10"/>
  <c r="V167" i="10"/>
  <c r="U167" i="10"/>
  <c r="T167" i="10"/>
  <c r="S167" i="10"/>
  <c r="R167" i="10"/>
  <c r="Q167" i="10"/>
  <c r="P167" i="10"/>
  <c r="O167" i="10"/>
  <c r="N167" i="10"/>
  <c r="M167" i="10"/>
  <c r="L167" i="10"/>
  <c r="K167" i="10"/>
  <c r="J167" i="10"/>
  <c r="I167" i="10"/>
  <c r="H167" i="10"/>
  <c r="G167" i="10"/>
  <c r="F167" i="10"/>
  <c r="E167" i="10"/>
  <c r="D167" i="10"/>
  <c r="C167" i="10"/>
  <c r="B167" i="10"/>
  <c r="AX167" i="10"/>
  <c r="A167" i="10"/>
  <c r="AW166" i="10"/>
  <c r="AV166" i="10"/>
  <c r="AU166" i="10"/>
  <c r="AT166" i="10"/>
  <c r="AS166" i="10"/>
  <c r="AR166" i="10"/>
  <c r="AQ166" i="10"/>
  <c r="AP166" i="10"/>
  <c r="AO166" i="10"/>
  <c r="AN166" i="10"/>
  <c r="AM166" i="10"/>
  <c r="AL166" i="10"/>
  <c r="AK166" i="10"/>
  <c r="AJ166" i="10"/>
  <c r="AI166" i="10"/>
  <c r="AH166" i="10"/>
  <c r="AG166" i="10"/>
  <c r="AF166" i="10"/>
  <c r="AE166" i="10"/>
  <c r="AD166" i="10"/>
  <c r="AC166" i="10"/>
  <c r="AB166" i="10"/>
  <c r="AA166" i="10"/>
  <c r="Z166" i="10"/>
  <c r="Y166" i="10"/>
  <c r="X166" i="10"/>
  <c r="W166" i="10"/>
  <c r="V166" i="10"/>
  <c r="U166" i="10"/>
  <c r="T166" i="10"/>
  <c r="S166" i="10"/>
  <c r="R166" i="10"/>
  <c r="Q166" i="10"/>
  <c r="P166" i="10"/>
  <c r="O166" i="10"/>
  <c r="N166" i="10"/>
  <c r="M166" i="10"/>
  <c r="L166" i="10"/>
  <c r="K166" i="10"/>
  <c r="J166" i="10"/>
  <c r="I166" i="10"/>
  <c r="H166" i="10"/>
  <c r="G166" i="10"/>
  <c r="F166" i="10"/>
  <c r="E166" i="10"/>
  <c r="D166" i="10"/>
  <c r="C166" i="10"/>
  <c r="B166" i="10"/>
  <c r="AW165" i="10"/>
  <c r="AV165" i="10"/>
  <c r="AU165" i="10"/>
  <c r="AT165" i="10"/>
  <c r="AS165" i="10"/>
  <c r="AR165" i="10"/>
  <c r="AQ165" i="10"/>
  <c r="AP165" i="10"/>
  <c r="AO165" i="10"/>
  <c r="AN165" i="10"/>
  <c r="AM165" i="10"/>
  <c r="AL165" i="10"/>
  <c r="AK165" i="10"/>
  <c r="AJ165" i="10"/>
  <c r="AI165" i="10"/>
  <c r="AH165" i="10"/>
  <c r="AG165" i="10"/>
  <c r="AF165" i="10"/>
  <c r="AE165" i="10"/>
  <c r="AD165" i="10"/>
  <c r="AC165" i="10"/>
  <c r="AB165" i="10"/>
  <c r="AA165" i="10"/>
  <c r="Z165" i="10"/>
  <c r="Y165" i="10"/>
  <c r="X165" i="10"/>
  <c r="W165" i="10"/>
  <c r="V165" i="10"/>
  <c r="U165" i="10"/>
  <c r="T165" i="10"/>
  <c r="S165" i="10"/>
  <c r="R165" i="10"/>
  <c r="Q165" i="10"/>
  <c r="P165" i="10"/>
  <c r="O165" i="10"/>
  <c r="N165" i="10"/>
  <c r="M165" i="10"/>
  <c r="L165" i="10"/>
  <c r="K165" i="10"/>
  <c r="J165" i="10"/>
  <c r="I165" i="10"/>
  <c r="H165" i="10"/>
  <c r="G165" i="10"/>
  <c r="F165" i="10"/>
  <c r="E165" i="10"/>
  <c r="D165" i="10"/>
  <c r="C165" i="10"/>
  <c r="B165" i="10"/>
  <c r="AW164" i="10"/>
  <c r="AV164" i="10"/>
  <c r="AU164" i="10"/>
  <c r="AT164" i="10"/>
  <c r="AS164" i="10"/>
  <c r="AR164" i="10"/>
  <c r="AQ164" i="10"/>
  <c r="AP164" i="10"/>
  <c r="AO164" i="10"/>
  <c r="AN164" i="10"/>
  <c r="AM164" i="10"/>
  <c r="AL164" i="10"/>
  <c r="AK164" i="10"/>
  <c r="AJ164" i="10"/>
  <c r="AI164" i="10"/>
  <c r="AH164" i="10"/>
  <c r="AG164" i="10"/>
  <c r="AF164" i="10"/>
  <c r="AE164" i="10"/>
  <c r="AD164" i="10"/>
  <c r="AC164" i="10"/>
  <c r="AB164" i="10"/>
  <c r="AA164" i="10"/>
  <c r="Z164" i="10"/>
  <c r="Y164" i="10"/>
  <c r="X164" i="10"/>
  <c r="W164" i="10"/>
  <c r="V164" i="10"/>
  <c r="U164" i="10"/>
  <c r="T164" i="10"/>
  <c r="S164" i="10"/>
  <c r="R164" i="10"/>
  <c r="Q164" i="10"/>
  <c r="P164" i="10"/>
  <c r="O164" i="10"/>
  <c r="N164" i="10"/>
  <c r="M164" i="10"/>
  <c r="L164" i="10"/>
  <c r="K164" i="10"/>
  <c r="J164" i="10"/>
  <c r="I164" i="10"/>
  <c r="H164" i="10"/>
  <c r="G164" i="10"/>
  <c r="F164" i="10"/>
  <c r="E164" i="10"/>
  <c r="D164" i="10"/>
  <c r="C164" i="10"/>
  <c r="B164" i="10"/>
  <c r="A164" i="10"/>
  <c r="AW163" i="10"/>
  <c r="AV163" i="10"/>
  <c r="AU163" i="10"/>
  <c r="AT163" i="10"/>
  <c r="AS163" i="10"/>
  <c r="AR163" i="10"/>
  <c r="AQ163" i="10"/>
  <c r="AP163" i="10"/>
  <c r="AO163" i="10"/>
  <c r="AN163" i="10"/>
  <c r="AM163" i="10"/>
  <c r="AL163" i="10"/>
  <c r="AK163" i="10"/>
  <c r="AJ163" i="10"/>
  <c r="AI163" i="10"/>
  <c r="AH163" i="10"/>
  <c r="AG163" i="10"/>
  <c r="AF163" i="10"/>
  <c r="AE163" i="10"/>
  <c r="AD163" i="10"/>
  <c r="AC163" i="10"/>
  <c r="AB163" i="10"/>
  <c r="AA163" i="10"/>
  <c r="Z163" i="10"/>
  <c r="Y163" i="10"/>
  <c r="X163" i="10"/>
  <c r="W163" i="10"/>
  <c r="V163" i="10"/>
  <c r="U163" i="10"/>
  <c r="T163" i="10"/>
  <c r="S163" i="10"/>
  <c r="R163" i="10"/>
  <c r="Q163" i="10"/>
  <c r="P163" i="10"/>
  <c r="O163" i="10"/>
  <c r="N163" i="10"/>
  <c r="M163" i="10"/>
  <c r="L163" i="10"/>
  <c r="K163" i="10"/>
  <c r="J163" i="10"/>
  <c r="I163" i="10"/>
  <c r="H163" i="10"/>
  <c r="G163" i="10"/>
  <c r="F163" i="10"/>
  <c r="E163" i="10"/>
  <c r="D163" i="10"/>
  <c r="C163" i="10"/>
  <c r="B163" i="10"/>
  <c r="AX163" i="10"/>
  <c r="AW162" i="10"/>
  <c r="AV162" i="10"/>
  <c r="AU162" i="10"/>
  <c r="AT162" i="10"/>
  <c r="AS162" i="10"/>
  <c r="AR162" i="10"/>
  <c r="AQ162" i="10"/>
  <c r="AP162" i="10"/>
  <c r="AO162" i="10"/>
  <c r="AN162" i="10"/>
  <c r="AM162" i="10"/>
  <c r="AL162" i="10"/>
  <c r="AK162" i="10"/>
  <c r="AJ162" i="10"/>
  <c r="AI162" i="10"/>
  <c r="AH162" i="10"/>
  <c r="AG162" i="10"/>
  <c r="AF162" i="10"/>
  <c r="AE162" i="10"/>
  <c r="AD162" i="10"/>
  <c r="AC162" i="10"/>
  <c r="AB162" i="10"/>
  <c r="AA162" i="10"/>
  <c r="Z162" i="10"/>
  <c r="Y162" i="10"/>
  <c r="X162" i="10"/>
  <c r="W162" i="10"/>
  <c r="V162" i="10"/>
  <c r="U162" i="10"/>
  <c r="T162" i="10"/>
  <c r="S162" i="10"/>
  <c r="R162" i="10"/>
  <c r="Q162" i="10"/>
  <c r="P162" i="10"/>
  <c r="O162" i="10"/>
  <c r="N162" i="10"/>
  <c r="M162" i="10"/>
  <c r="L162" i="10"/>
  <c r="K162" i="10"/>
  <c r="J162" i="10"/>
  <c r="I162" i="10"/>
  <c r="H162" i="10"/>
  <c r="G162" i="10"/>
  <c r="F162" i="10"/>
  <c r="E162" i="10"/>
  <c r="D162" i="10"/>
  <c r="C162" i="10"/>
  <c r="B162" i="10"/>
  <c r="AW161" i="10"/>
  <c r="AV161" i="10"/>
  <c r="AU161" i="10"/>
  <c r="AT161" i="10"/>
  <c r="AS161" i="10"/>
  <c r="AR161" i="10"/>
  <c r="AQ161" i="10"/>
  <c r="AP161" i="10"/>
  <c r="AO161" i="10"/>
  <c r="AN161" i="10"/>
  <c r="AM161" i="10"/>
  <c r="AL161" i="10"/>
  <c r="AK161" i="10"/>
  <c r="AJ161" i="10"/>
  <c r="AI161" i="10"/>
  <c r="AH161" i="10"/>
  <c r="AG161" i="10"/>
  <c r="AF161" i="10"/>
  <c r="AE161" i="10"/>
  <c r="AD161" i="10"/>
  <c r="AC161" i="10"/>
  <c r="AB161" i="10"/>
  <c r="AA161" i="10"/>
  <c r="Z161" i="10"/>
  <c r="Y161" i="10"/>
  <c r="X161" i="10"/>
  <c r="W161" i="10"/>
  <c r="V161" i="10"/>
  <c r="U161" i="10"/>
  <c r="T161" i="10"/>
  <c r="S161" i="10"/>
  <c r="R161" i="10"/>
  <c r="Q161" i="10"/>
  <c r="P161" i="10"/>
  <c r="O161" i="10"/>
  <c r="N161" i="10"/>
  <c r="M161" i="10"/>
  <c r="L161" i="10"/>
  <c r="K161" i="10"/>
  <c r="J161" i="10"/>
  <c r="I161" i="10"/>
  <c r="H161" i="10"/>
  <c r="G161" i="10"/>
  <c r="F161" i="10"/>
  <c r="E161" i="10"/>
  <c r="D161" i="10"/>
  <c r="C161" i="10"/>
  <c r="B161" i="10"/>
  <c r="A161" i="10"/>
  <c r="AW160" i="10"/>
  <c r="AV160" i="10"/>
  <c r="AU160" i="10"/>
  <c r="AT160" i="10"/>
  <c r="AS160" i="10"/>
  <c r="AR160" i="10"/>
  <c r="AQ160" i="10"/>
  <c r="AP160" i="10"/>
  <c r="AO160" i="10"/>
  <c r="AN160" i="10"/>
  <c r="AM160" i="10"/>
  <c r="AL160" i="10"/>
  <c r="AK160" i="10"/>
  <c r="AJ160" i="10"/>
  <c r="AI160" i="10"/>
  <c r="AH160" i="10"/>
  <c r="AG160" i="10"/>
  <c r="AF160" i="10"/>
  <c r="AE160" i="10"/>
  <c r="AD160" i="10"/>
  <c r="AC160" i="10"/>
  <c r="AB160" i="10"/>
  <c r="AA160" i="10"/>
  <c r="Z160" i="10"/>
  <c r="Y160" i="10"/>
  <c r="X160" i="10"/>
  <c r="W160" i="10"/>
  <c r="V160" i="10"/>
  <c r="U160" i="10"/>
  <c r="T160" i="10"/>
  <c r="S160" i="10"/>
  <c r="R160" i="10"/>
  <c r="Q160" i="10"/>
  <c r="P160" i="10"/>
  <c r="O160" i="10"/>
  <c r="N160" i="10"/>
  <c r="M160" i="10"/>
  <c r="L160" i="10"/>
  <c r="K160" i="10"/>
  <c r="J160" i="10"/>
  <c r="I160" i="10"/>
  <c r="H160" i="10"/>
  <c r="G160" i="10"/>
  <c r="F160" i="10"/>
  <c r="E160" i="10"/>
  <c r="D160" i="10"/>
  <c r="C160" i="10"/>
  <c r="B160" i="10"/>
  <c r="AX160" i="10"/>
  <c r="AW159" i="10"/>
  <c r="AV159" i="10"/>
  <c r="AU159" i="10"/>
  <c r="AT159" i="10"/>
  <c r="AS159" i="10"/>
  <c r="AR159" i="10"/>
  <c r="AQ159" i="10"/>
  <c r="AP159" i="10"/>
  <c r="AO159" i="10"/>
  <c r="AN159" i="10"/>
  <c r="AM159" i="10"/>
  <c r="AL159" i="10"/>
  <c r="AK159" i="10"/>
  <c r="AJ159" i="10"/>
  <c r="AI159" i="10"/>
  <c r="AH159" i="10"/>
  <c r="AG159" i="10"/>
  <c r="AF159" i="10"/>
  <c r="AE159" i="10"/>
  <c r="AD159" i="10"/>
  <c r="AC159" i="10"/>
  <c r="AB159" i="10"/>
  <c r="AA159" i="10"/>
  <c r="Z159" i="10"/>
  <c r="Y159" i="10"/>
  <c r="X159" i="10"/>
  <c r="W159" i="10"/>
  <c r="V159" i="10"/>
  <c r="U159" i="10"/>
  <c r="T159" i="10"/>
  <c r="S159" i="10"/>
  <c r="R159" i="10"/>
  <c r="Q159" i="10"/>
  <c r="P159" i="10"/>
  <c r="O159" i="10"/>
  <c r="N159" i="10"/>
  <c r="M159" i="10"/>
  <c r="L159" i="10"/>
  <c r="K159" i="10"/>
  <c r="J159" i="10"/>
  <c r="I159" i="10"/>
  <c r="H159" i="10"/>
  <c r="G159" i="10"/>
  <c r="F159" i="10"/>
  <c r="E159" i="10"/>
  <c r="D159" i="10"/>
  <c r="C159" i="10"/>
  <c r="B159" i="10"/>
  <c r="AW158" i="10"/>
  <c r="AV158" i="10"/>
  <c r="AU158" i="10"/>
  <c r="AT158" i="10"/>
  <c r="AS158" i="10"/>
  <c r="AR158" i="10"/>
  <c r="AQ158" i="10"/>
  <c r="AP158" i="10"/>
  <c r="AO158" i="10"/>
  <c r="AN158" i="10"/>
  <c r="AM158" i="10"/>
  <c r="AL158" i="10"/>
  <c r="AK158" i="10"/>
  <c r="AJ158" i="10"/>
  <c r="AI158" i="10"/>
  <c r="AH158" i="10"/>
  <c r="AG158" i="10"/>
  <c r="AF158" i="10"/>
  <c r="AE158" i="10"/>
  <c r="AD158" i="10"/>
  <c r="AC158" i="10"/>
  <c r="AB158" i="10"/>
  <c r="AA158" i="10"/>
  <c r="Z158" i="10"/>
  <c r="Y158" i="10"/>
  <c r="X158" i="10"/>
  <c r="W158" i="10"/>
  <c r="V158" i="10"/>
  <c r="U158" i="10"/>
  <c r="T158" i="10"/>
  <c r="S158" i="10"/>
  <c r="R158" i="10"/>
  <c r="Q158" i="10"/>
  <c r="P158" i="10"/>
  <c r="O158" i="10"/>
  <c r="N158" i="10"/>
  <c r="M158" i="10"/>
  <c r="L158" i="10"/>
  <c r="K158" i="10"/>
  <c r="J158" i="10"/>
  <c r="I158" i="10"/>
  <c r="H158" i="10"/>
  <c r="G158" i="10"/>
  <c r="F158" i="10"/>
  <c r="E158" i="10"/>
  <c r="D158" i="10"/>
  <c r="C158" i="10"/>
  <c r="B158" i="10"/>
  <c r="AX158" i="10"/>
  <c r="A158" i="10"/>
  <c r="AW157" i="10"/>
  <c r="AV157" i="10"/>
  <c r="AU157" i="10"/>
  <c r="AT157" i="10"/>
  <c r="AS157" i="10"/>
  <c r="AR157" i="10"/>
  <c r="AQ157" i="10"/>
  <c r="AP157" i="10"/>
  <c r="AO157" i="10"/>
  <c r="AN157" i="10"/>
  <c r="AM157" i="10"/>
  <c r="AL157" i="10"/>
  <c r="AK157" i="10"/>
  <c r="AJ157" i="10"/>
  <c r="AI157" i="10"/>
  <c r="AH157" i="10"/>
  <c r="AG157" i="10"/>
  <c r="AF157" i="10"/>
  <c r="AE157" i="10"/>
  <c r="AD157" i="10"/>
  <c r="AC157" i="10"/>
  <c r="AB157" i="10"/>
  <c r="AA157" i="10"/>
  <c r="Z157" i="10"/>
  <c r="Y157" i="10"/>
  <c r="X157" i="10"/>
  <c r="W157" i="10"/>
  <c r="V157" i="10"/>
  <c r="U157" i="10"/>
  <c r="T157" i="10"/>
  <c r="S157" i="10"/>
  <c r="R157" i="10"/>
  <c r="Q157" i="10"/>
  <c r="P157" i="10"/>
  <c r="O157" i="10"/>
  <c r="N157" i="10"/>
  <c r="M157" i="10"/>
  <c r="L157" i="10"/>
  <c r="K157" i="10"/>
  <c r="J157" i="10"/>
  <c r="I157" i="10"/>
  <c r="H157" i="10"/>
  <c r="G157" i="10"/>
  <c r="F157" i="10"/>
  <c r="E157" i="10"/>
  <c r="D157" i="10"/>
  <c r="C157" i="10"/>
  <c r="B157" i="10"/>
  <c r="AW156" i="10"/>
  <c r="AV156" i="10"/>
  <c r="AU156" i="10"/>
  <c r="AT156" i="10"/>
  <c r="AS156" i="10"/>
  <c r="AR156" i="10"/>
  <c r="AQ156" i="10"/>
  <c r="AP156" i="10"/>
  <c r="AO156" i="10"/>
  <c r="AN156" i="10"/>
  <c r="AM156" i="10"/>
  <c r="AL156" i="10"/>
  <c r="AK156" i="10"/>
  <c r="AJ156" i="10"/>
  <c r="AI156" i="10"/>
  <c r="AH156" i="10"/>
  <c r="AG156" i="10"/>
  <c r="AF156" i="10"/>
  <c r="AE156" i="10"/>
  <c r="AD156" i="10"/>
  <c r="AC156" i="10"/>
  <c r="AB156" i="10"/>
  <c r="AA156" i="10"/>
  <c r="Z156" i="10"/>
  <c r="Y156" i="10"/>
  <c r="X156" i="10"/>
  <c r="W156" i="10"/>
  <c r="V156" i="10"/>
  <c r="U156" i="10"/>
  <c r="T156" i="10"/>
  <c r="S156" i="10"/>
  <c r="R156" i="10"/>
  <c r="Q156" i="10"/>
  <c r="P156" i="10"/>
  <c r="O156" i="10"/>
  <c r="N156" i="10"/>
  <c r="M156" i="10"/>
  <c r="L156" i="10"/>
  <c r="K156" i="10"/>
  <c r="J156" i="10"/>
  <c r="I156" i="10"/>
  <c r="H156" i="10"/>
  <c r="G156" i="10"/>
  <c r="F156" i="10"/>
  <c r="E156" i="10"/>
  <c r="D156" i="10"/>
  <c r="C156" i="10"/>
  <c r="B156" i="10"/>
  <c r="AW155" i="10"/>
  <c r="AV155" i="10"/>
  <c r="AU155" i="10"/>
  <c r="AT155" i="10"/>
  <c r="AS155" i="10"/>
  <c r="AR155" i="10"/>
  <c r="AQ155" i="10"/>
  <c r="AP155" i="10"/>
  <c r="AO155" i="10"/>
  <c r="AN155" i="10"/>
  <c r="AM155" i="10"/>
  <c r="AL155" i="10"/>
  <c r="AK155" i="10"/>
  <c r="AJ155" i="10"/>
  <c r="AI155" i="10"/>
  <c r="AH155" i="10"/>
  <c r="AG155" i="10"/>
  <c r="AF155" i="10"/>
  <c r="AE155" i="10"/>
  <c r="AD155" i="10"/>
  <c r="AC155" i="10"/>
  <c r="AB155" i="10"/>
  <c r="AA155" i="10"/>
  <c r="Z155" i="10"/>
  <c r="Y155" i="10"/>
  <c r="X155" i="10"/>
  <c r="W155" i="10"/>
  <c r="V155" i="10"/>
  <c r="U155" i="10"/>
  <c r="T155" i="10"/>
  <c r="S155" i="10"/>
  <c r="R155" i="10"/>
  <c r="Q155" i="10"/>
  <c r="P155" i="10"/>
  <c r="O155" i="10"/>
  <c r="N155" i="10"/>
  <c r="M155" i="10"/>
  <c r="L155" i="10"/>
  <c r="K155" i="10"/>
  <c r="J155" i="10"/>
  <c r="I155" i="10"/>
  <c r="H155" i="10"/>
  <c r="G155" i="10"/>
  <c r="F155" i="10"/>
  <c r="E155" i="10"/>
  <c r="D155" i="10"/>
  <c r="C155" i="10"/>
  <c r="B155" i="10"/>
  <c r="A155" i="10"/>
  <c r="AW154" i="10"/>
  <c r="AV154" i="10"/>
  <c r="AU154" i="10"/>
  <c r="AT154" i="10"/>
  <c r="AS154" i="10"/>
  <c r="AR154" i="10"/>
  <c r="AQ154" i="10"/>
  <c r="AP154" i="10"/>
  <c r="AO154" i="10"/>
  <c r="AN154" i="10"/>
  <c r="AM154" i="10"/>
  <c r="AL154" i="10"/>
  <c r="AK154" i="10"/>
  <c r="AJ154" i="10"/>
  <c r="AI154" i="10"/>
  <c r="AH154" i="10"/>
  <c r="AG154" i="10"/>
  <c r="AF154" i="10"/>
  <c r="AE154" i="10"/>
  <c r="AD154" i="10"/>
  <c r="AC154" i="10"/>
  <c r="AB154" i="10"/>
  <c r="AA154" i="10"/>
  <c r="Z154" i="10"/>
  <c r="Y154" i="10"/>
  <c r="X154" i="10"/>
  <c r="W154" i="10"/>
  <c r="V154" i="10"/>
  <c r="U154" i="10"/>
  <c r="T154" i="10"/>
  <c r="S154" i="10"/>
  <c r="R154" i="10"/>
  <c r="Q154" i="10"/>
  <c r="P154" i="10"/>
  <c r="O154" i="10"/>
  <c r="N154" i="10"/>
  <c r="M154" i="10"/>
  <c r="L154" i="10"/>
  <c r="K154" i="10"/>
  <c r="J154" i="10"/>
  <c r="I154" i="10"/>
  <c r="H154" i="10"/>
  <c r="G154" i="10"/>
  <c r="F154" i="10"/>
  <c r="E154" i="10"/>
  <c r="D154" i="10"/>
  <c r="C154" i="10"/>
  <c r="B154" i="10"/>
  <c r="AX154" i="10"/>
  <c r="AW153" i="10"/>
  <c r="AV153" i="10"/>
  <c r="AU153" i="10"/>
  <c r="AT153" i="10"/>
  <c r="AS153" i="10"/>
  <c r="AR153" i="10"/>
  <c r="AQ153" i="10"/>
  <c r="AP153" i="10"/>
  <c r="AO153" i="10"/>
  <c r="AN153" i="10"/>
  <c r="AM153" i="10"/>
  <c r="AL153" i="10"/>
  <c r="AK153" i="10"/>
  <c r="AJ153" i="10"/>
  <c r="AI153" i="10"/>
  <c r="AH153" i="10"/>
  <c r="AG153" i="10"/>
  <c r="AF153" i="10"/>
  <c r="AE153" i="10"/>
  <c r="AD153" i="10"/>
  <c r="AC153" i="10"/>
  <c r="AB153" i="10"/>
  <c r="AA153" i="10"/>
  <c r="Z153" i="10"/>
  <c r="Y153" i="10"/>
  <c r="X153" i="10"/>
  <c r="W153" i="10"/>
  <c r="V153" i="10"/>
  <c r="U153" i="10"/>
  <c r="T153" i="10"/>
  <c r="S153" i="10"/>
  <c r="R153" i="10"/>
  <c r="Q153" i="10"/>
  <c r="P153" i="10"/>
  <c r="O153" i="10"/>
  <c r="N153" i="10"/>
  <c r="M153" i="10"/>
  <c r="L153" i="10"/>
  <c r="K153" i="10"/>
  <c r="J153" i="10"/>
  <c r="I153" i="10"/>
  <c r="H153" i="10"/>
  <c r="G153" i="10"/>
  <c r="F153" i="10"/>
  <c r="E153" i="10"/>
  <c r="D153" i="10"/>
  <c r="C153" i="10"/>
  <c r="B153" i="10"/>
  <c r="AW152" i="10"/>
  <c r="AV152" i="10"/>
  <c r="AU152" i="10"/>
  <c r="AT152" i="10"/>
  <c r="AS152" i="10"/>
  <c r="AR152" i="10"/>
  <c r="AQ152" i="10"/>
  <c r="AP152" i="10"/>
  <c r="AO152" i="10"/>
  <c r="AN152" i="10"/>
  <c r="AM152" i="10"/>
  <c r="AL152" i="10"/>
  <c r="AK152" i="10"/>
  <c r="AJ152" i="10"/>
  <c r="AI152" i="10"/>
  <c r="AH152" i="10"/>
  <c r="AG152" i="10"/>
  <c r="AF152" i="10"/>
  <c r="AE152" i="10"/>
  <c r="AD152" i="10"/>
  <c r="AC152" i="10"/>
  <c r="AB152" i="10"/>
  <c r="AA152" i="10"/>
  <c r="Z152" i="10"/>
  <c r="Y152" i="10"/>
  <c r="X152" i="10"/>
  <c r="W152" i="10"/>
  <c r="V152" i="10"/>
  <c r="U152" i="10"/>
  <c r="T152" i="10"/>
  <c r="S152" i="10"/>
  <c r="R152" i="10"/>
  <c r="Q152" i="10"/>
  <c r="P152" i="10"/>
  <c r="O152" i="10"/>
  <c r="N152" i="10"/>
  <c r="M152" i="10"/>
  <c r="L152" i="10"/>
  <c r="K152" i="10"/>
  <c r="J152" i="10"/>
  <c r="I152" i="10"/>
  <c r="H152" i="10"/>
  <c r="G152" i="10"/>
  <c r="F152" i="10"/>
  <c r="E152" i="10"/>
  <c r="D152" i="10"/>
  <c r="C152" i="10"/>
  <c r="B152" i="10"/>
  <c r="A152" i="10"/>
  <c r="AW151" i="10"/>
  <c r="AV151" i="10"/>
  <c r="AU151" i="10"/>
  <c r="AT151" i="10"/>
  <c r="AS151" i="10"/>
  <c r="AR151" i="10"/>
  <c r="AQ151" i="10"/>
  <c r="AP151" i="10"/>
  <c r="AO151" i="10"/>
  <c r="AN151" i="10"/>
  <c r="AM151" i="10"/>
  <c r="AL151" i="10"/>
  <c r="AK151" i="10"/>
  <c r="AJ151" i="10"/>
  <c r="AI151" i="10"/>
  <c r="AH151" i="10"/>
  <c r="AG151" i="10"/>
  <c r="AF151" i="10"/>
  <c r="AE151" i="10"/>
  <c r="AD151" i="10"/>
  <c r="AC151" i="10"/>
  <c r="AB151" i="10"/>
  <c r="AA151" i="10"/>
  <c r="Z151" i="10"/>
  <c r="Y151" i="10"/>
  <c r="X151" i="10"/>
  <c r="W151" i="10"/>
  <c r="V151" i="10"/>
  <c r="U151" i="10"/>
  <c r="T151" i="10"/>
  <c r="S151" i="10"/>
  <c r="R151" i="10"/>
  <c r="Q151" i="10"/>
  <c r="P151" i="10"/>
  <c r="O151" i="10"/>
  <c r="N151" i="10"/>
  <c r="M151" i="10"/>
  <c r="L151" i="10"/>
  <c r="K151" i="10"/>
  <c r="J151" i="10"/>
  <c r="I151" i="10"/>
  <c r="H151" i="10"/>
  <c r="G151" i="10"/>
  <c r="F151" i="10"/>
  <c r="E151" i="10"/>
  <c r="D151" i="10"/>
  <c r="C151" i="10"/>
  <c r="B151" i="10"/>
  <c r="AX151" i="10"/>
  <c r="AW150" i="10"/>
  <c r="AV150" i="10"/>
  <c r="AU150" i="10"/>
  <c r="AT150" i="10"/>
  <c r="AS150" i="10"/>
  <c r="AR150" i="10"/>
  <c r="AQ150" i="10"/>
  <c r="AP150" i="10"/>
  <c r="AO150" i="10"/>
  <c r="AN150" i="10"/>
  <c r="AM150" i="10"/>
  <c r="AL150" i="10"/>
  <c r="AK150" i="10"/>
  <c r="AJ150" i="10"/>
  <c r="AI150" i="10"/>
  <c r="AH150" i="10"/>
  <c r="AG150" i="10"/>
  <c r="AF150" i="10"/>
  <c r="AE150" i="10"/>
  <c r="AD150" i="10"/>
  <c r="AC150" i="10"/>
  <c r="AB150" i="10"/>
  <c r="AA150" i="10"/>
  <c r="Z150" i="10"/>
  <c r="Y150" i="10"/>
  <c r="X150" i="10"/>
  <c r="W150" i="10"/>
  <c r="V150" i="10"/>
  <c r="U150" i="10"/>
  <c r="T150" i="10"/>
  <c r="S150" i="10"/>
  <c r="R150" i="10"/>
  <c r="Q150" i="10"/>
  <c r="P150" i="10"/>
  <c r="O150" i="10"/>
  <c r="N150" i="10"/>
  <c r="M150" i="10"/>
  <c r="L150" i="10"/>
  <c r="K150" i="10"/>
  <c r="J150" i="10"/>
  <c r="I150" i="10"/>
  <c r="H150" i="10"/>
  <c r="G150" i="10"/>
  <c r="F150" i="10"/>
  <c r="E150" i="10"/>
  <c r="D150" i="10"/>
  <c r="C150" i="10"/>
  <c r="B150" i="10"/>
  <c r="AW149" i="10"/>
  <c r="AV149" i="10"/>
  <c r="AU149" i="10"/>
  <c r="AT149" i="10"/>
  <c r="AS149" i="10"/>
  <c r="AR149" i="10"/>
  <c r="AQ149" i="10"/>
  <c r="AP149" i="10"/>
  <c r="AO149" i="10"/>
  <c r="AN149" i="10"/>
  <c r="AM149" i="10"/>
  <c r="AL149" i="10"/>
  <c r="AK149" i="10"/>
  <c r="AJ149" i="10"/>
  <c r="AI149" i="10"/>
  <c r="AH149" i="10"/>
  <c r="AG149" i="10"/>
  <c r="AF149" i="10"/>
  <c r="AE149" i="10"/>
  <c r="AD149" i="10"/>
  <c r="AC149" i="10"/>
  <c r="AB149" i="10"/>
  <c r="AA149" i="10"/>
  <c r="Z149" i="10"/>
  <c r="Y149" i="10"/>
  <c r="X149" i="10"/>
  <c r="W149" i="10"/>
  <c r="V149" i="10"/>
  <c r="U149" i="10"/>
  <c r="T149" i="10"/>
  <c r="S149" i="10"/>
  <c r="R149" i="10"/>
  <c r="Q149" i="10"/>
  <c r="P149" i="10"/>
  <c r="O149" i="10"/>
  <c r="N149" i="10"/>
  <c r="M149" i="10"/>
  <c r="L149" i="10"/>
  <c r="K149" i="10"/>
  <c r="J149" i="10"/>
  <c r="I149" i="10"/>
  <c r="H149" i="10"/>
  <c r="G149" i="10"/>
  <c r="F149" i="10"/>
  <c r="E149" i="10"/>
  <c r="D149" i="10"/>
  <c r="C149" i="10"/>
  <c r="B149" i="10"/>
  <c r="AX149" i="10"/>
  <c r="A149" i="10"/>
  <c r="AW148" i="10"/>
  <c r="AV148" i="10"/>
  <c r="AU148" i="10"/>
  <c r="AT148" i="10"/>
  <c r="AS148" i="10"/>
  <c r="AR148" i="10"/>
  <c r="AQ148" i="10"/>
  <c r="AP148" i="10"/>
  <c r="AO148" i="10"/>
  <c r="AN148" i="10"/>
  <c r="AM148" i="10"/>
  <c r="AL148" i="10"/>
  <c r="AK148" i="10"/>
  <c r="AJ148" i="10"/>
  <c r="AI148" i="10"/>
  <c r="AH148" i="10"/>
  <c r="AG148" i="10"/>
  <c r="AF148" i="10"/>
  <c r="AE148" i="10"/>
  <c r="AD148" i="10"/>
  <c r="AC148" i="10"/>
  <c r="AB148" i="10"/>
  <c r="AA148" i="10"/>
  <c r="Z148" i="10"/>
  <c r="Y148" i="10"/>
  <c r="X148" i="10"/>
  <c r="W148" i="10"/>
  <c r="V148" i="10"/>
  <c r="U148" i="10"/>
  <c r="T148" i="10"/>
  <c r="S148" i="10"/>
  <c r="R148" i="10"/>
  <c r="Q148" i="10"/>
  <c r="P148" i="10"/>
  <c r="O148" i="10"/>
  <c r="N148" i="10"/>
  <c r="M148" i="10"/>
  <c r="L148" i="10"/>
  <c r="K148" i="10"/>
  <c r="J148" i="10"/>
  <c r="I148" i="10"/>
  <c r="H148" i="10"/>
  <c r="G148" i="10"/>
  <c r="F148" i="10"/>
  <c r="E148" i="10"/>
  <c r="D148" i="10"/>
  <c r="C148" i="10"/>
  <c r="B148" i="10"/>
  <c r="AW147" i="10"/>
  <c r="AV147" i="10"/>
  <c r="AU147" i="10"/>
  <c r="AT147" i="10"/>
  <c r="AS147" i="10"/>
  <c r="AR147" i="10"/>
  <c r="AQ147" i="10"/>
  <c r="AP147" i="10"/>
  <c r="AO147" i="10"/>
  <c r="AN147" i="10"/>
  <c r="AM147" i="10"/>
  <c r="AL147" i="10"/>
  <c r="AK147" i="10"/>
  <c r="AJ147" i="10"/>
  <c r="AI147" i="10"/>
  <c r="AH147" i="10"/>
  <c r="AG147" i="10"/>
  <c r="AF147" i="10"/>
  <c r="AE147" i="10"/>
  <c r="AD147" i="10"/>
  <c r="AC147" i="10"/>
  <c r="AB147" i="10"/>
  <c r="AA147" i="10"/>
  <c r="Z147" i="10"/>
  <c r="Y147" i="10"/>
  <c r="X147" i="10"/>
  <c r="W147" i="10"/>
  <c r="V147" i="10"/>
  <c r="U147" i="10"/>
  <c r="T147" i="10"/>
  <c r="S147" i="10"/>
  <c r="R147" i="10"/>
  <c r="Q147" i="10"/>
  <c r="P147" i="10"/>
  <c r="O147" i="10"/>
  <c r="N147" i="10"/>
  <c r="M147" i="10"/>
  <c r="L147" i="10"/>
  <c r="K147" i="10"/>
  <c r="J147" i="10"/>
  <c r="I147" i="10"/>
  <c r="H147" i="10"/>
  <c r="G147" i="10"/>
  <c r="F147" i="10"/>
  <c r="E147" i="10"/>
  <c r="D147" i="10"/>
  <c r="C147" i="10"/>
  <c r="B147" i="10"/>
  <c r="AW146" i="10"/>
  <c r="AV146" i="10"/>
  <c r="AU146" i="10"/>
  <c r="AT146" i="10"/>
  <c r="AS146" i="10"/>
  <c r="AR146" i="10"/>
  <c r="AQ146" i="10"/>
  <c r="AP146" i="10"/>
  <c r="AO146" i="10"/>
  <c r="AN146" i="10"/>
  <c r="AM146" i="10"/>
  <c r="AL146" i="10"/>
  <c r="AK146" i="10"/>
  <c r="AJ146" i="10"/>
  <c r="AI146" i="10"/>
  <c r="AH146" i="10"/>
  <c r="AG146" i="10"/>
  <c r="AF146" i="10"/>
  <c r="AE146" i="10"/>
  <c r="AD146" i="10"/>
  <c r="AC146" i="10"/>
  <c r="AB146" i="10"/>
  <c r="AA146" i="10"/>
  <c r="Z146" i="10"/>
  <c r="Y146" i="10"/>
  <c r="X146" i="10"/>
  <c r="W146" i="10"/>
  <c r="V146" i="10"/>
  <c r="U146" i="10"/>
  <c r="T146" i="10"/>
  <c r="S146" i="10"/>
  <c r="R146" i="10"/>
  <c r="Q146" i="10"/>
  <c r="P146" i="10"/>
  <c r="O146" i="10"/>
  <c r="N146" i="10"/>
  <c r="M146" i="10"/>
  <c r="L146" i="10"/>
  <c r="K146" i="10"/>
  <c r="J146" i="10"/>
  <c r="I146" i="10"/>
  <c r="H146" i="10"/>
  <c r="G146" i="10"/>
  <c r="F146" i="10"/>
  <c r="E146" i="10"/>
  <c r="D146" i="10"/>
  <c r="C146" i="10"/>
  <c r="B146" i="10"/>
  <c r="A146" i="10"/>
  <c r="AW145" i="10"/>
  <c r="AV145" i="10"/>
  <c r="AU145" i="10"/>
  <c r="AT145" i="10"/>
  <c r="AS145" i="10"/>
  <c r="AR145" i="10"/>
  <c r="AQ145" i="10"/>
  <c r="AP145" i="10"/>
  <c r="AO145" i="10"/>
  <c r="AN145" i="10"/>
  <c r="AM145" i="10"/>
  <c r="AL145" i="10"/>
  <c r="AK145" i="10"/>
  <c r="AJ145" i="10"/>
  <c r="AI145" i="10"/>
  <c r="AH145" i="10"/>
  <c r="AG145" i="10"/>
  <c r="AF145" i="10"/>
  <c r="AE145" i="10"/>
  <c r="AD145" i="10"/>
  <c r="AC145" i="10"/>
  <c r="AB145" i="10"/>
  <c r="AA145" i="10"/>
  <c r="Z145" i="10"/>
  <c r="Y145" i="10"/>
  <c r="X145" i="10"/>
  <c r="W145" i="10"/>
  <c r="V145" i="10"/>
  <c r="U145" i="10"/>
  <c r="T145" i="10"/>
  <c r="S145" i="10"/>
  <c r="R145" i="10"/>
  <c r="Q145" i="10"/>
  <c r="P145" i="10"/>
  <c r="O145" i="10"/>
  <c r="N145" i="10"/>
  <c r="M145" i="10"/>
  <c r="L145" i="10"/>
  <c r="K145" i="10"/>
  <c r="J145" i="10"/>
  <c r="I145" i="10"/>
  <c r="H145" i="10"/>
  <c r="G145" i="10"/>
  <c r="F145" i="10"/>
  <c r="E145" i="10"/>
  <c r="D145" i="10"/>
  <c r="C145" i="10"/>
  <c r="B145" i="10"/>
  <c r="AX145" i="10"/>
  <c r="AW144" i="10"/>
  <c r="AV144" i="10"/>
  <c r="AU144" i="10"/>
  <c r="AT144" i="10"/>
  <c r="AS144" i="10"/>
  <c r="AR144" i="10"/>
  <c r="AQ144" i="10"/>
  <c r="AP144" i="10"/>
  <c r="AO144" i="10"/>
  <c r="AN144" i="10"/>
  <c r="AM144" i="10"/>
  <c r="AL144" i="10"/>
  <c r="AK144" i="10"/>
  <c r="AJ144" i="10"/>
  <c r="AI144" i="10"/>
  <c r="AH144" i="10"/>
  <c r="AG144" i="10"/>
  <c r="AF144" i="10"/>
  <c r="AE144" i="10"/>
  <c r="AD144" i="10"/>
  <c r="AC144" i="10"/>
  <c r="AB144" i="10"/>
  <c r="AA144" i="10"/>
  <c r="Z144" i="10"/>
  <c r="Y144" i="10"/>
  <c r="X144" i="10"/>
  <c r="W144" i="10"/>
  <c r="V144" i="10"/>
  <c r="U144" i="10"/>
  <c r="T144" i="10"/>
  <c r="S144" i="10"/>
  <c r="R144" i="10"/>
  <c r="Q144" i="10"/>
  <c r="P144" i="10"/>
  <c r="O144" i="10"/>
  <c r="N144" i="10"/>
  <c r="M144" i="10"/>
  <c r="L144" i="10"/>
  <c r="K144" i="10"/>
  <c r="J144" i="10"/>
  <c r="I144" i="10"/>
  <c r="H144" i="10"/>
  <c r="G144" i="10"/>
  <c r="F144" i="10"/>
  <c r="E144" i="10"/>
  <c r="D144" i="10"/>
  <c r="C144" i="10"/>
  <c r="B144" i="10"/>
  <c r="AW143" i="10"/>
  <c r="AV143" i="10"/>
  <c r="AU143" i="10"/>
  <c r="AT143" i="10"/>
  <c r="AS143" i="10"/>
  <c r="AR143" i="10"/>
  <c r="AQ143" i="10"/>
  <c r="AP143" i="10"/>
  <c r="AO143" i="10"/>
  <c r="AN143" i="10"/>
  <c r="AM143" i="10"/>
  <c r="AL143" i="10"/>
  <c r="AK143" i="10"/>
  <c r="AJ143" i="10"/>
  <c r="AI143" i="10"/>
  <c r="AH143" i="10"/>
  <c r="AG143" i="10"/>
  <c r="AF143" i="10"/>
  <c r="AE143" i="10"/>
  <c r="AD143" i="10"/>
  <c r="AC143" i="10"/>
  <c r="AB143" i="10"/>
  <c r="AA143" i="10"/>
  <c r="Z143" i="10"/>
  <c r="Y143" i="10"/>
  <c r="X143" i="10"/>
  <c r="W143" i="10"/>
  <c r="V143" i="10"/>
  <c r="U143" i="10"/>
  <c r="T143" i="10"/>
  <c r="S143" i="10"/>
  <c r="R143" i="10"/>
  <c r="Q143" i="10"/>
  <c r="P143" i="10"/>
  <c r="O143" i="10"/>
  <c r="N143" i="10"/>
  <c r="M143" i="10"/>
  <c r="L143" i="10"/>
  <c r="K143" i="10"/>
  <c r="J143" i="10"/>
  <c r="I143" i="10"/>
  <c r="H143" i="10"/>
  <c r="G143" i="10"/>
  <c r="F143" i="10"/>
  <c r="E143" i="10"/>
  <c r="D143" i="10"/>
  <c r="C143" i="10"/>
  <c r="B143" i="10"/>
  <c r="A143" i="10"/>
  <c r="AW142" i="10"/>
  <c r="AV142" i="10"/>
  <c r="AU142" i="10"/>
  <c r="AT142" i="10"/>
  <c r="AS142" i="10"/>
  <c r="AR142" i="10"/>
  <c r="AQ142" i="10"/>
  <c r="AP142" i="10"/>
  <c r="AO142" i="10"/>
  <c r="AN142" i="10"/>
  <c r="AM142" i="10"/>
  <c r="AL142" i="10"/>
  <c r="AK142" i="10"/>
  <c r="AJ142" i="10"/>
  <c r="AI142" i="10"/>
  <c r="AH142" i="10"/>
  <c r="AG142" i="10"/>
  <c r="AF142" i="10"/>
  <c r="AE142" i="10"/>
  <c r="AD142" i="10"/>
  <c r="AC142" i="10"/>
  <c r="AB142" i="10"/>
  <c r="AA142" i="10"/>
  <c r="Z142" i="10"/>
  <c r="Y142" i="10"/>
  <c r="X142" i="10"/>
  <c r="W142" i="10"/>
  <c r="V142" i="10"/>
  <c r="U142" i="10"/>
  <c r="T142" i="10"/>
  <c r="S142" i="10"/>
  <c r="R142" i="10"/>
  <c r="Q142" i="10"/>
  <c r="P142" i="10"/>
  <c r="O142" i="10"/>
  <c r="N142" i="10"/>
  <c r="M142" i="10"/>
  <c r="L142" i="10"/>
  <c r="K142" i="10"/>
  <c r="J142" i="10"/>
  <c r="I142" i="10"/>
  <c r="H142" i="10"/>
  <c r="G142" i="10"/>
  <c r="F142" i="10"/>
  <c r="E142" i="10"/>
  <c r="D142" i="10"/>
  <c r="C142" i="10"/>
  <c r="B142" i="10"/>
  <c r="AX142" i="10"/>
  <c r="AW141" i="10"/>
  <c r="AV141" i="10"/>
  <c r="AU141" i="10"/>
  <c r="AT141" i="10"/>
  <c r="AS141" i="10"/>
  <c r="AR141" i="10"/>
  <c r="AQ141" i="10"/>
  <c r="AP141" i="10"/>
  <c r="AO141" i="10"/>
  <c r="AN141" i="10"/>
  <c r="AM141" i="10"/>
  <c r="AL141" i="10"/>
  <c r="AK141" i="10"/>
  <c r="AJ141" i="10"/>
  <c r="AI141" i="10"/>
  <c r="AH141" i="10"/>
  <c r="AG141" i="10"/>
  <c r="AF141" i="10"/>
  <c r="AE141" i="10"/>
  <c r="AD141" i="10"/>
  <c r="AC141" i="10"/>
  <c r="AB141" i="10"/>
  <c r="AA141" i="10"/>
  <c r="Z141" i="10"/>
  <c r="Y141" i="10"/>
  <c r="X141" i="10"/>
  <c r="W141" i="10"/>
  <c r="V141" i="10"/>
  <c r="U141" i="10"/>
  <c r="T141" i="10"/>
  <c r="S141" i="10"/>
  <c r="R141" i="10"/>
  <c r="Q141" i="10"/>
  <c r="P141" i="10"/>
  <c r="O141" i="10"/>
  <c r="N141" i="10"/>
  <c r="M141" i="10"/>
  <c r="L141" i="10"/>
  <c r="K141" i="10"/>
  <c r="J141" i="10"/>
  <c r="I141" i="10"/>
  <c r="H141" i="10"/>
  <c r="G141" i="10"/>
  <c r="F141" i="10"/>
  <c r="E141" i="10"/>
  <c r="D141" i="10"/>
  <c r="C141" i="10"/>
  <c r="B141" i="10"/>
  <c r="AW140" i="10"/>
  <c r="AV140" i="10"/>
  <c r="AU140" i="10"/>
  <c r="AT140" i="10"/>
  <c r="AS140" i="10"/>
  <c r="AR140" i="10"/>
  <c r="AQ140" i="10"/>
  <c r="AP140" i="10"/>
  <c r="AO140" i="10"/>
  <c r="AN140" i="10"/>
  <c r="AM140" i="10"/>
  <c r="AL140" i="10"/>
  <c r="AK140" i="10"/>
  <c r="AJ140" i="10"/>
  <c r="AI140" i="10"/>
  <c r="AH140" i="10"/>
  <c r="AG140" i="10"/>
  <c r="AF140" i="10"/>
  <c r="AE140" i="10"/>
  <c r="AD140" i="10"/>
  <c r="AC140" i="10"/>
  <c r="AB140" i="10"/>
  <c r="AA140" i="10"/>
  <c r="Z140" i="10"/>
  <c r="Y140" i="10"/>
  <c r="X140" i="10"/>
  <c r="W140" i="10"/>
  <c r="V140" i="10"/>
  <c r="U140" i="10"/>
  <c r="T140" i="10"/>
  <c r="S140" i="10"/>
  <c r="R140" i="10"/>
  <c r="Q140" i="10"/>
  <c r="P140" i="10"/>
  <c r="O140" i="10"/>
  <c r="N140" i="10"/>
  <c r="M140" i="10"/>
  <c r="L140" i="10"/>
  <c r="K140" i="10"/>
  <c r="J140" i="10"/>
  <c r="I140" i="10"/>
  <c r="H140" i="10"/>
  <c r="G140" i="10"/>
  <c r="F140" i="10"/>
  <c r="E140" i="10"/>
  <c r="D140" i="10"/>
  <c r="C140" i="10"/>
  <c r="B140" i="10"/>
  <c r="AX140" i="10"/>
  <c r="A140" i="10"/>
  <c r="AW139" i="10"/>
  <c r="AV139" i="10"/>
  <c r="AU139" i="10"/>
  <c r="AT139" i="10"/>
  <c r="AS139" i="10"/>
  <c r="AR139" i="10"/>
  <c r="AQ139" i="10"/>
  <c r="AP139" i="10"/>
  <c r="AO139" i="10"/>
  <c r="AN139" i="10"/>
  <c r="AM139" i="10"/>
  <c r="AL139" i="10"/>
  <c r="AK139" i="10"/>
  <c r="AJ139" i="10"/>
  <c r="AI139" i="10"/>
  <c r="AH139" i="10"/>
  <c r="AG139" i="10"/>
  <c r="AF139" i="10"/>
  <c r="AE139" i="10"/>
  <c r="AD139" i="10"/>
  <c r="AC139" i="10"/>
  <c r="AB139" i="10"/>
  <c r="AA139" i="10"/>
  <c r="Z139" i="10"/>
  <c r="Y139" i="10"/>
  <c r="X139" i="10"/>
  <c r="W139" i="10"/>
  <c r="V139" i="10"/>
  <c r="U139" i="10"/>
  <c r="T139" i="10"/>
  <c r="S139" i="10"/>
  <c r="R139" i="10"/>
  <c r="Q139" i="10"/>
  <c r="P139" i="10"/>
  <c r="O139" i="10"/>
  <c r="N139" i="10"/>
  <c r="M139" i="10"/>
  <c r="L139" i="10"/>
  <c r="K139" i="10"/>
  <c r="J139" i="10"/>
  <c r="I139" i="10"/>
  <c r="H139" i="10"/>
  <c r="G139" i="10"/>
  <c r="F139" i="10"/>
  <c r="E139" i="10"/>
  <c r="D139" i="10"/>
  <c r="C139" i="10"/>
  <c r="B139" i="10"/>
  <c r="AW138" i="10"/>
  <c r="AV138" i="10"/>
  <c r="AU138" i="10"/>
  <c r="AT138" i="10"/>
  <c r="AS138" i="10"/>
  <c r="AR138" i="10"/>
  <c r="AQ138" i="10"/>
  <c r="AP138" i="10"/>
  <c r="AO138" i="10"/>
  <c r="AN138" i="10"/>
  <c r="AM138" i="10"/>
  <c r="AL138" i="10"/>
  <c r="AK138" i="10"/>
  <c r="AJ138" i="10"/>
  <c r="AI138" i="10"/>
  <c r="AH138" i="10"/>
  <c r="AG138" i="10"/>
  <c r="AF138" i="10"/>
  <c r="AE138" i="10"/>
  <c r="AD138" i="10"/>
  <c r="AC138" i="10"/>
  <c r="AB138" i="10"/>
  <c r="AA138" i="10"/>
  <c r="Z138" i="10"/>
  <c r="Y138" i="10"/>
  <c r="X138" i="10"/>
  <c r="W138" i="10"/>
  <c r="V138" i="10"/>
  <c r="U138" i="10"/>
  <c r="T138" i="10"/>
  <c r="S138" i="10"/>
  <c r="R138" i="10"/>
  <c r="Q138" i="10"/>
  <c r="P138" i="10"/>
  <c r="O138" i="10"/>
  <c r="N138" i="10"/>
  <c r="M138" i="10"/>
  <c r="L138" i="10"/>
  <c r="K138" i="10"/>
  <c r="J138" i="10"/>
  <c r="I138" i="10"/>
  <c r="H138" i="10"/>
  <c r="G138" i="10"/>
  <c r="F138" i="10"/>
  <c r="E138" i="10"/>
  <c r="D138" i="10"/>
  <c r="C138" i="10"/>
  <c r="B138" i="10"/>
  <c r="AW137" i="10"/>
  <c r="AV137" i="10"/>
  <c r="AU137" i="10"/>
  <c r="AT137" i="10"/>
  <c r="AS137" i="10"/>
  <c r="AR137" i="10"/>
  <c r="AQ137" i="10"/>
  <c r="AP137" i="10"/>
  <c r="AO137" i="10"/>
  <c r="AN137" i="10"/>
  <c r="AM137" i="10"/>
  <c r="AL137" i="10"/>
  <c r="AK137" i="10"/>
  <c r="AJ137" i="10"/>
  <c r="AI137" i="10"/>
  <c r="AH137" i="10"/>
  <c r="AG137" i="10"/>
  <c r="AF137" i="10"/>
  <c r="AE137" i="10"/>
  <c r="AD137" i="10"/>
  <c r="AC137" i="10"/>
  <c r="AB137" i="10"/>
  <c r="AA137" i="10"/>
  <c r="Z137" i="10"/>
  <c r="Y137" i="10"/>
  <c r="X137" i="10"/>
  <c r="W137" i="10"/>
  <c r="V137" i="10"/>
  <c r="U137" i="10"/>
  <c r="T137" i="10"/>
  <c r="S137" i="10"/>
  <c r="R137" i="10"/>
  <c r="Q137" i="10"/>
  <c r="P137" i="10"/>
  <c r="O137" i="10"/>
  <c r="N137" i="10"/>
  <c r="M137" i="10"/>
  <c r="L137" i="10"/>
  <c r="K137" i="10"/>
  <c r="J137" i="10"/>
  <c r="I137" i="10"/>
  <c r="H137" i="10"/>
  <c r="G137" i="10"/>
  <c r="F137" i="10"/>
  <c r="E137" i="10"/>
  <c r="D137" i="10"/>
  <c r="C137" i="10"/>
  <c r="B137" i="10"/>
  <c r="A137" i="10"/>
  <c r="AW136" i="10"/>
  <c r="AV136" i="10"/>
  <c r="AU136" i="10"/>
  <c r="AT136" i="10"/>
  <c r="AS136" i="10"/>
  <c r="AR136" i="10"/>
  <c r="AQ136" i="10"/>
  <c r="AP136" i="10"/>
  <c r="AO136" i="10"/>
  <c r="AN136" i="10"/>
  <c r="AM136" i="10"/>
  <c r="AL136" i="10"/>
  <c r="AK136" i="10"/>
  <c r="AJ136" i="10"/>
  <c r="AI136" i="10"/>
  <c r="AH136" i="10"/>
  <c r="AG136" i="10"/>
  <c r="AF136" i="10"/>
  <c r="AE136" i="10"/>
  <c r="AD136" i="10"/>
  <c r="AC136" i="10"/>
  <c r="AB136" i="10"/>
  <c r="AA136" i="10"/>
  <c r="Z136" i="10"/>
  <c r="Y136" i="10"/>
  <c r="X136" i="10"/>
  <c r="W136" i="10"/>
  <c r="V136" i="10"/>
  <c r="U136" i="10"/>
  <c r="T136" i="10"/>
  <c r="S136" i="10"/>
  <c r="R136" i="10"/>
  <c r="Q136" i="10"/>
  <c r="P136" i="10"/>
  <c r="O136" i="10"/>
  <c r="N136" i="10"/>
  <c r="M136" i="10"/>
  <c r="L136" i="10"/>
  <c r="K136" i="10"/>
  <c r="J136" i="10"/>
  <c r="I136" i="10"/>
  <c r="H136" i="10"/>
  <c r="G136" i="10"/>
  <c r="F136" i="10"/>
  <c r="E136" i="10"/>
  <c r="D136" i="10"/>
  <c r="C136" i="10"/>
  <c r="B136" i="10"/>
  <c r="AX136" i="10"/>
  <c r="AW135" i="10"/>
  <c r="AV135" i="10"/>
  <c r="AU135" i="10"/>
  <c r="AT135" i="10"/>
  <c r="AS135" i="10"/>
  <c r="AR135" i="10"/>
  <c r="AQ135" i="10"/>
  <c r="AP135" i="10"/>
  <c r="AO135" i="10"/>
  <c r="AN135" i="10"/>
  <c r="AM135" i="10"/>
  <c r="AL135" i="10"/>
  <c r="AK135" i="10"/>
  <c r="AJ135" i="10"/>
  <c r="AI135" i="10"/>
  <c r="AH135" i="10"/>
  <c r="AG135" i="10"/>
  <c r="AF135" i="10"/>
  <c r="AE135" i="10"/>
  <c r="AD135" i="10"/>
  <c r="AC135" i="10"/>
  <c r="AB135" i="10"/>
  <c r="AA135" i="10"/>
  <c r="Z135" i="10"/>
  <c r="Y135" i="10"/>
  <c r="X135" i="10"/>
  <c r="W135" i="10"/>
  <c r="V135" i="10"/>
  <c r="U135" i="10"/>
  <c r="T135" i="10"/>
  <c r="S135" i="10"/>
  <c r="R135" i="10"/>
  <c r="Q135" i="10"/>
  <c r="P135" i="10"/>
  <c r="O135" i="10"/>
  <c r="N135" i="10"/>
  <c r="M135" i="10"/>
  <c r="L135" i="10"/>
  <c r="K135" i="10"/>
  <c r="J135" i="10"/>
  <c r="I135" i="10"/>
  <c r="H135" i="10"/>
  <c r="G135" i="10"/>
  <c r="F135" i="10"/>
  <c r="E135" i="10"/>
  <c r="D135" i="10"/>
  <c r="C135" i="10"/>
  <c r="B135" i="10"/>
  <c r="AW134" i="10"/>
  <c r="AV134" i="10"/>
  <c r="AU134" i="10"/>
  <c r="AT134" i="10"/>
  <c r="AS134" i="10"/>
  <c r="AR134" i="10"/>
  <c r="AQ134" i="10"/>
  <c r="AP134" i="10"/>
  <c r="AO134" i="10"/>
  <c r="AN134" i="10"/>
  <c r="AM134" i="10"/>
  <c r="AL134" i="10"/>
  <c r="AK134" i="10"/>
  <c r="AJ134" i="10"/>
  <c r="AI134" i="10"/>
  <c r="AH134" i="10"/>
  <c r="AG134" i="10"/>
  <c r="AF134" i="10"/>
  <c r="AE134" i="10"/>
  <c r="AD134" i="10"/>
  <c r="AC134" i="10"/>
  <c r="AB134" i="10"/>
  <c r="AA134" i="10"/>
  <c r="Z134" i="10"/>
  <c r="Y134" i="10"/>
  <c r="X134" i="10"/>
  <c r="W134" i="10"/>
  <c r="V134" i="10"/>
  <c r="U134" i="10"/>
  <c r="T134" i="10"/>
  <c r="S134" i="10"/>
  <c r="R134" i="10"/>
  <c r="Q134" i="10"/>
  <c r="P134" i="10"/>
  <c r="O134" i="10"/>
  <c r="N134" i="10"/>
  <c r="M134" i="10"/>
  <c r="L134" i="10"/>
  <c r="K134" i="10"/>
  <c r="J134" i="10"/>
  <c r="I134" i="10"/>
  <c r="H134" i="10"/>
  <c r="G134" i="10"/>
  <c r="F134" i="10"/>
  <c r="E134" i="10"/>
  <c r="D134" i="10"/>
  <c r="C134" i="10"/>
  <c r="B134" i="10"/>
  <c r="A134" i="10"/>
  <c r="AW133" i="10"/>
  <c r="AV133" i="10"/>
  <c r="AU133" i="10"/>
  <c r="AT133" i="10"/>
  <c r="AS133" i="10"/>
  <c r="AR133" i="10"/>
  <c r="AQ133" i="10"/>
  <c r="AP133" i="10"/>
  <c r="AO133" i="10"/>
  <c r="AN133" i="10"/>
  <c r="AM133" i="10"/>
  <c r="AL133" i="10"/>
  <c r="AK133" i="10"/>
  <c r="AJ133" i="10"/>
  <c r="AI133" i="10"/>
  <c r="AH133" i="10"/>
  <c r="AG133" i="10"/>
  <c r="AF133" i="10"/>
  <c r="AE133" i="10"/>
  <c r="AD133" i="10"/>
  <c r="AC133" i="10"/>
  <c r="AB133" i="10"/>
  <c r="AA133" i="10"/>
  <c r="Z133" i="10"/>
  <c r="Y133" i="10"/>
  <c r="X133" i="10"/>
  <c r="W133" i="10"/>
  <c r="V133" i="10"/>
  <c r="U133" i="10"/>
  <c r="T133" i="10"/>
  <c r="S133" i="10"/>
  <c r="R133" i="10"/>
  <c r="Q133" i="10"/>
  <c r="P133" i="10"/>
  <c r="O133" i="10"/>
  <c r="N133" i="10"/>
  <c r="M133" i="10"/>
  <c r="L133" i="10"/>
  <c r="K133" i="10"/>
  <c r="J133" i="10"/>
  <c r="I133" i="10"/>
  <c r="H133" i="10"/>
  <c r="G133" i="10"/>
  <c r="F133" i="10"/>
  <c r="E133" i="10"/>
  <c r="D133" i="10"/>
  <c r="C133" i="10"/>
  <c r="B133" i="10"/>
  <c r="AX133" i="10"/>
  <c r="AW132" i="10"/>
  <c r="AV132" i="10"/>
  <c r="AU132" i="10"/>
  <c r="AT132" i="10"/>
  <c r="AS132" i="10"/>
  <c r="AR132" i="10"/>
  <c r="AQ132" i="10"/>
  <c r="AP132" i="10"/>
  <c r="AO132" i="10"/>
  <c r="AN132" i="10"/>
  <c r="AM132" i="10"/>
  <c r="AL132" i="10"/>
  <c r="AK132" i="10"/>
  <c r="AJ132" i="10"/>
  <c r="AI132" i="10"/>
  <c r="AH132" i="10"/>
  <c r="AG132" i="10"/>
  <c r="AF132" i="10"/>
  <c r="AE132" i="10"/>
  <c r="AD132" i="10"/>
  <c r="AC132" i="10"/>
  <c r="AB132" i="10"/>
  <c r="AA132" i="10"/>
  <c r="Z132" i="10"/>
  <c r="Y132" i="10"/>
  <c r="X132" i="10"/>
  <c r="W132" i="10"/>
  <c r="V132" i="10"/>
  <c r="U132" i="10"/>
  <c r="T132" i="10"/>
  <c r="S132" i="10"/>
  <c r="R132" i="10"/>
  <c r="Q132" i="10"/>
  <c r="P132" i="10"/>
  <c r="O132" i="10"/>
  <c r="N132" i="10"/>
  <c r="M132" i="10"/>
  <c r="L132" i="10"/>
  <c r="K132" i="10"/>
  <c r="J132" i="10"/>
  <c r="I132" i="10"/>
  <c r="H132" i="10"/>
  <c r="G132" i="10"/>
  <c r="F132" i="10"/>
  <c r="E132" i="10"/>
  <c r="D132" i="10"/>
  <c r="C132" i="10"/>
  <c r="B132" i="10"/>
  <c r="AW131" i="10"/>
  <c r="AV131" i="10"/>
  <c r="AU131" i="10"/>
  <c r="AT131" i="10"/>
  <c r="AS131" i="10"/>
  <c r="AR131" i="10"/>
  <c r="AQ131" i="10"/>
  <c r="AP131" i="10"/>
  <c r="AO131" i="10"/>
  <c r="AN131" i="10"/>
  <c r="AM131" i="10"/>
  <c r="AL131" i="10"/>
  <c r="AK131" i="10"/>
  <c r="AJ131" i="10"/>
  <c r="AI131" i="10"/>
  <c r="AH131" i="10"/>
  <c r="AG131" i="10"/>
  <c r="AF131" i="10"/>
  <c r="AE131" i="10"/>
  <c r="AD131" i="10"/>
  <c r="AC131" i="10"/>
  <c r="AB131" i="10"/>
  <c r="AA131" i="10"/>
  <c r="Z131" i="10"/>
  <c r="Y131" i="10"/>
  <c r="X131" i="10"/>
  <c r="W131" i="10"/>
  <c r="V131" i="10"/>
  <c r="U131" i="10"/>
  <c r="T131" i="10"/>
  <c r="S131" i="10"/>
  <c r="R131" i="10"/>
  <c r="Q131" i="10"/>
  <c r="P131" i="10"/>
  <c r="O131" i="10"/>
  <c r="N131" i="10"/>
  <c r="M131" i="10"/>
  <c r="L131" i="10"/>
  <c r="K131" i="10"/>
  <c r="J131" i="10"/>
  <c r="I131" i="10"/>
  <c r="H131" i="10"/>
  <c r="G131" i="10"/>
  <c r="F131" i="10"/>
  <c r="E131" i="10"/>
  <c r="D131" i="10"/>
  <c r="C131" i="10"/>
  <c r="B131" i="10"/>
  <c r="AX131" i="10"/>
  <c r="A131" i="10"/>
  <c r="AW130" i="10"/>
  <c r="AV130" i="10"/>
  <c r="AU130" i="10"/>
  <c r="AT130" i="10"/>
  <c r="AS130" i="10"/>
  <c r="AR130" i="10"/>
  <c r="AQ130" i="10"/>
  <c r="AP130" i="10"/>
  <c r="AO130" i="10"/>
  <c r="AN130" i="10"/>
  <c r="AM130" i="10"/>
  <c r="AL130" i="10"/>
  <c r="AK130" i="10"/>
  <c r="AJ130" i="10"/>
  <c r="AI130" i="10"/>
  <c r="AH130" i="10"/>
  <c r="AG130" i="10"/>
  <c r="AF130" i="10"/>
  <c r="AE130" i="10"/>
  <c r="AD130" i="10"/>
  <c r="AC130" i="10"/>
  <c r="AB130" i="10"/>
  <c r="AA130" i="10"/>
  <c r="Z130" i="10"/>
  <c r="Y130" i="10"/>
  <c r="X130" i="10"/>
  <c r="W130" i="10"/>
  <c r="V130" i="10"/>
  <c r="U130" i="10"/>
  <c r="T130" i="10"/>
  <c r="S130" i="10"/>
  <c r="R130" i="10"/>
  <c r="Q130" i="10"/>
  <c r="P130" i="10"/>
  <c r="O130" i="10"/>
  <c r="N130" i="10"/>
  <c r="M130" i="10"/>
  <c r="L130" i="10"/>
  <c r="K130" i="10"/>
  <c r="J130" i="10"/>
  <c r="I130" i="10"/>
  <c r="H130" i="10"/>
  <c r="G130" i="10"/>
  <c r="F130" i="10"/>
  <c r="E130" i="10"/>
  <c r="D130" i="10"/>
  <c r="C130" i="10"/>
  <c r="B130" i="10"/>
  <c r="AW129" i="10"/>
  <c r="AV129" i="10"/>
  <c r="AU129" i="10"/>
  <c r="AT129" i="10"/>
  <c r="AS129" i="10"/>
  <c r="AR129" i="10"/>
  <c r="AQ129" i="10"/>
  <c r="AP129" i="10"/>
  <c r="AO129" i="10"/>
  <c r="AN129" i="10"/>
  <c r="AM129" i="10"/>
  <c r="AL129" i="10"/>
  <c r="AK129" i="10"/>
  <c r="AJ129" i="10"/>
  <c r="AI129" i="10"/>
  <c r="AH129" i="10"/>
  <c r="AG129" i="10"/>
  <c r="AF129" i="10"/>
  <c r="AE129" i="10"/>
  <c r="AD129" i="10"/>
  <c r="AC129" i="10"/>
  <c r="AB129" i="10"/>
  <c r="AA129" i="10"/>
  <c r="Z129" i="10"/>
  <c r="Y129" i="10"/>
  <c r="X129" i="10"/>
  <c r="W129" i="10"/>
  <c r="V129" i="10"/>
  <c r="U129" i="10"/>
  <c r="T129" i="10"/>
  <c r="S129" i="10"/>
  <c r="R129" i="10"/>
  <c r="Q129" i="10"/>
  <c r="P129" i="10"/>
  <c r="O129" i="10"/>
  <c r="N129" i="10"/>
  <c r="M129" i="10"/>
  <c r="L129" i="10"/>
  <c r="K129" i="10"/>
  <c r="J129" i="10"/>
  <c r="I129" i="10"/>
  <c r="H129" i="10"/>
  <c r="G129" i="10"/>
  <c r="F129" i="10"/>
  <c r="E129" i="10"/>
  <c r="D129" i="10"/>
  <c r="C129" i="10"/>
  <c r="B129" i="10"/>
  <c r="A129" i="10"/>
  <c r="AW128" i="10"/>
  <c r="AV128" i="10"/>
  <c r="AU128" i="10"/>
  <c r="AT128" i="10"/>
  <c r="AS128" i="10"/>
  <c r="AR128" i="10"/>
  <c r="AQ128" i="10"/>
  <c r="AP128" i="10"/>
  <c r="AO128" i="10"/>
  <c r="AN128" i="10"/>
  <c r="AM128" i="10"/>
  <c r="AL128" i="10"/>
  <c r="AK128" i="10"/>
  <c r="AJ128" i="10"/>
  <c r="AI128" i="10"/>
  <c r="AH128" i="10"/>
  <c r="AG128" i="10"/>
  <c r="AF128" i="10"/>
  <c r="AE128" i="10"/>
  <c r="AD128" i="10"/>
  <c r="AC128" i="10"/>
  <c r="AB128" i="10"/>
  <c r="AA128" i="10"/>
  <c r="Z128" i="10"/>
  <c r="Y128" i="10"/>
  <c r="X128" i="10"/>
  <c r="W128" i="10"/>
  <c r="V128" i="10"/>
  <c r="U128" i="10"/>
  <c r="T128" i="10"/>
  <c r="S128" i="10"/>
  <c r="R128" i="10"/>
  <c r="Q128" i="10"/>
  <c r="P128" i="10"/>
  <c r="O128" i="10"/>
  <c r="N128" i="10"/>
  <c r="M128" i="10"/>
  <c r="L128" i="10"/>
  <c r="K128" i="10"/>
  <c r="J128" i="10"/>
  <c r="I128" i="10"/>
  <c r="H128" i="10"/>
  <c r="G128" i="10"/>
  <c r="F128" i="10"/>
  <c r="E128" i="10"/>
  <c r="D128" i="10"/>
  <c r="C128" i="10"/>
  <c r="A128" i="10"/>
  <c r="B128" i="10"/>
  <c r="AX128" i="10"/>
  <c r="AW127" i="10"/>
  <c r="AV127" i="10"/>
  <c r="AU127" i="10"/>
  <c r="AT127" i="10"/>
  <c r="AS127" i="10"/>
  <c r="AR127" i="10"/>
  <c r="AQ127" i="10"/>
  <c r="AP127" i="10"/>
  <c r="AO127" i="10"/>
  <c r="AN127" i="10"/>
  <c r="AM127" i="10"/>
  <c r="AL127" i="10"/>
  <c r="AK127" i="10"/>
  <c r="AJ127" i="10"/>
  <c r="AI127" i="10"/>
  <c r="AH127" i="10"/>
  <c r="AG127" i="10"/>
  <c r="AF127" i="10"/>
  <c r="AE127" i="10"/>
  <c r="AD127" i="10"/>
  <c r="AC127" i="10"/>
  <c r="AB127" i="10"/>
  <c r="AA127" i="10"/>
  <c r="Z127" i="10"/>
  <c r="Y127" i="10"/>
  <c r="X127" i="10"/>
  <c r="W127" i="10"/>
  <c r="V127" i="10"/>
  <c r="U127" i="10"/>
  <c r="T127" i="10"/>
  <c r="S127" i="10"/>
  <c r="R127" i="10"/>
  <c r="Q127" i="10"/>
  <c r="P127" i="10"/>
  <c r="O127" i="10"/>
  <c r="N127" i="10"/>
  <c r="M127" i="10"/>
  <c r="L127" i="10"/>
  <c r="K127" i="10"/>
  <c r="J127" i="10"/>
  <c r="I127" i="10"/>
  <c r="H127" i="10"/>
  <c r="G127" i="10"/>
  <c r="F127" i="10"/>
  <c r="E127" i="10"/>
  <c r="D127" i="10"/>
  <c r="C127" i="10"/>
  <c r="A127" i="10"/>
  <c r="B127" i="10"/>
  <c r="AW126" i="10"/>
  <c r="AV126" i="10"/>
  <c r="AU126" i="10"/>
  <c r="AT126" i="10"/>
  <c r="AS126" i="10"/>
  <c r="AR126" i="10"/>
  <c r="AQ126" i="10"/>
  <c r="AP126" i="10"/>
  <c r="AO126" i="10"/>
  <c r="AN126" i="10"/>
  <c r="AM126" i="10"/>
  <c r="AL126" i="10"/>
  <c r="AK126" i="10"/>
  <c r="AJ126" i="10"/>
  <c r="AI126" i="10"/>
  <c r="AH126" i="10"/>
  <c r="AG126" i="10"/>
  <c r="AF126" i="10"/>
  <c r="AE126" i="10"/>
  <c r="AD126" i="10"/>
  <c r="AC126" i="10"/>
  <c r="AB126" i="10"/>
  <c r="AA126" i="10"/>
  <c r="Z126" i="10"/>
  <c r="Y126" i="10"/>
  <c r="X126" i="10"/>
  <c r="W126" i="10"/>
  <c r="V126" i="10"/>
  <c r="U126" i="10"/>
  <c r="T126" i="10"/>
  <c r="S126" i="10"/>
  <c r="R126" i="10"/>
  <c r="Q126" i="10"/>
  <c r="P126" i="10"/>
  <c r="O126" i="10"/>
  <c r="N126" i="10"/>
  <c r="M126" i="10"/>
  <c r="L126" i="10"/>
  <c r="K126" i="10"/>
  <c r="J126" i="10"/>
  <c r="I126" i="10"/>
  <c r="H126" i="10"/>
  <c r="G126" i="10"/>
  <c r="F126" i="10"/>
  <c r="E126" i="10"/>
  <c r="D126" i="10"/>
  <c r="C126" i="10"/>
  <c r="B126" i="10"/>
  <c r="A126" i="10"/>
  <c r="AW125" i="10"/>
  <c r="AV125" i="10"/>
  <c r="AU125" i="10"/>
  <c r="AT125" i="10"/>
  <c r="AS125" i="10"/>
  <c r="AR125" i="10"/>
  <c r="AQ125" i="10"/>
  <c r="AP125" i="10"/>
  <c r="AO125" i="10"/>
  <c r="AN125" i="10"/>
  <c r="AM125" i="10"/>
  <c r="AL125" i="10"/>
  <c r="AK125" i="10"/>
  <c r="AJ125" i="10"/>
  <c r="AI125" i="10"/>
  <c r="AH125" i="10"/>
  <c r="AG125" i="10"/>
  <c r="AF125" i="10"/>
  <c r="AE125" i="10"/>
  <c r="AD125" i="10"/>
  <c r="AC125" i="10"/>
  <c r="AB125" i="10"/>
  <c r="AA125" i="10"/>
  <c r="Z125" i="10"/>
  <c r="Y125" i="10"/>
  <c r="X125" i="10"/>
  <c r="W125" i="10"/>
  <c r="V125" i="10"/>
  <c r="U125" i="10"/>
  <c r="T125" i="10"/>
  <c r="S125" i="10"/>
  <c r="R125" i="10"/>
  <c r="Q125" i="10"/>
  <c r="P125" i="10"/>
  <c r="O125" i="10"/>
  <c r="N125" i="10"/>
  <c r="M125" i="10"/>
  <c r="L125" i="10"/>
  <c r="K125" i="10"/>
  <c r="J125" i="10"/>
  <c r="I125" i="10"/>
  <c r="H125" i="10"/>
  <c r="G125" i="10"/>
  <c r="F125" i="10"/>
  <c r="E125" i="10"/>
  <c r="D125" i="10"/>
  <c r="C125" i="10"/>
  <c r="A125" i="10"/>
  <c r="B125" i="10"/>
  <c r="AW124" i="10"/>
  <c r="AV124" i="10"/>
  <c r="AU124" i="10"/>
  <c r="AT124" i="10"/>
  <c r="AS124" i="10"/>
  <c r="AR124" i="10"/>
  <c r="AQ124" i="10"/>
  <c r="AP124" i="10"/>
  <c r="AO124" i="10"/>
  <c r="AN124" i="10"/>
  <c r="AM124" i="10"/>
  <c r="AL124" i="10"/>
  <c r="AK124" i="10"/>
  <c r="AJ124" i="10"/>
  <c r="AI124" i="10"/>
  <c r="AH124" i="10"/>
  <c r="AG124" i="10"/>
  <c r="AF124" i="10"/>
  <c r="AE124" i="10"/>
  <c r="AD124" i="10"/>
  <c r="AC124" i="10"/>
  <c r="AB124" i="10"/>
  <c r="AA124" i="10"/>
  <c r="Z124" i="10"/>
  <c r="Y124" i="10"/>
  <c r="X124" i="10"/>
  <c r="W124" i="10"/>
  <c r="V124" i="10"/>
  <c r="U124" i="10"/>
  <c r="T124" i="10"/>
  <c r="S124" i="10"/>
  <c r="R124" i="10"/>
  <c r="Q124" i="10"/>
  <c r="P124" i="10"/>
  <c r="O124" i="10"/>
  <c r="N124" i="10"/>
  <c r="M124" i="10"/>
  <c r="L124" i="10"/>
  <c r="K124" i="10"/>
  <c r="J124" i="10"/>
  <c r="I124" i="10"/>
  <c r="H124" i="10"/>
  <c r="G124" i="10"/>
  <c r="F124" i="10"/>
  <c r="E124" i="10"/>
  <c r="D124" i="10"/>
  <c r="C124" i="10"/>
  <c r="B124" i="10"/>
  <c r="AW123" i="10"/>
  <c r="AV123" i="10"/>
  <c r="AU123" i="10"/>
  <c r="AT123" i="10"/>
  <c r="AS123" i="10"/>
  <c r="AR123" i="10"/>
  <c r="AQ123" i="10"/>
  <c r="AP123" i="10"/>
  <c r="AO123" i="10"/>
  <c r="AN123" i="10"/>
  <c r="AM123" i="10"/>
  <c r="AL123" i="10"/>
  <c r="AK123" i="10"/>
  <c r="AJ123" i="10"/>
  <c r="AI123" i="10"/>
  <c r="AH123" i="10"/>
  <c r="AG123" i="10"/>
  <c r="AF123" i="10"/>
  <c r="AE123" i="10"/>
  <c r="AD123" i="10"/>
  <c r="AC123" i="10"/>
  <c r="AB123" i="10"/>
  <c r="AA123" i="10"/>
  <c r="Z123" i="10"/>
  <c r="Y123" i="10"/>
  <c r="X123" i="10"/>
  <c r="W123" i="10"/>
  <c r="V123" i="10"/>
  <c r="U123" i="10"/>
  <c r="T123" i="10"/>
  <c r="S123" i="10"/>
  <c r="R123" i="10"/>
  <c r="Q123" i="10"/>
  <c r="P123" i="10"/>
  <c r="O123" i="10"/>
  <c r="N123" i="10"/>
  <c r="M123" i="10"/>
  <c r="L123" i="10"/>
  <c r="K123" i="10"/>
  <c r="J123" i="10"/>
  <c r="I123" i="10"/>
  <c r="H123" i="10"/>
  <c r="G123" i="10"/>
  <c r="F123" i="10"/>
  <c r="E123" i="10"/>
  <c r="D123" i="10"/>
  <c r="C123" i="10"/>
  <c r="B123" i="10"/>
  <c r="A123" i="10"/>
  <c r="AW122" i="10"/>
  <c r="AV122" i="10"/>
  <c r="AU122" i="10"/>
  <c r="AT122" i="10"/>
  <c r="AS122" i="10"/>
  <c r="AR122" i="10"/>
  <c r="AQ122" i="10"/>
  <c r="AP122" i="10"/>
  <c r="AO122" i="10"/>
  <c r="AN122" i="10"/>
  <c r="AM122" i="10"/>
  <c r="AL122" i="10"/>
  <c r="AK122" i="10"/>
  <c r="AJ122" i="10"/>
  <c r="AI122" i="10"/>
  <c r="AH122" i="10"/>
  <c r="AG122" i="10"/>
  <c r="AF122" i="10"/>
  <c r="AE122" i="10"/>
  <c r="AD122" i="10"/>
  <c r="AC122" i="10"/>
  <c r="AB122" i="10"/>
  <c r="AA122" i="10"/>
  <c r="Z122" i="10"/>
  <c r="Y122" i="10"/>
  <c r="X122" i="10"/>
  <c r="W122" i="10"/>
  <c r="V122" i="10"/>
  <c r="U122" i="10"/>
  <c r="T122" i="10"/>
  <c r="S122" i="10"/>
  <c r="R122" i="10"/>
  <c r="Q122" i="10"/>
  <c r="P122" i="10"/>
  <c r="O122" i="10"/>
  <c r="N122" i="10"/>
  <c r="M122" i="10"/>
  <c r="L122" i="10"/>
  <c r="K122" i="10"/>
  <c r="J122" i="10"/>
  <c r="I122" i="10"/>
  <c r="H122" i="10"/>
  <c r="G122" i="10"/>
  <c r="F122" i="10"/>
  <c r="E122" i="10"/>
  <c r="D122" i="10"/>
  <c r="C122" i="10"/>
  <c r="A122" i="10"/>
  <c r="B122" i="10"/>
  <c r="AW121" i="10"/>
  <c r="AV121" i="10"/>
  <c r="AU121" i="10"/>
  <c r="AT121" i="10"/>
  <c r="AS121" i="10"/>
  <c r="AR121" i="10"/>
  <c r="AQ121" i="10"/>
  <c r="AP121" i="10"/>
  <c r="AO121" i="10"/>
  <c r="AN121" i="10"/>
  <c r="AM121" i="10"/>
  <c r="AL121" i="10"/>
  <c r="AK121" i="10"/>
  <c r="AJ121" i="10"/>
  <c r="AI121" i="10"/>
  <c r="AH121" i="10"/>
  <c r="AG121" i="10"/>
  <c r="AF121" i="10"/>
  <c r="AE121" i="10"/>
  <c r="AD121" i="10"/>
  <c r="AC121" i="10"/>
  <c r="AB121" i="10"/>
  <c r="AA121" i="10"/>
  <c r="Z121" i="10"/>
  <c r="Y121" i="10"/>
  <c r="X121" i="10"/>
  <c r="W121" i="10"/>
  <c r="V121" i="10"/>
  <c r="U121" i="10"/>
  <c r="T121" i="10"/>
  <c r="S121" i="10"/>
  <c r="R121" i="10"/>
  <c r="Q121" i="10"/>
  <c r="P121" i="10"/>
  <c r="O121" i="10"/>
  <c r="N121" i="10"/>
  <c r="M121" i="10"/>
  <c r="L121" i="10"/>
  <c r="K121" i="10"/>
  <c r="J121" i="10"/>
  <c r="I121" i="10"/>
  <c r="H121" i="10"/>
  <c r="G121" i="10"/>
  <c r="F121" i="10"/>
  <c r="E121" i="10"/>
  <c r="D121" i="10"/>
  <c r="C121" i="10"/>
  <c r="B121" i="10"/>
  <c r="AX121" i="10"/>
  <c r="A121" i="10"/>
  <c r="AW120" i="10"/>
  <c r="AV120" i="10"/>
  <c r="AU120" i="10"/>
  <c r="AT120" i="10"/>
  <c r="AS120" i="10"/>
  <c r="AR120" i="10"/>
  <c r="AQ120" i="10"/>
  <c r="AP120" i="10"/>
  <c r="AO120" i="10"/>
  <c r="AN120" i="10"/>
  <c r="AM120" i="10"/>
  <c r="AL120" i="10"/>
  <c r="AK120" i="10"/>
  <c r="AJ120" i="10"/>
  <c r="AI120" i="10"/>
  <c r="AH120" i="10"/>
  <c r="AG120" i="10"/>
  <c r="AF120" i="10"/>
  <c r="AE120" i="10"/>
  <c r="AD120" i="10"/>
  <c r="AC120" i="10"/>
  <c r="AB120" i="10"/>
  <c r="AA120" i="10"/>
  <c r="Z120" i="10"/>
  <c r="Y120" i="10"/>
  <c r="X120" i="10"/>
  <c r="W120" i="10"/>
  <c r="V120" i="10"/>
  <c r="U120" i="10"/>
  <c r="T120" i="10"/>
  <c r="S120" i="10"/>
  <c r="R120" i="10"/>
  <c r="Q120" i="10"/>
  <c r="P120" i="10"/>
  <c r="O120" i="10"/>
  <c r="N120" i="10"/>
  <c r="M120" i="10"/>
  <c r="L120" i="10"/>
  <c r="K120" i="10"/>
  <c r="J120" i="10"/>
  <c r="I120" i="10"/>
  <c r="H120" i="10"/>
  <c r="G120" i="10"/>
  <c r="F120" i="10"/>
  <c r="E120" i="10"/>
  <c r="D120" i="10"/>
  <c r="C120" i="10"/>
  <c r="A120" i="10"/>
  <c r="B120" i="10"/>
  <c r="AX120" i="10"/>
  <c r="AW119" i="10"/>
  <c r="AV119" i="10"/>
  <c r="AU119" i="10"/>
  <c r="AT119" i="10"/>
  <c r="AS119" i="10"/>
  <c r="AR119" i="10"/>
  <c r="AQ119" i="10"/>
  <c r="AP119" i="10"/>
  <c r="AO119" i="10"/>
  <c r="AN119" i="10"/>
  <c r="AM119" i="10"/>
  <c r="AL119" i="10"/>
  <c r="AK119" i="10"/>
  <c r="AJ119" i="10"/>
  <c r="AI119" i="10"/>
  <c r="AH119" i="10"/>
  <c r="AG119" i="10"/>
  <c r="AF119" i="10"/>
  <c r="AE119" i="10"/>
  <c r="AD119" i="10"/>
  <c r="AC119" i="10"/>
  <c r="AB119" i="10"/>
  <c r="AA119" i="10"/>
  <c r="Z119" i="10"/>
  <c r="Y119" i="10"/>
  <c r="X119" i="10"/>
  <c r="W119" i="10"/>
  <c r="V119" i="10"/>
  <c r="U119" i="10"/>
  <c r="T119" i="10"/>
  <c r="S119" i="10"/>
  <c r="R119" i="10"/>
  <c r="Q119" i="10"/>
  <c r="P119" i="10"/>
  <c r="O119" i="10"/>
  <c r="N119" i="10"/>
  <c r="M119" i="10"/>
  <c r="L119" i="10"/>
  <c r="K119" i="10"/>
  <c r="J119" i="10"/>
  <c r="I119" i="10"/>
  <c r="H119" i="10"/>
  <c r="G119" i="10"/>
  <c r="F119" i="10"/>
  <c r="E119" i="10"/>
  <c r="A119" i="10"/>
  <c r="D119" i="10"/>
  <c r="C119" i="10"/>
  <c r="B119" i="10"/>
  <c r="AW118" i="10"/>
  <c r="AV118" i="10"/>
  <c r="AU118" i="10"/>
  <c r="AT118" i="10"/>
  <c r="AS118" i="10"/>
  <c r="AR118" i="10"/>
  <c r="AQ118" i="10"/>
  <c r="AP118" i="10"/>
  <c r="AO118" i="10"/>
  <c r="AN118" i="10"/>
  <c r="AM118" i="10"/>
  <c r="AL118" i="10"/>
  <c r="AK118" i="10"/>
  <c r="AJ118" i="10"/>
  <c r="AI118" i="10"/>
  <c r="AH118" i="10"/>
  <c r="AG118" i="10"/>
  <c r="AF118" i="10"/>
  <c r="AE118" i="10"/>
  <c r="AD118" i="10"/>
  <c r="AC118" i="10"/>
  <c r="AB118" i="10"/>
  <c r="AA118" i="10"/>
  <c r="Z118" i="10"/>
  <c r="Y118" i="10"/>
  <c r="X118" i="10"/>
  <c r="W118" i="10"/>
  <c r="V118" i="10"/>
  <c r="U118" i="10"/>
  <c r="T118" i="10"/>
  <c r="S118" i="10"/>
  <c r="R118" i="10"/>
  <c r="Q118" i="10"/>
  <c r="P118" i="10"/>
  <c r="O118" i="10"/>
  <c r="N118" i="10"/>
  <c r="M118" i="10"/>
  <c r="L118" i="10"/>
  <c r="K118" i="10"/>
  <c r="J118" i="10"/>
  <c r="I118" i="10"/>
  <c r="H118" i="10"/>
  <c r="G118" i="10"/>
  <c r="F118" i="10"/>
  <c r="E118" i="10"/>
  <c r="D118" i="10"/>
  <c r="C118" i="10"/>
  <c r="B118" i="10"/>
  <c r="AW117" i="10"/>
  <c r="AV117" i="10"/>
  <c r="AU117" i="10"/>
  <c r="AT117" i="10"/>
  <c r="AS117" i="10"/>
  <c r="AR117" i="10"/>
  <c r="AQ117" i="10"/>
  <c r="AP117" i="10"/>
  <c r="AO117" i="10"/>
  <c r="AN117" i="10"/>
  <c r="AM117" i="10"/>
  <c r="AL117" i="10"/>
  <c r="AK117" i="10"/>
  <c r="AJ117" i="10"/>
  <c r="AI117" i="10"/>
  <c r="AH117" i="10"/>
  <c r="AG117" i="10"/>
  <c r="AF117" i="10"/>
  <c r="AE117" i="10"/>
  <c r="AD117" i="10"/>
  <c r="AC117" i="10"/>
  <c r="AB117" i="10"/>
  <c r="AA117" i="10"/>
  <c r="Z117" i="10"/>
  <c r="Y117" i="10"/>
  <c r="X117" i="10"/>
  <c r="W117" i="10"/>
  <c r="V117" i="10"/>
  <c r="U117" i="10"/>
  <c r="T117" i="10"/>
  <c r="S117" i="10"/>
  <c r="R117" i="10"/>
  <c r="Q117" i="10"/>
  <c r="P117" i="10"/>
  <c r="O117" i="10"/>
  <c r="N117" i="10"/>
  <c r="M117" i="10"/>
  <c r="L117" i="10"/>
  <c r="K117" i="10"/>
  <c r="J117" i="10"/>
  <c r="I117" i="10"/>
  <c r="H117" i="10"/>
  <c r="G117" i="10"/>
  <c r="F117" i="10"/>
  <c r="E117" i="10"/>
  <c r="D117" i="10"/>
  <c r="C117" i="10"/>
  <c r="B117" i="10"/>
  <c r="AX117" i="10"/>
  <c r="A117" i="10"/>
  <c r="AW116" i="10"/>
  <c r="AV116" i="10"/>
  <c r="AU116" i="10"/>
  <c r="AT116" i="10"/>
  <c r="AS116" i="10"/>
  <c r="AR116" i="10"/>
  <c r="AQ116" i="10"/>
  <c r="AP116" i="10"/>
  <c r="AO116" i="10"/>
  <c r="AN116" i="10"/>
  <c r="AM116" i="10"/>
  <c r="AL116" i="10"/>
  <c r="AK116" i="10"/>
  <c r="AJ116" i="10"/>
  <c r="AI116" i="10"/>
  <c r="AH116" i="10"/>
  <c r="AG116" i="10"/>
  <c r="AF116" i="10"/>
  <c r="AE116" i="10"/>
  <c r="AD116" i="10"/>
  <c r="AC116" i="10"/>
  <c r="AB116" i="10"/>
  <c r="AA116" i="10"/>
  <c r="Z116" i="10"/>
  <c r="Y116" i="10"/>
  <c r="X116" i="10"/>
  <c r="W116" i="10"/>
  <c r="V116" i="10"/>
  <c r="U116" i="10"/>
  <c r="T116" i="10"/>
  <c r="S116" i="10"/>
  <c r="R116" i="10"/>
  <c r="Q116" i="10"/>
  <c r="P116" i="10"/>
  <c r="O116" i="10"/>
  <c r="N116" i="10"/>
  <c r="M116" i="10"/>
  <c r="L116" i="10"/>
  <c r="K116" i="10"/>
  <c r="J116" i="10"/>
  <c r="I116" i="10"/>
  <c r="H116" i="10"/>
  <c r="G116" i="10"/>
  <c r="F116" i="10"/>
  <c r="E116" i="10"/>
  <c r="D116" i="10"/>
  <c r="C116" i="10"/>
  <c r="A116" i="10"/>
  <c r="B116" i="10"/>
  <c r="AX116" i="10"/>
  <c r="AW115" i="10"/>
  <c r="AV115" i="10"/>
  <c r="AU115" i="10"/>
  <c r="AT115" i="10"/>
  <c r="AS115" i="10"/>
  <c r="AR115" i="10"/>
  <c r="AQ115" i="10"/>
  <c r="AP115" i="10"/>
  <c r="AO115" i="10"/>
  <c r="AN115" i="10"/>
  <c r="AM115" i="10"/>
  <c r="AL115" i="10"/>
  <c r="AK115" i="10"/>
  <c r="AJ115" i="10"/>
  <c r="AI115" i="10"/>
  <c r="AH115" i="10"/>
  <c r="AG115" i="10"/>
  <c r="AF115" i="10"/>
  <c r="AE115" i="10"/>
  <c r="AD115" i="10"/>
  <c r="AC115" i="10"/>
  <c r="AB115" i="10"/>
  <c r="AA115" i="10"/>
  <c r="Z115" i="10"/>
  <c r="Y115" i="10"/>
  <c r="X115" i="10"/>
  <c r="W115" i="10"/>
  <c r="V115" i="10"/>
  <c r="U115" i="10"/>
  <c r="T115" i="10"/>
  <c r="S115" i="10"/>
  <c r="R115" i="10"/>
  <c r="Q115" i="10"/>
  <c r="P115" i="10"/>
  <c r="O115" i="10"/>
  <c r="N115" i="10"/>
  <c r="M115" i="10"/>
  <c r="L115" i="10"/>
  <c r="K115" i="10"/>
  <c r="J115" i="10"/>
  <c r="I115" i="10"/>
  <c r="H115" i="10"/>
  <c r="G115" i="10"/>
  <c r="F115" i="10"/>
  <c r="E115" i="10"/>
  <c r="D115" i="10"/>
  <c r="C115" i="10"/>
  <c r="B115" i="10"/>
  <c r="AW114" i="10"/>
  <c r="AV114" i="10"/>
  <c r="AU114" i="10"/>
  <c r="AT114" i="10"/>
  <c r="AS114" i="10"/>
  <c r="AR114" i="10"/>
  <c r="AQ114" i="10"/>
  <c r="AP114" i="10"/>
  <c r="AO114" i="10"/>
  <c r="AN114" i="10"/>
  <c r="AM114" i="10"/>
  <c r="AL114" i="10"/>
  <c r="AK114" i="10"/>
  <c r="AJ114" i="10"/>
  <c r="AI114" i="10"/>
  <c r="AH114" i="10"/>
  <c r="AG114" i="10"/>
  <c r="AF114" i="10"/>
  <c r="AE114" i="10"/>
  <c r="AD114" i="10"/>
  <c r="AC114" i="10"/>
  <c r="AB114" i="10"/>
  <c r="AA114" i="10"/>
  <c r="Z114" i="10"/>
  <c r="Y114" i="10"/>
  <c r="X114" i="10"/>
  <c r="W114" i="10"/>
  <c r="V114" i="10"/>
  <c r="U114" i="10"/>
  <c r="T114" i="10"/>
  <c r="S114" i="10"/>
  <c r="R114" i="10"/>
  <c r="Q114" i="10"/>
  <c r="P114" i="10"/>
  <c r="O114" i="10"/>
  <c r="N114" i="10"/>
  <c r="M114" i="10"/>
  <c r="L114" i="10"/>
  <c r="K114" i="10"/>
  <c r="J114" i="10"/>
  <c r="I114" i="10"/>
  <c r="H114" i="10"/>
  <c r="G114" i="10"/>
  <c r="F114" i="10"/>
  <c r="E114" i="10"/>
  <c r="D114" i="10"/>
  <c r="C114" i="10"/>
  <c r="B114" i="10"/>
  <c r="AW113" i="10"/>
  <c r="AV113" i="10"/>
  <c r="AU113" i="10"/>
  <c r="AT113" i="10"/>
  <c r="AS113" i="10"/>
  <c r="AR113" i="10"/>
  <c r="AQ113" i="10"/>
  <c r="AP113" i="10"/>
  <c r="AO113" i="10"/>
  <c r="AN113" i="10"/>
  <c r="AM113" i="10"/>
  <c r="AL113" i="10"/>
  <c r="AK113" i="10"/>
  <c r="AJ113" i="10"/>
  <c r="AI113" i="10"/>
  <c r="AH113" i="10"/>
  <c r="AG113" i="10"/>
  <c r="AF113" i="10"/>
  <c r="AE113" i="10"/>
  <c r="AD113" i="10"/>
  <c r="AC113" i="10"/>
  <c r="AB113" i="10"/>
  <c r="AA113" i="10"/>
  <c r="Z113" i="10"/>
  <c r="Y113" i="10"/>
  <c r="X113" i="10"/>
  <c r="W113" i="10"/>
  <c r="V113" i="10"/>
  <c r="U113" i="10"/>
  <c r="T113" i="10"/>
  <c r="S113" i="10"/>
  <c r="R113" i="10"/>
  <c r="Q113" i="10"/>
  <c r="P113" i="10"/>
  <c r="O113" i="10"/>
  <c r="N113" i="10"/>
  <c r="M113" i="10"/>
  <c r="L113" i="10"/>
  <c r="K113" i="10"/>
  <c r="J113" i="10"/>
  <c r="I113" i="10"/>
  <c r="H113" i="10"/>
  <c r="G113" i="10"/>
  <c r="F113" i="10"/>
  <c r="E113" i="10"/>
  <c r="D113" i="10"/>
  <c r="C113" i="10"/>
  <c r="A113" i="10"/>
  <c r="AM113" i="1"/>
  <c r="AN113" i="1"/>
  <c r="B113" i="10"/>
  <c r="AW112" i="10"/>
  <c r="AV112" i="10"/>
  <c r="AU112" i="10"/>
  <c r="AT112" i="10"/>
  <c r="AS112" i="10"/>
  <c r="AR112" i="10"/>
  <c r="AQ112" i="10"/>
  <c r="AP112" i="10"/>
  <c r="AO112" i="10"/>
  <c r="AN112" i="10"/>
  <c r="AM112" i="10"/>
  <c r="AL112" i="10"/>
  <c r="AK112" i="10"/>
  <c r="AJ112" i="10"/>
  <c r="AI112" i="10"/>
  <c r="AH112" i="10"/>
  <c r="AG112" i="10"/>
  <c r="AF112" i="10"/>
  <c r="AE112" i="10"/>
  <c r="AD112" i="10"/>
  <c r="AC112" i="10"/>
  <c r="AB112" i="10"/>
  <c r="AA112" i="10"/>
  <c r="Z112" i="10"/>
  <c r="Y112" i="10"/>
  <c r="X112" i="10"/>
  <c r="W112" i="10"/>
  <c r="V112" i="10"/>
  <c r="U112" i="10"/>
  <c r="T112" i="10"/>
  <c r="S112" i="10"/>
  <c r="R112" i="10"/>
  <c r="Q112" i="10"/>
  <c r="P112" i="10"/>
  <c r="O112" i="10"/>
  <c r="N112" i="10"/>
  <c r="M112" i="10"/>
  <c r="L112" i="10"/>
  <c r="K112" i="10"/>
  <c r="J112" i="10"/>
  <c r="I112" i="10"/>
  <c r="H112" i="10"/>
  <c r="G112" i="10"/>
  <c r="F112" i="10"/>
  <c r="E112" i="10"/>
  <c r="D112" i="10"/>
  <c r="C112" i="10"/>
  <c r="B112" i="10"/>
  <c r="AX112" i="10"/>
  <c r="A112" i="10"/>
  <c r="AW111" i="10"/>
  <c r="AV111" i="10"/>
  <c r="AU111" i="10"/>
  <c r="AT111" i="10"/>
  <c r="AS111" i="10"/>
  <c r="AR111" i="10"/>
  <c r="AQ111" i="10"/>
  <c r="AP111" i="10"/>
  <c r="AO111" i="10"/>
  <c r="AN111" i="10"/>
  <c r="AM111" i="10"/>
  <c r="AL111" i="10"/>
  <c r="AK111" i="10"/>
  <c r="AJ111" i="10"/>
  <c r="AI111" i="10"/>
  <c r="AH111" i="10"/>
  <c r="AG111" i="10"/>
  <c r="AF111" i="10"/>
  <c r="AE111" i="10"/>
  <c r="AD111" i="10"/>
  <c r="AC111" i="10"/>
  <c r="AB111" i="10"/>
  <c r="AA111" i="10"/>
  <c r="Z111" i="10"/>
  <c r="Y111" i="10"/>
  <c r="X111" i="10"/>
  <c r="W111" i="10"/>
  <c r="V111" i="10"/>
  <c r="U111" i="10"/>
  <c r="T111" i="10"/>
  <c r="S111" i="10"/>
  <c r="R111" i="10"/>
  <c r="Q111" i="10"/>
  <c r="P111" i="10"/>
  <c r="O111" i="10"/>
  <c r="N111" i="10"/>
  <c r="M111" i="10"/>
  <c r="L111" i="10"/>
  <c r="K111" i="10"/>
  <c r="J111" i="10"/>
  <c r="I111" i="10"/>
  <c r="H111" i="10"/>
  <c r="G111" i="10"/>
  <c r="F111" i="10"/>
  <c r="E111" i="10"/>
  <c r="D111" i="10"/>
  <c r="C111" i="10"/>
  <c r="A111" i="10"/>
  <c r="B111" i="10"/>
  <c r="AW110" i="10"/>
  <c r="AV110" i="10"/>
  <c r="AU110" i="10"/>
  <c r="AT110" i="10"/>
  <c r="AS110" i="10"/>
  <c r="AR110" i="10"/>
  <c r="AQ110" i="10"/>
  <c r="AP110" i="10"/>
  <c r="AO110" i="10"/>
  <c r="AN110" i="10"/>
  <c r="AM110" i="10"/>
  <c r="AL110" i="10"/>
  <c r="AK110" i="10"/>
  <c r="AJ110" i="10"/>
  <c r="AI110" i="10"/>
  <c r="AH110" i="10"/>
  <c r="AG110" i="10"/>
  <c r="AF110" i="10"/>
  <c r="AE110" i="10"/>
  <c r="AD110" i="10"/>
  <c r="AC110" i="10"/>
  <c r="AB110" i="10"/>
  <c r="AA110" i="10"/>
  <c r="Z110" i="10"/>
  <c r="Y110" i="10"/>
  <c r="X110" i="10"/>
  <c r="W110" i="10"/>
  <c r="V110" i="10"/>
  <c r="U110" i="10"/>
  <c r="T110" i="10"/>
  <c r="S110" i="10"/>
  <c r="R110" i="10"/>
  <c r="Q110" i="10"/>
  <c r="P110" i="10"/>
  <c r="O110" i="10"/>
  <c r="N110" i="10"/>
  <c r="M110" i="10"/>
  <c r="L110" i="10"/>
  <c r="K110" i="10"/>
  <c r="J110" i="10"/>
  <c r="I110" i="10"/>
  <c r="H110" i="10"/>
  <c r="G110" i="10"/>
  <c r="F110" i="10"/>
  <c r="E110" i="10"/>
  <c r="A110" i="10"/>
  <c r="D110" i="10"/>
  <c r="C110" i="10"/>
  <c r="B110" i="10"/>
  <c r="AW109" i="10"/>
  <c r="AV109" i="10"/>
  <c r="AU109" i="10"/>
  <c r="AT109" i="10"/>
  <c r="AS109" i="10"/>
  <c r="AR109" i="10"/>
  <c r="AQ109" i="10"/>
  <c r="AP109" i="10"/>
  <c r="AO109" i="10"/>
  <c r="AN109" i="10"/>
  <c r="AM109" i="10"/>
  <c r="AL109" i="10"/>
  <c r="AK109" i="10"/>
  <c r="AJ109" i="10"/>
  <c r="AI109" i="10"/>
  <c r="AH109" i="10"/>
  <c r="AG109" i="10"/>
  <c r="AF109" i="10"/>
  <c r="AE109" i="10"/>
  <c r="AD109" i="10"/>
  <c r="AC109" i="10"/>
  <c r="AB109" i="10"/>
  <c r="AA109" i="10"/>
  <c r="Z109" i="10"/>
  <c r="Y109" i="10"/>
  <c r="X109" i="10"/>
  <c r="W109" i="10"/>
  <c r="V109" i="10"/>
  <c r="U109" i="10"/>
  <c r="T109" i="10"/>
  <c r="S109" i="10"/>
  <c r="R109" i="10"/>
  <c r="Q109" i="10"/>
  <c r="P109" i="10"/>
  <c r="O109" i="10"/>
  <c r="N109" i="10"/>
  <c r="M109" i="10"/>
  <c r="L109" i="10"/>
  <c r="K109" i="10"/>
  <c r="J109" i="10"/>
  <c r="I109" i="10"/>
  <c r="H109" i="10"/>
  <c r="G109" i="10"/>
  <c r="F109" i="10"/>
  <c r="E109" i="10"/>
  <c r="D109" i="10"/>
  <c r="C109" i="10"/>
  <c r="B109" i="10"/>
  <c r="AW108" i="10"/>
  <c r="AV108" i="10"/>
  <c r="AU108" i="10"/>
  <c r="AT108" i="10"/>
  <c r="AS108" i="10"/>
  <c r="AR108" i="10"/>
  <c r="AQ108" i="10"/>
  <c r="AP108" i="10"/>
  <c r="AO108" i="10"/>
  <c r="AN108" i="10"/>
  <c r="AM108" i="10"/>
  <c r="AL108" i="10"/>
  <c r="AK108" i="10"/>
  <c r="AJ108" i="10"/>
  <c r="AI108" i="10"/>
  <c r="AH108" i="10"/>
  <c r="AG108" i="10"/>
  <c r="AF108" i="10"/>
  <c r="AE108" i="10"/>
  <c r="AD108" i="10"/>
  <c r="AC108" i="10"/>
  <c r="AB108" i="10"/>
  <c r="AA108" i="10"/>
  <c r="Z108" i="10"/>
  <c r="Y108" i="10"/>
  <c r="X108" i="10"/>
  <c r="W108" i="10"/>
  <c r="V108" i="10"/>
  <c r="U108" i="10"/>
  <c r="T108" i="10"/>
  <c r="S108" i="10"/>
  <c r="R108" i="10"/>
  <c r="Q108" i="10"/>
  <c r="P108" i="10"/>
  <c r="O108" i="10"/>
  <c r="N108" i="10"/>
  <c r="M108" i="10"/>
  <c r="L108" i="10"/>
  <c r="K108" i="10"/>
  <c r="J108" i="10"/>
  <c r="I108" i="10"/>
  <c r="H108" i="10"/>
  <c r="G108" i="10"/>
  <c r="F108" i="10"/>
  <c r="E108" i="10"/>
  <c r="D108" i="10"/>
  <c r="C108" i="10"/>
  <c r="B108" i="10"/>
  <c r="A108" i="10"/>
  <c r="AW107" i="10"/>
  <c r="AV107" i="10"/>
  <c r="AU107" i="10"/>
  <c r="AT107" i="10"/>
  <c r="AS107" i="10"/>
  <c r="AR107" i="10"/>
  <c r="AQ107" i="10"/>
  <c r="AP107" i="10"/>
  <c r="AO107" i="10"/>
  <c r="AN107" i="10"/>
  <c r="AM107" i="10"/>
  <c r="AL107" i="10"/>
  <c r="AK107" i="10"/>
  <c r="AJ107" i="10"/>
  <c r="AI107" i="10"/>
  <c r="AH107" i="10"/>
  <c r="AG107" i="10"/>
  <c r="AF107" i="10"/>
  <c r="AE107" i="10"/>
  <c r="AD107" i="10"/>
  <c r="AC107" i="10"/>
  <c r="AB107" i="10"/>
  <c r="AA107" i="10"/>
  <c r="Z107" i="10"/>
  <c r="Y107" i="10"/>
  <c r="X107" i="10"/>
  <c r="W107" i="10"/>
  <c r="V107" i="10"/>
  <c r="U107" i="10"/>
  <c r="T107" i="10"/>
  <c r="S107" i="10"/>
  <c r="R107" i="10"/>
  <c r="Q107" i="10"/>
  <c r="P107" i="10"/>
  <c r="O107" i="10"/>
  <c r="N107" i="10"/>
  <c r="M107" i="10"/>
  <c r="L107" i="10"/>
  <c r="K107" i="10"/>
  <c r="J107" i="10"/>
  <c r="I107" i="10"/>
  <c r="H107" i="10"/>
  <c r="G107" i="10"/>
  <c r="F107" i="10"/>
  <c r="E107" i="10"/>
  <c r="D107" i="10"/>
  <c r="C107" i="10"/>
  <c r="A107" i="10"/>
  <c r="B107" i="10"/>
  <c r="AX107" i="10"/>
  <c r="AW106" i="10"/>
  <c r="AV106" i="10"/>
  <c r="AU106" i="10"/>
  <c r="AT106" i="10"/>
  <c r="AS106" i="10"/>
  <c r="AR106" i="10"/>
  <c r="AQ106" i="10"/>
  <c r="AP106" i="10"/>
  <c r="AO106" i="10"/>
  <c r="AN106" i="10"/>
  <c r="AM106" i="10"/>
  <c r="AL106" i="10"/>
  <c r="AK106" i="10"/>
  <c r="AJ106" i="10"/>
  <c r="AI106" i="10"/>
  <c r="AH106" i="10"/>
  <c r="AG106" i="10"/>
  <c r="AF106" i="10"/>
  <c r="AE106" i="10"/>
  <c r="AD106" i="10"/>
  <c r="AC106" i="10"/>
  <c r="AB106" i="10"/>
  <c r="AA106" i="10"/>
  <c r="Z106" i="10"/>
  <c r="Y106" i="10"/>
  <c r="X106" i="10"/>
  <c r="W106" i="10"/>
  <c r="V106" i="10"/>
  <c r="U106" i="10"/>
  <c r="T106" i="10"/>
  <c r="S106" i="10"/>
  <c r="R106" i="10"/>
  <c r="Q106" i="10"/>
  <c r="P106" i="10"/>
  <c r="O106" i="10"/>
  <c r="N106" i="10"/>
  <c r="M106" i="10"/>
  <c r="L106" i="10"/>
  <c r="K106" i="10"/>
  <c r="J106" i="10"/>
  <c r="I106" i="10"/>
  <c r="H106" i="10"/>
  <c r="G106" i="10"/>
  <c r="F106" i="10"/>
  <c r="E106" i="10"/>
  <c r="D106" i="10"/>
  <c r="C106" i="10"/>
  <c r="B106" i="10"/>
  <c r="AW105" i="10"/>
  <c r="AV105" i="10"/>
  <c r="AU105" i="10"/>
  <c r="AT105" i="10"/>
  <c r="AS105" i="10"/>
  <c r="AR105" i="10"/>
  <c r="AQ105" i="10"/>
  <c r="AP105" i="10"/>
  <c r="AO105" i="10"/>
  <c r="AN105" i="10"/>
  <c r="AM105" i="10"/>
  <c r="AL105" i="10"/>
  <c r="AK105" i="10"/>
  <c r="AJ105" i="10"/>
  <c r="AI105" i="10"/>
  <c r="AH105" i="10"/>
  <c r="AG105" i="10"/>
  <c r="AF105" i="10"/>
  <c r="AE105" i="10"/>
  <c r="AD105" i="10"/>
  <c r="AC105" i="10"/>
  <c r="AB105" i="10"/>
  <c r="AA105" i="10"/>
  <c r="Z105" i="10"/>
  <c r="Y105" i="10"/>
  <c r="X105" i="10"/>
  <c r="W105" i="10"/>
  <c r="V105" i="10"/>
  <c r="U105" i="10"/>
  <c r="T105" i="10"/>
  <c r="S105" i="10"/>
  <c r="R105" i="10"/>
  <c r="Q105" i="10"/>
  <c r="P105" i="10"/>
  <c r="O105" i="10"/>
  <c r="N105" i="10"/>
  <c r="M105" i="10"/>
  <c r="L105" i="10"/>
  <c r="K105" i="10"/>
  <c r="J105" i="10"/>
  <c r="I105" i="10"/>
  <c r="H105" i="10"/>
  <c r="G105" i="10"/>
  <c r="F105" i="10"/>
  <c r="E105" i="10"/>
  <c r="D105" i="10"/>
  <c r="C105" i="10"/>
  <c r="B105" i="10"/>
  <c r="AW104" i="10"/>
  <c r="AV104" i="10"/>
  <c r="AU104" i="10"/>
  <c r="AT104" i="10"/>
  <c r="AS104" i="10"/>
  <c r="AR104" i="10"/>
  <c r="AQ104" i="10"/>
  <c r="AP104" i="10"/>
  <c r="AO104" i="10"/>
  <c r="AN104" i="10"/>
  <c r="AM104" i="10"/>
  <c r="AL104" i="10"/>
  <c r="AK104" i="10"/>
  <c r="AJ104" i="10"/>
  <c r="AI104" i="10"/>
  <c r="AH104" i="10"/>
  <c r="AG104" i="10"/>
  <c r="AF104" i="10"/>
  <c r="AE104" i="10"/>
  <c r="AD104" i="10"/>
  <c r="AC104" i="10"/>
  <c r="AB104" i="10"/>
  <c r="AA104" i="10"/>
  <c r="Z104" i="10"/>
  <c r="Y104" i="10"/>
  <c r="X104" i="10"/>
  <c r="W104" i="10"/>
  <c r="V104" i="10"/>
  <c r="U104" i="10"/>
  <c r="T104" i="10"/>
  <c r="S104" i="10"/>
  <c r="R104" i="10"/>
  <c r="Q104" i="10"/>
  <c r="P104" i="10"/>
  <c r="O104" i="10"/>
  <c r="N104" i="10"/>
  <c r="M104" i="10"/>
  <c r="L104" i="10"/>
  <c r="K104" i="10"/>
  <c r="J104" i="10"/>
  <c r="I104" i="10"/>
  <c r="H104" i="10"/>
  <c r="G104" i="10"/>
  <c r="F104" i="10"/>
  <c r="E104" i="10"/>
  <c r="D104" i="10"/>
  <c r="C104" i="10"/>
  <c r="A104" i="10"/>
  <c r="B104" i="10"/>
  <c r="AW103" i="10"/>
  <c r="AV103" i="10"/>
  <c r="AU103" i="10"/>
  <c r="AT103" i="10"/>
  <c r="AS103" i="10"/>
  <c r="AR103" i="10"/>
  <c r="AQ103" i="10"/>
  <c r="AP103" i="10"/>
  <c r="AO103" i="10"/>
  <c r="AN103" i="10"/>
  <c r="AM103" i="10"/>
  <c r="AL103" i="10"/>
  <c r="AK103" i="10"/>
  <c r="AJ103" i="10"/>
  <c r="AI103" i="10"/>
  <c r="AH103" i="10"/>
  <c r="AG103" i="10"/>
  <c r="AF103" i="10"/>
  <c r="AE103" i="10"/>
  <c r="AD103" i="10"/>
  <c r="AC103" i="10"/>
  <c r="AB103" i="10"/>
  <c r="AA103" i="10"/>
  <c r="Z103" i="10"/>
  <c r="Y103" i="10"/>
  <c r="X103" i="10"/>
  <c r="W103" i="10"/>
  <c r="V103" i="10"/>
  <c r="U103" i="10"/>
  <c r="T103" i="10"/>
  <c r="S103" i="10"/>
  <c r="R103" i="10"/>
  <c r="Q103" i="10"/>
  <c r="P103" i="10"/>
  <c r="O103" i="10"/>
  <c r="N103" i="10"/>
  <c r="M103" i="10"/>
  <c r="L103" i="10"/>
  <c r="K103" i="10"/>
  <c r="J103" i="10"/>
  <c r="I103" i="10"/>
  <c r="H103" i="10"/>
  <c r="G103" i="10"/>
  <c r="F103" i="10"/>
  <c r="E103" i="10"/>
  <c r="D103" i="10"/>
  <c r="C103" i="10"/>
  <c r="B103" i="10"/>
  <c r="AX103" i="10"/>
  <c r="A103" i="10"/>
  <c r="AW102" i="10"/>
  <c r="AV102" i="10"/>
  <c r="AU102" i="10"/>
  <c r="AT102" i="10"/>
  <c r="AS102" i="10"/>
  <c r="AR102" i="10"/>
  <c r="AQ102" i="10"/>
  <c r="AP102" i="10"/>
  <c r="AO102" i="10"/>
  <c r="AN102" i="10"/>
  <c r="AM102" i="10"/>
  <c r="AL102" i="10"/>
  <c r="AK102" i="10"/>
  <c r="AJ102" i="10"/>
  <c r="AI102" i="10"/>
  <c r="AH102" i="10"/>
  <c r="AG102" i="10"/>
  <c r="AF102" i="10"/>
  <c r="AE102" i="10"/>
  <c r="AD102" i="10"/>
  <c r="AC102" i="10"/>
  <c r="AB102" i="10"/>
  <c r="AA102" i="10"/>
  <c r="Z102" i="10"/>
  <c r="Y102" i="10"/>
  <c r="X102" i="10"/>
  <c r="W102" i="10"/>
  <c r="V102" i="10"/>
  <c r="U102" i="10"/>
  <c r="T102" i="10"/>
  <c r="S102" i="10"/>
  <c r="R102" i="10"/>
  <c r="Q102" i="10"/>
  <c r="P102" i="10"/>
  <c r="O102" i="10"/>
  <c r="N102" i="10"/>
  <c r="M102" i="10"/>
  <c r="L102" i="10"/>
  <c r="K102" i="10"/>
  <c r="J102" i="10"/>
  <c r="I102" i="10"/>
  <c r="H102" i="10"/>
  <c r="G102" i="10"/>
  <c r="F102" i="10"/>
  <c r="E102" i="10"/>
  <c r="D102" i="10"/>
  <c r="C102" i="10"/>
  <c r="A102" i="10"/>
  <c r="B102" i="10"/>
  <c r="AW101" i="10"/>
  <c r="AV101" i="10"/>
  <c r="AU101" i="10"/>
  <c r="AT101" i="10"/>
  <c r="AS101" i="10"/>
  <c r="AR101" i="10"/>
  <c r="AQ101" i="10"/>
  <c r="AP101" i="10"/>
  <c r="AO101" i="10"/>
  <c r="AN101" i="10"/>
  <c r="AM101" i="10"/>
  <c r="AL101" i="10"/>
  <c r="AK101" i="10"/>
  <c r="AJ101" i="10"/>
  <c r="AI101" i="10"/>
  <c r="AH101" i="10"/>
  <c r="AG101" i="10"/>
  <c r="AF101" i="10"/>
  <c r="AE101" i="10"/>
  <c r="AD101" i="10"/>
  <c r="AC101" i="10"/>
  <c r="AB101" i="10"/>
  <c r="AA101" i="10"/>
  <c r="Z101" i="10"/>
  <c r="Y101" i="10"/>
  <c r="X101" i="10"/>
  <c r="W101" i="10"/>
  <c r="V101" i="10"/>
  <c r="U101" i="10"/>
  <c r="T101" i="10"/>
  <c r="S101" i="10"/>
  <c r="R101" i="10"/>
  <c r="Q101" i="10"/>
  <c r="P101" i="10"/>
  <c r="O101" i="10"/>
  <c r="N101" i="10"/>
  <c r="M101" i="10"/>
  <c r="L101" i="10"/>
  <c r="K101" i="10"/>
  <c r="J101" i="10"/>
  <c r="I101" i="10"/>
  <c r="H101" i="10"/>
  <c r="G101" i="10"/>
  <c r="F101" i="10"/>
  <c r="E101" i="10"/>
  <c r="A101" i="10"/>
  <c r="D101" i="10"/>
  <c r="C101" i="10"/>
  <c r="B101" i="10"/>
  <c r="AW100" i="10"/>
  <c r="AV100" i="10"/>
  <c r="AU100" i="10"/>
  <c r="AT100" i="10"/>
  <c r="AS100" i="10"/>
  <c r="AR100" i="10"/>
  <c r="AQ100" i="10"/>
  <c r="AP100" i="10"/>
  <c r="AO100" i="10"/>
  <c r="AN100" i="10"/>
  <c r="AM100" i="10"/>
  <c r="AL100" i="10"/>
  <c r="AK100" i="10"/>
  <c r="AJ100" i="10"/>
  <c r="AI100" i="10"/>
  <c r="AH100" i="10"/>
  <c r="AG100" i="10"/>
  <c r="AF100" i="10"/>
  <c r="AE100" i="10"/>
  <c r="AD100" i="10"/>
  <c r="AC100" i="10"/>
  <c r="AB100" i="10"/>
  <c r="AA100" i="10"/>
  <c r="Z100" i="10"/>
  <c r="Y100" i="10"/>
  <c r="X100" i="10"/>
  <c r="W100" i="10"/>
  <c r="V100" i="10"/>
  <c r="U100" i="10"/>
  <c r="T100" i="10"/>
  <c r="S100" i="10"/>
  <c r="R100" i="10"/>
  <c r="Q100" i="10"/>
  <c r="P100" i="10"/>
  <c r="O100" i="10"/>
  <c r="N100" i="10"/>
  <c r="M100" i="10"/>
  <c r="L100" i="10"/>
  <c r="K100" i="10"/>
  <c r="J100" i="10"/>
  <c r="I100" i="10"/>
  <c r="H100" i="10"/>
  <c r="G100" i="10"/>
  <c r="F100" i="10"/>
  <c r="E100" i="10"/>
  <c r="D100" i="10"/>
  <c r="C100" i="10"/>
  <c r="B100" i="10"/>
  <c r="AW99" i="10"/>
  <c r="AV99" i="10"/>
  <c r="AU99" i="10"/>
  <c r="AT99" i="10"/>
  <c r="AS99" i="10"/>
  <c r="AR99" i="10"/>
  <c r="AQ99" i="10"/>
  <c r="AP99" i="10"/>
  <c r="AO99" i="10"/>
  <c r="AN99" i="10"/>
  <c r="AM99" i="10"/>
  <c r="AL99" i="10"/>
  <c r="AK99" i="10"/>
  <c r="AJ99" i="10"/>
  <c r="AI99" i="10"/>
  <c r="AH99" i="10"/>
  <c r="AG99" i="10"/>
  <c r="AF99" i="10"/>
  <c r="AE99" i="10"/>
  <c r="AD99" i="10"/>
  <c r="AC99" i="10"/>
  <c r="AB99" i="10"/>
  <c r="AA99" i="10"/>
  <c r="Z99" i="10"/>
  <c r="Y99" i="10"/>
  <c r="X99" i="10"/>
  <c r="W99" i="10"/>
  <c r="V99" i="10"/>
  <c r="U99" i="10"/>
  <c r="T99" i="10"/>
  <c r="S99" i="10"/>
  <c r="R99" i="10"/>
  <c r="Q99" i="10"/>
  <c r="P99" i="10"/>
  <c r="O99" i="10"/>
  <c r="N99" i="10"/>
  <c r="M99" i="10"/>
  <c r="L99" i="10"/>
  <c r="K99" i="10"/>
  <c r="J99" i="10"/>
  <c r="I99" i="10"/>
  <c r="H99" i="10"/>
  <c r="G99" i="10"/>
  <c r="F99" i="10"/>
  <c r="E99" i="10"/>
  <c r="D99" i="10"/>
  <c r="C99" i="10"/>
  <c r="B99" i="10"/>
  <c r="A99" i="10"/>
  <c r="AW98" i="10"/>
  <c r="AV98" i="10"/>
  <c r="AU98" i="10"/>
  <c r="AT98" i="10"/>
  <c r="AS98" i="10"/>
  <c r="AR98" i="10"/>
  <c r="AQ98" i="10"/>
  <c r="AP98" i="10"/>
  <c r="AO98" i="10"/>
  <c r="AN98" i="10"/>
  <c r="AM98" i="10"/>
  <c r="AL98" i="10"/>
  <c r="AK98" i="10"/>
  <c r="AJ98" i="10"/>
  <c r="AI98" i="10"/>
  <c r="AH98" i="10"/>
  <c r="AG98" i="10"/>
  <c r="AF98" i="10"/>
  <c r="AE98" i="10"/>
  <c r="AD98" i="10"/>
  <c r="AC98" i="10"/>
  <c r="AB98" i="10"/>
  <c r="AA98" i="10"/>
  <c r="Z98" i="10"/>
  <c r="Y98" i="10"/>
  <c r="X98" i="10"/>
  <c r="W98" i="10"/>
  <c r="V98" i="10"/>
  <c r="U98" i="10"/>
  <c r="T98" i="10"/>
  <c r="S98" i="10"/>
  <c r="R98" i="10"/>
  <c r="Q98" i="10"/>
  <c r="P98" i="10"/>
  <c r="O98" i="10"/>
  <c r="N98" i="10"/>
  <c r="M98" i="10"/>
  <c r="L98" i="10"/>
  <c r="K98" i="10"/>
  <c r="J98" i="10"/>
  <c r="I98" i="10"/>
  <c r="H98" i="10"/>
  <c r="G98" i="10"/>
  <c r="F98" i="10"/>
  <c r="E98" i="10"/>
  <c r="D98" i="10"/>
  <c r="C98" i="10"/>
  <c r="A98" i="10"/>
  <c r="B98" i="10"/>
  <c r="AX98" i="10"/>
  <c r="AW97" i="10"/>
  <c r="AV97" i="10"/>
  <c r="AU97" i="10"/>
  <c r="AT97" i="10"/>
  <c r="AS97" i="10"/>
  <c r="AR97" i="10"/>
  <c r="AQ97" i="10"/>
  <c r="AP97" i="10"/>
  <c r="AO97" i="10"/>
  <c r="AN97" i="10"/>
  <c r="AM97" i="10"/>
  <c r="AL97" i="10"/>
  <c r="AK97" i="10"/>
  <c r="AJ97" i="10"/>
  <c r="AI97" i="10"/>
  <c r="AH97" i="10"/>
  <c r="AG97" i="10"/>
  <c r="AF97" i="10"/>
  <c r="AE97" i="10"/>
  <c r="AD97" i="10"/>
  <c r="AC97" i="10"/>
  <c r="AB97" i="10"/>
  <c r="AA97" i="10"/>
  <c r="Z97" i="10"/>
  <c r="Y97" i="10"/>
  <c r="X97" i="10"/>
  <c r="W97" i="10"/>
  <c r="V97" i="10"/>
  <c r="U97" i="10"/>
  <c r="T97" i="10"/>
  <c r="S97" i="10"/>
  <c r="R97" i="10"/>
  <c r="Q97" i="10"/>
  <c r="P97" i="10"/>
  <c r="O97" i="10"/>
  <c r="N97" i="10"/>
  <c r="M97" i="10"/>
  <c r="L97" i="10"/>
  <c r="K97" i="10"/>
  <c r="J97" i="10"/>
  <c r="I97" i="10"/>
  <c r="H97" i="10"/>
  <c r="G97" i="10"/>
  <c r="F97" i="10"/>
  <c r="E97" i="10"/>
  <c r="D97" i="10"/>
  <c r="C97" i="10"/>
  <c r="B97" i="10"/>
  <c r="AW96" i="10"/>
  <c r="AV96" i="10"/>
  <c r="AU96" i="10"/>
  <c r="AT96" i="10"/>
  <c r="AS96" i="10"/>
  <c r="AR96" i="10"/>
  <c r="AQ96" i="10"/>
  <c r="AP96" i="10"/>
  <c r="AO96" i="10"/>
  <c r="AN96" i="10"/>
  <c r="AM96" i="10"/>
  <c r="AL96" i="10"/>
  <c r="AK96" i="10"/>
  <c r="AJ96" i="10"/>
  <c r="AI96" i="10"/>
  <c r="AH96" i="10"/>
  <c r="AG96" i="10"/>
  <c r="AF96" i="10"/>
  <c r="AE96" i="10"/>
  <c r="AD96" i="10"/>
  <c r="AC96" i="10"/>
  <c r="AB96" i="10"/>
  <c r="AA96" i="10"/>
  <c r="Z96" i="10"/>
  <c r="Y96" i="10"/>
  <c r="X96" i="10"/>
  <c r="W96" i="10"/>
  <c r="V96" i="10"/>
  <c r="U96" i="10"/>
  <c r="T96" i="10"/>
  <c r="S96" i="10"/>
  <c r="R96" i="10"/>
  <c r="Q96" i="10"/>
  <c r="P96" i="10"/>
  <c r="O96" i="10"/>
  <c r="N96" i="10"/>
  <c r="M96" i="10"/>
  <c r="L96" i="10"/>
  <c r="K96" i="10"/>
  <c r="J96" i="10"/>
  <c r="I96" i="10"/>
  <c r="H96" i="10"/>
  <c r="G96" i="10"/>
  <c r="F96" i="10"/>
  <c r="E96" i="10"/>
  <c r="D96" i="10"/>
  <c r="C96" i="10"/>
  <c r="B96" i="10"/>
  <c r="AW95" i="10"/>
  <c r="AV95" i="10"/>
  <c r="AU95" i="10"/>
  <c r="AT95" i="10"/>
  <c r="AS95" i="10"/>
  <c r="AR95" i="10"/>
  <c r="AQ95" i="10"/>
  <c r="AP95" i="10"/>
  <c r="AO95" i="10"/>
  <c r="AN95" i="10"/>
  <c r="AM95" i="10"/>
  <c r="AL95" i="10"/>
  <c r="AK95" i="10"/>
  <c r="AJ95" i="10"/>
  <c r="AI95" i="10"/>
  <c r="AH95" i="10"/>
  <c r="AG95" i="10"/>
  <c r="AF95" i="10"/>
  <c r="AE95" i="10"/>
  <c r="AD95" i="10"/>
  <c r="AC95" i="10"/>
  <c r="AB95" i="10"/>
  <c r="AA95" i="10"/>
  <c r="Z95" i="10"/>
  <c r="Y95" i="10"/>
  <c r="X95" i="10"/>
  <c r="W95" i="10"/>
  <c r="V95" i="10"/>
  <c r="U95" i="10"/>
  <c r="T95" i="10"/>
  <c r="S95" i="10"/>
  <c r="R95" i="10"/>
  <c r="Q95" i="10"/>
  <c r="P95" i="10"/>
  <c r="O95" i="10"/>
  <c r="N95" i="10"/>
  <c r="M95" i="10"/>
  <c r="L95" i="10"/>
  <c r="K95" i="10"/>
  <c r="J95" i="10"/>
  <c r="I95" i="10"/>
  <c r="H95" i="10"/>
  <c r="G95" i="10"/>
  <c r="F95" i="10"/>
  <c r="E95" i="10"/>
  <c r="D95" i="10"/>
  <c r="C95" i="10"/>
  <c r="A95" i="10"/>
  <c r="B95" i="10"/>
  <c r="AW94" i="10"/>
  <c r="AV94" i="10"/>
  <c r="AU94" i="10"/>
  <c r="AT94" i="10"/>
  <c r="AS94" i="10"/>
  <c r="AR94" i="10"/>
  <c r="AQ94" i="10"/>
  <c r="AP94" i="10"/>
  <c r="AO94" i="10"/>
  <c r="AN94" i="10"/>
  <c r="AM94" i="10"/>
  <c r="AL94" i="10"/>
  <c r="AK94" i="10"/>
  <c r="AJ94" i="10"/>
  <c r="AI94" i="10"/>
  <c r="AH94" i="10"/>
  <c r="AG94" i="10"/>
  <c r="AF94" i="10"/>
  <c r="AE94" i="10"/>
  <c r="AD94" i="10"/>
  <c r="AC94" i="10"/>
  <c r="AB94" i="10"/>
  <c r="AA94" i="10"/>
  <c r="Z94" i="10"/>
  <c r="Y94" i="10"/>
  <c r="X94" i="10"/>
  <c r="W94" i="10"/>
  <c r="V94" i="10"/>
  <c r="U94" i="10"/>
  <c r="T94" i="10"/>
  <c r="S94" i="10"/>
  <c r="R94" i="10"/>
  <c r="Q94" i="10"/>
  <c r="P94" i="10"/>
  <c r="O94" i="10"/>
  <c r="N94" i="10"/>
  <c r="M94" i="10"/>
  <c r="L94" i="10"/>
  <c r="K94" i="10"/>
  <c r="J94" i="10"/>
  <c r="I94" i="10"/>
  <c r="H94" i="10"/>
  <c r="G94" i="10"/>
  <c r="F94" i="10"/>
  <c r="E94" i="10"/>
  <c r="D94" i="10"/>
  <c r="C94" i="10"/>
  <c r="B94" i="10"/>
  <c r="AX94" i="10"/>
  <c r="A94" i="10"/>
  <c r="AW93" i="10"/>
  <c r="AV93" i="10"/>
  <c r="AU93" i="10"/>
  <c r="AT93" i="10"/>
  <c r="AS93" i="10"/>
  <c r="AR93" i="10"/>
  <c r="AQ93" i="10"/>
  <c r="AP93" i="10"/>
  <c r="AO93" i="10"/>
  <c r="AN93" i="10"/>
  <c r="AM93" i="10"/>
  <c r="AL93" i="10"/>
  <c r="AK93" i="10"/>
  <c r="AJ93" i="10"/>
  <c r="AI93" i="10"/>
  <c r="AH93" i="10"/>
  <c r="AG93" i="10"/>
  <c r="AF93" i="10"/>
  <c r="AE93" i="10"/>
  <c r="AD93" i="10"/>
  <c r="AC93" i="10"/>
  <c r="AB93" i="10"/>
  <c r="AA93" i="10"/>
  <c r="Z93" i="10"/>
  <c r="Y93" i="10"/>
  <c r="X93" i="10"/>
  <c r="W93" i="10"/>
  <c r="V93" i="10"/>
  <c r="U93" i="10"/>
  <c r="T93" i="10"/>
  <c r="S93" i="10"/>
  <c r="R93" i="10"/>
  <c r="Q93" i="10"/>
  <c r="P93" i="10"/>
  <c r="O93" i="10"/>
  <c r="N93" i="10"/>
  <c r="M93" i="10"/>
  <c r="L93" i="10"/>
  <c r="K93" i="10"/>
  <c r="J93" i="10"/>
  <c r="I93" i="10"/>
  <c r="H93" i="10"/>
  <c r="G93" i="10"/>
  <c r="F93" i="10"/>
  <c r="E93" i="10"/>
  <c r="D93" i="10"/>
  <c r="C93" i="10"/>
  <c r="A93" i="10"/>
  <c r="B93" i="10"/>
  <c r="AW92" i="10"/>
  <c r="AV92" i="10"/>
  <c r="AU92" i="10"/>
  <c r="AT92" i="10"/>
  <c r="AS92" i="10"/>
  <c r="AR92" i="10"/>
  <c r="AQ92" i="10"/>
  <c r="AP92" i="10"/>
  <c r="AO92" i="10"/>
  <c r="AN92" i="10"/>
  <c r="AM92" i="10"/>
  <c r="AL92" i="10"/>
  <c r="AK92" i="10"/>
  <c r="AJ92" i="10"/>
  <c r="AI92" i="10"/>
  <c r="AH92" i="10"/>
  <c r="AG92" i="10"/>
  <c r="AF92" i="10"/>
  <c r="AE92" i="10"/>
  <c r="AD92" i="10"/>
  <c r="AC92" i="10"/>
  <c r="AB92" i="10"/>
  <c r="AA92" i="10"/>
  <c r="Z92" i="10"/>
  <c r="Y92" i="10"/>
  <c r="X92" i="10"/>
  <c r="W92" i="10"/>
  <c r="V92" i="10"/>
  <c r="U92" i="10"/>
  <c r="T92" i="10"/>
  <c r="S92" i="10"/>
  <c r="R92" i="10"/>
  <c r="Q92" i="10"/>
  <c r="P92" i="10"/>
  <c r="O92" i="10"/>
  <c r="N92" i="10"/>
  <c r="M92" i="10"/>
  <c r="L92" i="10"/>
  <c r="K92" i="10"/>
  <c r="J92" i="10"/>
  <c r="I92" i="10"/>
  <c r="H92" i="10"/>
  <c r="G92" i="10"/>
  <c r="F92" i="10"/>
  <c r="E92" i="10"/>
  <c r="A92" i="10"/>
  <c r="D92" i="10"/>
  <c r="C92" i="10"/>
  <c r="B92" i="10"/>
  <c r="AW91" i="10"/>
  <c r="AV91" i="10"/>
  <c r="AU91" i="10"/>
  <c r="AT91" i="10"/>
  <c r="AS91" i="10"/>
  <c r="AR91" i="10"/>
  <c r="AQ91" i="10"/>
  <c r="AP91" i="10"/>
  <c r="AO91" i="10"/>
  <c r="AN91" i="10"/>
  <c r="AM91" i="10"/>
  <c r="AL91" i="10"/>
  <c r="AK91" i="10"/>
  <c r="AJ91" i="10"/>
  <c r="AI91" i="10"/>
  <c r="AH91" i="10"/>
  <c r="AG91" i="10"/>
  <c r="AF91" i="10"/>
  <c r="AE91" i="10"/>
  <c r="AD91" i="10"/>
  <c r="AC91" i="10"/>
  <c r="AB91" i="10"/>
  <c r="AA91" i="10"/>
  <c r="Z91" i="10"/>
  <c r="Y91" i="10"/>
  <c r="X91" i="10"/>
  <c r="W91" i="10"/>
  <c r="V91" i="10"/>
  <c r="U91" i="10"/>
  <c r="T91" i="10"/>
  <c r="S91" i="10"/>
  <c r="R91" i="10"/>
  <c r="Q91" i="10"/>
  <c r="P91" i="10"/>
  <c r="O91" i="10"/>
  <c r="N91" i="10"/>
  <c r="M91" i="10"/>
  <c r="L91" i="10"/>
  <c r="K91" i="10"/>
  <c r="J91" i="10"/>
  <c r="I91" i="10"/>
  <c r="H91" i="10"/>
  <c r="G91" i="10"/>
  <c r="F91" i="10"/>
  <c r="E91" i="10"/>
  <c r="D91" i="10"/>
  <c r="C91" i="10"/>
  <c r="B91" i="10"/>
  <c r="AW90" i="10"/>
  <c r="AV90" i="10"/>
  <c r="AU90" i="10"/>
  <c r="AT90" i="10"/>
  <c r="AS90" i="10"/>
  <c r="AR90" i="10"/>
  <c r="AQ90" i="10"/>
  <c r="AP90" i="10"/>
  <c r="AO90" i="10"/>
  <c r="AN90" i="10"/>
  <c r="AM90" i="10"/>
  <c r="AL90" i="10"/>
  <c r="AK90" i="10"/>
  <c r="AJ90" i="10"/>
  <c r="AI90" i="10"/>
  <c r="AH90" i="10"/>
  <c r="AG90" i="10"/>
  <c r="AF90" i="10"/>
  <c r="AE90" i="10"/>
  <c r="AD90" i="10"/>
  <c r="AC90" i="10"/>
  <c r="AB90" i="10"/>
  <c r="AA90" i="10"/>
  <c r="Z90" i="10"/>
  <c r="Y90" i="10"/>
  <c r="X90" i="10"/>
  <c r="W90" i="10"/>
  <c r="V90" i="10"/>
  <c r="U90" i="10"/>
  <c r="T90" i="10"/>
  <c r="S90" i="10"/>
  <c r="R90" i="10"/>
  <c r="Q90" i="10"/>
  <c r="P90" i="10"/>
  <c r="O90" i="10"/>
  <c r="N90" i="10"/>
  <c r="M90" i="10"/>
  <c r="L90" i="10"/>
  <c r="K90" i="10"/>
  <c r="J90" i="10"/>
  <c r="I90" i="10"/>
  <c r="H90" i="10"/>
  <c r="G90" i="10"/>
  <c r="F90" i="10"/>
  <c r="E90" i="10"/>
  <c r="D90" i="10"/>
  <c r="C90" i="10"/>
  <c r="B90" i="10"/>
  <c r="AX90" i="10"/>
  <c r="A90" i="10"/>
  <c r="AW89" i="10"/>
  <c r="AV89" i="10"/>
  <c r="AU89" i="10"/>
  <c r="AT89" i="10"/>
  <c r="AS89" i="10"/>
  <c r="AR89" i="10"/>
  <c r="AQ89" i="10"/>
  <c r="AP89" i="10"/>
  <c r="AO89" i="10"/>
  <c r="AN89" i="10"/>
  <c r="AM89" i="10"/>
  <c r="AL89" i="10"/>
  <c r="AK89" i="10"/>
  <c r="AJ89" i="10"/>
  <c r="AI89" i="10"/>
  <c r="AH89" i="10"/>
  <c r="AG89" i="10"/>
  <c r="AF89" i="10"/>
  <c r="AE89" i="10"/>
  <c r="AD89" i="10"/>
  <c r="AC89" i="10"/>
  <c r="AB89" i="10"/>
  <c r="AA89" i="10"/>
  <c r="Z89" i="10"/>
  <c r="Y89" i="10"/>
  <c r="X89" i="10"/>
  <c r="W89" i="10"/>
  <c r="V89" i="10"/>
  <c r="U89" i="10"/>
  <c r="T89" i="10"/>
  <c r="S89" i="10"/>
  <c r="R89" i="10"/>
  <c r="Q89" i="10"/>
  <c r="P89" i="10"/>
  <c r="O89" i="10"/>
  <c r="N89" i="10"/>
  <c r="M89" i="10"/>
  <c r="L89" i="10"/>
  <c r="K89" i="10"/>
  <c r="J89" i="10"/>
  <c r="I89" i="10"/>
  <c r="H89" i="10"/>
  <c r="G89" i="10"/>
  <c r="F89" i="10"/>
  <c r="E89" i="10"/>
  <c r="D89" i="10"/>
  <c r="C89" i="10"/>
  <c r="A89" i="10"/>
  <c r="B89" i="10"/>
  <c r="AX89" i="10"/>
  <c r="AW88" i="10"/>
  <c r="AV88" i="10"/>
  <c r="AU88" i="10"/>
  <c r="AT88" i="10"/>
  <c r="AS88" i="10"/>
  <c r="AR88" i="10"/>
  <c r="AQ88" i="10"/>
  <c r="AP88" i="10"/>
  <c r="AO88" i="10"/>
  <c r="AN88" i="10"/>
  <c r="AM88" i="10"/>
  <c r="AL88" i="10"/>
  <c r="AK88" i="10"/>
  <c r="AJ88" i="10"/>
  <c r="AI88" i="10"/>
  <c r="AH88" i="10"/>
  <c r="AG88" i="10"/>
  <c r="AF88" i="10"/>
  <c r="AE88" i="10"/>
  <c r="AD88" i="10"/>
  <c r="AC88" i="10"/>
  <c r="AB88" i="10"/>
  <c r="AA88" i="10"/>
  <c r="Z88" i="10"/>
  <c r="Y88" i="10"/>
  <c r="X88" i="10"/>
  <c r="W88" i="10"/>
  <c r="V88" i="10"/>
  <c r="U88" i="10"/>
  <c r="T88" i="10"/>
  <c r="S88" i="10"/>
  <c r="R88" i="10"/>
  <c r="Q88" i="10"/>
  <c r="P88" i="10"/>
  <c r="O88" i="10"/>
  <c r="N88" i="10"/>
  <c r="M88" i="10"/>
  <c r="L88" i="10"/>
  <c r="K88" i="10"/>
  <c r="J88" i="10"/>
  <c r="I88" i="10"/>
  <c r="H88" i="10"/>
  <c r="G88" i="10"/>
  <c r="F88" i="10"/>
  <c r="E88" i="10"/>
  <c r="D88" i="10"/>
  <c r="C88" i="10"/>
  <c r="B88" i="10"/>
  <c r="AW87" i="10"/>
  <c r="AV87" i="10"/>
  <c r="AU87" i="10"/>
  <c r="AT87" i="10"/>
  <c r="AS87" i="10"/>
  <c r="AR87" i="10"/>
  <c r="AQ87" i="10"/>
  <c r="AP87" i="10"/>
  <c r="AO87" i="10"/>
  <c r="AN87" i="10"/>
  <c r="AM87" i="10"/>
  <c r="AL87" i="10"/>
  <c r="AK87" i="10"/>
  <c r="AJ87" i="10"/>
  <c r="AI87" i="10"/>
  <c r="AH87" i="10"/>
  <c r="AG87" i="10"/>
  <c r="AF87" i="10"/>
  <c r="AE87" i="10"/>
  <c r="AD87" i="10"/>
  <c r="AC87" i="10"/>
  <c r="AB87" i="10"/>
  <c r="AA87" i="10"/>
  <c r="Z87" i="10"/>
  <c r="Y87" i="10"/>
  <c r="X87" i="10"/>
  <c r="W87" i="10"/>
  <c r="V87" i="10"/>
  <c r="U87" i="10"/>
  <c r="T87" i="10"/>
  <c r="S87" i="10"/>
  <c r="R87" i="10"/>
  <c r="Q87" i="10"/>
  <c r="P87" i="10"/>
  <c r="O87" i="10"/>
  <c r="N87" i="10"/>
  <c r="M87" i="10"/>
  <c r="L87" i="10"/>
  <c r="K87" i="10"/>
  <c r="J87" i="10"/>
  <c r="I87" i="10"/>
  <c r="H87" i="10"/>
  <c r="G87" i="10"/>
  <c r="F87" i="10"/>
  <c r="E87" i="10"/>
  <c r="D87" i="10"/>
  <c r="C87" i="10"/>
  <c r="B87" i="10"/>
  <c r="AW86" i="10"/>
  <c r="AV86" i="10"/>
  <c r="AU86" i="10"/>
  <c r="AT86" i="10"/>
  <c r="AS86" i="10"/>
  <c r="AR86" i="10"/>
  <c r="AQ86" i="10"/>
  <c r="AP86" i="10"/>
  <c r="AO86" i="10"/>
  <c r="AN86" i="10"/>
  <c r="AM86" i="10"/>
  <c r="AL86" i="10"/>
  <c r="AK86" i="10"/>
  <c r="AJ86" i="10"/>
  <c r="AI86" i="10"/>
  <c r="AH86" i="10"/>
  <c r="AG86" i="10"/>
  <c r="AF86" i="10"/>
  <c r="AE86" i="10"/>
  <c r="AD86" i="10"/>
  <c r="AC86" i="10"/>
  <c r="AB86" i="10"/>
  <c r="AA86" i="10"/>
  <c r="Z86" i="10"/>
  <c r="Y86" i="10"/>
  <c r="X86" i="10"/>
  <c r="W86" i="10"/>
  <c r="V86" i="10"/>
  <c r="U86" i="10"/>
  <c r="T86" i="10"/>
  <c r="S86" i="10"/>
  <c r="R86" i="10"/>
  <c r="Q86" i="10"/>
  <c r="P86" i="10"/>
  <c r="O86" i="10"/>
  <c r="N86" i="10"/>
  <c r="M86" i="10"/>
  <c r="L86" i="10"/>
  <c r="K86" i="10"/>
  <c r="J86" i="10"/>
  <c r="I86" i="10"/>
  <c r="H86" i="10"/>
  <c r="G86" i="10"/>
  <c r="F86" i="10"/>
  <c r="E86" i="10"/>
  <c r="D86" i="10"/>
  <c r="C86" i="10"/>
  <c r="A86" i="10"/>
  <c r="AM86" i="1"/>
  <c r="AN86" i="1"/>
  <c r="B86" i="10"/>
  <c r="AW85" i="10"/>
  <c r="AV85" i="10"/>
  <c r="AU85" i="10"/>
  <c r="AT85" i="10"/>
  <c r="AS85" i="10"/>
  <c r="AR85" i="10"/>
  <c r="AQ85" i="10"/>
  <c r="AP85" i="10"/>
  <c r="AO85" i="10"/>
  <c r="AN85" i="10"/>
  <c r="AM85" i="10"/>
  <c r="AL85" i="10"/>
  <c r="AK85" i="10"/>
  <c r="AJ85" i="10"/>
  <c r="AI85" i="10"/>
  <c r="AH85" i="10"/>
  <c r="AG85" i="10"/>
  <c r="AF85" i="10"/>
  <c r="AE85" i="10"/>
  <c r="AD85" i="10"/>
  <c r="AC85" i="10"/>
  <c r="AB85" i="10"/>
  <c r="AA85" i="10"/>
  <c r="Z85" i="10"/>
  <c r="Y85" i="10"/>
  <c r="X85" i="10"/>
  <c r="W85" i="10"/>
  <c r="V85" i="10"/>
  <c r="U85" i="10"/>
  <c r="T85" i="10"/>
  <c r="S85" i="10"/>
  <c r="R85" i="10"/>
  <c r="Q85" i="10"/>
  <c r="P85" i="10"/>
  <c r="O85" i="10"/>
  <c r="N85" i="10"/>
  <c r="M85" i="10"/>
  <c r="L85" i="10"/>
  <c r="K85" i="10"/>
  <c r="J85" i="10"/>
  <c r="I85" i="10"/>
  <c r="H85" i="10"/>
  <c r="G85" i="10"/>
  <c r="F85" i="10"/>
  <c r="E85" i="10"/>
  <c r="D85" i="10"/>
  <c r="C85" i="10"/>
  <c r="B85" i="10"/>
  <c r="AX85" i="10"/>
  <c r="A85" i="10"/>
  <c r="AW84" i="10"/>
  <c r="AV84" i="10"/>
  <c r="AU84" i="10"/>
  <c r="AT84" i="10"/>
  <c r="AS84" i="10"/>
  <c r="AR84" i="10"/>
  <c r="AQ84" i="10"/>
  <c r="AP84" i="10"/>
  <c r="AO84" i="10"/>
  <c r="AN84" i="10"/>
  <c r="AM84" i="10"/>
  <c r="AL84" i="10"/>
  <c r="AK84" i="10"/>
  <c r="AJ84" i="10"/>
  <c r="AI84" i="10"/>
  <c r="AH84" i="10"/>
  <c r="AG84" i="10"/>
  <c r="AF84" i="10"/>
  <c r="AE84" i="10"/>
  <c r="AD84" i="10"/>
  <c r="AC84" i="10"/>
  <c r="AB84" i="10"/>
  <c r="AA84" i="10"/>
  <c r="Z84" i="10"/>
  <c r="Y84" i="10"/>
  <c r="X84" i="10"/>
  <c r="W84" i="10"/>
  <c r="V84" i="10"/>
  <c r="U84" i="10"/>
  <c r="T84" i="10"/>
  <c r="S84" i="10"/>
  <c r="R84" i="10"/>
  <c r="Q84" i="10"/>
  <c r="P84" i="10"/>
  <c r="O84" i="10"/>
  <c r="N84" i="10"/>
  <c r="M84" i="10"/>
  <c r="L84" i="10"/>
  <c r="K84" i="10"/>
  <c r="J84" i="10"/>
  <c r="I84" i="10"/>
  <c r="H84" i="10"/>
  <c r="G84" i="10"/>
  <c r="F84" i="10"/>
  <c r="E84" i="10"/>
  <c r="D84" i="10"/>
  <c r="C84" i="10"/>
  <c r="A84" i="10"/>
  <c r="B84" i="10"/>
  <c r="AW83" i="10"/>
  <c r="AV83" i="10"/>
  <c r="AU83" i="10"/>
  <c r="AT83" i="10"/>
  <c r="AS83" i="10"/>
  <c r="AR83" i="10"/>
  <c r="AQ83" i="10"/>
  <c r="AP83" i="10"/>
  <c r="AO83" i="10"/>
  <c r="AN83" i="10"/>
  <c r="AM83" i="10"/>
  <c r="AL83" i="10"/>
  <c r="AK83" i="10"/>
  <c r="AJ83" i="10"/>
  <c r="AI83" i="10"/>
  <c r="AH83" i="10"/>
  <c r="AG83" i="10"/>
  <c r="AF83" i="10"/>
  <c r="AE83" i="10"/>
  <c r="AD83" i="10"/>
  <c r="AC83" i="10"/>
  <c r="AB83" i="10"/>
  <c r="AA83" i="10"/>
  <c r="Z83" i="10"/>
  <c r="Y83" i="10"/>
  <c r="X83" i="10"/>
  <c r="W83" i="10"/>
  <c r="V83" i="10"/>
  <c r="U83" i="10"/>
  <c r="T83" i="10"/>
  <c r="S83" i="10"/>
  <c r="R83" i="10"/>
  <c r="Q83" i="10"/>
  <c r="P83" i="10"/>
  <c r="O83" i="10"/>
  <c r="N83" i="10"/>
  <c r="M83" i="10"/>
  <c r="L83" i="10"/>
  <c r="K83" i="10"/>
  <c r="J83" i="10"/>
  <c r="I83" i="10"/>
  <c r="H83" i="10"/>
  <c r="G83" i="10"/>
  <c r="F83" i="10"/>
  <c r="E83" i="10"/>
  <c r="A83" i="10"/>
  <c r="D83" i="10"/>
  <c r="C83" i="10"/>
  <c r="B83" i="10"/>
  <c r="AW82" i="10"/>
  <c r="AV82" i="10"/>
  <c r="AU82" i="10"/>
  <c r="AT82" i="10"/>
  <c r="AS82" i="10"/>
  <c r="AR82" i="10"/>
  <c r="AQ82" i="10"/>
  <c r="AP82" i="10"/>
  <c r="AO82" i="10"/>
  <c r="AN82" i="10"/>
  <c r="AM82" i="10"/>
  <c r="AL82" i="10"/>
  <c r="AK82" i="10"/>
  <c r="AJ82" i="10"/>
  <c r="AI82" i="10"/>
  <c r="AH82" i="10"/>
  <c r="AG82" i="10"/>
  <c r="AF82" i="10"/>
  <c r="AE82" i="10"/>
  <c r="AD82" i="10"/>
  <c r="AC82" i="10"/>
  <c r="AB82" i="10"/>
  <c r="AA82" i="10"/>
  <c r="Z82" i="10"/>
  <c r="Y82" i="10"/>
  <c r="X82" i="10"/>
  <c r="W82" i="10"/>
  <c r="V82" i="10"/>
  <c r="U82" i="10"/>
  <c r="T82" i="10"/>
  <c r="S82" i="10"/>
  <c r="R82" i="10"/>
  <c r="Q82" i="10"/>
  <c r="P82" i="10"/>
  <c r="O82" i="10"/>
  <c r="N82" i="10"/>
  <c r="M82" i="10"/>
  <c r="L82" i="10"/>
  <c r="K82" i="10"/>
  <c r="J82" i="10"/>
  <c r="I82" i="10"/>
  <c r="H82" i="10"/>
  <c r="G82" i="10"/>
  <c r="F82" i="10"/>
  <c r="E82" i="10"/>
  <c r="D82" i="10"/>
  <c r="C82" i="10"/>
  <c r="B82" i="10"/>
  <c r="AW81" i="10"/>
  <c r="AV81" i="10"/>
  <c r="AU81" i="10"/>
  <c r="AT81" i="10"/>
  <c r="AS81" i="10"/>
  <c r="AR81" i="10"/>
  <c r="AQ81" i="10"/>
  <c r="AP81" i="10"/>
  <c r="AO81" i="10"/>
  <c r="AN81" i="10"/>
  <c r="AM81" i="10"/>
  <c r="AL81" i="10"/>
  <c r="AK81" i="10"/>
  <c r="AJ81" i="10"/>
  <c r="AI81" i="10"/>
  <c r="AH81" i="10"/>
  <c r="AG81" i="10"/>
  <c r="AF81" i="10"/>
  <c r="AE81" i="10"/>
  <c r="AD81" i="10"/>
  <c r="AC81" i="10"/>
  <c r="AB81" i="10"/>
  <c r="AA81" i="10"/>
  <c r="Z81" i="10"/>
  <c r="Y81" i="10"/>
  <c r="X81" i="10"/>
  <c r="W81" i="10"/>
  <c r="V81" i="10"/>
  <c r="U81" i="10"/>
  <c r="T81" i="10"/>
  <c r="S81" i="10"/>
  <c r="R81" i="10"/>
  <c r="Q81" i="10"/>
  <c r="P81" i="10"/>
  <c r="O81" i="10"/>
  <c r="N81" i="10"/>
  <c r="M81" i="10"/>
  <c r="L81" i="10"/>
  <c r="K81" i="10"/>
  <c r="J81" i="10"/>
  <c r="I81" i="10"/>
  <c r="H81" i="10"/>
  <c r="G81" i="10"/>
  <c r="F81" i="10"/>
  <c r="E81" i="10"/>
  <c r="D81" i="10"/>
  <c r="C81" i="10"/>
  <c r="B81" i="10"/>
  <c r="A81" i="10"/>
  <c r="AW80" i="10"/>
  <c r="AV80" i="10"/>
  <c r="AU80" i="10"/>
  <c r="AT80" i="10"/>
  <c r="AS80" i="10"/>
  <c r="AR80" i="10"/>
  <c r="AQ80" i="10"/>
  <c r="AP80" i="10"/>
  <c r="AO80" i="10"/>
  <c r="AN80" i="10"/>
  <c r="AM80" i="10"/>
  <c r="AL80" i="10"/>
  <c r="AK80" i="10"/>
  <c r="AJ80" i="10"/>
  <c r="AI80" i="10"/>
  <c r="AH80" i="10"/>
  <c r="AG80" i="10"/>
  <c r="AF80" i="10"/>
  <c r="AE80" i="10"/>
  <c r="AD80" i="10"/>
  <c r="AC80" i="10"/>
  <c r="AB80" i="10"/>
  <c r="AA80" i="10"/>
  <c r="Z80" i="10"/>
  <c r="Y80" i="10"/>
  <c r="X80" i="10"/>
  <c r="W80" i="10"/>
  <c r="V80" i="10"/>
  <c r="U80" i="10"/>
  <c r="T80" i="10"/>
  <c r="S80" i="10"/>
  <c r="R80" i="10"/>
  <c r="Q80" i="10"/>
  <c r="P80" i="10"/>
  <c r="O80" i="10"/>
  <c r="N80" i="10"/>
  <c r="M80" i="10"/>
  <c r="L80" i="10"/>
  <c r="K80" i="10"/>
  <c r="J80" i="10"/>
  <c r="I80" i="10"/>
  <c r="H80" i="10"/>
  <c r="G80" i="10"/>
  <c r="F80" i="10"/>
  <c r="E80" i="10"/>
  <c r="D80" i="10"/>
  <c r="C80" i="10"/>
  <c r="A80" i="10"/>
  <c r="B80" i="10"/>
  <c r="AX80" i="10"/>
  <c r="AW79" i="10"/>
  <c r="AV79" i="10"/>
  <c r="AU79" i="10"/>
  <c r="AT79" i="10"/>
  <c r="AS79" i="10"/>
  <c r="AR79" i="10"/>
  <c r="AQ79" i="10"/>
  <c r="AP79" i="10"/>
  <c r="AO79" i="10"/>
  <c r="AN79" i="10"/>
  <c r="AM79" i="10"/>
  <c r="AL79" i="10"/>
  <c r="AK79" i="10"/>
  <c r="AJ79" i="10"/>
  <c r="AI79" i="10"/>
  <c r="AH79" i="10"/>
  <c r="AG79" i="10"/>
  <c r="AF79" i="10"/>
  <c r="AE79" i="10"/>
  <c r="AD79" i="10"/>
  <c r="AC79" i="10"/>
  <c r="AB79" i="10"/>
  <c r="AA79" i="10"/>
  <c r="Z79" i="10"/>
  <c r="Y79" i="10"/>
  <c r="X79" i="10"/>
  <c r="W79" i="10"/>
  <c r="V79" i="10"/>
  <c r="U79" i="10"/>
  <c r="T79" i="10"/>
  <c r="S79" i="10"/>
  <c r="R79" i="10"/>
  <c r="Q79" i="10"/>
  <c r="P79" i="10"/>
  <c r="O79" i="10"/>
  <c r="N79" i="10"/>
  <c r="M79" i="10"/>
  <c r="L79" i="10"/>
  <c r="K79" i="10"/>
  <c r="J79" i="10"/>
  <c r="I79" i="10"/>
  <c r="H79" i="10"/>
  <c r="G79" i="10"/>
  <c r="F79" i="10"/>
  <c r="E79" i="10"/>
  <c r="D79" i="10"/>
  <c r="C79" i="10"/>
  <c r="A79" i="10"/>
  <c r="B79" i="10"/>
  <c r="AW78" i="10"/>
  <c r="AV78" i="10"/>
  <c r="AU78" i="10"/>
  <c r="AT78" i="10"/>
  <c r="AS78" i="10"/>
  <c r="AR78" i="10"/>
  <c r="AQ78" i="10"/>
  <c r="AP78" i="10"/>
  <c r="AO78" i="10"/>
  <c r="AN78" i="10"/>
  <c r="AM78" i="10"/>
  <c r="AL78" i="10"/>
  <c r="AK78" i="10"/>
  <c r="AJ78" i="10"/>
  <c r="AI78" i="10"/>
  <c r="AH78" i="10"/>
  <c r="AG78" i="10"/>
  <c r="AF78" i="10"/>
  <c r="AE78" i="10"/>
  <c r="AD78" i="10"/>
  <c r="AC78" i="10"/>
  <c r="AB78" i="10"/>
  <c r="AA78" i="10"/>
  <c r="Z78" i="10"/>
  <c r="Y78" i="10"/>
  <c r="X78" i="10"/>
  <c r="W78" i="10"/>
  <c r="V78" i="10"/>
  <c r="U78" i="10"/>
  <c r="T78" i="10"/>
  <c r="S78" i="10"/>
  <c r="R78" i="10"/>
  <c r="Q78" i="10"/>
  <c r="P78" i="10"/>
  <c r="O78" i="10"/>
  <c r="N78" i="10"/>
  <c r="M78" i="10"/>
  <c r="L78" i="10"/>
  <c r="K78" i="10"/>
  <c r="J78" i="10"/>
  <c r="I78" i="10"/>
  <c r="H78" i="10"/>
  <c r="G78" i="10"/>
  <c r="F78" i="10"/>
  <c r="E78" i="10"/>
  <c r="D78" i="10"/>
  <c r="C78" i="10"/>
  <c r="B78" i="10"/>
  <c r="A78" i="10"/>
  <c r="AW77" i="10"/>
  <c r="AV77" i="10"/>
  <c r="AU77" i="10"/>
  <c r="AT77" i="10"/>
  <c r="AS77" i="10"/>
  <c r="AR77" i="10"/>
  <c r="AQ77" i="10"/>
  <c r="AP77" i="10"/>
  <c r="AO77" i="10"/>
  <c r="AN77" i="10"/>
  <c r="AM77" i="10"/>
  <c r="AL77" i="10"/>
  <c r="AK77" i="10"/>
  <c r="AJ77" i="10"/>
  <c r="AI77" i="10"/>
  <c r="AH77" i="10"/>
  <c r="AG77" i="10"/>
  <c r="AF77" i="10"/>
  <c r="AE77" i="10"/>
  <c r="AD77" i="10"/>
  <c r="AC77" i="10"/>
  <c r="AB77" i="10"/>
  <c r="AA77" i="10"/>
  <c r="Z77" i="10"/>
  <c r="Y77" i="10"/>
  <c r="X77" i="10"/>
  <c r="W77" i="10"/>
  <c r="V77" i="10"/>
  <c r="U77" i="10"/>
  <c r="T77" i="10"/>
  <c r="S77" i="10"/>
  <c r="R77" i="10"/>
  <c r="Q77" i="10"/>
  <c r="P77" i="10"/>
  <c r="O77" i="10"/>
  <c r="N77" i="10"/>
  <c r="M77" i="10"/>
  <c r="L77" i="10"/>
  <c r="K77" i="10"/>
  <c r="J77" i="10"/>
  <c r="I77" i="10"/>
  <c r="H77" i="10"/>
  <c r="G77" i="10"/>
  <c r="F77" i="10"/>
  <c r="E77" i="10"/>
  <c r="D77" i="10"/>
  <c r="A77" i="10"/>
  <c r="C77" i="10"/>
  <c r="B77" i="10"/>
  <c r="AW76" i="10"/>
  <c r="AV76" i="10"/>
  <c r="AU76" i="10"/>
  <c r="AT76" i="10"/>
  <c r="AS76" i="10"/>
  <c r="AR76" i="10"/>
  <c r="AQ76" i="10"/>
  <c r="AP76" i="10"/>
  <c r="AO76" i="10"/>
  <c r="AN76" i="10"/>
  <c r="AM76" i="10"/>
  <c r="AL76" i="10"/>
  <c r="AK76" i="10"/>
  <c r="AJ76" i="10"/>
  <c r="AI76" i="10"/>
  <c r="AH76" i="10"/>
  <c r="AG76" i="10"/>
  <c r="AF76" i="10"/>
  <c r="AE76" i="10"/>
  <c r="AD76" i="10"/>
  <c r="AC76" i="10"/>
  <c r="AB76" i="10"/>
  <c r="AA76" i="10"/>
  <c r="Z76" i="10"/>
  <c r="Y76" i="10"/>
  <c r="X76" i="10"/>
  <c r="W76" i="10"/>
  <c r="V76" i="10"/>
  <c r="U76" i="10"/>
  <c r="T76" i="10"/>
  <c r="S76" i="10"/>
  <c r="R76" i="10"/>
  <c r="Q76" i="10"/>
  <c r="P76" i="10"/>
  <c r="O76" i="10"/>
  <c r="N76" i="10"/>
  <c r="M76" i="10"/>
  <c r="L76" i="10"/>
  <c r="K76" i="10"/>
  <c r="J76" i="10"/>
  <c r="I76" i="10"/>
  <c r="H76" i="10"/>
  <c r="G76" i="10"/>
  <c r="F76" i="10"/>
  <c r="E76" i="10"/>
  <c r="D76" i="10"/>
  <c r="C76" i="10"/>
  <c r="B76" i="10"/>
  <c r="AW75" i="10"/>
  <c r="AV75" i="10"/>
  <c r="AU75" i="10"/>
  <c r="AT75" i="10"/>
  <c r="AS75" i="10"/>
  <c r="AR75" i="10"/>
  <c r="AQ75" i="10"/>
  <c r="AP75" i="10"/>
  <c r="AO75" i="10"/>
  <c r="AN75" i="10"/>
  <c r="AM75" i="10"/>
  <c r="AL75" i="10"/>
  <c r="AK75" i="10"/>
  <c r="AJ75" i="10"/>
  <c r="AI75" i="10"/>
  <c r="AH75" i="10"/>
  <c r="AG75" i="10"/>
  <c r="AF75" i="10"/>
  <c r="AE75" i="10"/>
  <c r="AD75" i="10"/>
  <c r="AC75" i="10"/>
  <c r="AB75" i="10"/>
  <c r="AA75" i="10"/>
  <c r="Z75" i="10"/>
  <c r="Y75" i="10"/>
  <c r="X75" i="10"/>
  <c r="W75" i="10"/>
  <c r="V75" i="10"/>
  <c r="U75" i="10"/>
  <c r="T75" i="10"/>
  <c r="S75" i="10"/>
  <c r="R75" i="10"/>
  <c r="Q75" i="10"/>
  <c r="P75" i="10"/>
  <c r="O75" i="10"/>
  <c r="N75" i="10"/>
  <c r="M75" i="10"/>
  <c r="L75" i="10"/>
  <c r="K75" i="10"/>
  <c r="J75" i="10"/>
  <c r="I75" i="10"/>
  <c r="H75" i="10"/>
  <c r="G75" i="10"/>
  <c r="F75" i="10"/>
  <c r="E75" i="10"/>
  <c r="D75" i="10"/>
  <c r="C75" i="10"/>
  <c r="B75" i="10"/>
  <c r="A75" i="10"/>
  <c r="AW74" i="10"/>
  <c r="AV74" i="10"/>
  <c r="AU74" i="10"/>
  <c r="AT74" i="10"/>
  <c r="AS74" i="10"/>
  <c r="AR74" i="10"/>
  <c r="AQ74" i="10"/>
  <c r="AP74" i="10"/>
  <c r="AO74" i="10"/>
  <c r="AN74" i="10"/>
  <c r="AM74" i="10"/>
  <c r="AL74" i="10"/>
  <c r="AK74" i="10"/>
  <c r="AJ74" i="10"/>
  <c r="AI74" i="10"/>
  <c r="AH74" i="10"/>
  <c r="AG74" i="10"/>
  <c r="AF74" i="10"/>
  <c r="AE74" i="10"/>
  <c r="AD74" i="10"/>
  <c r="AC74" i="10"/>
  <c r="AB74" i="10"/>
  <c r="AA74" i="10"/>
  <c r="Z74" i="10"/>
  <c r="Y74" i="10"/>
  <c r="X74" i="10"/>
  <c r="W74" i="10"/>
  <c r="V74" i="10"/>
  <c r="U74" i="10"/>
  <c r="T74" i="10"/>
  <c r="S74" i="10"/>
  <c r="R74" i="10"/>
  <c r="Q74" i="10"/>
  <c r="P74" i="10"/>
  <c r="O74" i="10"/>
  <c r="N74" i="10"/>
  <c r="M74" i="10"/>
  <c r="L74" i="10"/>
  <c r="K74" i="10"/>
  <c r="J74" i="10"/>
  <c r="I74" i="10"/>
  <c r="H74" i="10"/>
  <c r="G74" i="10"/>
  <c r="F74" i="10"/>
  <c r="E74" i="10"/>
  <c r="D74" i="10"/>
  <c r="C74" i="10"/>
  <c r="B74" i="10"/>
  <c r="A74" i="10"/>
  <c r="AW73" i="10"/>
  <c r="AV73" i="10"/>
  <c r="AU73" i="10"/>
  <c r="AT73" i="10"/>
  <c r="AS73" i="10"/>
  <c r="AR73" i="10"/>
  <c r="AQ73" i="10"/>
  <c r="AP73" i="10"/>
  <c r="AO73" i="10"/>
  <c r="AN73" i="10"/>
  <c r="AM73" i="10"/>
  <c r="AL73" i="10"/>
  <c r="AK73" i="10"/>
  <c r="AJ73" i="10"/>
  <c r="AI73" i="10"/>
  <c r="AH73" i="10"/>
  <c r="AG73" i="10"/>
  <c r="AF73" i="10"/>
  <c r="AE73" i="10"/>
  <c r="AD73" i="10"/>
  <c r="AC73" i="10"/>
  <c r="AB73" i="10"/>
  <c r="AA73" i="10"/>
  <c r="Z73" i="10"/>
  <c r="Y73" i="10"/>
  <c r="X73" i="10"/>
  <c r="W73" i="10"/>
  <c r="V73" i="10"/>
  <c r="U73" i="10"/>
  <c r="T73" i="10"/>
  <c r="S73" i="10"/>
  <c r="R73" i="10"/>
  <c r="Q73" i="10"/>
  <c r="P73" i="10"/>
  <c r="O73" i="10"/>
  <c r="N73" i="10"/>
  <c r="M73" i="10"/>
  <c r="L73" i="10"/>
  <c r="K73" i="10"/>
  <c r="J73" i="10"/>
  <c r="I73" i="10"/>
  <c r="H73" i="10"/>
  <c r="G73" i="10"/>
  <c r="F73" i="10"/>
  <c r="E73" i="10"/>
  <c r="D73" i="10"/>
  <c r="C73" i="10"/>
  <c r="B73" i="10"/>
  <c r="AX73" i="10"/>
  <c r="AW72" i="10"/>
  <c r="AV72" i="10"/>
  <c r="AU72" i="10"/>
  <c r="AT72" i="10"/>
  <c r="AS72" i="10"/>
  <c r="AR72" i="10"/>
  <c r="AQ72" i="10"/>
  <c r="AP72" i="10"/>
  <c r="AO72" i="10"/>
  <c r="AN72" i="10"/>
  <c r="AM72" i="10"/>
  <c r="AL72" i="10"/>
  <c r="AK72" i="10"/>
  <c r="AJ72" i="10"/>
  <c r="AI72" i="10"/>
  <c r="AH72" i="10"/>
  <c r="AG72" i="10"/>
  <c r="AF72" i="10"/>
  <c r="AE72" i="10"/>
  <c r="AD72" i="10"/>
  <c r="AC72" i="10"/>
  <c r="AB72" i="10"/>
  <c r="AA72" i="10"/>
  <c r="Z72" i="10"/>
  <c r="Y72" i="10"/>
  <c r="X72" i="10"/>
  <c r="W72" i="10"/>
  <c r="V72" i="10"/>
  <c r="U72" i="10"/>
  <c r="T72" i="10"/>
  <c r="S72" i="10"/>
  <c r="R72" i="10"/>
  <c r="Q72" i="10"/>
  <c r="P72" i="10"/>
  <c r="O72" i="10"/>
  <c r="N72" i="10"/>
  <c r="M72" i="10"/>
  <c r="L72" i="10"/>
  <c r="K72" i="10"/>
  <c r="J72" i="10"/>
  <c r="I72" i="10"/>
  <c r="H72" i="10"/>
  <c r="G72" i="10"/>
  <c r="F72" i="10"/>
  <c r="E72" i="10"/>
  <c r="D72" i="10"/>
  <c r="C72" i="10"/>
  <c r="B72" i="10"/>
  <c r="AX72" i="10"/>
  <c r="A72" i="10"/>
  <c r="AW71" i="10"/>
  <c r="AV71" i="10"/>
  <c r="AU71" i="10"/>
  <c r="AT71" i="10"/>
  <c r="AS71" i="10"/>
  <c r="AR71" i="10"/>
  <c r="AQ71" i="10"/>
  <c r="AP71" i="10"/>
  <c r="AO71" i="10"/>
  <c r="AN71" i="10"/>
  <c r="AM71" i="10"/>
  <c r="AL71" i="10"/>
  <c r="AK71" i="10"/>
  <c r="AJ71" i="10"/>
  <c r="AI71" i="10"/>
  <c r="AH71" i="10"/>
  <c r="AG71" i="10"/>
  <c r="AF71" i="10"/>
  <c r="AE71" i="10"/>
  <c r="AD71" i="10"/>
  <c r="AC71" i="10"/>
  <c r="AB71" i="10"/>
  <c r="AA71" i="10"/>
  <c r="Z71" i="10"/>
  <c r="Y71" i="10"/>
  <c r="X71" i="10"/>
  <c r="W71" i="10"/>
  <c r="V71" i="10"/>
  <c r="U71" i="10"/>
  <c r="T71" i="10"/>
  <c r="S71" i="10"/>
  <c r="R71" i="10"/>
  <c r="Q71" i="10"/>
  <c r="P71" i="10"/>
  <c r="O71" i="10"/>
  <c r="N71" i="10"/>
  <c r="M71" i="10"/>
  <c r="L71" i="10"/>
  <c r="K71" i="10"/>
  <c r="J71" i="10"/>
  <c r="I71" i="10"/>
  <c r="H71" i="10"/>
  <c r="G71" i="10"/>
  <c r="F71" i="10"/>
  <c r="E71" i="10"/>
  <c r="D71" i="10"/>
  <c r="C71" i="10"/>
  <c r="B71" i="10"/>
  <c r="AX71" i="10"/>
  <c r="AW70" i="10"/>
  <c r="AV70" i="10"/>
  <c r="AU70" i="10"/>
  <c r="AT70" i="10"/>
  <c r="AS70" i="10"/>
  <c r="AR70" i="10"/>
  <c r="AQ70" i="10"/>
  <c r="AP70" i="10"/>
  <c r="AO70" i="10"/>
  <c r="AN70" i="10"/>
  <c r="AM70" i="10"/>
  <c r="AL70" i="10"/>
  <c r="AK70" i="10"/>
  <c r="AJ70" i="10"/>
  <c r="AI70" i="10"/>
  <c r="AH70" i="10"/>
  <c r="AG70" i="10"/>
  <c r="AF70" i="10"/>
  <c r="AE70" i="10"/>
  <c r="AD70" i="10"/>
  <c r="AC70" i="10"/>
  <c r="AB70" i="10"/>
  <c r="AA70" i="10"/>
  <c r="Z70" i="10"/>
  <c r="Y70" i="10"/>
  <c r="X70" i="10"/>
  <c r="W70" i="10"/>
  <c r="V70" i="10"/>
  <c r="U70" i="10"/>
  <c r="T70" i="10"/>
  <c r="S70" i="10"/>
  <c r="R70" i="10"/>
  <c r="Q70" i="10"/>
  <c r="P70" i="10"/>
  <c r="O70" i="10"/>
  <c r="N70" i="10"/>
  <c r="M70" i="10"/>
  <c r="L70" i="10"/>
  <c r="K70" i="10"/>
  <c r="J70" i="10"/>
  <c r="I70" i="10"/>
  <c r="H70" i="10"/>
  <c r="G70" i="10"/>
  <c r="F70" i="10"/>
  <c r="E70" i="10"/>
  <c r="D70" i="10"/>
  <c r="C70" i="10"/>
  <c r="B70" i="10"/>
  <c r="A70" i="10"/>
  <c r="AW69" i="10"/>
  <c r="AV69" i="10"/>
  <c r="AU69" i="10"/>
  <c r="AT69" i="10"/>
  <c r="AS69" i="10"/>
  <c r="AR69" i="10"/>
  <c r="AQ69" i="10"/>
  <c r="AP69" i="10"/>
  <c r="AO69" i="10"/>
  <c r="AN69" i="10"/>
  <c r="AM69" i="10"/>
  <c r="AL69" i="10"/>
  <c r="AK69" i="10"/>
  <c r="AJ69" i="10"/>
  <c r="AI69" i="10"/>
  <c r="AH69" i="10"/>
  <c r="AG69" i="10"/>
  <c r="AF69" i="10"/>
  <c r="AE69" i="10"/>
  <c r="AD69" i="10"/>
  <c r="AC69" i="10"/>
  <c r="AB69" i="10"/>
  <c r="AA69" i="10"/>
  <c r="Z69" i="10"/>
  <c r="Y69" i="10"/>
  <c r="X69" i="10"/>
  <c r="W69" i="10"/>
  <c r="V69" i="10"/>
  <c r="U69" i="10"/>
  <c r="T69" i="10"/>
  <c r="S69" i="10"/>
  <c r="R69" i="10"/>
  <c r="Q69" i="10"/>
  <c r="P69" i="10"/>
  <c r="O69" i="10"/>
  <c r="N69" i="10"/>
  <c r="M69" i="10"/>
  <c r="L69" i="10"/>
  <c r="K69" i="10"/>
  <c r="J69" i="10"/>
  <c r="I69" i="10"/>
  <c r="H69" i="10"/>
  <c r="G69" i="10"/>
  <c r="F69" i="10"/>
  <c r="E69" i="10"/>
  <c r="D69" i="10"/>
  <c r="C69" i="10"/>
  <c r="B69" i="10"/>
  <c r="AW68" i="10"/>
  <c r="AV68" i="10"/>
  <c r="AU68" i="10"/>
  <c r="AT68" i="10"/>
  <c r="AS68" i="10"/>
  <c r="AR68" i="10"/>
  <c r="AQ68" i="10"/>
  <c r="AP68" i="10"/>
  <c r="AO68" i="10"/>
  <c r="AN68" i="10"/>
  <c r="AM68" i="10"/>
  <c r="AL68" i="10"/>
  <c r="AK68" i="10"/>
  <c r="AJ68" i="10"/>
  <c r="AI68" i="10"/>
  <c r="AH68" i="10"/>
  <c r="AG68" i="10"/>
  <c r="AF68" i="10"/>
  <c r="AE68" i="10"/>
  <c r="AD68" i="10"/>
  <c r="AC68" i="10"/>
  <c r="AB68" i="10"/>
  <c r="AA68" i="10"/>
  <c r="Z68" i="10"/>
  <c r="Y68" i="10"/>
  <c r="X68" i="10"/>
  <c r="W68" i="10"/>
  <c r="V68" i="10"/>
  <c r="U68" i="10"/>
  <c r="T68" i="10"/>
  <c r="S68" i="10"/>
  <c r="R68" i="10"/>
  <c r="Q68" i="10"/>
  <c r="P68" i="10"/>
  <c r="O68" i="10"/>
  <c r="N68" i="10"/>
  <c r="M68" i="10"/>
  <c r="L68" i="10"/>
  <c r="K68" i="10"/>
  <c r="J68" i="10"/>
  <c r="I68" i="10"/>
  <c r="H68" i="10"/>
  <c r="G68" i="10"/>
  <c r="F68" i="10"/>
  <c r="E68" i="10"/>
  <c r="D68" i="10"/>
  <c r="A68" i="10"/>
  <c r="C68" i="10"/>
  <c r="B68" i="10"/>
  <c r="AW67" i="10"/>
  <c r="AV67" i="10"/>
  <c r="AU67" i="10"/>
  <c r="AT67" i="10"/>
  <c r="AS67" i="10"/>
  <c r="AR67" i="10"/>
  <c r="AQ67" i="10"/>
  <c r="AP67" i="10"/>
  <c r="AO67" i="10"/>
  <c r="AN67" i="10"/>
  <c r="AM67" i="10"/>
  <c r="AL67" i="10"/>
  <c r="AK67" i="10"/>
  <c r="AJ67" i="10"/>
  <c r="AI67" i="10"/>
  <c r="AH67" i="10"/>
  <c r="AG67" i="10"/>
  <c r="AF67" i="10"/>
  <c r="AE67" i="10"/>
  <c r="AD67" i="10"/>
  <c r="AC67" i="10"/>
  <c r="AB67" i="10"/>
  <c r="AA67" i="10"/>
  <c r="Z67" i="10"/>
  <c r="Y67" i="10"/>
  <c r="X67" i="10"/>
  <c r="W67" i="10"/>
  <c r="V67" i="10"/>
  <c r="U67" i="10"/>
  <c r="T67" i="10"/>
  <c r="S67" i="10"/>
  <c r="R67" i="10"/>
  <c r="Q67" i="10"/>
  <c r="P67" i="10"/>
  <c r="O67" i="10"/>
  <c r="N67" i="10"/>
  <c r="M67" i="10"/>
  <c r="L67" i="10"/>
  <c r="K67" i="10"/>
  <c r="J67" i="10"/>
  <c r="I67" i="10"/>
  <c r="H67" i="10"/>
  <c r="G67" i="10"/>
  <c r="F67" i="10"/>
  <c r="E67" i="10"/>
  <c r="D67" i="10"/>
  <c r="C67" i="10"/>
  <c r="B67" i="10"/>
  <c r="A67" i="10"/>
  <c r="AW66" i="10"/>
  <c r="AV66" i="10"/>
  <c r="AU66" i="10"/>
  <c r="AT66" i="10"/>
  <c r="AS66" i="10"/>
  <c r="AR66" i="10"/>
  <c r="AQ66" i="10"/>
  <c r="AP66" i="10"/>
  <c r="AO66" i="10"/>
  <c r="AN66" i="10"/>
  <c r="AM66" i="10"/>
  <c r="AL66" i="10"/>
  <c r="AK66" i="10"/>
  <c r="AJ66" i="10"/>
  <c r="AI66" i="10"/>
  <c r="AH66" i="10"/>
  <c r="AG66" i="10"/>
  <c r="AF66" i="10"/>
  <c r="AE66" i="10"/>
  <c r="AD66" i="10"/>
  <c r="AC66" i="10"/>
  <c r="AB66" i="10"/>
  <c r="AA66" i="10"/>
  <c r="Z66" i="10"/>
  <c r="Y66" i="10"/>
  <c r="X66" i="10"/>
  <c r="W66" i="10"/>
  <c r="V66" i="10"/>
  <c r="U66" i="10"/>
  <c r="T66" i="10"/>
  <c r="S66" i="10"/>
  <c r="R66" i="10"/>
  <c r="Q66" i="10"/>
  <c r="P66" i="10"/>
  <c r="O66" i="10"/>
  <c r="N66" i="10"/>
  <c r="M66" i="10"/>
  <c r="L66" i="10"/>
  <c r="K66" i="10"/>
  <c r="J66" i="10"/>
  <c r="I66" i="10"/>
  <c r="H66" i="10"/>
  <c r="G66" i="10"/>
  <c r="F66" i="10"/>
  <c r="E66" i="10"/>
  <c r="D66" i="10"/>
  <c r="C66" i="10"/>
  <c r="A66" i="10"/>
  <c r="B66" i="10"/>
  <c r="AX66" i="10"/>
  <c r="AW65" i="10"/>
  <c r="AV65" i="10"/>
  <c r="AU65" i="10"/>
  <c r="AT65" i="10"/>
  <c r="AS65" i="10"/>
  <c r="AR65" i="10"/>
  <c r="AQ65" i="10"/>
  <c r="AP65" i="10"/>
  <c r="AO65" i="10"/>
  <c r="AN65" i="10"/>
  <c r="AM65" i="10"/>
  <c r="AL65" i="10"/>
  <c r="AK65" i="10"/>
  <c r="AJ65" i="10"/>
  <c r="AI65" i="10"/>
  <c r="AH65" i="10"/>
  <c r="AG65" i="10"/>
  <c r="AF65" i="10"/>
  <c r="AE65" i="10"/>
  <c r="AD65" i="10"/>
  <c r="AC65" i="10"/>
  <c r="AB65" i="10"/>
  <c r="AA65" i="10"/>
  <c r="Z65" i="10"/>
  <c r="Y65" i="10"/>
  <c r="X65" i="10"/>
  <c r="W65" i="10"/>
  <c r="V65" i="10"/>
  <c r="U65" i="10"/>
  <c r="T65" i="10"/>
  <c r="S65" i="10"/>
  <c r="R65" i="10"/>
  <c r="Q65" i="10"/>
  <c r="P65" i="10"/>
  <c r="O65" i="10"/>
  <c r="N65" i="10"/>
  <c r="M65" i="10"/>
  <c r="L65" i="10"/>
  <c r="K65" i="10"/>
  <c r="J65" i="10"/>
  <c r="I65" i="10"/>
  <c r="H65" i="10"/>
  <c r="G65" i="10"/>
  <c r="F65" i="10"/>
  <c r="E65" i="10"/>
  <c r="D65" i="10"/>
  <c r="C65" i="10"/>
  <c r="B65" i="10"/>
  <c r="A65" i="10"/>
  <c r="AW64" i="10"/>
  <c r="AV64" i="10"/>
  <c r="AU64" i="10"/>
  <c r="AT64" i="10"/>
  <c r="AS64" i="10"/>
  <c r="AR64" i="10"/>
  <c r="AQ64" i="10"/>
  <c r="AP64" i="10"/>
  <c r="AO64" i="10"/>
  <c r="AN64" i="10"/>
  <c r="AM64" i="10"/>
  <c r="AL64" i="10"/>
  <c r="AK64" i="10"/>
  <c r="AJ64" i="10"/>
  <c r="AI64" i="10"/>
  <c r="AH64" i="10"/>
  <c r="AG64" i="10"/>
  <c r="AF64" i="10"/>
  <c r="AE64" i="10"/>
  <c r="AD64" i="10"/>
  <c r="AC64" i="10"/>
  <c r="AB64" i="10"/>
  <c r="AA64" i="10"/>
  <c r="Z64" i="10"/>
  <c r="Y64" i="10"/>
  <c r="X64" i="10"/>
  <c r="W64" i="10"/>
  <c r="V64" i="10"/>
  <c r="U64" i="10"/>
  <c r="T64" i="10"/>
  <c r="S64" i="10"/>
  <c r="R64" i="10"/>
  <c r="Q64" i="10"/>
  <c r="P64" i="10"/>
  <c r="O64" i="10"/>
  <c r="N64" i="10"/>
  <c r="M64" i="10"/>
  <c r="L64" i="10"/>
  <c r="K64" i="10"/>
  <c r="J64" i="10"/>
  <c r="I64" i="10"/>
  <c r="H64" i="10"/>
  <c r="G64" i="10"/>
  <c r="F64" i="10"/>
  <c r="E64" i="10"/>
  <c r="D64" i="10"/>
  <c r="C64" i="10"/>
  <c r="B64" i="10"/>
  <c r="AX64" i="10"/>
  <c r="AW63" i="10"/>
  <c r="AV63" i="10"/>
  <c r="AU63" i="10"/>
  <c r="AT63" i="10"/>
  <c r="AS63" i="10"/>
  <c r="AR63" i="10"/>
  <c r="AQ63" i="10"/>
  <c r="AP63" i="10"/>
  <c r="AO63" i="10"/>
  <c r="AN63" i="10"/>
  <c r="AM63" i="10"/>
  <c r="AL63" i="10"/>
  <c r="AK63" i="10"/>
  <c r="AJ63" i="10"/>
  <c r="AI63" i="10"/>
  <c r="AH63" i="10"/>
  <c r="AG63" i="10"/>
  <c r="AF63" i="10"/>
  <c r="AE63" i="10"/>
  <c r="AD63" i="10"/>
  <c r="AC63" i="10"/>
  <c r="AB63" i="10"/>
  <c r="AA63" i="10"/>
  <c r="Z63" i="10"/>
  <c r="Y63" i="10"/>
  <c r="X63" i="10"/>
  <c r="W63" i="10"/>
  <c r="V63" i="10"/>
  <c r="U63" i="10"/>
  <c r="T63" i="10"/>
  <c r="S63" i="10"/>
  <c r="R63" i="10"/>
  <c r="Q63" i="10"/>
  <c r="P63" i="10"/>
  <c r="O63" i="10"/>
  <c r="N63" i="10"/>
  <c r="M63" i="10"/>
  <c r="L63" i="10"/>
  <c r="K63" i="10"/>
  <c r="J63" i="10"/>
  <c r="I63" i="10"/>
  <c r="H63" i="10"/>
  <c r="G63" i="10"/>
  <c r="F63" i="10"/>
  <c r="E63" i="10"/>
  <c r="D63" i="10"/>
  <c r="C63" i="10"/>
  <c r="B63" i="10"/>
  <c r="AW62" i="10"/>
  <c r="AV62" i="10"/>
  <c r="AU62" i="10"/>
  <c r="AT62" i="10"/>
  <c r="AS62" i="10"/>
  <c r="AR62" i="10"/>
  <c r="AQ62" i="10"/>
  <c r="AP62" i="10"/>
  <c r="AO62" i="10"/>
  <c r="AN62" i="10"/>
  <c r="AM62" i="10"/>
  <c r="AL62" i="10"/>
  <c r="AK62" i="10"/>
  <c r="AJ62" i="10"/>
  <c r="AI62" i="10"/>
  <c r="AH62" i="10"/>
  <c r="AG62" i="10"/>
  <c r="AF62" i="10"/>
  <c r="AE62" i="10"/>
  <c r="AD62" i="10"/>
  <c r="AC62" i="10"/>
  <c r="AB62" i="10"/>
  <c r="AA62" i="10"/>
  <c r="Z62" i="10"/>
  <c r="Y62" i="10"/>
  <c r="X62" i="10"/>
  <c r="W62" i="10"/>
  <c r="V62" i="10"/>
  <c r="U62" i="10"/>
  <c r="T62" i="10"/>
  <c r="S62" i="10"/>
  <c r="R62" i="10"/>
  <c r="Q62" i="10"/>
  <c r="P62" i="10"/>
  <c r="O62" i="10"/>
  <c r="N62" i="10"/>
  <c r="M62" i="10"/>
  <c r="L62" i="10"/>
  <c r="K62" i="10"/>
  <c r="J62" i="10"/>
  <c r="I62" i="10"/>
  <c r="H62" i="10"/>
  <c r="G62" i="10"/>
  <c r="F62" i="10"/>
  <c r="E62" i="10"/>
  <c r="D62" i="10"/>
  <c r="A62" i="10"/>
  <c r="C62" i="10"/>
  <c r="B62" i="10"/>
  <c r="AW61" i="10"/>
  <c r="AV61" i="10"/>
  <c r="AU61" i="10"/>
  <c r="AT61" i="10"/>
  <c r="AS61" i="10"/>
  <c r="AR61" i="10"/>
  <c r="AQ61" i="10"/>
  <c r="AP61" i="10"/>
  <c r="AO61" i="10"/>
  <c r="AN61" i="10"/>
  <c r="AM61" i="10"/>
  <c r="AL61" i="10"/>
  <c r="AK61" i="10"/>
  <c r="AJ61" i="10"/>
  <c r="AI61" i="10"/>
  <c r="AH61" i="10"/>
  <c r="AG61" i="10"/>
  <c r="AF61" i="10"/>
  <c r="AE61" i="10"/>
  <c r="AD61" i="10"/>
  <c r="AC61" i="10"/>
  <c r="AB61" i="10"/>
  <c r="AA61" i="10"/>
  <c r="Z61" i="10"/>
  <c r="Y61" i="10"/>
  <c r="X61" i="10"/>
  <c r="W61" i="10"/>
  <c r="V61" i="10"/>
  <c r="U61" i="10"/>
  <c r="T61" i="10"/>
  <c r="S61" i="10"/>
  <c r="R61" i="10"/>
  <c r="Q61" i="10"/>
  <c r="P61" i="10"/>
  <c r="O61" i="10"/>
  <c r="N61" i="10"/>
  <c r="M61" i="10"/>
  <c r="L61" i="10"/>
  <c r="K61" i="10"/>
  <c r="J61" i="10"/>
  <c r="I61" i="10"/>
  <c r="H61" i="10"/>
  <c r="G61" i="10"/>
  <c r="F61" i="10"/>
  <c r="E61" i="10"/>
  <c r="D61" i="10"/>
  <c r="C61" i="10"/>
  <c r="B61" i="10"/>
  <c r="A61" i="10"/>
  <c r="AW60" i="10"/>
  <c r="AV60" i="10"/>
  <c r="AU60" i="10"/>
  <c r="AT60" i="10"/>
  <c r="AS60" i="10"/>
  <c r="AR60" i="10"/>
  <c r="AQ60" i="10"/>
  <c r="AP60" i="10"/>
  <c r="AO60" i="10"/>
  <c r="AN60" i="10"/>
  <c r="AM60" i="10"/>
  <c r="AL60" i="10"/>
  <c r="AK60" i="10"/>
  <c r="AJ60" i="10"/>
  <c r="AI60" i="10"/>
  <c r="AH60" i="10"/>
  <c r="AG60" i="10"/>
  <c r="AF60" i="10"/>
  <c r="AE60" i="10"/>
  <c r="AD60" i="10"/>
  <c r="AC60" i="10"/>
  <c r="AB60" i="10"/>
  <c r="AA60" i="10"/>
  <c r="Z60" i="10"/>
  <c r="Y60" i="10"/>
  <c r="X60" i="10"/>
  <c r="W60" i="10"/>
  <c r="V60" i="10"/>
  <c r="U60" i="10"/>
  <c r="T60" i="10"/>
  <c r="S60" i="10"/>
  <c r="R60" i="10"/>
  <c r="Q60" i="10"/>
  <c r="P60" i="10"/>
  <c r="O60" i="10"/>
  <c r="N60" i="10"/>
  <c r="M60" i="10"/>
  <c r="L60" i="10"/>
  <c r="K60" i="10"/>
  <c r="J60" i="10"/>
  <c r="I60" i="10"/>
  <c r="H60" i="10"/>
  <c r="G60" i="10"/>
  <c r="F60" i="10"/>
  <c r="E60" i="10"/>
  <c r="D60" i="10"/>
  <c r="C60" i="10"/>
  <c r="A60" i="10"/>
  <c r="B60" i="10"/>
  <c r="AW59" i="10"/>
  <c r="AV59" i="10"/>
  <c r="AU59" i="10"/>
  <c r="AT59" i="10"/>
  <c r="AS59" i="10"/>
  <c r="AR59" i="10"/>
  <c r="AQ59" i="10"/>
  <c r="AP59" i="10"/>
  <c r="AO59" i="10"/>
  <c r="AN59" i="10"/>
  <c r="AM59" i="10"/>
  <c r="AL59" i="10"/>
  <c r="AK59" i="10"/>
  <c r="AJ59" i="10"/>
  <c r="AI59" i="10"/>
  <c r="AH59" i="10"/>
  <c r="AG59" i="10"/>
  <c r="AF59" i="10"/>
  <c r="AE59" i="10"/>
  <c r="AD59" i="10"/>
  <c r="AC59" i="10"/>
  <c r="AB59" i="10"/>
  <c r="AA59" i="10"/>
  <c r="Z59" i="10"/>
  <c r="Y59" i="10"/>
  <c r="X59" i="10"/>
  <c r="W59" i="10"/>
  <c r="V59" i="10"/>
  <c r="U59" i="10"/>
  <c r="T59" i="10"/>
  <c r="S59" i="10"/>
  <c r="R59" i="10"/>
  <c r="Q59" i="10"/>
  <c r="P59" i="10"/>
  <c r="O59" i="10"/>
  <c r="N59" i="10"/>
  <c r="M59" i="10"/>
  <c r="L59" i="10"/>
  <c r="K59" i="10"/>
  <c r="J59" i="10"/>
  <c r="I59" i="10"/>
  <c r="H59" i="10"/>
  <c r="G59" i="10"/>
  <c r="F59" i="10"/>
  <c r="E59" i="10"/>
  <c r="D59" i="10"/>
  <c r="A59" i="10"/>
  <c r="C59" i="10"/>
  <c r="B59" i="10"/>
  <c r="AW58" i="10"/>
  <c r="AV58" i="10"/>
  <c r="AU58" i="10"/>
  <c r="AT58" i="10"/>
  <c r="AS58" i="10"/>
  <c r="AR58" i="10"/>
  <c r="AQ58" i="10"/>
  <c r="AP58" i="10"/>
  <c r="AO58" i="10"/>
  <c r="AN58" i="10"/>
  <c r="AM58" i="10"/>
  <c r="AL58" i="10"/>
  <c r="AK58" i="10"/>
  <c r="AJ58" i="10"/>
  <c r="AI58" i="10"/>
  <c r="AH58" i="10"/>
  <c r="AG58" i="10"/>
  <c r="AF58" i="10"/>
  <c r="AE58" i="10"/>
  <c r="AD58" i="10"/>
  <c r="AC58" i="10"/>
  <c r="AB58" i="10"/>
  <c r="AA58" i="10"/>
  <c r="Z58" i="10"/>
  <c r="Y58" i="10"/>
  <c r="X58" i="10"/>
  <c r="W58" i="10"/>
  <c r="V58" i="10"/>
  <c r="U58" i="10"/>
  <c r="T58" i="10"/>
  <c r="S58" i="10"/>
  <c r="R58" i="10"/>
  <c r="Q58" i="10"/>
  <c r="P58" i="10"/>
  <c r="O58" i="10"/>
  <c r="N58" i="10"/>
  <c r="M58" i="10"/>
  <c r="L58" i="10"/>
  <c r="K58" i="10"/>
  <c r="J58" i="10"/>
  <c r="I58" i="10"/>
  <c r="H58" i="10"/>
  <c r="G58" i="10"/>
  <c r="F58" i="10"/>
  <c r="E58" i="10"/>
  <c r="D58" i="10"/>
  <c r="C58" i="10"/>
  <c r="A58" i="10"/>
  <c r="B58" i="10"/>
  <c r="AW57" i="10"/>
  <c r="AV57" i="10"/>
  <c r="AU57" i="10"/>
  <c r="AT57" i="10"/>
  <c r="AS57" i="10"/>
  <c r="AR57" i="10"/>
  <c r="AQ57" i="10"/>
  <c r="AP57" i="10"/>
  <c r="AO57" i="10"/>
  <c r="AN57" i="10"/>
  <c r="AM57" i="10"/>
  <c r="AL57" i="10"/>
  <c r="AK57" i="10"/>
  <c r="AJ57" i="10"/>
  <c r="AI57" i="10"/>
  <c r="AH57" i="10"/>
  <c r="AG57" i="10"/>
  <c r="AF57" i="10"/>
  <c r="AE57" i="10"/>
  <c r="AD57" i="10"/>
  <c r="AC57" i="10"/>
  <c r="AB57" i="10"/>
  <c r="AA57" i="10"/>
  <c r="Z57" i="10"/>
  <c r="Y57" i="10"/>
  <c r="X57" i="10"/>
  <c r="W57" i="10"/>
  <c r="V57" i="10"/>
  <c r="U57" i="10"/>
  <c r="T57" i="10"/>
  <c r="S57" i="10"/>
  <c r="R57" i="10"/>
  <c r="Q57" i="10"/>
  <c r="P57" i="10"/>
  <c r="O57" i="10"/>
  <c r="N57" i="10"/>
  <c r="M57" i="10"/>
  <c r="L57" i="10"/>
  <c r="K57" i="10"/>
  <c r="J57" i="10"/>
  <c r="I57" i="10"/>
  <c r="H57" i="10"/>
  <c r="G57" i="10"/>
  <c r="F57" i="10"/>
  <c r="E57" i="10"/>
  <c r="D57" i="10"/>
  <c r="C57" i="10"/>
  <c r="B57" i="10"/>
  <c r="A57" i="10"/>
  <c r="AW56" i="10"/>
  <c r="AV56" i="10"/>
  <c r="AU56" i="10"/>
  <c r="AT56" i="10"/>
  <c r="AS56" i="10"/>
  <c r="AR56" i="10"/>
  <c r="AQ56" i="10"/>
  <c r="AP56" i="10"/>
  <c r="AO56" i="10"/>
  <c r="AN56" i="10"/>
  <c r="AM56" i="10"/>
  <c r="AL56" i="10"/>
  <c r="AK56" i="10"/>
  <c r="AJ56" i="10"/>
  <c r="AI56" i="10"/>
  <c r="AH56" i="10"/>
  <c r="AG56" i="10"/>
  <c r="AF56" i="10"/>
  <c r="AE56" i="10"/>
  <c r="AD56" i="10"/>
  <c r="AC56" i="10"/>
  <c r="AB56" i="10"/>
  <c r="AA56" i="10"/>
  <c r="Z56" i="10"/>
  <c r="Y56" i="10"/>
  <c r="X56" i="10"/>
  <c r="W56" i="10"/>
  <c r="V56" i="10"/>
  <c r="U56" i="10"/>
  <c r="T56" i="10"/>
  <c r="S56" i="10"/>
  <c r="R56" i="10"/>
  <c r="Q56" i="10"/>
  <c r="P56" i="10"/>
  <c r="O56" i="10"/>
  <c r="N56" i="10"/>
  <c r="M56" i="10"/>
  <c r="L56" i="10"/>
  <c r="K56" i="10"/>
  <c r="J56" i="10"/>
  <c r="I56" i="10"/>
  <c r="H56" i="10"/>
  <c r="G56" i="10"/>
  <c r="F56" i="10"/>
  <c r="E56" i="10"/>
  <c r="D56" i="10"/>
  <c r="C56" i="10"/>
  <c r="A56" i="10"/>
  <c r="B56" i="10"/>
  <c r="AX56" i="10"/>
  <c r="AW55" i="10"/>
  <c r="AV55" i="10"/>
  <c r="AU55" i="10"/>
  <c r="AT55" i="10"/>
  <c r="AS55" i="10"/>
  <c r="AR55" i="10"/>
  <c r="AQ55" i="10"/>
  <c r="AP55" i="10"/>
  <c r="AO55" i="10"/>
  <c r="AN55" i="10"/>
  <c r="AM55" i="10"/>
  <c r="AL55" i="10"/>
  <c r="AK55" i="10"/>
  <c r="AJ55" i="10"/>
  <c r="AI55" i="10"/>
  <c r="AH55" i="10"/>
  <c r="AG55" i="10"/>
  <c r="AF55" i="10"/>
  <c r="AE55" i="10"/>
  <c r="AD55" i="10"/>
  <c r="AC55" i="10"/>
  <c r="AB55" i="10"/>
  <c r="AA55" i="10"/>
  <c r="Z55" i="10"/>
  <c r="Y55" i="10"/>
  <c r="X55" i="10"/>
  <c r="W55" i="10"/>
  <c r="V55" i="10"/>
  <c r="U55" i="10"/>
  <c r="T55" i="10"/>
  <c r="S55" i="10"/>
  <c r="R55" i="10"/>
  <c r="Q55" i="10"/>
  <c r="P55" i="10"/>
  <c r="O55" i="10"/>
  <c r="N55" i="10"/>
  <c r="M55" i="10"/>
  <c r="L55" i="10"/>
  <c r="K55" i="10"/>
  <c r="J55" i="10"/>
  <c r="I55" i="10"/>
  <c r="H55" i="10"/>
  <c r="G55" i="10"/>
  <c r="F55" i="10"/>
  <c r="E55" i="10"/>
  <c r="D55" i="10"/>
  <c r="C55" i="10"/>
  <c r="A55" i="10"/>
  <c r="B55" i="10"/>
  <c r="AW54" i="10"/>
  <c r="AV54" i="10"/>
  <c r="AU54" i="10"/>
  <c r="AT54" i="10"/>
  <c r="AS54" i="10"/>
  <c r="AR54" i="10"/>
  <c r="AQ54" i="10"/>
  <c r="AP54" i="10"/>
  <c r="AO54" i="10"/>
  <c r="AN54" i="10"/>
  <c r="AM54" i="10"/>
  <c r="AL54" i="10"/>
  <c r="AK54" i="10"/>
  <c r="AJ54" i="10"/>
  <c r="AI54" i="10"/>
  <c r="AH54" i="10"/>
  <c r="AG54" i="10"/>
  <c r="AF54" i="10"/>
  <c r="AE54" i="10"/>
  <c r="AD54" i="10"/>
  <c r="AC54" i="10"/>
  <c r="AB54" i="10"/>
  <c r="AA54" i="10"/>
  <c r="Z54" i="10"/>
  <c r="Y54" i="10"/>
  <c r="X54" i="10"/>
  <c r="W54" i="10"/>
  <c r="V54" i="10"/>
  <c r="U54" i="10"/>
  <c r="T54" i="10"/>
  <c r="S54" i="10"/>
  <c r="R54" i="10"/>
  <c r="Q54" i="10"/>
  <c r="P54" i="10"/>
  <c r="O54" i="10"/>
  <c r="N54" i="10"/>
  <c r="M54" i="10"/>
  <c r="L54" i="10"/>
  <c r="K54" i="10"/>
  <c r="J54" i="10"/>
  <c r="I54" i="10"/>
  <c r="H54" i="10"/>
  <c r="G54" i="10"/>
  <c r="F54" i="10"/>
  <c r="E54" i="10"/>
  <c r="D54" i="10"/>
  <c r="C54" i="10"/>
  <c r="B54" i="10"/>
  <c r="AX54" i="10"/>
  <c r="AW53" i="10"/>
  <c r="AV53" i="10"/>
  <c r="AU53" i="10"/>
  <c r="AT53" i="10"/>
  <c r="AS53" i="10"/>
  <c r="AR53" i="10"/>
  <c r="AQ53" i="10"/>
  <c r="AP53" i="10"/>
  <c r="AO53" i="10"/>
  <c r="AN53" i="10"/>
  <c r="AM53" i="10"/>
  <c r="AL53" i="10"/>
  <c r="AK53" i="10"/>
  <c r="AJ53" i="10"/>
  <c r="AI53" i="10"/>
  <c r="AH53" i="10"/>
  <c r="AG53" i="10"/>
  <c r="AF53" i="10"/>
  <c r="AE53" i="10"/>
  <c r="AD53" i="10"/>
  <c r="AC53" i="10"/>
  <c r="AB53" i="10"/>
  <c r="AA53" i="10"/>
  <c r="Z53" i="10"/>
  <c r="Y53" i="10"/>
  <c r="X53" i="10"/>
  <c r="W53" i="10"/>
  <c r="V53" i="10"/>
  <c r="U53" i="10"/>
  <c r="T53" i="10"/>
  <c r="S53" i="10"/>
  <c r="R53" i="10"/>
  <c r="Q53" i="10"/>
  <c r="P53" i="10"/>
  <c r="O53" i="10"/>
  <c r="N53" i="10"/>
  <c r="M53" i="10"/>
  <c r="L53" i="10"/>
  <c r="K53" i="10"/>
  <c r="J53" i="10"/>
  <c r="I53" i="10"/>
  <c r="H53" i="10"/>
  <c r="G53" i="10"/>
  <c r="F53" i="10"/>
  <c r="E53" i="10"/>
  <c r="D53" i="10"/>
  <c r="A53" i="10"/>
  <c r="C53" i="10"/>
  <c r="B53" i="10"/>
  <c r="AW52" i="10"/>
  <c r="AV52" i="10"/>
  <c r="AU52" i="10"/>
  <c r="AT52" i="10"/>
  <c r="AS52" i="10"/>
  <c r="AR52" i="10"/>
  <c r="AQ52" i="10"/>
  <c r="AP52" i="10"/>
  <c r="AO52" i="10"/>
  <c r="AN52" i="10"/>
  <c r="AM52" i="10"/>
  <c r="AL52" i="10"/>
  <c r="AK52" i="10"/>
  <c r="AJ52" i="10"/>
  <c r="AI52" i="10"/>
  <c r="AH52" i="10"/>
  <c r="AG52" i="10"/>
  <c r="AF52" i="10"/>
  <c r="AE52" i="10"/>
  <c r="AD52" i="10"/>
  <c r="AC52" i="10"/>
  <c r="AB52" i="10"/>
  <c r="AA52" i="10"/>
  <c r="Z52" i="10"/>
  <c r="Y52" i="10"/>
  <c r="X52" i="10"/>
  <c r="W52" i="10"/>
  <c r="V52" i="10"/>
  <c r="U52" i="10"/>
  <c r="T52" i="10"/>
  <c r="S52" i="10"/>
  <c r="R52" i="10"/>
  <c r="Q52" i="10"/>
  <c r="P52" i="10"/>
  <c r="O52" i="10"/>
  <c r="N52" i="10"/>
  <c r="M52" i="10"/>
  <c r="L52" i="10"/>
  <c r="K52" i="10"/>
  <c r="J52" i="10"/>
  <c r="I52" i="10"/>
  <c r="H52" i="10"/>
  <c r="G52" i="10"/>
  <c r="A52" i="10"/>
  <c r="AM52" i="1"/>
  <c r="AN52" i="1"/>
  <c r="F52" i="10"/>
  <c r="E52" i="10"/>
  <c r="D52" i="10"/>
  <c r="C52" i="10"/>
  <c r="B52" i="10"/>
  <c r="AW51" i="10"/>
  <c r="AV51" i="10"/>
  <c r="AU51" i="10"/>
  <c r="AT51" i="10"/>
  <c r="AS51" i="10"/>
  <c r="AR51" i="10"/>
  <c r="AQ51" i="10"/>
  <c r="AP51" i="10"/>
  <c r="AO51" i="10"/>
  <c r="AN51" i="10"/>
  <c r="AM51" i="10"/>
  <c r="AL51" i="10"/>
  <c r="AK51" i="10"/>
  <c r="AJ51" i="10"/>
  <c r="AI51" i="10"/>
  <c r="AH51" i="10"/>
  <c r="AG51" i="10"/>
  <c r="AF51" i="10"/>
  <c r="AE51" i="10"/>
  <c r="AD51" i="10"/>
  <c r="AC51" i="10"/>
  <c r="AB51" i="10"/>
  <c r="AA51" i="10"/>
  <c r="Z51" i="10"/>
  <c r="Y51" i="10"/>
  <c r="X51" i="10"/>
  <c r="W51" i="10"/>
  <c r="V51" i="10"/>
  <c r="U51" i="10"/>
  <c r="T51" i="10"/>
  <c r="S51" i="10"/>
  <c r="R51" i="10"/>
  <c r="Q51" i="10"/>
  <c r="P51" i="10"/>
  <c r="O51" i="10"/>
  <c r="N51" i="10"/>
  <c r="M51" i="10"/>
  <c r="L51" i="10"/>
  <c r="K51" i="10"/>
  <c r="J51" i="10"/>
  <c r="I51" i="10"/>
  <c r="H51" i="10"/>
  <c r="G51" i="10"/>
  <c r="F51" i="10"/>
  <c r="E51" i="10"/>
  <c r="D51" i="10"/>
  <c r="C51" i="10"/>
  <c r="A51" i="10"/>
  <c r="B51" i="10"/>
  <c r="AX51" i="10"/>
  <c r="AW50" i="10"/>
  <c r="AV50" i="10"/>
  <c r="AU50" i="10"/>
  <c r="AT50" i="10"/>
  <c r="AS50" i="10"/>
  <c r="AR50" i="10"/>
  <c r="AQ50" i="10"/>
  <c r="AP50" i="10"/>
  <c r="AO50" i="10"/>
  <c r="AN50" i="10"/>
  <c r="AM50" i="10"/>
  <c r="AL50" i="10"/>
  <c r="AK50" i="10"/>
  <c r="AJ50" i="10"/>
  <c r="AI50" i="10"/>
  <c r="AH50" i="10"/>
  <c r="AG50" i="10"/>
  <c r="AF50" i="10"/>
  <c r="AE50" i="10"/>
  <c r="AD50" i="10"/>
  <c r="AC50" i="10"/>
  <c r="AB50" i="10"/>
  <c r="AA50" i="10"/>
  <c r="Z50" i="10"/>
  <c r="Y50" i="10"/>
  <c r="X50" i="10"/>
  <c r="W50" i="10"/>
  <c r="V50" i="10"/>
  <c r="U50" i="10"/>
  <c r="T50" i="10"/>
  <c r="S50" i="10"/>
  <c r="R50" i="10"/>
  <c r="Q50" i="10"/>
  <c r="P50" i="10"/>
  <c r="O50" i="10"/>
  <c r="N50" i="10"/>
  <c r="M50" i="10"/>
  <c r="L50" i="10"/>
  <c r="K50" i="10"/>
  <c r="J50" i="10"/>
  <c r="I50" i="10"/>
  <c r="H50" i="10"/>
  <c r="G50" i="10"/>
  <c r="F50" i="10"/>
  <c r="E50" i="10"/>
  <c r="D50" i="10"/>
  <c r="A50" i="10"/>
  <c r="C50" i="10"/>
  <c r="B50" i="10"/>
  <c r="AW49" i="10"/>
  <c r="AV49" i="10"/>
  <c r="AU49" i="10"/>
  <c r="AT49" i="10"/>
  <c r="AS49" i="10"/>
  <c r="AR49" i="10"/>
  <c r="AQ49" i="10"/>
  <c r="AP49" i="10"/>
  <c r="AO49" i="10"/>
  <c r="AN49" i="10"/>
  <c r="AM49" i="10"/>
  <c r="AL49" i="10"/>
  <c r="AK49" i="10"/>
  <c r="AJ49" i="10"/>
  <c r="AI49" i="10"/>
  <c r="AH49" i="10"/>
  <c r="AG49" i="10"/>
  <c r="AF49" i="10"/>
  <c r="AE49" i="10"/>
  <c r="AD49" i="10"/>
  <c r="AC49" i="10"/>
  <c r="AB49" i="10"/>
  <c r="AA49" i="10"/>
  <c r="Z49" i="10"/>
  <c r="Y49" i="10"/>
  <c r="X49" i="10"/>
  <c r="W49" i="10"/>
  <c r="V49" i="10"/>
  <c r="U49" i="10"/>
  <c r="T49" i="10"/>
  <c r="S49" i="10"/>
  <c r="R49" i="10"/>
  <c r="Q49" i="10"/>
  <c r="P49" i="10"/>
  <c r="O49" i="10"/>
  <c r="N49" i="10"/>
  <c r="M49" i="10"/>
  <c r="L49" i="10"/>
  <c r="K49" i="10"/>
  <c r="J49" i="10"/>
  <c r="I49" i="10"/>
  <c r="H49" i="10"/>
  <c r="G49" i="10"/>
  <c r="F49" i="10"/>
  <c r="E49" i="10"/>
  <c r="D49" i="10"/>
  <c r="C49" i="10"/>
  <c r="A49" i="10"/>
  <c r="B49" i="10"/>
  <c r="AW48" i="10"/>
  <c r="AV48" i="10"/>
  <c r="AU48" i="10"/>
  <c r="AT48" i="10"/>
  <c r="AS48" i="10"/>
  <c r="AR48" i="10"/>
  <c r="AQ48" i="10"/>
  <c r="AP48" i="10"/>
  <c r="AO48" i="10"/>
  <c r="AN48" i="10"/>
  <c r="AM48" i="10"/>
  <c r="AL48" i="10"/>
  <c r="AK48" i="10"/>
  <c r="AJ48" i="10"/>
  <c r="AI48" i="10"/>
  <c r="AH48" i="10"/>
  <c r="AG48" i="10"/>
  <c r="AF48" i="10"/>
  <c r="AE48" i="10"/>
  <c r="AD48" i="10"/>
  <c r="AC48" i="10"/>
  <c r="AB48" i="10"/>
  <c r="AA48" i="10"/>
  <c r="Z48" i="10"/>
  <c r="Y48" i="10"/>
  <c r="X48" i="10"/>
  <c r="W48" i="10"/>
  <c r="V48" i="10"/>
  <c r="U48" i="10"/>
  <c r="T48" i="10"/>
  <c r="S48" i="10"/>
  <c r="R48" i="10"/>
  <c r="Q48" i="10"/>
  <c r="P48" i="10"/>
  <c r="O48" i="10"/>
  <c r="N48" i="10"/>
  <c r="M48" i="10"/>
  <c r="L48" i="10"/>
  <c r="K48" i="10"/>
  <c r="J48" i="10"/>
  <c r="I48" i="10"/>
  <c r="H48" i="10"/>
  <c r="G48" i="10"/>
  <c r="F48" i="10"/>
  <c r="E48" i="10"/>
  <c r="D48" i="10"/>
  <c r="C48" i="10"/>
  <c r="B48" i="10"/>
  <c r="A48" i="10"/>
  <c r="AW47" i="10"/>
  <c r="AV47" i="10"/>
  <c r="AU47" i="10"/>
  <c r="AT47" i="10"/>
  <c r="AS47" i="10"/>
  <c r="AR47" i="10"/>
  <c r="AQ47" i="10"/>
  <c r="AP47" i="10"/>
  <c r="AO47" i="10"/>
  <c r="AN47" i="10"/>
  <c r="AM47" i="10"/>
  <c r="AL47" i="10"/>
  <c r="AK47" i="10"/>
  <c r="AJ47" i="10"/>
  <c r="AI47" i="10"/>
  <c r="AH47" i="10"/>
  <c r="AG47" i="10"/>
  <c r="AF47" i="10"/>
  <c r="AE47" i="10"/>
  <c r="AD47" i="10"/>
  <c r="AC47" i="10"/>
  <c r="AB47" i="10"/>
  <c r="AA47" i="10"/>
  <c r="Z47" i="10"/>
  <c r="Y47" i="10"/>
  <c r="X47" i="10"/>
  <c r="W47" i="10"/>
  <c r="V47" i="10"/>
  <c r="U47" i="10"/>
  <c r="T47" i="10"/>
  <c r="S47" i="10"/>
  <c r="R47" i="10"/>
  <c r="Q47" i="10"/>
  <c r="P47" i="10"/>
  <c r="O47" i="10"/>
  <c r="N47" i="10"/>
  <c r="M47" i="10"/>
  <c r="L47" i="10"/>
  <c r="K47" i="10"/>
  <c r="J47" i="10"/>
  <c r="I47" i="10"/>
  <c r="H47" i="10"/>
  <c r="G47" i="10"/>
  <c r="F47" i="10"/>
  <c r="E47" i="10"/>
  <c r="D47" i="10"/>
  <c r="C47" i="10"/>
  <c r="A47" i="10"/>
  <c r="B47" i="10"/>
  <c r="AX47" i="10"/>
  <c r="AW46" i="10"/>
  <c r="AV46" i="10"/>
  <c r="AU46" i="10"/>
  <c r="AT46" i="10"/>
  <c r="AS46" i="10"/>
  <c r="AR46" i="10"/>
  <c r="AQ46" i="10"/>
  <c r="AP46" i="10"/>
  <c r="AO46" i="10"/>
  <c r="AN46" i="10"/>
  <c r="AM46" i="10"/>
  <c r="AL46" i="10"/>
  <c r="AK46" i="10"/>
  <c r="AJ46" i="10"/>
  <c r="AI46" i="10"/>
  <c r="AH46" i="10"/>
  <c r="AG46" i="10"/>
  <c r="AF46" i="10"/>
  <c r="AE46" i="10"/>
  <c r="AD46" i="10"/>
  <c r="AC46" i="10"/>
  <c r="AB46" i="10"/>
  <c r="AA46" i="10"/>
  <c r="Z46" i="10"/>
  <c r="Y46" i="10"/>
  <c r="X46" i="10"/>
  <c r="W46" i="10"/>
  <c r="V46" i="10"/>
  <c r="U46" i="10"/>
  <c r="T46" i="10"/>
  <c r="S46" i="10"/>
  <c r="R46" i="10"/>
  <c r="Q46" i="10"/>
  <c r="P46" i="10"/>
  <c r="O46" i="10"/>
  <c r="N46" i="10"/>
  <c r="M46" i="10"/>
  <c r="L46" i="10"/>
  <c r="K46" i="10"/>
  <c r="J46" i="10"/>
  <c r="I46" i="10"/>
  <c r="H46" i="10"/>
  <c r="G46" i="10"/>
  <c r="F46" i="10"/>
  <c r="E46" i="10"/>
  <c r="D46" i="10"/>
  <c r="C46" i="10"/>
  <c r="B46" i="10"/>
  <c r="A46" i="10"/>
  <c r="AW45" i="10"/>
  <c r="AV45" i="10"/>
  <c r="AU45" i="10"/>
  <c r="AT45" i="10"/>
  <c r="AS45" i="10"/>
  <c r="AR45" i="10"/>
  <c r="AQ45" i="10"/>
  <c r="AP45" i="10"/>
  <c r="AO45" i="10"/>
  <c r="AN45" i="10"/>
  <c r="AM45" i="10"/>
  <c r="AL45" i="10"/>
  <c r="AK45" i="10"/>
  <c r="AJ45" i="10"/>
  <c r="AI45" i="10"/>
  <c r="AH45" i="10"/>
  <c r="AG45" i="10"/>
  <c r="AF45" i="10"/>
  <c r="AE45" i="10"/>
  <c r="AD45" i="10"/>
  <c r="AC45" i="10"/>
  <c r="AB45" i="10"/>
  <c r="AA45" i="10"/>
  <c r="Z45" i="10"/>
  <c r="Y45" i="10"/>
  <c r="X45" i="10"/>
  <c r="W45" i="10"/>
  <c r="V45" i="10"/>
  <c r="U45" i="10"/>
  <c r="T45" i="10"/>
  <c r="S45" i="10"/>
  <c r="R45" i="10"/>
  <c r="Q45" i="10"/>
  <c r="P45" i="10"/>
  <c r="O45" i="10"/>
  <c r="N45" i="10"/>
  <c r="M45" i="10"/>
  <c r="L45" i="10"/>
  <c r="K45" i="10"/>
  <c r="J45" i="10"/>
  <c r="I45" i="10"/>
  <c r="H45" i="10"/>
  <c r="G45" i="10"/>
  <c r="F45" i="10"/>
  <c r="E45" i="10"/>
  <c r="D45" i="10"/>
  <c r="C45" i="10"/>
  <c r="B45" i="10"/>
  <c r="AW44" i="10"/>
  <c r="AV44" i="10"/>
  <c r="AU44" i="10"/>
  <c r="AT44" i="10"/>
  <c r="AS44" i="10"/>
  <c r="AR44" i="10"/>
  <c r="AQ44" i="10"/>
  <c r="AP44" i="10"/>
  <c r="AO44" i="10"/>
  <c r="AN44" i="10"/>
  <c r="AM44" i="10"/>
  <c r="AL44" i="10"/>
  <c r="AK44" i="10"/>
  <c r="AJ44" i="10"/>
  <c r="AI44" i="10"/>
  <c r="AH44" i="10"/>
  <c r="AG44" i="10"/>
  <c r="AF44" i="10"/>
  <c r="AE44" i="10"/>
  <c r="AD44" i="10"/>
  <c r="AC44" i="10"/>
  <c r="AB44" i="10"/>
  <c r="AA44" i="10"/>
  <c r="Z44" i="10"/>
  <c r="Y44" i="10"/>
  <c r="X44" i="10"/>
  <c r="W44" i="10"/>
  <c r="V44" i="10"/>
  <c r="U44" i="10"/>
  <c r="T44" i="10"/>
  <c r="S44" i="10"/>
  <c r="R44" i="10"/>
  <c r="Q44" i="10"/>
  <c r="P44" i="10"/>
  <c r="O44" i="10"/>
  <c r="N44" i="10"/>
  <c r="M44" i="10"/>
  <c r="L44" i="10"/>
  <c r="K44" i="10"/>
  <c r="J44" i="10"/>
  <c r="I44" i="10"/>
  <c r="H44" i="10"/>
  <c r="G44" i="10"/>
  <c r="F44" i="10"/>
  <c r="E44" i="10"/>
  <c r="D44" i="10"/>
  <c r="A44" i="10"/>
  <c r="C44" i="10"/>
  <c r="B44" i="10"/>
  <c r="AW43" i="10"/>
  <c r="AV43" i="10"/>
  <c r="AU43" i="10"/>
  <c r="AT43" i="10"/>
  <c r="AS43" i="10"/>
  <c r="AR43" i="10"/>
  <c r="AQ43" i="10"/>
  <c r="AP43" i="10"/>
  <c r="AO43" i="10"/>
  <c r="AN43" i="10"/>
  <c r="AM43" i="10"/>
  <c r="AL43" i="10"/>
  <c r="AK43" i="10"/>
  <c r="AJ43" i="10"/>
  <c r="AI43" i="10"/>
  <c r="AH43" i="10"/>
  <c r="AG43" i="10"/>
  <c r="AF43" i="10"/>
  <c r="AE43" i="10"/>
  <c r="AD43" i="10"/>
  <c r="AC43" i="10"/>
  <c r="AB43" i="10"/>
  <c r="AA43" i="10"/>
  <c r="Z43" i="10"/>
  <c r="Y43" i="10"/>
  <c r="X43" i="10"/>
  <c r="W43" i="10"/>
  <c r="V43" i="10"/>
  <c r="U43" i="10"/>
  <c r="T43" i="10"/>
  <c r="S43" i="10"/>
  <c r="R43" i="10"/>
  <c r="Q43" i="10"/>
  <c r="P43" i="10"/>
  <c r="O43" i="10"/>
  <c r="N43" i="10"/>
  <c r="M43" i="10"/>
  <c r="L43" i="10"/>
  <c r="K43" i="10"/>
  <c r="J43" i="10"/>
  <c r="I43" i="10"/>
  <c r="H43" i="10"/>
  <c r="G43" i="10"/>
  <c r="F43" i="10"/>
  <c r="E43" i="10"/>
  <c r="A43" i="10"/>
  <c r="D43" i="10"/>
  <c r="C43" i="10"/>
  <c r="B43" i="10"/>
  <c r="AW42" i="10"/>
  <c r="AV42" i="10"/>
  <c r="AU42" i="10"/>
  <c r="AT42" i="10"/>
  <c r="AS42" i="10"/>
  <c r="AR42" i="10"/>
  <c r="AQ42" i="10"/>
  <c r="AP42" i="10"/>
  <c r="AO42" i="10"/>
  <c r="AN42" i="10"/>
  <c r="AM42" i="10"/>
  <c r="AL42" i="10"/>
  <c r="AK42" i="10"/>
  <c r="AJ42" i="10"/>
  <c r="AI42" i="10"/>
  <c r="AH42" i="10"/>
  <c r="AG42" i="10"/>
  <c r="AF42" i="10"/>
  <c r="AE42" i="10"/>
  <c r="AD42" i="10"/>
  <c r="AC42" i="10"/>
  <c r="AB42" i="10"/>
  <c r="AA42" i="10"/>
  <c r="Z42" i="10"/>
  <c r="Y42" i="10"/>
  <c r="X42" i="10"/>
  <c r="W42" i="10"/>
  <c r="V42" i="10"/>
  <c r="U42" i="10"/>
  <c r="T42" i="10"/>
  <c r="S42" i="10"/>
  <c r="R42" i="10"/>
  <c r="Q42" i="10"/>
  <c r="P42" i="10"/>
  <c r="O42" i="10"/>
  <c r="N42" i="10"/>
  <c r="M42" i="10"/>
  <c r="L42" i="10"/>
  <c r="K42" i="10"/>
  <c r="J42" i="10"/>
  <c r="I42" i="10"/>
  <c r="H42" i="10"/>
  <c r="G42" i="10"/>
  <c r="F42" i="10"/>
  <c r="E42" i="10"/>
  <c r="D42" i="10"/>
  <c r="C42" i="10"/>
  <c r="B42" i="10"/>
  <c r="A42" i="10"/>
  <c r="AW41" i="10"/>
  <c r="AV41" i="10"/>
  <c r="AU41" i="10"/>
  <c r="AT41" i="10"/>
  <c r="AS41" i="10"/>
  <c r="AR41" i="10"/>
  <c r="AQ41" i="10"/>
  <c r="AP41" i="10"/>
  <c r="AO41" i="10"/>
  <c r="AN41" i="10"/>
  <c r="AM41" i="10"/>
  <c r="AL41" i="10"/>
  <c r="AK41" i="10"/>
  <c r="AJ41" i="10"/>
  <c r="AI41" i="10"/>
  <c r="AH41" i="10"/>
  <c r="AG41" i="10"/>
  <c r="AF41" i="10"/>
  <c r="AE41" i="10"/>
  <c r="AD41" i="10"/>
  <c r="AC41" i="10"/>
  <c r="AB41" i="10"/>
  <c r="AA41" i="10"/>
  <c r="Z41" i="10"/>
  <c r="Y41" i="10"/>
  <c r="X41" i="10"/>
  <c r="W41" i="10"/>
  <c r="V41" i="10"/>
  <c r="U41" i="10"/>
  <c r="T41" i="10"/>
  <c r="S41" i="10"/>
  <c r="R41" i="10"/>
  <c r="Q41" i="10"/>
  <c r="P41" i="10"/>
  <c r="O41" i="10"/>
  <c r="N41" i="10"/>
  <c r="M41" i="10"/>
  <c r="L41" i="10"/>
  <c r="K41" i="10"/>
  <c r="J41" i="10"/>
  <c r="I41" i="10"/>
  <c r="H41" i="10"/>
  <c r="G41" i="10"/>
  <c r="F41" i="10"/>
  <c r="E41" i="10"/>
  <c r="D41" i="10"/>
  <c r="A41" i="10"/>
  <c r="C41" i="10"/>
  <c r="B41" i="10"/>
  <c r="AX41" i="10"/>
  <c r="AW40" i="10"/>
  <c r="AV40" i="10"/>
  <c r="AU40" i="10"/>
  <c r="AT40" i="10"/>
  <c r="AS40" i="10"/>
  <c r="AR40" i="10"/>
  <c r="AQ40" i="10"/>
  <c r="AP40" i="10"/>
  <c r="AO40" i="10"/>
  <c r="AN40" i="10"/>
  <c r="AM40" i="10"/>
  <c r="AL40" i="10"/>
  <c r="AK40" i="10"/>
  <c r="AJ40" i="10"/>
  <c r="AI40" i="10"/>
  <c r="AH40" i="10"/>
  <c r="AG40" i="10"/>
  <c r="AF40" i="10"/>
  <c r="AE40" i="10"/>
  <c r="AD40" i="10"/>
  <c r="AC40" i="10"/>
  <c r="AB40" i="10"/>
  <c r="AA40" i="10"/>
  <c r="Z40" i="10"/>
  <c r="Y40" i="10"/>
  <c r="X40" i="10"/>
  <c r="W40" i="10"/>
  <c r="V40" i="10"/>
  <c r="U40" i="10"/>
  <c r="T40" i="10"/>
  <c r="S40" i="10"/>
  <c r="R40" i="10"/>
  <c r="Q40" i="10"/>
  <c r="P40" i="10"/>
  <c r="O40" i="10"/>
  <c r="N40" i="10"/>
  <c r="M40" i="10"/>
  <c r="L40" i="10"/>
  <c r="K40" i="10"/>
  <c r="J40" i="10"/>
  <c r="I40" i="10"/>
  <c r="H40" i="10"/>
  <c r="G40" i="10"/>
  <c r="F40" i="10"/>
  <c r="E40" i="10"/>
  <c r="D40" i="10"/>
  <c r="C40" i="10"/>
  <c r="B40" i="10"/>
  <c r="AW39" i="10"/>
  <c r="AV39" i="10"/>
  <c r="AU39" i="10"/>
  <c r="AT39" i="10"/>
  <c r="AS39" i="10"/>
  <c r="AR39" i="10"/>
  <c r="AQ39" i="10"/>
  <c r="AP39" i="10"/>
  <c r="AO39" i="10"/>
  <c r="AN39" i="10"/>
  <c r="AM39" i="10"/>
  <c r="AL39" i="10"/>
  <c r="AK39" i="10"/>
  <c r="AJ39" i="10"/>
  <c r="AI39" i="10"/>
  <c r="AH39" i="10"/>
  <c r="AG39" i="10"/>
  <c r="AF39" i="10"/>
  <c r="AE39" i="10"/>
  <c r="AD39" i="10"/>
  <c r="AC39" i="10"/>
  <c r="AB39" i="10"/>
  <c r="AA39" i="10"/>
  <c r="Z39" i="10"/>
  <c r="Y39" i="10"/>
  <c r="X39" i="10"/>
  <c r="W39" i="10"/>
  <c r="V39" i="10"/>
  <c r="U39" i="10"/>
  <c r="T39" i="10"/>
  <c r="S39" i="10"/>
  <c r="R39" i="10"/>
  <c r="Q39" i="10"/>
  <c r="P39" i="10"/>
  <c r="O39" i="10"/>
  <c r="N39" i="10"/>
  <c r="M39" i="10"/>
  <c r="L39" i="10"/>
  <c r="K39" i="10"/>
  <c r="J39" i="10"/>
  <c r="I39" i="10"/>
  <c r="H39" i="10"/>
  <c r="G39" i="10"/>
  <c r="F39" i="10"/>
  <c r="E39" i="10"/>
  <c r="D39" i="10"/>
  <c r="C39" i="10"/>
  <c r="B39" i="10"/>
  <c r="A39" i="10"/>
  <c r="AW38" i="10"/>
  <c r="AV38" i="10"/>
  <c r="AU38" i="10"/>
  <c r="AT38" i="10"/>
  <c r="AS38" i="10"/>
  <c r="AR38" i="10"/>
  <c r="AQ38" i="10"/>
  <c r="AP38" i="10"/>
  <c r="AO38" i="10"/>
  <c r="AN38" i="10"/>
  <c r="AM38" i="10"/>
  <c r="AL38" i="10"/>
  <c r="AK38" i="10"/>
  <c r="AJ38" i="10"/>
  <c r="AI38" i="10"/>
  <c r="AH38" i="10"/>
  <c r="AG38" i="10"/>
  <c r="AF38" i="10"/>
  <c r="AE38" i="10"/>
  <c r="AD38" i="10"/>
  <c r="AC38" i="10"/>
  <c r="AB38" i="10"/>
  <c r="AA38" i="10"/>
  <c r="Z38" i="10"/>
  <c r="Y38" i="10"/>
  <c r="X38" i="10"/>
  <c r="W38" i="10"/>
  <c r="V38" i="10"/>
  <c r="U38" i="10"/>
  <c r="T38" i="10"/>
  <c r="S38" i="10"/>
  <c r="R38" i="10"/>
  <c r="Q38" i="10"/>
  <c r="P38" i="10"/>
  <c r="O38" i="10"/>
  <c r="N38" i="10"/>
  <c r="M38" i="10"/>
  <c r="L38" i="10"/>
  <c r="K38" i="10"/>
  <c r="J38" i="10"/>
  <c r="I38" i="10"/>
  <c r="H38" i="10"/>
  <c r="G38" i="10"/>
  <c r="F38" i="10"/>
  <c r="E38" i="10"/>
  <c r="D38" i="10"/>
  <c r="C38" i="10"/>
  <c r="A38" i="10"/>
  <c r="B38" i="10"/>
  <c r="AX38" i="10"/>
  <c r="AW37" i="10"/>
  <c r="AV37" i="10"/>
  <c r="AU37" i="10"/>
  <c r="AT37" i="10"/>
  <c r="AS37" i="10"/>
  <c r="AR37" i="10"/>
  <c r="AQ37" i="10"/>
  <c r="AP37" i="10"/>
  <c r="AO37" i="10"/>
  <c r="AN37" i="10"/>
  <c r="AM37" i="10"/>
  <c r="AL37" i="10"/>
  <c r="AK37" i="10"/>
  <c r="AJ37" i="10"/>
  <c r="AI37" i="10"/>
  <c r="AH37" i="10"/>
  <c r="AG37" i="10"/>
  <c r="AF37" i="10"/>
  <c r="AE37" i="10"/>
  <c r="AD37" i="10"/>
  <c r="AC37" i="10"/>
  <c r="AB37" i="10"/>
  <c r="AA37" i="10"/>
  <c r="Z37" i="10"/>
  <c r="Y37" i="10"/>
  <c r="X37" i="10"/>
  <c r="W37" i="10"/>
  <c r="V37" i="10"/>
  <c r="U37" i="10"/>
  <c r="T37" i="10"/>
  <c r="S37" i="10"/>
  <c r="R37" i="10"/>
  <c r="Q37" i="10"/>
  <c r="P37" i="10"/>
  <c r="O37" i="10"/>
  <c r="N37" i="10"/>
  <c r="M37" i="10"/>
  <c r="L37" i="10"/>
  <c r="K37" i="10"/>
  <c r="J37" i="10"/>
  <c r="I37" i="10"/>
  <c r="H37" i="10"/>
  <c r="G37" i="10"/>
  <c r="F37" i="10"/>
  <c r="E37" i="10"/>
  <c r="D37" i="10"/>
  <c r="C37" i="10"/>
  <c r="A37" i="10"/>
  <c r="AM37" i="1"/>
  <c r="AN37" i="1"/>
  <c r="B37" i="10"/>
  <c r="AW36" i="10"/>
  <c r="AV36" i="10"/>
  <c r="AU36" i="10"/>
  <c r="AT36" i="10"/>
  <c r="AS36" i="10"/>
  <c r="AR36" i="10"/>
  <c r="AQ36" i="10"/>
  <c r="AP36" i="10"/>
  <c r="AO36" i="10"/>
  <c r="AN36" i="10"/>
  <c r="AM36" i="10"/>
  <c r="AL36" i="10"/>
  <c r="AK36" i="10"/>
  <c r="AJ36" i="10"/>
  <c r="AI36" i="10"/>
  <c r="AH36" i="10"/>
  <c r="AG36" i="10"/>
  <c r="AF36" i="10"/>
  <c r="AE36" i="10"/>
  <c r="AD36" i="10"/>
  <c r="AC36" i="10"/>
  <c r="AB36" i="10"/>
  <c r="AA36" i="10"/>
  <c r="Z36" i="10"/>
  <c r="Y36" i="10"/>
  <c r="X36" i="10"/>
  <c r="W36" i="10"/>
  <c r="V36" i="10"/>
  <c r="U36" i="10"/>
  <c r="T36" i="10"/>
  <c r="S36" i="10"/>
  <c r="R36" i="10"/>
  <c r="Q36" i="10"/>
  <c r="P36" i="10"/>
  <c r="O36" i="10"/>
  <c r="N36" i="10"/>
  <c r="M36" i="10"/>
  <c r="L36" i="10"/>
  <c r="K36" i="10"/>
  <c r="J36" i="10"/>
  <c r="I36" i="10"/>
  <c r="H36" i="10"/>
  <c r="G36" i="10"/>
  <c r="F36" i="10"/>
  <c r="E36" i="10"/>
  <c r="D36" i="10"/>
  <c r="C36" i="10"/>
  <c r="B36" i="10"/>
  <c r="AW35" i="10"/>
  <c r="AV35" i="10"/>
  <c r="AU35" i="10"/>
  <c r="AT35" i="10"/>
  <c r="AS35" i="10"/>
  <c r="AR35" i="10"/>
  <c r="AQ35" i="10"/>
  <c r="AP35" i="10"/>
  <c r="AO35" i="10"/>
  <c r="AN35" i="10"/>
  <c r="AM35" i="10"/>
  <c r="AL35" i="10"/>
  <c r="AK35" i="10"/>
  <c r="AJ35" i="10"/>
  <c r="AI35" i="10"/>
  <c r="AH35" i="10"/>
  <c r="AG35" i="10"/>
  <c r="AF35" i="10"/>
  <c r="AE35" i="10"/>
  <c r="AD35" i="10"/>
  <c r="AC35" i="10"/>
  <c r="AB35" i="10"/>
  <c r="AA35" i="10"/>
  <c r="Z35" i="10"/>
  <c r="Y35" i="10"/>
  <c r="X35" i="10"/>
  <c r="W35" i="10"/>
  <c r="V35" i="10"/>
  <c r="U35" i="10"/>
  <c r="T35" i="10"/>
  <c r="S35" i="10"/>
  <c r="R35" i="10"/>
  <c r="Q35" i="10"/>
  <c r="P35" i="10"/>
  <c r="O35" i="10"/>
  <c r="N35" i="10"/>
  <c r="M35" i="10"/>
  <c r="L35" i="10"/>
  <c r="K35" i="10"/>
  <c r="J35" i="10"/>
  <c r="I35" i="10"/>
  <c r="H35" i="10"/>
  <c r="G35" i="10"/>
  <c r="F35" i="10"/>
  <c r="E35" i="10"/>
  <c r="D35" i="10"/>
  <c r="A35" i="10"/>
  <c r="C35" i="10"/>
  <c r="B35" i="10"/>
  <c r="AW34" i="10"/>
  <c r="AV34" i="10"/>
  <c r="AU34" i="10"/>
  <c r="AT34" i="10"/>
  <c r="AS34" i="10"/>
  <c r="AR34" i="10"/>
  <c r="AQ34" i="10"/>
  <c r="AP34" i="10"/>
  <c r="AO34" i="10"/>
  <c r="AN34" i="10"/>
  <c r="AM34" i="10"/>
  <c r="AL34" i="10"/>
  <c r="AK34" i="10"/>
  <c r="AJ34" i="10"/>
  <c r="AI34" i="10"/>
  <c r="AH34" i="10"/>
  <c r="AG34" i="10"/>
  <c r="AF34" i="10"/>
  <c r="AE34" i="10"/>
  <c r="AD34" i="10"/>
  <c r="AC34" i="10"/>
  <c r="AB34" i="10"/>
  <c r="AA34" i="10"/>
  <c r="Z34" i="10"/>
  <c r="Y34" i="10"/>
  <c r="X34" i="10"/>
  <c r="W34" i="10"/>
  <c r="V34" i="10"/>
  <c r="U34" i="10"/>
  <c r="T34" i="10"/>
  <c r="S34" i="10"/>
  <c r="R34" i="10"/>
  <c r="Q34" i="10"/>
  <c r="P34" i="10"/>
  <c r="O34" i="10"/>
  <c r="N34" i="10"/>
  <c r="M34" i="10"/>
  <c r="L34" i="10"/>
  <c r="K34" i="10"/>
  <c r="J34" i="10"/>
  <c r="I34" i="10"/>
  <c r="H34" i="10"/>
  <c r="G34" i="10"/>
  <c r="F34" i="10"/>
  <c r="E34" i="10"/>
  <c r="D34" i="10"/>
  <c r="C34" i="10"/>
  <c r="B34" i="10"/>
  <c r="A34" i="10"/>
  <c r="AW33" i="10"/>
  <c r="AV33" i="10"/>
  <c r="AU33" i="10"/>
  <c r="AT33" i="10"/>
  <c r="AS33" i="10"/>
  <c r="AR33" i="10"/>
  <c r="AQ33" i="10"/>
  <c r="AP33" i="10"/>
  <c r="AO33" i="10"/>
  <c r="AN33" i="10"/>
  <c r="AM33" i="10"/>
  <c r="AL33" i="10"/>
  <c r="AK33" i="10"/>
  <c r="AJ33" i="10"/>
  <c r="AI33" i="10"/>
  <c r="AH33" i="10"/>
  <c r="AG33" i="10"/>
  <c r="AF33" i="10"/>
  <c r="AE33" i="10"/>
  <c r="AD33" i="10"/>
  <c r="AC33" i="10"/>
  <c r="AB33" i="10"/>
  <c r="AA33" i="10"/>
  <c r="Z33" i="10"/>
  <c r="Y33" i="10"/>
  <c r="X33" i="10"/>
  <c r="W33" i="10"/>
  <c r="V33" i="10"/>
  <c r="U33" i="10"/>
  <c r="T33" i="10"/>
  <c r="S33" i="10"/>
  <c r="R33" i="10"/>
  <c r="Q33" i="10"/>
  <c r="P33" i="10"/>
  <c r="O33" i="10"/>
  <c r="N33" i="10"/>
  <c r="M33" i="10"/>
  <c r="L33" i="10"/>
  <c r="K33" i="10"/>
  <c r="J33" i="10"/>
  <c r="I33" i="10"/>
  <c r="H33" i="10"/>
  <c r="G33" i="10"/>
  <c r="F33" i="10"/>
  <c r="E33" i="10"/>
  <c r="D33" i="10"/>
  <c r="C33" i="10"/>
  <c r="B33" i="10"/>
  <c r="AX33" i="10"/>
  <c r="A33" i="10"/>
  <c r="AW32" i="10"/>
  <c r="AV32" i="10"/>
  <c r="AU32" i="10"/>
  <c r="AT32" i="10"/>
  <c r="AS32" i="10"/>
  <c r="AR32" i="10"/>
  <c r="AQ32" i="10"/>
  <c r="AP32" i="10"/>
  <c r="AO32" i="10"/>
  <c r="AN32" i="10"/>
  <c r="AM32" i="10"/>
  <c r="AL32" i="10"/>
  <c r="AK32" i="10"/>
  <c r="AJ32" i="10"/>
  <c r="AI32" i="10"/>
  <c r="AH32" i="10"/>
  <c r="AG32" i="10"/>
  <c r="AF32" i="10"/>
  <c r="AE32" i="10"/>
  <c r="AD32" i="10"/>
  <c r="AC32" i="10"/>
  <c r="AB32" i="10"/>
  <c r="AA32" i="10"/>
  <c r="Z32" i="10"/>
  <c r="Y32" i="10"/>
  <c r="X32" i="10"/>
  <c r="W32" i="10"/>
  <c r="V32" i="10"/>
  <c r="U32" i="10"/>
  <c r="T32" i="10"/>
  <c r="S32" i="10"/>
  <c r="R32" i="10"/>
  <c r="Q32" i="10"/>
  <c r="P32" i="10"/>
  <c r="O32" i="10"/>
  <c r="N32" i="10"/>
  <c r="M32" i="10"/>
  <c r="L32" i="10"/>
  <c r="K32" i="10"/>
  <c r="J32" i="10"/>
  <c r="I32" i="10"/>
  <c r="H32" i="10"/>
  <c r="G32" i="10"/>
  <c r="F32" i="10"/>
  <c r="E32" i="10"/>
  <c r="D32" i="10"/>
  <c r="A32" i="10"/>
  <c r="C32" i="10"/>
  <c r="B32" i="10"/>
  <c r="AX32" i="10"/>
  <c r="AW31" i="10"/>
  <c r="AV31" i="10"/>
  <c r="AU31" i="10"/>
  <c r="AT31" i="10"/>
  <c r="AS31" i="10"/>
  <c r="AR31" i="10"/>
  <c r="AQ31" i="10"/>
  <c r="AP31" i="10"/>
  <c r="AO31" i="10"/>
  <c r="AN31" i="10"/>
  <c r="AM31" i="10"/>
  <c r="AL31" i="10"/>
  <c r="AK31" i="10"/>
  <c r="AJ31" i="10"/>
  <c r="AI31" i="10"/>
  <c r="AH31" i="10"/>
  <c r="AG31" i="10"/>
  <c r="AF31" i="10"/>
  <c r="AE31" i="10"/>
  <c r="AD31" i="10"/>
  <c r="AC31" i="10"/>
  <c r="AB31" i="10"/>
  <c r="AA31" i="10"/>
  <c r="Z31" i="10"/>
  <c r="Y31" i="10"/>
  <c r="X31" i="10"/>
  <c r="W31" i="10"/>
  <c r="V31" i="10"/>
  <c r="U31" i="10"/>
  <c r="T31" i="10"/>
  <c r="S31" i="10"/>
  <c r="R31" i="10"/>
  <c r="Q31" i="10"/>
  <c r="P31" i="10"/>
  <c r="O31" i="10"/>
  <c r="N31" i="10"/>
  <c r="M31" i="10"/>
  <c r="L31" i="10"/>
  <c r="K31" i="10"/>
  <c r="J31" i="10"/>
  <c r="I31" i="10"/>
  <c r="H31" i="10"/>
  <c r="G31" i="10"/>
  <c r="F31" i="10"/>
  <c r="E31" i="10"/>
  <c r="D31" i="10"/>
  <c r="C31" i="10"/>
  <c r="B31" i="10"/>
  <c r="AW30" i="10"/>
  <c r="AV30" i="10"/>
  <c r="AU30" i="10"/>
  <c r="AT30" i="10"/>
  <c r="AS30" i="10"/>
  <c r="AR30" i="10"/>
  <c r="AQ30" i="10"/>
  <c r="AP30" i="10"/>
  <c r="AO30" i="10"/>
  <c r="AN30" i="10"/>
  <c r="AM30" i="10"/>
  <c r="AL30" i="10"/>
  <c r="AK30" i="10"/>
  <c r="AJ30" i="10"/>
  <c r="AI30" i="10"/>
  <c r="AH30" i="10"/>
  <c r="AG30" i="10"/>
  <c r="AF30" i="10"/>
  <c r="AE30" i="10"/>
  <c r="AD30" i="10"/>
  <c r="AC30" i="10"/>
  <c r="AB30" i="10"/>
  <c r="AA30" i="10"/>
  <c r="Z30" i="10"/>
  <c r="Y30" i="10"/>
  <c r="X30" i="10"/>
  <c r="W30" i="10"/>
  <c r="V30" i="10"/>
  <c r="U30" i="10"/>
  <c r="T30" i="10"/>
  <c r="S30" i="10"/>
  <c r="R30" i="10"/>
  <c r="Q30" i="10"/>
  <c r="P30" i="10"/>
  <c r="O30" i="10"/>
  <c r="N30" i="10"/>
  <c r="M30" i="10"/>
  <c r="L30" i="10"/>
  <c r="K30" i="10"/>
  <c r="J30" i="10"/>
  <c r="I30" i="10"/>
  <c r="H30" i="10"/>
  <c r="G30" i="10"/>
  <c r="F30" i="10"/>
  <c r="E30" i="10"/>
  <c r="D30" i="10"/>
  <c r="C30" i="10"/>
  <c r="B30" i="10"/>
  <c r="AW29" i="10"/>
  <c r="AV29" i="10"/>
  <c r="AU29" i="10"/>
  <c r="AT29" i="10"/>
  <c r="AS29" i="10"/>
  <c r="AR29" i="10"/>
  <c r="AQ29" i="10"/>
  <c r="AP29" i="10"/>
  <c r="AO29" i="10"/>
  <c r="AN29" i="10"/>
  <c r="AM29" i="10"/>
  <c r="AL29" i="10"/>
  <c r="AK29" i="10"/>
  <c r="AJ29" i="10"/>
  <c r="AI29" i="10"/>
  <c r="AH29" i="10"/>
  <c r="AG29" i="10"/>
  <c r="AF29" i="10"/>
  <c r="AE29" i="10"/>
  <c r="AD29" i="10"/>
  <c r="AC29" i="10"/>
  <c r="AB29" i="10"/>
  <c r="AA29" i="10"/>
  <c r="Z29" i="10"/>
  <c r="Y29" i="10"/>
  <c r="X29" i="10"/>
  <c r="W29" i="10"/>
  <c r="V29" i="10"/>
  <c r="U29" i="10"/>
  <c r="T29" i="10"/>
  <c r="S29" i="10"/>
  <c r="R29" i="10"/>
  <c r="Q29" i="10"/>
  <c r="P29" i="10"/>
  <c r="O29" i="10"/>
  <c r="N29" i="10"/>
  <c r="M29" i="10"/>
  <c r="L29" i="10"/>
  <c r="K29" i="10"/>
  <c r="J29" i="10"/>
  <c r="I29" i="10"/>
  <c r="H29" i="10"/>
  <c r="G29" i="10"/>
  <c r="F29" i="10"/>
  <c r="E29" i="10"/>
  <c r="D29" i="10"/>
  <c r="C29" i="10"/>
  <c r="A29" i="10"/>
  <c r="B29" i="10"/>
  <c r="AX29" i="10"/>
  <c r="AW28" i="10"/>
  <c r="AV28" i="10"/>
  <c r="AU28" i="10"/>
  <c r="AT28" i="10"/>
  <c r="AS28" i="10"/>
  <c r="AR28" i="10"/>
  <c r="AQ28" i="10"/>
  <c r="AP28" i="10"/>
  <c r="AO28" i="10"/>
  <c r="AN28" i="10"/>
  <c r="AM28" i="10"/>
  <c r="AL28" i="10"/>
  <c r="AK28" i="10"/>
  <c r="AJ28" i="10"/>
  <c r="AI28" i="10"/>
  <c r="AH28" i="10"/>
  <c r="AG28" i="10"/>
  <c r="AF28" i="10"/>
  <c r="AE28" i="10"/>
  <c r="AD28" i="10"/>
  <c r="AC28" i="10"/>
  <c r="AB28" i="10"/>
  <c r="AA28" i="10"/>
  <c r="Z28" i="10"/>
  <c r="Y28" i="10"/>
  <c r="X28" i="10"/>
  <c r="W28" i="10"/>
  <c r="V28" i="10"/>
  <c r="U28" i="10"/>
  <c r="T28" i="10"/>
  <c r="S28" i="10"/>
  <c r="R28" i="10"/>
  <c r="Q28" i="10"/>
  <c r="P28" i="10"/>
  <c r="O28" i="10"/>
  <c r="N28" i="10"/>
  <c r="M28" i="10"/>
  <c r="L28" i="10"/>
  <c r="K28" i="10"/>
  <c r="J28" i="10"/>
  <c r="I28" i="10"/>
  <c r="H28" i="10"/>
  <c r="G28" i="10"/>
  <c r="F28" i="10"/>
  <c r="E28" i="10"/>
  <c r="D28" i="10"/>
  <c r="C28" i="10"/>
  <c r="B28" i="10"/>
  <c r="A28" i="10"/>
  <c r="AW27" i="10"/>
  <c r="AV27" i="10"/>
  <c r="AU27" i="10"/>
  <c r="AT27" i="10"/>
  <c r="AS27" i="10"/>
  <c r="AR27" i="10"/>
  <c r="AQ27" i="10"/>
  <c r="AP27" i="10"/>
  <c r="AO27" i="10"/>
  <c r="AN27" i="10"/>
  <c r="AM27" i="10"/>
  <c r="AL27" i="10"/>
  <c r="AK27" i="10"/>
  <c r="AJ27" i="10"/>
  <c r="AI27" i="10"/>
  <c r="AH27" i="10"/>
  <c r="AG27" i="10"/>
  <c r="AF27" i="10"/>
  <c r="AE27" i="10"/>
  <c r="AD27" i="10"/>
  <c r="AC27" i="10"/>
  <c r="AB27" i="10"/>
  <c r="AA27" i="10"/>
  <c r="Z27" i="10"/>
  <c r="Y27" i="10"/>
  <c r="X27" i="10"/>
  <c r="W27" i="10"/>
  <c r="V27" i="10"/>
  <c r="U27" i="10"/>
  <c r="T27" i="10"/>
  <c r="S27" i="10"/>
  <c r="R27" i="10"/>
  <c r="Q27" i="10"/>
  <c r="P27" i="10"/>
  <c r="O27" i="10"/>
  <c r="N27" i="10"/>
  <c r="M27" i="10"/>
  <c r="L27" i="10"/>
  <c r="K27" i="10"/>
  <c r="J27" i="10"/>
  <c r="I27" i="10"/>
  <c r="H27" i="10"/>
  <c r="G27" i="10"/>
  <c r="F27" i="10"/>
  <c r="E27" i="10"/>
  <c r="D27" i="10"/>
  <c r="C27" i="10"/>
  <c r="B27" i="10"/>
  <c r="AX27" i="10"/>
  <c r="AW26" i="10"/>
  <c r="AV26" i="10"/>
  <c r="AU26" i="10"/>
  <c r="AT26" i="10"/>
  <c r="AS26" i="10"/>
  <c r="AR26" i="10"/>
  <c r="AQ26" i="10"/>
  <c r="AP26" i="10"/>
  <c r="AO26" i="10"/>
  <c r="AN26" i="10"/>
  <c r="AM26" i="10"/>
  <c r="AL26" i="10"/>
  <c r="AK26" i="10"/>
  <c r="AJ26" i="10"/>
  <c r="AI26" i="10"/>
  <c r="AH26" i="10"/>
  <c r="AG26" i="10"/>
  <c r="AF26" i="10"/>
  <c r="AE26" i="10"/>
  <c r="AD26" i="10"/>
  <c r="AC26" i="10"/>
  <c r="AB26" i="10"/>
  <c r="AA26" i="10"/>
  <c r="Z26" i="10"/>
  <c r="Y26" i="10"/>
  <c r="X26" i="10"/>
  <c r="W26" i="10"/>
  <c r="V26" i="10"/>
  <c r="U26" i="10"/>
  <c r="T26" i="10"/>
  <c r="S26" i="10"/>
  <c r="R26" i="10"/>
  <c r="Q26" i="10"/>
  <c r="P26" i="10"/>
  <c r="O26" i="10"/>
  <c r="N26" i="10"/>
  <c r="M26" i="10"/>
  <c r="L26" i="10"/>
  <c r="K26" i="10"/>
  <c r="J26" i="10"/>
  <c r="I26" i="10"/>
  <c r="H26" i="10"/>
  <c r="G26" i="10"/>
  <c r="F26" i="10"/>
  <c r="E26" i="10"/>
  <c r="D26" i="10"/>
  <c r="A26" i="10"/>
  <c r="C26" i="10"/>
  <c r="B26" i="10"/>
  <c r="AW25" i="10"/>
  <c r="AV25" i="10"/>
  <c r="AU25" i="10"/>
  <c r="AT25" i="10"/>
  <c r="AS25" i="10"/>
  <c r="AR25" i="10"/>
  <c r="AQ25" i="10"/>
  <c r="AP25" i="10"/>
  <c r="AO25" i="10"/>
  <c r="AN25" i="10"/>
  <c r="AM25" i="10"/>
  <c r="AL25" i="10"/>
  <c r="AK25" i="10"/>
  <c r="AJ25" i="10"/>
  <c r="AI25" i="10"/>
  <c r="AH25" i="10"/>
  <c r="AG25" i="10"/>
  <c r="AF25" i="10"/>
  <c r="AE25" i="10"/>
  <c r="AD25" i="10"/>
  <c r="AC25" i="10"/>
  <c r="AB25" i="10"/>
  <c r="AA25" i="10"/>
  <c r="Z25" i="10"/>
  <c r="Y25" i="10"/>
  <c r="X25" i="10"/>
  <c r="W25" i="10"/>
  <c r="V25" i="10"/>
  <c r="U25" i="10"/>
  <c r="T25" i="10"/>
  <c r="S25" i="10"/>
  <c r="R25" i="10"/>
  <c r="Q25" i="10"/>
  <c r="P25" i="10"/>
  <c r="O25" i="10"/>
  <c r="N25" i="10"/>
  <c r="M25" i="10"/>
  <c r="L25" i="10"/>
  <c r="K25" i="10"/>
  <c r="J25" i="10"/>
  <c r="I25" i="10"/>
  <c r="H25" i="10"/>
  <c r="G25" i="10"/>
  <c r="F25" i="10"/>
  <c r="E25" i="10"/>
  <c r="D25" i="10"/>
  <c r="C25" i="10"/>
  <c r="B25" i="10"/>
  <c r="A25" i="10"/>
  <c r="AW24" i="10"/>
  <c r="AV24" i="10"/>
  <c r="AU24" i="10"/>
  <c r="AT24" i="10"/>
  <c r="AS24" i="10"/>
  <c r="AR24" i="10"/>
  <c r="AQ24" i="10"/>
  <c r="AP24" i="10"/>
  <c r="AO24" i="10"/>
  <c r="AN24" i="10"/>
  <c r="AM24" i="10"/>
  <c r="AL24" i="10"/>
  <c r="AK24" i="10"/>
  <c r="AJ24" i="10"/>
  <c r="AI24" i="10"/>
  <c r="AH24" i="10"/>
  <c r="AG24" i="10"/>
  <c r="AF24" i="10"/>
  <c r="AE24" i="10"/>
  <c r="AD24" i="10"/>
  <c r="AC24" i="10"/>
  <c r="AB24" i="10"/>
  <c r="AA24" i="10"/>
  <c r="Z24" i="10"/>
  <c r="Y24" i="10"/>
  <c r="X24" i="10"/>
  <c r="W24" i="10"/>
  <c r="V24" i="10"/>
  <c r="U24" i="10"/>
  <c r="T24" i="10"/>
  <c r="S24" i="10"/>
  <c r="R24" i="10"/>
  <c r="Q24" i="10"/>
  <c r="P24" i="10"/>
  <c r="O24" i="10"/>
  <c r="N24" i="10"/>
  <c r="M24" i="10"/>
  <c r="L24" i="10"/>
  <c r="K24" i="10"/>
  <c r="J24" i="10"/>
  <c r="I24" i="10"/>
  <c r="H24" i="10"/>
  <c r="G24" i="10"/>
  <c r="F24" i="10"/>
  <c r="E24" i="10"/>
  <c r="D24" i="10"/>
  <c r="C24" i="10"/>
  <c r="A24" i="10"/>
  <c r="B24" i="10"/>
  <c r="AX24" i="10"/>
  <c r="AW23" i="10"/>
  <c r="AV23" i="10"/>
  <c r="AU23" i="10"/>
  <c r="AT23" i="10"/>
  <c r="AS23" i="10"/>
  <c r="AR23" i="10"/>
  <c r="AQ23" i="10"/>
  <c r="AP23" i="10"/>
  <c r="AO23" i="10"/>
  <c r="AN23" i="10"/>
  <c r="AM23" i="10"/>
  <c r="AL23" i="10"/>
  <c r="AK23" i="10"/>
  <c r="AJ23" i="10"/>
  <c r="AI23" i="10"/>
  <c r="AH23" i="10"/>
  <c r="AG23" i="10"/>
  <c r="AF23" i="10"/>
  <c r="AE23" i="10"/>
  <c r="AD23" i="10"/>
  <c r="AC23" i="10"/>
  <c r="AB23" i="10"/>
  <c r="AA23" i="10"/>
  <c r="Z23" i="10"/>
  <c r="Y23" i="10"/>
  <c r="X23" i="10"/>
  <c r="W23" i="10"/>
  <c r="V23" i="10"/>
  <c r="U23" i="10"/>
  <c r="T23" i="10"/>
  <c r="S23" i="10"/>
  <c r="R23" i="10"/>
  <c r="Q23" i="10"/>
  <c r="P23" i="10"/>
  <c r="O23" i="10"/>
  <c r="N23" i="10"/>
  <c r="M23" i="10"/>
  <c r="L23" i="10"/>
  <c r="K23" i="10"/>
  <c r="J23" i="10"/>
  <c r="I23" i="10"/>
  <c r="H23" i="10"/>
  <c r="G23" i="10"/>
  <c r="F23" i="10"/>
  <c r="E23" i="10"/>
  <c r="D23" i="10"/>
  <c r="C23" i="10"/>
  <c r="B23" i="10"/>
  <c r="AW22" i="10"/>
  <c r="AV22" i="10"/>
  <c r="AU22" i="10"/>
  <c r="AT22" i="10"/>
  <c r="AS22" i="10"/>
  <c r="AR22" i="10"/>
  <c r="AQ22" i="10"/>
  <c r="AP22" i="10"/>
  <c r="AO22" i="10"/>
  <c r="AN22" i="10"/>
  <c r="AM22" i="10"/>
  <c r="AL22" i="10"/>
  <c r="AK22" i="10"/>
  <c r="AJ22" i="10"/>
  <c r="AI22" i="10"/>
  <c r="AH22" i="10"/>
  <c r="AG22" i="10"/>
  <c r="AF22" i="10"/>
  <c r="AE22" i="10"/>
  <c r="AD22" i="10"/>
  <c r="AC22" i="10"/>
  <c r="AB22" i="10"/>
  <c r="AA22" i="10"/>
  <c r="Z22" i="10"/>
  <c r="Y22" i="10"/>
  <c r="X22" i="10"/>
  <c r="W22" i="10"/>
  <c r="V22" i="10"/>
  <c r="U22" i="10"/>
  <c r="T22" i="10"/>
  <c r="S22" i="10"/>
  <c r="R22" i="10"/>
  <c r="Q22" i="10"/>
  <c r="P22" i="10"/>
  <c r="O22" i="10"/>
  <c r="N22" i="10"/>
  <c r="M22" i="10"/>
  <c r="L22" i="10"/>
  <c r="K22" i="10"/>
  <c r="J22" i="10"/>
  <c r="I22" i="10"/>
  <c r="H22" i="10"/>
  <c r="G22" i="10"/>
  <c r="F22" i="10"/>
  <c r="E22" i="10"/>
  <c r="D22" i="10"/>
  <c r="C22" i="10"/>
  <c r="B22" i="10"/>
  <c r="A22" i="10"/>
  <c r="AW21" i="10"/>
  <c r="AV21" i="10"/>
  <c r="AU21" i="10"/>
  <c r="AT21" i="10"/>
  <c r="AS21" i="10"/>
  <c r="AR21" i="10"/>
  <c r="AQ21" i="10"/>
  <c r="AP21" i="10"/>
  <c r="AO21" i="10"/>
  <c r="AN21" i="10"/>
  <c r="AM21" i="10"/>
  <c r="AL21" i="10"/>
  <c r="AK21" i="10"/>
  <c r="AJ21" i="10"/>
  <c r="AI21" i="10"/>
  <c r="AH21" i="10"/>
  <c r="AG21" i="10"/>
  <c r="AF21" i="10"/>
  <c r="AE21" i="10"/>
  <c r="AD21" i="10"/>
  <c r="AC21" i="10"/>
  <c r="AB21" i="10"/>
  <c r="AA21" i="10"/>
  <c r="Z21" i="10"/>
  <c r="Y21" i="10"/>
  <c r="X21" i="10"/>
  <c r="W21" i="10"/>
  <c r="V21" i="10"/>
  <c r="U21" i="10"/>
  <c r="T21" i="10"/>
  <c r="S21" i="10"/>
  <c r="R21" i="10"/>
  <c r="Q21" i="10"/>
  <c r="P21" i="10"/>
  <c r="O21" i="10"/>
  <c r="N21" i="10"/>
  <c r="M21" i="10"/>
  <c r="L21" i="10"/>
  <c r="K21" i="10"/>
  <c r="J21" i="10"/>
  <c r="I21" i="10"/>
  <c r="H21" i="10"/>
  <c r="G21" i="10"/>
  <c r="F21" i="10"/>
  <c r="E21" i="10"/>
  <c r="D21" i="10"/>
  <c r="C21" i="10"/>
  <c r="B21" i="10"/>
  <c r="AX21" i="10"/>
  <c r="A21" i="10"/>
  <c r="AW20" i="10"/>
  <c r="AV20" i="10"/>
  <c r="AU20" i="10"/>
  <c r="AT20" i="10"/>
  <c r="AS20" i="10"/>
  <c r="AR20" i="10"/>
  <c r="AQ20" i="10"/>
  <c r="AP20" i="10"/>
  <c r="AO20" i="10"/>
  <c r="AN20" i="10"/>
  <c r="AM20" i="10"/>
  <c r="AL20" i="10"/>
  <c r="AK20" i="10"/>
  <c r="AJ20" i="10"/>
  <c r="AI20" i="10"/>
  <c r="AH20" i="10"/>
  <c r="AG20" i="10"/>
  <c r="AF20" i="10"/>
  <c r="AE20" i="10"/>
  <c r="AD20" i="10"/>
  <c r="AC20" i="10"/>
  <c r="AB20" i="10"/>
  <c r="AA20" i="10"/>
  <c r="Z20" i="10"/>
  <c r="Y20" i="10"/>
  <c r="X20" i="10"/>
  <c r="W20" i="10"/>
  <c r="V20" i="10"/>
  <c r="U20" i="10"/>
  <c r="T20" i="10"/>
  <c r="S20" i="10"/>
  <c r="R20" i="10"/>
  <c r="Q20" i="10"/>
  <c r="P20" i="10"/>
  <c r="O20" i="10"/>
  <c r="N20" i="10"/>
  <c r="M20" i="10"/>
  <c r="L20" i="10"/>
  <c r="K20" i="10"/>
  <c r="J20" i="10"/>
  <c r="I20" i="10"/>
  <c r="H20" i="10"/>
  <c r="G20" i="10"/>
  <c r="F20" i="10"/>
  <c r="E20" i="10"/>
  <c r="D20" i="10"/>
  <c r="C20" i="10"/>
  <c r="B20" i="10"/>
  <c r="AW19" i="10"/>
  <c r="AV19" i="10"/>
  <c r="AU19" i="10"/>
  <c r="AT19" i="10"/>
  <c r="AS19" i="10"/>
  <c r="AR19" i="10"/>
  <c r="AQ19" i="10"/>
  <c r="AP19" i="10"/>
  <c r="AO19" i="10"/>
  <c r="AN19" i="10"/>
  <c r="AM19" i="10"/>
  <c r="AL19" i="10"/>
  <c r="AK19" i="10"/>
  <c r="AJ19" i="10"/>
  <c r="AI19" i="10"/>
  <c r="AH19" i="10"/>
  <c r="AG19" i="10"/>
  <c r="AF19" i="10"/>
  <c r="AE19" i="10"/>
  <c r="AD19" i="10"/>
  <c r="AC19" i="10"/>
  <c r="AB19" i="10"/>
  <c r="AA19" i="10"/>
  <c r="Z19" i="10"/>
  <c r="Y19" i="10"/>
  <c r="X19" i="10"/>
  <c r="W19" i="10"/>
  <c r="V19" i="10"/>
  <c r="U19" i="10"/>
  <c r="T19" i="10"/>
  <c r="S19" i="10"/>
  <c r="R19" i="10"/>
  <c r="Q19" i="10"/>
  <c r="P19" i="10"/>
  <c r="O19" i="10"/>
  <c r="N19" i="10"/>
  <c r="M19" i="10"/>
  <c r="L19" i="10"/>
  <c r="K19" i="10"/>
  <c r="J19" i="10"/>
  <c r="I19" i="10"/>
  <c r="H19" i="10"/>
  <c r="G19" i="10"/>
  <c r="F19" i="10"/>
  <c r="E19" i="10"/>
  <c r="A19" i="10"/>
  <c r="D19" i="10"/>
  <c r="C19" i="10"/>
  <c r="B19" i="10"/>
  <c r="AW18" i="10"/>
  <c r="AV18" i="10"/>
  <c r="AU18" i="10"/>
  <c r="AT18" i="10"/>
  <c r="AS18" i="10"/>
  <c r="AR18" i="10"/>
  <c r="AQ18" i="10"/>
  <c r="AP18" i="10"/>
  <c r="AO18" i="10"/>
  <c r="AN18" i="10"/>
  <c r="AM18" i="10"/>
  <c r="AL18" i="10"/>
  <c r="AK18" i="10"/>
  <c r="AJ18" i="10"/>
  <c r="AI18" i="10"/>
  <c r="AH18" i="10"/>
  <c r="AG18" i="10"/>
  <c r="AF18" i="10"/>
  <c r="AE18" i="10"/>
  <c r="AD18" i="10"/>
  <c r="AC18" i="10"/>
  <c r="AB18" i="10"/>
  <c r="AA18" i="10"/>
  <c r="Z18" i="10"/>
  <c r="Y18" i="10"/>
  <c r="X18" i="10"/>
  <c r="W18" i="10"/>
  <c r="V18" i="10"/>
  <c r="U18" i="10"/>
  <c r="T18" i="10"/>
  <c r="S18" i="10"/>
  <c r="R18" i="10"/>
  <c r="Q18" i="10"/>
  <c r="P18" i="10"/>
  <c r="O18" i="10"/>
  <c r="N18" i="10"/>
  <c r="M18" i="10"/>
  <c r="L18" i="10"/>
  <c r="K18" i="10"/>
  <c r="J18" i="10"/>
  <c r="I18" i="10"/>
  <c r="H18" i="10"/>
  <c r="G18" i="10"/>
  <c r="F18" i="10"/>
  <c r="E18" i="10"/>
  <c r="D18" i="10"/>
  <c r="C18" i="10"/>
  <c r="B18" i="10"/>
  <c r="A18" i="10"/>
  <c r="AW17" i="10"/>
  <c r="AV17" i="10"/>
  <c r="AU17" i="10"/>
  <c r="AT17" i="10"/>
  <c r="AS17" i="10"/>
  <c r="AR17" i="10"/>
  <c r="AQ17" i="10"/>
  <c r="AP17" i="10"/>
  <c r="AO17" i="10"/>
  <c r="AN17" i="10"/>
  <c r="AM17" i="10"/>
  <c r="AL17" i="10"/>
  <c r="AK17" i="10"/>
  <c r="AJ17" i="10"/>
  <c r="AI17" i="10"/>
  <c r="AH17" i="10"/>
  <c r="AG17" i="10"/>
  <c r="AF17" i="10"/>
  <c r="AE17" i="10"/>
  <c r="AD17" i="10"/>
  <c r="AC17" i="10"/>
  <c r="AB17" i="10"/>
  <c r="AA17" i="10"/>
  <c r="Z17" i="10"/>
  <c r="Y17" i="10"/>
  <c r="X17" i="10"/>
  <c r="W17" i="10"/>
  <c r="V17" i="10"/>
  <c r="U17" i="10"/>
  <c r="T17" i="10"/>
  <c r="S17" i="10"/>
  <c r="R17" i="10"/>
  <c r="Q17" i="10"/>
  <c r="P17" i="10"/>
  <c r="O17" i="10"/>
  <c r="N17" i="10"/>
  <c r="M17" i="10"/>
  <c r="L17" i="10"/>
  <c r="K17" i="10"/>
  <c r="J17" i="10"/>
  <c r="I17" i="10"/>
  <c r="H17" i="10"/>
  <c r="G17" i="10"/>
  <c r="F17" i="10"/>
  <c r="E17" i="10"/>
  <c r="D17" i="10"/>
  <c r="C17" i="10"/>
  <c r="B17" i="10"/>
  <c r="AX17" i="10"/>
  <c r="AW16" i="10"/>
  <c r="AV16" i="10"/>
  <c r="AU16" i="10"/>
  <c r="AT16" i="10"/>
  <c r="AS16" i="10"/>
  <c r="AR16" i="10"/>
  <c r="AQ16" i="10"/>
  <c r="AP16" i="10"/>
  <c r="AO16" i="10"/>
  <c r="AN16" i="10"/>
  <c r="AM16" i="10"/>
  <c r="AL16" i="10"/>
  <c r="AK16" i="10"/>
  <c r="AJ16" i="10"/>
  <c r="AI16" i="10"/>
  <c r="AH16" i="10"/>
  <c r="AG16" i="10"/>
  <c r="AF16" i="10"/>
  <c r="AE16" i="10"/>
  <c r="AD16" i="10"/>
  <c r="AC16" i="10"/>
  <c r="AB16" i="10"/>
  <c r="AA16" i="10"/>
  <c r="Z16" i="10"/>
  <c r="Y16" i="10"/>
  <c r="X16" i="10"/>
  <c r="W16" i="10"/>
  <c r="V16" i="10"/>
  <c r="U16" i="10"/>
  <c r="T16" i="10"/>
  <c r="S16" i="10"/>
  <c r="R16" i="10"/>
  <c r="Q16" i="10"/>
  <c r="P16" i="10"/>
  <c r="O16" i="10"/>
  <c r="N16" i="10"/>
  <c r="M16" i="10"/>
  <c r="A16" i="10"/>
  <c r="AM16" i="1"/>
  <c r="AN16" i="1"/>
  <c r="L16" i="10"/>
  <c r="K16" i="10"/>
  <c r="J16" i="10"/>
  <c r="I16" i="10"/>
  <c r="H16" i="10"/>
  <c r="G16" i="10"/>
  <c r="F16" i="10"/>
  <c r="E16" i="10"/>
  <c r="D16" i="10"/>
  <c r="C16" i="10"/>
  <c r="B16" i="10"/>
  <c r="AW15" i="10"/>
  <c r="AV15" i="10"/>
  <c r="AU15" i="10"/>
  <c r="AT15" i="10"/>
  <c r="AS15" i="10"/>
  <c r="AR15" i="10"/>
  <c r="AQ15" i="10"/>
  <c r="AP15" i="10"/>
  <c r="AO15" i="10"/>
  <c r="AN15" i="10"/>
  <c r="AM15" i="10"/>
  <c r="AL15" i="10"/>
  <c r="AK15" i="10"/>
  <c r="AJ15" i="10"/>
  <c r="AI15" i="10"/>
  <c r="AH15" i="10"/>
  <c r="AG15" i="10"/>
  <c r="AF15" i="10"/>
  <c r="AE15" i="10"/>
  <c r="AD15" i="10"/>
  <c r="AC15" i="10"/>
  <c r="AB15" i="10"/>
  <c r="AA15" i="10"/>
  <c r="Z15" i="10"/>
  <c r="Y15" i="10"/>
  <c r="X15" i="10"/>
  <c r="W15" i="10"/>
  <c r="V15" i="10"/>
  <c r="U15" i="10"/>
  <c r="T15" i="10"/>
  <c r="S15" i="10"/>
  <c r="R15" i="10"/>
  <c r="Q15" i="10"/>
  <c r="P15" i="10"/>
  <c r="O15" i="10"/>
  <c r="N15" i="10"/>
  <c r="M15" i="10"/>
  <c r="L15" i="10"/>
  <c r="K15" i="10"/>
  <c r="J15" i="10"/>
  <c r="I15" i="10"/>
  <c r="H15" i="10"/>
  <c r="G15" i="10"/>
  <c r="F15" i="10"/>
  <c r="E15" i="10"/>
  <c r="D15" i="10"/>
  <c r="C15" i="10"/>
  <c r="A15" i="10"/>
  <c r="B15" i="10"/>
  <c r="AX15" i="10"/>
  <c r="AW14" i="10"/>
  <c r="AV14" i="10"/>
  <c r="AU14" i="10"/>
  <c r="AT14" i="10"/>
  <c r="AS14" i="10"/>
  <c r="AR14" i="10"/>
  <c r="AQ14" i="10"/>
  <c r="AP14" i="10"/>
  <c r="AO14" i="10"/>
  <c r="AN14" i="10"/>
  <c r="AM14" i="10"/>
  <c r="AL14" i="10"/>
  <c r="AK14" i="10"/>
  <c r="AJ14" i="10"/>
  <c r="AI14" i="10"/>
  <c r="AH14" i="10"/>
  <c r="AG14" i="10"/>
  <c r="AF14" i="10"/>
  <c r="AE14" i="10"/>
  <c r="AD14" i="10"/>
  <c r="AC14" i="10"/>
  <c r="AB14" i="10"/>
  <c r="AA14" i="10"/>
  <c r="Z14" i="10"/>
  <c r="Y14" i="10"/>
  <c r="X14" i="10"/>
  <c r="W14" i="10"/>
  <c r="V14" i="10"/>
  <c r="U14" i="10"/>
  <c r="T14" i="10"/>
  <c r="S14" i="10"/>
  <c r="R14" i="10"/>
  <c r="Q14" i="10"/>
  <c r="P14" i="10"/>
  <c r="O14" i="10"/>
  <c r="N14" i="10"/>
  <c r="M14" i="10"/>
  <c r="L14" i="10"/>
  <c r="K14" i="10"/>
  <c r="J14" i="10"/>
  <c r="I14" i="10"/>
  <c r="H14" i="10"/>
  <c r="G14" i="10"/>
  <c r="F14" i="10"/>
  <c r="E14" i="10"/>
  <c r="D14" i="10"/>
  <c r="C14" i="10"/>
  <c r="A14" i="10"/>
  <c r="B14" i="10"/>
  <c r="AW13" i="10"/>
  <c r="AV13" i="10"/>
  <c r="AU13" i="10"/>
  <c r="AT13" i="10"/>
  <c r="AS13" i="10"/>
  <c r="AR13" i="10"/>
  <c r="AQ13" i="10"/>
  <c r="AP13" i="10"/>
  <c r="AO13" i="10"/>
  <c r="AN13" i="10"/>
  <c r="AM13" i="10"/>
  <c r="AL13" i="10"/>
  <c r="AK13" i="10"/>
  <c r="AJ13" i="10"/>
  <c r="AI13" i="10"/>
  <c r="AH13" i="10"/>
  <c r="AG13" i="10"/>
  <c r="AF13" i="10"/>
  <c r="AE13" i="10"/>
  <c r="AD13" i="10"/>
  <c r="AC13" i="10"/>
  <c r="AB13" i="10"/>
  <c r="AA13" i="10"/>
  <c r="Z13" i="10"/>
  <c r="Y13" i="10"/>
  <c r="X13" i="10"/>
  <c r="W13" i="10"/>
  <c r="V13" i="10"/>
  <c r="U13" i="10"/>
  <c r="T13" i="10"/>
  <c r="S13" i="10"/>
  <c r="R13" i="10"/>
  <c r="Q13" i="10"/>
  <c r="P13" i="10"/>
  <c r="O13" i="10"/>
  <c r="N13" i="10"/>
  <c r="M13" i="10"/>
  <c r="L13" i="10"/>
  <c r="K13" i="10"/>
  <c r="J13" i="10"/>
  <c r="I13" i="10"/>
  <c r="H13" i="10"/>
  <c r="G13" i="10"/>
  <c r="F13" i="10"/>
  <c r="E13" i="10"/>
  <c r="D13" i="10"/>
  <c r="C13" i="10"/>
  <c r="B13" i="10"/>
  <c r="A13" i="10"/>
  <c r="AW12" i="10"/>
  <c r="AV12" i="10"/>
  <c r="AU12" i="10"/>
  <c r="AT12" i="10"/>
  <c r="AS12" i="10"/>
  <c r="AR12" i="10"/>
  <c r="AQ12" i="10"/>
  <c r="AP12" i="10"/>
  <c r="AO12" i="10"/>
  <c r="AN12" i="10"/>
  <c r="AM12" i="10"/>
  <c r="AL12" i="10"/>
  <c r="AK12" i="10"/>
  <c r="AJ12" i="10"/>
  <c r="AI12" i="10"/>
  <c r="AH12" i="10"/>
  <c r="AG12" i="10"/>
  <c r="AF12" i="10"/>
  <c r="AE12" i="10"/>
  <c r="AD12" i="10"/>
  <c r="AC12" i="10"/>
  <c r="AB12" i="10"/>
  <c r="AA12" i="10"/>
  <c r="Z12" i="10"/>
  <c r="Y12" i="10"/>
  <c r="X12" i="10"/>
  <c r="W12" i="10"/>
  <c r="V12" i="10"/>
  <c r="U12" i="10"/>
  <c r="T12" i="10"/>
  <c r="S12" i="10"/>
  <c r="R12" i="10"/>
  <c r="Q12" i="10"/>
  <c r="P12" i="10"/>
  <c r="O12" i="10"/>
  <c r="N12" i="10"/>
  <c r="M12" i="10"/>
  <c r="L12" i="10"/>
  <c r="K12" i="10"/>
  <c r="J12" i="10"/>
  <c r="I12" i="10"/>
  <c r="H12" i="10"/>
  <c r="G12" i="10"/>
  <c r="F12" i="10"/>
  <c r="E12" i="10"/>
  <c r="D12" i="10"/>
  <c r="C12" i="10"/>
  <c r="B12" i="10"/>
  <c r="AX12" i="10"/>
  <c r="A12" i="10"/>
  <c r="AW11" i="10"/>
  <c r="AV11" i="10"/>
  <c r="AU11" i="10"/>
  <c r="AT11" i="10"/>
  <c r="AS11" i="10"/>
  <c r="AR11" i="10"/>
  <c r="AQ11" i="10"/>
  <c r="AP11" i="10"/>
  <c r="AO11" i="10"/>
  <c r="AN11" i="10"/>
  <c r="AM11" i="10"/>
  <c r="AL11" i="10"/>
  <c r="AK11" i="10"/>
  <c r="AJ11" i="10"/>
  <c r="AI11" i="10"/>
  <c r="AH11" i="10"/>
  <c r="AG11" i="10"/>
  <c r="AF11" i="10"/>
  <c r="AE11" i="10"/>
  <c r="AD11" i="10"/>
  <c r="AC11" i="10"/>
  <c r="AB11" i="10"/>
  <c r="AA11" i="10"/>
  <c r="Z11" i="10"/>
  <c r="Y11" i="10"/>
  <c r="X11" i="10"/>
  <c r="W11" i="10"/>
  <c r="V11" i="10"/>
  <c r="U11" i="10"/>
  <c r="T11" i="10"/>
  <c r="S11" i="10"/>
  <c r="R11" i="10"/>
  <c r="Q11" i="10"/>
  <c r="P11" i="10"/>
  <c r="O11" i="10"/>
  <c r="N11" i="10"/>
  <c r="M11" i="10"/>
  <c r="L11" i="10"/>
  <c r="K11" i="10"/>
  <c r="J11" i="10"/>
  <c r="I11" i="10"/>
  <c r="H11" i="10"/>
  <c r="G11" i="10"/>
  <c r="F11" i="10"/>
  <c r="E11" i="10"/>
  <c r="D11" i="10"/>
  <c r="C11" i="10"/>
  <c r="A11" i="10"/>
  <c r="B11" i="10"/>
  <c r="AW10" i="10"/>
  <c r="AV10" i="10"/>
  <c r="AU10" i="10"/>
  <c r="AT10" i="10"/>
  <c r="AS10" i="10"/>
  <c r="AR10" i="10"/>
  <c r="AQ10" i="10"/>
  <c r="AP10" i="10"/>
  <c r="AO10" i="10"/>
  <c r="AN10" i="10"/>
  <c r="AM10" i="10"/>
  <c r="AL10" i="10"/>
  <c r="AK10" i="10"/>
  <c r="AJ10" i="10"/>
  <c r="AI10" i="10"/>
  <c r="AH10" i="10"/>
  <c r="AG10" i="10"/>
  <c r="AF10" i="10"/>
  <c r="AE10" i="10"/>
  <c r="AD10" i="10"/>
  <c r="AC10" i="10"/>
  <c r="AB10" i="10"/>
  <c r="AA10" i="10"/>
  <c r="Z10" i="10"/>
  <c r="Y10" i="10"/>
  <c r="X10" i="10"/>
  <c r="W10" i="10"/>
  <c r="V10" i="10"/>
  <c r="U10" i="10"/>
  <c r="T10" i="10"/>
  <c r="S10" i="10"/>
  <c r="R10" i="10"/>
  <c r="Q10" i="10"/>
  <c r="P10" i="10"/>
  <c r="O10" i="10"/>
  <c r="N10" i="10"/>
  <c r="M10" i="10"/>
  <c r="L10" i="10"/>
  <c r="K10" i="10"/>
  <c r="J10" i="10"/>
  <c r="I10" i="10"/>
  <c r="H10" i="10"/>
  <c r="G10" i="10"/>
  <c r="F10" i="10"/>
  <c r="E10" i="10"/>
  <c r="A10" i="10"/>
  <c r="D10" i="10"/>
  <c r="C10" i="10"/>
  <c r="B10" i="10"/>
  <c r="AW9" i="10"/>
  <c r="AV9" i="10"/>
  <c r="AU9" i="10"/>
  <c r="AT9" i="10"/>
  <c r="AS9" i="10"/>
  <c r="AR9" i="10"/>
  <c r="AQ9" i="10"/>
  <c r="AP9" i="10"/>
  <c r="AO9" i="10"/>
  <c r="AN9" i="10"/>
  <c r="AM9" i="10"/>
  <c r="AL9" i="10"/>
  <c r="AK9" i="10"/>
  <c r="AJ9" i="10"/>
  <c r="AI9" i="10"/>
  <c r="AH9" i="10"/>
  <c r="AG9" i="10"/>
  <c r="AF9" i="10"/>
  <c r="AE9" i="10"/>
  <c r="A9" i="10"/>
  <c r="AM9" i="1"/>
  <c r="AN9" i="1"/>
  <c r="AD9" i="10"/>
  <c r="AC9" i="10"/>
  <c r="AB9" i="10"/>
  <c r="AA9" i="10"/>
  <c r="Z9" i="10"/>
  <c r="Y9" i="10"/>
  <c r="X9" i="10"/>
  <c r="W9" i="10"/>
  <c r="V9" i="10"/>
  <c r="U9" i="10"/>
  <c r="T9" i="10"/>
  <c r="S9" i="10"/>
  <c r="R9" i="10"/>
  <c r="Q9" i="10"/>
  <c r="P9" i="10"/>
  <c r="O9" i="10"/>
  <c r="N9" i="10"/>
  <c r="M9" i="10"/>
  <c r="L9" i="10"/>
  <c r="K9" i="10"/>
  <c r="J9" i="10"/>
  <c r="I9" i="10"/>
  <c r="H9" i="10"/>
  <c r="G9" i="10"/>
  <c r="F9" i="10"/>
  <c r="E9" i="10"/>
  <c r="D9" i="10"/>
  <c r="C9" i="10"/>
  <c r="B9" i="10"/>
  <c r="AW8" i="10"/>
  <c r="AV8" i="10"/>
  <c r="AU8" i="10"/>
  <c r="AT8" i="10"/>
  <c r="AS8" i="10"/>
  <c r="AR8" i="10"/>
  <c r="AQ8" i="10"/>
  <c r="AP8" i="10"/>
  <c r="AO8" i="10"/>
  <c r="AN8" i="10"/>
  <c r="AM8" i="10"/>
  <c r="AL8" i="10"/>
  <c r="AK8" i="10"/>
  <c r="AJ8" i="10"/>
  <c r="AI8" i="10"/>
  <c r="AH8" i="10"/>
  <c r="AG8" i="10"/>
  <c r="AF8" i="10"/>
  <c r="AE8" i="10"/>
  <c r="AD8" i="10"/>
  <c r="AC8" i="10"/>
  <c r="AB8" i="10"/>
  <c r="AA8" i="10"/>
  <c r="Z8" i="10"/>
  <c r="Y8" i="10"/>
  <c r="X8" i="10"/>
  <c r="W8" i="10"/>
  <c r="V8" i="10"/>
  <c r="U8" i="10"/>
  <c r="T8" i="10"/>
  <c r="S8" i="10"/>
  <c r="R8" i="10"/>
  <c r="Q8" i="10"/>
  <c r="P8" i="10"/>
  <c r="O8" i="10"/>
  <c r="N8" i="10"/>
  <c r="M8" i="10"/>
  <c r="L8" i="10"/>
  <c r="K8" i="10"/>
  <c r="J8" i="10"/>
  <c r="I8" i="10"/>
  <c r="H8" i="10"/>
  <c r="G8" i="10"/>
  <c r="F8" i="10"/>
  <c r="E8" i="10"/>
  <c r="D8" i="10"/>
  <c r="C8" i="10"/>
  <c r="B8" i="10"/>
  <c r="AW7" i="10"/>
  <c r="AV7" i="10"/>
  <c r="AU7" i="10"/>
  <c r="AT7" i="10"/>
  <c r="AS7" i="10"/>
  <c r="AR7" i="10"/>
  <c r="AQ7" i="10"/>
  <c r="AP7" i="10"/>
  <c r="AO7" i="10"/>
  <c r="AN7" i="10"/>
  <c r="AM7" i="10"/>
  <c r="AL7" i="10"/>
  <c r="AK7" i="10"/>
  <c r="AJ7" i="10"/>
  <c r="AI7" i="10"/>
  <c r="AH7" i="10"/>
  <c r="AG7" i="10"/>
  <c r="AF7" i="10"/>
  <c r="AE7" i="10"/>
  <c r="AD7" i="10"/>
  <c r="AC7" i="10"/>
  <c r="AB7" i="10"/>
  <c r="AA7" i="10"/>
  <c r="Z7" i="10"/>
  <c r="Y7" i="10"/>
  <c r="X7" i="10"/>
  <c r="W7" i="10"/>
  <c r="V7" i="10"/>
  <c r="U7" i="10"/>
  <c r="T7" i="10"/>
  <c r="S7" i="10"/>
  <c r="R7" i="10"/>
  <c r="Q7" i="10"/>
  <c r="P7" i="10"/>
  <c r="O7" i="10"/>
  <c r="N7" i="10"/>
  <c r="M7" i="10"/>
  <c r="L7" i="10"/>
  <c r="K7" i="10"/>
  <c r="J7" i="10"/>
  <c r="I7" i="10"/>
  <c r="H7" i="10"/>
  <c r="G7" i="10"/>
  <c r="F7" i="10"/>
  <c r="E7" i="10"/>
  <c r="A7" i="10"/>
  <c r="AM7" i="1"/>
  <c r="AN7" i="1"/>
  <c r="D7" i="10"/>
  <c r="C7" i="10"/>
  <c r="B7" i="10"/>
  <c r="AW6" i="10"/>
  <c r="AV6" i="10"/>
  <c r="AU6" i="10"/>
  <c r="AT6" i="10"/>
  <c r="AS6" i="10"/>
  <c r="AR6" i="10"/>
  <c r="AQ6" i="10"/>
  <c r="AP6" i="10"/>
  <c r="AO6" i="10"/>
  <c r="AN6" i="10"/>
  <c r="AM6" i="10"/>
  <c r="AL6" i="10"/>
  <c r="AK6" i="10"/>
  <c r="AJ6" i="10"/>
  <c r="AI6" i="10"/>
  <c r="AH6" i="10"/>
  <c r="AG6" i="10"/>
  <c r="AF6" i="10"/>
  <c r="AE6" i="10"/>
  <c r="AD6" i="10"/>
  <c r="AC6" i="10"/>
  <c r="AB6" i="10"/>
  <c r="AA6" i="10"/>
  <c r="Z6" i="10"/>
  <c r="Y6" i="10"/>
  <c r="X6" i="10"/>
  <c r="W6" i="10"/>
  <c r="V6" i="10"/>
  <c r="U6" i="10"/>
  <c r="T6" i="10"/>
  <c r="S6" i="10"/>
  <c r="R6" i="10"/>
  <c r="Q6" i="10"/>
  <c r="P6" i="10"/>
  <c r="O6" i="10"/>
  <c r="N6" i="10"/>
  <c r="M6" i="10"/>
  <c r="L6" i="10"/>
  <c r="K6" i="10"/>
  <c r="J6" i="10"/>
  <c r="I6" i="10"/>
  <c r="H6" i="10"/>
  <c r="G6" i="10"/>
  <c r="F6" i="10"/>
  <c r="E6" i="10"/>
  <c r="D6" i="10"/>
  <c r="C6" i="10"/>
  <c r="A6" i="10"/>
  <c r="B6" i="10"/>
  <c r="AW5" i="10"/>
  <c r="AV5" i="10"/>
  <c r="AU5" i="10"/>
  <c r="AT5" i="10"/>
  <c r="AS5" i="10"/>
  <c r="AR5" i="10"/>
  <c r="AQ5" i="10"/>
  <c r="AP5" i="10"/>
  <c r="AO5" i="10"/>
  <c r="AN5" i="10"/>
  <c r="AM5" i="10"/>
  <c r="AL5" i="10"/>
  <c r="AK5" i="10"/>
  <c r="AJ5" i="10"/>
  <c r="AI5" i="10"/>
  <c r="AH5" i="10"/>
  <c r="AG5" i="10"/>
  <c r="AF5" i="10"/>
  <c r="AE5" i="10"/>
  <c r="AD5" i="10"/>
  <c r="AC5" i="10"/>
  <c r="AB5" i="10"/>
  <c r="AA5" i="10"/>
  <c r="Z5" i="10"/>
  <c r="Y5" i="10"/>
  <c r="X5" i="10"/>
  <c r="W5" i="10"/>
  <c r="V5" i="10"/>
  <c r="U5" i="10"/>
  <c r="T5" i="10"/>
  <c r="S5" i="10"/>
  <c r="R5" i="10"/>
  <c r="Q5" i="10"/>
  <c r="P5" i="10"/>
  <c r="O5" i="10"/>
  <c r="N5" i="10"/>
  <c r="M5" i="10"/>
  <c r="L5" i="10"/>
  <c r="K5" i="10"/>
  <c r="J5" i="10"/>
  <c r="I5" i="10"/>
  <c r="H5" i="10"/>
  <c r="G5" i="10"/>
  <c r="F5" i="10"/>
  <c r="E5" i="10"/>
  <c r="D5" i="10"/>
  <c r="C5" i="10"/>
  <c r="A5" i="10"/>
  <c r="AM5" i="1"/>
  <c r="AN5" i="1"/>
  <c r="B5" i="10"/>
  <c r="AW4" i="10"/>
  <c r="AV4" i="10"/>
  <c r="AU4" i="10"/>
  <c r="AT4" i="10"/>
  <c r="AS4" i="10"/>
  <c r="AR4" i="10"/>
  <c r="AQ4" i="10"/>
  <c r="AP4" i="10"/>
  <c r="AO4" i="10"/>
  <c r="AN4" i="10"/>
  <c r="AM4" i="10"/>
  <c r="AL4" i="10"/>
  <c r="AK4" i="10"/>
  <c r="AJ4" i="10"/>
  <c r="AI4" i="10"/>
  <c r="AH4" i="10"/>
  <c r="AG4" i="10"/>
  <c r="AF4" i="10"/>
  <c r="AE4" i="10"/>
  <c r="AD4" i="10"/>
  <c r="AC4" i="10"/>
  <c r="AB4" i="10"/>
  <c r="AA4" i="10"/>
  <c r="Z4" i="10"/>
  <c r="Y4" i="10"/>
  <c r="X4" i="10"/>
  <c r="W4" i="10"/>
  <c r="V4" i="10"/>
  <c r="U4" i="10"/>
  <c r="T4" i="10"/>
  <c r="S4" i="10"/>
  <c r="AX4" i="10" s="1"/>
  <c r="R4" i="10"/>
  <c r="Q4" i="10"/>
  <c r="P4" i="10"/>
  <c r="O4" i="10"/>
  <c r="N4" i="10"/>
  <c r="M4" i="10"/>
  <c r="L4" i="10"/>
  <c r="K4" i="10"/>
  <c r="J4" i="10"/>
  <c r="I4" i="10"/>
  <c r="H4" i="10"/>
  <c r="G4" i="10"/>
  <c r="F4" i="10"/>
  <c r="E4" i="10"/>
  <c r="D4" i="10"/>
  <c r="C4" i="10"/>
  <c r="B4" i="10"/>
  <c r="AW3" i="10"/>
  <c r="AV3" i="10"/>
  <c r="AU3" i="10"/>
  <c r="AT3" i="10"/>
  <c r="AS3" i="10"/>
  <c r="AR3" i="10"/>
  <c r="AQ3" i="10"/>
  <c r="AP3" i="10"/>
  <c r="AO3" i="10"/>
  <c r="AN3" i="10"/>
  <c r="AM3" i="10"/>
  <c r="AL3" i="10"/>
  <c r="AK3" i="10"/>
  <c r="AJ3" i="10"/>
  <c r="AI3" i="10"/>
  <c r="AH3" i="10"/>
  <c r="AG3" i="10"/>
  <c r="AF3" i="10"/>
  <c r="AE3" i="10"/>
  <c r="AD3" i="10"/>
  <c r="AC3" i="10"/>
  <c r="AB3" i="10"/>
  <c r="AA3" i="10"/>
  <c r="Z3" i="10"/>
  <c r="Y3" i="10"/>
  <c r="X3" i="10"/>
  <c r="W3" i="10"/>
  <c r="V3" i="10"/>
  <c r="U3" i="10"/>
  <c r="T3" i="10"/>
  <c r="S3" i="10"/>
  <c r="R3" i="10"/>
  <c r="Q3" i="10"/>
  <c r="P3" i="10"/>
  <c r="O3" i="10"/>
  <c r="N3" i="10"/>
  <c r="M3" i="10"/>
  <c r="L3" i="10"/>
  <c r="K3" i="10"/>
  <c r="J3" i="10"/>
  <c r="I3" i="10"/>
  <c r="H3" i="10"/>
  <c r="G3" i="10"/>
  <c r="F3" i="10"/>
  <c r="E3" i="10"/>
  <c r="D3" i="10"/>
  <c r="C3" i="10"/>
  <c r="B3" i="10"/>
  <c r="AW2" i="10"/>
  <c r="AV2" i="10"/>
  <c r="AU2" i="10"/>
  <c r="AT2" i="10"/>
  <c r="AS2" i="10"/>
  <c r="AR2" i="10"/>
  <c r="AQ2" i="10"/>
  <c r="AP2" i="10"/>
  <c r="AO2" i="10"/>
  <c r="AN2" i="10"/>
  <c r="AM2" i="10"/>
  <c r="AL2" i="10"/>
  <c r="AK2" i="10"/>
  <c r="AJ2" i="10"/>
  <c r="AI2" i="10"/>
  <c r="AH2" i="10"/>
  <c r="AG2" i="10"/>
  <c r="AF2" i="10"/>
  <c r="AE2" i="10"/>
  <c r="AD2" i="10"/>
  <c r="AC2" i="10"/>
  <c r="AB2" i="10"/>
  <c r="AA2" i="10"/>
  <c r="Z2" i="10"/>
  <c r="Y2" i="10"/>
  <c r="X2" i="10"/>
  <c r="W2" i="10"/>
  <c r="V2" i="10"/>
  <c r="U2" i="10"/>
  <c r="T2" i="10"/>
  <c r="S2" i="10"/>
  <c r="R2" i="10"/>
  <c r="Q2" i="10"/>
  <c r="P2" i="10"/>
  <c r="O2" i="10"/>
  <c r="N2" i="10"/>
  <c r="M2" i="10"/>
  <c r="L2" i="10"/>
  <c r="K2" i="10"/>
  <c r="J2" i="10"/>
  <c r="I2" i="10"/>
  <c r="H2" i="10"/>
  <c r="G2" i="10"/>
  <c r="F2" i="10"/>
  <c r="E2" i="10"/>
  <c r="D2" i="10"/>
  <c r="C2" i="10"/>
  <c r="B2" i="10"/>
  <c r="AM277" i="1"/>
  <c r="AN277" i="1"/>
  <c r="A277" i="1"/>
  <c r="A276" i="1"/>
  <c r="AM275" i="1"/>
  <c r="AN275" i="1"/>
  <c r="A275" i="1"/>
  <c r="A274" i="1"/>
  <c r="AM273" i="1"/>
  <c r="AN273" i="1"/>
  <c r="A273" i="1"/>
  <c r="AN272" i="1"/>
  <c r="AM272" i="1"/>
  <c r="A272" i="1"/>
  <c r="AM271" i="1"/>
  <c r="AN271" i="1"/>
  <c r="A271" i="1"/>
  <c r="AN270" i="1"/>
  <c r="AM270" i="1"/>
  <c r="A270" i="1"/>
  <c r="AM269" i="1"/>
  <c r="AN269" i="1"/>
  <c r="A269" i="1"/>
  <c r="AN268" i="1"/>
  <c r="AM268" i="1"/>
  <c r="A268" i="1"/>
  <c r="A267" i="1"/>
  <c r="AN266" i="1"/>
  <c r="AM266" i="1"/>
  <c r="A266" i="1"/>
  <c r="A265" i="1"/>
  <c r="AN264" i="1"/>
  <c r="AM264" i="1"/>
  <c r="A264" i="1"/>
  <c r="AM263" i="1"/>
  <c r="AN263" i="1"/>
  <c r="A263" i="1"/>
  <c r="AN262" i="1"/>
  <c r="AM262" i="1"/>
  <c r="A262" i="1"/>
  <c r="A261" i="1"/>
  <c r="AN260" i="1"/>
  <c r="AM260" i="1"/>
  <c r="A260" i="1"/>
  <c r="A259" i="1"/>
  <c r="A258" i="1"/>
  <c r="AM257" i="1"/>
  <c r="AN257" i="1"/>
  <c r="A257" i="1"/>
  <c r="A256" i="1"/>
  <c r="AM255" i="1"/>
  <c r="AN255" i="1"/>
  <c r="A255" i="1"/>
  <c r="AN254" i="1"/>
  <c r="AM254" i="1"/>
  <c r="A254" i="1"/>
  <c r="AM253" i="1"/>
  <c r="AN253" i="1"/>
  <c r="A253" i="1"/>
  <c r="A252" i="1"/>
  <c r="AM251" i="1"/>
  <c r="AN251" i="1"/>
  <c r="A251" i="1"/>
  <c r="A250" i="1"/>
  <c r="A249" i="1"/>
  <c r="AN248" i="1"/>
  <c r="AM248" i="1"/>
  <c r="A248" i="1"/>
  <c r="A247" i="1"/>
  <c r="AN246" i="1"/>
  <c r="AM246" i="1"/>
  <c r="A246" i="1"/>
  <c r="AM245" i="1"/>
  <c r="AN245" i="1"/>
  <c r="A245" i="1"/>
  <c r="AN244" i="1"/>
  <c r="AM244" i="1"/>
  <c r="A244" i="1"/>
  <c r="A243" i="1"/>
  <c r="AN242" i="1"/>
  <c r="AM242" i="1"/>
  <c r="A242" i="1"/>
  <c r="A241" i="1"/>
  <c r="A240" i="1"/>
  <c r="AM239" i="1"/>
  <c r="AN239" i="1"/>
  <c r="A239" i="1"/>
  <c r="A238" i="1"/>
  <c r="AM237" i="1"/>
  <c r="AN237" i="1"/>
  <c r="A237" i="1"/>
  <c r="AN236" i="1"/>
  <c r="AM236" i="1"/>
  <c r="A236" i="1"/>
  <c r="AM235" i="1"/>
  <c r="AN235" i="1"/>
  <c r="A235" i="1"/>
  <c r="A234" i="1"/>
  <c r="AM233" i="1"/>
  <c r="AN233" i="1"/>
  <c r="A233" i="1"/>
  <c r="A232" i="1"/>
  <c r="A231" i="1"/>
  <c r="AN230" i="1"/>
  <c r="AM230" i="1"/>
  <c r="A230" i="1"/>
  <c r="A229" i="1"/>
  <c r="A228" i="1"/>
  <c r="AM227" i="1"/>
  <c r="AN227" i="1"/>
  <c r="A227" i="1"/>
  <c r="A226" i="1"/>
  <c r="A225" i="1"/>
  <c r="AN224" i="1"/>
  <c r="AM224" i="1"/>
  <c r="A224" i="1"/>
  <c r="A223" i="1"/>
  <c r="A222" i="1"/>
  <c r="AM221" i="1"/>
  <c r="AN221" i="1"/>
  <c r="A221" i="1"/>
  <c r="A220" i="1"/>
  <c r="A219" i="1"/>
  <c r="AN218" i="1"/>
  <c r="AM218" i="1"/>
  <c r="A218" i="1"/>
  <c r="A217" i="1"/>
  <c r="A216" i="1"/>
  <c r="AM215" i="1"/>
  <c r="AN215" i="1"/>
  <c r="A215" i="1"/>
  <c r="A214" i="1"/>
  <c r="A213" i="1"/>
  <c r="AN212" i="1"/>
  <c r="AM212" i="1"/>
  <c r="A212" i="1"/>
  <c r="A211" i="1"/>
  <c r="A210" i="1"/>
  <c r="AM209" i="1"/>
  <c r="AN209" i="1"/>
  <c r="A209" i="1"/>
  <c r="A208" i="1"/>
  <c r="A207" i="1"/>
  <c r="AN206" i="1"/>
  <c r="AM206" i="1"/>
  <c r="A206" i="1"/>
  <c r="A205" i="1"/>
  <c r="A204" i="1"/>
  <c r="AM203" i="1"/>
  <c r="AN203" i="1"/>
  <c r="A203" i="1"/>
  <c r="A202" i="1"/>
  <c r="A201" i="1"/>
  <c r="AN200" i="1"/>
  <c r="AM200" i="1"/>
  <c r="A200" i="1"/>
  <c r="A199" i="1"/>
  <c r="A198" i="1"/>
  <c r="AM197" i="1"/>
  <c r="AN197" i="1"/>
  <c r="A197" i="1"/>
  <c r="A196" i="1"/>
  <c r="A195" i="1"/>
  <c r="AN194" i="1"/>
  <c r="AM194" i="1"/>
  <c r="A194" i="1"/>
  <c r="A193" i="1"/>
  <c r="A192" i="1"/>
  <c r="AM191" i="1"/>
  <c r="AN191" i="1"/>
  <c r="A191" i="1"/>
  <c r="A190" i="1"/>
  <c r="A189" i="1"/>
  <c r="AN188" i="1"/>
  <c r="AM188" i="1"/>
  <c r="A188" i="1"/>
  <c r="A187" i="1"/>
  <c r="A186" i="1"/>
  <c r="AM185" i="1"/>
  <c r="AN185" i="1"/>
  <c r="A185" i="1"/>
  <c r="A184" i="1"/>
  <c r="A183" i="1"/>
  <c r="AN182" i="1"/>
  <c r="AM182" i="1"/>
  <c r="A182" i="1"/>
  <c r="A181" i="1"/>
  <c r="A180" i="1"/>
  <c r="AM179" i="1"/>
  <c r="AN179" i="1"/>
  <c r="A179" i="1"/>
  <c r="A178" i="1"/>
  <c r="A177" i="1"/>
  <c r="AN176" i="1"/>
  <c r="AM176" i="1"/>
  <c r="A176" i="1"/>
  <c r="A175" i="1"/>
  <c r="A174" i="1"/>
  <c r="AM173" i="1"/>
  <c r="AN173" i="1"/>
  <c r="A173" i="1"/>
  <c r="A172" i="1"/>
  <c r="A171" i="1"/>
  <c r="AN170" i="1"/>
  <c r="AM170" i="1"/>
  <c r="A170" i="1"/>
  <c r="A169" i="1"/>
  <c r="A168" i="1"/>
  <c r="AN167" i="1"/>
  <c r="AM167" i="1"/>
  <c r="A167" i="1"/>
  <c r="A166" i="1"/>
  <c r="A165" i="1"/>
  <c r="AN164" i="1"/>
  <c r="AM164" i="1"/>
  <c r="A164" i="1"/>
  <c r="A163" i="1"/>
  <c r="A162" i="1"/>
  <c r="AM161" i="1"/>
  <c r="AN161" i="1"/>
  <c r="A161" i="1"/>
  <c r="A160" i="1"/>
  <c r="A159" i="1"/>
  <c r="AN158" i="1"/>
  <c r="AM158" i="1"/>
  <c r="A158" i="1"/>
  <c r="A157" i="1"/>
  <c r="A156" i="1"/>
  <c r="AN155" i="1"/>
  <c r="AM155" i="1"/>
  <c r="A155" i="1"/>
  <c r="A154" i="1"/>
  <c r="A153" i="1"/>
  <c r="AN152" i="1"/>
  <c r="AM152" i="1"/>
  <c r="A152" i="1"/>
  <c r="A151" i="1"/>
  <c r="A150" i="1"/>
  <c r="AN149" i="1"/>
  <c r="AM149" i="1"/>
  <c r="A149" i="1"/>
  <c r="A148" i="1"/>
  <c r="A147" i="1"/>
  <c r="AN146" i="1"/>
  <c r="AM146" i="1"/>
  <c r="A146" i="1"/>
  <c r="A145" i="1"/>
  <c r="A144" i="1"/>
  <c r="AM143" i="1"/>
  <c r="AN143" i="1"/>
  <c r="A143" i="1"/>
  <c r="A142" i="1"/>
  <c r="A141" i="1"/>
  <c r="AN140" i="1"/>
  <c r="AM140" i="1"/>
  <c r="A140" i="1"/>
  <c r="A139" i="1"/>
  <c r="A138" i="1"/>
  <c r="AM137" i="1"/>
  <c r="AN137" i="1"/>
  <c r="A137" i="1"/>
  <c r="A136" i="1"/>
  <c r="A135" i="1"/>
  <c r="AN134" i="1"/>
  <c r="AM134" i="1"/>
  <c r="A134" i="1"/>
  <c r="A133" i="1"/>
  <c r="A132" i="1"/>
  <c r="AN131" i="1"/>
  <c r="AM131" i="1"/>
  <c r="A131" i="1"/>
  <c r="A130" i="1"/>
  <c r="AM129" i="1"/>
  <c r="AN129" i="1"/>
  <c r="A129" i="1"/>
  <c r="AN128" i="1"/>
  <c r="AM128" i="1"/>
  <c r="A128" i="1"/>
  <c r="AM127" i="1"/>
  <c r="AN127" i="1"/>
  <c r="A127" i="1"/>
  <c r="AN126" i="1"/>
  <c r="AM126" i="1"/>
  <c r="A126" i="1"/>
  <c r="AM125" i="1"/>
  <c r="AN125" i="1"/>
  <c r="A125" i="1"/>
  <c r="A124" i="1"/>
  <c r="AM123" i="1"/>
  <c r="AN123" i="1"/>
  <c r="A123" i="1"/>
  <c r="AM122" i="1"/>
  <c r="AN122" i="1"/>
  <c r="A122" i="1"/>
  <c r="AM121" i="1"/>
  <c r="AN121" i="1"/>
  <c r="A121" i="1"/>
  <c r="AM120" i="1"/>
  <c r="AN120" i="1"/>
  <c r="A120" i="1"/>
  <c r="AM119" i="1"/>
  <c r="AN119" i="1"/>
  <c r="A119" i="1"/>
  <c r="A118" i="1"/>
  <c r="AM117" i="1"/>
  <c r="AN117" i="1"/>
  <c r="A117" i="1"/>
  <c r="AM116" i="1"/>
  <c r="AN116" i="1"/>
  <c r="A116" i="1"/>
  <c r="A115" i="1"/>
  <c r="A114" i="1"/>
  <c r="A113" i="1"/>
  <c r="AM112" i="1"/>
  <c r="AN112" i="1"/>
  <c r="A112" i="1"/>
  <c r="AM111" i="1"/>
  <c r="AN111" i="1"/>
  <c r="A111" i="1"/>
  <c r="AM110" i="1"/>
  <c r="AN110" i="1"/>
  <c r="A110" i="1"/>
  <c r="A109" i="1"/>
  <c r="AM108" i="1"/>
  <c r="AN108" i="1"/>
  <c r="A108" i="1"/>
  <c r="AM107" i="1"/>
  <c r="AN107" i="1"/>
  <c r="A107" i="1"/>
  <c r="A106" i="1"/>
  <c r="A105" i="1"/>
  <c r="AM104" i="1"/>
  <c r="AN104" i="1"/>
  <c r="A104" i="1"/>
  <c r="AM103" i="1"/>
  <c r="AN103" i="1"/>
  <c r="A103" i="1"/>
  <c r="AM102" i="1"/>
  <c r="AN102" i="1"/>
  <c r="A102" i="1"/>
  <c r="AM101" i="1"/>
  <c r="AN101" i="1"/>
  <c r="A101" i="1"/>
  <c r="A100" i="1"/>
  <c r="AM99" i="1"/>
  <c r="AN99" i="1"/>
  <c r="A99" i="1"/>
  <c r="AM98" i="1"/>
  <c r="AN98" i="1"/>
  <c r="A98" i="1"/>
  <c r="A97" i="1"/>
  <c r="A96" i="1"/>
  <c r="AM95" i="1"/>
  <c r="AN95" i="1"/>
  <c r="A95" i="1"/>
  <c r="AM94" i="1"/>
  <c r="AN94" i="1"/>
  <c r="A94" i="1"/>
  <c r="AM93" i="1"/>
  <c r="AN93" i="1"/>
  <c r="A93" i="1"/>
  <c r="AM92" i="1"/>
  <c r="AN92" i="1"/>
  <c r="A92" i="1"/>
  <c r="A91" i="1"/>
  <c r="AM90" i="1"/>
  <c r="AN90" i="1"/>
  <c r="A90" i="1"/>
  <c r="AM89" i="1"/>
  <c r="AN89" i="1"/>
  <c r="A89" i="1"/>
  <c r="A88" i="1"/>
  <c r="A87" i="1"/>
  <c r="A86" i="1"/>
  <c r="AM85" i="1"/>
  <c r="AN85" i="1"/>
  <c r="A85" i="1"/>
  <c r="AM84" i="1"/>
  <c r="AN84" i="1"/>
  <c r="A84" i="1"/>
  <c r="AM83" i="1"/>
  <c r="AN83" i="1"/>
  <c r="A83" i="1"/>
  <c r="A82" i="1"/>
  <c r="AM81" i="1"/>
  <c r="AN81" i="1"/>
  <c r="A81" i="1"/>
  <c r="AM80" i="1"/>
  <c r="AN80" i="1"/>
  <c r="A80" i="1"/>
  <c r="AM79" i="1"/>
  <c r="AN79" i="1"/>
  <c r="A79" i="1"/>
  <c r="AM78" i="1"/>
  <c r="AN78" i="1"/>
  <c r="A78" i="1"/>
  <c r="AM77" i="1"/>
  <c r="AN77" i="1"/>
  <c r="A77" i="1"/>
  <c r="A76" i="1"/>
  <c r="AM75" i="1"/>
  <c r="AN75" i="1"/>
  <c r="A75" i="1"/>
  <c r="AM74" i="1"/>
  <c r="AN74" i="1"/>
  <c r="A74" i="1"/>
  <c r="A73" i="1"/>
  <c r="AM72" i="1"/>
  <c r="AN72" i="1"/>
  <c r="A72" i="1"/>
  <c r="A71" i="1"/>
  <c r="AM70" i="1"/>
  <c r="AN70" i="1"/>
  <c r="A70" i="1"/>
  <c r="A69" i="1"/>
  <c r="AM68" i="1"/>
  <c r="AN68" i="1"/>
  <c r="A68" i="1"/>
  <c r="AM67" i="1"/>
  <c r="AN67" i="1"/>
  <c r="A67" i="1"/>
  <c r="AM66" i="1"/>
  <c r="AN66" i="1"/>
  <c r="A66" i="1"/>
  <c r="AM65" i="1"/>
  <c r="AN65" i="1"/>
  <c r="A65" i="1"/>
  <c r="A64" i="1"/>
  <c r="A63" i="1"/>
  <c r="AM62" i="1"/>
  <c r="AN62" i="1"/>
  <c r="A62" i="1"/>
  <c r="AM61" i="1"/>
  <c r="AN61" i="1"/>
  <c r="A61" i="1"/>
  <c r="AM60" i="1"/>
  <c r="AN60" i="1"/>
  <c r="A60" i="1"/>
  <c r="AM59" i="1"/>
  <c r="AN59" i="1"/>
  <c r="A59" i="1"/>
  <c r="AM58" i="1"/>
  <c r="AN58" i="1"/>
  <c r="A58" i="1"/>
  <c r="AM57" i="1"/>
  <c r="AN57" i="1"/>
  <c r="A57" i="1"/>
  <c r="AM56" i="1"/>
  <c r="AN56" i="1"/>
  <c r="A56" i="1"/>
  <c r="AM55" i="1"/>
  <c r="AN55" i="1"/>
  <c r="A55" i="1"/>
  <c r="A54" i="1"/>
  <c r="AM53" i="1"/>
  <c r="AN53" i="1"/>
  <c r="A53" i="1"/>
  <c r="A52" i="1"/>
  <c r="AM51" i="1"/>
  <c r="AN51" i="1"/>
  <c r="A51" i="1"/>
  <c r="AM50" i="1"/>
  <c r="AN50" i="1"/>
  <c r="A50" i="1"/>
  <c r="AM49" i="1"/>
  <c r="AN49" i="1"/>
  <c r="A49" i="1"/>
  <c r="AM48" i="1"/>
  <c r="AN48" i="1"/>
  <c r="A48" i="1"/>
  <c r="AM47" i="1"/>
  <c r="AN47" i="1"/>
  <c r="A47" i="1"/>
  <c r="AM46" i="1"/>
  <c r="AN46" i="1"/>
  <c r="A46" i="1"/>
  <c r="A45" i="1"/>
  <c r="AM44" i="1"/>
  <c r="AN44" i="1"/>
  <c r="A44" i="1"/>
  <c r="AM43" i="1"/>
  <c r="AN43" i="1"/>
  <c r="A43" i="1"/>
  <c r="AM42" i="1"/>
  <c r="AN42" i="1"/>
  <c r="A42" i="1"/>
  <c r="AM41" i="1"/>
  <c r="AN41" i="1"/>
  <c r="A41" i="1"/>
  <c r="A40" i="1"/>
  <c r="AM39" i="1"/>
  <c r="AN39" i="1"/>
  <c r="A39" i="1"/>
  <c r="AM38" i="1"/>
  <c r="AN38" i="1"/>
  <c r="A38" i="1"/>
  <c r="A37" i="1"/>
  <c r="A36" i="1"/>
  <c r="AM35" i="1"/>
  <c r="AN35" i="1"/>
  <c r="A35" i="1"/>
  <c r="AM34" i="1"/>
  <c r="AN34" i="1"/>
  <c r="A34" i="1"/>
  <c r="AM33" i="1"/>
  <c r="AN33" i="1"/>
  <c r="A33" i="1"/>
  <c r="AM32" i="1"/>
  <c r="AN32" i="1"/>
  <c r="A32" i="1"/>
  <c r="A31" i="1"/>
  <c r="A30" i="1"/>
  <c r="AM29" i="1"/>
  <c r="AN29" i="1"/>
  <c r="A29" i="1"/>
  <c r="AM28" i="1"/>
  <c r="AN28" i="1"/>
  <c r="A28" i="1"/>
  <c r="A27" i="1"/>
  <c r="AM26" i="1"/>
  <c r="AN26" i="1"/>
  <c r="A26" i="1"/>
  <c r="AM25" i="1"/>
  <c r="AN25" i="1"/>
  <c r="A25" i="1"/>
  <c r="AM24" i="1"/>
  <c r="AN24" i="1"/>
  <c r="A24" i="1"/>
  <c r="A23" i="1"/>
  <c r="AM22" i="1"/>
  <c r="AN22" i="1"/>
  <c r="A22" i="1"/>
  <c r="AM21" i="1"/>
  <c r="AN21" i="1"/>
  <c r="A21" i="1"/>
  <c r="A20" i="1"/>
  <c r="AM19" i="1"/>
  <c r="AN19" i="1"/>
  <c r="A19" i="1"/>
  <c r="AM18" i="1"/>
  <c r="AN18" i="1"/>
  <c r="A18" i="1"/>
  <c r="A17" i="1"/>
  <c r="A16" i="1"/>
  <c r="AM15" i="1"/>
  <c r="AN15" i="1"/>
  <c r="A15" i="1"/>
  <c r="AN14" i="1"/>
  <c r="AM14" i="1"/>
  <c r="A14" i="1"/>
  <c r="AM13" i="1"/>
  <c r="AN13" i="1"/>
  <c r="A13" i="1"/>
  <c r="AM12" i="1"/>
  <c r="AN12" i="1"/>
  <c r="A12" i="1"/>
  <c r="AM11" i="1"/>
  <c r="AN11" i="1"/>
  <c r="A11" i="1"/>
  <c r="AM10" i="1"/>
  <c r="AN10" i="1"/>
  <c r="A10" i="1"/>
  <c r="A9" i="1"/>
  <c r="A8" i="1"/>
  <c r="A7" i="1"/>
  <c r="AM6" i="1"/>
  <c r="AN6" i="1"/>
  <c r="A6" i="1"/>
  <c r="A5" i="1"/>
  <c r="A4" i="1"/>
  <c r="A3" i="1"/>
  <c r="AX7" i="10"/>
  <c r="A30" i="10"/>
  <c r="AM30" i="1"/>
  <c r="AN30" i="1"/>
  <c r="AX16" i="10"/>
  <c r="AX6" i="10"/>
  <c r="A76" i="10"/>
  <c r="AM76" i="1"/>
  <c r="AN76" i="1"/>
  <c r="AX8" i="10"/>
  <c r="A20" i="10"/>
  <c r="AM20" i="1"/>
  <c r="AN20" i="1"/>
  <c r="A31" i="10"/>
  <c r="AM31" i="1"/>
  <c r="AN31" i="1"/>
  <c r="AX81" i="10"/>
  <c r="AX108" i="10"/>
  <c r="AX5" i="10"/>
  <c r="AX13" i="10"/>
  <c r="AX14" i="10"/>
  <c r="AX22" i="10"/>
  <c r="AX23" i="10"/>
  <c r="AX36" i="10"/>
  <c r="AX48" i="10"/>
  <c r="AX50" i="10"/>
  <c r="AX39" i="10"/>
  <c r="A8" i="10"/>
  <c r="AM8" i="1"/>
  <c r="AN8" i="1"/>
  <c r="AX9" i="10"/>
  <c r="A17" i="10"/>
  <c r="AM17" i="1"/>
  <c r="AN17" i="1"/>
  <c r="AX18" i="10"/>
  <c r="A40" i="10"/>
  <c r="AM40" i="1"/>
  <c r="AN40" i="1"/>
  <c r="AX42" i="10"/>
  <c r="AX57" i="10"/>
  <c r="AX60" i="10"/>
  <c r="AX99" i="10"/>
  <c r="AX10" i="10"/>
  <c r="AX11" i="10"/>
  <c r="AX19" i="10"/>
  <c r="AX20" i="10"/>
  <c r="AX30" i="10"/>
  <c r="AX45" i="10"/>
  <c r="AX63" i="10"/>
  <c r="AX78" i="10"/>
  <c r="AX59" i="10"/>
  <c r="AX28" i="10"/>
  <c r="AX37" i="10"/>
  <c r="AX46" i="10"/>
  <c r="AX55" i="10"/>
  <c r="A64" i="10"/>
  <c r="AM64" i="1"/>
  <c r="AN64" i="1"/>
  <c r="AX65" i="10"/>
  <c r="A71" i="10"/>
  <c r="AM71" i="1"/>
  <c r="AN71" i="1"/>
  <c r="A87" i="10"/>
  <c r="AM87" i="1"/>
  <c r="AN87" i="1"/>
  <c r="AX87" i="10"/>
  <c r="A96" i="10"/>
  <c r="AM96" i="1"/>
  <c r="AN96" i="1"/>
  <c r="AX96" i="10"/>
  <c r="A105" i="10"/>
  <c r="AM105" i="1"/>
  <c r="AN105" i="1"/>
  <c r="AX105" i="10"/>
  <c r="A114" i="10"/>
  <c r="AM114" i="1"/>
  <c r="AN114" i="1"/>
  <c r="AX114" i="10"/>
  <c r="AX123" i="10"/>
  <c r="AX126" i="10"/>
  <c r="AX25" i="10"/>
  <c r="AX34" i="10"/>
  <c r="AX43" i="10"/>
  <c r="AX52" i="10"/>
  <c r="AX61" i="10"/>
  <c r="AX67" i="10"/>
  <c r="A73" i="10"/>
  <c r="AM73" i="1"/>
  <c r="AN73" i="1"/>
  <c r="AX74" i="10"/>
  <c r="A88" i="10"/>
  <c r="AM88" i="1"/>
  <c r="AN88" i="1"/>
  <c r="A97" i="10"/>
  <c r="AM97" i="1"/>
  <c r="AN97" i="1"/>
  <c r="A106" i="10"/>
  <c r="AM106" i="1"/>
  <c r="AN106" i="1"/>
  <c r="A115" i="10"/>
  <c r="AM115" i="1"/>
  <c r="AN115" i="1"/>
  <c r="A124" i="10"/>
  <c r="AM124" i="1"/>
  <c r="AN124" i="1"/>
  <c r="A23" i="10"/>
  <c r="AM23" i="1"/>
  <c r="AN23" i="1"/>
  <c r="AX26" i="10"/>
  <c r="A27" i="10"/>
  <c r="AM27" i="1"/>
  <c r="AN27" i="1"/>
  <c r="AX35" i="10"/>
  <c r="A36" i="10"/>
  <c r="AM36" i="1"/>
  <c r="AN36" i="1"/>
  <c r="AX44" i="10"/>
  <c r="A45" i="10"/>
  <c r="AM45" i="1"/>
  <c r="AN45" i="1"/>
  <c r="AX53" i="10"/>
  <c r="A54" i="10"/>
  <c r="AM54" i="1"/>
  <c r="AN54" i="1"/>
  <c r="AX62" i="10"/>
  <c r="A63" i="10"/>
  <c r="AM63" i="1"/>
  <c r="AN63" i="1"/>
  <c r="A69" i="10"/>
  <c r="AM69" i="1"/>
  <c r="AN69" i="1"/>
  <c r="AX69" i="10"/>
  <c r="AX75" i="10"/>
  <c r="AX82" i="10"/>
  <c r="AX91" i="10"/>
  <c r="AX100" i="10"/>
  <c r="AX109" i="10"/>
  <c r="AX118" i="10"/>
  <c r="AX129" i="10"/>
  <c r="AX31" i="10"/>
  <c r="AX40" i="10"/>
  <c r="AX49" i="10"/>
  <c r="AX58" i="10"/>
  <c r="AX76" i="10"/>
  <c r="A82" i="10"/>
  <c r="AM82" i="1"/>
  <c r="AN82" i="1"/>
  <c r="AX84" i="10"/>
  <c r="A91" i="10"/>
  <c r="AM91" i="1"/>
  <c r="AN91" i="1"/>
  <c r="AX93" i="10"/>
  <c r="A100" i="10"/>
  <c r="AM100" i="1"/>
  <c r="AN100" i="1"/>
  <c r="AX102" i="10"/>
  <c r="A109" i="10"/>
  <c r="AM109" i="1"/>
  <c r="AN109" i="1"/>
  <c r="AX111" i="10"/>
  <c r="A118" i="10"/>
  <c r="AM118" i="1"/>
  <c r="AN118" i="1"/>
  <c r="AX68" i="10"/>
  <c r="AX77" i="10"/>
  <c r="AX86" i="10"/>
  <c r="AX95" i="10"/>
  <c r="AX104" i="10"/>
  <c r="AX113" i="10"/>
  <c r="AX122" i="10"/>
  <c r="AX127" i="10"/>
  <c r="A133" i="10"/>
  <c r="AM133" i="1"/>
  <c r="AN133" i="1"/>
  <c r="AX134" i="10"/>
  <c r="A135" i="10"/>
  <c r="AM135" i="1"/>
  <c r="AN135" i="1"/>
  <c r="AX135" i="10"/>
  <c r="A142" i="10"/>
  <c r="AM142" i="1"/>
  <c r="AN142" i="1"/>
  <c r="AX143" i="10"/>
  <c r="A144" i="10"/>
  <c r="AM144" i="1"/>
  <c r="AN144" i="1"/>
  <c r="AX144" i="10"/>
  <c r="A151" i="10"/>
  <c r="AM151" i="1"/>
  <c r="AN151" i="1"/>
  <c r="AX152" i="10"/>
  <c r="A153" i="10"/>
  <c r="AM153" i="1"/>
  <c r="AN153" i="1"/>
  <c r="AX153" i="10"/>
  <c r="A160" i="10"/>
  <c r="AM160" i="1"/>
  <c r="AN160" i="1"/>
  <c r="AX161" i="10"/>
  <c r="A162" i="10"/>
  <c r="AM162" i="1"/>
  <c r="AN162" i="1"/>
  <c r="AX162" i="10"/>
  <c r="A169" i="10"/>
  <c r="AM169" i="1"/>
  <c r="AN169" i="1"/>
  <c r="AX170" i="10"/>
  <c r="A171" i="10"/>
  <c r="AM171" i="1"/>
  <c r="AN171" i="1"/>
  <c r="AX171" i="10"/>
  <c r="A178" i="10"/>
  <c r="AM178" i="1"/>
  <c r="AN178" i="1"/>
  <c r="AX179" i="10"/>
  <c r="A180" i="10"/>
  <c r="AM180" i="1"/>
  <c r="AN180" i="1"/>
  <c r="AX180" i="10"/>
  <c r="A187" i="10"/>
  <c r="AM187" i="1"/>
  <c r="AN187" i="1"/>
  <c r="AX188" i="10"/>
  <c r="A189" i="10"/>
  <c r="AM189" i="1"/>
  <c r="AN189" i="1"/>
  <c r="AX189" i="10"/>
  <c r="A196" i="10"/>
  <c r="AM196" i="1"/>
  <c r="AN196" i="1"/>
  <c r="AX197" i="10"/>
  <c r="A198" i="10"/>
  <c r="AM198" i="1"/>
  <c r="AN198" i="1"/>
  <c r="AX198" i="10"/>
  <c r="A205" i="10"/>
  <c r="AM205" i="1"/>
  <c r="AN205" i="1"/>
  <c r="AX206" i="10"/>
  <c r="A207" i="10"/>
  <c r="AM207" i="1"/>
  <c r="AN207" i="1"/>
  <c r="AX207" i="10"/>
  <c r="A214" i="10"/>
  <c r="AM214" i="1"/>
  <c r="AN214" i="1"/>
  <c r="AX215" i="10"/>
  <c r="A216" i="10"/>
  <c r="AM216" i="1"/>
  <c r="AN216" i="1"/>
  <c r="AX216" i="10"/>
  <c r="A223" i="10"/>
  <c r="AM223" i="1"/>
  <c r="AN223" i="1"/>
  <c r="AX224" i="10"/>
  <c r="A225" i="10"/>
  <c r="AM225" i="1"/>
  <c r="AN225" i="1"/>
  <c r="AX225" i="10"/>
  <c r="A232" i="10"/>
  <c r="AM232" i="1"/>
  <c r="AN232" i="1"/>
  <c r="AX233" i="10"/>
  <c r="A234" i="10"/>
  <c r="AM234" i="1"/>
  <c r="AN234" i="1"/>
  <c r="AX234" i="10"/>
  <c r="A241" i="10"/>
  <c r="AM241" i="1"/>
  <c r="AN241" i="1"/>
  <c r="AX242" i="10"/>
  <c r="A243" i="10"/>
  <c r="AM243" i="1"/>
  <c r="AN243" i="1"/>
  <c r="AX243" i="10"/>
  <c r="A250" i="10"/>
  <c r="AM250" i="1"/>
  <c r="AN250" i="1"/>
  <c r="AX251" i="10"/>
  <c r="A252" i="10"/>
  <c r="AM252" i="1"/>
  <c r="AN252" i="1"/>
  <c r="AX252" i="10"/>
  <c r="A259" i="10"/>
  <c r="AM259" i="1"/>
  <c r="AN259" i="1"/>
  <c r="AX260" i="10"/>
  <c r="A261" i="10"/>
  <c r="AM261" i="1"/>
  <c r="AN261" i="1"/>
  <c r="AX261" i="10"/>
  <c r="AX269" i="10"/>
  <c r="AX270" i="10"/>
  <c r="AX83" i="10"/>
  <c r="AX92" i="10"/>
  <c r="AX101" i="10"/>
  <c r="AX110" i="10"/>
  <c r="AX119" i="10"/>
  <c r="A136" i="10"/>
  <c r="AM136" i="1"/>
  <c r="AN136" i="1"/>
  <c r="AX137" i="10"/>
  <c r="A138" i="10"/>
  <c r="AM138" i="1"/>
  <c r="AN138" i="1"/>
  <c r="AX138" i="10"/>
  <c r="A145" i="10"/>
  <c r="AM145" i="1"/>
  <c r="AN145" i="1"/>
  <c r="AX146" i="10"/>
  <c r="A147" i="10"/>
  <c r="AM147" i="1"/>
  <c r="AN147" i="1"/>
  <c r="AX147" i="10"/>
  <c r="A154" i="10"/>
  <c r="AM154" i="1"/>
  <c r="AN154" i="1"/>
  <c r="AX155" i="10"/>
  <c r="A156" i="10"/>
  <c r="AM156" i="1"/>
  <c r="AN156" i="1"/>
  <c r="AX156" i="10"/>
  <c r="A163" i="10"/>
  <c r="AM163" i="1"/>
  <c r="AN163" i="1"/>
  <c r="AX164" i="10"/>
  <c r="A165" i="10"/>
  <c r="AM165" i="1"/>
  <c r="AN165" i="1"/>
  <c r="AX165" i="10"/>
  <c r="A172" i="10"/>
  <c r="AM172" i="1"/>
  <c r="AN172" i="1"/>
  <c r="AX173" i="10"/>
  <c r="A174" i="10"/>
  <c r="AM174" i="1"/>
  <c r="AN174" i="1"/>
  <c r="AX174" i="10"/>
  <c r="A181" i="10"/>
  <c r="AM181" i="1"/>
  <c r="AN181" i="1"/>
  <c r="AX182" i="10"/>
  <c r="A183" i="10"/>
  <c r="AM183" i="1"/>
  <c r="AN183" i="1"/>
  <c r="AX183" i="10"/>
  <c r="A190" i="10"/>
  <c r="AM190" i="1"/>
  <c r="AN190" i="1"/>
  <c r="AX191" i="10"/>
  <c r="A192" i="10"/>
  <c r="AM192" i="1"/>
  <c r="AN192" i="1"/>
  <c r="AX192" i="10"/>
  <c r="A199" i="10"/>
  <c r="AM199" i="1"/>
  <c r="AN199" i="1"/>
  <c r="AX200" i="10"/>
  <c r="A201" i="10"/>
  <c r="AM201" i="1"/>
  <c r="AN201" i="1"/>
  <c r="AX201" i="10"/>
  <c r="A208" i="10"/>
  <c r="AM208" i="1"/>
  <c r="AN208" i="1"/>
  <c r="AX209" i="10"/>
  <c r="A210" i="10"/>
  <c r="AM210" i="1"/>
  <c r="AN210" i="1"/>
  <c r="AX210" i="10"/>
  <c r="A217" i="10"/>
  <c r="AM217" i="1"/>
  <c r="AN217" i="1"/>
  <c r="AX218" i="10"/>
  <c r="A219" i="10"/>
  <c r="AM219" i="1"/>
  <c r="AN219" i="1"/>
  <c r="AX219" i="10"/>
  <c r="A226" i="10"/>
  <c r="AM226" i="1"/>
  <c r="AN226" i="1"/>
  <c r="AX227" i="10"/>
  <c r="A228" i="10"/>
  <c r="AM228" i="1"/>
  <c r="AN228" i="1"/>
  <c r="AX228" i="10"/>
  <c r="AX236" i="10"/>
  <c r="AX237" i="10"/>
  <c r="AX245" i="10"/>
  <c r="AX246" i="10"/>
  <c r="AX254" i="10"/>
  <c r="AX255" i="10"/>
  <c r="AX263" i="10"/>
  <c r="AX264" i="10"/>
  <c r="AX272" i="10"/>
  <c r="AX273" i="10"/>
  <c r="AX70" i="10"/>
  <c r="AX79" i="10"/>
  <c r="AX88" i="10"/>
  <c r="AX97" i="10"/>
  <c r="AX106" i="10"/>
  <c r="AX115" i="10"/>
  <c r="AX124" i="10"/>
  <c r="AX130" i="10"/>
  <c r="AX139" i="10"/>
  <c r="AX148" i="10"/>
  <c r="AX157" i="10"/>
  <c r="AX166" i="10"/>
  <c r="AX175" i="10"/>
  <c r="AX184" i="10"/>
  <c r="AX193" i="10"/>
  <c r="AX202" i="10"/>
  <c r="AX211" i="10"/>
  <c r="AX220" i="10"/>
  <c r="AX229" i="10"/>
  <c r="AX238" i="10"/>
  <c r="AX247" i="10"/>
  <c r="AX256" i="10"/>
  <c r="AX265" i="10"/>
  <c r="AX274" i="10"/>
  <c r="AX125" i="10"/>
  <c r="A130" i="10"/>
  <c r="AM130" i="1"/>
  <c r="AN130" i="1"/>
  <c r="A132" i="10"/>
  <c r="AM132" i="1"/>
  <c r="AN132" i="1"/>
  <c r="AX132" i="10"/>
  <c r="A139" i="10"/>
  <c r="AM139" i="1"/>
  <c r="AN139" i="1"/>
  <c r="A141" i="10"/>
  <c r="AM141" i="1"/>
  <c r="AN141" i="1"/>
  <c r="AX141" i="10"/>
  <c r="A148" i="10"/>
  <c r="AM148" i="1"/>
  <c r="AN148" i="1"/>
  <c r="A150" i="10"/>
  <c r="AM150" i="1"/>
  <c r="AN150" i="1"/>
  <c r="AX150" i="10"/>
  <c r="A157" i="10"/>
  <c r="AM157" i="1"/>
  <c r="AN157" i="1"/>
  <c r="A159" i="10"/>
  <c r="AM159" i="1"/>
  <c r="AN159" i="1"/>
  <c r="AX159" i="10"/>
  <c r="A166" i="10"/>
  <c r="AM166" i="1"/>
  <c r="AN166" i="1"/>
  <c r="A168" i="10"/>
  <c r="AM168" i="1"/>
  <c r="AN168" i="1"/>
  <c r="AX168" i="10"/>
  <c r="A175" i="10"/>
  <c r="AM175" i="1"/>
  <c r="AN175" i="1"/>
  <c r="A177" i="10"/>
  <c r="AM177" i="1"/>
  <c r="AN177" i="1"/>
  <c r="AX177" i="10"/>
  <c r="A184" i="10"/>
  <c r="AM184" i="1"/>
  <c r="AN184" i="1"/>
  <c r="A186" i="10"/>
  <c r="AM186" i="1"/>
  <c r="AN186" i="1"/>
  <c r="AX186" i="10"/>
  <c r="A193" i="10"/>
  <c r="AM193" i="1"/>
  <c r="AN193" i="1"/>
  <c r="A195" i="10"/>
  <c r="AM195" i="1"/>
  <c r="AN195" i="1"/>
  <c r="AX195" i="10"/>
  <c r="A202" i="10"/>
  <c r="AM202" i="1"/>
  <c r="AN202" i="1"/>
  <c r="A204" i="10"/>
  <c r="AM204" i="1"/>
  <c r="AN204" i="1"/>
  <c r="AX204" i="10"/>
  <c r="A211" i="10"/>
  <c r="AM211" i="1"/>
  <c r="AN211" i="1"/>
  <c r="A213" i="10"/>
  <c r="AM213" i="1"/>
  <c r="AN213" i="1"/>
  <c r="AX213" i="10"/>
  <c r="A220" i="10"/>
  <c r="AM220" i="1"/>
  <c r="AN220" i="1"/>
  <c r="A222" i="10"/>
  <c r="AM222" i="1"/>
  <c r="AN222" i="1"/>
  <c r="AX222" i="10"/>
  <c r="A229" i="10"/>
  <c r="AM229" i="1"/>
  <c r="AN229" i="1"/>
  <c r="A231" i="10"/>
  <c r="AM231" i="1"/>
  <c r="AN231" i="1"/>
  <c r="AX231" i="10"/>
  <c r="A238" i="10"/>
  <c r="AM238" i="1"/>
  <c r="AN238" i="1"/>
  <c r="A240" i="10"/>
  <c r="AM240" i="1"/>
  <c r="AN240" i="1"/>
  <c r="AX240" i="10"/>
  <c r="A247" i="10"/>
  <c r="AM247" i="1"/>
  <c r="AN247" i="1"/>
  <c r="A249" i="10"/>
  <c r="AM249" i="1"/>
  <c r="AN249" i="1"/>
  <c r="AX249" i="10"/>
  <c r="A256" i="10"/>
  <c r="AM256" i="1"/>
  <c r="AN256" i="1"/>
  <c r="A258" i="10"/>
  <c r="AM258" i="1"/>
  <c r="AN258" i="1"/>
  <c r="AX258" i="10"/>
  <c r="A265" i="10"/>
  <c r="AM265" i="1"/>
  <c r="AN265" i="1"/>
  <c r="A267" i="10"/>
  <c r="AM267" i="1"/>
  <c r="AN267" i="1"/>
  <c r="AX267" i="10"/>
  <c r="A274" i="10"/>
  <c r="AM274" i="1"/>
  <c r="AN274" i="1"/>
  <c r="A276" i="10"/>
  <c r="AM276" i="1"/>
  <c r="AN276" i="1"/>
  <c r="A4" i="10" l="1"/>
  <c r="AM4" i="1" s="1"/>
  <c r="AN4" i="1" s="1"/>
  <c r="A3" i="10"/>
  <c r="AM3" i="1" s="1"/>
  <c r="AX3" i="10"/>
  <c r="A2" i="10"/>
  <c r="AM2" i="1" s="1"/>
  <c r="AX2" i="10"/>
  <c r="AN3" i="1" l="1"/>
  <c r="AN2" i="1"/>
</calcChain>
</file>

<file path=xl/sharedStrings.xml><?xml version="1.0" encoding="utf-8"?>
<sst xmlns="http://schemas.openxmlformats.org/spreadsheetml/2006/main" count="5794" uniqueCount="2710">
  <si>
    <t>AE</t>
  </si>
  <si>
    <t>AM</t>
  </si>
  <si>
    <t>AT</t>
  </si>
  <si>
    <t>BA</t>
  </si>
  <si>
    <t>BB</t>
  </si>
  <si>
    <t>BC</t>
  </si>
  <si>
    <t>BD</t>
  </si>
  <si>
    <t>BE</t>
  </si>
  <si>
    <t>BF</t>
  </si>
  <si>
    <t>BG</t>
  </si>
  <si>
    <t>BH</t>
  </si>
  <si>
    <t>BI</t>
  </si>
  <si>
    <t>BJ</t>
  </si>
  <si>
    <t>BK</t>
  </si>
  <si>
    <t>BL</t>
  </si>
  <si>
    <t>BN</t>
  </si>
  <si>
    <t>BO</t>
  </si>
  <si>
    <t>BQ</t>
  </si>
  <si>
    <t>BR</t>
  </si>
  <si>
    <t>BS</t>
  </si>
  <si>
    <t>BT</t>
  </si>
  <si>
    <t>BV</t>
  </si>
  <si>
    <t>BX</t>
  </si>
  <si>
    <t>BY</t>
  </si>
  <si>
    <t>BZ</t>
  </si>
  <si>
    <t>CA</t>
  </si>
  <si>
    <t>CC</t>
  </si>
  <si>
    <t>CE</t>
  </si>
  <si>
    <t>CF</t>
  </si>
  <si>
    <t>CG</t>
  </si>
  <si>
    <t>CH</t>
  </si>
  <si>
    <t>CI</t>
  </si>
  <si>
    <t>CJ</t>
  </si>
  <si>
    <t>CK</t>
  </si>
  <si>
    <t>CL</t>
  </si>
  <si>
    <t>CO</t>
  </si>
  <si>
    <t>CR</t>
  </si>
  <si>
    <t>CS</t>
  </si>
  <si>
    <t>CT</t>
  </si>
  <si>
    <t>CU</t>
  </si>
  <si>
    <t>CV</t>
  </si>
  <si>
    <t>CX</t>
  </si>
  <si>
    <t>CY</t>
  </si>
  <si>
    <t>CZ</t>
  </si>
  <si>
    <t>DJ</t>
  </si>
  <si>
    <t>DR</t>
  </si>
  <si>
    <t>EN</t>
  </si>
  <si>
    <t>FI</t>
  </si>
  <si>
    <t>FL</t>
  </si>
  <si>
    <t>FO</t>
  </si>
  <si>
    <t>FP</t>
  </si>
  <si>
    <t>FR</t>
  </si>
  <si>
    <t>GB</t>
  </si>
  <si>
    <t>GI</t>
  </si>
  <si>
    <t>HR</t>
  </si>
  <si>
    <t>IN</t>
  </si>
  <si>
    <t>JR</t>
  </si>
  <si>
    <t>JC</t>
  </si>
  <si>
    <t>JG</t>
  </si>
  <si>
    <t>JT</t>
  </si>
  <si>
    <t>KG</t>
  </si>
  <si>
    <t>MC</t>
  </si>
  <si>
    <t>MS</t>
  </si>
  <si>
    <t>MT</t>
  </si>
  <si>
    <t>MX</t>
  </si>
  <si>
    <t>NE</t>
  </si>
  <si>
    <t>NS</t>
  </si>
  <si>
    <t>NT</t>
  </si>
  <si>
    <t>PA</t>
  </si>
  <si>
    <t>PC</t>
  </si>
  <si>
    <t>PG</t>
  </si>
  <si>
    <t>PH</t>
  </si>
  <si>
    <t>PI</t>
  </si>
  <si>
    <t>PK</t>
  </si>
  <si>
    <t>PL</t>
  </si>
  <si>
    <t>PN</t>
  </si>
  <si>
    <t>PO</t>
  </si>
  <si>
    <t>PT</t>
  </si>
  <si>
    <t>PU</t>
  </si>
  <si>
    <t>PY</t>
  </si>
  <si>
    <t>RG</t>
  </si>
  <si>
    <t>RL</t>
  </si>
  <si>
    <t>RO</t>
  </si>
  <si>
    <t>SA</t>
  </si>
  <si>
    <t>SC</t>
  </si>
  <si>
    <t>SD</t>
  </si>
  <si>
    <t>SE</t>
  </si>
  <si>
    <t>SH</t>
  </si>
  <si>
    <t>SK</t>
  </si>
  <si>
    <t>SL</t>
  </si>
  <si>
    <t>SM</t>
  </si>
  <si>
    <t>ST</t>
  </si>
  <si>
    <t>SW</t>
  </si>
  <si>
    <t>SZ</t>
  </si>
  <si>
    <t>TB</t>
  </si>
  <si>
    <t>TC</t>
  </si>
  <si>
    <t>TD</t>
  </si>
  <si>
    <t>TK</t>
  </si>
  <si>
    <t>TN</t>
  </si>
  <si>
    <t>TO</t>
  </si>
  <si>
    <t>TR</t>
  </si>
  <si>
    <t>TS</t>
  </si>
  <si>
    <t>VA</t>
  </si>
  <si>
    <t>VG</t>
  </si>
  <si>
    <t>VI</t>
  </si>
  <si>
    <t>VP</t>
  </si>
  <si>
    <t>SX</t>
  </si>
  <si>
    <t>PS</t>
  </si>
  <si>
    <t>IB</t>
  </si>
  <si>
    <t>CN</t>
  </si>
  <si>
    <t>TU</t>
  </si>
  <si>
    <t>PE</t>
  </si>
  <si>
    <t>BM</t>
  </si>
  <si>
    <t>SG</t>
  </si>
  <si>
    <t>GT</t>
  </si>
  <si>
    <t>NL</t>
  </si>
  <si>
    <t>NA</t>
  </si>
  <si>
    <t>Ampoule</t>
  </si>
  <si>
    <t>AS</t>
  </si>
  <si>
    <t>Carcass</t>
  </si>
  <si>
    <t>Steel Crate</t>
  </si>
  <si>
    <t>Barrel</t>
  </si>
  <si>
    <t>Wooden Barrel</t>
  </si>
  <si>
    <t>Bobbin</t>
  </si>
  <si>
    <t>Bottle rack</t>
  </si>
  <si>
    <t>Board Foot</t>
  </si>
  <si>
    <t>HeavyDuty Multiwall Fibre board</t>
  </si>
  <si>
    <t>Bundle</t>
  </si>
  <si>
    <t>Hessian Bundle</t>
  </si>
  <si>
    <t>Bag</t>
  </si>
  <si>
    <t>Felcon Bag</t>
  </si>
  <si>
    <t>Jumbo Bag</t>
  </si>
  <si>
    <t>Kraft Bag</t>
  </si>
  <si>
    <t>Multiwall, Water Resistant Paperbag</t>
  </si>
  <si>
    <t>Nylon Bag</t>
  </si>
  <si>
    <t>Plastic Bag</t>
  </si>
  <si>
    <t>Plastic Film Bag</t>
  </si>
  <si>
    <t>Textile Bag</t>
  </si>
  <si>
    <t>Textile Water-Resistant Bag</t>
  </si>
  <si>
    <t>Woven Plastic Bag</t>
  </si>
  <si>
    <t>rubber bag-conductive</t>
  </si>
  <si>
    <t>textile bag</t>
  </si>
  <si>
    <t>woven plastics bag</t>
  </si>
  <si>
    <t>Bunch</t>
  </si>
  <si>
    <t>Bin</t>
  </si>
  <si>
    <t>Tote Bin</t>
  </si>
  <si>
    <t>Bucket</t>
  </si>
  <si>
    <t>Wooden Bucket</t>
  </si>
  <si>
    <t>Basket</t>
  </si>
  <si>
    <t>Block</t>
  </si>
  <si>
    <t>Bale</t>
  </si>
  <si>
    <t>Beam</t>
  </si>
  <si>
    <t>Bottle</t>
  </si>
  <si>
    <t>Glass Bottle</t>
  </si>
  <si>
    <t>Plastic Bottle</t>
  </si>
  <si>
    <t>Porcelain Bottle</t>
  </si>
  <si>
    <t>Stoneware Bottle</t>
  </si>
  <si>
    <t>Bar</t>
  </si>
  <si>
    <t>Hamper</t>
  </si>
  <si>
    <t>Box</t>
  </si>
  <si>
    <t>Carton Box</t>
  </si>
  <si>
    <t>HeavyDuty Multiwall Plywood box</t>
  </si>
  <si>
    <t>Moulded Expanded Plastic Box</t>
  </si>
  <si>
    <t>Natural Wood Box</t>
  </si>
  <si>
    <t>Pallet Box</t>
  </si>
  <si>
    <t>Plastic Box</t>
  </si>
  <si>
    <t>Plywood Box</t>
  </si>
  <si>
    <t>Solid Plastic Box</t>
  </si>
  <si>
    <t>Steel Box</t>
  </si>
  <si>
    <t>Tea Box</t>
  </si>
  <si>
    <t>aluminium box w.water resistant coating (4B)</t>
  </si>
  <si>
    <t>fibreboard box</t>
  </si>
  <si>
    <t>fibreboard box w.water resistant coating (4G)</t>
  </si>
  <si>
    <t>plywood box</t>
  </si>
  <si>
    <t>wood box</t>
  </si>
  <si>
    <t>wooden box</t>
  </si>
  <si>
    <t>Can</t>
  </si>
  <si>
    <t>Drum Can</t>
  </si>
  <si>
    <t>Plastic Can</t>
  </si>
  <si>
    <t>Tin Can</t>
  </si>
  <si>
    <t>Churn</t>
  </si>
  <si>
    <t>Cradle</t>
  </si>
  <si>
    <t>Creel</t>
  </si>
  <si>
    <t>Coffer</t>
  </si>
  <si>
    <t>Cage</t>
  </si>
  <si>
    <t>Chest</t>
  </si>
  <si>
    <t>Canister</t>
  </si>
  <si>
    <t>Coffin</t>
  </si>
  <si>
    <t>Cask</t>
  </si>
  <si>
    <t>Coil</t>
  </si>
  <si>
    <t>Cone</t>
  </si>
  <si>
    <t>Carboy</t>
  </si>
  <si>
    <t>Paper Carboy</t>
  </si>
  <si>
    <t>Aluminium Crate</t>
  </si>
  <si>
    <t>Angle Crate</t>
  </si>
  <si>
    <t>Crate</t>
  </si>
  <si>
    <t>Wooden Crate</t>
  </si>
  <si>
    <t>Carton Case</t>
  </si>
  <si>
    <t>Case</t>
  </si>
  <si>
    <t>Skid Case</t>
  </si>
  <si>
    <t>Steel Case</t>
  </si>
  <si>
    <t>Van Case</t>
  </si>
  <si>
    <t>Wooden Case</t>
  </si>
  <si>
    <t>Bulk Carton</t>
  </si>
  <si>
    <t>Cardboard Carton</t>
  </si>
  <si>
    <t>Carton</t>
  </si>
  <si>
    <t>Master Carton</t>
  </si>
  <si>
    <t>Cylinder</t>
  </si>
  <si>
    <t>cylinder</t>
  </si>
  <si>
    <t>Chemical Drum</t>
  </si>
  <si>
    <t>Drum</t>
  </si>
  <si>
    <t>Expanded Plastic Drum</t>
  </si>
  <si>
    <t>Fibre Drum</t>
  </si>
  <si>
    <t>Fibre board Drum</t>
  </si>
  <si>
    <t>Plastic Drum</t>
  </si>
  <si>
    <t>Plywood Drum</t>
  </si>
  <si>
    <t>Solid Plastic Drum</t>
  </si>
  <si>
    <t>Steel Drum</t>
  </si>
  <si>
    <t>aluminium drum-removable head (1B2)</t>
  </si>
  <si>
    <t>DT</t>
  </si>
  <si>
    <t>dividing partition</t>
  </si>
  <si>
    <t>Envelope</t>
  </si>
  <si>
    <t>Steel Envelope</t>
  </si>
  <si>
    <t>Flask</t>
  </si>
  <si>
    <t>Foot locker</t>
  </si>
  <si>
    <t>fibre packaging</t>
  </si>
  <si>
    <t>fibre receptacle</t>
  </si>
  <si>
    <t>GA</t>
  </si>
  <si>
    <t>gas receptacle</t>
  </si>
  <si>
    <t>Gas Bottle</t>
  </si>
  <si>
    <t>GG</t>
  </si>
  <si>
    <t>Gunny Bag</t>
  </si>
  <si>
    <t>GP</t>
  </si>
  <si>
    <t>glass packaging</t>
  </si>
  <si>
    <t>GR</t>
  </si>
  <si>
    <t>glass receptacle</t>
  </si>
  <si>
    <t>glass receptacle in aluminium box (6PB2)</t>
  </si>
  <si>
    <t>glass receptacle in aluminium crate (6PB2)</t>
  </si>
  <si>
    <t>glass receptacle in aluminium drum (6PB1)</t>
  </si>
  <si>
    <t>glass receptacle in expanded plastics packaging (6PH1)</t>
  </si>
  <si>
    <t>glass receptacle in fibre drum (6PG1)</t>
  </si>
  <si>
    <t>glass receptacle in fibreboard box (6PG2)</t>
  </si>
  <si>
    <t>glass receptacle in plywood drum (6PD1)</t>
  </si>
  <si>
    <t>glass receptacle in solid plastics packaging (6PH2)</t>
  </si>
  <si>
    <t>glass receptacle in steel box (6PA2)</t>
  </si>
  <si>
    <t>glass receptacle in steel crate (6PA2)</t>
  </si>
  <si>
    <t>glass receptacle in steel drum (6PA1)</t>
  </si>
  <si>
    <t>glass receptacle in wickerwork hamper (6PD2)</t>
  </si>
  <si>
    <t>glass receptacle in wooden box (6PC)</t>
  </si>
  <si>
    <t>multi element gas container</t>
  </si>
  <si>
    <t>Hogshead</t>
  </si>
  <si>
    <t>Wicker- work Hamper</t>
  </si>
  <si>
    <t>IBC</t>
  </si>
  <si>
    <t>IC</t>
  </si>
  <si>
    <t>ISO container</t>
  </si>
  <si>
    <t>ID</t>
  </si>
  <si>
    <t>Iron Drum</t>
  </si>
  <si>
    <t>Jerrican</t>
  </si>
  <si>
    <t>Plastic Jerrican</t>
  </si>
  <si>
    <t>aluminium jerrican-removable head (3B2)</t>
  </si>
  <si>
    <t>steel jerrican-removable head (3A2)</t>
  </si>
  <si>
    <t>Jug</t>
  </si>
  <si>
    <t>Jar</t>
  </si>
  <si>
    <t>Jutebag</t>
  </si>
  <si>
    <t>Fibre Keg</t>
  </si>
  <si>
    <t>Keg</t>
  </si>
  <si>
    <t>Wooden Keg</t>
  </si>
  <si>
    <t>KT</t>
  </si>
  <si>
    <t>Kit</t>
  </si>
  <si>
    <t>LO</t>
  </si>
  <si>
    <t>Loose</t>
  </si>
  <si>
    <t>LV</t>
  </si>
  <si>
    <t>Liftvan</t>
  </si>
  <si>
    <t>MD</t>
  </si>
  <si>
    <t>metal drum</t>
  </si>
  <si>
    <t>metal drum-non removable head (1N1)</t>
  </si>
  <si>
    <t>metal drum-removable head (1N2)</t>
  </si>
  <si>
    <t>MJ</t>
  </si>
  <si>
    <t>metal jerrican</t>
  </si>
  <si>
    <t>metal jerrican-non removable head (3N1)</t>
  </si>
  <si>
    <t>metal jerrican-removable head (3N2)</t>
  </si>
  <si>
    <t>IMO tank</t>
  </si>
  <si>
    <t>metal can</t>
  </si>
  <si>
    <t>metal dividing partition</t>
  </si>
  <si>
    <t>metal packaging</t>
  </si>
  <si>
    <t>metal packaging-water resistant</t>
  </si>
  <si>
    <t>metal receptacle</t>
  </si>
  <si>
    <t>metal tube</t>
  </si>
  <si>
    <t>Unpacked</t>
  </si>
  <si>
    <t>Nest</t>
  </si>
  <si>
    <t>Container</t>
  </si>
  <si>
    <t>Net</t>
  </si>
  <si>
    <t>Steel Container</t>
  </si>
  <si>
    <t>Tank Container</t>
  </si>
  <si>
    <t>Wire Container</t>
  </si>
  <si>
    <t>Wooden Container</t>
  </si>
  <si>
    <t>NW</t>
  </si>
  <si>
    <t>natural wood box w.sift proof wall (4C2)</t>
  </si>
  <si>
    <t>natural wood box w.sift proof walls w.plastic film lining (4C2)</t>
  </si>
  <si>
    <t>natural wood box w.sift proof walls w.water resistant bag (4C2)</t>
  </si>
  <si>
    <t>natural wood box w.sift proof walls w.water resistant coating (4C2)</t>
  </si>
  <si>
    <t>natural wood box-ordinary (4C1)</t>
  </si>
  <si>
    <t>natural wood box-ordinary w.metal liner (4C1)</t>
  </si>
  <si>
    <t>natural wood box-ordinary w.plastic film lining (4C1)</t>
  </si>
  <si>
    <t>natural wood box-ordinary w.water resistant bag (4C1)</t>
  </si>
  <si>
    <t>natural wood box-ordinary w.water resistant coating (4C1)</t>
  </si>
  <si>
    <t>P1</t>
  </si>
  <si>
    <t>Packed</t>
  </si>
  <si>
    <t>Packet</t>
  </si>
  <si>
    <t>PB</t>
  </si>
  <si>
    <t>Paper Bag</t>
  </si>
  <si>
    <t>Parcel</t>
  </si>
  <si>
    <t>Box Pallet</t>
  </si>
  <si>
    <t>Pallet</t>
  </si>
  <si>
    <t>Paper Pallet</t>
  </si>
  <si>
    <t>shrink-wrapped on pallet</t>
  </si>
  <si>
    <t>stretch-wrapped on pallet</t>
  </si>
  <si>
    <t>Pitcher</t>
  </si>
  <si>
    <t>Pipe</t>
  </si>
  <si>
    <t>Bulk Pack</t>
  </si>
  <si>
    <t>Package</t>
  </si>
  <si>
    <t>Shrink pack</t>
  </si>
  <si>
    <t>paper packaging</t>
  </si>
  <si>
    <t>Pail</t>
  </si>
  <si>
    <t>Pail Can</t>
  </si>
  <si>
    <t>Pouch</t>
  </si>
  <si>
    <t>porcelain receptacle</t>
  </si>
  <si>
    <t>PR</t>
  </si>
  <si>
    <t>Pair</t>
  </si>
  <si>
    <t>Piece</t>
  </si>
  <si>
    <t>Fibre board Tray</t>
  </si>
  <si>
    <t>Tray</t>
  </si>
  <si>
    <t>Poly Container</t>
  </si>
  <si>
    <t>Ring</t>
  </si>
  <si>
    <t>RK</t>
  </si>
  <si>
    <t>Rack</t>
  </si>
  <si>
    <t>Reel</t>
  </si>
  <si>
    <t>RM</t>
  </si>
  <si>
    <t>Rush Matting</t>
  </si>
  <si>
    <t>Roll</t>
  </si>
  <si>
    <t>Wooden Roll</t>
  </si>
  <si>
    <t>RP</t>
  </si>
  <si>
    <t>strapped on pallet</t>
  </si>
  <si>
    <t>RR</t>
  </si>
  <si>
    <t>rubber receptacle-conductive</t>
  </si>
  <si>
    <t>RW</t>
  </si>
  <si>
    <t>reconstituted wood box</t>
  </si>
  <si>
    <t>reconstituted wood box (4F)</t>
  </si>
  <si>
    <t>reconstituted wood box w.metal liner (4F)</t>
  </si>
  <si>
    <t>reconstituted wood box w.plastic film lining (4F)</t>
  </si>
  <si>
    <t>reconstituted wood box w.water resistant bag (4F)</t>
  </si>
  <si>
    <t>reconstituted wood box w.water resistant coating (4F)</t>
  </si>
  <si>
    <t>Sack</t>
  </si>
  <si>
    <t>Stack</t>
  </si>
  <si>
    <t>Spindle</t>
  </si>
  <si>
    <t>Sea Chest</t>
  </si>
  <si>
    <t>Sachet</t>
  </si>
  <si>
    <t>SI</t>
  </si>
  <si>
    <t>Side</t>
  </si>
  <si>
    <t>Skid</t>
  </si>
  <si>
    <t>shrink-wrapped unit load</t>
  </si>
  <si>
    <t>Set</t>
  </si>
  <si>
    <t>Sheet</t>
  </si>
  <si>
    <t>Shrink wrapped</t>
  </si>
  <si>
    <t>Tub</t>
  </si>
  <si>
    <t>Flexitank</t>
  </si>
  <si>
    <t>ISO Tank</t>
  </si>
  <si>
    <t>Plastic Tank</t>
  </si>
  <si>
    <t>Tank</t>
  </si>
  <si>
    <t>UN tank</t>
  </si>
  <si>
    <t>TL</t>
  </si>
  <si>
    <t>stretch-wrapped unit load</t>
  </si>
  <si>
    <t>Tin</t>
  </si>
  <si>
    <t>Towbale</t>
  </si>
  <si>
    <t>Tun</t>
  </si>
  <si>
    <t>Trunk</t>
  </si>
  <si>
    <t>Truss</t>
  </si>
  <si>
    <t>textile sheet-rubberized</t>
  </si>
  <si>
    <t>Tube</t>
  </si>
  <si>
    <t>TW</t>
  </si>
  <si>
    <t>Triwall</t>
  </si>
  <si>
    <t>UL</t>
  </si>
  <si>
    <t>unit load device</t>
  </si>
  <si>
    <t>Vat</t>
  </si>
  <si>
    <t>VE</t>
  </si>
  <si>
    <t>Vehicle</t>
  </si>
  <si>
    <t>Vial</t>
  </si>
  <si>
    <t>VN</t>
  </si>
  <si>
    <t>Van</t>
  </si>
  <si>
    <t>Bulk</t>
  </si>
  <si>
    <t>Van Pack</t>
  </si>
  <si>
    <t>WA</t>
  </si>
  <si>
    <t>wood tray w.dividing partition</t>
  </si>
  <si>
    <t>WD</t>
  </si>
  <si>
    <t>wood dividing partition</t>
  </si>
  <si>
    <t>WR</t>
  </si>
  <si>
    <t>wood receptacle</t>
  </si>
  <si>
    <t>PP</t>
  </si>
  <si>
    <t>HT</t>
  </si>
  <si>
    <t>HH</t>
  </si>
  <si>
    <t>RE</t>
  </si>
  <si>
    <t>代码</t>
  </si>
  <si>
    <t>付款方式名称</t>
  </si>
  <si>
    <t>40GP</t>
  </si>
  <si>
    <t>序号</t>
  </si>
  <si>
    <t>发货人
名称</t>
  </si>
  <si>
    <t>发货人
地址</t>
  </si>
  <si>
    <t>收货人
名称</t>
  </si>
  <si>
    <t>收货人
地址</t>
  </si>
  <si>
    <t>通知人
名称</t>
  </si>
  <si>
    <t>通知人
地址</t>
  </si>
  <si>
    <t>箱号</t>
  </si>
  <si>
    <t>尺寸箱型</t>
  </si>
  <si>
    <t>铅封号</t>
  </si>
  <si>
    <t>件数</t>
  </si>
  <si>
    <t>包装</t>
  </si>
  <si>
    <t>唛头</t>
  </si>
  <si>
    <t>品名</t>
  </si>
  <si>
    <t>中转港</t>
  </si>
  <si>
    <t>目的港</t>
  </si>
  <si>
    <t>付费方式</t>
  </si>
  <si>
    <t>货物毛重(kg)</t>
  </si>
  <si>
    <t>发货人
城市</t>
  </si>
  <si>
    <t>收货人
城市</t>
  </si>
  <si>
    <t>通知人
城市</t>
  </si>
  <si>
    <t>通知人
国家编码</t>
  </si>
  <si>
    <t>AD</t>
  </si>
  <si>
    <t>Andorra</t>
  </si>
  <si>
    <t>United Arab Emirates</t>
  </si>
  <si>
    <t>AF</t>
  </si>
  <si>
    <t>Afghanistan</t>
  </si>
  <si>
    <t>AG</t>
  </si>
  <si>
    <t>Antigua and Barbuda</t>
  </si>
  <si>
    <t>AI</t>
  </si>
  <si>
    <t>Anguilla</t>
  </si>
  <si>
    <t>AL</t>
  </si>
  <si>
    <t>Albania</t>
  </si>
  <si>
    <t>Armenia</t>
  </si>
  <si>
    <t>AO</t>
  </si>
  <si>
    <t>Angola</t>
  </si>
  <si>
    <t>AQ</t>
  </si>
  <si>
    <t>Antarctica</t>
  </si>
  <si>
    <t>AR</t>
  </si>
  <si>
    <t>Argentina</t>
  </si>
  <si>
    <t>American Samoa</t>
  </si>
  <si>
    <t>Austria</t>
  </si>
  <si>
    <t>AU</t>
  </si>
  <si>
    <t>Australia</t>
  </si>
  <si>
    <t>AW</t>
  </si>
  <si>
    <t>Aruba</t>
  </si>
  <si>
    <t>AX</t>
  </si>
  <si>
    <t>Åland Islands</t>
  </si>
  <si>
    <t>AZ</t>
  </si>
  <si>
    <t>Azerbaijan</t>
  </si>
  <si>
    <t>Bosnia and Herzegovina</t>
  </si>
  <si>
    <t>Barbados</t>
  </si>
  <si>
    <t>Bangladesh</t>
  </si>
  <si>
    <t>Belgium</t>
  </si>
  <si>
    <t>Burkina Faso</t>
  </si>
  <si>
    <t>Bulgaria</t>
  </si>
  <si>
    <t>Bahrain</t>
  </si>
  <si>
    <t>Burundi</t>
  </si>
  <si>
    <t>Benin</t>
  </si>
  <si>
    <t>Saint Barthélemy</t>
  </si>
  <si>
    <t>Bermuda</t>
  </si>
  <si>
    <t>Brunei Darussalam</t>
  </si>
  <si>
    <t>Bolivia, Plurinational State of</t>
  </si>
  <si>
    <t>Bonaire, Sint Eustatius and Saba</t>
  </si>
  <si>
    <t>Brazil</t>
  </si>
  <si>
    <t>Bahamas</t>
  </si>
  <si>
    <t>Bhutan</t>
  </si>
  <si>
    <t>Bouvet Island</t>
  </si>
  <si>
    <t>BW</t>
  </si>
  <si>
    <t>Botswana</t>
  </si>
  <si>
    <t>Belarus</t>
  </si>
  <si>
    <t>Belize</t>
  </si>
  <si>
    <t>Canada</t>
  </si>
  <si>
    <t>Cocos (Keeling) Islands</t>
  </si>
  <si>
    <t>CD</t>
  </si>
  <si>
    <t>Congo, the Democratic Republic of the</t>
  </si>
  <si>
    <t>Central African Republic</t>
  </si>
  <si>
    <t>Congo</t>
  </si>
  <si>
    <t>Switzerland</t>
  </si>
  <si>
    <t>Côte d'Ivoire</t>
  </si>
  <si>
    <t>Cook Islands</t>
  </si>
  <si>
    <t>Chile</t>
  </si>
  <si>
    <t>CM</t>
  </si>
  <si>
    <t>Cameroon</t>
  </si>
  <si>
    <t>China</t>
  </si>
  <si>
    <t>Colombia</t>
  </si>
  <si>
    <t>Costa Rica</t>
  </si>
  <si>
    <t>Cuba</t>
  </si>
  <si>
    <t>Cabo Verde</t>
  </si>
  <si>
    <t>CW</t>
  </si>
  <si>
    <t>Curaçao</t>
  </si>
  <si>
    <t>Christmas Island</t>
  </si>
  <si>
    <t>Cyprus</t>
  </si>
  <si>
    <t>Czech Republic</t>
  </si>
  <si>
    <t>Germany</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</si>
  <si>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</si>
  <si>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</si>
  <si>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</si>
  <si>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</si>
  <si>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</si>
  <si>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</si>
  <si>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</si>
  <si>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</si>
  <si>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</si>
  <si>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</si>
  <si>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</si>
  <si>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</si>
  <si>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</si>
  <si>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</si>
  <si>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</si>
  <si>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</si>
  <si>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</si>
  <si>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</si>
  <si>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</si>
  <si>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</si>
  <si>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</si>
  <si>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</si>
  <si>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</si>
  <si>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Finland</t>
  </si>
  <si>
    <t>FJ</t>
  </si>
  <si>
    <t>Fiji</t>
  </si>
  <si>
    <t>FK</t>
  </si>
  <si>
    <t>Falkland Islands (Malvinas)</t>
  </si>
  <si>
    <t>FM</t>
  </si>
  <si>
    <t>Micronesia, Federated States of</t>
  </si>
  <si>
    <t>Faroe Islands</t>
  </si>
  <si>
    <t>France</t>
  </si>
  <si>
    <t>Gabon</t>
  </si>
  <si>
    <t>United Kingdom of Great Britain and Northern Ireland</t>
  </si>
  <si>
    <t>GD</t>
  </si>
  <si>
    <t>Grenada</t>
  </si>
  <si>
    <t>GE</t>
  </si>
  <si>
    <t>Georgia</t>
  </si>
  <si>
    <t>GF</t>
  </si>
  <si>
    <t>French Guiana</t>
  </si>
  <si>
    <t>Guernsey</t>
  </si>
  <si>
    <t>GH</t>
  </si>
  <si>
    <t>Ghana</t>
  </si>
  <si>
    <t>Gibraltar</t>
  </si>
  <si>
    <t>GL</t>
  </si>
  <si>
    <t>Greenland</t>
  </si>
  <si>
    <t>GM</t>
  </si>
  <si>
    <t>Gambia</t>
  </si>
  <si>
    <t>GN</t>
  </si>
  <si>
    <t>Guinea</t>
  </si>
  <si>
    <t>Guadeloupe</t>
  </si>
  <si>
    <t>GQ</t>
  </si>
  <si>
    <t>Equatorial Guinea</t>
  </si>
  <si>
    <t>Greece</t>
  </si>
  <si>
    <t>GS</t>
  </si>
  <si>
    <t>South Georgia and the South Sandwich Islands</t>
  </si>
  <si>
    <t>Guatemala</t>
  </si>
  <si>
    <t>GU</t>
  </si>
  <si>
    <t>Guam</t>
  </si>
  <si>
    <t>GW</t>
  </si>
  <si>
    <t>Guinea-Bissau</t>
  </si>
  <si>
    <t>GY</t>
  </si>
  <si>
    <t>Guyana</t>
  </si>
  <si>
    <t>HK</t>
  </si>
  <si>
    <t>Hong Kong</t>
  </si>
  <si>
    <t>HM</t>
  </si>
  <si>
    <t>Heard Island and McDonald Islands</t>
  </si>
  <si>
    <t>HN</t>
  </si>
  <si>
    <t>Honduras</t>
  </si>
  <si>
    <t>Croatia</t>
  </si>
  <si>
    <t>Haiti</t>
  </si>
  <si>
    <t>HU</t>
  </si>
  <si>
    <t>Hungary</t>
  </si>
  <si>
    <t>Indonesia</t>
  </si>
  <si>
    <t>IE</t>
  </si>
  <si>
    <t>Ireland</t>
  </si>
  <si>
    <t>IL</t>
  </si>
  <si>
    <t>Israel</t>
  </si>
  <si>
    <t>IM</t>
  </si>
  <si>
    <t>Isle of Man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</si>
  <si>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</si>
  <si>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</si>
  <si>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</si>
  <si>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</si>
  <si>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</si>
  <si>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</si>
  <si>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</si>
  <si>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</si>
  <si>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</si>
  <si>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</si>
  <si>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</si>
  <si>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</si>
  <si>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</si>
  <si>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</si>
  <si>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</si>
  <si>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</si>
  <si>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</si>
  <si>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</si>
  <si>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</si>
  <si>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</si>
  <si>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</si>
  <si>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</si>
  <si>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</si>
  <si>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</si>
  <si>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</si>
  <si>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</si>
  <si>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</si>
  <si>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</si>
  <si>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</si>
  <si>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</si>
  <si>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</si>
  <si>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</si>
  <si>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</si>
  <si>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</si>
  <si>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</si>
  <si>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</si>
  <si>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</si>
  <si>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</si>
  <si>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</si>
  <si>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</si>
  <si>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</si>
  <si>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</si>
  <si>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</si>
  <si>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</si>
  <si>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</si>
  <si>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</si>
  <si>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</si>
  <si>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</si>
  <si>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</si>
  <si>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</si>
  <si>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</si>
  <si>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</si>
  <si>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</si>
  <si>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</si>
  <si>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</si>
  <si>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</si>
  <si>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</si>
  <si>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</si>
  <si>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Latvia</t>
  </si>
  <si>
    <t>LY</t>
  </si>
  <si>
    <t>Libya</t>
  </si>
  <si>
    <t>MA</t>
  </si>
  <si>
    <t>Morocco</t>
  </si>
  <si>
    <t>Monaco</t>
  </si>
  <si>
    <t>Moldova, Republic of</t>
  </si>
  <si>
    <t>ME</t>
  </si>
  <si>
    <t>Montenegro</t>
  </si>
  <si>
    <t>MF</t>
  </si>
  <si>
    <t>Saint Martin (French part)</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</si>
  <si>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</si>
  <si>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</si>
  <si>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</si>
  <si>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</si>
  <si>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</si>
  <si>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</si>
  <si>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</si>
  <si>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</si>
  <si>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</si>
  <si>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</si>
  <si>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</si>
  <si>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</si>
  <si>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</si>
  <si>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</si>
  <si>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</si>
  <si>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</si>
  <si>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</si>
  <si>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</si>
  <si>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MR</t>
  </si>
  <si>
    <t>Mauritania</t>
  </si>
  <si>
    <t>Montserrat</t>
  </si>
  <si>
    <t>Malta</t>
  </si>
  <si>
    <t>MU</t>
  </si>
  <si>
    <t>Mauritius</t>
  </si>
  <si>
    <t>MV</t>
  </si>
  <si>
    <t>Maldives</t>
  </si>
  <si>
    <t>MW</t>
  </si>
  <si>
    <t>Malawi</t>
  </si>
  <si>
    <t>Mexico</t>
  </si>
  <si>
    <t>MY</t>
  </si>
  <si>
    <t>Malaysia</t>
  </si>
  <si>
    <t>MZ</t>
  </si>
  <si>
    <t>Mozambique</t>
  </si>
  <si>
    <t>Namibia</t>
  </si>
  <si>
    <t>NC</t>
  </si>
  <si>
    <t>New Caledonia</t>
  </si>
  <si>
    <t>Niger</t>
  </si>
  <si>
    <t>NF</t>
  </si>
  <si>
    <t>Norfolk Island</t>
  </si>
  <si>
    <t>NG</t>
  </si>
  <si>
    <t>Nigeria</t>
  </si>
  <si>
    <t>NI</t>
  </si>
  <si>
    <t>Nicaragua</t>
  </si>
  <si>
    <t>Netherlands</t>
  </si>
  <si>
    <t>NO</t>
  </si>
  <si>
    <t>Norway</t>
  </si>
  <si>
    <t>NP</t>
  </si>
  <si>
    <t>Nepal</t>
  </si>
  <si>
    <t>NR</t>
  </si>
  <si>
    <t>Nauru</t>
  </si>
  <si>
    <t>NU</t>
  </si>
  <si>
    <t>Niue</t>
  </si>
  <si>
    <t>NZ</t>
  </si>
  <si>
    <t>New Zealand</t>
  </si>
  <si>
    <t>OM</t>
  </si>
  <si>
    <t>Oman</t>
  </si>
  <si>
    <t>Panama</t>
  </si>
  <si>
    <t>Peru</t>
  </si>
  <si>
    <t>PF</t>
  </si>
  <si>
    <t>French Polynesia</t>
  </si>
  <si>
    <t>Papua New Guinea</t>
  </si>
  <si>
    <t>Philippines</t>
  </si>
  <si>
    <t>Pakistan</t>
  </si>
  <si>
    <t>Poland</t>
  </si>
  <si>
    <t>PM</t>
  </si>
  <si>
    <t>Saint Pierre and Miquelon</t>
  </si>
  <si>
    <t>Pitcairn</t>
  </si>
  <si>
    <t>Puerto Rico</t>
  </si>
  <si>
    <t>Palestine, State of</t>
  </si>
  <si>
    <t>Portugal</t>
  </si>
  <si>
    <t>PW</t>
  </si>
  <si>
    <t>Palau</t>
  </si>
  <si>
    <t>Paraguay</t>
  </si>
  <si>
    <t>QA</t>
  </si>
  <si>
    <t>Qatar</t>
  </si>
  <si>
    <t>Réunion</t>
  </si>
  <si>
    <t>Romania</t>
  </si>
  <si>
    <t>RS</t>
  </si>
  <si>
    <t>Serbia</t>
  </si>
  <si>
    <t>RU</t>
  </si>
  <si>
    <t>Russian Federation</t>
  </si>
  <si>
    <t>Rwanda</t>
  </si>
  <si>
    <t>Saudi Arabia</t>
  </si>
  <si>
    <t>SB</t>
  </si>
  <si>
    <t>Solomon Islands</t>
  </si>
  <si>
    <t>Seychelles</t>
  </si>
  <si>
    <t>Sudan</t>
  </si>
  <si>
    <t>Sweden</t>
  </si>
  <si>
    <t>Singapore</t>
  </si>
  <si>
    <t>Saint Helena, Ascension and Tristan da Cunha</t>
  </si>
  <si>
    <t>Slovenia</t>
  </si>
  <si>
    <t>SJ</t>
  </si>
  <si>
    <t>Svalbard and Jan Mayen</t>
  </si>
  <si>
    <t>Slovakia</t>
  </si>
  <si>
    <t>Sierra Leone</t>
  </si>
  <si>
    <t>San Marino</t>
  </si>
  <si>
    <t>SN</t>
  </si>
  <si>
    <t>Senegal</t>
  </si>
  <si>
    <t>SO</t>
  </si>
  <si>
    <t>Somalia</t>
  </si>
  <si>
    <t>SR</t>
  </si>
  <si>
    <t>Suriname</t>
  </si>
  <si>
    <t>SS</t>
  </si>
  <si>
    <t>South Sudan</t>
  </si>
  <si>
    <t>Sao Tome and Principe</t>
  </si>
  <si>
    <t>SV</t>
  </si>
  <si>
    <t>El Salvador</t>
  </si>
  <si>
    <t>Sint Maarten (Dutch part)</t>
  </si>
  <si>
    <t>SY</t>
  </si>
  <si>
    <t>Syrian Arab Republic</t>
  </si>
  <si>
    <t>Turks and Caicos Islands</t>
  </si>
  <si>
    <t>Chad</t>
  </si>
  <si>
    <t>TF</t>
  </si>
  <si>
    <t>French Southern Territories</t>
  </si>
  <si>
    <t>TG</t>
  </si>
  <si>
    <t>Togo</t>
  </si>
  <si>
    <t>TH</t>
  </si>
  <si>
    <t>Thailand</t>
  </si>
  <si>
    <t>TJ</t>
  </si>
  <si>
    <t>Tajikistan</t>
  </si>
  <si>
    <t>Tokelau</t>
  </si>
  <si>
    <t>Timor-Leste</t>
  </si>
  <si>
    <t>TM</t>
  </si>
  <si>
    <t>Turkmenistan</t>
  </si>
  <si>
    <t>Tunisia</t>
  </si>
  <si>
    <t>Tonga</t>
  </si>
  <si>
    <t>Turkey</t>
  </si>
  <si>
    <t>TT</t>
  </si>
  <si>
    <t>Trinidad and Tobago</t>
  </si>
  <si>
    <t>TV</t>
  </si>
  <si>
    <t>Tuvalu</t>
  </si>
  <si>
    <t>Taiwan, Province of China</t>
  </si>
  <si>
    <t>TZ</t>
  </si>
  <si>
    <t>Tanzania, United Republic of</t>
  </si>
  <si>
    <t>UA</t>
  </si>
  <si>
    <t>Ukraine</t>
  </si>
  <si>
    <t>UG</t>
  </si>
  <si>
    <t>Uganda</t>
  </si>
  <si>
    <t>UM</t>
  </si>
  <si>
    <t>United States Minor Outlying Islands</t>
  </si>
  <si>
    <t>US</t>
  </si>
  <si>
    <t>United States of America</t>
  </si>
  <si>
    <t>UY</t>
  </si>
  <si>
    <t>Uruguay</t>
  </si>
  <si>
    <t>UZ</t>
  </si>
  <si>
    <t>Uzbekistan</t>
  </si>
  <si>
    <t>VC</t>
  </si>
  <si>
    <t>Saint Vincent and the Grenadines</t>
  </si>
  <si>
    <t>Venezuela, Bolivarian Republic of</t>
  </si>
  <si>
    <t>Virgin Islands, British</t>
  </si>
  <si>
    <t>Virgin Islands, U.S.</t>
  </si>
  <si>
    <t>Viet Nam</t>
  </si>
  <si>
    <t>VU</t>
  </si>
  <si>
    <t>Vanuatu</t>
  </si>
  <si>
    <t>WF</t>
  </si>
  <si>
    <t>Wallis and Futuna</t>
  </si>
  <si>
    <t>WS</t>
  </si>
  <si>
    <t>Samoa</t>
  </si>
  <si>
    <t>YE</t>
  </si>
  <si>
    <t>Yemen</t>
  </si>
  <si>
    <t>YT</t>
  </si>
  <si>
    <t>Mayotte</t>
  </si>
  <si>
    <t>ZA</t>
  </si>
  <si>
    <t>South Africa</t>
  </si>
  <si>
    <t>ZM</t>
  </si>
  <si>
    <t>Zambia</t>
  </si>
  <si>
    <t>ZW</t>
  </si>
  <si>
    <t>Zimbabwe</t>
  </si>
  <si>
    <t>拉脱维亚</t>
  </si>
  <si>
    <t>马其顿</t>
  </si>
  <si>
    <t>圣文森特和格林纳丁斯</t>
  </si>
  <si>
    <t>瓦努阿图</t>
  </si>
  <si>
    <t>危险品联系人姓名</t>
  </si>
  <si>
    <t>通讯方式号码</t>
  </si>
  <si>
    <t>运输条款代码</t>
  </si>
  <si>
    <t>运输条款</t>
  </si>
  <si>
    <t>HP</t>
  </si>
  <si>
    <t>House to House</t>
  </si>
  <si>
    <t>Pier to House</t>
  </si>
  <si>
    <t>House to Pier</t>
  </si>
  <si>
    <t>Description</t>
  </si>
  <si>
    <t>20AC</t>
  </si>
  <si>
    <t>20BK</t>
  </si>
  <si>
    <t>20FL</t>
  </si>
  <si>
    <t>22P3</t>
  </si>
  <si>
    <t>20GP</t>
  </si>
  <si>
    <t>20HG</t>
  </si>
  <si>
    <t>20HH</t>
  </si>
  <si>
    <t>20HQ</t>
  </si>
  <si>
    <t>20IH</t>
  </si>
  <si>
    <t>20LQ</t>
  </si>
  <si>
    <t>20MU</t>
  </si>
  <si>
    <t>20OS</t>
  </si>
  <si>
    <t>20OT</t>
  </si>
  <si>
    <t>22U1</t>
  </si>
  <si>
    <t>20PL</t>
  </si>
  <si>
    <t>20RF</t>
  </si>
  <si>
    <t>22R1</t>
  </si>
  <si>
    <t>20RQ</t>
  </si>
  <si>
    <t>20SJ</t>
  </si>
  <si>
    <t>20TF</t>
  </si>
  <si>
    <t>20TK</t>
  </si>
  <si>
    <t>20VT</t>
  </si>
  <si>
    <t>20XX</t>
  </si>
  <si>
    <t>40AC</t>
  </si>
  <si>
    <t>40BK</t>
  </si>
  <si>
    <t>40FL</t>
  </si>
  <si>
    <t>42P3</t>
  </si>
  <si>
    <t>40FQ</t>
  </si>
  <si>
    <t>45P3</t>
  </si>
  <si>
    <t>40GX</t>
  </si>
  <si>
    <t>40HC</t>
  </si>
  <si>
    <t>40HG</t>
  </si>
  <si>
    <t>42G9</t>
  </si>
  <si>
    <t>40HH</t>
  </si>
  <si>
    <t>40HQ</t>
  </si>
  <si>
    <t>40HR</t>
  </si>
  <si>
    <t>40HX</t>
  </si>
  <si>
    <t>40IH</t>
  </si>
  <si>
    <t>40MU</t>
  </si>
  <si>
    <t>40OQ</t>
  </si>
  <si>
    <t>45U1</t>
  </si>
  <si>
    <t>40OT</t>
  </si>
  <si>
    <t>42U1</t>
  </si>
  <si>
    <t>40PL</t>
  </si>
  <si>
    <t>40RF</t>
  </si>
  <si>
    <t>40RQ</t>
  </si>
  <si>
    <t>45R1</t>
  </si>
  <si>
    <t>40SJ</t>
  </si>
  <si>
    <t>40SR</t>
  </si>
  <si>
    <t>46P3</t>
  </si>
  <si>
    <t>40TK</t>
  </si>
  <si>
    <t>40VT</t>
  </si>
  <si>
    <t>40XX</t>
  </si>
  <si>
    <t>45GP</t>
  </si>
  <si>
    <t>45HQ</t>
  </si>
  <si>
    <t>L5G1</t>
  </si>
  <si>
    <t>45RQ</t>
  </si>
  <si>
    <t>DE</t>
    <phoneticPr fontId="7" type="noConversion"/>
  </si>
  <si>
    <t>CA</t>
    <phoneticPr fontId="7" type="noConversion"/>
  </si>
  <si>
    <t>All Rule</t>
  </si>
  <si>
    <t>TRAFFIC_MDE</t>
  </si>
  <si>
    <t>HD</t>
  </si>
  <si>
    <t>DH</t>
  </si>
  <si>
    <t>DD</t>
  </si>
  <si>
    <t>PAYMENT_METHOD</t>
  </si>
  <si>
    <t>INTL_SIZE_TYPE</t>
  </si>
  <si>
    <t>PACKAGE_CDE</t>
  </si>
  <si>
    <t>AA</t>
  </si>
  <si>
    <t>AB</t>
  </si>
  <si>
    <t>AC</t>
  </si>
  <si>
    <t>AJ</t>
  </si>
  <si>
    <t>BP</t>
  </si>
  <si>
    <t>BU</t>
  </si>
  <si>
    <t>CB</t>
  </si>
  <si>
    <t>CQ</t>
  </si>
  <si>
    <t>DC</t>
  </si>
  <si>
    <t>DL</t>
  </si>
  <si>
    <t>DP</t>
  </si>
  <si>
    <t>DS</t>
  </si>
  <si>
    <t>ED</t>
  </si>
  <si>
    <t>FA</t>
  </si>
  <si>
    <t>FB</t>
  </si>
  <si>
    <t>FD</t>
  </si>
  <si>
    <t>FT</t>
  </si>
  <si>
    <t>FU</t>
  </si>
  <si>
    <t>FX</t>
  </si>
  <si>
    <t>GO</t>
  </si>
  <si>
    <t>HB</t>
  </si>
  <si>
    <t>HF</t>
  </si>
  <si>
    <t>HO</t>
  </si>
  <si>
    <t>JB</t>
  </si>
  <si>
    <t>KB</t>
  </si>
  <si>
    <t>LP</t>
  </si>
  <si>
    <t>MB</t>
  </si>
  <si>
    <t>NB</t>
  </si>
  <si>
    <t>OA</t>
  </si>
  <si>
    <t>OP</t>
  </si>
  <si>
    <t>PD</t>
  </si>
  <si>
    <t>PJ</t>
  </si>
  <si>
    <t>PX</t>
  </si>
  <si>
    <t>RB</t>
  </si>
  <si>
    <t>S1</t>
  </si>
  <si>
    <t>SP</t>
  </si>
  <si>
    <t>T1</t>
  </si>
  <si>
    <t>TA</t>
  </si>
  <si>
    <t>TE</t>
  </si>
  <si>
    <t>TI</t>
  </si>
  <si>
    <t>TP</t>
  </si>
  <si>
    <t>TX</t>
  </si>
  <si>
    <t>UN</t>
  </si>
  <si>
    <t>UP</t>
  </si>
  <si>
    <t>UT</t>
  </si>
  <si>
    <t>WB</t>
  </si>
  <si>
    <t>WC</t>
  </si>
  <si>
    <t>WE</t>
  </si>
  <si>
    <t>WH</t>
  </si>
  <si>
    <t>WI</t>
  </si>
  <si>
    <t>WK</t>
  </si>
  <si>
    <t>WL</t>
  </si>
  <si>
    <t>WN</t>
  </si>
  <si>
    <t>WP</t>
  </si>
  <si>
    <t>WT</t>
  </si>
  <si>
    <t>WX</t>
  </si>
  <si>
    <t>WZ</t>
  </si>
  <si>
    <t>Valid</t>
  </si>
  <si>
    <t>Error message</t>
  </si>
  <si>
    <t>包装代码</t>
  </si>
  <si>
    <t>包装名称</t>
    <phoneticPr fontId="0" type="noConversion"/>
  </si>
  <si>
    <t>通知人联系电话</t>
  </si>
  <si>
    <t>关单号</t>
  </si>
  <si>
    <t>箱型尺寸</t>
  </si>
  <si>
    <t>ISO 编码</t>
  </si>
  <si>
    <t>DKAAL</t>
  </si>
  <si>
    <t>DKAAR</t>
  </si>
  <si>
    <t>GBABD</t>
  </si>
  <si>
    <t>AEAUH</t>
  </si>
  <si>
    <t>AUADL</t>
  </si>
  <si>
    <t>SEAHU</t>
  </si>
  <si>
    <t>AEAJM</t>
  </si>
  <si>
    <t>JPAXT</t>
  </si>
  <si>
    <t>NOAES</t>
  </si>
  <si>
    <t>EGALY</t>
  </si>
  <si>
    <t>ESALG</t>
  </si>
  <si>
    <t>DZALG</t>
  </si>
  <si>
    <t>MXATM</t>
  </si>
  <si>
    <t>NLAMS</t>
  </si>
  <si>
    <t>CLANF</t>
  </si>
  <si>
    <t>CLARI</t>
  </si>
  <si>
    <t>IRASA</t>
  </si>
  <si>
    <t>ILASH</t>
  </si>
  <si>
    <t>NZAKL</t>
  </si>
  <si>
    <t>GBAVO</t>
  </si>
  <si>
    <t>PABLB</t>
  </si>
  <si>
    <t>IDBPN</t>
  </si>
  <si>
    <t>USBAL</t>
  </si>
  <si>
    <t>THBKK</t>
  </si>
  <si>
    <t>IDBDJ</t>
  </si>
  <si>
    <t>ESBCN</t>
  </si>
  <si>
    <t>COBAQ</t>
  </si>
  <si>
    <t>PHBTG</t>
  </si>
  <si>
    <t>IDBUR</t>
  </si>
  <si>
    <t>MYBAT</t>
  </si>
  <si>
    <t>IDBLW</t>
  </si>
  <si>
    <t>GBBEL</t>
  </si>
  <si>
    <t>AUBEL</t>
  </si>
  <si>
    <t>IDBOA</t>
  </si>
  <si>
    <t>NOBGO</t>
  </si>
  <si>
    <t>ESBIO</t>
  </si>
  <si>
    <t>MYBTU</t>
  </si>
  <si>
    <t>IDBIT</t>
  </si>
  <si>
    <t>GBBLY</t>
  </si>
  <si>
    <t>FRBOD</t>
  </si>
  <si>
    <t>TRIST</t>
  </si>
  <si>
    <t>USBOS</t>
  </si>
  <si>
    <t>DEBRE</t>
  </si>
  <si>
    <t>DEBRV</t>
  </si>
  <si>
    <t>NOBVK</t>
  </si>
  <si>
    <t>AUBNE</t>
  </si>
  <si>
    <t>IDBUN</t>
  </si>
  <si>
    <t>AUBWT</t>
  </si>
  <si>
    <t>IRBUZ</t>
  </si>
  <si>
    <t>PHCGY</t>
  </si>
  <si>
    <t>ITCAG</t>
  </si>
  <si>
    <t>VNVUT</t>
  </si>
  <si>
    <t>INCCU</t>
  </si>
  <si>
    <t>PECLL</t>
  </si>
  <si>
    <t>VNVCA</t>
  </si>
  <si>
    <t>MACAS</t>
  </si>
  <si>
    <t>PHCEB</t>
  </si>
  <si>
    <t>USCHS</t>
  </si>
  <si>
    <t>INMAA</t>
  </si>
  <si>
    <t>JPCHB</t>
  </si>
  <si>
    <t>BDCGP</t>
  </si>
  <si>
    <t>NZCHC</t>
  </si>
  <si>
    <t>INCOK</t>
  </si>
  <si>
    <t>LKCMB</t>
  </si>
  <si>
    <t>PAONX</t>
  </si>
  <si>
    <t>ROCND</t>
  </si>
  <si>
    <t>DKCPH</t>
  </si>
  <si>
    <t>USCDV</t>
  </si>
  <si>
    <t>IEORK</t>
  </si>
  <si>
    <t>CACBK</t>
  </si>
  <si>
    <t>EGDAM</t>
  </si>
  <si>
    <t>SADMM</t>
  </si>
  <si>
    <t>VNDAD</t>
  </si>
  <si>
    <t>TZDAR</t>
  </si>
  <si>
    <t>AUDRW</t>
  </si>
  <si>
    <t>PHDVO</t>
  </si>
  <si>
    <t>NLDZL</t>
  </si>
  <si>
    <t>AUDPO</t>
  </si>
  <si>
    <t>VNHPH</t>
  </si>
  <si>
    <t>DJJIB</t>
  </si>
  <si>
    <t>QADOH</t>
  </si>
  <si>
    <t>GBDGL</t>
  </si>
  <si>
    <t>IEDRO</t>
  </si>
  <si>
    <t>AEDXB</t>
  </si>
  <si>
    <t>IEDUB</t>
  </si>
  <si>
    <t>DEDUI</t>
  </si>
  <si>
    <t>FRDKK</t>
  </si>
  <si>
    <t>DEDUS</t>
  </si>
  <si>
    <t>USDUT</t>
  </si>
  <si>
    <t>EGEDK</t>
  </si>
  <si>
    <t>GBELL</t>
  </si>
  <si>
    <t>DEELS</t>
  </si>
  <si>
    <t>DEEMM</t>
  </si>
  <si>
    <t>DKEBJ</t>
  </si>
  <si>
    <t>GBFXT</t>
  </si>
  <si>
    <t>NOFRO</t>
  </si>
  <si>
    <t>FRFOS</t>
  </si>
  <si>
    <t>DKFRC</t>
  </si>
  <si>
    <t>NOFRK</t>
  </si>
  <si>
    <t>AUFRE</t>
  </si>
  <si>
    <t>JPFKY</t>
  </si>
  <si>
    <t>SEGVX</t>
  </si>
  <si>
    <t>PLGDN</t>
  </si>
  <si>
    <t>PLGDY</t>
  </si>
  <si>
    <t>TRGEB</t>
  </si>
  <si>
    <t>PHGES</t>
  </si>
  <si>
    <t>BEGNK</t>
  </si>
  <si>
    <t>ITGOA</t>
  </si>
  <si>
    <t>GIGIB</t>
  </si>
  <si>
    <t>ITGIT</t>
  </si>
  <si>
    <t>SEGOT</t>
  </si>
  <si>
    <t>GBGRG</t>
  </si>
  <si>
    <t>GBGRK</t>
  </si>
  <si>
    <t>GBGSY</t>
  </si>
  <si>
    <t>MXGDL</t>
  </si>
  <si>
    <t>JPHHE</t>
  </si>
  <si>
    <t>ILHFA</t>
  </si>
  <si>
    <t>JPHKT</t>
  </si>
  <si>
    <t>NOHAL</t>
  </si>
  <si>
    <t>INHAL</t>
  </si>
  <si>
    <t>CAHAL</t>
  </si>
  <si>
    <t>SEHAD</t>
  </si>
  <si>
    <t>DEHAM</t>
  </si>
  <si>
    <t>BMBDA</t>
  </si>
  <si>
    <t>FIHMN</t>
  </si>
  <si>
    <t>FIHKO</t>
  </si>
  <si>
    <t>GBHRW</t>
  </si>
  <si>
    <t>NOHAU</t>
  </si>
  <si>
    <t>INHZA</t>
  </si>
  <si>
    <t>SEHEL</t>
  </si>
  <si>
    <t>FIHEL</t>
  </si>
  <si>
    <t>NOHRY</t>
  </si>
  <si>
    <t>JPKKJ</t>
  </si>
  <si>
    <t>VNSGN</t>
  </si>
  <si>
    <t>JPHIJ</t>
  </si>
  <si>
    <t>JPHTC</t>
  </si>
  <si>
    <t>HKHKG</t>
  </si>
  <si>
    <t>USHNL</t>
  </si>
  <si>
    <t>USHOU</t>
  </si>
  <si>
    <t>GBHUL</t>
  </si>
  <si>
    <t>IRBND</t>
  </si>
  <si>
    <t>NOIKR</t>
  </si>
  <si>
    <t>UAILK</t>
  </si>
  <si>
    <t>PHILO</t>
  </si>
  <si>
    <t>JPIMB</t>
  </si>
  <si>
    <t>JPIMI</t>
  </si>
  <si>
    <t>GBIMM</t>
  </si>
  <si>
    <t>JPISG</t>
  </si>
  <si>
    <t>JPIWK</t>
  </si>
  <si>
    <t>JPIYM</t>
  </si>
  <si>
    <t>TRIZM</t>
  </si>
  <si>
    <t>TRIZT</t>
  </si>
  <si>
    <t>USJAX</t>
  </si>
  <si>
    <t>IDJKT</t>
  </si>
  <si>
    <t>IDDJB</t>
  </si>
  <si>
    <t>AEJEA</t>
  </si>
  <si>
    <t>SAJED</t>
  </si>
  <si>
    <t>KRCHF</t>
  </si>
  <si>
    <t>SAJUB</t>
  </si>
  <si>
    <t>IDKAB</t>
  </si>
  <si>
    <t>RUKGD</t>
  </si>
  <si>
    <t>JPKIS</t>
  </si>
  <si>
    <t>TWKHH</t>
  </si>
  <si>
    <t>SEKAN</t>
  </si>
  <si>
    <t>JPKSM</t>
  </si>
  <si>
    <t>JPKWS</t>
  </si>
  <si>
    <t>PKKHI</t>
  </si>
  <si>
    <t>TWKEL</t>
  </si>
  <si>
    <t>FIKEM</t>
  </si>
  <si>
    <t>AEKLF</t>
  </si>
  <si>
    <t>IRKHO</t>
  </si>
  <si>
    <t>DEKEL</t>
  </si>
  <si>
    <t>JMKIN</t>
  </si>
  <si>
    <t>LTKLJ</t>
  </si>
  <si>
    <t>JPUKB</t>
  </si>
  <si>
    <t>JPKOK</t>
  </si>
  <si>
    <t>SIKOP</t>
  </si>
  <si>
    <t>MYBKI</t>
  </si>
  <si>
    <t>FIKTK</t>
  </si>
  <si>
    <t>INKRI</t>
  </si>
  <si>
    <t>NOKRS</t>
  </si>
  <si>
    <t>NOKSU</t>
  </si>
  <si>
    <t>IDKTK</t>
  </si>
  <si>
    <t>MYKUA</t>
  </si>
  <si>
    <t>MYKCH</t>
  </si>
  <si>
    <t>KWKWI</t>
  </si>
  <si>
    <t>KRKAN</t>
  </si>
  <si>
    <t>FRLRH</t>
  </si>
  <si>
    <t>ITSPE</t>
  </si>
  <si>
    <t>MYLBU</t>
  </si>
  <si>
    <t>THLCH</t>
  </si>
  <si>
    <t>NOLAR</t>
  </si>
  <si>
    <t>FRLEH</t>
  </si>
  <si>
    <t>FRLVE</t>
  </si>
  <si>
    <t>PTLEI</t>
  </si>
  <si>
    <t>CYLMS</t>
  </si>
  <si>
    <t>PTLIS</t>
  </si>
  <si>
    <t>GBLIV</t>
  </si>
  <si>
    <t>ITLIV</t>
  </si>
  <si>
    <t>IDTUB</t>
  </si>
  <si>
    <t>GBLON</t>
  </si>
  <si>
    <t>USLGB</t>
  </si>
  <si>
    <t>USLAX</t>
  </si>
  <si>
    <t>DELBC</t>
  </si>
  <si>
    <t>NZLYT</t>
  </si>
  <si>
    <t>MOMFM</t>
  </si>
  <si>
    <t>MHMAJ</t>
  </si>
  <si>
    <t>SEMMA</t>
  </si>
  <si>
    <t>NOMAY</t>
  </si>
  <si>
    <t>INIXE</t>
  </si>
  <si>
    <t>FIMTL</t>
  </si>
  <si>
    <t>MXZLO</t>
  </si>
  <si>
    <t>PAMIT</t>
  </si>
  <si>
    <t>MTMAR</t>
  </si>
  <si>
    <t>JPMYJ</t>
  </si>
  <si>
    <t>AUMEL</t>
  </si>
  <si>
    <t>IDMRK</t>
  </si>
  <si>
    <t>TRMER</t>
  </si>
  <si>
    <t>QAUMS</t>
  </si>
  <si>
    <t>USMIA</t>
  </si>
  <si>
    <t>BHMIN</t>
  </si>
  <si>
    <t>MYMYY</t>
  </si>
  <si>
    <t>JPMIZ</t>
  </si>
  <si>
    <t>USMOB</t>
  </si>
  <si>
    <t>JPMOJ</t>
  </si>
  <si>
    <t>NOMOL</t>
  </si>
  <si>
    <t>KEMBA</t>
  </si>
  <si>
    <t>BDMGL</t>
  </si>
  <si>
    <t>LRMLW</t>
  </si>
  <si>
    <t>CAMTR</t>
  </si>
  <si>
    <t>NOMSS</t>
  </si>
  <si>
    <t>BNMUA</t>
  </si>
  <si>
    <t>FRMLH</t>
  </si>
  <si>
    <t>INBOM</t>
  </si>
  <si>
    <t>INMUN</t>
  </si>
  <si>
    <t>RUMMK</t>
  </si>
  <si>
    <t>OMMCT</t>
  </si>
  <si>
    <t>EEMUG</t>
  </si>
  <si>
    <t>JPNGS</t>
  </si>
  <si>
    <t>JPNGO</t>
  </si>
  <si>
    <t>JPNAH</t>
  </si>
  <si>
    <t>NZNPE</t>
  </si>
  <si>
    <t>BSNAS</t>
  </si>
  <si>
    <t>NZNSN</t>
  </si>
  <si>
    <t>USMSY</t>
  </si>
  <si>
    <t>USNYC</t>
  </si>
  <si>
    <t>USNNS</t>
  </si>
  <si>
    <t>INNSA</t>
  </si>
  <si>
    <t>JPKIJ</t>
  </si>
  <si>
    <t>USORF</t>
  </si>
  <si>
    <t>SENRK</t>
  </si>
  <si>
    <t>NCNOU</t>
  </si>
  <si>
    <t>RUNVS</t>
  </si>
  <si>
    <t>USOAK</t>
  </si>
  <si>
    <t>UAODS</t>
  </si>
  <si>
    <t>JPOIT</t>
  </si>
  <si>
    <t>JPOMZ</t>
  </si>
  <si>
    <t>BEOST</t>
  </si>
  <si>
    <t>NOORK</t>
  </si>
  <si>
    <t>JPOSA</t>
  </si>
  <si>
    <t>SEOSK</t>
  </si>
  <si>
    <t>NOOSL</t>
  </si>
  <si>
    <t>JPOTR</t>
  </si>
  <si>
    <t>FIOUL</t>
  </si>
  <si>
    <t>IDPDG</t>
  </si>
  <si>
    <t>PEPAI</t>
  </si>
  <si>
    <t>EEPLA</t>
  </si>
  <si>
    <t>IDPLM</t>
  </si>
  <si>
    <t>PHPAN</t>
  </si>
  <si>
    <t>PAPTY</t>
  </si>
  <si>
    <t>IDPNJ</t>
  </si>
  <si>
    <t>INPPT</t>
  </si>
  <si>
    <t>MYPGU</t>
  </si>
  <si>
    <t>IDPKU</t>
  </si>
  <si>
    <t>MYPEN</t>
  </si>
  <si>
    <t>IDPER</t>
  </si>
  <si>
    <t>KHPNH</t>
  </si>
  <si>
    <t>GRPIR</t>
  </si>
  <si>
    <t>IDPNK</t>
  </si>
  <si>
    <t>FIPOR</t>
  </si>
  <si>
    <t>USCPV</t>
  </si>
  <si>
    <t>NZPOE</t>
  </si>
  <si>
    <t>USPEF</t>
  </si>
  <si>
    <t>MYPKG</t>
  </si>
  <si>
    <t>MUPLU</t>
  </si>
  <si>
    <t>PKBQM</t>
  </si>
  <si>
    <t>EGPSD</t>
  </si>
  <si>
    <t>EGPSE</t>
  </si>
  <si>
    <t>SDPZU</t>
  </si>
  <si>
    <t>YEADE</t>
  </si>
  <si>
    <t>JOAQJ</t>
  </si>
  <si>
    <t>LBBEY</t>
  </si>
  <si>
    <t>COCTG</t>
  </si>
  <si>
    <t>PHCBO</t>
  </si>
  <si>
    <t>TRISK</t>
  </si>
  <si>
    <t>LULUX</t>
  </si>
  <si>
    <t>USPWM</t>
  </si>
  <si>
    <t>USPDX</t>
  </si>
  <si>
    <t>CAPRR</t>
  </si>
  <si>
    <t>VNUIH</t>
  </si>
  <si>
    <t>TNRDS</t>
  </si>
  <si>
    <t>FIRAU</t>
  </si>
  <si>
    <t>DEREN</t>
  </si>
  <si>
    <t>LVRIX</t>
  </si>
  <si>
    <t>HRRJK</t>
  </si>
  <si>
    <t>NLRTM</t>
  </si>
  <si>
    <t>THPRG</t>
  </si>
  <si>
    <t>CASJB</t>
  </si>
  <si>
    <t>AGSJO</t>
  </si>
  <si>
    <t>CASJF</t>
  </si>
  <si>
    <t>RULED</t>
  </si>
  <si>
    <t>OMSLL</t>
  </si>
  <si>
    <t>ITSAL</t>
  </si>
  <si>
    <t>IDSRI</t>
  </si>
  <si>
    <t>USSPQ</t>
  </si>
  <si>
    <t>MYSDK</t>
  </si>
  <si>
    <t>USSAV</t>
  </si>
  <si>
    <t>USSEA</t>
  </si>
  <si>
    <t>IDSKP</t>
  </si>
  <si>
    <t>IDSRG</t>
  </si>
  <si>
    <t>JPSDJ</t>
  </si>
  <si>
    <t>PTSET</t>
  </si>
  <si>
    <t>AESHJ</t>
  </si>
  <si>
    <t>JPSBS</t>
  </si>
  <si>
    <t>JPSMZ</t>
  </si>
  <si>
    <t>JPSHS</t>
  </si>
  <si>
    <t>KWSAA</t>
  </si>
  <si>
    <t>MYSBW</t>
  </si>
  <si>
    <t>KHKOS</t>
  </si>
  <si>
    <t>SGSIN</t>
  </si>
  <si>
    <t>DKSKA</t>
  </si>
  <si>
    <t>SESOE</t>
  </si>
  <si>
    <t>OMSOH</t>
  </si>
  <si>
    <t>EGSOK</t>
  </si>
  <si>
    <t>GBSOU</t>
  </si>
  <si>
    <t>DESTA</t>
  </si>
  <si>
    <t>NOSVG</t>
  </si>
  <si>
    <t>SESTO</t>
  </si>
  <si>
    <t>FRSXB</t>
  </si>
  <si>
    <t>EGSUZ</t>
  </si>
  <si>
    <t>IDSUB</t>
  </si>
  <si>
    <t>PHCNT</t>
  </si>
  <si>
    <t>FJSUV</t>
  </si>
  <si>
    <t>AUSYD</t>
  </si>
  <si>
    <t>PLSZZ</t>
  </si>
  <si>
    <t>USTIW</t>
  </si>
  <si>
    <t>TWTXG</t>
  </si>
  <si>
    <t>TWTPE</t>
  </si>
  <si>
    <t>JPTAK</t>
  </si>
  <si>
    <t>EETLL</t>
  </si>
  <si>
    <t>USTPA</t>
  </si>
  <si>
    <t>MATNG</t>
  </si>
  <si>
    <t>MYTMP</t>
  </si>
  <si>
    <t>MYTPP</t>
  </si>
  <si>
    <t>IDTNJ</t>
  </si>
  <si>
    <t>IDBJU</t>
  </si>
  <si>
    <t>NZTRG</t>
  </si>
  <si>
    <t>MYTWU</t>
  </si>
  <si>
    <t>GBMID</t>
  </si>
  <si>
    <t>GBTHP</t>
  </si>
  <si>
    <t>GRSKG</t>
  </si>
  <si>
    <t>NLTLB</t>
  </si>
  <si>
    <t>GBTIL</t>
  </si>
  <si>
    <t>JPTKS</t>
  </si>
  <si>
    <t>JPTKY</t>
  </si>
  <si>
    <t>JPTYO</t>
  </si>
  <si>
    <t>JPTMK</t>
  </si>
  <si>
    <t>JPTOY</t>
  </si>
  <si>
    <t>JPTOU</t>
  </si>
  <si>
    <t>JPTHS</t>
  </si>
  <si>
    <t>ITTRS</t>
  </si>
  <si>
    <t>NOTOS</t>
  </si>
  <si>
    <t>NOTRD</t>
  </si>
  <si>
    <t>FITKU</t>
  </si>
  <si>
    <t>INTUT</t>
  </si>
  <si>
    <t>GBSSH</t>
  </si>
  <si>
    <t>JPUBJ</t>
  </si>
  <si>
    <t>IDUPG</t>
  </si>
  <si>
    <t>AEQIW</t>
  </si>
  <si>
    <t>IQUQR</t>
  </si>
  <si>
    <t>RUULU</t>
  </si>
  <si>
    <t>USVDZ</t>
  </si>
  <si>
    <t>ESVLC</t>
  </si>
  <si>
    <t>MTMLA</t>
  </si>
  <si>
    <t>CLVAP</t>
  </si>
  <si>
    <t>CAVAN</t>
  </si>
  <si>
    <t>BGVAR</t>
  </si>
  <si>
    <t>SEVST</t>
  </si>
  <si>
    <t>MXVER</t>
  </si>
  <si>
    <t>ESVGO</t>
  </si>
  <si>
    <t>INVTZ</t>
  </si>
  <si>
    <t>JPWAK</t>
  </si>
  <si>
    <t>IEWAT</t>
  </si>
  <si>
    <t>NZWLG</t>
  </si>
  <si>
    <t>USPBI</t>
  </si>
  <si>
    <t>DEWVN</t>
  </si>
  <si>
    <t>BEWLB</t>
  </si>
  <si>
    <t>MMRGN</t>
  </si>
  <si>
    <t>JPYKK</t>
  </si>
  <si>
    <t>JPYOK</t>
  </si>
  <si>
    <t>PHZAM</t>
  </si>
  <si>
    <t>BEZEE</t>
  </si>
  <si>
    <t>港口代码</t>
  </si>
  <si>
    <t>港口名称</t>
  </si>
  <si>
    <t>关单号 应以OOLU开头</t>
  </si>
  <si>
    <t>发货人名称 不应多于70个字符</t>
  </si>
  <si>
    <t>发货人地址 不应多于140个字符</t>
  </si>
  <si>
    <t>发货人城市 不应多于35个字符</t>
  </si>
  <si>
    <t>发货人国家编码 应为2个字符</t>
  </si>
  <si>
    <t>收货人名称 不应多于70个字符</t>
  </si>
  <si>
    <t>收货人地址 不应多于140个字符</t>
  </si>
  <si>
    <t>收货人城市 不应多于35个字符</t>
  </si>
  <si>
    <t>收货人国家编码 应为2个字符</t>
  </si>
  <si>
    <t>通知人名称 不应多于70个字符</t>
  </si>
  <si>
    <t>通知人地址 不应多于140个字符</t>
  </si>
  <si>
    <t>通知人城市 不应多于35个字符</t>
  </si>
  <si>
    <t>通知人国家编码 应为2个字符</t>
  </si>
  <si>
    <t>铅封号 不应多于20个字符</t>
  </si>
  <si>
    <t>件数 应为数字</t>
  </si>
  <si>
    <t>包装代码 错误（请参照“包装代码”页）</t>
  </si>
  <si>
    <t>货物毛重(kg) 应为数字</t>
  </si>
  <si>
    <t>体积 (m3) 应为数字</t>
  </si>
  <si>
    <t>唛头 不应多于90个字符</t>
  </si>
  <si>
    <t>品名 不应多于2000个字符</t>
  </si>
  <si>
    <t>中转港 不应多于5个字符</t>
  </si>
  <si>
    <t>付费方式代码 错误 （请参照“付款方式代码”页）</t>
  </si>
  <si>
    <t>危险品级别
Class</t>
  </si>
  <si>
    <t>危险品编码
UN No.</t>
  </si>
  <si>
    <t>校验信息</t>
  </si>
  <si>
    <t>危险品类别 应为4个字符</t>
  </si>
  <si>
    <t>发货人
联系电话</t>
  </si>
  <si>
    <t>发货人
企业编码</t>
  </si>
  <si>
    <t>收货人
联系电话</t>
  </si>
  <si>
    <t>发货人
国家编码 
(UN/LOCODE)</t>
  </si>
  <si>
    <t>收货人
国家编码 
(UN/LOCODE)</t>
  </si>
  <si>
    <t>收货人
企业编码</t>
  </si>
  <si>
    <t>通知人
联系电话
(UN/LOCODE)</t>
  </si>
  <si>
    <t>通知人
企业编码</t>
  </si>
  <si>
    <r>
      <t>体积 (m</t>
    </r>
    <r>
      <rPr>
        <vertAlign val="superscript"/>
        <sz val="11"/>
        <rFont val="宋体"/>
        <family val="2"/>
        <scheme val="minor"/>
      </rPr>
      <t>3</t>
    </r>
    <r>
      <rPr>
        <sz val="11"/>
        <rFont val="宋体"/>
        <family val="2"/>
        <scheme val="minor"/>
      </rPr>
      <t>)</t>
    </r>
  </si>
  <si>
    <t>发货人名称</t>
  </si>
  <si>
    <t>发货人地址</t>
  </si>
  <si>
    <t>必填</t>
  </si>
  <si>
    <t>最大字符长度</t>
  </si>
  <si>
    <t>备注</t>
  </si>
  <si>
    <t>是</t>
  </si>
  <si>
    <t>危险品
级别
(Class)</t>
  </si>
  <si>
    <t>危险品
编码
(UN No.)</t>
  </si>
  <si>
    <t>危险品
联系人姓名</t>
  </si>
  <si>
    <t>危险品
联系人通讯号码</t>
  </si>
  <si>
    <t>应以OOLU开头</t>
  </si>
  <si>
    <t xml:space="preserve">缺少 发货人名称 </t>
  </si>
  <si>
    <t>缺少 发货人地址</t>
  </si>
  <si>
    <t>缺少 发货人城市</t>
  </si>
  <si>
    <t>缺少 发货人联系电话</t>
  </si>
  <si>
    <t>缺少 收货人名称</t>
  </si>
  <si>
    <t>缺少 收货人地址</t>
  </si>
  <si>
    <t>缺少 收货人城市</t>
  </si>
  <si>
    <t>缺少 收货人联系电话</t>
  </si>
  <si>
    <t>缺少 通知人名称</t>
  </si>
  <si>
    <t>缺少 通知人地址</t>
  </si>
  <si>
    <t>缺少 通知人城市</t>
  </si>
  <si>
    <t xml:space="preserve">通知人
联系电话
</t>
  </si>
  <si>
    <t>缺少 通知人联系电话</t>
  </si>
  <si>
    <t>通知人联系电话 不应多于60个字符</t>
  </si>
  <si>
    <t>收货人联系电话 不应多于60个字符</t>
  </si>
  <si>
    <t>发货人联系电话 不应多于60个字符</t>
  </si>
  <si>
    <t>尺寸箱型 错误 （请参照“箱型尺寸 ” 页）</t>
  </si>
  <si>
    <t>箱号 应为11个字符</t>
  </si>
  <si>
    <t>缺少 铅封号</t>
  </si>
  <si>
    <t>货物毛重
(kg)</t>
  </si>
  <si>
    <r>
      <t>体积 
(m</t>
    </r>
    <r>
      <rPr>
        <b/>
        <vertAlign val="superscript"/>
        <sz val="11"/>
        <rFont val="宋体"/>
        <family val="2"/>
        <scheme val="minor"/>
      </rPr>
      <t>3</t>
    </r>
    <r>
      <rPr>
        <b/>
        <sz val="11"/>
        <rFont val="宋体"/>
        <family val="2"/>
        <scheme val="minor"/>
      </rPr>
      <t>)</t>
    </r>
  </si>
  <si>
    <t>数字</t>
  </si>
  <si>
    <t>如无资料，请填写 "N/M"</t>
  </si>
  <si>
    <t>Prepaid 预付</t>
  </si>
  <si>
    <t>Collect 到付</t>
  </si>
  <si>
    <t>缺少 品名</t>
  </si>
  <si>
    <t>缺少 目的港</t>
  </si>
  <si>
    <t>目的港 应为5个字符</t>
  </si>
  <si>
    <t>请参照 “箱型尺寸” 页内 “箱型尺寸” 列</t>
  </si>
  <si>
    <t>请参照 “包装代码” 页内 “包装代码” 列</t>
  </si>
  <si>
    <t>请参照 “港口代码” 页内 “港口代码” 列 (格式为 UN/LOCODE)</t>
  </si>
  <si>
    <t xml:space="preserve">请参照 “付款方式” 页内 “付款方式” 列 </t>
  </si>
  <si>
    <t>否 (Conditional）</t>
  </si>
  <si>
    <t>危险品编码 应为10个字符</t>
  </si>
  <si>
    <t>危险品联系人姓名 不应多于35个字符</t>
  </si>
  <si>
    <t>通讯方式号码 不应多于20个字符</t>
  </si>
  <si>
    <t xml:space="preserve">请参照 “运输条款” 页内 “代码” 列 </t>
  </si>
  <si>
    <t>运输条款代码 错误（请参照“运输条款”页）</t>
  </si>
  <si>
    <t>CLLQN</t>
  </si>
  <si>
    <t>CIABJ</t>
  </si>
  <si>
    <t>Abidjan</t>
  </si>
  <si>
    <t>Apapa</t>
  </si>
  <si>
    <t>NGTIN</t>
  </si>
  <si>
    <t>Tincan</t>
  </si>
  <si>
    <t>GHTEM</t>
  </si>
  <si>
    <t>Tema</t>
  </si>
  <si>
    <t>CLSAI</t>
  </si>
  <si>
    <t>Buenaventura</t>
  </si>
  <si>
    <t>NGPHC</t>
  </si>
  <si>
    <t>NGAPP</t>
  </si>
  <si>
    <t>v201812181616</t>
  </si>
  <si>
    <t>名称</t>
  </si>
  <si>
    <t>发货人
地区编码</t>
  </si>
  <si>
    <t xml:space="preserve">收货人
地区编码 
</t>
  </si>
  <si>
    <t>通知人
地区编码</t>
  </si>
  <si>
    <t>地区编码</t>
  </si>
  <si>
    <t xml:space="preserve">收货人地区编码 </t>
  </si>
  <si>
    <t>发货人地区编码</t>
  </si>
  <si>
    <t>通知人地区编码</t>
  </si>
  <si>
    <t>Santos</t>
  </si>
  <si>
    <t>BRSSZ</t>
  </si>
  <si>
    <t>Paranagua</t>
  </si>
  <si>
    <t>BRPNG</t>
  </si>
  <si>
    <t>Itapoa</t>
  </si>
  <si>
    <t>BRIOA</t>
  </si>
  <si>
    <t>Navegantes</t>
  </si>
  <si>
    <t>BRNVT</t>
  </si>
  <si>
    <t>Itajai</t>
  </si>
  <si>
    <t>BRITJ</t>
  </si>
  <si>
    <t>Luanda</t>
  </si>
  <si>
    <t>关单号/提单号</t>
  </si>
  <si>
    <t>BRRIG</t>
  </si>
  <si>
    <t>Cape Town</t>
  </si>
  <si>
    <t>20' Flatrack</t>
  </si>
  <si>
    <t>22G0</t>
  </si>
  <si>
    <t>20' General Purpose</t>
  </si>
  <si>
    <t>22G9</t>
  </si>
  <si>
    <t xml:space="preserve">20' General Purpose with Hanger </t>
  </si>
  <si>
    <t>25G1</t>
  </si>
  <si>
    <t>20' High Cube</t>
  </si>
  <si>
    <t>20' Open Top</t>
  </si>
  <si>
    <t xml:space="preserve">20' Reefer                </t>
  </si>
  <si>
    <t>22T5</t>
  </si>
  <si>
    <t xml:space="preserve">20' Tank                                  </t>
  </si>
  <si>
    <t xml:space="preserve">40' Flatrack                 </t>
  </si>
  <si>
    <t>40' Flatrack High Cube</t>
  </si>
  <si>
    <t>42G0</t>
  </si>
  <si>
    <t xml:space="preserve">40' General Purpose </t>
  </si>
  <si>
    <t>40' General Purpose with Hanger</t>
  </si>
  <si>
    <t>45G0</t>
  </si>
  <si>
    <t>40' High Cube</t>
  </si>
  <si>
    <t>40' Open Top High Cube</t>
  </si>
  <si>
    <t>40' Open Top</t>
  </si>
  <si>
    <t>40' High Cube Reefer</t>
  </si>
  <si>
    <t>40' Super Flat Rack</t>
  </si>
  <si>
    <t>42T1</t>
  </si>
  <si>
    <t>40' Gas Tank</t>
  </si>
  <si>
    <t>45' High Cube</t>
  </si>
  <si>
    <t>安道尔</t>
  </si>
  <si>
    <t>阿拉伯联合酋长国</t>
  </si>
  <si>
    <t>阿富汗</t>
  </si>
  <si>
    <t>安提瓜和巴布达</t>
  </si>
  <si>
    <t>安圭拉</t>
  </si>
  <si>
    <t>阿尔巴尼亚</t>
  </si>
  <si>
    <t>安哥拉</t>
  </si>
  <si>
    <t>亚美尼亚</t>
  </si>
  <si>
    <t>南极洲</t>
  </si>
  <si>
    <t>阿根廷</t>
  </si>
  <si>
    <t>美属萨摩亚</t>
  </si>
  <si>
    <t>奥地利</t>
  </si>
  <si>
    <t>澳大利亚</t>
  </si>
  <si>
    <t>阿鲁巴岛</t>
  </si>
  <si>
    <t>奥兰群岛</t>
  </si>
  <si>
    <t>阿塞拜疆</t>
  </si>
  <si>
    <t>巴巴多斯</t>
  </si>
  <si>
    <t>比利时</t>
  </si>
  <si>
    <t>布基纳法索</t>
  </si>
  <si>
    <t>保加利亚</t>
  </si>
  <si>
    <t>巴林</t>
  </si>
  <si>
    <t>布隆迪</t>
  </si>
  <si>
    <t>贝宁</t>
  </si>
  <si>
    <t>百慕大</t>
  </si>
  <si>
    <t>文莱达鲁萨兰国</t>
  </si>
  <si>
    <t>巴西</t>
  </si>
  <si>
    <t>巴哈马</t>
  </si>
  <si>
    <t>不丹</t>
  </si>
  <si>
    <t>布韦岛</t>
  </si>
  <si>
    <t>博茨瓦纳</t>
  </si>
  <si>
    <t>白俄罗斯</t>
  </si>
  <si>
    <t>伯利兹</t>
  </si>
  <si>
    <t>加拿大</t>
  </si>
  <si>
    <t>科科斯（基林）群岛</t>
  </si>
  <si>
    <t>刚果民主共和国</t>
  </si>
  <si>
    <t>中非共和国</t>
  </si>
  <si>
    <t>刚果</t>
  </si>
  <si>
    <t>瑞士</t>
  </si>
  <si>
    <t>科特迪瓦</t>
  </si>
  <si>
    <t>库克群岛</t>
  </si>
  <si>
    <t>智利</t>
  </si>
  <si>
    <t>喀麦隆</t>
  </si>
  <si>
    <t>中国</t>
  </si>
  <si>
    <t>哥伦比亚</t>
  </si>
  <si>
    <t>哥斯达黎加</t>
  </si>
  <si>
    <t>古巴</t>
  </si>
  <si>
    <t>佛得角</t>
  </si>
  <si>
    <t>库拉索</t>
  </si>
  <si>
    <t>圣诞岛</t>
  </si>
  <si>
    <t>塞浦路斯</t>
  </si>
  <si>
    <t>德国</t>
  </si>
  <si>
    <t>吉布提</t>
  </si>
  <si>
    <t>丹麦</t>
  </si>
  <si>
    <t>多明尼加共和国</t>
  </si>
  <si>
    <t>阿尔及利亚</t>
  </si>
  <si>
    <t>厄瓜多尔</t>
  </si>
  <si>
    <t>爱沙尼亚</t>
  </si>
  <si>
    <t>埃及</t>
  </si>
  <si>
    <t>西撒哈拉</t>
  </si>
  <si>
    <t>厄立特里亚</t>
  </si>
  <si>
    <t>西班牙</t>
  </si>
  <si>
    <t>埃塞俄比亚</t>
  </si>
  <si>
    <t>芬兰</t>
  </si>
  <si>
    <t>斐济</t>
  </si>
  <si>
    <t>福克兰群岛（马尔维纳斯）</t>
  </si>
  <si>
    <t>密克罗尼西亚联邦</t>
  </si>
  <si>
    <t>法罗群岛</t>
  </si>
  <si>
    <t>法国</t>
  </si>
  <si>
    <t>加蓬</t>
  </si>
  <si>
    <t>格林纳达</t>
  </si>
  <si>
    <t>英国</t>
  </si>
  <si>
    <t>法属圭亚那</t>
  </si>
  <si>
    <t>根西岛</t>
  </si>
  <si>
    <t>加纳</t>
  </si>
  <si>
    <t>直布罗陀</t>
  </si>
  <si>
    <t>格陵兰</t>
  </si>
  <si>
    <t>冈比亚</t>
  </si>
  <si>
    <t>几内亚</t>
  </si>
  <si>
    <t>瓜德罗普岛</t>
  </si>
  <si>
    <t>赤道几内亚</t>
  </si>
  <si>
    <t>希腊</t>
  </si>
  <si>
    <t>南乔治亚岛和南桑威奇群岛</t>
  </si>
  <si>
    <t>危地马拉</t>
  </si>
  <si>
    <t>关岛</t>
  </si>
  <si>
    <t>几内亚比绍</t>
  </si>
  <si>
    <t>圭亚那</t>
  </si>
  <si>
    <t>赫德岛和麦克唐纳群岛</t>
  </si>
  <si>
    <t>洪都拉斯</t>
  </si>
  <si>
    <t>克罗地亚</t>
  </si>
  <si>
    <t>海地</t>
  </si>
  <si>
    <t>匈牙利</t>
  </si>
  <si>
    <t>印度尼西亚</t>
  </si>
  <si>
    <t>爱尔兰</t>
  </si>
  <si>
    <t>以色列</t>
  </si>
  <si>
    <t>马恩岛</t>
  </si>
  <si>
    <t>印度</t>
  </si>
  <si>
    <t>英属印度洋领地</t>
  </si>
  <si>
    <t>伊拉克</t>
  </si>
  <si>
    <t>冰岛</t>
  </si>
  <si>
    <t>意大利</t>
  </si>
  <si>
    <t>牙买加</t>
  </si>
  <si>
    <t>约旦</t>
  </si>
  <si>
    <t>日本</t>
  </si>
  <si>
    <t>肯尼亚</t>
  </si>
  <si>
    <t>吉尔吉斯斯坦</t>
  </si>
  <si>
    <t>柬埔寨</t>
  </si>
  <si>
    <t>基里巴斯</t>
  </si>
  <si>
    <t>科摩罗</t>
  </si>
  <si>
    <t>圣基茨和尼维斯</t>
  </si>
  <si>
    <t>科威特</t>
  </si>
  <si>
    <t>开曼群岛</t>
  </si>
  <si>
    <t>哈萨克斯坦</t>
  </si>
  <si>
    <t>黎巴嫩</t>
  </si>
  <si>
    <t>圣卢西亚</t>
  </si>
  <si>
    <t>列支敦士登</t>
  </si>
  <si>
    <t>斯里兰卡</t>
  </si>
  <si>
    <t>利比里亚</t>
  </si>
  <si>
    <t>莱索托</t>
  </si>
  <si>
    <t>立陶宛</t>
  </si>
  <si>
    <t>卢森堡</t>
  </si>
  <si>
    <t>利比亚</t>
  </si>
  <si>
    <t>摩洛哥</t>
  </si>
  <si>
    <t>摩纳哥</t>
  </si>
  <si>
    <t>黑山</t>
  </si>
  <si>
    <t>马达加斯加</t>
  </si>
  <si>
    <t>马绍尔群岛</t>
  </si>
  <si>
    <t>马里</t>
  </si>
  <si>
    <t>缅甸</t>
  </si>
  <si>
    <t>蒙古</t>
  </si>
  <si>
    <t>北马里亚纳群岛</t>
  </si>
  <si>
    <t>朝鲜</t>
  </si>
  <si>
    <t>韩国 </t>
  </si>
  <si>
    <t>老挝</t>
  </si>
  <si>
    <t>法属圣马丁</t>
  </si>
  <si>
    <t>马提尼克</t>
  </si>
  <si>
    <t>毛里塔尼亚</t>
  </si>
  <si>
    <t>蒙特塞拉特</t>
  </si>
  <si>
    <t>马耳他</t>
  </si>
  <si>
    <t>毛里求斯</t>
  </si>
  <si>
    <t>马尔代夫</t>
  </si>
  <si>
    <t>马拉维</t>
  </si>
  <si>
    <t>墨西哥</t>
  </si>
  <si>
    <t>马来西亚</t>
  </si>
  <si>
    <t>莫桑比克</t>
  </si>
  <si>
    <t>纳米比亚</t>
  </si>
  <si>
    <t>新喀里多尼亚</t>
  </si>
  <si>
    <t>尼日尔</t>
  </si>
  <si>
    <t>诺福克岛</t>
  </si>
  <si>
    <t>尼日利亚</t>
  </si>
  <si>
    <t>尼加拉瓜</t>
  </si>
  <si>
    <t>荷兰</t>
  </si>
  <si>
    <t>挪威</t>
  </si>
  <si>
    <t>尼泊尔</t>
  </si>
  <si>
    <t>瑙鲁</t>
  </si>
  <si>
    <t>纽埃</t>
  </si>
  <si>
    <t>新西兰</t>
  </si>
  <si>
    <t>阿曼</t>
  </si>
  <si>
    <t>巴拿马</t>
  </si>
  <si>
    <t>秘鲁</t>
  </si>
  <si>
    <t>法属波利尼西亚</t>
  </si>
  <si>
    <t>巴布亚新几内亚</t>
  </si>
  <si>
    <t>菲律宾</t>
  </si>
  <si>
    <t>巴基斯坦</t>
  </si>
  <si>
    <t>波兰</t>
  </si>
  <si>
    <t>圣皮埃尔和密克隆</t>
  </si>
  <si>
    <t>波多黎各</t>
  </si>
  <si>
    <t>葡萄牙</t>
  </si>
  <si>
    <t>帕劳</t>
  </si>
  <si>
    <t>巴拉圭</t>
  </si>
  <si>
    <t>卡塔尔</t>
  </si>
  <si>
    <t>留尼汪</t>
  </si>
  <si>
    <t>罗马尼亚</t>
  </si>
  <si>
    <t>塞尔维亚</t>
  </si>
  <si>
    <t>卢旺达</t>
  </si>
  <si>
    <t>沙特阿拉伯</t>
  </si>
  <si>
    <t>所罗门群岛</t>
  </si>
  <si>
    <t>塞舌尔</t>
  </si>
  <si>
    <t>苏丹</t>
  </si>
  <si>
    <t>瑞典</t>
  </si>
  <si>
    <t>新加坡</t>
  </si>
  <si>
    <t>斯洛文尼亚</t>
  </si>
  <si>
    <t>斯瓦尔巴和扬马延</t>
  </si>
  <si>
    <t>斯洛伐克</t>
  </si>
  <si>
    <t>塞拉利昂</t>
  </si>
  <si>
    <t>圣马力诺</t>
  </si>
  <si>
    <t>塞内加尔</t>
  </si>
  <si>
    <t>索马里</t>
  </si>
  <si>
    <t>苏里南</t>
  </si>
  <si>
    <t>南苏丹</t>
  </si>
  <si>
    <t>圣多美和普林西比</t>
  </si>
  <si>
    <t>萨尔瓦多</t>
  </si>
  <si>
    <t>斯威士兰</t>
  </si>
  <si>
    <t>特克斯和凯科斯群岛</t>
  </si>
  <si>
    <t>乍得</t>
  </si>
  <si>
    <t>法属南部领地</t>
  </si>
  <si>
    <t>多哥</t>
  </si>
  <si>
    <t>泰国</t>
  </si>
  <si>
    <t>塔吉克斯坦</t>
  </si>
  <si>
    <t>托克劳</t>
  </si>
  <si>
    <t>东帝汶</t>
  </si>
  <si>
    <t>土库曼斯坦</t>
  </si>
  <si>
    <t>突尼斯</t>
  </si>
  <si>
    <t>汤加</t>
  </si>
  <si>
    <t>特立尼达和多巴哥</t>
  </si>
  <si>
    <t>图瓦卢</t>
  </si>
  <si>
    <t>乌克兰</t>
  </si>
  <si>
    <t>乌干达</t>
  </si>
  <si>
    <t>美国本土外小岛屿</t>
  </si>
  <si>
    <t>美国</t>
  </si>
  <si>
    <t>乌拉圭</t>
  </si>
  <si>
    <t>乌兹别克斯坦</t>
  </si>
  <si>
    <t>英属维尔京群岛</t>
  </si>
  <si>
    <t>美国维尔京群岛</t>
  </si>
  <si>
    <t>越南</t>
  </si>
  <si>
    <t>瓦利斯和富图纳</t>
  </si>
  <si>
    <t>萨摩亚</t>
  </si>
  <si>
    <t>也门</t>
  </si>
  <si>
    <t>马约特岛</t>
  </si>
  <si>
    <t>南非</t>
  </si>
  <si>
    <t>赞比亚</t>
  </si>
  <si>
    <t>津巴布韦</t>
  </si>
  <si>
    <t>荷属圣马丁</t>
  </si>
  <si>
    <t>叙利亚</t>
  </si>
  <si>
    <t>土耳其</t>
  </si>
  <si>
    <t>中国台湾</t>
  </si>
  <si>
    <t>波斯尼亚 黑塞哥维那</t>
  </si>
  <si>
    <t>孟加拉</t>
  </si>
  <si>
    <t>圣巴泰勒米岛</t>
  </si>
  <si>
    <t>玻利维亚 </t>
  </si>
  <si>
    <t>荷兰加勒比区</t>
  </si>
  <si>
    <t>捷克</t>
  </si>
  <si>
    <t>多米尼克</t>
  </si>
  <si>
    <t>格鲁吉亚</t>
  </si>
  <si>
    <t>中国香港</t>
  </si>
  <si>
    <t>伊朗</t>
  </si>
  <si>
    <t>泽西岛</t>
  </si>
  <si>
    <t>摩尔多瓦</t>
  </si>
  <si>
    <t>中国澳门</t>
  </si>
  <si>
    <t>皮特凯恩群岛</t>
  </si>
  <si>
    <t>巴勒斯坦</t>
  </si>
  <si>
    <t>俄罗斯</t>
  </si>
  <si>
    <t>圣赫勒拿岛</t>
  </si>
  <si>
    <t>Eswatini</t>
  </si>
  <si>
    <t>坦桑尼亚</t>
  </si>
  <si>
    <t>梵蒂冈</t>
  </si>
  <si>
    <t>Vaticanae</t>
  </si>
  <si>
    <t>委内瑞拉</t>
  </si>
  <si>
    <t>Aalborg</t>
  </si>
  <si>
    <t>Aarhus</t>
  </si>
  <si>
    <t>Aberdeen</t>
  </si>
  <si>
    <t>Abu Dhabi</t>
  </si>
  <si>
    <t>JPABU</t>
  </si>
  <si>
    <t>Aburatsu</t>
  </si>
  <si>
    <t>SVAQJ</t>
  </si>
  <si>
    <t>Acajutla</t>
  </si>
  <si>
    <t>Adelaide</t>
  </si>
  <si>
    <t>Aeruw</t>
  </si>
  <si>
    <t>MAAGA</t>
  </si>
  <si>
    <t>Agadir</t>
  </si>
  <si>
    <t>Ahus</t>
  </si>
  <si>
    <t>Ajman</t>
  </si>
  <si>
    <t>Akita</t>
  </si>
  <si>
    <t>Alesund</t>
  </si>
  <si>
    <t>Alexandria</t>
  </si>
  <si>
    <t>Algeciras</t>
  </si>
  <si>
    <t>Algiers</t>
  </si>
  <si>
    <t>TRALI</t>
  </si>
  <si>
    <t>Aliaga</t>
  </si>
  <si>
    <t>ESALC</t>
  </si>
  <si>
    <t>Alicante</t>
  </si>
  <si>
    <t>Altamira</t>
  </si>
  <si>
    <t>Amsterdam</t>
  </si>
  <si>
    <t>ITAOI</t>
  </si>
  <si>
    <t>Ancona</t>
  </si>
  <si>
    <t>Antofagasta</t>
  </si>
  <si>
    <t>Antwerp</t>
  </si>
  <si>
    <t>Arica</t>
  </si>
  <si>
    <t>RUARH</t>
  </si>
  <si>
    <t>Arkhangelsk</t>
  </si>
  <si>
    <t>Asalouyeh/Pars Petrochemical Port</t>
  </si>
  <si>
    <t>Ashdod</t>
  </si>
  <si>
    <t>RUASF</t>
  </si>
  <si>
    <t>Astrakhan</t>
  </si>
  <si>
    <t>Auckland</t>
  </si>
  <si>
    <t>NOASV</t>
  </si>
  <si>
    <t>Austevoll</t>
  </si>
  <si>
    <t>Avonmouth</t>
  </si>
  <si>
    <t>BDS Port</t>
  </si>
  <si>
    <t>THBMT</t>
  </si>
  <si>
    <t>BMTP Port</t>
  </si>
  <si>
    <t>Balboa</t>
  </si>
  <si>
    <t>Balikpapan</t>
  </si>
  <si>
    <t>Baltimore</t>
  </si>
  <si>
    <t>RUBLT</t>
  </si>
  <si>
    <t>Baltiysk</t>
  </si>
  <si>
    <t>Bangkok</t>
  </si>
  <si>
    <t>Banjarmasin</t>
  </si>
  <si>
    <t>GMBJL</t>
  </si>
  <si>
    <t>Banjul</t>
  </si>
  <si>
    <t>Barcelona</t>
  </si>
  <si>
    <t>Barranquilla</t>
  </si>
  <si>
    <t>CHBSL</t>
  </si>
  <si>
    <t>Basel</t>
  </si>
  <si>
    <t>IQBSR</t>
  </si>
  <si>
    <t>Basrah</t>
  </si>
  <si>
    <t>Batangas Port</t>
  </si>
  <si>
    <t>Batu Ampar</t>
  </si>
  <si>
    <t>Batu Pahat</t>
  </si>
  <si>
    <t>GEBUS</t>
  </si>
  <si>
    <t>Batumi</t>
  </si>
  <si>
    <t>MZBEW</t>
  </si>
  <si>
    <t>Beira</t>
  </si>
  <si>
    <t>Belawan</t>
  </si>
  <si>
    <t>Belfast</t>
  </si>
  <si>
    <t>Bell Bay</t>
  </si>
  <si>
    <t>Benoa</t>
  </si>
  <si>
    <t>SOBBO</t>
  </si>
  <si>
    <t>Berbera</t>
  </si>
  <si>
    <t>ITB8S</t>
  </si>
  <si>
    <t>Bergeggi</t>
  </si>
  <si>
    <t>Bergen</t>
  </si>
  <si>
    <t>Bilbao</t>
  </si>
  <si>
    <t>VNBDG</t>
  </si>
  <si>
    <t>Binh Duong</t>
  </si>
  <si>
    <t>Bintulu</t>
  </si>
  <si>
    <t>Bitung</t>
  </si>
  <si>
    <t>Blyth</t>
  </si>
  <si>
    <t>FRBSM</t>
  </si>
  <si>
    <t>Bonneuil sur Marne</t>
  </si>
  <si>
    <t>Bordeaux</t>
  </si>
  <si>
    <t>NLBON</t>
  </si>
  <si>
    <t>Born</t>
  </si>
  <si>
    <t>TRBSP</t>
  </si>
  <si>
    <t>Bosphorus</t>
  </si>
  <si>
    <t>Boston</t>
  </si>
  <si>
    <t>Bremen</t>
  </si>
  <si>
    <t>Bremerhaven</t>
  </si>
  <si>
    <t>Brevik</t>
  </si>
  <si>
    <t>Brisbane</t>
  </si>
  <si>
    <t>Buatan</t>
  </si>
  <si>
    <t>ARBUE</t>
  </si>
  <si>
    <t>Buenos Aires</t>
  </si>
  <si>
    <t>BGBOJ</t>
  </si>
  <si>
    <t>Burgas</t>
  </si>
  <si>
    <t>Burnie</t>
  </si>
  <si>
    <t>Busan</t>
  </si>
  <si>
    <t>Bushehr</t>
  </si>
  <si>
    <t>PYBCM</t>
  </si>
  <si>
    <t>Caacupemi</t>
  </si>
  <si>
    <t>Cagayan de Oro</t>
  </si>
  <si>
    <t>Cagliari</t>
  </si>
  <si>
    <t>VNCCU</t>
  </si>
  <si>
    <t>Cai Cui</t>
  </si>
  <si>
    <t>VNCLN</t>
  </si>
  <si>
    <t>Cai Lan</t>
  </si>
  <si>
    <t>Cai Mep</t>
  </si>
  <si>
    <t>Calcutta</t>
  </si>
  <si>
    <t>CRCAL</t>
  </si>
  <si>
    <t>Caldera</t>
  </si>
  <si>
    <t>Callao</t>
  </si>
  <si>
    <t>Can Tho</t>
  </si>
  <si>
    <t>Cartagena (Columbia)</t>
  </si>
  <si>
    <t>ESCAR</t>
  </si>
  <si>
    <t>Cartagena (Spain)</t>
  </si>
  <si>
    <t>Casablanca</t>
  </si>
  <si>
    <t>ESCAS</t>
  </si>
  <si>
    <t>Castellon</t>
  </si>
  <si>
    <t>LCCAS</t>
  </si>
  <si>
    <t>Castries</t>
  </si>
  <si>
    <t>DOCAU</t>
  </si>
  <si>
    <t>Caucedo</t>
  </si>
  <si>
    <t>Cebu</t>
  </si>
  <si>
    <t>Charleston</t>
  </si>
  <si>
    <t>Chattogram</t>
  </si>
  <si>
    <t>Chennai</t>
  </si>
  <si>
    <t>Chiba</t>
  </si>
  <si>
    <t>Christchurch</t>
  </si>
  <si>
    <t>Cochin</t>
  </si>
  <si>
    <t>Colombo</t>
  </si>
  <si>
    <t>Colon</t>
  </si>
  <si>
    <t>GNCKY</t>
  </si>
  <si>
    <t>Conakry</t>
  </si>
  <si>
    <t>Constanta</t>
  </si>
  <si>
    <t>Copenhagen</t>
  </si>
  <si>
    <t>Cordova</t>
  </si>
  <si>
    <t>NICIO</t>
  </si>
  <si>
    <t>Corinto</t>
  </si>
  <si>
    <t>Cork</t>
  </si>
  <si>
    <t>Corner Brook</t>
  </si>
  <si>
    <t>CLCNL</t>
  </si>
  <si>
    <t>Coronel</t>
  </si>
  <si>
    <t>BJCOO</t>
  </si>
  <si>
    <t>Cotonou</t>
  </si>
  <si>
    <t>PACTB</t>
  </si>
  <si>
    <t>Cristobal</t>
  </si>
  <si>
    <t>SNDKR</t>
  </si>
  <si>
    <t>Dakar</t>
  </si>
  <si>
    <t>Damietta</t>
  </si>
  <si>
    <t>Dammam</t>
  </si>
  <si>
    <t>Danang</t>
  </si>
  <si>
    <t>Dar es Salaam</t>
  </si>
  <si>
    <t>Darwin</t>
  </si>
  <si>
    <t>Davao</t>
  </si>
  <si>
    <t>Delfzijl</t>
  </si>
  <si>
    <t>Devonport</t>
  </si>
  <si>
    <t>INDMQ</t>
  </si>
  <si>
    <t>Dhamra</t>
  </si>
  <si>
    <t>VNDVU</t>
  </si>
  <si>
    <t>DinhVu Port</t>
  </si>
  <si>
    <t>VNDXA</t>
  </si>
  <si>
    <t>Doan Xa port</t>
  </si>
  <si>
    <t>Doha</t>
  </si>
  <si>
    <t>VNDNA</t>
  </si>
  <si>
    <t>Dong Nai</t>
  </si>
  <si>
    <t>CMDLA</t>
  </si>
  <si>
    <t>Douala</t>
  </si>
  <si>
    <t>Douglas (IOM)</t>
  </si>
  <si>
    <t>Drogheda</t>
  </si>
  <si>
    <t>Dubai</t>
  </si>
  <si>
    <t>Dublin</t>
  </si>
  <si>
    <t>Duisburg</t>
  </si>
  <si>
    <t>Dunkerque</t>
  </si>
  <si>
    <t>Durban</t>
  </si>
  <si>
    <t>Dusseldorf</t>
  </si>
  <si>
    <t>Dutch Harbor</t>
  </si>
  <si>
    <t>NOEGE</t>
  </si>
  <si>
    <t>Egersund</t>
  </si>
  <si>
    <t>El Dekheila</t>
  </si>
  <si>
    <t>Ellesmere Port</t>
  </si>
  <si>
    <t>Elsfleth</t>
  </si>
  <si>
    <t>Emmerich</t>
  </si>
  <si>
    <t>Ensenada</t>
  </si>
  <si>
    <t>Esbjerg</t>
  </si>
  <si>
    <t>GTESC</t>
  </si>
  <si>
    <t>Escuintla</t>
  </si>
  <si>
    <t>Felixstowe</t>
  </si>
  <si>
    <t>Floroe</t>
  </si>
  <si>
    <t>Fos sur Mer</t>
  </si>
  <si>
    <t>Fredericia</t>
  </si>
  <si>
    <t>Fredrikstad</t>
  </si>
  <si>
    <t>BSFPO</t>
  </si>
  <si>
    <t>Freeport</t>
  </si>
  <si>
    <t>Fremantle</t>
  </si>
  <si>
    <t>Fukuyama</t>
  </si>
  <si>
    <t>NOFUS</t>
  </si>
  <si>
    <t>Fusa</t>
  </si>
  <si>
    <t>Gavle</t>
  </si>
  <si>
    <t>Gdansk</t>
  </si>
  <si>
    <t>Gdynia</t>
  </si>
  <si>
    <t>PLGCT</t>
  </si>
  <si>
    <t>Gdynia (GCT)</t>
  </si>
  <si>
    <t>Gebze</t>
  </si>
  <si>
    <t>BEGEL</t>
  </si>
  <si>
    <t>Geel</t>
  </si>
  <si>
    <t>TRGEM</t>
  </si>
  <si>
    <t>Gemlik</t>
  </si>
  <si>
    <t>General Santos</t>
  </si>
  <si>
    <t>Genk</t>
  </si>
  <si>
    <t>Genova</t>
  </si>
  <si>
    <t>GYGEO</t>
  </si>
  <si>
    <t>Georgetown</t>
  </si>
  <si>
    <t>DEGER</t>
  </si>
  <si>
    <t>Germersheim</t>
  </si>
  <si>
    <t>BEGNE</t>
  </si>
  <si>
    <t>Ghent</t>
  </si>
  <si>
    <t>Gioia Tauro</t>
  </si>
  <si>
    <t>NOGJM</t>
  </si>
  <si>
    <t>Gjemnes</t>
  </si>
  <si>
    <t>NOGLO</t>
  </si>
  <si>
    <t>Glomfjord</t>
  </si>
  <si>
    <t>Gothenburg</t>
  </si>
  <si>
    <t>Grangemouth</t>
  </si>
  <si>
    <t>Greenock</t>
  </si>
  <si>
    <t>Grimsby</t>
  </si>
  <si>
    <t>BEGBB</t>
  </si>
  <si>
    <t>Grobbendonk</t>
  </si>
  <si>
    <t>Guadalajara</t>
  </si>
  <si>
    <t>GUGUM</t>
  </si>
  <si>
    <t>BRGUR</t>
  </si>
  <si>
    <t>Guaruja</t>
  </si>
  <si>
    <t>Guayaquil</t>
  </si>
  <si>
    <t>Hachinohe</t>
  </si>
  <si>
    <t>NOSKN</t>
  </si>
  <si>
    <t>Hadsel Port</t>
  </si>
  <si>
    <t>VNHAP</t>
  </si>
  <si>
    <t>Hai An Port</t>
  </si>
  <si>
    <t>Hai Phong</t>
  </si>
  <si>
    <t>Haifa</t>
  </si>
  <si>
    <t>Hakata</t>
  </si>
  <si>
    <t>Halden</t>
  </si>
  <si>
    <t>Haldia</t>
  </si>
  <si>
    <t>Halifax</t>
  </si>
  <si>
    <t>Halmstad</t>
  </si>
  <si>
    <t>QAHMD</t>
  </si>
  <si>
    <t>Hamad Port</t>
  </si>
  <si>
    <t>Hamburg</t>
  </si>
  <si>
    <t>Hamilton</t>
  </si>
  <si>
    <t>Hamina Port</t>
  </si>
  <si>
    <t>Hanko Port</t>
  </si>
  <si>
    <t>NLHAR</t>
  </si>
  <si>
    <t>Harlingen</t>
  </si>
  <si>
    <t>Harwich</t>
  </si>
  <si>
    <t>VNHGG</t>
  </si>
  <si>
    <t>Hau Giang</t>
  </si>
  <si>
    <t>Haugesund</t>
  </si>
  <si>
    <t>Hazira</t>
  </si>
  <si>
    <t>Helsingborg</t>
  </si>
  <si>
    <t>Helsinki</t>
  </si>
  <si>
    <t>NLHGL</t>
  </si>
  <si>
    <t>Hengelo</t>
  </si>
  <si>
    <t>Heroya</t>
  </si>
  <si>
    <t>JPHBK</t>
  </si>
  <si>
    <t>Hibiki</t>
  </si>
  <si>
    <t>VNSPC</t>
  </si>
  <si>
    <t>Hiep Phuoc Port</t>
  </si>
  <si>
    <t>Hiroshima</t>
  </si>
  <si>
    <t>Hitachi</t>
  </si>
  <si>
    <t>MVHDO</t>
  </si>
  <si>
    <t>Hithadhoo</t>
  </si>
  <si>
    <t>VNCLI</t>
  </si>
  <si>
    <t>Ho Chi Minh (Cat Lai)</t>
  </si>
  <si>
    <t>Ho Chi Minh (Phuoc Long)</t>
  </si>
  <si>
    <t>VNITC</t>
  </si>
  <si>
    <t>Ho Chi Minh (SP-ITC)</t>
  </si>
  <si>
    <t>VNVIC</t>
  </si>
  <si>
    <t>Ho Chi Minh (VICT)</t>
  </si>
  <si>
    <t>Honolulu</t>
  </si>
  <si>
    <t>JPHSM</t>
  </si>
  <si>
    <t>Hososhima</t>
  </si>
  <si>
    <t>Houston</t>
  </si>
  <si>
    <t>Hull</t>
  </si>
  <si>
    <t>IR-SH.RAJAEE PORT/PERSIAN GULF</t>
  </si>
  <si>
    <t>Ikornnes</t>
  </si>
  <si>
    <t>Illichivs'k</t>
  </si>
  <si>
    <t>Iloilo</t>
  </si>
  <si>
    <t>Imabari</t>
  </si>
  <si>
    <t>IRBIK</t>
  </si>
  <si>
    <t>Imam Khomeini Port</t>
  </si>
  <si>
    <t>Imari</t>
  </si>
  <si>
    <t>BRIBB</t>
  </si>
  <si>
    <t>Imbituba</t>
  </si>
  <si>
    <t>Immingham</t>
  </si>
  <si>
    <t>Inchon</t>
  </si>
  <si>
    <t>INIDR</t>
  </si>
  <si>
    <t>Indore</t>
  </si>
  <si>
    <t>CLIQQ</t>
  </si>
  <si>
    <t>Iquique</t>
  </si>
  <si>
    <t>GBIRL</t>
  </si>
  <si>
    <t>Irlam</t>
  </si>
  <si>
    <t>Ishigaki</t>
  </si>
  <si>
    <t>Istanbul (Ambarli)</t>
  </si>
  <si>
    <t>TRHAY</t>
  </si>
  <si>
    <t>Istanbul (Haydarpasa)</t>
  </si>
  <si>
    <t>Iwakuni Port</t>
  </si>
  <si>
    <t>Iyomishima</t>
  </si>
  <si>
    <t>Izmir</t>
  </si>
  <si>
    <t>Izmit</t>
  </si>
  <si>
    <t>Jacksonville</t>
  </si>
  <si>
    <t>Jakarta</t>
  </si>
  <si>
    <t>Jambi</t>
  </si>
  <si>
    <t>Jebel Ali</t>
  </si>
  <si>
    <t>Jeddah</t>
  </si>
  <si>
    <t>Jinhae</t>
  </si>
  <si>
    <t>ZAJNB</t>
  </si>
  <si>
    <t>Johannesburg</t>
  </si>
  <si>
    <t>Jubail Commercial Port</t>
  </si>
  <si>
    <t>Kabil</t>
  </si>
  <si>
    <t>Kaliningrad</t>
  </si>
  <si>
    <t>BEKOU</t>
  </si>
  <si>
    <t>Kallo</t>
  </si>
  <si>
    <t>DKKAL</t>
  </si>
  <si>
    <t>Kalundborg</t>
  </si>
  <si>
    <t>Kamaishi</t>
  </si>
  <si>
    <t>Kaohsiung</t>
  </si>
  <si>
    <t>TWKHG</t>
  </si>
  <si>
    <t>Kaohsiung (KAO)</t>
  </si>
  <si>
    <t>Karlshamn</t>
  </si>
  <si>
    <t>Kashima</t>
  </si>
  <si>
    <t>INKTP</t>
  </si>
  <si>
    <t>Kattupalli</t>
  </si>
  <si>
    <t>Kawasaki</t>
  </si>
  <si>
    <t>Keamari, Karachi</t>
  </si>
  <si>
    <t>Keelung</t>
  </si>
  <si>
    <t>DEKEH</t>
  </si>
  <si>
    <t>Kehl</t>
  </si>
  <si>
    <t>Kemi Port</t>
  </si>
  <si>
    <t>INDKI</t>
  </si>
  <si>
    <t>Kendari</t>
  </si>
  <si>
    <t>AEKHL</t>
  </si>
  <si>
    <t>Khalifa</t>
  </si>
  <si>
    <t>BHKBS</t>
  </si>
  <si>
    <t>Khalifa Bin Salman Port</t>
  </si>
  <si>
    <t>Khor Al Fakkan</t>
  </si>
  <si>
    <t>IQKAZ</t>
  </si>
  <si>
    <t>Khor Al Zubair</t>
  </si>
  <si>
    <t>Khorramshahr</t>
  </si>
  <si>
    <t>Kiel</t>
  </si>
  <si>
    <t>IDKID</t>
  </si>
  <si>
    <t>Kijang</t>
  </si>
  <si>
    <t>SAKAC</t>
  </si>
  <si>
    <t>King Abdullah</t>
  </si>
  <si>
    <t>Kingston</t>
  </si>
  <si>
    <t>VCKTN</t>
  </si>
  <si>
    <t>Kingstown</t>
  </si>
  <si>
    <t>NOKKN</t>
  </si>
  <si>
    <t>Kirkenes</t>
  </si>
  <si>
    <t>Kitakyushu</t>
  </si>
  <si>
    <t>Klaipeda</t>
  </si>
  <si>
    <t>NOKRV</t>
  </si>
  <si>
    <t>Knarrevik</t>
  </si>
  <si>
    <t>Kobe</t>
  </si>
  <si>
    <t>Kokura</t>
  </si>
  <si>
    <t>Koper</t>
  </si>
  <si>
    <t>TRKFZ</t>
  </si>
  <si>
    <t>Korfez</t>
  </si>
  <si>
    <t>Kota Kinabalu</t>
  </si>
  <si>
    <t>Kotka</t>
  </si>
  <si>
    <t>CMKBI</t>
  </si>
  <si>
    <t>Kribi</t>
  </si>
  <si>
    <t>Krishnapatnam</t>
  </si>
  <si>
    <t>Kristiansand</t>
  </si>
  <si>
    <t>Kristiansund</t>
  </si>
  <si>
    <t>RUKDT</t>
  </si>
  <si>
    <t>Kronshtadt</t>
  </si>
  <si>
    <t>Kuala Tungkal</t>
  </si>
  <si>
    <t>Kuantan</t>
  </si>
  <si>
    <t>Kuching</t>
  </si>
  <si>
    <t>JPKUH</t>
  </si>
  <si>
    <t>Kushiro</t>
  </si>
  <si>
    <t>NOKVD</t>
  </si>
  <si>
    <t>Kvinesdal</t>
  </si>
  <si>
    <t>Kwangyang</t>
  </si>
  <si>
    <t>VELAG</t>
  </si>
  <si>
    <t>La Guaira</t>
  </si>
  <si>
    <t>La Rochelle</t>
  </si>
  <si>
    <t>La Spezia</t>
  </si>
  <si>
    <t>Labuan</t>
  </si>
  <si>
    <t>Laem Chabang</t>
  </si>
  <si>
    <t>NGLOS</t>
  </si>
  <si>
    <t>Lagos</t>
  </si>
  <si>
    <t>Larvik</t>
  </si>
  <si>
    <t>ESLPA</t>
  </si>
  <si>
    <t>Las Palmas</t>
  </si>
  <si>
    <t>SYLTK</t>
  </si>
  <si>
    <t>Lattakia</t>
  </si>
  <si>
    <t>AULST</t>
  </si>
  <si>
    <t>Launceston</t>
  </si>
  <si>
    <t>Le Havre</t>
  </si>
  <si>
    <t>Le Verdon</t>
  </si>
  <si>
    <t>Leixoes</t>
  </si>
  <si>
    <t>Limassol</t>
  </si>
  <si>
    <t>Lirquen</t>
  </si>
  <si>
    <t>Lisbon</t>
  </si>
  <si>
    <t>Liverpool</t>
  </si>
  <si>
    <t>Livorno</t>
  </si>
  <si>
    <t>Lobam</t>
  </si>
  <si>
    <t>TGLFW</t>
  </si>
  <si>
    <t>Lome</t>
  </si>
  <si>
    <t>RULOM</t>
  </si>
  <si>
    <t>Lomonosov</t>
  </si>
  <si>
    <t>London</t>
  </si>
  <si>
    <t>GBLGP</t>
  </si>
  <si>
    <t>London Gateway</t>
  </si>
  <si>
    <t>Long Beach</t>
  </si>
  <si>
    <t>FRLGL</t>
  </si>
  <si>
    <t>Longueil Sainte Marie</t>
  </si>
  <si>
    <t>NOLYR</t>
  </si>
  <si>
    <t>Longyearbyen</t>
  </si>
  <si>
    <t>Los Angeles</t>
  </si>
  <si>
    <t>Luebeck</t>
  </si>
  <si>
    <t>FRLIO</t>
  </si>
  <si>
    <t>Lyon</t>
  </si>
  <si>
    <t>Lyttelton</t>
  </si>
  <si>
    <t>Macau</t>
  </si>
  <si>
    <t>DEMAI</t>
  </si>
  <si>
    <t>Mainz</t>
  </si>
  <si>
    <t>Majuro</t>
  </si>
  <si>
    <t>ESAGP</t>
  </si>
  <si>
    <t>Malaga</t>
  </si>
  <si>
    <t>MVMLE</t>
  </si>
  <si>
    <t>Male</t>
  </si>
  <si>
    <t>Malmo</t>
  </si>
  <si>
    <t>Maloy</t>
  </si>
  <si>
    <t>Mangalore</t>
  </si>
  <si>
    <t>PHMNN</t>
  </si>
  <si>
    <t>Manila North Harbour</t>
  </si>
  <si>
    <t>PHMNS</t>
  </si>
  <si>
    <t>Manila South Harbour</t>
  </si>
  <si>
    <t>DEMHG</t>
  </si>
  <si>
    <t>Mannheim Harbour</t>
  </si>
  <si>
    <t>Mantyluoto</t>
  </si>
  <si>
    <t>Manzanillo (Mexico)</t>
  </si>
  <si>
    <t>Manzanillo (Panama)</t>
  </si>
  <si>
    <t>VEMAR</t>
  </si>
  <si>
    <t>Maracaibo</t>
  </si>
  <si>
    <t>CUMAR</t>
  </si>
  <si>
    <t>Mariel</t>
  </si>
  <si>
    <t>ESMAR</t>
  </si>
  <si>
    <t>Marin</t>
  </si>
  <si>
    <t>Marsaxlokk</t>
  </si>
  <si>
    <t>NZMAP</t>
  </si>
  <si>
    <t>Marsden Point</t>
  </si>
  <si>
    <t>FRMRS</t>
  </si>
  <si>
    <t>Marseille</t>
  </si>
  <si>
    <t>CDMAT</t>
  </si>
  <si>
    <t>Matadi</t>
  </si>
  <si>
    <t>GTIZ4</t>
  </si>
  <si>
    <t>Matias de Galvez</t>
  </si>
  <si>
    <t>Matsuyama</t>
  </si>
  <si>
    <t>BEMEH</t>
  </si>
  <si>
    <t>Meerhout</t>
  </si>
  <si>
    <t>CLMJS</t>
  </si>
  <si>
    <t>Mejillones</t>
  </si>
  <si>
    <t>Melbourne</t>
  </si>
  <si>
    <t>Merak</t>
  </si>
  <si>
    <t>Mersin</t>
  </si>
  <si>
    <t>Mesaieed</t>
  </si>
  <si>
    <t>Miami</t>
  </si>
  <si>
    <t>AEMSA</t>
  </si>
  <si>
    <t>Mina Saqr</t>
  </si>
  <si>
    <t>Mina Sulman</t>
  </si>
  <si>
    <t>CVMIN</t>
  </si>
  <si>
    <t>Mindelo</t>
  </si>
  <si>
    <t>Miri</t>
  </si>
  <si>
    <t>Mizushima</t>
  </si>
  <si>
    <t>NOMQN</t>
  </si>
  <si>
    <t>Mo I Rana</t>
  </si>
  <si>
    <t>Mobile</t>
  </si>
  <si>
    <t>NLMOE</t>
  </si>
  <si>
    <t>Moerdijk</t>
  </si>
  <si>
    <t>SOMGQ</t>
  </si>
  <si>
    <t>Mogadishu</t>
  </si>
  <si>
    <t>Moin</t>
  </si>
  <si>
    <t>Moji</t>
  </si>
  <si>
    <t>Molde</t>
  </si>
  <si>
    <t>Mombasa</t>
  </si>
  <si>
    <t>Mongla</t>
  </si>
  <si>
    <t>Monrovia</t>
  </si>
  <si>
    <t>UYMVD</t>
  </si>
  <si>
    <t>Montevideo</t>
  </si>
  <si>
    <t>Montreal</t>
  </si>
  <si>
    <t>INMRM</t>
  </si>
  <si>
    <t>Mormugao</t>
  </si>
  <si>
    <t>NOMJF</t>
  </si>
  <si>
    <t>Mosjoen</t>
  </si>
  <si>
    <t>Moss</t>
  </si>
  <si>
    <t>Muara</t>
  </si>
  <si>
    <t>Mulhouse</t>
  </si>
  <si>
    <t>Mumbai</t>
  </si>
  <si>
    <t>Mundra</t>
  </si>
  <si>
    <t>DEMUC</t>
  </si>
  <si>
    <t>Munich</t>
  </si>
  <si>
    <t>IDMUO</t>
  </si>
  <si>
    <t>Muntok</t>
  </si>
  <si>
    <t>Murmansk</t>
  </si>
  <si>
    <t>Muscat</t>
  </si>
  <si>
    <t>Muuga</t>
  </si>
  <si>
    <t>Nagasaki</t>
  </si>
  <si>
    <t>Nagoya</t>
  </si>
  <si>
    <t>Naha</t>
  </si>
  <si>
    <t>JPNAN</t>
  </si>
  <si>
    <t>Nakanoseki</t>
  </si>
  <si>
    <t>RUNJK</t>
  </si>
  <si>
    <t>Nakhodka</t>
  </si>
  <si>
    <t>CANNO</t>
  </si>
  <si>
    <t>Nanaimo</t>
  </si>
  <si>
    <t>Napier</t>
  </si>
  <si>
    <t>ITNAP</t>
  </si>
  <si>
    <t>Napoli</t>
  </si>
  <si>
    <t>NONVK</t>
  </si>
  <si>
    <t>Narvik</t>
  </si>
  <si>
    <t>PHBTC</t>
  </si>
  <si>
    <t>Nasipit</t>
  </si>
  <si>
    <t>Nassau</t>
  </si>
  <si>
    <t>Nelson</t>
  </si>
  <si>
    <t>New Orleans</t>
  </si>
  <si>
    <t>New York</t>
  </si>
  <si>
    <t>Newport News</t>
  </si>
  <si>
    <t>Nhava Sheva</t>
  </si>
  <si>
    <t>VNNHT</t>
  </si>
  <si>
    <t>Nhon Trach</t>
  </si>
  <si>
    <t>NLNIU</t>
  </si>
  <si>
    <t>Nieuwdorp</t>
  </si>
  <si>
    <t>Niigata</t>
  </si>
  <si>
    <t>JPNIH</t>
  </si>
  <si>
    <t>Niigatahigashi</t>
  </si>
  <si>
    <t>NLNIJ</t>
  </si>
  <si>
    <t>Nijmegen</t>
  </si>
  <si>
    <t>Norfolk</t>
  </si>
  <si>
    <t>Norrkoping</t>
  </si>
  <si>
    <t>NZWRE</t>
  </si>
  <si>
    <t>Northport</t>
  </si>
  <si>
    <t>MRNDB</t>
  </si>
  <si>
    <t>Nouadhibou</t>
  </si>
  <si>
    <t>Noumea</t>
  </si>
  <si>
    <t>Novorossiysk</t>
  </si>
  <si>
    <t>IRNSH</t>
  </si>
  <si>
    <t>Nowshahr</t>
  </si>
  <si>
    <t>SENYN</t>
  </si>
  <si>
    <t>Nynashamn</t>
  </si>
  <si>
    <t>Oakland</t>
  </si>
  <si>
    <t>Odessa</t>
  </si>
  <si>
    <t>Oita</t>
  </si>
  <si>
    <t>Omaezaki</t>
  </si>
  <si>
    <t>Onne</t>
  </si>
  <si>
    <t>Oostende</t>
  </si>
  <si>
    <t>NLOOS</t>
  </si>
  <si>
    <t>Oosterhout</t>
  </si>
  <si>
    <t>DZORN</t>
  </si>
  <si>
    <t>Oran</t>
  </si>
  <si>
    <t>Orkanger</t>
  </si>
  <si>
    <t>Osaka</t>
  </si>
  <si>
    <t>Oskarshamn</t>
  </si>
  <si>
    <t>Oslo</t>
  </si>
  <si>
    <t>JPOTK</t>
  </si>
  <si>
    <t>Otake</t>
  </si>
  <si>
    <t>Otaru</t>
  </si>
  <si>
    <t>FROTM</t>
  </si>
  <si>
    <t>Ottmarsheim</t>
  </si>
  <si>
    <t>Oulu</t>
  </si>
  <si>
    <t>SEOXE</t>
  </si>
  <si>
    <t>Oxeloesund</t>
  </si>
  <si>
    <t>Padang (Teluk Bayur)</t>
  </si>
  <si>
    <t>Paita</t>
  </si>
  <si>
    <t>Paldiski</t>
  </si>
  <si>
    <t>Palembang</t>
  </si>
  <si>
    <t>IDPAL</t>
  </si>
  <si>
    <t>Palu</t>
  </si>
  <si>
    <t>Panabo</t>
  </si>
  <si>
    <t>PAPCN</t>
  </si>
  <si>
    <t>Panama Canal</t>
  </si>
  <si>
    <t>BDPGN</t>
  </si>
  <si>
    <t>Pangaon</t>
  </si>
  <si>
    <t>IDPGX</t>
  </si>
  <si>
    <t>Pangkal Balam</t>
  </si>
  <si>
    <t>Panjang</t>
  </si>
  <si>
    <t>Paradip</t>
  </si>
  <si>
    <t>SRPBM</t>
  </si>
  <si>
    <t>Paramaribo</t>
  </si>
  <si>
    <t>Pasir Gudang</t>
  </si>
  <si>
    <t>Pekanbaru</t>
  </si>
  <si>
    <t>Penang</t>
  </si>
  <si>
    <t>Perawang</t>
  </si>
  <si>
    <t>RUPKC</t>
  </si>
  <si>
    <t>Petropavlovsk-Kamchatsky</t>
  </si>
  <si>
    <t>USPHL</t>
  </si>
  <si>
    <t>Philadelphia</t>
  </si>
  <si>
    <t>Phnom Penh</t>
  </si>
  <si>
    <t>VNPLG</t>
  </si>
  <si>
    <t>Phuc Long ICD - Port</t>
  </si>
  <si>
    <t>NZPCN</t>
  </si>
  <si>
    <t>Picton</t>
  </si>
  <si>
    <t>INPPV</t>
  </si>
  <si>
    <t>Pipavav</t>
  </si>
  <si>
    <t>Piraeus</t>
  </si>
  <si>
    <t>TTCVA</t>
  </si>
  <si>
    <t>Point Lisas</t>
  </si>
  <si>
    <t>CGPNR</t>
  </si>
  <si>
    <t>Pointe Noire</t>
  </si>
  <si>
    <t>Pontianak</t>
  </si>
  <si>
    <t>GBPOO</t>
  </si>
  <si>
    <t>Poole</t>
  </si>
  <si>
    <t>Pori</t>
  </si>
  <si>
    <t>Port Canaveral</t>
  </si>
  <si>
    <t>Port Chalmers</t>
  </si>
  <si>
    <t>ZAPLZ</t>
  </si>
  <si>
    <t>Port Elizabeth</t>
  </si>
  <si>
    <t>Port Everglades</t>
  </si>
  <si>
    <t>Port Klang</t>
  </si>
  <si>
    <t>Port Louis</t>
  </si>
  <si>
    <t>NZORR</t>
  </si>
  <si>
    <t>Port Otago</t>
  </si>
  <si>
    <t>Port Qasim, Karachi</t>
  </si>
  <si>
    <t>Port Said</t>
  </si>
  <si>
    <t>Port Said East</t>
  </si>
  <si>
    <t>Port Sudan</t>
  </si>
  <si>
    <t>HTPAP</t>
  </si>
  <si>
    <t>Port au Prince</t>
  </si>
  <si>
    <t>Port of Aden</t>
  </si>
  <si>
    <t>Port of Aqaba</t>
  </si>
  <si>
    <t>Port of Beirut</t>
  </si>
  <si>
    <t>Port of Cotabato</t>
  </si>
  <si>
    <t>ALDRZ</t>
  </si>
  <si>
    <t>Port of Durres</t>
  </si>
  <si>
    <t>SLFNA</t>
  </si>
  <si>
    <t>Port of Freetown</t>
  </si>
  <si>
    <t>CUHAV</t>
  </si>
  <si>
    <t>Port of Havana</t>
  </si>
  <si>
    <t>Port of Iskenderun</t>
  </si>
  <si>
    <t>Port of Luxembourg</t>
  </si>
  <si>
    <t>RUMOW</t>
  </si>
  <si>
    <t>Port of Moscow</t>
  </si>
  <si>
    <t>MRNKC</t>
  </si>
  <si>
    <t>Port of Nouakchott</t>
  </si>
  <si>
    <t>SCVIC</t>
  </si>
  <si>
    <t>Port of Port Victoria</t>
  </si>
  <si>
    <t>Port of Portland</t>
  </si>
  <si>
    <t>EESLM</t>
  </si>
  <si>
    <t>Port of Sillamae - SILPORT</t>
  </si>
  <si>
    <t>TTPOS</t>
  </si>
  <si>
    <t>Port of Spain</t>
  </si>
  <si>
    <t>LBKYE</t>
  </si>
  <si>
    <t>Port of Tripoli</t>
  </si>
  <si>
    <t>Portland</t>
  </si>
  <si>
    <t>GBPME</t>
  </si>
  <si>
    <t>Portsmouth</t>
  </si>
  <si>
    <t>ECPSJ</t>
  </si>
  <si>
    <t>Posorja</t>
  </si>
  <si>
    <t>GEPTI</t>
  </si>
  <si>
    <t>Poti</t>
  </si>
  <si>
    <t>CVRAI</t>
  </si>
  <si>
    <t>Praia</t>
  </si>
  <si>
    <t>ZAPRY</t>
  </si>
  <si>
    <t>Pretoria</t>
  </si>
  <si>
    <t>Prince Rupert</t>
  </si>
  <si>
    <t>MXPGO</t>
  </si>
  <si>
    <t>Progreso</t>
  </si>
  <si>
    <t>HNPCR</t>
  </si>
  <si>
    <t>Puerto Cortes</t>
  </si>
  <si>
    <t>CRLIO</t>
  </si>
  <si>
    <t>Puerto Limon</t>
  </si>
  <si>
    <t>Puerto de Lazaro Cardenas</t>
  </si>
  <si>
    <t>MXTUX</t>
  </si>
  <si>
    <t>Puerto de Tuxpan</t>
  </si>
  <si>
    <t>Qui Nhon</t>
  </si>
  <si>
    <t>Rades</t>
  </si>
  <si>
    <t>Rauma</t>
  </si>
  <si>
    <t>Rendsburg</t>
  </si>
  <si>
    <t>USRIC</t>
  </si>
  <si>
    <t>Richmond</t>
  </si>
  <si>
    <t>Riga</t>
  </si>
  <si>
    <t>Rijeka</t>
  </si>
  <si>
    <t>Rio Grande</t>
  </si>
  <si>
    <t>BRRIO</t>
  </si>
  <si>
    <t>Rio de Janeiro</t>
  </si>
  <si>
    <t>ARROS</t>
  </si>
  <si>
    <t>Rosario</t>
  </si>
  <si>
    <t>Rotterdam</t>
  </si>
  <si>
    <t>FRURO</t>
  </si>
  <si>
    <t>Rouen</t>
  </si>
  <si>
    <t>THSCS</t>
  </si>
  <si>
    <t>Sahathai port</t>
  </si>
  <si>
    <t>GDSTG</t>
  </si>
  <si>
    <t>Saint George's</t>
  </si>
  <si>
    <t>Saint John</t>
  </si>
  <si>
    <t>Saint John's</t>
  </si>
  <si>
    <t>Saint Johns</t>
  </si>
  <si>
    <t>Saint Petersburg</t>
  </si>
  <si>
    <t>MPSPN</t>
  </si>
  <si>
    <t>Saipan</t>
  </si>
  <si>
    <t>JPSMN</t>
  </si>
  <si>
    <t>Sakaiminato</t>
  </si>
  <si>
    <t>Salalah</t>
  </si>
  <si>
    <t>Salerno</t>
  </si>
  <si>
    <t>NOSAT</t>
  </si>
  <si>
    <t>Salten</t>
  </si>
  <si>
    <t>BRSSA</t>
  </si>
  <si>
    <t>Salvador</t>
  </si>
  <si>
    <t>Samarinda</t>
  </si>
  <si>
    <t>San Antonio</t>
  </si>
  <si>
    <t>HNSLO</t>
  </si>
  <si>
    <t>San Lorenzo</t>
  </si>
  <si>
    <t>San Pedro</t>
  </si>
  <si>
    <t>CLSVE</t>
  </si>
  <si>
    <t>San Vicente</t>
  </si>
  <si>
    <t>Sandakan</t>
  </si>
  <si>
    <t>FRSNV</t>
  </si>
  <si>
    <t>Sandouville</t>
  </si>
  <si>
    <t>ESSCT</t>
  </si>
  <si>
    <t>Santa Cruz de Tenerife</t>
  </si>
  <si>
    <t>COSMR</t>
  </si>
  <si>
    <t>Santa Marta</t>
  </si>
  <si>
    <t>CUSCU</t>
  </si>
  <si>
    <t>Santiago de Cuba</t>
  </si>
  <si>
    <t>JPSEN</t>
  </si>
  <si>
    <t>Satsumasendai</t>
  </si>
  <si>
    <t>NOSAU</t>
  </si>
  <si>
    <t>Sauda</t>
  </si>
  <si>
    <t>Savannah</t>
  </si>
  <si>
    <t>Seattle</t>
  </si>
  <si>
    <t>MVSGM</t>
  </si>
  <si>
    <t>Segamat</t>
  </si>
  <si>
    <t>Sekupang</t>
  </si>
  <si>
    <t>Semarang</t>
  </si>
  <si>
    <t>JPSBK</t>
  </si>
  <si>
    <t>Senboku</t>
  </si>
  <si>
    <t>Sendai</t>
  </si>
  <si>
    <t>KRSPO</t>
  </si>
  <si>
    <t>Seogwipo</t>
  </si>
  <si>
    <t>Setubal</t>
  </si>
  <si>
    <t>Sfax</t>
  </si>
  <si>
    <t>Sharjah</t>
  </si>
  <si>
    <t>Shibushi</t>
  </si>
  <si>
    <t>Shimizu</t>
  </si>
  <si>
    <t>Shimonoseki</t>
  </si>
  <si>
    <t>Shuaiba</t>
  </si>
  <si>
    <t>Sibu</t>
  </si>
  <si>
    <t>Sihanoukville</t>
  </si>
  <si>
    <t>PTSIE</t>
  </si>
  <si>
    <t>Sines</t>
  </si>
  <si>
    <t>Skagen</t>
  </si>
  <si>
    <t>GRCHI</t>
  </si>
  <si>
    <t>Skaramangas</t>
  </si>
  <si>
    <t>Sodertalje</t>
  </si>
  <si>
    <t>Sohar</t>
  </si>
  <si>
    <t>Sokhna</t>
  </si>
  <si>
    <t>THSGK</t>
  </si>
  <si>
    <t>Songkhla</t>
  </si>
  <si>
    <t>SESOR</t>
  </si>
  <si>
    <t>Soraker</t>
  </si>
  <si>
    <t>VNSTR</t>
  </si>
  <si>
    <t>Sotrans ICD</t>
  </si>
  <si>
    <t>TNSUS</t>
  </si>
  <si>
    <t>Sousse</t>
  </si>
  <si>
    <t>Southampton</t>
  </si>
  <si>
    <t>THSIR</t>
  </si>
  <si>
    <t>Sriracha Harbour</t>
  </si>
  <si>
    <t>Stade</t>
  </si>
  <si>
    <t>Stavanger</t>
  </si>
  <si>
    <t>Stockholm</t>
  </si>
  <si>
    <t>USSCK</t>
  </si>
  <si>
    <t>Stockton</t>
  </si>
  <si>
    <t>Strasbourg</t>
  </si>
  <si>
    <t>BRIPO</t>
  </si>
  <si>
    <t>Suape Port</t>
  </si>
  <si>
    <t>PHSFS</t>
  </si>
  <si>
    <t>Subic</t>
  </si>
  <si>
    <t>Suez Canal</t>
  </si>
  <si>
    <t>SESDL</t>
  </si>
  <si>
    <t>Sundsvall</t>
  </si>
  <si>
    <t>Surabaya</t>
  </si>
  <si>
    <t>INSTV</t>
  </si>
  <si>
    <t>Surat</t>
  </si>
  <si>
    <t>Surigao</t>
  </si>
  <si>
    <t>CASUY</t>
  </si>
  <si>
    <t>Surrey</t>
  </si>
  <si>
    <t>Suva</t>
  </si>
  <si>
    <t>PLSWI</t>
  </si>
  <si>
    <t>Swinoujscie</t>
  </si>
  <si>
    <t>Sydney</t>
  </si>
  <si>
    <t>Szczecin</t>
  </si>
  <si>
    <t>THTPT</t>
  </si>
  <si>
    <t>TPT port</t>
  </si>
  <si>
    <t>Tacoma</t>
  </si>
  <si>
    <t>Taichung</t>
  </si>
  <si>
    <t>Taipei</t>
  </si>
  <si>
    <t>Takamatsu</t>
  </si>
  <si>
    <t>GHTKD</t>
  </si>
  <si>
    <t>Takoradi</t>
  </si>
  <si>
    <t>Tallinn</t>
  </si>
  <si>
    <t>Tampa</t>
  </si>
  <si>
    <t>VNHPP</t>
  </si>
  <si>
    <t>Tan Cang Hiep Phuoc Port</t>
  </si>
  <si>
    <t>MAPTM</t>
  </si>
  <si>
    <t>Tanger Med</t>
  </si>
  <si>
    <t>Tangier</t>
  </si>
  <si>
    <t>IDTBI</t>
  </si>
  <si>
    <t>Tanjung Bintang</t>
  </si>
  <si>
    <t>Tanjung Manis</t>
  </si>
  <si>
    <t>IDTJQ</t>
  </si>
  <si>
    <t>Tanjung Pandan</t>
  </si>
  <si>
    <t>Tanjung Pelepas</t>
  </si>
  <si>
    <t>Tanjung Pinang</t>
  </si>
  <si>
    <t>Tanjung Wangi Port</t>
  </si>
  <si>
    <t>KITRW</t>
  </si>
  <si>
    <t>Tarawa</t>
  </si>
  <si>
    <t>Tauranga</t>
  </si>
  <si>
    <t>Tawau</t>
  </si>
  <si>
    <t>IDTTI</t>
  </si>
  <si>
    <t>Tebingtinggi</t>
  </si>
  <si>
    <t>Tees Port</t>
  </si>
  <si>
    <t>GBTEE</t>
  </si>
  <si>
    <t>Teesport</t>
  </si>
  <si>
    <t>NLTNZ</t>
  </si>
  <si>
    <t>Terneuzen</t>
  </si>
  <si>
    <t>Thamesport</t>
  </si>
  <si>
    <t>Thessaloniki</t>
  </si>
  <si>
    <t>Tilburg</t>
  </si>
  <si>
    <t>Tilbury</t>
  </si>
  <si>
    <t>MGTOA</t>
  </si>
  <si>
    <t>Toamasina</t>
  </si>
  <si>
    <t>Tokushima</t>
  </si>
  <si>
    <t>Tokuyama</t>
  </si>
  <si>
    <t>Tokyo</t>
  </si>
  <si>
    <t>Tomakomai</t>
  </si>
  <si>
    <t>FITOR</t>
  </si>
  <si>
    <t>Tornio</t>
  </si>
  <si>
    <t>Toyama</t>
  </si>
  <si>
    <t>Toyo</t>
  </si>
  <si>
    <t>Toyohashi</t>
  </si>
  <si>
    <t>TRTZX</t>
  </si>
  <si>
    <t>Trabzon</t>
  </si>
  <si>
    <t>VNTVN</t>
  </si>
  <si>
    <t>Transvina Port</t>
  </si>
  <si>
    <t>Trieste</t>
  </si>
  <si>
    <t>LYTIP</t>
  </si>
  <si>
    <t>Tripoli</t>
  </si>
  <si>
    <t>Tromso</t>
  </si>
  <si>
    <t>Trondheim</t>
  </si>
  <si>
    <t>JPTRG</t>
  </si>
  <si>
    <t>Tsuruga</t>
  </si>
  <si>
    <t>Turku</t>
  </si>
  <si>
    <t>Tuticorin</t>
  </si>
  <si>
    <t>Tyne Port</t>
  </si>
  <si>
    <t>Ube Port</t>
  </si>
  <si>
    <t>SEUDD</t>
  </si>
  <si>
    <t>Uddevalla</t>
  </si>
  <si>
    <t>Ujung Pandang</t>
  </si>
  <si>
    <t>KRUSN</t>
  </si>
  <si>
    <t>Ulsan</t>
  </si>
  <si>
    <t>Umm Al Quwain</t>
  </si>
  <si>
    <t>Umm Qasr Port</t>
  </si>
  <si>
    <t>Ust'-Luga</t>
  </si>
  <si>
    <t>ITVDL</t>
  </si>
  <si>
    <t>Vado Ligure</t>
  </si>
  <si>
    <t>Valdez</t>
  </si>
  <si>
    <t>Valencia</t>
  </si>
  <si>
    <t>Valletta</t>
  </si>
  <si>
    <t>Valparaiso</t>
  </si>
  <si>
    <t>Vancouver</t>
  </si>
  <si>
    <t>Varna</t>
  </si>
  <si>
    <t>Vasteras</t>
  </si>
  <si>
    <t>ITVCE</t>
  </si>
  <si>
    <t>Venezia</t>
  </si>
  <si>
    <t>NLVEN</t>
  </si>
  <si>
    <t>Venlo</t>
  </si>
  <si>
    <t>Veracruz</t>
  </si>
  <si>
    <t>ATVIE</t>
  </si>
  <si>
    <t>Vienna</t>
  </si>
  <si>
    <t>Vigo</t>
  </si>
  <si>
    <t>MVVGI</t>
  </si>
  <si>
    <t>Viligili</t>
  </si>
  <si>
    <t>BEVIL</t>
  </si>
  <si>
    <t>Vilvoorde</t>
  </si>
  <si>
    <t>Visakhapatnam</t>
  </si>
  <si>
    <t>BRVIX</t>
  </si>
  <si>
    <t>Vitoria</t>
  </si>
  <si>
    <t>RUVVO</t>
  </si>
  <si>
    <t>Vladivostok</t>
  </si>
  <si>
    <t>NLVLI</t>
  </si>
  <si>
    <t>Vlissingen</t>
  </si>
  <si>
    <t>FRVGL</t>
  </si>
  <si>
    <t>Volgelsheim</t>
  </si>
  <si>
    <t>Vostochny</t>
  </si>
  <si>
    <t>VNVAN</t>
  </si>
  <si>
    <t>Vung Ang</t>
  </si>
  <si>
    <t>Wakayama</t>
  </si>
  <si>
    <t>NAWVB</t>
  </si>
  <si>
    <t>Walvis Bay</t>
  </si>
  <si>
    <t>Waterford</t>
  </si>
  <si>
    <t>Wellington Port</t>
  </si>
  <si>
    <t>West Palm Beach</t>
  </si>
  <si>
    <t>BEWIK</t>
  </si>
  <si>
    <t>Wielsbeke</t>
  </si>
  <si>
    <t>Wilhelmshaven</t>
  </si>
  <si>
    <t>Willebroek</t>
  </si>
  <si>
    <t>ANWIL</t>
  </si>
  <si>
    <t>Willemstad</t>
  </si>
  <si>
    <t>Yangon</t>
  </si>
  <si>
    <t>JPYAT</t>
  </si>
  <si>
    <t>Yatsushiro</t>
  </si>
  <si>
    <t>Yokkaichi</t>
  </si>
  <si>
    <t>Yokohama</t>
  </si>
  <si>
    <t>Zamboanga</t>
  </si>
  <si>
    <t>ARZAE</t>
  </si>
  <si>
    <t>Zarate</t>
  </si>
  <si>
    <t>Zeebrugge</t>
  </si>
  <si>
    <t>MXLZC</t>
    <phoneticPr fontId="7" type="noConversion"/>
  </si>
  <si>
    <t>ECGYE</t>
    <phoneticPr fontId="7" type="noConversion"/>
  </si>
  <si>
    <t>ZACPT</t>
    <phoneticPr fontId="7" type="noConversion"/>
  </si>
  <si>
    <t>ZADUR</t>
    <phoneticPr fontId="7" type="noConversion"/>
  </si>
  <si>
    <t>CRMOB</t>
    <phoneticPr fontId="7" type="noConversion"/>
  </si>
  <si>
    <t>KRINC</t>
    <phoneticPr fontId="7" type="noConversion"/>
  </si>
  <si>
    <t>KRPUS</t>
    <phoneticPr fontId="7" type="noConversion"/>
  </si>
  <si>
    <t>MXESE</t>
    <phoneticPr fontId="7" type="noConversion"/>
  </si>
  <si>
    <t>TNSFA</t>
    <phoneticPr fontId="7" type="noConversion"/>
  </si>
  <si>
    <t>COBUN</t>
    <phoneticPr fontId="7" type="noConversion"/>
  </si>
  <si>
    <t>AOLAD</t>
    <phoneticPr fontId="7" type="noConversion"/>
  </si>
  <si>
    <t>Suzhou Sudelan Railway Parts Co., Ltd.</t>
  </si>
  <si>
    <t>No.112 Xinjiang Road,Fuqiao town,Taicang City</t>
  </si>
  <si>
    <t>OOLU2162875160</t>
    <phoneticPr fontId="7" type="noConversion"/>
  </si>
  <si>
    <t>CN</t>
    <phoneticPr fontId="7" type="noConversion"/>
  </si>
  <si>
    <t>18012719858</t>
  </si>
  <si>
    <t>SDM Expédition N°105 Rue Paul Foucaut 59450 SIN-LE-NOBLE France</t>
  </si>
  <si>
    <t>FR</t>
    <phoneticPr fontId="7" type="noConversion"/>
  </si>
  <si>
    <t>20GP</t>
    <phoneticPr fontId="7" type="noConversion"/>
  </si>
  <si>
    <t>BSIU2683177</t>
    <phoneticPr fontId="7" type="noConversion"/>
  </si>
  <si>
    <t>OOLKFB8313</t>
    <phoneticPr fontId="7" type="noConversion"/>
  </si>
  <si>
    <t>CS</t>
    <phoneticPr fontId="7" type="noConversion"/>
  </si>
  <si>
    <t>COMMANDE CA2504338 SUDELAN
SO2502312 – COTE D' IVOIRE
Quantity: Description:
Case No: 
Batch No:</t>
    <phoneticPr fontId="7" type="noConversion"/>
  </si>
  <si>
    <t xml:space="preserve"> Coach screw</t>
    <phoneticPr fontId="7" type="noConversion"/>
  </si>
  <si>
    <t>Pier to Pier</t>
    <phoneticPr fontId="7" type="noConversion"/>
  </si>
  <si>
    <t>BEANR</t>
    <phoneticPr fontId="7" type="noConversion"/>
  </si>
  <si>
    <t>CC</t>
    <phoneticPr fontId="7" type="noConversion"/>
  </si>
  <si>
    <t>PP</t>
    <phoneticPr fontId="7" type="noConversion"/>
  </si>
  <si>
    <t>FCIU5241382</t>
    <phoneticPr fontId="7" type="noConversion"/>
  </si>
  <si>
    <t>OOLKFB8312</t>
    <phoneticPr fontId="7" type="noConversion"/>
  </si>
  <si>
    <t>OOLU0374646</t>
    <phoneticPr fontId="7" type="noConversion"/>
  </si>
  <si>
    <t>OOLKEU7154</t>
    <phoneticPr fontId="7" type="noConversion"/>
  </si>
  <si>
    <t>Rodolphe Gruchy  of PANDROL SAS-Usine de DOUAI</t>
    <phoneticPr fontId="7" type="noConversion"/>
  </si>
  <si>
    <t>33 647568635</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</si>
</sst>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宋体"/>
      <family val="2"/>
      <scheme val="minor"/>
    </font>
    <font>
      <b/>
      <sz val="11"/>
      <color theme="1"/>
      <name val="宋体"/>
      <family val="2"/>
      <scheme val="minor"/>
    </font>
    <font>
      <sz val="12"/>
      <name val="宋体"/>
      <family val="3"/>
      <charset val="134"/>
    </font>
    <font>
      <b/>
      <sz val="11"/>
      <name val="宋体"/>
      <family val="2"/>
      <scheme val="minor"/>
    </font>
    <font>
      <b/>
      <vertAlign val="superscript"/>
      <sz val="11"/>
      <name val="宋体"/>
      <family val="2"/>
      <scheme val="minor"/>
    </font>
    <font>
      <sz val="10"/>
      <color rgb="FF000000"/>
      <name val="Arial"/>
      <family val="2"/>
    </font>
    <font>
      <b/>
      <sz val="10"/>
      <color rgb="FF000000"/>
      <name val="Arial"/>
      <family val="2"/>
    </font>
    <font>
      <sz val="9"/>
      <name val="宋体"/>
      <family val="3"/>
      <charset val="134"/>
      <scheme val="minor"/>
    </font>
    <font>
      <b/>
      <sz val="11"/>
      <color rgb="FF000000"/>
      <name val="宋体"/>
      <family val="2"/>
      <scheme val="minor"/>
    </font>
    <font>
      <sz val="11"/>
      <color theme="1"/>
      <name val="Arial"/>
      <family val="2"/>
    </font>
    <font>
      <vertAlign val="superscript"/>
      <sz val="11"/>
      <name val="宋体"/>
      <family val="2"/>
      <scheme val="minor"/>
    </font>
    <font>
      <sz val="11"/>
      <name val="宋体"/>
      <family val="2"/>
      <scheme val="minor"/>
    </font>
    <font>
      <b/>
      <sz val="10"/>
      <name val="Arial"/>
      <family val="2"/>
    </font>
  </fonts>
  <fills count="7">
    <fill>
      <patternFill patternType="none"/>
    </fill>
    <fill>
      <patternFill patternType="gray125"/>
    </fill>
    <fill>
      <patternFill patternType="solid">
        <fgColor rgb="FFD3D3D3"/>
        <bgColor indexed="64"/>
      </patternFill>
    </fill>
    <fill>
      <patternFill patternType="solid">
        <fgColor rgb="FFF5F5F5"/>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rgb="FFFFDE7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0" fillId="0" borderId="0" xfId="0" applyAlignment="1">
      <alignment vertical="center"/>
    </xf>
    <xf numFmtId="0" fontId="0" fillId="0" borderId="0" xfId="0" applyAlignment="1">
      <alignment wrapText="1"/>
    </xf>
    <xf numFmtId="0" fontId="2" fillId="0" borderId="1" xfId="0" applyFont="1" applyBorder="1" applyAlignment="1" applyProtection="1">
      <alignment horizontal="left" vertical="top"/>
      <protection locked="0"/>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pplyProtection="1">
      <alignment horizontal="left" vertical="top"/>
      <protection locked="0"/>
    </xf>
    <xf numFmtId="0" fontId="0" fillId="0" borderId="1" xfId="0" applyBorder="1"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horizontal="left" vertical="top" wrapText="1"/>
      <protection locked="0"/>
    </xf>
    <xf numFmtId="49" fontId="8" fillId="4" borderId="1" xfId="0" applyNumberFormat="1" applyFont="1" applyFill="1" applyBorder="1" applyAlignment="1">
      <alignment vertical="top" wrapText="1"/>
    </xf>
    <xf numFmtId="0" fontId="0" fillId="0" borderId="0" xfId="0" applyAlignment="1">
      <alignment horizontal="left" vertical="top" wrapText="1"/>
    </xf>
    <xf numFmtId="0" fontId="0" fillId="0" borderId="1" xfId="0" applyBorder="1"/>
    <xf numFmtId="0" fontId="0" fillId="5" borderId="1" xfId="0" applyFill="1" applyBorder="1" applyAlignment="1">
      <alignment horizontal="left" vertical="top"/>
    </xf>
    <xf numFmtId="0" fontId="0" fillId="5" borderId="1" xfId="0" applyFill="1" applyBorder="1" applyAlignment="1" applyProtection="1">
      <alignment horizontal="left" vertical="top"/>
      <protection locked="0"/>
    </xf>
    <xf numFmtId="0" fontId="0" fillId="5" borderId="1" xfId="0" applyFill="1" applyBorder="1" applyAlignment="1" applyProtection="1">
      <alignment horizontal="left" vertical="top" wrapText="1"/>
      <protection locked="0"/>
    </xf>
    <xf numFmtId="0" fontId="0" fillId="5" borderId="0" xfId="0" applyFill="1" applyAlignment="1">
      <alignment horizontal="left" vertical="top"/>
    </xf>
    <xf numFmtId="0" fontId="0" fillId="5" borderId="0" xfId="0" applyFill="1" applyAlignment="1">
      <alignment horizontal="left" vertical="top" wrapText="1"/>
    </xf>
    <xf numFmtId="0" fontId="9" fillId="0" borderId="1" xfId="0" applyFont="1" applyBorder="1"/>
    <xf numFmtId="0" fontId="9" fillId="0" borderId="0" xfId="0" applyFont="1" applyAlignment="1">
      <alignment vertical="center"/>
    </xf>
    <xf numFmtId="0" fontId="9" fillId="6" borderId="1" xfId="0" applyFont="1" applyFill="1" applyBorder="1"/>
    <xf numFmtId="0" fontId="1" fillId="6" borderId="1" xfId="0" applyFont="1" applyFill="1" applyBorder="1" applyAlignment="1">
      <alignment vertical="center"/>
    </xf>
    <xf numFmtId="0" fontId="1" fillId="0" borderId="1" xfId="0" applyFont="1" applyBorder="1" applyAlignment="1">
      <alignment vertical="center"/>
    </xf>
    <xf numFmtId="0" fontId="0" fillId="6" borderId="1" xfId="0" applyFill="1" applyBorder="1" applyAlignment="1">
      <alignment vertical="center"/>
    </xf>
    <xf numFmtId="0" fontId="0" fillId="0" borderId="1" xfId="0" applyBorder="1" applyAlignment="1">
      <alignment vertical="center"/>
    </xf>
    <xf numFmtId="0" fontId="6" fillId="6" borderId="1" xfId="0" applyFont="1" applyFill="1" applyBorder="1" applyAlignment="1">
      <alignment wrapText="1"/>
    </xf>
    <xf numFmtId="0" fontId="6" fillId="2" borderId="1" xfId="0" applyFont="1" applyFill="1" applyBorder="1" applyAlignment="1">
      <alignment wrapText="1"/>
    </xf>
    <xf numFmtId="0" fontId="5" fillId="3" borderId="1" xfId="0" applyFont="1" applyFill="1" applyBorder="1" applyAlignment="1">
      <alignment horizontal="left" vertical="top" wrapText="1"/>
    </xf>
    <xf numFmtId="0" fontId="12" fillId="6" borderId="1" xfId="0" applyFont="1" applyFill="1" applyBorder="1"/>
    <xf numFmtId="0" fontId="12" fillId="0" borderId="1" xfId="0" applyFont="1" applyBorder="1"/>
    <xf numFmtId="0" fontId="0" fillId="6" borderId="1" xfId="0" applyFill="1" applyBorder="1"/>
    <xf numFmtId="0" fontId="1" fillId="6" borderId="1" xfId="0" applyFont="1" applyFill="1" applyBorder="1"/>
    <xf numFmtId="0" fontId="1" fillId="0" borderId="1" xfId="0" applyFont="1" applyBorder="1"/>
    <xf numFmtId="0" fontId="1" fillId="0" borderId="0" xfId="0" applyFont="1"/>
    <xf numFmtId="0" fontId="5" fillId="6" borderId="1" xfId="0" applyFont="1" applyFill="1" applyBorder="1" applyAlignment="1">
      <alignment horizontal="left" vertical="top" wrapText="1"/>
    </xf>
  </cellXfs>
  <cellStyles count="1">
    <cellStyle name="常规" xfId="0" builtinId="0"/>
  </cellStyles>
  <dxfs count="2">
    <dxf>
      <fill>
        <patternFill>
          <bgColor rgb="FFC00000"/>
        </patternFill>
      </fill>
    </dxf>
    <dxf>
      <fill>
        <patternFill>
          <bgColor rgb="FFC00000"/>
        </patternFill>
      </fill>
    </dxf>
  </dxfs>
  <tableStyles count="0" defaultTableStyle="TableStyleMedium9" defaultPivotStyle="PivotStyleLight16"/>
  <colors>
    <mruColors>
      <color rgb="FFFFDE7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N277"/>
  <sheetViews>
    <sheetView tabSelected="1" workbookViewId="0">
      <pane xSplit="2" ySplit="1" topLeftCell="C2" activePane="bottomRight" state="frozen"/>
      <selection pane="topRight" activeCell="C1" sqref="C1"/>
      <selection pane="bottomLeft" activeCell="A2" sqref="A2"/>
      <selection pane="bottomRight" activeCell="Q4" sqref="Q4"/>
    </sheetView>
  </sheetViews>
  <sheetFormatPr defaultColWidth="9.125" defaultRowHeight="13.5" x14ac:dyDescent="0.15"/>
  <cols>
    <col min="1" max="1" width="5.875" style="4" bestFit="1" customWidth="1"/>
    <col min="2" max="2" width="16.125" style="8" bestFit="1" customWidth="1"/>
    <col min="3" max="3" width="26" style="8" customWidth="1"/>
    <col min="4" max="4" width="30.625" style="9" customWidth="1"/>
    <col min="5" max="5" width="18.375" style="8" bestFit="1" customWidth="1"/>
    <col min="6" max="6" width="18.875" style="8" customWidth="1"/>
    <col min="7" max="7" width="24.125" style="8" customWidth="1"/>
    <col min="8" max="8" width="16.125" style="8" hidden="1" customWidth="1"/>
    <col min="9" max="9" width="20.75" style="8" bestFit="1" customWidth="1"/>
    <col min="10" max="10" width="20" style="8" bestFit="1" customWidth="1"/>
    <col min="11" max="11" width="15.75" style="8" customWidth="1"/>
    <col min="12" max="12" width="17.625" style="8" customWidth="1"/>
    <col min="13" max="13" width="16.375" style="8" bestFit="1" customWidth="1"/>
    <col min="14" max="14" width="16.375" style="8" hidden="1" customWidth="1"/>
    <col min="15" max="15" width="16.375" style="8" bestFit="1" customWidth="1"/>
    <col min="16" max="16" width="19.75" style="8" bestFit="1" customWidth="1"/>
    <col min="17" max="17" width="22.125" style="8" customWidth="1"/>
    <col min="18" max="18" width="18.125" style="8" customWidth="1"/>
    <col min="19" max="19" width="17" style="8" bestFit="1" customWidth="1"/>
    <col min="20" max="20" width="17.375" style="8" hidden="1" customWidth="1"/>
    <col min="21" max="21" width="20" style="8" customWidth="1"/>
    <col min="22" max="22" width="10.75" style="8" bestFit="1" customWidth="1"/>
    <col min="23" max="23" width="12.875" style="8" bestFit="1" customWidth="1"/>
    <col min="24" max="24" width="10.75" style="8" customWidth="1"/>
    <col min="25" max="25" width="11.25" style="8" customWidth="1"/>
    <col min="26" max="26" width="14.125" style="8" customWidth="1"/>
    <col min="27" max="27" width="14.375" style="8" customWidth="1"/>
    <col min="28" max="28" width="14.75" style="8" customWidth="1"/>
    <col min="29" max="29" width="23.75" style="8" bestFit="1" customWidth="1"/>
    <col min="30" max="30" width="8.25" style="8" bestFit="1" customWidth="1"/>
    <col min="31" max="31" width="10.875" style="8" bestFit="1" customWidth="1"/>
    <col min="32" max="32" width="10.75" style="8" bestFit="1" customWidth="1"/>
    <col min="33" max="33" width="15.75" style="8" bestFit="1" customWidth="1"/>
    <col min="34" max="34" width="17" style="8" customWidth="1"/>
    <col min="35" max="35" width="20.875" style="8" customWidth="1"/>
    <col min="36" max="36" width="20.75" style="8" bestFit="1" customWidth="1"/>
    <col min="37" max="37" width="26" style="8" customWidth="1"/>
    <col min="38" max="38" width="8.375" style="4" customWidth="1"/>
    <col min="39" max="39" width="0.875" style="4" hidden="1" customWidth="1"/>
    <col min="40" max="40" width="90.375" style="11" customWidth="1"/>
    <col min="41" max="43" width="12.375" style="4" bestFit="1" customWidth="1"/>
    <col min="44" max="44" width="18.375" style="4" bestFit="1" customWidth="1"/>
    <col min="45" max="47" width="13.75" style="4" bestFit="1" customWidth="1"/>
    <col min="48" max="48" width="18.375" style="4" bestFit="1" customWidth="1"/>
    <col min="49" max="51" width="13.75" style="4" bestFit="1" customWidth="1"/>
    <col min="52" max="52" width="18.375" style="4" bestFit="1" customWidth="1"/>
    <col min="53" max="53" width="5.625" style="4" bestFit="1" customWidth="1"/>
    <col min="54" max="54" width="10.125" style="4" bestFit="1" customWidth="1"/>
    <col min="55" max="55" width="7.875" style="4" bestFit="1" customWidth="1"/>
    <col min="56" max="56" width="5.625" style="4" bestFit="1" customWidth="1"/>
    <col min="57" max="57" width="6.125" style="4" bestFit="1" customWidth="1"/>
    <col min="58" max="58" width="13.75" style="4" bestFit="1" customWidth="1"/>
    <col min="59" max="59" width="10.125" style="4" bestFit="1" customWidth="1"/>
    <col min="60" max="61" width="5.625" style="4" bestFit="1" customWidth="1"/>
    <col min="62" max="63" width="7.875" style="4" bestFit="1" customWidth="1"/>
    <col min="64" max="64" width="10.125" style="4" bestFit="1" customWidth="1"/>
    <col min="65" max="65" width="14.875" style="4" bestFit="1" customWidth="1"/>
    <col min="66" max="66" width="5.375" style="4" bestFit="1" customWidth="1"/>
    <col min="67" max="67" width="7.25" style="4" bestFit="1" customWidth="1"/>
    <col min="68" max="68" width="19.625" style="4" bestFit="1" customWidth="1"/>
    <col min="69" max="69" width="14.875" style="4" bestFit="1" customWidth="1"/>
    <col min="70" max="16384" width="9.125" style="4"/>
  </cols>
  <sheetData>
    <row r="1" spans="1:40" ht="40.5" x14ac:dyDescent="0.15">
      <c r="A1" s="10" t="s">
        <v>404</v>
      </c>
      <c r="B1" s="10" t="s">
        <v>1481</v>
      </c>
      <c r="C1" s="10" t="s">
        <v>405</v>
      </c>
      <c r="D1" s="10" t="s">
        <v>406</v>
      </c>
      <c r="E1" s="10" t="s">
        <v>422</v>
      </c>
      <c r="F1" s="10" t="s">
        <v>1463</v>
      </c>
      <c r="G1" s="10" t="s">
        <v>1391</v>
      </c>
      <c r="H1" s="10" t="s">
        <v>1392</v>
      </c>
      <c r="I1" s="10" t="s">
        <v>407</v>
      </c>
      <c r="J1" s="10" t="s">
        <v>408</v>
      </c>
      <c r="K1" s="10" t="s">
        <v>423</v>
      </c>
      <c r="L1" s="10" t="s">
        <v>1464</v>
      </c>
      <c r="M1" s="10" t="s">
        <v>1393</v>
      </c>
      <c r="N1" s="10" t="s">
        <v>1396</v>
      </c>
      <c r="O1" s="10" t="s">
        <v>409</v>
      </c>
      <c r="P1" s="10" t="s">
        <v>410</v>
      </c>
      <c r="Q1" s="10" t="s">
        <v>424</v>
      </c>
      <c r="R1" s="10" t="s">
        <v>1465</v>
      </c>
      <c r="S1" s="10" t="s">
        <v>1422</v>
      </c>
      <c r="T1" s="10" t="s">
        <v>1398</v>
      </c>
      <c r="U1" s="10" t="s">
        <v>411</v>
      </c>
      <c r="V1" s="10" t="s">
        <v>412</v>
      </c>
      <c r="W1" s="10" t="s">
        <v>413</v>
      </c>
      <c r="X1" s="10" t="s">
        <v>414</v>
      </c>
      <c r="Y1" s="10" t="s">
        <v>415</v>
      </c>
      <c r="Z1" s="10" t="s">
        <v>1430</v>
      </c>
      <c r="AA1" s="10" t="s">
        <v>1431</v>
      </c>
      <c r="AB1" s="10" t="s">
        <v>416</v>
      </c>
      <c r="AC1" s="10" t="s">
        <v>417</v>
      </c>
      <c r="AD1" s="10" t="s">
        <v>418</v>
      </c>
      <c r="AE1" s="10" t="s">
        <v>419</v>
      </c>
      <c r="AF1" s="10" t="s">
        <v>420</v>
      </c>
      <c r="AG1" s="10" t="s">
        <v>822</v>
      </c>
      <c r="AH1" s="10" t="s">
        <v>1406</v>
      </c>
      <c r="AI1" s="10" t="s">
        <v>1407</v>
      </c>
      <c r="AJ1" s="10" t="s">
        <v>1408</v>
      </c>
      <c r="AK1" s="10" t="s">
        <v>1409</v>
      </c>
      <c r="AM1" s="4" t="s">
        <v>953</v>
      </c>
      <c r="AN1" s="11" t="s">
        <v>1389</v>
      </c>
    </row>
    <row r="2" spans="1:40" ht="34.5" customHeight="1" x14ac:dyDescent="0.15">
      <c r="A2" s="5">
        <v>1</v>
      </c>
      <c r="B2" s="6" t="s">
        <v>2689</v>
      </c>
      <c r="C2" s="7" t="s">
        <v>2687</v>
      </c>
      <c r="D2" s="7" t="s">
        <v>2688</v>
      </c>
      <c r="E2" s="7"/>
      <c r="F2" s="6" t="s">
        <v>2690</v>
      </c>
      <c r="G2" s="6" t="s">
        <v>2691</v>
      </c>
      <c r="H2" s="6"/>
      <c r="I2" s="7" t="s">
        <v>2708</v>
      </c>
      <c r="J2" s="7" t="s">
        <v>2692</v>
      </c>
      <c r="K2" s="6"/>
      <c r="L2" s="6" t="s">
        <v>2693</v>
      </c>
      <c r="M2" s="6" t="s">
        <v>2709</v>
      </c>
      <c r="N2" s="6"/>
      <c r="O2" s="7" t="s">
        <v>2708</v>
      </c>
      <c r="P2" s="7" t="s">
        <v>2692</v>
      </c>
      <c r="Q2" s="6"/>
      <c r="R2" s="6" t="s">
        <v>2693</v>
      </c>
      <c r="S2" s="6" t="s">
        <v>2709</v>
      </c>
      <c r="T2" s="6"/>
      <c r="U2" s="6" t="s">
        <v>2695</v>
      </c>
      <c r="V2" s="6" t="s">
        <v>2694</v>
      </c>
      <c r="W2" s="6" t="s">
        <v>2696</v>
      </c>
      <c r="X2" s="6">
        <v>36</v>
      </c>
      <c r="Y2" s="6" t="s">
        <v>2697</v>
      </c>
      <c r="Z2" s="3">
        <v>24624</v>
      </c>
      <c r="AA2" s="6">
        <v>19.079999999999998</v>
      </c>
      <c r="AB2" s="7" t="s">
        <v>2698</v>
      </c>
      <c r="AC2" s="7" t="s">
        <v>2699</v>
      </c>
      <c r="AD2" s="6"/>
      <c r="AE2" s="6" t="s">
        <v>2701</v>
      </c>
      <c r="AF2" s="6" t="s">
        <v>2702</v>
      </c>
      <c r="AG2" s="6" t="s">
        <v>2703</v>
      </c>
      <c r="AH2" s="6"/>
      <c r="AI2" s="6"/>
      <c r="AJ2" s="6"/>
      <c r="AK2" s="6"/>
      <c r="AM2" s="4" t="b">
        <f>checking!A2</f>
        <v>0</v>
      </c>
      <c r="AN2" s="11" t="str">
        <f>IF(NOT(AM2), checking!AX2,"")</f>
        <v xml:space="preserve">缺少 发货人城市
缺少 收货人城市
缺少 通知人城市
唛头 不应多于90个字符
</v>
      </c>
    </row>
    <row r="3" spans="1:40" s="16" customFormat="1" ht="67.5" x14ac:dyDescent="0.15">
      <c r="A3" s="13">
        <f>IF(ISBLANK(B3), "", A2+1)</f>
        <v>2</v>
      </c>
      <c r="B3" s="14" t="s">
        <v>2689</v>
      </c>
      <c r="C3" s="15" t="s">
        <v>2687</v>
      </c>
      <c r="D3" s="15" t="s">
        <v>2688</v>
      </c>
      <c r="E3" s="14"/>
      <c r="F3" s="14" t="s">
        <v>2690</v>
      </c>
      <c r="G3" s="14" t="s">
        <v>2691</v>
      </c>
      <c r="H3" s="14"/>
      <c r="I3" s="14" t="s">
        <v>2708</v>
      </c>
      <c r="J3" s="15" t="s">
        <v>2692</v>
      </c>
      <c r="K3" s="14"/>
      <c r="L3" s="14" t="s">
        <v>2693</v>
      </c>
      <c r="M3" s="14" t="s">
        <v>2709</v>
      </c>
      <c r="N3" s="14"/>
      <c r="O3" s="15" t="s">
        <v>2708</v>
      </c>
      <c r="P3" s="15" t="s">
        <v>2692</v>
      </c>
      <c r="Q3" s="14"/>
      <c r="R3" s="14" t="s">
        <v>2693</v>
      </c>
      <c r="S3" s="14" t="s">
        <v>2709</v>
      </c>
      <c r="T3" s="14"/>
      <c r="U3" s="14" t="s">
        <v>2704</v>
      </c>
      <c r="V3" s="14" t="s">
        <v>2694</v>
      </c>
      <c r="W3" s="14" t="s">
        <v>2705</v>
      </c>
      <c r="X3" s="14">
        <v>36</v>
      </c>
      <c r="Y3" s="14" t="s">
        <v>2697</v>
      </c>
      <c r="Z3" s="14">
        <v>24624</v>
      </c>
      <c r="AA3" s="14">
        <v>19.079999999999998</v>
      </c>
      <c r="AB3" s="14" t="s">
        <v>2698</v>
      </c>
      <c r="AC3" s="15" t="s">
        <v>2699</v>
      </c>
      <c r="AD3" s="14"/>
      <c r="AE3" s="14" t="s">
        <v>2701</v>
      </c>
      <c r="AF3" s="14" t="s">
        <v>2702</v>
      </c>
      <c r="AG3" s="14" t="s">
        <v>2703</v>
      </c>
      <c r="AH3" s="14"/>
      <c r="AI3" s="14"/>
      <c r="AJ3" s="14"/>
      <c r="AK3" s="14"/>
      <c r="AM3" s="16" t="b">
        <f>checking!A3</f>
        <v>0</v>
      </c>
      <c r="AN3" s="17" t="str">
        <f>IF(NOT(AM3), checking!AX3,"")</f>
        <v xml:space="preserve">缺少 发货人城市
缺少 收货人城市
缺少 通知人城市
唛头 不应多于90个字符
</v>
      </c>
    </row>
    <row r="4" spans="1:40" ht="67.5" x14ac:dyDescent="0.15">
      <c r="A4" s="5">
        <f t="shared" ref="A4:A67" si="0">IF(ISBLANK(B4), "", A3+1)</f>
        <v>3</v>
      </c>
      <c r="B4" s="6" t="s">
        <v>2689</v>
      </c>
      <c r="C4" s="7" t="s">
        <v>2687</v>
      </c>
      <c r="D4" s="7" t="s">
        <v>2688</v>
      </c>
      <c r="E4" s="6"/>
      <c r="F4" s="6" t="s">
        <v>2690</v>
      </c>
      <c r="G4" s="6" t="s">
        <v>2691</v>
      </c>
      <c r="H4" s="6"/>
      <c r="I4" s="6" t="s">
        <v>2708</v>
      </c>
      <c r="J4" s="7" t="s">
        <v>2692</v>
      </c>
      <c r="K4" s="6"/>
      <c r="L4" s="6" t="s">
        <v>2693</v>
      </c>
      <c r="M4" s="6" t="s">
        <v>2709</v>
      </c>
      <c r="N4" s="6"/>
      <c r="O4" s="7" t="s">
        <v>2708</v>
      </c>
      <c r="P4" s="7" t="s">
        <v>2692</v>
      </c>
      <c r="Q4" s="6"/>
      <c r="R4" s="6" t="s">
        <v>2693</v>
      </c>
      <c r="S4" s="6" t="s">
        <v>2709</v>
      </c>
      <c r="T4" s="6"/>
      <c r="U4" s="6" t="s">
        <v>2706</v>
      </c>
      <c r="V4" s="6" t="s">
        <v>2694</v>
      </c>
      <c r="W4" s="6" t="s">
        <v>2707</v>
      </c>
      <c r="X4" s="6">
        <v>36</v>
      </c>
      <c r="Y4" s="6" t="s">
        <v>2697</v>
      </c>
      <c r="Z4" s="6">
        <v>24624</v>
      </c>
      <c r="AA4" s="6">
        <v>19.079999999999998</v>
      </c>
      <c r="AB4" s="6" t="s">
        <v>2698</v>
      </c>
      <c r="AC4" s="7" t="s">
        <v>2699</v>
      </c>
      <c r="AD4" s="6"/>
      <c r="AE4" s="6" t="s">
        <v>2701</v>
      </c>
      <c r="AF4" s="6" t="s">
        <v>2702</v>
      </c>
      <c r="AG4" s="6" t="s">
        <v>2703</v>
      </c>
      <c r="AH4" s="6"/>
      <c r="AI4" s="6"/>
      <c r="AJ4" s="6"/>
      <c r="AK4" s="6"/>
      <c r="AM4" s="4" t="b">
        <f>checking!A4</f>
        <v>0</v>
      </c>
      <c r="AN4" s="11" t="str">
        <f>IF(NOT(AM4), checking!AX4,"")</f>
        <v xml:space="preserve">缺少 发货人城市
缺少 收货人城市
缺少 通知人城市
唛头 不应多于90个字符
</v>
      </c>
    </row>
    <row r="5" spans="1:40" s="16" customFormat="1" x14ac:dyDescent="0.15">
      <c r="A5" s="13" t="str">
        <f>IF(ISBLANK(B5), "", A4+1)</f>
        <v/>
      </c>
      <c r="B5" s="14"/>
      <c r="C5" s="14"/>
      <c r="D5" s="15"/>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M5" s="16" t="b">
        <f>checking!A5</f>
        <v>1</v>
      </c>
      <c r="AN5" s="17" t="str">
        <f>IF(NOT(AM5), checking!AX5,"")</f>
        <v/>
      </c>
    </row>
    <row r="6" spans="1:40" x14ac:dyDescent="0.15">
      <c r="A6" s="5" t="str">
        <f t="shared" si="0"/>
        <v/>
      </c>
      <c r="B6" s="6"/>
      <c r="C6" s="6"/>
      <c r="D6" s="7"/>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M6" s="4" t="b">
        <f>checking!A6</f>
        <v>1</v>
      </c>
      <c r="AN6" s="11" t="str">
        <f>IF(NOT(AM6), checking!AX6,"")</f>
        <v/>
      </c>
    </row>
    <row r="7" spans="1:40" s="16" customFormat="1" x14ac:dyDescent="0.15">
      <c r="A7" s="13" t="str">
        <f t="shared" si="0"/>
        <v/>
      </c>
      <c r="B7" s="14"/>
      <c r="C7" s="14"/>
      <c r="D7" s="15"/>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M7" s="16" t="b">
        <f>checking!A7</f>
        <v>1</v>
      </c>
      <c r="AN7" s="17" t="str">
        <f>IF(NOT(AM7), checking!AX7,"")</f>
        <v/>
      </c>
    </row>
    <row r="8" spans="1:40" x14ac:dyDescent="0.15">
      <c r="A8" s="5" t="str">
        <f t="shared" si="0"/>
        <v/>
      </c>
      <c r="B8" s="6"/>
      <c r="C8" s="7"/>
      <c r="D8" s="7"/>
      <c r="E8" s="6"/>
      <c r="F8" s="6"/>
      <c r="G8" s="6"/>
      <c r="H8" s="6"/>
      <c r="I8" s="6"/>
      <c r="J8" s="7"/>
      <c r="K8" s="6"/>
      <c r="L8" s="6"/>
      <c r="M8" s="6"/>
      <c r="N8" s="6"/>
      <c r="O8" s="7"/>
      <c r="P8" s="7"/>
      <c r="Q8" s="6"/>
      <c r="R8" s="6"/>
      <c r="S8" s="6"/>
      <c r="T8" s="6"/>
      <c r="U8" s="6"/>
      <c r="V8" s="6"/>
      <c r="W8" s="6"/>
      <c r="X8" s="6"/>
      <c r="Y8" s="6"/>
      <c r="Z8" s="6"/>
      <c r="AA8" s="6"/>
      <c r="AB8" s="6"/>
      <c r="AC8" s="7"/>
      <c r="AD8" s="6"/>
      <c r="AE8" s="6"/>
      <c r="AF8" s="6"/>
      <c r="AG8" s="6"/>
      <c r="AH8" s="6"/>
      <c r="AI8" s="6"/>
      <c r="AJ8" s="6"/>
      <c r="AK8" s="6"/>
      <c r="AM8" s="4" t="b">
        <f>checking!A8</f>
        <v>1</v>
      </c>
      <c r="AN8" s="11" t="str">
        <f>IF(NOT(AM8), checking!AX8,"")</f>
        <v/>
      </c>
    </row>
    <row r="9" spans="1:40" s="16" customFormat="1" x14ac:dyDescent="0.15">
      <c r="A9" s="13" t="str">
        <f t="shared" si="0"/>
        <v/>
      </c>
      <c r="B9" s="14"/>
      <c r="C9" s="14"/>
      <c r="D9" s="15"/>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M9" s="16" t="b">
        <f>checking!A9</f>
        <v>1</v>
      </c>
      <c r="AN9" s="17" t="str">
        <f>IF(NOT(AM9), checking!AX9,"")</f>
        <v/>
      </c>
    </row>
    <row r="10" spans="1:40" x14ac:dyDescent="0.15">
      <c r="A10" s="5" t="str">
        <f t="shared" si="0"/>
        <v/>
      </c>
      <c r="B10" s="6"/>
      <c r="C10" s="7"/>
      <c r="D10" s="7"/>
      <c r="E10" s="6"/>
      <c r="F10" s="6"/>
      <c r="G10" s="6"/>
      <c r="H10" s="6"/>
      <c r="I10" s="6"/>
      <c r="J10" s="7"/>
      <c r="K10" s="6"/>
      <c r="L10" s="6"/>
      <c r="M10" s="6"/>
      <c r="N10" s="6"/>
      <c r="O10" s="7"/>
      <c r="P10" s="7"/>
      <c r="Q10" s="6"/>
      <c r="R10" s="6"/>
      <c r="S10" s="6"/>
      <c r="T10" s="6"/>
      <c r="U10" s="6"/>
      <c r="V10" s="6"/>
      <c r="W10" s="6"/>
      <c r="X10" s="6"/>
      <c r="Y10" s="6"/>
      <c r="Z10" s="6"/>
      <c r="AA10" s="6"/>
      <c r="AB10" s="6"/>
      <c r="AC10" s="7"/>
      <c r="AD10" s="6"/>
      <c r="AE10" s="6"/>
      <c r="AF10" s="6"/>
      <c r="AG10" s="6"/>
      <c r="AH10" s="6"/>
      <c r="AI10" s="6"/>
      <c r="AJ10" s="6"/>
      <c r="AK10" s="6"/>
      <c r="AM10" s="4" t="b">
        <f>checking!A10</f>
        <v>1</v>
      </c>
      <c r="AN10" s="11" t="str">
        <f>IF(NOT(AM10), checking!AX10,"")</f>
        <v/>
      </c>
    </row>
    <row r="11" spans="1:40" s="16" customFormat="1" x14ac:dyDescent="0.15">
      <c r="A11" s="13" t="str">
        <f t="shared" si="0"/>
        <v/>
      </c>
      <c r="B11" s="14"/>
      <c r="C11" s="14"/>
      <c r="D11" s="15"/>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M11" s="16" t="b">
        <f>checking!A11</f>
        <v>1</v>
      </c>
      <c r="AN11" s="17" t="str">
        <f>IF(NOT(AM11), checking!AX11,"")</f>
        <v/>
      </c>
    </row>
    <row r="12" spans="1:40" x14ac:dyDescent="0.15">
      <c r="A12" s="5" t="str">
        <f t="shared" si="0"/>
        <v/>
      </c>
      <c r="B12" s="6"/>
      <c r="C12" s="7"/>
      <c r="D12" s="7"/>
      <c r="E12" s="6"/>
      <c r="F12" s="6"/>
      <c r="G12" s="6"/>
      <c r="H12" s="6"/>
      <c r="I12" s="6"/>
      <c r="J12" s="7"/>
      <c r="K12" s="6"/>
      <c r="L12" s="6"/>
      <c r="M12" s="6"/>
      <c r="N12" s="6"/>
      <c r="O12" s="7"/>
      <c r="P12" s="7"/>
      <c r="Q12" s="6"/>
      <c r="R12" s="6"/>
      <c r="S12" s="6"/>
      <c r="T12" s="6"/>
      <c r="U12" s="6"/>
      <c r="V12" s="6"/>
      <c r="W12" s="6"/>
      <c r="X12" s="6"/>
      <c r="Y12" s="6"/>
      <c r="Z12" s="6"/>
      <c r="AA12" s="6"/>
      <c r="AB12" s="6"/>
      <c r="AC12" s="7"/>
      <c r="AD12" s="6"/>
      <c r="AE12" s="6"/>
      <c r="AF12" s="6"/>
      <c r="AG12" s="6"/>
      <c r="AH12" s="6"/>
      <c r="AI12" s="6"/>
      <c r="AJ12" s="6"/>
      <c r="AK12" s="6"/>
      <c r="AM12" s="4" t="b">
        <f>checking!A12</f>
        <v>1</v>
      </c>
      <c r="AN12" s="11" t="str">
        <f>IF(NOT(AM12), checking!AX12,"")</f>
        <v/>
      </c>
    </row>
    <row r="13" spans="1:40" s="16" customFormat="1" x14ac:dyDescent="0.15">
      <c r="A13" s="13" t="str">
        <f t="shared" si="0"/>
        <v/>
      </c>
      <c r="B13" s="14"/>
      <c r="C13" s="14"/>
      <c r="D13" s="15"/>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M13" s="16" t="b">
        <f>checking!A13</f>
        <v>1</v>
      </c>
      <c r="AN13" s="17" t="str">
        <f>IF(NOT(AM13), checking!AX13,"")</f>
        <v/>
      </c>
    </row>
    <row r="14" spans="1:40" x14ac:dyDescent="0.15">
      <c r="A14" s="5" t="str">
        <f t="shared" si="0"/>
        <v/>
      </c>
      <c r="B14" s="6"/>
      <c r="C14" s="7"/>
      <c r="D14" s="7"/>
      <c r="E14" s="6"/>
      <c r="F14" s="6"/>
      <c r="G14" s="6"/>
      <c r="H14" s="6"/>
      <c r="I14" s="6"/>
      <c r="J14" s="7"/>
      <c r="K14" s="6"/>
      <c r="L14" s="6"/>
      <c r="M14" s="6"/>
      <c r="N14" s="6"/>
      <c r="O14" s="7"/>
      <c r="P14" s="7"/>
      <c r="Q14" s="6"/>
      <c r="R14" s="6"/>
      <c r="S14" s="6"/>
      <c r="T14" s="6"/>
      <c r="U14" s="6"/>
      <c r="V14" s="6"/>
      <c r="W14" s="6"/>
      <c r="X14" s="6"/>
      <c r="Y14" s="6"/>
      <c r="Z14" s="6"/>
      <c r="AA14" s="6"/>
      <c r="AB14" s="6"/>
      <c r="AC14" s="7"/>
      <c r="AD14" s="6"/>
      <c r="AE14" s="6"/>
      <c r="AF14" s="6"/>
      <c r="AG14" s="6"/>
      <c r="AH14" s="6"/>
      <c r="AI14" s="6"/>
      <c r="AJ14" s="6"/>
      <c r="AK14" s="6"/>
      <c r="AM14" s="4" t="b">
        <f>checking!A14</f>
        <v>1</v>
      </c>
      <c r="AN14" s="11" t="str">
        <f>IF(NOT(AM14), checking!AX14,"")</f>
        <v/>
      </c>
    </row>
    <row r="15" spans="1:40" s="16" customFormat="1" x14ac:dyDescent="0.15">
      <c r="A15" s="13" t="str">
        <f t="shared" si="0"/>
        <v/>
      </c>
      <c r="B15" s="14"/>
      <c r="C15" s="14"/>
      <c r="D15" s="15"/>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M15" s="16" t="b">
        <f>checking!A15</f>
        <v>1</v>
      </c>
      <c r="AN15" s="17" t="str">
        <f>IF(NOT(AM15), checking!AX15,"")</f>
        <v/>
      </c>
    </row>
    <row r="16" spans="1:40" x14ac:dyDescent="0.15">
      <c r="A16" s="5" t="str">
        <f t="shared" si="0"/>
        <v/>
      </c>
      <c r="B16" s="6"/>
      <c r="C16" s="7"/>
      <c r="D16" s="7"/>
      <c r="E16" s="6"/>
      <c r="F16" s="6"/>
      <c r="G16" s="6"/>
      <c r="H16" s="6"/>
      <c r="I16" s="6"/>
      <c r="J16" s="7"/>
      <c r="K16" s="6"/>
      <c r="L16" s="6"/>
      <c r="M16" s="6"/>
      <c r="N16" s="6"/>
      <c r="O16" s="7"/>
      <c r="P16" s="7"/>
      <c r="Q16" s="6"/>
      <c r="R16" s="6"/>
      <c r="S16" s="6"/>
      <c r="T16" s="6"/>
      <c r="U16" s="6"/>
      <c r="V16" s="6"/>
      <c r="W16" s="6"/>
      <c r="X16" s="6"/>
      <c r="Y16" s="6"/>
      <c r="Z16" s="6"/>
      <c r="AA16" s="6"/>
      <c r="AB16" s="6"/>
      <c r="AC16" s="7"/>
      <c r="AD16" s="6"/>
      <c r="AE16" s="6"/>
      <c r="AF16" s="6"/>
      <c r="AG16" s="6"/>
      <c r="AH16" s="6"/>
      <c r="AI16" s="6"/>
      <c r="AJ16" s="6"/>
      <c r="AK16" s="6"/>
      <c r="AM16" s="4" t="b">
        <f>checking!A16</f>
        <v>1</v>
      </c>
      <c r="AN16" s="11" t="str">
        <f>IF(NOT(AM16), checking!AX16,"")</f>
        <v/>
      </c>
    </row>
    <row r="17" spans="1:40" s="16" customFormat="1" x14ac:dyDescent="0.15">
      <c r="A17" s="13" t="str">
        <f t="shared" si="0"/>
        <v/>
      </c>
      <c r="B17" s="14"/>
      <c r="C17" s="14"/>
      <c r="D17" s="15"/>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M17" s="16" t="b">
        <f>checking!A17</f>
        <v>1</v>
      </c>
      <c r="AN17" s="17" t="str">
        <f>IF(NOT(AM17), checking!AX17,"")</f>
        <v/>
      </c>
    </row>
    <row r="18" spans="1:40" x14ac:dyDescent="0.15">
      <c r="A18" s="5" t="str">
        <f t="shared" si="0"/>
        <v/>
      </c>
      <c r="B18" s="6"/>
      <c r="C18" s="7"/>
      <c r="D18" s="7"/>
      <c r="E18" s="6"/>
      <c r="F18" s="6"/>
      <c r="G18" s="6"/>
      <c r="H18" s="6"/>
      <c r="I18" s="6"/>
      <c r="J18" s="7"/>
      <c r="K18" s="6"/>
      <c r="L18" s="6"/>
      <c r="M18" s="6"/>
      <c r="N18" s="6"/>
      <c r="O18" s="7"/>
      <c r="P18" s="7"/>
      <c r="Q18" s="6"/>
      <c r="R18" s="6"/>
      <c r="S18" s="6"/>
      <c r="T18" s="6"/>
      <c r="U18" s="6"/>
      <c r="V18" s="6"/>
      <c r="W18" s="6"/>
      <c r="X18" s="6"/>
      <c r="Y18" s="6"/>
      <c r="Z18" s="6"/>
      <c r="AA18" s="6"/>
      <c r="AB18" s="6"/>
      <c r="AC18" s="7"/>
      <c r="AD18" s="6"/>
      <c r="AE18" s="6"/>
      <c r="AF18" s="6"/>
      <c r="AG18" s="6"/>
      <c r="AH18" s="6"/>
      <c r="AI18" s="6"/>
      <c r="AJ18" s="6"/>
      <c r="AK18" s="6"/>
      <c r="AM18" s="4" t="b">
        <f>checking!A18</f>
        <v>1</v>
      </c>
      <c r="AN18" s="11" t="str">
        <f>IF(NOT(AM18), checking!AX18,"")</f>
        <v/>
      </c>
    </row>
    <row r="19" spans="1:40" s="16" customFormat="1" x14ac:dyDescent="0.15">
      <c r="A19" s="13" t="str">
        <f t="shared" si="0"/>
        <v/>
      </c>
      <c r="B19" s="14"/>
      <c r="C19" s="14"/>
      <c r="D19" s="15"/>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M19" s="16" t="b">
        <f>checking!A19</f>
        <v>1</v>
      </c>
      <c r="AN19" s="17" t="str">
        <f>IF(NOT(AM19), checking!AX19,"")</f>
        <v/>
      </c>
    </row>
    <row r="20" spans="1:40" x14ac:dyDescent="0.15">
      <c r="A20" s="5" t="str">
        <f t="shared" si="0"/>
        <v/>
      </c>
      <c r="B20" s="6"/>
      <c r="C20" s="7"/>
      <c r="D20" s="7"/>
      <c r="E20" s="6"/>
      <c r="F20" s="6"/>
      <c r="G20" s="6"/>
      <c r="H20" s="6"/>
      <c r="I20" s="6"/>
      <c r="J20" s="7"/>
      <c r="K20" s="6"/>
      <c r="L20" s="6"/>
      <c r="M20" s="6"/>
      <c r="N20" s="6"/>
      <c r="O20" s="7"/>
      <c r="P20" s="7"/>
      <c r="Q20" s="6"/>
      <c r="R20" s="6"/>
      <c r="S20" s="6"/>
      <c r="T20" s="6"/>
      <c r="U20" s="6"/>
      <c r="V20" s="6"/>
      <c r="W20" s="6"/>
      <c r="X20" s="6"/>
      <c r="Y20" s="6"/>
      <c r="Z20" s="6"/>
      <c r="AA20" s="6"/>
      <c r="AB20" s="6"/>
      <c r="AC20" s="7"/>
      <c r="AD20" s="6"/>
      <c r="AE20" s="6"/>
      <c r="AF20" s="6"/>
      <c r="AG20" s="6"/>
      <c r="AH20" s="6"/>
      <c r="AI20" s="6"/>
      <c r="AJ20" s="6"/>
      <c r="AK20" s="6"/>
      <c r="AM20" s="4" t="b">
        <f>checking!A20</f>
        <v>1</v>
      </c>
      <c r="AN20" s="11" t="str">
        <f>IF(NOT(AM20), checking!AX20,"")</f>
        <v/>
      </c>
    </row>
    <row r="21" spans="1:40" s="16" customFormat="1" x14ac:dyDescent="0.15">
      <c r="A21" s="13" t="str">
        <f t="shared" si="0"/>
        <v/>
      </c>
      <c r="B21" s="14"/>
      <c r="C21" s="14"/>
      <c r="D21" s="15"/>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M21" s="16" t="b">
        <f>checking!A21</f>
        <v>1</v>
      </c>
      <c r="AN21" s="17" t="str">
        <f>IF(NOT(AM21), checking!AX21,"")</f>
        <v/>
      </c>
    </row>
    <row r="22" spans="1:40" x14ac:dyDescent="0.15">
      <c r="A22" s="5" t="str">
        <f t="shared" si="0"/>
        <v/>
      </c>
      <c r="B22" s="6"/>
      <c r="C22" s="7"/>
      <c r="D22" s="7"/>
      <c r="E22" s="6"/>
      <c r="F22" s="6"/>
      <c r="G22" s="6"/>
      <c r="H22" s="6"/>
      <c r="I22" s="6"/>
      <c r="J22" s="7"/>
      <c r="K22" s="6"/>
      <c r="L22" s="6"/>
      <c r="M22" s="6"/>
      <c r="N22" s="6"/>
      <c r="O22" s="7"/>
      <c r="P22" s="7"/>
      <c r="Q22" s="6"/>
      <c r="R22" s="6"/>
      <c r="S22" s="6"/>
      <c r="T22" s="6"/>
      <c r="U22" s="6"/>
      <c r="V22" s="6"/>
      <c r="W22" s="6"/>
      <c r="X22" s="6"/>
      <c r="Y22" s="6"/>
      <c r="Z22" s="6"/>
      <c r="AA22" s="6"/>
      <c r="AB22" s="6"/>
      <c r="AC22" s="7"/>
      <c r="AD22" s="6"/>
      <c r="AE22" s="6"/>
      <c r="AF22" s="6"/>
      <c r="AG22" s="6"/>
      <c r="AH22" s="6"/>
      <c r="AI22" s="6"/>
      <c r="AJ22" s="6"/>
      <c r="AK22" s="6"/>
      <c r="AM22" s="4" t="b">
        <f>checking!A22</f>
        <v>1</v>
      </c>
      <c r="AN22" s="11" t="str">
        <f>IF(NOT(AM22), checking!AX22,"")</f>
        <v/>
      </c>
    </row>
    <row r="23" spans="1:40" s="16" customFormat="1" x14ac:dyDescent="0.15">
      <c r="A23" s="13" t="str">
        <f t="shared" si="0"/>
        <v/>
      </c>
      <c r="B23" s="14"/>
      <c r="C23" s="14"/>
      <c r="D23" s="15"/>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M23" s="16" t="b">
        <f>checking!A23</f>
        <v>1</v>
      </c>
      <c r="AN23" s="17" t="str">
        <f>IF(NOT(AM23), checking!AX23,"")</f>
        <v/>
      </c>
    </row>
    <row r="24" spans="1:40" x14ac:dyDescent="0.15">
      <c r="A24" s="5" t="str">
        <f t="shared" si="0"/>
        <v/>
      </c>
      <c r="B24" s="6"/>
      <c r="C24" s="7"/>
      <c r="D24" s="7"/>
      <c r="E24" s="6"/>
      <c r="F24" s="6"/>
      <c r="G24" s="6"/>
      <c r="H24" s="6"/>
      <c r="I24" s="6"/>
      <c r="J24" s="7"/>
      <c r="K24" s="6"/>
      <c r="L24" s="6"/>
      <c r="M24" s="6"/>
      <c r="N24" s="6"/>
      <c r="O24" s="7"/>
      <c r="P24" s="7"/>
      <c r="Q24" s="6"/>
      <c r="R24" s="6"/>
      <c r="S24" s="6"/>
      <c r="T24" s="6"/>
      <c r="U24" s="6"/>
      <c r="V24" s="6"/>
      <c r="W24" s="6"/>
      <c r="X24" s="6"/>
      <c r="Y24" s="6"/>
      <c r="Z24" s="6"/>
      <c r="AA24" s="6"/>
      <c r="AB24" s="6"/>
      <c r="AC24" s="7"/>
      <c r="AD24" s="6"/>
      <c r="AE24" s="6"/>
      <c r="AF24" s="6"/>
      <c r="AG24" s="6"/>
      <c r="AH24" s="6"/>
      <c r="AI24" s="6"/>
      <c r="AJ24" s="6"/>
      <c r="AK24" s="6"/>
      <c r="AM24" s="4" t="b">
        <f>checking!A24</f>
        <v>1</v>
      </c>
      <c r="AN24" s="11" t="str">
        <f>IF(NOT(AM24), checking!AX24,"")</f>
        <v/>
      </c>
    </row>
    <row r="25" spans="1:40" s="16" customFormat="1" x14ac:dyDescent="0.15">
      <c r="A25" s="13" t="str">
        <f t="shared" si="0"/>
        <v/>
      </c>
      <c r="B25" s="14"/>
      <c r="C25" s="14"/>
      <c r="D25" s="15"/>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M25" s="16" t="b">
        <f>checking!A25</f>
        <v>1</v>
      </c>
      <c r="AN25" s="17" t="str">
        <f>IF(NOT(AM25), checking!AX25,"")</f>
        <v/>
      </c>
    </row>
    <row r="26" spans="1:40" x14ac:dyDescent="0.15">
      <c r="A26" s="5" t="str">
        <f t="shared" si="0"/>
        <v/>
      </c>
      <c r="B26" s="6"/>
      <c r="C26" s="7"/>
      <c r="D26" s="7"/>
      <c r="E26" s="6"/>
      <c r="F26" s="6"/>
      <c r="G26" s="6"/>
      <c r="H26" s="6"/>
      <c r="I26" s="6"/>
      <c r="J26" s="7"/>
      <c r="K26" s="6"/>
      <c r="L26" s="6"/>
      <c r="M26" s="6"/>
      <c r="N26" s="6"/>
      <c r="O26" s="7"/>
      <c r="P26" s="7"/>
      <c r="Q26" s="6"/>
      <c r="R26" s="6"/>
      <c r="S26" s="6"/>
      <c r="T26" s="6"/>
      <c r="U26" s="6"/>
      <c r="V26" s="6"/>
      <c r="W26" s="6"/>
      <c r="X26" s="6"/>
      <c r="Y26" s="6"/>
      <c r="Z26" s="6"/>
      <c r="AA26" s="6"/>
      <c r="AB26" s="6"/>
      <c r="AC26" s="7"/>
      <c r="AD26" s="6"/>
      <c r="AE26" s="6"/>
      <c r="AF26" s="6"/>
      <c r="AG26" s="6"/>
      <c r="AH26" s="6"/>
      <c r="AI26" s="6"/>
      <c r="AJ26" s="6"/>
      <c r="AK26" s="6"/>
      <c r="AM26" s="4" t="b">
        <f>checking!A26</f>
        <v>1</v>
      </c>
      <c r="AN26" s="11" t="str">
        <f>IF(NOT(AM26), checking!AX26,"")</f>
        <v/>
      </c>
    </row>
    <row r="27" spans="1:40" s="16" customFormat="1" x14ac:dyDescent="0.15">
      <c r="A27" s="13" t="str">
        <f t="shared" si="0"/>
        <v/>
      </c>
      <c r="B27" s="14"/>
      <c r="C27" s="14"/>
      <c r="D27" s="15"/>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M27" s="16" t="b">
        <f>checking!A27</f>
        <v>1</v>
      </c>
      <c r="AN27" s="17" t="str">
        <f>IF(NOT(AM27), checking!AX27,"")</f>
        <v/>
      </c>
    </row>
    <row r="28" spans="1:40" x14ac:dyDescent="0.15">
      <c r="A28" s="5" t="str">
        <f t="shared" si="0"/>
        <v/>
      </c>
      <c r="B28" s="6"/>
      <c r="C28" s="7"/>
      <c r="D28" s="7"/>
      <c r="E28" s="6"/>
      <c r="F28" s="6"/>
      <c r="G28" s="6"/>
      <c r="H28" s="6"/>
      <c r="I28" s="6"/>
      <c r="J28" s="7"/>
      <c r="K28" s="6"/>
      <c r="L28" s="6"/>
      <c r="M28" s="6"/>
      <c r="N28" s="6"/>
      <c r="O28" s="7"/>
      <c r="P28" s="7"/>
      <c r="Q28" s="6"/>
      <c r="R28" s="6"/>
      <c r="S28" s="6"/>
      <c r="T28" s="6"/>
      <c r="U28" s="6"/>
      <c r="V28" s="6"/>
      <c r="W28" s="6"/>
      <c r="X28" s="6"/>
      <c r="Y28" s="6"/>
      <c r="Z28" s="6"/>
      <c r="AA28" s="6"/>
      <c r="AB28" s="6"/>
      <c r="AC28" s="7"/>
      <c r="AD28" s="6"/>
      <c r="AE28" s="6"/>
      <c r="AF28" s="6"/>
      <c r="AG28" s="6"/>
      <c r="AH28" s="6"/>
      <c r="AI28" s="6"/>
      <c r="AJ28" s="6"/>
      <c r="AK28" s="6"/>
      <c r="AM28" s="4" t="b">
        <f>checking!A28</f>
        <v>1</v>
      </c>
      <c r="AN28" s="11" t="str">
        <f>IF(NOT(AM28), checking!AX28,"")</f>
        <v/>
      </c>
    </row>
    <row r="29" spans="1:40" s="16" customFormat="1" x14ac:dyDescent="0.15">
      <c r="A29" s="13" t="str">
        <f t="shared" si="0"/>
        <v/>
      </c>
      <c r="B29" s="14"/>
      <c r="C29" s="14"/>
      <c r="D29" s="15"/>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M29" s="16" t="b">
        <f>checking!A29</f>
        <v>1</v>
      </c>
      <c r="AN29" s="17" t="str">
        <f>IF(NOT(AM29), checking!AX29,"")</f>
        <v/>
      </c>
    </row>
    <row r="30" spans="1:40" x14ac:dyDescent="0.15">
      <c r="A30" s="5" t="str">
        <f t="shared" si="0"/>
        <v/>
      </c>
      <c r="B30" s="6"/>
      <c r="C30" s="7"/>
      <c r="D30" s="7"/>
      <c r="E30" s="6"/>
      <c r="F30" s="6"/>
      <c r="G30" s="6"/>
      <c r="H30" s="6"/>
      <c r="I30" s="6"/>
      <c r="J30" s="7"/>
      <c r="K30" s="6"/>
      <c r="L30" s="6"/>
      <c r="M30" s="6"/>
      <c r="N30" s="6"/>
      <c r="O30" s="7"/>
      <c r="P30" s="7"/>
      <c r="Q30" s="6"/>
      <c r="R30" s="6"/>
      <c r="S30" s="6"/>
      <c r="T30" s="6"/>
      <c r="U30" s="6"/>
      <c r="V30" s="6"/>
      <c r="W30" s="6"/>
      <c r="X30" s="6"/>
      <c r="Y30" s="6"/>
      <c r="Z30" s="6"/>
      <c r="AA30" s="6"/>
      <c r="AB30" s="6"/>
      <c r="AC30" s="7"/>
      <c r="AD30" s="6"/>
      <c r="AE30" s="6"/>
      <c r="AF30" s="6"/>
      <c r="AG30" s="6"/>
      <c r="AH30" s="6"/>
      <c r="AI30" s="6"/>
      <c r="AJ30" s="6"/>
      <c r="AK30" s="6"/>
      <c r="AM30" s="4" t="b">
        <f>checking!A30</f>
        <v>1</v>
      </c>
      <c r="AN30" s="11" t="str">
        <f>IF(NOT(AM30), checking!AX30,"")</f>
        <v/>
      </c>
    </row>
    <row r="31" spans="1:40" s="16" customFormat="1" x14ac:dyDescent="0.15">
      <c r="A31" s="13" t="str">
        <f t="shared" si="0"/>
        <v/>
      </c>
      <c r="B31" s="14"/>
      <c r="C31" s="14"/>
      <c r="D31" s="15"/>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M31" s="16" t="b">
        <f>checking!A31</f>
        <v>1</v>
      </c>
      <c r="AN31" s="17" t="str">
        <f>IF(NOT(AM31), checking!AX31,"")</f>
        <v/>
      </c>
    </row>
    <row r="32" spans="1:40" x14ac:dyDescent="0.15">
      <c r="A32" s="5" t="str">
        <f t="shared" si="0"/>
        <v/>
      </c>
      <c r="B32" s="6"/>
      <c r="C32" s="7"/>
      <c r="D32" s="7"/>
      <c r="E32" s="6"/>
      <c r="F32" s="6"/>
      <c r="G32" s="6"/>
      <c r="H32" s="6"/>
      <c r="I32" s="6"/>
      <c r="J32" s="7"/>
      <c r="K32" s="6"/>
      <c r="L32" s="6"/>
      <c r="M32" s="6"/>
      <c r="N32" s="6"/>
      <c r="O32" s="7"/>
      <c r="P32" s="7"/>
      <c r="Q32" s="6"/>
      <c r="R32" s="6"/>
      <c r="S32" s="6"/>
      <c r="T32" s="6"/>
      <c r="U32" s="6"/>
      <c r="V32" s="6"/>
      <c r="W32" s="6"/>
      <c r="X32" s="6"/>
      <c r="Y32" s="6"/>
      <c r="Z32" s="6"/>
      <c r="AA32" s="6"/>
      <c r="AB32" s="6"/>
      <c r="AC32" s="7"/>
      <c r="AD32" s="6"/>
      <c r="AE32" s="6"/>
      <c r="AF32" s="6"/>
      <c r="AG32" s="6"/>
      <c r="AH32" s="6"/>
      <c r="AI32" s="6"/>
      <c r="AJ32" s="6"/>
      <c r="AK32" s="6"/>
      <c r="AM32" s="4" t="b">
        <f>checking!A32</f>
        <v>1</v>
      </c>
      <c r="AN32" s="11" t="str">
        <f>IF(NOT(AM32), checking!AX32,"")</f>
        <v/>
      </c>
    </row>
    <row r="33" spans="1:40" s="16" customFormat="1" x14ac:dyDescent="0.15">
      <c r="A33" s="13" t="str">
        <f t="shared" si="0"/>
        <v/>
      </c>
      <c r="B33" s="14"/>
      <c r="C33" s="14"/>
      <c r="D33" s="15"/>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M33" s="16" t="b">
        <f>checking!A33</f>
        <v>1</v>
      </c>
      <c r="AN33" s="17" t="str">
        <f>IF(NOT(AM33), checking!AX33,"")</f>
        <v/>
      </c>
    </row>
    <row r="34" spans="1:40" x14ac:dyDescent="0.15">
      <c r="A34" s="5" t="str">
        <f t="shared" si="0"/>
        <v/>
      </c>
      <c r="B34" s="6"/>
      <c r="C34" s="7"/>
      <c r="D34" s="7"/>
      <c r="E34" s="6"/>
      <c r="F34" s="6"/>
      <c r="G34" s="6"/>
      <c r="H34" s="6"/>
      <c r="I34" s="6"/>
      <c r="J34" s="7"/>
      <c r="K34" s="6"/>
      <c r="L34" s="6"/>
      <c r="M34" s="6"/>
      <c r="N34" s="6"/>
      <c r="O34" s="7"/>
      <c r="P34" s="7"/>
      <c r="Q34" s="6"/>
      <c r="R34" s="6"/>
      <c r="S34" s="6"/>
      <c r="T34" s="6"/>
      <c r="U34" s="6"/>
      <c r="V34" s="6"/>
      <c r="W34" s="6"/>
      <c r="X34" s="6"/>
      <c r="Y34" s="6"/>
      <c r="Z34" s="6"/>
      <c r="AA34" s="6"/>
      <c r="AB34" s="6"/>
      <c r="AC34" s="7"/>
      <c r="AD34" s="6"/>
      <c r="AE34" s="6"/>
      <c r="AF34" s="6"/>
      <c r="AG34" s="6"/>
      <c r="AH34" s="6"/>
      <c r="AI34" s="6"/>
      <c r="AJ34" s="6"/>
      <c r="AK34" s="6"/>
      <c r="AM34" s="4" t="b">
        <f>checking!A34</f>
        <v>1</v>
      </c>
      <c r="AN34" s="11" t="str">
        <f>IF(NOT(AM34), checking!AX34,"")</f>
        <v/>
      </c>
    </row>
    <row r="35" spans="1:40" s="16" customFormat="1" x14ac:dyDescent="0.15">
      <c r="A35" s="13" t="str">
        <f t="shared" si="0"/>
        <v/>
      </c>
      <c r="B35" s="14"/>
      <c r="C35" s="14"/>
      <c r="D35" s="15"/>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M35" s="16" t="b">
        <f>checking!A35</f>
        <v>1</v>
      </c>
      <c r="AN35" s="17" t="str">
        <f>IF(NOT(AM35), checking!AX35,"")</f>
        <v/>
      </c>
    </row>
    <row r="36" spans="1:40" x14ac:dyDescent="0.15">
      <c r="A36" s="5" t="str">
        <f t="shared" si="0"/>
        <v/>
      </c>
      <c r="B36" s="6"/>
      <c r="C36" s="7"/>
      <c r="D36" s="7"/>
      <c r="E36" s="6"/>
      <c r="F36" s="6"/>
      <c r="G36" s="6"/>
      <c r="H36" s="6"/>
      <c r="I36" s="6"/>
      <c r="J36" s="7"/>
      <c r="K36" s="6"/>
      <c r="L36" s="6"/>
      <c r="M36" s="6"/>
      <c r="N36" s="6"/>
      <c r="O36" s="7"/>
      <c r="P36" s="7"/>
      <c r="Q36" s="6"/>
      <c r="R36" s="6"/>
      <c r="S36" s="6"/>
      <c r="T36" s="6"/>
      <c r="U36" s="6"/>
      <c r="V36" s="6"/>
      <c r="W36" s="6"/>
      <c r="X36" s="6"/>
      <c r="Y36" s="6"/>
      <c r="Z36" s="6"/>
      <c r="AA36" s="6"/>
      <c r="AB36" s="6"/>
      <c r="AC36" s="7"/>
      <c r="AD36" s="6"/>
      <c r="AE36" s="6"/>
      <c r="AF36" s="6"/>
      <c r="AG36" s="6"/>
      <c r="AH36" s="6"/>
      <c r="AI36" s="6"/>
      <c r="AJ36" s="6"/>
      <c r="AK36" s="6"/>
      <c r="AM36" s="4" t="b">
        <f>checking!A36</f>
        <v>1</v>
      </c>
      <c r="AN36" s="11" t="str">
        <f>IF(NOT(AM36), checking!AX36,"")</f>
        <v/>
      </c>
    </row>
    <row r="37" spans="1:40" s="16" customFormat="1" x14ac:dyDescent="0.15">
      <c r="A37" s="13" t="str">
        <f t="shared" si="0"/>
        <v/>
      </c>
      <c r="B37" s="14"/>
      <c r="C37" s="14"/>
      <c r="D37" s="15"/>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M37" s="16" t="b">
        <f>checking!A37</f>
        <v>1</v>
      </c>
      <c r="AN37" s="17" t="str">
        <f>IF(NOT(AM37), checking!AX37,"")</f>
        <v/>
      </c>
    </row>
    <row r="38" spans="1:40" x14ac:dyDescent="0.15">
      <c r="A38" s="5" t="str">
        <f t="shared" si="0"/>
        <v/>
      </c>
      <c r="B38" s="6"/>
      <c r="C38" s="7"/>
      <c r="D38" s="7"/>
      <c r="E38" s="6"/>
      <c r="F38" s="6"/>
      <c r="G38" s="6"/>
      <c r="H38" s="6"/>
      <c r="I38" s="6"/>
      <c r="J38" s="7"/>
      <c r="K38" s="6"/>
      <c r="L38" s="6"/>
      <c r="M38" s="6"/>
      <c r="N38" s="6"/>
      <c r="O38" s="7"/>
      <c r="P38" s="7"/>
      <c r="Q38" s="6"/>
      <c r="R38" s="6"/>
      <c r="S38" s="6"/>
      <c r="T38" s="6"/>
      <c r="U38" s="6"/>
      <c r="V38" s="6"/>
      <c r="W38" s="6"/>
      <c r="X38" s="6"/>
      <c r="Y38" s="6"/>
      <c r="Z38" s="6"/>
      <c r="AA38" s="6"/>
      <c r="AB38" s="6"/>
      <c r="AC38" s="7"/>
      <c r="AD38" s="6"/>
      <c r="AE38" s="6"/>
      <c r="AF38" s="6"/>
      <c r="AG38" s="6"/>
      <c r="AH38" s="6"/>
      <c r="AI38" s="6"/>
      <c r="AJ38" s="6"/>
      <c r="AK38" s="6"/>
      <c r="AM38" s="4" t="b">
        <f>checking!A38</f>
        <v>1</v>
      </c>
      <c r="AN38" s="11" t="str">
        <f>IF(NOT(AM38), checking!AX38,"")</f>
        <v/>
      </c>
    </row>
    <row r="39" spans="1:40" s="16" customFormat="1" x14ac:dyDescent="0.15">
      <c r="A39" s="13" t="str">
        <f t="shared" si="0"/>
        <v/>
      </c>
      <c r="B39" s="14"/>
      <c r="C39" s="14"/>
      <c r="D39" s="15"/>
      <c r="E39" s="14"/>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M39" s="16" t="b">
        <f>checking!A39</f>
        <v>1</v>
      </c>
      <c r="AN39" s="17" t="str">
        <f>IF(NOT(AM39), checking!AX39,"")</f>
        <v/>
      </c>
    </row>
    <row r="40" spans="1:40" x14ac:dyDescent="0.15">
      <c r="A40" s="5" t="str">
        <f t="shared" si="0"/>
        <v/>
      </c>
      <c r="B40" s="6"/>
      <c r="C40" s="7"/>
      <c r="D40" s="7"/>
      <c r="E40" s="6"/>
      <c r="F40" s="6"/>
      <c r="G40" s="6"/>
      <c r="H40" s="6"/>
      <c r="I40" s="6"/>
      <c r="J40" s="7"/>
      <c r="K40" s="6"/>
      <c r="L40" s="6"/>
      <c r="M40" s="6"/>
      <c r="N40" s="6"/>
      <c r="O40" s="7"/>
      <c r="P40" s="7"/>
      <c r="Q40" s="6"/>
      <c r="R40" s="6"/>
      <c r="S40" s="6"/>
      <c r="T40" s="6"/>
      <c r="U40" s="6"/>
      <c r="V40" s="6"/>
      <c r="W40" s="6"/>
      <c r="X40" s="6"/>
      <c r="Y40" s="6"/>
      <c r="Z40" s="6"/>
      <c r="AA40" s="6"/>
      <c r="AB40" s="6"/>
      <c r="AC40" s="7"/>
      <c r="AD40" s="6"/>
      <c r="AE40" s="6"/>
      <c r="AF40" s="6"/>
      <c r="AG40" s="6"/>
      <c r="AH40" s="6"/>
      <c r="AI40" s="6"/>
      <c r="AJ40" s="6"/>
      <c r="AK40" s="6"/>
      <c r="AM40" s="4" t="b">
        <f>checking!A40</f>
        <v>1</v>
      </c>
      <c r="AN40" s="11" t="str">
        <f>IF(NOT(AM40), checking!AX40,"")</f>
        <v/>
      </c>
    </row>
    <row r="41" spans="1:40" s="16" customFormat="1" x14ac:dyDescent="0.15">
      <c r="A41" s="13" t="str">
        <f t="shared" si="0"/>
        <v/>
      </c>
      <c r="B41" s="14"/>
      <c r="C41" s="14"/>
      <c r="D41" s="15"/>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M41" s="16" t="b">
        <f>checking!A41</f>
        <v>1</v>
      </c>
      <c r="AN41" s="17" t="str">
        <f>IF(NOT(AM41), checking!AX41,"")</f>
        <v/>
      </c>
    </row>
    <row r="42" spans="1:40" x14ac:dyDescent="0.15">
      <c r="A42" s="5" t="str">
        <f t="shared" si="0"/>
        <v/>
      </c>
      <c r="B42" s="6"/>
      <c r="C42" s="7"/>
      <c r="D42" s="7"/>
      <c r="E42" s="6"/>
      <c r="F42" s="6"/>
      <c r="G42" s="6"/>
      <c r="H42" s="6"/>
      <c r="I42" s="6"/>
      <c r="J42" s="7"/>
      <c r="K42" s="6"/>
      <c r="L42" s="6"/>
      <c r="M42" s="6"/>
      <c r="N42" s="6"/>
      <c r="O42" s="7"/>
      <c r="P42" s="7"/>
      <c r="Q42" s="6"/>
      <c r="R42" s="6"/>
      <c r="S42" s="6"/>
      <c r="T42" s="6"/>
      <c r="U42" s="6"/>
      <c r="V42" s="6"/>
      <c r="W42" s="6"/>
      <c r="X42" s="6"/>
      <c r="Y42" s="6"/>
      <c r="Z42" s="6"/>
      <c r="AA42" s="6"/>
      <c r="AB42" s="6"/>
      <c r="AC42" s="7"/>
      <c r="AD42" s="6"/>
      <c r="AE42" s="6"/>
      <c r="AF42" s="6"/>
      <c r="AG42" s="6"/>
      <c r="AH42" s="6"/>
      <c r="AI42" s="6"/>
      <c r="AJ42" s="6"/>
      <c r="AK42" s="6"/>
      <c r="AM42" s="4" t="b">
        <f>checking!A42</f>
        <v>1</v>
      </c>
      <c r="AN42" s="11" t="str">
        <f>IF(NOT(AM42), checking!AX42,"")</f>
        <v/>
      </c>
    </row>
    <row r="43" spans="1:40" s="16" customFormat="1" x14ac:dyDescent="0.15">
      <c r="A43" s="13" t="str">
        <f t="shared" si="0"/>
        <v/>
      </c>
      <c r="B43" s="14"/>
      <c r="C43" s="14"/>
      <c r="D43" s="15"/>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M43" s="16" t="b">
        <f>checking!A43</f>
        <v>1</v>
      </c>
      <c r="AN43" s="17" t="str">
        <f>IF(NOT(AM43), checking!AX43,"")</f>
        <v/>
      </c>
    </row>
    <row r="44" spans="1:40" x14ac:dyDescent="0.15">
      <c r="A44" s="5" t="str">
        <f t="shared" si="0"/>
        <v/>
      </c>
      <c r="B44" s="6"/>
      <c r="C44" s="7"/>
      <c r="D44" s="7"/>
      <c r="E44" s="6"/>
      <c r="F44" s="6"/>
      <c r="G44" s="6"/>
      <c r="H44" s="6"/>
      <c r="I44" s="6"/>
      <c r="J44" s="7"/>
      <c r="K44" s="6"/>
      <c r="L44" s="6"/>
      <c r="M44" s="6"/>
      <c r="N44" s="6"/>
      <c r="O44" s="7"/>
      <c r="P44" s="7"/>
      <c r="Q44" s="6"/>
      <c r="R44" s="6"/>
      <c r="S44" s="6"/>
      <c r="T44" s="6"/>
      <c r="U44" s="6"/>
      <c r="V44" s="6"/>
      <c r="W44" s="6"/>
      <c r="X44" s="6"/>
      <c r="Y44" s="6"/>
      <c r="Z44" s="6"/>
      <c r="AA44" s="6"/>
      <c r="AB44" s="6"/>
      <c r="AC44" s="7"/>
      <c r="AD44" s="6"/>
      <c r="AE44" s="6"/>
      <c r="AF44" s="6"/>
      <c r="AG44" s="6"/>
      <c r="AH44" s="6"/>
      <c r="AI44" s="6"/>
      <c r="AJ44" s="6"/>
      <c r="AK44" s="6"/>
      <c r="AM44" s="4" t="b">
        <f>checking!A44</f>
        <v>1</v>
      </c>
      <c r="AN44" s="11" t="str">
        <f>IF(NOT(AM44), checking!AX44,"")</f>
        <v/>
      </c>
    </row>
    <row r="45" spans="1:40" s="16" customFormat="1" x14ac:dyDescent="0.15">
      <c r="A45" s="13" t="str">
        <f t="shared" si="0"/>
        <v/>
      </c>
      <c r="B45" s="14"/>
      <c r="C45" s="14"/>
      <c r="D45" s="15"/>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M45" s="16" t="b">
        <f>checking!A45</f>
        <v>1</v>
      </c>
      <c r="AN45" s="17" t="str">
        <f>IF(NOT(AM45), checking!AX45,"")</f>
        <v/>
      </c>
    </row>
    <row r="46" spans="1:40" x14ac:dyDescent="0.15">
      <c r="A46" s="5" t="str">
        <f t="shared" si="0"/>
        <v/>
      </c>
      <c r="B46" s="6"/>
      <c r="C46" s="7"/>
      <c r="D46" s="7"/>
      <c r="E46" s="6"/>
      <c r="F46" s="6"/>
      <c r="G46" s="6"/>
      <c r="H46" s="6"/>
      <c r="I46" s="6"/>
      <c r="J46" s="7"/>
      <c r="K46" s="6"/>
      <c r="L46" s="6"/>
      <c r="M46" s="6"/>
      <c r="N46" s="6"/>
      <c r="O46" s="7"/>
      <c r="P46" s="7"/>
      <c r="Q46" s="6"/>
      <c r="R46" s="6"/>
      <c r="S46" s="6"/>
      <c r="T46" s="6"/>
      <c r="U46" s="6"/>
      <c r="V46" s="6"/>
      <c r="W46" s="6"/>
      <c r="X46" s="6"/>
      <c r="Y46" s="6"/>
      <c r="Z46" s="6"/>
      <c r="AA46" s="6"/>
      <c r="AB46" s="6"/>
      <c r="AC46" s="7"/>
      <c r="AD46" s="6"/>
      <c r="AE46" s="6"/>
      <c r="AF46" s="6"/>
      <c r="AG46" s="6"/>
      <c r="AH46" s="6"/>
      <c r="AI46" s="6"/>
      <c r="AJ46" s="6"/>
      <c r="AK46" s="6"/>
      <c r="AM46" s="4" t="b">
        <f>checking!A46</f>
        <v>1</v>
      </c>
      <c r="AN46" s="11" t="str">
        <f>IF(NOT(AM46), checking!AX46,"")</f>
        <v/>
      </c>
    </row>
    <row r="47" spans="1:40" s="16" customFormat="1" x14ac:dyDescent="0.15">
      <c r="A47" s="13" t="str">
        <f t="shared" si="0"/>
        <v/>
      </c>
      <c r="B47" s="14"/>
      <c r="C47" s="14"/>
      <c r="D47" s="15"/>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M47" s="16" t="b">
        <f>checking!A47</f>
        <v>1</v>
      </c>
      <c r="AN47" s="17" t="str">
        <f>IF(NOT(AM47), checking!AX47,"")</f>
        <v/>
      </c>
    </row>
    <row r="48" spans="1:40" x14ac:dyDescent="0.15">
      <c r="A48" s="5" t="str">
        <f t="shared" si="0"/>
        <v/>
      </c>
      <c r="B48" s="6"/>
      <c r="C48" s="7"/>
      <c r="D48" s="7"/>
      <c r="E48" s="6"/>
      <c r="F48" s="6"/>
      <c r="G48" s="6"/>
      <c r="H48" s="6"/>
      <c r="I48" s="6"/>
      <c r="J48" s="7"/>
      <c r="K48" s="6"/>
      <c r="L48" s="6"/>
      <c r="M48" s="6"/>
      <c r="N48" s="6"/>
      <c r="O48" s="7"/>
      <c r="P48" s="7"/>
      <c r="Q48" s="6"/>
      <c r="R48" s="6"/>
      <c r="S48" s="6"/>
      <c r="T48" s="6"/>
      <c r="U48" s="6"/>
      <c r="V48" s="6"/>
      <c r="W48" s="6"/>
      <c r="X48" s="6"/>
      <c r="Y48" s="6"/>
      <c r="Z48" s="6"/>
      <c r="AA48" s="6"/>
      <c r="AB48" s="6"/>
      <c r="AC48" s="7"/>
      <c r="AD48" s="6"/>
      <c r="AE48" s="6"/>
      <c r="AF48" s="6"/>
      <c r="AG48" s="6"/>
      <c r="AH48" s="6"/>
      <c r="AI48" s="6"/>
      <c r="AJ48" s="6"/>
      <c r="AK48" s="6"/>
      <c r="AM48" s="4" t="b">
        <f>checking!A48</f>
        <v>1</v>
      </c>
      <c r="AN48" s="11" t="str">
        <f>IF(NOT(AM48), checking!AX48,"")</f>
        <v/>
      </c>
    </row>
    <row r="49" spans="1:40" s="16" customFormat="1" x14ac:dyDescent="0.15">
      <c r="A49" s="13" t="str">
        <f t="shared" si="0"/>
        <v/>
      </c>
      <c r="B49" s="14"/>
      <c r="C49" s="14"/>
      <c r="D49" s="15"/>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M49" s="16" t="b">
        <f>checking!A49</f>
        <v>1</v>
      </c>
      <c r="AN49" s="17" t="str">
        <f>IF(NOT(AM49), checking!AX49,"")</f>
        <v/>
      </c>
    </row>
    <row r="50" spans="1:40" x14ac:dyDescent="0.15">
      <c r="A50" s="5" t="str">
        <f t="shared" si="0"/>
        <v/>
      </c>
      <c r="B50" s="6"/>
      <c r="C50" s="7"/>
      <c r="D50" s="7"/>
      <c r="E50" s="6"/>
      <c r="F50" s="6"/>
      <c r="G50" s="6"/>
      <c r="H50" s="6"/>
      <c r="I50" s="6"/>
      <c r="J50" s="7"/>
      <c r="K50" s="6"/>
      <c r="L50" s="6"/>
      <c r="M50" s="6"/>
      <c r="N50" s="6"/>
      <c r="O50" s="7"/>
      <c r="P50" s="7"/>
      <c r="Q50" s="6"/>
      <c r="R50" s="6"/>
      <c r="S50" s="6"/>
      <c r="T50" s="6"/>
      <c r="U50" s="6"/>
      <c r="V50" s="6"/>
      <c r="W50" s="6"/>
      <c r="X50" s="6"/>
      <c r="Y50" s="6"/>
      <c r="Z50" s="6"/>
      <c r="AA50" s="6"/>
      <c r="AB50" s="6"/>
      <c r="AC50" s="7"/>
      <c r="AD50" s="6"/>
      <c r="AE50" s="6"/>
      <c r="AF50" s="6"/>
      <c r="AG50" s="6"/>
      <c r="AH50" s="6"/>
      <c r="AI50" s="6"/>
      <c r="AJ50" s="6"/>
      <c r="AK50" s="6"/>
      <c r="AM50" s="4" t="b">
        <f>checking!A50</f>
        <v>1</v>
      </c>
      <c r="AN50" s="11" t="str">
        <f>IF(NOT(AM50), checking!AX50,"")</f>
        <v/>
      </c>
    </row>
    <row r="51" spans="1:40" s="16" customFormat="1" x14ac:dyDescent="0.15">
      <c r="A51" s="13" t="str">
        <f t="shared" si="0"/>
        <v/>
      </c>
      <c r="B51" s="14"/>
      <c r="C51" s="14"/>
      <c r="D51" s="15"/>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M51" s="16" t="b">
        <f>checking!A51</f>
        <v>1</v>
      </c>
      <c r="AN51" s="17" t="str">
        <f>IF(NOT(AM51), checking!AX51,"")</f>
        <v/>
      </c>
    </row>
    <row r="52" spans="1:40" x14ac:dyDescent="0.15">
      <c r="A52" s="5" t="str">
        <f t="shared" si="0"/>
        <v/>
      </c>
      <c r="B52" s="6"/>
      <c r="C52" s="7"/>
      <c r="D52" s="7"/>
      <c r="E52" s="6"/>
      <c r="F52" s="6"/>
      <c r="G52" s="6"/>
      <c r="H52" s="6"/>
      <c r="I52" s="6"/>
      <c r="J52" s="7"/>
      <c r="K52" s="6"/>
      <c r="L52" s="6"/>
      <c r="M52" s="6"/>
      <c r="N52" s="6"/>
      <c r="O52" s="7"/>
      <c r="P52" s="7"/>
      <c r="Q52" s="6"/>
      <c r="R52" s="6"/>
      <c r="S52" s="6"/>
      <c r="T52" s="6"/>
      <c r="U52" s="6"/>
      <c r="V52" s="6"/>
      <c r="W52" s="6"/>
      <c r="X52" s="6"/>
      <c r="Y52" s="6"/>
      <c r="Z52" s="6"/>
      <c r="AA52" s="6"/>
      <c r="AB52" s="6"/>
      <c r="AC52" s="7"/>
      <c r="AD52" s="6"/>
      <c r="AE52" s="6"/>
      <c r="AF52" s="6"/>
      <c r="AG52" s="6"/>
      <c r="AH52" s="6"/>
      <c r="AI52" s="6"/>
      <c r="AJ52" s="6"/>
      <c r="AK52" s="6"/>
      <c r="AM52" s="4" t="b">
        <f>checking!A52</f>
        <v>1</v>
      </c>
      <c r="AN52" s="11" t="str">
        <f>IF(NOT(AM52), checking!AX52,"")</f>
        <v/>
      </c>
    </row>
    <row r="53" spans="1:40" s="16" customFormat="1" x14ac:dyDescent="0.15">
      <c r="A53" s="13" t="str">
        <f t="shared" si="0"/>
        <v/>
      </c>
      <c r="B53" s="14"/>
      <c r="C53" s="14"/>
      <c r="D53" s="15"/>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M53" s="16" t="b">
        <f>checking!A53</f>
        <v>1</v>
      </c>
      <c r="AN53" s="17" t="str">
        <f>IF(NOT(AM53), checking!AX53,"")</f>
        <v/>
      </c>
    </row>
    <row r="54" spans="1:40" x14ac:dyDescent="0.15">
      <c r="A54" s="5" t="str">
        <f t="shared" si="0"/>
        <v/>
      </c>
      <c r="B54" s="6"/>
      <c r="C54" s="7"/>
      <c r="D54" s="7"/>
      <c r="E54" s="6"/>
      <c r="F54" s="6"/>
      <c r="G54" s="6"/>
      <c r="H54" s="6"/>
      <c r="I54" s="6"/>
      <c r="J54" s="7"/>
      <c r="K54" s="6"/>
      <c r="L54" s="6"/>
      <c r="M54" s="6"/>
      <c r="N54" s="6"/>
      <c r="O54" s="7"/>
      <c r="P54" s="7"/>
      <c r="Q54" s="6"/>
      <c r="R54" s="6"/>
      <c r="S54" s="6"/>
      <c r="T54" s="6"/>
      <c r="U54" s="6"/>
      <c r="V54" s="6"/>
      <c r="W54" s="6"/>
      <c r="X54" s="6"/>
      <c r="Y54" s="6"/>
      <c r="Z54" s="6"/>
      <c r="AA54" s="6"/>
      <c r="AB54" s="6"/>
      <c r="AC54" s="7"/>
      <c r="AD54" s="6"/>
      <c r="AE54" s="6"/>
      <c r="AF54" s="6"/>
      <c r="AG54" s="6"/>
      <c r="AH54" s="6"/>
      <c r="AI54" s="6"/>
      <c r="AJ54" s="6"/>
      <c r="AK54" s="6"/>
      <c r="AM54" s="4" t="b">
        <f>checking!A54</f>
        <v>1</v>
      </c>
      <c r="AN54" s="11" t="str">
        <f>IF(NOT(AM54), checking!AX54,"")</f>
        <v/>
      </c>
    </row>
    <row r="55" spans="1:40" s="16" customFormat="1" x14ac:dyDescent="0.15">
      <c r="A55" s="13" t="str">
        <f t="shared" si="0"/>
        <v/>
      </c>
      <c r="B55" s="14"/>
      <c r="C55" s="14"/>
      <c r="D55" s="15"/>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M55" s="16" t="b">
        <f>checking!A55</f>
        <v>1</v>
      </c>
      <c r="AN55" s="17" t="str">
        <f>IF(NOT(AM55), checking!AX55,"")</f>
        <v/>
      </c>
    </row>
    <row r="56" spans="1:40" x14ac:dyDescent="0.15">
      <c r="A56" s="5" t="str">
        <f t="shared" si="0"/>
        <v/>
      </c>
      <c r="B56" s="6"/>
      <c r="C56" s="7"/>
      <c r="D56" s="7"/>
      <c r="E56" s="6"/>
      <c r="F56" s="6"/>
      <c r="G56" s="6"/>
      <c r="H56" s="6"/>
      <c r="I56" s="6"/>
      <c r="J56" s="7"/>
      <c r="K56" s="6"/>
      <c r="L56" s="6"/>
      <c r="M56" s="6"/>
      <c r="N56" s="6"/>
      <c r="O56" s="7"/>
      <c r="P56" s="7"/>
      <c r="Q56" s="6"/>
      <c r="R56" s="6"/>
      <c r="S56" s="6"/>
      <c r="T56" s="6"/>
      <c r="U56" s="6"/>
      <c r="V56" s="6"/>
      <c r="W56" s="6"/>
      <c r="X56" s="6"/>
      <c r="Y56" s="6"/>
      <c r="Z56" s="6"/>
      <c r="AA56" s="6"/>
      <c r="AB56" s="6"/>
      <c r="AC56" s="7"/>
      <c r="AD56" s="6"/>
      <c r="AE56" s="6"/>
      <c r="AF56" s="6"/>
      <c r="AG56" s="6"/>
      <c r="AH56" s="6"/>
      <c r="AI56" s="6"/>
      <c r="AJ56" s="6"/>
      <c r="AK56" s="6"/>
      <c r="AM56" s="4" t="b">
        <f>checking!A56</f>
        <v>1</v>
      </c>
      <c r="AN56" s="11" t="str">
        <f>IF(NOT(AM56), checking!AX56,"")</f>
        <v/>
      </c>
    </row>
    <row r="57" spans="1:40" s="16" customFormat="1" x14ac:dyDescent="0.15">
      <c r="A57" s="13" t="str">
        <f t="shared" si="0"/>
        <v/>
      </c>
      <c r="B57" s="14"/>
      <c r="C57" s="14"/>
      <c r="D57" s="15"/>
      <c r="E57" s="14"/>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M57" s="16" t="b">
        <f>checking!A57</f>
        <v>1</v>
      </c>
      <c r="AN57" s="17" t="str">
        <f>IF(NOT(AM57), checking!AX57,"")</f>
        <v/>
      </c>
    </row>
    <row r="58" spans="1:40" x14ac:dyDescent="0.15">
      <c r="A58" s="5" t="str">
        <f t="shared" si="0"/>
        <v/>
      </c>
      <c r="B58" s="6"/>
      <c r="C58" s="7"/>
      <c r="D58" s="7"/>
      <c r="E58" s="6"/>
      <c r="F58" s="6"/>
      <c r="G58" s="6"/>
      <c r="H58" s="6"/>
      <c r="I58" s="6"/>
      <c r="J58" s="7"/>
      <c r="K58" s="6"/>
      <c r="L58" s="6"/>
      <c r="M58" s="6"/>
      <c r="N58" s="6"/>
      <c r="O58" s="7"/>
      <c r="P58" s="7"/>
      <c r="Q58" s="6"/>
      <c r="R58" s="6"/>
      <c r="S58" s="6"/>
      <c r="T58" s="6"/>
      <c r="U58" s="6"/>
      <c r="V58" s="6"/>
      <c r="W58" s="6"/>
      <c r="X58" s="6"/>
      <c r="Y58" s="6"/>
      <c r="Z58" s="6"/>
      <c r="AA58" s="6"/>
      <c r="AB58" s="6"/>
      <c r="AC58" s="7"/>
      <c r="AD58" s="6"/>
      <c r="AE58" s="6"/>
      <c r="AF58" s="6"/>
      <c r="AG58" s="6"/>
      <c r="AH58" s="6"/>
      <c r="AI58" s="6"/>
      <c r="AJ58" s="6"/>
      <c r="AK58" s="6"/>
      <c r="AM58" s="4" t="b">
        <f>checking!A58</f>
        <v>1</v>
      </c>
      <c r="AN58" s="11" t="str">
        <f>IF(NOT(AM58), checking!AX58,"")</f>
        <v/>
      </c>
    </row>
    <row r="59" spans="1:40" s="16" customFormat="1" x14ac:dyDescent="0.15">
      <c r="A59" s="13" t="str">
        <f t="shared" si="0"/>
        <v/>
      </c>
      <c r="B59" s="14"/>
      <c r="C59" s="14"/>
      <c r="D59" s="15"/>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M59" s="16" t="b">
        <f>checking!A59</f>
        <v>1</v>
      </c>
      <c r="AN59" s="17" t="str">
        <f>IF(NOT(AM59), checking!AX59,"")</f>
        <v/>
      </c>
    </row>
    <row r="60" spans="1:40" x14ac:dyDescent="0.15">
      <c r="A60" s="5" t="str">
        <f t="shared" si="0"/>
        <v/>
      </c>
      <c r="B60" s="6"/>
      <c r="C60" s="7"/>
      <c r="D60" s="7"/>
      <c r="E60" s="6"/>
      <c r="F60" s="6"/>
      <c r="G60" s="6"/>
      <c r="H60" s="6"/>
      <c r="I60" s="6"/>
      <c r="J60" s="7"/>
      <c r="K60" s="6"/>
      <c r="L60" s="6"/>
      <c r="M60" s="6"/>
      <c r="N60" s="6"/>
      <c r="O60" s="7"/>
      <c r="P60" s="7"/>
      <c r="Q60" s="6"/>
      <c r="R60" s="6"/>
      <c r="S60" s="6"/>
      <c r="T60" s="6"/>
      <c r="U60" s="6"/>
      <c r="V60" s="6"/>
      <c r="W60" s="6"/>
      <c r="X60" s="6"/>
      <c r="Y60" s="6"/>
      <c r="Z60" s="6"/>
      <c r="AA60" s="6"/>
      <c r="AB60" s="6"/>
      <c r="AC60" s="7"/>
      <c r="AD60" s="6"/>
      <c r="AE60" s="6"/>
      <c r="AF60" s="6"/>
      <c r="AG60" s="6"/>
      <c r="AH60" s="6"/>
      <c r="AI60" s="6"/>
      <c r="AJ60" s="6"/>
      <c r="AK60" s="6"/>
      <c r="AM60" s="4" t="b">
        <f>checking!A60</f>
        <v>1</v>
      </c>
      <c r="AN60" s="11" t="str">
        <f>IF(NOT(AM60), checking!AX60,"")</f>
        <v/>
      </c>
    </row>
    <row r="61" spans="1:40" s="16" customFormat="1" x14ac:dyDescent="0.15">
      <c r="A61" s="13" t="str">
        <f t="shared" si="0"/>
        <v/>
      </c>
      <c r="B61" s="14"/>
      <c r="C61" s="14"/>
      <c r="D61" s="15"/>
      <c r="E61" s="14"/>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M61" s="16" t="b">
        <f>checking!A61</f>
        <v>1</v>
      </c>
      <c r="AN61" s="17" t="str">
        <f>IF(NOT(AM61), checking!AX61,"")</f>
        <v/>
      </c>
    </row>
    <row r="62" spans="1:40" x14ac:dyDescent="0.15">
      <c r="A62" s="5" t="str">
        <f t="shared" si="0"/>
        <v/>
      </c>
      <c r="B62" s="6"/>
      <c r="C62" s="7"/>
      <c r="D62" s="7"/>
      <c r="E62" s="6"/>
      <c r="F62" s="6"/>
      <c r="G62" s="6"/>
      <c r="H62" s="6"/>
      <c r="I62" s="6"/>
      <c r="J62" s="7"/>
      <c r="K62" s="6"/>
      <c r="L62" s="6"/>
      <c r="M62" s="6"/>
      <c r="N62" s="6"/>
      <c r="O62" s="7"/>
      <c r="P62" s="7"/>
      <c r="Q62" s="6"/>
      <c r="R62" s="6"/>
      <c r="S62" s="6"/>
      <c r="T62" s="6"/>
      <c r="U62" s="6"/>
      <c r="V62" s="6"/>
      <c r="W62" s="6"/>
      <c r="X62" s="6"/>
      <c r="Y62" s="6"/>
      <c r="Z62" s="6"/>
      <c r="AA62" s="6"/>
      <c r="AB62" s="6"/>
      <c r="AC62" s="7"/>
      <c r="AD62" s="6"/>
      <c r="AE62" s="6"/>
      <c r="AF62" s="6"/>
      <c r="AG62" s="6"/>
      <c r="AH62" s="6"/>
      <c r="AI62" s="6"/>
      <c r="AJ62" s="6"/>
      <c r="AK62" s="6"/>
      <c r="AM62" s="4" t="b">
        <f>checking!A62</f>
        <v>1</v>
      </c>
      <c r="AN62" s="11" t="str">
        <f>IF(NOT(AM62), checking!AX62,"")</f>
        <v/>
      </c>
    </row>
    <row r="63" spans="1:40" s="16" customFormat="1" x14ac:dyDescent="0.15">
      <c r="A63" s="13" t="str">
        <f t="shared" si="0"/>
        <v/>
      </c>
      <c r="B63" s="14"/>
      <c r="C63" s="14"/>
      <c r="D63" s="15"/>
      <c r="E63" s="14"/>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M63" s="16" t="b">
        <f>checking!A63</f>
        <v>1</v>
      </c>
      <c r="AN63" s="17" t="str">
        <f>IF(NOT(AM63), checking!AX63,"")</f>
        <v/>
      </c>
    </row>
    <row r="64" spans="1:40" x14ac:dyDescent="0.15">
      <c r="A64" s="5" t="str">
        <f t="shared" si="0"/>
        <v/>
      </c>
      <c r="B64" s="6"/>
      <c r="C64" s="7"/>
      <c r="D64" s="7"/>
      <c r="E64" s="6"/>
      <c r="F64" s="6"/>
      <c r="G64" s="6"/>
      <c r="H64" s="6"/>
      <c r="I64" s="6"/>
      <c r="J64" s="7"/>
      <c r="K64" s="6"/>
      <c r="L64" s="6"/>
      <c r="M64" s="6"/>
      <c r="N64" s="6"/>
      <c r="O64" s="7"/>
      <c r="P64" s="7"/>
      <c r="Q64" s="6"/>
      <c r="R64" s="6"/>
      <c r="S64" s="6"/>
      <c r="T64" s="6"/>
      <c r="U64" s="6"/>
      <c r="V64" s="6"/>
      <c r="W64" s="6"/>
      <c r="X64" s="6"/>
      <c r="Y64" s="6"/>
      <c r="Z64" s="6"/>
      <c r="AA64" s="6"/>
      <c r="AB64" s="6"/>
      <c r="AC64" s="7"/>
      <c r="AD64" s="6"/>
      <c r="AE64" s="6"/>
      <c r="AF64" s="6"/>
      <c r="AG64" s="6"/>
      <c r="AH64" s="6"/>
      <c r="AI64" s="6"/>
      <c r="AJ64" s="6"/>
      <c r="AK64" s="6"/>
      <c r="AM64" s="4" t="b">
        <f>checking!A64</f>
        <v>1</v>
      </c>
      <c r="AN64" s="11" t="str">
        <f>IF(NOT(AM64), checking!AX64,"")</f>
        <v/>
      </c>
    </row>
    <row r="65" spans="1:40" s="16" customFormat="1" x14ac:dyDescent="0.15">
      <c r="A65" s="13" t="str">
        <f t="shared" si="0"/>
        <v/>
      </c>
      <c r="B65" s="14"/>
      <c r="C65" s="14"/>
      <c r="D65" s="15"/>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M65" s="16" t="b">
        <f>checking!A65</f>
        <v>1</v>
      </c>
      <c r="AN65" s="17" t="str">
        <f>IF(NOT(AM65), checking!AX65,"")</f>
        <v/>
      </c>
    </row>
    <row r="66" spans="1:40" x14ac:dyDescent="0.15">
      <c r="A66" s="5" t="str">
        <f t="shared" si="0"/>
        <v/>
      </c>
      <c r="B66" s="6"/>
      <c r="C66" s="7"/>
      <c r="D66" s="7"/>
      <c r="E66" s="6"/>
      <c r="F66" s="6"/>
      <c r="G66" s="6"/>
      <c r="H66" s="6"/>
      <c r="I66" s="6"/>
      <c r="J66" s="7"/>
      <c r="K66" s="6"/>
      <c r="L66" s="6"/>
      <c r="M66" s="6"/>
      <c r="N66" s="6"/>
      <c r="O66" s="7"/>
      <c r="P66" s="7"/>
      <c r="Q66" s="6"/>
      <c r="R66" s="6"/>
      <c r="S66" s="6"/>
      <c r="T66" s="6"/>
      <c r="U66" s="6"/>
      <c r="V66" s="6"/>
      <c r="W66" s="6"/>
      <c r="X66" s="6"/>
      <c r="Y66" s="6"/>
      <c r="Z66" s="6"/>
      <c r="AA66" s="6"/>
      <c r="AB66" s="6"/>
      <c r="AC66" s="7"/>
      <c r="AD66" s="6"/>
      <c r="AE66" s="6"/>
      <c r="AF66" s="6"/>
      <c r="AG66" s="6"/>
      <c r="AH66" s="6"/>
      <c r="AI66" s="6"/>
      <c r="AJ66" s="6"/>
      <c r="AK66" s="6"/>
      <c r="AM66" s="4" t="b">
        <f>checking!A66</f>
        <v>1</v>
      </c>
      <c r="AN66" s="11" t="str">
        <f>IF(NOT(AM66), checking!AX66,"")</f>
        <v/>
      </c>
    </row>
    <row r="67" spans="1:40" s="16" customFormat="1" x14ac:dyDescent="0.15">
      <c r="A67" s="13" t="str">
        <f t="shared" si="0"/>
        <v/>
      </c>
      <c r="B67" s="14"/>
      <c r="C67" s="14"/>
      <c r="D67" s="15"/>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M67" s="16" t="b">
        <f>checking!A67</f>
        <v>1</v>
      </c>
      <c r="AN67" s="17" t="str">
        <f>IF(NOT(AM67), checking!AX67,"")</f>
        <v/>
      </c>
    </row>
    <row r="68" spans="1:40" x14ac:dyDescent="0.15">
      <c r="A68" s="5" t="str">
        <f t="shared" ref="A68:A131" si="1">IF(ISBLANK(B68), "", A67+1)</f>
        <v/>
      </c>
      <c r="B68" s="6"/>
      <c r="C68" s="7"/>
      <c r="D68" s="7"/>
      <c r="E68" s="6"/>
      <c r="F68" s="6"/>
      <c r="G68" s="6"/>
      <c r="H68" s="6"/>
      <c r="I68" s="6"/>
      <c r="J68" s="7"/>
      <c r="K68" s="6"/>
      <c r="L68" s="6"/>
      <c r="M68" s="6"/>
      <c r="N68" s="6"/>
      <c r="O68" s="7"/>
      <c r="P68" s="7"/>
      <c r="Q68" s="6"/>
      <c r="R68" s="6"/>
      <c r="S68" s="6"/>
      <c r="T68" s="6"/>
      <c r="U68" s="6"/>
      <c r="V68" s="6"/>
      <c r="W68" s="6"/>
      <c r="X68" s="6"/>
      <c r="Y68" s="6"/>
      <c r="Z68" s="6"/>
      <c r="AA68" s="6"/>
      <c r="AB68" s="6"/>
      <c r="AC68" s="7"/>
      <c r="AD68" s="6"/>
      <c r="AE68" s="6"/>
      <c r="AF68" s="6"/>
      <c r="AG68" s="6"/>
      <c r="AH68" s="6"/>
      <c r="AI68" s="6"/>
      <c r="AJ68" s="6"/>
      <c r="AK68" s="6"/>
      <c r="AM68" s="4" t="b">
        <f>checking!A68</f>
        <v>1</v>
      </c>
      <c r="AN68" s="11" t="str">
        <f>IF(NOT(AM68), checking!AX68,"")</f>
        <v/>
      </c>
    </row>
    <row r="69" spans="1:40" s="16" customFormat="1" x14ac:dyDescent="0.15">
      <c r="A69" s="13" t="str">
        <f t="shared" si="1"/>
        <v/>
      </c>
      <c r="B69" s="14"/>
      <c r="C69" s="14"/>
      <c r="D69" s="15"/>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E69" s="14"/>
      <c r="AF69" s="14"/>
      <c r="AG69" s="14"/>
      <c r="AH69" s="14"/>
      <c r="AI69" s="14"/>
      <c r="AJ69" s="14"/>
      <c r="AK69" s="14"/>
      <c r="AM69" s="16" t="b">
        <f>checking!A69</f>
        <v>1</v>
      </c>
      <c r="AN69" s="17" t="str">
        <f>IF(NOT(AM69), checking!AX69,"")</f>
        <v/>
      </c>
    </row>
    <row r="70" spans="1:40" x14ac:dyDescent="0.15">
      <c r="A70" s="5" t="str">
        <f t="shared" si="1"/>
        <v/>
      </c>
      <c r="B70" s="6"/>
      <c r="C70" s="7"/>
      <c r="D70" s="7"/>
      <c r="E70" s="6"/>
      <c r="F70" s="6"/>
      <c r="G70" s="6"/>
      <c r="H70" s="6"/>
      <c r="I70" s="6"/>
      <c r="J70" s="7"/>
      <c r="K70" s="6"/>
      <c r="L70" s="6"/>
      <c r="M70" s="6"/>
      <c r="N70" s="6"/>
      <c r="O70" s="7"/>
      <c r="P70" s="7"/>
      <c r="Q70" s="6"/>
      <c r="R70" s="6"/>
      <c r="S70" s="6"/>
      <c r="T70" s="6"/>
      <c r="U70" s="6"/>
      <c r="V70" s="6"/>
      <c r="W70" s="6"/>
      <c r="X70" s="6"/>
      <c r="Y70" s="6"/>
      <c r="Z70" s="6"/>
      <c r="AA70" s="6"/>
      <c r="AB70" s="6"/>
      <c r="AC70" s="7"/>
      <c r="AD70" s="6"/>
      <c r="AE70" s="6"/>
      <c r="AF70" s="6"/>
      <c r="AG70" s="6"/>
      <c r="AH70" s="6"/>
      <c r="AI70" s="6"/>
      <c r="AJ70" s="6"/>
      <c r="AK70" s="6"/>
      <c r="AM70" s="4" t="b">
        <f>checking!A70</f>
        <v>1</v>
      </c>
      <c r="AN70" s="11" t="str">
        <f>IF(NOT(AM70), checking!AX70,"")</f>
        <v/>
      </c>
    </row>
    <row r="71" spans="1:40" s="16" customFormat="1" x14ac:dyDescent="0.15">
      <c r="A71" s="13" t="str">
        <f t="shared" si="1"/>
        <v/>
      </c>
      <c r="B71" s="14"/>
      <c r="C71" s="14"/>
      <c r="D71" s="15"/>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M71" s="16" t="b">
        <f>checking!A71</f>
        <v>1</v>
      </c>
      <c r="AN71" s="17" t="str">
        <f>IF(NOT(AM71), checking!AX71,"")</f>
        <v/>
      </c>
    </row>
    <row r="72" spans="1:40" x14ac:dyDescent="0.15">
      <c r="A72" s="5" t="str">
        <f t="shared" si="1"/>
        <v/>
      </c>
      <c r="B72" s="6"/>
      <c r="C72" s="7"/>
      <c r="D72" s="7"/>
      <c r="E72" s="6"/>
      <c r="F72" s="6"/>
      <c r="G72" s="6"/>
      <c r="H72" s="6"/>
      <c r="I72" s="6"/>
      <c r="J72" s="7"/>
      <c r="K72" s="6"/>
      <c r="L72" s="6"/>
      <c r="M72" s="6"/>
      <c r="N72" s="6"/>
      <c r="O72" s="7"/>
      <c r="P72" s="7"/>
      <c r="Q72" s="6"/>
      <c r="R72" s="6"/>
      <c r="S72" s="6"/>
      <c r="T72" s="6"/>
      <c r="U72" s="6"/>
      <c r="V72" s="6"/>
      <c r="W72" s="6"/>
      <c r="X72" s="6"/>
      <c r="Y72" s="6"/>
      <c r="Z72" s="6"/>
      <c r="AA72" s="6"/>
      <c r="AB72" s="6"/>
      <c r="AC72" s="7"/>
      <c r="AD72" s="6"/>
      <c r="AE72" s="6"/>
      <c r="AF72" s="6"/>
      <c r="AG72" s="6"/>
      <c r="AH72" s="6"/>
      <c r="AI72" s="6"/>
      <c r="AJ72" s="6"/>
      <c r="AK72" s="6"/>
      <c r="AM72" s="4" t="b">
        <f>checking!A72</f>
        <v>1</v>
      </c>
      <c r="AN72" s="11" t="str">
        <f>IF(NOT(AM72), checking!AX72,"")</f>
        <v/>
      </c>
    </row>
    <row r="73" spans="1:40" s="16" customFormat="1" x14ac:dyDescent="0.15">
      <c r="A73" s="13" t="str">
        <f t="shared" si="1"/>
        <v/>
      </c>
      <c r="B73" s="14"/>
      <c r="C73" s="14"/>
      <c r="D73" s="15"/>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M73" s="16" t="b">
        <f>checking!A73</f>
        <v>1</v>
      </c>
      <c r="AN73" s="17" t="str">
        <f>IF(NOT(AM73), checking!AX73,"")</f>
        <v/>
      </c>
    </row>
    <row r="74" spans="1:40" x14ac:dyDescent="0.15">
      <c r="A74" s="5" t="str">
        <f t="shared" si="1"/>
        <v/>
      </c>
      <c r="B74" s="6"/>
      <c r="C74" s="7"/>
      <c r="D74" s="7"/>
      <c r="E74" s="6"/>
      <c r="F74" s="6"/>
      <c r="G74" s="6"/>
      <c r="H74" s="6"/>
      <c r="I74" s="6"/>
      <c r="J74" s="7"/>
      <c r="K74" s="6"/>
      <c r="L74" s="6"/>
      <c r="M74" s="6"/>
      <c r="N74" s="6"/>
      <c r="O74" s="7"/>
      <c r="P74" s="7"/>
      <c r="Q74" s="6"/>
      <c r="R74" s="6"/>
      <c r="S74" s="6"/>
      <c r="T74" s="6"/>
      <c r="U74" s="6"/>
      <c r="V74" s="6"/>
      <c r="W74" s="6"/>
      <c r="X74" s="6"/>
      <c r="Y74" s="6"/>
      <c r="Z74" s="6"/>
      <c r="AA74" s="6"/>
      <c r="AB74" s="6"/>
      <c r="AC74" s="7"/>
      <c r="AD74" s="6"/>
      <c r="AE74" s="6"/>
      <c r="AF74" s="6"/>
      <c r="AG74" s="6"/>
      <c r="AH74" s="6"/>
      <c r="AI74" s="6"/>
      <c r="AJ74" s="6"/>
      <c r="AK74" s="6"/>
      <c r="AM74" s="4" t="b">
        <f>checking!A74</f>
        <v>1</v>
      </c>
      <c r="AN74" s="11" t="str">
        <f>IF(NOT(AM74), checking!AX74,"")</f>
        <v/>
      </c>
    </row>
    <row r="75" spans="1:40" s="16" customFormat="1" x14ac:dyDescent="0.15">
      <c r="A75" s="13" t="str">
        <f t="shared" si="1"/>
        <v/>
      </c>
      <c r="B75" s="14"/>
      <c r="C75" s="14"/>
      <c r="D75" s="15"/>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M75" s="16" t="b">
        <f>checking!A75</f>
        <v>1</v>
      </c>
      <c r="AN75" s="17" t="str">
        <f>IF(NOT(AM75), checking!AX75,"")</f>
        <v/>
      </c>
    </row>
    <row r="76" spans="1:40" x14ac:dyDescent="0.15">
      <c r="A76" s="5" t="str">
        <f t="shared" si="1"/>
        <v/>
      </c>
      <c r="B76" s="6"/>
      <c r="C76" s="7"/>
      <c r="D76" s="7"/>
      <c r="E76" s="6"/>
      <c r="F76" s="6"/>
      <c r="G76" s="6"/>
      <c r="H76" s="6"/>
      <c r="I76" s="6"/>
      <c r="J76" s="7"/>
      <c r="K76" s="6"/>
      <c r="L76" s="6"/>
      <c r="M76" s="6"/>
      <c r="N76" s="6"/>
      <c r="O76" s="7"/>
      <c r="P76" s="7"/>
      <c r="Q76" s="6"/>
      <c r="R76" s="6"/>
      <c r="S76" s="6"/>
      <c r="T76" s="6"/>
      <c r="U76" s="6"/>
      <c r="V76" s="6"/>
      <c r="W76" s="6"/>
      <c r="X76" s="6"/>
      <c r="Y76" s="6"/>
      <c r="Z76" s="6"/>
      <c r="AA76" s="6"/>
      <c r="AB76" s="6"/>
      <c r="AC76" s="7"/>
      <c r="AD76" s="6"/>
      <c r="AE76" s="6"/>
      <c r="AF76" s="6"/>
      <c r="AG76" s="6"/>
      <c r="AH76" s="6"/>
      <c r="AI76" s="6"/>
      <c r="AJ76" s="6"/>
      <c r="AK76" s="6"/>
      <c r="AM76" s="4" t="b">
        <f>checking!A76</f>
        <v>1</v>
      </c>
      <c r="AN76" s="11" t="str">
        <f>IF(NOT(AM76), checking!AX76,"")</f>
        <v/>
      </c>
    </row>
    <row r="77" spans="1:40" s="16" customFormat="1" x14ac:dyDescent="0.15">
      <c r="A77" s="13" t="str">
        <f t="shared" si="1"/>
        <v/>
      </c>
      <c r="B77" s="14"/>
      <c r="C77" s="14"/>
      <c r="D77" s="15"/>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M77" s="16" t="b">
        <f>checking!A77</f>
        <v>1</v>
      </c>
      <c r="AN77" s="17" t="str">
        <f>IF(NOT(AM77), checking!AX77,"")</f>
        <v/>
      </c>
    </row>
    <row r="78" spans="1:40" x14ac:dyDescent="0.15">
      <c r="A78" s="5" t="str">
        <f t="shared" si="1"/>
        <v/>
      </c>
      <c r="B78" s="6"/>
      <c r="C78" s="7"/>
      <c r="D78" s="7"/>
      <c r="E78" s="6"/>
      <c r="F78" s="6"/>
      <c r="G78" s="6"/>
      <c r="H78" s="6"/>
      <c r="I78" s="6"/>
      <c r="J78" s="7"/>
      <c r="K78" s="6"/>
      <c r="L78" s="6"/>
      <c r="M78" s="6"/>
      <c r="N78" s="6"/>
      <c r="O78" s="7"/>
      <c r="P78" s="7"/>
      <c r="Q78" s="6"/>
      <c r="R78" s="6"/>
      <c r="S78" s="6"/>
      <c r="T78" s="6"/>
      <c r="U78" s="6"/>
      <c r="V78" s="6"/>
      <c r="W78" s="6"/>
      <c r="X78" s="6"/>
      <c r="Y78" s="6"/>
      <c r="Z78" s="6"/>
      <c r="AA78" s="6"/>
      <c r="AB78" s="6"/>
      <c r="AC78" s="7"/>
      <c r="AD78" s="6"/>
      <c r="AE78" s="6"/>
      <c r="AF78" s="6"/>
      <c r="AG78" s="6"/>
      <c r="AH78" s="6"/>
      <c r="AI78" s="6"/>
      <c r="AJ78" s="6"/>
      <c r="AK78" s="6"/>
      <c r="AM78" s="4" t="b">
        <f>checking!A78</f>
        <v>1</v>
      </c>
      <c r="AN78" s="11" t="str">
        <f>IF(NOT(AM78), checking!AX78,"")</f>
        <v/>
      </c>
    </row>
    <row r="79" spans="1:40" s="16" customFormat="1" x14ac:dyDescent="0.15">
      <c r="A79" s="13" t="str">
        <f t="shared" si="1"/>
        <v/>
      </c>
      <c r="B79" s="14"/>
      <c r="C79" s="14"/>
      <c r="D79" s="15"/>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M79" s="16" t="b">
        <f>checking!A79</f>
        <v>1</v>
      </c>
      <c r="AN79" s="17" t="str">
        <f>IF(NOT(AM79), checking!AX79,"")</f>
        <v/>
      </c>
    </row>
    <row r="80" spans="1:40" x14ac:dyDescent="0.15">
      <c r="A80" s="5" t="str">
        <f t="shared" si="1"/>
        <v/>
      </c>
      <c r="B80" s="6"/>
      <c r="C80" s="7"/>
      <c r="D80" s="7"/>
      <c r="E80" s="6"/>
      <c r="F80" s="6"/>
      <c r="G80" s="6"/>
      <c r="H80" s="6"/>
      <c r="I80" s="6"/>
      <c r="J80" s="7"/>
      <c r="K80" s="6"/>
      <c r="L80" s="6"/>
      <c r="M80" s="6"/>
      <c r="N80" s="6"/>
      <c r="O80" s="7"/>
      <c r="P80" s="7"/>
      <c r="Q80" s="6"/>
      <c r="R80" s="6"/>
      <c r="S80" s="6"/>
      <c r="T80" s="6"/>
      <c r="U80" s="6"/>
      <c r="V80" s="6"/>
      <c r="W80" s="6"/>
      <c r="X80" s="6"/>
      <c r="Y80" s="6"/>
      <c r="Z80" s="6"/>
      <c r="AA80" s="6"/>
      <c r="AB80" s="6"/>
      <c r="AC80" s="7"/>
      <c r="AD80" s="6"/>
      <c r="AE80" s="6"/>
      <c r="AF80" s="6"/>
      <c r="AG80" s="6"/>
      <c r="AH80" s="6"/>
      <c r="AI80" s="6"/>
      <c r="AJ80" s="6"/>
      <c r="AK80" s="6"/>
      <c r="AM80" s="4" t="b">
        <f>checking!A80</f>
        <v>1</v>
      </c>
      <c r="AN80" s="11" t="str">
        <f>IF(NOT(AM80), checking!AX80,"")</f>
        <v/>
      </c>
    </row>
    <row r="81" spans="1:40" s="16" customFormat="1" x14ac:dyDescent="0.15">
      <c r="A81" s="13" t="str">
        <f t="shared" si="1"/>
        <v/>
      </c>
      <c r="B81" s="14"/>
      <c r="C81" s="14"/>
      <c r="D81" s="15"/>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M81" s="16" t="b">
        <f>checking!A81</f>
        <v>1</v>
      </c>
      <c r="AN81" s="17" t="str">
        <f>IF(NOT(AM81), checking!AX81,"")</f>
        <v/>
      </c>
    </row>
    <row r="82" spans="1:40" x14ac:dyDescent="0.15">
      <c r="A82" s="5" t="str">
        <f t="shared" si="1"/>
        <v/>
      </c>
      <c r="B82" s="6"/>
      <c r="C82" s="7"/>
      <c r="D82" s="7"/>
      <c r="E82" s="6"/>
      <c r="F82" s="6"/>
      <c r="G82" s="6"/>
      <c r="H82" s="6"/>
      <c r="I82" s="6"/>
      <c r="J82" s="7"/>
      <c r="K82" s="6"/>
      <c r="L82" s="6"/>
      <c r="M82" s="6"/>
      <c r="N82" s="6"/>
      <c r="O82" s="7"/>
      <c r="P82" s="7"/>
      <c r="Q82" s="6"/>
      <c r="R82" s="6"/>
      <c r="S82" s="6"/>
      <c r="T82" s="6"/>
      <c r="U82" s="6"/>
      <c r="V82" s="6"/>
      <c r="W82" s="6"/>
      <c r="X82" s="6"/>
      <c r="Y82" s="6"/>
      <c r="Z82" s="6"/>
      <c r="AA82" s="6"/>
      <c r="AB82" s="6"/>
      <c r="AC82" s="7"/>
      <c r="AD82" s="6"/>
      <c r="AE82" s="6"/>
      <c r="AF82" s="6"/>
      <c r="AG82" s="6"/>
      <c r="AH82" s="6"/>
      <c r="AI82" s="6"/>
      <c r="AJ82" s="6"/>
      <c r="AK82" s="6"/>
      <c r="AM82" s="4" t="b">
        <f>checking!A82</f>
        <v>1</v>
      </c>
      <c r="AN82" s="11" t="str">
        <f>IF(NOT(AM82), checking!AX82,"")</f>
        <v/>
      </c>
    </row>
    <row r="83" spans="1:40" s="16" customFormat="1" x14ac:dyDescent="0.15">
      <c r="A83" s="13" t="str">
        <f t="shared" si="1"/>
        <v/>
      </c>
      <c r="B83" s="14"/>
      <c r="C83" s="14"/>
      <c r="D83" s="15"/>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M83" s="16" t="b">
        <f>checking!A83</f>
        <v>1</v>
      </c>
      <c r="AN83" s="17" t="str">
        <f>IF(NOT(AM83), checking!AX83,"")</f>
        <v/>
      </c>
    </row>
    <row r="84" spans="1:40" x14ac:dyDescent="0.15">
      <c r="A84" s="5" t="str">
        <f t="shared" si="1"/>
        <v/>
      </c>
      <c r="B84" s="6"/>
      <c r="C84" s="7"/>
      <c r="D84" s="7"/>
      <c r="E84" s="6"/>
      <c r="F84" s="6"/>
      <c r="G84" s="6"/>
      <c r="H84" s="6"/>
      <c r="I84" s="6"/>
      <c r="J84" s="7"/>
      <c r="K84" s="6"/>
      <c r="L84" s="6"/>
      <c r="M84" s="6"/>
      <c r="N84" s="6"/>
      <c r="O84" s="7"/>
      <c r="P84" s="7"/>
      <c r="Q84" s="6"/>
      <c r="R84" s="6"/>
      <c r="S84" s="6"/>
      <c r="T84" s="6"/>
      <c r="U84" s="6"/>
      <c r="V84" s="6"/>
      <c r="W84" s="6"/>
      <c r="X84" s="6"/>
      <c r="Y84" s="6"/>
      <c r="Z84" s="6"/>
      <c r="AA84" s="6"/>
      <c r="AB84" s="6"/>
      <c r="AC84" s="7"/>
      <c r="AD84" s="6"/>
      <c r="AE84" s="6"/>
      <c r="AF84" s="6"/>
      <c r="AG84" s="6"/>
      <c r="AH84" s="6"/>
      <c r="AI84" s="6"/>
      <c r="AJ84" s="6"/>
      <c r="AK84" s="6"/>
      <c r="AM84" s="4" t="b">
        <f>checking!A84</f>
        <v>1</v>
      </c>
      <c r="AN84" s="11" t="str">
        <f>IF(NOT(AM84), checking!AX84,"")</f>
        <v/>
      </c>
    </row>
    <row r="85" spans="1:40" s="16" customFormat="1" x14ac:dyDescent="0.15">
      <c r="A85" s="13" t="str">
        <f t="shared" si="1"/>
        <v/>
      </c>
      <c r="B85" s="14"/>
      <c r="C85" s="14"/>
      <c r="D85" s="15"/>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M85" s="16" t="b">
        <f>checking!A85</f>
        <v>1</v>
      </c>
      <c r="AN85" s="17" t="str">
        <f>IF(NOT(AM85), checking!AX85,"")</f>
        <v/>
      </c>
    </row>
    <row r="86" spans="1:40" x14ac:dyDescent="0.15">
      <c r="A86" s="5" t="str">
        <f t="shared" si="1"/>
        <v/>
      </c>
      <c r="B86" s="6"/>
      <c r="C86" s="7"/>
      <c r="D86" s="7"/>
      <c r="E86" s="6"/>
      <c r="F86" s="6"/>
      <c r="G86" s="6"/>
      <c r="H86" s="6"/>
      <c r="I86" s="6"/>
      <c r="J86" s="7"/>
      <c r="K86" s="6"/>
      <c r="L86" s="6"/>
      <c r="M86" s="6"/>
      <c r="N86" s="6"/>
      <c r="O86" s="7"/>
      <c r="P86" s="7"/>
      <c r="Q86" s="6"/>
      <c r="R86" s="6"/>
      <c r="S86" s="6"/>
      <c r="T86" s="6"/>
      <c r="U86" s="6"/>
      <c r="V86" s="6"/>
      <c r="W86" s="6"/>
      <c r="X86" s="6"/>
      <c r="Y86" s="6"/>
      <c r="Z86" s="6"/>
      <c r="AA86" s="6"/>
      <c r="AB86" s="6"/>
      <c r="AC86" s="7"/>
      <c r="AD86" s="6"/>
      <c r="AE86" s="6"/>
      <c r="AF86" s="6"/>
      <c r="AG86" s="6"/>
      <c r="AH86" s="6"/>
      <c r="AI86" s="6"/>
      <c r="AJ86" s="6"/>
      <c r="AK86" s="6"/>
      <c r="AM86" s="4" t="b">
        <f>checking!A86</f>
        <v>1</v>
      </c>
      <c r="AN86" s="11" t="str">
        <f>IF(NOT(AM86), checking!AX86,"")</f>
        <v/>
      </c>
    </row>
    <row r="87" spans="1:40" s="16" customFormat="1" x14ac:dyDescent="0.15">
      <c r="A87" s="13" t="str">
        <f t="shared" si="1"/>
        <v/>
      </c>
      <c r="B87" s="14"/>
      <c r="C87" s="14"/>
      <c r="D87" s="15"/>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4"/>
      <c r="AE87" s="14"/>
      <c r="AF87" s="14"/>
      <c r="AG87" s="14"/>
      <c r="AH87" s="14"/>
      <c r="AI87" s="14"/>
      <c r="AJ87" s="14"/>
      <c r="AK87" s="14"/>
      <c r="AM87" s="16" t="b">
        <f>checking!A87</f>
        <v>1</v>
      </c>
      <c r="AN87" s="17" t="str">
        <f>IF(NOT(AM87), checking!AX87,"")</f>
        <v/>
      </c>
    </row>
    <row r="88" spans="1:40" x14ac:dyDescent="0.15">
      <c r="A88" s="5" t="str">
        <f t="shared" si="1"/>
        <v/>
      </c>
      <c r="B88" s="6"/>
      <c r="C88" s="7"/>
      <c r="D88" s="7"/>
      <c r="E88" s="6"/>
      <c r="F88" s="6"/>
      <c r="G88" s="6"/>
      <c r="H88" s="6"/>
      <c r="I88" s="6"/>
      <c r="J88" s="7"/>
      <c r="K88" s="6"/>
      <c r="L88" s="6"/>
      <c r="M88" s="6"/>
      <c r="N88" s="6"/>
      <c r="O88" s="7"/>
      <c r="P88" s="7"/>
      <c r="Q88" s="6"/>
      <c r="R88" s="6"/>
      <c r="S88" s="6"/>
      <c r="T88" s="6"/>
      <c r="U88" s="6"/>
      <c r="V88" s="6"/>
      <c r="W88" s="6"/>
      <c r="X88" s="6"/>
      <c r="Y88" s="6"/>
      <c r="Z88" s="6"/>
      <c r="AA88" s="6"/>
      <c r="AB88" s="6"/>
      <c r="AC88" s="7"/>
      <c r="AD88" s="6"/>
      <c r="AE88" s="6"/>
      <c r="AF88" s="6"/>
      <c r="AG88" s="6"/>
      <c r="AH88" s="6"/>
      <c r="AI88" s="6"/>
      <c r="AJ88" s="6"/>
      <c r="AK88" s="6"/>
      <c r="AM88" s="4" t="b">
        <f>checking!A88</f>
        <v>1</v>
      </c>
      <c r="AN88" s="11" t="str">
        <f>IF(NOT(AM88), checking!AX88,"")</f>
        <v/>
      </c>
    </row>
    <row r="89" spans="1:40" s="16" customFormat="1" x14ac:dyDescent="0.15">
      <c r="A89" s="13" t="str">
        <f t="shared" si="1"/>
        <v/>
      </c>
      <c r="B89" s="14"/>
      <c r="C89" s="14"/>
      <c r="D89" s="15"/>
      <c r="E89" s="14"/>
      <c r="F89" s="14"/>
      <c r="G89" s="14"/>
      <c r="H89" s="14"/>
      <c r="I89" s="14"/>
      <c r="J89" s="14"/>
      <c r="K89" s="14"/>
      <c r="L89" s="14"/>
      <c r="M89" s="14"/>
      <c r="N89" s="14"/>
      <c r="O89" s="14"/>
      <c r="P89" s="14"/>
      <c r="Q89" s="14"/>
      <c r="R89" s="14"/>
      <c r="S89" s="14"/>
      <c r="T89" s="14"/>
      <c r="U89" s="14"/>
      <c r="V89" s="14"/>
      <c r="W89" s="14"/>
      <c r="X89" s="14"/>
      <c r="Y89" s="14"/>
      <c r="Z89" s="14"/>
      <c r="AA89" s="14"/>
      <c r="AB89" s="14"/>
      <c r="AC89" s="14"/>
      <c r="AD89" s="14"/>
      <c r="AE89" s="14"/>
      <c r="AF89" s="14"/>
      <c r="AG89" s="14"/>
      <c r="AH89" s="14"/>
      <c r="AI89" s="14"/>
      <c r="AJ89" s="14"/>
      <c r="AK89" s="14"/>
      <c r="AM89" s="16" t="b">
        <f>checking!A89</f>
        <v>1</v>
      </c>
      <c r="AN89" s="17" t="str">
        <f>IF(NOT(AM89), checking!AX89,"")</f>
        <v/>
      </c>
    </row>
    <row r="90" spans="1:40" x14ac:dyDescent="0.15">
      <c r="A90" s="5" t="str">
        <f t="shared" si="1"/>
        <v/>
      </c>
      <c r="B90" s="6"/>
      <c r="C90" s="7"/>
      <c r="D90" s="7"/>
      <c r="E90" s="6"/>
      <c r="F90" s="6"/>
      <c r="G90" s="6"/>
      <c r="H90" s="6"/>
      <c r="I90" s="6"/>
      <c r="J90" s="7"/>
      <c r="K90" s="6"/>
      <c r="L90" s="6"/>
      <c r="M90" s="6"/>
      <c r="N90" s="6"/>
      <c r="O90" s="7"/>
      <c r="P90" s="7"/>
      <c r="Q90" s="6"/>
      <c r="R90" s="6"/>
      <c r="S90" s="6"/>
      <c r="T90" s="6"/>
      <c r="U90" s="6"/>
      <c r="V90" s="6"/>
      <c r="W90" s="6"/>
      <c r="X90" s="6"/>
      <c r="Y90" s="6"/>
      <c r="Z90" s="6"/>
      <c r="AA90" s="6"/>
      <c r="AB90" s="6"/>
      <c r="AC90" s="7"/>
      <c r="AD90" s="6"/>
      <c r="AE90" s="6"/>
      <c r="AF90" s="6"/>
      <c r="AG90" s="6"/>
      <c r="AH90" s="6"/>
      <c r="AI90" s="6"/>
      <c r="AJ90" s="6"/>
      <c r="AK90" s="6"/>
      <c r="AM90" s="4" t="b">
        <f>checking!A90</f>
        <v>1</v>
      </c>
      <c r="AN90" s="11" t="str">
        <f>IF(NOT(AM90), checking!AX90,"")</f>
        <v/>
      </c>
    </row>
    <row r="91" spans="1:40" s="16" customFormat="1" x14ac:dyDescent="0.15">
      <c r="A91" s="13" t="str">
        <f t="shared" si="1"/>
        <v/>
      </c>
      <c r="B91" s="14"/>
      <c r="C91" s="14"/>
      <c r="D91" s="15"/>
      <c r="E91" s="14"/>
      <c r="F91" s="14"/>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M91" s="16" t="b">
        <f>checking!A91</f>
        <v>1</v>
      </c>
      <c r="AN91" s="17" t="str">
        <f>IF(NOT(AM91), checking!AX91,"")</f>
        <v/>
      </c>
    </row>
    <row r="92" spans="1:40" x14ac:dyDescent="0.15">
      <c r="A92" s="5" t="str">
        <f t="shared" si="1"/>
        <v/>
      </c>
      <c r="B92" s="6"/>
      <c r="C92" s="7"/>
      <c r="D92" s="7"/>
      <c r="E92" s="6"/>
      <c r="F92" s="6"/>
      <c r="G92" s="6"/>
      <c r="H92" s="6"/>
      <c r="I92" s="6"/>
      <c r="J92" s="7"/>
      <c r="K92" s="6"/>
      <c r="L92" s="6"/>
      <c r="M92" s="6"/>
      <c r="N92" s="6"/>
      <c r="O92" s="7"/>
      <c r="P92" s="7"/>
      <c r="Q92" s="6"/>
      <c r="R92" s="6"/>
      <c r="S92" s="6"/>
      <c r="T92" s="6"/>
      <c r="U92" s="6"/>
      <c r="V92" s="6"/>
      <c r="W92" s="6"/>
      <c r="X92" s="6"/>
      <c r="Y92" s="6"/>
      <c r="Z92" s="6"/>
      <c r="AA92" s="6"/>
      <c r="AB92" s="6"/>
      <c r="AC92" s="7"/>
      <c r="AD92" s="6"/>
      <c r="AE92" s="6"/>
      <c r="AF92" s="6"/>
      <c r="AG92" s="6"/>
      <c r="AH92" s="6"/>
      <c r="AI92" s="6"/>
      <c r="AJ92" s="6"/>
      <c r="AK92" s="6"/>
      <c r="AM92" s="4" t="b">
        <f>checking!A92</f>
        <v>1</v>
      </c>
      <c r="AN92" s="11" t="str">
        <f>IF(NOT(AM92), checking!AX92,"")</f>
        <v/>
      </c>
    </row>
    <row r="93" spans="1:40" s="16" customFormat="1" x14ac:dyDescent="0.15">
      <c r="A93" s="13" t="str">
        <f t="shared" si="1"/>
        <v/>
      </c>
      <c r="B93" s="14"/>
      <c r="C93" s="14"/>
      <c r="D93" s="15"/>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M93" s="16" t="b">
        <f>checking!A93</f>
        <v>1</v>
      </c>
      <c r="AN93" s="17" t="str">
        <f>IF(NOT(AM93), checking!AX93,"")</f>
        <v/>
      </c>
    </row>
    <row r="94" spans="1:40" x14ac:dyDescent="0.15">
      <c r="A94" s="5" t="str">
        <f t="shared" si="1"/>
        <v/>
      </c>
      <c r="B94" s="6"/>
      <c r="C94" s="7"/>
      <c r="D94" s="7"/>
      <c r="E94" s="6"/>
      <c r="F94" s="6"/>
      <c r="G94" s="6"/>
      <c r="H94" s="6"/>
      <c r="I94" s="6"/>
      <c r="J94" s="7"/>
      <c r="K94" s="6"/>
      <c r="L94" s="6"/>
      <c r="M94" s="6"/>
      <c r="N94" s="6"/>
      <c r="O94" s="7"/>
      <c r="P94" s="7"/>
      <c r="Q94" s="6"/>
      <c r="R94" s="6"/>
      <c r="S94" s="6"/>
      <c r="T94" s="6"/>
      <c r="U94" s="6"/>
      <c r="V94" s="6"/>
      <c r="W94" s="6"/>
      <c r="X94" s="6"/>
      <c r="Y94" s="6"/>
      <c r="Z94" s="6"/>
      <c r="AA94" s="6"/>
      <c r="AB94" s="6"/>
      <c r="AC94" s="7"/>
      <c r="AD94" s="6"/>
      <c r="AE94" s="6"/>
      <c r="AF94" s="6"/>
      <c r="AG94" s="6"/>
      <c r="AH94" s="6"/>
      <c r="AI94" s="6"/>
      <c r="AJ94" s="6"/>
      <c r="AK94" s="6"/>
      <c r="AM94" s="4" t="b">
        <f>checking!A94</f>
        <v>1</v>
      </c>
      <c r="AN94" s="11" t="str">
        <f>IF(NOT(AM94), checking!AX94,"")</f>
        <v/>
      </c>
    </row>
    <row r="95" spans="1:40" s="16" customFormat="1" x14ac:dyDescent="0.15">
      <c r="A95" s="13" t="str">
        <f t="shared" si="1"/>
        <v/>
      </c>
      <c r="B95" s="14"/>
      <c r="C95" s="14"/>
      <c r="D95" s="15"/>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M95" s="16" t="b">
        <f>checking!A95</f>
        <v>1</v>
      </c>
      <c r="AN95" s="17" t="str">
        <f>IF(NOT(AM95), checking!AX95,"")</f>
        <v/>
      </c>
    </row>
    <row r="96" spans="1:40" x14ac:dyDescent="0.15">
      <c r="A96" s="5" t="str">
        <f t="shared" si="1"/>
        <v/>
      </c>
      <c r="B96" s="6"/>
      <c r="C96" s="7"/>
      <c r="D96" s="7"/>
      <c r="E96" s="6"/>
      <c r="F96" s="6"/>
      <c r="G96" s="6"/>
      <c r="H96" s="6"/>
      <c r="I96" s="6"/>
      <c r="J96" s="7"/>
      <c r="K96" s="6"/>
      <c r="L96" s="6"/>
      <c r="M96" s="6"/>
      <c r="N96" s="6"/>
      <c r="O96" s="7"/>
      <c r="P96" s="7"/>
      <c r="Q96" s="6"/>
      <c r="R96" s="6"/>
      <c r="S96" s="6"/>
      <c r="T96" s="6"/>
      <c r="U96" s="6"/>
      <c r="V96" s="6"/>
      <c r="W96" s="6"/>
      <c r="X96" s="6"/>
      <c r="Y96" s="6"/>
      <c r="Z96" s="6"/>
      <c r="AA96" s="6"/>
      <c r="AB96" s="6"/>
      <c r="AC96" s="7"/>
      <c r="AD96" s="6"/>
      <c r="AE96" s="6"/>
      <c r="AF96" s="6"/>
      <c r="AG96" s="6"/>
      <c r="AH96" s="6"/>
      <c r="AI96" s="6"/>
      <c r="AJ96" s="6"/>
      <c r="AK96" s="6"/>
      <c r="AM96" s="4" t="b">
        <f>checking!A96</f>
        <v>1</v>
      </c>
      <c r="AN96" s="11" t="str">
        <f>IF(NOT(AM96), checking!AX96,"")</f>
        <v/>
      </c>
    </row>
    <row r="97" spans="1:40" s="16" customFormat="1" x14ac:dyDescent="0.15">
      <c r="A97" s="13" t="str">
        <f t="shared" si="1"/>
        <v/>
      </c>
      <c r="B97" s="14"/>
      <c r="C97" s="14"/>
      <c r="D97" s="15"/>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M97" s="16" t="b">
        <f>checking!A97</f>
        <v>1</v>
      </c>
      <c r="AN97" s="17" t="str">
        <f>IF(NOT(AM97), checking!AX97,"")</f>
        <v/>
      </c>
    </row>
    <row r="98" spans="1:40" x14ac:dyDescent="0.15">
      <c r="A98" s="5" t="str">
        <f t="shared" si="1"/>
        <v/>
      </c>
      <c r="B98" s="6"/>
      <c r="C98" s="7"/>
      <c r="D98" s="7"/>
      <c r="E98" s="6"/>
      <c r="F98" s="6"/>
      <c r="G98" s="6"/>
      <c r="H98" s="6"/>
      <c r="I98" s="6"/>
      <c r="J98" s="7"/>
      <c r="K98" s="6"/>
      <c r="L98" s="6"/>
      <c r="M98" s="6"/>
      <c r="N98" s="6"/>
      <c r="O98" s="7"/>
      <c r="P98" s="7"/>
      <c r="Q98" s="6"/>
      <c r="R98" s="6"/>
      <c r="S98" s="6"/>
      <c r="T98" s="6"/>
      <c r="U98" s="6"/>
      <c r="V98" s="6"/>
      <c r="W98" s="6"/>
      <c r="X98" s="6"/>
      <c r="Y98" s="6"/>
      <c r="Z98" s="6"/>
      <c r="AA98" s="6"/>
      <c r="AB98" s="6"/>
      <c r="AC98" s="7"/>
      <c r="AD98" s="6"/>
      <c r="AE98" s="6"/>
      <c r="AF98" s="6"/>
      <c r="AG98" s="6"/>
      <c r="AH98" s="6"/>
      <c r="AI98" s="6"/>
      <c r="AJ98" s="6"/>
      <c r="AK98" s="6"/>
      <c r="AM98" s="4" t="b">
        <f>checking!A98</f>
        <v>1</v>
      </c>
      <c r="AN98" s="11" t="str">
        <f>IF(NOT(AM98), checking!AX98,"")</f>
        <v/>
      </c>
    </row>
    <row r="99" spans="1:40" s="16" customFormat="1" x14ac:dyDescent="0.15">
      <c r="A99" s="13" t="str">
        <f t="shared" si="1"/>
        <v/>
      </c>
      <c r="B99" s="14"/>
      <c r="C99" s="14"/>
      <c r="D99" s="15"/>
      <c r="E99" s="14"/>
      <c r="F99" s="14"/>
      <c r="G99" s="14"/>
      <c r="H99" s="14"/>
      <c r="I99" s="14"/>
      <c r="J99" s="14"/>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M99" s="16" t="b">
        <f>checking!A99</f>
        <v>1</v>
      </c>
      <c r="AN99" s="17" t="str">
        <f>IF(NOT(AM99), checking!AX99,"")</f>
        <v/>
      </c>
    </row>
    <row r="100" spans="1:40" x14ac:dyDescent="0.15">
      <c r="A100" s="5" t="str">
        <f t="shared" si="1"/>
        <v/>
      </c>
      <c r="B100" s="6"/>
      <c r="C100" s="7"/>
      <c r="D100" s="7"/>
      <c r="E100" s="6"/>
      <c r="F100" s="6"/>
      <c r="G100" s="6"/>
      <c r="H100" s="6"/>
      <c r="I100" s="6"/>
      <c r="J100" s="7"/>
      <c r="K100" s="6"/>
      <c r="L100" s="6"/>
      <c r="M100" s="6"/>
      <c r="N100" s="6"/>
      <c r="O100" s="7"/>
      <c r="P100" s="7"/>
      <c r="Q100" s="6"/>
      <c r="R100" s="6"/>
      <c r="S100" s="6"/>
      <c r="T100" s="6"/>
      <c r="U100" s="6"/>
      <c r="V100" s="6"/>
      <c r="W100" s="6"/>
      <c r="X100" s="6"/>
      <c r="Y100" s="6"/>
      <c r="Z100" s="6"/>
      <c r="AA100" s="6"/>
      <c r="AB100" s="6"/>
      <c r="AC100" s="7"/>
      <c r="AD100" s="6"/>
      <c r="AE100" s="6"/>
      <c r="AF100" s="6"/>
      <c r="AG100" s="6"/>
      <c r="AH100" s="6"/>
      <c r="AI100" s="6"/>
      <c r="AJ100" s="6"/>
      <c r="AK100" s="6"/>
      <c r="AM100" s="4" t="b">
        <f>checking!A100</f>
        <v>1</v>
      </c>
      <c r="AN100" s="11" t="str">
        <f>IF(NOT(AM100), checking!AX100,"")</f>
        <v/>
      </c>
    </row>
    <row r="101" spans="1:40" s="16" customFormat="1" x14ac:dyDescent="0.15">
      <c r="A101" s="13" t="str">
        <f t="shared" si="1"/>
        <v/>
      </c>
      <c r="B101" s="14"/>
      <c r="C101" s="14"/>
      <c r="D101" s="15"/>
      <c r="E101" s="14"/>
      <c r="F101" s="14"/>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M101" s="16" t="b">
        <f>checking!A101</f>
        <v>1</v>
      </c>
      <c r="AN101" s="17" t="str">
        <f>IF(NOT(AM101), checking!AX101,"")</f>
        <v/>
      </c>
    </row>
    <row r="102" spans="1:40" x14ac:dyDescent="0.15">
      <c r="A102" s="5" t="str">
        <f t="shared" si="1"/>
        <v/>
      </c>
      <c r="B102" s="6"/>
      <c r="C102" s="7"/>
      <c r="D102" s="7"/>
      <c r="E102" s="6"/>
      <c r="F102" s="6"/>
      <c r="G102" s="6"/>
      <c r="H102" s="6"/>
      <c r="I102" s="6"/>
      <c r="J102" s="7"/>
      <c r="K102" s="6"/>
      <c r="L102" s="6"/>
      <c r="M102" s="6"/>
      <c r="N102" s="6"/>
      <c r="O102" s="7"/>
      <c r="P102" s="7"/>
      <c r="Q102" s="6"/>
      <c r="R102" s="6"/>
      <c r="S102" s="6"/>
      <c r="T102" s="6"/>
      <c r="U102" s="6"/>
      <c r="V102" s="6"/>
      <c r="W102" s="6"/>
      <c r="X102" s="6"/>
      <c r="Y102" s="6"/>
      <c r="Z102" s="6"/>
      <c r="AA102" s="6"/>
      <c r="AB102" s="6"/>
      <c r="AC102" s="7"/>
      <c r="AD102" s="6"/>
      <c r="AE102" s="6"/>
      <c r="AF102" s="6"/>
      <c r="AG102" s="6"/>
      <c r="AH102" s="6"/>
      <c r="AI102" s="6"/>
      <c r="AJ102" s="6"/>
      <c r="AK102" s="6"/>
      <c r="AM102" s="4" t="b">
        <f>checking!A102</f>
        <v>1</v>
      </c>
      <c r="AN102" s="11" t="str">
        <f>IF(NOT(AM102), checking!AX102,"")</f>
        <v/>
      </c>
    </row>
    <row r="103" spans="1:40" s="16" customFormat="1" x14ac:dyDescent="0.15">
      <c r="A103" s="13" t="str">
        <f t="shared" si="1"/>
        <v/>
      </c>
      <c r="B103" s="14"/>
      <c r="C103" s="14"/>
      <c r="D103" s="15"/>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M103" s="16" t="b">
        <f>checking!A103</f>
        <v>1</v>
      </c>
      <c r="AN103" s="17" t="str">
        <f>IF(NOT(AM103), checking!AX103,"")</f>
        <v/>
      </c>
    </row>
    <row r="104" spans="1:40" x14ac:dyDescent="0.15">
      <c r="A104" s="5" t="str">
        <f t="shared" si="1"/>
        <v/>
      </c>
      <c r="B104" s="6"/>
      <c r="C104" s="7"/>
      <c r="D104" s="7"/>
      <c r="E104" s="6"/>
      <c r="F104" s="6"/>
      <c r="G104" s="6"/>
      <c r="H104" s="6"/>
      <c r="I104" s="6"/>
      <c r="J104" s="7"/>
      <c r="K104" s="6"/>
      <c r="L104" s="6"/>
      <c r="M104" s="6"/>
      <c r="N104" s="6"/>
      <c r="O104" s="7"/>
      <c r="P104" s="7"/>
      <c r="Q104" s="6"/>
      <c r="R104" s="6"/>
      <c r="S104" s="6"/>
      <c r="T104" s="6"/>
      <c r="U104" s="6"/>
      <c r="V104" s="6"/>
      <c r="W104" s="6"/>
      <c r="X104" s="6"/>
      <c r="Y104" s="6"/>
      <c r="Z104" s="6"/>
      <c r="AA104" s="6"/>
      <c r="AB104" s="6"/>
      <c r="AC104" s="7"/>
      <c r="AD104" s="6"/>
      <c r="AE104" s="6"/>
      <c r="AF104" s="6"/>
      <c r="AG104" s="6"/>
      <c r="AH104" s="6"/>
      <c r="AI104" s="6"/>
      <c r="AJ104" s="6"/>
      <c r="AK104" s="6"/>
      <c r="AM104" s="4" t="b">
        <f>checking!A104</f>
        <v>1</v>
      </c>
      <c r="AN104" s="11" t="str">
        <f>IF(NOT(AM104), checking!AX104,"")</f>
        <v/>
      </c>
    </row>
    <row r="105" spans="1:40" s="16" customFormat="1" x14ac:dyDescent="0.15">
      <c r="A105" s="13" t="str">
        <f t="shared" si="1"/>
        <v/>
      </c>
      <c r="B105" s="14"/>
      <c r="C105" s="14"/>
      <c r="D105" s="15"/>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M105" s="16" t="b">
        <f>checking!A105</f>
        <v>1</v>
      </c>
      <c r="AN105" s="17" t="str">
        <f>IF(NOT(AM105), checking!AX105,"")</f>
        <v/>
      </c>
    </row>
    <row r="106" spans="1:40" x14ac:dyDescent="0.15">
      <c r="A106" s="5" t="str">
        <f t="shared" si="1"/>
        <v/>
      </c>
      <c r="B106" s="6"/>
      <c r="C106" s="7"/>
      <c r="D106" s="7"/>
      <c r="E106" s="6"/>
      <c r="F106" s="6"/>
      <c r="G106" s="6"/>
      <c r="H106" s="6"/>
      <c r="I106" s="6"/>
      <c r="J106" s="7"/>
      <c r="K106" s="6"/>
      <c r="L106" s="6"/>
      <c r="M106" s="6"/>
      <c r="N106" s="6"/>
      <c r="O106" s="7"/>
      <c r="P106" s="7"/>
      <c r="Q106" s="6"/>
      <c r="R106" s="6"/>
      <c r="S106" s="6"/>
      <c r="T106" s="6"/>
      <c r="U106" s="6"/>
      <c r="V106" s="6"/>
      <c r="W106" s="6"/>
      <c r="X106" s="6"/>
      <c r="Y106" s="6"/>
      <c r="Z106" s="6"/>
      <c r="AA106" s="6"/>
      <c r="AB106" s="6"/>
      <c r="AC106" s="7"/>
      <c r="AD106" s="6"/>
      <c r="AE106" s="6"/>
      <c r="AF106" s="6"/>
      <c r="AG106" s="6"/>
      <c r="AH106" s="6"/>
      <c r="AI106" s="6"/>
      <c r="AJ106" s="6"/>
      <c r="AK106" s="6"/>
      <c r="AM106" s="4" t="b">
        <f>checking!A106</f>
        <v>1</v>
      </c>
      <c r="AN106" s="11" t="str">
        <f>IF(NOT(AM106), checking!AX106,"")</f>
        <v/>
      </c>
    </row>
    <row r="107" spans="1:40" s="16" customFormat="1" x14ac:dyDescent="0.15">
      <c r="A107" s="13" t="str">
        <f t="shared" si="1"/>
        <v/>
      </c>
      <c r="B107" s="14"/>
      <c r="C107" s="14"/>
      <c r="D107" s="15"/>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4"/>
      <c r="AE107" s="14"/>
      <c r="AF107" s="14"/>
      <c r="AG107" s="14"/>
      <c r="AH107" s="14"/>
      <c r="AI107" s="14"/>
      <c r="AJ107" s="14"/>
      <c r="AK107" s="14"/>
      <c r="AM107" s="16" t="b">
        <f>checking!A107</f>
        <v>1</v>
      </c>
      <c r="AN107" s="17" t="str">
        <f>IF(NOT(AM107), checking!AX107,"")</f>
        <v/>
      </c>
    </row>
    <row r="108" spans="1:40" x14ac:dyDescent="0.15">
      <c r="A108" s="5" t="str">
        <f t="shared" si="1"/>
        <v/>
      </c>
      <c r="B108" s="6"/>
      <c r="C108" s="7"/>
      <c r="D108" s="7"/>
      <c r="E108" s="6"/>
      <c r="F108" s="6"/>
      <c r="G108" s="6"/>
      <c r="H108" s="6"/>
      <c r="I108" s="6"/>
      <c r="J108" s="7"/>
      <c r="K108" s="6"/>
      <c r="L108" s="6"/>
      <c r="M108" s="6"/>
      <c r="N108" s="6"/>
      <c r="O108" s="7"/>
      <c r="P108" s="7"/>
      <c r="Q108" s="6"/>
      <c r="R108" s="6"/>
      <c r="S108" s="6"/>
      <c r="T108" s="6"/>
      <c r="U108" s="6"/>
      <c r="V108" s="6"/>
      <c r="W108" s="6"/>
      <c r="X108" s="6"/>
      <c r="Y108" s="6"/>
      <c r="Z108" s="6"/>
      <c r="AA108" s="6"/>
      <c r="AB108" s="6"/>
      <c r="AC108" s="7"/>
      <c r="AD108" s="6"/>
      <c r="AE108" s="6"/>
      <c r="AF108" s="6"/>
      <c r="AG108" s="6"/>
      <c r="AH108" s="6"/>
      <c r="AI108" s="6"/>
      <c r="AJ108" s="6"/>
      <c r="AK108" s="6"/>
      <c r="AM108" s="4" t="b">
        <f>checking!A108</f>
        <v>1</v>
      </c>
      <c r="AN108" s="11" t="str">
        <f>IF(NOT(AM108), checking!AX108,"")</f>
        <v/>
      </c>
    </row>
    <row r="109" spans="1:40" s="16" customFormat="1" x14ac:dyDescent="0.15">
      <c r="A109" s="13" t="str">
        <f t="shared" si="1"/>
        <v/>
      </c>
      <c r="B109" s="14"/>
      <c r="C109" s="14"/>
      <c r="D109" s="15"/>
      <c r="E109" s="14"/>
      <c r="F109" s="14"/>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M109" s="16" t="b">
        <f>checking!A109</f>
        <v>1</v>
      </c>
      <c r="AN109" s="17" t="str">
        <f>IF(NOT(AM109), checking!AX109,"")</f>
        <v/>
      </c>
    </row>
    <row r="110" spans="1:40" x14ac:dyDescent="0.15">
      <c r="A110" s="5" t="str">
        <f t="shared" si="1"/>
        <v/>
      </c>
      <c r="B110" s="6"/>
      <c r="C110" s="7"/>
      <c r="D110" s="7"/>
      <c r="E110" s="6"/>
      <c r="F110" s="6"/>
      <c r="G110" s="6"/>
      <c r="H110" s="6"/>
      <c r="I110" s="6"/>
      <c r="J110" s="7"/>
      <c r="K110" s="6"/>
      <c r="L110" s="6"/>
      <c r="M110" s="6"/>
      <c r="N110" s="6"/>
      <c r="O110" s="7"/>
      <c r="P110" s="7"/>
      <c r="Q110" s="6"/>
      <c r="R110" s="6"/>
      <c r="S110" s="6"/>
      <c r="T110" s="6"/>
      <c r="U110" s="6"/>
      <c r="V110" s="6"/>
      <c r="W110" s="6"/>
      <c r="X110" s="6"/>
      <c r="Y110" s="6"/>
      <c r="Z110" s="6"/>
      <c r="AA110" s="6"/>
      <c r="AB110" s="6"/>
      <c r="AC110" s="7"/>
      <c r="AD110" s="6"/>
      <c r="AE110" s="6"/>
      <c r="AF110" s="6"/>
      <c r="AG110" s="6"/>
      <c r="AH110" s="6"/>
      <c r="AI110" s="6"/>
      <c r="AJ110" s="6"/>
      <c r="AK110" s="6"/>
      <c r="AM110" s="4" t="b">
        <f>checking!A110</f>
        <v>1</v>
      </c>
      <c r="AN110" s="11" t="str">
        <f>IF(NOT(AM110), checking!AX110,"")</f>
        <v/>
      </c>
    </row>
    <row r="111" spans="1:40" s="16" customFormat="1" x14ac:dyDescent="0.15">
      <c r="A111" s="13" t="str">
        <f t="shared" si="1"/>
        <v/>
      </c>
      <c r="B111" s="14"/>
      <c r="C111" s="14"/>
      <c r="D111" s="15"/>
      <c r="E111" s="14"/>
      <c r="F111" s="14"/>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4"/>
      <c r="AE111" s="14"/>
      <c r="AF111" s="14"/>
      <c r="AG111" s="14"/>
      <c r="AH111" s="14"/>
      <c r="AI111" s="14"/>
      <c r="AJ111" s="14"/>
      <c r="AK111" s="14"/>
      <c r="AM111" s="16" t="b">
        <f>checking!A111</f>
        <v>1</v>
      </c>
      <c r="AN111" s="17" t="str">
        <f>IF(NOT(AM111), checking!AX111,"")</f>
        <v/>
      </c>
    </row>
    <row r="112" spans="1:40" x14ac:dyDescent="0.15">
      <c r="A112" s="5" t="str">
        <f t="shared" si="1"/>
        <v/>
      </c>
      <c r="B112" s="6"/>
      <c r="C112" s="7"/>
      <c r="D112" s="7"/>
      <c r="E112" s="6"/>
      <c r="F112" s="6"/>
      <c r="G112" s="6"/>
      <c r="H112" s="6"/>
      <c r="I112" s="6"/>
      <c r="J112" s="7"/>
      <c r="K112" s="6"/>
      <c r="L112" s="6"/>
      <c r="M112" s="6"/>
      <c r="N112" s="6"/>
      <c r="O112" s="7"/>
      <c r="P112" s="7"/>
      <c r="Q112" s="6"/>
      <c r="R112" s="6"/>
      <c r="S112" s="6"/>
      <c r="T112" s="6"/>
      <c r="U112" s="6"/>
      <c r="V112" s="6"/>
      <c r="W112" s="6"/>
      <c r="X112" s="6"/>
      <c r="Y112" s="6"/>
      <c r="Z112" s="6"/>
      <c r="AA112" s="6"/>
      <c r="AB112" s="6"/>
      <c r="AC112" s="7"/>
      <c r="AD112" s="6"/>
      <c r="AE112" s="6"/>
      <c r="AF112" s="6"/>
      <c r="AG112" s="6"/>
      <c r="AH112" s="6"/>
      <c r="AI112" s="6"/>
      <c r="AJ112" s="6"/>
      <c r="AK112" s="6"/>
      <c r="AM112" s="4" t="b">
        <f>checking!A112</f>
        <v>1</v>
      </c>
      <c r="AN112" s="11" t="str">
        <f>IF(NOT(AM112), checking!AX112,"")</f>
        <v/>
      </c>
    </row>
    <row r="113" spans="1:40" s="16" customFormat="1" x14ac:dyDescent="0.15">
      <c r="A113" s="13" t="str">
        <f t="shared" si="1"/>
        <v/>
      </c>
      <c r="B113" s="14"/>
      <c r="C113" s="14"/>
      <c r="D113" s="15"/>
      <c r="E113" s="14"/>
      <c r="F113" s="14"/>
      <c r="G113" s="14"/>
      <c r="H113" s="14"/>
      <c r="I113" s="14"/>
      <c r="J113" s="14"/>
      <c r="K113" s="14"/>
      <c r="L113" s="14"/>
      <c r="M113" s="14"/>
      <c r="N113" s="14"/>
      <c r="O113" s="14"/>
      <c r="P113" s="14"/>
      <c r="Q113" s="14"/>
      <c r="R113" s="14"/>
      <c r="S113" s="14"/>
      <c r="T113" s="14"/>
      <c r="U113" s="14"/>
      <c r="V113" s="14"/>
      <c r="W113" s="14"/>
      <c r="X113" s="14"/>
      <c r="Y113" s="14"/>
      <c r="Z113" s="14"/>
      <c r="AA113" s="14"/>
      <c r="AB113" s="14"/>
      <c r="AC113" s="14"/>
      <c r="AD113" s="14"/>
      <c r="AE113" s="14"/>
      <c r="AF113" s="14"/>
      <c r="AG113" s="14"/>
      <c r="AH113" s="14"/>
      <c r="AI113" s="14"/>
      <c r="AJ113" s="14"/>
      <c r="AK113" s="14"/>
      <c r="AM113" s="16" t="b">
        <f>checking!A113</f>
        <v>1</v>
      </c>
      <c r="AN113" s="17" t="str">
        <f>IF(NOT(AM113), checking!AX113,"")</f>
        <v/>
      </c>
    </row>
    <row r="114" spans="1:40" x14ac:dyDescent="0.15">
      <c r="A114" s="5" t="str">
        <f t="shared" si="1"/>
        <v/>
      </c>
      <c r="B114" s="6"/>
      <c r="C114" s="7"/>
      <c r="D114" s="7"/>
      <c r="E114" s="6"/>
      <c r="F114" s="6"/>
      <c r="G114" s="6"/>
      <c r="H114" s="6"/>
      <c r="I114" s="6"/>
      <c r="J114" s="7"/>
      <c r="K114" s="6"/>
      <c r="L114" s="6"/>
      <c r="M114" s="6"/>
      <c r="N114" s="6"/>
      <c r="O114" s="7"/>
      <c r="P114" s="7"/>
      <c r="Q114" s="6"/>
      <c r="R114" s="6"/>
      <c r="S114" s="6"/>
      <c r="T114" s="6"/>
      <c r="U114" s="6"/>
      <c r="V114" s="6"/>
      <c r="W114" s="6"/>
      <c r="X114" s="6"/>
      <c r="Y114" s="6"/>
      <c r="Z114" s="6"/>
      <c r="AA114" s="6"/>
      <c r="AB114" s="6"/>
      <c r="AC114" s="7"/>
      <c r="AD114" s="6"/>
      <c r="AE114" s="6"/>
      <c r="AF114" s="6"/>
      <c r="AG114" s="6"/>
      <c r="AH114" s="6"/>
      <c r="AI114" s="6"/>
      <c r="AJ114" s="6"/>
      <c r="AK114" s="6"/>
      <c r="AM114" s="4" t="b">
        <f>checking!A114</f>
        <v>1</v>
      </c>
      <c r="AN114" s="11" t="str">
        <f>IF(NOT(AM114), checking!AX114,"")</f>
        <v/>
      </c>
    </row>
    <row r="115" spans="1:40" s="16" customFormat="1" x14ac:dyDescent="0.15">
      <c r="A115" s="13" t="str">
        <f t="shared" si="1"/>
        <v/>
      </c>
      <c r="B115" s="14"/>
      <c r="C115" s="14"/>
      <c r="D115" s="15"/>
      <c r="E115" s="14"/>
      <c r="F115" s="14"/>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M115" s="16" t="b">
        <f>checking!A115</f>
        <v>1</v>
      </c>
      <c r="AN115" s="17" t="str">
        <f>IF(NOT(AM115), checking!AX115,"")</f>
        <v/>
      </c>
    </row>
    <row r="116" spans="1:40" x14ac:dyDescent="0.15">
      <c r="A116" s="5" t="str">
        <f t="shared" si="1"/>
        <v/>
      </c>
      <c r="B116" s="6"/>
      <c r="C116" s="7"/>
      <c r="D116" s="7"/>
      <c r="E116" s="6"/>
      <c r="F116" s="6"/>
      <c r="G116" s="6"/>
      <c r="H116" s="6"/>
      <c r="I116" s="6"/>
      <c r="J116" s="7"/>
      <c r="K116" s="6"/>
      <c r="L116" s="6"/>
      <c r="M116" s="6"/>
      <c r="N116" s="6"/>
      <c r="O116" s="7"/>
      <c r="P116" s="7"/>
      <c r="Q116" s="6"/>
      <c r="R116" s="6"/>
      <c r="S116" s="6"/>
      <c r="T116" s="6"/>
      <c r="U116" s="6"/>
      <c r="V116" s="6"/>
      <c r="W116" s="6"/>
      <c r="X116" s="6"/>
      <c r="Y116" s="6"/>
      <c r="Z116" s="6"/>
      <c r="AA116" s="6"/>
      <c r="AB116" s="6"/>
      <c r="AC116" s="7"/>
      <c r="AD116" s="6"/>
      <c r="AE116" s="6"/>
      <c r="AF116" s="6"/>
      <c r="AG116" s="6"/>
      <c r="AH116" s="6"/>
      <c r="AI116" s="6"/>
      <c r="AJ116" s="6"/>
      <c r="AK116" s="6"/>
      <c r="AM116" s="4" t="b">
        <f>checking!A116</f>
        <v>1</v>
      </c>
      <c r="AN116" s="11" t="str">
        <f>IF(NOT(AM116), checking!AX116,"")</f>
        <v/>
      </c>
    </row>
    <row r="117" spans="1:40" s="16" customFormat="1" x14ac:dyDescent="0.15">
      <c r="A117" s="13" t="str">
        <f t="shared" si="1"/>
        <v/>
      </c>
      <c r="B117" s="14"/>
      <c r="C117" s="14"/>
      <c r="D117" s="15"/>
      <c r="E117" s="14"/>
      <c r="F117" s="14"/>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M117" s="16" t="b">
        <f>checking!A117</f>
        <v>1</v>
      </c>
      <c r="AN117" s="17" t="str">
        <f>IF(NOT(AM117), checking!AX117,"")</f>
        <v/>
      </c>
    </row>
    <row r="118" spans="1:40" x14ac:dyDescent="0.15">
      <c r="A118" s="5" t="str">
        <f t="shared" si="1"/>
        <v/>
      </c>
      <c r="B118" s="6"/>
      <c r="C118" s="7"/>
      <c r="D118" s="7"/>
      <c r="E118" s="6"/>
      <c r="F118" s="6"/>
      <c r="G118" s="6"/>
      <c r="H118" s="6"/>
      <c r="I118" s="6"/>
      <c r="J118" s="7"/>
      <c r="K118" s="6"/>
      <c r="L118" s="6"/>
      <c r="M118" s="6"/>
      <c r="N118" s="6"/>
      <c r="O118" s="7"/>
      <c r="P118" s="7"/>
      <c r="Q118" s="6"/>
      <c r="R118" s="6"/>
      <c r="S118" s="6"/>
      <c r="T118" s="6"/>
      <c r="U118" s="6"/>
      <c r="V118" s="6"/>
      <c r="W118" s="6"/>
      <c r="X118" s="6"/>
      <c r="Y118" s="6"/>
      <c r="Z118" s="6"/>
      <c r="AA118" s="6"/>
      <c r="AB118" s="6"/>
      <c r="AC118" s="7"/>
      <c r="AD118" s="6"/>
      <c r="AE118" s="6"/>
      <c r="AF118" s="6"/>
      <c r="AG118" s="6"/>
      <c r="AH118" s="6"/>
      <c r="AI118" s="6"/>
      <c r="AJ118" s="6"/>
      <c r="AK118" s="6"/>
      <c r="AM118" s="4" t="b">
        <f>checking!A118</f>
        <v>1</v>
      </c>
      <c r="AN118" s="11" t="str">
        <f>IF(NOT(AM118), checking!AX118,"")</f>
        <v/>
      </c>
    </row>
    <row r="119" spans="1:40" s="16" customFormat="1" x14ac:dyDescent="0.15">
      <c r="A119" s="13" t="str">
        <f t="shared" si="1"/>
        <v/>
      </c>
      <c r="B119" s="14"/>
      <c r="C119" s="14"/>
      <c r="D119" s="15"/>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4"/>
      <c r="AE119" s="14"/>
      <c r="AF119" s="14"/>
      <c r="AG119" s="14"/>
      <c r="AH119" s="14"/>
      <c r="AI119" s="14"/>
      <c r="AJ119" s="14"/>
      <c r="AK119" s="14"/>
      <c r="AM119" s="16" t="b">
        <f>checking!A119</f>
        <v>1</v>
      </c>
      <c r="AN119" s="17" t="str">
        <f>IF(NOT(AM119), checking!AX119,"")</f>
        <v/>
      </c>
    </row>
    <row r="120" spans="1:40" x14ac:dyDescent="0.15">
      <c r="A120" s="5" t="str">
        <f t="shared" si="1"/>
        <v/>
      </c>
      <c r="B120" s="6"/>
      <c r="C120" s="7"/>
      <c r="D120" s="7"/>
      <c r="E120" s="6"/>
      <c r="F120" s="6"/>
      <c r="G120" s="6"/>
      <c r="H120" s="6"/>
      <c r="I120" s="6"/>
      <c r="J120" s="7"/>
      <c r="K120" s="6"/>
      <c r="L120" s="6"/>
      <c r="M120" s="6"/>
      <c r="N120" s="6"/>
      <c r="O120" s="7"/>
      <c r="P120" s="7"/>
      <c r="Q120" s="6"/>
      <c r="R120" s="6"/>
      <c r="S120" s="6"/>
      <c r="T120" s="6"/>
      <c r="U120" s="6"/>
      <c r="V120" s="6"/>
      <c r="W120" s="6"/>
      <c r="X120" s="6"/>
      <c r="Y120" s="6"/>
      <c r="Z120" s="6"/>
      <c r="AA120" s="6"/>
      <c r="AB120" s="6"/>
      <c r="AC120" s="7"/>
      <c r="AD120" s="6"/>
      <c r="AE120" s="6"/>
      <c r="AF120" s="6"/>
      <c r="AG120" s="6"/>
      <c r="AH120" s="6"/>
      <c r="AI120" s="6"/>
      <c r="AJ120" s="6"/>
      <c r="AK120" s="6"/>
      <c r="AM120" s="4" t="b">
        <f>checking!A120</f>
        <v>1</v>
      </c>
      <c r="AN120" s="11" t="str">
        <f>IF(NOT(AM120), checking!AX120,"")</f>
        <v/>
      </c>
    </row>
    <row r="121" spans="1:40" s="16" customFormat="1" x14ac:dyDescent="0.15">
      <c r="A121" s="13" t="str">
        <f t="shared" si="1"/>
        <v/>
      </c>
      <c r="B121" s="14"/>
      <c r="C121" s="14"/>
      <c r="D121" s="15"/>
      <c r="E121" s="14"/>
      <c r="F121" s="14"/>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M121" s="16" t="b">
        <f>checking!A121</f>
        <v>1</v>
      </c>
      <c r="AN121" s="17" t="str">
        <f>IF(NOT(AM121), checking!AX121,"")</f>
        <v/>
      </c>
    </row>
    <row r="122" spans="1:40" x14ac:dyDescent="0.15">
      <c r="A122" s="5" t="str">
        <f t="shared" si="1"/>
        <v/>
      </c>
      <c r="B122" s="6"/>
      <c r="C122" s="7"/>
      <c r="D122" s="7"/>
      <c r="E122" s="6"/>
      <c r="F122" s="6"/>
      <c r="G122" s="6"/>
      <c r="H122" s="6"/>
      <c r="I122" s="6"/>
      <c r="J122" s="7"/>
      <c r="K122" s="6"/>
      <c r="L122" s="6"/>
      <c r="M122" s="6"/>
      <c r="N122" s="6"/>
      <c r="O122" s="7"/>
      <c r="P122" s="7"/>
      <c r="Q122" s="6"/>
      <c r="R122" s="6"/>
      <c r="S122" s="6"/>
      <c r="T122" s="6"/>
      <c r="U122" s="6"/>
      <c r="V122" s="6"/>
      <c r="W122" s="6"/>
      <c r="X122" s="6"/>
      <c r="Y122" s="6"/>
      <c r="Z122" s="6"/>
      <c r="AA122" s="6"/>
      <c r="AB122" s="6"/>
      <c r="AC122" s="7"/>
      <c r="AD122" s="6"/>
      <c r="AE122" s="6"/>
      <c r="AF122" s="6"/>
      <c r="AG122" s="6"/>
      <c r="AH122" s="6"/>
      <c r="AI122" s="6"/>
      <c r="AJ122" s="6"/>
      <c r="AK122" s="6"/>
      <c r="AM122" s="4" t="b">
        <f>checking!A122</f>
        <v>1</v>
      </c>
      <c r="AN122" s="11" t="str">
        <f>IF(NOT(AM122), checking!AX122,"")</f>
        <v/>
      </c>
    </row>
    <row r="123" spans="1:40" s="16" customFormat="1" x14ac:dyDescent="0.15">
      <c r="A123" s="13" t="str">
        <f t="shared" si="1"/>
        <v/>
      </c>
      <c r="B123" s="14"/>
      <c r="C123" s="14"/>
      <c r="D123" s="15"/>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M123" s="16" t="b">
        <f>checking!A123</f>
        <v>1</v>
      </c>
      <c r="AN123" s="17" t="str">
        <f>IF(NOT(AM123), checking!AX123,"")</f>
        <v/>
      </c>
    </row>
    <row r="124" spans="1:40" x14ac:dyDescent="0.15">
      <c r="A124" s="5" t="str">
        <f t="shared" si="1"/>
        <v/>
      </c>
      <c r="B124" s="6"/>
      <c r="C124" s="7"/>
      <c r="D124" s="7"/>
      <c r="E124" s="6"/>
      <c r="F124" s="6"/>
      <c r="G124" s="6"/>
      <c r="H124" s="6"/>
      <c r="I124" s="6"/>
      <c r="J124" s="7"/>
      <c r="K124" s="6"/>
      <c r="L124" s="6"/>
      <c r="M124" s="6"/>
      <c r="N124" s="6"/>
      <c r="O124" s="7"/>
      <c r="P124" s="7"/>
      <c r="Q124" s="6"/>
      <c r="R124" s="6"/>
      <c r="S124" s="6"/>
      <c r="T124" s="6"/>
      <c r="U124" s="6"/>
      <c r="V124" s="6"/>
      <c r="W124" s="6"/>
      <c r="X124" s="6"/>
      <c r="Y124" s="6"/>
      <c r="Z124" s="6"/>
      <c r="AA124" s="6"/>
      <c r="AB124" s="6"/>
      <c r="AC124" s="7"/>
      <c r="AD124" s="6"/>
      <c r="AE124" s="6"/>
      <c r="AF124" s="6"/>
      <c r="AG124" s="6"/>
      <c r="AH124" s="6"/>
      <c r="AI124" s="6"/>
      <c r="AJ124" s="6"/>
      <c r="AK124" s="6"/>
      <c r="AM124" s="4" t="b">
        <f>checking!A124</f>
        <v>1</v>
      </c>
      <c r="AN124" s="11" t="str">
        <f>IF(NOT(AM124), checking!AX124,"")</f>
        <v/>
      </c>
    </row>
    <row r="125" spans="1:40" s="16" customFormat="1" x14ac:dyDescent="0.15">
      <c r="A125" s="13" t="str">
        <f t="shared" si="1"/>
        <v/>
      </c>
      <c r="B125" s="14"/>
      <c r="C125" s="14"/>
      <c r="D125" s="15"/>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M125" s="16" t="b">
        <f>checking!A125</f>
        <v>1</v>
      </c>
      <c r="AN125" s="17" t="str">
        <f>IF(NOT(AM125), checking!AX125,"")</f>
        <v/>
      </c>
    </row>
    <row r="126" spans="1:40" x14ac:dyDescent="0.15">
      <c r="A126" s="5" t="str">
        <f t="shared" si="1"/>
        <v/>
      </c>
      <c r="B126" s="6"/>
      <c r="C126" s="7"/>
      <c r="D126" s="7"/>
      <c r="E126" s="6"/>
      <c r="F126" s="6"/>
      <c r="G126" s="6"/>
      <c r="H126" s="6"/>
      <c r="I126" s="6"/>
      <c r="J126" s="7"/>
      <c r="K126" s="6"/>
      <c r="L126" s="6"/>
      <c r="M126" s="6"/>
      <c r="N126" s="6"/>
      <c r="O126" s="7"/>
      <c r="P126" s="7"/>
      <c r="Q126" s="6"/>
      <c r="R126" s="6"/>
      <c r="S126" s="6"/>
      <c r="T126" s="6"/>
      <c r="U126" s="6"/>
      <c r="V126" s="6"/>
      <c r="W126" s="6"/>
      <c r="X126" s="6"/>
      <c r="Y126" s="6"/>
      <c r="Z126" s="6"/>
      <c r="AA126" s="6"/>
      <c r="AB126" s="6"/>
      <c r="AC126" s="7"/>
      <c r="AD126" s="6"/>
      <c r="AE126" s="6"/>
      <c r="AF126" s="6"/>
      <c r="AG126" s="6"/>
      <c r="AH126" s="6"/>
      <c r="AI126" s="6"/>
      <c r="AJ126" s="6"/>
      <c r="AK126" s="6"/>
      <c r="AM126" s="4" t="b">
        <f>checking!A126</f>
        <v>1</v>
      </c>
      <c r="AN126" s="11" t="str">
        <f>IF(NOT(AM126), checking!AX126,"")</f>
        <v/>
      </c>
    </row>
    <row r="127" spans="1:40" s="16" customFormat="1" x14ac:dyDescent="0.15">
      <c r="A127" s="13" t="str">
        <f t="shared" si="1"/>
        <v/>
      </c>
      <c r="B127" s="14"/>
      <c r="C127" s="14"/>
      <c r="D127" s="15"/>
      <c r="E127" s="14"/>
      <c r="F127" s="14"/>
      <c r="G127" s="14"/>
      <c r="H127" s="14"/>
      <c r="I127" s="14"/>
      <c r="J127" s="14"/>
      <c r="K127" s="14"/>
      <c r="L127" s="14"/>
      <c r="M127" s="14"/>
      <c r="N127" s="14"/>
      <c r="O127" s="14"/>
      <c r="P127" s="14"/>
      <c r="Q127" s="14"/>
      <c r="R127" s="14"/>
      <c r="S127" s="14"/>
      <c r="T127" s="14"/>
      <c r="U127" s="14"/>
      <c r="V127" s="14"/>
      <c r="W127" s="14"/>
      <c r="X127" s="14"/>
      <c r="Y127" s="14"/>
      <c r="Z127" s="14"/>
      <c r="AA127" s="14"/>
      <c r="AB127" s="14"/>
      <c r="AC127" s="14"/>
      <c r="AD127" s="14"/>
      <c r="AE127" s="14"/>
      <c r="AF127" s="14"/>
      <c r="AG127" s="14"/>
      <c r="AH127" s="14"/>
      <c r="AI127" s="14"/>
      <c r="AJ127" s="14"/>
      <c r="AK127" s="14"/>
      <c r="AM127" s="16" t="b">
        <f>checking!A127</f>
        <v>1</v>
      </c>
      <c r="AN127" s="17" t="str">
        <f>IF(NOT(AM127), checking!AX127,"")</f>
        <v/>
      </c>
    </row>
    <row r="128" spans="1:40" x14ac:dyDescent="0.15">
      <c r="A128" s="5" t="str">
        <f t="shared" si="1"/>
        <v/>
      </c>
      <c r="B128" s="6"/>
      <c r="C128" s="7"/>
      <c r="D128" s="7"/>
      <c r="E128" s="6"/>
      <c r="F128" s="6"/>
      <c r="G128" s="6"/>
      <c r="H128" s="6"/>
      <c r="I128" s="6"/>
      <c r="J128" s="7"/>
      <c r="K128" s="6"/>
      <c r="L128" s="6"/>
      <c r="M128" s="6"/>
      <c r="N128" s="6"/>
      <c r="O128" s="7"/>
      <c r="P128" s="7"/>
      <c r="Q128" s="6"/>
      <c r="R128" s="6"/>
      <c r="S128" s="6"/>
      <c r="T128" s="6"/>
      <c r="U128" s="6"/>
      <c r="V128" s="6"/>
      <c r="W128" s="6"/>
      <c r="X128" s="6"/>
      <c r="Y128" s="6"/>
      <c r="Z128" s="6"/>
      <c r="AA128" s="6"/>
      <c r="AB128" s="6"/>
      <c r="AC128" s="7"/>
      <c r="AD128" s="6"/>
      <c r="AE128" s="6"/>
      <c r="AF128" s="6"/>
      <c r="AG128" s="6"/>
      <c r="AH128" s="6"/>
      <c r="AI128" s="6"/>
      <c r="AJ128" s="6"/>
      <c r="AK128" s="6"/>
      <c r="AM128" s="4" t="b">
        <f>checking!A128</f>
        <v>1</v>
      </c>
      <c r="AN128" s="11" t="str">
        <f>IF(NOT(AM128), checking!AX128,"")</f>
        <v/>
      </c>
    </row>
    <row r="129" spans="1:40" s="16" customFormat="1" x14ac:dyDescent="0.15">
      <c r="A129" s="13" t="str">
        <f t="shared" si="1"/>
        <v/>
      </c>
      <c r="B129" s="14"/>
      <c r="C129" s="14"/>
      <c r="D129" s="15"/>
      <c r="E129" s="14"/>
      <c r="F129" s="14"/>
      <c r="G129" s="14"/>
      <c r="H129" s="14"/>
      <c r="I129" s="14"/>
      <c r="J129" s="14"/>
      <c r="K129" s="14"/>
      <c r="L129" s="14"/>
      <c r="M129" s="14"/>
      <c r="N129" s="14"/>
      <c r="O129" s="14"/>
      <c r="P129" s="14"/>
      <c r="Q129" s="14"/>
      <c r="R129" s="14"/>
      <c r="S129" s="14"/>
      <c r="T129" s="14"/>
      <c r="U129" s="14"/>
      <c r="V129" s="14"/>
      <c r="W129" s="14"/>
      <c r="X129" s="14"/>
      <c r="Y129" s="14"/>
      <c r="Z129" s="14"/>
      <c r="AA129" s="14"/>
      <c r="AB129" s="14"/>
      <c r="AC129" s="14"/>
      <c r="AD129" s="14"/>
      <c r="AE129" s="14"/>
      <c r="AF129" s="14"/>
      <c r="AG129" s="14"/>
      <c r="AH129" s="14"/>
      <c r="AI129" s="14"/>
      <c r="AJ129" s="14"/>
      <c r="AK129" s="14"/>
      <c r="AM129" s="16" t="b">
        <f>checking!A129</f>
        <v>1</v>
      </c>
      <c r="AN129" s="17" t="str">
        <f>IF(NOT(AM129), checking!AX129,"")</f>
        <v/>
      </c>
    </row>
    <row r="130" spans="1:40" x14ac:dyDescent="0.15">
      <c r="A130" s="5" t="str">
        <f t="shared" si="1"/>
        <v/>
      </c>
      <c r="B130" s="6"/>
      <c r="C130" s="7"/>
      <c r="D130" s="7"/>
      <c r="E130" s="6"/>
      <c r="F130" s="6"/>
      <c r="G130" s="6"/>
      <c r="H130" s="6"/>
      <c r="I130" s="6"/>
      <c r="J130" s="7"/>
      <c r="K130" s="6"/>
      <c r="L130" s="6"/>
      <c r="M130" s="6"/>
      <c r="N130" s="6"/>
      <c r="O130" s="7"/>
      <c r="P130" s="7"/>
      <c r="Q130" s="6"/>
      <c r="R130" s="6"/>
      <c r="S130" s="6"/>
      <c r="T130" s="6"/>
      <c r="U130" s="6"/>
      <c r="V130" s="6"/>
      <c r="W130" s="6"/>
      <c r="X130" s="6"/>
      <c r="Y130" s="6"/>
      <c r="Z130" s="6"/>
      <c r="AA130" s="6"/>
      <c r="AB130" s="6"/>
      <c r="AC130" s="7"/>
      <c r="AD130" s="6"/>
      <c r="AE130" s="6"/>
      <c r="AF130" s="6"/>
      <c r="AG130" s="6"/>
      <c r="AH130" s="6"/>
      <c r="AI130" s="6"/>
      <c r="AJ130" s="6"/>
      <c r="AK130" s="6"/>
      <c r="AM130" s="4" t="b">
        <f>checking!A130</f>
        <v>1</v>
      </c>
      <c r="AN130" s="11" t="str">
        <f>IF(NOT(AM130), checking!AX130,"")</f>
        <v/>
      </c>
    </row>
    <row r="131" spans="1:40" s="16" customFormat="1" x14ac:dyDescent="0.15">
      <c r="A131" s="13" t="str">
        <f t="shared" si="1"/>
        <v/>
      </c>
      <c r="B131" s="14"/>
      <c r="C131" s="14"/>
      <c r="D131" s="15"/>
      <c r="E131" s="14"/>
      <c r="F131" s="14"/>
      <c r="G131" s="14"/>
      <c r="H131" s="14"/>
      <c r="I131" s="14"/>
      <c r="J131" s="14"/>
      <c r="K131" s="14"/>
      <c r="L131" s="14"/>
      <c r="M131" s="14"/>
      <c r="N131" s="14"/>
      <c r="O131" s="14"/>
      <c r="P131" s="14"/>
      <c r="Q131" s="14"/>
      <c r="R131" s="14"/>
      <c r="S131" s="14"/>
      <c r="T131" s="14"/>
      <c r="U131" s="14"/>
      <c r="V131" s="14"/>
      <c r="W131" s="14"/>
      <c r="X131" s="14"/>
      <c r="Y131" s="14"/>
      <c r="Z131" s="14"/>
      <c r="AA131" s="14"/>
      <c r="AB131" s="14"/>
      <c r="AC131" s="14"/>
      <c r="AD131" s="14"/>
      <c r="AE131" s="14"/>
      <c r="AF131" s="14"/>
      <c r="AG131" s="14"/>
      <c r="AH131" s="14"/>
      <c r="AI131" s="14"/>
      <c r="AJ131" s="14"/>
      <c r="AK131" s="14"/>
      <c r="AM131" s="16" t="b">
        <f>checking!A131</f>
        <v>1</v>
      </c>
      <c r="AN131" s="17" t="str">
        <f>IF(NOT(AM131), checking!AX131,"")</f>
        <v/>
      </c>
    </row>
    <row r="132" spans="1:40" x14ac:dyDescent="0.15">
      <c r="A132" s="5" t="str">
        <f t="shared" ref="A132:A195" si="2">IF(ISBLANK(B132), "", A131+1)</f>
        <v/>
      </c>
      <c r="B132" s="6"/>
      <c r="C132" s="7"/>
      <c r="D132" s="7"/>
      <c r="E132" s="6"/>
      <c r="F132" s="6"/>
      <c r="G132" s="6"/>
      <c r="H132" s="6"/>
      <c r="I132" s="6"/>
      <c r="J132" s="7"/>
      <c r="K132" s="6"/>
      <c r="L132" s="6"/>
      <c r="M132" s="6"/>
      <c r="N132" s="6"/>
      <c r="O132" s="7"/>
      <c r="P132" s="7"/>
      <c r="Q132" s="6"/>
      <c r="R132" s="6"/>
      <c r="S132" s="6"/>
      <c r="T132" s="6"/>
      <c r="U132" s="6"/>
      <c r="V132" s="6"/>
      <c r="W132" s="6"/>
      <c r="X132" s="6"/>
      <c r="Y132" s="6"/>
      <c r="Z132" s="6"/>
      <c r="AA132" s="6"/>
      <c r="AB132" s="6"/>
      <c r="AC132" s="7"/>
      <c r="AD132" s="6"/>
      <c r="AE132" s="6"/>
      <c r="AF132" s="6"/>
      <c r="AG132" s="6"/>
      <c r="AH132" s="6"/>
      <c r="AI132" s="6"/>
      <c r="AJ132" s="6"/>
      <c r="AK132" s="6"/>
      <c r="AM132" s="4" t="b">
        <f>checking!A132</f>
        <v>1</v>
      </c>
      <c r="AN132" s="11" t="str">
        <f>IF(NOT(AM132), checking!AX132,"")</f>
        <v/>
      </c>
    </row>
    <row r="133" spans="1:40" s="16" customFormat="1" x14ac:dyDescent="0.15">
      <c r="A133" s="13" t="str">
        <f t="shared" si="2"/>
        <v/>
      </c>
      <c r="B133" s="14"/>
      <c r="C133" s="14"/>
      <c r="D133" s="15"/>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4"/>
      <c r="AE133" s="14"/>
      <c r="AF133" s="14"/>
      <c r="AG133" s="14"/>
      <c r="AH133" s="14"/>
      <c r="AI133" s="14"/>
      <c r="AJ133" s="14"/>
      <c r="AK133" s="14"/>
      <c r="AM133" s="16" t="b">
        <f>checking!A133</f>
        <v>1</v>
      </c>
      <c r="AN133" s="17" t="str">
        <f>IF(NOT(AM133), checking!AX133,"")</f>
        <v/>
      </c>
    </row>
    <row r="134" spans="1:40" x14ac:dyDescent="0.15">
      <c r="A134" s="5" t="str">
        <f t="shared" si="2"/>
        <v/>
      </c>
      <c r="B134" s="6"/>
      <c r="C134" s="7"/>
      <c r="D134" s="7"/>
      <c r="E134" s="6"/>
      <c r="F134" s="6"/>
      <c r="G134" s="6"/>
      <c r="H134" s="6"/>
      <c r="I134" s="6"/>
      <c r="J134" s="7"/>
      <c r="K134" s="6"/>
      <c r="L134" s="6"/>
      <c r="M134" s="6"/>
      <c r="N134" s="6"/>
      <c r="O134" s="7"/>
      <c r="P134" s="7"/>
      <c r="Q134" s="6"/>
      <c r="R134" s="6"/>
      <c r="S134" s="6"/>
      <c r="T134" s="6"/>
      <c r="U134" s="6"/>
      <c r="V134" s="6"/>
      <c r="W134" s="6"/>
      <c r="X134" s="6"/>
      <c r="Y134" s="6"/>
      <c r="Z134" s="6"/>
      <c r="AA134" s="6"/>
      <c r="AB134" s="6"/>
      <c r="AC134" s="7"/>
      <c r="AD134" s="6"/>
      <c r="AE134" s="6"/>
      <c r="AF134" s="6"/>
      <c r="AG134" s="6"/>
      <c r="AH134" s="6"/>
      <c r="AI134" s="6"/>
      <c r="AJ134" s="6"/>
      <c r="AK134" s="6"/>
      <c r="AM134" s="4" t="b">
        <f>checking!A134</f>
        <v>1</v>
      </c>
      <c r="AN134" s="11" t="str">
        <f>IF(NOT(AM134), checking!AX134,"")</f>
        <v/>
      </c>
    </row>
    <row r="135" spans="1:40" s="16" customFormat="1" x14ac:dyDescent="0.15">
      <c r="A135" s="13" t="str">
        <f t="shared" si="2"/>
        <v/>
      </c>
      <c r="B135" s="14"/>
      <c r="C135" s="14"/>
      <c r="D135" s="15"/>
      <c r="E135" s="14"/>
      <c r="F135" s="14"/>
      <c r="G135" s="14"/>
      <c r="H135" s="14"/>
      <c r="I135" s="14"/>
      <c r="J135" s="14"/>
      <c r="K135" s="14"/>
      <c r="L135" s="14"/>
      <c r="M135" s="14"/>
      <c r="N135" s="14"/>
      <c r="O135" s="14"/>
      <c r="P135" s="14"/>
      <c r="Q135" s="14"/>
      <c r="R135" s="14"/>
      <c r="S135" s="14"/>
      <c r="T135" s="14"/>
      <c r="U135" s="14"/>
      <c r="V135" s="14"/>
      <c r="W135" s="14"/>
      <c r="X135" s="14"/>
      <c r="Y135" s="14"/>
      <c r="Z135" s="14"/>
      <c r="AA135" s="14"/>
      <c r="AB135" s="14"/>
      <c r="AC135" s="14"/>
      <c r="AD135" s="14"/>
      <c r="AE135" s="14"/>
      <c r="AF135" s="14"/>
      <c r="AG135" s="14"/>
      <c r="AH135" s="14"/>
      <c r="AI135" s="14"/>
      <c r="AJ135" s="14"/>
      <c r="AK135" s="14"/>
      <c r="AM135" s="16" t="b">
        <f>checking!A135</f>
        <v>1</v>
      </c>
      <c r="AN135" s="17" t="str">
        <f>IF(NOT(AM135), checking!AX135,"")</f>
        <v/>
      </c>
    </row>
    <row r="136" spans="1:40" x14ac:dyDescent="0.15">
      <c r="A136" s="5" t="str">
        <f t="shared" si="2"/>
        <v/>
      </c>
      <c r="B136" s="6"/>
      <c r="C136" s="7"/>
      <c r="D136" s="7"/>
      <c r="E136" s="6"/>
      <c r="F136" s="6"/>
      <c r="G136" s="6"/>
      <c r="H136" s="6"/>
      <c r="I136" s="6"/>
      <c r="J136" s="7"/>
      <c r="K136" s="6"/>
      <c r="L136" s="6"/>
      <c r="M136" s="6"/>
      <c r="N136" s="6"/>
      <c r="O136" s="7"/>
      <c r="P136" s="7"/>
      <c r="Q136" s="6"/>
      <c r="R136" s="6"/>
      <c r="S136" s="6"/>
      <c r="T136" s="6"/>
      <c r="U136" s="6"/>
      <c r="V136" s="6"/>
      <c r="W136" s="6"/>
      <c r="X136" s="6"/>
      <c r="Y136" s="6"/>
      <c r="Z136" s="6"/>
      <c r="AA136" s="6"/>
      <c r="AB136" s="6"/>
      <c r="AC136" s="7"/>
      <c r="AD136" s="6"/>
      <c r="AE136" s="6"/>
      <c r="AF136" s="6"/>
      <c r="AG136" s="6"/>
      <c r="AH136" s="6"/>
      <c r="AI136" s="6"/>
      <c r="AJ136" s="6"/>
      <c r="AK136" s="6"/>
      <c r="AM136" s="4" t="b">
        <f>checking!A136</f>
        <v>1</v>
      </c>
      <c r="AN136" s="11" t="str">
        <f>IF(NOT(AM136), checking!AX136,"")</f>
        <v/>
      </c>
    </row>
    <row r="137" spans="1:40" s="16" customFormat="1" x14ac:dyDescent="0.15">
      <c r="A137" s="13" t="str">
        <f t="shared" si="2"/>
        <v/>
      </c>
      <c r="B137" s="14"/>
      <c r="C137" s="14"/>
      <c r="D137" s="15"/>
      <c r="E137" s="14"/>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M137" s="16" t="b">
        <f>checking!A137</f>
        <v>1</v>
      </c>
      <c r="AN137" s="17" t="str">
        <f>IF(NOT(AM137), checking!AX137,"")</f>
        <v/>
      </c>
    </row>
    <row r="138" spans="1:40" x14ac:dyDescent="0.15">
      <c r="A138" s="5" t="str">
        <f t="shared" si="2"/>
        <v/>
      </c>
      <c r="B138" s="6"/>
      <c r="C138" s="7"/>
      <c r="D138" s="7"/>
      <c r="E138" s="6"/>
      <c r="F138" s="6"/>
      <c r="G138" s="6"/>
      <c r="H138" s="6"/>
      <c r="I138" s="6"/>
      <c r="J138" s="7"/>
      <c r="K138" s="6"/>
      <c r="L138" s="6"/>
      <c r="M138" s="6"/>
      <c r="N138" s="6"/>
      <c r="O138" s="7"/>
      <c r="P138" s="7"/>
      <c r="Q138" s="6"/>
      <c r="R138" s="6"/>
      <c r="S138" s="6"/>
      <c r="T138" s="6"/>
      <c r="U138" s="6"/>
      <c r="V138" s="6"/>
      <c r="W138" s="6"/>
      <c r="X138" s="6"/>
      <c r="Y138" s="6"/>
      <c r="Z138" s="6"/>
      <c r="AA138" s="6"/>
      <c r="AB138" s="6"/>
      <c r="AC138" s="7"/>
      <c r="AD138" s="6"/>
      <c r="AE138" s="6"/>
      <c r="AF138" s="6"/>
      <c r="AG138" s="6"/>
      <c r="AH138" s="6"/>
      <c r="AI138" s="6"/>
      <c r="AJ138" s="6"/>
      <c r="AK138" s="6"/>
      <c r="AM138" s="4" t="b">
        <f>checking!A138</f>
        <v>1</v>
      </c>
      <c r="AN138" s="11" t="str">
        <f>IF(NOT(AM138), checking!AX138,"")</f>
        <v/>
      </c>
    </row>
    <row r="139" spans="1:40" s="16" customFormat="1" x14ac:dyDescent="0.15">
      <c r="A139" s="13" t="str">
        <f t="shared" si="2"/>
        <v/>
      </c>
      <c r="B139" s="14"/>
      <c r="C139" s="14"/>
      <c r="D139" s="15"/>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M139" s="16" t="b">
        <f>checking!A139</f>
        <v>1</v>
      </c>
      <c r="AN139" s="17" t="str">
        <f>IF(NOT(AM139), checking!AX139,"")</f>
        <v/>
      </c>
    </row>
    <row r="140" spans="1:40" x14ac:dyDescent="0.15">
      <c r="A140" s="5" t="str">
        <f t="shared" si="2"/>
        <v/>
      </c>
      <c r="B140" s="6"/>
      <c r="C140" s="7"/>
      <c r="D140" s="7"/>
      <c r="E140" s="6"/>
      <c r="F140" s="6"/>
      <c r="G140" s="6"/>
      <c r="H140" s="6"/>
      <c r="I140" s="6"/>
      <c r="J140" s="7"/>
      <c r="K140" s="6"/>
      <c r="L140" s="6"/>
      <c r="M140" s="6"/>
      <c r="N140" s="6"/>
      <c r="O140" s="7"/>
      <c r="P140" s="7"/>
      <c r="Q140" s="6"/>
      <c r="R140" s="6"/>
      <c r="S140" s="6"/>
      <c r="T140" s="6"/>
      <c r="U140" s="6"/>
      <c r="V140" s="6"/>
      <c r="W140" s="6"/>
      <c r="X140" s="6"/>
      <c r="Y140" s="6"/>
      <c r="Z140" s="6"/>
      <c r="AA140" s="6"/>
      <c r="AB140" s="6"/>
      <c r="AC140" s="7"/>
      <c r="AD140" s="6"/>
      <c r="AE140" s="6"/>
      <c r="AF140" s="6"/>
      <c r="AG140" s="6"/>
      <c r="AH140" s="6"/>
      <c r="AI140" s="6"/>
      <c r="AJ140" s="6"/>
      <c r="AK140" s="6"/>
      <c r="AM140" s="4" t="b">
        <f>checking!A140</f>
        <v>1</v>
      </c>
      <c r="AN140" s="11" t="str">
        <f>IF(NOT(AM140), checking!AX140,"")</f>
        <v/>
      </c>
    </row>
    <row r="141" spans="1:40" s="16" customFormat="1" x14ac:dyDescent="0.15">
      <c r="A141" s="13" t="str">
        <f t="shared" si="2"/>
        <v/>
      </c>
      <c r="B141" s="14"/>
      <c r="C141" s="14"/>
      <c r="D141" s="15"/>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M141" s="16" t="b">
        <f>checking!A141</f>
        <v>1</v>
      </c>
      <c r="AN141" s="17" t="str">
        <f>IF(NOT(AM141), checking!AX141,"")</f>
        <v/>
      </c>
    </row>
    <row r="142" spans="1:40" x14ac:dyDescent="0.15">
      <c r="A142" s="5" t="str">
        <f t="shared" si="2"/>
        <v/>
      </c>
      <c r="B142" s="6"/>
      <c r="C142" s="7"/>
      <c r="D142" s="7"/>
      <c r="E142" s="6"/>
      <c r="F142" s="6"/>
      <c r="G142" s="6"/>
      <c r="H142" s="6"/>
      <c r="I142" s="6"/>
      <c r="J142" s="7"/>
      <c r="K142" s="6"/>
      <c r="L142" s="6"/>
      <c r="M142" s="6"/>
      <c r="N142" s="6"/>
      <c r="O142" s="7"/>
      <c r="P142" s="7"/>
      <c r="Q142" s="6"/>
      <c r="R142" s="6"/>
      <c r="S142" s="6"/>
      <c r="T142" s="6"/>
      <c r="U142" s="6"/>
      <c r="V142" s="6"/>
      <c r="W142" s="6"/>
      <c r="X142" s="6"/>
      <c r="Y142" s="6"/>
      <c r="Z142" s="6"/>
      <c r="AA142" s="6"/>
      <c r="AB142" s="6"/>
      <c r="AC142" s="7"/>
      <c r="AD142" s="6"/>
      <c r="AE142" s="6"/>
      <c r="AF142" s="6"/>
      <c r="AG142" s="6"/>
      <c r="AH142" s="6"/>
      <c r="AI142" s="6"/>
      <c r="AJ142" s="6"/>
      <c r="AK142" s="6"/>
      <c r="AM142" s="4" t="b">
        <f>checking!A142</f>
        <v>1</v>
      </c>
      <c r="AN142" s="11" t="str">
        <f>IF(NOT(AM142), checking!AX142,"")</f>
        <v/>
      </c>
    </row>
    <row r="143" spans="1:40" s="16" customFormat="1" x14ac:dyDescent="0.15">
      <c r="A143" s="13" t="str">
        <f t="shared" si="2"/>
        <v/>
      </c>
      <c r="B143" s="14"/>
      <c r="C143" s="14"/>
      <c r="D143" s="15"/>
      <c r="E143" s="14"/>
      <c r="F143" s="14"/>
      <c r="G143" s="14"/>
      <c r="H143" s="14"/>
      <c r="I143" s="14"/>
      <c r="J143" s="14"/>
      <c r="K143" s="14"/>
      <c r="L143" s="14"/>
      <c r="M143" s="14"/>
      <c r="N143" s="14"/>
      <c r="O143" s="14"/>
      <c r="P143" s="14"/>
      <c r="Q143" s="14"/>
      <c r="R143" s="14"/>
      <c r="S143" s="14"/>
      <c r="T143" s="14"/>
      <c r="U143" s="14"/>
      <c r="V143" s="14"/>
      <c r="W143" s="14"/>
      <c r="X143" s="14"/>
      <c r="Y143" s="14"/>
      <c r="Z143" s="14"/>
      <c r="AA143" s="14"/>
      <c r="AB143" s="14"/>
      <c r="AC143" s="14"/>
      <c r="AD143" s="14"/>
      <c r="AE143" s="14"/>
      <c r="AF143" s="14"/>
      <c r="AG143" s="14"/>
      <c r="AH143" s="14"/>
      <c r="AI143" s="14"/>
      <c r="AJ143" s="14"/>
      <c r="AK143" s="14"/>
      <c r="AM143" s="16" t="b">
        <f>checking!A143</f>
        <v>1</v>
      </c>
      <c r="AN143" s="17" t="str">
        <f>IF(NOT(AM143), checking!AX143,"")</f>
        <v/>
      </c>
    </row>
    <row r="144" spans="1:40" x14ac:dyDescent="0.15">
      <c r="A144" s="5" t="str">
        <f t="shared" si="2"/>
        <v/>
      </c>
      <c r="B144" s="6"/>
      <c r="C144" s="7"/>
      <c r="D144" s="7"/>
      <c r="E144" s="6"/>
      <c r="F144" s="6"/>
      <c r="G144" s="6"/>
      <c r="H144" s="6"/>
      <c r="I144" s="6"/>
      <c r="J144" s="7"/>
      <c r="K144" s="6"/>
      <c r="L144" s="6"/>
      <c r="M144" s="6"/>
      <c r="N144" s="6"/>
      <c r="O144" s="7"/>
      <c r="P144" s="7"/>
      <c r="Q144" s="6"/>
      <c r="R144" s="6"/>
      <c r="S144" s="6"/>
      <c r="T144" s="6"/>
      <c r="U144" s="6"/>
      <c r="V144" s="6"/>
      <c r="W144" s="6"/>
      <c r="X144" s="6"/>
      <c r="Y144" s="6"/>
      <c r="Z144" s="6"/>
      <c r="AA144" s="6"/>
      <c r="AB144" s="6"/>
      <c r="AC144" s="7"/>
      <c r="AD144" s="6"/>
      <c r="AE144" s="6"/>
      <c r="AF144" s="6"/>
      <c r="AG144" s="6"/>
      <c r="AH144" s="6"/>
      <c r="AI144" s="6"/>
      <c r="AJ144" s="6"/>
      <c r="AK144" s="6"/>
      <c r="AM144" s="4" t="b">
        <f>checking!A144</f>
        <v>1</v>
      </c>
      <c r="AN144" s="11" t="str">
        <f>IF(NOT(AM144), checking!AX144,"")</f>
        <v/>
      </c>
    </row>
    <row r="145" spans="1:40" s="16" customFormat="1" x14ac:dyDescent="0.15">
      <c r="A145" s="13" t="str">
        <f t="shared" si="2"/>
        <v/>
      </c>
      <c r="B145" s="14"/>
      <c r="C145" s="14"/>
      <c r="D145" s="15"/>
      <c r="E145" s="14"/>
      <c r="F145" s="14"/>
      <c r="G145" s="14"/>
      <c r="H145" s="14"/>
      <c r="I145" s="14"/>
      <c r="J145" s="14"/>
      <c r="K145" s="14"/>
      <c r="L145" s="14"/>
      <c r="M145" s="14"/>
      <c r="N145" s="14"/>
      <c r="O145" s="14"/>
      <c r="P145" s="14"/>
      <c r="Q145" s="14"/>
      <c r="R145" s="14"/>
      <c r="S145" s="14"/>
      <c r="T145" s="14"/>
      <c r="U145" s="14"/>
      <c r="V145" s="14"/>
      <c r="W145" s="14"/>
      <c r="X145" s="14"/>
      <c r="Y145" s="14"/>
      <c r="Z145" s="14"/>
      <c r="AA145" s="14"/>
      <c r="AB145" s="14"/>
      <c r="AC145" s="14"/>
      <c r="AD145" s="14"/>
      <c r="AE145" s="14"/>
      <c r="AF145" s="14"/>
      <c r="AG145" s="14"/>
      <c r="AH145" s="14"/>
      <c r="AI145" s="14"/>
      <c r="AJ145" s="14"/>
      <c r="AK145" s="14"/>
      <c r="AM145" s="16" t="b">
        <f>checking!A145</f>
        <v>1</v>
      </c>
      <c r="AN145" s="17" t="str">
        <f>IF(NOT(AM145), checking!AX145,"")</f>
        <v/>
      </c>
    </row>
    <row r="146" spans="1:40" x14ac:dyDescent="0.15">
      <c r="A146" s="5" t="str">
        <f t="shared" si="2"/>
        <v/>
      </c>
      <c r="B146" s="6"/>
      <c r="C146" s="7"/>
      <c r="D146" s="7"/>
      <c r="E146" s="6"/>
      <c r="F146" s="6"/>
      <c r="G146" s="6"/>
      <c r="H146" s="6"/>
      <c r="I146" s="6"/>
      <c r="J146" s="7"/>
      <c r="K146" s="6"/>
      <c r="L146" s="6"/>
      <c r="M146" s="6"/>
      <c r="N146" s="6"/>
      <c r="O146" s="7"/>
      <c r="P146" s="7"/>
      <c r="Q146" s="6"/>
      <c r="R146" s="6"/>
      <c r="S146" s="6"/>
      <c r="T146" s="6"/>
      <c r="U146" s="6"/>
      <c r="V146" s="6"/>
      <c r="W146" s="6"/>
      <c r="X146" s="6"/>
      <c r="Y146" s="6"/>
      <c r="Z146" s="6"/>
      <c r="AA146" s="6"/>
      <c r="AB146" s="6"/>
      <c r="AC146" s="7"/>
      <c r="AD146" s="6"/>
      <c r="AE146" s="6"/>
      <c r="AF146" s="6"/>
      <c r="AG146" s="6"/>
      <c r="AH146" s="6"/>
      <c r="AI146" s="6"/>
      <c r="AJ146" s="6"/>
      <c r="AK146" s="6"/>
      <c r="AM146" s="4" t="b">
        <f>checking!A146</f>
        <v>1</v>
      </c>
      <c r="AN146" s="11" t="str">
        <f>IF(NOT(AM146), checking!AX146,"")</f>
        <v/>
      </c>
    </row>
    <row r="147" spans="1:40" s="16" customFormat="1" x14ac:dyDescent="0.15">
      <c r="A147" s="13" t="str">
        <f t="shared" si="2"/>
        <v/>
      </c>
      <c r="B147" s="14"/>
      <c r="C147" s="14"/>
      <c r="D147" s="15"/>
      <c r="E147" s="14"/>
      <c r="F147" s="14"/>
      <c r="G147" s="14"/>
      <c r="H147" s="14"/>
      <c r="I147" s="14"/>
      <c r="J147" s="14"/>
      <c r="K147" s="14"/>
      <c r="L147" s="14"/>
      <c r="M147" s="14"/>
      <c r="N147" s="14"/>
      <c r="O147" s="14"/>
      <c r="P147" s="14"/>
      <c r="Q147" s="14"/>
      <c r="R147" s="14"/>
      <c r="S147" s="14"/>
      <c r="T147" s="14"/>
      <c r="U147" s="14"/>
      <c r="V147" s="14"/>
      <c r="W147" s="14"/>
      <c r="X147" s="14"/>
      <c r="Y147" s="14"/>
      <c r="Z147" s="14"/>
      <c r="AA147" s="14"/>
      <c r="AB147" s="14"/>
      <c r="AC147" s="14"/>
      <c r="AD147" s="14"/>
      <c r="AE147" s="14"/>
      <c r="AF147" s="14"/>
      <c r="AG147" s="14"/>
      <c r="AH147" s="14"/>
      <c r="AI147" s="14"/>
      <c r="AJ147" s="14"/>
      <c r="AK147" s="14"/>
      <c r="AM147" s="16" t="b">
        <f>checking!A147</f>
        <v>1</v>
      </c>
      <c r="AN147" s="17" t="str">
        <f>IF(NOT(AM147), checking!AX147,"")</f>
        <v/>
      </c>
    </row>
    <row r="148" spans="1:40" x14ac:dyDescent="0.15">
      <c r="A148" s="5" t="str">
        <f t="shared" si="2"/>
        <v/>
      </c>
      <c r="B148" s="6"/>
      <c r="C148" s="7"/>
      <c r="D148" s="7"/>
      <c r="E148" s="6"/>
      <c r="F148" s="6"/>
      <c r="G148" s="6"/>
      <c r="H148" s="6"/>
      <c r="I148" s="6"/>
      <c r="J148" s="7"/>
      <c r="K148" s="6"/>
      <c r="L148" s="6"/>
      <c r="M148" s="6"/>
      <c r="N148" s="6"/>
      <c r="O148" s="7"/>
      <c r="P148" s="7"/>
      <c r="Q148" s="6"/>
      <c r="R148" s="6"/>
      <c r="S148" s="6"/>
      <c r="T148" s="6"/>
      <c r="U148" s="6"/>
      <c r="V148" s="6"/>
      <c r="W148" s="6"/>
      <c r="X148" s="6"/>
      <c r="Y148" s="6"/>
      <c r="Z148" s="6"/>
      <c r="AA148" s="6"/>
      <c r="AB148" s="6"/>
      <c r="AC148" s="7"/>
      <c r="AD148" s="6"/>
      <c r="AE148" s="6"/>
      <c r="AF148" s="6"/>
      <c r="AG148" s="6"/>
      <c r="AH148" s="6"/>
      <c r="AI148" s="6"/>
      <c r="AJ148" s="6"/>
      <c r="AK148" s="6"/>
      <c r="AM148" s="4" t="b">
        <f>checking!A148</f>
        <v>1</v>
      </c>
      <c r="AN148" s="11" t="str">
        <f>IF(NOT(AM148), checking!AX148,"")</f>
        <v/>
      </c>
    </row>
    <row r="149" spans="1:40" s="16" customFormat="1" x14ac:dyDescent="0.15">
      <c r="A149" s="13" t="str">
        <f t="shared" si="2"/>
        <v/>
      </c>
      <c r="B149" s="14"/>
      <c r="C149" s="14"/>
      <c r="D149" s="15"/>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4"/>
      <c r="AE149" s="14"/>
      <c r="AF149" s="14"/>
      <c r="AG149" s="14"/>
      <c r="AH149" s="14"/>
      <c r="AI149" s="14"/>
      <c r="AJ149" s="14"/>
      <c r="AK149" s="14"/>
      <c r="AM149" s="16" t="b">
        <f>checking!A149</f>
        <v>1</v>
      </c>
      <c r="AN149" s="17" t="str">
        <f>IF(NOT(AM149), checking!AX149,"")</f>
        <v/>
      </c>
    </row>
    <row r="150" spans="1:40" x14ac:dyDescent="0.15">
      <c r="A150" s="5" t="str">
        <f t="shared" si="2"/>
        <v/>
      </c>
      <c r="B150" s="6"/>
      <c r="C150" s="7"/>
      <c r="D150" s="7"/>
      <c r="E150" s="6"/>
      <c r="F150" s="6"/>
      <c r="G150" s="6"/>
      <c r="H150" s="6"/>
      <c r="I150" s="6"/>
      <c r="J150" s="7"/>
      <c r="K150" s="6"/>
      <c r="L150" s="6"/>
      <c r="M150" s="6"/>
      <c r="N150" s="6"/>
      <c r="O150" s="7"/>
      <c r="P150" s="7"/>
      <c r="Q150" s="6"/>
      <c r="R150" s="6"/>
      <c r="S150" s="6"/>
      <c r="T150" s="6"/>
      <c r="U150" s="6"/>
      <c r="V150" s="6"/>
      <c r="W150" s="6"/>
      <c r="X150" s="6"/>
      <c r="Y150" s="6"/>
      <c r="Z150" s="6"/>
      <c r="AA150" s="6"/>
      <c r="AB150" s="6"/>
      <c r="AC150" s="7"/>
      <c r="AD150" s="6"/>
      <c r="AE150" s="6"/>
      <c r="AF150" s="6"/>
      <c r="AG150" s="6"/>
      <c r="AH150" s="6"/>
      <c r="AI150" s="6"/>
      <c r="AJ150" s="6"/>
      <c r="AK150" s="6"/>
      <c r="AM150" s="4" t="b">
        <f>checking!A150</f>
        <v>1</v>
      </c>
      <c r="AN150" s="11" t="str">
        <f>IF(NOT(AM150), checking!AX150,"")</f>
        <v/>
      </c>
    </row>
    <row r="151" spans="1:40" s="16" customFormat="1" x14ac:dyDescent="0.15">
      <c r="A151" s="13" t="str">
        <f t="shared" si="2"/>
        <v/>
      </c>
      <c r="B151" s="14"/>
      <c r="C151" s="14"/>
      <c r="D151" s="15"/>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4"/>
      <c r="AE151" s="14"/>
      <c r="AF151" s="14"/>
      <c r="AG151" s="14"/>
      <c r="AH151" s="14"/>
      <c r="AI151" s="14"/>
      <c r="AJ151" s="14"/>
      <c r="AK151" s="14"/>
      <c r="AM151" s="16" t="b">
        <f>checking!A151</f>
        <v>1</v>
      </c>
      <c r="AN151" s="17" t="str">
        <f>IF(NOT(AM151), checking!AX151,"")</f>
        <v/>
      </c>
    </row>
    <row r="152" spans="1:40" x14ac:dyDescent="0.15">
      <c r="A152" s="5" t="str">
        <f t="shared" si="2"/>
        <v/>
      </c>
      <c r="B152" s="6"/>
      <c r="C152" s="7"/>
      <c r="D152" s="7"/>
      <c r="E152" s="6"/>
      <c r="F152" s="6"/>
      <c r="G152" s="6"/>
      <c r="H152" s="6"/>
      <c r="I152" s="6"/>
      <c r="J152" s="7"/>
      <c r="K152" s="6"/>
      <c r="L152" s="6"/>
      <c r="M152" s="6"/>
      <c r="N152" s="6"/>
      <c r="O152" s="7"/>
      <c r="P152" s="7"/>
      <c r="Q152" s="6"/>
      <c r="R152" s="6"/>
      <c r="S152" s="6"/>
      <c r="T152" s="6"/>
      <c r="U152" s="6"/>
      <c r="V152" s="6"/>
      <c r="W152" s="6"/>
      <c r="X152" s="6"/>
      <c r="Y152" s="6"/>
      <c r="Z152" s="6"/>
      <c r="AA152" s="6"/>
      <c r="AB152" s="6"/>
      <c r="AC152" s="7"/>
      <c r="AD152" s="6"/>
      <c r="AE152" s="6"/>
      <c r="AF152" s="6"/>
      <c r="AG152" s="6"/>
      <c r="AH152" s="6"/>
      <c r="AI152" s="6"/>
      <c r="AJ152" s="6"/>
      <c r="AK152" s="6"/>
      <c r="AM152" s="4" t="b">
        <f>checking!A152</f>
        <v>1</v>
      </c>
      <c r="AN152" s="11" t="str">
        <f>IF(NOT(AM152), checking!AX152,"")</f>
        <v/>
      </c>
    </row>
    <row r="153" spans="1:40" s="16" customFormat="1" x14ac:dyDescent="0.15">
      <c r="A153" s="13" t="str">
        <f t="shared" si="2"/>
        <v/>
      </c>
      <c r="B153" s="14"/>
      <c r="C153" s="14"/>
      <c r="D153" s="15"/>
      <c r="E153" s="14"/>
      <c r="F153" s="14"/>
      <c r="G153" s="14"/>
      <c r="H153" s="14"/>
      <c r="I153" s="14"/>
      <c r="J153" s="14"/>
      <c r="K153" s="14"/>
      <c r="L153" s="14"/>
      <c r="M153" s="14"/>
      <c r="N153" s="14"/>
      <c r="O153" s="14"/>
      <c r="P153" s="14"/>
      <c r="Q153" s="14"/>
      <c r="R153" s="14"/>
      <c r="S153" s="14"/>
      <c r="T153" s="14"/>
      <c r="U153" s="14"/>
      <c r="V153" s="14"/>
      <c r="W153" s="14"/>
      <c r="X153" s="14"/>
      <c r="Y153" s="14"/>
      <c r="Z153" s="14"/>
      <c r="AA153" s="14"/>
      <c r="AB153" s="14"/>
      <c r="AC153" s="14"/>
      <c r="AD153" s="14"/>
      <c r="AE153" s="14"/>
      <c r="AF153" s="14"/>
      <c r="AG153" s="14"/>
      <c r="AH153" s="14"/>
      <c r="AI153" s="14"/>
      <c r="AJ153" s="14"/>
      <c r="AK153" s="14"/>
      <c r="AM153" s="16" t="b">
        <f>checking!A153</f>
        <v>1</v>
      </c>
      <c r="AN153" s="17" t="str">
        <f>IF(NOT(AM153), checking!AX153,"")</f>
        <v/>
      </c>
    </row>
    <row r="154" spans="1:40" x14ac:dyDescent="0.15">
      <c r="A154" s="5" t="str">
        <f t="shared" si="2"/>
        <v/>
      </c>
      <c r="B154" s="6"/>
      <c r="C154" s="7"/>
      <c r="D154" s="7"/>
      <c r="E154" s="6"/>
      <c r="F154" s="6"/>
      <c r="G154" s="6"/>
      <c r="H154" s="6"/>
      <c r="I154" s="6"/>
      <c r="J154" s="7"/>
      <c r="K154" s="6"/>
      <c r="L154" s="6"/>
      <c r="M154" s="6"/>
      <c r="N154" s="6"/>
      <c r="O154" s="7"/>
      <c r="P154" s="7"/>
      <c r="Q154" s="6"/>
      <c r="R154" s="6"/>
      <c r="S154" s="6"/>
      <c r="T154" s="6"/>
      <c r="U154" s="6"/>
      <c r="V154" s="6"/>
      <c r="W154" s="6"/>
      <c r="X154" s="6"/>
      <c r="Y154" s="6"/>
      <c r="Z154" s="6"/>
      <c r="AA154" s="6"/>
      <c r="AB154" s="6"/>
      <c r="AC154" s="7"/>
      <c r="AD154" s="6"/>
      <c r="AE154" s="6"/>
      <c r="AF154" s="6"/>
      <c r="AG154" s="6"/>
      <c r="AH154" s="6"/>
      <c r="AI154" s="6"/>
      <c r="AJ154" s="6"/>
      <c r="AK154" s="6"/>
      <c r="AM154" s="4" t="b">
        <f>checking!A154</f>
        <v>1</v>
      </c>
      <c r="AN154" s="11" t="str">
        <f>IF(NOT(AM154), checking!AX154,"")</f>
        <v/>
      </c>
    </row>
    <row r="155" spans="1:40" s="16" customFormat="1" x14ac:dyDescent="0.15">
      <c r="A155" s="13" t="str">
        <f t="shared" si="2"/>
        <v/>
      </c>
      <c r="B155" s="14"/>
      <c r="C155" s="14"/>
      <c r="D155" s="15"/>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4"/>
      <c r="AE155" s="14"/>
      <c r="AF155" s="14"/>
      <c r="AG155" s="14"/>
      <c r="AH155" s="14"/>
      <c r="AI155" s="14"/>
      <c r="AJ155" s="14"/>
      <c r="AK155" s="14"/>
      <c r="AM155" s="16" t="b">
        <f>checking!A155</f>
        <v>1</v>
      </c>
      <c r="AN155" s="17" t="str">
        <f>IF(NOT(AM155), checking!AX155,"")</f>
        <v/>
      </c>
    </row>
    <row r="156" spans="1:40" x14ac:dyDescent="0.15">
      <c r="A156" s="5" t="str">
        <f t="shared" si="2"/>
        <v/>
      </c>
      <c r="B156" s="6"/>
      <c r="C156" s="7"/>
      <c r="D156" s="7"/>
      <c r="E156" s="6"/>
      <c r="F156" s="6"/>
      <c r="G156" s="6"/>
      <c r="H156" s="6"/>
      <c r="I156" s="6"/>
      <c r="J156" s="7"/>
      <c r="K156" s="6"/>
      <c r="L156" s="6"/>
      <c r="M156" s="6"/>
      <c r="N156" s="6"/>
      <c r="O156" s="7"/>
      <c r="P156" s="7"/>
      <c r="Q156" s="6"/>
      <c r="R156" s="6"/>
      <c r="S156" s="6"/>
      <c r="T156" s="6"/>
      <c r="U156" s="6"/>
      <c r="V156" s="6"/>
      <c r="W156" s="6"/>
      <c r="X156" s="6"/>
      <c r="Y156" s="6"/>
      <c r="Z156" s="6"/>
      <c r="AA156" s="6"/>
      <c r="AB156" s="6"/>
      <c r="AC156" s="7"/>
      <c r="AD156" s="6"/>
      <c r="AE156" s="6"/>
      <c r="AF156" s="6"/>
      <c r="AG156" s="6"/>
      <c r="AH156" s="6"/>
      <c r="AI156" s="6"/>
      <c r="AJ156" s="6"/>
      <c r="AK156" s="6"/>
      <c r="AM156" s="4" t="b">
        <f>checking!A156</f>
        <v>1</v>
      </c>
      <c r="AN156" s="11" t="str">
        <f>IF(NOT(AM156), checking!AX156,"")</f>
        <v/>
      </c>
    </row>
    <row r="157" spans="1:40" s="16" customFormat="1" x14ac:dyDescent="0.15">
      <c r="A157" s="13" t="str">
        <f t="shared" si="2"/>
        <v/>
      </c>
      <c r="B157" s="14"/>
      <c r="C157" s="14"/>
      <c r="D157" s="15"/>
      <c r="E157" s="14"/>
      <c r="F157" s="14"/>
      <c r="G157" s="14"/>
      <c r="H157" s="14"/>
      <c r="I157" s="14"/>
      <c r="J157" s="14"/>
      <c r="K157" s="14"/>
      <c r="L157" s="14"/>
      <c r="M157" s="14"/>
      <c r="N157" s="14"/>
      <c r="O157" s="14"/>
      <c r="P157" s="14"/>
      <c r="Q157" s="14"/>
      <c r="R157" s="14"/>
      <c r="S157" s="14"/>
      <c r="T157" s="14"/>
      <c r="U157" s="14"/>
      <c r="V157" s="14"/>
      <c r="W157" s="14"/>
      <c r="X157" s="14"/>
      <c r="Y157" s="14"/>
      <c r="Z157" s="14"/>
      <c r="AA157" s="14"/>
      <c r="AB157" s="14"/>
      <c r="AC157" s="14"/>
      <c r="AD157" s="14"/>
      <c r="AE157" s="14"/>
      <c r="AF157" s="14"/>
      <c r="AG157" s="14"/>
      <c r="AH157" s="14"/>
      <c r="AI157" s="14"/>
      <c r="AJ157" s="14"/>
      <c r="AK157" s="14"/>
      <c r="AM157" s="16" t="b">
        <f>checking!A157</f>
        <v>1</v>
      </c>
      <c r="AN157" s="17" t="str">
        <f>IF(NOT(AM157), checking!AX157,"")</f>
        <v/>
      </c>
    </row>
    <row r="158" spans="1:40" x14ac:dyDescent="0.15">
      <c r="A158" s="5" t="str">
        <f t="shared" si="2"/>
        <v/>
      </c>
      <c r="B158" s="6"/>
      <c r="C158" s="7"/>
      <c r="D158" s="7"/>
      <c r="E158" s="6"/>
      <c r="F158" s="6"/>
      <c r="G158" s="6"/>
      <c r="H158" s="6"/>
      <c r="I158" s="6"/>
      <c r="J158" s="7"/>
      <c r="K158" s="6"/>
      <c r="L158" s="6"/>
      <c r="M158" s="6"/>
      <c r="N158" s="6"/>
      <c r="O158" s="7"/>
      <c r="P158" s="7"/>
      <c r="Q158" s="6"/>
      <c r="R158" s="6"/>
      <c r="S158" s="6"/>
      <c r="T158" s="6"/>
      <c r="U158" s="6"/>
      <c r="V158" s="6"/>
      <c r="W158" s="6"/>
      <c r="X158" s="6"/>
      <c r="Y158" s="6"/>
      <c r="Z158" s="6"/>
      <c r="AA158" s="6"/>
      <c r="AB158" s="6"/>
      <c r="AC158" s="7"/>
      <c r="AD158" s="6"/>
      <c r="AE158" s="6"/>
      <c r="AF158" s="6"/>
      <c r="AG158" s="6"/>
      <c r="AH158" s="6"/>
      <c r="AI158" s="6"/>
      <c r="AJ158" s="6"/>
      <c r="AK158" s="6"/>
      <c r="AM158" s="4" t="b">
        <f>checking!A158</f>
        <v>1</v>
      </c>
      <c r="AN158" s="11" t="str">
        <f>IF(NOT(AM158), checking!AX158,"")</f>
        <v/>
      </c>
    </row>
    <row r="159" spans="1:40" s="16" customFormat="1" x14ac:dyDescent="0.15">
      <c r="A159" s="13" t="str">
        <f t="shared" si="2"/>
        <v/>
      </c>
      <c r="B159" s="14"/>
      <c r="C159" s="14"/>
      <c r="D159" s="15"/>
      <c r="E159" s="14"/>
      <c r="F159" s="14"/>
      <c r="G159" s="14"/>
      <c r="H159" s="14"/>
      <c r="I159" s="14"/>
      <c r="J159" s="14"/>
      <c r="K159" s="14"/>
      <c r="L159" s="14"/>
      <c r="M159" s="14"/>
      <c r="N159" s="14"/>
      <c r="O159" s="14"/>
      <c r="P159" s="14"/>
      <c r="Q159" s="14"/>
      <c r="R159" s="14"/>
      <c r="S159" s="14"/>
      <c r="T159" s="14"/>
      <c r="U159" s="14"/>
      <c r="V159" s="14"/>
      <c r="W159" s="14"/>
      <c r="X159" s="14"/>
      <c r="Y159" s="14"/>
      <c r="Z159" s="14"/>
      <c r="AA159" s="14"/>
      <c r="AB159" s="14"/>
      <c r="AC159" s="14"/>
      <c r="AD159" s="14"/>
      <c r="AE159" s="14"/>
      <c r="AF159" s="14"/>
      <c r="AG159" s="14"/>
      <c r="AH159" s="14"/>
      <c r="AI159" s="14"/>
      <c r="AJ159" s="14"/>
      <c r="AK159" s="14"/>
      <c r="AM159" s="16" t="b">
        <f>checking!A159</f>
        <v>1</v>
      </c>
      <c r="AN159" s="17" t="str">
        <f>IF(NOT(AM159), checking!AX159,"")</f>
        <v/>
      </c>
    </row>
    <row r="160" spans="1:40" x14ac:dyDescent="0.15">
      <c r="A160" s="5" t="str">
        <f t="shared" si="2"/>
        <v/>
      </c>
      <c r="B160" s="6"/>
      <c r="C160" s="7"/>
      <c r="D160" s="7"/>
      <c r="E160" s="6"/>
      <c r="F160" s="6"/>
      <c r="G160" s="6"/>
      <c r="H160" s="6"/>
      <c r="I160" s="6"/>
      <c r="J160" s="7"/>
      <c r="K160" s="6"/>
      <c r="L160" s="6"/>
      <c r="M160" s="6"/>
      <c r="N160" s="6"/>
      <c r="O160" s="7"/>
      <c r="P160" s="7"/>
      <c r="Q160" s="6"/>
      <c r="R160" s="6"/>
      <c r="S160" s="6"/>
      <c r="T160" s="6"/>
      <c r="U160" s="6"/>
      <c r="V160" s="6"/>
      <c r="W160" s="6"/>
      <c r="X160" s="6"/>
      <c r="Y160" s="6"/>
      <c r="Z160" s="6"/>
      <c r="AA160" s="6"/>
      <c r="AB160" s="6"/>
      <c r="AC160" s="7"/>
      <c r="AD160" s="6"/>
      <c r="AE160" s="6"/>
      <c r="AF160" s="6"/>
      <c r="AG160" s="6"/>
      <c r="AH160" s="6"/>
      <c r="AI160" s="6"/>
      <c r="AJ160" s="6"/>
      <c r="AK160" s="6"/>
      <c r="AM160" s="4" t="b">
        <f>checking!A160</f>
        <v>1</v>
      </c>
      <c r="AN160" s="11" t="str">
        <f>IF(NOT(AM160), checking!AX160,"")</f>
        <v/>
      </c>
    </row>
    <row r="161" spans="1:40" s="16" customFormat="1" x14ac:dyDescent="0.15">
      <c r="A161" s="13" t="str">
        <f t="shared" si="2"/>
        <v/>
      </c>
      <c r="B161" s="14"/>
      <c r="C161" s="14"/>
      <c r="D161" s="15"/>
      <c r="E161" s="14"/>
      <c r="F161" s="14"/>
      <c r="G161" s="14"/>
      <c r="H161" s="14"/>
      <c r="I161" s="14"/>
      <c r="J161" s="14"/>
      <c r="K161" s="14"/>
      <c r="L161" s="14"/>
      <c r="M161" s="14"/>
      <c r="N161" s="14"/>
      <c r="O161" s="14"/>
      <c r="P161" s="14"/>
      <c r="Q161" s="14"/>
      <c r="R161" s="14"/>
      <c r="S161" s="14"/>
      <c r="T161" s="14"/>
      <c r="U161" s="14"/>
      <c r="V161" s="14"/>
      <c r="W161" s="14"/>
      <c r="X161" s="14"/>
      <c r="Y161" s="14"/>
      <c r="Z161" s="14"/>
      <c r="AA161" s="14"/>
      <c r="AB161" s="14"/>
      <c r="AC161" s="14"/>
      <c r="AD161" s="14"/>
      <c r="AE161" s="14"/>
      <c r="AF161" s="14"/>
      <c r="AG161" s="14"/>
      <c r="AH161" s="14"/>
      <c r="AI161" s="14"/>
      <c r="AJ161" s="14"/>
      <c r="AK161" s="14"/>
      <c r="AM161" s="16" t="b">
        <f>checking!A161</f>
        <v>1</v>
      </c>
      <c r="AN161" s="17" t="str">
        <f>IF(NOT(AM161), checking!AX161,"")</f>
        <v/>
      </c>
    </row>
    <row r="162" spans="1:40" x14ac:dyDescent="0.15">
      <c r="A162" s="5" t="str">
        <f t="shared" si="2"/>
        <v/>
      </c>
      <c r="B162" s="6"/>
      <c r="C162" s="7"/>
      <c r="D162" s="7"/>
      <c r="E162" s="6"/>
      <c r="F162" s="6"/>
      <c r="G162" s="6"/>
      <c r="H162" s="6"/>
      <c r="I162" s="6"/>
      <c r="J162" s="7"/>
      <c r="K162" s="6"/>
      <c r="L162" s="6"/>
      <c r="M162" s="6"/>
      <c r="N162" s="6"/>
      <c r="O162" s="7"/>
      <c r="P162" s="7"/>
      <c r="Q162" s="6"/>
      <c r="R162" s="6"/>
      <c r="S162" s="6"/>
      <c r="T162" s="6"/>
      <c r="U162" s="6"/>
      <c r="V162" s="6"/>
      <c r="W162" s="6"/>
      <c r="X162" s="6"/>
      <c r="Y162" s="6"/>
      <c r="Z162" s="6"/>
      <c r="AA162" s="6"/>
      <c r="AB162" s="6"/>
      <c r="AC162" s="7"/>
      <c r="AD162" s="6"/>
      <c r="AE162" s="6"/>
      <c r="AF162" s="6"/>
      <c r="AG162" s="6"/>
      <c r="AH162" s="6"/>
      <c r="AI162" s="6"/>
      <c r="AJ162" s="6"/>
      <c r="AK162" s="6"/>
      <c r="AM162" s="4" t="b">
        <f>checking!A162</f>
        <v>1</v>
      </c>
      <c r="AN162" s="11" t="str">
        <f>IF(NOT(AM162), checking!AX162,"")</f>
        <v/>
      </c>
    </row>
    <row r="163" spans="1:40" s="16" customFormat="1" x14ac:dyDescent="0.15">
      <c r="A163" s="13" t="str">
        <f t="shared" si="2"/>
        <v/>
      </c>
      <c r="B163" s="14"/>
      <c r="C163" s="14"/>
      <c r="D163" s="15"/>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E163" s="14"/>
      <c r="AF163" s="14"/>
      <c r="AG163" s="14"/>
      <c r="AH163" s="14"/>
      <c r="AI163" s="14"/>
      <c r="AJ163" s="14"/>
      <c r="AK163" s="14"/>
      <c r="AM163" s="16" t="b">
        <f>checking!A163</f>
        <v>1</v>
      </c>
      <c r="AN163" s="17" t="str">
        <f>IF(NOT(AM163), checking!AX163,"")</f>
        <v/>
      </c>
    </row>
    <row r="164" spans="1:40" x14ac:dyDescent="0.15">
      <c r="A164" s="5" t="str">
        <f t="shared" si="2"/>
        <v/>
      </c>
      <c r="B164" s="6"/>
      <c r="C164" s="7"/>
      <c r="D164" s="7"/>
      <c r="E164" s="6"/>
      <c r="F164" s="6"/>
      <c r="G164" s="6"/>
      <c r="H164" s="6"/>
      <c r="I164" s="6"/>
      <c r="J164" s="7"/>
      <c r="K164" s="6"/>
      <c r="L164" s="6"/>
      <c r="M164" s="6"/>
      <c r="N164" s="6"/>
      <c r="O164" s="7"/>
      <c r="P164" s="7"/>
      <c r="Q164" s="6"/>
      <c r="R164" s="6"/>
      <c r="S164" s="6"/>
      <c r="T164" s="6"/>
      <c r="U164" s="6"/>
      <c r="V164" s="6"/>
      <c r="W164" s="6"/>
      <c r="X164" s="6"/>
      <c r="Y164" s="6"/>
      <c r="Z164" s="6"/>
      <c r="AA164" s="6"/>
      <c r="AB164" s="6"/>
      <c r="AC164" s="7"/>
      <c r="AD164" s="6"/>
      <c r="AE164" s="6"/>
      <c r="AF164" s="6"/>
      <c r="AG164" s="6"/>
      <c r="AH164" s="6"/>
      <c r="AI164" s="6"/>
      <c r="AJ164" s="6"/>
      <c r="AK164" s="6"/>
      <c r="AM164" s="4" t="b">
        <f>checking!A164</f>
        <v>1</v>
      </c>
      <c r="AN164" s="11" t="str">
        <f>IF(NOT(AM164), checking!AX164,"")</f>
        <v/>
      </c>
    </row>
    <row r="165" spans="1:40" s="16" customFormat="1" x14ac:dyDescent="0.15">
      <c r="A165" s="13" t="str">
        <f t="shared" si="2"/>
        <v/>
      </c>
      <c r="B165" s="14"/>
      <c r="C165" s="14"/>
      <c r="D165" s="15"/>
      <c r="E165" s="14"/>
      <c r="F165" s="14"/>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4"/>
      <c r="AE165" s="14"/>
      <c r="AF165" s="14"/>
      <c r="AG165" s="14"/>
      <c r="AH165" s="14"/>
      <c r="AI165" s="14"/>
      <c r="AJ165" s="14"/>
      <c r="AK165" s="14"/>
      <c r="AM165" s="16" t="b">
        <f>checking!A165</f>
        <v>1</v>
      </c>
      <c r="AN165" s="17" t="str">
        <f>IF(NOT(AM165), checking!AX165,"")</f>
        <v/>
      </c>
    </row>
    <row r="166" spans="1:40" x14ac:dyDescent="0.15">
      <c r="A166" s="5" t="str">
        <f t="shared" si="2"/>
        <v/>
      </c>
      <c r="B166" s="6"/>
      <c r="C166" s="7"/>
      <c r="D166" s="7"/>
      <c r="E166" s="6"/>
      <c r="F166" s="6"/>
      <c r="G166" s="6"/>
      <c r="H166" s="6"/>
      <c r="I166" s="6"/>
      <c r="J166" s="7"/>
      <c r="K166" s="6"/>
      <c r="L166" s="6"/>
      <c r="M166" s="6"/>
      <c r="N166" s="6"/>
      <c r="O166" s="7"/>
      <c r="P166" s="7"/>
      <c r="Q166" s="6"/>
      <c r="R166" s="6"/>
      <c r="S166" s="6"/>
      <c r="T166" s="6"/>
      <c r="U166" s="6"/>
      <c r="V166" s="6"/>
      <c r="W166" s="6"/>
      <c r="X166" s="6"/>
      <c r="Y166" s="6"/>
      <c r="Z166" s="6"/>
      <c r="AA166" s="6"/>
      <c r="AB166" s="6"/>
      <c r="AC166" s="7"/>
      <c r="AD166" s="6"/>
      <c r="AE166" s="6"/>
      <c r="AF166" s="6"/>
      <c r="AG166" s="6"/>
      <c r="AH166" s="6"/>
      <c r="AI166" s="6"/>
      <c r="AJ166" s="6"/>
      <c r="AK166" s="6"/>
      <c r="AM166" s="4" t="b">
        <f>checking!A166</f>
        <v>1</v>
      </c>
      <c r="AN166" s="11" t="str">
        <f>IF(NOT(AM166), checking!AX166,"")</f>
        <v/>
      </c>
    </row>
    <row r="167" spans="1:40" s="16" customFormat="1" x14ac:dyDescent="0.15">
      <c r="A167" s="13" t="str">
        <f t="shared" si="2"/>
        <v/>
      </c>
      <c r="B167" s="14"/>
      <c r="C167" s="14"/>
      <c r="D167" s="15"/>
      <c r="E167" s="14"/>
      <c r="F167" s="14"/>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4"/>
      <c r="AE167" s="14"/>
      <c r="AF167" s="14"/>
      <c r="AG167" s="14"/>
      <c r="AH167" s="14"/>
      <c r="AI167" s="14"/>
      <c r="AJ167" s="14"/>
      <c r="AK167" s="14"/>
      <c r="AM167" s="16" t="b">
        <f>checking!A167</f>
        <v>1</v>
      </c>
      <c r="AN167" s="17" t="str">
        <f>IF(NOT(AM167), checking!AX167,"")</f>
        <v/>
      </c>
    </row>
    <row r="168" spans="1:40" x14ac:dyDescent="0.15">
      <c r="A168" s="5" t="str">
        <f t="shared" si="2"/>
        <v/>
      </c>
      <c r="B168" s="6"/>
      <c r="C168" s="7"/>
      <c r="D168" s="7"/>
      <c r="E168" s="6"/>
      <c r="F168" s="6"/>
      <c r="G168" s="6"/>
      <c r="H168" s="6"/>
      <c r="I168" s="6"/>
      <c r="J168" s="7"/>
      <c r="K168" s="6"/>
      <c r="L168" s="6"/>
      <c r="M168" s="6"/>
      <c r="N168" s="6"/>
      <c r="O168" s="7"/>
      <c r="P168" s="7"/>
      <c r="Q168" s="6"/>
      <c r="R168" s="6"/>
      <c r="S168" s="6"/>
      <c r="T168" s="6"/>
      <c r="U168" s="6"/>
      <c r="V168" s="6"/>
      <c r="W168" s="6"/>
      <c r="X168" s="6"/>
      <c r="Y168" s="6"/>
      <c r="Z168" s="6"/>
      <c r="AA168" s="6"/>
      <c r="AB168" s="6"/>
      <c r="AC168" s="7"/>
      <c r="AD168" s="6"/>
      <c r="AE168" s="6"/>
      <c r="AF168" s="6"/>
      <c r="AG168" s="6"/>
      <c r="AH168" s="6"/>
      <c r="AI168" s="6"/>
      <c r="AJ168" s="6"/>
      <c r="AK168" s="6"/>
      <c r="AM168" s="4" t="b">
        <f>checking!A168</f>
        <v>1</v>
      </c>
      <c r="AN168" s="11" t="str">
        <f>IF(NOT(AM168), checking!AX168,"")</f>
        <v/>
      </c>
    </row>
    <row r="169" spans="1:40" s="16" customFormat="1" x14ac:dyDescent="0.15">
      <c r="A169" s="13" t="str">
        <f t="shared" si="2"/>
        <v/>
      </c>
      <c r="B169" s="14"/>
      <c r="C169" s="14"/>
      <c r="D169" s="15"/>
      <c r="E169" s="14"/>
      <c r="F169" s="14"/>
      <c r="G169" s="14"/>
      <c r="H169" s="14"/>
      <c r="I169" s="14"/>
      <c r="J169" s="14"/>
      <c r="K169" s="14"/>
      <c r="L169" s="14"/>
      <c r="M169" s="14"/>
      <c r="N169" s="14"/>
      <c r="O169" s="14"/>
      <c r="P169" s="14"/>
      <c r="Q169" s="14"/>
      <c r="R169" s="14"/>
      <c r="S169" s="14"/>
      <c r="T169" s="14"/>
      <c r="U169" s="14"/>
      <c r="V169" s="14"/>
      <c r="W169" s="14"/>
      <c r="X169" s="14"/>
      <c r="Y169" s="14"/>
      <c r="Z169" s="14"/>
      <c r="AA169" s="14"/>
      <c r="AB169" s="14"/>
      <c r="AC169" s="14"/>
      <c r="AD169" s="14"/>
      <c r="AE169" s="14"/>
      <c r="AF169" s="14"/>
      <c r="AG169" s="14"/>
      <c r="AH169" s="14"/>
      <c r="AI169" s="14"/>
      <c r="AJ169" s="14"/>
      <c r="AK169" s="14"/>
      <c r="AM169" s="16" t="b">
        <f>checking!A169</f>
        <v>1</v>
      </c>
      <c r="AN169" s="17" t="str">
        <f>IF(NOT(AM169), checking!AX169,"")</f>
        <v/>
      </c>
    </row>
    <row r="170" spans="1:40" x14ac:dyDescent="0.15">
      <c r="A170" s="5" t="str">
        <f t="shared" si="2"/>
        <v/>
      </c>
      <c r="B170" s="6"/>
      <c r="C170" s="7"/>
      <c r="D170" s="7"/>
      <c r="E170" s="6"/>
      <c r="F170" s="6"/>
      <c r="G170" s="6"/>
      <c r="H170" s="6"/>
      <c r="I170" s="6"/>
      <c r="J170" s="7"/>
      <c r="K170" s="6"/>
      <c r="L170" s="6"/>
      <c r="M170" s="6"/>
      <c r="N170" s="6"/>
      <c r="O170" s="7"/>
      <c r="P170" s="7"/>
      <c r="Q170" s="6"/>
      <c r="R170" s="6"/>
      <c r="S170" s="6"/>
      <c r="T170" s="6"/>
      <c r="U170" s="6"/>
      <c r="V170" s="6"/>
      <c r="W170" s="6"/>
      <c r="X170" s="6"/>
      <c r="Y170" s="6"/>
      <c r="Z170" s="6"/>
      <c r="AA170" s="6"/>
      <c r="AB170" s="6"/>
      <c r="AC170" s="7"/>
      <c r="AD170" s="6"/>
      <c r="AE170" s="6"/>
      <c r="AF170" s="6"/>
      <c r="AG170" s="6"/>
      <c r="AH170" s="6"/>
      <c r="AI170" s="6"/>
      <c r="AJ170" s="6"/>
      <c r="AK170" s="6"/>
      <c r="AM170" s="4" t="b">
        <f>checking!A170</f>
        <v>1</v>
      </c>
      <c r="AN170" s="11" t="str">
        <f>IF(NOT(AM170), checking!AX170,"")</f>
        <v/>
      </c>
    </row>
    <row r="171" spans="1:40" s="16" customFormat="1" x14ac:dyDescent="0.15">
      <c r="A171" s="13" t="str">
        <f t="shared" si="2"/>
        <v/>
      </c>
      <c r="B171" s="14"/>
      <c r="C171" s="14"/>
      <c r="D171" s="15"/>
      <c r="E171" s="14"/>
      <c r="F171" s="14"/>
      <c r="G171" s="14"/>
      <c r="H171" s="14"/>
      <c r="I171" s="14"/>
      <c r="J171" s="14"/>
      <c r="K171" s="14"/>
      <c r="L171" s="14"/>
      <c r="M171" s="14"/>
      <c r="N171" s="14"/>
      <c r="O171" s="14"/>
      <c r="P171" s="14"/>
      <c r="Q171" s="14"/>
      <c r="R171" s="14"/>
      <c r="S171" s="14"/>
      <c r="T171" s="14"/>
      <c r="U171" s="14"/>
      <c r="V171" s="14"/>
      <c r="W171" s="14"/>
      <c r="X171" s="14"/>
      <c r="Y171" s="14"/>
      <c r="Z171" s="14"/>
      <c r="AA171" s="14"/>
      <c r="AB171" s="14"/>
      <c r="AC171" s="14"/>
      <c r="AD171" s="14"/>
      <c r="AE171" s="14"/>
      <c r="AF171" s="14"/>
      <c r="AG171" s="14"/>
      <c r="AH171" s="14"/>
      <c r="AI171" s="14"/>
      <c r="AJ171" s="14"/>
      <c r="AK171" s="14"/>
      <c r="AM171" s="16" t="b">
        <f>checking!A171</f>
        <v>1</v>
      </c>
      <c r="AN171" s="17" t="str">
        <f>IF(NOT(AM171), checking!AX171,"")</f>
        <v/>
      </c>
    </row>
    <row r="172" spans="1:40" x14ac:dyDescent="0.15">
      <c r="A172" s="5" t="str">
        <f t="shared" si="2"/>
        <v/>
      </c>
      <c r="B172" s="6"/>
      <c r="C172" s="7"/>
      <c r="D172" s="7"/>
      <c r="E172" s="6"/>
      <c r="F172" s="6"/>
      <c r="G172" s="6"/>
      <c r="H172" s="6"/>
      <c r="I172" s="6"/>
      <c r="J172" s="7"/>
      <c r="K172" s="6"/>
      <c r="L172" s="6"/>
      <c r="M172" s="6"/>
      <c r="N172" s="6"/>
      <c r="O172" s="7"/>
      <c r="P172" s="7"/>
      <c r="Q172" s="6"/>
      <c r="R172" s="6"/>
      <c r="S172" s="6"/>
      <c r="T172" s="6"/>
      <c r="U172" s="6"/>
      <c r="V172" s="6"/>
      <c r="W172" s="6"/>
      <c r="X172" s="6"/>
      <c r="Y172" s="6"/>
      <c r="Z172" s="6"/>
      <c r="AA172" s="6"/>
      <c r="AB172" s="6"/>
      <c r="AC172" s="7"/>
      <c r="AD172" s="6"/>
      <c r="AE172" s="6"/>
      <c r="AF172" s="6"/>
      <c r="AG172" s="6"/>
      <c r="AH172" s="6"/>
      <c r="AI172" s="6"/>
      <c r="AJ172" s="6"/>
      <c r="AK172" s="6"/>
      <c r="AM172" s="4" t="b">
        <f>checking!A172</f>
        <v>1</v>
      </c>
      <c r="AN172" s="11" t="str">
        <f>IF(NOT(AM172), checking!AX172,"")</f>
        <v/>
      </c>
    </row>
    <row r="173" spans="1:40" s="16" customFormat="1" x14ac:dyDescent="0.15">
      <c r="A173" s="13" t="str">
        <f t="shared" si="2"/>
        <v/>
      </c>
      <c r="B173" s="14"/>
      <c r="C173" s="14"/>
      <c r="D173" s="15"/>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4"/>
      <c r="AE173" s="14"/>
      <c r="AF173" s="14"/>
      <c r="AG173" s="14"/>
      <c r="AH173" s="14"/>
      <c r="AI173" s="14"/>
      <c r="AJ173" s="14"/>
      <c r="AK173" s="14"/>
      <c r="AM173" s="16" t="b">
        <f>checking!A173</f>
        <v>1</v>
      </c>
      <c r="AN173" s="17" t="str">
        <f>IF(NOT(AM173), checking!AX173,"")</f>
        <v/>
      </c>
    </row>
    <row r="174" spans="1:40" x14ac:dyDescent="0.15">
      <c r="A174" s="5" t="str">
        <f t="shared" si="2"/>
        <v/>
      </c>
      <c r="B174" s="6"/>
      <c r="C174" s="7"/>
      <c r="D174" s="7"/>
      <c r="E174" s="6"/>
      <c r="F174" s="6"/>
      <c r="G174" s="6"/>
      <c r="H174" s="6"/>
      <c r="I174" s="6"/>
      <c r="J174" s="7"/>
      <c r="K174" s="6"/>
      <c r="L174" s="6"/>
      <c r="M174" s="6"/>
      <c r="N174" s="6"/>
      <c r="O174" s="7"/>
      <c r="P174" s="7"/>
      <c r="Q174" s="6"/>
      <c r="R174" s="6"/>
      <c r="S174" s="6"/>
      <c r="T174" s="6"/>
      <c r="U174" s="6"/>
      <c r="V174" s="6"/>
      <c r="W174" s="6"/>
      <c r="X174" s="6"/>
      <c r="Y174" s="6"/>
      <c r="Z174" s="6"/>
      <c r="AA174" s="6"/>
      <c r="AB174" s="6"/>
      <c r="AC174" s="7"/>
      <c r="AD174" s="6"/>
      <c r="AE174" s="6"/>
      <c r="AF174" s="6"/>
      <c r="AG174" s="6"/>
      <c r="AH174" s="6"/>
      <c r="AI174" s="6"/>
      <c r="AJ174" s="6"/>
      <c r="AK174" s="6"/>
      <c r="AM174" s="4" t="b">
        <f>checking!A174</f>
        <v>1</v>
      </c>
      <c r="AN174" s="11" t="str">
        <f>IF(NOT(AM174), checking!AX174,"")</f>
        <v/>
      </c>
    </row>
    <row r="175" spans="1:40" s="16" customFormat="1" x14ac:dyDescent="0.15">
      <c r="A175" s="13" t="str">
        <f t="shared" si="2"/>
        <v/>
      </c>
      <c r="B175" s="14"/>
      <c r="C175" s="14"/>
      <c r="D175" s="15"/>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4"/>
      <c r="AE175" s="14"/>
      <c r="AF175" s="14"/>
      <c r="AG175" s="14"/>
      <c r="AH175" s="14"/>
      <c r="AI175" s="14"/>
      <c r="AJ175" s="14"/>
      <c r="AK175" s="14"/>
      <c r="AM175" s="16" t="b">
        <f>checking!A175</f>
        <v>1</v>
      </c>
      <c r="AN175" s="17" t="str">
        <f>IF(NOT(AM175), checking!AX175,"")</f>
        <v/>
      </c>
    </row>
    <row r="176" spans="1:40" x14ac:dyDescent="0.15">
      <c r="A176" s="5" t="str">
        <f t="shared" si="2"/>
        <v/>
      </c>
      <c r="B176" s="6"/>
      <c r="C176" s="7"/>
      <c r="D176" s="7"/>
      <c r="E176" s="6"/>
      <c r="F176" s="6"/>
      <c r="G176" s="6"/>
      <c r="H176" s="6"/>
      <c r="I176" s="6"/>
      <c r="J176" s="7"/>
      <c r="K176" s="6"/>
      <c r="L176" s="6"/>
      <c r="M176" s="6"/>
      <c r="N176" s="6"/>
      <c r="O176" s="7"/>
      <c r="P176" s="7"/>
      <c r="Q176" s="6"/>
      <c r="R176" s="6"/>
      <c r="S176" s="6"/>
      <c r="T176" s="6"/>
      <c r="U176" s="6"/>
      <c r="V176" s="6"/>
      <c r="W176" s="6"/>
      <c r="X176" s="6"/>
      <c r="Y176" s="6"/>
      <c r="Z176" s="6"/>
      <c r="AA176" s="6"/>
      <c r="AB176" s="6"/>
      <c r="AC176" s="7"/>
      <c r="AD176" s="6"/>
      <c r="AE176" s="6"/>
      <c r="AF176" s="6"/>
      <c r="AG176" s="6"/>
      <c r="AH176" s="6"/>
      <c r="AI176" s="6"/>
      <c r="AJ176" s="6"/>
      <c r="AK176" s="6"/>
      <c r="AM176" s="4" t="b">
        <f>checking!A176</f>
        <v>1</v>
      </c>
      <c r="AN176" s="11" t="str">
        <f>IF(NOT(AM176), checking!AX176,"")</f>
        <v/>
      </c>
    </row>
    <row r="177" spans="1:40" s="16" customFormat="1" x14ac:dyDescent="0.15">
      <c r="A177" s="13" t="str">
        <f t="shared" si="2"/>
        <v/>
      </c>
      <c r="B177" s="14"/>
      <c r="C177" s="14"/>
      <c r="D177" s="15"/>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4"/>
      <c r="AE177" s="14"/>
      <c r="AF177" s="14"/>
      <c r="AG177" s="14"/>
      <c r="AH177" s="14"/>
      <c r="AI177" s="14"/>
      <c r="AJ177" s="14"/>
      <c r="AK177" s="14"/>
      <c r="AM177" s="16" t="b">
        <f>checking!A177</f>
        <v>1</v>
      </c>
      <c r="AN177" s="17" t="str">
        <f>IF(NOT(AM177), checking!AX177,"")</f>
        <v/>
      </c>
    </row>
    <row r="178" spans="1:40" x14ac:dyDescent="0.15">
      <c r="A178" s="5" t="str">
        <f t="shared" si="2"/>
        <v/>
      </c>
      <c r="B178" s="6"/>
      <c r="C178" s="7"/>
      <c r="D178" s="7"/>
      <c r="E178" s="6"/>
      <c r="F178" s="6"/>
      <c r="G178" s="6"/>
      <c r="H178" s="6"/>
      <c r="I178" s="6"/>
      <c r="J178" s="7"/>
      <c r="K178" s="6"/>
      <c r="L178" s="6"/>
      <c r="M178" s="6"/>
      <c r="N178" s="6"/>
      <c r="O178" s="7"/>
      <c r="P178" s="7"/>
      <c r="Q178" s="6"/>
      <c r="R178" s="6"/>
      <c r="S178" s="6"/>
      <c r="T178" s="6"/>
      <c r="U178" s="6"/>
      <c r="V178" s="6"/>
      <c r="W178" s="6"/>
      <c r="X178" s="6"/>
      <c r="Y178" s="6"/>
      <c r="Z178" s="6"/>
      <c r="AA178" s="6"/>
      <c r="AB178" s="6"/>
      <c r="AC178" s="7"/>
      <c r="AD178" s="6"/>
      <c r="AE178" s="6"/>
      <c r="AF178" s="6"/>
      <c r="AG178" s="6"/>
      <c r="AH178" s="6"/>
      <c r="AI178" s="6"/>
      <c r="AJ178" s="6"/>
      <c r="AK178" s="6"/>
      <c r="AM178" s="4" t="b">
        <f>checking!A178</f>
        <v>1</v>
      </c>
      <c r="AN178" s="11" t="str">
        <f>IF(NOT(AM178), checking!AX178,"")</f>
        <v/>
      </c>
    </row>
    <row r="179" spans="1:40" s="16" customFormat="1" x14ac:dyDescent="0.15">
      <c r="A179" s="13" t="str">
        <f t="shared" si="2"/>
        <v/>
      </c>
      <c r="B179" s="14"/>
      <c r="C179" s="14"/>
      <c r="D179" s="15"/>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4"/>
      <c r="AE179" s="14"/>
      <c r="AF179" s="14"/>
      <c r="AG179" s="14"/>
      <c r="AH179" s="14"/>
      <c r="AI179" s="14"/>
      <c r="AJ179" s="14"/>
      <c r="AK179" s="14"/>
      <c r="AM179" s="16" t="b">
        <f>checking!A179</f>
        <v>1</v>
      </c>
      <c r="AN179" s="17" t="str">
        <f>IF(NOT(AM179), checking!AX179,"")</f>
        <v/>
      </c>
    </row>
    <row r="180" spans="1:40" x14ac:dyDescent="0.15">
      <c r="A180" s="5" t="str">
        <f t="shared" si="2"/>
        <v/>
      </c>
      <c r="B180" s="6"/>
      <c r="C180" s="7"/>
      <c r="D180" s="7"/>
      <c r="E180" s="6"/>
      <c r="F180" s="6"/>
      <c r="G180" s="6"/>
      <c r="H180" s="6"/>
      <c r="I180" s="6"/>
      <c r="J180" s="7"/>
      <c r="K180" s="6"/>
      <c r="L180" s="6"/>
      <c r="M180" s="6"/>
      <c r="N180" s="6"/>
      <c r="O180" s="7"/>
      <c r="P180" s="7"/>
      <c r="Q180" s="6"/>
      <c r="R180" s="6"/>
      <c r="S180" s="6"/>
      <c r="T180" s="6"/>
      <c r="U180" s="6"/>
      <c r="V180" s="6"/>
      <c r="W180" s="6"/>
      <c r="X180" s="6"/>
      <c r="Y180" s="6"/>
      <c r="Z180" s="6"/>
      <c r="AA180" s="6"/>
      <c r="AB180" s="6"/>
      <c r="AC180" s="7"/>
      <c r="AD180" s="6"/>
      <c r="AE180" s="6"/>
      <c r="AF180" s="6"/>
      <c r="AG180" s="6"/>
      <c r="AH180" s="6"/>
      <c r="AI180" s="6"/>
      <c r="AJ180" s="6"/>
      <c r="AK180" s="6"/>
      <c r="AM180" s="4" t="b">
        <f>checking!A180</f>
        <v>1</v>
      </c>
      <c r="AN180" s="11" t="str">
        <f>IF(NOT(AM180), checking!AX180,"")</f>
        <v/>
      </c>
    </row>
    <row r="181" spans="1:40" s="16" customFormat="1" x14ac:dyDescent="0.15">
      <c r="A181" s="13" t="str">
        <f t="shared" si="2"/>
        <v/>
      </c>
      <c r="B181" s="14"/>
      <c r="C181" s="14"/>
      <c r="D181" s="15"/>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4"/>
      <c r="AE181" s="14"/>
      <c r="AF181" s="14"/>
      <c r="AG181" s="14"/>
      <c r="AH181" s="14"/>
      <c r="AI181" s="14"/>
      <c r="AJ181" s="14"/>
      <c r="AK181" s="14"/>
      <c r="AM181" s="16" t="b">
        <f>checking!A181</f>
        <v>1</v>
      </c>
      <c r="AN181" s="17" t="str">
        <f>IF(NOT(AM181), checking!AX181,"")</f>
        <v/>
      </c>
    </row>
    <row r="182" spans="1:40" x14ac:dyDescent="0.15">
      <c r="A182" s="5" t="str">
        <f t="shared" si="2"/>
        <v/>
      </c>
      <c r="B182" s="6"/>
      <c r="C182" s="7"/>
      <c r="D182" s="7"/>
      <c r="E182" s="6"/>
      <c r="F182" s="6"/>
      <c r="G182" s="6"/>
      <c r="H182" s="6"/>
      <c r="I182" s="6"/>
      <c r="J182" s="7"/>
      <c r="K182" s="6"/>
      <c r="L182" s="6"/>
      <c r="M182" s="6"/>
      <c r="N182" s="6"/>
      <c r="O182" s="7"/>
      <c r="P182" s="7"/>
      <c r="Q182" s="6"/>
      <c r="R182" s="6"/>
      <c r="S182" s="6"/>
      <c r="T182" s="6"/>
      <c r="U182" s="6"/>
      <c r="V182" s="6"/>
      <c r="W182" s="6"/>
      <c r="X182" s="6"/>
      <c r="Y182" s="6"/>
      <c r="Z182" s="6"/>
      <c r="AA182" s="6"/>
      <c r="AB182" s="6"/>
      <c r="AC182" s="7"/>
      <c r="AD182" s="6"/>
      <c r="AE182" s="6"/>
      <c r="AF182" s="6"/>
      <c r="AG182" s="6"/>
      <c r="AH182" s="6"/>
      <c r="AI182" s="6"/>
      <c r="AJ182" s="6"/>
      <c r="AK182" s="6"/>
      <c r="AM182" s="4" t="b">
        <f>checking!A182</f>
        <v>1</v>
      </c>
      <c r="AN182" s="11" t="str">
        <f>IF(NOT(AM182), checking!AX182,"")</f>
        <v/>
      </c>
    </row>
    <row r="183" spans="1:40" s="16" customFormat="1" x14ac:dyDescent="0.15">
      <c r="A183" s="13" t="str">
        <f t="shared" si="2"/>
        <v/>
      </c>
      <c r="B183" s="14"/>
      <c r="C183" s="14"/>
      <c r="D183" s="15"/>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4"/>
      <c r="AE183" s="14"/>
      <c r="AF183" s="14"/>
      <c r="AG183" s="14"/>
      <c r="AH183" s="14"/>
      <c r="AI183" s="14"/>
      <c r="AJ183" s="14"/>
      <c r="AK183" s="14"/>
      <c r="AM183" s="16" t="b">
        <f>checking!A183</f>
        <v>1</v>
      </c>
      <c r="AN183" s="17" t="str">
        <f>IF(NOT(AM183), checking!AX183,"")</f>
        <v/>
      </c>
    </row>
    <row r="184" spans="1:40" x14ac:dyDescent="0.15">
      <c r="A184" s="5" t="str">
        <f t="shared" si="2"/>
        <v/>
      </c>
      <c r="B184" s="6"/>
      <c r="C184" s="7"/>
      <c r="D184" s="7"/>
      <c r="E184" s="6"/>
      <c r="F184" s="6"/>
      <c r="G184" s="6"/>
      <c r="H184" s="6"/>
      <c r="I184" s="6"/>
      <c r="J184" s="7"/>
      <c r="K184" s="6"/>
      <c r="L184" s="6"/>
      <c r="M184" s="6"/>
      <c r="N184" s="6"/>
      <c r="O184" s="7"/>
      <c r="P184" s="7"/>
      <c r="Q184" s="6"/>
      <c r="R184" s="6"/>
      <c r="S184" s="6"/>
      <c r="T184" s="6"/>
      <c r="U184" s="6"/>
      <c r="V184" s="6"/>
      <c r="W184" s="6"/>
      <c r="X184" s="6"/>
      <c r="Y184" s="6"/>
      <c r="Z184" s="6"/>
      <c r="AA184" s="6"/>
      <c r="AB184" s="6"/>
      <c r="AC184" s="7"/>
      <c r="AD184" s="6"/>
      <c r="AE184" s="6"/>
      <c r="AF184" s="6"/>
      <c r="AG184" s="6"/>
      <c r="AH184" s="6"/>
      <c r="AI184" s="6"/>
      <c r="AJ184" s="6"/>
      <c r="AK184" s="6"/>
      <c r="AM184" s="4" t="b">
        <f>checking!A184</f>
        <v>1</v>
      </c>
      <c r="AN184" s="11" t="str">
        <f>IF(NOT(AM184), checking!AX184,"")</f>
        <v/>
      </c>
    </row>
    <row r="185" spans="1:40" s="16" customFormat="1" x14ac:dyDescent="0.15">
      <c r="A185" s="13" t="str">
        <f t="shared" si="2"/>
        <v/>
      </c>
      <c r="B185" s="14"/>
      <c r="C185" s="14"/>
      <c r="D185" s="15"/>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4"/>
      <c r="AE185" s="14"/>
      <c r="AF185" s="14"/>
      <c r="AG185" s="14"/>
      <c r="AH185" s="14"/>
      <c r="AI185" s="14"/>
      <c r="AJ185" s="14"/>
      <c r="AK185" s="14"/>
      <c r="AM185" s="16" t="b">
        <f>checking!A185</f>
        <v>1</v>
      </c>
      <c r="AN185" s="17" t="str">
        <f>IF(NOT(AM185), checking!AX185,"")</f>
        <v/>
      </c>
    </row>
    <row r="186" spans="1:40" x14ac:dyDescent="0.15">
      <c r="A186" s="5" t="str">
        <f t="shared" si="2"/>
        <v/>
      </c>
      <c r="B186" s="6"/>
      <c r="C186" s="7"/>
      <c r="D186" s="7"/>
      <c r="E186" s="6"/>
      <c r="F186" s="6"/>
      <c r="G186" s="6"/>
      <c r="H186" s="6"/>
      <c r="I186" s="6"/>
      <c r="J186" s="7"/>
      <c r="K186" s="6"/>
      <c r="L186" s="6"/>
      <c r="M186" s="6"/>
      <c r="N186" s="6"/>
      <c r="O186" s="7"/>
      <c r="P186" s="7"/>
      <c r="Q186" s="6"/>
      <c r="R186" s="6"/>
      <c r="S186" s="6"/>
      <c r="T186" s="6"/>
      <c r="U186" s="6"/>
      <c r="V186" s="6"/>
      <c r="W186" s="6"/>
      <c r="X186" s="6"/>
      <c r="Y186" s="6"/>
      <c r="Z186" s="6"/>
      <c r="AA186" s="6"/>
      <c r="AB186" s="6"/>
      <c r="AC186" s="7"/>
      <c r="AD186" s="6"/>
      <c r="AE186" s="6"/>
      <c r="AF186" s="6"/>
      <c r="AG186" s="6"/>
      <c r="AH186" s="6"/>
      <c r="AI186" s="6"/>
      <c r="AJ186" s="6"/>
      <c r="AK186" s="6"/>
      <c r="AM186" s="4" t="b">
        <f>checking!A186</f>
        <v>1</v>
      </c>
      <c r="AN186" s="11" t="str">
        <f>IF(NOT(AM186), checking!AX186,"")</f>
        <v/>
      </c>
    </row>
    <row r="187" spans="1:40" s="16" customFormat="1" x14ac:dyDescent="0.15">
      <c r="A187" s="13" t="str">
        <f t="shared" si="2"/>
        <v/>
      </c>
      <c r="B187" s="14"/>
      <c r="C187" s="14"/>
      <c r="D187" s="15"/>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4"/>
      <c r="AE187" s="14"/>
      <c r="AF187" s="14"/>
      <c r="AG187" s="14"/>
      <c r="AH187" s="14"/>
      <c r="AI187" s="14"/>
      <c r="AJ187" s="14"/>
      <c r="AK187" s="14"/>
      <c r="AM187" s="16" t="b">
        <f>checking!A187</f>
        <v>1</v>
      </c>
      <c r="AN187" s="17" t="str">
        <f>IF(NOT(AM187), checking!AX187,"")</f>
        <v/>
      </c>
    </row>
    <row r="188" spans="1:40" x14ac:dyDescent="0.15">
      <c r="A188" s="5" t="str">
        <f t="shared" si="2"/>
        <v/>
      </c>
      <c r="B188" s="6"/>
      <c r="C188" s="7"/>
      <c r="D188" s="7"/>
      <c r="E188" s="6"/>
      <c r="F188" s="6"/>
      <c r="G188" s="6"/>
      <c r="H188" s="6"/>
      <c r="I188" s="6"/>
      <c r="J188" s="7"/>
      <c r="K188" s="6"/>
      <c r="L188" s="6"/>
      <c r="M188" s="6"/>
      <c r="N188" s="6"/>
      <c r="O188" s="7"/>
      <c r="P188" s="7"/>
      <c r="Q188" s="6"/>
      <c r="R188" s="6"/>
      <c r="S188" s="6"/>
      <c r="T188" s="6"/>
      <c r="U188" s="6"/>
      <c r="V188" s="6"/>
      <c r="W188" s="6"/>
      <c r="X188" s="6"/>
      <c r="Y188" s="6"/>
      <c r="Z188" s="6"/>
      <c r="AA188" s="6"/>
      <c r="AB188" s="6"/>
      <c r="AC188" s="7"/>
      <c r="AD188" s="6"/>
      <c r="AE188" s="6"/>
      <c r="AF188" s="6"/>
      <c r="AG188" s="6"/>
      <c r="AH188" s="6"/>
      <c r="AI188" s="6"/>
      <c r="AJ188" s="6"/>
      <c r="AK188" s="6"/>
      <c r="AM188" s="4" t="b">
        <f>checking!A188</f>
        <v>1</v>
      </c>
      <c r="AN188" s="11" t="str">
        <f>IF(NOT(AM188), checking!AX188,"")</f>
        <v/>
      </c>
    </row>
    <row r="189" spans="1:40" s="16" customFormat="1" x14ac:dyDescent="0.15">
      <c r="A189" s="13" t="str">
        <f t="shared" si="2"/>
        <v/>
      </c>
      <c r="B189" s="14"/>
      <c r="C189" s="14"/>
      <c r="D189" s="15"/>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4"/>
      <c r="AE189" s="14"/>
      <c r="AF189" s="14"/>
      <c r="AG189" s="14"/>
      <c r="AH189" s="14"/>
      <c r="AI189" s="14"/>
      <c r="AJ189" s="14"/>
      <c r="AK189" s="14"/>
      <c r="AM189" s="16" t="b">
        <f>checking!A189</f>
        <v>1</v>
      </c>
      <c r="AN189" s="17" t="str">
        <f>IF(NOT(AM189), checking!AX189,"")</f>
        <v/>
      </c>
    </row>
    <row r="190" spans="1:40" x14ac:dyDescent="0.15">
      <c r="A190" s="5" t="str">
        <f t="shared" si="2"/>
        <v/>
      </c>
      <c r="B190" s="6"/>
      <c r="C190" s="7"/>
      <c r="D190" s="7"/>
      <c r="E190" s="6"/>
      <c r="F190" s="6"/>
      <c r="G190" s="6"/>
      <c r="H190" s="6"/>
      <c r="I190" s="6"/>
      <c r="J190" s="7"/>
      <c r="K190" s="6"/>
      <c r="L190" s="6"/>
      <c r="M190" s="6"/>
      <c r="N190" s="6"/>
      <c r="O190" s="7"/>
      <c r="P190" s="7"/>
      <c r="Q190" s="6"/>
      <c r="R190" s="6"/>
      <c r="S190" s="6"/>
      <c r="T190" s="6"/>
      <c r="U190" s="6"/>
      <c r="V190" s="6"/>
      <c r="W190" s="6"/>
      <c r="X190" s="6"/>
      <c r="Y190" s="6"/>
      <c r="Z190" s="6"/>
      <c r="AA190" s="6"/>
      <c r="AB190" s="6"/>
      <c r="AC190" s="7"/>
      <c r="AD190" s="6"/>
      <c r="AE190" s="6"/>
      <c r="AF190" s="6"/>
      <c r="AG190" s="6"/>
      <c r="AH190" s="6"/>
      <c r="AI190" s="6"/>
      <c r="AJ190" s="6"/>
      <c r="AK190" s="6"/>
      <c r="AM190" s="4" t="b">
        <f>checking!A190</f>
        <v>1</v>
      </c>
      <c r="AN190" s="11" t="str">
        <f>IF(NOT(AM190), checking!AX190,"")</f>
        <v/>
      </c>
    </row>
    <row r="191" spans="1:40" s="16" customFormat="1" x14ac:dyDescent="0.15">
      <c r="A191" s="13" t="str">
        <f t="shared" si="2"/>
        <v/>
      </c>
      <c r="B191" s="14"/>
      <c r="C191" s="14"/>
      <c r="D191" s="15"/>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4"/>
      <c r="AE191" s="14"/>
      <c r="AF191" s="14"/>
      <c r="AG191" s="14"/>
      <c r="AH191" s="14"/>
      <c r="AI191" s="14"/>
      <c r="AJ191" s="14"/>
      <c r="AK191" s="14"/>
      <c r="AM191" s="16" t="b">
        <f>checking!A191</f>
        <v>1</v>
      </c>
      <c r="AN191" s="17" t="str">
        <f>IF(NOT(AM191), checking!AX191,"")</f>
        <v/>
      </c>
    </row>
    <row r="192" spans="1:40" x14ac:dyDescent="0.15">
      <c r="A192" s="5" t="str">
        <f t="shared" si="2"/>
        <v/>
      </c>
      <c r="B192" s="6"/>
      <c r="C192" s="7"/>
      <c r="D192" s="7"/>
      <c r="E192" s="6"/>
      <c r="F192" s="6"/>
      <c r="G192" s="6"/>
      <c r="H192" s="6"/>
      <c r="I192" s="6"/>
      <c r="J192" s="7"/>
      <c r="K192" s="6"/>
      <c r="L192" s="6"/>
      <c r="M192" s="6"/>
      <c r="N192" s="6"/>
      <c r="O192" s="7"/>
      <c r="P192" s="7"/>
      <c r="Q192" s="6"/>
      <c r="R192" s="6"/>
      <c r="S192" s="6"/>
      <c r="T192" s="6"/>
      <c r="U192" s="6"/>
      <c r="V192" s="6"/>
      <c r="W192" s="6"/>
      <c r="X192" s="6"/>
      <c r="Y192" s="6"/>
      <c r="Z192" s="6"/>
      <c r="AA192" s="6"/>
      <c r="AB192" s="6"/>
      <c r="AC192" s="7"/>
      <c r="AD192" s="6"/>
      <c r="AE192" s="6"/>
      <c r="AF192" s="6"/>
      <c r="AG192" s="6"/>
      <c r="AH192" s="6"/>
      <c r="AI192" s="6"/>
      <c r="AJ192" s="6"/>
      <c r="AK192" s="6"/>
      <c r="AM192" s="4" t="b">
        <f>checking!A192</f>
        <v>1</v>
      </c>
      <c r="AN192" s="11" t="str">
        <f>IF(NOT(AM192), checking!AX192,"")</f>
        <v/>
      </c>
    </row>
    <row r="193" spans="1:40" s="16" customFormat="1" x14ac:dyDescent="0.15">
      <c r="A193" s="13" t="str">
        <f t="shared" si="2"/>
        <v/>
      </c>
      <c r="B193" s="14"/>
      <c r="C193" s="14"/>
      <c r="D193" s="15"/>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4"/>
      <c r="AE193" s="14"/>
      <c r="AF193" s="14"/>
      <c r="AG193" s="14"/>
      <c r="AH193" s="14"/>
      <c r="AI193" s="14"/>
      <c r="AJ193" s="14"/>
      <c r="AK193" s="14"/>
      <c r="AM193" s="16" t="b">
        <f>checking!A193</f>
        <v>1</v>
      </c>
      <c r="AN193" s="17" t="str">
        <f>IF(NOT(AM193), checking!AX193,"")</f>
        <v/>
      </c>
    </row>
    <row r="194" spans="1:40" x14ac:dyDescent="0.15">
      <c r="A194" s="5" t="str">
        <f t="shared" si="2"/>
        <v/>
      </c>
      <c r="B194" s="6"/>
      <c r="C194" s="7"/>
      <c r="D194" s="7"/>
      <c r="E194" s="6"/>
      <c r="F194" s="6"/>
      <c r="G194" s="6"/>
      <c r="H194" s="6"/>
      <c r="I194" s="6"/>
      <c r="J194" s="7"/>
      <c r="K194" s="6"/>
      <c r="L194" s="6"/>
      <c r="M194" s="6"/>
      <c r="N194" s="6"/>
      <c r="O194" s="7"/>
      <c r="P194" s="7"/>
      <c r="Q194" s="6"/>
      <c r="R194" s="6"/>
      <c r="S194" s="6"/>
      <c r="T194" s="6"/>
      <c r="U194" s="6"/>
      <c r="V194" s="6"/>
      <c r="W194" s="6"/>
      <c r="X194" s="6"/>
      <c r="Y194" s="6"/>
      <c r="Z194" s="6"/>
      <c r="AA194" s="6"/>
      <c r="AB194" s="6"/>
      <c r="AC194" s="7"/>
      <c r="AD194" s="6"/>
      <c r="AE194" s="6"/>
      <c r="AF194" s="6"/>
      <c r="AG194" s="6"/>
      <c r="AH194" s="6"/>
      <c r="AI194" s="6"/>
      <c r="AJ194" s="6"/>
      <c r="AK194" s="6"/>
      <c r="AM194" s="4" t="b">
        <f>checking!A194</f>
        <v>1</v>
      </c>
      <c r="AN194" s="11" t="str">
        <f>IF(NOT(AM194), checking!AX194,"")</f>
        <v/>
      </c>
    </row>
    <row r="195" spans="1:40" s="16" customFormat="1" x14ac:dyDescent="0.15">
      <c r="A195" s="13" t="str">
        <f t="shared" si="2"/>
        <v/>
      </c>
      <c r="B195" s="14"/>
      <c r="C195" s="14"/>
      <c r="D195" s="15"/>
      <c r="E195" s="14"/>
      <c r="F195" s="14"/>
      <c r="G195" s="14"/>
      <c r="H195" s="14"/>
      <c r="I195" s="14"/>
      <c r="J195" s="14"/>
      <c r="K195" s="14"/>
      <c r="L195" s="14"/>
      <c r="M195" s="14"/>
      <c r="N195" s="14"/>
      <c r="O195" s="14"/>
      <c r="P195" s="14"/>
      <c r="Q195" s="14"/>
      <c r="R195" s="14"/>
      <c r="S195" s="14"/>
      <c r="T195" s="14"/>
      <c r="U195" s="14"/>
      <c r="V195" s="14"/>
      <c r="W195" s="14"/>
      <c r="X195" s="14"/>
      <c r="Y195" s="14"/>
      <c r="Z195" s="14"/>
      <c r="AA195" s="14"/>
      <c r="AB195" s="14"/>
      <c r="AC195" s="14"/>
      <c r="AD195" s="14"/>
      <c r="AE195" s="14"/>
      <c r="AF195" s="14"/>
      <c r="AG195" s="14"/>
      <c r="AH195" s="14"/>
      <c r="AI195" s="14"/>
      <c r="AJ195" s="14"/>
      <c r="AK195" s="14"/>
      <c r="AM195" s="16" t="b">
        <f>checking!A195</f>
        <v>1</v>
      </c>
      <c r="AN195" s="17" t="str">
        <f>IF(NOT(AM195), checking!AX195,"")</f>
        <v/>
      </c>
    </row>
    <row r="196" spans="1:40" x14ac:dyDescent="0.15">
      <c r="A196" s="5" t="str">
        <f t="shared" ref="A196:A259" si="3">IF(ISBLANK(B196), "", A195+1)</f>
        <v/>
      </c>
      <c r="B196" s="6"/>
      <c r="C196" s="7"/>
      <c r="D196" s="7"/>
      <c r="E196" s="6"/>
      <c r="F196" s="6"/>
      <c r="G196" s="6"/>
      <c r="H196" s="6"/>
      <c r="I196" s="6"/>
      <c r="J196" s="7"/>
      <c r="K196" s="6"/>
      <c r="L196" s="6"/>
      <c r="M196" s="6"/>
      <c r="N196" s="6"/>
      <c r="O196" s="7"/>
      <c r="P196" s="7"/>
      <c r="Q196" s="6"/>
      <c r="R196" s="6"/>
      <c r="S196" s="6"/>
      <c r="T196" s="6"/>
      <c r="U196" s="6"/>
      <c r="V196" s="6"/>
      <c r="W196" s="6"/>
      <c r="X196" s="6"/>
      <c r="Y196" s="6"/>
      <c r="Z196" s="6"/>
      <c r="AA196" s="6"/>
      <c r="AB196" s="6"/>
      <c r="AC196" s="7"/>
      <c r="AD196" s="6"/>
      <c r="AE196" s="6"/>
      <c r="AF196" s="6"/>
      <c r="AG196" s="6"/>
      <c r="AH196" s="6"/>
      <c r="AI196" s="6"/>
      <c r="AJ196" s="6"/>
      <c r="AK196" s="6"/>
      <c r="AM196" s="4" t="b">
        <f>checking!A196</f>
        <v>1</v>
      </c>
      <c r="AN196" s="11" t="str">
        <f>IF(NOT(AM196), checking!AX196,"")</f>
        <v/>
      </c>
    </row>
    <row r="197" spans="1:40" s="16" customFormat="1" x14ac:dyDescent="0.15">
      <c r="A197" s="13" t="str">
        <f t="shared" si="3"/>
        <v/>
      </c>
      <c r="B197" s="14"/>
      <c r="C197" s="14"/>
      <c r="D197" s="15"/>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4"/>
      <c r="AE197" s="14"/>
      <c r="AF197" s="14"/>
      <c r="AG197" s="14"/>
      <c r="AH197" s="14"/>
      <c r="AI197" s="14"/>
      <c r="AJ197" s="14"/>
      <c r="AK197" s="14"/>
      <c r="AM197" s="16" t="b">
        <f>checking!A197</f>
        <v>1</v>
      </c>
      <c r="AN197" s="17" t="str">
        <f>IF(NOT(AM197), checking!AX197,"")</f>
        <v/>
      </c>
    </row>
    <row r="198" spans="1:40" x14ac:dyDescent="0.15">
      <c r="A198" s="5" t="str">
        <f t="shared" si="3"/>
        <v/>
      </c>
      <c r="B198" s="6"/>
      <c r="C198" s="7"/>
      <c r="D198" s="7"/>
      <c r="E198" s="6"/>
      <c r="F198" s="6"/>
      <c r="G198" s="6"/>
      <c r="H198" s="6"/>
      <c r="I198" s="6"/>
      <c r="J198" s="7"/>
      <c r="K198" s="6"/>
      <c r="L198" s="6"/>
      <c r="M198" s="6"/>
      <c r="N198" s="6"/>
      <c r="O198" s="7"/>
      <c r="P198" s="7"/>
      <c r="Q198" s="6"/>
      <c r="R198" s="6"/>
      <c r="S198" s="6"/>
      <c r="T198" s="6"/>
      <c r="U198" s="6"/>
      <c r="V198" s="6"/>
      <c r="W198" s="6"/>
      <c r="X198" s="6"/>
      <c r="Y198" s="6"/>
      <c r="Z198" s="6"/>
      <c r="AA198" s="6"/>
      <c r="AB198" s="6"/>
      <c r="AC198" s="7"/>
      <c r="AD198" s="6"/>
      <c r="AE198" s="6"/>
      <c r="AF198" s="6"/>
      <c r="AG198" s="6"/>
      <c r="AH198" s="6"/>
      <c r="AI198" s="6"/>
      <c r="AJ198" s="6"/>
      <c r="AK198" s="6"/>
      <c r="AM198" s="4" t="b">
        <f>checking!A198</f>
        <v>1</v>
      </c>
      <c r="AN198" s="11" t="str">
        <f>IF(NOT(AM198), checking!AX198,"")</f>
        <v/>
      </c>
    </row>
    <row r="199" spans="1:40" s="16" customFormat="1" x14ac:dyDescent="0.15">
      <c r="A199" s="13" t="str">
        <f t="shared" si="3"/>
        <v/>
      </c>
      <c r="B199" s="14"/>
      <c r="C199" s="14"/>
      <c r="D199" s="15"/>
      <c r="E199" s="14"/>
      <c r="F199" s="14"/>
      <c r="G199" s="14"/>
      <c r="H199" s="14"/>
      <c r="I199" s="14"/>
      <c r="J199" s="14"/>
      <c r="K199" s="14"/>
      <c r="L199" s="14"/>
      <c r="M199" s="14"/>
      <c r="N199" s="14"/>
      <c r="O199" s="14"/>
      <c r="P199" s="14"/>
      <c r="Q199" s="14"/>
      <c r="R199" s="14"/>
      <c r="S199" s="14"/>
      <c r="T199" s="14"/>
      <c r="U199" s="14"/>
      <c r="V199" s="14"/>
      <c r="W199" s="14"/>
      <c r="X199" s="14"/>
      <c r="Y199" s="14"/>
      <c r="Z199" s="14"/>
      <c r="AA199" s="14"/>
      <c r="AB199" s="14"/>
      <c r="AC199" s="14"/>
      <c r="AD199" s="14"/>
      <c r="AE199" s="14"/>
      <c r="AF199" s="14"/>
      <c r="AG199" s="14"/>
      <c r="AH199" s="14"/>
      <c r="AI199" s="14"/>
      <c r="AJ199" s="14"/>
      <c r="AK199" s="14"/>
      <c r="AM199" s="16" t="b">
        <f>checking!A199</f>
        <v>1</v>
      </c>
      <c r="AN199" s="17" t="str">
        <f>IF(NOT(AM199), checking!AX199,"")</f>
        <v/>
      </c>
    </row>
    <row r="200" spans="1:40" x14ac:dyDescent="0.15">
      <c r="A200" s="5" t="str">
        <f t="shared" si="3"/>
        <v/>
      </c>
      <c r="B200" s="6"/>
      <c r="C200" s="7"/>
      <c r="D200" s="7"/>
      <c r="E200" s="6"/>
      <c r="F200" s="6"/>
      <c r="G200" s="6"/>
      <c r="H200" s="6"/>
      <c r="I200" s="6"/>
      <c r="J200" s="7"/>
      <c r="K200" s="6"/>
      <c r="L200" s="6"/>
      <c r="M200" s="6"/>
      <c r="N200" s="6"/>
      <c r="O200" s="7"/>
      <c r="P200" s="7"/>
      <c r="Q200" s="6"/>
      <c r="R200" s="6"/>
      <c r="S200" s="6"/>
      <c r="T200" s="6"/>
      <c r="U200" s="6"/>
      <c r="V200" s="6"/>
      <c r="W200" s="6"/>
      <c r="X200" s="6"/>
      <c r="Y200" s="6"/>
      <c r="Z200" s="6"/>
      <c r="AA200" s="6"/>
      <c r="AB200" s="6"/>
      <c r="AC200" s="7"/>
      <c r="AD200" s="6"/>
      <c r="AE200" s="6"/>
      <c r="AF200" s="6"/>
      <c r="AG200" s="6"/>
      <c r="AH200" s="6"/>
      <c r="AI200" s="6"/>
      <c r="AJ200" s="6"/>
      <c r="AK200" s="6"/>
      <c r="AM200" s="4" t="b">
        <f>checking!A200</f>
        <v>1</v>
      </c>
      <c r="AN200" s="11" t="str">
        <f>IF(NOT(AM200), checking!AX200,"")</f>
        <v/>
      </c>
    </row>
    <row r="201" spans="1:40" s="16" customFormat="1" x14ac:dyDescent="0.15">
      <c r="A201" s="13" t="str">
        <f t="shared" si="3"/>
        <v/>
      </c>
      <c r="B201" s="14"/>
      <c r="C201" s="14"/>
      <c r="D201" s="15"/>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4"/>
      <c r="AE201" s="14"/>
      <c r="AF201" s="14"/>
      <c r="AG201" s="14"/>
      <c r="AH201" s="14"/>
      <c r="AI201" s="14"/>
      <c r="AJ201" s="14"/>
      <c r="AK201" s="14"/>
      <c r="AM201" s="16" t="b">
        <f>checking!A201</f>
        <v>1</v>
      </c>
      <c r="AN201" s="17" t="str">
        <f>IF(NOT(AM201), checking!AX201,"")</f>
        <v/>
      </c>
    </row>
    <row r="202" spans="1:40" x14ac:dyDescent="0.15">
      <c r="A202" s="5" t="str">
        <f t="shared" si="3"/>
        <v/>
      </c>
      <c r="B202" s="6"/>
      <c r="C202" s="7"/>
      <c r="D202" s="7"/>
      <c r="E202" s="6"/>
      <c r="F202" s="6"/>
      <c r="G202" s="6"/>
      <c r="H202" s="6"/>
      <c r="I202" s="6"/>
      <c r="J202" s="7"/>
      <c r="K202" s="6"/>
      <c r="L202" s="6"/>
      <c r="M202" s="6"/>
      <c r="N202" s="6"/>
      <c r="O202" s="7"/>
      <c r="P202" s="7"/>
      <c r="Q202" s="6"/>
      <c r="R202" s="6"/>
      <c r="S202" s="6"/>
      <c r="T202" s="6"/>
      <c r="U202" s="6"/>
      <c r="V202" s="6"/>
      <c r="W202" s="6"/>
      <c r="X202" s="6"/>
      <c r="Y202" s="6"/>
      <c r="Z202" s="6"/>
      <c r="AA202" s="6"/>
      <c r="AB202" s="6"/>
      <c r="AC202" s="7"/>
      <c r="AD202" s="6"/>
      <c r="AE202" s="6"/>
      <c r="AF202" s="6"/>
      <c r="AG202" s="6"/>
      <c r="AH202" s="6"/>
      <c r="AI202" s="6"/>
      <c r="AJ202" s="6"/>
      <c r="AK202" s="6"/>
      <c r="AM202" s="4" t="b">
        <f>checking!A202</f>
        <v>1</v>
      </c>
      <c r="AN202" s="11" t="str">
        <f>IF(NOT(AM202), checking!AX202,"")</f>
        <v/>
      </c>
    </row>
    <row r="203" spans="1:40" s="16" customFormat="1" x14ac:dyDescent="0.15">
      <c r="A203" s="13" t="str">
        <f t="shared" si="3"/>
        <v/>
      </c>
      <c r="B203" s="14"/>
      <c r="C203" s="14"/>
      <c r="D203" s="15"/>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E203" s="14"/>
      <c r="AF203" s="14"/>
      <c r="AG203" s="14"/>
      <c r="AH203" s="14"/>
      <c r="AI203" s="14"/>
      <c r="AJ203" s="14"/>
      <c r="AK203" s="14"/>
      <c r="AM203" s="16" t="b">
        <f>checking!A203</f>
        <v>1</v>
      </c>
      <c r="AN203" s="17" t="str">
        <f>IF(NOT(AM203), checking!AX203,"")</f>
        <v/>
      </c>
    </row>
    <row r="204" spans="1:40" x14ac:dyDescent="0.15">
      <c r="A204" s="5" t="str">
        <f t="shared" si="3"/>
        <v/>
      </c>
      <c r="B204" s="6"/>
      <c r="C204" s="7"/>
      <c r="D204" s="7"/>
      <c r="E204" s="6"/>
      <c r="F204" s="6"/>
      <c r="G204" s="6"/>
      <c r="H204" s="6"/>
      <c r="I204" s="6"/>
      <c r="J204" s="7"/>
      <c r="K204" s="6"/>
      <c r="L204" s="6"/>
      <c r="M204" s="6"/>
      <c r="N204" s="6"/>
      <c r="O204" s="7"/>
      <c r="P204" s="7"/>
      <c r="Q204" s="6"/>
      <c r="R204" s="6"/>
      <c r="S204" s="6"/>
      <c r="T204" s="6"/>
      <c r="U204" s="6"/>
      <c r="V204" s="6"/>
      <c r="W204" s="6"/>
      <c r="X204" s="6"/>
      <c r="Y204" s="6"/>
      <c r="Z204" s="6"/>
      <c r="AA204" s="6"/>
      <c r="AB204" s="6"/>
      <c r="AC204" s="7"/>
      <c r="AD204" s="6"/>
      <c r="AE204" s="6"/>
      <c r="AF204" s="6"/>
      <c r="AG204" s="6"/>
      <c r="AH204" s="6"/>
      <c r="AI204" s="6"/>
      <c r="AJ204" s="6"/>
      <c r="AK204" s="6"/>
      <c r="AM204" s="4" t="b">
        <f>checking!A204</f>
        <v>1</v>
      </c>
      <c r="AN204" s="11" t="str">
        <f>IF(NOT(AM204), checking!AX204,"")</f>
        <v/>
      </c>
    </row>
    <row r="205" spans="1:40" s="16" customFormat="1" x14ac:dyDescent="0.15">
      <c r="A205" s="13" t="str">
        <f t="shared" si="3"/>
        <v/>
      </c>
      <c r="B205" s="14"/>
      <c r="C205" s="14"/>
      <c r="D205" s="15"/>
      <c r="E205" s="14"/>
      <c r="F205" s="14"/>
      <c r="G205" s="14"/>
      <c r="H205" s="14"/>
      <c r="I205" s="14"/>
      <c r="J205" s="14"/>
      <c r="K205" s="14"/>
      <c r="L205" s="14"/>
      <c r="M205" s="14"/>
      <c r="N205" s="14"/>
      <c r="O205" s="14"/>
      <c r="P205" s="14"/>
      <c r="Q205" s="14"/>
      <c r="R205" s="14"/>
      <c r="S205" s="14"/>
      <c r="T205" s="14"/>
      <c r="U205" s="14"/>
      <c r="V205" s="14"/>
      <c r="W205" s="14"/>
      <c r="X205" s="14"/>
      <c r="Y205" s="14"/>
      <c r="Z205" s="14"/>
      <c r="AA205" s="14"/>
      <c r="AB205" s="14"/>
      <c r="AC205" s="14"/>
      <c r="AD205" s="14"/>
      <c r="AE205" s="14"/>
      <c r="AF205" s="14"/>
      <c r="AG205" s="14"/>
      <c r="AH205" s="14"/>
      <c r="AI205" s="14"/>
      <c r="AJ205" s="14"/>
      <c r="AK205" s="14"/>
      <c r="AM205" s="16" t="b">
        <f>checking!A205</f>
        <v>1</v>
      </c>
      <c r="AN205" s="17" t="str">
        <f>IF(NOT(AM205), checking!AX205,"")</f>
        <v/>
      </c>
    </row>
    <row r="206" spans="1:40" x14ac:dyDescent="0.15">
      <c r="A206" s="5" t="str">
        <f t="shared" si="3"/>
        <v/>
      </c>
      <c r="B206" s="6"/>
      <c r="C206" s="7"/>
      <c r="D206" s="7"/>
      <c r="E206" s="6"/>
      <c r="F206" s="6"/>
      <c r="G206" s="6"/>
      <c r="H206" s="6"/>
      <c r="I206" s="6"/>
      <c r="J206" s="7"/>
      <c r="K206" s="6"/>
      <c r="L206" s="6"/>
      <c r="M206" s="6"/>
      <c r="N206" s="6"/>
      <c r="O206" s="7"/>
      <c r="P206" s="7"/>
      <c r="Q206" s="6"/>
      <c r="R206" s="6"/>
      <c r="S206" s="6"/>
      <c r="T206" s="6"/>
      <c r="U206" s="6"/>
      <c r="V206" s="6"/>
      <c r="W206" s="6"/>
      <c r="X206" s="6"/>
      <c r="Y206" s="6"/>
      <c r="Z206" s="6"/>
      <c r="AA206" s="6"/>
      <c r="AB206" s="6"/>
      <c r="AC206" s="7"/>
      <c r="AD206" s="6"/>
      <c r="AE206" s="6"/>
      <c r="AF206" s="6"/>
      <c r="AG206" s="6"/>
      <c r="AH206" s="6"/>
      <c r="AI206" s="6"/>
      <c r="AJ206" s="6"/>
      <c r="AK206" s="6"/>
      <c r="AM206" s="4" t="b">
        <f>checking!A206</f>
        <v>1</v>
      </c>
      <c r="AN206" s="11" t="str">
        <f>IF(NOT(AM206), checking!AX206,"")</f>
        <v/>
      </c>
    </row>
    <row r="207" spans="1:40" s="16" customFormat="1" x14ac:dyDescent="0.15">
      <c r="A207" s="13" t="str">
        <f t="shared" si="3"/>
        <v/>
      </c>
      <c r="B207" s="14"/>
      <c r="C207" s="14"/>
      <c r="D207" s="15"/>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4"/>
      <c r="AE207" s="14"/>
      <c r="AF207" s="14"/>
      <c r="AG207" s="14"/>
      <c r="AH207" s="14"/>
      <c r="AI207" s="14"/>
      <c r="AJ207" s="14"/>
      <c r="AK207" s="14"/>
      <c r="AM207" s="16" t="b">
        <f>checking!A207</f>
        <v>1</v>
      </c>
      <c r="AN207" s="17" t="str">
        <f>IF(NOT(AM207), checking!AX207,"")</f>
        <v/>
      </c>
    </row>
    <row r="208" spans="1:40" x14ac:dyDescent="0.15">
      <c r="A208" s="5" t="str">
        <f t="shared" si="3"/>
        <v/>
      </c>
      <c r="B208" s="6"/>
      <c r="C208" s="7"/>
      <c r="D208" s="7"/>
      <c r="E208" s="6"/>
      <c r="F208" s="6"/>
      <c r="G208" s="6"/>
      <c r="H208" s="6"/>
      <c r="I208" s="6"/>
      <c r="J208" s="7"/>
      <c r="K208" s="6"/>
      <c r="L208" s="6"/>
      <c r="M208" s="6"/>
      <c r="N208" s="6"/>
      <c r="O208" s="7"/>
      <c r="P208" s="7"/>
      <c r="Q208" s="6"/>
      <c r="R208" s="6"/>
      <c r="S208" s="6"/>
      <c r="T208" s="6"/>
      <c r="U208" s="6"/>
      <c r="V208" s="6"/>
      <c r="W208" s="6"/>
      <c r="X208" s="6"/>
      <c r="Y208" s="6"/>
      <c r="Z208" s="6"/>
      <c r="AA208" s="6"/>
      <c r="AB208" s="6"/>
      <c r="AC208" s="7"/>
      <c r="AD208" s="6"/>
      <c r="AE208" s="6"/>
      <c r="AF208" s="6"/>
      <c r="AG208" s="6"/>
      <c r="AH208" s="6"/>
      <c r="AI208" s="6"/>
      <c r="AJ208" s="6"/>
      <c r="AK208" s="6"/>
      <c r="AM208" s="4" t="b">
        <f>checking!A208</f>
        <v>1</v>
      </c>
      <c r="AN208" s="11" t="str">
        <f>IF(NOT(AM208), checking!AX208,"")</f>
        <v/>
      </c>
    </row>
    <row r="209" spans="1:40" s="16" customFormat="1" x14ac:dyDescent="0.15">
      <c r="A209" s="13" t="str">
        <f t="shared" si="3"/>
        <v/>
      </c>
      <c r="B209" s="14"/>
      <c r="C209" s="14"/>
      <c r="D209" s="15"/>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4"/>
      <c r="AE209" s="14"/>
      <c r="AF209" s="14"/>
      <c r="AG209" s="14"/>
      <c r="AH209" s="14"/>
      <c r="AI209" s="14"/>
      <c r="AJ209" s="14"/>
      <c r="AK209" s="14"/>
      <c r="AM209" s="16" t="b">
        <f>checking!A209</f>
        <v>1</v>
      </c>
      <c r="AN209" s="17" t="str">
        <f>IF(NOT(AM209), checking!AX209,"")</f>
        <v/>
      </c>
    </row>
    <row r="210" spans="1:40" x14ac:dyDescent="0.15">
      <c r="A210" s="5" t="str">
        <f t="shared" si="3"/>
        <v/>
      </c>
      <c r="B210" s="6"/>
      <c r="C210" s="7"/>
      <c r="D210" s="7"/>
      <c r="E210" s="6"/>
      <c r="F210" s="6"/>
      <c r="G210" s="6"/>
      <c r="H210" s="6"/>
      <c r="I210" s="6"/>
      <c r="J210" s="7"/>
      <c r="K210" s="6"/>
      <c r="L210" s="6"/>
      <c r="M210" s="6"/>
      <c r="N210" s="6"/>
      <c r="O210" s="7"/>
      <c r="P210" s="7"/>
      <c r="Q210" s="6"/>
      <c r="R210" s="6"/>
      <c r="S210" s="6"/>
      <c r="T210" s="6"/>
      <c r="U210" s="6"/>
      <c r="V210" s="6"/>
      <c r="W210" s="6"/>
      <c r="X210" s="6"/>
      <c r="Y210" s="6"/>
      <c r="Z210" s="6"/>
      <c r="AA210" s="6"/>
      <c r="AB210" s="6"/>
      <c r="AC210" s="7"/>
      <c r="AD210" s="6"/>
      <c r="AE210" s="6"/>
      <c r="AF210" s="6"/>
      <c r="AG210" s="6"/>
      <c r="AH210" s="6"/>
      <c r="AI210" s="6"/>
      <c r="AJ210" s="6"/>
      <c r="AK210" s="6"/>
      <c r="AM210" s="4" t="b">
        <f>checking!A210</f>
        <v>1</v>
      </c>
      <c r="AN210" s="11" t="str">
        <f>IF(NOT(AM210), checking!AX210,"")</f>
        <v/>
      </c>
    </row>
    <row r="211" spans="1:40" s="16" customFormat="1" x14ac:dyDescent="0.15">
      <c r="A211" s="13" t="str">
        <f t="shared" si="3"/>
        <v/>
      </c>
      <c r="B211" s="14"/>
      <c r="C211" s="14"/>
      <c r="D211" s="15"/>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4"/>
      <c r="AE211" s="14"/>
      <c r="AF211" s="14"/>
      <c r="AG211" s="14"/>
      <c r="AH211" s="14"/>
      <c r="AI211" s="14"/>
      <c r="AJ211" s="14"/>
      <c r="AK211" s="14"/>
      <c r="AM211" s="16" t="b">
        <f>checking!A211</f>
        <v>1</v>
      </c>
      <c r="AN211" s="17" t="str">
        <f>IF(NOT(AM211), checking!AX211,"")</f>
        <v/>
      </c>
    </row>
    <row r="212" spans="1:40" x14ac:dyDescent="0.15">
      <c r="A212" s="5" t="str">
        <f t="shared" si="3"/>
        <v/>
      </c>
      <c r="B212" s="6"/>
      <c r="C212" s="7"/>
      <c r="D212" s="7"/>
      <c r="E212" s="6"/>
      <c r="F212" s="6"/>
      <c r="G212" s="6"/>
      <c r="H212" s="6"/>
      <c r="I212" s="6"/>
      <c r="J212" s="7"/>
      <c r="K212" s="6"/>
      <c r="L212" s="6"/>
      <c r="M212" s="6"/>
      <c r="N212" s="6"/>
      <c r="O212" s="7"/>
      <c r="P212" s="7"/>
      <c r="Q212" s="6"/>
      <c r="R212" s="6"/>
      <c r="S212" s="6"/>
      <c r="T212" s="6"/>
      <c r="U212" s="6"/>
      <c r="V212" s="6"/>
      <c r="W212" s="6"/>
      <c r="X212" s="6"/>
      <c r="Y212" s="6"/>
      <c r="Z212" s="6"/>
      <c r="AA212" s="6"/>
      <c r="AB212" s="6"/>
      <c r="AC212" s="7"/>
      <c r="AD212" s="6"/>
      <c r="AE212" s="6"/>
      <c r="AF212" s="6"/>
      <c r="AG212" s="6"/>
      <c r="AH212" s="6"/>
      <c r="AI212" s="6"/>
      <c r="AJ212" s="6"/>
      <c r="AK212" s="6"/>
      <c r="AM212" s="4" t="b">
        <f>checking!A212</f>
        <v>1</v>
      </c>
      <c r="AN212" s="11" t="str">
        <f>IF(NOT(AM212), checking!AX212,"")</f>
        <v/>
      </c>
    </row>
    <row r="213" spans="1:40" s="16" customFormat="1" x14ac:dyDescent="0.15">
      <c r="A213" s="13" t="str">
        <f t="shared" si="3"/>
        <v/>
      </c>
      <c r="B213" s="14"/>
      <c r="C213" s="14"/>
      <c r="D213" s="15"/>
      <c r="E213" s="14"/>
      <c r="F213" s="14"/>
      <c r="G213" s="14"/>
      <c r="H213" s="14"/>
      <c r="I213" s="14"/>
      <c r="J213" s="14"/>
      <c r="K213" s="14"/>
      <c r="L213" s="14"/>
      <c r="M213" s="14"/>
      <c r="N213" s="14"/>
      <c r="O213" s="14"/>
      <c r="P213" s="14"/>
      <c r="Q213" s="14"/>
      <c r="R213" s="14"/>
      <c r="S213" s="14"/>
      <c r="T213" s="14"/>
      <c r="U213" s="14"/>
      <c r="V213" s="14"/>
      <c r="W213" s="14"/>
      <c r="X213" s="14"/>
      <c r="Y213" s="14"/>
      <c r="Z213" s="14"/>
      <c r="AA213" s="14"/>
      <c r="AB213" s="14"/>
      <c r="AC213" s="14"/>
      <c r="AD213" s="14"/>
      <c r="AE213" s="14"/>
      <c r="AF213" s="14"/>
      <c r="AG213" s="14"/>
      <c r="AH213" s="14"/>
      <c r="AI213" s="14"/>
      <c r="AJ213" s="14"/>
      <c r="AK213" s="14"/>
      <c r="AM213" s="16" t="b">
        <f>checking!A213</f>
        <v>1</v>
      </c>
      <c r="AN213" s="17" t="str">
        <f>IF(NOT(AM213), checking!AX213,"")</f>
        <v/>
      </c>
    </row>
    <row r="214" spans="1:40" x14ac:dyDescent="0.15">
      <c r="A214" s="5" t="str">
        <f t="shared" si="3"/>
        <v/>
      </c>
      <c r="B214" s="6"/>
      <c r="C214" s="7"/>
      <c r="D214" s="7"/>
      <c r="E214" s="6"/>
      <c r="F214" s="6"/>
      <c r="G214" s="6"/>
      <c r="H214" s="6"/>
      <c r="I214" s="6"/>
      <c r="J214" s="7"/>
      <c r="K214" s="6"/>
      <c r="L214" s="6"/>
      <c r="M214" s="6"/>
      <c r="N214" s="6"/>
      <c r="O214" s="7"/>
      <c r="P214" s="7"/>
      <c r="Q214" s="6"/>
      <c r="R214" s="6"/>
      <c r="S214" s="6"/>
      <c r="T214" s="6"/>
      <c r="U214" s="6"/>
      <c r="V214" s="6"/>
      <c r="W214" s="6"/>
      <c r="X214" s="6"/>
      <c r="Y214" s="6"/>
      <c r="Z214" s="6"/>
      <c r="AA214" s="6"/>
      <c r="AB214" s="6"/>
      <c r="AC214" s="7"/>
      <c r="AD214" s="6"/>
      <c r="AE214" s="6"/>
      <c r="AF214" s="6"/>
      <c r="AG214" s="6"/>
      <c r="AH214" s="6"/>
      <c r="AI214" s="6"/>
      <c r="AJ214" s="6"/>
      <c r="AK214" s="6"/>
      <c r="AM214" s="4" t="b">
        <f>checking!A214</f>
        <v>1</v>
      </c>
      <c r="AN214" s="11" t="str">
        <f>IF(NOT(AM214), checking!AX214,"")</f>
        <v/>
      </c>
    </row>
    <row r="215" spans="1:40" s="16" customFormat="1" x14ac:dyDescent="0.15">
      <c r="A215" s="13" t="str">
        <f t="shared" si="3"/>
        <v/>
      </c>
      <c r="B215" s="14"/>
      <c r="C215" s="14"/>
      <c r="D215" s="15"/>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4"/>
      <c r="AE215" s="14"/>
      <c r="AF215" s="14"/>
      <c r="AG215" s="14"/>
      <c r="AH215" s="14"/>
      <c r="AI215" s="14"/>
      <c r="AJ215" s="14"/>
      <c r="AK215" s="14"/>
      <c r="AM215" s="16" t="b">
        <f>checking!A215</f>
        <v>1</v>
      </c>
      <c r="AN215" s="17" t="str">
        <f>IF(NOT(AM215), checking!AX215,"")</f>
        <v/>
      </c>
    </row>
    <row r="216" spans="1:40" x14ac:dyDescent="0.15">
      <c r="A216" s="5" t="str">
        <f t="shared" si="3"/>
        <v/>
      </c>
      <c r="B216" s="6"/>
      <c r="C216" s="7"/>
      <c r="D216" s="7"/>
      <c r="E216" s="6"/>
      <c r="F216" s="6"/>
      <c r="G216" s="6"/>
      <c r="H216" s="6"/>
      <c r="I216" s="6"/>
      <c r="J216" s="7"/>
      <c r="K216" s="6"/>
      <c r="L216" s="6"/>
      <c r="M216" s="6"/>
      <c r="N216" s="6"/>
      <c r="O216" s="7"/>
      <c r="P216" s="7"/>
      <c r="Q216" s="6"/>
      <c r="R216" s="6"/>
      <c r="S216" s="6"/>
      <c r="T216" s="6"/>
      <c r="U216" s="6"/>
      <c r="V216" s="6"/>
      <c r="W216" s="6"/>
      <c r="X216" s="6"/>
      <c r="Y216" s="6"/>
      <c r="Z216" s="6"/>
      <c r="AA216" s="6"/>
      <c r="AB216" s="6"/>
      <c r="AC216" s="7"/>
      <c r="AD216" s="6"/>
      <c r="AE216" s="6"/>
      <c r="AF216" s="6"/>
      <c r="AG216" s="6"/>
      <c r="AH216" s="6"/>
      <c r="AI216" s="6"/>
      <c r="AJ216" s="6"/>
      <c r="AK216" s="6"/>
      <c r="AM216" s="4" t="b">
        <f>checking!A216</f>
        <v>1</v>
      </c>
      <c r="AN216" s="11" t="str">
        <f>IF(NOT(AM216), checking!AX216,"")</f>
        <v/>
      </c>
    </row>
    <row r="217" spans="1:40" s="16" customFormat="1" x14ac:dyDescent="0.15">
      <c r="A217" s="13" t="str">
        <f t="shared" si="3"/>
        <v/>
      </c>
      <c r="B217" s="14"/>
      <c r="C217" s="14"/>
      <c r="D217" s="15"/>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4"/>
      <c r="AE217" s="14"/>
      <c r="AF217" s="14"/>
      <c r="AG217" s="14"/>
      <c r="AH217" s="14"/>
      <c r="AI217" s="14"/>
      <c r="AJ217" s="14"/>
      <c r="AK217" s="14"/>
      <c r="AM217" s="16" t="b">
        <f>checking!A217</f>
        <v>1</v>
      </c>
      <c r="AN217" s="17" t="str">
        <f>IF(NOT(AM217), checking!AX217,"")</f>
        <v/>
      </c>
    </row>
    <row r="218" spans="1:40" x14ac:dyDescent="0.15">
      <c r="A218" s="5" t="str">
        <f t="shared" si="3"/>
        <v/>
      </c>
      <c r="B218" s="6"/>
      <c r="C218" s="7"/>
      <c r="D218" s="7"/>
      <c r="E218" s="6"/>
      <c r="F218" s="6"/>
      <c r="G218" s="6"/>
      <c r="H218" s="6"/>
      <c r="I218" s="6"/>
      <c r="J218" s="7"/>
      <c r="K218" s="6"/>
      <c r="L218" s="6"/>
      <c r="M218" s="6"/>
      <c r="N218" s="6"/>
      <c r="O218" s="7"/>
      <c r="P218" s="7"/>
      <c r="Q218" s="6"/>
      <c r="R218" s="6"/>
      <c r="S218" s="6"/>
      <c r="T218" s="6"/>
      <c r="U218" s="6"/>
      <c r="V218" s="6"/>
      <c r="W218" s="6"/>
      <c r="X218" s="6"/>
      <c r="Y218" s="6"/>
      <c r="Z218" s="6"/>
      <c r="AA218" s="6"/>
      <c r="AB218" s="6"/>
      <c r="AC218" s="7"/>
      <c r="AD218" s="6"/>
      <c r="AE218" s="6"/>
      <c r="AF218" s="6"/>
      <c r="AG218" s="6"/>
      <c r="AH218" s="6"/>
      <c r="AI218" s="6"/>
      <c r="AJ218" s="6"/>
      <c r="AK218" s="6"/>
      <c r="AM218" s="4" t="b">
        <f>checking!A218</f>
        <v>1</v>
      </c>
      <c r="AN218" s="11" t="str">
        <f>IF(NOT(AM218), checking!AX218,"")</f>
        <v/>
      </c>
    </row>
    <row r="219" spans="1:40" s="16" customFormat="1" x14ac:dyDescent="0.15">
      <c r="A219" s="13" t="str">
        <f t="shared" si="3"/>
        <v/>
      </c>
      <c r="B219" s="14"/>
      <c r="C219" s="14"/>
      <c r="D219" s="15"/>
      <c r="E219" s="14"/>
      <c r="F219" s="14"/>
      <c r="G219" s="14"/>
      <c r="H219" s="14"/>
      <c r="I219" s="14"/>
      <c r="J219" s="14"/>
      <c r="K219" s="14"/>
      <c r="L219" s="14"/>
      <c r="M219" s="14"/>
      <c r="N219" s="14"/>
      <c r="O219" s="14"/>
      <c r="P219" s="14"/>
      <c r="Q219" s="14"/>
      <c r="R219" s="14"/>
      <c r="S219" s="14"/>
      <c r="T219" s="14"/>
      <c r="U219" s="14"/>
      <c r="V219" s="14"/>
      <c r="W219" s="14"/>
      <c r="X219" s="14"/>
      <c r="Y219" s="14"/>
      <c r="Z219" s="14"/>
      <c r="AA219" s="14"/>
      <c r="AB219" s="14"/>
      <c r="AC219" s="14"/>
      <c r="AD219" s="14"/>
      <c r="AE219" s="14"/>
      <c r="AF219" s="14"/>
      <c r="AG219" s="14"/>
      <c r="AH219" s="14"/>
      <c r="AI219" s="14"/>
      <c r="AJ219" s="14"/>
      <c r="AK219" s="14"/>
      <c r="AM219" s="16" t="b">
        <f>checking!A219</f>
        <v>1</v>
      </c>
      <c r="AN219" s="17" t="str">
        <f>IF(NOT(AM219), checking!AX219,"")</f>
        <v/>
      </c>
    </row>
    <row r="220" spans="1:40" x14ac:dyDescent="0.15">
      <c r="A220" s="5" t="str">
        <f t="shared" si="3"/>
        <v/>
      </c>
      <c r="B220" s="6"/>
      <c r="C220" s="7"/>
      <c r="D220" s="7"/>
      <c r="E220" s="6"/>
      <c r="F220" s="6"/>
      <c r="G220" s="6"/>
      <c r="H220" s="6"/>
      <c r="I220" s="6"/>
      <c r="J220" s="7"/>
      <c r="K220" s="6"/>
      <c r="L220" s="6"/>
      <c r="M220" s="6"/>
      <c r="N220" s="6"/>
      <c r="O220" s="7"/>
      <c r="P220" s="7"/>
      <c r="Q220" s="6"/>
      <c r="R220" s="6"/>
      <c r="S220" s="6"/>
      <c r="T220" s="6"/>
      <c r="U220" s="6"/>
      <c r="V220" s="6"/>
      <c r="W220" s="6"/>
      <c r="X220" s="6"/>
      <c r="Y220" s="6"/>
      <c r="Z220" s="6"/>
      <c r="AA220" s="6"/>
      <c r="AB220" s="6"/>
      <c r="AC220" s="7"/>
      <c r="AD220" s="6"/>
      <c r="AE220" s="6"/>
      <c r="AF220" s="6"/>
      <c r="AG220" s="6"/>
      <c r="AH220" s="6"/>
      <c r="AI220" s="6"/>
      <c r="AJ220" s="6"/>
      <c r="AK220" s="6"/>
      <c r="AM220" s="4" t="b">
        <f>checking!A220</f>
        <v>1</v>
      </c>
      <c r="AN220" s="11" t="str">
        <f>IF(NOT(AM220), checking!AX220,"")</f>
        <v/>
      </c>
    </row>
    <row r="221" spans="1:40" s="16" customFormat="1" x14ac:dyDescent="0.15">
      <c r="A221" s="13" t="str">
        <f t="shared" si="3"/>
        <v/>
      </c>
      <c r="B221" s="14"/>
      <c r="C221" s="14"/>
      <c r="D221" s="15"/>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4"/>
      <c r="AE221" s="14"/>
      <c r="AF221" s="14"/>
      <c r="AG221" s="14"/>
      <c r="AH221" s="14"/>
      <c r="AI221" s="14"/>
      <c r="AJ221" s="14"/>
      <c r="AK221" s="14"/>
      <c r="AM221" s="16" t="b">
        <f>checking!A221</f>
        <v>1</v>
      </c>
      <c r="AN221" s="17" t="str">
        <f>IF(NOT(AM221), checking!AX221,"")</f>
        <v/>
      </c>
    </row>
    <row r="222" spans="1:40" x14ac:dyDescent="0.15">
      <c r="A222" s="5" t="str">
        <f t="shared" si="3"/>
        <v/>
      </c>
      <c r="B222" s="6"/>
      <c r="C222" s="7"/>
      <c r="D222" s="7"/>
      <c r="E222" s="6"/>
      <c r="F222" s="6"/>
      <c r="G222" s="6"/>
      <c r="H222" s="6"/>
      <c r="I222" s="6"/>
      <c r="J222" s="7"/>
      <c r="K222" s="6"/>
      <c r="L222" s="6"/>
      <c r="M222" s="6"/>
      <c r="N222" s="6"/>
      <c r="O222" s="7"/>
      <c r="P222" s="7"/>
      <c r="Q222" s="6"/>
      <c r="R222" s="6"/>
      <c r="S222" s="6"/>
      <c r="T222" s="6"/>
      <c r="U222" s="6"/>
      <c r="V222" s="6"/>
      <c r="W222" s="6"/>
      <c r="X222" s="6"/>
      <c r="Y222" s="6"/>
      <c r="Z222" s="6"/>
      <c r="AA222" s="6"/>
      <c r="AB222" s="6"/>
      <c r="AC222" s="7"/>
      <c r="AD222" s="6"/>
      <c r="AE222" s="6"/>
      <c r="AF222" s="6"/>
      <c r="AG222" s="6"/>
      <c r="AH222" s="6"/>
      <c r="AI222" s="6"/>
      <c r="AJ222" s="6"/>
      <c r="AK222" s="6"/>
      <c r="AM222" s="4" t="b">
        <f>checking!A222</f>
        <v>1</v>
      </c>
      <c r="AN222" s="11" t="str">
        <f>IF(NOT(AM222), checking!AX222,"")</f>
        <v/>
      </c>
    </row>
    <row r="223" spans="1:40" s="16" customFormat="1" x14ac:dyDescent="0.15">
      <c r="A223" s="13" t="str">
        <f t="shared" si="3"/>
        <v/>
      </c>
      <c r="B223" s="14"/>
      <c r="C223" s="14"/>
      <c r="D223" s="15"/>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4"/>
      <c r="AE223" s="14"/>
      <c r="AF223" s="14"/>
      <c r="AG223" s="14"/>
      <c r="AH223" s="14"/>
      <c r="AI223" s="14"/>
      <c r="AJ223" s="14"/>
      <c r="AK223" s="14"/>
      <c r="AM223" s="16" t="b">
        <f>checking!A223</f>
        <v>1</v>
      </c>
      <c r="AN223" s="17" t="str">
        <f>IF(NOT(AM223), checking!AX223,"")</f>
        <v/>
      </c>
    </row>
    <row r="224" spans="1:40" x14ac:dyDescent="0.15">
      <c r="A224" s="5" t="str">
        <f t="shared" si="3"/>
        <v/>
      </c>
      <c r="B224" s="6"/>
      <c r="C224" s="7"/>
      <c r="D224" s="7"/>
      <c r="E224" s="6"/>
      <c r="F224" s="6"/>
      <c r="G224" s="6"/>
      <c r="H224" s="6"/>
      <c r="I224" s="6"/>
      <c r="J224" s="7"/>
      <c r="K224" s="6"/>
      <c r="L224" s="6"/>
      <c r="M224" s="6"/>
      <c r="N224" s="6"/>
      <c r="O224" s="7"/>
      <c r="P224" s="7"/>
      <c r="Q224" s="6"/>
      <c r="R224" s="6"/>
      <c r="S224" s="6"/>
      <c r="T224" s="6"/>
      <c r="U224" s="6"/>
      <c r="V224" s="6"/>
      <c r="W224" s="6"/>
      <c r="X224" s="6"/>
      <c r="Y224" s="6"/>
      <c r="Z224" s="6"/>
      <c r="AA224" s="6"/>
      <c r="AB224" s="6"/>
      <c r="AC224" s="7"/>
      <c r="AD224" s="6"/>
      <c r="AE224" s="6"/>
      <c r="AF224" s="6"/>
      <c r="AG224" s="6"/>
      <c r="AH224" s="6"/>
      <c r="AI224" s="6"/>
      <c r="AJ224" s="6"/>
      <c r="AK224" s="6"/>
      <c r="AM224" s="4" t="b">
        <f>checking!A224</f>
        <v>1</v>
      </c>
      <c r="AN224" s="11" t="str">
        <f>IF(NOT(AM224), checking!AX224,"")</f>
        <v/>
      </c>
    </row>
    <row r="225" spans="1:40" s="16" customFormat="1" x14ac:dyDescent="0.15">
      <c r="A225" s="13" t="str">
        <f t="shared" si="3"/>
        <v/>
      </c>
      <c r="B225" s="14"/>
      <c r="C225" s="14"/>
      <c r="D225" s="15"/>
      <c r="E225" s="14"/>
      <c r="F225" s="14"/>
      <c r="G225" s="14"/>
      <c r="H225" s="14"/>
      <c r="I225" s="14"/>
      <c r="J225" s="14"/>
      <c r="K225" s="14"/>
      <c r="L225" s="14"/>
      <c r="M225" s="14"/>
      <c r="N225" s="14"/>
      <c r="O225" s="14"/>
      <c r="P225" s="14"/>
      <c r="Q225" s="14"/>
      <c r="R225" s="14"/>
      <c r="S225" s="14"/>
      <c r="T225" s="14"/>
      <c r="U225" s="14"/>
      <c r="V225" s="14"/>
      <c r="W225" s="14"/>
      <c r="X225" s="14"/>
      <c r="Y225" s="14"/>
      <c r="Z225" s="14"/>
      <c r="AA225" s="14"/>
      <c r="AB225" s="14"/>
      <c r="AC225" s="14"/>
      <c r="AD225" s="14"/>
      <c r="AE225" s="14"/>
      <c r="AF225" s="14"/>
      <c r="AG225" s="14"/>
      <c r="AH225" s="14"/>
      <c r="AI225" s="14"/>
      <c r="AJ225" s="14"/>
      <c r="AK225" s="14"/>
      <c r="AM225" s="16" t="b">
        <f>checking!A225</f>
        <v>1</v>
      </c>
      <c r="AN225" s="17" t="str">
        <f>IF(NOT(AM225), checking!AX225,"")</f>
        <v/>
      </c>
    </row>
    <row r="226" spans="1:40" x14ac:dyDescent="0.15">
      <c r="A226" s="5" t="str">
        <f t="shared" si="3"/>
        <v/>
      </c>
      <c r="B226" s="6"/>
      <c r="C226" s="7"/>
      <c r="D226" s="7"/>
      <c r="E226" s="6"/>
      <c r="F226" s="6"/>
      <c r="G226" s="6"/>
      <c r="H226" s="6"/>
      <c r="I226" s="6"/>
      <c r="J226" s="7"/>
      <c r="K226" s="6"/>
      <c r="L226" s="6"/>
      <c r="M226" s="6"/>
      <c r="N226" s="6"/>
      <c r="O226" s="7"/>
      <c r="P226" s="7"/>
      <c r="Q226" s="6"/>
      <c r="R226" s="6"/>
      <c r="S226" s="6"/>
      <c r="T226" s="6"/>
      <c r="U226" s="6"/>
      <c r="V226" s="6"/>
      <c r="W226" s="6"/>
      <c r="X226" s="6"/>
      <c r="Y226" s="6"/>
      <c r="Z226" s="6"/>
      <c r="AA226" s="6"/>
      <c r="AB226" s="6"/>
      <c r="AC226" s="7"/>
      <c r="AD226" s="6"/>
      <c r="AE226" s="6"/>
      <c r="AF226" s="6"/>
      <c r="AG226" s="6"/>
      <c r="AH226" s="6"/>
      <c r="AI226" s="6"/>
      <c r="AJ226" s="6"/>
      <c r="AK226" s="6"/>
      <c r="AM226" s="4" t="b">
        <f>checking!A226</f>
        <v>1</v>
      </c>
      <c r="AN226" s="11" t="str">
        <f>IF(NOT(AM226), checking!AX226,"")</f>
        <v/>
      </c>
    </row>
    <row r="227" spans="1:40" s="16" customFormat="1" x14ac:dyDescent="0.15">
      <c r="A227" s="13" t="str">
        <f t="shared" si="3"/>
        <v/>
      </c>
      <c r="B227" s="14"/>
      <c r="C227" s="14"/>
      <c r="D227" s="15"/>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4"/>
      <c r="AE227" s="14"/>
      <c r="AF227" s="14"/>
      <c r="AG227" s="14"/>
      <c r="AH227" s="14"/>
      <c r="AI227" s="14"/>
      <c r="AJ227" s="14"/>
      <c r="AK227" s="14"/>
      <c r="AM227" s="16" t="b">
        <f>checking!A227</f>
        <v>1</v>
      </c>
      <c r="AN227" s="17" t="str">
        <f>IF(NOT(AM227), checking!AX227,"")</f>
        <v/>
      </c>
    </row>
    <row r="228" spans="1:40" x14ac:dyDescent="0.15">
      <c r="A228" s="5" t="str">
        <f t="shared" si="3"/>
        <v/>
      </c>
      <c r="B228" s="6"/>
      <c r="C228" s="7"/>
      <c r="D228" s="7"/>
      <c r="E228" s="6"/>
      <c r="F228" s="6"/>
      <c r="G228" s="6"/>
      <c r="H228" s="6"/>
      <c r="I228" s="6"/>
      <c r="J228" s="7"/>
      <c r="K228" s="6"/>
      <c r="L228" s="6"/>
      <c r="M228" s="6"/>
      <c r="N228" s="6"/>
      <c r="O228" s="7"/>
      <c r="P228" s="7"/>
      <c r="Q228" s="6"/>
      <c r="R228" s="6"/>
      <c r="S228" s="6"/>
      <c r="T228" s="6"/>
      <c r="U228" s="6"/>
      <c r="V228" s="6"/>
      <c r="W228" s="6"/>
      <c r="X228" s="6"/>
      <c r="Y228" s="6"/>
      <c r="Z228" s="6"/>
      <c r="AA228" s="6"/>
      <c r="AB228" s="6"/>
      <c r="AC228" s="7"/>
      <c r="AD228" s="6"/>
      <c r="AE228" s="6"/>
      <c r="AF228" s="6"/>
      <c r="AG228" s="6"/>
      <c r="AH228" s="6"/>
      <c r="AI228" s="6"/>
      <c r="AJ228" s="6"/>
      <c r="AK228" s="6"/>
      <c r="AM228" s="4" t="b">
        <f>checking!A228</f>
        <v>1</v>
      </c>
      <c r="AN228" s="11" t="str">
        <f>IF(NOT(AM228), checking!AX228,"")</f>
        <v/>
      </c>
    </row>
    <row r="229" spans="1:40" s="16" customFormat="1" x14ac:dyDescent="0.15">
      <c r="A229" s="13" t="str">
        <f t="shared" si="3"/>
        <v/>
      </c>
      <c r="B229" s="14"/>
      <c r="C229" s="14"/>
      <c r="D229" s="15"/>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4"/>
      <c r="AE229" s="14"/>
      <c r="AF229" s="14"/>
      <c r="AG229" s="14"/>
      <c r="AH229" s="14"/>
      <c r="AI229" s="14"/>
      <c r="AJ229" s="14"/>
      <c r="AK229" s="14"/>
      <c r="AM229" s="16" t="b">
        <f>checking!A229</f>
        <v>1</v>
      </c>
      <c r="AN229" s="17" t="str">
        <f>IF(NOT(AM229), checking!AX229,"")</f>
        <v/>
      </c>
    </row>
    <row r="230" spans="1:40" x14ac:dyDescent="0.15">
      <c r="A230" s="5" t="str">
        <f t="shared" si="3"/>
        <v/>
      </c>
      <c r="B230" s="6"/>
      <c r="C230" s="7"/>
      <c r="D230" s="7"/>
      <c r="E230" s="6"/>
      <c r="F230" s="6"/>
      <c r="G230" s="6"/>
      <c r="H230" s="6"/>
      <c r="I230" s="6"/>
      <c r="J230" s="7"/>
      <c r="K230" s="6"/>
      <c r="L230" s="6"/>
      <c r="M230" s="6"/>
      <c r="N230" s="6"/>
      <c r="O230" s="7"/>
      <c r="P230" s="7"/>
      <c r="Q230" s="6"/>
      <c r="R230" s="6"/>
      <c r="S230" s="6"/>
      <c r="T230" s="6"/>
      <c r="U230" s="6"/>
      <c r="V230" s="6"/>
      <c r="W230" s="6"/>
      <c r="X230" s="6"/>
      <c r="Y230" s="6"/>
      <c r="Z230" s="6"/>
      <c r="AA230" s="6"/>
      <c r="AB230" s="6"/>
      <c r="AC230" s="7"/>
      <c r="AD230" s="6"/>
      <c r="AE230" s="6"/>
      <c r="AF230" s="6"/>
      <c r="AG230" s="6"/>
      <c r="AH230" s="6"/>
      <c r="AI230" s="6"/>
      <c r="AJ230" s="6"/>
      <c r="AK230" s="6"/>
      <c r="AM230" s="4" t="b">
        <f>checking!A230</f>
        <v>1</v>
      </c>
      <c r="AN230" s="11" t="str">
        <f>IF(NOT(AM230), checking!AX230,"")</f>
        <v/>
      </c>
    </row>
    <row r="231" spans="1:40" s="16" customFormat="1" x14ac:dyDescent="0.15">
      <c r="A231" s="13" t="str">
        <f t="shared" si="3"/>
        <v/>
      </c>
      <c r="B231" s="14"/>
      <c r="C231" s="14"/>
      <c r="D231" s="15"/>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4"/>
      <c r="AE231" s="14"/>
      <c r="AF231" s="14"/>
      <c r="AG231" s="14"/>
      <c r="AH231" s="14"/>
      <c r="AI231" s="14"/>
      <c r="AJ231" s="14"/>
      <c r="AK231" s="14"/>
      <c r="AM231" s="16" t="b">
        <f>checking!A231</f>
        <v>1</v>
      </c>
      <c r="AN231" s="17" t="str">
        <f>IF(NOT(AM231), checking!AX231,"")</f>
        <v/>
      </c>
    </row>
    <row r="232" spans="1:40" x14ac:dyDescent="0.15">
      <c r="A232" s="5" t="str">
        <f t="shared" si="3"/>
        <v/>
      </c>
      <c r="B232" s="6"/>
      <c r="C232" s="7"/>
      <c r="D232" s="7"/>
      <c r="E232" s="6"/>
      <c r="F232" s="6"/>
      <c r="G232" s="6"/>
      <c r="H232" s="6"/>
      <c r="I232" s="6"/>
      <c r="J232" s="7"/>
      <c r="K232" s="6"/>
      <c r="L232" s="6"/>
      <c r="M232" s="6"/>
      <c r="N232" s="6"/>
      <c r="O232" s="7"/>
      <c r="P232" s="7"/>
      <c r="Q232" s="6"/>
      <c r="R232" s="6"/>
      <c r="S232" s="6"/>
      <c r="T232" s="6"/>
      <c r="U232" s="6"/>
      <c r="V232" s="6"/>
      <c r="W232" s="6"/>
      <c r="X232" s="6"/>
      <c r="Y232" s="6"/>
      <c r="Z232" s="6"/>
      <c r="AA232" s="6"/>
      <c r="AB232" s="6"/>
      <c r="AC232" s="7"/>
      <c r="AD232" s="6"/>
      <c r="AE232" s="6"/>
      <c r="AF232" s="6"/>
      <c r="AG232" s="6"/>
      <c r="AH232" s="6"/>
      <c r="AI232" s="6"/>
      <c r="AJ232" s="6"/>
      <c r="AK232" s="6"/>
      <c r="AM232" s="4" t="b">
        <f>checking!A232</f>
        <v>1</v>
      </c>
      <c r="AN232" s="11" t="str">
        <f>IF(NOT(AM232), checking!AX232,"")</f>
        <v/>
      </c>
    </row>
    <row r="233" spans="1:40" s="16" customFormat="1" x14ac:dyDescent="0.15">
      <c r="A233" s="13" t="str">
        <f t="shared" si="3"/>
        <v/>
      </c>
      <c r="B233" s="14"/>
      <c r="C233" s="14"/>
      <c r="D233" s="15"/>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4"/>
      <c r="AE233" s="14"/>
      <c r="AF233" s="14"/>
      <c r="AG233" s="14"/>
      <c r="AH233" s="14"/>
      <c r="AI233" s="14"/>
      <c r="AJ233" s="14"/>
      <c r="AK233" s="14"/>
      <c r="AM233" s="16" t="b">
        <f>checking!A233</f>
        <v>1</v>
      </c>
      <c r="AN233" s="17" t="str">
        <f>IF(NOT(AM233), checking!AX233,"")</f>
        <v/>
      </c>
    </row>
    <row r="234" spans="1:40" x14ac:dyDescent="0.15">
      <c r="A234" s="5" t="str">
        <f t="shared" si="3"/>
        <v/>
      </c>
      <c r="B234" s="6"/>
      <c r="C234" s="7"/>
      <c r="D234" s="7"/>
      <c r="E234" s="6"/>
      <c r="F234" s="6"/>
      <c r="G234" s="6"/>
      <c r="H234" s="6"/>
      <c r="I234" s="6"/>
      <c r="J234" s="7"/>
      <c r="K234" s="6"/>
      <c r="L234" s="6"/>
      <c r="M234" s="6"/>
      <c r="N234" s="6"/>
      <c r="O234" s="7"/>
      <c r="P234" s="7"/>
      <c r="Q234" s="6"/>
      <c r="R234" s="6"/>
      <c r="S234" s="6"/>
      <c r="T234" s="6"/>
      <c r="U234" s="6"/>
      <c r="V234" s="6"/>
      <c r="W234" s="6"/>
      <c r="X234" s="6"/>
      <c r="Y234" s="6"/>
      <c r="Z234" s="6"/>
      <c r="AA234" s="6"/>
      <c r="AB234" s="6"/>
      <c r="AC234" s="7"/>
      <c r="AD234" s="6"/>
      <c r="AE234" s="6"/>
      <c r="AF234" s="6"/>
      <c r="AG234" s="6"/>
      <c r="AH234" s="6"/>
      <c r="AI234" s="6"/>
      <c r="AJ234" s="6"/>
      <c r="AK234" s="6"/>
      <c r="AM234" s="4" t="b">
        <f>checking!A234</f>
        <v>1</v>
      </c>
      <c r="AN234" s="11" t="str">
        <f>IF(NOT(AM234), checking!AX234,"")</f>
        <v/>
      </c>
    </row>
    <row r="235" spans="1:40" s="16" customFormat="1" x14ac:dyDescent="0.15">
      <c r="A235" s="13" t="str">
        <f t="shared" si="3"/>
        <v/>
      </c>
      <c r="B235" s="14"/>
      <c r="C235" s="14"/>
      <c r="D235" s="15"/>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4"/>
      <c r="AE235" s="14"/>
      <c r="AF235" s="14"/>
      <c r="AG235" s="14"/>
      <c r="AH235" s="14"/>
      <c r="AI235" s="14"/>
      <c r="AJ235" s="14"/>
      <c r="AK235" s="14"/>
      <c r="AM235" s="16" t="b">
        <f>checking!A235</f>
        <v>1</v>
      </c>
      <c r="AN235" s="17" t="str">
        <f>IF(NOT(AM235), checking!AX235,"")</f>
        <v/>
      </c>
    </row>
    <row r="236" spans="1:40" x14ac:dyDescent="0.15">
      <c r="A236" s="5" t="str">
        <f t="shared" si="3"/>
        <v/>
      </c>
      <c r="B236" s="6"/>
      <c r="C236" s="7"/>
      <c r="D236" s="7"/>
      <c r="E236" s="6"/>
      <c r="F236" s="6"/>
      <c r="G236" s="6"/>
      <c r="H236" s="6"/>
      <c r="I236" s="6"/>
      <c r="J236" s="7"/>
      <c r="K236" s="6"/>
      <c r="L236" s="6"/>
      <c r="M236" s="6"/>
      <c r="N236" s="6"/>
      <c r="O236" s="7"/>
      <c r="P236" s="7"/>
      <c r="Q236" s="6"/>
      <c r="R236" s="6"/>
      <c r="S236" s="6"/>
      <c r="T236" s="6"/>
      <c r="U236" s="6"/>
      <c r="V236" s="6"/>
      <c r="W236" s="6"/>
      <c r="X236" s="6"/>
      <c r="Y236" s="6"/>
      <c r="Z236" s="6"/>
      <c r="AA236" s="6"/>
      <c r="AB236" s="6"/>
      <c r="AC236" s="7"/>
      <c r="AD236" s="6"/>
      <c r="AE236" s="6"/>
      <c r="AF236" s="6"/>
      <c r="AG236" s="6"/>
      <c r="AH236" s="6"/>
      <c r="AI236" s="6"/>
      <c r="AJ236" s="6"/>
      <c r="AK236" s="6"/>
      <c r="AM236" s="4" t="b">
        <f>checking!A236</f>
        <v>1</v>
      </c>
      <c r="AN236" s="11" t="str">
        <f>IF(NOT(AM236), checking!AX236,"")</f>
        <v/>
      </c>
    </row>
    <row r="237" spans="1:40" s="16" customFormat="1" x14ac:dyDescent="0.15">
      <c r="A237" s="13" t="str">
        <f t="shared" si="3"/>
        <v/>
      </c>
      <c r="B237" s="14"/>
      <c r="C237" s="14"/>
      <c r="D237" s="15"/>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4"/>
      <c r="AE237" s="14"/>
      <c r="AF237" s="14"/>
      <c r="AG237" s="14"/>
      <c r="AH237" s="14"/>
      <c r="AI237" s="14"/>
      <c r="AJ237" s="14"/>
      <c r="AK237" s="14"/>
      <c r="AM237" s="16" t="b">
        <f>checking!A237</f>
        <v>1</v>
      </c>
      <c r="AN237" s="17" t="str">
        <f>IF(NOT(AM237), checking!AX237,"")</f>
        <v/>
      </c>
    </row>
    <row r="238" spans="1:40" x14ac:dyDescent="0.15">
      <c r="A238" s="5" t="str">
        <f t="shared" si="3"/>
        <v/>
      </c>
      <c r="B238" s="6"/>
      <c r="C238" s="7"/>
      <c r="D238" s="7"/>
      <c r="E238" s="6"/>
      <c r="F238" s="6"/>
      <c r="G238" s="6"/>
      <c r="H238" s="6"/>
      <c r="I238" s="6"/>
      <c r="J238" s="7"/>
      <c r="K238" s="6"/>
      <c r="L238" s="6"/>
      <c r="M238" s="6"/>
      <c r="N238" s="6"/>
      <c r="O238" s="7"/>
      <c r="P238" s="7"/>
      <c r="Q238" s="6"/>
      <c r="R238" s="6"/>
      <c r="S238" s="6"/>
      <c r="T238" s="6"/>
      <c r="U238" s="6"/>
      <c r="V238" s="6"/>
      <c r="W238" s="6"/>
      <c r="X238" s="6"/>
      <c r="Y238" s="6"/>
      <c r="Z238" s="6"/>
      <c r="AA238" s="6"/>
      <c r="AB238" s="6"/>
      <c r="AC238" s="7"/>
      <c r="AD238" s="6"/>
      <c r="AE238" s="6"/>
      <c r="AF238" s="6"/>
      <c r="AG238" s="6"/>
      <c r="AH238" s="6"/>
      <c r="AI238" s="6"/>
      <c r="AJ238" s="6"/>
      <c r="AK238" s="6"/>
      <c r="AM238" s="4" t="b">
        <f>checking!A238</f>
        <v>1</v>
      </c>
      <c r="AN238" s="11" t="str">
        <f>IF(NOT(AM238), checking!AX238,"")</f>
        <v/>
      </c>
    </row>
    <row r="239" spans="1:40" s="16" customFormat="1" x14ac:dyDescent="0.15">
      <c r="A239" s="13" t="str">
        <f t="shared" si="3"/>
        <v/>
      </c>
      <c r="B239" s="14"/>
      <c r="C239" s="14"/>
      <c r="D239" s="15"/>
      <c r="E239" s="14"/>
      <c r="F239" s="14"/>
      <c r="G239" s="14"/>
      <c r="H239" s="14"/>
      <c r="I239" s="14"/>
      <c r="J239" s="14"/>
      <c r="K239" s="14"/>
      <c r="L239" s="14"/>
      <c r="M239" s="14"/>
      <c r="N239" s="14"/>
      <c r="O239" s="14"/>
      <c r="P239" s="14"/>
      <c r="Q239" s="14"/>
      <c r="R239" s="14"/>
      <c r="S239" s="14"/>
      <c r="T239" s="14"/>
      <c r="U239" s="14"/>
      <c r="V239" s="14"/>
      <c r="W239" s="14"/>
      <c r="X239" s="14"/>
      <c r="Y239" s="14"/>
      <c r="Z239" s="14"/>
      <c r="AA239" s="14"/>
      <c r="AB239" s="14"/>
      <c r="AC239" s="14"/>
      <c r="AD239" s="14"/>
      <c r="AE239" s="14"/>
      <c r="AF239" s="14"/>
      <c r="AG239" s="14"/>
      <c r="AH239" s="14"/>
      <c r="AI239" s="14"/>
      <c r="AJ239" s="14"/>
      <c r="AK239" s="14"/>
      <c r="AM239" s="16" t="b">
        <f>checking!A239</f>
        <v>1</v>
      </c>
      <c r="AN239" s="17" t="str">
        <f>IF(NOT(AM239), checking!AX239,"")</f>
        <v/>
      </c>
    </row>
    <row r="240" spans="1:40" x14ac:dyDescent="0.15">
      <c r="A240" s="5" t="str">
        <f t="shared" si="3"/>
        <v/>
      </c>
      <c r="B240" s="6"/>
      <c r="C240" s="7"/>
      <c r="D240" s="7"/>
      <c r="E240" s="6"/>
      <c r="F240" s="6"/>
      <c r="G240" s="6"/>
      <c r="H240" s="6"/>
      <c r="I240" s="6"/>
      <c r="J240" s="7"/>
      <c r="K240" s="6"/>
      <c r="L240" s="6"/>
      <c r="M240" s="6"/>
      <c r="N240" s="6"/>
      <c r="O240" s="7"/>
      <c r="P240" s="7"/>
      <c r="Q240" s="6"/>
      <c r="R240" s="6"/>
      <c r="S240" s="6"/>
      <c r="T240" s="6"/>
      <c r="U240" s="6"/>
      <c r="V240" s="6"/>
      <c r="W240" s="6"/>
      <c r="X240" s="6"/>
      <c r="Y240" s="6"/>
      <c r="Z240" s="6"/>
      <c r="AA240" s="6"/>
      <c r="AB240" s="6"/>
      <c r="AC240" s="7"/>
      <c r="AD240" s="6"/>
      <c r="AE240" s="6"/>
      <c r="AF240" s="6"/>
      <c r="AG240" s="6"/>
      <c r="AH240" s="6"/>
      <c r="AI240" s="6"/>
      <c r="AJ240" s="6"/>
      <c r="AK240" s="6"/>
      <c r="AM240" s="4" t="b">
        <f>checking!A240</f>
        <v>1</v>
      </c>
      <c r="AN240" s="11" t="str">
        <f>IF(NOT(AM240), checking!AX240,"")</f>
        <v/>
      </c>
    </row>
    <row r="241" spans="1:40" s="16" customFormat="1" x14ac:dyDescent="0.15">
      <c r="A241" s="13" t="str">
        <f t="shared" si="3"/>
        <v/>
      </c>
      <c r="B241" s="14"/>
      <c r="C241" s="14"/>
      <c r="D241" s="15"/>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4"/>
      <c r="AE241" s="14"/>
      <c r="AF241" s="14"/>
      <c r="AG241" s="14"/>
      <c r="AH241" s="14"/>
      <c r="AI241" s="14"/>
      <c r="AJ241" s="14"/>
      <c r="AK241" s="14"/>
      <c r="AM241" s="16" t="b">
        <f>checking!A241</f>
        <v>1</v>
      </c>
      <c r="AN241" s="17" t="str">
        <f>IF(NOT(AM241), checking!AX241,"")</f>
        <v/>
      </c>
    </row>
    <row r="242" spans="1:40" x14ac:dyDescent="0.15">
      <c r="A242" s="5" t="str">
        <f t="shared" si="3"/>
        <v/>
      </c>
      <c r="B242" s="6"/>
      <c r="C242" s="7"/>
      <c r="D242" s="7"/>
      <c r="E242" s="6"/>
      <c r="F242" s="6"/>
      <c r="G242" s="6"/>
      <c r="H242" s="6"/>
      <c r="I242" s="6"/>
      <c r="J242" s="7"/>
      <c r="K242" s="6"/>
      <c r="L242" s="6"/>
      <c r="M242" s="6"/>
      <c r="N242" s="6"/>
      <c r="O242" s="7"/>
      <c r="P242" s="7"/>
      <c r="Q242" s="6"/>
      <c r="R242" s="6"/>
      <c r="S242" s="6"/>
      <c r="T242" s="6"/>
      <c r="U242" s="6"/>
      <c r="V242" s="6"/>
      <c r="W242" s="6"/>
      <c r="X242" s="6"/>
      <c r="Y242" s="6"/>
      <c r="Z242" s="6"/>
      <c r="AA242" s="6"/>
      <c r="AB242" s="6"/>
      <c r="AC242" s="7"/>
      <c r="AD242" s="6"/>
      <c r="AE242" s="6"/>
      <c r="AF242" s="6"/>
      <c r="AG242" s="6"/>
      <c r="AH242" s="6"/>
      <c r="AI242" s="6"/>
      <c r="AJ242" s="6"/>
      <c r="AK242" s="6"/>
      <c r="AM242" s="4" t="b">
        <f>checking!A242</f>
        <v>1</v>
      </c>
      <c r="AN242" s="11" t="str">
        <f>IF(NOT(AM242), checking!AX242,"")</f>
        <v/>
      </c>
    </row>
    <row r="243" spans="1:40" s="16" customFormat="1" x14ac:dyDescent="0.15">
      <c r="A243" s="13" t="str">
        <f t="shared" si="3"/>
        <v/>
      </c>
      <c r="B243" s="14"/>
      <c r="C243" s="14"/>
      <c r="D243" s="15"/>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E243" s="14"/>
      <c r="AF243" s="14"/>
      <c r="AG243" s="14"/>
      <c r="AH243" s="14"/>
      <c r="AI243" s="14"/>
      <c r="AJ243" s="14"/>
      <c r="AK243" s="14"/>
      <c r="AM243" s="16" t="b">
        <f>checking!A243</f>
        <v>1</v>
      </c>
      <c r="AN243" s="17" t="str">
        <f>IF(NOT(AM243), checking!AX243,"")</f>
        <v/>
      </c>
    </row>
    <row r="244" spans="1:40" x14ac:dyDescent="0.15">
      <c r="A244" s="5" t="str">
        <f t="shared" si="3"/>
        <v/>
      </c>
      <c r="B244" s="6"/>
      <c r="C244" s="7"/>
      <c r="D244" s="7"/>
      <c r="E244" s="6"/>
      <c r="F244" s="6"/>
      <c r="G244" s="6"/>
      <c r="H244" s="6"/>
      <c r="I244" s="6"/>
      <c r="J244" s="7"/>
      <c r="K244" s="6"/>
      <c r="L244" s="6"/>
      <c r="M244" s="6"/>
      <c r="N244" s="6"/>
      <c r="O244" s="7"/>
      <c r="P244" s="7"/>
      <c r="Q244" s="6"/>
      <c r="R244" s="6"/>
      <c r="S244" s="6"/>
      <c r="T244" s="6"/>
      <c r="U244" s="6"/>
      <c r="V244" s="6"/>
      <c r="W244" s="6"/>
      <c r="X244" s="6"/>
      <c r="Y244" s="6"/>
      <c r="Z244" s="6"/>
      <c r="AA244" s="6"/>
      <c r="AB244" s="6"/>
      <c r="AC244" s="7"/>
      <c r="AD244" s="6"/>
      <c r="AE244" s="6"/>
      <c r="AF244" s="6"/>
      <c r="AG244" s="6"/>
      <c r="AH244" s="6"/>
      <c r="AI244" s="6"/>
      <c r="AJ244" s="6"/>
      <c r="AK244" s="6"/>
      <c r="AM244" s="4" t="b">
        <f>checking!A244</f>
        <v>1</v>
      </c>
      <c r="AN244" s="11" t="str">
        <f>IF(NOT(AM244), checking!AX244,"")</f>
        <v/>
      </c>
    </row>
    <row r="245" spans="1:40" s="16" customFormat="1" x14ac:dyDescent="0.15">
      <c r="A245" s="13" t="str">
        <f t="shared" si="3"/>
        <v/>
      </c>
      <c r="B245" s="14"/>
      <c r="C245" s="14"/>
      <c r="D245" s="15"/>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4"/>
      <c r="AE245" s="14"/>
      <c r="AF245" s="14"/>
      <c r="AG245" s="14"/>
      <c r="AH245" s="14"/>
      <c r="AI245" s="14"/>
      <c r="AJ245" s="14"/>
      <c r="AK245" s="14"/>
      <c r="AM245" s="16" t="b">
        <f>checking!A245</f>
        <v>1</v>
      </c>
      <c r="AN245" s="17" t="str">
        <f>IF(NOT(AM245), checking!AX245,"")</f>
        <v/>
      </c>
    </row>
    <row r="246" spans="1:40" x14ac:dyDescent="0.15">
      <c r="A246" s="5" t="str">
        <f t="shared" si="3"/>
        <v/>
      </c>
      <c r="B246" s="6"/>
      <c r="C246" s="7"/>
      <c r="D246" s="7"/>
      <c r="E246" s="6"/>
      <c r="F246" s="6"/>
      <c r="G246" s="6"/>
      <c r="H246" s="6"/>
      <c r="I246" s="6"/>
      <c r="J246" s="7"/>
      <c r="K246" s="6"/>
      <c r="L246" s="6"/>
      <c r="M246" s="6"/>
      <c r="N246" s="6"/>
      <c r="O246" s="7"/>
      <c r="P246" s="7"/>
      <c r="Q246" s="6"/>
      <c r="R246" s="6"/>
      <c r="S246" s="6"/>
      <c r="T246" s="6"/>
      <c r="U246" s="6"/>
      <c r="V246" s="6"/>
      <c r="W246" s="6"/>
      <c r="X246" s="6"/>
      <c r="Y246" s="6"/>
      <c r="Z246" s="6"/>
      <c r="AA246" s="6"/>
      <c r="AB246" s="6"/>
      <c r="AC246" s="7"/>
      <c r="AD246" s="6"/>
      <c r="AE246" s="6"/>
      <c r="AF246" s="6"/>
      <c r="AG246" s="6"/>
      <c r="AH246" s="6"/>
      <c r="AI246" s="6"/>
      <c r="AJ246" s="6"/>
      <c r="AK246" s="6"/>
      <c r="AM246" s="4" t="b">
        <f>checking!A246</f>
        <v>1</v>
      </c>
      <c r="AN246" s="11" t="str">
        <f>IF(NOT(AM246), checking!AX246,"")</f>
        <v/>
      </c>
    </row>
    <row r="247" spans="1:40" s="16" customFormat="1" x14ac:dyDescent="0.15">
      <c r="A247" s="13" t="str">
        <f t="shared" si="3"/>
        <v/>
      </c>
      <c r="B247" s="14"/>
      <c r="C247" s="14"/>
      <c r="D247" s="15"/>
      <c r="E247" s="14"/>
      <c r="F247" s="14"/>
      <c r="G247" s="14"/>
      <c r="H247" s="14"/>
      <c r="I247" s="14"/>
      <c r="J247" s="14"/>
      <c r="K247" s="14"/>
      <c r="L247" s="14"/>
      <c r="M247" s="14"/>
      <c r="N247" s="14"/>
      <c r="O247" s="14"/>
      <c r="P247" s="14"/>
      <c r="Q247" s="14"/>
      <c r="R247" s="14"/>
      <c r="S247" s="14"/>
      <c r="T247" s="14"/>
      <c r="U247" s="14"/>
      <c r="V247" s="14"/>
      <c r="W247" s="14"/>
      <c r="X247" s="14"/>
      <c r="Y247" s="14"/>
      <c r="Z247" s="14"/>
      <c r="AA247" s="14"/>
      <c r="AB247" s="14"/>
      <c r="AC247" s="14"/>
      <c r="AD247" s="14"/>
      <c r="AE247" s="14"/>
      <c r="AF247" s="14"/>
      <c r="AG247" s="14"/>
      <c r="AH247" s="14"/>
      <c r="AI247" s="14"/>
      <c r="AJ247" s="14"/>
      <c r="AK247" s="14"/>
      <c r="AM247" s="16" t="b">
        <f>checking!A247</f>
        <v>1</v>
      </c>
      <c r="AN247" s="17" t="str">
        <f>IF(NOT(AM247), checking!AX247,"")</f>
        <v/>
      </c>
    </row>
    <row r="248" spans="1:40" x14ac:dyDescent="0.15">
      <c r="A248" s="5" t="str">
        <f t="shared" si="3"/>
        <v/>
      </c>
      <c r="B248" s="6"/>
      <c r="C248" s="7"/>
      <c r="D248" s="7"/>
      <c r="E248" s="6"/>
      <c r="F248" s="6"/>
      <c r="G248" s="6"/>
      <c r="H248" s="6"/>
      <c r="I248" s="6"/>
      <c r="J248" s="7"/>
      <c r="K248" s="6"/>
      <c r="L248" s="6"/>
      <c r="M248" s="6"/>
      <c r="N248" s="6"/>
      <c r="O248" s="7"/>
      <c r="P248" s="7"/>
      <c r="Q248" s="6"/>
      <c r="R248" s="6"/>
      <c r="S248" s="6"/>
      <c r="T248" s="6"/>
      <c r="U248" s="6"/>
      <c r="V248" s="6"/>
      <c r="W248" s="6"/>
      <c r="X248" s="6"/>
      <c r="Y248" s="6"/>
      <c r="Z248" s="6"/>
      <c r="AA248" s="6"/>
      <c r="AB248" s="6"/>
      <c r="AC248" s="7"/>
      <c r="AD248" s="6"/>
      <c r="AE248" s="6"/>
      <c r="AF248" s="6"/>
      <c r="AG248" s="6"/>
      <c r="AH248" s="6"/>
      <c r="AI248" s="6"/>
      <c r="AJ248" s="6"/>
      <c r="AK248" s="6"/>
      <c r="AM248" s="4" t="b">
        <f>checking!A248</f>
        <v>1</v>
      </c>
      <c r="AN248" s="11" t="str">
        <f>IF(NOT(AM248), checking!AX248,"")</f>
        <v/>
      </c>
    </row>
    <row r="249" spans="1:40" s="16" customFormat="1" x14ac:dyDescent="0.15">
      <c r="A249" s="13" t="str">
        <f t="shared" si="3"/>
        <v/>
      </c>
      <c r="B249" s="14"/>
      <c r="C249" s="14"/>
      <c r="D249" s="15"/>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4"/>
      <c r="AE249" s="14"/>
      <c r="AF249" s="14"/>
      <c r="AG249" s="14"/>
      <c r="AH249" s="14"/>
      <c r="AI249" s="14"/>
      <c r="AJ249" s="14"/>
      <c r="AK249" s="14"/>
      <c r="AM249" s="16" t="b">
        <f>checking!A249</f>
        <v>1</v>
      </c>
      <c r="AN249" s="17" t="str">
        <f>IF(NOT(AM249), checking!AX249,"")</f>
        <v/>
      </c>
    </row>
    <row r="250" spans="1:40" x14ac:dyDescent="0.15">
      <c r="A250" s="5" t="str">
        <f t="shared" si="3"/>
        <v/>
      </c>
      <c r="B250" s="6"/>
      <c r="C250" s="7"/>
      <c r="D250" s="7"/>
      <c r="E250" s="6"/>
      <c r="F250" s="6"/>
      <c r="G250" s="6"/>
      <c r="H250" s="6"/>
      <c r="I250" s="6"/>
      <c r="J250" s="7"/>
      <c r="K250" s="6"/>
      <c r="L250" s="6"/>
      <c r="M250" s="6"/>
      <c r="N250" s="6"/>
      <c r="O250" s="7"/>
      <c r="P250" s="7"/>
      <c r="Q250" s="6"/>
      <c r="R250" s="6"/>
      <c r="S250" s="6"/>
      <c r="T250" s="6"/>
      <c r="U250" s="6"/>
      <c r="V250" s="6"/>
      <c r="W250" s="6"/>
      <c r="X250" s="6"/>
      <c r="Y250" s="6"/>
      <c r="Z250" s="6"/>
      <c r="AA250" s="6"/>
      <c r="AB250" s="6"/>
      <c r="AC250" s="7"/>
      <c r="AD250" s="6"/>
      <c r="AE250" s="6"/>
      <c r="AF250" s="6"/>
      <c r="AG250" s="6"/>
      <c r="AH250" s="6"/>
      <c r="AI250" s="6"/>
      <c r="AJ250" s="6"/>
      <c r="AK250" s="6"/>
      <c r="AM250" s="4" t="b">
        <f>checking!A250</f>
        <v>1</v>
      </c>
      <c r="AN250" s="11" t="str">
        <f>IF(NOT(AM250), checking!AX250,"")</f>
        <v/>
      </c>
    </row>
    <row r="251" spans="1:40" s="16" customFormat="1" x14ac:dyDescent="0.15">
      <c r="A251" s="13" t="str">
        <f t="shared" si="3"/>
        <v/>
      </c>
      <c r="B251" s="14"/>
      <c r="C251" s="14"/>
      <c r="D251" s="15"/>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4"/>
      <c r="AE251" s="14"/>
      <c r="AF251" s="14"/>
      <c r="AG251" s="14"/>
      <c r="AH251" s="14"/>
      <c r="AI251" s="14"/>
      <c r="AJ251" s="14"/>
      <c r="AK251" s="14"/>
      <c r="AM251" s="16" t="b">
        <f>checking!A251</f>
        <v>1</v>
      </c>
      <c r="AN251" s="17" t="str">
        <f>IF(NOT(AM251), checking!AX251,"")</f>
        <v/>
      </c>
    </row>
    <row r="252" spans="1:40" x14ac:dyDescent="0.15">
      <c r="A252" s="5" t="str">
        <f t="shared" si="3"/>
        <v/>
      </c>
      <c r="B252" s="6"/>
      <c r="C252" s="7"/>
      <c r="D252" s="7"/>
      <c r="E252" s="6"/>
      <c r="F252" s="6"/>
      <c r="G252" s="6"/>
      <c r="H252" s="6"/>
      <c r="I252" s="6"/>
      <c r="J252" s="7"/>
      <c r="K252" s="6"/>
      <c r="L252" s="6"/>
      <c r="M252" s="6"/>
      <c r="N252" s="6"/>
      <c r="O252" s="7"/>
      <c r="P252" s="7"/>
      <c r="Q252" s="6"/>
      <c r="R252" s="6"/>
      <c r="S252" s="6"/>
      <c r="T252" s="6"/>
      <c r="U252" s="6"/>
      <c r="V252" s="6"/>
      <c r="W252" s="6"/>
      <c r="X252" s="6"/>
      <c r="Y252" s="6"/>
      <c r="Z252" s="6"/>
      <c r="AA252" s="6"/>
      <c r="AB252" s="6"/>
      <c r="AC252" s="7"/>
      <c r="AD252" s="6"/>
      <c r="AE252" s="6"/>
      <c r="AF252" s="6"/>
      <c r="AG252" s="6"/>
      <c r="AH252" s="6"/>
      <c r="AI252" s="6"/>
      <c r="AJ252" s="6"/>
      <c r="AK252" s="6"/>
      <c r="AM252" s="4" t="b">
        <f>checking!A252</f>
        <v>1</v>
      </c>
      <c r="AN252" s="11" t="str">
        <f>IF(NOT(AM252), checking!AX252,"")</f>
        <v/>
      </c>
    </row>
    <row r="253" spans="1:40" s="16" customFormat="1" x14ac:dyDescent="0.15">
      <c r="A253" s="13" t="str">
        <f t="shared" si="3"/>
        <v/>
      </c>
      <c r="B253" s="14"/>
      <c r="C253" s="14"/>
      <c r="D253" s="15"/>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4"/>
      <c r="AE253" s="14"/>
      <c r="AF253" s="14"/>
      <c r="AG253" s="14"/>
      <c r="AH253" s="14"/>
      <c r="AI253" s="14"/>
      <c r="AJ253" s="14"/>
      <c r="AK253" s="14"/>
      <c r="AM253" s="16" t="b">
        <f>checking!A253</f>
        <v>1</v>
      </c>
      <c r="AN253" s="17" t="str">
        <f>IF(NOT(AM253), checking!AX253,"")</f>
        <v/>
      </c>
    </row>
    <row r="254" spans="1:40" x14ac:dyDescent="0.15">
      <c r="A254" s="5" t="str">
        <f t="shared" si="3"/>
        <v/>
      </c>
      <c r="B254" s="6"/>
      <c r="C254" s="7"/>
      <c r="D254" s="7"/>
      <c r="E254" s="6"/>
      <c r="F254" s="6"/>
      <c r="G254" s="6"/>
      <c r="H254" s="6"/>
      <c r="I254" s="6"/>
      <c r="J254" s="7"/>
      <c r="K254" s="6"/>
      <c r="L254" s="6"/>
      <c r="M254" s="6"/>
      <c r="N254" s="6"/>
      <c r="O254" s="7"/>
      <c r="P254" s="7"/>
      <c r="Q254" s="6"/>
      <c r="R254" s="6"/>
      <c r="S254" s="6"/>
      <c r="T254" s="6"/>
      <c r="U254" s="6"/>
      <c r="V254" s="6"/>
      <c r="W254" s="6"/>
      <c r="X254" s="6"/>
      <c r="Y254" s="6"/>
      <c r="Z254" s="6"/>
      <c r="AA254" s="6"/>
      <c r="AB254" s="6"/>
      <c r="AC254" s="7"/>
      <c r="AD254" s="6"/>
      <c r="AE254" s="6"/>
      <c r="AF254" s="6"/>
      <c r="AG254" s="6"/>
      <c r="AH254" s="6"/>
      <c r="AI254" s="6"/>
      <c r="AJ254" s="6"/>
      <c r="AK254" s="6"/>
      <c r="AM254" s="4" t="b">
        <f>checking!A254</f>
        <v>1</v>
      </c>
      <c r="AN254" s="11" t="str">
        <f>IF(NOT(AM254), checking!AX254,"")</f>
        <v/>
      </c>
    </row>
    <row r="255" spans="1:40" s="16" customFormat="1" x14ac:dyDescent="0.15">
      <c r="A255" s="13" t="str">
        <f t="shared" si="3"/>
        <v/>
      </c>
      <c r="B255" s="14"/>
      <c r="C255" s="14"/>
      <c r="D255" s="15"/>
      <c r="E255" s="14"/>
      <c r="F255" s="14"/>
      <c r="G255" s="14"/>
      <c r="H255" s="14"/>
      <c r="I255" s="14"/>
      <c r="J255" s="14"/>
      <c r="K255" s="14"/>
      <c r="L255" s="14"/>
      <c r="M255" s="14"/>
      <c r="N255" s="14"/>
      <c r="O255" s="14"/>
      <c r="P255" s="14"/>
      <c r="Q255" s="14"/>
      <c r="R255" s="14"/>
      <c r="S255" s="14"/>
      <c r="T255" s="14"/>
      <c r="U255" s="14"/>
      <c r="V255" s="14"/>
      <c r="W255" s="14"/>
      <c r="X255" s="14"/>
      <c r="Y255" s="14"/>
      <c r="Z255" s="14"/>
      <c r="AA255" s="14"/>
      <c r="AB255" s="14"/>
      <c r="AC255" s="14"/>
      <c r="AD255" s="14"/>
      <c r="AE255" s="14"/>
      <c r="AF255" s="14"/>
      <c r="AG255" s="14"/>
      <c r="AH255" s="14"/>
      <c r="AI255" s="14"/>
      <c r="AJ255" s="14"/>
      <c r="AK255" s="14"/>
      <c r="AM255" s="16" t="b">
        <f>checking!A255</f>
        <v>1</v>
      </c>
      <c r="AN255" s="17" t="str">
        <f>IF(NOT(AM255), checking!AX255,"")</f>
        <v/>
      </c>
    </row>
    <row r="256" spans="1:40" x14ac:dyDescent="0.15">
      <c r="A256" s="5" t="str">
        <f t="shared" si="3"/>
        <v/>
      </c>
      <c r="B256" s="6"/>
      <c r="C256" s="7"/>
      <c r="D256" s="7"/>
      <c r="E256" s="6"/>
      <c r="F256" s="6"/>
      <c r="G256" s="6"/>
      <c r="H256" s="6"/>
      <c r="I256" s="6"/>
      <c r="J256" s="7"/>
      <c r="K256" s="6"/>
      <c r="L256" s="6"/>
      <c r="M256" s="6"/>
      <c r="N256" s="6"/>
      <c r="O256" s="7"/>
      <c r="P256" s="7"/>
      <c r="Q256" s="6"/>
      <c r="R256" s="6"/>
      <c r="S256" s="6"/>
      <c r="T256" s="6"/>
      <c r="U256" s="6"/>
      <c r="V256" s="6"/>
      <c r="W256" s="6"/>
      <c r="X256" s="6"/>
      <c r="Y256" s="6"/>
      <c r="Z256" s="6"/>
      <c r="AA256" s="6"/>
      <c r="AB256" s="6"/>
      <c r="AC256" s="7"/>
      <c r="AD256" s="6"/>
      <c r="AE256" s="6"/>
      <c r="AF256" s="6"/>
      <c r="AG256" s="6"/>
      <c r="AH256" s="6"/>
      <c r="AI256" s="6"/>
      <c r="AJ256" s="6"/>
      <c r="AK256" s="6"/>
      <c r="AM256" s="4" t="b">
        <f>checking!A256</f>
        <v>1</v>
      </c>
      <c r="AN256" s="11" t="str">
        <f>IF(NOT(AM256), checking!AX256,"")</f>
        <v/>
      </c>
    </row>
    <row r="257" spans="1:40" s="16" customFormat="1" x14ac:dyDescent="0.15">
      <c r="A257" s="13" t="str">
        <f t="shared" si="3"/>
        <v/>
      </c>
      <c r="B257" s="14"/>
      <c r="C257" s="14"/>
      <c r="D257" s="15"/>
      <c r="E257" s="14"/>
      <c r="F257" s="14"/>
      <c r="G257" s="14"/>
      <c r="H257" s="14"/>
      <c r="I257" s="14"/>
      <c r="J257" s="14"/>
      <c r="K257" s="14"/>
      <c r="L257" s="14"/>
      <c r="M257" s="14"/>
      <c r="N257" s="14"/>
      <c r="O257" s="14"/>
      <c r="P257" s="14"/>
      <c r="Q257" s="14"/>
      <c r="R257" s="14"/>
      <c r="S257" s="14"/>
      <c r="T257" s="14"/>
      <c r="U257" s="14"/>
      <c r="V257" s="14"/>
      <c r="W257" s="14"/>
      <c r="X257" s="14"/>
      <c r="Y257" s="14"/>
      <c r="Z257" s="14"/>
      <c r="AA257" s="14"/>
      <c r="AB257" s="14"/>
      <c r="AC257" s="14"/>
      <c r="AD257" s="14"/>
      <c r="AE257" s="14"/>
      <c r="AF257" s="14"/>
      <c r="AG257" s="14"/>
      <c r="AH257" s="14"/>
      <c r="AI257" s="14"/>
      <c r="AJ257" s="14"/>
      <c r="AK257" s="14"/>
      <c r="AM257" s="16" t="b">
        <f>checking!A257</f>
        <v>1</v>
      </c>
      <c r="AN257" s="17" t="str">
        <f>IF(NOT(AM257), checking!AX257,"")</f>
        <v/>
      </c>
    </row>
    <row r="258" spans="1:40" x14ac:dyDescent="0.15">
      <c r="A258" s="5" t="str">
        <f t="shared" si="3"/>
        <v/>
      </c>
      <c r="B258" s="6"/>
      <c r="C258" s="7"/>
      <c r="D258" s="7"/>
      <c r="E258" s="6"/>
      <c r="F258" s="6"/>
      <c r="G258" s="6"/>
      <c r="H258" s="6"/>
      <c r="I258" s="6"/>
      <c r="J258" s="7"/>
      <c r="K258" s="6"/>
      <c r="L258" s="6"/>
      <c r="M258" s="6"/>
      <c r="N258" s="6"/>
      <c r="O258" s="7"/>
      <c r="P258" s="7"/>
      <c r="Q258" s="6"/>
      <c r="R258" s="6"/>
      <c r="S258" s="6"/>
      <c r="T258" s="6"/>
      <c r="U258" s="6"/>
      <c r="V258" s="6"/>
      <c r="W258" s="6"/>
      <c r="X258" s="6"/>
      <c r="Y258" s="6"/>
      <c r="Z258" s="6"/>
      <c r="AA258" s="6"/>
      <c r="AB258" s="6"/>
      <c r="AC258" s="7"/>
      <c r="AD258" s="6"/>
      <c r="AE258" s="6"/>
      <c r="AF258" s="6"/>
      <c r="AG258" s="6"/>
      <c r="AH258" s="6"/>
      <c r="AI258" s="6"/>
      <c r="AJ258" s="6"/>
      <c r="AK258" s="6"/>
      <c r="AM258" s="4" t="b">
        <f>checking!A258</f>
        <v>1</v>
      </c>
      <c r="AN258" s="11" t="str">
        <f>IF(NOT(AM258), checking!AX258,"")</f>
        <v/>
      </c>
    </row>
    <row r="259" spans="1:40" s="16" customFormat="1" x14ac:dyDescent="0.15">
      <c r="A259" s="13" t="str">
        <f t="shared" si="3"/>
        <v/>
      </c>
      <c r="B259" s="14"/>
      <c r="C259" s="14"/>
      <c r="D259" s="15"/>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4"/>
      <c r="AE259" s="14"/>
      <c r="AF259" s="14"/>
      <c r="AG259" s="14"/>
      <c r="AH259" s="14"/>
      <c r="AI259" s="14"/>
      <c r="AJ259" s="14"/>
      <c r="AK259" s="14"/>
      <c r="AM259" s="16" t="b">
        <f>checking!A259</f>
        <v>1</v>
      </c>
      <c r="AN259" s="17" t="str">
        <f>IF(NOT(AM259), checking!AX259,"")</f>
        <v/>
      </c>
    </row>
    <row r="260" spans="1:40" x14ac:dyDescent="0.15">
      <c r="A260" s="5" t="str">
        <f t="shared" ref="A260:A277" si="4">IF(ISBLANK(B260), "", A259+1)</f>
        <v/>
      </c>
      <c r="B260" s="6"/>
      <c r="C260" s="7"/>
      <c r="D260" s="7"/>
      <c r="E260" s="6"/>
      <c r="F260" s="6"/>
      <c r="G260" s="6"/>
      <c r="H260" s="6"/>
      <c r="I260" s="6"/>
      <c r="J260" s="7"/>
      <c r="K260" s="6"/>
      <c r="L260" s="6"/>
      <c r="M260" s="6"/>
      <c r="N260" s="6"/>
      <c r="O260" s="7"/>
      <c r="P260" s="7"/>
      <c r="Q260" s="6"/>
      <c r="R260" s="6"/>
      <c r="S260" s="6"/>
      <c r="T260" s="6"/>
      <c r="U260" s="6"/>
      <c r="V260" s="6"/>
      <c r="W260" s="6"/>
      <c r="X260" s="6"/>
      <c r="Y260" s="6"/>
      <c r="Z260" s="6"/>
      <c r="AA260" s="6"/>
      <c r="AB260" s="6"/>
      <c r="AC260" s="7"/>
      <c r="AD260" s="6"/>
      <c r="AE260" s="6"/>
      <c r="AF260" s="6"/>
      <c r="AG260" s="6"/>
      <c r="AH260" s="6"/>
      <c r="AI260" s="6"/>
      <c r="AJ260" s="6"/>
      <c r="AK260" s="6"/>
      <c r="AM260" s="4" t="b">
        <f>checking!A260</f>
        <v>1</v>
      </c>
      <c r="AN260" s="11" t="str">
        <f>IF(NOT(AM260), checking!AX260,"")</f>
        <v/>
      </c>
    </row>
    <row r="261" spans="1:40" s="16" customFormat="1" x14ac:dyDescent="0.15">
      <c r="A261" s="13" t="str">
        <f t="shared" si="4"/>
        <v/>
      </c>
      <c r="B261" s="14"/>
      <c r="C261" s="14"/>
      <c r="D261" s="15"/>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4"/>
      <c r="AE261" s="14"/>
      <c r="AF261" s="14"/>
      <c r="AG261" s="14"/>
      <c r="AH261" s="14"/>
      <c r="AI261" s="14"/>
      <c r="AJ261" s="14"/>
      <c r="AK261" s="14"/>
      <c r="AM261" s="16" t="b">
        <f>checking!A261</f>
        <v>1</v>
      </c>
      <c r="AN261" s="17" t="str">
        <f>IF(NOT(AM261), checking!AX261,"")</f>
        <v/>
      </c>
    </row>
    <row r="262" spans="1:40" x14ac:dyDescent="0.15">
      <c r="A262" s="5" t="str">
        <f t="shared" si="4"/>
        <v/>
      </c>
      <c r="B262" s="6"/>
      <c r="C262" s="7"/>
      <c r="D262" s="7"/>
      <c r="E262" s="6"/>
      <c r="F262" s="6"/>
      <c r="G262" s="6"/>
      <c r="H262" s="6"/>
      <c r="I262" s="6"/>
      <c r="J262" s="7"/>
      <c r="K262" s="6"/>
      <c r="L262" s="6"/>
      <c r="M262" s="6"/>
      <c r="N262" s="6"/>
      <c r="O262" s="7"/>
      <c r="P262" s="7"/>
      <c r="Q262" s="6"/>
      <c r="R262" s="6"/>
      <c r="S262" s="6"/>
      <c r="T262" s="6"/>
      <c r="U262" s="6"/>
      <c r="V262" s="6"/>
      <c r="W262" s="6"/>
      <c r="X262" s="6"/>
      <c r="Y262" s="6"/>
      <c r="Z262" s="6"/>
      <c r="AA262" s="6"/>
      <c r="AB262" s="6"/>
      <c r="AC262" s="7"/>
      <c r="AD262" s="6"/>
      <c r="AE262" s="6"/>
      <c r="AF262" s="6"/>
      <c r="AG262" s="6"/>
      <c r="AH262" s="6"/>
      <c r="AI262" s="6"/>
      <c r="AJ262" s="6"/>
      <c r="AK262" s="6"/>
      <c r="AM262" s="4" t="b">
        <f>checking!A262</f>
        <v>1</v>
      </c>
      <c r="AN262" s="11" t="str">
        <f>IF(NOT(AM262), checking!AX262,"")</f>
        <v/>
      </c>
    </row>
    <row r="263" spans="1:40" s="16" customFormat="1" x14ac:dyDescent="0.15">
      <c r="A263" s="13" t="str">
        <f t="shared" si="4"/>
        <v/>
      </c>
      <c r="B263" s="14"/>
      <c r="C263" s="14"/>
      <c r="D263" s="15"/>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4"/>
      <c r="AE263" s="14"/>
      <c r="AF263" s="14"/>
      <c r="AG263" s="14"/>
      <c r="AH263" s="14"/>
      <c r="AI263" s="14"/>
      <c r="AJ263" s="14"/>
      <c r="AK263" s="14"/>
      <c r="AM263" s="16" t="b">
        <f>checking!A263</f>
        <v>1</v>
      </c>
      <c r="AN263" s="17" t="str">
        <f>IF(NOT(AM263), checking!AX263,"")</f>
        <v/>
      </c>
    </row>
    <row r="264" spans="1:40" x14ac:dyDescent="0.15">
      <c r="A264" s="5" t="str">
        <f t="shared" si="4"/>
        <v/>
      </c>
      <c r="B264" s="6"/>
      <c r="C264" s="7"/>
      <c r="D264" s="7"/>
      <c r="E264" s="6"/>
      <c r="F264" s="6"/>
      <c r="G264" s="6"/>
      <c r="H264" s="6"/>
      <c r="I264" s="6"/>
      <c r="J264" s="7"/>
      <c r="K264" s="6"/>
      <c r="L264" s="6"/>
      <c r="M264" s="6"/>
      <c r="N264" s="6"/>
      <c r="O264" s="7"/>
      <c r="P264" s="7"/>
      <c r="Q264" s="6"/>
      <c r="R264" s="6"/>
      <c r="S264" s="6"/>
      <c r="T264" s="6"/>
      <c r="U264" s="6"/>
      <c r="V264" s="6"/>
      <c r="W264" s="6"/>
      <c r="X264" s="6"/>
      <c r="Y264" s="6"/>
      <c r="Z264" s="6"/>
      <c r="AA264" s="6"/>
      <c r="AB264" s="6"/>
      <c r="AC264" s="7"/>
      <c r="AD264" s="6"/>
      <c r="AE264" s="6"/>
      <c r="AF264" s="6"/>
      <c r="AG264" s="6"/>
      <c r="AH264" s="6"/>
      <c r="AI264" s="6"/>
      <c r="AJ264" s="6"/>
      <c r="AK264" s="6"/>
      <c r="AM264" s="4" t="b">
        <f>checking!A264</f>
        <v>1</v>
      </c>
      <c r="AN264" s="11" t="str">
        <f>IF(NOT(AM264), checking!AX264,"")</f>
        <v/>
      </c>
    </row>
    <row r="265" spans="1:40" s="16" customFormat="1" x14ac:dyDescent="0.15">
      <c r="A265" s="13" t="str">
        <f t="shared" si="4"/>
        <v/>
      </c>
      <c r="B265" s="14"/>
      <c r="C265" s="14"/>
      <c r="D265" s="15"/>
      <c r="E265" s="14"/>
      <c r="F265" s="14"/>
      <c r="G265" s="14"/>
      <c r="H265" s="14"/>
      <c r="I265" s="14"/>
      <c r="J265" s="14"/>
      <c r="K265" s="14"/>
      <c r="L265" s="14"/>
      <c r="M265" s="14"/>
      <c r="N265" s="14"/>
      <c r="O265" s="14"/>
      <c r="P265" s="14"/>
      <c r="Q265" s="14"/>
      <c r="R265" s="14"/>
      <c r="S265" s="14"/>
      <c r="T265" s="14"/>
      <c r="U265" s="14"/>
      <c r="V265" s="14"/>
      <c r="W265" s="14"/>
      <c r="X265" s="14"/>
      <c r="Y265" s="14"/>
      <c r="Z265" s="14"/>
      <c r="AA265" s="14"/>
      <c r="AB265" s="14"/>
      <c r="AC265" s="14"/>
      <c r="AD265" s="14"/>
      <c r="AE265" s="14"/>
      <c r="AF265" s="14"/>
      <c r="AG265" s="14"/>
      <c r="AH265" s="14"/>
      <c r="AI265" s="14"/>
      <c r="AJ265" s="14"/>
      <c r="AK265" s="14"/>
      <c r="AM265" s="16" t="b">
        <f>checking!A265</f>
        <v>1</v>
      </c>
      <c r="AN265" s="17" t="str">
        <f>IF(NOT(AM265), checking!AX265,"")</f>
        <v/>
      </c>
    </row>
    <row r="266" spans="1:40" x14ac:dyDescent="0.15">
      <c r="A266" s="5" t="str">
        <f t="shared" si="4"/>
        <v/>
      </c>
      <c r="B266" s="6"/>
      <c r="C266" s="7"/>
      <c r="D266" s="7"/>
      <c r="E266" s="6"/>
      <c r="F266" s="6"/>
      <c r="G266" s="6"/>
      <c r="H266" s="6"/>
      <c r="I266" s="6"/>
      <c r="J266" s="7"/>
      <c r="K266" s="6"/>
      <c r="L266" s="6"/>
      <c r="M266" s="6"/>
      <c r="N266" s="6"/>
      <c r="O266" s="7"/>
      <c r="P266" s="7"/>
      <c r="Q266" s="6"/>
      <c r="R266" s="6"/>
      <c r="S266" s="6"/>
      <c r="T266" s="6"/>
      <c r="U266" s="6"/>
      <c r="V266" s="6"/>
      <c r="W266" s="6"/>
      <c r="X266" s="6"/>
      <c r="Y266" s="6"/>
      <c r="Z266" s="6"/>
      <c r="AA266" s="6"/>
      <c r="AB266" s="6"/>
      <c r="AC266" s="7"/>
      <c r="AD266" s="6"/>
      <c r="AE266" s="6"/>
      <c r="AF266" s="6"/>
      <c r="AG266" s="6"/>
      <c r="AH266" s="6"/>
      <c r="AI266" s="6"/>
      <c r="AJ266" s="6"/>
      <c r="AK266" s="6"/>
      <c r="AM266" s="4" t="b">
        <f>checking!A266</f>
        <v>1</v>
      </c>
      <c r="AN266" s="11" t="str">
        <f>IF(NOT(AM266), checking!AX266,"")</f>
        <v/>
      </c>
    </row>
    <row r="267" spans="1:40" s="16" customFormat="1" x14ac:dyDescent="0.15">
      <c r="A267" s="13" t="str">
        <f t="shared" si="4"/>
        <v/>
      </c>
      <c r="B267" s="14"/>
      <c r="C267" s="14"/>
      <c r="D267" s="15"/>
      <c r="E267" s="14"/>
      <c r="F267" s="14"/>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4"/>
      <c r="AE267" s="14"/>
      <c r="AF267" s="14"/>
      <c r="AG267" s="14"/>
      <c r="AH267" s="14"/>
      <c r="AI267" s="14"/>
      <c r="AJ267" s="14"/>
      <c r="AK267" s="14"/>
      <c r="AM267" s="16" t="b">
        <f>checking!A267</f>
        <v>1</v>
      </c>
      <c r="AN267" s="17" t="str">
        <f>IF(NOT(AM267), checking!AX267,"")</f>
        <v/>
      </c>
    </row>
    <row r="268" spans="1:40" x14ac:dyDescent="0.15">
      <c r="A268" s="5" t="str">
        <f t="shared" si="4"/>
        <v/>
      </c>
      <c r="B268" s="6"/>
      <c r="C268" s="7"/>
      <c r="D268" s="7"/>
      <c r="E268" s="6"/>
      <c r="F268" s="6"/>
      <c r="G268" s="6"/>
      <c r="H268" s="6"/>
      <c r="I268" s="6"/>
      <c r="J268" s="7"/>
      <c r="K268" s="6"/>
      <c r="L268" s="6"/>
      <c r="M268" s="6"/>
      <c r="N268" s="6"/>
      <c r="O268" s="7"/>
      <c r="P268" s="7"/>
      <c r="Q268" s="6"/>
      <c r="R268" s="6"/>
      <c r="S268" s="6"/>
      <c r="T268" s="6"/>
      <c r="U268" s="6"/>
      <c r="V268" s="6"/>
      <c r="W268" s="6"/>
      <c r="X268" s="6"/>
      <c r="Y268" s="6"/>
      <c r="Z268" s="6"/>
      <c r="AA268" s="6"/>
      <c r="AB268" s="6"/>
      <c r="AC268" s="7"/>
      <c r="AD268" s="6"/>
      <c r="AE268" s="6"/>
      <c r="AF268" s="6"/>
      <c r="AG268" s="6"/>
      <c r="AH268" s="6"/>
      <c r="AI268" s="6"/>
      <c r="AJ268" s="6"/>
      <c r="AK268" s="6"/>
      <c r="AM268" s="4" t="b">
        <f>checking!A268</f>
        <v>1</v>
      </c>
      <c r="AN268" s="11" t="str">
        <f>IF(NOT(AM268), checking!AX268,"")</f>
        <v/>
      </c>
    </row>
    <row r="269" spans="1:40" s="16" customFormat="1" x14ac:dyDescent="0.15">
      <c r="A269" s="13" t="str">
        <f t="shared" si="4"/>
        <v/>
      </c>
      <c r="B269" s="14"/>
      <c r="C269" s="14"/>
      <c r="D269" s="15"/>
      <c r="E269" s="14"/>
      <c r="F269" s="14"/>
      <c r="G269" s="14"/>
      <c r="H269" s="14"/>
      <c r="I269" s="14"/>
      <c r="J269" s="14"/>
      <c r="K269" s="14"/>
      <c r="L269" s="14"/>
      <c r="M269" s="14"/>
      <c r="N269" s="14"/>
      <c r="O269" s="14"/>
      <c r="P269" s="14"/>
      <c r="Q269" s="14"/>
      <c r="R269" s="14"/>
      <c r="S269" s="14"/>
      <c r="T269" s="14"/>
      <c r="U269" s="14"/>
      <c r="V269" s="14"/>
      <c r="W269" s="14"/>
      <c r="X269" s="14"/>
      <c r="Y269" s="14"/>
      <c r="Z269" s="14"/>
      <c r="AA269" s="14"/>
      <c r="AB269" s="14"/>
      <c r="AC269" s="14"/>
      <c r="AD269" s="14"/>
      <c r="AE269" s="14"/>
      <c r="AF269" s="14"/>
      <c r="AG269" s="14"/>
      <c r="AH269" s="14"/>
      <c r="AI269" s="14"/>
      <c r="AJ269" s="14"/>
      <c r="AK269" s="14"/>
      <c r="AM269" s="16" t="b">
        <f>checking!A269</f>
        <v>1</v>
      </c>
      <c r="AN269" s="17" t="str">
        <f>IF(NOT(AM269), checking!AX269,"")</f>
        <v/>
      </c>
    </row>
    <row r="270" spans="1:40" x14ac:dyDescent="0.15">
      <c r="A270" s="5" t="str">
        <f t="shared" si="4"/>
        <v/>
      </c>
      <c r="B270" s="6"/>
      <c r="C270" s="7"/>
      <c r="D270" s="7"/>
      <c r="E270" s="6"/>
      <c r="F270" s="6"/>
      <c r="G270" s="6"/>
      <c r="H270" s="6"/>
      <c r="I270" s="6"/>
      <c r="J270" s="7"/>
      <c r="K270" s="6"/>
      <c r="L270" s="6"/>
      <c r="M270" s="6"/>
      <c r="N270" s="6"/>
      <c r="O270" s="7"/>
      <c r="P270" s="7"/>
      <c r="Q270" s="6"/>
      <c r="R270" s="6"/>
      <c r="S270" s="6"/>
      <c r="T270" s="6"/>
      <c r="U270" s="6"/>
      <c r="V270" s="6"/>
      <c r="W270" s="6"/>
      <c r="X270" s="6"/>
      <c r="Y270" s="6"/>
      <c r="Z270" s="6"/>
      <c r="AA270" s="6"/>
      <c r="AB270" s="6"/>
      <c r="AC270" s="7"/>
      <c r="AD270" s="6"/>
      <c r="AE270" s="6"/>
      <c r="AF270" s="6"/>
      <c r="AG270" s="6"/>
      <c r="AH270" s="6"/>
      <c r="AI270" s="6"/>
      <c r="AJ270" s="6"/>
      <c r="AK270" s="6"/>
      <c r="AM270" s="4" t="b">
        <f>checking!A270</f>
        <v>1</v>
      </c>
      <c r="AN270" s="11" t="str">
        <f>IF(NOT(AM270), checking!AX270,"")</f>
        <v/>
      </c>
    </row>
    <row r="271" spans="1:40" s="16" customFormat="1" x14ac:dyDescent="0.15">
      <c r="A271" s="13" t="str">
        <f t="shared" si="4"/>
        <v/>
      </c>
      <c r="B271" s="14"/>
      <c r="C271" s="14"/>
      <c r="D271" s="15"/>
      <c r="E271" s="14"/>
      <c r="F271" s="14"/>
      <c r="G271" s="14"/>
      <c r="H271" s="14"/>
      <c r="I271" s="14"/>
      <c r="J271" s="14"/>
      <c r="K271" s="14"/>
      <c r="L271" s="14"/>
      <c r="M271" s="14"/>
      <c r="N271" s="14"/>
      <c r="O271" s="14"/>
      <c r="P271" s="14"/>
      <c r="Q271" s="14"/>
      <c r="R271" s="14"/>
      <c r="S271" s="14"/>
      <c r="T271" s="14"/>
      <c r="U271" s="14"/>
      <c r="V271" s="14"/>
      <c r="W271" s="14"/>
      <c r="X271" s="14"/>
      <c r="Y271" s="14"/>
      <c r="Z271" s="14"/>
      <c r="AA271" s="14"/>
      <c r="AB271" s="14"/>
      <c r="AC271" s="14"/>
      <c r="AD271" s="14"/>
      <c r="AE271" s="14"/>
      <c r="AF271" s="14"/>
      <c r="AG271" s="14"/>
      <c r="AH271" s="14"/>
      <c r="AI271" s="14"/>
      <c r="AJ271" s="14"/>
      <c r="AK271" s="14"/>
      <c r="AM271" s="16" t="b">
        <f>checking!A271</f>
        <v>1</v>
      </c>
      <c r="AN271" s="17" t="str">
        <f>IF(NOT(AM271), checking!AX271,"")</f>
        <v/>
      </c>
    </row>
    <row r="272" spans="1:40" x14ac:dyDescent="0.15">
      <c r="A272" s="5" t="str">
        <f t="shared" si="4"/>
        <v/>
      </c>
      <c r="B272" s="6"/>
      <c r="C272" s="7"/>
      <c r="D272" s="7"/>
      <c r="E272" s="6"/>
      <c r="F272" s="6"/>
      <c r="G272" s="6"/>
      <c r="H272" s="6"/>
      <c r="I272" s="6"/>
      <c r="J272" s="7"/>
      <c r="K272" s="6"/>
      <c r="L272" s="6"/>
      <c r="M272" s="6"/>
      <c r="N272" s="6"/>
      <c r="O272" s="7"/>
      <c r="P272" s="7"/>
      <c r="Q272" s="6"/>
      <c r="R272" s="6"/>
      <c r="S272" s="6"/>
      <c r="T272" s="6"/>
      <c r="U272" s="6"/>
      <c r="V272" s="6"/>
      <c r="W272" s="6"/>
      <c r="X272" s="6"/>
      <c r="Y272" s="6"/>
      <c r="Z272" s="6"/>
      <c r="AA272" s="6"/>
      <c r="AB272" s="6"/>
      <c r="AC272" s="7"/>
      <c r="AD272" s="6"/>
      <c r="AE272" s="6"/>
      <c r="AF272" s="6"/>
      <c r="AG272" s="6"/>
      <c r="AH272" s="6"/>
      <c r="AI272" s="6"/>
      <c r="AJ272" s="6"/>
      <c r="AK272" s="6"/>
      <c r="AM272" s="4" t="b">
        <f>checking!A272</f>
        <v>1</v>
      </c>
      <c r="AN272" s="11" t="str">
        <f>IF(NOT(AM272), checking!AX272,"")</f>
        <v/>
      </c>
    </row>
    <row r="273" spans="1:40" s="16" customFormat="1" x14ac:dyDescent="0.15">
      <c r="A273" s="13" t="str">
        <f t="shared" si="4"/>
        <v/>
      </c>
      <c r="B273" s="14"/>
      <c r="C273" s="14"/>
      <c r="D273" s="15"/>
      <c r="E273" s="14"/>
      <c r="F273" s="14"/>
      <c r="G273" s="14"/>
      <c r="H273" s="14"/>
      <c r="I273" s="14"/>
      <c r="J273" s="14"/>
      <c r="K273" s="14"/>
      <c r="L273" s="14"/>
      <c r="M273" s="14"/>
      <c r="N273" s="14"/>
      <c r="O273" s="14"/>
      <c r="P273" s="14"/>
      <c r="Q273" s="14"/>
      <c r="R273" s="14"/>
      <c r="S273" s="14"/>
      <c r="T273" s="14"/>
      <c r="U273" s="14"/>
      <c r="V273" s="14"/>
      <c r="W273" s="14"/>
      <c r="X273" s="14"/>
      <c r="Y273" s="14"/>
      <c r="Z273" s="14"/>
      <c r="AA273" s="14"/>
      <c r="AB273" s="14"/>
      <c r="AC273" s="14"/>
      <c r="AD273" s="14"/>
      <c r="AE273" s="14"/>
      <c r="AF273" s="14"/>
      <c r="AG273" s="14"/>
      <c r="AH273" s="14"/>
      <c r="AI273" s="14"/>
      <c r="AJ273" s="14"/>
      <c r="AK273" s="14"/>
      <c r="AM273" s="16" t="b">
        <f>checking!A273</f>
        <v>1</v>
      </c>
      <c r="AN273" s="17" t="str">
        <f>IF(NOT(AM273), checking!AX273,"")</f>
        <v/>
      </c>
    </row>
    <row r="274" spans="1:40" x14ac:dyDescent="0.15">
      <c r="A274" s="5" t="str">
        <f t="shared" si="4"/>
        <v/>
      </c>
      <c r="B274" s="6"/>
      <c r="C274" s="7"/>
      <c r="D274" s="7"/>
      <c r="E274" s="6"/>
      <c r="F274" s="6"/>
      <c r="G274" s="6"/>
      <c r="H274" s="6"/>
      <c r="I274" s="6"/>
      <c r="J274" s="7"/>
      <c r="K274" s="6"/>
      <c r="L274" s="6"/>
      <c r="M274" s="6"/>
      <c r="N274" s="6"/>
      <c r="O274" s="7"/>
      <c r="P274" s="7"/>
      <c r="Q274" s="6"/>
      <c r="R274" s="6"/>
      <c r="S274" s="6"/>
      <c r="T274" s="6"/>
      <c r="U274" s="6"/>
      <c r="V274" s="6"/>
      <c r="W274" s="6"/>
      <c r="X274" s="6"/>
      <c r="Y274" s="6"/>
      <c r="Z274" s="6"/>
      <c r="AA274" s="6"/>
      <c r="AB274" s="6"/>
      <c r="AC274" s="7"/>
      <c r="AD274" s="6"/>
      <c r="AE274" s="6"/>
      <c r="AF274" s="6"/>
      <c r="AG274" s="6"/>
      <c r="AH274" s="6"/>
      <c r="AI274" s="6"/>
      <c r="AJ274" s="6"/>
      <c r="AK274" s="6"/>
      <c r="AM274" s="4" t="b">
        <f>checking!A274</f>
        <v>1</v>
      </c>
      <c r="AN274" s="11" t="str">
        <f>IF(NOT(AM274), checking!AX274,"")</f>
        <v/>
      </c>
    </row>
    <row r="275" spans="1:40" s="16" customFormat="1" x14ac:dyDescent="0.15">
      <c r="A275" s="13" t="str">
        <f t="shared" si="4"/>
        <v/>
      </c>
      <c r="B275" s="14"/>
      <c r="C275" s="14"/>
      <c r="D275" s="15"/>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4"/>
      <c r="AE275" s="14"/>
      <c r="AF275" s="14"/>
      <c r="AG275" s="14"/>
      <c r="AH275" s="14"/>
      <c r="AI275" s="14"/>
      <c r="AJ275" s="14"/>
      <c r="AK275" s="14"/>
      <c r="AM275" s="16" t="b">
        <f>checking!A275</f>
        <v>1</v>
      </c>
      <c r="AN275" s="17" t="str">
        <f>IF(NOT(AM275), checking!AX275,"")</f>
        <v/>
      </c>
    </row>
    <row r="276" spans="1:40" x14ac:dyDescent="0.15">
      <c r="A276" s="5" t="str">
        <f t="shared" si="4"/>
        <v/>
      </c>
      <c r="B276" s="6"/>
      <c r="C276" s="7"/>
      <c r="D276" s="7"/>
      <c r="E276" s="6"/>
      <c r="F276" s="6"/>
      <c r="G276" s="6"/>
      <c r="H276" s="6"/>
      <c r="I276" s="6"/>
      <c r="J276" s="7"/>
      <c r="K276" s="6"/>
      <c r="L276" s="6"/>
      <c r="M276" s="6"/>
      <c r="N276" s="6"/>
      <c r="O276" s="7"/>
      <c r="P276" s="7"/>
      <c r="Q276" s="6"/>
      <c r="R276" s="6"/>
      <c r="S276" s="6"/>
      <c r="T276" s="6"/>
      <c r="U276" s="6"/>
      <c r="V276" s="6"/>
      <c r="W276" s="6"/>
      <c r="X276" s="6"/>
      <c r="Y276" s="6"/>
      <c r="Z276" s="6"/>
      <c r="AA276" s="6"/>
      <c r="AB276" s="6"/>
      <c r="AC276" s="7"/>
      <c r="AD276" s="6"/>
      <c r="AE276" s="6"/>
      <c r="AF276" s="6"/>
      <c r="AG276" s="6"/>
      <c r="AH276" s="6"/>
      <c r="AI276" s="6"/>
      <c r="AJ276" s="6"/>
      <c r="AK276" s="6"/>
      <c r="AM276" s="4" t="b">
        <f>checking!A276</f>
        <v>1</v>
      </c>
      <c r="AN276" s="11" t="str">
        <f>IF(NOT(AM276), checking!AX276,"")</f>
        <v/>
      </c>
    </row>
    <row r="277" spans="1:40" s="16" customFormat="1" x14ac:dyDescent="0.15">
      <c r="A277" s="13" t="str">
        <f t="shared" si="4"/>
        <v/>
      </c>
      <c r="B277" s="14"/>
      <c r="C277" s="14"/>
      <c r="D277" s="15"/>
      <c r="E277" s="14"/>
      <c r="F277" s="14"/>
      <c r="G277" s="14"/>
      <c r="H277" s="14"/>
      <c r="I277" s="14"/>
      <c r="J277" s="14"/>
      <c r="K277" s="14"/>
      <c r="L277" s="14"/>
      <c r="M277" s="14"/>
      <c r="N277" s="14"/>
      <c r="O277" s="14"/>
      <c r="P277" s="14"/>
      <c r="Q277" s="14"/>
      <c r="R277" s="14"/>
      <c r="S277" s="14"/>
      <c r="T277" s="14"/>
      <c r="U277" s="14"/>
      <c r="V277" s="14"/>
      <c r="W277" s="14"/>
      <c r="X277" s="14"/>
      <c r="Y277" s="14"/>
      <c r="Z277" s="14"/>
      <c r="AA277" s="14"/>
      <c r="AB277" s="14"/>
      <c r="AC277" s="14"/>
      <c r="AD277" s="14"/>
      <c r="AE277" s="14"/>
      <c r="AF277" s="14"/>
      <c r="AG277" s="14"/>
      <c r="AH277" s="14"/>
      <c r="AI277" s="14"/>
      <c r="AJ277" s="14"/>
      <c r="AK277" s="14"/>
      <c r="AM277" s="16" t="b">
        <f>checking!A277</f>
        <v>1</v>
      </c>
      <c r="AN277" s="17" t="str">
        <f>IF(NOT(AM277), checking!AX277,"")</f>
        <v/>
      </c>
    </row>
  </sheetData>
  <sheetProtection algorithmName="SHA-512" hashValue="LHpE2/Ak+45/Z7I24nZ5Ma88PTg0d3SY75XuyqfQmLe58xMC1U86fSUn3aHNMcLdfth9/K6bj9qeSYPpElYt5g==" saltValue="VVJ/bLtPrhVLegohBnc7zA==" spinCount="100000" sheet="1" formatColumns="0" formatRows="0" insertRows="0" deleteRows="0" autoFilter="0"/>
  <protectedRanges>
    <protectedRange sqref="B3:AK14 C2:AK2" name="Range1"/>
  </protectedRanges>
  <phoneticPr fontId="7" type="noConversion"/>
  <conditionalFormatting sqref="A2:A277">
    <cfRule type="expression" dxfId="1" priority="3">
      <formula>NOT($AM2)</formula>
    </cfRule>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19"/>
  <sheetViews>
    <sheetView workbookViewId="0">
      <selection activeCell="H14" sqref="H14"/>
    </sheetView>
  </sheetViews>
  <sheetFormatPr defaultRowHeight="13.5" x14ac:dyDescent="0.15"/>
  <cols>
    <col min="1" max="1" width="12.625" customWidth="1"/>
    <col min="2" max="2" width="11.25" customWidth="1"/>
    <col min="3" max="3" width="59.625" customWidth="1"/>
  </cols>
  <sheetData>
    <row r="1" spans="1:3" ht="14.25" x14ac:dyDescent="0.2">
      <c r="A1" s="25" t="s">
        <v>959</v>
      </c>
      <c r="B1" s="26" t="s">
        <v>960</v>
      </c>
      <c r="C1" s="26" t="s">
        <v>828</v>
      </c>
    </row>
    <row r="2" spans="1:3" x14ac:dyDescent="0.15">
      <c r="A2" s="34" t="s">
        <v>831</v>
      </c>
      <c r="B2" s="27" t="s">
        <v>832</v>
      </c>
      <c r="C2" s="27" t="s">
        <v>1484</v>
      </c>
    </row>
    <row r="3" spans="1:3" x14ac:dyDescent="0.15">
      <c r="A3" s="34" t="s">
        <v>833</v>
      </c>
      <c r="B3" s="27" t="s">
        <v>1485</v>
      </c>
      <c r="C3" s="27" t="s">
        <v>1486</v>
      </c>
    </row>
    <row r="4" spans="1:3" x14ac:dyDescent="0.15">
      <c r="A4" s="34" t="s">
        <v>834</v>
      </c>
      <c r="B4" s="27" t="s">
        <v>1487</v>
      </c>
      <c r="C4" s="27" t="s">
        <v>1488</v>
      </c>
    </row>
    <row r="5" spans="1:3" x14ac:dyDescent="0.15">
      <c r="A5" s="34" t="s">
        <v>836</v>
      </c>
      <c r="B5" s="27" t="s">
        <v>1489</v>
      </c>
      <c r="C5" s="27" t="s">
        <v>1490</v>
      </c>
    </row>
    <row r="6" spans="1:3" x14ac:dyDescent="0.15">
      <c r="A6" s="34" t="s">
        <v>841</v>
      </c>
      <c r="B6" s="27" t="s">
        <v>842</v>
      </c>
      <c r="C6" s="27" t="s">
        <v>1491</v>
      </c>
    </row>
    <row r="7" spans="1:3" x14ac:dyDescent="0.15">
      <c r="A7" s="34" t="s">
        <v>844</v>
      </c>
      <c r="B7" s="27" t="s">
        <v>845</v>
      </c>
      <c r="C7" s="27" t="s">
        <v>1492</v>
      </c>
    </row>
    <row r="8" spans="1:3" x14ac:dyDescent="0.15">
      <c r="A8" s="34" t="s">
        <v>849</v>
      </c>
      <c r="B8" s="27" t="s">
        <v>1493</v>
      </c>
      <c r="C8" s="27" t="s">
        <v>1494</v>
      </c>
    </row>
    <row r="9" spans="1:3" x14ac:dyDescent="0.15">
      <c r="A9" s="34" t="s">
        <v>854</v>
      </c>
      <c r="B9" s="27" t="s">
        <v>855</v>
      </c>
      <c r="C9" s="27" t="s">
        <v>1495</v>
      </c>
    </row>
    <row r="10" spans="1:3" x14ac:dyDescent="0.15">
      <c r="A10" s="34" t="s">
        <v>856</v>
      </c>
      <c r="B10" s="27" t="s">
        <v>857</v>
      </c>
      <c r="C10" s="27" t="s">
        <v>1496</v>
      </c>
    </row>
    <row r="11" spans="1:3" x14ac:dyDescent="0.15">
      <c r="A11" s="34" t="s">
        <v>403</v>
      </c>
      <c r="B11" s="27" t="s">
        <v>1497</v>
      </c>
      <c r="C11" s="27" t="s">
        <v>1498</v>
      </c>
    </row>
    <row r="12" spans="1:3" x14ac:dyDescent="0.15">
      <c r="A12" s="34" t="s">
        <v>860</v>
      </c>
      <c r="B12" s="27" t="s">
        <v>861</v>
      </c>
      <c r="C12" s="27" t="s">
        <v>1499</v>
      </c>
    </row>
    <row r="13" spans="1:3" x14ac:dyDescent="0.15">
      <c r="A13" s="34" t="s">
        <v>863</v>
      </c>
      <c r="B13" s="27" t="s">
        <v>1500</v>
      </c>
      <c r="C13" s="27" t="s">
        <v>1501</v>
      </c>
    </row>
    <row r="14" spans="1:3" x14ac:dyDescent="0.15">
      <c r="A14" s="34" t="s">
        <v>868</v>
      </c>
      <c r="B14" s="27" t="s">
        <v>869</v>
      </c>
      <c r="C14" s="27" t="s">
        <v>1502</v>
      </c>
    </row>
    <row r="15" spans="1:3" x14ac:dyDescent="0.15">
      <c r="A15" s="34" t="s">
        <v>870</v>
      </c>
      <c r="B15" s="27" t="s">
        <v>871</v>
      </c>
      <c r="C15" s="27" t="s">
        <v>1503</v>
      </c>
    </row>
    <row r="16" spans="1:3" x14ac:dyDescent="0.15">
      <c r="A16" s="34" t="s">
        <v>874</v>
      </c>
      <c r="B16" s="27" t="s">
        <v>875</v>
      </c>
      <c r="C16" s="27" t="s">
        <v>1504</v>
      </c>
    </row>
    <row r="17" spans="1:3" x14ac:dyDescent="0.15">
      <c r="A17" s="34" t="s">
        <v>877</v>
      </c>
      <c r="B17" s="27" t="s">
        <v>878</v>
      </c>
      <c r="C17" s="27" t="s">
        <v>1505</v>
      </c>
    </row>
    <row r="18" spans="1:3" x14ac:dyDescent="0.15">
      <c r="A18" s="34" t="s">
        <v>879</v>
      </c>
      <c r="B18" s="27" t="s">
        <v>1506</v>
      </c>
      <c r="C18" s="27" t="s">
        <v>1507</v>
      </c>
    </row>
    <row r="19" spans="1:3" x14ac:dyDescent="0.15">
      <c r="A19" s="34" t="s">
        <v>883</v>
      </c>
      <c r="B19" s="27" t="s">
        <v>884</v>
      </c>
      <c r="C19" s="27" t="s">
        <v>1508</v>
      </c>
    </row>
  </sheetData>
  <phoneticPr fontId="7"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252"/>
  <sheetViews>
    <sheetView topLeftCell="A46" workbookViewId="0">
      <selection activeCell="B37" sqref="B37"/>
    </sheetView>
  </sheetViews>
  <sheetFormatPr defaultRowHeight="14.25" x14ac:dyDescent="0.15"/>
  <cols>
    <col min="1" max="1" width="8.375" style="19" bestFit="1" customWidth="1"/>
    <col min="2" max="2" width="61.625" style="19" bestFit="1" customWidth="1"/>
    <col min="3" max="255" width="9.125" style="1"/>
    <col min="256" max="256" width="18.375" style="1" customWidth="1"/>
    <col min="257" max="511" width="9.125" style="1"/>
    <col min="512" max="512" width="18.375" style="1" customWidth="1"/>
    <col min="513" max="767" width="9.125" style="1"/>
    <col min="768" max="768" width="18.375" style="1" customWidth="1"/>
    <col min="769" max="1023" width="9.125" style="1"/>
    <col min="1024" max="1024" width="18.375" style="1" customWidth="1"/>
    <col min="1025" max="1279" width="9.125" style="1"/>
    <col min="1280" max="1280" width="18.375" style="1" customWidth="1"/>
    <col min="1281" max="1535" width="9.125" style="1"/>
    <col min="1536" max="1536" width="18.375" style="1" customWidth="1"/>
    <col min="1537" max="1791" width="9.125" style="1"/>
    <col min="1792" max="1792" width="18.375" style="1" customWidth="1"/>
    <col min="1793" max="2047" width="9.125" style="1"/>
    <col min="2048" max="2048" width="18.375" style="1" customWidth="1"/>
    <col min="2049" max="2303" width="9.125" style="1"/>
    <col min="2304" max="2304" width="18.375" style="1" customWidth="1"/>
    <col min="2305" max="2559" width="9.125" style="1"/>
    <col min="2560" max="2560" width="18.375" style="1" customWidth="1"/>
    <col min="2561" max="2815" width="9.125" style="1"/>
    <col min="2816" max="2816" width="18.375" style="1" customWidth="1"/>
    <col min="2817" max="3071" width="9.125" style="1"/>
    <col min="3072" max="3072" width="18.375" style="1" customWidth="1"/>
    <col min="3073" max="3327" width="9.125" style="1"/>
    <col min="3328" max="3328" width="18.375" style="1" customWidth="1"/>
    <col min="3329" max="3583" width="9.125" style="1"/>
    <col min="3584" max="3584" width="18.375" style="1" customWidth="1"/>
    <col min="3585" max="3839" width="9.125" style="1"/>
    <col min="3840" max="3840" width="18.375" style="1" customWidth="1"/>
    <col min="3841" max="4095" width="9.125" style="1"/>
    <col min="4096" max="4096" width="18.375" style="1" customWidth="1"/>
    <col min="4097" max="4351" width="9.125" style="1"/>
    <col min="4352" max="4352" width="18.375" style="1" customWidth="1"/>
    <col min="4353" max="4607" width="9.125" style="1"/>
    <col min="4608" max="4608" width="18.375" style="1" customWidth="1"/>
    <col min="4609" max="4863" width="9.125" style="1"/>
    <col min="4864" max="4864" width="18.375" style="1" customWidth="1"/>
    <col min="4865" max="5119" width="9.125" style="1"/>
    <col min="5120" max="5120" width="18.375" style="1" customWidth="1"/>
    <col min="5121" max="5375" width="9.125" style="1"/>
    <col min="5376" max="5376" width="18.375" style="1" customWidth="1"/>
    <col min="5377" max="5631" width="9.125" style="1"/>
    <col min="5632" max="5632" width="18.375" style="1" customWidth="1"/>
    <col min="5633" max="5887" width="9.125" style="1"/>
    <col min="5888" max="5888" width="18.375" style="1" customWidth="1"/>
    <col min="5889" max="6143" width="9.125" style="1"/>
    <col min="6144" max="6144" width="18.375" style="1" customWidth="1"/>
    <col min="6145" max="6399" width="9.125" style="1"/>
    <col min="6400" max="6400" width="18.375" style="1" customWidth="1"/>
    <col min="6401" max="6655" width="9.125" style="1"/>
    <col min="6656" max="6656" width="18.375" style="1" customWidth="1"/>
    <col min="6657" max="6911" width="9.125" style="1"/>
    <col min="6912" max="6912" width="18.375" style="1" customWidth="1"/>
    <col min="6913" max="7167" width="9.125" style="1"/>
    <col min="7168" max="7168" width="18.375" style="1" customWidth="1"/>
    <col min="7169" max="7423" width="9.125" style="1"/>
    <col min="7424" max="7424" width="18.375" style="1" customWidth="1"/>
    <col min="7425" max="7679" width="9.125" style="1"/>
    <col min="7680" max="7680" width="18.375" style="1" customWidth="1"/>
    <col min="7681" max="7935" width="9.125" style="1"/>
    <col min="7936" max="7936" width="18.375" style="1" customWidth="1"/>
    <col min="7937" max="8191" width="9.125" style="1"/>
    <col min="8192" max="8192" width="18.375" style="1" customWidth="1"/>
    <col min="8193" max="8447" width="9.125" style="1"/>
    <col min="8448" max="8448" width="18.375" style="1" customWidth="1"/>
    <col min="8449" max="8703" width="9.125" style="1"/>
    <col min="8704" max="8704" width="18.375" style="1" customWidth="1"/>
    <col min="8705" max="8959" width="9.125" style="1"/>
    <col min="8960" max="8960" width="18.375" style="1" customWidth="1"/>
    <col min="8961" max="9215" width="9.125" style="1"/>
    <col min="9216" max="9216" width="18.375" style="1" customWidth="1"/>
    <col min="9217" max="9471" width="9.125" style="1"/>
    <col min="9472" max="9472" width="18.375" style="1" customWidth="1"/>
    <col min="9473" max="9727" width="9.125" style="1"/>
    <col min="9728" max="9728" width="18.375" style="1" customWidth="1"/>
    <col min="9729" max="9983" width="9.125" style="1"/>
    <col min="9984" max="9984" width="18.375" style="1" customWidth="1"/>
    <col min="9985" max="10239" width="9.125" style="1"/>
    <col min="10240" max="10240" width="18.375" style="1" customWidth="1"/>
    <col min="10241" max="10495" width="9.125" style="1"/>
    <col min="10496" max="10496" width="18.375" style="1" customWidth="1"/>
    <col min="10497" max="10751" width="9.125" style="1"/>
    <col min="10752" max="10752" width="18.375" style="1" customWidth="1"/>
    <col min="10753" max="11007" width="9.125" style="1"/>
    <col min="11008" max="11008" width="18.375" style="1" customWidth="1"/>
    <col min="11009" max="11263" width="9.125" style="1"/>
    <col min="11264" max="11264" width="18.375" style="1" customWidth="1"/>
    <col min="11265" max="11519" width="9.125" style="1"/>
    <col min="11520" max="11520" width="18.375" style="1" customWidth="1"/>
    <col min="11521" max="11775" width="9.125" style="1"/>
    <col min="11776" max="11776" width="18.375" style="1" customWidth="1"/>
    <col min="11777" max="12031" width="9.125" style="1"/>
    <col min="12032" max="12032" width="18.375" style="1" customWidth="1"/>
    <col min="12033" max="12287" width="9.125" style="1"/>
    <col min="12288" max="12288" width="18.375" style="1" customWidth="1"/>
    <col min="12289" max="12543" width="9.125" style="1"/>
    <col min="12544" max="12544" width="18.375" style="1" customWidth="1"/>
    <col min="12545" max="12799" width="9.125" style="1"/>
    <col min="12800" max="12800" width="18.375" style="1" customWidth="1"/>
    <col min="12801" max="13055" width="9.125" style="1"/>
    <col min="13056" max="13056" width="18.375" style="1" customWidth="1"/>
    <col min="13057" max="13311" width="9.125" style="1"/>
    <col min="13312" max="13312" width="18.375" style="1" customWidth="1"/>
    <col min="13313" max="13567" width="9.125" style="1"/>
    <col min="13568" max="13568" width="18.375" style="1" customWidth="1"/>
    <col min="13569" max="13823" width="9.125" style="1"/>
    <col min="13824" max="13824" width="18.375" style="1" customWidth="1"/>
    <col min="13825" max="14079" width="9.125" style="1"/>
    <col min="14080" max="14080" width="18.375" style="1" customWidth="1"/>
    <col min="14081" max="14335" width="9.125" style="1"/>
    <col min="14336" max="14336" width="18.375" style="1" customWidth="1"/>
    <col min="14337" max="14591" width="9.125" style="1"/>
    <col min="14592" max="14592" width="18.375" style="1" customWidth="1"/>
    <col min="14593" max="14847" width="9.125" style="1"/>
    <col min="14848" max="14848" width="18.375" style="1" customWidth="1"/>
    <col min="14849" max="15103" width="9.125" style="1"/>
    <col min="15104" max="15104" width="18.375" style="1" customWidth="1"/>
    <col min="15105" max="15359" width="9.125" style="1"/>
    <col min="15360" max="15360" width="18.375" style="1" customWidth="1"/>
    <col min="15361" max="15615" width="9.125" style="1"/>
    <col min="15616" max="15616" width="18.375" style="1" customWidth="1"/>
    <col min="15617" max="15871" width="9.125" style="1"/>
    <col min="15872" max="15872" width="18.375" style="1" customWidth="1"/>
    <col min="15873" max="16127" width="9.125" style="1"/>
    <col min="16128" max="16128" width="18.375" style="1" customWidth="1"/>
    <col min="16129" max="16384" width="9.125" style="1"/>
  </cols>
  <sheetData>
    <row r="1" spans="1:2" ht="13.5" x14ac:dyDescent="0.2">
      <c r="A1" s="28" t="s">
        <v>955</v>
      </c>
      <c r="B1" s="29" t="s">
        <v>956</v>
      </c>
    </row>
    <row r="2" spans="1:2" x14ac:dyDescent="0.2">
      <c r="A2" s="20" t="s">
        <v>896</v>
      </c>
      <c r="B2" s="18" t="s">
        <v>193</v>
      </c>
    </row>
    <row r="3" spans="1:2" x14ac:dyDescent="0.2">
      <c r="A3" s="20" t="s">
        <v>897</v>
      </c>
      <c r="B3" s="18" t="s">
        <v>170</v>
      </c>
    </row>
    <row r="4" spans="1:2" x14ac:dyDescent="0.2">
      <c r="A4" s="20" t="s">
        <v>898</v>
      </c>
      <c r="B4" s="18" t="s">
        <v>194</v>
      </c>
    </row>
    <row r="5" spans="1:2" x14ac:dyDescent="0.2">
      <c r="A5" s="20" t="s">
        <v>426</v>
      </c>
      <c r="B5" s="18" t="s">
        <v>218</v>
      </c>
    </row>
    <row r="6" spans="1:2" x14ac:dyDescent="0.2">
      <c r="A6" s="20" t="s">
        <v>0</v>
      </c>
      <c r="B6" s="18" t="s">
        <v>137</v>
      </c>
    </row>
    <row r="7" spans="1:2" x14ac:dyDescent="0.2">
      <c r="A7" s="20" t="s">
        <v>433</v>
      </c>
      <c r="B7" s="18" t="s">
        <v>167</v>
      </c>
    </row>
    <row r="8" spans="1:2" x14ac:dyDescent="0.2">
      <c r="A8" s="20" t="s">
        <v>899</v>
      </c>
      <c r="B8" s="18" t="s">
        <v>259</v>
      </c>
    </row>
    <row r="9" spans="1:2" x14ac:dyDescent="0.2">
      <c r="A9" s="20" t="s">
        <v>1</v>
      </c>
      <c r="B9" s="18" t="s">
        <v>117</v>
      </c>
    </row>
    <row r="10" spans="1:2" x14ac:dyDescent="0.2">
      <c r="A10" s="20" t="s">
        <v>442</v>
      </c>
      <c r="B10" s="18" t="s">
        <v>157</v>
      </c>
    </row>
    <row r="11" spans="1:2" x14ac:dyDescent="0.2">
      <c r="A11" s="20" t="s">
        <v>118</v>
      </c>
      <c r="B11" s="18" t="s">
        <v>119</v>
      </c>
    </row>
    <row r="12" spans="1:2" x14ac:dyDescent="0.2">
      <c r="A12" s="20" t="s">
        <v>2</v>
      </c>
      <c r="B12" s="18" t="s">
        <v>120</v>
      </c>
    </row>
    <row r="13" spans="1:2" x14ac:dyDescent="0.2">
      <c r="A13" s="20" t="s">
        <v>448</v>
      </c>
      <c r="B13" s="18" t="s">
        <v>139</v>
      </c>
    </row>
    <row r="14" spans="1:2" x14ac:dyDescent="0.2">
      <c r="A14" s="20" t="s">
        <v>5</v>
      </c>
      <c r="B14" s="18" t="s">
        <v>203</v>
      </c>
    </row>
    <row r="15" spans="1:2" x14ac:dyDescent="0.2">
      <c r="A15" s="20" t="s">
        <v>6</v>
      </c>
      <c r="B15" s="18" t="s">
        <v>127</v>
      </c>
    </row>
    <row r="16" spans="1:2" x14ac:dyDescent="0.2">
      <c r="A16" s="20" t="s">
        <v>7</v>
      </c>
      <c r="B16" s="18" t="s">
        <v>146</v>
      </c>
    </row>
    <row r="17" spans="1:2" x14ac:dyDescent="0.2">
      <c r="A17" s="20" t="s">
        <v>8</v>
      </c>
      <c r="B17" s="18" t="s">
        <v>125</v>
      </c>
    </row>
    <row r="18" spans="1:2" x14ac:dyDescent="0.2">
      <c r="A18" s="20" t="s">
        <v>9</v>
      </c>
      <c r="B18" s="18" t="s">
        <v>129</v>
      </c>
    </row>
    <row r="19" spans="1:2" x14ac:dyDescent="0.2">
      <c r="A19" s="20" t="s">
        <v>10</v>
      </c>
      <c r="B19" s="18" t="s">
        <v>143</v>
      </c>
    </row>
    <row r="20" spans="1:2" x14ac:dyDescent="0.2">
      <c r="A20" s="20" t="s">
        <v>11</v>
      </c>
      <c r="B20" s="18" t="s">
        <v>123</v>
      </c>
    </row>
    <row r="21" spans="1:2" x14ac:dyDescent="0.2">
      <c r="A21" s="20" t="s">
        <v>12</v>
      </c>
      <c r="B21" s="18" t="s">
        <v>124</v>
      </c>
    </row>
    <row r="22" spans="1:2" x14ac:dyDescent="0.2">
      <c r="A22" s="20" t="s">
        <v>13</v>
      </c>
      <c r="B22" s="18" t="s">
        <v>149</v>
      </c>
    </row>
    <row r="23" spans="1:2" x14ac:dyDescent="0.2">
      <c r="A23" s="20" t="s">
        <v>14</v>
      </c>
      <c r="B23" s="18" t="s">
        <v>150</v>
      </c>
    </row>
    <row r="24" spans="1:2" x14ac:dyDescent="0.2">
      <c r="A24" s="20" t="s">
        <v>112</v>
      </c>
      <c r="B24" s="18" t="s">
        <v>151</v>
      </c>
    </row>
    <row r="25" spans="1:2" x14ac:dyDescent="0.2">
      <c r="A25" s="20" t="s">
        <v>15</v>
      </c>
      <c r="B25" s="18" t="s">
        <v>144</v>
      </c>
    </row>
    <row r="26" spans="1:2" x14ac:dyDescent="0.2">
      <c r="A26" s="20" t="s">
        <v>900</v>
      </c>
      <c r="B26" s="18" t="s">
        <v>319</v>
      </c>
    </row>
    <row r="27" spans="1:2" x14ac:dyDescent="0.2">
      <c r="A27" s="20" t="s">
        <v>18</v>
      </c>
      <c r="B27" s="18" t="s">
        <v>121</v>
      </c>
    </row>
    <row r="28" spans="1:2" x14ac:dyDescent="0.2">
      <c r="A28" s="20" t="s">
        <v>19</v>
      </c>
      <c r="B28" s="18" t="s">
        <v>148</v>
      </c>
    </row>
    <row r="29" spans="1:2" x14ac:dyDescent="0.2">
      <c r="A29" s="20" t="s">
        <v>20</v>
      </c>
      <c r="B29" s="18" t="s">
        <v>152</v>
      </c>
    </row>
    <row r="30" spans="1:2" x14ac:dyDescent="0.2">
      <c r="A30" s="20" t="s">
        <v>901</v>
      </c>
      <c r="B30" s="18" t="s">
        <v>389</v>
      </c>
    </row>
    <row r="31" spans="1:2" x14ac:dyDescent="0.2">
      <c r="A31" s="20" t="s">
        <v>472</v>
      </c>
      <c r="B31" s="18" t="s">
        <v>122</v>
      </c>
    </row>
    <row r="32" spans="1:2" x14ac:dyDescent="0.2">
      <c r="A32" s="20" t="s">
        <v>22</v>
      </c>
      <c r="B32" s="18" t="s">
        <v>159</v>
      </c>
    </row>
    <row r="33" spans="1:2" x14ac:dyDescent="0.2">
      <c r="A33" s="20" t="s">
        <v>23</v>
      </c>
      <c r="B33" s="18" t="s">
        <v>166</v>
      </c>
    </row>
    <row r="34" spans="1:2" x14ac:dyDescent="0.2">
      <c r="A34" s="20" t="s">
        <v>24</v>
      </c>
      <c r="B34" s="18" t="s">
        <v>312</v>
      </c>
    </row>
    <row r="35" spans="1:2" x14ac:dyDescent="0.2">
      <c r="A35" s="20" t="s">
        <v>25</v>
      </c>
      <c r="B35" s="18" t="s">
        <v>176</v>
      </c>
    </row>
    <row r="36" spans="1:2" x14ac:dyDescent="0.2">
      <c r="A36" s="20" t="s">
        <v>902</v>
      </c>
      <c r="B36" s="18" t="s">
        <v>160</v>
      </c>
    </row>
    <row r="37" spans="1:2" x14ac:dyDescent="0.2">
      <c r="A37" s="20" t="s">
        <v>26</v>
      </c>
      <c r="B37" s="18" t="s">
        <v>204</v>
      </c>
    </row>
    <row r="38" spans="1:2" x14ac:dyDescent="0.2">
      <c r="A38" s="20" t="s">
        <v>478</v>
      </c>
      <c r="B38" s="18" t="s">
        <v>207</v>
      </c>
    </row>
    <row r="39" spans="1:2" x14ac:dyDescent="0.2">
      <c r="A39" s="20" t="s">
        <v>27</v>
      </c>
      <c r="B39" s="18" t="s">
        <v>181</v>
      </c>
    </row>
    <row r="40" spans="1:2" x14ac:dyDescent="0.2">
      <c r="A40" s="20" t="s">
        <v>28</v>
      </c>
      <c r="B40" s="18" t="s">
        <v>197</v>
      </c>
    </row>
    <row r="41" spans="1:2" x14ac:dyDescent="0.2">
      <c r="A41" s="20" t="s">
        <v>29</v>
      </c>
      <c r="B41" s="18" t="s">
        <v>209</v>
      </c>
    </row>
    <row r="42" spans="1:2" x14ac:dyDescent="0.2">
      <c r="A42" s="20" t="s">
        <v>30</v>
      </c>
      <c r="B42" s="18" t="s">
        <v>185</v>
      </c>
    </row>
    <row r="43" spans="1:2" x14ac:dyDescent="0.2">
      <c r="A43" s="20" t="s">
        <v>32</v>
      </c>
      <c r="B43" s="18" t="s">
        <v>184</v>
      </c>
    </row>
    <row r="44" spans="1:2" x14ac:dyDescent="0.2">
      <c r="A44" s="20" t="s">
        <v>33</v>
      </c>
      <c r="B44" s="18" t="s">
        <v>188</v>
      </c>
    </row>
    <row r="45" spans="1:2" x14ac:dyDescent="0.2">
      <c r="A45" s="20" t="s">
        <v>34</v>
      </c>
      <c r="B45" s="18" t="s">
        <v>189</v>
      </c>
    </row>
    <row r="46" spans="1:2" x14ac:dyDescent="0.2">
      <c r="A46" s="20" t="s">
        <v>109</v>
      </c>
      <c r="B46" s="18" t="s">
        <v>290</v>
      </c>
    </row>
    <row r="47" spans="1:2" x14ac:dyDescent="0.2">
      <c r="A47" s="20" t="s">
        <v>903</v>
      </c>
      <c r="B47" s="18" t="s">
        <v>191</v>
      </c>
    </row>
    <row r="48" spans="1:2" x14ac:dyDescent="0.2">
      <c r="A48" s="20" t="s">
        <v>36</v>
      </c>
      <c r="B48" s="18" t="s">
        <v>195</v>
      </c>
    </row>
    <row r="49" spans="1:2" x14ac:dyDescent="0.2">
      <c r="A49" s="20" t="s">
        <v>37</v>
      </c>
      <c r="B49" s="18" t="s">
        <v>198</v>
      </c>
    </row>
    <row r="50" spans="1:2" x14ac:dyDescent="0.2">
      <c r="A50" s="20" t="s">
        <v>38</v>
      </c>
      <c r="B50" s="18" t="s">
        <v>205</v>
      </c>
    </row>
    <row r="51" spans="1:2" x14ac:dyDescent="0.2">
      <c r="A51" s="20" t="s">
        <v>39</v>
      </c>
      <c r="B51" s="18" t="s">
        <v>180</v>
      </c>
    </row>
    <row r="52" spans="1:2" x14ac:dyDescent="0.2">
      <c r="A52" s="20" t="s">
        <v>40</v>
      </c>
      <c r="B52" s="18" t="s">
        <v>183</v>
      </c>
    </row>
    <row r="53" spans="1:2" x14ac:dyDescent="0.2">
      <c r="A53" s="20" t="s">
        <v>493</v>
      </c>
      <c r="B53" s="18" t="s">
        <v>187</v>
      </c>
    </row>
    <row r="54" spans="1:2" x14ac:dyDescent="0.2">
      <c r="A54" s="20" t="s">
        <v>41</v>
      </c>
      <c r="B54" s="18" t="s">
        <v>186</v>
      </c>
    </row>
    <row r="55" spans="1:2" x14ac:dyDescent="0.2">
      <c r="A55" s="20" t="s">
        <v>42</v>
      </c>
      <c r="B55" s="18" t="s">
        <v>208</v>
      </c>
    </row>
    <row r="56" spans="1:2" x14ac:dyDescent="0.2">
      <c r="A56" s="20" t="s">
        <v>43</v>
      </c>
      <c r="B56" s="18" t="s">
        <v>190</v>
      </c>
    </row>
    <row r="57" spans="1:2" x14ac:dyDescent="0.2">
      <c r="A57" s="20" t="s">
        <v>904</v>
      </c>
      <c r="B57" s="18" t="s">
        <v>177</v>
      </c>
    </row>
    <row r="58" spans="1:2" x14ac:dyDescent="0.2">
      <c r="A58" s="20" t="s">
        <v>905</v>
      </c>
      <c r="B58" s="18" t="s">
        <v>214</v>
      </c>
    </row>
    <row r="59" spans="1:2" x14ac:dyDescent="0.2">
      <c r="A59" s="20" t="s">
        <v>906</v>
      </c>
      <c r="B59" s="18" t="s">
        <v>215</v>
      </c>
    </row>
    <row r="60" spans="1:2" x14ac:dyDescent="0.2">
      <c r="A60" s="20" t="s">
        <v>45</v>
      </c>
      <c r="B60" s="18" t="s">
        <v>210</v>
      </c>
    </row>
    <row r="61" spans="1:2" x14ac:dyDescent="0.2">
      <c r="A61" s="20" t="s">
        <v>907</v>
      </c>
      <c r="B61" s="18" t="s">
        <v>216</v>
      </c>
    </row>
    <row r="62" spans="1:2" x14ac:dyDescent="0.2">
      <c r="A62" s="20" t="s">
        <v>219</v>
      </c>
      <c r="B62" s="18" t="s">
        <v>220</v>
      </c>
    </row>
    <row r="63" spans="1:2" x14ac:dyDescent="0.2">
      <c r="A63" s="20" t="s">
        <v>908</v>
      </c>
      <c r="B63" s="18" t="s">
        <v>211</v>
      </c>
    </row>
    <row r="64" spans="1:2" x14ac:dyDescent="0.2">
      <c r="A64" s="20" t="s">
        <v>510</v>
      </c>
      <c r="B64" s="18" t="s">
        <v>182</v>
      </c>
    </row>
    <row r="65" spans="1:2" x14ac:dyDescent="0.2">
      <c r="A65" s="20" t="s">
        <v>46</v>
      </c>
      <c r="B65" s="18" t="s">
        <v>221</v>
      </c>
    </row>
    <row r="66" spans="1:2" x14ac:dyDescent="0.2">
      <c r="A66" s="20" t="s">
        <v>909</v>
      </c>
      <c r="B66" s="18" t="s">
        <v>130</v>
      </c>
    </row>
    <row r="67" spans="1:2" x14ac:dyDescent="0.2">
      <c r="A67" s="20" t="s">
        <v>910</v>
      </c>
      <c r="B67" s="18" t="s">
        <v>171</v>
      </c>
    </row>
    <row r="68" spans="1:2" x14ac:dyDescent="0.2">
      <c r="A68" s="20" t="s">
        <v>911</v>
      </c>
      <c r="B68" s="18" t="s">
        <v>212</v>
      </c>
    </row>
    <row r="69" spans="1:2" x14ac:dyDescent="0.2">
      <c r="A69" s="20" t="s">
        <v>525</v>
      </c>
      <c r="B69" s="18" t="s">
        <v>264</v>
      </c>
    </row>
    <row r="70" spans="1:2" x14ac:dyDescent="0.2">
      <c r="A70" s="20" t="s">
        <v>48</v>
      </c>
      <c r="B70" s="18" t="s">
        <v>223</v>
      </c>
    </row>
    <row r="71" spans="1:2" x14ac:dyDescent="0.2">
      <c r="A71" s="20" t="s">
        <v>49</v>
      </c>
      <c r="B71" s="18" t="s">
        <v>224</v>
      </c>
    </row>
    <row r="72" spans="1:2" x14ac:dyDescent="0.2">
      <c r="A72" s="20" t="s">
        <v>50</v>
      </c>
      <c r="B72" s="18" t="s">
        <v>225</v>
      </c>
    </row>
    <row r="73" spans="1:2" x14ac:dyDescent="0.2">
      <c r="A73" s="20" t="s">
        <v>51</v>
      </c>
      <c r="B73" s="18" t="s">
        <v>226</v>
      </c>
    </row>
    <row r="74" spans="1:2" x14ac:dyDescent="0.2">
      <c r="A74" s="20" t="s">
        <v>912</v>
      </c>
      <c r="B74" s="18" t="s">
        <v>365</v>
      </c>
    </row>
    <row r="75" spans="1:2" x14ac:dyDescent="0.2">
      <c r="A75" s="20" t="s">
        <v>913</v>
      </c>
      <c r="B75" s="18" t="s">
        <v>213</v>
      </c>
    </row>
    <row r="76" spans="1:2" x14ac:dyDescent="0.2">
      <c r="A76" s="20" t="s">
        <v>914</v>
      </c>
      <c r="B76" s="18" t="s">
        <v>172</v>
      </c>
    </row>
    <row r="77" spans="1:2" x14ac:dyDescent="0.2">
      <c r="A77" s="20" t="s">
        <v>227</v>
      </c>
      <c r="B77" s="18" t="s">
        <v>228</v>
      </c>
    </row>
    <row r="78" spans="1:2" x14ac:dyDescent="0.2">
      <c r="A78" s="20" t="s">
        <v>227</v>
      </c>
      <c r="B78" s="18" t="s">
        <v>228</v>
      </c>
    </row>
    <row r="79" spans="1:2" x14ac:dyDescent="0.2">
      <c r="A79" s="20" t="s">
        <v>52</v>
      </c>
      <c r="B79" s="18" t="s">
        <v>231</v>
      </c>
    </row>
    <row r="80" spans="1:2" x14ac:dyDescent="0.2">
      <c r="A80" s="20" t="s">
        <v>915</v>
      </c>
      <c r="B80" s="18" t="s">
        <v>153</v>
      </c>
    </row>
    <row r="81" spans="1:2" x14ac:dyDescent="0.2">
      <c r="A81" s="20" t="s">
        <v>232</v>
      </c>
      <c r="B81" s="18" t="s">
        <v>233</v>
      </c>
    </row>
    <row r="82" spans="1:2" x14ac:dyDescent="0.2">
      <c r="A82" s="20" t="s">
        <v>234</v>
      </c>
      <c r="B82" s="18" t="s">
        <v>235</v>
      </c>
    </row>
    <row r="83" spans="1:2" x14ac:dyDescent="0.2">
      <c r="A83" s="20" t="s">
        <v>234</v>
      </c>
      <c r="B83" s="18" t="s">
        <v>236</v>
      </c>
    </row>
    <row r="84" spans="1:2" x14ac:dyDescent="0.2">
      <c r="A84" s="20" t="s">
        <v>234</v>
      </c>
      <c r="B84" s="18" t="s">
        <v>237</v>
      </c>
    </row>
    <row r="85" spans="1:2" x14ac:dyDescent="0.2">
      <c r="A85" s="20" t="s">
        <v>234</v>
      </c>
      <c r="B85" s="18" t="s">
        <v>238</v>
      </c>
    </row>
    <row r="86" spans="1:2" x14ac:dyDescent="0.2">
      <c r="A86" s="20" t="s">
        <v>234</v>
      </c>
      <c r="B86" s="18" t="s">
        <v>239</v>
      </c>
    </row>
    <row r="87" spans="1:2" x14ac:dyDescent="0.2">
      <c r="A87" s="20" t="s">
        <v>234</v>
      </c>
      <c r="B87" s="18" t="s">
        <v>240</v>
      </c>
    </row>
    <row r="88" spans="1:2" x14ac:dyDescent="0.2">
      <c r="A88" s="20" t="s">
        <v>234</v>
      </c>
      <c r="B88" s="18" t="s">
        <v>241</v>
      </c>
    </row>
    <row r="89" spans="1:2" x14ac:dyDescent="0.2">
      <c r="A89" s="20" t="s">
        <v>234</v>
      </c>
      <c r="B89" s="18" t="s">
        <v>242</v>
      </c>
    </row>
    <row r="90" spans="1:2" x14ac:dyDescent="0.2">
      <c r="A90" s="20" t="s">
        <v>234</v>
      </c>
      <c r="B90" s="18" t="s">
        <v>243</v>
      </c>
    </row>
    <row r="91" spans="1:2" x14ac:dyDescent="0.2">
      <c r="A91" s="20" t="s">
        <v>234</v>
      </c>
      <c r="B91" s="18" t="s">
        <v>244</v>
      </c>
    </row>
    <row r="92" spans="1:2" x14ac:dyDescent="0.2">
      <c r="A92" s="20" t="s">
        <v>234</v>
      </c>
      <c r="B92" s="18" t="s">
        <v>245</v>
      </c>
    </row>
    <row r="93" spans="1:2" x14ac:dyDescent="0.2">
      <c r="A93" s="20" t="s">
        <v>234</v>
      </c>
      <c r="B93" s="18" t="s">
        <v>246</v>
      </c>
    </row>
    <row r="94" spans="1:2" x14ac:dyDescent="0.2">
      <c r="A94" s="20" t="s">
        <v>234</v>
      </c>
      <c r="B94" s="18" t="s">
        <v>247</v>
      </c>
    </row>
    <row r="95" spans="1:2" x14ac:dyDescent="0.2">
      <c r="A95" s="20" t="s">
        <v>234</v>
      </c>
      <c r="B95" s="18" t="s">
        <v>248</v>
      </c>
    </row>
    <row r="96" spans="1:2" x14ac:dyDescent="0.2">
      <c r="A96" s="20" t="s">
        <v>553</v>
      </c>
      <c r="B96" s="18" t="s">
        <v>229</v>
      </c>
    </row>
    <row r="97" spans="1:2" x14ac:dyDescent="0.2">
      <c r="A97" s="20" t="s">
        <v>114</v>
      </c>
      <c r="B97" s="18" t="s">
        <v>249</v>
      </c>
    </row>
    <row r="98" spans="1:2" x14ac:dyDescent="0.2">
      <c r="A98" s="20" t="s">
        <v>916</v>
      </c>
      <c r="B98" s="18" t="s">
        <v>128</v>
      </c>
    </row>
    <row r="99" spans="1:2" x14ac:dyDescent="0.2">
      <c r="A99" s="20" t="s">
        <v>917</v>
      </c>
      <c r="B99" s="18" t="s">
        <v>126</v>
      </c>
    </row>
    <row r="100" spans="1:2" x14ac:dyDescent="0.2">
      <c r="A100" s="20" t="s">
        <v>399</v>
      </c>
      <c r="B100" s="18" t="s">
        <v>250</v>
      </c>
    </row>
    <row r="101" spans="1:2" x14ac:dyDescent="0.2">
      <c r="A101" s="20" t="s">
        <v>918</v>
      </c>
      <c r="B101" s="18" t="s">
        <v>161</v>
      </c>
    </row>
    <row r="102" spans="1:2" x14ac:dyDescent="0.2">
      <c r="A102" s="20" t="s">
        <v>54</v>
      </c>
      <c r="B102" s="18" t="s">
        <v>158</v>
      </c>
    </row>
    <row r="103" spans="1:2" x14ac:dyDescent="0.2">
      <c r="A103" s="20" t="s">
        <v>108</v>
      </c>
      <c r="B103" s="18" t="s">
        <v>252</v>
      </c>
    </row>
    <row r="104" spans="1:2" x14ac:dyDescent="0.2">
      <c r="A104" s="20" t="s">
        <v>253</v>
      </c>
      <c r="B104" s="18" t="s">
        <v>254</v>
      </c>
    </row>
    <row r="105" spans="1:2" x14ac:dyDescent="0.2">
      <c r="A105" s="20" t="s">
        <v>255</v>
      </c>
      <c r="B105" s="18" t="s">
        <v>256</v>
      </c>
    </row>
    <row r="106" spans="1:2" x14ac:dyDescent="0.2">
      <c r="A106" s="20" t="s">
        <v>55</v>
      </c>
      <c r="B106" s="18" t="s">
        <v>354</v>
      </c>
    </row>
    <row r="107" spans="1:2" x14ac:dyDescent="0.2">
      <c r="A107" s="20" t="s">
        <v>588</v>
      </c>
      <c r="B107" s="18" t="s">
        <v>366</v>
      </c>
    </row>
    <row r="108" spans="1:2" x14ac:dyDescent="0.2">
      <c r="A108" s="20" t="s">
        <v>919</v>
      </c>
      <c r="B108" s="18" t="s">
        <v>131</v>
      </c>
    </row>
    <row r="109" spans="1:2" x14ac:dyDescent="0.2">
      <c r="A109" s="20" t="s">
        <v>57</v>
      </c>
      <c r="B109" s="18" t="s">
        <v>257</v>
      </c>
    </row>
    <row r="110" spans="1:2" x14ac:dyDescent="0.2">
      <c r="A110" s="20" t="s">
        <v>58</v>
      </c>
      <c r="B110" s="18" t="s">
        <v>261</v>
      </c>
    </row>
    <row r="111" spans="1:2" x14ac:dyDescent="0.2">
      <c r="A111" s="20" t="s">
        <v>596</v>
      </c>
      <c r="B111" s="18" t="s">
        <v>258</v>
      </c>
    </row>
    <row r="112" spans="1:2" x14ac:dyDescent="0.2">
      <c r="A112" s="20" t="s">
        <v>56</v>
      </c>
      <c r="B112" s="18" t="s">
        <v>262</v>
      </c>
    </row>
    <row r="113" spans="1:2" x14ac:dyDescent="0.2">
      <c r="A113" s="20" t="s">
        <v>59</v>
      </c>
      <c r="B113" s="18" t="s">
        <v>263</v>
      </c>
    </row>
    <row r="114" spans="1:2" x14ac:dyDescent="0.2">
      <c r="A114" s="20" t="s">
        <v>920</v>
      </c>
      <c r="B114" s="18" t="s">
        <v>132</v>
      </c>
    </row>
    <row r="115" spans="1:2" x14ac:dyDescent="0.2">
      <c r="A115" s="20" t="s">
        <v>598</v>
      </c>
      <c r="B115" s="18" t="s">
        <v>265</v>
      </c>
    </row>
    <row r="116" spans="1:2" x14ac:dyDescent="0.2">
      <c r="A116" s="20" t="s">
        <v>267</v>
      </c>
      <c r="B116" s="18" t="s">
        <v>268</v>
      </c>
    </row>
    <row r="117" spans="1:2" x14ac:dyDescent="0.2">
      <c r="A117" s="20" t="s">
        <v>269</v>
      </c>
      <c r="B117" s="18" t="s">
        <v>270</v>
      </c>
    </row>
    <row r="118" spans="1:2" x14ac:dyDescent="0.2">
      <c r="A118" s="20" t="s">
        <v>921</v>
      </c>
      <c r="B118" s="18" t="s">
        <v>154</v>
      </c>
    </row>
    <row r="119" spans="1:2" x14ac:dyDescent="0.2">
      <c r="A119" s="20" t="s">
        <v>271</v>
      </c>
      <c r="B119" s="18" t="s">
        <v>272</v>
      </c>
    </row>
    <row r="120" spans="1:2" x14ac:dyDescent="0.2">
      <c r="A120" s="20" t="s">
        <v>922</v>
      </c>
      <c r="B120" s="18" t="s">
        <v>162</v>
      </c>
    </row>
    <row r="121" spans="1:2" x14ac:dyDescent="0.2">
      <c r="A121" s="20" t="s">
        <v>61</v>
      </c>
      <c r="B121" s="18" t="s">
        <v>206</v>
      </c>
    </row>
    <row r="122" spans="1:2" x14ac:dyDescent="0.2">
      <c r="A122" s="20" t="s">
        <v>273</v>
      </c>
      <c r="B122" s="18" t="s">
        <v>274</v>
      </c>
    </row>
    <row r="123" spans="1:2" x14ac:dyDescent="0.2">
      <c r="A123" s="20" t="s">
        <v>273</v>
      </c>
      <c r="B123" s="18" t="s">
        <v>275</v>
      </c>
    </row>
    <row r="124" spans="1:2" x14ac:dyDescent="0.2">
      <c r="A124" s="20" t="s">
        <v>273</v>
      </c>
      <c r="B124" s="18" t="s">
        <v>276</v>
      </c>
    </row>
    <row r="125" spans="1:2" x14ac:dyDescent="0.2">
      <c r="A125" s="20" t="s">
        <v>277</v>
      </c>
      <c r="B125" s="18" t="s">
        <v>278</v>
      </c>
    </row>
    <row r="126" spans="1:2" x14ac:dyDescent="0.2">
      <c r="A126" s="20" t="s">
        <v>277</v>
      </c>
      <c r="B126" s="18" t="s">
        <v>279</v>
      </c>
    </row>
    <row r="127" spans="1:2" x14ac:dyDescent="0.2">
      <c r="A127" s="20" t="s">
        <v>277</v>
      </c>
      <c r="B127" s="18" t="s">
        <v>280</v>
      </c>
    </row>
    <row r="128" spans="1:2" x14ac:dyDescent="0.2">
      <c r="A128" s="20" t="s">
        <v>662</v>
      </c>
      <c r="B128" s="18" t="s">
        <v>133</v>
      </c>
    </row>
    <row r="129" spans="1:2" x14ac:dyDescent="0.2">
      <c r="A129" s="20" t="s">
        <v>63</v>
      </c>
      <c r="B129" s="18" t="s">
        <v>281</v>
      </c>
    </row>
    <row r="130" spans="1:2" x14ac:dyDescent="0.2">
      <c r="A130" s="20" t="s">
        <v>63</v>
      </c>
      <c r="B130" s="18" t="s">
        <v>282</v>
      </c>
    </row>
    <row r="131" spans="1:2" x14ac:dyDescent="0.2">
      <c r="A131" s="20" t="s">
        <v>63</v>
      </c>
      <c r="B131" s="18" t="s">
        <v>283</v>
      </c>
    </row>
    <row r="132" spans="1:2" x14ac:dyDescent="0.2">
      <c r="A132" s="20" t="s">
        <v>63</v>
      </c>
      <c r="B132" s="18" t="s">
        <v>274</v>
      </c>
    </row>
    <row r="133" spans="1:2" x14ac:dyDescent="0.2">
      <c r="A133" s="20" t="s">
        <v>63</v>
      </c>
      <c r="B133" s="18" t="s">
        <v>284</v>
      </c>
    </row>
    <row r="134" spans="1:2" x14ac:dyDescent="0.2">
      <c r="A134" s="20" t="s">
        <v>63</v>
      </c>
      <c r="B134" s="18" t="s">
        <v>285</v>
      </c>
    </row>
    <row r="135" spans="1:2" x14ac:dyDescent="0.2">
      <c r="A135" s="20" t="s">
        <v>63</v>
      </c>
      <c r="B135" s="18" t="s">
        <v>286</v>
      </c>
    </row>
    <row r="136" spans="1:2" x14ac:dyDescent="0.2">
      <c r="A136" s="20" t="s">
        <v>63</v>
      </c>
      <c r="B136" s="18" t="s">
        <v>287</v>
      </c>
    </row>
    <row r="137" spans="1:2" x14ac:dyDescent="0.2">
      <c r="A137" s="20" t="s">
        <v>923</v>
      </c>
      <c r="B137" s="18" t="s">
        <v>134</v>
      </c>
    </row>
    <row r="138" spans="1:2" x14ac:dyDescent="0.2">
      <c r="A138" s="20" t="s">
        <v>692</v>
      </c>
      <c r="B138" s="18" t="s">
        <v>163</v>
      </c>
    </row>
    <row r="139" spans="1:2" x14ac:dyDescent="0.2">
      <c r="A139" s="20" t="s">
        <v>66</v>
      </c>
      <c r="B139" s="18" t="s">
        <v>289</v>
      </c>
    </row>
    <row r="140" spans="1:2" x14ac:dyDescent="0.2">
      <c r="A140" s="20" t="s">
        <v>67</v>
      </c>
      <c r="B140" s="18" t="s">
        <v>291</v>
      </c>
    </row>
    <row r="141" spans="1:2" x14ac:dyDescent="0.2">
      <c r="A141" s="20" t="s">
        <v>296</v>
      </c>
      <c r="B141" s="18" t="s">
        <v>297</v>
      </c>
    </row>
    <row r="142" spans="1:2" x14ac:dyDescent="0.2">
      <c r="A142" s="20" t="s">
        <v>296</v>
      </c>
      <c r="B142" s="18" t="s">
        <v>298</v>
      </c>
    </row>
    <row r="143" spans="1:2" x14ac:dyDescent="0.2">
      <c r="A143" s="20" t="s">
        <v>296</v>
      </c>
      <c r="B143" s="18" t="s">
        <v>299</v>
      </c>
    </row>
    <row r="144" spans="1:2" x14ac:dyDescent="0.2">
      <c r="A144" s="20" t="s">
        <v>296</v>
      </c>
      <c r="B144" s="18" t="s">
        <v>300</v>
      </c>
    </row>
    <row r="145" spans="1:2" x14ac:dyDescent="0.2">
      <c r="A145" s="20" t="s">
        <v>296</v>
      </c>
      <c r="B145" s="18" t="s">
        <v>301</v>
      </c>
    </row>
    <row r="146" spans="1:2" x14ac:dyDescent="0.2">
      <c r="A146" s="20" t="s">
        <v>296</v>
      </c>
      <c r="B146" s="18" t="s">
        <v>302</v>
      </c>
    </row>
    <row r="147" spans="1:2" x14ac:dyDescent="0.2">
      <c r="A147" s="20" t="s">
        <v>296</v>
      </c>
      <c r="B147" s="18" t="s">
        <v>303</v>
      </c>
    </row>
    <row r="148" spans="1:2" x14ac:dyDescent="0.2">
      <c r="A148" s="20" t="s">
        <v>296</v>
      </c>
      <c r="B148" s="18" t="s">
        <v>304</v>
      </c>
    </row>
    <row r="149" spans="1:2" x14ac:dyDescent="0.2">
      <c r="A149" s="20" t="s">
        <v>296</v>
      </c>
      <c r="B149" s="18" t="s">
        <v>305</v>
      </c>
    </row>
    <row r="150" spans="1:2" x14ac:dyDescent="0.2">
      <c r="A150" s="20" t="s">
        <v>924</v>
      </c>
      <c r="B150" s="18" t="s">
        <v>164</v>
      </c>
    </row>
    <row r="151" spans="1:2" x14ac:dyDescent="0.2">
      <c r="A151" s="20" t="s">
        <v>925</v>
      </c>
      <c r="B151" s="18" t="s">
        <v>155</v>
      </c>
    </row>
    <row r="152" spans="1:2" x14ac:dyDescent="0.2">
      <c r="A152" s="20" t="s">
        <v>306</v>
      </c>
      <c r="B152" s="18" t="s">
        <v>307</v>
      </c>
    </row>
    <row r="153" spans="1:2" x14ac:dyDescent="0.2">
      <c r="A153" s="20" t="s">
        <v>68</v>
      </c>
      <c r="B153" s="18" t="s">
        <v>323</v>
      </c>
    </row>
    <row r="154" spans="1:2" x14ac:dyDescent="0.2">
      <c r="A154" s="20" t="s">
        <v>309</v>
      </c>
      <c r="B154" s="18" t="s">
        <v>192</v>
      </c>
    </row>
    <row r="155" spans="1:2" x14ac:dyDescent="0.2">
      <c r="A155" s="20" t="s">
        <v>69</v>
      </c>
      <c r="B155" s="18" t="s">
        <v>329</v>
      </c>
    </row>
    <row r="156" spans="1:2" x14ac:dyDescent="0.2">
      <c r="A156" s="20" t="s">
        <v>926</v>
      </c>
      <c r="B156" s="18" t="s">
        <v>308</v>
      </c>
    </row>
    <row r="157" spans="1:2" x14ac:dyDescent="0.2">
      <c r="A157" s="20" t="s">
        <v>111</v>
      </c>
      <c r="B157" s="18" t="s">
        <v>311</v>
      </c>
    </row>
    <row r="158" spans="1:2" x14ac:dyDescent="0.2">
      <c r="A158" s="20" t="s">
        <v>706</v>
      </c>
      <c r="B158" s="18" t="s">
        <v>314</v>
      </c>
    </row>
    <row r="159" spans="1:2" x14ac:dyDescent="0.2">
      <c r="A159" s="20" t="s">
        <v>70</v>
      </c>
      <c r="B159" s="18" t="s">
        <v>310</v>
      </c>
    </row>
    <row r="160" spans="1:2" x14ac:dyDescent="0.2">
      <c r="A160" s="20" t="s">
        <v>71</v>
      </c>
      <c r="B160" s="18" t="s">
        <v>317</v>
      </c>
    </row>
    <row r="161" spans="1:2" x14ac:dyDescent="0.2">
      <c r="A161" s="20" t="s">
        <v>72</v>
      </c>
      <c r="B161" s="18" t="s">
        <v>135</v>
      </c>
    </row>
    <row r="162" spans="1:2" x14ac:dyDescent="0.2">
      <c r="A162" s="20" t="s">
        <v>927</v>
      </c>
      <c r="B162" s="18" t="s">
        <v>318</v>
      </c>
    </row>
    <row r="163" spans="1:2" x14ac:dyDescent="0.2">
      <c r="A163" s="20" t="s">
        <v>73</v>
      </c>
      <c r="B163" s="18" t="s">
        <v>320</v>
      </c>
    </row>
    <row r="164" spans="1:2" x14ac:dyDescent="0.2">
      <c r="A164" s="20" t="s">
        <v>74</v>
      </c>
      <c r="B164" s="18" t="s">
        <v>313</v>
      </c>
    </row>
    <row r="165" spans="1:2" x14ac:dyDescent="0.2">
      <c r="A165" s="20" t="s">
        <v>712</v>
      </c>
      <c r="B165" s="18" t="s">
        <v>136</v>
      </c>
    </row>
    <row r="166" spans="1:2" x14ac:dyDescent="0.2">
      <c r="A166" s="20" t="s">
        <v>75</v>
      </c>
      <c r="B166" s="18" t="s">
        <v>324</v>
      </c>
    </row>
    <row r="167" spans="1:2" x14ac:dyDescent="0.2">
      <c r="A167" s="20" t="s">
        <v>76</v>
      </c>
      <c r="B167" s="18" t="s">
        <v>326</v>
      </c>
    </row>
    <row r="168" spans="1:2" x14ac:dyDescent="0.2">
      <c r="A168" s="20" t="s">
        <v>397</v>
      </c>
      <c r="B168" s="18" t="s">
        <v>322</v>
      </c>
    </row>
    <row r="169" spans="1:2" x14ac:dyDescent="0.2">
      <c r="A169" s="20" t="s">
        <v>327</v>
      </c>
      <c r="B169" s="18" t="s">
        <v>328</v>
      </c>
    </row>
    <row r="170" spans="1:2" x14ac:dyDescent="0.2">
      <c r="A170" s="20" t="s">
        <v>107</v>
      </c>
      <c r="B170" s="18" t="s">
        <v>178</v>
      </c>
    </row>
    <row r="171" spans="1:2" x14ac:dyDescent="0.2">
      <c r="A171" s="20" t="s">
        <v>77</v>
      </c>
      <c r="B171" s="18" t="s">
        <v>367</v>
      </c>
    </row>
    <row r="172" spans="1:2" x14ac:dyDescent="0.2">
      <c r="A172" s="20" t="s">
        <v>78</v>
      </c>
      <c r="B172" s="18" t="s">
        <v>325</v>
      </c>
    </row>
    <row r="173" spans="1:2" x14ac:dyDescent="0.2">
      <c r="A173" s="20" t="s">
        <v>718</v>
      </c>
      <c r="B173" s="18" t="s">
        <v>173</v>
      </c>
    </row>
    <row r="174" spans="1:2" x14ac:dyDescent="0.2">
      <c r="A174" s="20" t="s">
        <v>928</v>
      </c>
      <c r="B174" s="18" t="s">
        <v>165</v>
      </c>
    </row>
    <row r="175" spans="1:2" x14ac:dyDescent="0.2">
      <c r="A175" s="20" t="s">
        <v>79</v>
      </c>
      <c r="B175" s="18" t="s">
        <v>332</v>
      </c>
    </row>
    <row r="176" spans="1:2" x14ac:dyDescent="0.2">
      <c r="A176" s="20" t="s">
        <v>929</v>
      </c>
      <c r="B176" s="18" t="s">
        <v>140</v>
      </c>
    </row>
    <row r="177" spans="1:2" x14ac:dyDescent="0.2">
      <c r="A177" s="20" t="s">
        <v>400</v>
      </c>
      <c r="B177" s="18" t="s">
        <v>336</v>
      </c>
    </row>
    <row r="178" spans="1:2" x14ac:dyDescent="0.2">
      <c r="A178" s="20" t="s">
        <v>80</v>
      </c>
      <c r="B178" s="18" t="s">
        <v>333</v>
      </c>
    </row>
    <row r="179" spans="1:2" x14ac:dyDescent="0.2">
      <c r="A179" s="20" t="s">
        <v>334</v>
      </c>
      <c r="B179" s="18" t="s">
        <v>335</v>
      </c>
    </row>
    <row r="180" spans="1:2" x14ac:dyDescent="0.2">
      <c r="A180" s="20" t="s">
        <v>81</v>
      </c>
      <c r="B180" s="18" t="s">
        <v>339</v>
      </c>
    </row>
    <row r="181" spans="1:2" x14ac:dyDescent="0.2">
      <c r="A181" s="20" t="s">
        <v>337</v>
      </c>
      <c r="B181" s="18" t="s">
        <v>338</v>
      </c>
    </row>
    <row r="182" spans="1:2" x14ac:dyDescent="0.2">
      <c r="A182" s="20" t="s">
        <v>341</v>
      </c>
      <c r="B182" s="18" t="s">
        <v>342</v>
      </c>
    </row>
    <row r="183" spans="1:2" x14ac:dyDescent="0.2">
      <c r="A183" s="20" t="s">
        <v>343</v>
      </c>
      <c r="B183" s="18" t="s">
        <v>344</v>
      </c>
    </row>
    <row r="184" spans="1:2" x14ac:dyDescent="0.2">
      <c r="A184" s="20" t="s">
        <v>345</v>
      </c>
      <c r="B184" s="18" t="s">
        <v>346</v>
      </c>
    </row>
    <row r="185" spans="1:2" x14ac:dyDescent="0.2">
      <c r="A185" s="20" t="s">
        <v>345</v>
      </c>
      <c r="B185" s="18" t="s">
        <v>347</v>
      </c>
    </row>
    <row r="186" spans="1:2" x14ac:dyDescent="0.2">
      <c r="A186" s="20" t="s">
        <v>345</v>
      </c>
      <c r="B186" s="18" t="s">
        <v>348</v>
      </c>
    </row>
    <row r="187" spans="1:2" x14ac:dyDescent="0.2">
      <c r="A187" s="20" t="s">
        <v>345</v>
      </c>
      <c r="B187" s="18" t="s">
        <v>349</v>
      </c>
    </row>
    <row r="188" spans="1:2" x14ac:dyDescent="0.2">
      <c r="A188" s="20" t="s">
        <v>345</v>
      </c>
      <c r="B188" s="18" t="s">
        <v>350</v>
      </c>
    </row>
    <row r="189" spans="1:2" x14ac:dyDescent="0.2">
      <c r="A189" s="20" t="s">
        <v>345</v>
      </c>
      <c r="B189" s="18" t="s">
        <v>351</v>
      </c>
    </row>
    <row r="190" spans="1:2" x14ac:dyDescent="0.2">
      <c r="A190" s="20" t="s">
        <v>930</v>
      </c>
      <c r="B190" s="18" t="s">
        <v>355</v>
      </c>
    </row>
    <row r="191" spans="1:2" x14ac:dyDescent="0.2">
      <c r="A191" s="20" t="s">
        <v>83</v>
      </c>
      <c r="B191" s="18" t="s">
        <v>356</v>
      </c>
    </row>
    <row r="192" spans="1:2" x14ac:dyDescent="0.2">
      <c r="A192" s="20" t="s">
        <v>731</v>
      </c>
      <c r="B192" s="18" t="s">
        <v>168</v>
      </c>
    </row>
    <row r="193" spans="1:2" x14ac:dyDescent="0.2">
      <c r="A193" s="20" t="s">
        <v>84</v>
      </c>
      <c r="B193" s="18" t="s">
        <v>353</v>
      </c>
    </row>
    <row r="194" spans="1:2" x14ac:dyDescent="0.2">
      <c r="A194" s="20" t="s">
        <v>85</v>
      </c>
      <c r="B194" s="18" t="s">
        <v>359</v>
      </c>
    </row>
    <row r="195" spans="1:2" x14ac:dyDescent="0.2">
      <c r="A195" s="20" t="s">
        <v>86</v>
      </c>
      <c r="B195" s="18" t="s">
        <v>200</v>
      </c>
    </row>
    <row r="196" spans="1:2" x14ac:dyDescent="0.2">
      <c r="A196" s="20" t="s">
        <v>87</v>
      </c>
      <c r="B196" s="18" t="s">
        <v>362</v>
      </c>
    </row>
    <row r="197" spans="1:2" x14ac:dyDescent="0.2">
      <c r="A197" s="20" t="s">
        <v>357</v>
      </c>
      <c r="B197" s="18" t="s">
        <v>358</v>
      </c>
    </row>
    <row r="198" spans="1:2" x14ac:dyDescent="0.2">
      <c r="A198" s="20" t="s">
        <v>739</v>
      </c>
      <c r="B198" s="18" t="s">
        <v>260</v>
      </c>
    </row>
    <row r="199" spans="1:2" x14ac:dyDescent="0.2">
      <c r="A199" s="20" t="s">
        <v>88</v>
      </c>
      <c r="B199" s="18" t="s">
        <v>352</v>
      </c>
    </row>
    <row r="200" spans="1:2" x14ac:dyDescent="0.2">
      <c r="A200" s="20" t="s">
        <v>89</v>
      </c>
      <c r="B200" s="18" t="s">
        <v>360</v>
      </c>
    </row>
    <row r="201" spans="1:2" x14ac:dyDescent="0.2">
      <c r="A201" s="20" t="s">
        <v>744</v>
      </c>
      <c r="B201" s="18" t="s">
        <v>292</v>
      </c>
    </row>
    <row r="202" spans="1:2" x14ac:dyDescent="0.2">
      <c r="A202" s="20" t="s">
        <v>746</v>
      </c>
      <c r="B202" s="18" t="s">
        <v>156</v>
      </c>
    </row>
    <row r="203" spans="1:2" x14ac:dyDescent="0.2">
      <c r="A203" s="20" t="s">
        <v>931</v>
      </c>
      <c r="B203" s="18" t="s">
        <v>315</v>
      </c>
    </row>
    <row r="204" spans="1:2" x14ac:dyDescent="0.2">
      <c r="A204" s="20" t="s">
        <v>748</v>
      </c>
      <c r="B204" s="18" t="s">
        <v>321</v>
      </c>
    </row>
    <row r="205" spans="1:2" x14ac:dyDescent="0.2">
      <c r="A205" s="20" t="s">
        <v>750</v>
      </c>
      <c r="B205" s="18" t="s">
        <v>199</v>
      </c>
    </row>
    <row r="206" spans="1:2" x14ac:dyDescent="0.2">
      <c r="A206" s="20" t="s">
        <v>91</v>
      </c>
      <c r="B206" s="18" t="s">
        <v>361</v>
      </c>
    </row>
    <row r="207" spans="1:2" x14ac:dyDescent="0.2">
      <c r="A207" s="20" t="s">
        <v>753</v>
      </c>
      <c r="B207" s="18" t="s">
        <v>222</v>
      </c>
    </row>
    <row r="208" spans="1:2" x14ac:dyDescent="0.2">
      <c r="A208" s="20" t="s">
        <v>92</v>
      </c>
      <c r="B208" s="18" t="s">
        <v>363</v>
      </c>
    </row>
    <row r="209" spans="1:2" x14ac:dyDescent="0.2">
      <c r="A209" s="20" t="s">
        <v>932</v>
      </c>
      <c r="B209" s="18" t="s">
        <v>145</v>
      </c>
    </row>
    <row r="210" spans="1:2" x14ac:dyDescent="0.2">
      <c r="A210" s="20" t="s">
        <v>933</v>
      </c>
      <c r="B210" s="18" t="s">
        <v>331</v>
      </c>
    </row>
    <row r="211" spans="1:2" x14ac:dyDescent="0.2">
      <c r="A211" s="20" t="s">
        <v>94</v>
      </c>
      <c r="B211" s="18" t="s">
        <v>141</v>
      </c>
    </row>
    <row r="212" spans="1:2" x14ac:dyDescent="0.2">
      <c r="A212" s="20" t="s">
        <v>95</v>
      </c>
      <c r="B212" s="18" t="s">
        <v>179</v>
      </c>
    </row>
    <row r="213" spans="1:2" x14ac:dyDescent="0.2">
      <c r="A213" s="20" t="s">
        <v>96</v>
      </c>
      <c r="B213" s="18" t="s">
        <v>217</v>
      </c>
    </row>
    <row r="214" spans="1:2" x14ac:dyDescent="0.2">
      <c r="A214" s="20" t="s">
        <v>934</v>
      </c>
      <c r="B214" s="18" t="s">
        <v>376</v>
      </c>
    </row>
    <row r="215" spans="1:2" x14ac:dyDescent="0.2">
      <c r="A215" s="20" t="s">
        <v>760</v>
      </c>
      <c r="B215" s="18" t="s">
        <v>364</v>
      </c>
    </row>
    <row r="216" spans="1:2" x14ac:dyDescent="0.2">
      <c r="A216" s="20" t="s">
        <v>935</v>
      </c>
      <c r="B216" s="18" t="s">
        <v>330</v>
      </c>
    </row>
    <row r="217" spans="1:2" x14ac:dyDescent="0.2">
      <c r="A217" s="20" t="s">
        <v>97</v>
      </c>
      <c r="B217" s="18" t="s">
        <v>368</v>
      </c>
    </row>
    <row r="218" spans="1:2" x14ac:dyDescent="0.2">
      <c r="A218" s="20" t="s">
        <v>370</v>
      </c>
      <c r="B218" s="18" t="s">
        <v>371</v>
      </c>
    </row>
    <row r="219" spans="1:2" x14ac:dyDescent="0.2">
      <c r="A219" s="20" t="s">
        <v>98</v>
      </c>
      <c r="B219" s="18" t="s">
        <v>372</v>
      </c>
    </row>
    <row r="220" spans="1:2" x14ac:dyDescent="0.2">
      <c r="A220" s="20" t="s">
        <v>99</v>
      </c>
      <c r="B220" s="18" t="s">
        <v>373</v>
      </c>
    </row>
    <row r="221" spans="1:2" x14ac:dyDescent="0.2">
      <c r="A221" s="20" t="s">
        <v>936</v>
      </c>
      <c r="B221" s="18" t="s">
        <v>316</v>
      </c>
    </row>
    <row r="222" spans="1:2" x14ac:dyDescent="0.2">
      <c r="A222" s="20" t="s">
        <v>100</v>
      </c>
      <c r="B222" s="18" t="s">
        <v>375</v>
      </c>
    </row>
    <row r="223" spans="1:2" x14ac:dyDescent="0.2">
      <c r="A223" s="20" t="s">
        <v>101</v>
      </c>
      <c r="B223" s="18" t="s">
        <v>377</v>
      </c>
    </row>
    <row r="224" spans="1:2" x14ac:dyDescent="0.2">
      <c r="A224" s="20" t="s">
        <v>775</v>
      </c>
      <c r="B224" s="18" t="s">
        <v>293</v>
      </c>
    </row>
    <row r="225" spans="1:2" x14ac:dyDescent="0.2">
      <c r="A225" s="20" t="s">
        <v>110</v>
      </c>
      <c r="B225" s="18" t="s">
        <v>378</v>
      </c>
    </row>
    <row r="226" spans="1:2" x14ac:dyDescent="0.2">
      <c r="A226" s="20" t="s">
        <v>379</v>
      </c>
      <c r="B226" s="18" t="s">
        <v>380</v>
      </c>
    </row>
    <row r="227" spans="1:2" x14ac:dyDescent="0.2">
      <c r="A227" s="20" t="s">
        <v>937</v>
      </c>
      <c r="B227" s="18" t="s">
        <v>169</v>
      </c>
    </row>
    <row r="228" spans="1:2" x14ac:dyDescent="0.2">
      <c r="A228" s="20" t="s">
        <v>381</v>
      </c>
      <c r="B228" s="18" t="s">
        <v>382</v>
      </c>
    </row>
    <row r="229" spans="1:2" x14ac:dyDescent="0.2">
      <c r="A229" s="20" t="s">
        <v>938</v>
      </c>
      <c r="B229" s="18" t="s">
        <v>374</v>
      </c>
    </row>
    <row r="230" spans="1:2" x14ac:dyDescent="0.2">
      <c r="A230" s="20" t="s">
        <v>939</v>
      </c>
      <c r="B230" s="18" t="s">
        <v>288</v>
      </c>
    </row>
    <row r="231" spans="1:2" x14ac:dyDescent="0.2">
      <c r="A231" s="20" t="s">
        <v>940</v>
      </c>
      <c r="B231" s="18" t="s">
        <v>369</v>
      </c>
    </row>
    <row r="232" spans="1:2" x14ac:dyDescent="0.2">
      <c r="A232" s="20" t="s">
        <v>102</v>
      </c>
      <c r="B232" s="18" t="s">
        <v>383</v>
      </c>
    </row>
    <row r="233" spans="1:2" x14ac:dyDescent="0.2">
      <c r="A233" s="20" t="s">
        <v>794</v>
      </c>
      <c r="B233" s="18" t="s">
        <v>201</v>
      </c>
    </row>
    <row r="234" spans="1:2" x14ac:dyDescent="0.2">
      <c r="A234" s="20" t="s">
        <v>384</v>
      </c>
      <c r="B234" s="18" t="s">
        <v>385</v>
      </c>
    </row>
    <row r="235" spans="1:2" x14ac:dyDescent="0.2">
      <c r="A235" s="20" t="s">
        <v>104</v>
      </c>
      <c r="B235" s="18" t="s">
        <v>386</v>
      </c>
    </row>
    <row r="236" spans="1:2" x14ac:dyDescent="0.2">
      <c r="A236" s="20" t="s">
        <v>387</v>
      </c>
      <c r="B236" s="18" t="s">
        <v>388</v>
      </c>
    </row>
    <row r="237" spans="1:2" x14ac:dyDescent="0.2">
      <c r="A237" s="20" t="s">
        <v>105</v>
      </c>
      <c r="B237" s="18" t="s">
        <v>390</v>
      </c>
    </row>
    <row r="238" spans="1:2" x14ac:dyDescent="0.2">
      <c r="A238" s="20" t="s">
        <v>391</v>
      </c>
      <c r="B238" s="18" t="s">
        <v>392</v>
      </c>
    </row>
    <row r="239" spans="1:2" x14ac:dyDescent="0.2">
      <c r="A239" s="20" t="s">
        <v>941</v>
      </c>
      <c r="B239" s="18" t="s">
        <v>174</v>
      </c>
    </row>
    <row r="240" spans="1:2" x14ac:dyDescent="0.2">
      <c r="A240" s="20" t="s">
        <v>942</v>
      </c>
      <c r="B240" s="18" t="s">
        <v>202</v>
      </c>
    </row>
    <row r="241" spans="1:2" x14ac:dyDescent="0.2">
      <c r="A241" s="20" t="s">
        <v>393</v>
      </c>
      <c r="B241" s="18" t="s">
        <v>394</v>
      </c>
    </row>
    <row r="242" spans="1:2" x14ac:dyDescent="0.2">
      <c r="A242" s="20" t="s">
        <v>943</v>
      </c>
      <c r="B242" s="18" t="s">
        <v>147</v>
      </c>
    </row>
    <row r="243" spans="1:2" x14ac:dyDescent="0.2">
      <c r="A243" s="20" t="s">
        <v>944</v>
      </c>
      <c r="B243" s="18" t="s">
        <v>251</v>
      </c>
    </row>
    <row r="244" spans="1:2" x14ac:dyDescent="0.2">
      <c r="A244" s="20" t="s">
        <v>945</v>
      </c>
      <c r="B244" s="18" t="s">
        <v>294</v>
      </c>
    </row>
    <row r="245" spans="1:2" x14ac:dyDescent="0.2">
      <c r="A245" s="20" t="s">
        <v>946</v>
      </c>
      <c r="B245" s="18" t="s">
        <v>266</v>
      </c>
    </row>
    <row r="246" spans="1:2" x14ac:dyDescent="0.2">
      <c r="A246" s="20" t="s">
        <v>947</v>
      </c>
      <c r="B246" s="18" t="s">
        <v>340</v>
      </c>
    </row>
    <row r="247" spans="1:2" x14ac:dyDescent="0.2">
      <c r="A247" s="20" t="s">
        <v>948</v>
      </c>
      <c r="B247" s="18" t="s">
        <v>295</v>
      </c>
    </row>
    <row r="248" spans="1:2" x14ac:dyDescent="0.2">
      <c r="A248" s="20" t="s">
        <v>949</v>
      </c>
      <c r="B248" s="18" t="s">
        <v>142</v>
      </c>
    </row>
    <row r="249" spans="1:2" x14ac:dyDescent="0.2">
      <c r="A249" s="20" t="s">
        <v>395</v>
      </c>
      <c r="B249" s="18" t="s">
        <v>396</v>
      </c>
    </row>
    <row r="250" spans="1:2" x14ac:dyDescent="0.2">
      <c r="A250" s="20" t="s">
        <v>950</v>
      </c>
      <c r="B250" s="18" t="s">
        <v>196</v>
      </c>
    </row>
    <row r="251" spans="1:2" x14ac:dyDescent="0.2">
      <c r="A251" s="20" t="s">
        <v>951</v>
      </c>
      <c r="B251" s="18" t="s">
        <v>138</v>
      </c>
    </row>
    <row r="252" spans="1:2" x14ac:dyDescent="0.2">
      <c r="A252" s="20" t="s">
        <v>952</v>
      </c>
      <c r="B252" s="18" t="s">
        <v>175</v>
      </c>
    </row>
  </sheetData>
  <phoneticPr fontId="7"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B3"/>
  <sheetViews>
    <sheetView workbookViewId="0"/>
  </sheetViews>
  <sheetFormatPr defaultRowHeight="13.5" x14ac:dyDescent="0.15"/>
  <cols>
    <col min="1" max="1" width="9.125" style="1"/>
    <col min="2" max="2" width="25.625" style="1" customWidth="1"/>
    <col min="3" max="257" width="9.125" style="1"/>
    <col min="258" max="258" width="25.625" style="1" customWidth="1"/>
    <col min="259" max="513" width="9.125" style="1"/>
    <col min="514" max="514" width="25.625" style="1" customWidth="1"/>
    <col min="515" max="769" width="9.125" style="1"/>
    <col min="770" max="770" width="25.625" style="1" customWidth="1"/>
    <col min="771" max="1025" width="9.125" style="1"/>
    <col min="1026" max="1026" width="25.625" style="1" customWidth="1"/>
    <col min="1027" max="1281" width="9.125" style="1"/>
    <col min="1282" max="1282" width="25.625" style="1" customWidth="1"/>
    <col min="1283" max="1537" width="9.125" style="1"/>
    <col min="1538" max="1538" width="25.625" style="1" customWidth="1"/>
    <col min="1539" max="1793" width="9.125" style="1"/>
    <col min="1794" max="1794" width="25.625" style="1" customWidth="1"/>
    <col min="1795" max="2049" width="9.125" style="1"/>
    <col min="2050" max="2050" width="25.625" style="1" customWidth="1"/>
    <col min="2051" max="2305" width="9.125" style="1"/>
    <col min="2306" max="2306" width="25.625" style="1" customWidth="1"/>
    <col min="2307" max="2561" width="9.125" style="1"/>
    <col min="2562" max="2562" width="25.625" style="1" customWidth="1"/>
    <col min="2563" max="2817" width="9.125" style="1"/>
    <col min="2818" max="2818" width="25.625" style="1" customWidth="1"/>
    <col min="2819" max="3073" width="9.125" style="1"/>
    <col min="3074" max="3074" width="25.625" style="1" customWidth="1"/>
    <col min="3075" max="3329" width="9.125" style="1"/>
    <col min="3330" max="3330" width="25.625" style="1" customWidth="1"/>
    <col min="3331" max="3585" width="9.125" style="1"/>
    <col min="3586" max="3586" width="25.625" style="1" customWidth="1"/>
    <col min="3587" max="3841" width="9.125" style="1"/>
    <col min="3842" max="3842" width="25.625" style="1" customWidth="1"/>
    <col min="3843" max="4097" width="9.125" style="1"/>
    <col min="4098" max="4098" width="25.625" style="1" customWidth="1"/>
    <col min="4099" max="4353" width="9.125" style="1"/>
    <col min="4354" max="4354" width="25.625" style="1" customWidth="1"/>
    <col min="4355" max="4609" width="9.125" style="1"/>
    <col min="4610" max="4610" width="25.625" style="1" customWidth="1"/>
    <col min="4611" max="4865" width="9.125" style="1"/>
    <col min="4866" max="4866" width="25.625" style="1" customWidth="1"/>
    <col min="4867" max="5121" width="9.125" style="1"/>
    <col min="5122" max="5122" width="25.625" style="1" customWidth="1"/>
    <col min="5123" max="5377" width="9.125" style="1"/>
    <col min="5378" max="5378" width="25.625" style="1" customWidth="1"/>
    <col min="5379" max="5633" width="9.125" style="1"/>
    <col min="5634" max="5634" width="25.625" style="1" customWidth="1"/>
    <col min="5635" max="5889" width="9.125" style="1"/>
    <col min="5890" max="5890" width="25.625" style="1" customWidth="1"/>
    <col min="5891" max="6145" width="9.125" style="1"/>
    <col min="6146" max="6146" width="25.625" style="1" customWidth="1"/>
    <col min="6147" max="6401" width="9.125" style="1"/>
    <col min="6402" max="6402" width="25.625" style="1" customWidth="1"/>
    <col min="6403" max="6657" width="9.125" style="1"/>
    <col min="6658" max="6658" width="25.625" style="1" customWidth="1"/>
    <col min="6659" max="6913" width="9.125" style="1"/>
    <col min="6914" max="6914" width="25.625" style="1" customWidth="1"/>
    <col min="6915" max="7169" width="9.125" style="1"/>
    <col min="7170" max="7170" width="25.625" style="1" customWidth="1"/>
    <col min="7171" max="7425" width="9.125" style="1"/>
    <col min="7426" max="7426" width="25.625" style="1" customWidth="1"/>
    <col min="7427" max="7681" width="9.125" style="1"/>
    <col min="7682" max="7682" width="25.625" style="1" customWidth="1"/>
    <col min="7683" max="7937" width="9.125" style="1"/>
    <col min="7938" max="7938" width="25.625" style="1" customWidth="1"/>
    <col min="7939" max="8193" width="9.125" style="1"/>
    <col min="8194" max="8194" width="25.625" style="1" customWidth="1"/>
    <col min="8195" max="8449" width="9.125" style="1"/>
    <col min="8450" max="8450" width="25.625" style="1" customWidth="1"/>
    <col min="8451" max="8705" width="9.125" style="1"/>
    <col min="8706" max="8706" width="25.625" style="1" customWidth="1"/>
    <col min="8707" max="8961" width="9.125" style="1"/>
    <col min="8962" max="8962" width="25.625" style="1" customWidth="1"/>
    <col min="8963" max="9217" width="9.125" style="1"/>
    <col min="9218" max="9218" width="25.625" style="1" customWidth="1"/>
    <col min="9219" max="9473" width="9.125" style="1"/>
    <col min="9474" max="9474" width="25.625" style="1" customWidth="1"/>
    <col min="9475" max="9729" width="9.125" style="1"/>
    <col min="9730" max="9730" width="25.625" style="1" customWidth="1"/>
    <col min="9731" max="9985" width="9.125" style="1"/>
    <col min="9986" max="9986" width="25.625" style="1" customWidth="1"/>
    <col min="9987" max="10241" width="9.125" style="1"/>
    <col min="10242" max="10242" width="25.625" style="1" customWidth="1"/>
    <col min="10243" max="10497" width="9.125" style="1"/>
    <col min="10498" max="10498" width="25.625" style="1" customWidth="1"/>
    <col min="10499" max="10753" width="9.125" style="1"/>
    <col min="10754" max="10754" width="25.625" style="1" customWidth="1"/>
    <col min="10755" max="11009" width="9.125" style="1"/>
    <col min="11010" max="11010" width="25.625" style="1" customWidth="1"/>
    <col min="11011" max="11265" width="9.125" style="1"/>
    <col min="11266" max="11266" width="25.625" style="1" customWidth="1"/>
    <col min="11267" max="11521" width="9.125" style="1"/>
    <col min="11522" max="11522" width="25.625" style="1" customWidth="1"/>
    <col min="11523" max="11777" width="9.125" style="1"/>
    <col min="11778" max="11778" width="25.625" style="1" customWidth="1"/>
    <col min="11779" max="12033" width="9.125" style="1"/>
    <col min="12034" max="12034" width="25.625" style="1" customWidth="1"/>
    <col min="12035" max="12289" width="9.125" style="1"/>
    <col min="12290" max="12290" width="25.625" style="1" customWidth="1"/>
    <col min="12291" max="12545" width="9.125" style="1"/>
    <col min="12546" max="12546" width="25.625" style="1" customWidth="1"/>
    <col min="12547" max="12801" width="9.125" style="1"/>
    <col min="12802" max="12802" width="25.625" style="1" customWidth="1"/>
    <col min="12803" max="13057" width="9.125" style="1"/>
    <col min="13058" max="13058" width="25.625" style="1" customWidth="1"/>
    <col min="13059" max="13313" width="9.125" style="1"/>
    <col min="13314" max="13314" width="25.625" style="1" customWidth="1"/>
    <col min="13315" max="13569" width="9.125" style="1"/>
    <col min="13570" max="13570" width="25.625" style="1" customWidth="1"/>
    <col min="13571" max="13825" width="9.125" style="1"/>
    <col min="13826" max="13826" width="25.625" style="1" customWidth="1"/>
    <col min="13827" max="14081" width="9.125" style="1"/>
    <col min="14082" max="14082" width="25.625" style="1" customWidth="1"/>
    <col min="14083" max="14337" width="9.125" style="1"/>
    <col min="14338" max="14338" width="25.625" style="1" customWidth="1"/>
    <col min="14339" max="14593" width="9.125" style="1"/>
    <col min="14594" max="14594" width="25.625" style="1" customWidth="1"/>
    <col min="14595" max="14849" width="9.125" style="1"/>
    <col min="14850" max="14850" width="25.625" style="1" customWidth="1"/>
    <col min="14851" max="15105" width="9.125" style="1"/>
    <col min="15106" max="15106" width="25.625" style="1" customWidth="1"/>
    <col min="15107" max="15361" width="9.125" style="1"/>
    <col min="15362" max="15362" width="25.625" style="1" customWidth="1"/>
    <col min="15363" max="15617" width="9.125" style="1"/>
    <col min="15618" max="15618" width="25.625" style="1" customWidth="1"/>
    <col min="15619" max="15873" width="9.125" style="1"/>
    <col min="15874" max="15874" width="25.625" style="1" customWidth="1"/>
    <col min="15875" max="16129" width="9.125" style="1"/>
    <col min="16130" max="16130" width="25.625" style="1" customWidth="1"/>
    <col min="16131" max="16384" width="9.125" style="1"/>
  </cols>
  <sheetData>
    <row r="1" spans="1:2" x14ac:dyDescent="0.15">
      <c r="A1" s="21" t="s">
        <v>401</v>
      </c>
      <c r="B1" s="22" t="s">
        <v>402</v>
      </c>
    </row>
    <row r="2" spans="1:2" x14ac:dyDescent="0.15">
      <c r="A2" s="23" t="s">
        <v>397</v>
      </c>
      <c r="B2" s="24" t="s">
        <v>1434</v>
      </c>
    </row>
    <row r="3" spans="1:2" x14ac:dyDescent="0.15">
      <c r="A3" s="23" t="s">
        <v>26</v>
      </c>
      <c r="B3" s="24" t="s">
        <v>1435</v>
      </c>
    </row>
  </sheetData>
  <phoneticPr fontId="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250"/>
  <sheetViews>
    <sheetView topLeftCell="A10" zoomScaleNormal="100" workbookViewId="0">
      <selection activeCell="C13" sqref="C13"/>
    </sheetView>
  </sheetViews>
  <sheetFormatPr defaultRowHeight="13.5" x14ac:dyDescent="0.15"/>
  <cols>
    <col min="1" max="1" width="10.125" bestFit="1" customWidth="1"/>
    <col min="2" max="2" width="49.375" bestFit="1" customWidth="1"/>
    <col min="3" max="3" width="38.375" bestFit="1" customWidth="1"/>
  </cols>
  <sheetData>
    <row r="1" spans="1:3" x14ac:dyDescent="0.15">
      <c r="A1" s="30" t="s">
        <v>1466</v>
      </c>
      <c r="B1" s="12" t="s">
        <v>1462</v>
      </c>
      <c r="C1" s="12"/>
    </row>
    <row r="2" spans="1:3" x14ac:dyDescent="0.15">
      <c r="A2" s="30" t="s">
        <v>426</v>
      </c>
      <c r="B2" s="12" t="s">
        <v>427</v>
      </c>
      <c r="C2" s="12" t="s">
        <v>1509</v>
      </c>
    </row>
    <row r="3" spans="1:3" x14ac:dyDescent="0.15">
      <c r="A3" s="30" t="s">
        <v>0</v>
      </c>
      <c r="B3" s="12" t="s">
        <v>428</v>
      </c>
      <c r="C3" s="12" t="s">
        <v>1510</v>
      </c>
    </row>
    <row r="4" spans="1:3" x14ac:dyDescent="0.15">
      <c r="A4" s="30" t="s">
        <v>429</v>
      </c>
      <c r="B4" s="12" t="s">
        <v>430</v>
      </c>
      <c r="C4" s="12" t="s">
        <v>1511</v>
      </c>
    </row>
    <row r="5" spans="1:3" x14ac:dyDescent="0.15">
      <c r="A5" s="30" t="s">
        <v>431</v>
      </c>
      <c r="B5" s="12" t="s">
        <v>432</v>
      </c>
      <c r="C5" s="12" t="s">
        <v>1512</v>
      </c>
    </row>
    <row r="6" spans="1:3" x14ac:dyDescent="0.15">
      <c r="A6" s="30" t="s">
        <v>433</v>
      </c>
      <c r="B6" s="12" t="s">
        <v>434</v>
      </c>
      <c r="C6" s="12" t="s">
        <v>1513</v>
      </c>
    </row>
    <row r="7" spans="1:3" x14ac:dyDescent="0.15">
      <c r="A7" s="30" t="s">
        <v>435</v>
      </c>
      <c r="B7" s="12" t="s">
        <v>436</v>
      </c>
      <c r="C7" s="12" t="s">
        <v>1514</v>
      </c>
    </row>
    <row r="8" spans="1:3" x14ac:dyDescent="0.15">
      <c r="A8" s="30" t="s">
        <v>1</v>
      </c>
      <c r="B8" s="12" t="s">
        <v>437</v>
      </c>
      <c r="C8" s="12" t="s">
        <v>1516</v>
      </c>
    </row>
    <row r="9" spans="1:3" x14ac:dyDescent="0.15">
      <c r="A9" s="30" t="s">
        <v>438</v>
      </c>
      <c r="B9" s="12" t="s">
        <v>439</v>
      </c>
      <c r="C9" s="12" t="s">
        <v>1515</v>
      </c>
    </row>
    <row r="10" spans="1:3" x14ac:dyDescent="0.15">
      <c r="A10" s="30" t="s">
        <v>440</v>
      </c>
      <c r="B10" s="12" t="s">
        <v>441</v>
      </c>
      <c r="C10" s="12" t="s">
        <v>1517</v>
      </c>
    </row>
    <row r="11" spans="1:3" x14ac:dyDescent="0.15">
      <c r="A11" s="30" t="s">
        <v>442</v>
      </c>
      <c r="B11" s="12" t="s">
        <v>443</v>
      </c>
      <c r="C11" s="12" t="s">
        <v>1518</v>
      </c>
    </row>
    <row r="12" spans="1:3" x14ac:dyDescent="0.15">
      <c r="A12" s="30" t="s">
        <v>118</v>
      </c>
      <c r="B12" s="12" t="s">
        <v>444</v>
      </c>
      <c r="C12" s="12" t="s">
        <v>1519</v>
      </c>
    </row>
    <row r="13" spans="1:3" x14ac:dyDescent="0.15">
      <c r="A13" s="30" t="s">
        <v>2</v>
      </c>
      <c r="B13" s="12" t="s">
        <v>445</v>
      </c>
      <c r="C13" s="12" t="s">
        <v>1520</v>
      </c>
    </row>
    <row r="14" spans="1:3" x14ac:dyDescent="0.15">
      <c r="A14" s="30" t="s">
        <v>446</v>
      </c>
      <c r="B14" s="12" t="s">
        <v>447</v>
      </c>
      <c r="C14" s="12" t="s">
        <v>1521</v>
      </c>
    </row>
    <row r="15" spans="1:3" x14ac:dyDescent="0.15">
      <c r="A15" s="30" t="s">
        <v>448</v>
      </c>
      <c r="B15" s="12" t="s">
        <v>449</v>
      </c>
      <c r="C15" s="12" t="s">
        <v>1522</v>
      </c>
    </row>
    <row r="16" spans="1:3" x14ac:dyDescent="0.15">
      <c r="A16" s="30" t="s">
        <v>450</v>
      </c>
      <c r="B16" s="12" t="s">
        <v>451</v>
      </c>
      <c r="C16" s="12" t="s">
        <v>1523</v>
      </c>
    </row>
    <row r="17" spans="1:3" x14ac:dyDescent="0.15">
      <c r="A17" s="30" t="s">
        <v>452</v>
      </c>
      <c r="B17" s="12" t="s">
        <v>453</v>
      </c>
      <c r="C17" s="12" t="s">
        <v>1524</v>
      </c>
    </row>
    <row r="18" spans="1:3" x14ac:dyDescent="0.15">
      <c r="A18" s="30" t="s">
        <v>3</v>
      </c>
      <c r="B18" s="12" t="s">
        <v>454</v>
      </c>
      <c r="C18" s="12" t="s">
        <v>1734</v>
      </c>
    </row>
    <row r="19" spans="1:3" x14ac:dyDescent="0.15">
      <c r="A19" s="30" t="s">
        <v>4</v>
      </c>
      <c r="B19" s="12" t="s">
        <v>455</v>
      </c>
      <c r="C19" s="12" t="s">
        <v>1525</v>
      </c>
    </row>
    <row r="20" spans="1:3" x14ac:dyDescent="0.15">
      <c r="A20" s="30" t="s">
        <v>6</v>
      </c>
      <c r="B20" s="12" t="s">
        <v>456</v>
      </c>
      <c r="C20" s="12" t="s">
        <v>1735</v>
      </c>
    </row>
    <row r="21" spans="1:3" x14ac:dyDescent="0.15">
      <c r="A21" s="30" t="s">
        <v>7</v>
      </c>
      <c r="B21" s="12" t="s">
        <v>457</v>
      </c>
      <c r="C21" s="12" t="s">
        <v>1526</v>
      </c>
    </row>
    <row r="22" spans="1:3" x14ac:dyDescent="0.15">
      <c r="A22" s="30" t="s">
        <v>8</v>
      </c>
      <c r="B22" s="12" t="s">
        <v>458</v>
      </c>
      <c r="C22" s="12" t="s">
        <v>1527</v>
      </c>
    </row>
    <row r="23" spans="1:3" x14ac:dyDescent="0.15">
      <c r="A23" s="30" t="s">
        <v>9</v>
      </c>
      <c r="B23" s="12" t="s">
        <v>459</v>
      </c>
      <c r="C23" s="12" t="s">
        <v>1528</v>
      </c>
    </row>
    <row r="24" spans="1:3" x14ac:dyDescent="0.15">
      <c r="A24" s="30" t="s">
        <v>10</v>
      </c>
      <c r="B24" s="12" t="s">
        <v>460</v>
      </c>
      <c r="C24" s="12" t="s">
        <v>1529</v>
      </c>
    </row>
    <row r="25" spans="1:3" x14ac:dyDescent="0.15">
      <c r="A25" s="30" t="s">
        <v>11</v>
      </c>
      <c r="B25" s="12" t="s">
        <v>461</v>
      </c>
      <c r="C25" s="12" t="s">
        <v>1530</v>
      </c>
    </row>
    <row r="26" spans="1:3" x14ac:dyDescent="0.15">
      <c r="A26" s="30" t="s">
        <v>12</v>
      </c>
      <c r="B26" s="12" t="s">
        <v>462</v>
      </c>
      <c r="C26" s="12" t="s">
        <v>1531</v>
      </c>
    </row>
    <row r="27" spans="1:3" x14ac:dyDescent="0.15">
      <c r="A27" s="30" t="s">
        <v>14</v>
      </c>
      <c r="B27" s="12" t="s">
        <v>463</v>
      </c>
      <c r="C27" s="12" t="s">
        <v>1736</v>
      </c>
    </row>
    <row r="28" spans="1:3" x14ac:dyDescent="0.15">
      <c r="A28" s="30" t="s">
        <v>112</v>
      </c>
      <c r="B28" s="12" t="s">
        <v>464</v>
      </c>
      <c r="C28" s="12" t="s">
        <v>1532</v>
      </c>
    </row>
    <row r="29" spans="1:3" x14ac:dyDescent="0.15">
      <c r="A29" s="30" t="s">
        <v>15</v>
      </c>
      <c r="B29" s="12" t="s">
        <v>465</v>
      </c>
      <c r="C29" s="12" t="s">
        <v>1533</v>
      </c>
    </row>
    <row r="30" spans="1:3" x14ac:dyDescent="0.15">
      <c r="A30" s="30" t="s">
        <v>16</v>
      </c>
      <c r="B30" s="12" t="s">
        <v>466</v>
      </c>
      <c r="C30" s="12" t="s">
        <v>1737</v>
      </c>
    </row>
    <row r="31" spans="1:3" x14ac:dyDescent="0.15">
      <c r="A31" s="30" t="s">
        <v>17</v>
      </c>
      <c r="B31" s="12" t="s">
        <v>467</v>
      </c>
      <c r="C31" s="12" t="s">
        <v>1738</v>
      </c>
    </row>
    <row r="32" spans="1:3" x14ac:dyDescent="0.15">
      <c r="A32" s="30" t="s">
        <v>18</v>
      </c>
      <c r="B32" s="12" t="s">
        <v>468</v>
      </c>
      <c r="C32" s="12" t="s">
        <v>1534</v>
      </c>
    </row>
    <row r="33" spans="1:3" x14ac:dyDescent="0.15">
      <c r="A33" s="30" t="s">
        <v>19</v>
      </c>
      <c r="B33" s="12" t="s">
        <v>469</v>
      </c>
      <c r="C33" s="12" t="s">
        <v>1535</v>
      </c>
    </row>
    <row r="34" spans="1:3" x14ac:dyDescent="0.15">
      <c r="A34" s="30" t="s">
        <v>20</v>
      </c>
      <c r="B34" s="12" t="s">
        <v>470</v>
      </c>
      <c r="C34" s="12" t="s">
        <v>1536</v>
      </c>
    </row>
    <row r="35" spans="1:3" x14ac:dyDescent="0.15">
      <c r="A35" s="30" t="s">
        <v>21</v>
      </c>
      <c r="B35" s="12" t="s">
        <v>471</v>
      </c>
      <c r="C35" s="12" t="s">
        <v>1537</v>
      </c>
    </row>
    <row r="36" spans="1:3" x14ac:dyDescent="0.15">
      <c r="A36" s="30" t="s">
        <v>472</v>
      </c>
      <c r="B36" s="12" t="s">
        <v>473</v>
      </c>
      <c r="C36" s="12" t="s">
        <v>1538</v>
      </c>
    </row>
    <row r="37" spans="1:3" x14ac:dyDescent="0.15">
      <c r="A37" s="30" t="s">
        <v>23</v>
      </c>
      <c r="B37" s="12" t="s">
        <v>474</v>
      </c>
      <c r="C37" s="12" t="s">
        <v>1539</v>
      </c>
    </row>
    <row r="38" spans="1:3" x14ac:dyDescent="0.15">
      <c r="A38" s="30" t="s">
        <v>24</v>
      </c>
      <c r="B38" s="12" t="s">
        <v>475</v>
      </c>
      <c r="C38" s="12" t="s">
        <v>1540</v>
      </c>
    </row>
    <row r="39" spans="1:3" x14ac:dyDescent="0.15">
      <c r="A39" s="30" t="s">
        <v>887</v>
      </c>
      <c r="B39" s="12" t="s">
        <v>476</v>
      </c>
      <c r="C39" s="12" t="s">
        <v>1541</v>
      </c>
    </row>
    <row r="40" spans="1:3" x14ac:dyDescent="0.15">
      <c r="A40" s="30" t="s">
        <v>26</v>
      </c>
      <c r="B40" s="12" t="s">
        <v>477</v>
      </c>
      <c r="C40" s="12" t="s">
        <v>1542</v>
      </c>
    </row>
    <row r="41" spans="1:3" x14ac:dyDescent="0.15">
      <c r="A41" s="30" t="s">
        <v>478</v>
      </c>
      <c r="B41" s="12" t="s">
        <v>479</v>
      </c>
      <c r="C41" s="12" t="s">
        <v>1543</v>
      </c>
    </row>
    <row r="42" spans="1:3" x14ac:dyDescent="0.15">
      <c r="A42" s="30" t="s">
        <v>28</v>
      </c>
      <c r="B42" s="12" t="s">
        <v>480</v>
      </c>
      <c r="C42" s="12" t="s">
        <v>1544</v>
      </c>
    </row>
    <row r="43" spans="1:3" x14ac:dyDescent="0.15">
      <c r="A43" s="30" t="s">
        <v>29</v>
      </c>
      <c r="B43" s="12" t="s">
        <v>481</v>
      </c>
      <c r="C43" s="12" t="s">
        <v>1545</v>
      </c>
    </row>
    <row r="44" spans="1:3" x14ac:dyDescent="0.15">
      <c r="A44" s="30" t="s">
        <v>30</v>
      </c>
      <c r="B44" s="12" t="s">
        <v>482</v>
      </c>
      <c r="C44" s="12" t="s">
        <v>1546</v>
      </c>
    </row>
    <row r="45" spans="1:3" x14ac:dyDescent="0.15">
      <c r="A45" s="30" t="s">
        <v>31</v>
      </c>
      <c r="B45" s="12" t="s">
        <v>483</v>
      </c>
      <c r="C45" s="12" t="s">
        <v>1547</v>
      </c>
    </row>
    <row r="46" spans="1:3" x14ac:dyDescent="0.15">
      <c r="A46" s="30" t="s">
        <v>33</v>
      </c>
      <c r="B46" s="12" t="s">
        <v>484</v>
      </c>
      <c r="C46" s="12" t="s">
        <v>1548</v>
      </c>
    </row>
    <row r="47" spans="1:3" x14ac:dyDescent="0.15">
      <c r="A47" s="30" t="s">
        <v>34</v>
      </c>
      <c r="B47" s="12" t="s">
        <v>485</v>
      </c>
      <c r="C47" s="12" t="s">
        <v>1549</v>
      </c>
    </row>
    <row r="48" spans="1:3" x14ac:dyDescent="0.15">
      <c r="A48" s="30" t="s">
        <v>486</v>
      </c>
      <c r="B48" s="12" t="s">
        <v>487</v>
      </c>
      <c r="C48" s="12" t="s">
        <v>1550</v>
      </c>
    </row>
    <row r="49" spans="1:3" x14ac:dyDescent="0.15">
      <c r="A49" s="30" t="s">
        <v>109</v>
      </c>
      <c r="B49" s="12" t="s">
        <v>488</v>
      </c>
      <c r="C49" s="12" t="s">
        <v>1551</v>
      </c>
    </row>
    <row r="50" spans="1:3" x14ac:dyDescent="0.15">
      <c r="A50" s="30" t="s">
        <v>35</v>
      </c>
      <c r="B50" s="12" t="s">
        <v>489</v>
      </c>
      <c r="C50" s="12" t="s">
        <v>1552</v>
      </c>
    </row>
    <row r="51" spans="1:3" x14ac:dyDescent="0.15">
      <c r="A51" s="30" t="s">
        <v>36</v>
      </c>
      <c r="B51" s="12" t="s">
        <v>490</v>
      </c>
      <c r="C51" s="12" t="s">
        <v>1553</v>
      </c>
    </row>
    <row r="52" spans="1:3" x14ac:dyDescent="0.15">
      <c r="A52" s="30" t="s">
        <v>39</v>
      </c>
      <c r="B52" s="12" t="s">
        <v>491</v>
      </c>
      <c r="C52" s="12" t="s">
        <v>1554</v>
      </c>
    </row>
    <row r="53" spans="1:3" x14ac:dyDescent="0.15">
      <c r="A53" s="30" t="s">
        <v>40</v>
      </c>
      <c r="B53" s="12" t="s">
        <v>492</v>
      </c>
      <c r="C53" s="12" t="s">
        <v>1555</v>
      </c>
    </row>
    <row r="54" spans="1:3" x14ac:dyDescent="0.15">
      <c r="A54" s="30" t="s">
        <v>493</v>
      </c>
      <c r="B54" s="12" t="s">
        <v>494</v>
      </c>
      <c r="C54" s="12" t="s">
        <v>1556</v>
      </c>
    </row>
    <row r="55" spans="1:3" x14ac:dyDescent="0.15">
      <c r="A55" s="30" t="s">
        <v>41</v>
      </c>
      <c r="B55" s="12" t="s">
        <v>495</v>
      </c>
      <c r="C55" s="12" t="s">
        <v>1557</v>
      </c>
    </row>
    <row r="56" spans="1:3" x14ac:dyDescent="0.15">
      <c r="A56" s="30" t="s">
        <v>42</v>
      </c>
      <c r="B56" s="12" t="s">
        <v>496</v>
      </c>
      <c r="C56" s="12" t="s">
        <v>1558</v>
      </c>
    </row>
    <row r="57" spans="1:3" x14ac:dyDescent="0.15">
      <c r="A57" s="30" t="s">
        <v>43</v>
      </c>
      <c r="B57" s="12" t="s">
        <v>497</v>
      </c>
      <c r="C57" s="12" t="s">
        <v>1739</v>
      </c>
    </row>
    <row r="58" spans="1:3" x14ac:dyDescent="0.15">
      <c r="A58" s="30" t="s">
        <v>886</v>
      </c>
      <c r="B58" s="12" t="s">
        <v>498</v>
      </c>
      <c r="C58" s="12" t="s">
        <v>1559</v>
      </c>
    </row>
    <row r="59" spans="1:3" x14ac:dyDescent="0.15">
      <c r="A59" s="30" t="s">
        <v>44</v>
      </c>
      <c r="B59" s="12" t="s">
        <v>499</v>
      </c>
      <c r="C59" s="12" t="s">
        <v>1560</v>
      </c>
    </row>
    <row r="60" spans="1:3" x14ac:dyDescent="0.15">
      <c r="A60" s="30" t="s">
        <v>500</v>
      </c>
      <c r="B60" s="12" t="s">
        <v>501</v>
      </c>
      <c r="C60" s="12" t="s">
        <v>1561</v>
      </c>
    </row>
    <row r="61" spans="1:3" x14ac:dyDescent="0.15">
      <c r="A61" s="30" t="s">
        <v>502</v>
      </c>
      <c r="B61" s="12" t="s">
        <v>503</v>
      </c>
      <c r="C61" s="12" t="s">
        <v>1740</v>
      </c>
    </row>
    <row r="62" spans="1:3" x14ac:dyDescent="0.15">
      <c r="A62" s="30" t="s">
        <v>504</v>
      </c>
      <c r="B62" s="12" t="s">
        <v>505</v>
      </c>
      <c r="C62" s="12" t="s">
        <v>1562</v>
      </c>
    </row>
    <row r="63" spans="1:3" x14ac:dyDescent="0.15">
      <c r="A63" s="30" t="s">
        <v>506</v>
      </c>
      <c r="B63" s="12" t="s">
        <v>507</v>
      </c>
      <c r="C63" s="12" t="s">
        <v>1563</v>
      </c>
    </row>
    <row r="64" spans="1:3" x14ac:dyDescent="0.15">
      <c r="A64" s="30" t="s">
        <v>508</v>
      </c>
      <c r="B64" s="12" t="s">
        <v>509</v>
      </c>
      <c r="C64" s="12" t="s">
        <v>1564</v>
      </c>
    </row>
    <row r="65" spans="1:3" x14ac:dyDescent="0.15">
      <c r="A65" s="30" t="s">
        <v>510</v>
      </c>
      <c r="B65" s="12" t="s">
        <v>511</v>
      </c>
      <c r="C65" s="12" t="s">
        <v>1565</v>
      </c>
    </row>
    <row r="66" spans="1:3" x14ac:dyDescent="0.15">
      <c r="A66" s="30" t="s">
        <v>512</v>
      </c>
      <c r="B66" s="12" t="s">
        <v>513</v>
      </c>
      <c r="C66" s="12" t="s">
        <v>1566</v>
      </c>
    </row>
    <row r="67" spans="1:3" x14ac:dyDescent="0.15">
      <c r="A67" s="30" t="s">
        <v>514</v>
      </c>
      <c r="B67" s="12" t="s">
        <v>515</v>
      </c>
      <c r="C67" s="12" t="s">
        <v>1567</v>
      </c>
    </row>
    <row r="68" spans="1:3" x14ac:dyDescent="0.15">
      <c r="A68" s="30" t="s">
        <v>516</v>
      </c>
      <c r="B68" s="12" t="s">
        <v>517</v>
      </c>
      <c r="C68" s="12" t="s">
        <v>1568</v>
      </c>
    </row>
    <row r="69" spans="1:3" x14ac:dyDescent="0.15">
      <c r="A69" s="30" t="s">
        <v>518</v>
      </c>
      <c r="B69" s="12" t="s">
        <v>519</v>
      </c>
      <c r="C69" s="12" t="s">
        <v>1569</v>
      </c>
    </row>
    <row r="70" spans="1:3" x14ac:dyDescent="0.15">
      <c r="A70" s="30" t="s">
        <v>520</v>
      </c>
      <c r="B70" s="12" t="s">
        <v>521</v>
      </c>
      <c r="C70" s="12" t="s">
        <v>1570</v>
      </c>
    </row>
    <row r="71" spans="1:3" x14ac:dyDescent="0.15">
      <c r="A71" s="30" t="s">
        <v>47</v>
      </c>
      <c r="B71" s="12" t="s">
        <v>522</v>
      </c>
      <c r="C71" s="12" t="s">
        <v>1571</v>
      </c>
    </row>
    <row r="72" spans="1:3" x14ac:dyDescent="0.15">
      <c r="A72" s="30" t="s">
        <v>523</v>
      </c>
      <c r="B72" s="12" t="s">
        <v>524</v>
      </c>
      <c r="C72" s="12" t="s">
        <v>1572</v>
      </c>
    </row>
    <row r="73" spans="1:3" x14ac:dyDescent="0.15">
      <c r="A73" s="30" t="s">
        <v>525</v>
      </c>
      <c r="B73" s="12" t="s">
        <v>526</v>
      </c>
      <c r="C73" s="12" t="s">
        <v>1573</v>
      </c>
    </row>
    <row r="74" spans="1:3" x14ac:dyDescent="0.15">
      <c r="A74" s="30" t="s">
        <v>527</v>
      </c>
      <c r="B74" s="12" t="s">
        <v>528</v>
      </c>
      <c r="C74" s="12" t="s">
        <v>1574</v>
      </c>
    </row>
    <row r="75" spans="1:3" x14ac:dyDescent="0.15">
      <c r="A75" s="30" t="s">
        <v>49</v>
      </c>
      <c r="B75" s="12" t="s">
        <v>529</v>
      </c>
      <c r="C75" s="12" t="s">
        <v>1575</v>
      </c>
    </row>
    <row r="76" spans="1:3" x14ac:dyDescent="0.15">
      <c r="A76" s="30" t="s">
        <v>51</v>
      </c>
      <c r="B76" s="12" t="s">
        <v>530</v>
      </c>
      <c r="C76" s="12" t="s">
        <v>1576</v>
      </c>
    </row>
    <row r="77" spans="1:3" x14ac:dyDescent="0.15">
      <c r="A77" s="30" t="s">
        <v>227</v>
      </c>
      <c r="B77" s="12" t="s">
        <v>531</v>
      </c>
      <c r="C77" s="12" t="s">
        <v>1577</v>
      </c>
    </row>
    <row r="78" spans="1:3" x14ac:dyDescent="0.15">
      <c r="A78" s="30" t="s">
        <v>52</v>
      </c>
      <c r="B78" s="12" t="s">
        <v>532</v>
      </c>
      <c r="C78" s="12" t="s">
        <v>1579</v>
      </c>
    </row>
    <row r="79" spans="1:3" x14ac:dyDescent="0.15">
      <c r="A79" s="30" t="s">
        <v>533</v>
      </c>
      <c r="B79" s="12" t="s">
        <v>534</v>
      </c>
      <c r="C79" s="12" t="s">
        <v>1578</v>
      </c>
    </row>
    <row r="80" spans="1:3" x14ac:dyDescent="0.15">
      <c r="A80" s="30" t="s">
        <v>535</v>
      </c>
      <c r="B80" s="12" t="s">
        <v>536</v>
      </c>
      <c r="C80" s="12" t="s">
        <v>1741</v>
      </c>
    </row>
    <row r="81" spans="1:3" x14ac:dyDescent="0.15">
      <c r="A81" s="30" t="s">
        <v>537</v>
      </c>
      <c r="B81" s="12" t="s">
        <v>538</v>
      </c>
      <c r="C81" s="12" t="s">
        <v>1580</v>
      </c>
    </row>
    <row r="82" spans="1:3" x14ac:dyDescent="0.15">
      <c r="A82" s="30" t="s">
        <v>230</v>
      </c>
      <c r="B82" s="12" t="s">
        <v>539</v>
      </c>
      <c r="C82" s="12" t="s">
        <v>1581</v>
      </c>
    </row>
    <row r="83" spans="1:3" x14ac:dyDescent="0.15">
      <c r="A83" s="30" t="s">
        <v>540</v>
      </c>
      <c r="B83" s="12" t="s">
        <v>541</v>
      </c>
      <c r="C83" s="12" t="s">
        <v>1582</v>
      </c>
    </row>
    <row r="84" spans="1:3" x14ac:dyDescent="0.15">
      <c r="A84" s="30" t="s">
        <v>53</v>
      </c>
      <c r="B84" s="12" t="s">
        <v>542</v>
      </c>
      <c r="C84" s="12" t="s">
        <v>1583</v>
      </c>
    </row>
    <row r="85" spans="1:3" x14ac:dyDescent="0.15">
      <c r="A85" s="30" t="s">
        <v>543</v>
      </c>
      <c r="B85" s="12" t="s">
        <v>544</v>
      </c>
      <c r="C85" s="12" t="s">
        <v>1584</v>
      </c>
    </row>
    <row r="86" spans="1:3" x14ac:dyDescent="0.15">
      <c r="A86" s="30" t="s">
        <v>545</v>
      </c>
      <c r="B86" s="12" t="s">
        <v>546</v>
      </c>
      <c r="C86" s="12" t="s">
        <v>1585</v>
      </c>
    </row>
    <row r="87" spans="1:3" x14ac:dyDescent="0.15">
      <c r="A87" s="30" t="s">
        <v>547</v>
      </c>
      <c r="B87" s="12" t="s">
        <v>548</v>
      </c>
      <c r="C87" s="12" t="s">
        <v>1586</v>
      </c>
    </row>
    <row r="88" spans="1:3" x14ac:dyDescent="0.15">
      <c r="A88" s="30" t="s">
        <v>232</v>
      </c>
      <c r="B88" s="12" t="s">
        <v>549</v>
      </c>
      <c r="C88" s="12" t="s">
        <v>1587</v>
      </c>
    </row>
    <row r="89" spans="1:3" x14ac:dyDescent="0.15">
      <c r="A89" s="30" t="s">
        <v>550</v>
      </c>
      <c r="B89" s="12" t="s">
        <v>551</v>
      </c>
      <c r="C89" s="12" t="s">
        <v>1588</v>
      </c>
    </row>
    <row r="90" spans="1:3" x14ac:dyDescent="0.15">
      <c r="A90" s="30" t="s">
        <v>234</v>
      </c>
      <c r="B90" s="12" t="s">
        <v>552</v>
      </c>
      <c r="C90" s="12" t="s">
        <v>1589</v>
      </c>
    </row>
    <row r="91" spans="1:3" x14ac:dyDescent="0.15">
      <c r="A91" s="30" t="s">
        <v>553</v>
      </c>
      <c r="B91" s="12" t="s">
        <v>554</v>
      </c>
      <c r="C91" s="12" t="s">
        <v>1590</v>
      </c>
    </row>
    <row r="92" spans="1:3" x14ac:dyDescent="0.15">
      <c r="A92" s="30" t="s">
        <v>114</v>
      </c>
      <c r="B92" s="12" t="s">
        <v>555</v>
      </c>
      <c r="C92" s="12" t="s">
        <v>1591</v>
      </c>
    </row>
    <row r="93" spans="1:3" x14ac:dyDescent="0.15">
      <c r="A93" s="30" t="s">
        <v>556</v>
      </c>
      <c r="B93" s="12" t="s">
        <v>557</v>
      </c>
      <c r="C93" s="12" t="s">
        <v>1592</v>
      </c>
    </row>
    <row r="94" spans="1:3" x14ac:dyDescent="0.15">
      <c r="A94" s="30" t="s">
        <v>558</v>
      </c>
      <c r="B94" s="12" t="s">
        <v>559</v>
      </c>
      <c r="C94" s="12" t="s">
        <v>1593</v>
      </c>
    </row>
    <row r="95" spans="1:3" x14ac:dyDescent="0.15">
      <c r="A95" s="30" t="s">
        <v>560</v>
      </c>
      <c r="B95" s="12" t="s">
        <v>561</v>
      </c>
      <c r="C95" s="12" t="s">
        <v>1594</v>
      </c>
    </row>
    <row r="96" spans="1:3" x14ac:dyDescent="0.15">
      <c r="A96" s="30" t="s">
        <v>562</v>
      </c>
      <c r="B96" s="12" t="s">
        <v>563</v>
      </c>
      <c r="C96" s="12" t="s">
        <v>1742</v>
      </c>
    </row>
    <row r="97" spans="1:3" x14ac:dyDescent="0.15">
      <c r="A97" s="30" t="s">
        <v>564</v>
      </c>
      <c r="B97" s="12" t="s">
        <v>565</v>
      </c>
      <c r="C97" s="12" t="s">
        <v>1595</v>
      </c>
    </row>
    <row r="98" spans="1:3" x14ac:dyDescent="0.15">
      <c r="A98" s="30" t="s">
        <v>566</v>
      </c>
      <c r="B98" s="12" t="s">
        <v>567</v>
      </c>
      <c r="C98" s="12" t="s">
        <v>1596</v>
      </c>
    </row>
    <row r="99" spans="1:3" x14ac:dyDescent="0.15">
      <c r="A99" s="30" t="s">
        <v>54</v>
      </c>
      <c r="B99" s="12" t="s">
        <v>568</v>
      </c>
      <c r="C99" s="12" t="s">
        <v>1597</v>
      </c>
    </row>
    <row r="100" spans="1:3" x14ac:dyDescent="0.15">
      <c r="A100" s="30" t="s">
        <v>398</v>
      </c>
      <c r="B100" s="12" t="s">
        <v>569</v>
      </c>
      <c r="C100" s="12" t="s">
        <v>1598</v>
      </c>
    </row>
    <row r="101" spans="1:3" x14ac:dyDescent="0.15">
      <c r="A101" s="30" t="s">
        <v>570</v>
      </c>
      <c r="B101" s="12" t="s">
        <v>571</v>
      </c>
      <c r="C101" s="12" t="s">
        <v>1599</v>
      </c>
    </row>
    <row r="102" spans="1:3" x14ac:dyDescent="0.15">
      <c r="A102" s="30" t="s">
        <v>255</v>
      </c>
      <c r="B102" s="12" t="s">
        <v>572</v>
      </c>
      <c r="C102" s="12" t="s">
        <v>1600</v>
      </c>
    </row>
    <row r="103" spans="1:3" x14ac:dyDescent="0.15">
      <c r="A103" s="30" t="s">
        <v>573</v>
      </c>
      <c r="B103" s="12" t="s">
        <v>574</v>
      </c>
      <c r="C103" s="12" t="s">
        <v>1601</v>
      </c>
    </row>
    <row r="104" spans="1:3" x14ac:dyDescent="0.15">
      <c r="A104" s="30" t="s">
        <v>575</v>
      </c>
      <c r="B104" s="12" t="s">
        <v>576</v>
      </c>
      <c r="C104" s="12" t="s">
        <v>1602</v>
      </c>
    </row>
    <row r="105" spans="1:3" x14ac:dyDescent="0.15">
      <c r="A105" s="30" t="s">
        <v>577</v>
      </c>
      <c r="B105" s="12" t="s">
        <v>578</v>
      </c>
      <c r="C105" s="12" t="s">
        <v>1603</v>
      </c>
    </row>
    <row r="106" spans="1:3" x14ac:dyDescent="0.15">
      <c r="A106" s="30" t="s">
        <v>55</v>
      </c>
      <c r="B106" s="12" t="s">
        <v>579</v>
      </c>
      <c r="C106" s="12" t="s">
        <v>1604</v>
      </c>
    </row>
    <row r="107" spans="1:3" x14ac:dyDescent="0.15">
      <c r="A107" s="30" t="s">
        <v>580</v>
      </c>
      <c r="B107" s="12" t="s">
        <v>581</v>
      </c>
      <c r="C107" s="12" t="s">
        <v>1605</v>
      </c>
    </row>
    <row r="108" spans="1:3" x14ac:dyDescent="0.15">
      <c r="A108" s="30" t="s">
        <v>582</v>
      </c>
      <c r="B108" s="12" t="s">
        <v>583</v>
      </c>
      <c r="C108" s="12" t="s">
        <v>1606</v>
      </c>
    </row>
    <row r="109" spans="1:3" x14ac:dyDescent="0.15">
      <c r="A109" s="30" t="s">
        <v>584</v>
      </c>
      <c r="B109" s="12" t="s">
        <v>585</v>
      </c>
      <c r="C109" s="12" t="s">
        <v>1743</v>
      </c>
    </row>
    <row r="110" spans="1:3" x14ac:dyDescent="0.15">
      <c r="A110" s="30" t="s">
        <v>586</v>
      </c>
      <c r="B110" s="12" t="s">
        <v>587</v>
      </c>
      <c r="C110" s="12" t="s">
        <v>1607</v>
      </c>
    </row>
    <row r="111" spans="1:3" x14ac:dyDescent="0.15">
      <c r="A111" s="30" t="s">
        <v>588</v>
      </c>
      <c r="B111" s="12" t="s">
        <v>589</v>
      </c>
      <c r="C111" s="12" t="s">
        <v>1608</v>
      </c>
    </row>
    <row r="112" spans="1:3" x14ac:dyDescent="0.15">
      <c r="A112" s="30" t="s">
        <v>590</v>
      </c>
      <c r="B112" s="12" t="s">
        <v>591</v>
      </c>
      <c r="C112" s="12" t="s">
        <v>1744</v>
      </c>
    </row>
    <row r="113" spans="1:3" x14ac:dyDescent="0.15">
      <c r="A113" s="30" t="s">
        <v>592</v>
      </c>
      <c r="B113" s="12" t="s">
        <v>593</v>
      </c>
      <c r="C113" s="12" t="s">
        <v>1609</v>
      </c>
    </row>
    <row r="114" spans="1:3" x14ac:dyDescent="0.15">
      <c r="A114" s="30" t="s">
        <v>594</v>
      </c>
      <c r="B114" s="12" t="s">
        <v>595</v>
      </c>
      <c r="C114" s="12" t="s">
        <v>1610</v>
      </c>
    </row>
    <row r="115" spans="1:3" x14ac:dyDescent="0.15">
      <c r="A115" s="30" t="s">
        <v>596</v>
      </c>
      <c r="B115" s="12" t="s">
        <v>597</v>
      </c>
      <c r="C115" s="12" t="s">
        <v>1611</v>
      </c>
    </row>
    <row r="116" spans="1:3" x14ac:dyDescent="0.15">
      <c r="A116" s="30" t="s">
        <v>598</v>
      </c>
      <c r="B116" s="12" t="s">
        <v>599</v>
      </c>
      <c r="C116" s="12" t="s">
        <v>1612</v>
      </c>
    </row>
    <row r="117" spans="1:3" x14ac:dyDescent="0.15">
      <c r="A117" s="30" t="s">
        <v>60</v>
      </c>
      <c r="B117" s="12" t="s">
        <v>600</v>
      </c>
      <c r="C117" s="12" t="s">
        <v>1613</v>
      </c>
    </row>
    <row r="118" spans="1:3" x14ac:dyDescent="0.15">
      <c r="A118" s="30" t="s">
        <v>601</v>
      </c>
      <c r="B118" s="12" t="s">
        <v>602</v>
      </c>
      <c r="C118" s="12" t="s">
        <v>1614</v>
      </c>
    </row>
    <row r="119" spans="1:3" x14ac:dyDescent="0.15">
      <c r="A119" s="30" t="s">
        <v>603</v>
      </c>
      <c r="B119" s="12" t="s">
        <v>604</v>
      </c>
      <c r="C119" s="12" t="s">
        <v>1615</v>
      </c>
    </row>
    <row r="120" spans="1:3" x14ac:dyDescent="0.15">
      <c r="A120" s="30" t="s">
        <v>605</v>
      </c>
      <c r="B120" s="12" t="s">
        <v>606</v>
      </c>
      <c r="C120" s="12" t="s">
        <v>1616</v>
      </c>
    </row>
    <row r="121" spans="1:3" x14ac:dyDescent="0.15">
      <c r="A121" s="30" t="s">
        <v>607</v>
      </c>
      <c r="B121" s="12" t="s">
        <v>608</v>
      </c>
      <c r="C121" s="12" t="s">
        <v>1617</v>
      </c>
    </row>
    <row r="122" spans="1:3" x14ac:dyDescent="0.15">
      <c r="A122" s="30" t="s">
        <v>609</v>
      </c>
      <c r="B122" s="12" t="s">
        <v>610</v>
      </c>
      <c r="C122" s="12" t="s">
        <v>1639</v>
      </c>
    </row>
    <row r="123" spans="1:3" x14ac:dyDescent="0.15">
      <c r="A123" s="30" t="s">
        <v>611</v>
      </c>
      <c r="B123" s="12" t="s">
        <v>612</v>
      </c>
      <c r="C123" s="12" t="s">
        <v>1640</v>
      </c>
    </row>
    <row r="124" spans="1:3" x14ac:dyDescent="0.15">
      <c r="A124" s="30" t="s">
        <v>613</v>
      </c>
      <c r="B124" s="12" t="s">
        <v>614</v>
      </c>
      <c r="C124" s="12" t="s">
        <v>1618</v>
      </c>
    </row>
    <row r="125" spans="1:3" x14ac:dyDescent="0.15">
      <c r="A125" s="30" t="s">
        <v>615</v>
      </c>
      <c r="B125" s="12" t="s">
        <v>616</v>
      </c>
      <c r="C125" s="12" t="s">
        <v>1619</v>
      </c>
    </row>
    <row r="126" spans="1:3" x14ac:dyDescent="0.15">
      <c r="A126" s="30" t="s">
        <v>617</v>
      </c>
      <c r="B126" s="12" t="s">
        <v>618</v>
      </c>
      <c r="C126" s="12" t="s">
        <v>1620</v>
      </c>
    </row>
    <row r="127" spans="1:3" x14ac:dyDescent="0.15">
      <c r="A127" s="30" t="s">
        <v>619</v>
      </c>
      <c r="B127" s="12" t="s">
        <v>620</v>
      </c>
      <c r="C127" s="12" t="s">
        <v>1641</v>
      </c>
    </row>
    <row r="128" spans="1:3" x14ac:dyDescent="0.15">
      <c r="A128" s="30" t="s">
        <v>621</v>
      </c>
      <c r="B128" s="12" t="s">
        <v>622</v>
      </c>
      <c r="C128" s="12" t="s">
        <v>1621</v>
      </c>
    </row>
    <row r="129" spans="1:3" x14ac:dyDescent="0.15">
      <c r="A129" s="30" t="s">
        <v>623</v>
      </c>
      <c r="B129" s="12" t="s">
        <v>624</v>
      </c>
      <c r="C129" s="12" t="s">
        <v>1622</v>
      </c>
    </row>
    <row r="130" spans="1:3" x14ac:dyDescent="0.15">
      <c r="A130" s="30" t="s">
        <v>625</v>
      </c>
      <c r="B130" s="12" t="s">
        <v>626</v>
      </c>
      <c r="C130" s="12" t="s">
        <v>1623</v>
      </c>
    </row>
    <row r="131" spans="1:3" x14ac:dyDescent="0.15">
      <c r="A131" s="30" t="s">
        <v>627</v>
      </c>
      <c r="B131" s="12" t="s">
        <v>628</v>
      </c>
      <c r="C131" s="12" t="s">
        <v>1624</v>
      </c>
    </row>
    <row r="132" spans="1:3" x14ac:dyDescent="0.15">
      <c r="A132" s="30" t="s">
        <v>629</v>
      </c>
      <c r="B132" s="12" t="s">
        <v>630</v>
      </c>
      <c r="C132" s="12" t="s">
        <v>1625</v>
      </c>
    </row>
    <row r="133" spans="1:3" x14ac:dyDescent="0.15">
      <c r="A133" s="30" t="s">
        <v>631</v>
      </c>
      <c r="B133" s="12" t="s">
        <v>632</v>
      </c>
      <c r="C133" s="12" t="s">
        <v>1626</v>
      </c>
    </row>
    <row r="134" spans="1:3" x14ac:dyDescent="0.15">
      <c r="A134" s="30" t="s">
        <v>633</v>
      </c>
      <c r="B134" s="12" t="s">
        <v>634</v>
      </c>
      <c r="C134" s="12" t="s">
        <v>1627</v>
      </c>
    </row>
    <row r="135" spans="1:3" x14ac:dyDescent="0.15">
      <c r="A135" s="30" t="s">
        <v>635</v>
      </c>
      <c r="B135" s="12" t="s">
        <v>636</v>
      </c>
      <c r="C135" s="12" t="s">
        <v>1628</v>
      </c>
    </row>
    <row r="136" spans="1:3" x14ac:dyDescent="0.15">
      <c r="A136" s="30" t="s">
        <v>271</v>
      </c>
      <c r="B136" s="12" t="s">
        <v>637</v>
      </c>
      <c r="C136" s="12" t="s">
        <v>816</v>
      </c>
    </row>
    <row r="137" spans="1:3" x14ac:dyDescent="0.15">
      <c r="A137" s="30" t="s">
        <v>638</v>
      </c>
      <c r="B137" s="12" t="s">
        <v>639</v>
      </c>
      <c r="C137" s="12" t="s">
        <v>1629</v>
      </c>
    </row>
    <row r="138" spans="1:3" x14ac:dyDescent="0.15">
      <c r="A138" s="30" t="s">
        <v>640</v>
      </c>
      <c r="B138" s="12" t="s">
        <v>641</v>
      </c>
      <c r="C138" s="12" t="s">
        <v>1630</v>
      </c>
    </row>
    <row r="139" spans="1:3" x14ac:dyDescent="0.15">
      <c r="A139" s="30" t="s">
        <v>61</v>
      </c>
      <c r="B139" s="12" t="s">
        <v>642</v>
      </c>
      <c r="C139" s="12" t="s">
        <v>1631</v>
      </c>
    </row>
    <row r="140" spans="1:3" x14ac:dyDescent="0.15">
      <c r="A140" s="30" t="s">
        <v>273</v>
      </c>
      <c r="B140" s="12" t="s">
        <v>643</v>
      </c>
      <c r="C140" s="12" t="s">
        <v>1745</v>
      </c>
    </row>
    <row r="141" spans="1:3" x14ac:dyDescent="0.15">
      <c r="A141" s="30" t="s">
        <v>644</v>
      </c>
      <c r="B141" s="12" t="s">
        <v>645</v>
      </c>
      <c r="C141" s="12" t="s">
        <v>1632</v>
      </c>
    </row>
    <row r="142" spans="1:3" x14ac:dyDescent="0.15">
      <c r="A142" s="30" t="s">
        <v>646</v>
      </c>
      <c r="B142" s="12" t="s">
        <v>647</v>
      </c>
      <c r="C142" s="12" t="s">
        <v>1642</v>
      </c>
    </row>
    <row r="143" spans="1:3" x14ac:dyDescent="0.15">
      <c r="A143" s="30" t="s">
        <v>648</v>
      </c>
      <c r="B143" s="12" t="s">
        <v>649</v>
      </c>
      <c r="C143" s="12" t="s">
        <v>1633</v>
      </c>
    </row>
    <row r="144" spans="1:3" x14ac:dyDescent="0.15">
      <c r="A144" s="30" t="s">
        <v>650</v>
      </c>
      <c r="B144" s="12" t="s">
        <v>651</v>
      </c>
      <c r="C144" s="12" t="s">
        <v>1634</v>
      </c>
    </row>
    <row r="145" spans="1:3" x14ac:dyDescent="0.15">
      <c r="A145" s="30" t="s">
        <v>652</v>
      </c>
      <c r="B145" s="12" t="s">
        <v>653</v>
      </c>
      <c r="C145" s="12" t="s">
        <v>817</v>
      </c>
    </row>
    <row r="146" spans="1:3" x14ac:dyDescent="0.15">
      <c r="A146" s="30" t="s">
        <v>654</v>
      </c>
      <c r="B146" s="12" t="s">
        <v>655</v>
      </c>
      <c r="C146" s="12" t="s">
        <v>1635</v>
      </c>
    </row>
    <row r="147" spans="1:3" x14ac:dyDescent="0.15">
      <c r="A147" s="30" t="s">
        <v>656</v>
      </c>
      <c r="B147" s="12" t="s">
        <v>657</v>
      </c>
      <c r="C147" s="12" t="s">
        <v>1636</v>
      </c>
    </row>
    <row r="148" spans="1:3" x14ac:dyDescent="0.15">
      <c r="A148" s="30" t="s">
        <v>658</v>
      </c>
      <c r="B148" s="12" t="s">
        <v>659</v>
      </c>
      <c r="C148" s="12" t="s">
        <v>1637</v>
      </c>
    </row>
    <row r="149" spans="1:3" x14ac:dyDescent="0.15">
      <c r="A149" s="30" t="s">
        <v>660</v>
      </c>
      <c r="B149" s="12" t="s">
        <v>661</v>
      </c>
      <c r="C149" s="12" t="s">
        <v>1746</v>
      </c>
    </row>
    <row r="150" spans="1:3" x14ac:dyDescent="0.15">
      <c r="A150" s="30" t="s">
        <v>662</v>
      </c>
      <c r="B150" s="12" t="s">
        <v>663</v>
      </c>
      <c r="C150" s="12" t="s">
        <v>1638</v>
      </c>
    </row>
    <row r="151" spans="1:3" x14ac:dyDescent="0.15">
      <c r="A151" s="30" t="s">
        <v>664</v>
      </c>
      <c r="B151" s="12" t="s">
        <v>665</v>
      </c>
      <c r="C151" s="12" t="s">
        <v>1643</v>
      </c>
    </row>
    <row r="152" spans="1:3" x14ac:dyDescent="0.15">
      <c r="A152" s="30" t="s">
        <v>666</v>
      </c>
      <c r="B152" s="12" t="s">
        <v>667</v>
      </c>
      <c r="C152" s="12" t="s">
        <v>1644</v>
      </c>
    </row>
    <row r="153" spans="1:3" x14ac:dyDescent="0.15">
      <c r="A153" s="30" t="s">
        <v>62</v>
      </c>
      <c r="B153" s="12" t="s">
        <v>668</v>
      </c>
      <c r="C153" s="12" t="s">
        <v>1645</v>
      </c>
    </row>
    <row r="154" spans="1:3" x14ac:dyDescent="0.15">
      <c r="A154" s="30" t="s">
        <v>63</v>
      </c>
      <c r="B154" s="12" t="s">
        <v>669</v>
      </c>
      <c r="C154" s="12" t="s">
        <v>1646</v>
      </c>
    </row>
    <row r="155" spans="1:3" x14ac:dyDescent="0.15">
      <c r="A155" s="30" t="s">
        <v>670</v>
      </c>
      <c r="B155" s="12" t="s">
        <v>671</v>
      </c>
      <c r="C155" s="12" t="s">
        <v>1647</v>
      </c>
    </row>
    <row r="156" spans="1:3" x14ac:dyDescent="0.15">
      <c r="A156" s="30" t="s">
        <v>672</v>
      </c>
      <c r="B156" s="12" t="s">
        <v>673</v>
      </c>
      <c r="C156" s="12" t="s">
        <v>1648</v>
      </c>
    </row>
    <row r="157" spans="1:3" x14ac:dyDescent="0.15">
      <c r="A157" s="30" t="s">
        <v>674</v>
      </c>
      <c r="B157" s="12" t="s">
        <v>675</v>
      </c>
      <c r="C157" s="12" t="s">
        <v>1649</v>
      </c>
    </row>
    <row r="158" spans="1:3" x14ac:dyDescent="0.15">
      <c r="A158" s="30" t="s">
        <v>64</v>
      </c>
      <c r="B158" s="12" t="s">
        <v>676</v>
      </c>
      <c r="C158" s="12" t="s">
        <v>1650</v>
      </c>
    </row>
    <row r="159" spans="1:3" x14ac:dyDescent="0.15">
      <c r="A159" s="30" t="s">
        <v>677</v>
      </c>
      <c r="B159" s="12" t="s">
        <v>678</v>
      </c>
      <c r="C159" s="12" t="s">
        <v>1651</v>
      </c>
    </row>
    <row r="160" spans="1:3" x14ac:dyDescent="0.15">
      <c r="A160" s="30" t="s">
        <v>679</v>
      </c>
      <c r="B160" s="12" t="s">
        <v>680</v>
      </c>
      <c r="C160" s="12" t="s">
        <v>1652</v>
      </c>
    </row>
    <row r="161" spans="1:3" x14ac:dyDescent="0.15">
      <c r="A161" s="30" t="s">
        <v>116</v>
      </c>
      <c r="B161" s="12" t="s">
        <v>681</v>
      </c>
      <c r="C161" s="12" t="s">
        <v>1653</v>
      </c>
    </row>
    <row r="162" spans="1:3" x14ac:dyDescent="0.15">
      <c r="A162" s="30" t="s">
        <v>682</v>
      </c>
      <c r="B162" s="12" t="s">
        <v>683</v>
      </c>
      <c r="C162" s="12" t="s">
        <v>1654</v>
      </c>
    </row>
    <row r="163" spans="1:3" x14ac:dyDescent="0.15">
      <c r="A163" s="30" t="s">
        <v>65</v>
      </c>
      <c r="B163" s="12" t="s">
        <v>684</v>
      </c>
      <c r="C163" s="12" t="s">
        <v>1655</v>
      </c>
    </row>
    <row r="164" spans="1:3" x14ac:dyDescent="0.15">
      <c r="A164" s="30" t="s">
        <v>685</v>
      </c>
      <c r="B164" s="12" t="s">
        <v>686</v>
      </c>
      <c r="C164" s="12" t="s">
        <v>1656</v>
      </c>
    </row>
    <row r="165" spans="1:3" x14ac:dyDescent="0.15">
      <c r="A165" s="30" t="s">
        <v>687</v>
      </c>
      <c r="B165" s="12" t="s">
        <v>688</v>
      </c>
      <c r="C165" s="12" t="s">
        <v>1657</v>
      </c>
    </row>
    <row r="166" spans="1:3" x14ac:dyDescent="0.15">
      <c r="A166" s="30" t="s">
        <v>689</v>
      </c>
      <c r="B166" s="12" t="s">
        <v>690</v>
      </c>
      <c r="C166" s="12" t="s">
        <v>1658</v>
      </c>
    </row>
    <row r="167" spans="1:3" x14ac:dyDescent="0.15">
      <c r="A167" s="30" t="s">
        <v>115</v>
      </c>
      <c r="B167" s="12" t="s">
        <v>691</v>
      </c>
      <c r="C167" s="12" t="s">
        <v>1659</v>
      </c>
    </row>
    <row r="168" spans="1:3" x14ac:dyDescent="0.15">
      <c r="A168" s="30" t="s">
        <v>692</v>
      </c>
      <c r="B168" s="12" t="s">
        <v>693</v>
      </c>
      <c r="C168" s="12" t="s">
        <v>1660</v>
      </c>
    </row>
    <row r="169" spans="1:3" x14ac:dyDescent="0.15">
      <c r="A169" s="30" t="s">
        <v>694</v>
      </c>
      <c r="B169" s="12" t="s">
        <v>695</v>
      </c>
      <c r="C169" s="12" t="s">
        <v>1661</v>
      </c>
    </row>
    <row r="170" spans="1:3" x14ac:dyDescent="0.15">
      <c r="A170" s="30" t="s">
        <v>696</v>
      </c>
      <c r="B170" s="12" t="s">
        <v>697</v>
      </c>
      <c r="C170" s="12" t="s">
        <v>1662</v>
      </c>
    </row>
    <row r="171" spans="1:3" x14ac:dyDescent="0.15">
      <c r="A171" s="30" t="s">
        <v>698</v>
      </c>
      <c r="B171" s="12" t="s">
        <v>699</v>
      </c>
      <c r="C171" s="12" t="s">
        <v>1663</v>
      </c>
    </row>
    <row r="172" spans="1:3" x14ac:dyDescent="0.15">
      <c r="A172" s="30" t="s">
        <v>700</v>
      </c>
      <c r="B172" s="12" t="s">
        <v>701</v>
      </c>
      <c r="C172" s="12" t="s">
        <v>1664</v>
      </c>
    </row>
    <row r="173" spans="1:3" x14ac:dyDescent="0.15">
      <c r="A173" s="30" t="s">
        <v>702</v>
      </c>
      <c r="B173" s="12" t="s">
        <v>703</v>
      </c>
      <c r="C173" s="12" t="s">
        <v>1665</v>
      </c>
    </row>
    <row r="174" spans="1:3" x14ac:dyDescent="0.15">
      <c r="A174" s="30" t="s">
        <v>68</v>
      </c>
      <c r="B174" s="12" t="s">
        <v>704</v>
      </c>
      <c r="C174" s="12" t="s">
        <v>1666</v>
      </c>
    </row>
    <row r="175" spans="1:3" x14ac:dyDescent="0.15">
      <c r="A175" s="30" t="s">
        <v>111</v>
      </c>
      <c r="B175" s="12" t="s">
        <v>705</v>
      </c>
      <c r="C175" s="12" t="s">
        <v>1667</v>
      </c>
    </row>
    <row r="176" spans="1:3" x14ac:dyDescent="0.15">
      <c r="A176" s="30" t="s">
        <v>706</v>
      </c>
      <c r="B176" s="12" t="s">
        <v>707</v>
      </c>
      <c r="C176" s="12" t="s">
        <v>1668</v>
      </c>
    </row>
    <row r="177" spans="1:3" x14ac:dyDescent="0.15">
      <c r="A177" s="30" t="s">
        <v>70</v>
      </c>
      <c r="B177" s="12" t="s">
        <v>708</v>
      </c>
      <c r="C177" s="12" t="s">
        <v>1669</v>
      </c>
    </row>
    <row r="178" spans="1:3" x14ac:dyDescent="0.15">
      <c r="A178" s="30" t="s">
        <v>71</v>
      </c>
      <c r="B178" s="12" t="s">
        <v>709</v>
      </c>
      <c r="C178" s="12" t="s">
        <v>1670</v>
      </c>
    </row>
    <row r="179" spans="1:3" x14ac:dyDescent="0.15">
      <c r="A179" s="30" t="s">
        <v>73</v>
      </c>
      <c r="B179" s="12" t="s">
        <v>710</v>
      </c>
      <c r="C179" s="12" t="s">
        <v>1671</v>
      </c>
    </row>
    <row r="180" spans="1:3" x14ac:dyDescent="0.15">
      <c r="A180" s="30" t="s">
        <v>74</v>
      </c>
      <c r="B180" s="12" t="s">
        <v>711</v>
      </c>
      <c r="C180" s="12" t="s">
        <v>1672</v>
      </c>
    </row>
    <row r="181" spans="1:3" x14ac:dyDescent="0.15">
      <c r="A181" s="30" t="s">
        <v>712</v>
      </c>
      <c r="B181" s="12" t="s">
        <v>713</v>
      </c>
      <c r="C181" s="12" t="s">
        <v>1673</v>
      </c>
    </row>
    <row r="182" spans="1:3" x14ac:dyDescent="0.15">
      <c r="A182" s="30" t="s">
        <v>75</v>
      </c>
      <c r="B182" s="12" t="s">
        <v>714</v>
      </c>
      <c r="C182" s="12" t="s">
        <v>1747</v>
      </c>
    </row>
    <row r="183" spans="1:3" x14ac:dyDescent="0.15">
      <c r="A183" s="30" t="s">
        <v>327</v>
      </c>
      <c r="B183" s="12" t="s">
        <v>715</v>
      </c>
      <c r="C183" s="12" t="s">
        <v>1674</v>
      </c>
    </row>
    <row r="184" spans="1:3" x14ac:dyDescent="0.15">
      <c r="A184" s="30" t="s">
        <v>107</v>
      </c>
      <c r="B184" s="12" t="s">
        <v>716</v>
      </c>
      <c r="C184" s="12" t="s">
        <v>1748</v>
      </c>
    </row>
    <row r="185" spans="1:3" x14ac:dyDescent="0.15">
      <c r="A185" s="30" t="s">
        <v>77</v>
      </c>
      <c r="B185" s="12" t="s">
        <v>717</v>
      </c>
      <c r="C185" s="12" t="s">
        <v>1675</v>
      </c>
    </row>
    <row r="186" spans="1:3" x14ac:dyDescent="0.15">
      <c r="A186" s="30" t="s">
        <v>718</v>
      </c>
      <c r="B186" s="12" t="s">
        <v>719</v>
      </c>
      <c r="C186" s="12" t="s">
        <v>1676</v>
      </c>
    </row>
    <row r="187" spans="1:3" x14ac:dyDescent="0.15">
      <c r="A187" s="30" t="s">
        <v>79</v>
      </c>
      <c r="B187" s="12" t="s">
        <v>720</v>
      </c>
      <c r="C187" s="12" t="s">
        <v>1677</v>
      </c>
    </row>
    <row r="188" spans="1:3" x14ac:dyDescent="0.15">
      <c r="A188" s="30" t="s">
        <v>721</v>
      </c>
      <c r="B188" s="12" t="s">
        <v>722</v>
      </c>
      <c r="C188" s="12" t="s">
        <v>1678</v>
      </c>
    </row>
    <row r="189" spans="1:3" x14ac:dyDescent="0.15">
      <c r="A189" s="30" t="s">
        <v>400</v>
      </c>
      <c r="B189" s="12" t="s">
        <v>723</v>
      </c>
      <c r="C189" s="12" t="s">
        <v>1679</v>
      </c>
    </row>
    <row r="190" spans="1:3" x14ac:dyDescent="0.15">
      <c r="A190" s="30" t="s">
        <v>82</v>
      </c>
      <c r="B190" s="12" t="s">
        <v>724</v>
      </c>
      <c r="C190" s="12" t="s">
        <v>1680</v>
      </c>
    </row>
    <row r="191" spans="1:3" x14ac:dyDescent="0.15">
      <c r="A191" s="30" t="s">
        <v>725</v>
      </c>
      <c r="B191" s="12" t="s">
        <v>726</v>
      </c>
      <c r="C191" s="12" t="s">
        <v>1681</v>
      </c>
    </row>
    <row r="192" spans="1:3" x14ac:dyDescent="0.15">
      <c r="A192" s="30" t="s">
        <v>727</v>
      </c>
      <c r="B192" s="12" t="s">
        <v>728</v>
      </c>
      <c r="C192" s="12" t="s">
        <v>1749</v>
      </c>
    </row>
    <row r="193" spans="1:3" x14ac:dyDescent="0.15">
      <c r="A193" s="30" t="s">
        <v>345</v>
      </c>
      <c r="B193" s="12" t="s">
        <v>729</v>
      </c>
      <c r="C193" s="12" t="s">
        <v>1682</v>
      </c>
    </row>
    <row r="194" spans="1:3" x14ac:dyDescent="0.15">
      <c r="A194" s="30" t="s">
        <v>83</v>
      </c>
      <c r="B194" s="12" t="s">
        <v>730</v>
      </c>
      <c r="C194" s="12" t="s">
        <v>1683</v>
      </c>
    </row>
    <row r="195" spans="1:3" x14ac:dyDescent="0.15">
      <c r="A195" s="30" t="s">
        <v>731</v>
      </c>
      <c r="B195" s="12" t="s">
        <v>732</v>
      </c>
      <c r="C195" s="12" t="s">
        <v>1684</v>
      </c>
    </row>
    <row r="196" spans="1:3" x14ac:dyDescent="0.15">
      <c r="A196" s="30" t="s">
        <v>84</v>
      </c>
      <c r="B196" s="12" t="s">
        <v>733</v>
      </c>
      <c r="C196" s="12" t="s">
        <v>1685</v>
      </c>
    </row>
    <row r="197" spans="1:3" x14ac:dyDescent="0.15">
      <c r="A197" s="30" t="s">
        <v>85</v>
      </c>
      <c r="B197" s="12" t="s">
        <v>734</v>
      </c>
      <c r="C197" s="12" t="s">
        <v>1686</v>
      </c>
    </row>
    <row r="198" spans="1:3" x14ac:dyDescent="0.15">
      <c r="A198" s="30" t="s">
        <v>86</v>
      </c>
      <c r="B198" s="12" t="s">
        <v>735</v>
      </c>
      <c r="C198" s="12" t="s">
        <v>1687</v>
      </c>
    </row>
    <row r="199" spans="1:3" x14ac:dyDescent="0.15">
      <c r="A199" s="30" t="s">
        <v>113</v>
      </c>
      <c r="B199" s="12" t="s">
        <v>736</v>
      </c>
      <c r="C199" s="12" t="s">
        <v>1688</v>
      </c>
    </row>
    <row r="200" spans="1:3" x14ac:dyDescent="0.15">
      <c r="A200" s="30" t="s">
        <v>87</v>
      </c>
      <c r="B200" s="12" t="s">
        <v>737</v>
      </c>
      <c r="C200" s="12" t="s">
        <v>1750</v>
      </c>
    </row>
    <row r="201" spans="1:3" x14ac:dyDescent="0.15">
      <c r="A201" s="30" t="s">
        <v>357</v>
      </c>
      <c r="B201" s="12" t="s">
        <v>738</v>
      </c>
      <c r="C201" s="12" t="s">
        <v>1689</v>
      </c>
    </row>
    <row r="202" spans="1:3" x14ac:dyDescent="0.15">
      <c r="A202" s="30" t="s">
        <v>739</v>
      </c>
      <c r="B202" s="12" t="s">
        <v>740</v>
      </c>
      <c r="C202" s="12" t="s">
        <v>1690</v>
      </c>
    </row>
    <row r="203" spans="1:3" x14ac:dyDescent="0.15">
      <c r="A203" s="30" t="s">
        <v>88</v>
      </c>
      <c r="B203" s="12" t="s">
        <v>741</v>
      </c>
      <c r="C203" s="12" t="s">
        <v>1691</v>
      </c>
    </row>
    <row r="204" spans="1:3" x14ac:dyDescent="0.15">
      <c r="A204" s="30" t="s">
        <v>89</v>
      </c>
      <c r="B204" s="12" t="s">
        <v>742</v>
      </c>
      <c r="C204" s="12" t="s">
        <v>1692</v>
      </c>
    </row>
    <row r="205" spans="1:3" x14ac:dyDescent="0.15">
      <c r="A205" s="30" t="s">
        <v>90</v>
      </c>
      <c r="B205" s="12" t="s">
        <v>743</v>
      </c>
      <c r="C205" s="12" t="s">
        <v>1693</v>
      </c>
    </row>
    <row r="206" spans="1:3" x14ac:dyDescent="0.15">
      <c r="A206" s="30" t="s">
        <v>744</v>
      </c>
      <c r="B206" s="12" t="s">
        <v>745</v>
      </c>
      <c r="C206" s="12" t="s">
        <v>1694</v>
      </c>
    </row>
    <row r="207" spans="1:3" x14ac:dyDescent="0.15">
      <c r="A207" s="30" t="s">
        <v>746</v>
      </c>
      <c r="B207" s="12" t="s">
        <v>747</v>
      </c>
      <c r="C207" s="12" t="s">
        <v>1695</v>
      </c>
    </row>
    <row r="208" spans="1:3" x14ac:dyDescent="0.15">
      <c r="A208" s="30" t="s">
        <v>748</v>
      </c>
      <c r="B208" s="12" t="s">
        <v>749</v>
      </c>
      <c r="C208" s="12" t="s">
        <v>1696</v>
      </c>
    </row>
    <row r="209" spans="1:3" x14ac:dyDescent="0.15">
      <c r="A209" s="30" t="s">
        <v>750</v>
      </c>
      <c r="B209" s="12" t="s">
        <v>751</v>
      </c>
      <c r="C209" s="12" t="s">
        <v>1697</v>
      </c>
    </row>
    <row r="210" spans="1:3" x14ac:dyDescent="0.15">
      <c r="A210" s="30" t="s">
        <v>91</v>
      </c>
      <c r="B210" s="12" t="s">
        <v>752</v>
      </c>
      <c r="C210" s="12" t="s">
        <v>1698</v>
      </c>
    </row>
    <row r="211" spans="1:3" x14ac:dyDescent="0.15">
      <c r="A211" s="30" t="s">
        <v>753</v>
      </c>
      <c r="B211" s="12" t="s">
        <v>754</v>
      </c>
      <c r="C211" s="12" t="s">
        <v>1699</v>
      </c>
    </row>
    <row r="212" spans="1:3" x14ac:dyDescent="0.15">
      <c r="A212" s="30" t="s">
        <v>106</v>
      </c>
      <c r="B212" s="12" t="s">
        <v>755</v>
      </c>
      <c r="C212" s="12" t="s">
        <v>1730</v>
      </c>
    </row>
    <row r="213" spans="1:3" x14ac:dyDescent="0.15">
      <c r="A213" s="30" t="s">
        <v>756</v>
      </c>
      <c r="B213" s="12" t="s">
        <v>757</v>
      </c>
      <c r="C213" s="12" t="s">
        <v>1731</v>
      </c>
    </row>
    <row r="214" spans="1:3" x14ac:dyDescent="0.15">
      <c r="A214" s="30" t="s">
        <v>93</v>
      </c>
      <c r="B214" s="12" t="s">
        <v>1751</v>
      </c>
      <c r="C214" s="12" t="s">
        <v>1700</v>
      </c>
    </row>
    <row r="215" spans="1:3" x14ac:dyDescent="0.15">
      <c r="A215" s="30" t="s">
        <v>95</v>
      </c>
      <c r="B215" s="12" t="s">
        <v>758</v>
      </c>
      <c r="C215" s="12" t="s">
        <v>1701</v>
      </c>
    </row>
    <row r="216" spans="1:3" x14ac:dyDescent="0.15">
      <c r="A216" s="30" t="s">
        <v>96</v>
      </c>
      <c r="B216" s="12" t="s">
        <v>759</v>
      </c>
      <c r="C216" s="12" t="s">
        <v>1702</v>
      </c>
    </row>
    <row r="217" spans="1:3" x14ac:dyDescent="0.15">
      <c r="A217" s="30" t="s">
        <v>760</v>
      </c>
      <c r="B217" s="12" t="s">
        <v>761</v>
      </c>
      <c r="C217" s="12" t="s">
        <v>1703</v>
      </c>
    </row>
    <row r="218" spans="1:3" x14ac:dyDescent="0.15">
      <c r="A218" s="30" t="s">
        <v>762</v>
      </c>
      <c r="B218" s="12" t="s">
        <v>763</v>
      </c>
      <c r="C218" s="12" t="s">
        <v>1704</v>
      </c>
    </row>
    <row r="219" spans="1:3" x14ac:dyDescent="0.15">
      <c r="A219" s="30" t="s">
        <v>764</v>
      </c>
      <c r="B219" s="12" t="s">
        <v>765</v>
      </c>
      <c r="C219" s="12" t="s">
        <v>1705</v>
      </c>
    </row>
    <row r="220" spans="1:3" x14ac:dyDescent="0.15">
      <c r="A220" s="30" t="s">
        <v>766</v>
      </c>
      <c r="B220" s="12" t="s">
        <v>767</v>
      </c>
      <c r="C220" s="12" t="s">
        <v>1706</v>
      </c>
    </row>
    <row r="221" spans="1:3" x14ac:dyDescent="0.15">
      <c r="A221" s="30" t="s">
        <v>97</v>
      </c>
      <c r="B221" s="12" t="s">
        <v>768</v>
      </c>
      <c r="C221" s="12" t="s">
        <v>1707</v>
      </c>
    </row>
    <row r="222" spans="1:3" x14ac:dyDescent="0.15">
      <c r="A222" s="30" t="s">
        <v>370</v>
      </c>
      <c r="B222" s="12" t="s">
        <v>769</v>
      </c>
      <c r="C222" s="12" t="s">
        <v>1708</v>
      </c>
    </row>
    <row r="223" spans="1:3" x14ac:dyDescent="0.15">
      <c r="A223" s="30" t="s">
        <v>770</v>
      </c>
      <c r="B223" s="12" t="s">
        <v>771</v>
      </c>
      <c r="C223" s="12" t="s">
        <v>1709</v>
      </c>
    </row>
    <row r="224" spans="1:3" x14ac:dyDescent="0.15">
      <c r="A224" s="30" t="s">
        <v>98</v>
      </c>
      <c r="B224" s="12" t="s">
        <v>772</v>
      </c>
      <c r="C224" s="12" t="s">
        <v>1710</v>
      </c>
    </row>
    <row r="225" spans="1:3" x14ac:dyDescent="0.15">
      <c r="A225" s="30" t="s">
        <v>99</v>
      </c>
      <c r="B225" s="12" t="s">
        <v>773</v>
      </c>
      <c r="C225" s="12" t="s">
        <v>1711</v>
      </c>
    </row>
    <row r="226" spans="1:3" x14ac:dyDescent="0.15">
      <c r="A226" s="30" t="s">
        <v>100</v>
      </c>
      <c r="B226" s="12" t="s">
        <v>774</v>
      </c>
      <c r="C226" s="12" t="s">
        <v>1732</v>
      </c>
    </row>
    <row r="227" spans="1:3" x14ac:dyDescent="0.15">
      <c r="A227" s="30" t="s">
        <v>775</v>
      </c>
      <c r="B227" s="12" t="s">
        <v>776</v>
      </c>
      <c r="C227" s="12" t="s">
        <v>1712</v>
      </c>
    </row>
    <row r="228" spans="1:3" x14ac:dyDescent="0.15">
      <c r="A228" s="30" t="s">
        <v>777</v>
      </c>
      <c r="B228" s="12" t="s">
        <v>778</v>
      </c>
      <c r="C228" s="12" t="s">
        <v>1713</v>
      </c>
    </row>
    <row r="229" spans="1:3" x14ac:dyDescent="0.15">
      <c r="A229" s="30" t="s">
        <v>379</v>
      </c>
      <c r="B229" s="12" t="s">
        <v>779</v>
      </c>
      <c r="C229" s="12" t="s">
        <v>1733</v>
      </c>
    </row>
    <row r="230" spans="1:3" x14ac:dyDescent="0.15">
      <c r="A230" s="30" t="s">
        <v>780</v>
      </c>
      <c r="B230" s="12" t="s">
        <v>781</v>
      </c>
      <c r="C230" s="12" t="s">
        <v>1752</v>
      </c>
    </row>
    <row r="231" spans="1:3" x14ac:dyDescent="0.15">
      <c r="A231" s="30" t="s">
        <v>782</v>
      </c>
      <c r="B231" s="12" t="s">
        <v>783</v>
      </c>
      <c r="C231" s="12" t="s">
        <v>1714</v>
      </c>
    </row>
    <row r="232" spans="1:3" x14ac:dyDescent="0.15">
      <c r="A232" s="30" t="s">
        <v>784</v>
      </c>
      <c r="B232" s="12" t="s">
        <v>785</v>
      </c>
      <c r="C232" s="12" t="s">
        <v>1715</v>
      </c>
    </row>
    <row r="233" spans="1:3" x14ac:dyDescent="0.15">
      <c r="A233" s="30" t="s">
        <v>786</v>
      </c>
      <c r="B233" s="12" t="s">
        <v>787</v>
      </c>
      <c r="C233" s="12" t="s">
        <v>1716</v>
      </c>
    </row>
    <row r="234" spans="1:3" x14ac:dyDescent="0.15">
      <c r="A234" s="30" t="s">
        <v>788</v>
      </c>
      <c r="B234" s="12" t="s">
        <v>789</v>
      </c>
      <c r="C234" s="12" t="s">
        <v>1717</v>
      </c>
    </row>
    <row r="235" spans="1:3" x14ac:dyDescent="0.15">
      <c r="A235" s="30" t="s">
        <v>790</v>
      </c>
      <c r="B235" s="12" t="s">
        <v>791</v>
      </c>
      <c r="C235" s="12" t="s">
        <v>1718</v>
      </c>
    </row>
    <row r="236" spans="1:3" x14ac:dyDescent="0.15">
      <c r="A236" s="30" t="s">
        <v>792</v>
      </c>
      <c r="B236" s="12" t="s">
        <v>793</v>
      </c>
      <c r="C236" s="12" t="s">
        <v>1719</v>
      </c>
    </row>
    <row r="237" spans="1:3" x14ac:dyDescent="0.15">
      <c r="A237" s="30" t="s">
        <v>102</v>
      </c>
      <c r="B237" s="12" t="s">
        <v>1754</v>
      </c>
      <c r="C237" s="12" t="s">
        <v>1753</v>
      </c>
    </row>
    <row r="238" spans="1:3" x14ac:dyDescent="0.15">
      <c r="A238" s="30" t="s">
        <v>794</v>
      </c>
      <c r="B238" s="12" t="s">
        <v>795</v>
      </c>
      <c r="C238" s="12" t="s">
        <v>818</v>
      </c>
    </row>
    <row r="239" spans="1:3" x14ac:dyDescent="0.15">
      <c r="A239" s="30" t="s">
        <v>384</v>
      </c>
      <c r="B239" s="12" t="s">
        <v>796</v>
      </c>
      <c r="C239" s="12" t="s">
        <v>1755</v>
      </c>
    </row>
    <row r="240" spans="1:3" x14ac:dyDescent="0.15">
      <c r="A240" s="30" t="s">
        <v>103</v>
      </c>
      <c r="B240" s="12" t="s">
        <v>797</v>
      </c>
      <c r="C240" s="12" t="s">
        <v>1720</v>
      </c>
    </row>
    <row r="241" spans="1:3" x14ac:dyDescent="0.15">
      <c r="A241" s="30" t="s">
        <v>104</v>
      </c>
      <c r="B241" s="12" t="s">
        <v>798</v>
      </c>
      <c r="C241" s="12" t="s">
        <v>1721</v>
      </c>
    </row>
    <row r="242" spans="1:3" x14ac:dyDescent="0.15">
      <c r="A242" s="30" t="s">
        <v>387</v>
      </c>
      <c r="B242" s="12" t="s">
        <v>799</v>
      </c>
      <c r="C242" s="12" t="s">
        <v>1722</v>
      </c>
    </row>
    <row r="243" spans="1:3" x14ac:dyDescent="0.15">
      <c r="A243" s="30" t="s">
        <v>800</v>
      </c>
      <c r="B243" s="12" t="s">
        <v>801</v>
      </c>
      <c r="C243" s="12" t="s">
        <v>819</v>
      </c>
    </row>
    <row r="244" spans="1:3" x14ac:dyDescent="0.15">
      <c r="A244" s="30" t="s">
        <v>802</v>
      </c>
      <c r="B244" s="12" t="s">
        <v>803</v>
      </c>
      <c r="C244" s="12" t="s">
        <v>1723</v>
      </c>
    </row>
    <row r="245" spans="1:3" x14ac:dyDescent="0.15">
      <c r="A245" s="30" t="s">
        <v>804</v>
      </c>
      <c r="B245" s="12" t="s">
        <v>805</v>
      </c>
      <c r="C245" s="12" t="s">
        <v>1724</v>
      </c>
    </row>
    <row r="246" spans="1:3" x14ac:dyDescent="0.15">
      <c r="A246" s="30" t="s">
        <v>806</v>
      </c>
      <c r="B246" s="12" t="s">
        <v>807</v>
      </c>
      <c r="C246" s="12" t="s">
        <v>1725</v>
      </c>
    </row>
    <row r="247" spans="1:3" x14ac:dyDescent="0.15">
      <c r="A247" s="30" t="s">
        <v>808</v>
      </c>
      <c r="B247" s="12" t="s">
        <v>809</v>
      </c>
      <c r="C247" s="12" t="s">
        <v>1726</v>
      </c>
    </row>
    <row r="248" spans="1:3" x14ac:dyDescent="0.15">
      <c r="A248" s="30" t="s">
        <v>810</v>
      </c>
      <c r="B248" s="12" t="s">
        <v>811</v>
      </c>
      <c r="C248" s="12" t="s">
        <v>1727</v>
      </c>
    </row>
    <row r="249" spans="1:3" x14ac:dyDescent="0.15">
      <c r="A249" s="30" t="s">
        <v>812</v>
      </c>
      <c r="B249" s="12" t="s">
        <v>813</v>
      </c>
      <c r="C249" s="12" t="s">
        <v>1728</v>
      </c>
    </row>
    <row r="250" spans="1:3" x14ac:dyDescent="0.15">
      <c r="A250" s="30" t="s">
        <v>814</v>
      </c>
      <c r="B250" s="12" t="s">
        <v>815</v>
      </c>
      <c r="C250" s="12" t="s">
        <v>1729</v>
      </c>
    </row>
  </sheetData>
  <sortState xmlns:xlrd2="http://schemas.microsoft.com/office/spreadsheetml/2017/richdata2" ref="A2:B264">
    <sortCondition ref="A2:A264"/>
  </sortState>
  <phoneticPr fontId="7"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5"/>
  <sheetViews>
    <sheetView workbookViewId="0">
      <selection activeCell="D10" sqref="D10"/>
    </sheetView>
  </sheetViews>
  <sheetFormatPr defaultRowHeight="13.5" x14ac:dyDescent="0.15"/>
  <cols>
    <col min="2" max="2" width="18.625" customWidth="1"/>
  </cols>
  <sheetData>
    <row r="1" spans="1:2" s="33" customFormat="1" x14ac:dyDescent="0.15">
      <c r="A1" s="31" t="s">
        <v>401</v>
      </c>
      <c r="B1" s="32" t="s">
        <v>823</v>
      </c>
    </row>
    <row r="2" spans="1:2" x14ac:dyDescent="0.15">
      <c r="A2" s="30" t="s">
        <v>397</v>
      </c>
      <c r="B2" s="12" t="s">
        <v>2700</v>
      </c>
    </row>
    <row r="3" spans="1:2" x14ac:dyDescent="0.15">
      <c r="A3" s="30" t="s">
        <v>399</v>
      </c>
      <c r="B3" s="12" t="s">
        <v>825</v>
      </c>
    </row>
    <row r="4" spans="1:2" x14ac:dyDescent="0.15">
      <c r="A4" s="30" t="s">
        <v>71</v>
      </c>
      <c r="B4" s="12" t="s">
        <v>826</v>
      </c>
    </row>
    <row r="5" spans="1:2" x14ac:dyDescent="0.15">
      <c r="A5" s="30" t="s">
        <v>824</v>
      </c>
      <c r="B5" s="12" t="s">
        <v>827</v>
      </c>
    </row>
  </sheetData>
  <phoneticPr fontId="7"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85"/>
  <sheetViews>
    <sheetView topLeftCell="A7" workbookViewId="0">
      <selection activeCell="B19" sqref="B19"/>
    </sheetView>
  </sheetViews>
  <sheetFormatPr defaultRowHeight="13.5" x14ac:dyDescent="0.15"/>
  <cols>
    <col min="1" max="1" width="9.625" bestFit="1" customWidth="1"/>
    <col min="2" max="2" width="32.875" bestFit="1" customWidth="1"/>
  </cols>
  <sheetData>
    <row r="1" spans="1:2" x14ac:dyDescent="0.15">
      <c r="A1" s="30" t="s">
        <v>1363</v>
      </c>
      <c r="B1" s="12" t="s">
        <v>1364</v>
      </c>
    </row>
    <row r="2" spans="1:2" x14ac:dyDescent="0.15">
      <c r="A2" s="30" t="s">
        <v>961</v>
      </c>
      <c r="B2" t="s">
        <v>1756</v>
      </c>
    </row>
    <row r="3" spans="1:2" x14ac:dyDescent="0.15">
      <c r="A3" s="30" t="s">
        <v>962</v>
      </c>
      <c r="B3" t="s">
        <v>1757</v>
      </c>
    </row>
    <row r="4" spans="1:2" x14ac:dyDescent="0.15">
      <c r="A4" s="30" t="s">
        <v>963</v>
      </c>
      <c r="B4" t="s">
        <v>1758</v>
      </c>
    </row>
    <row r="5" spans="1:2" x14ac:dyDescent="0.15">
      <c r="A5" s="30" t="s">
        <v>1450</v>
      </c>
      <c r="B5" t="s">
        <v>1451</v>
      </c>
    </row>
    <row r="6" spans="1:2" x14ac:dyDescent="0.15">
      <c r="A6" s="30" t="s">
        <v>964</v>
      </c>
      <c r="B6" t="s">
        <v>1759</v>
      </c>
    </row>
    <row r="7" spans="1:2" x14ac:dyDescent="0.15">
      <c r="A7" s="30" t="s">
        <v>1760</v>
      </c>
      <c r="B7" t="s">
        <v>1761</v>
      </c>
    </row>
    <row r="8" spans="1:2" x14ac:dyDescent="0.15">
      <c r="A8" s="30" t="s">
        <v>1762</v>
      </c>
      <c r="B8" t="s">
        <v>1763</v>
      </c>
    </row>
    <row r="9" spans="1:2" x14ac:dyDescent="0.15">
      <c r="A9" s="30" t="s">
        <v>965</v>
      </c>
      <c r="B9" t="s">
        <v>1764</v>
      </c>
    </row>
    <row r="10" spans="1:2" x14ac:dyDescent="0.15">
      <c r="A10" s="30" t="s">
        <v>964</v>
      </c>
      <c r="B10" t="s">
        <v>1765</v>
      </c>
    </row>
    <row r="11" spans="1:2" x14ac:dyDescent="0.15">
      <c r="A11" s="30" t="s">
        <v>1766</v>
      </c>
      <c r="B11" t="s">
        <v>1767</v>
      </c>
    </row>
    <row r="12" spans="1:2" x14ac:dyDescent="0.15">
      <c r="A12" s="30" t="s">
        <v>966</v>
      </c>
      <c r="B12" t="s">
        <v>1768</v>
      </c>
    </row>
    <row r="13" spans="1:2" x14ac:dyDescent="0.15">
      <c r="A13" s="30" t="s">
        <v>967</v>
      </c>
      <c r="B13" t="s">
        <v>1769</v>
      </c>
    </row>
    <row r="14" spans="1:2" x14ac:dyDescent="0.15">
      <c r="A14" s="30" t="s">
        <v>968</v>
      </c>
      <c r="B14" t="s">
        <v>1770</v>
      </c>
    </row>
    <row r="15" spans="1:2" x14ac:dyDescent="0.15">
      <c r="A15" s="30" t="s">
        <v>969</v>
      </c>
      <c r="B15" t="s">
        <v>1771</v>
      </c>
    </row>
    <row r="16" spans="1:2" x14ac:dyDescent="0.15">
      <c r="A16" s="30" t="s">
        <v>970</v>
      </c>
      <c r="B16" t="s">
        <v>1772</v>
      </c>
    </row>
    <row r="17" spans="1:2" x14ac:dyDescent="0.15">
      <c r="A17" s="30" t="s">
        <v>971</v>
      </c>
      <c r="B17" t="s">
        <v>1773</v>
      </c>
    </row>
    <row r="18" spans="1:2" x14ac:dyDescent="0.15">
      <c r="A18" s="30" t="s">
        <v>972</v>
      </c>
      <c r="B18" t="s">
        <v>1774</v>
      </c>
    </row>
    <row r="19" spans="1:2" x14ac:dyDescent="0.15">
      <c r="A19" s="30" t="s">
        <v>1775</v>
      </c>
      <c r="B19" t="s">
        <v>1776</v>
      </c>
    </row>
    <row r="20" spans="1:2" x14ac:dyDescent="0.15">
      <c r="A20" s="30" t="s">
        <v>1777</v>
      </c>
      <c r="B20" t="s">
        <v>1778</v>
      </c>
    </row>
    <row r="21" spans="1:2" x14ac:dyDescent="0.15">
      <c r="A21" s="30" t="s">
        <v>973</v>
      </c>
      <c r="B21" t="s">
        <v>1779</v>
      </c>
    </row>
    <row r="22" spans="1:2" x14ac:dyDescent="0.15">
      <c r="A22" s="30" t="s">
        <v>974</v>
      </c>
      <c r="B22" t="s">
        <v>1780</v>
      </c>
    </row>
    <row r="23" spans="1:2" x14ac:dyDescent="0.15">
      <c r="A23" s="30" t="s">
        <v>1781</v>
      </c>
      <c r="B23" t="s">
        <v>1782</v>
      </c>
    </row>
    <row r="24" spans="1:2" x14ac:dyDescent="0.15">
      <c r="A24" s="30" t="s">
        <v>975</v>
      </c>
      <c r="B24" t="s">
        <v>1783</v>
      </c>
    </row>
    <row r="25" spans="1:2" x14ac:dyDescent="0.15">
      <c r="A25" s="30" t="s">
        <v>2701</v>
      </c>
      <c r="B25" t="s">
        <v>1784</v>
      </c>
    </row>
    <row r="26" spans="1:2" x14ac:dyDescent="0.15">
      <c r="A26" s="30" t="s">
        <v>1460</v>
      </c>
      <c r="B26" t="s">
        <v>1452</v>
      </c>
    </row>
    <row r="27" spans="1:2" x14ac:dyDescent="0.15">
      <c r="A27" s="30" t="s">
        <v>976</v>
      </c>
      <c r="B27" t="s">
        <v>1785</v>
      </c>
    </row>
    <row r="28" spans="1:2" x14ac:dyDescent="0.15">
      <c r="A28" s="30" t="s">
        <v>1786</v>
      </c>
      <c r="B28" t="s">
        <v>1787</v>
      </c>
    </row>
    <row r="29" spans="1:2" x14ac:dyDescent="0.15">
      <c r="A29" s="30" t="s">
        <v>977</v>
      </c>
      <c r="B29" t="s">
        <v>1788</v>
      </c>
    </row>
    <row r="30" spans="1:2" x14ac:dyDescent="0.15">
      <c r="A30" s="30" t="s">
        <v>978</v>
      </c>
      <c r="B30" t="s">
        <v>1789</v>
      </c>
    </row>
    <row r="31" spans="1:2" x14ac:dyDescent="0.15">
      <c r="A31" s="30" t="s">
        <v>1790</v>
      </c>
      <c r="B31" t="s">
        <v>1791</v>
      </c>
    </row>
    <row r="32" spans="1:2" x14ac:dyDescent="0.15">
      <c r="A32" s="30" t="s">
        <v>979</v>
      </c>
      <c r="B32" t="s">
        <v>1792</v>
      </c>
    </row>
    <row r="33" spans="1:2" x14ac:dyDescent="0.15">
      <c r="A33" s="30" t="s">
        <v>1793</v>
      </c>
      <c r="B33" t="s">
        <v>1794</v>
      </c>
    </row>
    <row r="34" spans="1:2" x14ac:dyDescent="0.15">
      <c r="A34" s="30" t="s">
        <v>980</v>
      </c>
      <c r="B34" t="s">
        <v>1795</v>
      </c>
    </row>
    <row r="35" spans="1:2" x14ac:dyDescent="0.15">
      <c r="A35" s="30" t="s">
        <v>1267</v>
      </c>
      <c r="B35" t="s">
        <v>1796</v>
      </c>
    </row>
    <row r="36" spans="1:2" x14ac:dyDescent="0.15">
      <c r="A36" s="30" t="s">
        <v>1797</v>
      </c>
      <c r="B36" t="s">
        <v>1798</v>
      </c>
    </row>
    <row r="37" spans="1:2" x14ac:dyDescent="0.15">
      <c r="A37" s="30" t="s">
        <v>981</v>
      </c>
      <c r="B37" t="s">
        <v>1799</v>
      </c>
    </row>
    <row r="38" spans="1:2" x14ac:dyDescent="0.15">
      <c r="A38" s="30" t="s">
        <v>982</v>
      </c>
      <c r="B38" t="s">
        <v>1800</v>
      </c>
    </row>
    <row r="39" spans="1:2" x14ac:dyDescent="0.15">
      <c r="A39" s="30" t="s">
        <v>983</v>
      </c>
      <c r="B39" t="s">
        <v>1801</v>
      </c>
    </row>
    <row r="40" spans="1:2" x14ac:dyDescent="0.15">
      <c r="A40" s="30" t="s">
        <v>1802</v>
      </c>
      <c r="B40" t="s">
        <v>1803</v>
      </c>
    </row>
    <row r="41" spans="1:2" x14ac:dyDescent="0.15">
      <c r="A41" s="30" t="s">
        <v>984</v>
      </c>
      <c r="B41" t="s">
        <v>1804</v>
      </c>
    </row>
    <row r="42" spans="1:2" x14ac:dyDescent="0.15">
      <c r="A42" s="30" t="s">
        <v>985</v>
      </c>
      <c r="B42" t="s">
        <v>1805</v>
      </c>
    </row>
    <row r="43" spans="1:2" x14ac:dyDescent="0.15">
      <c r="A43" s="30" t="s">
        <v>1806</v>
      </c>
      <c r="B43" t="s">
        <v>1807</v>
      </c>
    </row>
    <row r="44" spans="1:2" x14ac:dyDescent="0.15">
      <c r="A44" s="30" t="s">
        <v>986</v>
      </c>
      <c r="B44" t="s">
        <v>1808</v>
      </c>
    </row>
    <row r="45" spans="1:2" x14ac:dyDescent="0.15">
      <c r="A45" s="30" t="s">
        <v>987</v>
      </c>
      <c r="B45" t="s">
        <v>1809</v>
      </c>
    </row>
    <row r="46" spans="1:2" x14ac:dyDescent="0.15">
      <c r="A46" s="30" t="s">
        <v>1810</v>
      </c>
      <c r="B46" t="s">
        <v>1811</v>
      </c>
    </row>
    <row r="47" spans="1:2" x14ac:dyDescent="0.15">
      <c r="A47" s="30" t="s">
        <v>1812</v>
      </c>
      <c r="B47" t="s">
        <v>1813</v>
      </c>
    </row>
    <row r="48" spans="1:2" x14ac:dyDescent="0.15">
      <c r="A48" s="30" t="s">
        <v>988</v>
      </c>
      <c r="B48" t="s">
        <v>1814</v>
      </c>
    </row>
    <row r="49" spans="1:2" x14ac:dyDescent="0.15">
      <c r="A49" s="30" t="s">
        <v>989</v>
      </c>
      <c r="B49" t="s">
        <v>1815</v>
      </c>
    </row>
    <row r="50" spans="1:2" x14ac:dyDescent="0.15">
      <c r="A50" s="30" t="s">
        <v>990</v>
      </c>
      <c r="B50" t="s">
        <v>1816</v>
      </c>
    </row>
    <row r="51" spans="1:2" x14ac:dyDescent="0.15">
      <c r="A51" s="30" t="s">
        <v>1817</v>
      </c>
      <c r="B51" t="s">
        <v>1818</v>
      </c>
    </row>
    <row r="52" spans="1:2" x14ac:dyDescent="0.15">
      <c r="A52" s="30" t="s">
        <v>1819</v>
      </c>
      <c r="B52" t="s">
        <v>1820</v>
      </c>
    </row>
    <row r="53" spans="1:2" x14ac:dyDescent="0.15">
      <c r="A53" s="30" t="s">
        <v>991</v>
      </c>
      <c r="B53" t="s">
        <v>1821</v>
      </c>
    </row>
    <row r="54" spans="1:2" x14ac:dyDescent="0.15">
      <c r="A54" s="30" t="s">
        <v>992</v>
      </c>
      <c r="B54" t="s">
        <v>1822</v>
      </c>
    </row>
    <row r="55" spans="1:2" x14ac:dyDescent="0.15">
      <c r="A55" s="30" t="s">
        <v>993</v>
      </c>
      <c r="B55" t="s">
        <v>1823</v>
      </c>
    </row>
    <row r="56" spans="1:2" x14ac:dyDescent="0.15">
      <c r="A56" s="30" t="s">
        <v>994</v>
      </c>
      <c r="B56" t="s">
        <v>1824</v>
      </c>
    </row>
    <row r="57" spans="1:2" x14ac:dyDescent="0.15">
      <c r="A57" s="30" t="s">
        <v>1825</v>
      </c>
      <c r="B57" t="s">
        <v>1826</v>
      </c>
    </row>
    <row r="58" spans="1:2" x14ac:dyDescent="0.15">
      <c r="A58" s="30" t="s">
        <v>1827</v>
      </c>
      <c r="B58" t="s">
        <v>1828</v>
      </c>
    </row>
    <row r="59" spans="1:2" x14ac:dyDescent="0.15">
      <c r="A59" s="30" t="s">
        <v>995</v>
      </c>
      <c r="B59" t="s">
        <v>1829</v>
      </c>
    </row>
    <row r="60" spans="1:2" x14ac:dyDescent="0.15">
      <c r="A60" s="30" t="s">
        <v>996</v>
      </c>
      <c r="B60" t="s">
        <v>1830</v>
      </c>
    </row>
    <row r="61" spans="1:2" x14ac:dyDescent="0.15">
      <c r="A61" s="30" t="s">
        <v>1831</v>
      </c>
      <c r="B61" t="s">
        <v>1832</v>
      </c>
    </row>
    <row r="62" spans="1:2" x14ac:dyDescent="0.15">
      <c r="A62" s="30" t="s">
        <v>997</v>
      </c>
      <c r="B62" t="s">
        <v>1833</v>
      </c>
    </row>
    <row r="63" spans="1:2" x14ac:dyDescent="0.15">
      <c r="A63" s="30" t="s">
        <v>998</v>
      </c>
      <c r="B63" t="s">
        <v>1834</v>
      </c>
    </row>
    <row r="64" spans="1:2" x14ac:dyDescent="0.15">
      <c r="A64" s="30" t="s">
        <v>999</v>
      </c>
      <c r="B64" t="s">
        <v>1835</v>
      </c>
    </row>
    <row r="65" spans="1:2" x14ac:dyDescent="0.15">
      <c r="A65" s="30" t="s">
        <v>1836</v>
      </c>
      <c r="B65" t="s">
        <v>1837</v>
      </c>
    </row>
    <row r="66" spans="1:2" x14ac:dyDescent="0.15">
      <c r="A66" s="30" t="s">
        <v>1000</v>
      </c>
      <c r="B66" t="s">
        <v>1838</v>
      </c>
    </row>
    <row r="67" spans="1:2" x14ac:dyDescent="0.15">
      <c r="A67" s="30" t="s">
        <v>1839</v>
      </c>
      <c r="B67" t="s">
        <v>1840</v>
      </c>
    </row>
    <row r="68" spans="1:2" x14ac:dyDescent="0.15">
      <c r="A68" s="30" t="s">
        <v>1841</v>
      </c>
      <c r="B68" t="s">
        <v>1842</v>
      </c>
    </row>
    <row r="69" spans="1:2" x14ac:dyDescent="0.15">
      <c r="A69" s="30" t="s">
        <v>1002</v>
      </c>
      <c r="B69" t="s">
        <v>1843</v>
      </c>
    </row>
    <row r="70" spans="1:2" x14ac:dyDescent="0.15">
      <c r="A70" s="30" t="s">
        <v>1003</v>
      </c>
      <c r="B70" t="s">
        <v>1844</v>
      </c>
    </row>
    <row r="71" spans="1:2" x14ac:dyDescent="0.15">
      <c r="A71" s="30" t="s">
        <v>1004</v>
      </c>
      <c r="B71" t="s">
        <v>1845</v>
      </c>
    </row>
    <row r="72" spans="1:2" x14ac:dyDescent="0.15">
      <c r="A72" s="30" t="s">
        <v>1005</v>
      </c>
      <c r="B72" t="s">
        <v>1846</v>
      </c>
    </row>
    <row r="73" spans="1:2" x14ac:dyDescent="0.15">
      <c r="A73" s="30" t="s">
        <v>1006</v>
      </c>
      <c r="B73" t="s">
        <v>1847</v>
      </c>
    </row>
    <row r="74" spans="1:2" x14ac:dyDescent="0.15">
      <c r="A74" s="30" t="s">
        <v>1007</v>
      </c>
      <c r="B74" t="s">
        <v>1848</v>
      </c>
    </row>
    <row r="75" spans="1:2" x14ac:dyDescent="0.15">
      <c r="A75" s="30" t="s">
        <v>2685</v>
      </c>
      <c r="B75" t="s">
        <v>1458</v>
      </c>
    </row>
    <row r="76" spans="1:2" x14ac:dyDescent="0.15">
      <c r="A76" s="30" t="s">
        <v>1849</v>
      </c>
      <c r="B76" t="s">
        <v>1850</v>
      </c>
    </row>
    <row r="77" spans="1:2" x14ac:dyDescent="0.15">
      <c r="A77" s="30" t="s">
        <v>1851</v>
      </c>
      <c r="B77" t="s">
        <v>1852</v>
      </c>
    </row>
    <row r="78" spans="1:2" x14ac:dyDescent="0.15">
      <c r="A78" s="30" t="s">
        <v>1008</v>
      </c>
      <c r="B78" t="s">
        <v>1853</v>
      </c>
    </row>
    <row r="79" spans="1:2" x14ac:dyDescent="0.15">
      <c r="A79" s="30" t="s">
        <v>2682</v>
      </c>
      <c r="B79" t="s">
        <v>1854</v>
      </c>
    </row>
    <row r="80" spans="1:2" x14ac:dyDescent="0.15">
      <c r="A80" s="30" t="s">
        <v>1009</v>
      </c>
      <c r="B80" t="s">
        <v>1855</v>
      </c>
    </row>
    <row r="81" spans="1:2" x14ac:dyDescent="0.15">
      <c r="A81" s="30" t="s">
        <v>1856</v>
      </c>
      <c r="B81" t="s">
        <v>1857</v>
      </c>
    </row>
    <row r="82" spans="1:2" x14ac:dyDescent="0.15">
      <c r="A82" s="30" t="s">
        <v>1010</v>
      </c>
      <c r="B82" t="s">
        <v>1858</v>
      </c>
    </row>
    <row r="83" spans="1:2" x14ac:dyDescent="0.15">
      <c r="A83" s="30" t="s">
        <v>1011</v>
      </c>
      <c r="B83" t="s">
        <v>1859</v>
      </c>
    </row>
    <row r="84" spans="1:2" x14ac:dyDescent="0.15">
      <c r="A84" s="30" t="s">
        <v>1860</v>
      </c>
      <c r="B84" t="s">
        <v>1861</v>
      </c>
    </row>
    <row r="85" spans="1:2" x14ac:dyDescent="0.15">
      <c r="A85" s="30" t="s">
        <v>1862</v>
      </c>
      <c r="B85" t="s">
        <v>1863</v>
      </c>
    </row>
    <row r="86" spans="1:2" x14ac:dyDescent="0.15">
      <c r="A86" s="30" t="s">
        <v>1012</v>
      </c>
      <c r="B86" t="s">
        <v>1864</v>
      </c>
    </row>
    <row r="87" spans="1:2" x14ac:dyDescent="0.15">
      <c r="A87" s="30" t="s">
        <v>1013</v>
      </c>
      <c r="B87" t="s">
        <v>1865</v>
      </c>
    </row>
    <row r="88" spans="1:2" x14ac:dyDescent="0.15">
      <c r="A88" s="30" t="s">
        <v>1866</v>
      </c>
      <c r="B88" t="s">
        <v>1867</v>
      </c>
    </row>
    <row r="89" spans="1:2" x14ac:dyDescent="0.15">
      <c r="A89" s="30" t="s">
        <v>1014</v>
      </c>
      <c r="B89" t="s">
        <v>1868</v>
      </c>
    </row>
    <row r="90" spans="1:2" x14ac:dyDescent="0.15">
      <c r="A90" s="30" t="s">
        <v>1015</v>
      </c>
      <c r="B90" t="s">
        <v>1869</v>
      </c>
    </row>
    <row r="91" spans="1:2" x14ac:dyDescent="0.15">
      <c r="A91" s="30" t="s">
        <v>2678</v>
      </c>
      <c r="B91" t="s">
        <v>1483</v>
      </c>
    </row>
    <row r="92" spans="1:2" x14ac:dyDescent="0.15">
      <c r="A92" s="30" t="s">
        <v>1253</v>
      </c>
      <c r="B92" t="s">
        <v>1870</v>
      </c>
    </row>
    <row r="93" spans="1:2" x14ac:dyDescent="0.15">
      <c r="A93" s="30" t="s">
        <v>1871</v>
      </c>
      <c r="B93" t="s">
        <v>1872</v>
      </c>
    </row>
    <row r="94" spans="1:2" x14ac:dyDescent="0.15">
      <c r="A94" s="30" t="s">
        <v>1016</v>
      </c>
      <c r="B94" t="s">
        <v>1873</v>
      </c>
    </row>
    <row r="95" spans="1:2" x14ac:dyDescent="0.15">
      <c r="A95" s="30" t="s">
        <v>1874</v>
      </c>
      <c r="B95" t="s">
        <v>1875</v>
      </c>
    </row>
    <row r="96" spans="1:2" x14ac:dyDescent="0.15">
      <c r="A96" s="30" t="s">
        <v>1876</v>
      </c>
      <c r="B96" t="s">
        <v>1877</v>
      </c>
    </row>
    <row r="97" spans="1:2" x14ac:dyDescent="0.15">
      <c r="A97" s="30" t="s">
        <v>1878</v>
      </c>
      <c r="B97" t="s">
        <v>1879</v>
      </c>
    </row>
    <row r="98" spans="1:2" x14ac:dyDescent="0.15">
      <c r="A98" s="30" t="s">
        <v>1017</v>
      </c>
      <c r="B98" t="s">
        <v>1880</v>
      </c>
    </row>
    <row r="99" spans="1:2" x14ac:dyDescent="0.15">
      <c r="A99" s="30" t="s">
        <v>1018</v>
      </c>
      <c r="B99" t="s">
        <v>1881</v>
      </c>
    </row>
    <row r="100" spans="1:2" x14ac:dyDescent="0.15">
      <c r="A100" s="30" t="s">
        <v>1021</v>
      </c>
      <c r="B100" t="s">
        <v>1882</v>
      </c>
    </row>
    <row r="101" spans="1:2" x14ac:dyDescent="0.15">
      <c r="A101" s="30" t="s">
        <v>1019</v>
      </c>
      <c r="B101" t="s">
        <v>1883</v>
      </c>
    </row>
    <row r="102" spans="1:2" x14ac:dyDescent="0.15">
      <c r="A102" s="30" t="s">
        <v>1020</v>
      </c>
      <c r="B102" t="s">
        <v>1884</v>
      </c>
    </row>
    <row r="103" spans="1:2" x14ac:dyDescent="0.15">
      <c r="A103" s="30" t="s">
        <v>1022</v>
      </c>
      <c r="B103" t="s">
        <v>1885</v>
      </c>
    </row>
    <row r="104" spans="1:2" x14ac:dyDescent="0.15">
      <c r="A104" s="30" t="s">
        <v>1023</v>
      </c>
      <c r="B104" t="s">
        <v>1886</v>
      </c>
    </row>
    <row r="105" spans="1:2" x14ac:dyDescent="0.15">
      <c r="A105" s="30" t="s">
        <v>1024</v>
      </c>
      <c r="B105" t="s">
        <v>1887</v>
      </c>
    </row>
    <row r="106" spans="1:2" x14ac:dyDescent="0.15">
      <c r="A106" s="30" t="s">
        <v>1025</v>
      </c>
      <c r="B106" t="s">
        <v>1888</v>
      </c>
    </row>
    <row r="107" spans="1:2" x14ac:dyDescent="0.15">
      <c r="A107" s="30" t="s">
        <v>1889</v>
      </c>
      <c r="B107" t="s">
        <v>1890</v>
      </c>
    </row>
    <row r="108" spans="1:2" x14ac:dyDescent="0.15">
      <c r="A108" s="30" t="s">
        <v>1026</v>
      </c>
      <c r="B108" t="s">
        <v>1891</v>
      </c>
    </row>
    <row r="109" spans="1:2" x14ac:dyDescent="0.15">
      <c r="A109" s="30" t="s">
        <v>1027</v>
      </c>
      <c r="B109" t="s">
        <v>1892</v>
      </c>
    </row>
    <row r="110" spans="1:2" x14ac:dyDescent="0.15">
      <c r="A110" s="30" t="s">
        <v>1028</v>
      </c>
      <c r="B110" t="s">
        <v>1893</v>
      </c>
    </row>
    <row r="111" spans="1:2" x14ac:dyDescent="0.15">
      <c r="A111" s="30" t="s">
        <v>1894</v>
      </c>
      <c r="B111" t="s">
        <v>1895</v>
      </c>
    </row>
    <row r="112" spans="1:2" x14ac:dyDescent="0.15">
      <c r="A112" s="30" t="s">
        <v>1029</v>
      </c>
      <c r="B112" t="s">
        <v>1896</v>
      </c>
    </row>
    <row r="113" spans="1:2" x14ac:dyDescent="0.15">
      <c r="A113" s="30" t="s">
        <v>1030</v>
      </c>
      <c r="B113" t="s">
        <v>1897</v>
      </c>
    </row>
    <row r="114" spans="1:2" x14ac:dyDescent="0.15">
      <c r="A114" s="30" t="s">
        <v>1898</v>
      </c>
      <c r="B114" t="s">
        <v>1899</v>
      </c>
    </row>
    <row r="115" spans="1:2" x14ac:dyDescent="0.15">
      <c r="A115" s="30" t="s">
        <v>1900</v>
      </c>
      <c r="B115" t="s">
        <v>1901</v>
      </c>
    </row>
    <row r="116" spans="1:2" x14ac:dyDescent="0.15">
      <c r="A116" s="30" t="s">
        <v>1902</v>
      </c>
      <c r="B116" t="s">
        <v>1903</v>
      </c>
    </row>
    <row r="117" spans="1:2" x14ac:dyDescent="0.15">
      <c r="A117" s="30" t="s">
        <v>1904</v>
      </c>
      <c r="B117" t="s">
        <v>1905</v>
      </c>
    </row>
    <row r="118" spans="1:2" x14ac:dyDescent="0.15">
      <c r="A118" s="30" t="s">
        <v>1031</v>
      </c>
      <c r="B118" t="s">
        <v>1906</v>
      </c>
    </row>
    <row r="119" spans="1:2" x14ac:dyDescent="0.15">
      <c r="A119" s="30" t="s">
        <v>1032</v>
      </c>
      <c r="B119" t="s">
        <v>1907</v>
      </c>
    </row>
    <row r="120" spans="1:2" x14ac:dyDescent="0.15">
      <c r="A120" s="30" t="s">
        <v>1033</v>
      </c>
      <c r="B120" t="s">
        <v>1908</v>
      </c>
    </row>
    <row r="121" spans="1:2" x14ac:dyDescent="0.15">
      <c r="A121" s="30" t="s">
        <v>1034</v>
      </c>
      <c r="B121" t="s">
        <v>1909</v>
      </c>
    </row>
    <row r="122" spans="1:2" x14ac:dyDescent="0.15">
      <c r="A122" s="30" t="s">
        <v>1035</v>
      </c>
      <c r="B122" t="s">
        <v>1910</v>
      </c>
    </row>
    <row r="123" spans="1:2" x14ac:dyDescent="0.15">
      <c r="A123" s="30" t="s">
        <v>1036</v>
      </c>
      <c r="B123" t="s">
        <v>1911</v>
      </c>
    </row>
    <row r="124" spans="1:2" x14ac:dyDescent="0.15">
      <c r="A124" s="30" t="s">
        <v>1037</v>
      </c>
      <c r="B124" t="s">
        <v>1912</v>
      </c>
    </row>
    <row r="125" spans="1:2" x14ac:dyDescent="0.15">
      <c r="A125" s="30" t="s">
        <v>1038</v>
      </c>
      <c r="B125" t="s">
        <v>1913</v>
      </c>
    </row>
    <row r="126" spans="1:2" x14ac:dyDescent="0.15">
      <c r="A126" s="30" t="s">
        <v>1914</v>
      </c>
      <c r="B126" t="s">
        <v>1915</v>
      </c>
    </row>
    <row r="127" spans="1:2" x14ac:dyDescent="0.15">
      <c r="A127" s="30" t="s">
        <v>1916</v>
      </c>
      <c r="B127" t="s">
        <v>1917</v>
      </c>
    </row>
    <row r="128" spans="1:2" x14ac:dyDescent="0.15">
      <c r="A128" s="30" t="s">
        <v>1040</v>
      </c>
      <c r="B128" t="s">
        <v>499</v>
      </c>
    </row>
    <row r="129" spans="1:2" x14ac:dyDescent="0.15">
      <c r="A129" s="30" t="s">
        <v>1918</v>
      </c>
      <c r="B129" t="s">
        <v>1919</v>
      </c>
    </row>
    <row r="130" spans="1:2" x14ac:dyDescent="0.15">
      <c r="A130" s="30" t="s">
        <v>1041</v>
      </c>
      <c r="B130" t="s">
        <v>1920</v>
      </c>
    </row>
    <row r="131" spans="1:2" x14ac:dyDescent="0.15">
      <c r="A131" s="30" t="s">
        <v>1921</v>
      </c>
      <c r="B131" t="s">
        <v>1922</v>
      </c>
    </row>
    <row r="132" spans="1:2" x14ac:dyDescent="0.15">
      <c r="A132" s="30" t="s">
        <v>1923</v>
      </c>
      <c r="B132" t="s">
        <v>1924</v>
      </c>
    </row>
    <row r="133" spans="1:2" x14ac:dyDescent="0.15">
      <c r="A133" s="30" t="s">
        <v>1042</v>
      </c>
      <c r="B133" t="s">
        <v>1925</v>
      </c>
    </row>
    <row r="134" spans="1:2" x14ac:dyDescent="0.15">
      <c r="A134" s="30" t="s">
        <v>1043</v>
      </c>
      <c r="B134" t="s">
        <v>1926</v>
      </c>
    </row>
    <row r="135" spans="1:2" x14ac:dyDescent="0.15">
      <c r="A135" s="30" t="s">
        <v>1044</v>
      </c>
      <c r="B135" t="s">
        <v>1927</v>
      </c>
    </row>
    <row r="136" spans="1:2" x14ac:dyDescent="0.15">
      <c r="A136" s="30" t="s">
        <v>1045</v>
      </c>
      <c r="B136" t="s">
        <v>1928</v>
      </c>
    </row>
    <row r="137" spans="1:2" x14ac:dyDescent="0.15">
      <c r="A137" s="30" t="s">
        <v>1046</v>
      </c>
      <c r="B137" t="s">
        <v>1929</v>
      </c>
    </row>
    <row r="138" spans="1:2" x14ac:dyDescent="0.15">
      <c r="A138" s="30" t="s">
        <v>1047</v>
      </c>
      <c r="B138" t="s">
        <v>1930</v>
      </c>
    </row>
    <row r="139" spans="1:2" x14ac:dyDescent="0.15">
      <c r="A139" s="30" t="s">
        <v>2679</v>
      </c>
      <c r="B139" t="s">
        <v>1931</v>
      </c>
    </row>
    <row r="140" spans="1:2" x14ac:dyDescent="0.15">
      <c r="A140" s="30" t="s">
        <v>1048</v>
      </c>
      <c r="B140" t="s">
        <v>1932</v>
      </c>
    </row>
    <row r="141" spans="1:2" x14ac:dyDescent="0.15">
      <c r="A141" s="30" t="s">
        <v>1049</v>
      </c>
      <c r="B141" t="s">
        <v>1933</v>
      </c>
    </row>
    <row r="142" spans="1:2" x14ac:dyDescent="0.15">
      <c r="A142" s="30" t="s">
        <v>1934</v>
      </c>
      <c r="B142" t="s">
        <v>1935</v>
      </c>
    </row>
    <row r="143" spans="1:2" x14ac:dyDescent="0.15">
      <c r="A143" s="30" t="s">
        <v>1050</v>
      </c>
      <c r="B143" t="s">
        <v>1936</v>
      </c>
    </row>
    <row r="144" spans="1:2" x14ac:dyDescent="0.15">
      <c r="A144" s="30" t="s">
        <v>1051</v>
      </c>
      <c r="B144" t="s">
        <v>1937</v>
      </c>
    </row>
    <row r="145" spans="1:2" x14ac:dyDescent="0.15">
      <c r="A145" s="30" t="s">
        <v>1052</v>
      </c>
      <c r="B145" t="s">
        <v>1938</v>
      </c>
    </row>
    <row r="146" spans="1:2" x14ac:dyDescent="0.15">
      <c r="A146" s="30" t="s">
        <v>1053</v>
      </c>
      <c r="B146" t="s">
        <v>1939</v>
      </c>
    </row>
    <row r="147" spans="1:2" x14ac:dyDescent="0.15">
      <c r="A147" s="30" t="s">
        <v>2683</v>
      </c>
      <c r="B147" t="s">
        <v>1940</v>
      </c>
    </row>
    <row r="148" spans="1:2" x14ac:dyDescent="0.15">
      <c r="A148" s="30" t="s">
        <v>1054</v>
      </c>
      <c r="B148" t="s">
        <v>1941</v>
      </c>
    </row>
    <row r="149" spans="1:2" x14ac:dyDescent="0.15">
      <c r="A149" s="30" t="s">
        <v>1942</v>
      </c>
      <c r="B149" t="s">
        <v>1943</v>
      </c>
    </row>
    <row r="150" spans="1:2" x14ac:dyDescent="0.15">
      <c r="A150" s="30" t="s">
        <v>1055</v>
      </c>
      <c r="B150" t="s">
        <v>1944</v>
      </c>
    </row>
    <row r="151" spans="1:2" x14ac:dyDescent="0.15">
      <c r="A151" s="30" t="s">
        <v>1056</v>
      </c>
      <c r="B151" t="s">
        <v>1945</v>
      </c>
    </row>
    <row r="152" spans="1:2" x14ac:dyDescent="0.15">
      <c r="A152" s="30" t="s">
        <v>1057</v>
      </c>
      <c r="B152" t="s">
        <v>1946</v>
      </c>
    </row>
    <row r="153" spans="1:2" x14ac:dyDescent="0.15">
      <c r="A153" s="30" t="s">
        <v>1058</v>
      </c>
      <c r="B153" t="s">
        <v>1947</v>
      </c>
    </row>
    <row r="154" spans="1:2" x14ac:dyDescent="0.15">
      <c r="A154" s="30" t="s">
        <v>1059</v>
      </c>
      <c r="B154" t="s">
        <v>1948</v>
      </c>
    </row>
    <row r="155" spans="1:2" x14ac:dyDescent="0.15">
      <c r="A155" s="30" t="s">
        <v>1949</v>
      </c>
      <c r="B155" t="s">
        <v>1950</v>
      </c>
    </row>
    <row r="156" spans="1:2" x14ac:dyDescent="0.15">
      <c r="A156" s="30" t="s">
        <v>1060</v>
      </c>
      <c r="B156" t="s">
        <v>1951</v>
      </c>
    </row>
    <row r="157" spans="1:2" x14ac:dyDescent="0.15">
      <c r="A157" s="30" t="s">
        <v>1061</v>
      </c>
      <c r="B157" t="s">
        <v>1952</v>
      </c>
    </row>
    <row r="158" spans="1:2" x14ac:dyDescent="0.15">
      <c r="A158" s="30" t="s">
        <v>1953</v>
      </c>
      <c r="B158" t="s">
        <v>1954</v>
      </c>
    </row>
    <row r="159" spans="1:2" x14ac:dyDescent="0.15">
      <c r="A159" s="30" t="s">
        <v>1062</v>
      </c>
      <c r="B159" t="s">
        <v>1955</v>
      </c>
    </row>
    <row r="160" spans="1:2" x14ac:dyDescent="0.15">
      <c r="A160" s="30" t="s">
        <v>1063</v>
      </c>
      <c r="B160" t="s">
        <v>1956</v>
      </c>
    </row>
    <row r="161" spans="1:2" x14ac:dyDescent="0.15">
      <c r="A161" s="30" t="s">
        <v>1064</v>
      </c>
      <c r="B161" t="s">
        <v>1957</v>
      </c>
    </row>
    <row r="162" spans="1:2" x14ac:dyDescent="0.15">
      <c r="A162" s="30" t="s">
        <v>1958</v>
      </c>
      <c r="B162" t="s">
        <v>1959</v>
      </c>
    </row>
    <row r="163" spans="1:2" x14ac:dyDescent="0.15">
      <c r="A163" s="30" t="s">
        <v>1065</v>
      </c>
      <c r="B163" t="s">
        <v>1960</v>
      </c>
    </row>
    <row r="164" spans="1:2" x14ac:dyDescent="0.15">
      <c r="A164" s="30" t="s">
        <v>1961</v>
      </c>
      <c r="B164" t="s">
        <v>1962</v>
      </c>
    </row>
    <row r="165" spans="1:2" x14ac:dyDescent="0.15">
      <c r="A165" s="30" t="s">
        <v>1963</v>
      </c>
      <c r="B165" t="s">
        <v>1964</v>
      </c>
    </row>
    <row r="166" spans="1:2" x14ac:dyDescent="0.15">
      <c r="A166" s="30" t="s">
        <v>1066</v>
      </c>
      <c r="B166" t="s">
        <v>1965</v>
      </c>
    </row>
    <row r="167" spans="1:2" x14ac:dyDescent="0.15">
      <c r="A167" s="30" t="s">
        <v>1067</v>
      </c>
      <c r="B167" t="s">
        <v>1966</v>
      </c>
    </row>
    <row r="168" spans="1:2" x14ac:dyDescent="0.15">
      <c r="A168" s="30" t="s">
        <v>1068</v>
      </c>
      <c r="B168" t="s">
        <v>1967</v>
      </c>
    </row>
    <row r="169" spans="1:2" x14ac:dyDescent="0.15">
      <c r="A169" s="30" t="s">
        <v>1968</v>
      </c>
      <c r="B169" t="s">
        <v>1969</v>
      </c>
    </row>
    <row r="170" spans="1:2" x14ac:dyDescent="0.15">
      <c r="A170" s="30" t="s">
        <v>1970</v>
      </c>
      <c r="B170" t="s">
        <v>1971</v>
      </c>
    </row>
    <row r="171" spans="1:2" x14ac:dyDescent="0.15">
      <c r="A171" s="30" t="s">
        <v>1972</v>
      </c>
      <c r="B171" t="s">
        <v>1973</v>
      </c>
    </row>
    <row r="172" spans="1:2" x14ac:dyDescent="0.15">
      <c r="A172" s="30" t="s">
        <v>1069</v>
      </c>
      <c r="B172" t="s">
        <v>542</v>
      </c>
    </row>
    <row r="173" spans="1:2" x14ac:dyDescent="0.15">
      <c r="A173" s="30" t="s">
        <v>1070</v>
      </c>
      <c r="B173" t="s">
        <v>1974</v>
      </c>
    </row>
    <row r="174" spans="1:2" x14ac:dyDescent="0.15">
      <c r="A174" s="30" t="s">
        <v>1975</v>
      </c>
      <c r="B174" t="s">
        <v>1976</v>
      </c>
    </row>
    <row r="175" spans="1:2" x14ac:dyDescent="0.15">
      <c r="A175" s="30" t="s">
        <v>1977</v>
      </c>
      <c r="B175" t="s">
        <v>1978</v>
      </c>
    </row>
    <row r="176" spans="1:2" x14ac:dyDescent="0.15">
      <c r="A176" s="30" t="s">
        <v>1071</v>
      </c>
      <c r="B176" t="s">
        <v>1979</v>
      </c>
    </row>
    <row r="177" spans="1:2" x14ac:dyDescent="0.15">
      <c r="A177" s="30" t="s">
        <v>1072</v>
      </c>
      <c r="B177" t="s">
        <v>1980</v>
      </c>
    </row>
    <row r="178" spans="1:2" x14ac:dyDescent="0.15">
      <c r="A178" s="30" t="s">
        <v>1073</v>
      </c>
      <c r="B178" t="s">
        <v>1981</v>
      </c>
    </row>
    <row r="179" spans="1:2" x14ac:dyDescent="0.15">
      <c r="A179" s="30" t="s">
        <v>1074</v>
      </c>
      <c r="B179" t="s">
        <v>1982</v>
      </c>
    </row>
    <row r="180" spans="1:2" x14ac:dyDescent="0.15">
      <c r="A180" s="30" t="s">
        <v>1983</v>
      </c>
      <c r="B180" t="s">
        <v>1984</v>
      </c>
    </row>
    <row r="181" spans="1:2" x14ac:dyDescent="0.15">
      <c r="A181" s="30" t="s">
        <v>1075</v>
      </c>
      <c r="B181" t="s">
        <v>1985</v>
      </c>
    </row>
    <row r="182" spans="1:2" x14ac:dyDescent="0.15">
      <c r="A182" s="30" t="s">
        <v>1986</v>
      </c>
      <c r="B182" t="s">
        <v>557</v>
      </c>
    </row>
    <row r="183" spans="1:2" x14ac:dyDescent="0.15">
      <c r="A183" s="30" t="s">
        <v>1987</v>
      </c>
      <c r="B183" t="s">
        <v>1988</v>
      </c>
    </row>
    <row r="184" spans="1:2" x14ac:dyDescent="0.15">
      <c r="A184" s="30" t="s">
        <v>2677</v>
      </c>
      <c r="B184" t="s">
        <v>1989</v>
      </c>
    </row>
    <row r="185" spans="1:2" x14ac:dyDescent="0.15">
      <c r="A185" s="30" t="s">
        <v>1076</v>
      </c>
      <c r="B185" t="s">
        <v>1990</v>
      </c>
    </row>
    <row r="186" spans="1:2" x14ac:dyDescent="0.15">
      <c r="A186" s="30" t="s">
        <v>1991</v>
      </c>
      <c r="B186" t="s">
        <v>1992</v>
      </c>
    </row>
    <row r="187" spans="1:2" x14ac:dyDescent="0.15">
      <c r="A187" s="30" t="s">
        <v>1993</v>
      </c>
      <c r="B187" t="s">
        <v>1994</v>
      </c>
    </row>
    <row r="188" spans="1:2" x14ac:dyDescent="0.15">
      <c r="A188" s="30" t="s">
        <v>1039</v>
      </c>
      <c r="B188" t="s">
        <v>1995</v>
      </c>
    </row>
    <row r="189" spans="1:2" x14ac:dyDescent="0.15">
      <c r="A189" s="30" t="s">
        <v>1077</v>
      </c>
      <c r="B189" t="s">
        <v>1996</v>
      </c>
    </row>
    <row r="190" spans="1:2" x14ac:dyDescent="0.15">
      <c r="A190" s="30" t="s">
        <v>1078</v>
      </c>
      <c r="B190" t="s">
        <v>1997</v>
      </c>
    </row>
    <row r="191" spans="1:2" x14ac:dyDescent="0.15">
      <c r="A191" s="30" t="s">
        <v>1079</v>
      </c>
      <c r="B191" t="s">
        <v>1998</v>
      </c>
    </row>
    <row r="192" spans="1:2" x14ac:dyDescent="0.15">
      <c r="A192" s="30" t="s">
        <v>1080</v>
      </c>
      <c r="B192" t="s">
        <v>1999</v>
      </c>
    </row>
    <row r="193" spans="1:2" x14ac:dyDescent="0.15">
      <c r="A193" s="30" t="s">
        <v>1081</v>
      </c>
      <c r="B193" t="s">
        <v>2000</v>
      </c>
    </row>
    <row r="194" spans="1:2" x14ac:dyDescent="0.15">
      <c r="A194" s="30" t="s">
        <v>1082</v>
      </c>
      <c r="B194" t="s">
        <v>2001</v>
      </c>
    </row>
    <row r="195" spans="1:2" x14ac:dyDescent="0.15">
      <c r="A195" s="30" t="s">
        <v>2002</v>
      </c>
      <c r="B195" t="s">
        <v>2003</v>
      </c>
    </row>
    <row r="196" spans="1:2" x14ac:dyDescent="0.15">
      <c r="A196" s="30" t="s">
        <v>1083</v>
      </c>
      <c r="B196" t="s">
        <v>2004</v>
      </c>
    </row>
    <row r="197" spans="1:2" x14ac:dyDescent="0.15">
      <c r="A197" s="30" t="s">
        <v>1084</v>
      </c>
      <c r="B197" t="s">
        <v>2005</v>
      </c>
    </row>
    <row r="198" spans="1:2" x14ac:dyDescent="0.15">
      <c r="A198" s="30" t="s">
        <v>1085</v>
      </c>
      <c r="B198" t="s">
        <v>2006</v>
      </c>
    </row>
    <row r="199" spans="1:2" x14ac:dyDescent="0.15">
      <c r="A199" s="30" t="s">
        <v>1086</v>
      </c>
      <c r="B199" t="s">
        <v>2007</v>
      </c>
    </row>
    <row r="200" spans="1:2" x14ac:dyDescent="0.15">
      <c r="A200" s="30" t="s">
        <v>2008</v>
      </c>
      <c r="B200" t="s">
        <v>2009</v>
      </c>
    </row>
    <row r="201" spans="1:2" x14ac:dyDescent="0.15">
      <c r="A201" s="30" t="s">
        <v>1087</v>
      </c>
      <c r="B201" t="s">
        <v>2010</v>
      </c>
    </row>
    <row r="202" spans="1:2" x14ac:dyDescent="0.15">
      <c r="A202" s="30" t="s">
        <v>2011</v>
      </c>
      <c r="B202" t="s">
        <v>2012</v>
      </c>
    </row>
    <row r="203" spans="1:2" x14ac:dyDescent="0.15">
      <c r="A203" s="30" t="s">
        <v>1088</v>
      </c>
      <c r="B203" t="s">
        <v>2013</v>
      </c>
    </row>
    <row r="204" spans="1:2" x14ac:dyDescent="0.15">
      <c r="A204" s="30" t="s">
        <v>1089</v>
      </c>
      <c r="B204" t="s">
        <v>2014</v>
      </c>
    </row>
    <row r="205" spans="1:2" x14ac:dyDescent="0.15">
      <c r="A205" s="30" t="s">
        <v>1090</v>
      </c>
      <c r="B205" t="s">
        <v>2015</v>
      </c>
    </row>
    <row r="206" spans="1:2" x14ac:dyDescent="0.15">
      <c r="A206" s="30" t="s">
        <v>1091</v>
      </c>
      <c r="B206" t="s">
        <v>2016</v>
      </c>
    </row>
    <row r="207" spans="1:2" x14ac:dyDescent="0.15">
      <c r="A207" s="30" t="s">
        <v>2017</v>
      </c>
      <c r="B207" t="s">
        <v>2018</v>
      </c>
    </row>
    <row r="208" spans="1:2" x14ac:dyDescent="0.15">
      <c r="A208" s="30" t="s">
        <v>1092</v>
      </c>
      <c r="B208" t="s">
        <v>2019</v>
      </c>
    </row>
    <row r="209" spans="1:2" x14ac:dyDescent="0.15">
      <c r="A209" s="30" t="s">
        <v>2020</v>
      </c>
      <c r="B209" t="s">
        <v>2021</v>
      </c>
    </row>
    <row r="210" spans="1:2" x14ac:dyDescent="0.15">
      <c r="A210" s="30" t="s">
        <v>2022</v>
      </c>
      <c r="B210" t="s">
        <v>2023</v>
      </c>
    </row>
    <row r="211" spans="1:2" x14ac:dyDescent="0.15">
      <c r="A211" s="30" t="s">
        <v>1095</v>
      </c>
      <c r="B211" t="s">
        <v>2024</v>
      </c>
    </row>
    <row r="212" spans="1:2" x14ac:dyDescent="0.15">
      <c r="A212" s="30" t="s">
        <v>1096</v>
      </c>
      <c r="B212" t="s">
        <v>2025</v>
      </c>
    </row>
    <row r="213" spans="1:2" x14ac:dyDescent="0.15">
      <c r="A213" s="30" t="s">
        <v>2026</v>
      </c>
      <c r="B213" t="s">
        <v>2027</v>
      </c>
    </row>
    <row r="214" spans="1:2" x14ac:dyDescent="0.15">
      <c r="A214" s="30" t="s">
        <v>2028</v>
      </c>
      <c r="B214" t="s">
        <v>2029</v>
      </c>
    </row>
    <row r="215" spans="1:2" x14ac:dyDescent="0.15">
      <c r="A215" s="30" t="s">
        <v>1094</v>
      </c>
      <c r="B215" t="s">
        <v>2030</v>
      </c>
    </row>
    <row r="216" spans="1:2" x14ac:dyDescent="0.15">
      <c r="A216" s="30" t="s">
        <v>2031</v>
      </c>
      <c r="B216" t="s">
        <v>2032</v>
      </c>
    </row>
    <row r="217" spans="1:2" x14ac:dyDescent="0.15">
      <c r="A217" s="30" t="s">
        <v>2033</v>
      </c>
      <c r="B217" t="s">
        <v>2034</v>
      </c>
    </row>
    <row r="218" spans="1:2" x14ac:dyDescent="0.15">
      <c r="A218" s="30" t="s">
        <v>1097</v>
      </c>
      <c r="B218" t="s">
        <v>563</v>
      </c>
    </row>
    <row r="219" spans="1:2" x14ac:dyDescent="0.15">
      <c r="A219" s="30" t="s">
        <v>1098</v>
      </c>
      <c r="B219" t="s">
        <v>2035</v>
      </c>
    </row>
    <row r="220" spans="1:2" x14ac:dyDescent="0.15">
      <c r="A220" s="30" t="s">
        <v>2036</v>
      </c>
      <c r="B220" t="s">
        <v>2037</v>
      </c>
    </row>
    <row r="221" spans="1:2" x14ac:dyDescent="0.15">
      <c r="A221" s="30" t="s">
        <v>1099</v>
      </c>
      <c r="B221" t="s">
        <v>2038</v>
      </c>
    </row>
    <row r="222" spans="1:2" x14ac:dyDescent="0.15">
      <c r="A222" s="30" t="s">
        <v>1100</v>
      </c>
      <c r="B222" t="s">
        <v>2039</v>
      </c>
    </row>
    <row r="223" spans="1:2" x14ac:dyDescent="0.15">
      <c r="A223" s="30" t="s">
        <v>1101</v>
      </c>
      <c r="B223" t="s">
        <v>2040</v>
      </c>
    </row>
    <row r="224" spans="1:2" x14ac:dyDescent="0.15">
      <c r="A224" s="30" t="s">
        <v>1102</v>
      </c>
      <c r="B224" t="s">
        <v>2041</v>
      </c>
    </row>
    <row r="225" spans="1:2" x14ac:dyDescent="0.15">
      <c r="A225" s="30" t="s">
        <v>1103</v>
      </c>
      <c r="B225" t="s">
        <v>2042</v>
      </c>
    </row>
    <row r="226" spans="1:2" x14ac:dyDescent="0.15">
      <c r="A226" s="30" t="s">
        <v>1104</v>
      </c>
      <c r="B226" t="s">
        <v>2043</v>
      </c>
    </row>
    <row r="227" spans="1:2" x14ac:dyDescent="0.15">
      <c r="A227" s="30" t="s">
        <v>1105</v>
      </c>
      <c r="B227" t="s">
        <v>2044</v>
      </c>
    </row>
    <row r="228" spans="1:2" x14ac:dyDescent="0.15">
      <c r="A228" s="30" t="s">
        <v>2045</v>
      </c>
      <c r="B228" t="s">
        <v>2046</v>
      </c>
    </row>
    <row r="229" spans="1:2" x14ac:dyDescent="0.15">
      <c r="A229" s="30" t="s">
        <v>1106</v>
      </c>
      <c r="B229" t="s">
        <v>2047</v>
      </c>
    </row>
    <row r="230" spans="1:2" x14ac:dyDescent="0.15">
      <c r="A230" s="30" t="s">
        <v>2048</v>
      </c>
      <c r="B230" t="s">
        <v>2049</v>
      </c>
    </row>
    <row r="231" spans="1:2" x14ac:dyDescent="0.15">
      <c r="A231" s="30" t="s">
        <v>1107</v>
      </c>
      <c r="B231" t="s">
        <v>2050</v>
      </c>
    </row>
    <row r="232" spans="1:2" x14ac:dyDescent="0.15">
      <c r="A232" s="30" t="s">
        <v>2681</v>
      </c>
      <c r="B232" t="s">
        <v>2051</v>
      </c>
    </row>
    <row r="233" spans="1:2" x14ac:dyDescent="0.15">
      <c r="A233" s="30" t="s">
        <v>2052</v>
      </c>
      <c r="B233" t="s">
        <v>2053</v>
      </c>
    </row>
    <row r="234" spans="1:2" x14ac:dyDescent="0.15">
      <c r="A234" s="30" t="s">
        <v>2054</v>
      </c>
      <c r="B234" t="s">
        <v>2055</v>
      </c>
    </row>
    <row r="235" spans="1:2" x14ac:dyDescent="0.15">
      <c r="A235" s="30" t="s">
        <v>2056</v>
      </c>
      <c r="B235" t="s">
        <v>2057</v>
      </c>
    </row>
    <row r="236" spans="1:2" x14ac:dyDescent="0.15">
      <c r="A236" s="30" t="s">
        <v>1108</v>
      </c>
      <c r="B236" t="s">
        <v>2058</v>
      </c>
    </row>
    <row r="237" spans="1:2" x14ac:dyDescent="0.15">
      <c r="A237" s="30" t="s">
        <v>1001</v>
      </c>
      <c r="B237" t="s">
        <v>2059</v>
      </c>
    </row>
    <row r="238" spans="1:2" x14ac:dyDescent="0.15">
      <c r="A238" s="30" t="s">
        <v>2060</v>
      </c>
      <c r="B238" t="s">
        <v>2061</v>
      </c>
    </row>
    <row r="239" spans="1:2" x14ac:dyDescent="0.15">
      <c r="A239" s="30" t="s">
        <v>1479</v>
      </c>
      <c r="B239" t="s">
        <v>1478</v>
      </c>
    </row>
    <row r="240" spans="1:2" x14ac:dyDescent="0.15">
      <c r="A240" s="30" t="s">
        <v>1475</v>
      </c>
      <c r="B240" t="s">
        <v>1474</v>
      </c>
    </row>
    <row r="241" spans="1:2" x14ac:dyDescent="0.15">
      <c r="A241" s="30" t="s">
        <v>1109</v>
      </c>
      <c r="B241" t="s">
        <v>2062</v>
      </c>
    </row>
    <row r="242" spans="1:2" x14ac:dyDescent="0.15">
      <c r="A242" s="30" t="s">
        <v>1110</v>
      </c>
      <c r="B242" t="s">
        <v>2063</v>
      </c>
    </row>
    <row r="243" spans="1:2" x14ac:dyDescent="0.15">
      <c r="A243" s="30" t="s">
        <v>1111</v>
      </c>
      <c r="B243" t="s">
        <v>2064</v>
      </c>
    </row>
    <row r="244" spans="1:2" x14ac:dyDescent="0.15">
      <c r="A244" s="30" t="s">
        <v>1112</v>
      </c>
      <c r="B244" t="s">
        <v>2065</v>
      </c>
    </row>
    <row r="245" spans="1:2" x14ac:dyDescent="0.15">
      <c r="A245" s="30" t="s">
        <v>1113</v>
      </c>
      <c r="B245" t="s">
        <v>2066</v>
      </c>
    </row>
    <row r="246" spans="1:2" x14ac:dyDescent="0.15">
      <c r="A246" s="30" t="s">
        <v>1114</v>
      </c>
      <c r="B246" t="s">
        <v>2067</v>
      </c>
    </row>
    <row r="247" spans="1:2" x14ac:dyDescent="0.15">
      <c r="A247" s="30" t="s">
        <v>1115</v>
      </c>
      <c r="B247" t="s">
        <v>2068</v>
      </c>
    </row>
    <row r="248" spans="1:2" x14ac:dyDescent="0.15">
      <c r="A248" s="30" t="s">
        <v>1116</v>
      </c>
      <c r="B248" t="s">
        <v>2069</v>
      </c>
    </row>
    <row r="249" spans="1:2" x14ac:dyDescent="0.15">
      <c r="A249" s="30" t="s">
        <v>1117</v>
      </c>
      <c r="B249" t="s">
        <v>2070</v>
      </c>
    </row>
    <row r="250" spans="1:2" x14ac:dyDescent="0.15">
      <c r="A250" s="30" t="s">
        <v>1118</v>
      </c>
      <c r="B250" t="s">
        <v>2071</v>
      </c>
    </row>
    <row r="251" spans="1:2" x14ac:dyDescent="0.15">
      <c r="A251" s="30" t="s">
        <v>2072</v>
      </c>
      <c r="B251" t="s">
        <v>2073</v>
      </c>
    </row>
    <row r="252" spans="1:2" x14ac:dyDescent="0.15">
      <c r="A252" s="30" t="s">
        <v>1119</v>
      </c>
      <c r="B252" t="s">
        <v>2074</v>
      </c>
    </row>
    <row r="253" spans="1:2" x14ac:dyDescent="0.15">
      <c r="A253" s="30" t="s">
        <v>1120</v>
      </c>
      <c r="B253" t="s">
        <v>2075</v>
      </c>
    </row>
    <row r="254" spans="1:2" x14ac:dyDescent="0.15">
      <c r="A254" s="30" t="s">
        <v>1121</v>
      </c>
      <c r="B254" t="s">
        <v>2076</v>
      </c>
    </row>
    <row r="255" spans="1:2" x14ac:dyDescent="0.15">
      <c r="A255" s="30" t="s">
        <v>2077</v>
      </c>
      <c r="B255" t="s">
        <v>2078</v>
      </c>
    </row>
    <row r="256" spans="1:2" x14ac:dyDescent="0.15">
      <c r="A256" s="30" t="s">
        <v>2079</v>
      </c>
      <c r="B256" t="s">
        <v>2080</v>
      </c>
    </row>
    <row r="257" spans="1:2" x14ac:dyDescent="0.15">
      <c r="A257" s="30" t="s">
        <v>1122</v>
      </c>
      <c r="B257" t="s">
        <v>2081</v>
      </c>
    </row>
    <row r="258" spans="1:2" x14ac:dyDescent="0.15">
      <c r="A258" s="30" t="s">
        <v>1123</v>
      </c>
      <c r="B258" t="s">
        <v>2082</v>
      </c>
    </row>
    <row r="259" spans="1:2" x14ac:dyDescent="0.15">
      <c r="A259" s="30" t="s">
        <v>2083</v>
      </c>
      <c r="B259" t="s">
        <v>2084</v>
      </c>
    </row>
    <row r="260" spans="1:2" x14ac:dyDescent="0.15">
      <c r="A260" s="30" t="s">
        <v>1124</v>
      </c>
      <c r="B260" t="s">
        <v>2085</v>
      </c>
    </row>
    <row r="261" spans="1:2" x14ac:dyDescent="0.15">
      <c r="A261" s="30" t="s">
        <v>1125</v>
      </c>
      <c r="B261" t="s">
        <v>2086</v>
      </c>
    </row>
    <row r="262" spans="1:2" x14ac:dyDescent="0.15">
      <c r="A262" s="30" t="s">
        <v>2087</v>
      </c>
      <c r="B262" t="s">
        <v>2088</v>
      </c>
    </row>
    <row r="263" spans="1:2" x14ac:dyDescent="0.15">
      <c r="A263" s="30" t="s">
        <v>1126</v>
      </c>
      <c r="B263" t="s">
        <v>2089</v>
      </c>
    </row>
    <row r="264" spans="1:2" x14ac:dyDescent="0.15">
      <c r="A264" s="30" t="s">
        <v>1127</v>
      </c>
      <c r="B264" t="s">
        <v>2090</v>
      </c>
    </row>
    <row r="265" spans="1:2" x14ac:dyDescent="0.15">
      <c r="A265" s="30" t="s">
        <v>1128</v>
      </c>
      <c r="B265" t="s">
        <v>2091</v>
      </c>
    </row>
    <row r="266" spans="1:2" x14ac:dyDescent="0.15">
      <c r="A266" s="30" t="s">
        <v>2092</v>
      </c>
      <c r="B266" t="s">
        <v>2093</v>
      </c>
    </row>
    <row r="267" spans="1:2" x14ac:dyDescent="0.15">
      <c r="A267" s="30" t="s">
        <v>1129</v>
      </c>
      <c r="B267" t="s">
        <v>2094</v>
      </c>
    </row>
    <row r="268" spans="1:2" x14ac:dyDescent="0.15">
      <c r="A268" s="30" t="s">
        <v>2095</v>
      </c>
      <c r="B268" t="s">
        <v>2096</v>
      </c>
    </row>
    <row r="269" spans="1:2" x14ac:dyDescent="0.15">
      <c r="A269" s="30" t="s">
        <v>2097</v>
      </c>
      <c r="B269" t="s">
        <v>2098</v>
      </c>
    </row>
    <row r="270" spans="1:2" x14ac:dyDescent="0.15">
      <c r="A270" s="30" t="s">
        <v>2099</v>
      </c>
      <c r="B270" t="s">
        <v>2100</v>
      </c>
    </row>
    <row r="271" spans="1:2" x14ac:dyDescent="0.15">
      <c r="A271" s="30" t="s">
        <v>1130</v>
      </c>
      <c r="B271" t="s">
        <v>2101</v>
      </c>
    </row>
    <row r="272" spans="1:2" x14ac:dyDescent="0.15">
      <c r="A272" s="30" t="s">
        <v>2102</v>
      </c>
      <c r="B272" t="s">
        <v>2103</v>
      </c>
    </row>
    <row r="273" spans="1:2" x14ac:dyDescent="0.15">
      <c r="A273" s="30" t="s">
        <v>1131</v>
      </c>
      <c r="B273" t="s">
        <v>2104</v>
      </c>
    </row>
    <row r="274" spans="1:2" x14ac:dyDescent="0.15">
      <c r="A274" s="30" t="s">
        <v>1132</v>
      </c>
      <c r="B274" t="s">
        <v>2105</v>
      </c>
    </row>
    <row r="275" spans="1:2" x14ac:dyDescent="0.15">
      <c r="A275" s="30" t="s">
        <v>2106</v>
      </c>
      <c r="B275" t="s">
        <v>2107</v>
      </c>
    </row>
    <row r="276" spans="1:2" x14ac:dyDescent="0.15">
      <c r="A276" s="30" t="s">
        <v>2108</v>
      </c>
      <c r="B276" t="s">
        <v>2109</v>
      </c>
    </row>
    <row r="277" spans="1:2" x14ac:dyDescent="0.15">
      <c r="A277" s="30" t="s">
        <v>1133</v>
      </c>
      <c r="B277" t="s">
        <v>2110</v>
      </c>
    </row>
    <row r="278" spans="1:2" x14ac:dyDescent="0.15">
      <c r="A278" s="30" t="s">
        <v>2111</v>
      </c>
      <c r="B278" t="s">
        <v>2112</v>
      </c>
    </row>
    <row r="279" spans="1:2" x14ac:dyDescent="0.15">
      <c r="A279" s="30" t="s">
        <v>2113</v>
      </c>
      <c r="B279" t="s">
        <v>2114</v>
      </c>
    </row>
    <row r="280" spans="1:2" x14ac:dyDescent="0.15">
      <c r="A280" s="30" t="s">
        <v>1093</v>
      </c>
      <c r="B280" t="s">
        <v>2115</v>
      </c>
    </row>
    <row r="281" spans="1:2" x14ac:dyDescent="0.15">
      <c r="A281" s="30" t="s">
        <v>1134</v>
      </c>
      <c r="B281" t="s">
        <v>2116</v>
      </c>
    </row>
    <row r="282" spans="1:2" x14ac:dyDescent="0.15">
      <c r="A282" s="30" t="s">
        <v>2117</v>
      </c>
      <c r="B282" t="s">
        <v>2118</v>
      </c>
    </row>
    <row r="283" spans="1:2" x14ac:dyDescent="0.15">
      <c r="A283" s="30" t="s">
        <v>1135</v>
      </c>
      <c r="B283" t="s">
        <v>2119</v>
      </c>
    </row>
    <row r="284" spans="1:2" x14ac:dyDescent="0.15">
      <c r="A284" s="30" t="s">
        <v>1136</v>
      </c>
      <c r="B284" t="s">
        <v>2120</v>
      </c>
    </row>
    <row r="285" spans="1:2" x14ac:dyDescent="0.15">
      <c r="A285" s="30" t="s">
        <v>1137</v>
      </c>
      <c r="B285" t="s">
        <v>2121</v>
      </c>
    </row>
    <row r="286" spans="1:2" x14ac:dyDescent="0.15">
      <c r="A286" s="30" t="s">
        <v>2122</v>
      </c>
      <c r="B286" t="s">
        <v>2123</v>
      </c>
    </row>
    <row r="287" spans="1:2" x14ac:dyDescent="0.15">
      <c r="A287" s="30" t="s">
        <v>1138</v>
      </c>
      <c r="B287" t="s">
        <v>2124</v>
      </c>
    </row>
    <row r="288" spans="1:2" x14ac:dyDescent="0.15">
      <c r="A288" s="30" t="s">
        <v>1139</v>
      </c>
      <c r="B288" t="s">
        <v>2125</v>
      </c>
    </row>
    <row r="289" spans="1:2" x14ac:dyDescent="0.15">
      <c r="A289" s="30" t="s">
        <v>2126</v>
      </c>
      <c r="B289" t="s">
        <v>2127</v>
      </c>
    </row>
    <row r="290" spans="1:2" x14ac:dyDescent="0.15">
      <c r="A290" s="30" t="s">
        <v>1140</v>
      </c>
      <c r="B290" t="s">
        <v>2128</v>
      </c>
    </row>
    <row r="291" spans="1:2" x14ac:dyDescent="0.15">
      <c r="A291" s="30" t="s">
        <v>1141</v>
      </c>
      <c r="B291" t="s">
        <v>2129</v>
      </c>
    </row>
    <row r="292" spans="1:2" x14ac:dyDescent="0.15">
      <c r="A292" s="30" t="s">
        <v>1142</v>
      </c>
      <c r="B292" t="s">
        <v>2130</v>
      </c>
    </row>
    <row r="293" spans="1:2" x14ac:dyDescent="0.15">
      <c r="A293" s="30" t="s">
        <v>2131</v>
      </c>
      <c r="B293" t="s">
        <v>2132</v>
      </c>
    </row>
    <row r="294" spans="1:2" x14ac:dyDescent="0.15">
      <c r="A294" s="30" t="s">
        <v>1143</v>
      </c>
      <c r="B294" t="s">
        <v>2133</v>
      </c>
    </row>
    <row r="295" spans="1:2" x14ac:dyDescent="0.15">
      <c r="A295" s="30" t="s">
        <v>1144</v>
      </c>
      <c r="B295" t="s">
        <v>2134</v>
      </c>
    </row>
    <row r="296" spans="1:2" x14ac:dyDescent="0.15">
      <c r="A296" s="30" t="s">
        <v>1145</v>
      </c>
      <c r="B296" t="s">
        <v>2135</v>
      </c>
    </row>
    <row r="297" spans="1:2" x14ac:dyDescent="0.15">
      <c r="A297" s="30" t="s">
        <v>2136</v>
      </c>
      <c r="B297" t="s">
        <v>2137</v>
      </c>
    </row>
    <row r="298" spans="1:2" x14ac:dyDescent="0.15">
      <c r="A298" s="30" t="s">
        <v>1146</v>
      </c>
      <c r="B298" t="s">
        <v>614</v>
      </c>
    </row>
    <row r="299" spans="1:2" x14ac:dyDescent="0.15">
      <c r="A299" s="30" t="s">
        <v>2138</v>
      </c>
      <c r="B299" t="s">
        <v>2139</v>
      </c>
    </row>
    <row r="300" spans="1:2" x14ac:dyDescent="0.15">
      <c r="A300" s="30" t="s">
        <v>1147</v>
      </c>
      <c r="B300" t="s">
        <v>2140</v>
      </c>
    </row>
    <row r="301" spans="1:2" x14ac:dyDescent="0.15">
      <c r="A301" s="30" t="s">
        <v>2141</v>
      </c>
      <c r="B301" t="s">
        <v>2142</v>
      </c>
    </row>
    <row r="302" spans="1:2" x14ac:dyDescent="0.15">
      <c r="A302" s="30" t="s">
        <v>1148</v>
      </c>
      <c r="B302" t="s">
        <v>2143</v>
      </c>
    </row>
    <row r="303" spans="1:2" x14ac:dyDescent="0.15">
      <c r="A303" s="30" t="s">
        <v>1149</v>
      </c>
      <c r="B303" t="s">
        <v>2144</v>
      </c>
    </row>
    <row r="304" spans="1:2" x14ac:dyDescent="0.15">
      <c r="A304" s="30" t="s">
        <v>1150</v>
      </c>
      <c r="B304" t="s">
        <v>2145</v>
      </c>
    </row>
    <row r="305" spans="1:2" x14ac:dyDescent="0.15">
      <c r="A305" s="30" t="s">
        <v>1151</v>
      </c>
      <c r="B305" t="s">
        <v>2146</v>
      </c>
    </row>
    <row r="306" spans="1:2" x14ac:dyDescent="0.15">
      <c r="A306" s="30" t="s">
        <v>2147</v>
      </c>
      <c r="B306" t="s">
        <v>2148</v>
      </c>
    </row>
    <row r="307" spans="1:2" x14ac:dyDescent="0.15">
      <c r="A307" s="30" t="s">
        <v>1152</v>
      </c>
      <c r="B307" t="s">
        <v>2149</v>
      </c>
    </row>
    <row r="308" spans="1:2" x14ac:dyDescent="0.15">
      <c r="A308" s="30" t="s">
        <v>2150</v>
      </c>
      <c r="B308" t="s">
        <v>2151</v>
      </c>
    </row>
    <row r="309" spans="1:2" x14ac:dyDescent="0.15">
      <c r="A309" s="30" t="s">
        <v>2152</v>
      </c>
      <c r="B309" t="s">
        <v>2153</v>
      </c>
    </row>
    <row r="310" spans="1:2" x14ac:dyDescent="0.15">
      <c r="A310" s="30" t="s">
        <v>2154</v>
      </c>
      <c r="B310" t="s">
        <v>2155</v>
      </c>
    </row>
    <row r="311" spans="1:2" x14ac:dyDescent="0.15">
      <c r="A311" s="30" t="s">
        <v>1153</v>
      </c>
      <c r="B311" t="s">
        <v>2156</v>
      </c>
    </row>
    <row r="312" spans="1:2" x14ac:dyDescent="0.15">
      <c r="A312" s="30" t="s">
        <v>1154</v>
      </c>
      <c r="B312" t="s">
        <v>2157</v>
      </c>
    </row>
    <row r="313" spans="1:2" x14ac:dyDescent="0.15">
      <c r="A313" s="30" t="s">
        <v>1155</v>
      </c>
      <c r="B313" t="s">
        <v>2158</v>
      </c>
    </row>
    <row r="314" spans="1:2" x14ac:dyDescent="0.15">
      <c r="A314" s="30" t="s">
        <v>1156</v>
      </c>
      <c r="B314" t="s">
        <v>2159</v>
      </c>
    </row>
    <row r="315" spans="1:2" x14ac:dyDescent="0.15">
      <c r="A315" s="30" t="s">
        <v>1449</v>
      </c>
      <c r="B315" t="s">
        <v>2160</v>
      </c>
    </row>
    <row r="316" spans="1:2" x14ac:dyDescent="0.15">
      <c r="A316" s="30" t="s">
        <v>1157</v>
      </c>
      <c r="B316" t="s">
        <v>2161</v>
      </c>
    </row>
    <row r="317" spans="1:2" x14ac:dyDescent="0.15">
      <c r="A317" s="30" t="s">
        <v>1158</v>
      </c>
      <c r="B317" t="s">
        <v>2162</v>
      </c>
    </row>
    <row r="318" spans="1:2" x14ac:dyDescent="0.15">
      <c r="A318" s="30" t="s">
        <v>1159</v>
      </c>
      <c r="B318" t="s">
        <v>2163</v>
      </c>
    </row>
    <row r="319" spans="1:2" x14ac:dyDescent="0.15">
      <c r="A319" s="30" t="s">
        <v>1160</v>
      </c>
      <c r="B319" t="s">
        <v>2164</v>
      </c>
    </row>
    <row r="320" spans="1:2" x14ac:dyDescent="0.15">
      <c r="A320" s="30" t="s">
        <v>2165</v>
      </c>
      <c r="B320" t="s">
        <v>2166</v>
      </c>
    </row>
    <row r="321" spans="1:2" x14ac:dyDescent="0.15">
      <c r="A321" s="30" t="s">
        <v>2167</v>
      </c>
      <c r="B321" t="s">
        <v>2168</v>
      </c>
    </row>
    <row r="322" spans="1:2" x14ac:dyDescent="0.15">
      <c r="A322" s="30" t="s">
        <v>1161</v>
      </c>
      <c r="B322" t="s">
        <v>2169</v>
      </c>
    </row>
    <row r="323" spans="1:2" x14ac:dyDescent="0.15">
      <c r="A323" s="30" t="s">
        <v>2170</v>
      </c>
      <c r="B323" t="s">
        <v>2171</v>
      </c>
    </row>
    <row r="324" spans="1:2" x14ac:dyDescent="0.15">
      <c r="A324" s="30" t="s">
        <v>1162</v>
      </c>
      <c r="B324" t="s">
        <v>2172</v>
      </c>
    </row>
    <row r="325" spans="1:2" x14ac:dyDescent="0.15">
      <c r="A325" s="30" t="s">
        <v>2173</v>
      </c>
      <c r="B325" t="s">
        <v>2174</v>
      </c>
    </row>
    <row r="326" spans="1:2" x14ac:dyDescent="0.15">
      <c r="A326" s="30" t="s">
        <v>2175</v>
      </c>
      <c r="B326" t="s">
        <v>2176</v>
      </c>
    </row>
    <row r="327" spans="1:2" x14ac:dyDescent="0.15">
      <c r="A327" s="30" t="s">
        <v>1163</v>
      </c>
      <c r="B327" t="s">
        <v>2177</v>
      </c>
    </row>
    <row r="328" spans="1:2" x14ac:dyDescent="0.15">
      <c r="A328" s="30" t="s">
        <v>2686</v>
      </c>
      <c r="B328" t="s">
        <v>1480</v>
      </c>
    </row>
    <row r="329" spans="1:2" x14ac:dyDescent="0.15">
      <c r="A329" s="30" t="s">
        <v>1164</v>
      </c>
      <c r="B329" t="s">
        <v>2178</v>
      </c>
    </row>
    <row r="330" spans="1:2" x14ac:dyDescent="0.15">
      <c r="A330" s="30" t="s">
        <v>2179</v>
      </c>
      <c r="B330" t="s">
        <v>2180</v>
      </c>
    </row>
    <row r="331" spans="1:2" x14ac:dyDescent="0.15">
      <c r="A331" s="30" t="s">
        <v>1165</v>
      </c>
      <c r="B331" t="s">
        <v>2181</v>
      </c>
    </row>
    <row r="332" spans="1:2" x14ac:dyDescent="0.15">
      <c r="A332" s="30" t="s">
        <v>1166</v>
      </c>
      <c r="B332" t="s">
        <v>2182</v>
      </c>
    </row>
    <row r="333" spans="1:2" x14ac:dyDescent="0.15">
      <c r="A333" s="30" t="s">
        <v>2183</v>
      </c>
      <c r="B333" t="s">
        <v>2184</v>
      </c>
    </row>
    <row r="334" spans="1:2" x14ac:dyDescent="0.15">
      <c r="A334" s="30" t="s">
        <v>1167</v>
      </c>
      <c r="B334" t="s">
        <v>2185</v>
      </c>
    </row>
    <row r="335" spans="1:2" x14ac:dyDescent="0.15">
      <c r="A335" s="30" t="s">
        <v>2186</v>
      </c>
      <c r="B335" t="s">
        <v>2187</v>
      </c>
    </row>
    <row r="336" spans="1:2" x14ac:dyDescent="0.15">
      <c r="A336" s="30" t="s">
        <v>2188</v>
      </c>
      <c r="B336" t="s">
        <v>2189</v>
      </c>
    </row>
    <row r="337" spans="1:2" x14ac:dyDescent="0.15">
      <c r="A337" s="30" t="s">
        <v>1168</v>
      </c>
      <c r="B337" t="s">
        <v>2190</v>
      </c>
    </row>
    <row r="338" spans="1:2" x14ac:dyDescent="0.15">
      <c r="A338" s="30" t="s">
        <v>1169</v>
      </c>
      <c r="B338" t="s">
        <v>2191</v>
      </c>
    </row>
    <row r="339" spans="1:2" x14ac:dyDescent="0.15">
      <c r="A339" s="30" t="s">
        <v>1170</v>
      </c>
      <c r="B339" t="s">
        <v>2192</v>
      </c>
    </row>
    <row r="340" spans="1:2" x14ac:dyDescent="0.15">
      <c r="A340" s="30" t="s">
        <v>2193</v>
      </c>
      <c r="B340" t="s">
        <v>2194</v>
      </c>
    </row>
    <row r="341" spans="1:2" x14ac:dyDescent="0.15">
      <c r="A341" s="30" t="s">
        <v>2195</v>
      </c>
      <c r="B341" t="s">
        <v>2196</v>
      </c>
    </row>
    <row r="342" spans="1:2" x14ac:dyDescent="0.15">
      <c r="A342" s="30" t="s">
        <v>2197</v>
      </c>
      <c r="B342" t="s">
        <v>2198</v>
      </c>
    </row>
    <row r="343" spans="1:2" x14ac:dyDescent="0.15">
      <c r="A343" s="30" t="s">
        <v>1171</v>
      </c>
      <c r="B343" t="s">
        <v>2199</v>
      </c>
    </row>
    <row r="344" spans="1:2" x14ac:dyDescent="0.15">
      <c r="A344" s="30" t="s">
        <v>1172</v>
      </c>
      <c r="B344" t="s">
        <v>2200</v>
      </c>
    </row>
    <row r="345" spans="1:2" x14ac:dyDescent="0.15">
      <c r="A345" s="30" t="s">
        <v>1173</v>
      </c>
      <c r="B345" t="s">
        <v>2201</v>
      </c>
    </row>
    <row r="346" spans="1:2" x14ac:dyDescent="0.15">
      <c r="A346" s="30" t="s">
        <v>2202</v>
      </c>
      <c r="B346" t="s">
        <v>2203</v>
      </c>
    </row>
    <row r="347" spans="1:2" x14ac:dyDescent="0.15">
      <c r="A347" s="30" t="s">
        <v>2204</v>
      </c>
      <c r="B347" t="s">
        <v>2205</v>
      </c>
    </row>
    <row r="348" spans="1:2" x14ac:dyDescent="0.15">
      <c r="A348" s="30" t="s">
        <v>2206</v>
      </c>
      <c r="B348" t="s">
        <v>2207</v>
      </c>
    </row>
    <row r="349" spans="1:2" x14ac:dyDescent="0.15">
      <c r="A349" s="30" t="s">
        <v>1174</v>
      </c>
      <c r="B349" t="s">
        <v>2208</v>
      </c>
    </row>
    <row r="350" spans="1:2" x14ac:dyDescent="0.15">
      <c r="A350" s="30" t="s">
        <v>2209</v>
      </c>
      <c r="B350" t="s">
        <v>2210</v>
      </c>
    </row>
    <row r="351" spans="1:2" x14ac:dyDescent="0.15">
      <c r="A351" s="30" t="s">
        <v>2211</v>
      </c>
      <c r="B351" t="s">
        <v>2212</v>
      </c>
    </row>
    <row r="352" spans="1:2" x14ac:dyDescent="0.15">
      <c r="A352" s="30" t="s">
        <v>2213</v>
      </c>
      <c r="B352" t="s">
        <v>2214</v>
      </c>
    </row>
    <row r="353" spans="1:2" x14ac:dyDescent="0.15">
      <c r="A353" s="30" t="s">
        <v>2215</v>
      </c>
      <c r="B353" t="s">
        <v>2216</v>
      </c>
    </row>
    <row r="354" spans="1:2" x14ac:dyDescent="0.15">
      <c r="A354" s="30" t="s">
        <v>1175</v>
      </c>
      <c r="B354" t="s">
        <v>2217</v>
      </c>
    </row>
    <row r="355" spans="1:2" x14ac:dyDescent="0.15">
      <c r="A355" s="30" t="s">
        <v>2218</v>
      </c>
      <c r="B355" t="s">
        <v>2219</v>
      </c>
    </row>
    <row r="356" spans="1:2" x14ac:dyDescent="0.15">
      <c r="A356" s="30" t="s">
        <v>2220</v>
      </c>
      <c r="B356" t="s">
        <v>2221</v>
      </c>
    </row>
    <row r="357" spans="1:2" x14ac:dyDescent="0.15">
      <c r="A357" s="30" t="s">
        <v>1176</v>
      </c>
      <c r="B357" t="s">
        <v>2222</v>
      </c>
    </row>
    <row r="358" spans="1:2" x14ac:dyDescent="0.15">
      <c r="A358" s="30" t="s">
        <v>1177</v>
      </c>
      <c r="B358" t="s">
        <v>2223</v>
      </c>
    </row>
    <row r="359" spans="1:2" x14ac:dyDescent="0.15">
      <c r="A359" s="30" t="s">
        <v>1178</v>
      </c>
      <c r="B359" t="s">
        <v>2224</v>
      </c>
    </row>
    <row r="360" spans="1:2" x14ac:dyDescent="0.15">
      <c r="A360" s="30" t="s">
        <v>1179</v>
      </c>
      <c r="B360" t="s">
        <v>2225</v>
      </c>
    </row>
    <row r="361" spans="1:2" x14ac:dyDescent="0.15">
      <c r="A361" s="30" t="s">
        <v>1180</v>
      </c>
      <c r="B361" t="s">
        <v>2226</v>
      </c>
    </row>
    <row r="362" spans="1:2" x14ac:dyDescent="0.15">
      <c r="A362" s="30" t="s">
        <v>2227</v>
      </c>
      <c r="B362" t="s">
        <v>2228</v>
      </c>
    </row>
    <row r="363" spans="1:2" x14ac:dyDescent="0.15">
      <c r="A363" s="30" t="s">
        <v>1181</v>
      </c>
      <c r="B363" t="s">
        <v>2229</v>
      </c>
    </row>
    <row r="364" spans="1:2" x14ac:dyDescent="0.15">
      <c r="A364" s="30" t="s">
        <v>2230</v>
      </c>
      <c r="B364" t="s">
        <v>2231</v>
      </c>
    </row>
    <row r="365" spans="1:2" x14ac:dyDescent="0.15">
      <c r="A365" s="30" t="s">
        <v>1182</v>
      </c>
      <c r="B365" t="s">
        <v>2232</v>
      </c>
    </row>
    <row r="366" spans="1:2" x14ac:dyDescent="0.15">
      <c r="A366" s="30" t="s">
        <v>1183</v>
      </c>
      <c r="B366" t="s">
        <v>2233</v>
      </c>
    </row>
    <row r="367" spans="1:2" x14ac:dyDescent="0.15">
      <c r="A367" s="30" t="s">
        <v>2234</v>
      </c>
      <c r="B367" t="s">
        <v>2235</v>
      </c>
    </row>
    <row r="368" spans="1:2" x14ac:dyDescent="0.15">
      <c r="A368" s="30" t="s">
        <v>1184</v>
      </c>
      <c r="B368" t="s">
        <v>2236</v>
      </c>
    </row>
    <row r="369" spans="1:2" x14ac:dyDescent="0.15">
      <c r="A369" s="30" t="s">
        <v>2237</v>
      </c>
      <c r="B369" t="s">
        <v>2238</v>
      </c>
    </row>
    <row r="370" spans="1:2" x14ac:dyDescent="0.15">
      <c r="A370" s="30" t="s">
        <v>2239</v>
      </c>
      <c r="B370" t="s">
        <v>2240</v>
      </c>
    </row>
    <row r="371" spans="1:2" x14ac:dyDescent="0.15">
      <c r="A371" s="30" t="s">
        <v>2680</v>
      </c>
      <c r="B371" t="s">
        <v>2241</v>
      </c>
    </row>
    <row r="372" spans="1:2" x14ac:dyDescent="0.15">
      <c r="A372" s="30" t="s">
        <v>1185</v>
      </c>
      <c r="B372" t="s">
        <v>2242</v>
      </c>
    </row>
    <row r="373" spans="1:2" x14ac:dyDescent="0.15">
      <c r="A373" s="30" t="s">
        <v>1186</v>
      </c>
      <c r="B373" t="s">
        <v>2243</v>
      </c>
    </row>
    <row r="374" spans="1:2" x14ac:dyDescent="0.15">
      <c r="A374" s="30" t="s">
        <v>1187</v>
      </c>
      <c r="B374" t="s">
        <v>2244</v>
      </c>
    </row>
    <row r="375" spans="1:2" x14ac:dyDescent="0.15">
      <c r="A375" s="30" t="s">
        <v>1188</v>
      </c>
      <c r="B375" t="s">
        <v>2245</v>
      </c>
    </row>
    <row r="376" spans="1:2" x14ac:dyDescent="0.15">
      <c r="A376" s="30" t="s">
        <v>1189</v>
      </c>
      <c r="B376" t="s">
        <v>2246</v>
      </c>
    </row>
    <row r="377" spans="1:2" x14ac:dyDescent="0.15">
      <c r="A377" s="30" t="s">
        <v>2247</v>
      </c>
      <c r="B377" t="s">
        <v>2248</v>
      </c>
    </row>
    <row r="378" spans="1:2" x14ac:dyDescent="0.15">
      <c r="A378" s="30" t="s">
        <v>1190</v>
      </c>
      <c r="B378" t="s">
        <v>2249</v>
      </c>
    </row>
    <row r="379" spans="1:2" x14ac:dyDescent="0.15">
      <c r="A379" s="30" t="s">
        <v>2250</v>
      </c>
      <c r="B379" t="s">
        <v>2251</v>
      </c>
    </row>
    <row r="380" spans="1:2" x14ac:dyDescent="0.15">
      <c r="A380" s="30" t="s">
        <v>2252</v>
      </c>
      <c r="B380" t="s">
        <v>2253</v>
      </c>
    </row>
    <row r="381" spans="1:2" x14ac:dyDescent="0.15">
      <c r="A381" s="30" t="s">
        <v>1191</v>
      </c>
      <c r="B381" t="s">
        <v>2254</v>
      </c>
    </row>
    <row r="382" spans="1:2" x14ac:dyDescent="0.15">
      <c r="A382" s="30" t="s">
        <v>1192</v>
      </c>
      <c r="B382" t="s">
        <v>2255</v>
      </c>
    </row>
    <row r="383" spans="1:2" x14ac:dyDescent="0.15">
      <c r="A383" s="30" t="s">
        <v>1193</v>
      </c>
      <c r="B383" t="s">
        <v>2256</v>
      </c>
    </row>
    <row r="384" spans="1:2" x14ac:dyDescent="0.15">
      <c r="A384" s="30" t="s">
        <v>1194</v>
      </c>
      <c r="B384" t="s">
        <v>2257</v>
      </c>
    </row>
    <row r="385" spans="1:2" x14ac:dyDescent="0.15">
      <c r="A385" s="30" t="s">
        <v>1195</v>
      </c>
      <c r="B385" t="s">
        <v>2258</v>
      </c>
    </row>
    <row r="386" spans="1:2" x14ac:dyDescent="0.15">
      <c r="A386" s="30" t="s">
        <v>2259</v>
      </c>
      <c r="B386" t="s">
        <v>2260</v>
      </c>
    </row>
    <row r="387" spans="1:2" x14ac:dyDescent="0.15">
      <c r="A387" s="30" t="s">
        <v>2261</v>
      </c>
      <c r="B387" t="s">
        <v>2262</v>
      </c>
    </row>
    <row r="388" spans="1:2" x14ac:dyDescent="0.15">
      <c r="A388" s="30" t="s">
        <v>1196</v>
      </c>
      <c r="B388" t="s">
        <v>2263</v>
      </c>
    </row>
    <row r="389" spans="1:2" x14ac:dyDescent="0.15">
      <c r="A389" s="30" t="s">
        <v>1197</v>
      </c>
      <c r="B389" t="s">
        <v>2264</v>
      </c>
    </row>
    <row r="390" spans="1:2" x14ac:dyDescent="0.15">
      <c r="A390" s="30" t="s">
        <v>1198</v>
      </c>
      <c r="B390" t="s">
        <v>2265</v>
      </c>
    </row>
    <row r="391" spans="1:2" x14ac:dyDescent="0.15">
      <c r="A391" s="30" t="s">
        <v>1199</v>
      </c>
      <c r="B391" t="s">
        <v>2266</v>
      </c>
    </row>
    <row r="392" spans="1:2" x14ac:dyDescent="0.15">
      <c r="A392" s="30" t="s">
        <v>1200</v>
      </c>
      <c r="B392" t="s">
        <v>2267</v>
      </c>
    </row>
    <row r="393" spans="1:2" x14ac:dyDescent="0.15">
      <c r="A393" s="30" t="s">
        <v>1201</v>
      </c>
      <c r="B393" t="s">
        <v>2268</v>
      </c>
    </row>
    <row r="394" spans="1:2" x14ac:dyDescent="0.15">
      <c r="A394" s="30" t="s">
        <v>2269</v>
      </c>
      <c r="B394" t="s">
        <v>2270</v>
      </c>
    </row>
    <row r="395" spans="1:2" x14ac:dyDescent="0.15">
      <c r="A395" s="30" t="s">
        <v>2271</v>
      </c>
      <c r="B395" t="s">
        <v>2272</v>
      </c>
    </row>
    <row r="396" spans="1:2" x14ac:dyDescent="0.15">
      <c r="A396" s="30" t="s">
        <v>2273</v>
      </c>
      <c r="B396" t="s">
        <v>2274</v>
      </c>
    </row>
    <row r="397" spans="1:2" x14ac:dyDescent="0.15">
      <c r="A397" s="30" t="s">
        <v>1202</v>
      </c>
      <c r="B397" t="s">
        <v>2275</v>
      </c>
    </row>
    <row r="398" spans="1:2" x14ac:dyDescent="0.15">
      <c r="A398" s="30" t="s">
        <v>2276</v>
      </c>
      <c r="B398" t="s">
        <v>2277</v>
      </c>
    </row>
    <row r="399" spans="1:2" x14ac:dyDescent="0.15">
      <c r="A399" s="30" t="s">
        <v>2278</v>
      </c>
      <c r="B399" t="s">
        <v>2279</v>
      </c>
    </row>
    <row r="400" spans="1:2" x14ac:dyDescent="0.15">
      <c r="A400" s="30" t="s">
        <v>2280</v>
      </c>
      <c r="B400" t="s">
        <v>2281</v>
      </c>
    </row>
    <row r="401" spans="1:2" x14ac:dyDescent="0.15">
      <c r="A401" s="30" t="s">
        <v>1203</v>
      </c>
      <c r="B401" t="s">
        <v>2282</v>
      </c>
    </row>
    <row r="402" spans="1:2" x14ac:dyDescent="0.15">
      <c r="A402" s="30" t="s">
        <v>1477</v>
      </c>
      <c r="B402" t="s">
        <v>1476</v>
      </c>
    </row>
    <row r="403" spans="1:2" x14ac:dyDescent="0.15">
      <c r="A403" s="30" t="s">
        <v>1204</v>
      </c>
      <c r="B403" t="s">
        <v>2283</v>
      </c>
    </row>
    <row r="404" spans="1:2" x14ac:dyDescent="0.15">
      <c r="A404" s="30" t="s">
        <v>1205</v>
      </c>
      <c r="B404" t="s">
        <v>2284</v>
      </c>
    </row>
    <row r="405" spans="1:2" x14ac:dyDescent="0.15">
      <c r="A405" s="30" t="s">
        <v>1206</v>
      </c>
      <c r="B405" t="s">
        <v>2285</v>
      </c>
    </row>
    <row r="406" spans="1:2" x14ac:dyDescent="0.15">
      <c r="A406" s="30" t="s">
        <v>1207</v>
      </c>
      <c r="B406" t="s">
        <v>2286</v>
      </c>
    </row>
    <row r="407" spans="1:2" x14ac:dyDescent="0.15">
      <c r="A407" s="30" t="s">
        <v>1208</v>
      </c>
      <c r="B407" t="s">
        <v>2287</v>
      </c>
    </row>
    <row r="408" spans="1:2" x14ac:dyDescent="0.15">
      <c r="A408" s="30" t="s">
        <v>2288</v>
      </c>
      <c r="B408" t="s">
        <v>2289</v>
      </c>
    </row>
    <row r="409" spans="1:2" x14ac:dyDescent="0.15">
      <c r="A409" s="30" t="s">
        <v>2290</v>
      </c>
      <c r="B409" t="s">
        <v>2291</v>
      </c>
    </row>
    <row r="410" spans="1:2" x14ac:dyDescent="0.15">
      <c r="A410" s="30" t="s">
        <v>1209</v>
      </c>
      <c r="B410" t="s">
        <v>2292</v>
      </c>
    </row>
    <row r="411" spans="1:2" x14ac:dyDescent="0.15">
      <c r="A411" s="30" t="s">
        <v>2293</v>
      </c>
      <c r="B411" t="s">
        <v>2294</v>
      </c>
    </row>
    <row r="412" spans="1:2" x14ac:dyDescent="0.15">
      <c r="A412" s="30" t="s">
        <v>2295</v>
      </c>
      <c r="B412" t="s">
        <v>2296</v>
      </c>
    </row>
    <row r="413" spans="1:2" x14ac:dyDescent="0.15">
      <c r="A413" s="30" t="s">
        <v>1210</v>
      </c>
      <c r="B413" t="s">
        <v>2297</v>
      </c>
    </row>
    <row r="414" spans="1:2" x14ac:dyDescent="0.15">
      <c r="A414" s="30" t="s">
        <v>1211</v>
      </c>
      <c r="B414" t="s">
        <v>2298</v>
      </c>
    </row>
    <row r="415" spans="1:2" x14ac:dyDescent="0.15">
      <c r="A415" s="30" t="s">
        <v>2299</v>
      </c>
      <c r="B415" t="s">
        <v>2300</v>
      </c>
    </row>
    <row r="416" spans="1:2" x14ac:dyDescent="0.15">
      <c r="A416" s="30" t="s">
        <v>2301</v>
      </c>
      <c r="B416" t="s">
        <v>2302</v>
      </c>
    </row>
    <row r="417" spans="1:2" x14ac:dyDescent="0.15">
      <c r="A417" s="30" t="s">
        <v>1212</v>
      </c>
      <c r="B417" t="s">
        <v>2303</v>
      </c>
    </row>
    <row r="418" spans="1:2" x14ac:dyDescent="0.15">
      <c r="A418" s="30" t="s">
        <v>1213</v>
      </c>
      <c r="B418" t="s">
        <v>2304</v>
      </c>
    </row>
    <row r="419" spans="1:2" x14ac:dyDescent="0.15">
      <c r="A419" s="30" t="s">
        <v>2305</v>
      </c>
      <c r="B419" t="s">
        <v>2306</v>
      </c>
    </row>
    <row r="420" spans="1:2" x14ac:dyDescent="0.15">
      <c r="A420" s="30" t="s">
        <v>2307</v>
      </c>
      <c r="B420" t="s">
        <v>2308</v>
      </c>
    </row>
    <row r="421" spans="1:2" x14ac:dyDescent="0.15">
      <c r="A421" s="30" t="s">
        <v>1214</v>
      </c>
      <c r="B421" t="s">
        <v>2309</v>
      </c>
    </row>
    <row r="422" spans="1:2" x14ac:dyDescent="0.15">
      <c r="A422" s="30" t="s">
        <v>1215</v>
      </c>
      <c r="B422" t="s">
        <v>2310</v>
      </c>
    </row>
    <row r="423" spans="1:2" x14ac:dyDescent="0.15">
      <c r="A423" s="30" t="s">
        <v>1216</v>
      </c>
      <c r="B423" t="s">
        <v>2311</v>
      </c>
    </row>
    <row r="424" spans="1:2" x14ac:dyDescent="0.15">
      <c r="A424" s="30" t="s">
        <v>1217</v>
      </c>
      <c r="B424" t="s">
        <v>2312</v>
      </c>
    </row>
    <row r="425" spans="1:2" x14ac:dyDescent="0.15">
      <c r="A425" s="30" t="s">
        <v>1459</v>
      </c>
      <c r="B425" t="s">
        <v>2313</v>
      </c>
    </row>
    <row r="426" spans="1:2" x14ac:dyDescent="0.15">
      <c r="A426" s="30" t="s">
        <v>1218</v>
      </c>
      <c r="B426" t="s">
        <v>2314</v>
      </c>
    </row>
    <row r="427" spans="1:2" x14ac:dyDescent="0.15">
      <c r="A427" s="30" t="s">
        <v>2315</v>
      </c>
      <c r="B427" t="s">
        <v>2316</v>
      </c>
    </row>
    <row r="428" spans="1:2" x14ac:dyDescent="0.15">
      <c r="A428" s="30" t="s">
        <v>2317</v>
      </c>
      <c r="B428" t="s">
        <v>2318</v>
      </c>
    </row>
    <row r="429" spans="1:2" x14ac:dyDescent="0.15">
      <c r="A429" s="30" t="s">
        <v>1219</v>
      </c>
      <c r="B429" t="s">
        <v>2319</v>
      </c>
    </row>
    <row r="430" spans="1:2" x14ac:dyDescent="0.15">
      <c r="A430" s="30" t="s">
        <v>1220</v>
      </c>
      <c r="B430" t="s">
        <v>2320</v>
      </c>
    </row>
    <row r="431" spans="1:2" x14ac:dyDescent="0.15">
      <c r="A431" s="30" t="s">
        <v>1221</v>
      </c>
      <c r="B431" t="s">
        <v>2321</v>
      </c>
    </row>
    <row r="432" spans="1:2" x14ac:dyDescent="0.15">
      <c r="A432" s="30" t="s">
        <v>1222</v>
      </c>
      <c r="B432" t="s">
        <v>2322</v>
      </c>
    </row>
    <row r="433" spans="1:2" x14ac:dyDescent="0.15">
      <c r="A433" s="30" t="s">
        <v>2323</v>
      </c>
      <c r="B433" t="s">
        <v>2324</v>
      </c>
    </row>
    <row r="434" spans="1:2" x14ac:dyDescent="0.15">
      <c r="A434" s="30" t="s">
        <v>1223</v>
      </c>
      <c r="B434" t="s">
        <v>2325</v>
      </c>
    </row>
    <row r="435" spans="1:2" x14ac:dyDescent="0.15">
      <c r="A435" s="30" t="s">
        <v>2326</v>
      </c>
      <c r="B435" t="s">
        <v>2327</v>
      </c>
    </row>
    <row r="436" spans="1:2" x14ac:dyDescent="0.15">
      <c r="A436" s="30" t="s">
        <v>1224</v>
      </c>
      <c r="B436" t="s">
        <v>2328</v>
      </c>
    </row>
    <row r="437" spans="1:2" x14ac:dyDescent="0.15">
      <c r="A437" s="30" t="s">
        <v>2329</v>
      </c>
      <c r="B437" t="s">
        <v>2330</v>
      </c>
    </row>
    <row r="438" spans="1:2" x14ac:dyDescent="0.15">
      <c r="A438" s="30" t="s">
        <v>1225</v>
      </c>
      <c r="B438" t="s">
        <v>2331</v>
      </c>
    </row>
    <row r="439" spans="1:2" x14ac:dyDescent="0.15">
      <c r="A439" s="30" t="s">
        <v>1226</v>
      </c>
      <c r="B439" t="s">
        <v>2332</v>
      </c>
    </row>
    <row r="440" spans="1:2" x14ac:dyDescent="0.15">
      <c r="A440" s="30" t="s">
        <v>1227</v>
      </c>
      <c r="B440" t="s">
        <v>2333</v>
      </c>
    </row>
    <row r="441" spans="1:2" x14ac:dyDescent="0.15">
      <c r="A441" s="30" t="s">
        <v>1228</v>
      </c>
      <c r="B441" t="s">
        <v>2334</v>
      </c>
    </row>
    <row r="442" spans="1:2" x14ac:dyDescent="0.15">
      <c r="A442" s="30" t="s">
        <v>2335</v>
      </c>
      <c r="B442" t="s">
        <v>2336</v>
      </c>
    </row>
    <row r="443" spans="1:2" x14ac:dyDescent="0.15">
      <c r="A443" s="30" t="s">
        <v>1229</v>
      </c>
      <c r="B443" t="s">
        <v>2337</v>
      </c>
    </row>
    <row r="444" spans="1:2" x14ac:dyDescent="0.15">
      <c r="A444" s="30" t="s">
        <v>1230</v>
      </c>
      <c r="B444" t="s">
        <v>704</v>
      </c>
    </row>
    <row r="445" spans="1:2" x14ac:dyDescent="0.15">
      <c r="A445" s="30" t="s">
        <v>2338</v>
      </c>
      <c r="B445" t="s">
        <v>2339</v>
      </c>
    </row>
    <row r="446" spans="1:2" x14ac:dyDescent="0.15">
      <c r="A446" s="30" t="s">
        <v>2340</v>
      </c>
      <c r="B446" t="s">
        <v>2341</v>
      </c>
    </row>
    <row r="447" spans="1:2" x14ac:dyDescent="0.15">
      <c r="A447" s="30" t="s">
        <v>2342</v>
      </c>
      <c r="B447" t="s">
        <v>2343</v>
      </c>
    </row>
    <row r="448" spans="1:2" x14ac:dyDescent="0.15">
      <c r="A448" s="30" t="s">
        <v>1231</v>
      </c>
      <c r="B448" t="s">
        <v>2344</v>
      </c>
    </row>
    <row r="449" spans="1:2" x14ac:dyDescent="0.15">
      <c r="A449" s="30" t="s">
        <v>1232</v>
      </c>
      <c r="B449" t="s">
        <v>2345</v>
      </c>
    </row>
    <row r="450" spans="1:2" x14ac:dyDescent="0.15">
      <c r="A450" s="30" t="s">
        <v>2346</v>
      </c>
      <c r="B450" t="s">
        <v>2347</v>
      </c>
    </row>
    <row r="451" spans="1:2" x14ac:dyDescent="0.15">
      <c r="A451" s="30" t="s">
        <v>1473</v>
      </c>
      <c r="B451" t="s">
        <v>1472</v>
      </c>
    </row>
    <row r="452" spans="1:2" x14ac:dyDescent="0.15">
      <c r="A452" s="30" t="s">
        <v>1233</v>
      </c>
      <c r="B452" t="s">
        <v>2348</v>
      </c>
    </row>
    <row r="453" spans="1:2" x14ac:dyDescent="0.15">
      <c r="A453" s="30" t="s">
        <v>1234</v>
      </c>
      <c r="B453" t="s">
        <v>2349</v>
      </c>
    </row>
    <row r="454" spans="1:2" x14ac:dyDescent="0.15">
      <c r="A454" s="30" t="s">
        <v>1235</v>
      </c>
      <c r="B454" t="s">
        <v>2350</v>
      </c>
    </row>
    <row r="455" spans="1:2" x14ac:dyDescent="0.15">
      <c r="A455" s="30" t="s">
        <v>1236</v>
      </c>
      <c r="B455" t="s">
        <v>2351</v>
      </c>
    </row>
    <row r="456" spans="1:2" x14ac:dyDescent="0.15">
      <c r="A456" s="30" t="s">
        <v>2352</v>
      </c>
      <c r="B456" t="s">
        <v>2353</v>
      </c>
    </row>
    <row r="457" spans="1:2" x14ac:dyDescent="0.15">
      <c r="A457" s="30" t="s">
        <v>2354</v>
      </c>
      <c r="B457" t="s">
        <v>2355</v>
      </c>
    </row>
    <row r="458" spans="1:2" x14ac:dyDescent="0.15">
      <c r="A458" s="30" t="s">
        <v>1237</v>
      </c>
      <c r="B458" t="s">
        <v>2356</v>
      </c>
    </row>
    <row r="459" spans="1:2" x14ac:dyDescent="0.15">
      <c r="A459" s="30" t="s">
        <v>2357</v>
      </c>
      <c r="B459" t="s">
        <v>2358</v>
      </c>
    </row>
    <row r="460" spans="1:2" x14ac:dyDescent="0.15">
      <c r="A460" s="30" t="s">
        <v>2359</v>
      </c>
      <c r="B460" t="s">
        <v>2360</v>
      </c>
    </row>
    <row r="461" spans="1:2" x14ac:dyDescent="0.15">
      <c r="A461" s="30" t="s">
        <v>2361</v>
      </c>
      <c r="B461" t="s">
        <v>2362</v>
      </c>
    </row>
    <row r="462" spans="1:2" x14ac:dyDescent="0.15">
      <c r="A462" s="30" t="s">
        <v>1238</v>
      </c>
      <c r="B462" t="s">
        <v>2363</v>
      </c>
    </row>
    <row r="463" spans="1:2" x14ac:dyDescent="0.15">
      <c r="A463" s="30" t="s">
        <v>2364</v>
      </c>
      <c r="B463" t="s">
        <v>2365</v>
      </c>
    </row>
    <row r="464" spans="1:2" x14ac:dyDescent="0.15">
      <c r="A464" s="30" t="s">
        <v>2366</v>
      </c>
      <c r="B464" t="s">
        <v>2367</v>
      </c>
    </row>
    <row r="465" spans="1:2" x14ac:dyDescent="0.15">
      <c r="A465" s="30" t="s">
        <v>1239</v>
      </c>
      <c r="B465" t="s">
        <v>2368</v>
      </c>
    </row>
    <row r="466" spans="1:2" x14ac:dyDescent="0.15">
      <c r="A466" s="30" t="s">
        <v>2369</v>
      </c>
      <c r="B466" t="s">
        <v>2370</v>
      </c>
    </row>
    <row r="467" spans="1:2" x14ac:dyDescent="0.15">
      <c r="A467" s="30" t="s">
        <v>1240</v>
      </c>
      <c r="B467" t="s">
        <v>2371</v>
      </c>
    </row>
    <row r="468" spans="1:2" x14ac:dyDescent="0.15">
      <c r="A468" s="30" t="s">
        <v>1241</v>
      </c>
      <c r="B468" t="s">
        <v>2372</v>
      </c>
    </row>
    <row r="469" spans="1:2" x14ac:dyDescent="0.15">
      <c r="A469" s="30" t="s">
        <v>1242</v>
      </c>
      <c r="B469" t="s">
        <v>2373</v>
      </c>
    </row>
    <row r="470" spans="1:2" x14ac:dyDescent="0.15">
      <c r="A470" s="30" t="s">
        <v>2374</v>
      </c>
      <c r="B470" t="s">
        <v>2375</v>
      </c>
    </row>
    <row r="471" spans="1:2" x14ac:dyDescent="0.15">
      <c r="A471" s="30" t="s">
        <v>1243</v>
      </c>
      <c r="B471" t="s">
        <v>2376</v>
      </c>
    </row>
    <row r="472" spans="1:2" x14ac:dyDescent="0.15">
      <c r="A472" s="30" t="s">
        <v>1244</v>
      </c>
      <c r="B472" t="s">
        <v>2377</v>
      </c>
    </row>
    <row r="473" spans="1:2" x14ac:dyDescent="0.15">
      <c r="A473" s="30" t="s">
        <v>1245</v>
      </c>
      <c r="B473" t="s">
        <v>2378</v>
      </c>
    </row>
    <row r="474" spans="1:2" x14ac:dyDescent="0.15">
      <c r="A474" s="30" t="s">
        <v>2379</v>
      </c>
      <c r="B474" t="s">
        <v>2380</v>
      </c>
    </row>
    <row r="475" spans="1:2" x14ac:dyDescent="0.15">
      <c r="A475" s="30" t="s">
        <v>1246</v>
      </c>
      <c r="B475" t="s">
        <v>2381</v>
      </c>
    </row>
    <row r="476" spans="1:2" x14ac:dyDescent="0.15">
      <c r="A476" s="30" t="s">
        <v>1247</v>
      </c>
      <c r="B476" t="s">
        <v>2382</v>
      </c>
    </row>
    <row r="477" spans="1:2" x14ac:dyDescent="0.15">
      <c r="A477" s="30" t="s">
        <v>1248</v>
      </c>
      <c r="B477" t="s">
        <v>2383</v>
      </c>
    </row>
    <row r="478" spans="1:2" x14ac:dyDescent="0.15">
      <c r="A478" s="30" t="s">
        <v>1249</v>
      </c>
      <c r="B478" t="s">
        <v>2384</v>
      </c>
    </row>
    <row r="479" spans="1:2" x14ac:dyDescent="0.15">
      <c r="A479" s="30" t="s">
        <v>2385</v>
      </c>
      <c r="B479" t="s">
        <v>2386</v>
      </c>
    </row>
    <row r="480" spans="1:2" x14ac:dyDescent="0.15">
      <c r="A480" s="30" t="s">
        <v>1250</v>
      </c>
      <c r="B480" t="s">
        <v>2387</v>
      </c>
    </row>
    <row r="481" spans="1:2" x14ac:dyDescent="0.15">
      <c r="A481" s="30" t="s">
        <v>1251</v>
      </c>
      <c r="B481" t="s">
        <v>2388</v>
      </c>
    </row>
    <row r="482" spans="1:2" x14ac:dyDescent="0.15">
      <c r="A482" s="30" t="s">
        <v>1252</v>
      </c>
      <c r="B482" t="s">
        <v>2389</v>
      </c>
    </row>
    <row r="483" spans="1:2" x14ac:dyDescent="0.15">
      <c r="A483" s="30" t="s">
        <v>1254</v>
      </c>
      <c r="B483" t="s">
        <v>2390</v>
      </c>
    </row>
    <row r="484" spans="1:2" x14ac:dyDescent="0.15">
      <c r="A484" s="30" t="s">
        <v>2391</v>
      </c>
      <c r="B484" t="s">
        <v>2392</v>
      </c>
    </row>
    <row r="485" spans="1:2" x14ac:dyDescent="0.15">
      <c r="A485" s="30" t="s">
        <v>2393</v>
      </c>
      <c r="B485" t="s">
        <v>2394</v>
      </c>
    </row>
    <row r="486" spans="1:2" x14ac:dyDescent="0.15">
      <c r="A486" s="30" t="s">
        <v>2395</v>
      </c>
      <c r="B486" t="s">
        <v>2396</v>
      </c>
    </row>
    <row r="487" spans="1:2" x14ac:dyDescent="0.15">
      <c r="A487" s="30" t="s">
        <v>1255</v>
      </c>
      <c r="B487" t="s">
        <v>2397</v>
      </c>
    </row>
    <row r="488" spans="1:2" x14ac:dyDescent="0.15">
      <c r="A488" s="30" t="s">
        <v>1256</v>
      </c>
      <c r="B488" t="s">
        <v>2398</v>
      </c>
    </row>
    <row r="489" spans="1:2" x14ac:dyDescent="0.15">
      <c r="A489" s="30" t="s">
        <v>2399</v>
      </c>
      <c r="B489" t="s">
        <v>2400</v>
      </c>
    </row>
    <row r="490" spans="1:2" x14ac:dyDescent="0.15">
      <c r="A490" s="30" t="s">
        <v>2401</v>
      </c>
      <c r="B490" t="s">
        <v>2402</v>
      </c>
    </row>
    <row r="491" spans="1:2" x14ac:dyDescent="0.15">
      <c r="A491" s="30" t="s">
        <v>2403</v>
      </c>
      <c r="B491" t="s">
        <v>2404</v>
      </c>
    </row>
    <row r="492" spans="1:2" x14ac:dyDescent="0.15">
      <c r="A492" s="30" t="s">
        <v>1257</v>
      </c>
      <c r="B492" t="s">
        <v>2405</v>
      </c>
    </row>
    <row r="493" spans="1:2" x14ac:dyDescent="0.15">
      <c r="A493" s="30" t="s">
        <v>2406</v>
      </c>
      <c r="B493" t="s">
        <v>2407</v>
      </c>
    </row>
    <row r="494" spans="1:2" x14ac:dyDescent="0.15">
      <c r="A494" s="30" t="s">
        <v>2408</v>
      </c>
      <c r="B494" t="s">
        <v>2409</v>
      </c>
    </row>
    <row r="495" spans="1:2" x14ac:dyDescent="0.15">
      <c r="A495" s="30" t="s">
        <v>2410</v>
      </c>
      <c r="B495" t="s">
        <v>2411</v>
      </c>
    </row>
    <row r="496" spans="1:2" x14ac:dyDescent="0.15">
      <c r="A496" s="30" t="s">
        <v>1258</v>
      </c>
      <c r="B496" t="s">
        <v>2412</v>
      </c>
    </row>
    <row r="497" spans="1:2" x14ac:dyDescent="0.15">
      <c r="A497" s="30" t="s">
        <v>2413</v>
      </c>
      <c r="B497" t="s">
        <v>2414</v>
      </c>
    </row>
    <row r="498" spans="1:2" x14ac:dyDescent="0.15">
      <c r="A498" s="30" t="s">
        <v>2415</v>
      </c>
      <c r="B498" t="s">
        <v>2416</v>
      </c>
    </row>
    <row r="499" spans="1:2" x14ac:dyDescent="0.15">
      <c r="A499" s="30" t="s">
        <v>2417</v>
      </c>
      <c r="B499" t="s">
        <v>2418</v>
      </c>
    </row>
    <row r="500" spans="1:2" x14ac:dyDescent="0.15">
      <c r="A500" s="30" t="s">
        <v>2419</v>
      </c>
      <c r="B500" t="s">
        <v>2420</v>
      </c>
    </row>
    <row r="501" spans="1:2" x14ac:dyDescent="0.15">
      <c r="A501" s="30" t="s">
        <v>2421</v>
      </c>
      <c r="B501" t="s">
        <v>2422</v>
      </c>
    </row>
    <row r="502" spans="1:2" x14ac:dyDescent="0.15">
      <c r="A502" s="30" t="s">
        <v>1259</v>
      </c>
      <c r="B502" t="s">
        <v>2423</v>
      </c>
    </row>
    <row r="503" spans="1:2" x14ac:dyDescent="0.15">
      <c r="A503" s="30" t="s">
        <v>2424</v>
      </c>
      <c r="B503" t="s">
        <v>2425</v>
      </c>
    </row>
    <row r="504" spans="1:2" x14ac:dyDescent="0.15">
      <c r="A504" s="30" t="s">
        <v>2426</v>
      </c>
      <c r="B504" t="s">
        <v>2427</v>
      </c>
    </row>
    <row r="505" spans="1:2" x14ac:dyDescent="0.15">
      <c r="A505" s="30" t="s">
        <v>2428</v>
      </c>
      <c r="B505" t="s">
        <v>2429</v>
      </c>
    </row>
    <row r="506" spans="1:2" x14ac:dyDescent="0.15">
      <c r="A506" s="30" t="s">
        <v>2676</v>
      </c>
      <c r="B506" t="s">
        <v>2430</v>
      </c>
    </row>
    <row r="507" spans="1:2" x14ac:dyDescent="0.15">
      <c r="A507" s="30" t="s">
        <v>2431</v>
      </c>
      <c r="B507" t="s">
        <v>2432</v>
      </c>
    </row>
    <row r="508" spans="1:2" x14ac:dyDescent="0.15">
      <c r="A508" s="30" t="s">
        <v>1260</v>
      </c>
      <c r="B508" t="s">
        <v>2433</v>
      </c>
    </row>
    <row r="509" spans="1:2" x14ac:dyDescent="0.15">
      <c r="A509" s="30" t="s">
        <v>1261</v>
      </c>
      <c r="B509" t="s">
        <v>2434</v>
      </c>
    </row>
    <row r="510" spans="1:2" x14ac:dyDescent="0.15">
      <c r="A510" s="30" t="s">
        <v>1262</v>
      </c>
      <c r="B510" t="s">
        <v>2435</v>
      </c>
    </row>
    <row r="511" spans="1:2" x14ac:dyDescent="0.15">
      <c r="A511" s="30" t="s">
        <v>1263</v>
      </c>
      <c r="B511" t="s">
        <v>2436</v>
      </c>
    </row>
    <row r="512" spans="1:2" x14ac:dyDescent="0.15">
      <c r="A512" s="30" t="s">
        <v>2437</v>
      </c>
      <c r="B512" t="s">
        <v>2438</v>
      </c>
    </row>
    <row r="513" spans="1:2" x14ac:dyDescent="0.15">
      <c r="A513" s="30" t="s">
        <v>1264</v>
      </c>
      <c r="B513" t="s">
        <v>2439</v>
      </c>
    </row>
    <row r="514" spans="1:2" x14ac:dyDescent="0.15">
      <c r="A514" s="30" t="s">
        <v>1265</v>
      </c>
      <c r="B514" t="s">
        <v>2440</v>
      </c>
    </row>
    <row r="515" spans="1:2" x14ac:dyDescent="0.15">
      <c r="A515" s="30" t="s">
        <v>1482</v>
      </c>
      <c r="B515" t="s">
        <v>2441</v>
      </c>
    </row>
    <row r="516" spans="1:2" x14ac:dyDescent="0.15">
      <c r="A516" s="30" t="s">
        <v>2442</v>
      </c>
      <c r="B516" t="s">
        <v>2443</v>
      </c>
    </row>
    <row r="517" spans="1:2" x14ac:dyDescent="0.15">
      <c r="A517" s="30" t="s">
        <v>2444</v>
      </c>
      <c r="B517" t="s">
        <v>2445</v>
      </c>
    </row>
    <row r="518" spans="1:2" x14ac:dyDescent="0.15">
      <c r="A518" s="30" t="s">
        <v>1266</v>
      </c>
      <c r="B518" t="s">
        <v>2446</v>
      </c>
    </row>
    <row r="519" spans="1:2" x14ac:dyDescent="0.15">
      <c r="A519" s="30" t="s">
        <v>2447</v>
      </c>
      <c r="B519" t="s">
        <v>2448</v>
      </c>
    </row>
    <row r="520" spans="1:2" x14ac:dyDescent="0.15">
      <c r="A520" s="30" t="s">
        <v>2449</v>
      </c>
      <c r="B520" t="s">
        <v>2450</v>
      </c>
    </row>
    <row r="521" spans="1:2" x14ac:dyDescent="0.15">
      <c r="A521" s="30" t="s">
        <v>2451</v>
      </c>
      <c r="B521" t="s">
        <v>2452</v>
      </c>
    </row>
    <row r="522" spans="1:2" x14ac:dyDescent="0.15">
      <c r="A522" s="30" t="s">
        <v>1268</v>
      </c>
      <c r="B522" t="s">
        <v>2453</v>
      </c>
    </row>
    <row r="523" spans="1:2" x14ac:dyDescent="0.15">
      <c r="A523" s="30" t="s">
        <v>1269</v>
      </c>
      <c r="B523" t="s">
        <v>2454</v>
      </c>
    </row>
    <row r="524" spans="1:2" x14ac:dyDescent="0.15">
      <c r="A524" s="30" t="s">
        <v>1270</v>
      </c>
      <c r="B524" t="s">
        <v>2455</v>
      </c>
    </row>
    <row r="525" spans="1:2" x14ac:dyDescent="0.15">
      <c r="A525" s="30" t="s">
        <v>1271</v>
      </c>
      <c r="B525" t="s">
        <v>2456</v>
      </c>
    </row>
    <row r="526" spans="1:2" x14ac:dyDescent="0.15">
      <c r="A526" s="30" t="s">
        <v>2457</v>
      </c>
      <c r="B526" t="s">
        <v>2458</v>
      </c>
    </row>
    <row r="527" spans="1:2" x14ac:dyDescent="0.15">
      <c r="A527" s="30" t="s">
        <v>2459</v>
      </c>
      <c r="B527" t="s">
        <v>2460</v>
      </c>
    </row>
    <row r="528" spans="1:2" x14ac:dyDescent="0.15">
      <c r="A528" s="30" t="s">
        <v>1272</v>
      </c>
      <c r="B528" t="s">
        <v>2461</v>
      </c>
    </row>
    <row r="529" spans="1:2" x14ac:dyDescent="0.15">
      <c r="A529" s="30" t="s">
        <v>1273</v>
      </c>
      <c r="B529" t="s">
        <v>2462</v>
      </c>
    </row>
    <row r="530" spans="1:2" x14ac:dyDescent="0.15">
      <c r="A530" s="30" t="s">
        <v>2463</v>
      </c>
      <c r="B530" t="s">
        <v>2464</v>
      </c>
    </row>
    <row r="531" spans="1:2" x14ac:dyDescent="0.15">
      <c r="A531" s="30" t="s">
        <v>2465</v>
      </c>
      <c r="B531" t="s">
        <v>2466</v>
      </c>
    </row>
    <row r="532" spans="1:2" x14ac:dyDescent="0.15">
      <c r="A532" s="30" t="s">
        <v>1274</v>
      </c>
      <c r="B532" t="s">
        <v>2467</v>
      </c>
    </row>
    <row r="533" spans="1:2" x14ac:dyDescent="0.15">
      <c r="A533" s="30" t="s">
        <v>1457</v>
      </c>
      <c r="B533" t="s">
        <v>2468</v>
      </c>
    </row>
    <row r="534" spans="1:2" x14ac:dyDescent="0.15">
      <c r="A534" s="30" t="s">
        <v>2469</v>
      </c>
      <c r="B534" t="s">
        <v>2470</v>
      </c>
    </row>
    <row r="535" spans="1:2" x14ac:dyDescent="0.15">
      <c r="A535" s="30" t="s">
        <v>1275</v>
      </c>
      <c r="B535" t="s">
        <v>2471</v>
      </c>
    </row>
    <row r="536" spans="1:2" x14ac:dyDescent="0.15">
      <c r="A536" s="30" t="s">
        <v>2472</v>
      </c>
      <c r="B536" t="s">
        <v>2473</v>
      </c>
    </row>
    <row r="537" spans="1:2" x14ac:dyDescent="0.15">
      <c r="A537" s="30" t="s">
        <v>1276</v>
      </c>
      <c r="B537" t="s">
        <v>2474</v>
      </c>
    </row>
    <row r="538" spans="1:2" x14ac:dyDescent="0.15">
      <c r="A538" s="30" t="s">
        <v>2475</v>
      </c>
      <c r="B538" t="s">
        <v>2476</v>
      </c>
    </row>
    <row r="539" spans="1:2" x14ac:dyDescent="0.15">
      <c r="A539" s="30" t="s">
        <v>2477</v>
      </c>
      <c r="B539" t="s">
        <v>2478</v>
      </c>
    </row>
    <row r="540" spans="1:2" x14ac:dyDescent="0.15">
      <c r="A540" s="30" t="s">
        <v>2479</v>
      </c>
      <c r="B540" t="s">
        <v>2480</v>
      </c>
    </row>
    <row r="541" spans="1:2" x14ac:dyDescent="0.15">
      <c r="A541" s="30" t="s">
        <v>2481</v>
      </c>
      <c r="B541" t="s">
        <v>2482</v>
      </c>
    </row>
    <row r="542" spans="1:2" x14ac:dyDescent="0.15">
      <c r="A542" s="30" t="s">
        <v>1471</v>
      </c>
      <c r="B542" t="s">
        <v>1470</v>
      </c>
    </row>
    <row r="543" spans="1:2" x14ac:dyDescent="0.15">
      <c r="A543" s="30" t="s">
        <v>2483</v>
      </c>
      <c r="B543" t="s">
        <v>2484</v>
      </c>
    </row>
    <row r="544" spans="1:2" x14ac:dyDescent="0.15">
      <c r="A544" s="30" t="s">
        <v>2485</v>
      </c>
      <c r="B544" t="s">
        <v>2486</v>
      </c>
    </row>
    <row r="545" spans="1:2" x14ac:dyDescent="0.15">
      <c r="A545" s="30" t="s">
        <v>1277</v>
      </c>
      <c r="B545" t="s">
        <v>2487</v>
      </c>
    </row>
    <row r="546" spans="1:2" x14ac:dyDescent="0.15">
      <c r="A546" s="30" t="s">
        <v>1278</v>
      </c>
      <c r="B546" t="s">
        <v>2488</v>
      </c>
    </row>
    <row r="547" spans="1:2" x14ac:dyDescent="0.15">
      <c r="A547" s="30" t="s">
        <v>2489</v>
      </c>
      <c r="B547" t="s">
        <v>2490</v>
      </c>
    </row>
    <row r="548" spans="1:2" x14ac:dyDescent="0.15">
      <c r="A548" s="30" t="s">
        <v>1279</v>
      </c>
      <c r="B548" t="s">
        <v>2491</v>
      </c>
    </row>
    <row r="549" spans="1:2" x14ac:dyDescent="0.15">
      <c r="A549" s="30" t="s">
        <v>1280</v>
      </c>
      <c r="B549" t="s">
        <v>2492</v>
      </c>
    </row>
    <row r="550" spans="1:2" x14ac:dyDescent="0.15">
      <c r="A550" s="30" t="s">
        <v>2493</v>
      </c>
      <c r="B550" t="s">
        <v>2494</v>
      </c>
    </row>
    <row r="551" spans="1:2" x14ac:dyDescent="0.15">
      <c r="A551" s="30" t="s">
        <v>1281</v>
      </c>
      <c r="B551" t="s">
        <v>2495</v>
      </c>
    </row>
    <row r="552" spans="1:2" x14ac:dyDescent="0.15">
      <c r="A552" s="30" t="s">
        <v>2496</v>
      </c>
      <c r="B552" t="s">
        <v>2497</v>
      </c>
    </row>
    <row r="553" spans="1:2" x14ac:dyDescent="0.15">
      <c r="A553" s="30" t="s">
        <v>1282</v>
      </c>
      <c r="B553" t="s">
        <v>2498</v>
      </c>
    </row>
    <row r="554" spans="1:2" x14ac:dyDescent="0.15">
      <c r="A554" s="30" t="s">
        <v>2684</v>
      </c>
      <c r="B554" t="s">
        <v>2499</v>
      </c>
    </row>
    <row r="555" spans="1:2" x14ac:dyDescent="0.15">
      <c r="A555" s="30" t="s">
        <v>1283</v>
      </c>
      <c r="B555" t="s">
        <v>2500</v>
      </c>
    </row>
    <row r="556" spans="1:2" x14ac:dyDescent="0.15">
      <c r="A556" s="30" t="s">
        <v>1284</v>
      </c>
      <c r="B556" t="s">
        <v>2501</v>
      </c>
    </row>
    <row r="557" spans="1:2" x14ac:dyDescent="0.15">
      <c r="A557" s="30" t="s">
        <v>1285</v>
      </c>
      <c r="B557" t="s">
        <v>2502</v>
      </c>
    </row>
    <row r="558" spans="1:2" x14ac:dyDescent="0.15">
      <c r="A558" s="30" t="s">
        <v>1286</v>
      </c>
      <c r="B558" t="s">
        <v>2503</v>
      </c>
    </row>
    <row r="559" spans="1:2" x14ac:dyDescent="0.15">
      <c r="A559" s="30" t="s">
        <v>1287</v>
      </c>
      <c r="B559" t="s">
        <v>2504</v>
      </c>
    </row>
    <row r="560" spans="1:2" x14ac:dyDescent="0.15">
      <c r="A560" s="30" t="s">
        <v>1288</v>
      </c>
      <c r="B560" t="s">
        <v>2505</v>
      </c>
    </row>
    <row r="561" spans="1:2" x14ac:dyDescent="0.15">
      <c r="A561" s="30" t="s">
        <v>1289</v>
      </c>
      <c r="B561" t="s">
        <v>2506</v>
      </c>
    </row>
    <row r="562" spans="1:2" x14ac:dyDescent="0.15">
      <c r="A562" s="30" t="s">
        <v>2507</v>
      </c>
      <c r="B562" t="s">
        <v>2508</v>
      </c>
    </row>
    <row r="563" spans="1:2" x14ac:dyDescent="0.15">
      <c r="A563" s="30" t="s">
        <v>1290</v>
      </c>
      <c r="B563" t="s">
        <v>736</v>
      </c>
    </row>
    <row r="564" spans="1:2" x14ac:dyDescent="0.15">
      <c r="A564" s="30" t="s">
        <v>1291</v>
      </c>
      <c r="B564" t="s">
        <v>2509</v>
      </c>
    </row>
    <row r="565" spans="1:2" x14ac:dyDescent="0.15">
      <c r="A565" s="30" t="s">
        <v>2510</v>
      </c>
      <c r="B565" t="s">
        <v>2511</v>
      </c>
    </row>
    <row r="566" spans="1:2" x14ac:dyDescent="0.15">
      <c r="A566" s="30" t="s">
        <v>1292</v>
      </c>
      <c r="B566" t="s">
        <v>2512</v>
      </c>
    </row>
    <row r="567" spans="1:2" x14ac:dyDescent="0.15">
      <c r="A567" s="30" t="s">
        <v>1293</v>
      </c>
      <c r="B567" t="s">
        <v>2513</v>
      </c>
    </row>
    <row r="568" spans="1:2" x14ac:dyDescent="0.15">
      <c r="A568" s="30" t="s">
        <v>1294</v>
      </c>
      <c r="B568" t="s">
        <v>2514</v>
      </c>
    </row>
    <row r="569" spans="1:2" x14ac:dyDescent="0.15">
      <c r="A569" s="30" t="s">
        <v>2515</v>
      </c>
      <c r="B569" t="s">
        <v>2516</v>
      </c>
    </row>
    <row r="570" spans="1:2" x14ac:dyDescent="0.15">
      <c r="A570" s="30" t="s">
        <v>2517</v>
      </c>
      <c r="B570" t="s">
        <v>2518</v>
      </c>
    </row>
    <row r="571" spans="1:2" x14ac:dyDescent="0.15">
      <c r="A571" s="30" t="s">
        <v>2519</v>
      </c>
      <c r="B571" t="s">
        <v>2520</v>
      </c>
    </row>
    <row r="572" spans="1:2" x14ac:dyDescent="0.15">
      <c r="A572" s="30" t="s">
        <v>2521</v>
      </c>
      <c r="B572" t="s">
        <v>2522</v>
      </c>
    </row>
    <row r="573" spans="1:2" x14ac:dyDescent="0.15">
      <c r="A573" s="30" t="s">
        <v>1295</v>
      </c>
      <c r="B573" t="s">
        <v>2523</v>
      </c>
    </row>
    <row r="574" spans="1:2" x14ac:dyDescent="0.15">
      <c r="A574" s="30" t="s">
        <v>2524</v>
      </c>
      <c r="B574" t="s">
        <v>2525</v>
      </c>
    </row>
    <row r="575" spans="1:2" x14ac:dyDescent="0.15">
      <c r="A575" s="30" t="s">
        <v>1296</v>
      </c>
      <c r="B575" t="s">
        <v>2526</v>
      </c>
    </row>
    <row r="576" spans="1:2" x14ac:dyDescent="0.15">
      <c r="A576" s="30" t="s">
        <v>1297</v>
      </c>
      <c r="B576" t="s">
        <v>2527</v>
      </c>
    </row>
    <row r="577" spans="1:2" x14ac:dyDescent="0.15">
      <c r="A577" s="30" t="s">
        <v>1298</v>
      </c>
      <c r="B577" t="s">
        <v>2528</v>
      </c>
    </row>
    <row r="578" spans="1:2" x14ac:dyDescent="0.15">
      <c r="A578" s="30" t="s">
        <v>2529</v>
      </c>
      <c r="B578" t="s">
        <v>2530</v>
      </c>
    </row>
    <row r="579" spans="1:2" x14ac:dyDescent="0.15">
      <c r="A579" s="30" t="s">
        <v>1299</v>
      </c>
      <c r="B579" t="s">
        <v>2531</v>
      </c>
    </row>
    <row r="580" spans="1:2" x14ac:dyDescent="0.15">
      <c r="A580" s="30" t="s">
        <v>2532</v>
      </c>
      <c r="B580" t="s">
        <v>2533</v>
      </c>
    </row>
    <row r="581" spans="1:2" x14ac:dyDescent="0.15">
      <c r="A581" s="30" t="s">
        <v>2534</v>
      </c>
      <c r="B581" t="s">
        <v>2535</v>
      </c>
    </row>
    <row r="582" spans="1:2" x14ac:dyDescent="0.15">
      <c r="A582" s="30" t="s">
        <v>1300</v>
      </c>
      <c r="B582" t="s">
        <v>2536</v>
      </c>
    </row>
    <row r="583" spans="1:2" x14ac:dyDescent="0.15">
      <c r="A583" s="30" t="s">
        <v>2537</v>
      </c>
      <c r="B583" t="s">
        <v>2538</v>
      </c>
    </row>
    <row r="584" spans="1:2" x14ac:dyDescent="0.15">
      <c r="A584" s="30" t="s">
        <v>1301</v>
      </c>
      <c r="B584" t="s">
        <v>2539</v>
      </c>
    </row>
    <row r="585" spans="1:2" x14ac:dyDescent="0.15">
      <c r="A585" s="30" t="s">
        <v>2540</v>
      </c>
      <c r="B585" t="s">
        <v>2541</v>
      </c>
    </row>
    <row r="586" spans="1:2" x14ac:dyDescent="0.15">
      <c r="A586" s="30" t="s">
        <v>1302</v>
      </c>
      <c r="B586" t="s">
        <v>2542</v>
      </c>
    </row>
    <row r="587" spans="1:2" x14ac:dyDescent="0.15">
      <c r="A587" s="30" t="s">
        <v>2543</v>
      </c>
      <c r="B587" t="s">
        <v>2544</v>
      </c>
    </row>
    <row r="588" spans="1:2" x14ac:dyDescent="0.15">
      <c r="A588" s="30" t="s">
        <v>1303</v>
      </c>
      <c r="B588" t="s">
        <v>2545</v>
      </c>
    </row>
    <row r="589" spans="1:2" x14ac:dyDescent="0.15">
      <c r="A589" s="30" t="s">
        <v>2546</v>
      </c>
      <c r="B589" t="s">
        <v>2547</v>
      </c>
    </row>
    <row r="590" spans="1:2" x14ac:dyDescent="0.15">
      <c r="A590" s="30" t="s">
        <v>1304</v>
      </c>
      <c r="B590" t="s">
        <v>2548</v>
      </c>
    </row>
    <row r="591" spans="1:2" x14ac:dyDescent="0.15">
      <c r="A591" s="30" t="s">
        <v>1305</v>
      </c>
      <c r="B591" t="s">
        <v>2549</v>
      </c>
    </row>
    <row r="592" spans="1:2" x14ac:dyDescent="0.15">
      <c r="A592" s="30" t="s">
        <v>2550</v>
      </c>
      <c r="B592" t="s">
        <v>2551</v>
      </c>
    </row>
    <row r="593" spans="1:2" x14ac:dyDescent="0.15">
      <c r="A593" s="30" t="s">
        <v>1306</v>
      </c>
      <c r="B593" t="s">
        <v>2552</v>
      </c>
    </row>
    <row r="594" spans="1:2" x14ac:dyDescent="0.15">
      <c r="A594" s="30" t="s">
        <v>1307</v>
      </c>
      <c r="B594" t="s">
        <v>2553</v>
      </c>
    </row>
    <row r="595" spans="1:2" x14ac:dyDescent="0.15">
      <c r="A595" s="30" t="s">
        <v>1308</v>
      </c>
      <c r="B595" t="s">
        <v>2554</v>
      </c>
    </row>
    <row r="596" spans="1:2" x14ac:dyDescent="0.15">
      <c r="A596" s="30" t="s">
        <v>1309</v>
      </c>
      <c r="B596" t="s">
        <v>2555</v>
      </c>
    </row>
    <row r="597" spans="1:2" x14ac:dyDescent="0.15">
      <c r="A597" s="30" t="s">
        <v>2556</v>
      </c>
      <c r="B597" t="s">
        <v>2557</v>
      </c>
    </row>
    <row r="598" spans="1:2" x14ac:dyDescent="0.15">
      <c r="A598" s="30" t="s">
        <v>1310</v>
      </c>
      <c r="B598" t="s">
        <v>2558</v>
      </c>
    </row>
    <row r="599" spans="1:2" x14ac:dyDescent="0.15">
      <c r="A599" s="30" t="s">
        <v>1311</v>
      </c>
      <c r="B599" t="s">
        <v>2559</v>
      </c>
    </row>
    <row r="600" spans="1:2" x14ac:dyDescent="0.15">
      <c r="A600" s="30" t="s">
        <v>2560</v>
      </c>
      <c r="B600" t="s">
        <v>2561</v>
      </c>
    </row>
    <row r="601" spans="1:2" x14ac:dyDescent="0.15">
      <c r="A601" s="30" t="s">
        <v>2562</v>
      </c>
      <c r="B601" t="s">
        <v>2563</v>
      </c>
    </row>
    <row r="602" spans="1:2" x14ac:dyDescent="0.15">
      <c r="A602" s="30" t="s">
        <v>1312</v>
      </c>
      <c r="B602" t="s">
        <v>2564</v>
      </c>
    </row>
    <row r="603" spans="1:2" x14ac:dyDescent="0.15">
      <c r="A603" s="30" t="s">
        <v>2565</v>
      </c>
      <c r="B603" t="s">
        <v>2566</v>
      </c>
    </row>
    <row r="604" spans="1:2" x14ac:dyDescent="0.15">
      <c r="A604" s="30" t="s">
        <v>1313</v>
      </c>
      <c r="B604" t="s">
        <v>2567</v>
      </c>
    </row>
    <row r="605" spans="1:2" x14ac:dyDescent="0.15">
      <c r="A605" s="30" t="s">
        <v>2568</v>
      </c>
      <c r="B605" t="s">
        <v>2569</v>
      </c>
    </row>
    <row r="606" spans="1:2" x14ac:dyDescent="0.15">
      <c r="A606" s="30" t="s">
        <v>1314</v>
      </c>
      <c r="B606" t="s">
        <v>2570</v>
      </c>
    </row>
    <row r="607" spans="1:2" x14ac:dyDescent="0.15">
      <c r="A607" s="30" t="s">
        <v>1315</v>
      </c>
      <c r="B607" t="s">
        <v>2571</v>
      </c>
    </row>
    <row r="608" spans="1:2" x14ac:dyDescent="0.15">
      <c r="A608" s="30" t="s">
        <v>1316</v>
      </c>
      <c r="B608" t="s">
        <v>2572</v>
      </c>
    </row>
    <row r="609" spans="1:2" x14ac:dyDescent="0.15">
      <c r="A609" s="30" t="s">
        <v>2573</v>
      </c>
      <c r="B609" t="s">
        <v>2574</v>
      </c>
    </row>
    <row r="610" spans="1:2" x14ac:dyDescent="0.15">
      <c r="A610" s="30" t="s">
        <v>1317</v>
      </c>
      <c r="B610" t="s">
        <v>2575</v>
      </c>
    </row>
    <row r="611" spans="1:2" x14ac:dyDescent="0.15">
      <c r="A611" s="30" t="s">
        <v>1318</v>
      </c>
      <c r="B611" t="s">
        <v>2576</v>
      </c>
    </row>
    <row r="612" spans="1:2" x14ac:dyDescent="0.15">
      <c r="A612" s="30" t="s">
        <v>2577</v>
      </c>
      <c r="B612" t="s">
        <v>2578</v>
      </c>
    </row>
    <row r="613" spans="1:2" x14ac:dyDescent="0.15">
      <c r="A613" s="30" t="s">
        <v>1319</v>
      </c>
      <c r="B613" t="s">
        <v>2579</v>
      </c>
    </row>
    <row r="614" spans="1:2" x14ac:dyDescent="0.15">
      <c r="A614" s="30" t="s">
        <v>2580</v>
      </c>
      <c r="B614" t="s">
        <v>2581</v>
      </c>
    </row>
    <row r="615" spans="1:2" x14ac:dyDescent="0.15">
      <c r="A615" s="30" t="s">
        <v>1455</v>
      </c>
      <c r="B615" t="s">
        <v>1456</v>
      </c>
    </row>
    <row r="616" spans="1:2" x14ac:dyDescent="0.15">
      <c r="A616" s="30" t="s">
        <v>2582</v>
      </c>
      <c r="B616" t="s">
        <v>2583</v>
      </c>
    </row>
    <row r="617" spans="1:2" x14ac:dyDescent="0.15">
      <c r="A617" s="30" t="s">
        <v>1320</v>
      </c>
      <c r="B617" t="s">
        <v>2584</v>
      </c>
    </row>
    <row r="618" spans="1:2" x14ac:dyDescent="0.15">
      <c r="A618" s="30" t="s">
        <v>1321</v>
      </c>
      <c r="B618" t="s">
        <v>2585</v>
      </c>
    </row>
    <row r="619" spans="1:2" x14ac:dyDescent="0.15">
      <c r="A619" s="30" t="s">
        <v>1322</v>
      </c>
      <c r="B619" t="s">
        <v>2586</v>
      </c>
    </row>
    <row r="620" spans="1:2" x14ac:dyDescent="0.15">
      <c r="A620" s="30" t="s">
        <v>1323</v>
      </c>
      <c r="B620" t="s">
        <v>2587</v>
      </c>
    </row>
    <row r="621" spans="1:2" x14ac:dyDescent="0.15">
      <c r="A621" s="30" t="s">
        <v>1453</v>
      </c>
      <c r="B621" t="s">
        <v>1454</v>
      </c>
    </row>
    <row r="622" spans="1:2" x14ac:dyDescent="0.15">
      <c r="A622" s="30" t="s">
        <v>2588</v>
      </c>
      <c r="B622" t="s">
        <v>2589</v>
      </c>
    </row>
    <row r="623" spans="1:2" x14ac:dyDescent="0.15">
      <c r="A623" s="30" t="s">
        <v>1324</v>
      </c>
      <c r="B623" t="s">
        <v>2590</v>
      </c>
    </row>
    <row r="624" spans="1:2" x14ac:dyDescent="0.15">
      <c r="A624" s="30" t="s">
        <v>1325</v>
      </c>
      <c r="B624" t="s">
        <v>2591</v>
      </c>
    </row>
    <row r="625" spans="1:2" x14ac:dyDescent="0.15">
      <c r="A625" s="30" t="s">
        <v>1326</v>
      </c>
      <c r="B625" t="s">
        <v>2592</v>
      </c>
    </row>
    <row r="626" spans="1:2" x14ac:dyDescent="0.15">
      <c r="A626" s="30" t="s">
        <v>1327</v>
      </c>
      <c r="B626" t="s">
        <v>2593</v>
      </c>
    </row>
    <row r="627" spans="1:2" x14ac:dyDescent="0.15">
      <c r="A627" s="30" t="s">
        <v>2594</v>
      </c>
      <c r="B627" t="s">
        <v>2595</v>
      </c>
    </row>
    <row r="628" spans="1:2" x14ac:dyDescent="0.15">
      <c r="A628" s="30" t="s">
        <v>1328</v>
      </c>
      <c r="B628" t="s">
        <v>2596</v>
      </c>
    </row>
    <row r="629" spans="1:2" x14ac:dyDescent="0.15">
      <c r="A629" s="30" t="s">
        <v>1329</v>
      </c>
      <c r="B629" t="s">
        <v>2597</v>
      </c>
    </row>
    <row r="630" spans="1:2" x14ac:dyDescent="0.15">
      <c r="A630" s="30" t="s">
        <v>1330</v>
      </c>
      <c r="B630" t="s">
        <v>2598</v>
      </c>
    </row>
    <row r="631" spans="1:2" x14ac:dyDescent="0.15">
      <c r="A631" s="30" t="s">
        <v>2599</v>
      </c>
      <c r="B631" t="s">
        <v>2600</v>
      </c>
    </row>
    <row r="632" spans="1:2" x14ac:dyDescent="0.15">
      <c r="A632" s="30" t="s">
        <v>2601</v>
      </c>
      <c r="B632" t="s">
        <v>2602</v>
      </c>
    </row>
    <row r="633" spans="1:2" x14ac:dyDescent="0.15">
      <c r="A633" s="30" t="s">
        <v>1331</v>
      </c>
      <c r="B633" t="s">
        <v>2603</v>
      </c>
    </row>
    <row r="634" spans="1:2" x14ac:dyDescent="0.15">
      <c r="A634" s="30" t="s">
        <v>2604</v>
      </c>
      <c r="B634" t="s">
        <v>2605</v>
      </c>
    </row>
    <row r="635" spans="1:2" x14ac:dyDescent="0.15">
      <c r="A635" s="30" t="s">
        <v>1332</v>
      </c>
      <c r="B635" t="s">
        <v>2606</v>
      </c>
    </row>
    <row r="636" spans="1:2" x14ac:dyDescent="0.15">
      <c r="A636" s="30" t="s">
        <v>1333</v>
      </c>
      <c r="B636" t="s">
        <v>2607</v>
      </c>
    </row>
    <row r="637" spans="1:2" x14ac:dyDescent="0.15">
      <c r="A637" s="30" t="s">
        <v>2608</v>
      </c>
      <c r="B637" t="s">
        <v>2609</v>
      </c>
    </row>
    <row r="638" spans="1:2" x14ac:dyDescent="0.15">
      <c r="A638" s="30" t="s">
        <v>1334</v>
      </c>
      <c r="B638" t="s">
        <v>2610</v>
      </c>
    </row>
    <row r="639" spans="1:2" x14ac:dyDescent="0.15">
      <c r="A639" s="30" t="s">
        <v>1335</v>
      </c>
      <c r="B639" t="s">
        <v>2611</v>
      </c>
    </row>
    <row r="640" spans="1:2" x14ac:dyDescent="0.15">
      <c r="A640" s="30" t="s">
        <v>1336</v>
      </c>
      <c r="B640" t="s">
        <v>2612</v>
      </c>
    </row>
    <row r="641" spans="1:2" x14ac:dyDescent="0.15">
      <c r="A641" s="30" t="s">
        <v>1337</v>
      </c>
      <c r="B641" t="s">
        <v>2613</v>
      </c>
    </row>
    <row r="642" spans="1:2" x14ac:dyDescent="0.15">
      <c r="A642" s="30" t="s">
        <v>2614</v>
      </c>
      <c r="B642" t="s">
        <v>2615</v>
      </c>
    </row>
    <row r="643" spans="1:2" x14ac:dyDescent="0.15">
      <c r="A643" s="30" t="s">
        <v>1338</v>
      </c>
      <c r="B643" t="s">
        <v>2616</v>
      </c>
    </row>
    <row r="644" spans="1:2" x14ac:dyDescent="0.15">
      <c r="A644" s="30" t="s">
        <v>2617</v>
      </c>
      <c r="B644" t="s">
        <v>2618</v>
      </c>
    </row>
    <row r="645" spans="1:2" x14ac:dyDescent="0.15">
      <c r="A645" s="30" t="s">
        <v>1339</v>
      </c>
      <c r="B645" t="s">
        <v>2619</v>
      </c>
    </row>
    <row r="646" spans="1:2" x14ac:dyDescent="0.15">
      <c r="A646" s="30" t="s">
        <v>1340</v>
      </c>
      <c r="B646" t="s">
        <v>2620</v>
      </c>
    </row>
    <row r="647" spans="1:2" x14ac:dyDescent="0.15">
      <c r="A647" s="30" t="s">
        <v>1341</v>
      </c>
      <c r="B647" t="s">
        <v>2621</v>
      </c>
    </row>
    <row r="648" spans="1:2" x14ac:dyDescent="0.15">
      <c r="A648" s="30" t="s">
        <v>2622</v>
      </c>
      <c r="B648" t="s">
        <v>2623</v>
      </c>
    </row>
    <row r="649" spans="1:2" x14ac:dyDescent="0.15">
      <c r="A649" s="30" t="s">
        <v>1342</v>
      </c>
      <c r="B649" t="s">
        <v>2624</v>
      </c>
    </row>
    <row r="650" spans="1:2" x14ac:dyDescent="0.15">
      <c r="A650" s="30" t="s">
        <v>1343</v>
      </c>
      <c r="B650" t="s">
        <v>2625</v>
      </c>
    </row>
    <row r="651" spans="1:2" x14ac:dyDescent="0.15">
      <c r="A651" s="30" t="s">
        <v>1344</v>
      </c>
      <c r="B651" t="s">
        <v>2626</v>
      </c>
    </row>
    <row r="652" spans="1:2" x14ac:dyDescent="0.15">
      <c r="A652" s="30" t="s">
        <v>1345</v>
      </c>
      <c r="B652" t="s">
        <v>2627</v>
      </c>
    </row>
    <row r="653" spans="1:2" x14ac:dyDescent="0.15">
      <c r="A653" s="30" t="s">
        <v>1346</v>
      </c>
      <c r="B653" t="s">
        <v>2628</v>
      </c>
    </row>
    <row r="654" spans="1:2" x14ac:dyDescent="0.15">
      <c r="A654" s="30" t="s">
        <v>1347</v>
      </c>
      <c r="B654" t="s">
        <v>2629</v>
      </c>
    </row>
    <row r="655" spans="1:2" x14ac:dyDescent="0.15">
      <c r="A655" s="30" t="s">
        <v>1348</v>
      </c>
      <c r="B655" t="s">
        <v>2630</v>
      </c>
    </row>
    <row r="656" spans="1:2" x14ac:dyDescent="0.15">
      <c r="A656" s="30" t="s">
        <v>2631</v>
      </c>
      <c r="B656" t="s">
        <v>2632</v>
      </c>
    </row>
    <row r="657" spans="1:2" x14ac:dyDescent="0.15">
      <c r="A657" s="30" t="s">
        <v>2633</v>
      </c>
      <c r="B657" t="s">
        <v>2634</v>
      </c>
    </row>
    <row r="658" spans="1:2" x14ac:dyDescent="0.15">
      <c r="A658" s="30" t="s">
        <v>1349</v>
      </c>
      <c r="B658" t="s">
        <v>2635</v>
      </c>
    </row>
    <row r="659" spans="1:2" x14ac:dyDescent="0.15">
      <c r="A659" s="30" t="s">
        <v>2636</v>
      </c>
      <c r="B659" t="s">
        <v>2637</v>
      </c>
    </row>
    <row r="660" spans="1:2" x14ac:dyDescent="0.15">
      <c r="A660" s="30" t="s">
        <v>1350</v>
      </c>
      <c r="B660" t="s">
        <v>2638</v>
      </c>
    </row>
    <row r="661" spans="1:2" x14ac:dyDescent="0.15">
      <c r="A661" s="30" t="s">
        <v>2639</v>
      </c>
      <c r="B661" t="s">
        <v>2640</v>
      </c>
    </row>
    <row r="662" spans="1:2" x14ac:dyDescent="0.15">
      <c r="A662" s="30" t="s">
        <v>2641</v>
      </c>
      <c r="B662" t="s">
        <v>2642</v>
      </c>
    </row>
    <row r="663" spans="1:2" x14ac:dyDescent="0.15">
      <c r="A663" s="30" t="s">
        <v>1351</v>
      </c>
      <c r="B663" t="s">
        <v>2643</v>
      </c>
    </row>
    <row r="664" spans="1:2" x14ac:dyDescent="0.15">
      <c r="A664" s="30" t="s">
        <v>2644</v>
      </c>
      <c r="B664" t="s">
        <v>2645</v>
      </c>
    </row>
    <row r="665" spans="1:2" x14ac:dyDescent="0.15">
      <c r="A665" s="30" t="s">
        <v>2646</v>
      </c>
      <c r="B665" t="s">
        <v>2647</v>
      </c>
    </row>
    <row r="666" spans="1:2" x14ac:dyDescent="0.15">
      <c r="A666" s="30" t="s">
        <v>2648</v>
      </c>
      <c r="B666" t="s">
        <v>2649</v>
      </c>
    </row>
    <row r="667" spans="1:2" x14ac:dyDescent="0.15">
      <c r="A667" s="30" t="s">
        <v>2650</v>
      </c>
      <c r="B667" t="s">
        <v>2651</v>
      </c>
    </row>
    <row r="668" spans="1:2" x14ac:dyDescent="0.15">
      <c r="A668" s="30" t="s">
        <v>2271</v>
      </c>
      <c r="B668" t="s">
        <v>2652</v>
      </c>
    </row>
    <row r="669" spans="1:2" x14ac:dyDescent="0.15">
      <c r="A669" s="30" t="s">
        <v>2653</v>
      </c>
      <c r="B669" t="s">
        <v>2654</v>
      </c>
    </row>
    <row r="670" spans="1:2" x14ac:dyDescent="0.15">
      <c r="A670" s="30" t="s">
        <v>1352</v>
      </c>
      <c r="B670" t="s">
        <v>2655</v>
      </c>
    </row>
    <row r="671" spans="1:2" x14ac:dyDescent="0.15">
      <c r="A671" s="30" t="s">
        <v>2656</v>
      </c>
      <c r="B671" t="s">
        <v>2657</v>
      </c>
    </row>
    <row r="672" spans="1:2" x14ac:dyDescent="0.15">
      <c r="A672" s="30" t="s">
        <v>1353</v>
      </c>
      <c r="B672" t="s">
        <v>2658</v>
      </c>
    </row>
    <row r="673" spans="1:2" x14ac:dyDescent="0.15">
      <c r="A673" s="30" t="s">
        <v>1354</v>
      </c>
      <c r="B673" t="s">
        <v>2659</v>
      </c>
    </row>
    <row r="674" spans="1:2" x14ac:dyDescent="0.15">
      <c r="A674" s="30" t="s">
        <v>1355</v>
      </c>
      <c r="B674" t="s">
        <v>2660</v>
      </c>
    </row>
    <row r="675" spans="1:2" x14ac:dyDescent="0.15">
      <c r="A675" s="30" t="s">
        <v>2661</v>
      </c>
      <c r="B675" t="s">
        <v>2662</v>
      </c>
    </row>
    <row r="676" spans="1:2" x14ac:dyDescent="0.15">
      <c r="A676" s="30" t="s">
        <v>1356</v>
      </c>
      <c r="B676" t="s">
        <v>2663</v>
      </c>
    </row>
    <row r="677" spans="1:2" x14ac:dyDescent="0.15">
      <c r="A677" s="30" t="s">
        <v>1357</v>
      </c>
      <c r="B677" t="s">
        <v>2664</v>
      </c>
    </row>
    <row r="678" spans="1:2" x14ac:dyDescent="0.15">
      <c r="A678" s="30" t="s">
        <v>2665</v>
      </c>
      <c r="B678" t="s">
        <v>2666</v>
      </c>
    </row>
    <row r="679" spans="1:2" x14ac:dyDescent="0.15">
      <c r="A679" s="30" t="s">
        <v>1358</v>
      </c>
      <c r="B679" t="s">
        <v>2667</v>
      </c>
    </row>
    <row r="680" spans="1:2" x14ac:dyDescent="0.15">
      <c r="A680" s="30" t="s">
        <v>2668</v>
      </c>
      <c r="B680" t="s">
        <v>2669</v>
      </c>
    </row>
    <row r="681" spans="1:2" x14ac:dyDescent="0.15">
      <c r="A681" s="30" t="s">
        <v>1359</v>
      </c>
      <c r="B681" t="s">
        <v>2670</v>
      </c>
    </row>
    <row r="682" spans="1:2" x14ac:dyDescent="0.15">
      <c r="A682" s="30" t="s">
        <v>1360</v>
      </c>
      <c r="B682" t="s">
        <v>2671</v>
      </c>
    </row>
    <row r="683" spans="1:2" x14ac:dyDescent="0.15">
      <c r="A683" s="30" t="s">
        <v>1361</v>
      </c>
      <c r="B683" t="s">
        <v>2672</v>
      </c>
    </row>
    <row r="684" spans="1:2" x14ac:dyDescent="0.15">
      <c r="A684" s="30" t="s">
        <v>2673</v>
      </c>
      <c r="B684" t="s">
        <v>2674</v>
      </c>
    </row>
    <row r="685" spans="1:2" x14ac:dyDescent="0.15">
      <c r="A685" s="30" t="s">
        <v>1362</v>
      </c>
      <c r="B685" t="s">
        <v>2675</v>
      </c>
    </row>
  </sheetData>
  <phoneticPr fontId="7"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D325"/>
  <sheetViews>
    <sheetView workbookViewId="0">
      <selection activeCell="B2" sqref="B2"/>
    </sheetView>
  </sheetViews>
  <sheetFormatPr defaultRowHeight="13.5" x14ac:dyDescent="0.15"/>
  <cols>
    <col min="1" max="1" width="13.25" bestFit="1" customWidth="1"/>
    <col min="2" max="2" width="18.625" bestFit="1" customWidth="1"/>
    <col min="3" max="3" width="14.75" bestFit="1" customWidth="1"/>
    <col min="4" max="4" width="13.875" bestFit="1" customWidth="1"/>
  </cols>
  <sheetData>
    <row r="1" spans="1:4" x14ac:dyDescent="0.15">
      <c r="A1" t="s">
        <v>889</v>
      </c>
      <c r="B1" t="s">
        <v>893</v>
      </c>
      <c r="C1" t="s">
        <v>894</v>
      </c>
      <c r="D1" t="s">
        <v>895</v>
      </c>
    </row>
    <row r="2" spans="1:4" x14ac:dyDescent="0.15">
      <c r="A2" t="s">
        <v>399</v>
      </c>
      <c r="B2" t="s">
        <v>397</v>
      </c>
      <c r="C2" t="s">
        <v>838</v>
      </c>
      <c r="D2" t="s">
        <v>896</v>
      </c>
    </row>
    <row r="3" spans="1:4" x14ac:dyDescent="0.15">
      <c r="A3" t="s">
        <v>397</v>
      </c>
      <c r="B3" t="s">
        <v>26</v>
      </c>
      <c r="C3" t="s">
        <v>838</v>
      </c>
      <c r="D3" t="s">
        <v>897</v>
      </c>
    </row>
    <row r="4" spans="1:4" x14ac:dyDescent="0.15">
      <c r="A4" t="s">
        <v>71</v>
      </c>
      <c r="C4" t="s">
        <v>837</v>
      </c>
      <c r="D4" t="s">
        <v>898</v>
      </c>
    </row>
    <row r="5" spans="1:4" x14ac:dyDescent="0.15">
      <c r="A5" t="s">
        <v>824</v>
      </c>
      <c r="C5" t="s">
        <v>831</v>
      </c>
      <c r="D5" t="s">
        <v>426</v>
      </c>
    </row>
    <row r="6" spans="1:4" x14ac:dyDescent="0.15">
      <c r="A6" t="s">
        <v>890</v>
      </c>
      <c r="C6" t="s">
        <v>831</v>
      </c>
      <c r="D6" t="s">
        <v>0</v>
      </c>
    </row>
    <row r="7" spans="1:4" x14ac:dyDescent="0.15">
      <c r="A7" t="s">
        <v>891</v>
      </c>
      <c r="C7" t="s">
        <v>831</v>
      </c>
      <c r="D7" t="s">
        <v>433</v>
      </c>
    </row>
    <row r="8" spans="1:4" x14ac:dyDescent="0.15">
      <c r="A8" t="s">
        <v>892</v>
      </c>
      <c r="C8" t="s">
        <v>831</v>
      </c>
      <c r="D8" t="s">
        <v>899</v>
      </c>
    </row>
    <row r="9" spans="1:4" x14ac:dyDescent="0.15">
      <c r="C9" t="s">
        <v>831</v>
      </c>
      <c r="D9" t="s">
        <v>1</v>
      </c>
    </row>
    <row r="10" spans="1:4" x14ac:dyDescent="0.15">
      <c r="C10" t="s">
        <v>831</v>
      </c>
      <c r="D10" t="s">
        <v>442</v>
      </c>
    </row>
    <row r="11" spans="1:4" x14ac:dyDescent="0.15">
      <c r="C11" t="s">
        <v>848</v>
      </c>
      <c r="D11" t="s">
        <v>118</v>
      </c>
    </row>
    <row r="12" spans="1:4" x14ac:dyDescent="0.15">
      <c r="C12" t="s">
        <v>849</v>
      </c>
      <c r="D12" t="s">
        <v>2</v>
      </c>
    </row>
    <row r="13" spans="1:4" x14ac:dyDescent="0.15">
      <c r="C13" t="s">
        <v>849</v>
      </c>
      <c r="D13" t="s">
        <v>448</v>
      </c>
    </row>
    <row r="14" spans="1:4" x14ac:dyDescent="0.15">
      <c r="C14" t="s">
        <v>849</v>
      </c>
      <c r="D14" t="s">
        <v>5</v>
      </c>
    </row>
    <row r="15" spans="1:4" x14ac:dyDescent="0.15">
      <c r="C15" t="s">
        <v>849</v>
      </c>
      <c r="D15" t="s">
        <v>6</v>
      </c>
    </row>
    <row r="16" spans="1:4" x14ac:dyDescent="0.15">
      <c r="C16" t="s">
        <v>830</v>
      </c>
      <c r="D16" t="s">
        <v>7</v>
      </c>
    </row>
    <row r="17" spans="3:4" x14ac:dyDescent="0.15">
      <c r="C17" t="s">
        <v>829</v>
      </c>
      <c r="D17" t="s">
        <v>8</v>
      </c>
    </row>
    <row r="18" spans="3:4" x14ac:dyDescent="0.15">
      <c r="C18" t="s">
        <v>829</v>
      </c>
      <c r="D18" t="s">
        <v>9</v>
      </c>
    </row>
    <row r="19" spans="3:4" x14ac:dyDescent="0.15">
      <c r="C19" t="s">
        <v>830</v>
      </c>
      <c r="D19" t="s">
        <v>10</v>
      </c>
    </row>
    <row r="20" spans="3:4" x14ac:dyDescent="0.15">
      <c r="C20" t="s">
        <v>838</v>
      </c>
      <c r="D20" t="s">
        <v>11</v>
      </c>
    </row>
    <row r="21" spans="3:4" x14ac:dyDescent="0.15">
      <c r="C21" t="s">
        <v>838</v>
      </c>
      <c r="D21" t="s">
        <v>12</v>
      </c>
    </row>
    <row r="22" spans="3:4" x14ac:dyDescent="0.15">
      <c r="C22" t="s">
        <v>831</v>
      </c>
      <c r="D22" t="s">
        <v>13</v>
      </c>
    </row>
    <row r="23" spans="3:4" x14ac:dyDescent="0.15">
      <c r="C23" t="s">
        <v>837</v>
      </c>
      <c r="D23" t="s">
        <v>14</v>
      </c>
    </row>
    <row r="24" spans="3:4" x14ac:dyDescent="0.15">
      <c r="C24" t="s">
        <v>831</v>
      </c>
      <c r="D24" t="s">
        <v>112</v>
      </c>
    </row>
    <row r="25" spans="3:4" x14ac:dyDescent="0.15">
      <c r="C25" t="s">
        <v>831</v>
      </c>
      <c r="D25" t="s">
        <v>15</v>
      </c>
    </row>
    <row r="26" spans="3:4" x14ac:dyDescent="0.15">
      <c r="C26" t="s">
        <v>831</v>
      </c>
      <c r="D26" t="s">
        <v>900</v>
      </c>
    </row>
    <row r="27" spans="3:4" x14ac:dyDescent="0.15">
      <c r="C27" t="s">
        <v>848</v>
      </c>
      <c r="D27" t="s">
        <v>18</v>
      </c>
    </row>
    <row r="28" spans="3:4" x14ac:dyDescent="0.15">
      <c r="C28" t="s">
        <v>831</v>
      </c>
      <c r="D28" t="s">
        <v>19</v>
      </c>
    </row>
    <row r="29" spans="3:4" x14ac:dyDescent="0.15">
      <c r="C29" t="s">
        <v>831</v>
      </c>
      <c r="D29" t="s">
        <v>20</v>
      </c>
    </row>
    <row r="30" spans="3:4" x14ac:dyDescent="0.15">
      <c r="C30" t="s">
        <v>847</v>
      </c>
      <c r="D30" t="s">
        <v>901</v>
      </c>
    </row>
    <row r="31" spans="3:4" x14ac:dyDescent="0.15">
      <c r="C31" t="s">
        <v>849</v>
      </c>
      <c r="D31" t="s">
        <v>472</v>
      </c>
    </row>
    <row r="32" spans="3:4" x14ac:dyDescent="0.15">
      <c r="C32" t="s">
        <v>849</v>
      </c>
      <c r="D32" t="s">
        <v>22</v>
      </c>
    </row>
    <row r="33" spans="3:4" x14ac:dyDescent="0.15">
      <c r="C33" t="s">
        <v>849</v>
      </c>
      <c r="D33" t="s">
        <v>23</v>
      </c>
    </row>
    <row r="34" spans="3:4" x14ac:dyDescent="0.15">
      <c r="C34" t="s">
        <v>849</v>
      </c>
      <c r="D34" t="s">
        <v>24</v>
      </c>
    </row>
    <row r="35" spans="3:4" x14ac:dyDescent="0.15">
      <c r="C35" t="s">
        <v>850</v>
      </c>
      <c r="D35" t="s">
        <v>25</v>
      </c>
    </row>
    <row r="36" spans="3:4" x14ac:dyDescent="0.15">
      <c r="C36" t="s">
        <v>831</v>
      </c>
      <c r="D36" t="s">
        <v>902</v>
      </c>
    </row>
    <row r="37" spans="3:4" x14ac:dyDescent="0.15">
      <c r="C37" t="s">
        <v>834</v>
      </c>
      <c r="D37" t="s">
        <v>26</v>
      </c>
    </row>
    <row r="38" spans="3:4" x14ac:dyDescent="0.15">
      <c r="C38" t="s">
        <v>831</v>
      </c>
      <c r="D38" t="s">
        <v>478</v>
      </c>
    </row>
    <row r="39" spans="3:4" x14ac:dyDescent="0.15">
      <c r="C39" t="s">
        <v>850</v>
      </c>
      <c r="D39" t="s">
        <v>27</v>
      </c>
    </row>
    <row r="40" spans="3:4" x14ac:dyDescent="0.15">
      <c r="C40" t="s">
        <v>850</v>
      </c>
      <c r="D40" t="s">
        <v>28</v>
      </c>
    </row>
    <row r="41" spans="3:4" x14ac:dyDescent="0.15">
      <c r="C41" t="s">
        <v>834</v>
      </c>
      <c r="D41" t="s">
        <v>29</v>
      </c>
    </row>
    <row r="42" spans="3:4" x14ac:dyDescent="0.15">
      <c r="C42" t="s">
        <v>837</v>
      </c>
      <c r="D42" t="s">
        <v>30</v>
      </c>
    </row>
    <row r="43" spans="3:4" x14ac:dyDescent="0.15">
      <c r="C43" t="s">
        <v>831</v>
      </c>
      <c r="D43" t="s">
        <v>32</v>
      </c>
    </row>
    <row r="44" spans="3:4" x14ac:dyDescent="0.15">
      <c r="C44" t="s">
        <v>831</v>
      </c>
      <c r="D44" t="s">
        <v>33</v>
      </c>
    </row>
    <row r="45" spans="3:4" x14ac:dyDescent="0.15">
      <c r="C45" t="s">
        <v>840</v>
      </c>
      <c r="D45" t="s">
        <v>34</v>
      </c>
    </row>
    <row r="46" spans="3:4" x14ac:dyDescent="0.15">
      <c r="C46" t="s">
        <v>831</v>
      </c>
      <c r="D46" t="s">
        <v>109</v>
      </c>
    </row>
    <row r="47" spans="3:4" x14ac:dyDescent="0.15">
      <c r="C47" t="s">
        <v>843</v>
      </c>
      <c r="D47" t="s">
        <v>903</v>
      </c>
    </row>
    <row r="48" spans="3:4" x14ac:dyDescent="0.15">
      <c r="C48" t="s">
        <v>831</v>
      </c>
      <c r="D48" t="s">
        <v>36</v>
      </c>
    </row>
    <row r="49" spans="3:4" x14ac:dyDescent="0.15">
      <c r="C49" t="s">
        <v>831</v>
      </c>
      <c r="D49" t="s">
        <v>37</v>
      </c>
    </row>
    <row r="50" spans="3:4" x14ac:dyDescent="0.15">
      <c r="C50" t="s">
        <v>831</v>
      </c>
      <c r="D50" t="s">
        <v>38</v>
      </c>
    </row>
    <row r="51" spans="3:4" x14ac:dyDescent="0.15">
      <c r="C51" t="s">
        <v>831</v>
      </c>
      <c r="D51" t="s">
        <v>39</v>
      </c>
    </row>
    <row r="52" spans="3:4" x14ac:dyDescent="0.15">
      <c r="C52" t="s">
        <v>831</v>
      </c>
      <c r="D52" t="s">
        <v>40</v>
      </c>
    </row>
    <row r="53" spans="3:4" x14ac:dyDescent="0.15">
      <c r="C53" t="s">
        <v>849</v>
      </c>
      <c r="D53" t="s">
        <v>493</v>
      </c>
    </row>
    <row r="54" spans="3:4" x14ac:dyDescent="0.15">
      <c r="C54" t="s">
        <v>854</v>
      </c>
      <c r="D54" t="s">
        <v>41</v>
      </c>
    </row>
    <row r="55" spans="3:4" x14ac:dyDescent="0.15">
      <c r="C55" t="s">
        <v>854</v>
      </c>
      <c r="D55" t="s">
        <v>42</v>
      </c>
    </row>
    <row r="56" spans="3:4" x14ac:dyDescent="0.15">
      <c r="C56" t="s">
        <v>854</v>
      </c>
      <c r="D56" t="s">
        <v>43</v>
      </c>
    </row>
    <row r="57" spans="3:4" x14ac:dyDescent="0.15">
      <c r="C57" t="s">
        <v>854</v>
      </c>
      <c r="D57" t="s">
        <v>904</v>
      </c>
    </row>
    <row r="58" spans="3:4" x14ac:dyDescent="0.15">
      <c r="C58" t="s">
        <v>844</v>
      </c>
      <c r="D58" t="s">
        <v>905</v>
      </c>
    </row>
    <row r="59" spans="3:4" x14ac:dyDescent="0.15">
      <c r="C59" t="s">
        <v>830</v>
      </c>
      <c r="D59" t="s">
        <v>906</v>
      </c>
    </row>
    <row r="60" spans="3:4" x14ac:dyDescent="0.15">
      <c r="C60" t="s">
        <v>829</v>
      </c>
      <c r="D60" t="s">
        <v>45</v>
      </c>
    </row>
    <row r="61" spans="3:4" x14ac:dyDescent="0.15">
      <c r="C61" t="s">
        <v>829</v>
      </c>
      <c r="D61" t="s">
        <v>907</v>
      </c>
    </row>
    <row r="62" spans="3:4" x14ac:dyDescent="0.15">
      <c r="C62" t="s">
        <v>830</v>
      </c>
      <c r="D62" t="s">
        <v>219</v>
      </c>
    </row>
    <row r="63" spans="3:4" x14ac:dyDescent="0.15">
      <c r="C63" t="s">
        <v>844</v>
      </c>
      <c r="D63" t="s">
        <v>908</v>
      </c>
    </row>
    <row r="64" spans="3:4" x14ac:dyDescent="0.15">
      <c r="C64" t="s">
        <v>844</v>
      </c>
      <c r="D64" t="s">
        <v>510</v>
      </c>
    </row>
    <row r="65" spans="3:4" x14ac:dyDescent="0.15">
      <c r="C65" t="s">
        <v>839</v>
      </c>
      <c r="D65" t="s">
        <v>46</v>
      </c>
    </row>
    <row r="66" spans="3:4" x14ac:dyDescent="0.15">
      <c r="C66" t="s">
        <v>834</v>
      </c>
      <c r="D66" t="s">
        <v>909</v>
      </c>
    </row>
    <row r="67" spans="3:4" x14ac:dyDescent="0.15">
      <c r="C67" t="s">
        <v>837</v>
      </c>
      <c r="D67" t="s">
        <v>910</v>
      </c>
    </row>
    <row r="68" spans="3:4" x14ac:dyDescent="0.15">
      <c r="C68" t="s">
        <v>839</v>
      </c>
      <c r="D68" t="s">
        <v>911</v>
      </c>
    </row>
    <row r="69" spans="3:4" x14ac:dyDescent="0.15">
      <c r="C69" t="s">
        <v>844</v>
      </c>
      <c r="D69" t="s">
        <v>525</v>
      </c>
    </row>
    <row r="70" spans="3:4" x14ac:dyDescent="0.15">
      <c r="C70" t="s">
        <v>843</v>
      </c>
      <c r="D70" t="s">
        <v>48</v>
      </c>
    </row>
    <row r="71" spans="3:4" x14ac:dyDescent="0.15">
      <c r="C71" t="s">
        <v>844</v>
      </c>
      <c r="D71" t="s">
        <v>49</v>
      </c>
    </row>
    <row r="72" spans="3:4" x14ac:dyDescent="0.15">
      <c r="C72" t="s">
        <v>844</v>
      </c>
      <c r="D72" t="s">
        <v>50</v>
      </c>
    </row>
    <row r="73" spans="3:4" x14ac:dyDescent="0.15">
      <c r="C73" t="s">
        <v>844</v>
      </c>
      <c r="D73" t="s">
        <v>51</v>
      </c>
    </row>
    <row r="74" spans="3:4" x14ac:dyDescent="0.15">
      <c r="C74" t="s">
        <v>844</v>
      </c>
      <c r="D74" t="s">
        <v>912</v>
      </c>
    </row>
    <row r="75" spans="3:4" x14ac:dyDescent="0.15">
      <c r="C75" t="s">
        <v>844</v>
      </c>
      <c r="D75" t="s">
        <v>913</v>
      </c>
    </row>
    <row r="76" spans="3:4" x14ac:dyDescent="0.15">
      <c r="C76" t="s">
        <v>844</v>
      </c>
      <c r="D76" t="s">
        <v>914</v>
      </c>
    </row>
    <row r="77" spans="3:4" x14ac:dyDescent="0.15">
      <c r="C77" t="s">
        <v>844</v>
      </c>
      <c r="D77" t="s">
        <v>227</v>
      </c>
    </row>
    <row r="78" spans="3:4" x14ac:dyDescent="0.15">
      <c r="C78" t="s">
        <v>844</v>
      </c>
      <c r="D78" t="s">
        <v>227</v>
      </c>
    </row>
    <row r="79" spans="3:4" x14ac:dyDescent="0.15">
      <c r="C79" t="s">
        <v>844</v>
      </c>
      <c r="D79" t="s">
        <v>52</v>
      </c>
    </row>
    <row r="80" spans="3:4" x14ac:dyDescent="0.15">
      <c r="C80" t="s">
        <v>844</v>
      </c>
      <c r="D80" t="s">
        <v>915</v>
      </c>
    </row>
    <row r="81" spans="3:4" x14ac:dyDescent="0.15">
      <c r="C81" t="s">
        <v>844</v>
      </c>
      <c r="D81" t="s">
        <v>232</v>
      </c>
    </row>
    <row r="82" spans="3:4" x14ac:dyDescent="0.15">
      <c r="C82" t="s">
        <v>854</v>
      </c>
      <c r="D82" t="s">
        <v>234</v>
      </c>
    </row>
    <row r="83" spans="3:4" x14ac:dyDescent="0.15">
      <c r="C83" t="s">
        <v>854</v>
      </c>
      <c r="D83" t="s">
        <v>234</v>
      </c>
    </row>
    <row r="84" spans="3:4" x14ac:dyDescent="0.15">
      <c r="C84" t="s">
        <v>854</v>
      </c>
      <c r="D84" t="s">
        <v>234</v>
      </c>
    </row>
    <row r="85" spans="3:4" x14ac:dyDescent="0.15">
      <c r="C85" t="s">
        <v>850</v>
      </c>
      <c r="D85" t="s">
        <v>234</v>
      </c>
    </row>
    <row r="86" spans="3:4" x14ac:dyDescent="0.15">
      <c r="C86" t="s">
        <v>854</v>
      </c>
      <c r="D86" t="s">
        <v>234</v>
      </c>
    </row>
    <row r="87" spans="3:4" x14ac:dyDescent="0.15">
      <c r="C87" t="s">
        <v>854</v>
      </c>
      <c r="D87" t="s">
        <v>234</v>
      </c>
    </row>
    <row r="88" spans="3:4" x14ac:dyDescent="0.15">
      <c r="C88" t="s">
        <v>836</v>
      </c>
      <c r="D88" t="s">
        <v>234</v>
      </c>
    </row>
    <row r="89" spans="3:4" x14ac:dyDescent="0.15">
      <c r="C89" t="s">
        <v>850</v>
      </c>
      <c r="D89" t="s">
        <v>234</v>
      </c>
    </row>
    <row r="90" spans="3:4" x14ac:dyDescent="0.15">
      <c r="C90" t="s">
        <v>837</v>
      </c>
      <c r="D90" t="s">
        <v>234</v>
      </c>
    </row>
    <row r="91" spans="3:4" x14ac:dyDescent="0.15">
      <c r="C91" t="s">
        <v>854</v>
      </c>
      <c r="D91" t="s">
        <v>234</v>
      </c>
    </row>
    <row r="92" spans="3:4" x14ac:dyDescent="0.15">
      <c r="C92" t="s">
        <v>846</v>
      </c>
      <c r="D92" t="s">
        <v>234</v>
      </c>
    </row>
    <row r="93" spans="3:4" x14ac:dyDescent="0.15">
      <c r="C93" t="s">
        <v>854</v>
      </c>
      <c r="D93" t="s">
        <v>234</v>
      </c>
    </row>
    <row r="94" spans="3:4" x14ac:dyDescent="0.15">
      <c r="C94" t="s">
        <v>860</v>
      </c>
      <c r="D94" t="s">
        <v>234</v>
      </c>
    </row>
    <row r="95" spans="3:4" x14ac:dyDescent="0.15">
      <c r="C95" t="s">
        <v>860</v>
      </c>
      <c r="D95" t="s">
        <v>234</v>
      </c>
    </row>
    <row r="96" spans="3:4" x14ac:dyDescent="0.15">
      <c r="C96" t="s">
        <v>854</v>
      </c>
      <c r="D96" t="s">
        <v>553</v>
      </c>
    </row>
    <row r="97" spans="3:4" x14ac:dyDescent="0.15">
      <c r="C97" t="s">
        <v>830</v>
      </c>
      <c r="D97" t="s">
        <v>114</v>
      </c>
    </row>
    <row r="98" spans="3:4" x14ac:dyDescent="0.15">
      <c r="C98" t="s">
        <v>829</v>
      </c>
      <c r="D98" t="s">
        <v>916</v>
      </c>
    </row>
    <row r="99" spans="3:4" x14ac:dyDescent="0.15">
      <c r="C99" t="s">
        <v>829</v>
      </c>
      <c r="D99" t="s">
        <v>917</v>
      </c>
    </row>
    <row r="100" spans="3:4" x14ac:dyDescent="0.15">
      <c r="C100" t="s">
        <v>830</v>
      </c>
      <c r="D100" t="s">
        <v>399</v>
      </c>
    </row>
    <row r="101" spans="3:4" x14ac:dyDescent="0.15">
      <c r="C101" t="s">
        <v>836</v>
      </c>
      <c r="D101" t="s">
        <v>918</v>
      </c>
    </row>
    <row r="102" spans="3:4" x14ac:dyDescent="0.15">
      <c r="C102" t="s">
        <v>836</v>
      </c>
      <c r="D102" t="s">
        <v>54</v>
      </c>
    </row>
    <row r="103" spans="3:4" x14ac:dyDescent="0.15">
      <c r="C103" t="s">
        <v>854</v>
      </c>
      <c r="D103" t="s">
        <v>108</v>
      </c>
    </row>
    <row r="104" spans="3:4" x14ac:dyDescent="0.15">
      <c r="C104" t="s">
        <v>854</v>
      </c>
      <c r="D104" t="s">
        <v>253</v>
      </c>
    </row>
    <row r="105" spans="3:4" x14ac:dyDescent="0.15">
      <c r="C105" t="s">
        <v>837</v>
      </c>
      <c r="D105" t="s">
        <v>255</v>
      </c>
    </row>
    <row r="106" spans="3:4" x14ac:dyDescent="0.15">
      <c r="C106" t="s">
        <v>849</v>
      </c>
      <c r="D106" t="s">
        <v>55</v>
      </c>
    </row>
    <row r="107" spans="3:4" x14ac:dyDescent="0.15">
      <c r="C107" t="s">
        <v>849</v>
      </c>
      <c r="D107" t="s">
        <v>588</v>
      </c>
    </row>
    <row r="108" spans="3:4" x14ac:dyDescent="0.15">
      <c r="C108" t="s">
        <v>849</v>
      </c>
      <c r="D108" t="s">
        <v>919</v>
      </c>
    </row>
    <row r="109" spans="3:4" x14ac:dyDescent="0.15">
      <c r="C109" t="s">
        <v>846</v>
      </c>
      <c r="D109" t="s">
        <v>57</v>
      </c>
    </row>
    <row r="110" spans="3:4" x14ac:dyDescent="0.15">
      <c r="C110" t="s">
        <v>854</v>
      </c>
      <c r="D110" t="s">
        <v>58</v>
      </c>
    </row>
    <row r="111" spans="3:4" x14ac:dyDescent="0.15">
      <c r="C111" t="s">
        <v>836</v>
      </c>
      <c r="D111" t="s">
        <v>596</v>
      </c>
    </row>
    <row r="112" spans="3:4" x14ac:dyDescent="0.15">
      <c r="C112" t="s">
        <v>835</v>
      </c>
      <c r="D112" t="s">
        <v>56</v>
      </c>
    </row>
    <row r="113" spans="3:4" x14ac:dyDescent="0.15">
      <c r="C113" t="s">
        <v>835</v>
      </c>
      <c r="D113" t="s">
        <v>59</v>
      </c>
    </row>
    <row r="114" spans="3:4" x14ac:dyDescent="0.15">
      <c r="C114" t="s">
        <v>835</v>
      </c>
      <c r="D114" t="s">
        <v>920</v>
      </c>
    </row>
    <row r="115" spans="3:4" x14ac:dyDescent="0.15">
      <c r="C115" t="s">
        <v>851</v>
      </c>
      <c r="D115" t="s">
        <v>598</v>
      </c>
    </row>
    <row r="116" spans="3:4" x14ac:dyDescent="0.15">
      <c r="C116" t="s">
        <v>851</v>
      </c>
      <c r="D116" t="s">
        <v>267</v>
      </c>
    </row>
    <row r="117" spans="3:4" x14ac:dyDescent="0.15">
      <c r="C117" t="s">
        <v>851</v>
      </c>
      <c r="D117" t="s">
        <v>269</v>
      </c>
    </row>
    <row r="118" spans="3:4" x14ac:dyDescent="0.15">
      <c r="C118" t="s">
        <v>851</v>
      </c>
      <c r="D118" t="s">
        <v>921</v>
      </c>
    </row>
    <row r="119" spans="3:4" x14ac:dyDescent="0.15">
      <c r="C119" t="s">
        <v>851</v>
      </c>
      <c r="D119" t="s">
        <v>271</v>
      </c>
    </row>
    <row r="120" spans="3:4" x14ac:dyDescent="0.15">
      <c r="C120" t="s">
        <v>851</v>
      </c>
      <c r="D120" t="s">
        <v>922</v>
      </c>
    </row>
    <row r="121" spans="3:4" x14ac:dyDescent="0.15">
      <c r="C121" t="s">
        <v>851</v>
      </c>
      <c r="D121" t="s">
        <v>61</v>
      </c>
    </row>
    <row r="122" spans="3:4" x14ac:dyDescent="0.15">
      <c r="C122" t="s">
        <v>830</v>
      </c>
      <c r="D122" t="s">
        <v>273</v>
      </c>
    </row>
    <row r="123" spans="3:4" x14ac:dyDescent="0.15">
      <c r="C123" t="s">
        <v>829</v>
      </c>
      <c r="D123" t="s">
        <v>273</v>
      </c>
    </row>
    <row r="124" spans="3:4" x14ac:dyDescent="0.15">
      <c r="C124" t="s">
        <v>829</v>
      </c>
      <c r="D124" t="s">
        <v>273</v>
      </c>
    </row>
    <row r="125" spans="3:4" x14ac:dyDescent="0.15">
      <c r="C125" t="s">
        <v>830</v>
      </c>
      <c r="D125" t="s">
        <v>277</v>
      </c>
    </row>
    <row r="126" spans="3:4" x14ac:dyDescent="0.15">
      <c r="C126" t="s">
        <v>854</v>
      </c>
      <c r="D126" t="s">
        <v>277</v>
      </c>
    </row>
    <row r="127" spans="3:4" x14ac:dyDescent="0.15">
      <c r="C127" t="s">
        <v>849</v>
      </c>
      <c r="D127" t="s">
        <v>277</v>
      </c>
    </row>
    <row r="128" spans="3:4" x14ac:dyDescent="0.15">
      <c r="C128" t="s">
        <v>849</v>
      </c>
      <c r="D128" t="s">
        <v>662</v>
      </c>
    </row>
    <row r="129" spans="3:4" x14ac:dyDescent="0.15">
      <c r="C129" t="s">
        <v>849</v>
      </c>
      <c r="D129" t="s">
        <v>63</v>
      </c>
    </row>
    <row r="130" spans="3:4" x14ac:dyDescent="0.15">
      <c r="C130" t="s">
        <v>854</v>
      </c>
      <c r="D130" t="s">
        <v>63</v>
      </c>
    </row>
    <row r="131" spans="3:4" x14ac:dyDescent="0.15">
      <c r="C131" t="s">
        <v>835</v>
      </c>
      <c r="D131" t="s">
        <v>63</v>
      </c>
    </row>
    <row r="132" spans="3:4" x14ac:dyDescent="0.15">
      <c r="C132" t="s">
        <v>835</v>
      </c>
      <c r="D132" t="s">
        <v>63</v>
      </c>
    </row>
    <row r="133" spans="3:4" x14ac:dyDescent="0.15">
      <c r="C133" t="s">
        <v>835</v>
      </c>
      <c r="D133" t="s">
        <v>63</v>
      </c>
    </row>
    <row r="134" spans="3:4" x14ac:dyDescent="0.15">
      <c r="C134" t="s">
        <v>851</v>
      </c>
      <c r="D134" t="s">
        <v>63</v>
      </c>
    </row>
    <row r="135" spans="3:4" x14ac:dyDescent="0.15">
      <c r="C135" t="s">
        <v>851</v>
      </c>
      <c r="D135" t="s">
        <v>63</v>
      </c>
    </row>
    <row r="136" spans="3:4" x14ac:dyDescent="0.15">
      <c r="C136" t="s">
        <v>851</v>
      </c>
      <c r="D136" t="s">
        <v>63</v>
      </c>
    </row>
    <row r="137" spans="3:4" x14ac:dyDescent="0.15">
      <c r="C137" t="s">
        <v>843</v>
      </c>
      <c r="D137" t="s">
        <v>923</v>
      </c>
    </row>
    <row r="138" spans="3:4" x14ac:dyDescent="0.15">
      <c r="C138" t="s">
        <v>843</v>
      </c>
      <c r="D138" t="s">
        <v>692</v>
      </c>
    </row>
    <row r="139" spans="3:4" x14ac:dyDescent="0.15">
      <c r="C139" t="s">
        <v>843</v>
      </c>
      <c r="D139" t="s">
        <v>66</v>
      </c>
    </row>
    <row r="140" spans="3:4" x14ac:dyDescent="0.15">
      <c r="C140" t="s">
        <v>830</v>
      </c>
      <c r="D140" t="s">
        <v>67</v>
      </c>
    </row>
    <row r="141" spans="3:4" x14ac:dyDescent="0.15">
      <c r="C141" t="s">
        <v>829</v>
      </c>
      <c r="D141" t="s">
        <v>296</v>
      </c>
    </row>
    <row r="142" spans="3:4" x14ac:dyDescent="0.15">
      <c r="C142" t="s">
        <v>829</v>
      </c>
      <c r="D142" t="s">
        <v>296</v>
      </c>
    </row>
    <row r="143" spans="3:4" x14ac:dyDescent="0.15">
      <c r="C143" t="s">
        <v>830</v>
      </c>
      <c r="D143" t="s">
        <v>296</v>
      </c>
    </row>
    <row r="144" spans="3:4" x14ac:dyDescent="0.15">
      <c r="C144" t="s">
        <v>854</v>
      </c>
      <c r="D144" t="s">
        <v>296</v>
      </c>
    </row>
    <row r="145" spans="3:4" x14ac:dyDescent="0.15">
      <c r="C145" t="s">
        <v>843</v>
      </c>
      <c r="D145" t="s">
        <v>296</v>
      </c>
    </row>
    <row r="146" spans="3:4" x14ac:dyDescent="0.15">
      <c r="C146" t="s">
        <v>843</v>
      </c>
      <c r="D146" t="s">
        <v>296</v>
      </c>
    </row>
    <row r="147" spans="3:4" x14ac:dyDescent="0.15">
      <c r="C147" t="s">
        <v>843</v>
      </c>
      <c r="D147" t="s">
        <v>296</v>
      </c>
    </row>
    <row r="148" spans="3:4" x14ac:dyDescent="0.15">
      <c r="C148" t="s">
        <v>854</v>
      </c>
      <c r="D148" t="s">
        <v>296</v>
      </c>
    </row>
    <row r="149" spans="3:4" x14ac:dyDescent="0.15">
      <c r="C149" t="s">
        <v>835</v>
      </c>
      <c r="D149" t="s">
        <v>296</v>
      </c>
    </row>
    <row r="150" spans="3:4" x14ac:dyDescent="0.15">
      <c r="C150" t="s">
        <v>835</v>
      </c>
      <c r="D150" t="s">
        <v>924</v>
      </c>
    </row>
    <row r="151" spans="3:4" x14ac:dyDescent="0.15">
      <c r="C151" t="s">
        <v>881</v>
      </c>
      <c r="D151" t="s">
        <v>925</v>
      </c>
    </row>
    <row r="152" spans="3:4" x14ac:dyDescent="0.15">
      <c r="C152" t="s">
        <v>880</v>
      </c>
      <c r="D152" t="s">
        <v>306</v>
      </c>
    </row>
    <row r="153" spans="3:4" x14ac:dyDescent="0.15">
      <c r="C153" t="s">
        <v>866</v>
      </c>
      <c r="D153" t="s">
        <v>68</v>
      </c>
    </row>
    <row r="154" spans="3:4" x14ac:dyDescent="0.15">
      <c r="C154" t="s">
        <v>873</v>
      </c>
      <c r="D154" t="s">
        <v>309</v>
      </c>
    </row>
    <row r="155" spans="3:4" x14ac:dyDescent="0.15">
      <c r="C155" t="s">
        <v>863</v>
      </c>
      <c r="D155" t="s">
        <v>69</v>
      </c>
    </row>
    <row r="156" spans="3:4" x14ac:dyDescent="0.15">
      <c r="C156" t="s">
        <v>881</v>
      </c>
      <c r="D156" t="s">
        <v>926</v>
      </c>
    </row>
    <row r="157" spans="3:4" x14ac:dyDescent="0.15">
      <c r="C157" t="s">
        <v>854</v>
      </c>
      <c r="D157" t="s">
        <v>111</v>
      </c>
    </row>
    <row r="158" spans="3:4" x14ac:dyDescent="0.15">
      <c r="C158" t="s">
        <v>854</v>
      </c>
      <c r="D158" t="s">
        <v>706</v>
      </c>
    </row>
    <row r="159" spans="3:4" x14ac:dyDescent="0.15">
      <c r="C159" t="s">
        <v>854</v>
      </c>
      <c r="D159" t="s">
        <v>70</v>
      </c>
    </row>
    <row r="160" spans="3:4" x14ac:dyDescent="0.15">
      <c r="C160" t="s">
        <v>854</v>
      </c>
      <c r="D160" t="s">
        <v>71</v>
      </c>
    </row>
    <row r="161" spans="3:4" x14ac:dyDescent="0.15">
      <c r="C161" t="s">
        <v>879</v>
      </c>
      <c r="D161" t="s">
        <v>72</v>
      </c>
    </row>
    <row r="162" spans="3:4" x14ac:dyDescent="0.15">
      <c r="C162" t="s">
        <v>853</v>
      </c>
      <c r="D162" t="s">
        <v>927</v>
      </c>
    </row>
    <row r="163" spans="3:4" x14ac:dyDescent="0.15">
      <c r="C163" t="s">
        <v>852</v>
      </c>
      <c r="D163" t="s">
        <v>73</v>
      </c>
    </row>
    <row r="164" spans="3:4" x14ac:dyDescent="0.15">
      <c r="C164" t="s">
        <v>852</v>
      </c>
      <c r="D164" t="s">
        <v>74</v>
      </c>
    </row>
    <row r="165" spans="3:4" x14ac:dyDescent="0.15">
      <c r="C165" t="s">
        <v>853</v>
      </c>
      <c r="D165" t="s">
        <v>712</v>
      </c>
    </row>
    <row r="166" spans="3:4" x14ac:dyDescent="0.15">
      <c r="C166" t="s">
        <v>863</v>
      </c>
      <c r="D166" t="s">
        <v>75</v>
      </c>
    </row>
    <row r="167" spans="3:4" x14ac:dyDescent="0.15">
      <c r="C167" t="s">
        <v>880</v>
      </c>
      <c r="D167" t="s">
        <v>76</v>
      </c>
    </row>
    <row r="168" spans="3:4" x14ac:dyDescent="0.15">
      <c r="C168" t="s">
        <v>866</v>
      </c>
      <c r="D168" t="s">
        <v>397</v>
      </c>
    </row>
    <row r="169" spans="3:4" x14ac:dyDescent="0.15">
      <c r="C169" t="s">
        <v>872</v>
      </c>
      <c r="D169" t="s">
        <v>327</v>
      </c>
    </row>
    <row r="170" spans="3:4" x14ac:dyDescent="0.15">
      <c r="C170" t="s">
        <v>863</v>
      </c>
      <c r="D170" t="s">
        <v>107</v>
      </c>
    </row>
    <row r="171" spans="3:4" x14ac:dyDescent="0.15">
      <c r="C171" t="s">
        <v>854</v>
      </c>
      <c r="D171" t="s">
        <v>77</v>
      </c>
    </row>
    <row r="172" spans="3:4" x14ac:dyDescent="0.15">
      <c r="C172" t="s">
        <v>873</v>
      </c>
      <c r="D172" t="s">
        <v>78</v>
      </c>
    </row>
    <row r="173" spans="3:4" x14ac:dyDescent="0.15">
      <c r="C173" t="s">
        <v>879</v>
      </c>
      <c r="D173" t="s">
        <v>718</v>
      </c>
    </row>
    <row r="174" spans="3:4" x14ac:dyDescent="0.15">
      <c r="C174" t="s">
        <v>854</v>
      </c>
      <c r="D174" t="s">
        <v>928</v>
      </c>
    </row>
    <row r="175" spans="3:4" x14ac:dyDescent="0.15">
      <c r="C175" t="s">
        <v>880</v>
      </c>
      <c r="D175" t="s">
        <v>79</v>
      </c>
    </row>
    <row r="176" spans="3:4" x14ac:dyDescent="0.15">
      <c r="C176" t="s">
        <v>866</v>
      </c>
      <c r="D176" t="s">
        <v>929</v>
      </c>
    </row>
    <row r="177" spans="3:4" x14ac:dyDescent="0.15">
      <c r="C177" t="s">
        <v>872</v>
      </c>
      <c r="D177" t="s">
        <v>400</v>
      </c>
    </row>
    <row r="178" spans="3:4" x14ac:dyDescent="0.15">
      <c r="C178" t="s">
        <v>879</v>
      </c>
      <c r="D178" t="s">
        <v>80</v>
      </c>
    </row>
    <row r="179" spans="3:4" x14ac:dyDescent="0.15">
      <c r="C179" t="s">
        <v>858</v>
      </c>
      <c r="D179" t="s">
        <v>334</v>
      </c>
    </row>
    <row r="180" spans="3:4" x14ac:dyDescent="0.15">
      <c r="C180" t="s">
        <v>858</v>
      </c>
      <c r="D180" t="s">
        <v>81</v>
      </c>
    </row>
    <row r="181" spans="3:4" x14ac:dyDescent="0.15">
      <c r="C181" t="s">
        <v>866</v>
      </c>
      <c r="D181" t="s">
        <v>337</v>
      </c>
    </row>
    <row r="182" spans="3:4" x14ac:dyDescent="0.15">
      <c r="C182" t="s">
        <v>866</v>
      </c>
      <c r="D182" t="s">
        <v>341</v>
      </c>
    </row>
    <row r="183" spans="3:4" x14ac:dyDescent="0.15">
      <c r="C183" t="s">
        <v>873</v>
      </c>
      <c r="D183" t="s">
        <v>343</v>
      </c>
    </row>
    <row r="184" spans="3:4" x14ac:dyDescent="0.15">
      <c r="C184" t="s">
        <v>873</v>
      </c>
      <c r="D184" t="s">
        <v>345</v>
      </c>
    </row>
    <row r="185" spans="3:4" x14ac:dyDescent="0.15">
      <c r="C185" t="s">
        <v>854</v>
      </c>
      <c r="D185" t="s">
        <v>345</v>
      </c>
    </row>
    <row r="186" spans="3:4" x14ac:dyDescent="0.15">
      <c r="C186" t="s">
        <v>854</v>
      </c>
      <c r="D186" t="s">
        <v>345</v>
      </c>
    </row>
    <row r="187" spans="3:4" x14ac:dyDescent="0.15">
      <c r="C187" t="s">
        <v>831</v>
      </c>
      <c r="D187" t="s">
        <v>345</v>
      </c>
    </row>
    <row r="188" spans="3:4" x14ac:dyDescent="0.15">
      <c r="C188" t="s">
        <v>831</v>
      </c>
      <c r="D188" t="s">
        <v>345</v>
      </c>
    </row>
    <row r="189" spans="3:4" x14ac:dyDescent="0.15">
      <c r="C189" t="s">
        <v>863</v>
      </c>
      <c r="D189" t="s">
        <v>345</v>
      </c>
    </row>
    <row r="190" spans="3:4" x14ac:dyDescent="0.15">
      <c r="C190" t="s">
        <v>879</v>
      </c>
      <c r="D190" t="s">
        <v>930</v>
      </c>
    </row>
    <row r="191" spans="3:4" x14ac:dyDescent="0.15">
      <c r="C191" t="s">
        <v>853</v>
      </c>
      <c r="D191" t="s">
        <v>83</v>
      </c>
    </row>
    <row r="192" spans="3:4" x14ac:dyDescent="0.15">
      <c r="C192" t="s">
        <v>860</v>
      </c>
      <c r="D192" t="s">
        <v>731</v>
      </c>
    </row>
    <row r="193" spans="3:4" x14ac:dyDescent="0.15">
      <c r="C193" t="s">
        <v>853</v>
      </c>
      <c r="D193" t="s">
        <v>84</v>
      </c>
    </row>
    <row r="194" spans="3:4" x14ac:dyDescent="0.15">
      <c r="C194" t="s">
        <v>867</v>
      </c>
      <c r="D194" t="s">
        <v>85</v>
      </c>
    </row>
    <row r="195" spans="3:4" x14ac:dyDescent="0.15">
      <c r="C195" t="s">
        <v>873</v>
      </c>
      <c r="D195" t="s">
        <v>86</v>
      </c>
    </row>
    <row r="196" spans="3:4" x14ac:dyDescent="0.15">
      <c r="C196" t="s">
        <v>866</v>
      </c>
      <c r="D196" t="s">
        <v>87</v>
      </c>
    </row>
    <row r="197" spans="3:4" x14ac:dyDescent="0.15">
      <c r="C197" t="s">
        <v>873</v>
      </c>
      <c r="D197" t="s">
        <v>357</v>
      </c>
    </row>
    <row r="198" spans="3:4" x14ac:dyDescent="0.15">
      <c r="C198" t="s">
        <v>873</v>
      </c>
      <c r="D198" t="s">
        <v>739</v>
      </c>
    </row>
    <row r="199" spans="3:4" x14ac:dyDescent="0.15">
      <c r="C199" t="s">
        <v>879</v>
      </c>
      <c r="D199" t="s">
        <v>88</v>
      </c>
    </row>
    <row r="200" spans="3:4" x14ac:dyDescent="0.15">
      <c r="C200" t="s">
        <v>880</v>
      </c>
      <c r="D200" t="s">
        <v>89</v>
      </c>
    </row>
    <row r="201" spans="3:4" x14ac:dyDescent="0.15">
      <c r="C201" t="s">
        <v>880</v>
      </c>
      <c r="D201" t="s">
        <v>744</v>
      </c>
    </row>
    <row r="202" spans="3:4" x14ac:dyDescent="0.15">
      <c r="C202" t="s">
        <v>880</v>
      </c>
      <c r="D202" t="s">
        <v>746</v>
      </c>
    </row>
    <row r="203" spans="3:4" x14ac:dyDescent="0.15">
      <c r="C203" t="s">
        <v>849</v>
      </c>
      <c r="D203" t="s">
        <v>931</v>
      </c>
    </row>
    <row r="204" spans="3:4" x14ac:dyDescent="0.15">
      <c r="C204" t="s">
        <v>866</v>
      </c>
      <c r="D204" t="s">
        <v>748</v>
      </c>
    </row>
    <row r="205" spans="3:4" x14ac:dyDescent="0.15">
      <c r="C205" t="s">
        <v>873</v>
      </c>
      <c r="D205" t="s">
        <v>750</v>
      </c>
    </row>
    <row r="206" spans="3:4" x14ac:dyDescent="0.15">
      <c r="C206" t="s">
        <v>873</v>
      </c>
      <c r="D206" t="s">
        <v>91</v>
      </c>
    </row>
    <row r="207" spans="3:4" x14ac:dyDescent="0.15">
      <c r="C207" t="s">
        <v>873</v>
      </c>
      <c r="D207" t="s">
        <v>753</v>
      </c>
    </row>
    <row r="208" spans="3:4" x14ac:dyDescent="0.15">
      <c r="C208" t="s">
        <v>883</v>
      </c>
      <c r="D208" t="s">
        <v>92</v>
      </c>
    </row>
    <row r="209" spans="3:4" x14ac:dyDescent="0.15">
      <c r="C209" t="s">
        <v>883</v>
      </c>
      <c r="D209" t="s">
        <v>932</v>
      </c>
    </row>
    <row r="210" spans="3:4" x14ac:dyDescent="0.15">
      <c r="C210" t="s">
        <v>849</v>
      </c>
      <c r="D210" t="s">
        <v>933</v>
      </c>
    </row>
    <row r="211" spans="3:4" x14ac:dyDescent="0.15">
      <c r="C211" t="s">
        <v>849</v>
      </c>
      <c r="D211" t="s">
        <v>94</v>
      </c>
    </row>
    <row r="212" spans="3:4" x14ac:dyDescent="0.15">
      <c r="C212" t="s">
        <v>849</v>
      </c>
      <c r="D212" t="s">
        <v>95</v>
      </c>
    </row>
    <row r="213" spans="3:4" x14ac:dyDescent="0.15">
      <c r="C213" t="s">
        <v>849</v>
      </c>
      <c r="D213" t="s">
        <v>96</v>
      </c>
    </row>
    <row r="214" spans="3:4" x14ac:dyDescent="0.15">
      <c r="C214" t="s">
        <v>849</v>
      </c>
      <c r="D214" t="s">
        <v>934</v>
      </c>
    </row>
    <row r="215" spans="3:4" x14ac:dyDescent="0.15">
      <c r="C215" t="s">
        <v>879</v>
      </c>
      <c r="D215" t="s">
        <v>760</v>
      </c>
    </row>
    <row r="216" spans="3:4" x14ac:dyDescent="0.15">
      <c r="C216" t="s">
        <v>853</v>
      </c>
      <c r="D216" t="s">
        <v>935</v>
      </c>
    </row>
    <row r="217" spans="3:4" x14ac:dyDescent="0.15">
      <c r="C217" t="s">
        <v>852</v>
      </c>
      <c r="D217" t="s">
        <v>97</v>
      </c>
    </row>
    <row r="218" spans="3:4" x14ac:dyDescent="0.15">
      <c r="C218" t="s">
        <v>867</v>
      </c>
      <c r="D218" t="s">
        <v>370</v>
      </c>
    </row>
    <row r="219" spans="3:4" x14ac:dyDescent="0.15">
      <c r="C219" t="s">
        <v>865</v>
      </c>
      <c r="D219" t="s">
        <v>98</v>
      </c>
    </row>
    <row r="220" spans="3:4" x14ac:dyDescent="0.15">
      <c r="C220" t="s">
        <v>865</v>
      </c>
      <c r="D220" t="s">
        <v>99</v>
      </c>
    </row>
    <row r="221" spans="3:4" x14ac:dyDescent="0.15">
      <c r="C221" t="s">
        <v>883</v>
      </c>
      <c r="D221" t="s">
        <v>936</v>
      </c>
    </row>
    <row r="222" spans="3:4" x14ac:dyDescent="0.15">
      <c r="C222" t="s">
        <v>883</v>
      </c>
      <c r="D222" t="s">
        <v>100</v>
      </c>
    </row>
    <row r="223" spans="3:4" x14ac:dyDescent="0.15">
      <c r="C223" t="s">
        <v>883</v>
      </c>
      <c r="D223" t="s">
        <v>101</v>
      </c>
    </row>
    <row r="224" spans="3:4" x14ac:dyDescent="0.15">
      <c r="C224" t="s">
        <v>849</v>
      </c>
      <c r="D224" t="s">
        <v>775</v>
      </c>
    </row>
    <row r="225" spans="3:4" x14ac:dyDescent="0.15">
      <c r="C225" t="s">
        <v>849</v>
      </c>
      <c r="D225" t="s">
        <v>110</v>
      </c>
    </row>
    <row r="226" spans="3:4" x14ac:dyDescent="0.15">
      <c r="C226" t="s">
        <v>849</v>
      </c>
      <c r="D226" t="s">
        <v>379</v>
      </c>
    </row>
    <row r="227" spans="3:4" x14ac:dyDescent="0.15">
      <c r="C227" t="s">
        <v>853</v>
      </c>
      <c r="D227" t="s">
        <v>937</v>
      </c>
    </row>
    <row r="228" spans="3:4" x14ac:dyDescent="0.15">
      <c r="C228" t="s">
        <v>852</v>
      </c>
      <c r="D228" t="s">
        <v>381</v>
      </c>
    </row>
    <row r="229" spans="3:4" x14ac:dyDescent="0.15">
      <c r="C229" t="s">
        <v>841</v>
      </c>
      <c r="D229" t="s">
        <v>938</v>
      </c>
    </row>
    <row r="230" spans="3:4" x14ac:dyDescent="0.15">
      <c r="C230" t="s">
        <v>841</v>
      </c>
      <c r="D230" t="s">
        <v>939</v>
      </c>
    </row>
    <row r="231" spans="3:4" x14ac:dyDescent="0.15">
      <c r="C231" t="s">
        <v>841</v>
      </c>
      <c r="D231" t="s">
        <v>940</v>
      </c>
    </row>
    <row r="232" spans="3:4" x14ac:dyDescent="0.15">
      <c r="C232" t="s">
        <v>841</v>
      </c>
      <c r="D232" t="s">
        <v>102</v>
      </c>
    </row>
    <row r="233" spans="3:4" x14ac:dyDescent="0.15">
      <c r="C233" t="s">
        <v>841</v>
      </c>
      <c r="D233" t="s">
        <v>794</v>
      </c>
    </row>
    <row r="234" spans="3:4" x14ac:dyDescent="0.15">
      <c r="C234" t="s">
        <v>852</v>
      </c>
      <c r="D234" t="s">
        <v>384</v>
      </c>
    </row>
    <row r="235" spans="3:4" x14ac:dyDescent="0.15">
      <c r="C235" t="s">
        <v>853</v>
      </c>
      <c r="D235" t="s">
        <v>104</v>
      </c>
    </row>
    <row r="236" spans="3:4" x14ac:dyDescent="0.15">
      <c r="C236" t="s">
        <v>841</v>
      </c>
      <c r="D236" t="s">
        <v>387</v>
      </c>
    </row>
    <row r="237" spans="3:4" x14ac:dyDescent="0.15">
      <c r="C237" t="s">
        <v>841</v>
      </c>
      <c r="D237" t="s">
        <v>105</v>
      </c>
    </row>
    <row r="238" spans="3:4" x14ac:dyDescent="0.15">
      <c r="C238" t="s">
        <v>841</v>
      </c>
      <c r="D238" t="s">
        <v>391</v>
      </c>
    </row>
    <row r="239" spans="3:4" x14ac:dyDescent="0.15">
      <c r="C239" t="s">
        <v>840</v>
      </c>
      <c r="D239" t="s">
        <v>941</v>
      </c>
    </row>
    <row r="240" spans="3:4" x14ac:dyDescent="0.15">
      <c r="C240" t="s">
        <v>841</v>
      </c>
      <c r="D240" t="s">
        <v>942</v>
      </c>
    </row>
    <row r="241" spans="3:4" x14ac:dyDescent="0.15">
      <c r="C241" t="s">
        <v>841</v>
      </c>
      <c r="D241" t="s">
        <v>393</v>
      </c>
    </row>
    <row r="242" spans="3:4" x14ac:dyDescent="0.15">
      <c r="C242" t="s">
        <v>841</v>
      </c>
      <c r="D242" t="s">
        <v>943</v>
      </c>
    </row>
    <row r="243" spans="3:4" x14ac:dyDescent="0.15">
      <c r="C243" t="s">
        <v>841</v>
      </c>
      <c r="D243" t="s">
        <v>944</v>
      </c>
    </row>
    <row r="244" spans="3:4" x14ac:dyDescent="0.15">
      <c r="C244" t="s">
        <v>862</v>
      </c>
      <c r="D244" t="s">
        <v>945</v>
      </c>
    </row>
    <row r="245" spans="3:4" x14ac:dyDescent="0.15">
      <c r="C245" t="s">
        <v>881</v>
      </c>
      <c r="D245" t="s">
        <v>946</v>
      </c>
    </row>
    <row r="246" spans="3:4" x14ac:dyDescent="0.15">
      <c r="C246" t="s">
        <v>881</v>
      </c>
      <c r="D246" t="s">
        <v>947</v>
      </c>
    </row>
    <row r="247" spans="3:4" x14ac:dyDescent="0.15">
      <c r="C247" t="s">
        <v>862</v>
      </c>
      <c r="D247" t="s">
        <v>948</v>
      </c>
    </row>
    <row r="248" spans="3:4" x14ac:dyDescent="0.15">
      <c r="C248" t="s">
        <v>862</v>
      </c>
      <c r="D248" t="s">
        <v>949</v>
      </c>
    </row>
    <row r="249" spans="3:4" x14ac:dyDescent="0.15">
      <c r="C249" t="s">
        <v>881</v>
      </c>
      <c r="D249" t="s">
        <v>395</v>
      </c>
    </row>
    <row r="250" spans="3:4" x14ac:dyDescent="0.15">
      <c r="C250" t="s">
        <v>881</v>
      </c>
      <c r="D250" t="s">
        <v>950</v>
      </c>
    </row>
    <row r="251" spans="3:4" x14ac:dyDescent="0.15">
      <c r="C251" t="s">
        <v>881</v>
      </c>
      <c r="D251" t="s">
        <v>951</v>
      </c>
    </row>
    <row r="252" spans="3:4" x14ac:dyDescent="0.15">
      <c r="C252" t="s">
        <v>879</v>
      </c>
      <c r="D252" t="s">
        <v>952</v>
      </c>
    </row>
    <row r="253" spans="3:4" x14ac:dyDescent="0.15">
      <c r="C253" t="s">
        <v>853</v>
      </c>
    </row>
    <row r="254" spans="3:4" x14ac:dyDescent="0.15">
      <c r="C254" t="s">
        <v>852</v>
      </c>
    </row>
    <row r="255" spans="3:4" x14ac:dyDescent="0.15">
      <c r="C255" t="s">
        <v>852</v>
      </c>
    </row>
    <row r="256" spans="3:4" x14ac:dyDescent="0.15">
      <c r="C256" t="s">
        <v>853</v>
      </c>
    </row>
    <row r="257" spans="3:3" x14ac:dyDescent="0.15">
      <c r="C257" t="s">
        <v>859</v>
      </c>
    </row>
    <row r="258" spans="3:3" x14ac:dyDescent="0.15">
      <c r="C258" t="s">
        <v>862</v>
      </c>
    </row>
    <row r="259" spans="3:3" x14ac:dyDescent="0.15">
      <c r="C259" t="s">
        <v>879</v>
      </c>
    </row>
    <row r="260" spans="3:3" x14ac:dyDescent="0.15">
      <c r="C260" t="s">
        <v>862</v>
      </c>
    </row>
    <row r="261" spans="3:3" x14ac:dyDescent="0.15">
      <c r="C261" t="s">
        <v>862</v>
      </c>
    </row>
    <row r="262" spans="3:3" x14ac:dyDescent="0.15">
      <c r="C262" t="s">
        <v>881</v>
      </c>
    </row>
    <row r="263" spans="3:3" x14ac:dyDescent="0.15">
      <c r="C263" t="s">
        <v>881</v>
      </c>
    </row>
    <row r="264" spans="3:3" x14ac:dyDescent="0.15">
      <c r="C264" t="s">
        <v>881</v>
      </c>
    </row>
    <row r="265" spans="3:3" x14ac:dyDescent="0.15">
      <c r="C265" t="s">
        <v>872</v>
      </c>
    </row>
    <row r="266" spans="3:3" x14ac:dyDescent="0.15">
      <c r="C266" t="s">
        <v>872</v>
      </c>
    </row>
    <row r="267" spans="3:3" x14ac:dyDescent="0.15">
      <c r="C267" t="s">
        <v>872</v>
      </c>
    </row>
    <row r="268" spans="3:3" x14ac:dyDescent="0.15">
      <c r="C268" t="s">
        <v>853</v>
      </c>
    </row>
    <row r="269" spans="3:3" x14ac:dyDescent="0.15">
      <c r="C269" t="s">
        <v>852</v>
      </c>
    </row>
    <row r="270" spans="3:3" x14ac:dyDescent="0.15">
      <c r="C270" t="s">
        <v>852</v>
      </c>
    </row>
    <row r="271" spans="3:3" x14ac:dyDescent="0.15">
      <c r="C271" t="s">
        <v>853</v>
      </c>
    </row>
    <row r="272" spans="3:3" x14ac:dyDescent="0.15">
      <c r="C272" t="s">
        <v>872</v>
      </c>
    </row>
    <row r="273" spans="3:3" x14ac:dyDescent="0.15">
      <c r="C273" t="s">
        <v>872</v>
      </c>
    </row>
    <row r="274" spans="3:3" x14ac:dyDescent="0.15">
      <c r="C274" t="s">
        <v>872</v>
      </c>
    </row>
    <row r="275" spans="3:3" x14ac:dyDescent="0.15">
      <c r="C275" t="s">
        <v>873</v>
      </c>
    </row>
    <row r="276" spans="3:3" x14ac:dyDescent="0.15">
      <c r="C276" t="s">
        <v>876</v>
      </c>
    </row>
    <row r="277" spans="3:3" x14ac:dyDescent="0.15">
      <c r="C277" t="s">
        <v>882</v>
      </c>
    </row>
    <row r="278" spans="3:3" x14ac:dyDescent="0.15">
      <c r="C278" t="s">
        <v>882</v>
      </c>
    </row>
    <row r="279" spans="3:3" x14ac:dyDescent="0.15">
      <c r="C279" t="s">
        <v>864</v>
      </c>
    </row>
    <row r="280" spans="3:3" x14ac:dyDescent="0.15">
      <c r="C280" t="s">
        <v>885</v>
      </c>
    </row>
    <row r="281" spans="3:3" x14ac:dyDescent="0.15">
      <c r="C281" t="s">
        <v>882</v>
      </c>
    </row>
    <row r="282" spans="3:3" x14ac:dyDescent="0.15">
      <c r="C282" t="s">
        <v>882</v>
      </c>
    </row>
    <row r="283" spans="3:3" x14ac:dyDescent="0.15">
      <c r="C283" t="s">
        <v>885</v>
      </c>
    </row>
    <row r="284" spans="3:3" x14ac:dyDescent="0.15">
      <c r="C284" t="s">
        <v>870</v>
      </c>
    </row>
    <row r="285" spans="3:3" x14ac:dyDescent="0.15">
      <c r="C285" t="s">
        <v>860</v>
      </c>
    </row>
    <row r="286" spans="3:3" x14ac:dyDescent="0.15">
      <c r="C286" t="s">
        <v>870</v>
      </c>
    </row>
    <row r="287" spans="3:3" x14ac:dyDescent="0.15">
      <c r="C287" t="s">
        <v>870</v>
      </c>
    </row>
    <row r="288" spans="3:3" x14ac:dyDescent="0.15">
      <c r="C288" t="s">
        <v>870</v>
      </c>
    </row>
    <row r="289" spans="3:3" x14ac:dyDescent="0.15">
      <c r="C289" t="s">
        <v>870</v>
      </c>
    </row>
    <row r="290" spans="3:3" x14ac:dyDescent="0.15">
      <c r="C290" t="s">
        <v>870</v>
      </c>
    </row>
    <row r="291" spans="3:3" x14ac:dyDescent="0.15">
      <c r="C291" t="s">
        <v>870</v>
      </c>
    </row>
    <row r="292" spans="3:3" x14ac:dyDescent="0.15">
      <c r="C292" t="s">
        <v>870</v>
      </c>
    </row>
    <row r="293" spans="3:3" x14ac:dyDescent="0.15">
      <c r="C293" t="s">
        <v>870</v>
      </c>
    </row>
    <row r="294" spans="3:3" x14ac:dyDescent="0.15">
      <c r="C294" t="s">
        <v>870</v>
      </c>
    </row>
    <row r="295" spans="3:3" x14ac:dyDescent="0.15">
      <c r="C295" t="s">
        <v>870</v>
      </c>
    </row>
    <row r="296" spans="3:3" x14ac:dyDescent="0.15">
      <c r="C296" t="s">
        <v>870</v>
      </c>
    </row>
    <row r="297" spans="3:3" x14ac:dyDescent="0.15">
      <c r="C297" t="s">
        <v>870</v>
      </c>
    </row>
    <row r="298" spans="3:3" x14ac:dyDescent="0.15">
      <c r="C298" t="s">
        <v>870</v>
      </c>
    </row>
    <row r="299" spans="3:3" x14ac:dyDescent="0.15">
      <c r="C299" t="s">
        <v>833</v>
      </c>
    </row>
    <row r="300" spans="3:3" x14ac:dyDescent="0.15">
      <c r="C300" t="s">
        <v>833</v>
      </c>
    </row>
    <row r="301" spans="3:3" x14ac:dyDescent="0.15">
      <c r="C301" t="s">
        <v>833</v>
      </c>
    </row>
    <row r="302" spans="3:3" x14ac:dyDescent="0.15">
      <c r="C302" t="s">
        <v>833</v>
      </c>
    </row>
    <row r="303" spans="3:3" x14ac:dyDescent="0.15">
      <c r="C303" t="s">
        <v>833</v>
      </c>
    </row>
    <row r="304" spans="3:3" x14ac:dyDescent="0.15">
      <c r="C304" t="s">
        <v>851</v>
      </c>
    </row>
    <row r="305" spans="3:3" x14ac:dyDescent="0.15">
      <c r="C305" t="s">
        <v>851</v>
      </c>
    </row>
    <row r="306" spans="3:3" x14ac:dyDescent="0.15">
      <c r="C306" t="s">
        <v>874</v>
      </c>
    </row>
    <row r="307" spans="3:3" x14ac:dyDescent="0.15">
      <c r="C307" t="s">
        <v>874</v>
      </c>
    </row>
    <row r="308" spans="3:3" x14ac:dyDescent="0.15">
      <c r="C308" t="s">
        <v>874</v>
      </c>
    </row>
    <row r="309" spans="3:3" x14ac:dyDescent="0.15">
      <c r="C309" t="s">
        <v>874</v>
      </c>
    </row>
    <row r="310" spans="3:3" x14ac:dyDescent="0.15">
      <c r="C310" t="s">
        <v>874</v>
      </c>
    </row>
    <row r="311" spans="3:3" x14ac:dyDescent="0.15">
      <c r="C311" t="s">
        <v>874</v>
      </c>
    </row>
    <row r="312" spans="3:3" x14ac:dyDescent="0.15">
      <c r="C312" t="s">
        <v>403</v>
      </c>
    </row>
    <row r="313" spans="3:3" x14ac:dyDescent="0.15">
      <c r="C313" t="s">
        <v>858</v>
      </c>
    </row>
    <row r="314" spans="3:3" x14ac:dyDescent="0.15">
      <c r="C314" t="s">
        <v>403</v>
      </c>
    </row>
    <row r="315" spans="3:3" x14ac:dyDescent="0.15">
      <c r="C315" t="s">
        <v>403</v>
      </c>
    </row>
    <row r="316" spans="3:3" x14ac:dyDescent="0.15">
      <c r="C316" t="s">
        <v>403</v>
      </c>
    </row>
    <row r="317" spans="3:3" x14ac:dyDescent="0.15">
      <c r="C317" t="s">
        <v>403</v>
      </c>
    </row>
    <row r="318" spans="3:3" x14ac:dyDescent="0.15">
      <c r="C318" t="s">
        <v>403</v>
      </c>
    </row>
    <row r="319" spans="3:3" x14ac:dyDescent="0.15">
      <c r="C319" t="s">
        <v>831</v>
      </c>
    </row>
    <row r="320" spans="3:3" x14ac:dyDescent="0.15">
      <c r="C320" t="s">
        <v>835</v>
      </c>
    </row>
    <row r="321" spans="3:3" x14ac:dyDescent="0.15">
      <c r="C321" t="s">
        <v>873</v>
      </c>
    </row>
    <row r="322" spans="3:3" x14ac:dyDescent="0.15">
      <c r="C322" t="s">
        <v>865</v>
      </c>
    </row>
    <row r="323" spans="3:3" x14ac:dyDescent="0.15">
      <c r="C323" t="s">
        <v>868</v>
      </c>
    </row>
    <row r="324" spans="3:3" x14ac:dyDescent="0.15">
      <c r="C324" t="s">
        <v>856</v>
      </c>
    </row>
    <row r="325" spans="3:3" x14ac:dyDescent="0.15">
      <c r="C325" t="s">
        <v>877</v>
      </c>
    </row>
  </sheetData>
  <phoneticPr fontId="7"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277"/>
  <sheetViews>
    <sheetView topLeftCell="AM1" workbookViewId="0">
      <selection activeCell="AU2" sqref="AU2"/>
    </sheetView>
  </sheetViews>
  <sheetFormatPr defaultRowHeight="13.5" x14ac:dyDescent="0.15"/>
  <cols>
    <col min="1" max="1" width="7.875" bestFit="1" customWidth="1"/>
    <col min="2" max="2" width="38.25" bestFit="1" customWidth="1"/>
    <col min="3" max="4" width="32.875" bestFit="1" customWidth="1"/>
    <col min="5" max="6" width="34" bestFit="1" customWidth="1"/>
    <col min="7" max="8" width="32.875" bestFit="1" customWidth="1"/>
    <col min="9" max="11" width="36.625" bestFit="1" customWidth="1"/>
    <col min="12" max="13" width="32.875" bestFit="1" customWidth="1"/>
    <col min="14" max="15" width="34" bestFit="1" customWidth="1"/>
    <col min="16" max="17" width="32.875" bestFit="1" customWidth="1"/>
    <col min="18" max="20" width="36.625" bestFit="1" customWidth="1"/>
    <col min="21" max="22" width="32.875" bestFit="1" customWidth="1"/>
    <col min="23" max="24" width="34" bestFit="1" customWidth="1"/>
    <col min="25" max="26" width="32.875" bestFit="1" customWidth="1"/>
    <col min="27" max="29" width="36.625" bestFit="1" customWidth="1"/>
    <col min="30" max="30" width="25.875" bestFit="1" customWidth="1"/>
    <col min="31" max="31" width="22.75" bestFit="1" customWidth="1"/>
    <col min="32" max="33" width="28.125" bestFit="1" customWidth="1"/>
    <col min="34" max="34" width="23.625" bestFit="1" customWidth="1"/>
    <col min="35" max="35" width="18" bestFit="1" customWidth="1"/>
    <col min="36" max="36" width="32.25" bestFit="1" customWidth="1"/>
    <col min="37" max="37" width="28.75" bestFit="1" customWidth="1"/>
    <col min="38" max="38" width="25.875" bestFit="1" customWidth="1"/>
    <col min="39" max="40" width="27.875" bestFit="1" customWidth="1"/>
    <col min="41" max="43" width="27.125" bestFit="1" customWidth="1"/>
    <col min="44" max="44" width="47.75" bestFit="1" customWidth="1"/>
    <col min="45" max="45" width="27.375" bestFit="1" customWidth="1"/>
    <col min="46" max="46" width="24.625" bestFit="1" customWidth="1"/>
    <col min="47" max="47" width="27.625" bestFit="1" customWidth="1"/>
    <col min="48" max="48" width="40" bestFit="1" customWidth="1"/>
    <col min="49" max="49" width="35.25" bestFit="1" customWidth="1"/>
    <col min="50" max="50" width="38.25" style="4" bestFit="1" customWidth="1"/>
  </cols>
  <sheetData>
    <row r="1" spans="1:50" x14ac:dyDescent="0.15">
      <c r="A1" s="4" t="s">
        <v>888</v>
      </c>
      <c r="B1" s="4" t="s">
        <v>1365</v>
      </c>
      <c r="C1" s="4" t="s">
        <v>1411</v>
      </c>
      <c r="D1" s="4" t="s">
        <v>1366</v>
      </c>
      <c r="E1" s="4" t="s">
        <v>1412</v>
      </c>
      <c r="F1" s="4" t="s">
        <v>1367</v>
      </c>
      <c r="G1" s="4" t="s">
        <v>1413</v>
      </c>
      <c r="H1" s="4" t="s">
        <v>1368</v>
      </c>
      <c r="I1" s="4" t="s">
        <v>1369</v>
      </c>
      <c r="J1" s="4" t="s">
        <v>1414</v>
      </c>
      <c r="K1" s="4" t="s">
        <v>1426</v>
      </c>
      <c r="L1" s="4" t="s">
        <v>1415</v>
      </c>
      <c r="M1" s="4" t="s">
        <v>1370</v>
      </c>
      <c r="N1" s="4" t="s">
        <v>1416</v>
      </c>
      <c r="O1" s="4" t="s">
        <v>1371</v>
      </c>
      <c r="P1" s="4" t="s">
        <v>1417</v>
      </c>
      <c r="Q1" s="4" t="s">
        <v>1372</v>
      </c>
      <c r="R1" s="4" t="s">
        <v>1373</v>
      </c>
      <c r="S1" s="4" t="s">
        <v>1418</v>
      </c>
      <c r="T1" s="4" t="s">
        <v>1425</v>
      </c>
      <c r="U1" s="4" t="s">
        <v>1419</v>
      </c>
      <c r="V1" s="4" t="s">
        <v>1374</v>
      </c>
      <c r="W1" s="4" t="s">
        <v>1420</v>
      </c>
      <c r="X1" s="4" t="s">
        <v>1375</v>
      </c>
      <c r="Y1" s="4" t="s">
        <v>1421</v>
      </c>
      <c r="Z1" s="4" t="s">
        <v>1376</v>
      </c>
      <c r="AA1" s="4" t="s">
        <v>1377</v>
      </c>
      <c r="AB1" s="4" t="s">
        <v>1423</v>
      </c>
      <c r="AC1" s="4" t="s">
        <v>1424</v>
      </c>
      <c r="AD1" s="4" t="s">
        <v>1428</v>
      </c>
      <c r="AE1" s="4" t="s">
        <v>1427</v>
      </c>
      <c r="AF1" s="4" t="s">
        <v>1429</v>
      </c>
      <c r="AG1" s="4" t="s">
        <v>1378</v>
      </c>
      <c r="AH1" s="4" t="s">
        <v>1379</v>
      </c>
      <c r="AI1" s="4" t="s">
        <v>1380</v>
      </c>
      <c r="AJ1" s="4" t="s">
        <v>1381</v>
      </c>
      <c r="AK1" s="4" t="s">
        <v>1382</v>
      </c>
      <c r="AL1" s="4" t="s">
        <v>1383</v>
      </c>
      <c r="AM1" s="4" t="s">
        <v>1436</v>
      </c>
      <c r="AN1" s="4" t="s">
        <v>1384</v>
      </c>
      <c r="AO1" s="4" t="s">
        <v>1385</v>
      </c>
      <c r="AP1" s="4" t="s">
        <v>1437</v>
      </c>
      <c r="AQ1" s="4" t="s">
        <v>1438</v>
      </c>
      <c r="AR1" s="4" t="s">
        <v>1386</v>
      </c>
      <c r="AS1" s="4" t="s">
        <v>1448</v>
      </c>
      <c r="AT1" s="4" t="s">
        <v>1390</v>
      </c>
      <c r="AU1" s="4" t="s">
        <v>1444</v>
      </c>
      <c r="AV1" s="4" t="s">
        <v>1445</v>
      </c>
      <c r="AW1" s="4" t="s">
        <v>1446</v>
      </c>
      <c r="AX1" s="4" t="s">
        <v>954</v>
      </c>
    </row>
    <row r="2" spans="1:50" ht="67.5" x14ac:dyDescent="0.15">
      <c r="A2" s="4" t="b">
        <f>OR(ISBLANK(data!B2), AND(B2:AW2))</f>
        <v>0</v>
      </c>
      <c r="B2" s="4" t="b">
        <f>AND(LEFT(TRIM(data!B2), 4)="OOLU", ISNUMBER(RIGHT(TRIM(data!B2), LEN(TRIM(data!B2))-4)+0))</f>
        <v>1</v>
      </c>
      <c r="C2" s="4" t="b">
        <f>LEN(data!C2)&gt;0</f>
        <v>1</v>
      </c>
      <c r="D2" s="4" t="b">
        <f>LEN(data!C2)&lt;=70</f>
        <v>1</v>
      </c>
      <c r="E2" s="4" t="b">
        <f>LEN(data!D2)&gt;0</f>
        <v>1</v>
      </c>
      <c r="F2" s="4" t="b">
        <f>LEN(data!D2)&lt;=140</f>
        <v>1</v>
      </c>
      <c r="G2" s="4" t="b">
        <f>LEN(data!E2)&gt;0</f>
        <v>0</v>
      </c>
      <c r="H2" s="4" t="b">
        <f>LEN(data!E2)&lt;=35</f>
        <v>1</v>
      </c>
      <c r="I2" s="4" t="b">
        <f>LEN(data!F2)=2</f>
        <v>1</v>
      </c>
      <c r="J2" s="4" t="b">
        <f>LEN(data!G2)&gt;0</f>
        <v>1</v>
      </c>
      <c r="K2" s="4" t="b">
        <f>LEN(data!G2)&lt;=60</f>
        <v>1</v>
      </c>
      <c r="L2" s="4" t="b">
        <f>LEN(data!I2)&gt;0</f>
        <v>1</v>
      </c>
      <c r="M2" s="4" t="b">
        <f>LEN(data!I2)&lt;=70</f>
        <v>1</v>
      </c>
      <c r="N2" s="4" t="b">
        <f>LEN(data!J2)&gt;0</f>
        <v>1</v>
      </c>
      <c r="O2" s="4" t="b">
        <f>LEN(data!J2)&lt;=140</f>
        <v>1</v>
      </c>
      <c r="P2" s="4" t="b">
        <f>LEN(data!K2)&gt;0</f>
        <v>0</v>
      </c>
      <c r="Q2" s="4" t="b">
        <f>LEN(data!K2)&lt;=35</f>
        <v>1</v>
      </c>
      <c r="R2" s="4" t="b">
        <f>LEN(data!L2)=2</f>
        <v>1</v>
      </c>
      <c r="S2" s="4" t="b">
        <f>LEN(data!M2)&gt;0</f>
        <v>1</v>
      </c>
      <c r="T2" s="4" t="b">
        <f>LEN(data!M2)&lt;=60</f>
        <v>1</v>
      </c>
      <c r="U2" s="4" t="b">
        <f>LEN(data!O2)&gt;0</f>
        <v>1</v>
      </c>
      <c r="V2" s="4" t="b">
        <f>LEN(data!O2)&lt;=70</f>
        <v>1</v>
      </c>
      <c r="W2" s="4" t="b">
        <f>LEN(data!P2)&gt;0</f>
        <v>1</v>
      </c>
      <c r="X2" s="4" t="b">
        <f>LEN(data!P2)&lt;=140</f>
        <v>1</v>
      </c>
      <c r="Y2" s="4" t="b">
        <f>LEN(data!Q2)&gt;0</f>
        <v>0</v>
      </c>
      <c r="Z2" s="4" t="b">
        <f>LEN(data!Q2)&lt;=35</f>
        <v>1</v>
      </c>
      <c r="AA2" s="4" t="b">
        <f>LEN(data!R2)=2</f>
        <v>1</v>
      </c>
      <c r="AB2" s="4" t="b">
        <f>LEN(data!S2)&gt;0</f>
        <v>1</v>
      </c>
      <c r="AC2" s="4" t="b">
        <f>LEN(data!S2)&lt;=60</f>
        <v>1</v>
      </c>
      <c r="AD2" s="4" t="b">
        <f>LEN(data!U2)=11</f>
        <v>1</v>
      </c>
      <c r="AE2" s="4" t="b">
        <f>AND(ISERROR(MATCH(data!V2, rule_mapping!$C$2:$C$325, 0))=FALSE, LEN(data!V2) &lt;= 4)</f>
        <v>1</v>
      </c>
      <c r="AF2" s="4" t="b">
        <f>LEN(data!W2)&gt;0</f>
        <v>1</v>
      </c>
      <c r="AG2" s="4" t="b">
        <f>LEN(data!W2)&lt;=20</f>
        <v>1</v>
      </c>
      <c r="AH2" s="4" t="b">
        <f xml:space="preserve"> IFERROR(ISNUMBER(data!X2), FALSE)</f>
        <v>1</v>
      </c>
      <c r="AI2" s="4" t="b">
        <f>IF(ISERROR(MATCH(data!Y2, rule_mapping!$D$2:$D$252, 0))=FALSE,TRUE, FALSE)</f>
        <v>1</v>
      </c>
      <c r="AJ2" s="4" t="b">
        <f>IFERROR(ISNUMBER(data!Z2), FALSE)</f>
        <v>1</v>
      </c>
      <c r="AK2" s="4" t="b">
        <f>IFERROR(ISNUMBER(data!AA2), FALSE)</f>
        <v>1</v>
      </c>
      <c r="AL2" s="4" t="b">
        <f>LEN(data!AB2)&lt;=90</f>
        <v>0</v>
      </c>
      <c r="AM2" s="4" t="b">
        <f>LEN(data!AC2)&gt;0</f>
        <v>1</v>
      </c>
      <c r="AN2" s="4" t="b">
        <f>LEN(data!AC2)&lt;=2000</f>
        <v>1</v>
      </c>
      <c r="AO2" s="4" t="b">
        <f>IF(LEN(data!AD2)=0,TRUE,IF(LEN(data!AD2)=5,TRUE,FALSE))</f>
        <v>1</v>
      </c>
      <c r="AP2" s="4" t="b">
        <f>LEN(data!AE2)&gt;0</f>
        <v>1</v>
      </c>
      <c r="AQ2" s="4" t="b">
        <f>LEN(data!AE2)=5</f>
        <v>1</v>
      </c>
      <c r="AR2" s="4" t="b">
        <f>ISERROR(MATCH(data!AF2, rule_mapping!$B$2:$B$3, 0))=FALSE</f>
        <v>1</v>
      </c>
      <c r="AS2" s="4" t="b">
        <f>ISERROR(MATCH(data!AG2, rule_mapping!$A$2:$A$8, 0))=FALSE</f>
        <v>1</v>
      </c>
      <c r="AT2" s="4" t="b">
        <f>LEN(data!AH2)&lt;=4</f>
        <v>1</v>
      </c>
      <c r="AU2" s="4" t="b">
        <f>LEN(data!AI2)&lt;=10</f>
        <v>1</v>
      </c>
      <c r="AV2" s="4" t="b">
        <f>LEN(data!AJ2)&lt;=35</f>
        <v>1</v>
      </c>
      <c r="AW2" s="4" t="b">
        <f>LEN(data!AK2)&lt;=20</f>
        <v>1</v>
      </c>
      <c r="AX2" s="11" t="str">
        <f>CONCATENATE(IF(NOT(B2), B$1 &amp; CHAR(10), ""), IF(NOT(C2), C$1 &amp; CHAR(10), ""), IF(NOT(D2), D$1 &amp; CHAR(10), ""), IF(NOT(E2), E$1 &amp; CHAR(10), ""), IF(NOT(F2), F$1 &amp; CHAR(10), ""), IF(NOT(G2), G$1 &amp; CHAR(10), ""), IF(NOT(H2), H$1 &amp; CHAR(10), ""), IF(NOT(I2), I$1 &amp; CHAR(10), ""), IF(NOT(J2), J$1 &amp; CHAR(10), ""), IF(NOT(K2), K$1 &amp; CHAR(10), ""), IF(NOT(L2), L$1 &amp; CHAR(10), ""), IF(NOT(M2), M$1 &amp; CHAR(10), ""), IF(NOT(N2), N$1 &amp; CHAR(10), ""), IF(NOT(O2), O$1 &amp; CHAR(10), ""), IF(NOT(P2), P$1 &amp; CHAR(10), ""), IF(NOT(Q2), Q$1 &amp; CHAR(10), ""), IF(NOT(R2), R$1 &amp; CHAR(10), ""), IF(NOT(S2), S$1 &amp; CHAR(10), ""), IF(NOT(T2), T$1 &amp; CHAR(10), ""), IF(NOT(U2), U$1 &amp; CHAR(10), ""), IF(NOT(V2), V$1 &amp; CHAR(10), ""), IF(NOT(W2), W$1 &amp; CHAR(10), ""), IF(NOT(X2), X$1 &amp; CHAR(10), ""), IF(NOT(Y2), Y$1 &amp; CHAR(10), ""), IF(NOT(Z2), Z$1 &amp; CHAR(10), ""), IF(NOT(AA2), AA$1 &amp; CHAR(10), ""), IF(NOT(AB2), AB$1 &amp; CHAR(10), ""), IF(NOT(AC2), AC$1 &amp; CHAR(10), ""), IF(NOT(AD2), AD$1 &amp; CHAR(10), ""), IF(NOT(AE2), AE$1 &amp; CHAR(10), ""), IF(NOT(AF2), AF$1 &amp; CHAR(10), ""), IF(NOT(AG2), AG$1 &amp; CHAR(10), ""), IF(NOT(AH2), AH$1 &amp; CHAR(10), ""), IF(NOT(AI2), AI$1 &amp; CHAR(10), ""), IF(NOT(AJ2), AJ$1 &amp; CHAR(10), ""), IF(NOT(AK2), AK$1 &amp; CHAR(10), ""), IF(NOT(AL2), AL$1 &amp; CHAR(10), ""), IF(NOT(AM2), AM$1 &amp; CHAR(10), ""), IF(NOT(AN2), AN$1 &amp; CHAR(10), ""), IF(NOT(AO2), AO$1 &amp; CHAR(10), ""), IF(NOT(AP2), AP$1 &amp; CHAR(10), ""), IF(NOT(AQ2), AQ$1 &amp; CHAR(10), ""), IF(NOT(AR2), AR$1 &amp; CHAR(10), ""), IF(NOT(AS2), AS$1 &amp; CHAR(10), ""), IF(NOT(AT2), AT$1 &amp; CHAR(10), ""), IF(NOT(AU2), AU$1 &amp; CHAR(10), ""), IF(NOT(AV2), AV$1 &amp; CHAR(10), ""), IF(NOT(AW2), AW$1 &amp; CHAR(10), ""))</f>
        <v xml:space="preserve">缺少 发货人城市
缺少 收货人城市
缺少 通知人城市
唛头 不应多于90个字符
</v>
      </c>
    </row>
    <row r="3" spans="1:50" ht="67.5" x14ac:dyDescent="0.15">
      <c r="A3" s="4" t="b">
        <f>OR(ISBLANK(data!B3), AND(B3:AW3))</f>
        <v>0</v>
      </c>
      <c r="B3" s="4" t="b">
        <f>AND(LEFT(TRIM(data!B3), 4)="OOLU", ISNUMBER(RIGHT(TRIM(data!B3), LEN(TRIM(data!B3))-4)+0))</f>
        <v>1</v>
      </c>
      <c r="C3" s="4" t="b">
        <f>LEN(data!C3)&gt;0</f>
        <v>1</v>
      </c>
      <c r="D3" s="4" t="b">
        <f>LEN(data!C3)&lt;=70</f>
        <v>1</v>
      </c>
      <c r="E3" s="4" t="b">
        <f>LEN(data!D3)&gt;0</f>
        <v>1</v>
      </c>
      <c r="F3" s="4" t="b">
        <f>LEN(data!D3)&lt;=140</f>
        <v>1</v>
      </c>
      <c r="G3" s="4" t="b">
        <f>LEN(data!E3)&gt;0</f>
        <v>0</v>
      </c>
      <c r="H3" s="4" t="b">
        <f>LEN(data!E3)&lt;=35</f>
        <v>1</v>
      </c>
      <c r="I3" s="4" t="b">
        <f>LEN(data!F3)=2</f>
        <v>1</v>
      </c>
      <c r="J3" s="4" t="b">
        <f>LEN(data!G3)&gt;0</f>
        <v>1</v>
      </c>
      <c r="K3" s="4" t="b">
        <f>LEN(data!G3)&lt;=60</f>
        <v>1</v>
      </c>
      <c r="L3" s="4" t="b">
        <f>LEN(data!I3)&gt;0</f>
        <v>1</v>
      </c>
      <c r="M3" s="4" t="b">
        <f>LEN(data!I3)&lt;=70</f>
        <v>1</v>
      </c>
      <c r="N3" s="4" t="b">
        <f>LEN(data!J3)&gt;0</f>
        <v>1</v>
      </c>
      <c r="O3" s="4" t="b">
        <f>LEN(data!J3)&lt;=140</f>
        <v>1</v>
      </c>
      <c r="P3" s="4" t="b">
        <f>LEN(data!K3)&gt;0</f>
        <v>0</v>
      </c>
      <c r="Q3" s="4" t="b">
        <f>LEN(data!K3)&lt;=35</f>
        <v>1</v>
      </c>
      <c r="R3" s="4" t="b">
        <f>LEN(data!L3)=2</f>
        <v>1</v>
      </c>
      <c r="S3" s="4" t="b">
        <f>LEN(data!M3)&gt;0</f>
        <v>1</v>
      </c>
      <c r="T3" s="4" t="b">
        <f>LEN(data!M3)&lt;=60</f>
        <v>1</v>
      </c>
      <c r="U3" s="4" t="b">
        <f>LEN(data!O3)&gt;0</f>
        <v>1</v>
      </c>
      <c r="V3" s="4" t="b">
        <f>LEN(data!O3)&lt;=70</f>
        <v>1</v>
      </c>
      <c r="W3" s="4" t="b">
        <f>LEN(data!P3)&gt;0</f>
        <v>1</v>
      </c>
      <c r="X3" s="4" t="b">
        <f>LEN(data!P3)&lt;=140</f>
        <v>1</v>
      </c>
      <c r="Y3" s="4" t="b">
        <f>LEN(data!Q3)&gt;0</f>
        <v>0</v>
      </c>
      <c r="Z3" s="4" t="b">
        <f>LEN(data!Q3)&lt;=35</f>
        <v>1</v>
      </c>
      <c r="AA3" s="4" t="b">
        <f>LEN(data!R3)=2</f>
        <v>1</v>
      </c>
      <c r="AB3" s="4" t="b">
        <f>LEN(data!S3)&gt;0</f>
        <v>1</v>
      </c>
      <c r="AC3" s="4" t="b">
        <f>LEN(data!S3)&lt;=120</f>
        <v>1</v>
      </c>
      <c r="AD3" s="4" t="b">
        <f>LEN(data!U3)=11</f>
        <v>1</v>
      </c>
      <c r="AE3" s="4" t="b">
        <f>AND(ISERROR(MATCH(data!V3, rule_mapping!$C$2:$C$325, 0))=FALSE, LEN(data!V3) &lt;= 4)</f>
        <v>1</v>
      </c>
      <c r="AF3" s="4" t="b">
        <f>LEN(data!W3)&gt;0</f>
        <v>1</v>
      </c>
      <c r="AG3" s="4" t="b">
        <f>LEN(data!W3)&lt;=20</f>
        <v>1</v>
      </c>
      <c r="AH3" s="4" t="b">
        <f xml:space="preserve"> IFERROR(ISNUMBER(data!X3), FALSE)</f>
        <v>1</v>
      </c>
      <c r="AI3" s="4" t="b">
        <f>IF(ISERROR(MATCH(data!Y3, rule_mapping!$D$2:$D$252, 0))=FALSE,TRUE, FALSE)</f>
        <v>1</v>
      </c>
      <c r="AJ3" s="4" t="b">
        <f>IFERROR(ISNUMBER(data!Z3), FALSE)</f>
        <v>1</v>
      </c>
      <c r="AK3" s="4" t="b">
        <f>IFERROR(ISNUMBER(data!AA3), FALSE)</f>
        <v>1</v>
      </c>
      <c r="AL3" s="4" t="b">
        <f>LEN(data!AB3)&lt;=90</f>
        <v>0</v>
      </c>
      <c r="AM3" s="4" t="b">
        <f>LEN(data!AC3)&gt;0</f>
        <v>1</v>
      </c>
      <c r="AN3" s="4" t="b">
        <f>LEN(data!AC3)&lt;=2000</f>
        <v>1</v>
      </c>
      <c r="AO3" s="4" t="b">
        <f>IF(LEN(data!AD3)=0,TRUE,IF(LEN(data!AD3)=5,TRUE,FALSE))</f>
        <v>1</v>
      </c>
      <c r="AP3" s="4" t="b">
        <f>LEN(data!AE3)&gt;0</f>
        <v>1</v>
      </c>
      <c r="AQ3" s="4" t="b">
        <f>LEN(data!AE3)=5</f>
        <v>1</v>
      </c>
      <c r="AR3" s="4" t="b">
        <f>ISERROR(MATCH(data!AF3, rule_mapping!$B$2:$B$3, 0))=FALSE</f>
        <v>1</v>
      </c>
      <c r="AS3" s="4" t="b">
        <f>ISERROR(MATCH(data!AG3, rule_mapping!$A$2:$A$8, 0))=FALSE</f>
        <v>1</v>
      </c>
      <c r="AT3" s="4" t="b">
        <f>LEN(data!AH3)&lt;=4</f>
        <v>1</v>
      </c>
      <c r="AU3" s="4" t="b">
        <f>LEN(data!AI3)&lt;=10</f>
        <v>1</v>
      </c>
      <c r="AV3" s="4" t="b">
        <f>LEN(data!AJ3)&lt;=35</f>
        <v>1</v>
      </c>
      <c r="AW3" s="4" t="b">
        <f>LEN(data!AK3)&lt;=20</f>
        <v>1</v>
      </c>
      <c r="AX3" s="11" t="str">
        <f t="shared" ref="AX3:AX66" si="0">CONCATENATE(IF(NOT(B3), B$1 &amp; CHAR(10), ""), IF(NOT(C3), C$1 &amp; CHAR(10), ""), IF(NOT(D3), D$1 &amp; CHAR(10), ""), IF(NOT(E3), E$1 &amp; CHAR(10), ""), IF(NOT(F3), F$1 &amp; CHAR(10), ""), IF(NOT(G3), G$1 &amp; CHAR(10), ""), IF(NOT(H3), H$1 &amp; CHAR(10), ""), IF(NOT(I3), I$1 &amp; CHAR(10), ""), IF(NOT(J3), J$1 &amp; CHAR(10), ""), IF(NOT(K3), K$1 &amp; CHAR(10), ""), IF(NOT(L3), L$1 &amp; CHAR(10), ""), IF(NOT(M3), M$1 &amp; CHAR(10), ""), IF(NOT(N3), N$1 &amp; CHAR(10), ""), IF(NOT(O3), O$1 &amp; CHAR(10), ""), IF(NOT(P3), P$1 &amp; CHAR(10), ""), IF(NOT(Q3), Q$1 &amp; CHAR(10), ""), IF(NOT(R3), R$1 &amp; CHAR(10), ""), IF(NOT(S3), S$1 &amp; CHAR(10), ""), IF(NOT(T3), T$1 &amp; CHAR(10), ""), IF(NOT(U3), U$1 &amp; CHAR(10), ""), IF(NOT(V3), V$1 &amp; CHAR(10), ""), IF(NOT(W3), W$1 &amp; CHAR(10), ""), IF(NOT(X3), X$1 &amp; CHAR(10), ""), IF(NOT(Y3), Y$1 &amp; CHAR(10), ""), IF(NOT(Z3), Z$1 &amp; CHAR(10), ""), IF(NOT(AA3), AA$1 &amp; CHAR(10), ""), IF(NOT(AB3), AB$1 &amp; CHAR(10), ""), IF(NOT(AC3), AC$1 &amp; CHAR(10), ""), IF(NOT(AD3), AD$1 &amp; CHAR(10), ""), IF(NOT(AE3), AE$1 &amp; CHAR(10), ""), IF(NOT(AF3), AF$1 &amp; CHAR(10), ""), IF(NOT(AG3), AG$1 &amp; CHAR(10), ""), IF(NOT(AH3), AH$1 &amp; CHAR(10), ""), IF(NOT(AI3), AI$1 &amp; CHAR(10), ""), IF(NOT(AJ3), AJ$1 &amp; CHAR(10), ""), IF(NOT(AK3), AK$1 &amp; CHAR(10), ""), IF(NOT(AL3), AL$1 &amp; CHAR(10), ""), IF(NOT(AM3), AM$1 &amp; CHAR(10), ""), IF(NOT(AN3), AN$1 &amp; CHAR(10), ""), IF(NOT(AO3), AO$1 &amp; CHAR(10), ""), IF(NOT(AP3), AP$1 &amp; CHAR(10), ""), IF(NOT(AQ3), AQ$1 &amp; CHAR(10), ""), IF(NOT(AR3), AR$1 &amp; CHAR(10), ""), IF(NOT(AS3), AS$1 &amp; CHAR(10), ""), IF(NOT(AT3), AT$1 &amp; CHAR(10), ""), IF(NOT(AU3), AU$1 &amp; CHAR(10), ""), IF(NOT(AV3), AV$1 &amp; CHAR(10), ""), IF(NOT(AW3), AW$1 &amp; CHAR(10), ""))</f>
        <v xml:space="preserve">缺少 发货人城市
缺少 收货人城市
缺少 通知人城市
唛头 不应多于90个字符
</v>
      </c>
    </row>
    <row r="4" spans="1:50" ht="67.5" x14ac:dyDescent="0.15">
      <c r="A4" s="4" t="b">
        <f>OR(ISBLANK(data!B4), AND(B4:AW4))</f>
        <v>0</v>
      </c>
      <c r="B4" s="4" t="b">
        <f>AND(LEFT(TRIM(data!B4), 4)="OOLU", ISNUMBER(RIGHT(TRIM(data!B4), LEN(TRIM(data!B4))-4)+0))</f>
        <v>1</v>
      </c>
      <c r="C4" s="4" t="b">
        <f>LEN(data!C4)&gt;0</f>
        <v>1</v>
      </c>
      <c r="D4" s="4" t="b">
        <f>LEN(data!C4)&lt;=70</f>
        <v>1</v>
      </c>
      <c r="E4" s="4" t="b">
        <f>LEN(data!D4)&gt;0</f>
        <v>1</v>
      </c>
      <c r="F4" s="4" t="b">
        <f>LEN(data!D4)&lt;=140</f>
        <v>1</v>
      </c>
      <c r="G4" s="4" t="b">
        <f>LEN(data!E4)&gt;0</f>
        <v>0</v>
      </c>
      <c r="H4" s="4" t="b">
        <f>LEN(data!E4)&lt;=35</f>
        <v>1</v>
      </c>
      <c r="I4" s="4" t="b">
        <f>LEN(data!F4)=2</f>
        <v>1</v>
      </c>
      <c r="J4" s="4" t="b">
        <f>LEN(data!G4)&gt;0</f>
        <v>1</v>
      </c>
      <c r="K4" s="4" t="b">
        <f>LEN(data!G4)&lt;=60</f>
        <v>1</v>
      </c>
      <c r="L4" s="4" t="b">
        <f>LEN(data!I4)&gt;0</f>
        <v>1</v>
      </c>
      <c r="M4" s="4" t="b">
        <f>LEN(data!I4)&lt;=70</f>
        <v>1</v>
      </c>
      <c r="N4" s="4" t="b">
        <f>LEN(data!J4)&gt;0</f>
        <v>1</v>
      </c>
      <c r="O4" s="4" t="b">
        <f>LEN(data!J4)&lt;=140</f>
        <v>1</v>
      </c>
      <c r="P4" s="4" t="b">
        <f>LEN(data!K4)&gt;0</f>
        <v>0</v>
      </c>
      <c r="Q4" s="4" t="b">
        <f>LEN(data!K4)&lt;=35</f>
        <v>1</v>
      </c>
      <c r="R4" s="4" t="b">
        <f>LEN(data!L4)=2</f>
        <v>1</v>
      </c>
      <c r="S4" s="4" t="b">
        <f>LEN(data!M4)&gt;0</f>
        <v>1</v>
      </c>
      <c r="T4" s="4" t="b">
        <f>LEN(data!M4)&lt;=60</f>
        <v>1</v>
      </c>
      <c r="U4" s="4" t="b">
        <f>LEN(data!O4)&gt;0</f>
        <v>1</v>
      </c>
      <c r="V4" s="4" t="b">
        <f>LEN(data!O4)&lt;=70</f>
        <v>1</v>
      </c>
      <c r="W4" s="4" t="b">
        <f>LEN(data!P4)&gt;0</f>
        <v>1</v>
      </c>
      <c r="X4" s="4" t="b">
        <f>LEN(data!P4)&lt;=140</f>
        <v>1</v>
      </c>
      <c r="Y4" s="4" t="b">
        <f>LEN(data!Q4)&gt;0</f>
        <v>0</v>
      </c>
      <c r="Z4" s="4" t="b">
        <f>LEN(data!Q4)&lt;=35</f>
        <v>1</v>
      </c>
      <c r="AA4" s="4" t="b">
        <f>LEN(data!R4)=2</f>
        <v>1</v>
      </c>
      <c r="AB4" s="4" t="b">
        <f>LEN(data!S4)&gt;0</f>
        <v>1</v>
      </c>
      <c r="AC4" s="4" t="b">
        <f>LEN(data!S4)&lt;=120</f>
        <v>1</v>
      </c>
      <c r="AD4" s="4" t="b">
        <f>LEN(data!U4)=11</f>
        <v>1</v>
      </c>
      <c r="AE4" s="4" t="b">
        <f>AND(ISERROR(MATCH(data!V4, rule_mapping!$C$2:$C$325, 0))=FALSE, LEN(data!V4) &lt;= 4)</f>
        <v>1</v>
      </c>
      <c r="AF4" s="4" t="b">
        <f>LEN(data!W4)&gt;0</f>
        <v>1</v>
      </c>
      <c r="AG4" s="4" t="b">
        <f>LEN(data!W4)&lt;=20</f>
        <v>1</v>
      </c>
      <c r="AH4" s="4" t="b">
        <f xml:space="preserve"> IFERROR(ISNUMBER(data!X4), FALSE)</f>
        <v>1</v>
      </c>
      <c r="AI4" s="4" t="b">
        <f>IF(ISERROR(MATCH(data!Y4, rule_mapping!$D$2:$D$252, 0))=FALSE,TRUE, FALSE)</f>
        <v>1</v>
      </c>
      <c r="AJ4" s="4" t="b">
        <f>IFERROR(ISNUMBER(data!Z4), FALSE)</f>
        <v>1</v>
      </c>
      <c r="AK4" s="4" t="b">
        <f>IFERROR(ISNUMBER(data!AA4), FALSE)</f>
        <v>1</v>
      </c>
      <c r="AL4" s="4" t="b">
        <f>LEN(data!AB4)&lt;=90</f>
        <v>0</v>
      </c>
      <c r="AM4" s="4" t="b">
        <f>LEN(data!AC4)&gt;0</f>
        <v>1</v>
      </c>
      <c r="AN4" s="4" t="b">
        <f>LEN(data!AC4)&lt;=2000</f>
        <v>1</v>
      </c>
      <c r="AO4" s="4" t="b">
        <f>IF(LEN(data!AD4)=0,TRUE,IF(LEN(data!AD4)=5,TRUE,FALSE))</f>
        <v>1</v>
      </c>
      <c r="AP4" s="4" t="b">
        <f>LEN(data!AE4)&gt;0</f>
        <v>1</v>
      </c>
      <c r="AQ4" s="4" t="b">
        <f>LEN(data!AE4)=5</f>
        <v>1</v>
      </c>
      <c r="AR4" s="4" t="b">
        <f>ISERROR(MATCH(data!AF4, rule_mapping!$B$2:$B$3, 0))=FALSE</f>
        <v>1</v>
      </c>
      <c r="AS4" s="4" t="b">
        <f>ISERROR(MATCH(data!AG4, rule_mapping!$A$2:$A$8, 0))=FALSE</f>
        <v>1</v>
      </c>
      <c r="AT4" s="4" t="b">
        <f>LEN(data!AH4)&lt;=4</f>
        <v>1</v>
      </c>
      <c r="AU4" s="4" t="b">
        <f>LEN(data!AI4)&lt;=10</f>
        <v>1</v>
      </c>
      <c r="AV4" s="4" t="b">
        <f>LEN(data!AJ4)&lt;=35</f>
        <v>1</v>
      </c>
      <c r="AW4" s="4" t="b">
        <f>LEN(data!AK4)&lt;=20</f>
        <v>1</v>
      </c>
      <c r="AX4" s="11" t="str">
        <f t="shared" si="0"/>
        <v xml:space="preserve">缺少 发货人城市
缺少 收货人城市
缺少 通知人城市
唛头 不应多于90个字符
</v>
      </c>
    </row>
    <row r="5" spans="1:50" ht="409.5" x14ac:dyDescent="0.15">
      <c r="A5" s="4" t="b">
        <f>OR(ISBLANK(data!B5), AND(B5:AW5))</f>
        <v>1</v>
      </c>
      <c r="B5" s="4" t="b">
        <f>AND(LEFT(TRIM(data!B5), 4)="OOLU", ISNUMBER(RIGHT(TRIM(data!B5), LEN(TRIM(data!B5))-4)+0))</f>
        <v>0</v>
      </c>
      <c r="C5" s="4" t="b">
        <f>LEN(data!C5)&gt;0</f>
        <v>0</v>
      </c>
      <c r="D5" s="4" t="b">
        <f>LEN(data!C5)&lt;=70</f>
        <v>1</v>
      </c>
      <c r="E5" s="4" t="b">
        <f>LEN(data!D5)&gt;0</f>
        <v>0</v>
      </c>
      <c r="F5" s="4" t="b">
        <f>LEN(data!D5)&lt;=140</f>
        <v>1</v>
      </c>
      <c r="G5" s="4" t="b">
        <f>LEN(data!E5)&gt;0</f>
        <v>0</v>
      </c>
      <c r="H5" s="4" t="b">
        <f>LEN(data!E5)&lt;=35</f>
        <v>1</v>
      </c>
      <c r="I5" s="4" t="b">
        <f>LEN(data!F5)=2</f>
        <v>0</v>
      </c>
      <c r="J5" s="4" t="b">
        <f>LEN(data!G5)&gt;0</f>
        <v>0</v>
      </c>
      <c r="K5" s="4" t="b">
        <f>LEN(data!G5)&lt;=60</f>
        <v>1</v>
      </c>
      <c r="L5" s="4" t="b">
        <f>LEN(data!I5)&gt;0</f>
        <v>0</v>
      </c>
      <c r="M5" s="4" t="b">
        <f>LEN(data!I5)&lt;=70</f>
        <v>1</v>
      </c>
      <c r="N5" s="4" t="b">
        <f>LEN(data!J5)&gt;0</f>
        <v>0</v>
      </c>
      <c r="O5" s="4" t="b">
        <f>LEN(data!J5)&lt;=140</f>
        <v>1</v>
      </c>
      <c r="P5" s="4" t="b">
        <f>LEN(data!K5)&gt;0</f>
        <v>0</v>
      </c>
      <c r="Q5" s="4" t="b">
        <f>LEN(data!K5)&lt;=35</f>
        <v>1</v>
      </c>
      <c r="R5" s="4" t="b">
        <f>LEN(data!L5)=2</f>
        <v>0</v>
      </c>
      <c r="S5" s="4" t="b">
        <f>LEN(data!M5)&gt;0</f>
        <v>0</v>
      </c>
      <c r="T5" s="4" t="b">
        <f>LEN(data!M5)&lt;=60</f>
        <v>1</v>
      </c>
      <c r="U5" s="4" t="b">
        <f>LEN(data!O5)&gt;0</f>
        <v>0</v>
      </c>
      <c r="V5" s="4" t="b">
        <f>LEN(data!O5)&lt;=70</f>
        <v>1</v>
      </c>
      <c r="W5" s="4" t="b">
        <f>LEN(data!P5)&gt;0</f>
        <v>0</v>
      </c>
      <c r="X5" s="4" t="b">
        <f>LEN(data!P5)&lt;=140</f>
        <v>1</v>
      </c>
      <c r="Y5" s="4" t="b">
        <f>LEN(data!Q5)&gt;0</f>
        <v>0</v>
      </c>
      <c r="Z5" s="4" t="b">
        <f>LEN(data!Q5)&lt;=35</f>
        <v>1</v>
      </c>
      <c r="AA5" s="4" t="b">
        <f>LEN(data!R5)=2</f>
        <v>0</v>
      </c>
      <c r="AB5" s="4" t="b">
        <f>LEN(data!S5)&gt;0</f>
        <v>0</v>
      </c>
      <c r="AC5" s="4" t="b">
        <f>LEN(data!S5)&lt;=120</f>
        <v>1</v>
      </c>
      <c r="AD5" s="4" t="b">
        <f>LEN(data!U5)=11</f>
        <v>0</v>
      </c>
      <c r="AE5" s="4" t="b">
        <f>AND(ISERROR(MATCH(data!V5, rule_mapping!$C$2:$C$325, 0))=FALSE, LEN(data!V5) &lt;= 4)</f>
        <v>0</v>
      </c>
      <c r="AF5" s="4" t="b">
        <f>LEN(data!W5)&gt;0</f>
        <v>0</v>
      </c>
      <c r="AG5" s="4" t="b">
        <f>LEN(data!W5)&lt;=20</f>
        <v>1</v>
      </c>
      <c r="AH5" s="4" t="b">
        <f xml:space="preserve"> IFERROR(ISNUMBER(data!X5), FALSE)</f>
        <v>0</v>
      </c>
      <c r="AI5" s="4" t="b">
        <f>IF(ISERROR(MATCH(data!Y5, rule_mapping!$D$2:$D$252, 0))=FALSE,TRUE, FALSE)</f>
        <v>0</v>
      </c>
      <c r="AJ5" s="4" t="b">
        <f>IFERROR(ISNUMBER(data!Z5), FALSE)</f>
        <v>0</v>
      </c>
      <c r="AK5" s="4" t="b">
        <f>IFERROR(ISNUMBER(data!AA5), FALSE)</f>
        <v>0</v>
      </c>
      <c r="AL5" s="4" t="b">
        <f>LEN(data!AB5)&lt;=90</f>
        <v>1</v>
      </c>
      <c r="AM5" s="4" t="b">
        <f>LEN(data!AC5)&gt;0</f>
        <v>0</v>
      </c>
      <c r="AN5" s="4" t="b">
        <f>LEN(data!AC5)&lt;=2000</f>
        <v>1</v>
      </c>
      <c r="AO5" s="4" t="b">
        <f>IF(LEN(data!AD5)=0,TRUE,IF(LEN(data!AD5)=5,TRUE,FALSE))</f>
        <v>1</v>
      </c>
      <c r="AP5" s="4" t="b">
        <f>LEN(data!AE5)&gt;0</f>
        <v>0</v>
      </c>
      <c r="AQ5" s="4" t="b">
        <f>LEN(data!AE5)=5</f>
        <v>0</v>
      </c>
      <c r="AR5" s="4" t="b">
        <f>ISERROR(MATCH(data!AF5, rule_mapping!$B$2:$B$3, 0))=FALSE</f>
        <v>0</v>
      </c>
      <c r="AS5" s="4" t="b">
        <f>ISERROR(MATCH(data!AG5, rule_mapping!$A$2:$A$8, 0))=FALSE</f>
        <v>0</v>
      </c>
      <c r="AT5" s="4" t="b">
        <f>LEN(data!AH5)&lt;=4</f>
        <v>1</v>
      </c>
      <c r="AU5" s="4" t="b">
        <f>LEN(data!AI5)&lt;=10</f>
        <v>1</v>
      </c>
      <c r="AV5" s="4" t="b">
        <f>LEN(data!AJ5)&lt;=35</f>
        <v>1</v>
      </c>
      <c r="AW5" s="4" t="b">
        <f>LEN(data!AK5)&lt;=20</f>
        <v>1</v>
      </c>
      <c r="AX5"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 spans="1:50" ht="409.5" x14ac:dyDescent="0.15">
      <c r="A6" s="4" t="b">
        <f>OR(ISBLANK(data!B6), AND(B6:AW6))</f>
        <v>1</v>
      </c>
      <c r="B6" s="4" t="b">
        <f>AND(LEFT(TRIM(data!B6), 4)="OOLU", ISNUMBER(RIGHT(TRIM(data!B6), LEN(TRIM(data!B6))-4)+0))</f>
        <v>0</v>
      </c>
      <c r="C6" s="4" t="b">
        <f>LEN(data!C6)&gt;0</f>
        <v>0</v>
      </c>
      <c r="D6" s="4" t="b">
        <f>LEN(data!C6)&lt;=70</f>
        <v>1</v>
      </c>
      <c r="E6" s="4" t="b">
        <f>LEN(data!D6)&gt;0</f>
        <v>0</v>
      </c>
      <c r="F6" s="4" t="b">
        <f>LEN(data!D6)&lt;=140</f>
        <v>1</v>
      </c>
      <c r="G6" s="4" t="b">
        <f>LEN(data!E6)&gt;0</f>
        <v>0</v>
      </c>
      <c r="H6" s="4" t="b">
        <f>LEN(data!E6)&lt;=35</f>
        <v>1</v>
      </c>
      <c r="I6" s="4" t="b">
        <f>LEN(data!F6)=2</f>
        <v>0</v>
      </c>
      <c r="J6" s="4" t="b">
        <f>LEN(data!G6)&gt;0</f>
        <v>0</v>
      </c>
      <c r="K6" s="4" t="b">
        <f>LEN(data!G6)&lt;=60</f>
        <v>1</v>
      </c>
      <c r="L6" s="4" t="b">
        <f>LEN(data!I6)&gt;0</f>
        <v>0</v>
      </c>
      <c r="M6" s="4" t="b">
        <f>LEN(data!I6)&lt;=70</f>
        <v>1</v>
      </c>
      <c r="N6" s="4" t="b">
        <f>LEN(data!J6)&gt;0</f>
        <v>0</v>
      </c>
      <c r="O6" s="4" t="b">
        <f>LEN(data!J6)&lt;=140</f>
        <v>1</v>
      </c>
      <c r="P6" s="4" t="b">
        <f>LEN(data!K6)&gt;0</f>
        <v>0</v>
      </c>
      <c r="Q6" s="4" t="b">
        <f>LEN(data!K6)&lt;=35</f>
        <v>1</v>
      </c>
      <c r="R6" s="4" t="b">
        <f>LEN(data!L6)=2</f>
        <v>0</v>
      </c>
      <c r="S6" s="4" t="b">
        <f>LEN(data!M6)&gt;0</f>
        <v>0</v>
      </c>
      <c r="T6" s="4" t="b">
        <f>LEN(data!M6)&lt;=60</f>
        <v>1</v>
      </c>
      <c r="U6" s="4" t="b">
        <f>LEN(data!O6)&gt;0</f>
        <v>0</v>
      </c>
      <c r="V6" s="4" t="b">
        <f>LEN(data!O6)&lt;=70</f>
        <v>1</v>
      </c>
      <c r="W6" s="4" t="b">
        <f>LEN(data!P6)&gt;0</f>
        <v>0</v>
      </c>
      <c r="X6" s="4" t="b">
        <f>LEN(data!P6)&lt;=140</f>
        <v>1</v>
      </c>
      <c r="Y6" s="4" t="b">
        <f>LEN(data!Q6)&gt;0</f>
        <v>0</v>
      </c>
      <c r="Z6" s="4" t="b">
        <f>LEN(data!Q6)&lt;=35</f>
        <v>1</v>
      </c>
      <c r="AA6" s="4" t="b">
        <f>LEN(data!R6)=2</f>
        <v>0</v>
      </c>
      <c r="AB6" s="4" t="b">
        <f>LEN(data!S6)&gt;0</f>
        <v>0</v>
      </c>
      <c r="AC6" s="4" t="b">
        <f>LEN(data!S6)&lt;=120</f>
        <v>1</v>
      </c>
      <c r="AD6" s="4" t="b">
        <f>LEN(data!U6)=11</f>
        <v>0</v>
      </c>
      <c r="AE6" s="4" t="b">
        <f>AND(ISERROR(MATCH(data!V6, rule_mapping!$C$2:$C$325, 0))=FALSE, LEN(data!V6) &lt;= 4)</f>
        <v>0</v>
      </c>
      <c r="AF6" s="4" t="b">
        <f>LEN(data!W6)&gt;0</f>
        <v>0</v>
      </c>
      <c r="AG6" s="4" t="b">
        <f>LEN(data!W6)&lt;=20</f>
        <v>1</v>
      </c>
      <c r="AH6" s="4" t="b">
        <f xml:space="preserve"> IFERROR(ISNUMBER(data!X6), FALSE)</f>
        <v>0</v>
      </c>
      <c r="AI6" s="4" t="b">
        <f>IF(ISERROR(MATCH(data!Y6, rule_mapping!$D$2:$D$252, 0))=FALSE,TRUE, FALSE)</f>
        <v>0</v>
      </c>
      <c r="AJ6" s="4" t="b">
        <f>IFERROR(ISNUMBER(data!Z6), FALSE)</f>
        <v>0</v>
      </c>
      <c r="AK6" s="4" t="b">
        <f>IFERROR(ISNUMBER(data!AA6), FALSE)</f>
        <v>0</v>
      </c>
      <c r="AL6" s="4" t="b">
        <f>LEN(data!AB6)&lt;=90</f>
        <v>1</v>
      </c>
      <c r="AM6" s="4" t="b">
        <f>LEN(data!AC6)&gt;0</f>
        <v>0</v>
      </c>
      <c r="AN6" s="4" t="b">
        <f>LEN(data!AC6)&lt;=2000</f>
        <v>1</v>
      </c>
      <c r="AO6" s="4" t="b">
        <f>IF(LEN(data!AD6)=0,TRUE,IF(LEN(data!AD6)=5,TRUE,FALSE))</f>
        <v>1</v>
      </c>
      <c r="AP6" s="4" t="b">
        <f>LEN(data!AE6)&gt;0</f>
        <v>0</v>
      </c>
      <c r="AQ6" s="4" t="b">
        <f>LEN(data!AE6)=5</f>
        <v>0</v>
      </c>
      <c r="AR6" s="4" t="b">
        <f>ISERROR(MATCH(data!AF6, rule_mapping!$B$2:$B$3, 0))=FALSE</f>
        <v>0</v>
      </c>
      <c r="AS6" s="4" t="b">
        <f>ISERROR(MATCH(data!AG6, rule_mapping!$A$2:$A$8, 0))=FALSE</f>
        <v>0</v>
      </c>
      <c r="AT6" s="4" t="b">
        <f>LEN(data!AH6)&lt;=4</f>
        <v>1</v>
      </c>
      <c r="AU6" s="4" t="b">
        <f>LEN(data!AI6)&lt;=10</f>
        <v>1</v>
      </c>
      <c r="AV6" s="4" t="b">
        <f>LEN(data!AJ6)&lt;=35</f>
        <v>1</v>
      </c>
      <c r="AW6" s="4" t="b">
        <f>LEN(data!AK6)&lt;=20</f>
        <v>1</v>
      </c>
      <c r="AX6"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 spans="1:50" ht="409.5" x14ac:dyDescent="0.15">
      <c r="A7" s="4" t="b">
        <f>OR(ISBLANK(data!B7), AND(B7:AW7))</f>
        <v>1</v>
      </c>
      <c r="B7" s="4" t="b">
        <f>AND(LEFT(TRIM(data!B7), 4)="OOLU", ISNUMBER(RIGHT(TRIM(data!B7), LEN(TRIM(data!B7))-4)+0))</f>
        <v>0</v>
      </c>
      <c r="C7" s="4" t="b">
        <f>LEN(data!C7)&gt;0</f>
        <v>0</v>
      </c>
      <c r="D7" s="4" t="b">
        <f>LEN(data!C7)&lt;=70</f>
        <v>1</v>
      </c>
      <c r="E7" s="4" t="b">
        <f>LEN(data!D7)&gt;0</f>
        <v>0</v>
      </c>
      <c r="F7" s="4" t="b">
        <f>LEN(data!D7)&lt;=140</f>
        <v>1</v>
      </c>
      <c r="G7" s="4" t="b">
        <f>LEN(data!E7)&gt;0</f>
        <v>0</v>
      </c>
      <c r="H7" s="4" t="b">
        <f>LEN(data!E7)&lt;=35</f>
        <v>1</v>
      </c>
      <c r="I7" s="4" t="b">
        <f>LEN(data!F7)=2</f>
        <v>0</v>
      </c>
      <c r="J7" s="4" t="b">
        <f>LEN(data!G7)&gt;0</f>
        <v>0</v>
      </c>
      <c r="K7" s="4" t="b">
        <f>LEN(data!G7)&lt;=60</f>
        <v>1</v>
      </c>
      <c r="L7" s="4" t="b">
        <f>LEN(data!I7)&gt;0</f>
        <v>0</v>
      </c>
      <c r="M7" s="4" t="b">
        <f>LEN(data!I7)&lt;=70</f>
        <v>1</v>
      </c>
      <c r="N7" s="4" t="b">
        <f>LEN(data!J7)&gt;0</f>
        <v>0</v>
      </c>
      <c r="O7" s="4" t="b">
        <f>LEN(data!J7)&lt;=140</f>
        <v>1</v>
      </c>
      <c r="P7" s="4" t="b">
        <f>LEN(data!K7)&gt;0</f>
        <v>0</v>
      </c>
      <c r="Q7" s="4" t="b">
        <f>LEN(data!K7)&lt;=35</f>
        <v>1</v>
      </c>
      <c r="R7" s="4" t="b">
        <f>LEN(data!L7)=2</f>
        <v>0</v>
      </c>
      <c r="S7" s="4" t="b">
        <f>LEN(data!M7)&gt;0</f>
        <v>0</v>
      </c>
      <c r="T7" s="4" t="b">
        <f>LEN(data!M7)&lt;=60</f>
        <v>1</v>
      </c>
      <c r="U7" s="4" t="b">
        <f>LEN(data!O7)&gt;0</f>
        <v>0</v>
      </c>
      <c r="V7" s="4" t="b">
        <f>LEN(data!O7)&lt;=70</f>
        <v>1</v>
      </c>
      <c r="W7" s="4" t="b">
        <f>LEN(data!P7)&gt;0</f>
        <v>0</v>
      </c>
      <c r="X7" s="4" t="b">
        <f>LEN(data!P7)&lt;=140</f>
        <v>1</v>
      </c>
      <c r="Y7" s="4" t="b">
        <f>LEN(data!Q7)&gt;0</f>
        <v>0</v>
      </c>
      <c r="Z7" s="4" t="b">
        <f>LEN(data!Q7)&lt;=35</f>
        <v>1</v>
      </c>
      <c r="AA7" s="4" t="b">
        <f>LEN(data!R7)=2</f>
        <v>0</v>
      </c>
      <c r="AB7" s="4" t="b">
        <f>LEN(data!S7)&gt;0</f>
        <v>0</v>
      </c>
      <c r="AC7" s="4" t="b">
        <f>LEN(data!S7)&lt;=120</f>
        <v>1</v>
      </c>
      <c r="AD7" s="4" t="b">
        <f>LEN(data!U7)=11</f>
        <v>0</v>
      </c>
      <c r="AE7" s="4" t="b">
        <f>AND(ISERROR(MATCH(data!V7, rule_mapping!$C$2:$C$325, 0))=FALSE, LEN(data!V7) &lt;= 4)</f>
        <v>0</v>
      </c>
      <c r="AF7" s="4" t="b">
        <f>LEN(data!W7)&gt;0</f>
        <v>0</v>
      </c>
      <c r="AG7" s="4" t="b">
        <f>LEN(data!W7)&lt;=20</f>
        <v>1</v>
      </c>
      <c r="AH7" s="4" t="b">
        <f xml:space="preserve"> IFERROR(ISNUMBER(data!X7), FALSE)</f>
        <v>0</v>
      </c>
      <c r="AI7" s="4" t="b">
        <f>IF(ISERROR(MATCH(data!Y7, rule_mapping!$D$2:$D$252, 0))=FALSE,TRUE, FALSE)</f>
        <v>0</v>
      </c>
      <c r="AJ7" s="4" t="b">
        <f>IFERROR(ISNUMBER(data!Z7), FALSE)</f>
        <v>0</v>
      </c>
      <c r="AK7" s="4" t="b">
        <f>IFERROR(ISNUMBER(data!AA7), FALSE)</f>
        <v>0</v>
      </c>
      <c r="AL7" s="4" t="b">
        <f>LEN(data!AB7)&lt;=90</f>
        <v>1</v>
      </c>
      <c r="AM7" s="4" t="b">
        <f>LEN(data!AC7)&gt;0</f>
        <v>0</v>
      </c>
      <c r="AN7" s="4" t="b">
        <f>LEN(data!AC7)&lt;=2000</f>
        <v>1</v>
      </c>
      <c r="AO7" s="4" t="b">
        <f>IF(LEN(data!AD7)=0,TRUE,IF(LEN(data!AD7)=5,TRUE,FALSE))</f>
        <v>1</v>
      </c>
      <c r="AP7" s="4" t="b">
        <f>LEN(data!AE7)&gt;0</f>
        <v>0</v>
      </c>
      <c r="AQ7" s="4" t="b">
        <f>LEN(data!AE7)=5</f>
        <v>0</v>
      </c>
      <c r="AR7" s="4" t="b">
        <f>ISERROR(MATCH(data!AF7, rule_mapping!$B$2:$B$3, 0))=FALSE</f>
        <v>0</v>
      </c>
      <c r="AS7" s="4" t="b">
        <f>ISERROR(MATCH(data!AG7, rule_mapping!$A$2:$A$8, 0))=FALSE</f>
        <v>0</v>
      </c>
      <c r="AT7" s="4" t="b">
        <f>LEN(data!AH7)&lt;=4</f>
        <v>1</v>
      </c>
      <c r="AU7" s="4" t="b">
        <f>LEN(data!AI7)&lt;=10</f>
        <v>1</v>
      </c>
      <c r="AV7" s="4" t="b">
        <f>LEN(data!AJ7)&lt;=35</f>
        <v>1</v>
      </c>
      <c r="AW7" s="4" t="b">
        <f>LEN(data!AK7)&lt;=20</f>
        <v>1</v>
      </c>
      <c r="AX7"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 spans="1:50" ht="409.5" x14ac:dyDescent="0.15">
      <c r="A8" s="4" t="b">
        <f>OR(ISBLANK(data!B8), AND(B8:AW8))</f>
        <v>1</v>
      </c>
      <c r="B8" s="4" t="b">
        <f>AND(LEFT(TRIM(data!B8), 4)="OOLU", ISNUMBER(RIGHT(TRIM(data!B8), LEN(TRIM(data!B8))-4)+0))</f>
        <v>0</v>
      </c>
      <c r="C8" s="4" t="b">
        <f>LEN(data!C8)&gt;0</f>
        <v>0</v>
      </c>
      <c r="D8" s="4" t="b">
        <f>LEN(data!C8)&lt;=70</f>
        <v>1</v>
      </c>
      <c r="E8" s="4" t="b">
        <f>LEN(data!D8)&gt;0</f>
        <v>0</v>
      </c>
      <c r="F8" s="4" t="b">
        <f>LEN(data!D8)&lt;=140</f>
        <v>1</v>
      </c>
      <c r="G8" s="4" t="b">
        <f>LEN(data!E8)&gt;0</f>
        <v>0</v>
      </c>
      <c r="H8" s="4" t="b">
        <f>LEN(data!E8)&lt;=35</f>
        <v>1</v>
      </c>
      <c r="I8" s="4" t="b">
        <f>LEN(data!F8)=2</f>
        <v>0</v>
      </c>
      <c r="J8" s="4" t="b">
        <f>LEN(data!G8)&gt;0</f>
        <v>0</v>
      </c>
      <c r="K8" s="4" t="b">
        <f>LEN(data!G8)&lt;=60</f>
        <v>1</v>
      </c>
      <c r="L8" s="4" t="b">
        <f>LEN(data!I8)&gt;0</f>
        <v>0</v>
      </c>
      <c r="M8" s="4" t="b">
        <f>LEN(data!I8)&lt;=70</f>
        <v>1</v>
      </c>
      <c r="N8" s="4" t="b">
        <f>LEN(data!J8)&gt;0</f>
        <v>0</v>
      </c>
      <c r="O8" s="4" t="b">
        <f>LEN(data!J8)&lt;=140</f>
        <v>1</v>
      </c>
      <c r="P8" s="4" t="b">
        <f>LEN(data!K8)&gt;0</f>
        <v>0</v>
      </c>
      <c r="Q8" s="4" t="b">
        <f>LEN(data!K8)&lt;=35</f>
        <v>1</v>
      </c>
      <c r="R8" s="4" t="b">
        <f>LEN(data!L8)=2</f>
        <v>0</v>
      </c>
      <c r="S8" s="4" t="b">
        <f>LEN(data!M8)&gt;0</f>
        <v>0</v>
      </c>
      <c r="T8" s="4" t="b">
        <f>LEN(data!M8)&lt;=60</f>
        <v>1</v>
      </c>
      <c r="U8" s="4" t="b">
        <f>LEN(data!O8)&gt;0</f>
        <v>0</v>
      </c>
      <c r="V8" s="4" t="b">
        <f>LEN(data!O8)&lt;=70</f>
        <v>1</v>
      </c>
      <c r="W8" s="4" t="b">
        <f>LEN(data!P8)&gt;0</f>
        <v>0</v>
      </c>
      <c r="X8" s="4" t="b">
        <f>LEN(data!P8)&lt;=140</f>
        <v>1</v>
      </c>
      <c r="Y8" s="4" t="b">
        <f>LEN(data!Q8)&gt;0</f>
        <v>0</v>
      </c>
      <c r="Z8" s="4" t="b">
        <f>LEN(data!Q8)&lt;=35</f>
        <v>1</v>
      </c>
      <c r="AA8" s="4" t="b">
        <f>LEN(data!R8)=2</f>
        <v>0</v>
      </c>
      <c r="AB8" s="4" t="b">
        <f>LEN(data!S8)&gt;0</f>
        <v>0</v>
      </c>
      <c r="AC8" s="4" t="b">
        <f>LEN(data!S8)&lt;=120</f>
        <v>1</v>
      </c>
      <c r="AD8" s="4" t="b">
        <f>LEN(data!U8)=11</f>
        <v>0</v>
      </c>
      <c r="AE8" s="4" t="b">
        <f>AND(ISERROR(MATCH(data!V8, rule_mapping!$C$2:$C$325, 0))=FALSE, LEN(data!V8) &lt;= 4)</f>
        <v>0</v>
      </c>
      <c r="AF8" s="4" t="b">
        <f>LEN(data!W8)&gt;0</f>
        <v>0</v>
      </c>
      <c r="AG8" s="4" t="b">
        <f>LEN(data!W8)&lt;=20</f>
        <v>1</v>
      </c>
      <c r="AH8" s="4" t="b">
        <f xml:space="preserve"> IFERROR(ISNUMBER(data!X8), FALSE)</f>
        <v>0</v>
      </c>
      <c r="AI8" s="4" t="b">
        <f>IF(ISERROR(MATCH(data!Y8, rule_mapping!$D$2:$D$252, 0))=FALSE,TRUE, FALSE)</f>
        <v>0</v>
      </c>
      <c r="AJ8" s="4" t="b">
        <f>IFERROR(ISNUMBER(data!Z8), FALSE)</f>
        <v>0</v>
      </c>
      <c r="AK8" s="4" t="b">
        <f>IFERROR(ISNUMBER(data!AA8), FALSE)</f>
        <v>0</v>
      </c>
      <c r="AL8" s="4" t="b">
        <f>LEN(data!AB8)&lt;=90</f>
        <v>1</v>
      </c>
      <c r="AM8" s="4" t="b">
        <f>LEN(data!AC8)&gt;0</f>
        <v>0</v>
      </c>
      <c r="AN8" s="4" t="b">
        <f>LEN(data!AC8)&lt;=2000</f>
        <v>1</v>
      </c>
      <c r="AO8" s="4" t="b">
        <f>IF(LEN(data!AD8)=0,TRUE,IF(LEN(data!AD8)=5,TRUE,FALSE))</f>
        <v>1</v>
      </c>
      <c r="AP8" s="4" t="b">
        <f>LEN(data!AE8)&gt;0</f>
        <v>0</v>
      </c>
      <c r="AQ8" s="4" t="b">
        <f>LEN(data!AE8)=5</f>
        <v>0</v>
      </c>
      <c r="AR8" s="4" t="b">
        <f>ISERROR(MATCH(data!AF8, rule_mapping!$B$2:$B$3, 0))=FALSE</f>
        <v>0</v>
      </c>
      <c r="AS8" s="4" t="b">
        <f>ISERROR(MATCH(data!AG8, rule_mapping!$A$2:$A$8, 0))=FALSE</f>
        <v>0</v>
      </c>
      <c r="AT8" s="4" t="b">
        <f>LEN(data!AH8)&lt;=4</f>
        <v>1</v>
      </c>
      <c r="AU8" s="4" t="b">
        <f>LEN(data!AI8)&lt;=10</f>
        <v>1</v>
      </c>
      <c r="AV8" s="4" t="b">
        <f>LEN(data!AJ8)&lt;=35</f>
        <v>1</v>
      </c>
      <c r="AW8" s="4" t="b">
        <f>LEN(data!AK8)&lt;=20</f>
        <v>1</v>
      </c>
      <c r="AX8"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 spans="1:50" ht="409.5" x14ac:dyDescent="0.15">
      <c r="A9" s="4" t="b">
        <f>OR(ISBLANK(data!B9), AND(B9:AW9))</f>
        <v>1</v>
      </c>
      <c r="B9" s="4" t="b">
        <f>AND(LEFT(TRIM(data!B9), 4)="OOLU", ISNUMBER(RIGHT(TRIM(data!B9), LEN(TRIM(data!B9))-4)+0))</f>
        <v>0</v>
      </c>
      <c r="C9" s="4" t="b">
        <f>LEN(data!C9)&gt;0</f>
        <v>0</v>
      </c>
      <c r="D9" s="4" t="b">
        <f>LEN(data!C9)&lt;=70</f>
        <v>1</v>
      </c>
      <c r="E9" s="4" t="b">
        <f>LEN(data!D9)&gt;0</f>
        <v>0</v>
      </c>
      <c r="F9" s="4" t="b">
        <f>LEN(data!D9)&lt;=140</f>
        <v>1</v>
      </c>
      <c r="G9" s="4" t="b">
        <f>LEN(data!E9)&gt;0</f>
        <v>0</v>
      </c>
      <c r="H9" s="4" t="b">
        <f>LEN(data!E9)&lt;=35</f>
        <v>1</v>
      </c>
      <c r="I9" s="4" t="b">
        <f>LEN(data!F9)=2</f>
        <v>0</v>
      </c>
      <c r="J9" s="4" t="b">
        <f>LEN(data!G9)&gt;0</f>
        <v>0</v>
      </c>
      <c r="K9" s="4" t="b">
        <f>LEN(data!G9)&lt;=60</f>
        <v>1</v>
      </c>
      <c r="L9" s="4" t="b">
        <f>LEN(data!I9)&gt;0</f>
        <v>0</v>
      </c>
      <c r="M9" s="4" t="b">
        <f>LEN(data!I9)&lt;=70</f>
        <v>1</v>
      </c>
      <c r="N9" s="4" t="b">
        <f>LEN(data!J9)&gt;0</f>
        <v>0</v>
      </c>
      <c r="O9" s="4" t="b">
        <f>LEN(data!J9)&lt;=140</f>
        <v>1</v>
      </c>
      <c r="P9" s="4" t="b">
        <f>LEN(data!K9)&gt;0</f>
        <v>0</v>
      </c>
      <c r="Q9" s="4" t="b">
        <f>LEN(data!K9)&lt;=35</f>
        <v>1</v>
      </c>
      <c r="R9" s="4" t="b">
        <f>LEN(data!L9)=2</f>
        <v>0</v>
      </c>
      <c r="S9" s="4" t="b">
        <f>LEN(data!M9)&gt;0</f>
        <v>0</v>
      </c>
      <c r="T9" s="4" t="b">
        <f>LEN(data!M9)&lt;=60</f>
        <v>1</v>
      </c>
      <c r="U9" s="4" t="b">
        <f>LEN(data!O9)&gt;0</f>
        <v>0</v>
      </c>
      <c r="V9" s="4" t="b">
        <f>LEN(data!O9)&lt;=70</f>
        <v>1</v>
      </c>
      <c r="W9" s="4" t="b">
        <f>LEN(data!P9)&gt;0</f>
        <v>0</v>
      </c>
      <c r="X9" s="4" t="b">
        <f>LEN(data!P9)&lt;=140</f>
        <v>1</v>
      </c>
      <c r="Y9" s="4" t="b">
        <f>LEN(data!Q9)&gt;0</f>
        <v>0</v>
      </c>
      <c r="Z9" s="4" t="b">
        <f>LEN(data!Q9)&lt;=35</f>
        <v>1</v>
      </c>
      <c r="AA9" s="4" t="b">
        <f>LEN(data!R9)=2</f>
        <v>0</v>
      </c>
      <c r="AB9" s="4" t="b">
        <f>LEN(data!S9)&gt;0</f>
        <v>0</v>
      </c>
      <c r="AC9" s="4" t="b">
        <f>LEN(data!S9)&lt;=120</f>
        <v>1</v>
      </c>
      <c r="AD9" s="4" t="b">
        <f>LEN(data!U9)=11</f>
        <v>0</v>
      </c>
      <c r="AE9" s="4" t="b">
        <f>AND(ISERROR(MATCH(data!V9, rule_mapping!$C$2:$C$325, 0))=FALSE, LEN(data!V9) &lt;= 4)</f>
        <v>0</v>
      </c>
      <c r="AF9" s="4" t="b">
        <f>LEN(data!W9)&gt;0</f>
        <v>0</v>
      </c>
      <c r="AG9" s="4" t="b">
        <f>LEN(data!W9)&lt;=20</f>
        <v>1</v>
      </c>
      <c r="AH9" s="4" t="b">
        <f xml:space="preserve"> IFERROR(ISNUMBER(data!X9), FALSE)</f>
        <v>0</v>
      </c>
      <c r="AI9" s="4" t="b">
        <f>IF(ISERROR(MATCH(data!Y9, rule_mapping!$D$2:$D$252, 0))=FALSE,TRUE, FALSE)</f>
        <v>0</v>
      </c>
      <c r="AJ9" s="4" t="b">
        <f>IFERROR(ISNUMBER(data!Z9), FALSE)</f>
        <v>0</v>
      </c>
      <c r="AK9" s="4" t="b">
        <f>IFERROR(ISNUMBER(data!AA9), FALSE)</f>
        <v>0</v>
      </c>
      <c r="AL9" s="4" t="b">
        <f>LEN(data!AB9)&lt;=90</f>
        <v>1</v>
      </c>
      <c r="AM9" s="4" t="b">
        <f>LEN(data!AC9)&gt;0</f>
        <v>0</v>
      </c>
      <c r="AN9" s="4" t="b">
        <f>LEN(data!AC9)&lt;=2000</f>
        <v>1</v>
      </c>
      <c r="AO9" s="4" t="b">
        <f>IF(LEN(data!AD9)=0,TRUE,IF(LEN(data!AD9)=5,TRUE,FALSE))</f>
        <v>1</v>
      </c>
      <c r="AP9" s="4" t="b">
        <f>LEN(data!AE9)&gt;0</f>
        <v>0</v>
      </c>
      <c r="AQ9" s="4" t="b">
        <f>LEN(data!AE9)=5</f>
        <v>0</v>
      </c>
      <c r="AR9" s="4" t="b">
        <f>ISERROR(MATCH(data!AF9, rule_mapping!$B$2:$B$3, 0))=FALSE</f>
        <v>0</v>
      </c>
      <c r="AS9" s="4" t="b">
        <f>ISERROR(MATCH(data!AG9, rule_mapping!$A$2:$A$8, 0))=FALSE</f>
        <v>0</v>
      </c>
      <c r="AT9" s="4" t="b">
        <f>LEN(data!AH9)&lt;=4</f>
        <v>1</v>
      </c>
      <c r="AU9" s="4" t="b">
        <f>LEN(data!AI9)&lt;=10</f>
        <v>1</v>
      </c>
      <c r="AV9" s="4" t="b">
        <f>LEN(data!AJ9)&lt;=35</f>
        <v>1</v>
      </c>
      <c r="AW9" s="4" t="b">
        <f>LEN(data!AK9)&lt;=20</f>
        <v>1</v>
      </c>
      <c r="AX9"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 spans="1:50" ht="409.5" x14ac:dyDescent="0.15">
      <c r="A10" s="4" t="b">
        <f>OR(ISBLANK(data!B10), AND(B10:AW10))</f>
        <v>1</v>
      </c>
      <c r="B10" s="4" t="b">
        <f>AND(LEFT(TRIM(data!B10), 4)="OOLU", ISNUMBER(RIGHT(TRIM(data!B10), LEN(TRIM(data!B10))-4)+0))</f>
        <v>0</v>
      </c>
      <c r="C10" s="4" t="b">
        <f>LEN(data!C10)&gt;0</f>
        <v>0</v>
      </c>
      <c r="D10" s="4" t="b">
        <f>LEN(data!C10)&lt;=70</f>
        <v>1</v>
      </c>
      <c r="E10" s="4" t="b">
        <f>LEN(data!D10)&gt;0</f>
        <v>0</v>
      </c>
      <c r="F10" s="4" t="b">
        <f>LEN(data!D10)&lt;=140</f>
        <v>1</v>
      </c>
      <c r="G10" s="4" t="b">
        <f>LEN(data!E10)&gt;0</f>
        <v>0</v>
      </c>
      <c r="H10" s="4" t="b">
        <f>LEN(data!E10)&lt;=35</f>
        <v>1</v>
      </c>
      <c r="I10" s="4" t="b">
        <f>LEN(data!F10)=2</f>
        <v>0</v>
      </c>
      <c r="J10" s="4" t="b">
        <f>LEN(data!G10)&gt;0</f>
        <v>0</v>
      </c>
      <c r="K10" s="4" t="b">
        <f>LEN(data!G10)&lt;=60</f>
        <v>1</v>
      </c>
      <c r="L10" s="4" t="b">
        <f>LEN(data!I10)&gt;0</f>
        <v>0</v>
      </c>
      <c r="M10" s="4" t="b">
        <f>LEN(data!I10)&lt;=70</f>
        <v>1</v>
      </c>
      <c r="N10" s="4" t="b">
        <f>LEN(data!J10)&gt;0</f>
        <v>0</v>
      </c>
      <c r="O10" s="4" t="b">
        <f>LEN(data!J10)&lt;=140</f>
        <v>1</v>
      </c>
      <c r="P10" s="4" t="b">
        <f>LEN(data!K10)&gt;0</f>
        <v>0</v>
      </c>
      <c r="Q10" s="4" t="b">
        <f>LEN(data!K10)&lt;=35</f>
        <v>1</v>
      </c>
      <c r="R10" s="4" t="b">
        <f>LEN(data!L10)=2</f>
        <v>0</v>
      </c>
      <c r="S10" s="4" t="b">
        <f>LEN(data!M10)&gt;0</f>
        <v>0</v>
      </c>
      <c r="T10" s="4" t="b">
        <f>LEN(data!M10)&lt;=60</f>
        <v>1</v>
      </c>
      <c r="U10" s="4" t="b">
        <f>LEN(data!O10)&gt;0</f>
        <v>0</v>
      </c>
      <c r="V10" s="4" t="b">
        <f>LEN(data!O10)&lt;=70</f>
        <v>1</v>
      </c>
      <c r="W10" s="4" t="b">
        <f>LEN(data!P10)&gt;0</f>
        <v>0</v>
      </c>
      <c r="X10" s="4" t="b">
        <f>LEN(data!P10)&lt;=140</f>
        <v>1</v>
      </c>
      <c r="Y10" s="4" t="b">
        <f>LEN(data!Q10)&gt;0</f>
        <v>0</v>
      </c>
      <c r="Z10" s="4" t="b">
        <f>LEN(data!Q10)&lt;=35</f>
        <v>1</v>
      </c>
      <c r="AA10" s="4" t="b">
        <f>LEN(data!R10)=2</f>
        <v>0</v>
      </c>
      <c r="AB10" s="4" t="b">
        <f>LEN(data!S10)&gt;0</f>
        <v>0</v>
      </c>
      <c r="AC10" s="4" t="b">
        <f>LEN(data!S10)&lt;=120</f>
        <v>1</v>
      </c>
      <c r="AD10" s="4" t="b">
        <f>LEN(data!U10)=11</f>
        <v>0</v>
      </c>
      <c r="AE10" s="4" t="b">
        <f>AND(ISERROR(MATCH(data!V10, rule_mapping!$C$2:$C$325, 0))=FALSE, LEN(data!V10) &lt;= 4)</f>
        <v>0</v>
      </c>
      <c r="AF10" s="4" t="b">
        <f>LEN(data!W10)&gt;0</f>
        <v>0</v>
      </c>
      <c r="AG10" s="4" t="b">
        <f>LEN(data!W10)&lt;=20</f>
        <v>1</v>
      </c>
      <c r="AH10" s="4" t="b">
        <f xml:space="preserve"> IFERROR(ISNUMBER(data!X10), FALSE)</f>
        <v>0</v>
      </c>
      <c r="AI10" s="4" t="b">
        <f>IF(ISERROR(MATCH(data!Y10, rule_mapping!$D$2:$D$252, 0))=FALSE,TRUE, FALSE)</f>
        <v>0</v>
      </c>
      <c r="AJ10" s="4" t="b">
        <f>IFERROR(ISNUMBER(data!Z10), FALSE)</f>
        <v>0</v>
      </c>
      <c r="AK10" s="4" t="b">
        <f>IFERROR(ISNUMBER(data!AA10), FALSE)</f>
        <v>0</v>
      </c>
      <c r="AL10" s="4" t="b">
        <f>LEN(data!AB10)&lt;=90</f>
        <v>1</v>
      </c>
      <c r="AM10" s="4" t="b">
        <f>LEN(data!AC10)&gt;0</f>
        <v>0</v>
      </c>
      <c r="AN10" s="4" t="b">
        <f>LEN(data!AC10)&lt;=2000</f>
        <v>1</v>
      </c>
      <c r="AO10" s="4" t="b">
        <f>IF(LEN(data!AD10)=0,TRUE,IF(LEN(data!AD10)=5,TRUE,FALSE))</f>
        <v>1</v>
      </c>
      <c r="AP10" s="4" t="b">
        <f>LEN(data!AE10)&gt;0</f>
        <v>0</v>
      </c>
      <c r="AQ10" s="4" t="b">
        <f>LEN(data!AE10)=5</f>
        <v>0</v>
      </c>
      <c r="AR10" s="4" t="b">
        <f>ISERROR(MATCH(data!AF10, rule_mapping!$B$2:$B$3, 0))=FALSE</f>
        <v>0</v>
      </c>
      <c r="AS10" s="4" t="b">
        <f>ISERROR(MATCH(data!AG10, rule_mapping!$A$2:$A$8, 0))=FALSE</f>
        <v>0</v>
      </c>
      <c r="AT10" s="4" t="b">
        <f>LEN(data!AH10)&lt;=4</f>
        <v>1</v>
      </c>
      <c r="AU10" s="4" t="b">
        <f>LEN(data!AI10)&lt;=10</f>
        <v>1</v>
      </c>
      <c r="AV10" s="4" t="b">
        <f>LEN(data!AJ10)&lt;=35</f>
        <v>1</v>
      </c>
      <c r="AW10" s="4" t="b">
        <f>LEN(data!AK10)&lt;=20</f>
        <v>1</v>
      </c>
      <c r="AX10"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 spans="1:50" ht="409.5" x14ac:dyDescent="0.15">
      <c r="A11" s="4" t="b">
        <f>OR(ISBLANK(data!B11), AND(B11:AW11))</f>
        <v>1</v>
      </c>
      <c r="B11" s="4" t="b">
        <f>AND(LEFT(TRIM(data!B11), 4)="OOLU", ISNUMBER(RIGHT(TRIM(data!B11), LEN(TRIM(data!B11))-4)+0))</f>
        <v>0</v>
      </c>
      <c r="C11" s="4" t="b">
        <f>LEN(data!C11)&gt;0</f>
        <v>0</v>
      </c>
      <c r="D11" s="4" t="b">
        <f>LEN(data!C11)&lt;=70</f>
        <v>1</v>
      </c>
      <c r="E11" s="4" t="b">
        <f>LEN(data!D11)&gt;0</f>
        <v>0</v>
      </c>
      <c r="F11" s="4" t="b">
        <f>LEN(data!D11)&lt;=140</f>
        <v>1</v>
      </c>
      <c r="G11" s="4" t="b">
        <f>LEN(data!E11)&gt;0</f>
        <v>0</v>
      </c>
      <c r="H11" s="4" t="b">
        <f>LEN(data!E11)&lt;=35</f>
        <v>1</v>
      </c>
      <c r="I11" s="4" t="b">
        <f>LEN(data!F11)=2</f>
        <v>0</v>
      </c>
      <c r="J11" s="4" t="b">
        <f>LEN(data!G11)&gt;0</f>
        <v>0</v>
      </c>
      <c r="K11" s="4" t="b">
        <f>LEN(data!G11)&lt;=60</f>
        <v>1</v>
      </c>
      <c r="L11" s="4" t="b">
        <f>LEN(data!I11)&gt;0</f>
        <v>0</v>
      </c>
      <c r="M11" s="4" t="b">
        <f>LEN(data!I11)&lt;=70</f>
        <v>1</v>
      </c>
      <c r="N11" s="4" t="b">
        <f>LEN(data!J11)&gt;0</f>
        <v>0</v>
      </c>
      <c r="O11" s="4" t="b">
        <f>LEN(data!J11)&lt;=140</f>
        <v>1</v>
      </c>
      <c r="P11" s="4" t="b">
        <f>LEN(data!K11)&gt;0</f>
        <v>0</v>
      </c>
      <c r="Q11" s="4" t="b">
        <f>LEN(data!K11)&lt;=35</f>
        <v>1</v>
      </c>
      <c r="R11" s="4" t="b">
        <f>LEN(data!L11)=2</f>
        <v>0</v>
      </c>
      <c r="S11" s="4" t="b">
        <f>LEN(data!M11)&gt;0</f>
        <v>0</v>
      </c>
      <c r="T11" s="4" t="b">
        <f>LEN(data!M11)&lt;=60</f>
        <v>1</v>
      </c>
      <c r="U11" s="4" t="b">
        <f>LEN(data!O11)&gt;0</f>
        <v>0</v>
      </c>
      <c r="V11" s="4" t="b">
        <f>LEN(data!O11)&lt;=70</f>
        <v>1</v>
      </c>
      <c r="W11" s="4" t="b">
        <f>LEN(data!P11)&gt;0</f>
        <v>0</v>
      </c>
      <c r="X11" s="4" t="b">
        <f>LEN(data!P11)&lt;=140</f>
        <v>1</v>
      </c>
      <c r="Y11" s="4" t="b">
        <f>LEN(data!Q11)&gt;0</f>
        <v>0</v>
      </c>
      <c r="Z11" s="4" t="b">
        <f>LEN(data!Q11)&lt;=35</f>
        <v>1</v>
      </c>
      <c r="AA11" s="4" t="b">
        <f>LEN(data!R11)=2</f>
        <v>0</v>
      </c>
      <c r="AB11" s="4" t="b">
        <f>LEN(data!S11)&gt;0</f>
        <v>0</v>
      </c>
      <c r="AC11" s="4" t="b">
        <f>LEN(data!S11)&lt;=120</f>
        <v>1</v>
      </c>
      <c r="AD11" s="4" t="b">
        <f>LEN(data!U11)=11</f>
        <v>0</v>
      </c>
      <c r="AE11" s="4" t="b">
        <f>AND(ISERROR(MATCH(data!V11, rule_mapping!$C$2:$C$325, 0))=FALSE, LEN(data!V11) &lt;= 4)</f>
        <v>0</v>
      </c>
      <c r="AF11" s="4" t="b">
        <f>LEN(data!W11)&gt;0</f>
        <v>0</v>
      </c>
      <c r="AG11" s="4" t="b">
        <f>LEN(data!W11)&lt;=20</f>
        <v>1</v>
      </c>
      <c r="AH11" s="4" t="b">
        <f xml:space="preserve"> IFERROR(ISNUMBER(data!X11), FALSE)</f>
        <v>0</v>
      </c>
      <c r="AI11" s="4" t="b">
        <f>IF(ISERROR(MATCH(data!Y11, rule_mapping!$D$2:$D$252, 0))=FALSE,TRUE, FALSE)</f>
        <v>0</v>
      </c>
      <c r="AJ11" s="4" t="b">
        <f>IFERROR(ISNUMBER(data!Z11), FALSE)</f>
        <v>0</v>
      </c>
      <c r="AK11" s="4" t="b">
        <f>IFERROR(ISNUMBER(data!AA11), FALSE)</f>
        <v>0</v>
      </c>
      <c r="AL11" s="4" t="b">
        <f>LEN(data!AB11)&lt;=90</f>
        <v>1</v>
      </c>
      <c r="AM11" s="4" t="b">
        <f>LEN(data!AC11)&gt;0</f>
        <v>0</v>
      </c>
      <c r="AN11" s="4" t="b">
        <f>LEN(data!AC11)&lt;=2000</f>
        <v>1</v>
      </c>
      <c r="AO11" s="4" t="b">
        <f>IF(LEN(data!AD11)=0,TRUE,IF(LEN(data!AD11)=5,TRUE,FALSE))</f>
        <v>1</v>
      </c>
      <c r="AP11" s="4" t="b">
        <f>LEN(data!AE11)&gt;0</f>
        <v>0</v>
      </c>
      <c r="AQ11" s="4" t="b">
        <f>LEN(data!AE11)=5</f>
        <v>0</v>
      </c>
      <c r="AR11" s="4" t="b">
        <f>ISERROR(MATCH(data!AF11, rule_mapping!$B$2:$B$3, 0))=FALSE</f>
        <v>0</v>
      </c>
      <c r="AS11" s="4" t="b">
        <f>ISERROR(MATCH(data!AG11, rule_mapping!$A$2:$A$8, 0))=FALSE</f>
        <v>0</v>
      </c>
      <c r="AT11" s="4" t="b">
        <f>LEN(data!AH11)&lt;=4</f>
        <v>1</v>
      </c>
      <c r="AU11" s="4" t="b">
        <f>LEN(data!AI11)&lt;=10</f>
        <v>1</v>
      </c>
      <c r="AV11" s="4" t="b">
        <f>LEN(data!AJ11)&lt;=35</f>
        <v>1</v>
      </c>
      <c r="AW11" s="4" t="b">
        <f>LEN(data!AK11)&lt;=20</f>
        <v>1</v>
      </c>
      <c r="AX11"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 spans="1:50" ht="409.5" x14ac:dyDescent="0.15">
      <c r="A12" s="4" t="b">
        <f>OR(ISBLANK(data!B12), AND(B12:AW12))</f>
        <v>1</v>
      </c>
      <c r="B12" s="4" t="b">
        <f>AND(LEFT(TRIM(data!B12), 4)="OOLU", ISNUMBER(RIGHT(TRIM(data!B12), LEN(TRIM(data!B12))-4)+0))</f>
        <v>0</v>
      </c>
      <c r="C12" s="4" t="b">
        <f>LEN(data!C12)&gt;0</f>
        <v>0</v>
      </c>
      <c r="D12" s="4" t="b">
        <f>LEN(data!C12)&lt;=70</f>
        <v>1</v>
      </c>
      <c r="E12" s="4" t="b">
        <f>LEN(data!D12)&gt;0</f>
        <v>0</v>
      </c>
      <c r="F12" s="4" t="b">
        <f>LEN(data!D12)&lt;=140</f>
        <v>1</v>
      </c>
      <c r="G12" s="4" t="b">
        <f>LEN(data!E12)&gt;0</f>
        <v>0</v>
      </c>
      <c r="H12" s="4" t="b">
        <f>LEN(data!E12)&lt;=35</f>
        <v>1</v>
      </c>
      <c r="I12" s="4" t="b">
        <f>LEN(data!F12)=2</f>
        <v>0</v>
      </c>
      <c r="J12" s="4" t="b">
        <f>LEN(data!G12)&gt;0</f>
        <v>0</v>
      </c>
      <c r="K12" s="4" t="b">
        <f>LEN(data!G12)&lt;=60</f>
        <v>1</v>
      </c>
      <c r="L12" s="4" t="b">
        <f>LEN(data!I12)&gt;0</f>
        <v>0</v>
      </c>
      <c r="M12" s="4" t="b">
        <f>LEN(data!I12)&lt;=70</f>
        <v>1</v>
      </c>
      <c r="N12" s="4" t="b">
        <f>LEN(data!J12)&gt;0</f>
        <v>0</v>
      </c>
      <c r="O12" s="4" t="b">
        <f>LEN(data!J12)&lt;=140</f>
        <v>1</v>
      </c>
      <c r="P12" s="4" t="b">
        <f>LEN(data!K12)&gt;0</f>
        <v>0</v>
      </c>
      <c r="Q12" s="4" t="b">
        <f>LEN(data!K12)&lt;=35</f>
        <v>1</v>
      </c>
      <c r="R12" s="4" t="b">
        <f>LEN(data!L12)=2</f>
        <v>0</v>
      </c>
      <c r="S12" s="4" t="b">
        <f>LEN(data!M12)&gt;0</f>
        <v>0</v>
      </c>
      <c r="T12" s="4" t="b">
        <f>LEN(data!M12)&lt;=60</f>
        <v>1</v>
      </c>
      <c r="U12" s="4" t="b">
        <f>LEN(data!O12)&gt;0</f>
        <v>0</v>
      </c>
      <c r="V12" s="4" t="b">
        <f>LEN(data!O12)&lt;=70</f>
        <v>1</v>
      </c>
      <c r="W12" s="4" t="b">
        <f>LEN(data!P12)&gt;0</f>
        <v>0</v>
      </c>
      <c r="X12" s="4" t="b">
        <f>LEN(data!P12)&lt;=140</f>
        <v>1</v>
      </c>
      <c r="Y12" s="4" t="b">
        <f>LEN(data!Q12)&gt;0</f>
        <v>0</v>
      </c>
      <c r="Z12" s="4" t="b">
        <f>LEN(data!Q12)&lt;=35</f>
        <v>1</v>
      </c>
      <c r="AA12" s="4" t="b">
        <f>LEN(data!R12)=2</f>
        <v>0</v>
      </c>
      <c r="AB12" s="4" t="b">
        <f>LEN(data!S12)&gt;0</f>
        <v>0</v>
      </c>
      <c r="AC12" s="4" t="b">
        <f>LEN(data!S12)&lt;=120</f>
        <v>1</v>
      </c>
      <c r="AD12" s="4" t="b">
        <f>LEN(data!U12)=11</f>
        <v>0</v>
      </c>
      <c r="AE12" s="4" t="b">
        <f>AND(ISERROR(MATCH(data!V12, rule_mapping!$C$2:$C$325, 0))=FALSE, LEN(data!V12) &lt;= 4)</f>
        <v>0</v>
      </c>
      <c r="AF12" s="4" t="b">
        <f>LEN(data!W12)&gt;0</f>
        <v>0</v>
      </c>
      <c r="AG12" s="4" t="b">
        <f>LEN(data!W12)&lt;=20</f>
        <v>1</v>
      </c>
      <c r="AH12" s="4" t="b">
        <f xml:space="preserve"> IFERROR(ISNUMBER(data!X12), FALSE)</f>
        <v>0</v>
      </c>
      <c r="AI12" s="4" t="b">
        <f>IF(ISERROR(MATCH(data!Y12, rule_mapping!$D$2:$D$252, 0))=FALSE,TRUE, FALSE)</f>
        <v>0</v>
      </c>
      <c r="AJ12" s="4" t="b">
        <f>IFERROR(ISNUMBER(data!Z12), FALSE)</f>
        <v>0</v>
      </c>
      <c r="AK12" s="4" t="b">
        <f>IFERROR(ISNUMBER(data!AA12), FALSE)</f>
        <v>0</v>
      </c>
      <c r="AL12" s="4" t="b">
        <f>LEN(data!AB12)&lt;=90</f>
        <v>1</v>
      </c>
      <c r="AM12" s="4" t="b">
        <f>LEN(data!AC12)&gt;0</f>
        <v>0</v>
      </c>
      <c r="AN12" s="4" t="b">
        <f>LEN(data!AC12)&lt;=2000</f>
        <v>1</v>
      </c>
      <c r="AO12" s="4" t="b">
        <f>IF(LEN(data!AD12)=0,TRUE,IF(LEN(data!AD12)=5,TRUE,FALSE))</f>
        <v>1</v>
      </c>
      <c r="AP12" s="4" t="b">
        <f>LEN(data!AE12)&gt;0</f>
        <v>0</v>
      </c>
      <c r="AQ12" s="4" t="b">
        <f>LEN(data!AE12)=5</f>
        <v>0</v>
      </c>
      <c r="AR12" s="4" t="b">
        <f>ISERROR(MATCH(data!AF12, rule_mapping!$B$2:$B$3, 0))=FALSE</f>
        <v>0</v>
      </c>
      <c r="AS12" s="4" t="b">
        <f>ISERROR(MATCH(data!AG12, rule_mapping!$A$2:$A$8, 0))=FALSE</f>
        <v>0</v>
      </c>
      <c r="AT12" s="4" t="b">
        <f>LEN(data!AH12)&lt;=4</f>
        <v>1</v>
      </c>
      <c r="AU12" s="4" t="b">
        <f>LEN(data!AI12)&lt;=10</f>
        <v>1</v>
      </c>
      <c r="AV12" s="4" t="b">
        <f>LEN(data!AJ12)&lt;=35</f>
        <v>1</v>
      </c>
      <c r="AW12" s="4" t="b">
        <f>LEN(data!AK12)&lt;=20</f>
        <v>1</v>
      </c>
      <c r="AX12"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 spans="1:50" ht="409.5" x14ac:dyDescent="0.15">
      <c r="A13" s="4" t="b">
        <f>OR(ISBLANK(data!B13), AND(B13:AW13))</f>
        <v>1</v>
      </c>
      <c r="B13" s="4" t="b">
        <f>AND(LEFT(TRIM(data!B13), 4)="OOLU", ISNUMBER(RIGHT(TRIM(data!B13), LEN(TRIM(data!B13))-4)+0))</f>
        <v>0</v>
      </c>
      <c r="C13" s="4" t="b">
        <f>LEN(data!C13)&gt;0</f>
        <v>0</v>
      </c>
      <c r="D13" s="4" t="b">
        <f>LEN(data!C13)&lt;=70</f>
        <v>1</v>
      </c>
      <c r="E13" s="4" t="b">
        <f>LEN(data!D13)&gt;0</f>
        <v>0</v>
      </c>
      <c r="F13" s="4" t="b">
        <f>LEN(data!D13)&lt;=140</f>
        <v>1</v>
      </c>
      <c r="G13" s="4" t="b">
        <f>LEN(data!E13)&gt;0</f>
        <v>0</v>
      </c>
      <c r="H13" s="4" t="b">
        <f>LEN(data!E13)&lt;=35</f>
        <v>1</v>
      </c>
      <c r="I13" s="4" t="b">
        <f>LEN(data!F13)=2</f>
        <v>0</v>
      </c>
      <c r="J13" s="4" t="b">
        <f>LEN(data!G13)&gt;0</f>
        <v>0</v>
      </c>
      <c r="K13" s="4" t="b">
        <f>LEN(data!G13)&lt;=60</f>
        <v>1</v>
      </c>
      <c r="L13" s="4" t="b">
        <f>LEN(data!I13)&gt;0</f>
        <v>0</v>
      </c>
      <c r="M13" s="4" t="b">
        <f>LEN(data!I13)&lt;=70</f>
        <v>1</v>
      </c>
      <c r="N13" s="4" t="b">
        <f>LEN(data!J13)&gt;0</f>
        <v>0</v>
      </c>
      <c r="O13" s="4" t="b">
        <f>LEN(data!J13)&lt;=140</f>
        <v>1</v>
      </c>
      <c r="P13" s="4" t="b">
        <f>LEN(data!K13)&gt;0</f>
        <v>0</v>
      </c>
      <c r="Q13" s="4" t="b">
        <f>LEN(data!K13)&lt;=35</f>
        <v>1</v>
      </c>
      <c r="R13" s="4" t="b">
        <f>LEN(data!L13)=2</f>
        <v>0</v>
      </c>
      <c r="S13" s="4" t="b">
        <f>LEN(data!M13)&gt;0</f>
        <v>0</v>
      </c>
      <c r="T13" s="4" t="b">
        <f>LEN(data!M13)&lt;=60</f>
        <v>1</v>
      </c>
      <c r="U13" s="4" t="b">
        <f>LEN(data!O13)&gt;0</f>
        <v>0</v>
      </c>
      <c r="V13" s="4" t="b">
        <f>LEN(data!O13)&lt;=70</f>
        <v>1</v>
      </c>
      <c r="W13" s="4" t="b">
        <f>LEN(data!P13)&gt;0</f>
        <v>0</v>
      </c>
      <c r="X13" s="4" t="b">
        <f>LEN(data!P13)&lt;=140</f>
        <v>1</v>
      </c>
      <c r="Y13" s="4" t="b">
        <f>LEN(data!Q13)&gt;0</f>
        <v>0</v>
      </c>
      <c r="Z13" s="4" t="b">
        <f>LEN(data!Q13)&lt;=35</f>
        <v>1</v>
      </c>
      <c r="AA13" s="4" t="b">
        <f>LEN(data!R13)=2</f>
        <v>0</v>
      </c>
      <c r="AB13" s="4" t="b">
        <f>LEN(data!S13)&gt;0</f>
        <v>0</v>
      </c>
      <c r="AC13" s="4" t="b">
        <f>LEN(data!S13)&lt;=120</f>
        <v>1</v>
      </c>
      <c r="AD13" s="4" t="b">
        <f>LEN(data!U13)=11</f>
        <v>0</v>
      </c>
      <c r="AE13" s="4" t="b">
        <f>AND(ISERROR(MATCH(data!V13, rule_mapping!$C$2:$C$325, 0))=FALSE, LEN(data!V13) &lt;= 4)</f>
        <v>0</v>
      </c>
      <c r="AF13" s="4" t="b">
        <f>LEN(data!W13)&gt;0</f>
        <v>0</v>
      </c>
      <c r="AG13" s="4" t="b">
        <f>LEN(data!W13)&lt;=20</f>
        <v>1</v>
      </c>
      <c r="AH13" s="4" t="b">
        <f xml:space="preserve"> IFERROR(ISNUMBER(data!X13), FALSE)</f>
        <v>0</v>
      </c>
      <c r="AI13" s="4" t="b">
        <f>IF(ISERROR(MATCH(data!Y13, rule_mapping!$D$2:$D$252, 0))=FALSE,TRUE, FALSE)</f>
        <v>0</v>
      </c>
      <c r="AJ13" s="4" t="b">
        <f>IFERROR(ISNUMBER(data!Z13), FALSE)</f>
        <v>0</v>
      </c>
      <c r="AK13" s="4" t="b">
        <f>IFERROR(ISNUMBER(data!AA13), FALSE)</f>
        <v>0</v>
      </c>
      <c r="AL13" s="4" t="b">
        <f>LEN(data!AB13)&lt;=90</f>
        <v>1</v>
      </c>
      <c r="AM13" s="4" t="b">
        <f>LEN(data!AC13)&gt;0</f>
        <v>0</v>
      </c>
      <c r="AN13" s="4" t="b">
        <f>LEN(data!AC13)&lt;=2000</f>
        <v>1</v>
      </c>
      <c r="AO13" s="4" t="b">
        <f>IF(LEN(data!AD13)=0,TRUE,IF(LEN(data!AD13)=5,TRUE,FALSE))</f>
        <v>1</v>
      </c>
      <c r="AP13" s="4" t="b">
        <f>LEN(data!AE13)&gt;0</f>
        <v>0</v>
      </c>
      <c r="AQ13" s="4" t="b">
        <f>LEN(data!AE13)=5</f>
        <v>0</v>
      </c>
      <c r="AR13" s="4" t="b">
        <f>ISERROR(MATCH(data!AF13, rule_mapping!$B$2:$B$3, 0))=FALSE</f>
        <v>0</v>
      </c>
      <c r="AS13" s="4" t="b">
        <f>ISERROR(MATCH(data!AG13, rule_mapping!$A$2:$A$8, 0))=FALSE</f>
        <v>0</v>
      </c>
      <c r="AT13" s="4" t="b">
        <f>LEN(data!AH13)&lt;=4</f>
        <v>1</v>
      </c>
      <c r="AU13" s="4" t="b">
        <f>LEN(data!AI13)&lt;=10</f>
        <v>1</v>
      </c>
      <c r="AV13" s="4" t="b">
        <f>LEN(data!AJ13)&lt;=35</f>
        <v>1</v>
      </c>
      <c r="AW13" s="4" t="b">
        <f>LEN(data!AK13)&lt;=20</f>
        <v>1</v>
      </c>
      <c r="AX13"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 spans="1:50" ht="409.5" x14ac:dyDescent="0.15">
      <c r="A14" s="4" t="b">
        <f>OR(ISBLANK(data!B14), AND(B14:AW14))</f>
        <v>1</v>
      </c>
      <c r="B14" s="4" t="b">
        <f>AND(LEFT(TRIM(data!B14), 4)="OOLU", ISNUMBER(RIGHT(TRIM(data!B14), LEN(TRIM(data!B14))-4)+0))</f>
        <v>0</v>
      </c>
      <c r="C14" s="4" t="b">
        <f>LEN(data!C14)&gt;0</f>
        <v>0</v>
      </c>
      <c r="D14" s="4" t="b">
        <f>LEN(data!C14)&lt;=70</f>
        <v>1</v>
      </c>
      <c r="E14" s="4" t="b">
        <f>LEN(data!D14)&gt;0</f>
        <v>0</v>
      </c>
      <c r="F14" s="4" t="b">
        <f>LEN(data!D14)&lt;=140</f>
        <v>1</v>
      </c>
      <c r="G14" s="4" t="b">
        <f>LEN(data!E14)&gt;0</f>
        <v>0</v>
      </c>
      <c r="H14" s="4" t="b">
        <f>LEN(data!E14)&lt;=35</f>
        <v>1</v>
      </c>
      <c r="I14" s="4" t="b">
        <f>LEN(data!F14)=2</f>
        <v>0</v>
      </c>
      <c r="J14" s="4" t="b">
        <f>LEN(data!G14)&gt;0</f>
        <v>0</v>
      </c>
      <c r="K14" s="4" t="b">
        <f>LEN(data!G14)&lt;=60</f>
        <v>1</v>
      </c>
      <c r="L14" s="4" t="b">
        <f>LEN(data!I14)&gt;0</f>
        <v>0</v>
      </c>
      <c r="M14" s="4" t="b">
        <f>LEN(data!I14)&lt;=70</f>
        <v>1</v>
      </c>
      <c r="N14" s="4" t="b">
        <f>LEN(data!J14)&gt;0</f>
        <v>0</v>
      </c>
      <c r="O14" s="4" t="b">
        <f>LEN(data!J14)&lt;=140</f>
        <v>1</v>
      </c>
      <c r="P14" s="4" t="b">
        <f>LEN(data!K14)&gt;0</f>
        <v>0</v>
      </c>
      <c r="Q14" s="4" t="b">
        <f>LEN(data!K14)&lt;=35</f>
        <v>1</v>
      </c>
      <c r="R14" s="4" t="b">
        <f>LEN(data!L14)=2</f>
        <v>0</v>
      </c>
      <c r="S14" s="4" t="b">
        <f>LEN(data!M14)&gt;0</f>
        <v>0</v>
      </c>
      <c r="T14" s="4" t="b">
        <f>LEN(data!M14)&lt;=60</f>
        <v>1</v>
      </c>
      <c r="U14" s="4" t="b">
        <f>LEN(data!O14)&gt;0</f>
        <v>0</v>
      </c>
      <c r="V14" s="4" t="b">
        <f>LEN(data!O14)&lt;=70</f>
        <v>1</v>
      </c>
      <c r="W14" s="4" t="b">
        <f>LEN(data!P14)&gt;0</f>
        <v>0</v>
      </c>
      <c r="X14" s="4" t="b">
        <f>LEN(data!P14)&lt;=140</f>
        <v>1</v>
      </c>
      <c r="Y14" s="4" t="b">
        <f>LEN(data!Q14)&gt;0</f>
        <v>0</v>
      </c>
      <c r="Z14" s="4" t="b">
        <f>LEN(data!Q14)&lt;=35</f>
        <v>1</v>
      </c>
      <c r="AA14" s="4" t="b">
        <f>LEN(data!R14)=2</f>
        <v>0</v>
      </c>
      <c r="AB14" s="4" t="b">
        <f>LEN(data!S14)&gt;0</f>
        <v>0</v>
      </c>
      <c r="AC14" s="4" t="b">
        <f>LEN(data!S14)&lt;=120</f>
        <v>1</v>
      </c>
      <c r="AD14" s="4" t="b">
        <f>LEN(data!U14)=11</f>
        <v>0</v>
      </c>
      <c r="AE14" s="4" t="b">
        <f>AND(ISERROR(MATCH(data!V14, rule_mapping!$C$2:$C$325, 0))=FALSE, LEN(data!V14) &lt;= 4)</f>
        <v>0</v>
      </c>
      <c r="AF14" s="4" t="b">
        <f>LEN(data!W14)&gt;0</f>
        <v>0</v>
      </c>
      <c r="AG14" s="4" t="b">
        <f>LEN(data!W14)&lt;=20</f>
        <v>1</v>
      </c>
      <c r="AH14" s="4" t="b">
        <f xml:space="preserve"> IFERROR(ISNUMBER(data!X14), FALSE)</f>
        <v>0</v>
      </c>
      <c r="AI14" s="4" t="b">
        <f>IF(ISERROR(MATCH(data!Y14, rule_mapping!$D$2:$D$252, 0))=FALSE,TRUE, FALSE)</f>
        <v>0</v>
      </c>
      <c r="AJ14" s="4" t="b">
        <f>IFERROR(ISNUMBER(data!Z14), FALSE)</f>
        <v>0</v>
      </c>
      <c r="AK14" s="4" t="b">
        <f>IFERROR(ISNUMBER(data!AA14), FALSE)</f>
        <v>0</v>
      </c>
      <c r="AL14" s="4" t="b">
        <f>LEN(data!AB14)&lt;=90</f>
        <v>1</v>
      </c>
      <c r="AM14" s="4" t="b">
        <f>LEN(data!AC14)&gt;0</f>
        <v>0</v>
      </c>
      <c r="AN14" s="4" t="b">
        <f>LEN(data!AC14)&lt;=2000</f>
        <v>1</v>
      </c>
      <c r="AO14" s="4" t="b">
        <f>IF(LEN(data!AD14)=0,TRUE,IF(LEN(data!AD14)=5,TRUE,FALSE))</f>
        <v>1</v>
      </c>
      <c r="AP14" s="4" t="b">
        <f>LEN(data!AE14)&gt;0</f>
        <v>0</v>
      </c>
      <c r="AQ14" s="4" t="b">
        <f>LEN(data!AE14)=5</f>
        <v>0</v>
      </c>
      <c r="AR14" s="4" t="b">
        <f>ISERROR(MATCH(data!AF14, rule_mapping!$B$2:$B$3, 0))=FALSE</f>
        <v>0</v>
      </c>
      <c r="AS14" s="4" t="b">
        <f>ISERROR(MATCH(data!AG14, rule_mapping!$A$2:$A$8, 0))=FALSE</f>
        <v>0</v>
      </c>
      <c r="AT14" s="4" t="b">
        <f>LEN(data!AH14)&lt;=4</f>
        <v>1</v>
      </c>
      <c r="AU14" s="4" t="b">
        <f>LEN(data!AI14)&lt;=10</f>
        <v>1</v>
      </c>
      <c r="AV14" s="4" t="b">
        <f>LEN(data!AJ14)&lt;=35</f>
        <v>1</v>
      </c>
      <c r="AW14" s="4" t="b">
        <f>LEN(data!AK14)&lt;=20</f>
        <v>1</v>
      </c>
      <c r="AX14"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 spans="1:50" ht="409.5" x14ac:dyDescent="0.15">
      <c r="A15" s="4" t="b">
        <f>OR(ISBLANK(data!B15), AND(B15:AW15))</f>
        <v>1</v>
      </c>
      <c r="B15" s="4" t="b">
        <f>AND(LEFT(TRIM(data!B15), 4)="OOLU", ISNUMBER(RIGHT(TRIM(data!B15), LEN(TRIM(data!B15))-4)+0))</f>
        <v>0</v>
      </c>
      <c r="C15" s="4" t="b">
        <f>LEN(data!C15)&gt;0</f>
        <v>0</v>
      </c>
      <c r="D15" s="4" t="b">
        <f>LEN(data!C15)&lt;=70</f>
        <v>1</v>
      </c>
      <c r="E15" s="4" t="b">
        <f>LEN(data!D15)&gt;0</f>
        <v>0</v>
      </c>
      <c r="F15" s="4" t="b">
        <f>LEN(data!D15)&lt;=140</f>
        <v>1</v>
      </c>
      <c r="G15" s="4" t="b">
        <f>LEN(data!E15)&gt;0</f>
        <v>0</v>
      </c>
      <c r="H15" s="4" t="b">
        <f>LEN(data!E15)&lt;=35</f>
        <v>1</v>
      </c>
      <c r="I15" s="4" t="b">
        <f>LEN(data!F15)=2</f>
        <v>0</v>
      </c>
      <c r="J15" s="4" t="b">
        <f>LEN(data!G15)&gt;0</f>
        <v>0</v>
      </c>
      <c r="K15" s="4" t="b">
        <f>LEN(data!G15)&lt;=60</f>
        <v>1</v>
      </c>
      <c r="L15" s="4" t="b">
        <f>LEN(data!I15)&gt;0</f>
        <v>0</v>
      </c>
      <c r="M15" s="4" t="b">
        <f>LEN(data!I15)&lt;=70</f>
        <v>1</v>
      </c>
      <c r="N15" s="4" t="b">
        <f>LEN(data!J15)&gt;0</f>
        <v>0</v>
      </c>
      <c r="O15" s="4" t="b">
        <f>LEN(data!J15)&lt;=140</f>
        <v>1</v>
      </c>
      <c r="P15" s="4" t="b">
        <f>LEN(data!K15)&gt;0</f>
        <v>0</v>
      </c>
      <c r="Q15" s="4" t="b">
        <f>LEN(data!K15)&lt;=35</f>
        <v>1</v>
      </c>
      <c r="R15" s="4" t="b">
        <f>LEN(data!L15)=2</f>
        <v>0</v>
      </c>
      <c r="S15" s="4" t="b">
        <f>LEN(data!M15)&gt;0</f>
        <v>0</v>
      </c>
      <c r="T15" s="4" t="b">
        <f>LEN(data!M15)&lt;=60</f>
        <v>1</v>
      </c>
      <c r="U15" s="4" t="b">
        <f>LEN(data!O15)&gt;0</f>
        <v>0</v>
      </c>
      <c r="V15" s="4" t="b">
        <f>LEN(data!O15)&lt;=70</f>
        <v>1</v>
      </c>
      <c r="W15" s="4" t="b">
        <f>LEN(data!P15)&gt;0</f>
        <v>0</v>
      </c>
      <c r="X15" s="4" t="b">
        <f>LEN(data!P15)&lt;=140</f>
        <v>1</v>
      </c>
      <c r="Y15" s="4" t="b">
        <f>LEN(data!Q15)&gt;0</f>
        <v>0</v>
      </c>
      <c r="Z15" s="4" t="b">
        <f>LEN(data!Q15)&lt;=35</f>
        <v>1</v>
      </c>
      <c r="AA15" s="4" t="b">
        <f>LEN(data!R15)=2</f>
        <v>0</v>
      </c>
      <c r="AB15" s="4" t="b">
        <f>LEN(data!S15)&gt;0</f>
        <v>0</v>
      </c>
      <c r="AC15" s="4" t="b">
        <f>LEN(data!S15)&lt;=120</f>
        <v>1</v>
      </c>
      <c r="AD15" s="4" t="b">
        <f>LEN(data!U15)=11</f>
        <v>0</v>
      </c>
      <c r="AE15" s="4" t="b">
        <f>AND(ISERROR(MATCH(data!V15, rule_mapping!$C$2:$C$325, 0))=FALSE, LEN(data!V15) &lt;= 4)</f>
        <v>0</v>
      </c>
      <c r="AF15" s="4" t="b">
        <f>LEN(data!W15)&gt;0</f>
        <v>0</v>
      </c>
      <c r="AG15" s="4" t="b">
        <f>LEN(data!W15)&lt;=20</f>
        <v>1</v>
      </c>
      <c r="AH15" s="4" t="b">
        <f xml:space="preserve"> IFERROR(ISNUMBER(data!X15), FALSE)</f>
        <v>0</v>
      </c>
      <c r="AI15" s="4" t="b">
        <f>IF(ISERROR(MATCH(data!Y15, rule_mapping!$D$2:$D$252, 0))=FALSE,TRUE, FALSE)</f>
        <v>0</v>
      </c>
      <c r="AJ15" s="4" t="b">
        <f>IFERROR(ISNUMBER(data!Z15), FALSE)</f>
        <v>0</v>
      </c>
      <c r="AK15" s="4" t="b">
        <f>IFERROR(ISNUMBER(data!AA15), FALSE)</f>
        <v>0</v>
      </c>
      <c r="AL15" s="4" t="b">
        <f>LEN(data!AB15)&lt;=90</f>
        <v>1</v>
      </c>
      <c r="AM15" s="4" t="b">
        <f>LEN(data!AC15)&gt;0</f>
        <v>0</v>
      </c>
      <c r="AN15" s="4" t="b">
        <f>LEN(data!AC15)&lt;=2000</f>
        <v>1</v>
      </c>
      <c r="AO15" s="4" t="b">
        <f>IF(LEN(data!AD15)=0,TRUE,IF(LEN(data!AD15)=5,TRUE,FALSE))</f>
        <v>1</v>
      </c>
      <c r="AP15" s="4" t="b">
        <f>LEN(data!AE15)&gt;0</f>
        <v>0</v>
      </c>
      <c r="AQ15" s="4" t="b">
        <f>LEN(data!AE15)=5</f>
        <v>0</v>
      </c>
      <c r="AR15" s="4" t="b">
        <f>ISERROR(MATCH(data!AF15, rule_mapping!$B$2:$B$3, 0))=FALSE</f>
        <v>0</v>
      </c>
      <c r="AS15" s="4" t="b">
        <f>ISERROR(MATCH(data!AG15, rule_mapping!$A$2:$A$8, 0))=FALSE</f>
        <v>0</v>
      </c>
      <c r="AT15" s="4" t="b">
        <f>LEN(data!AH15)&lt;=4</f>
        <v>1</v>
      </c>
      <c r="AU15" s="4" t="b">
        <f>LEN(data!AI15)&lt;=10</f>
        <v>1</v>
      </c>
      <c r="AV15" s="4" t="b">
        <f>LEN(data!AJ15)&lt;=35</f>
        <v>1</v>
      </c>
      <c r="AW15" s="4" t="b">
        <f>LEN(data!AK15)&lt;=20</f>
        <v>1</v>
      </c>
      <c r="AX15"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 spans="1:50" ht="409.5" x14ac:dyDescent="0.15">
      <c r="A16" s="4" t="b">
        <f>OR(ISBLANK(data!B16), AND(B16:AW16))</f>
        <v>1</v>
      </c>
      <c r="B16" s="4" t="b">
        <f>AND(LEFT(TRIM(data!B16), 4)="OOLU", ISNUMBER(RIGHT(TRIM(data!B16), LEN(TRIM(data!B16))-4)+0))</f>
        <v>0</v>
      </c>
      <c r="C16" s="4" t="b">
        <f>LEN(data!C16)&gt;0</f>
        <v>0</v>
      </c>
      <c r="D16" s="4" t="b">
        <f>LEN(data!C16)&lt;=70</f>
        <v>1</v>
      </c>
      <c r="E16" s="4" t="b">
        <f>LEN(data!D16)&gt;0</f>
        <v>0</v>
      </c>
      <c r="F16" s="4" t="b">
        <f>LEN(data!D16)&lt;=140</f>
        <v>1</v>
      </c>
      <c r="G16" s="4" t="b">
        <f>LEN(data!E16)&gt;0</f>
        <v>0</v>
      </c>
      <c r="H16" s="4" t="b">
        <f>LEN(data!E16)&lt;=35</f>
        <v>1</v>
      </c>
      <c r="I16" s="4" t="b">
        <f>LEN(data!F16)=2</f>
        <v>0</v>
      </c>
      <c r="J16" s="4" t="b">
        <f>LEN(data!G16)&gt;0</f>
        <v>0</v>
      </c>
      <c r="K16" s="4" t="b">
        <f>LEN(data!G16)&lt;=60</f>
        <v>1</v>
      </c>
      <c r="L16" s="4" t="b">
        <f>LEN(data!I16)&gt;0</f>
        <v>0</v>
      </c>
      <c r="M16" s="4" t="b">
        <f>LEN(data!I16)&lt;=70</f>
        <v>1</v>
      </c>
      <c r="N16" s="4" t="b">
        <f>LEN(data!J16)&gt;0</f>
        <v>0</v>
      </c>
      <c r="O16" s="4" t="b">
        <f>LEN(data!J16)&lt;=140</f>
        <v>1</v>
      </c>
      <c r="P16" s="4" t="b">
        <f>LEN(data!K16)&gt;0</f>
        <v>0</v>
      </c>
      <c r="Q16" s="4" t="b">
        <f>LEN(data!K16)&lt;=35</f>
        <v>1</v>
      </c>
      <c r="R16" s="4" t="b">
        <f>LEN(data!L16)=2</f>
        <v>0</v>
      </c>
      <c r="S16" s="4" t="b">
        <f>LEN(data!M16)&gt;0</f>
        <v>0</v>
      </c>
      <c r="T16" s="4" t="b">
        <f>LEN(data!M16)&lt;=60</f>
        <v>1</v>
      </c>
      <c r="U16" s="4" t="b">
        <f>LEN(data!O16)&gt;0</f>
        <v>0</v>
      </c>
      <c r="V16" s="4" t="b">
        <f>LEN(data!O16)&lt;=70</f>
        <v>1</v>
      </c>
      <c r="W16" s="4" t="b">
        <f>LEN(data!P16)&gt;0</f>
        <v>0</v>
      </c>
      <c r="X16" s="4" t="b">
        <f>LEN(data!P16)&lt;=140</f>
        <v>1</v>
      </c>
      <c r="Y16" s="4" t="b">
        <f>LEN(data!Q16)&gt;0</f>
        <v>0</v>
      </c>
      <c r="Z16" s="4" t="b">
        <f>LEN(data!Q16)&lt;=35</f>
        <v>1</v>
      </c>
      <c r="AA16" s="4" t="b">
        <f>LEN(data!R16)=2</f>
        <v>0</v>
      </c>
      <c r="AB16" s="4" t="b">
        <f>LEN(data!S16)&gt;0</f>
        <v>0</v>
      </c>
      <c r="AC16" s="4" t="b">
        <f>LEN(data!S16)&lt;=120</f>
        <v>1</v>
      </c>
      <c r="AD16" s="4" t="b">
        <f>LEN(data!U16)=11</f>
        <v>0</v>
      </c>
      <c r="AE16" s="4" t="b">
        <f>AND(ISERROR(MATCH(data!V16, rule_mapping!$C$2:$C$325, 0))=FALSE, LEN(data!V16) &lt;= 4)</f>
        <v>0</v>
      </c>
      <c r="AF16" s="4" t="b">
        <f>LEN(data!W16)&gt;0</f>
        <v>0</v>
      </c>
      <c r="AG16" s="4" t="b">
        <f>LEN(data!W16)&lt;=20</f>
        <v>1</v>
      </c>
      <c r="AH16" s="4" t="b">
        <f xml:space="preserve"> IFERROR(ISNUMBER(data!X16), FALSE)</f>
        <v>0</v>
      </c>
      <c r="AI16" s="4" t="b">
        <f>IF(ISERROR(MATCH(data!Y16, rule_mapping!$D$2:$D$252, 0))=FALSE,TRUE, FALSE)</f>
        <v>0</v>
      </c>
      <c r="AJ16" s="4" t="b">
        <f>IFERROR(ISNUMBER(data!Z16), FALSE)</f>
        <v>0</v>
      </c>
      <c r="AK16" s="4" t="b">
        <f>IFERROR(ISNUMBER(data!AA16), FALSE)</f>
        <v>0</v>
      </c>
      <c r="AL16" s="4" t="b">
        <f>LEN(data!AB16)&lt;=90</f>
        <v>1</v>
      </c>
      <c r="AM16" s="4" t="b">
        <f>LEN(data!AC16)&gt;0</f>
        <v>0</v>
      </c>
      <c r="AN16" s="4" t="b">
        <f>LEN(data!AC16)&lt;=2000</f>
        <v>1</v>
      </c>
      <c r="AO16" s="4" t="b">
        <f>IF(LEN(data!AD16)=0,TRUE,IF(LEN(data!AD16)=5,TRUE,FALSE))</f>
        <v>1</v>
      </c>
      <c r="AP16" s="4" t="b">
        <f>LEN(data!AE16)&gt;0</f>
        <v>0</v>
      </c>
      <c r="AQ16" s="4" t="b">
        <f>LEN(data!AE16)=5</f>
        <v>0</v>
      </c>
      <c r="AR16" s="4" t="b">
        <f>ISERROR(MATCH(data!AF16, rule_mapping!$B$2:$B$3, 0))=FALSE</f>
        <v>0</v>
      </c>
      <c r="AS16" s="4" t="b">
        <f>ISERROR(MATCH(data!AG16, rule_mapping!$A$2:$A$8, 0))=FALSE</f>
        <v>0</v>
      </c>
      <c r="AT16" s="4" t="b">
        <f>LEN(data!AH16)&lt;=4</f>
        <v>1</v>
      </c>
      <c r="AU16" s="4" t="b">
        <f>LEN(data!AI16)&lt;=10</f>
        <v>1</v>
      </c>
      <c r="AV16" s="4" t="b">
        <f>LEN(data!AJ16)&lt;=35</f>
        <v>1</v>
      </c>
      <c r="AW16" s="4" t="b">
        <f>LEN(data!AK16)&lt;=20</f>
        <v>1</v>
      </c>
      <c r="AX16"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 spans="1:50" ht="409.5" x14ac:dyDescent="0.15">
      <c r="A17" s="4" t="b">
        <f>OR(ISBLANK(data!B17), AND(B17:AW17))</f>
        <v>1</v>
      </c>
      <c r="B17" s="4" t="b">
        <f>AND(LEFT(TRIM(data!B17), 4)="OOLU", ISNUMBER(RIGHT(TRIM(data!B17), LEN(TRIM(data!B17))-4)+0))</f>
        <v>0</v>
      </c>
      <c r="C17" s="4" t="b">
        <f>LEN(data!C17)&gt;0</f>
        <v>0</v>
      </c>
      <c r="D17" s="4" t="b">
        <f>LEN(data!C17)&lt;=70</f>
        <v>1</v>
      </c>
      <c r="E17" s="4" t="b">
        <f>LEN(data!D17)&gt;0</f>
        <v>0</v>
      </c>
      <c r="F17" s="4" t="b">
        <f>LEN(data!D17)&lt;=140</f>
        <v>1</v>
      </c>
      <c r="G17" s="4" t="b">
        <f>LEN(data!E17)&gt;0</f>
        <v>0</v>
      </c>
      <c r="H17" s="4" t="b">
        <f>LEN(data!E17)&lt;=35</f>
        <v>1</v>
      </c>
      <c r="I17" s="4" t="b">
        <f>LEN(data!F17)=2</f>
        <v>0</v>
      </c>
      <c r="J17" s="4" t="b">
        <f>LEN(data!G17)&gt;0</f>
        <v>0</v>
      </c>
      <c r="K17" s="4" t="b">
        <f>LEN(data!G17)&lt;=60</f>
        <v>1</v>
      </c>
      <c r="L17" s="4" t="b">
        <f>LEN(data!I17)&gt;0</f>
        <v>0</v>
      </c>
      <c r="M17" s="4" t="b">
        <f>LEN(data!I17)&lt;=70</f>
        <v>1</v>
      </c>
      <c r="N17" s="4" t="b">
        <f>LEN(data!J17)&gt;0</f>
        <v>0</v>
      </c>
      <c r="O17" s="4" t="b">
        <f>LEN(data!J17)&lt;=140</f>
        <v>1</v>
      </c>
      <c r="P17" s="4" t="b">
        <f>LEN(data!K17)&gt;0</f>
        <v>0</v>
      </c>
      <c r="Q17" s="4" t="b">
        <f>LEN(data!K17)&lt;=35</f>
        <v>1</v>
      </c>
      <c r="R17" s="4" t="b">
        <f>LEN(data!L17)=2</f>
        <v>0</v>
      </c>
      <c r="S17" s="4" t="b">
        <f>LEN(data!M17)&gt;0</f>
        <v>0</v>
      </c>
      <c r="T17" s="4" t="b">
        <f>LEN(data!M17)&lt;=60</f>
        <v>1</v>
      </c>
      <c r="U17" s="4" t="b">
        <f>LEN(data!O17)&gt;0</f>
        <v>0</v>
      </c>
      <c r="V17" s="4" t="b">
        <f>LEN(data!O17)&lt;=70</f>
        <v>1</v>
      </c>
      <c r="W17" s="4" t="b">
        <f>LEN(data!P17)&gt;0</f>
        <v>0</v>
      </c>
      <c r="X17" s="4" t="b">
        <f>LEN(data!P17)&lt;=140</f>
        <v>1</v>
      </c>
      <c r="Y17" s="4" t="b">
        <f>LEN(data!Q17)&gt;0</f>
        <v>0</v>
      </c>
      <c r="Z17" s="4" t="b">
        <f>LEN(data!Q17)&lt;=35</f>
        <v>1</v>
      </c>
      <c r="AA17" s="4" t="b">
        <f>LEN(data!R17)=2</f>
        <v>0</v>
      </c>
      <c r="AB17" s="4" t="b">
        <f>LEN(data!S17)&gt;0</f>
        <v>0</v>
      </c>
      <c r="AC17" s="4" t="b">
        <f>LEN(data!S17)&lt;=120</f>
        <v>1</v>
      </c>
      <c r="AD17" s="4" t="b">
        <f>LEN(data!U17)=11</f>
        <v>0</v>
      </c>
      <c r="AE17" s="4" t="b">
        <f>AND(ISERROR(MATCH(data!V17, rule_mapping!$C$2:$C$325, 0))=FALSE, LEN(data!V17) &lt;= 4)</f>
        <v>0</v>
      </c>
      <c r="AF17" s="4" t="b">
        <f>LEN(data!W17)&gt;0</f>
        <v>0</v>
      </c>
      <c r="AG17" s="4" t="b">
        <f>LEN(data!W17)&lt;=20</f>
        <v>1</v>
      </c>
      <c r="AH17" s="4" t="b">
        <f xml:space="preserve"> IFERROR(ISNUMBER(data!X17), FALSE)</f>
        <v>0</v>
      </c>
      <c r="AI17" s="4" t="b">
        <f>IF(ISERROR(MATCH(data!Y17, rule_mapping!$D$2:$D$252, 0))=FALSE,TRUE, FALSE)</f>
        <v>0</v>
      </c>
      <c r="AJ17" s="4" t="b">
        <f>IFERROR(ISNUMBER(data!Z17), FALSE)</f>
        <v>0</v>
      </c>
      <c r="AK17" s="4" t="b">
        <f>IFERROR(ISNUMBER(data!AA17), FALSE)</f>
        <v>0</v>
      </c>
      <c r="AL17" s="4" t="b">
        <f>LEN(data!AB17)&lt;=90</f>
        <v>1</v>
      </c>
      <c r="AM17" s="4" t="b">
        <f>LEN(data!AC17)&gt;0</f>
        <v>0</v>
      </c>
      <c r="AN17" s="4" t="b">
        <f>LEN(data!AC17)&lt;=2000</f>
        <v>1</v>
      </c>
      <c r="AO17" s="4" t="b">
        <f>IF(LEN(data!AD17)=0,TRUE,IF(LEN(data!AD17)=5,TRUE,FALSE))</f>
        <v>1</v>
      </c>
      <c r="AP17" s="4" t="b">
        <f>LEN(data!AE17)&gt;0</f>
        <v>0</v>
      </c>
      <c r="AQ17" s="4" t="b">
        <f>LEN(data!AE17)=5</f>
        <v>0</v>
      </c>
      <c r="AR17" s="4" t="b">
        <f>ISERROR(MATCH(data!AF17, rule_mapping!$B$2:$B$3, 0))=FALSE</f>
        <v>0</v>
      </c>
      <c r="AS17" s="4" t="b">
        <f>ISERROR(MATCH(data!AG17, rule_mapping!$A$2:$A$8, 0))=FALSE</f>
        <v>0</v>
      </c>
      <c r="AT17" s="4" t="b">
        <f>LEN(data!AH17)&lt;=4</f>
        <v>1</v>
      </c>
      <c r="AU17" s="4" t="b">
        <f>LEN(data!AI17)&lt;=10</f>
        <v>1</v>
      </c>
      <c r="AV17" s="4" t="b">
        <f>LEN(data!AJ17)&lt;=35</f>
        <v>1</v>
      </c>
      <c r="AW17" s="4" t="b">
        <f>LEN(data!AK17)&lt;=20</f>
        <v>1</v>
      </c>
      <c r="AX17"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 spans="1:50" ht="409.5" x14ac:dyDescent="0.15">
      <c r="A18" s="4" t="b">
        <f>OR(ISBLANK(data!B18), AND(B18:AW18))</f>
        <v>1</v>
      </c>
      <c r="B18" s="4" t="b">
        <f>AND(LEFT(TRIM(data!B18), 4)="OOLU", ISNUMBER(RIGHT(TRIM(data!B18), LEN(TRIM(data!B18))-4)+0))</f>
        <v>0</v>
      </c>
      <c r="C18" s="4" t="b">
        <f>LEN(data!C18)&gt;0</f>
        <v>0</v>
      </c>
      <c r="D18" s="4" t="b">
        <f>LEN(data!C18)&lt;=70</f>
        <v>1</v>
      </c>
      <c r="E18" s="4" t="b">
        <f>LEN(data!D18)&gt;0</f>
        <v>0</v>
      </c>
      <c r="F18" s="4" t="b">
        <f>LEN(data!D18)&lt;=140</f>
        <v>1</v>
      </c>
      <c r="G18" s="4" t="b">
        <f>LEN(data!E18)&gt;0</f>
        <v>0</v>
      </c>
      <c r="H18" s="4" t="b">
        <f>LEN(data!E18)&lt;=35</f>
        <v>1</v>
      </c>
      <c r="I18" s="4" t="b">
        <f>LEN(data!F18)=2</f>
        <v>0</v>
      </c>
      <c r="J18" s="4" t="b">
        <f>LEN(data!G18)&gt;0</f>
        <v>0</v>
      </c>
      <c r="K18" s="4" t="b">
        <f>LEN(data!G18)&lt;=60</f>
        <v>1</v>
      </c>
      <c r="L18" s="4" t="b">
        <f>LEN(data!I18)&gt;0</f>
        <v>0</v>
      </c>
      <c r="M18" s="4" t="b">
        <f>LEN(data!I18)&lt;=70</f>
        <v>1</v>
      </c>
      <c r="N18" s="4" t="b">
        <f>LEN(data!J18)&gt;0</f>
        <v>0</v>
      </c>
      <c r="O18" s="4" t="b">
        <f>LEN(data!J18)&lt;=140</f>
        <v>1</v>
      </c>
      <c r="P18" s="4" t="b">
        <f>LEN(data!K18)&gt;0</f>
        <v>0</v>
      </c>
      <c r="Q18" s="4" t="b">
        <f>LEN(data!K18)&lt;=35</f>
        <v>1</v>
      </c>
      <c r="R18" s="4" t="b">
        <f>LEN(data!L18)=2</f>
        <v>0</v>
      </c>
      <c r="S18" s="4" t="b">
        <f>LEN(data!M18)&gt;0</f>
        <v>0</v>
      </c>
      <c r="T18" s="4" t="b">
        <f>LEN(data!M18)&lt;=60</f>
        <v>1</v>
      </c>
      <c r="U18" s="4" t="b">
        <f>LEN(data!O18)&gt;0</f>
        <v>0</v>
      </c>
      <c r="V18" s="4" t="b">
        <f>LEN(data!O18)&lt;=70</f>
        <v>1</v>
      </c>
      <c r="W18" s="4" t="b">
        <f>LEN(data!P18)&gt;0</f>
        <v>0</v>
      </c>
      <c r="X18" s="4" t="b">
        <f>LEN(data!P18)&lt;=140</f>
        <v>1</v>
      </c>
      <c r="Y18" s="4" t="b">
        <f>LEN(data!Q18)&gt;0</f>
        <v>0</v>
      </c>
      <c r="Z18" s="4" t="b">
        <f>LEN(data!Q18)&lt;=35</f>
        <v>1</v>
      </c>
      <c r="AA18" s="4" t="b">
        <f>LEN(data!R18)=2</f>
        <v>0</v>
      </c>
      <c r="AB18" s="4" t="b">
        <f>LEN(data!S18)&gt;0</f>
        <v>0</v>
      </c>
      <c r="AC18" s="4" t="b">
        <f>LEN(data!S18)&lt;=120</f>
        <v>1</v>
      </c>
      <c r="AD18" s="4" t="b">
        <f>LEN(data!U18)=11</f>
        <v>0</v>
      </c>
      <c r="AE18" s="4" t="b">
        <f>AND(ISERROR(MATCH(data!V18, rule_mapping!$C$2:$C$325, 0))=FALSE, LEN(data!V18) &lt;= 4)</f>
        <v>0</v>
      </c>
      <c r="AF18" s="4" t="b">
        <f>LEN(data!W18)&gt;0</f>
        <v>0</v>
      </c>
      <c r="AG18" s="4" t="b">
        <f>LEN(data!W18)&lt;=20</f>
        <v>1</v>
      </c>
      <c r="AH18" s="4" t="b">
        <f xml:space="preserve"> IFERROR(ISNUMBER(data!X18), FALSE)</f>
        <v>0</v>
      </c>
      <c r="AI18" s="4" t="b">
        <f>IF(ISERROR(MATCH(data!Y18, rule_mapping!$D$2:$D$252, 0))=FALSE,TRUE, FALSE)</f>
        <v>0</v>
      </c>
      <c r="AJ18" s="4" t="b">
        <f>IFERROR(ISNUMBER(data!Z18), FALSE)</f>
        <v>0</v>
      </c>
      <c r="AK18" s="4" t="b">
        <f>IFERROR(ISNUMBER(data!AA18), FALSE)</f>
        <v>0</v>
      </c>
      <c r="AL18" s="4" t="b">
        <f>LEN(data!AB18)&lt;=90</f>
        <v>1</v>
      </c>
      <c r="AM18" s="4" t="b">
        <f>LEN(data!AC18)&gt;0</f>
        <v>0</v>
      </c>
      <c r="AN18" s="4" t="b">
        <f>LEN(data!AC18)&lt;=2000</f>
        <v>1</v>
      </c>
      <c r="AO18" s="4" t="b">
        <f>IF(LEN(data!AD18)=0,TRUE,IF(LEN(data!AD18)=5,TRUE,FALSE))</f>
        <v>1</v>
      </c>
      <c r="AP18" s="4" t="b">
        <f>LEN(data!AE18)&gt;0</f>
        <v>0</v>
      </c>
      <c r="AQ18" s="4" t="b">
        <f>LEN(data!AE18)=5</f>
        <v>0</v>
      </c>
      <c r="AR18" s="4" t="b">
        <f>ISERROR(MATCH(data!AF18, rule_mapping!$B$2:$B$3, 0))=FALSE</f>
        <v>0</v>
      </c>
      <c r="AS18" s="4" t="b">
        <f>ISERROR(MATCH(data!AG18, rule_mapping!$A$2:$A$8, 0))=FALSE</f>
        <v>0</v>
      </c>
      <c r="AT18" s="4" t="b">
        <f>LEN(data!AH18)&lt;=4</f>
        <v>1</v>
      </c>
      <c r="AU18" s="4" t="b">
        <f>LEN(data!AI18)&lt;=10</f>
        <v>1</v>
      </c>
      <c r="AV18" s="4" t="b">
        <f>LEN(data!AJ18)&lt;=35</f>
        <v>1</v>
      </c>
      <c r="AW18" s="4" t="b">
        <f>LEN(data!AK18)&lt;=20</f>
        <v>1</v>
      </c>
      <c r="AX18"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 spans="1:50" ht="409.5" x14ac:dyDescent="0.15">
      <c r="A19" s="4" t="b">
        <f>OR(ISBLANK(data!B19), AND(B19:AW19))</f>
        <v>1</v>
      </c>
      <c r="B19" s="4" t="b">
        <f>AND(LEFT(TRIM(data!B19), 4)="OOLU", ISNUMBER(RIGHT(TRIM(data!B19), LEN(TRIM(data!B19))-4)+0))</f>
        <v>0</v>
      </c>
      <c r="C19" s="4" t="b">
        <f>LEN(data!C19)&gt;0</f>
        <v>0</v>
      </c>
      <c r="D19" s="4" t="b">
        <f>LEN(data!C19)&lt;=70</f>
        <v>1</v>
      </c>
      <c r="E19" s="4" t="b">
        <f>LEN(data!D19)&gt;0</f>
        <v>0</v>
      </c>
      <c r="F19" s="4" t="b">
        <f>LEN(data!D19)&lt;=140</f>
        <v>1</v>
      </c>
      <c r="G19" s="4" t="b">
        <f>LEN(data!E19)&gt;0</f>
        <v>0</v>
      </c>
      <c r="H19" s="4" t="b">
        <f>LEN(data!E19)&lt;=35</f>
        <v>1</v>
      </c>
      <c r="I19" s="4" t="b">
        <f>LEN(data!F19)=2</f>
        <v>0</v>
      </c>
      <c r="J19" s="4" t="b">
        <f>LEN(data!G19)&gt;0</f>
        <v>0</v>
      </c>
      <c r="K19" s="4" t="b">
        <f>LEN(data!G19)&lt;=60</f>
        <v>1</v>
      </c>
      <c r="L19" s="4" t="b">
        <f>LEN(data!I19)&gt;0</f>
        <v>0</v>
      </c>
      <c r="M19" s="4" t="b">
        <f>LEN(data!I19)&lt;=70</f>
        <v>1</v>
      </c>
      <c r="N19" s="4" t="b">
        <f>LEN(data!J19)&gt;0</f>
        <v>0</v>
      </c>
      <c r="O19" s="4" t="b">
        <f>LEN(data!J19)&lt;=140</f>
        <v>1</v>
      </c>
      <c r="P19" s="4" t="b">
        <f>LEN(data!K19)&gt;0</f>
        <v>0</v>
      </c>
      <c r="Q19" s="4" t="b">
        <f>LEN(data!K19)&lt;=35</f>
        <v>1</v>
      </c>
      <c r="R19" s="4" t="b">
        <f>LEN(data!L19)=2</f>
        <v>0</v>
      </c>
      <c r="S19" s="4" t="b">
        <f>LEN(data!M19)&gt;0</f>
        <v>0</v>
      </c>
      <c r="T19" s="4" t="b">
        <f>LEN(data!M19)&lt;=60</f>
        <v>1</v>
      </c>
      <c r="U19" s="4" t="b">
        <f>LEN(data!O19)&gt;0</f>
        <v>0</v>
      </c>
      <c r="V19" s="4" t="b">
        <f>LEN(data!O19)&lt;=70</f>
        <v>1</v>
      </c>
      <c r="W19" s="4" t="b">
        <f>LEN(data!P19)&gt;0</f>
        <v>0</v>
      </c>
      <c r="X19" s="4" t="b">
        <f>LEN(data!P19)&lt;=140</f>
        <v>1</v>
      </c>
      <c r="Y19" s="4" t="b">
        <f>LEN(data!Q19)&gt;0</f>
        <v>0</v>
      </c>
      <c r="Z19" s="4" t="b">
        <f>LEN(data!Q19)&lt;=35</f>
        <v>1</v>
      </c>
      <c r="AA19" s="4" t="b">
        <f>LEN(data!R19)=2</f>
        <v>0</v>
      </c>
      <c r="AB19" s="4" t="b">
        <f>LEN(data!S19)&gt;0</f>
        <v>0</v>
      </c>
      <c r="AC19" s="4" t="b">
        <f>LEN(data!S19)&lt;=120</f>
        <v>1</v>
      </c>
      <c r="AD19" s="4" t="b">
        <f>LEN(data!U19)=11</f>
        <v>0</v>
      </c>
      <c r="AE19" s="4" t="b">
        <f>AND(ISERROR(MATCH(data!V19, rule_mapping!$C$2:$C$325, 0))=FALSE, LEN(data!V19) &lt;= 4)</f>
        <v>0</v>
      </c>
      <c r="AF19" s="4" t="b">
        <f>LEN(data!W19)&gt;0</f>
        <v>0</v>
      </c>
      <c r="AG19" s="4" t="b">
        <f>LEN(data!W19)&lt;=20</f>
        <v>1</v>
      </c>
      <c r="AH19" s="4" t="b">
        <f xml:space="preserve"> IFERROR(ISNUMBER(data!X19), FALSE)</f>
        <v>0</v>
      </c>
      <c r="AI19" s="4" t="b">
        <f>IF(ISERROR(MATCH(data!Y19, rule_mapping!$D$2:$D$252, 0))=FALSE,TRUE, FALSE)</f>
        <v>0</v>
      </c>
      <c r="AJ19" s="4" t="b">
        <f>IFERROR(ISNUMBER(data!Z19), FALSE)</f>
        <v>0</v>
      </c>
      <c r="AK19" s="4" t="b">
        <f>IFERROR(ISNUMBER(data!AA19), FALSE)</f>
        <v>0</v>
      </c>
      <c r="AL19" s="4" t="b">
        <f>LEN(data!AB19)&lt;=90</f>
        <v>1</v>
      </c>
      <c r="AM19" s="4" t="b">
        <f>LEN(data!AC19)&gt;0</f>
        <v>0</v>
      </c>
      <c r="AN19" s="4" t="b">
        <f>LEN(data!AC19)&lt;=2000</f>
        <v>1</v>
      </c>
      <c r="AO19" s="4" t="b">
        <f>IF(LEN(data!AD19)=0,TRUE,IF(LEN(data!AD19)=5,TRUE,FALSE))</f>
        <v>1</v>
      </c>
      <c r="AP19" s="4" t="b">
        <f>LEN(data!AE19)&gt;0</f>
        <v>0</v>
      </c>
      <c r="AQ19" s="4" t="b">
        <f>LEN(data!AE19)=5</f>
        <v>0</v>
      </c>
      <c r="AR19" s="4" t="b">
        <f>ISERROR(MATCH(data!AF19, rule_mapping!$B$2:$B$3, 0))=FALSE</f>
        <v>0</v>
      </c>
      <c r="AS19" s="4" t="b">
        <f>ISERROR(MATCH(data!AG19, rule_mapping!$A$2:$A$8, 0))=FALSE</f>
        <v>0</v>
      </c>
      <c r="AT19" s="4" t="b">
        <f>LEN(data!AH19)&lt;=4</f>
        <v>1</v>
      </c>
      <c r="AU19" s="4" t="b">
        <f>LEN(data!AI19)&lt;=10</f>
        <v>1</v>
      </c>
      <c r="AV19" s="4" t="b">
        <f>LEN(data!AJ19)&lt;=35</f>
        <v>1</v>
      </c>
      <c r="AW19" s="4" t="b">
        <f>LEN(data!AK19)&lt;=20</f>
        <v>1</v>
      </c>
      <c r="AX19"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 spans="1:50" ht="409.5" x14ac:dyDescent="0.15">
      <c r="A20" s="4" t="b">
        <f>OR(ISBLANK(data!B20), AND(B20:AW20))</f>
        <v>1</v>
      </c>
      <c r="B20" s="4" t="b">
        <f>AND(LEFT(TRIM(data!B20), 4)="OOLU", ISNUMBER(RIGHT(TRIM(data!B20), LEN(TRIM(data!B20))-4)+0))</f>
        <v>0</v>
      </c>
      <c r="C20" s="4" t="b">
        <f>LEN(data!C20)&gt;0</f>
        <v>0</v>
      </c>
      <c r="D20" s="4" t="b">
        <f>LEN(data!C20)&lt;=70</f>
        <v>1</v>
      </c>
      <c r="E20" s="4" t="b">
        <f>LEN(data!D20)&gt;0</f>
        <v>0</v>
      </c>
      <c r="F20" s="4" t="b">
        <f>LEN(data!D20)&lt;=140</f>
        <v>1</v>
      </c>
      <c r="G20" s="4" t="b">
        <f>LEN(data!E20)&gt;0</f>
        <v>0</v>
      </c>
      <c r="H20" s="4" t="b">
        <f>LEN(data!E20)&lt;=35</f>
        <v>1</v>
      </c>
      <c r="I20" s="4" t="b">
        <f>LEN(data!F20)=2</f>
        <v>0</v>
      </c>
      <c r="J20" s="4" t="b">
        <f>LEN(data!G20)&gt;0</f>
        <v>0</v>
      </c>
      <c r="K20" s="4" t="b">
        <f>LEN(data!G20)&lt;=60</f>
        <v>1</v>
      </c>
      <c r="L20" s="4" t="b">
        <f>LEN(data!I20)&gt;0</f>
        <v>0</v>
      </c>
      <c r="M20" s="4" t="b">
        <f>LEN(data!I20)&lt;=70</f>
        <v>1</v>
      </c>
      <c r="N20" s="4" t="b">
        <f>LEN(data!J20)&gt;0</f>
        <v>0</v>
      </c>
      <c r="O20" s="4" t="b">
        <f>LEN(data!J20)&lt;=140</f>
        <v>1</v>
      </c>
      <c r="P20" s="4" t="b">
        <f>LEN(data!K20)&gt;0</f>
        <v>0</v>
      </c>
      <c r="Q20" s="4" t="b">
        <f>LEN(data!K20)&lt;=35</f>
        <v>1</v>
      </c>
      <c r="R20" s="4" t="b">
        <f>LEN(data!L20)=2</f>
        <v>0</v>
      </c>
      <c r="S20" s="4" t="b">
        <f>LEN(data!M20)&gt;0</f>
        <v>0</v>
      </c>
      <c r="T20" s="4" t="b">
        <f>LEN(data!M20)&lt;=60</f>
        <v>1</v>
      </c>
      <c r="U20" s="4" t="b">
        <f>LEN(data!O20)&gt;0</f>
        <v>0</v>
      </c>
      <c r="V20" s="4" t="b">
        <f>LEN(data!O20)&lt;=70</f>
        <v>1</v>
      </c>
      <c r="W20" s="4" t="b">
        <f>LEN(data!P20)&gt;0</f>
        <v>0</v>
      </c>
      <c r="X20" s="4" t="b">
        <f>LEN(data!P20)&lt;=140</f>
        <v>1</v>
      </c>
      <c r="Y20" s="4" t="b">
        <f>LEN(data!Q20)&gt;0</f>
        <v>0</v>
      </c>
      <c r="Z20" s="4" t="b">
        <f>LEN(data!Q20)&lt;=35</f>
        <v>1</v>
      </c>
      <c r="AA20" s="4" t="b">
        <f>LEN(data!R20)=2</f>
        <v>0</v>
      </c>
      <c r="AB20" s="4" t="b">
        <f>LEN(data!S20)&gt;0</f>
        <v>0</v>
      </c>
      <c r="AC20" s="4" t="b">
        <f>LEN(data!S20)&lt;=120</f>
        <v>1</v>
      </c>
      <c r="AD20" s="4" t="b">
        <f>LEN(data!U20)=11</f>
        <v>0</v>
      </c>
      <c r="AE20" s="4" t="b">
        <f>AND(ISERROR(MATCH(data!V20, rule_mapping!$C$2:$C$325, 0))=FALSE, LEN(data!V20) &lt;= 4)</f>
        <v>0</v>
      </c>
      <c r="AF20" s="4" t="b">
        <f>LEN(data!W20)&gt;0</f>
        <v>0</v>
      </c>
      <c r="AG20" s="4" t="b">
        <f>LEN(data!W20)&lt;=20</f>
        <v>1</v>
      </c>
      <c r="AH20" s="4" t="b">
        <f xml:space="preserve"> IFERROR(ISNUMBER(data!X20), FALSE)</f>
        <v>0</v>
      </c>
      <c r="AI20" s="4" t="b">
        <f>IF(ISERROR(MATCH(data!Y20, rule_mapping!$D$2:$D$252, 0))=FALSE,TRUE, FALSE)</f>
        <v>0</v>
      </c>
      <c r="AJ20" s="4" t="b">
        <f>IFERROR(ISNUMBER(data!Z20), FALSE)</f>
        <v>0</v>
      </c>
      <c r="AK20" s="4" t="b">
        <f>IFERROR(ISNUMBER(data!AA20), FALSE)</f>
        <v>0</v>
      </c>
      <c r="AL20" s="4" t="b">
        <f>LEN(data!AB20)&lt;=90</f>
        <v>1</v>
      </c>
      <c r="AM20" s="4" t="b">
        <f>LEN(data!AC20)&gt;0</f>
        <v>0</v>
      </c>
      <c r="AN20" s="4" t="b">
        <f>LEN(data!AC20)&lt;=2000</f>
        <v>1</v>
      </c>
      <c r="AO20" s="4" t="b">
        <f>IF(LEN(data!AD20)=0,TRUE,IF(LEN(data!AD20)=5,TRUE,FALSE))</f>
        <v>1</v>
      </c>
      <c r="AP20" s="4" t="b">
        <f>LEN(data!AE20)&gt;0</f>
        <v>0</v>
      </c>
      <c r="AQ20" s="4" t="b">
        <f>LEN(data!AE20)=5</f>
        <v>0</v>
      </c>
      <c r="AR20" s="4" t="b">
        <f>ISERROR(MATCH(data!AF20, rule_mapping!$B$2:$B$3, 0))=FALSE</f>
        <v>0</v>
      </c>
      <c r="AS20" s="4" t="b">
        <f>ISERROR(MATCH(data!AG20, rule_mapping!$A$2:$A$8, 0))=FALSE</f>
        <v>0</v>
      </c>
      <c r="AT20" s="4" t="b">
        <f>LEN(data!AH20)&lt;=4</f>
        <v>1</v>
      </c>
      <c r="AU20" s="4" t="b">
        <f>LEN(data!AI20)&lt;=10</f>
        <v>1</v>
      </c>
      <c r="AV20" s="4" t="b">
        <f>LEN(data!AJ20)&lt;=35</f>
        <v>1</v>
      </c>
      <c r="AW20" s="4" t="b">
        <f>LEN(data!AK20)&lt;=20</f>
        <v>1</v>
      </c>
      <c r="AX20"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 spans="1:50" ht="409.5" x14ac:dyDescent="0.15">
      <c r="A21" s="4" t="b">
        <f>OR(ISBLANK(data!B21), AND(B21:AW21))</f>
        <v>1</v>
      </c>
      <c r="B21" s="4" t="b">
        <f>AND(LEFT(TRIM(data!B21), 4)="OOLU", ISNUMBER(RIGHT(TRIM(data!B21), LEN(TRIM(data!B21))-4)+0))</f>
        <v>0</v>
      </c>
      <c r="C21" s="4" t="b">
        <f>LEN(data!C21)&gt;0</f>
        <v>0</v>
      </c>
      <c r="D21" s="4" t="b">
        <f>LEN(data!C21)&lt;=70</f>
        <v>1</v>
      </c>
      <c r="E21" s="4" t="b">
        <f>LEN(data!D21)&gt;0</f>
        <v>0</v>
      </c>
      <c r="F21" s="4" t="b">
        <f>LEN(data!D21)&lt;=140</f>
        <v>1</v>
      </c>
      <c r="G21" s="4" t="b">
        <f>LEN(data!E21)&gt;0</f>
        <v>0</v>
      </c>
      <c r="H21" s="4" t="b">
        <f>LEN(data!E21)&lt;=35</f>
        <v>1</v>
      </c>
      <c r="I21" s="4" t="b">
        <f>LEN(data!F21)=2</f>
        <v>0</v>
      </c>
      <c r="J21" s="4" t="b">
        <f>LEN(data!G21)&gt;0</f>
        <v>0</v>
      </c>
      <c r="K21" s="4" t="b">
        <f>LEN(data!G21)&lt;=60</f>
        <v>1</v>
      </c>
      <c r="L21" s="4" t="b">
        <f>LEN(data!I21)&gt;0</f>
        <v>0</v>
      </c>
      <c r="M21" s="4" t="b">
        <f>LEN(data!I21)&lt;=70</f>
        <v>1</v>
      </c>
      <c r="N21" s="4" t="b">
        <f>LEN(data!J21)&gt;0</f>
        <v>0</v>
      </c>
      <c r="O21" s="4" t="b">
        <f>LEN(data!J21)&lt;=140</f>
        <v>1</v>
      </c>
      <c r="P21" s="4" t="b">
        <f>LEN(data!K21)&gt;0</f>
        <v>0</v>
      </c>
      <c r="Q21" s="4" t="b">
        <f>LEN(data!K21)&lt;=35</f>
        <v>1</v>
      </c>
      <c r="R21" s="4" t="b">
        <f>LEN(data!L21)=2</f>
        <v>0</v>
      </c>
      <c r="S21" s="4" t="b">
        <f>LEN(data!M21)&gt;0</f>
        <v>0</v>
      </c>
      <c r="T21" s="4" t="b">
        <f>LEN(data!M21)&lt;=60</f>
        <v>1</v>
      </c>
      <c r="U21" s="4" t="b">
        <f>LEN(data!O21)&gt;0</f>
        <v>0</v>
      </c>
      <c r="V21" s="4" t="b">
        <f>LEN(data!O21)&lt;=70</f>
        <v>1</v>
      </c>
      <c r="W21" s="4" t="b">
        <f>LEN(data!P21)&gt;0</f>
        <v>0</v>
      </c>
      <c r="X21" s="4" t="b">
        <f>LEN(data!P21)&lt;=140</f>
        <v>1</v>
      </c>
      <c r="Y21" s="4" t="b">
        <f>LEN(data!Q21)&gt;0</f>
        <v>0</v>
      </c>
      <c r="Z21" s="4" t="b">
        <f>LEN(data!Q21)&lt;=35</f>
        <v>1</v>
      </c>
      <c r="AA21" s="4" t="b">
        <f>LEN(data!R21)=2</f>
        <v>0</v>
      </c>
      <c r="AB21" s="4" t="b">
        <f>LEN(data!S21)&gt;0</f>
        <v>0</v>
      </c>
      <c r="AC21" s="4" t="b">
        <f>LEN(data!S21)&lt;=120</f>
        <v>1</v>
      </c>
      <c r="AD21" s="4" t="b">
        <f>LEN(data!U21)=11</f>
        <v>0</v>
      </c>
      <c r="AE21" s="4" t="b">
        <f>AND(ISERROR(MATCH(data!V21, rule_mapping!$C$2:$C$325, 0))=FALSE, LEN(data!V21) &lt;= 4)</f>
        <v>0</v>
      </c>
      <c r="AF21" s="4" t="b">
        <f>LEN(data!W21)&gt;0</f>
        <v>0</v>
      </c>
      <c r="AG21" s="4" t="b">
        <f>LEN(data!W21)&lt;=20</f>
        <v>1</v>
      </c>
      <c r="AH21" s="4" t="b">
        <f xml:space="preserve"> IFERROR(ISNUMBER(data!X21), FALSE)</f>
        <v>0</v>
      </c>
      <c r="AI21" s="4" t="b">
        <f>IF(ISERROR(MATCH(data!Y21, rule_mapping!$D$2:$D$252, 0))=FALSE,TRUE, FALSE)</f>
        <v>0</v>
      </c>
      <c r="AJ21" s="4" t="b">
        <f>IFERROR(ISNUMBER(data!Z21), FALSE)</f>
        <v>0</v>
      </c>
      <c r="AK21" s="4" t="b">
        <f>IFERROR(ISNUMBER(data!AA21), FALSE)</f>
        <v>0</v>
      </c>
      <c r="AL21" s="4" t="b">
        <f>LEN(data!AB21)&lt;=90</f>
        <v>1</v>
      </c>
      <c r="AM21" s="4" t="b">
        <f>LEN(data!AC21)&gt;0</f>
        <v>0</v>
      </c>
      <c r="AN21" s="4" t="b">
        <f>LEN(data!AC21)&lt;=2000</f>
        <v>1</v>
      </c>
      <c r="AO21" s="4" t="b">
        <f>IF(LEN(data!AD21)=0,TRUE,IF(LEN(data!AD21)=5,TRUE,FALSE))</f>
        <v>1</v>
      </c>
      <c r="AP21" s="4" t="b">
        <f>LEN(data!AE21)&gt;0</f>
        <v>0</v>
      </c>
      <c r="AQ21" s="4" t="b">
        <f>LEN(data!AE21)=5</f>
        <v>0</v>
      </c>
      <c r="AR21" s="4" t="b">
        <f>ISERROR(MATCH(data!AF21, rule_mapping!$B$2:$B$3, 0))=FALSE</f>
        <v>0</v>
      </c>
      <c r="AS21" s="4" t="b">
        <f>ISERROR(MATCH(data!AG21, rule_mapping!$A$2:$A$8, 0))=FALSE</f>
        <v>0</v>
      </c>
      <c r="AT21" s="4" t="b">
        <f>LEN(data!AH21)&lt;=4</f>
        <v>1</v>
      </c>
      <c r="AU21" s="4" t="b">
        <f>LEN(data!AI21)&lt;=10</f>
        <v>1</v>
      </c>
      <c r="AV21" s="4" t="b">
        <f>LEN(data!AJ21)&lt;=35</f>
        <v>1</v>
      </c>
      <c r="AW21" s="4" t="b">
        <f>LEN(data!AK21)&lt;=20</f>
        <v>1</v>
      </c>
      <c r="AX21"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 spans="1:50" ht="409.5" x14ac:dyDescent="0.15">
      <c r="A22" s="4" t="b">
        <f>OR(ISBLANK(data!B22), AND(B22:AW22))</f>
        <v>1</v>
      </c>
      <c r="B22" s="4" t="b">
        <f>AND(LEFT(TRIM(data!B22), 4)="OOLU", ISNUMBER(RIGHT(TRIM(data!B22), LEN(TRIM(data!B22))-4)+0))</f>
        <v>0</v>
      </c>
      <c r="C22" s="4" t="b">
        <f>LEN(data!C22)&gt;0</f>
        <v>0</v>
      </c>
      <c r="D22" s="4" t="b">
        <f>LEN(data!C22)&lt;=70</f>
        <v>1</v>
      </c>
      <c r="E22" s="4" t="b">
        <f>LEN(data!D22)&gt;0</f>
        <v>0</v>
      </c>
      <c r="F22" s="4" t="b">
        <f>LEN(data!D22)&lt;=140</f>
        <v>1</v>
      </c>
      <c r="G22" s="4" t="b">
        <f>LEN(data!E22)&gt;0</f>
        <v>0</v>
      </c>
      <c r="H22" s="4" t="b">
        <f>LEN(data!E22)&lt;=35</f>
        <v>1</v>
      </c>
      <c r="I22" s="4" t="b">
        <f>LEN(data!F22)=2</f>
        <v>0</v>
      </c>
      <c r="J22" s="4" t="b">
        <f>LEN(data!G22)&gt;0</f>
        <v>0</v>
      </c>
      <c r="K22" s="4" t="b">
        <f>LEN(data!G22)&lt;=60</f>
        <v>1</v>
      </c>
      <c r="L22" s="4" t="b">
        <f>LEN(data!I22)&gt;0</f>
        <v>0</v>
      </c>
      <c r="M22" s="4" t="b">
        <f>LEN(data!I22)&lt;=70</f>
        <v>1</v>
      </c>
      <c r="N22" s="4" t="b">
        <f>LEN(data!J22)&gt;0</f>
        <v>0</v>
      </c>
      <c r="O22" s="4" t="b">
        <f>LEN(data!J22)&lt;=140</f>
        <v>1</v>
      </c>
      <c r="P22" s="4" t="b">
        <f>LEN(data!K22)&gt;0</f>
        <v>0</v>
      </c>
      <c r="Q22" s="4" t="b">
        <f>LEN(data!K22)&lt;=35</f>
        <v>1</v>
      </c>
      <c r="R22" s="4" t="b">
        <f>LEN(data!L22)=2</f>
        <v>0</v>
      </c>
      <c r="S22" s="4" t="b">
        <f>LEN(data!M22)&gt;0</f>
        <v>0</v>
      </c>
      <c r="T22" s="4" t="b">
        <f>LEN(data!M22)&lt;=60</f>
        <v>1</v>
      </c>
      <c r="U22" s="4" t="b">
        <f>LEN(data!O22)&gt;0</f>
        <v>0</v>
      </c>
      <c r="V22" s="4" t="b">
        <f>LEN(data!O22)&lt;=70</f>
        <v>1</v>
      </c>
      <c r="W22" s="4" t="b">
        <f>LEN(data!P22)&gt;0</f>
        <v>0</v>
      </c>
      <c r="X22" s="4" t="b">
        <f>LEN(data!P22)&lt;=140</f>
        <v>1</v>
      </c>
      <c r="Y22" s="4" t="b">
        <f>LEN(data!Q22)&gt;0</f>
        <v>0</v>
      </c>
      <c r="Z22" s="4" t="b">
        <f>LEN(data!Q22)&lt;=35</f>
        <v>1</v>
      </c>
      <c r="AA22" s="4" t="b">
        <f>LEN(data!R22)=2</f>
        <v>0</v>
      </c>
      <c r="AB22" s="4" t="b">
        <f>LEN(data!S22)&gt;0</f>
        <v>0</v>
      </c>
      <c r="AC22" s="4" t="b">
        <f>LEN(data!S22)&lt;=120</f>
        <v>1</v>
      </c>
      <c r="AD22" s="4" t="b">
        <f>LEN(data!U22)=11</f>
        <v>0</v>
      </c>
      <c r="AE22" s="4" t="b">
        <f>AND(ISERROR(MATCH(data!V22, rule_mapping!$C$2:$C$325, 0))=FALSE, LEN(data!V22) &lt;= 4)</f>
        <v>0</v>
      </c>
      <c r="AF22" s="4" t="b">
        <f>LEN(data!W22)&gt;0</f>
        <v>0</v>
      </c>
      <c r="AG22" s="4" t="b">
        <f>LEN(data!W22)&lt;=20</f>
        <v>1</v>
      </c>
      <c r="AH22" s="4" t="b">
        <f xml:space="preserve"> IFERROR(ISNUMBER(data!X22), FALSE)</f>
        <v>0</v>
      </c>
      <c r="AI22" s="4" t="b">
        <f>IF(ISERROR(MATCH(data!Y22, rule_mapping!$D$2:$D$252, 0))=FALSE,TRUE, FALSE)</f>
        <v>0</v>
      </c>
      <c r="AJ22" s="4" t="b">
        <f>IFERROR(ISNUMBER(data!Z22), FALSE)</f>
        <v>0</v>
      </c>
      <c r="AK22" s="4" t="b">
        <f>IFERROR(ISNUMBER(data!AA22), FALSE)</f>
        <v>0</v>
      </c>
      <c r="AL22" s="4" t="b">
        <f>LEN(data!AB22)&lt;=90</f>
        <v>1</v>
      </c>
      <c r="AM22" s="4" t="b">
        <f>LEN(data!AC22)&gt;0</f>
        <v>0</v>
      </c>
      <c r="AN22" s="4" t="b">
        <f>LEN(data!AC22)&lt;=2000</f>
        <v>1</v>
      </c>
      <c r="AO22" s="4" t="b">
        <f>IF(LEN(data!AD22)=0,TRUE,IF(LEN(data!AD22)=5,TRUE,FALSE))</f>
        <v>1</v>
      </c>
      <c r="AP22" s="4" t="b">
        <f>LEN(data!AE22)&gt;0</f>
        <v>0</v>
      </c>
      <c r="AQ22" s="4" t="b">
        <f>LEN(data!AE22)=5</f>
        <v>0</v>
      </c>
      <c r="AR22" s="4" t="b">
        <f>ISERROR(MATCH(data!AF22, rule_mapping!$B$2:$B$3, 0))=FALSE</f>
        <v>0</v>
      </c>
      <c r="AS22" s="4" t="b">
        <f>ISERROR(MATCH(data!AG22, rule_mapping!$A$2:$A$8, 0))=FALSE</f>
        <v>0</v>
      </c>
      <c r="AT22" s="4" t="b">
        <f>LEN(data!AH22)&lt;=4</f>
        <v>1</v>
      </c>
      <c r="AU22" s="4" t="b">
        <f>LEN(data!AI22)&lt;=10</f>
        <v>1</v>
      </c>
      <c r="AV22" s="4" t="b">
        <f>LEN(data!AJ22)&lt;=35</f>
        <v>1</v>
      </c>
      <c r="AW22" s="4" t="b">
        <f>LEN(data!AK22)&lt;=20</f>
        <v>1</v>
      </c>
      <c r="AX22"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 spans="1:50" ht="409.5" x14ac:dyDescent="0.15">
      <c r="A23" s="4" t="b">
        <f>OR(ISBLANK(data!B23), AND(B23:AW23))</f>
        <v>1</v>
      </c>
      <c r="B23" s="4" t="b">
        <f>AND(LEFT(TRIM(data!B23), 4)="OOLU", ISNUMBER(RIGHT(TRIM(data!B23), LEN(TRIM(data!B23))-4)+0))</f>
        <v>0</v>
      </c>
      <c r="C23" s="4" t="b">
        <f>LEN(data!C23)&gt;0</f>
        <v>0</v>
      </c>
      <c r="D23" s="4" t="b">
        <f>LEN(data!C23)&lt;=70</f>
        <v>1</v>
      </c>
      <c r="E23" s="4" t="b">
        <f>LEN(data!D23)&gt;0</f>
        <v>0</v>
      </c>
      <c r="F23" s="4" t="b">
        <f>LEN(data!D23)&lt;=140</f>
        <v>1</v>
      </c>
      <c r="G23" s="4" t="b">
        <f>LEN(data!E23)&gt;0</f>
        <v>0</v>
      </c>
      <c r="H23" s="4" t="b">
        <f>LEN(data!E23)&lt;=35</f>
        <v>1</v>
      </c>
      <c r="I23" s="4" t="b">
        <f>LEN(data!F23)=2</f>
        <v>0</v>
      </c>
      <c r="J23" s="4" t="b">
        <f>LEN(data!G23)&gt;0</f>
        <v>0</v>
      </c>
      <c r="K23" s="4" t="b">
        <f>LEN(data!G23)&lt;=60</f>
        <v>1</v>
      </c>
      <c r="L23" s="4" t="b">
        <f>LEN(data!I23)&gt;0</f>
        <v>0</v>
      </c>
      <c r="M23" s="4" t="b">
        <f>LEN(data!I23)&lt;=70</f>
        <v>1</v>
      </c>
      <c r="N23" s="4" t="b">
        <f>LEN(data!J23)&gt;0</f>
        <v>0</v>
      </c>
      <c r="O23" s="4" t="b">
        <f>LEN(data!J23)&lt;=140</f>
        <v>1</v>
      </c>
      <c r="P23" s="4" t="b">
        <f>LEN(data!K23)&gt;0</f>
        <v>0</v>
      </c>
      <c r="Q23" s="4" t="b">
        <f>LEN(data!K23)&lt;=35</f>
        <v>1</v>
      </c>
      <c r="R23" s="4" t="b">
        <f>LEN(data!L23)=2</f>
        <v>0</v>
      </c>
      <c r="S23" s="4" t="b">
        <f>LEN(data!M23)&gt;0</f>
        <v>0</v>
      </c>
      <c r="T23" s="4" t="b">
        <f>LEN(data!M23)&lt;=60</f>
        <v>1</v>
      </c>
      <c r="U23" s="4" t="b">
        <f>LEN(data!O23)&gt;0</f>
        <v>0</v>
      </c>
      <c r="V23" s="4" t="b">
        <f>LEN(data!O23)&lt;=70</f>
        <v>1</v>
      </c>
      <c r="W23" s="4" t="b">
        <f>LEN(data!P23)&gt;0</f>
        <v>0</v>
      </c>
      <c r="X23" s="4" t="b">
        <f>LEN(data!P23)&lt;=140</f>
        <v>1</v>
      </c>
      <c r="Y23" s="4" t="b">
        <f>LEN(data!Q23)&gt;0</f>
        <v>0</v>
      </c>
      <c r="Z23" s="4" t="b">
        <f>LEN(data!Q23)&lt;=35</f>
        <v>1</v>
      </c>
      <c r="AA23" s="4" t="b">
        <f>LEN(data!R23)=2</f>
        <v>0</v>
      </c>
      <c r="AB23" s="4" t="b">
        <f>LEN(data!S23)&gt;0</f>
        <v>0</v>
      </c>
      <c r="AC23" s="4" t="b">
        <f>LEN(data!S23)&lt;=120</f>
        <v>1</v>
      </c>
      <c r="AD23" s="4" t="b">
        <f>LEN(data!U23)=11</f>
        <v>0</v>
      </c>
      <c r="AE23" s="4" t="b">
        <f>AND(ISERROR(MATCH(data!V23, rule_mapping!$C$2:$C$325, 0))=FALSE, LEN(data!V23) &lt;= 4)</f>
        <v>0</v>
      </c>
      <c r="AF23" s="4" t="b">
        <f>LEN(data!W23)&gt;0</f>
        <v>0</v>
      </c>
      <c r="AG23" s="4" t="b">
        <f>LEN(data!W23)&lt;=20</f>
        <v>1</v>
      </c>
      <c r="AH23" s="4" t="b">
        <f xml:space="preserve"> IFERROR(ISNUMBER(data!X23), FALSE)</f>
        <v>0</v>
      </c>
      <c r="AI23" s="4" t="b">
        <f>IF(ISERROR(MATCH(data!Y23, rule_mapping!$D$2:$D$252, 0))=FALSE,TRUE, FALSE)</f>
        <v>0</v>
      </c>
      <c r="AJ23" s="4" t="b">
        <f>IFERROR(ISNUMBER(data!Z23), FALSE)</f>
        <v>0</v>
      </c>
      <c r="AK23" s="4" t="b">
        <f>IFERROR(ISNUMBER(data!AA23), FALSE)</f>
        <v>0</v>
      </c>
      <c r="AL23" s="4" t="b">
        <f>LEN(data!AB23)&lt;=90</f>
        <v>1</v>
      </c>
      <c r="AM23" s="4" t="b">
        <f>LEN(data!AC23)&gt;0</f>
        <v>0</v>
      </c>
      <c r="AN23" s="4" t="b">
        <f>LEN(data!AC23)&lt;=2000</f>
        <v>1</v>
      </c>
      <c r="AO23" s="4" t="b">
        <f>IF(LEN(data!AD23)=0,TRUE,IF(LEN(data!AD23)=5,TRUE,FALSE))</f>
        <v>1</v>
      </c>
      <c r="AP23" s="4" t="b">
        <f>LEN(data!AE23)&gt;0</f>
        <v>0</v>
      </c>
      <c r="AQ23" s="4" t="b">
        <f>LEN(data!AE23)=5</f>
        <v>0</v>
      </c>
      <c r="AR23" s="4" t="b">
        <f>ISERROR(MATCH(data!AF23, rule_mapping!$B$2:$B$3, 0))=FALSE</f>
        <v>0</v>
      </c>
      <c r="AS23" s="4" t="b">
        <f>ISERROR(MATCH(data!AG23, rule_mapping!$A$2:$A$8, 0))=FALSE</f>
        <v>0</v>
      </c>
      <c r="AT23" s="4" t="b">
        <f>LEN(data!AH23)&lt;=4</f>
        <v>1</v>
      </c>
      <c r="AU23" s="4" t="b">
        <f>LEN(data!AI23)&lt;=10</f>
        <v>1</v>
      </c>
      <c r="AV23" s="4" t="b">
        <f>LEN(data!AJ23)&lt;=35</f>
        <v>1</v>
      </c>
      <c r="AW23" s="4" t="b">
        <f>LEN(data!AK23)&lt;=20</f>
        <v>1</v>
      </c>
      <c r="AX23"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 spans="1:50" ht="409.5" x14ac:dyDescent="0.15">
      <c r="A24" s="4" t="b">
        <f>OR(ISBLANK(data!B24), AND(B24:AW24))</f>
        <v>1</v>
      </c>
      <c r="B24" s="4" t="b">
        <f>AND(LEFT(TRIM(data!B24), 4)="OOLU", ISNUMBER(RIGHT(TRIM(data!B24), LEN(TRIM(data!B24))-4)+0))</f>
        <v>0</v>
      </c>
      <c r="C24" s="4" t="b">
        <f>LEN(data!C24)&gt;0</f>
        <v>0</v>
      </c>
      <c r="D24" s="4" t="b">
        <f>LEN(data!C24)&lt;=70</f>
        <v>1</v>
      </c>
      <c r="E24" s="4" t="b">
        <f>LEN(data!D24)&gt;0</f>
        <v>0</v>
      </c>
      <c r="F24" s="4" t="b">
        <f>LEN(data!D24)&lt;=140</f>
        <v>1</v>
      </c>
      <c r="G24" s="4" t="b">
        <f>LEN(data!E24)&gt;0</f>
        <v>0</v>
      </c>
      <c r="H24" s="4" t="b">
        <f>LEN(data!E24)&lt;=35</f>
        <v>1</v>
      </c>
      <c r="I24" s="4" t="b">
        <f>LEN(data!F24)=2</f>
        <v>0</v>
      </c>
      <c r="J24" s="4" t="b">
        <f>LEN(data!G24)&gt;0</f>
        <v>0</v>
      </c>
      <c r="K24" s="4" t="b">
        <f>LEN(data!G24)&lt;=60</f>
        <v>1</v>
      </c>
      <c r="L24" s="4" t="b">
        <f>LEN(data!I24)&gt;0</f>
        <v>0</v>
      </c>
      <c r="M24" s="4" t="b">
        <f>LEN(data!I24)&lt;=70</f>
        <v>1</v>
      </c>
      <c r="N24" s="4" t="b">
        <f>LEN(data!J24)&gt;0</f>
        <v>0</v>
      </c>
      <c r="O24" s="4" t="b">
        <f>LEN(data!J24)&lt;=140</f>
        <v>1</v>
      </c>
      <c r="P24" s="4" t="b">
        <f>LEN(data!K24)&gt;0</f>
        <v>0</v>
      </c>
      <c r="Q24" s="4" t="b">
        <f>LEN(data!K24)&lt;=35</f>
        <v>1</v>
      </c>
      <c r="R24" s="4" t="b">
        <f>LEN(data!L24)=2</f>
        <v>0</v>
      </c>
      <c r="S24" s="4" t="b">
        <f>LEN(data!M24)&gt;0</f>
        <v>0</v>
      </c>
      <c r="T24" s="4" t="b">
        <f>LEN(data!M24)&lt;=60</f>
        <v>1</v>
      </c>
      <c r="U24" s="4" t="b">
        <f>LEN(data!O24)&gt;0</f>
        <v>0</v>
      </c>
      <c r="V24" s="4" t="b">
        <f>LEN(data!O24)&lt;=70</f>
        <v>1</v>
      </c>
      <c r="W24" s="4" t="b">
        <f>LEN(data!P24)&gt;0</f>
        <v>0</v>
      </c>
      <c r="X24" s="4" t="b">
        <f>LEN(data!P24)&lt;=140</f>
        <v>1</v>
      </c>
      <c r="Y24" s="4" t="b">
        <f>LEN(data!Q24)&gt;0</f>
        <v>0</v>
      </c>
      <c r="Z24" s="4" t="b">
        <f>LEN(data!Q24)&lt;=35</f>
        <v>1</v>
      </c>
      <c r="AA24" s="4" t="b">
        <f>LEN(data!R24)=2</f>
        <v>0</v>
      </c>
      <c r="AB24" s="4" t="b">
        <f>LEN(data!S24)&gt;0</f>
        <v>0</v>
      </c>
      <c r="AC24" s="4" t="b">
        <f>LEN(data!S24)&lt;=120</f>
        <v>1</v>
      </c>
      <c r="AD24" s="4" t="b">
        <f>LEN(data!U24)=11</f>
        <v>0</v>
      </c>
      <c r="AE24" s="4" t="b">
        <f>AND(ISERROR(MATCH(data!V24, rule_mapping!$C$2:$C$325, 0))=FALSE, LEN(data!V24) &lt;= 4)</f>
        <v>0</v>
      </c>
      <c r="AF24" s="4" t="b">
        <f>LEN(data!W24)&gt;0</f>
        <v>0</v>
      </c>
      <c r="AG24" s="4" t="b">
        <f>LEN(data!W24)&lt;=20</f>
        <v>1</v>
      </c>
      <c r="AH24" s="4" t="b">
        <f xml:space="preserve"> IFERROR(ISNUMBER(data!X24), FALSE)</f>
        <v>0</v>
      </c>
      <c r="AI24" s="4" t="b">
        <f>IF(ISERROR(MATCH(data!Y24, rule_mapping!$D$2:$D$252, 0))=FALSE,TRUE, FALSE)</f>
        <v>0</v>
      </c>
      <c r="AJ24" s="4" t="b">
        <f>IFERROR(ISNUMBER(data!Z24), FALSE)</f>
        <v>0</v>
      </c>
      <c r="AK24" s="4" t="b">
        <f>IFERROR(ISNUMBER(data!AA24), FALSE)</f>
        <v>0</v>
      </c>
      <c r="AL24" s="4" t="b">
        <f>LEN(data!AB24)&lt;=90</f>
        <v>1</v>
      </c>
      <c r="AM24" s="4" t="b">
        <f>LEN(data!AC24)&gt;0</f>
        <v>0</v>
      </c>
      <c r="AN24" s="4" t="b">
        <f>LEN(data!AC24)&lt;=2000</f>
        <v>1</v>
      </c>
      <c r="AO24" s="4" t="b">
        <f>IF(LEN(data!AD24)=0,TRUE,IF(LEN(data!AD24)=5,TRUE,FALSE))</f>
        <v>1</v>
      </c>
      <c r="AP24" s="4" t="b">
        <f>LEN(data!AE24)&gt;0</f>
        <v>0</v>
      </c>
      <c r="AQ24" s="4" t="b">
        <f>LEN(data!AE24)=5</f>
        <v>0</v>
      </c>
      <c r="AR24" s="4" t="b">
        <f>ISERROR(MATCH(data!AF24, rule_mapping!$B$2:$B$3, 0))=FALSE</f>
        <v>0</v>
      </c>
      <c r="AS24" s="4" t="b">
        <f>ISERROR(MATCH(data!AG24, rule_mapping!$A$2:$A$8, 0))=FALSE</f>
        <v>0</v>
      </c>
      <c r="AT24" s="4" t="b">
        <f>LEN(data!AH24)&lt;=4</f>
        <v>1</v>
      </c>
      <c r="AU24" s="4" t="b">
        <f>LEN(data!AI24)&lt;=10</f>
        <v>1</v>
      </c>
      <c r="AV24" s="4" t="b">
        <f>LEN(data!AJ24)&lt;=35</f>
        <v>1</v>
      </c>
      <c r="AW24" s="4" t="b">
        <f>LEN(data!AK24)&lt;=20</f>
        <v>1</v>
      </c>
      <c r="AX24"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 spans="1:50" ht="409.5" x14ac:dyDescent="0.15">
      <c r="A25" s="4" t="b">
        <f>OR(ISBLANK(data!B25), AND(B25:AW25))</f>
        <v>1</v>
      </c>
      <c r="B25" s="4" t="b">
        <f>AND(LEFT(TRIM(data!B25), 4)="OOLU", ISNUMBER(RIGHT(TRIM(data!B25), LEN(TRIM(data!B25))-4)+0))</f>
        <v>0</v>
      </c>
      <c r="C25" s="4" t="b">
        <f>LEN(data!C25)&gt;0</f>
        <v>0</v>
      </c>
      <c r="D25" s="4" t="b">
        <f>LEN(data!C25)&lt;=70</f>
        <v>1</v>
      </c>
      <c r="E25" s="4" t="b">
        <f>LEN(data!D25)&gt;0</f>
        <v>0</v>
      </c>
      <c r="F25" s="4" t="b">
        <f>LEN(data!D25)&lt;=140</f>
        <v>1</v>
      </c>
      <c r="G25" s="4" t="b">
        <f>LEN(data!E25)&gt;0</f>
        <v>0</v>
      </c>
      <c r="H25" s="4" t="b">
        <f>LEN(data!E25)&lt;=35</f>
        <v>1</v>
      </c>
      <c r="I25" s="4" t="b">
        <f>LEN(data!F25)=2</f>
        <v>0</v>
      </c>
      <c r="J25" s="4" t="b">
        <f>LEN(data!G25)&gt;0</f>
        <v>0</v>
      </c>
      <c r="K25" s="4" t="b">
        <f>LEN(data!G25)&lt;=60</f>
        <v>1</v>
      </c>
      <c r="L25" s="4" t="b">
        <f>LEN(data!I25)&gt;0</f>
        <v>0</v>
      </c>
      <c r="M25" s="4" t="b">
        <f>LEN(data!I25)&lt;=70</f>
        <v>1</v>
      </c>
      <c r="N25" s="4" t="b">
        <f>LEN(data!J25)&gt;0</f>
        <v>0</v>
      </c>
      <c r="O25" s="4" t="b">
        <f>LEN(data!J25)&lt;=140</f>
        <v>1</v>
      </c>
      <c r="P25" s="4" t="b">
        <f>LEN(data!K25)&gt;0</f>
        <v>0</v>
      </c>
      <c r="Q25" s="4" t="b">
        <f>LEN(data!K25)&lt;=35</f>
        <v>1</v>
      </c>
      <c r="R25" s="4" t="b">
        <f>LEN(data!L25)=2</f>
        <v>0</v>
      </c>
      <c r="S25" s="4" t="b">
        <f>LEN(data!M25)&gt;0</f>
        <v>0</v>
      </c>
      <c r="T25" s="4" t="b">
        <f>LEN(data!M25)&lt;=60</f>
        <v>1</v>
      </c>
      <c r="U25" s="4" t="b">
        <f>LEN(data!O25)&gt;0</f>
        <v>0</v>
      </c>
      <c r="V25" s="4" t="b">
        <f>LEN(data!O25)&lt;=70</f>
        <v>1</v>
      </c>
      <c r="W25" s="4" t="b">
        <f>LEN(data!P25)&gt;0</f>
        <v>0</v>
      </c>
      <c r="X25" s="4" t="b">
        <f>LEN(data!P25)&lt;=140</f>
        <v>1</v>
      </c>
      <c r="Y25" s="4" t="b">
        <f>LEN(data!Q25)&gt;0</f>
        <v>0</v>
      </c>
      <c r="Z25" s="4" t="b">
        <f>LEN(data!Q25)&lt;=35</f>
        <v>1</v>
      </c>
      <c r="AA25" s="4" t="b">
        <f>LEN(data!R25)=2</f>
        <v>0</v>
      </c>
      <c r="AB25" s="4" t="b">
        <f>LEN(data!S25)&gt;0</f>
        <v>0</v>
      </c>
      <c r="AC25" s="4" t="b">
        <f>LEN(data!S25)&lt;=120</f>
        <v>1</v>
      </c>
      <c r="AD25" s="4" t="b">
        <f>LEN(data!U25)=11</f>
        <v>0</v>
      </c>
      <c r="AE25" s="4" t="b">
        <f>AND(ISERROR(MATCH(data!V25, rule_mapping!$C$2:$C$325, 0))=FALSE, LEN(data!V25) &lt;= 4)</f>
        <v>0</v>
      </c>
      <c r="AF25" s="4" t="b">
        <f>LEN(data!W25)&gt;0</f>
        <v>0</v>
      </c>
      <c r="AG25" s="4" t="b">
        <f>LEN(data!W25)&lt;=20</f>
        <v>1</v>
      </c>
      <c r="AH25" s="4" t="b">
        <f xml:space="preserve"> IFERROR(ISNUMBER(data!X25), FALSE)</f>
        <v>0</v>
      </c>
      <c r="AI25" s="4" t="b">
        <f>IF(ISERROR(MATCH(data!Y25, rule_mapping!$D$2:$D$252, 0))=FALSE,TRUE, FALSE)</f>
        <v>0</v>
      </c>
      <c r="AJ25" s="4" t="b">
        <f>IFERROR(ISNUMBER(data!Z25), FALSE)</f>
        <v>0</v>
      </c>
      <c r="AK25" s="4" t="b">
        <f>IFERROR(ISNUMBER(data!AA25), FALSE)</f>
        <v>0</v>
      </c>
      <c r="AL25" s="4" t="b">
        <f>LEN(data!AB25)&lt;=90</f>
        <v>1</v>
      </c>
      <c r="AM25" s="4" t="b">
        <f>LEN(data!AC25)&gt;0</f>
        <v>0</v>
      </c>
      <c r="AN25" s="4" t="b">
        <f>LEN(data!AC25)&lt;=2000</f>
        <v>1</v>
      </c>
      <c r="AO25" s="4" t="b">
        <f>IF(LEN(data!AD25)=0,TRUE,IF(LEN(data!AD25)=5,TRUE,FALSE))</f>
        <v>1</v>
      </c>
      <c r="AP25" s="4" t="b">
        <f>LEN(data!AE25)&gt;0</f>
        <v>0</v>
      </c>
      <c r="AQ25" s="4" t="b">
        <f>LEN(data!AE25)=5</f>
        <v>0</v>
      </c>
      <c r="AR25" s="4" t="b">
        <f>ISERROR(MATCH(data!AF25, rule_mapping!$B$2:$B$3, 0))=FALSE</f>
        <v>0</v>
      </c>
      <c r="AS25" s="4" t="b">
        <f>ISERROR(MATCH(data!AG25, rule_mapping!$A$2:$A$8, 0))=FALSE</f>
        <v>0</v>
      </c>
      <c r="AT25" s="4" t="b">
        <f>LEN(data!AH25)&lt;=4</f>
        <v>1</v>
      </c>
      <c r="AU25" s="4" t="b">
        <f>LEN(data!AI25)&lt;=10</f>
        <v>1</v>
      </c>
      <c r="AV25" s="4" t="b">
        <f>LEN(data!AJ25)&lt;=35</f>
        <v>1</v>
      </c>
      <c r="AW25" s="4" t="b">
        <f>LEN(data!AK25)&lt;=20</f>
        <v>1</v>
      </c>
      <c r="AX25"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 spans="1:50" ht="409.5" x14ac:dyDescent="0.15">
      <c r="A26" s="4" t="b">
        <f>OR(ISBLANK(data!B26), AND(B26:AW26))</f>
        <v>1</v>
      </c>
      <c r="B26" s="4" t="b">
        <f>AND(LEFT(TRIM(data!B26), 4)="OOLU", ISNUMBER(RIGHT(TRIM(data!B26), LEN(TRIM(data!B26))-4)+0))</f>
        <v>0</v>
      </c>
      <c r="C26" s="4" t="b">
        <f>LEN(data!C26)&gt;0</f>
        <v>0</v>
      </c>
      <c r="D26" s="4" t="b">
        <f>LEN(data!C26)&lt;=70</f>
        <v>1</v>
      </c>
      <c r="E26" s="4" t="b">
        <f>LEN(data!D26)&gt;0</f>
        <v>0</v>
      </c>
      <c r="F26" s="4" t="b">
        <f>LEN(data!D26)&lt;=140</f>
        <v>1</v>
      </c>
      <c r="G26" s="4" t="b">
        <f>LEN(data!E26)&gt;0</f>
        <v>0</v>
      </c>
      <c r="H26" s="4" t="b">
        <f>LEN(data!E26)&lt;=35</f>
        <v>1</v>
      </c>
      <c r="I26" s="4" t="b">
        <f>LEN(data!F26)=2</f>
        <v>0</v>
      </c>
      <c r="J26" s="4" t="b">
        <f>LEN(data!G26)&gt;0</f>
        <v>0</v>
      </c>
      <c r="K26" s="4" t="b">
        <f>LEN(data!G26)&lt;=60</f>
        <v>1</v>
      </c>
      <c r="L26" s="4" t="b">
        <f>LEN(data!I26)&gt;0</f>
        <v>0</v>
      </c>
      <c r="M26" s="4" t="b">
        <f>LEN(data!I26)&lt;=70</f>
        <v>1</v>
      </c>
      <c r="N26" s="4" t="b">
        <f>LEN(data!J26)&gt;0</f>
        <v>0</v>
      </c>
      <c r="O26" s="4" t="b">
        <f>LEN(data!J26)&lt;=140</f>
        <v>1</v>
      </c>
      <c r="P26" s="4" t="b">
        <f>LEN(data!K26)&gt;0</f>
        <v>0</v>
      </c>
      <c r="Q26" s="4" t="b">
        <f>LEN(data!K26)&lt;=35</f>
        <v>1</v>
      </c>
      <c r="R26" s="4" t="b">
        <f>LEN(data!L26)=2</f>
        <v>0</v>
      </c>
      <c r="S26" s="4" t="b">
        <f>LEN(data!M26)&gt;0</f>
        <v>0</v>
      </c>
      <c r="T26" s="4" t="b">
        <f>LEN(data!M26)&lt;=60</f>
        <v>1</v>
      </c>
      <c r="U26" s="4" t="b">
        <f>LEN(data!O26)&gt;0</f>
        <v>0</v>
      </c>
      <c r="V26" s="4" t="b">
        <f>LEN(data!O26)&lt;=70</f>
        <v>1</v>
      </c>
      <c r="W26" s="4" t="b">
        <f>LEN(data!P26)&gt;0</f>
        <v>0</v>
      </c>
      <c r="X26" s="4" t="b">
        <f>LEN(data!P26)&lt;=140</f>
        <v>1</v>
      </c>
      <c r="Y26" s="4" t="b">
        <f>LEN(data!Q26)&gt;0</f>
        <v>0</v>
      </c>
      <c r="Z26" s="4" t="b">
        <f>LEN(data!Q26)&lt;=35</f>
        <v>1</v>
      </c>
      <c r="AA26" s="4" t="b">
        <f>LEN(data!R26)=2</f>
        <v>0</v>
      </c>
      <c r="AB26" s="4" t="b">
        <f>LEN(data!S26)&gt;0</f>
        <v>0</v>
      </c>
      <c r="AC26" s="4" t="b">
        <f>LEN(data!S26)&lt;=120</f>
        <v>1</v>
      </c>
      <c r="AD26" s="4" t="b">
        <f>LEN(data!U26)=11</f>
        <v>0</v>
      </c>
      <c r="AE26" s="4" t="b">
        <f>AND(ISERROR(MATCH(data!V26, rule_mapping!$C$2:$C$325, 0))=FALSE, LEN(data!V26) &lt;= 4)</f>
        <v>0</v>
      </c>
      <c r="AF26" s="4" t="b">
        <f>LEN(data!W26)&gt;0</f>
        <v>0</v>
      </c>
      <c r="AG26" s="4" t="b">
        <f>LEN(data!W26)&lt;=20</f>
        <v>1</v>
      </c>
      <c r="AH26" s="4" t="b">
        <f xml:space="preserve"> IFERROR(ISNUMBER(data!X26), FALSE)</f>
        <v>0</v>
      </c>
      <c r="AI26" s="4" t="b">
        <f>IF(ISERROR(MATCH(data!Y26, rule_mapping!$D$2:$D$252, 0))=FALSE,TRUE, FALSE)</f>
        <v>0</v>
      </c>
      <c r="AJ26" s="4" t="b">
        <f>IFERROR(ISNUMBER(data!Z26), FALSE)</f>
        <v>0</v>
      </c>
      <c r="AK26" s="4" t="b">
        <f>IFERROR(ISNUMBER(data!AA26), FALSE)</f>
        <v>0</v>
      </c>
      <c r="AL26" s="4" t="b">
        <f>LEN(data!AB26)&lt;=90</f>
        <v>1</v>
      </c>
      <c r="AM26" s="4" t="b">
        <f>LEN(data!AC26)&gt;0</f>
        <v>0</v>
      </c>
      <c r="AN26" s="4" t="b">
        <f>LEN(data!AC26)&lt;=2000</f>
        <v>1</v>
      </c>
      <c r="AO26" s="4" t="b">
        <f>IF(LEN(data!AD26)=0,TRUE,IF(LEN(data!AD26)=5,TRUE,FALSE))</f>
        <v>1</v>
      </c>
      <c r="AP26" s="4" t="b">
        <f>LEN(data!AE26)&gt;0</f>
        <v>0</v>
      </c>
      <c r="AQ26" s="4" t="b">
        <f>LEN(data!AE26)=5</f>
        <v>0</v>
      </c>
      <c r="AR26" s="4" t="b">
        <f>ISERROR(MATCH(data!AF26, rule_mapping!$B$2:$B$3, 0))=FALSE</f>
        <v>0</v>
      </c>
      <c r="AS26" s="4" t="b">
        <f>ISERROR(MATCH(data!AG26, rule_mapping!$A$2:$A$8, 0))=FALSE</f>
        <v>0</v>
      </c>
      <c r="AT26" s="4" t="b">
        <f>LEN(data!AH26)&lt;=4</f>
        <v>1</v>
      </c>
      <c r="AU26" s="4" t="b">
        <f>LEN(data!AI26)&lt;=10</f>
        <v>1</v>
      </c>
      <c r="AV26" s="4" t="b">
        <f>LEN(data!AJ26)&lt;=35</f>
        <v>1</v>
      </c>
      <c r="AW26" s="4" t="b">
        <f>LEN(data!AK26)&lt;=20</f>
        <v>1</v>
      </c>
      <c r="AX26"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 spans="1:50" ht="409.5" x14ac:dyDescent="0.15">
      <c r="A27" s="4" t="b">
        <f>OR(ISBLANK(data!B27), AND(B27:AW27))</f>
        <v>1</v>
      </c>
      <c r="B27" s="4" t="b">
        <f>AND(LEFT(TRIM(data!B27), 4)="OOLU", ISNUMBER(RIGHT(TRIM(data!B27), LEN(TRIM(data!B27))-4)+0))</f>
        <v>0</v>
      </c>
      <c r="C27" s="4" t="b">
        <f>LEN(data!C27)&gt;0</f>
        <v>0</v>
      </c>
      <c r="D27" s="4" t="b">
        <f>LEN(data!C27)&lt;=70</f>
        <v>1</v>
      </c>
      <c r="E27" s="4" t="b">
        <f>LEN(data!D27)&gt;0</f>
        <v>0</v>
      </c>
      <c r="F27" s="4" t="b">
        <f>LEN(data!D27)&lt;=140</f>
        <v>1</v>
      </c>
      <c r="G27" s="4" t="b">
        <f>LEN(data!E27)&gt;0</f>
        <v>0</v>
      </c>
      <c r="H27" s="4" t="b">
        <f>LEN(data!E27)&lt;=35</f>
        <v>1</v>
      </c>
      <c r="I27" s="4" t="b">
        <f>LEN(data!F27)=2</f>
        <v>0</v>
      </c>
      <c r="J27" s="4" t="b">
        <f>LEN(data!G27)&gt;0</f>
        <v>0</v>
      </c>
      <c r="K27" s="4" t="b">
        <f>LEN(data!G27)&lt;=60</f>
        <v>1</v>
      </c>
      <c r="L27" s="4" t="b">
        <f>LEN(data!I27)&gt;0</f>
        <v>0</v>
      </c>
      <c r="M27" s="4" t="b">
        <f>LEN(data!I27)&lt;=70</f>
        <v>1</v>
      </c>
      <c r="N27" s="4" t="b">
        <f>LEN(data!J27)&gt;0</f>
        <v>0</v>
      </c>
      <c r="O27" s="4" t="b">
        <f>LEN(data!J27)&lt;=140</f>
        <v>1</v>
      </c>
      <c r="P27" s="4" t="b">
        <f>LEN(data!K27)&gt;0</f>
        <v>0</v>
      </c>
      <c r="Q27" s="4" t="b">
        <f>LEN(data!K27)&lt;=35</f>
        <v>1</v>
      </c>
      <c r="R27" s="4" t="b">
        <f>LEN(data!L27)=2</f>
        <v>0</v>
      </c>
      <c r="S27" s="4" t="b">
        <f>LEN(data!M27)&gt;0</f>
        <v>0</v>
      </c>
      <c r="T27" s="4" t="b">
        <f>LEN(data!M27)&lt;=60</f>
        <v>1</v>
      </c>
      <c r="U27" s="4" t="b">
        <f>LEN(data!O27)&gt;0</f>
        <v>0</v>
      </c>
      <c r="V27" s="4" t="b">
        <f>LEN(data!O27)&lt;=70</f>
        <v>1</v>
      </c>
      <c r="W27" s="4" t="b">
        <f>LEN(data!P27)&gt;0</f>
        <v>0</v>
      </c>
      <c r="X27" s="4" t="b">
        <f>LEN(data!P27)&lt;=140</f>
        <v>1</v>
      </c>
      <c r="Y27" s="4" t="b">
        <f>LEN(data!Q27)&gt;0</f>
        <v>0</v>
      </c>
      <c r="Z27" s="4" t="b">
        <f>LEN(data!Q27)&lt;=35</f>
        <v>1</v>
      </c>
      <c r="AA27" s="4" t="b">
        <f>LEN(data!R27)=2</f>
        <v>0</v>
      </c>
      <c r="AB27" s="4" t="b">
        <f>LEN(data!S27)&gt;0</f>
        <v>0</v>
      </c>
      <c r="AC27" s="4" t="b">
        <f>LEN(data!S27)&lt;=120</f>
        <v>1</v>
      </c>
      <c r="AD27" s="4" t="b">
        <f>LEN(data!U27)=11</f>
        <v>0</v>
      </c>
      <c r="AE27" s="4" t="b">
        <f>AND(ISERROR(MATCH(data!V27, rule_mapping!$C$2:$C$325, 0))=FALSE, LEN(data!V27) &lt;= 4)</f>
        <v>0</v>
      </c>
      <c r="AF27" s="4" t="b">
        <f>LEN(data!W27)&gt;0</f>
        <v>0</v>
      </c>
      <c r="AG27" s="4" t="b">
        <f>LEN(data!W27)&lt;=20</f>
        <v>1</v>
      </c>
      <c r="AH27" s="4" t="b">
        <f xml:space="preserve"> IFERROR(ISNUMBER(data!X27), FALSE)</f>
        <v>0</v>
      </c>
      <c r="AI27" s="4" t="b">
        <f>IF(ISERROR(MATCH(data!Y27, rule_mapping!$D$2:$D$252, 0))=FALSE,TRUE, FALSE)</f>
        <v>0</v>
      </c>
      <c r="AJ27" s="4" t="b">
        <f>IFERROR(ISNUMBER(data!Z27), FALSE)</f>
        <v>0</v>
      </c>
      <c r="AK27" s="4" t="b">
        <f>IFERROR(ISNUMBER(data!AA27), FALSE)</f>
        <v>0</v>
      </c>
      <c r="AL27" s="4" t="b">
        <f>LEN(data!AB27)&lt;=90</f>
        <v>1</v>
      </c>
      <c r="AM27" s="4" t="b">
        <f>LEN(data!AC27)&gt;0</f>
        <v>0</v>
      </c>
      <c r="AN27" s="4" t="b">
        <f>LEN(data!AC27)&lt;=2000</f>
        <v>1</v>
      </c>
      <c r="AO27" s="4" t="b">
        <f>IF(LEN(data!AD27)=0,TRUE,IF(LEN(data!AD27)=5,TRUE,FALSE))</f>
        <v>1</v>
      </c>
      <c r="AP27" s="4" t="b">
        <f>LEN(data!AE27)&gt;0</f>
        <v>0</v>
      </c>
      <c r="AQ27" s="4" t="b">
        <f>LEN(data!AE27)=5</f>
        <v>0</v>
      </c>
      <c r="AR27" s="4" t="b">
        <f>ISERROR(MATCH(data!AF27, rule_mapping!$B$2:$B$3, 0))=FALSE</f>
        <v>0</v>
      </c>
      <c r="AS27" s="4" t="b">
        <f>ISERROR(MATCH(data!AG27, rule_mapping!$A$2:$A$8, 0))=FALSE</f>
        <v>0</v>
      </c>
      <c r="AT27" s="4" t="b">
        <f>LEN(data!AH27)&lt;=4</f>
        <v>1</v>
      </c>
      <c r="AU27" s="4" t="b">
        <f>LEN(data!AI27)&lt;=10</f>
        <v>1</v>
      </c>
      <c r="AV27" s="4" t="b">
        <f>LEN(data!AJ27)&lt;=35</f>
        <v>1</v>
      </c>
      <c r="AW27" s="4" t="b">
        <f>LEN(data!AK27)&lt;=20</f>
        <v>1</v>
      </c>
      <c r="AX27"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8" spans="1:50" ht="409.5" x14ac:dyDescent="0.15">
      <c r="A28" s="4" t="b">
        <f>OR(ISBLANK(data!B28), AND(B28:AW28))</f>
        <v>1</v>
      </c>
      <c r="B28" s="4" t="b">
        <f>AND(LEFT(TRIM(data!B28), 4)="OOLU", ISNUMBER(RIGHT(TRIM(data!B28), LEN(TRIM(data!B28))-4)+0))</f>
        <v>0</v>
      </c>
      <c r="C28" s="4" t="b">
        <f>LEN(data!C28)&gt;0</f>
        <v>0</v>
      </c>
      <c r="D28" s="4" t="b">
        <f>LEN(data!C28)&lt;=70</f>
        <v>1</v>
      </c>
      <c r="E28" s="4" t="b">
        <f>LEN(data!D28)&gt;0</f>
        <v>0</v>
      </c>
      <c r="F28" s="4" t="b">
        <f>LEN(data!D28)&lt;=140</f>
        <v>1</v>
      </c>
      <c r="G28" s="4" t="b">
        <f>LEN(data!E28)&gt;0</f>
        <v>0</v>
      </c>
      <c r="H28" s="4" t="b">
        <f>LEN(data!E28)&lt;=35</f>
        <v>1</v>
      </c>
      <c r="I28" s="4" t="b">
        <f>LEN(data!F28)=2</f>
        <v>0</v>
      </c>
      <c r="J28" s="4" t="b">
        <f>LEN(data!G28)&gt;0</f>
        <v>0</v>
      </c>
      <c r="K28" s="4" t="b">
        <f>LEN(data!G28)&lt;=60</f>
        <v>1</v>
      </c>
      <c r="L28" s="4" t="b">
        <f>LEN(data!I28)&gt;0</f>
        <v>0</v>
      </c>
      <c r="M28" s="4" t="b">
        <f>LEN(data!I28)&lt;=70</f>
        <v>1</v>
      </c>
      <c r="N28" s="4" t="b">
        <f>LEN(data!J28)&gt;0</f>
        <v>0</v>
      </c>
      <c r="O28" s="4" t="b">
        <f>LEN(data!J28)&lt;=140</f>
        <v>1</v>
      </c>
      <c r="P28" s="4" t="b">
        <f>LEN(data!K28)&gt;0</f>
        <v>0</v>
      </c>
      <c r="Q28" s="4" t="b">
        <f>LEN(data!K28)&lt;=35</f>
        <v>1</v>
      </c>
      <c r="R28" s="4" t="b">
        <f>LEN(data!L28)=2</f>
        <v>0</v>
      </c>
      <c r="S28" s="4" t="b">
        <f>LEN(data!M28)&gt;0</f>
        <v>0</v>
      </c>
      <c r="T28" s="4" t="b">
        <f>LEN(data!M28)&lt;=60</f>
        <v>1</v>
      </c>
      <c r="U28" s="4" t="b">
        <f>LEN(data!O28)&gt;0</f>
        <v>0</v>
      </c>
      <c r="V28" s="4" t="b">
        <f>LEN(data!O28)&lt;=70</f>
        <v>1</v>
      </c>
      <c r="W28" s="4" t="b">
        <f>LEN(data!P28)&gt;0</f>
        <v>0</v>
      </c>
      <c r="X28" s="4" t="b">
        <f>LEN(data!P28)&lt;=140</f>
        <v>1</v>
      </c>
      <c r="Y28" s="4" t="b">
        <f>LEN(data!Q28)&gt;0</f>
        <v>0</v>
      </c>
      <c r="Z28" s="4" t="b">
        <f>LEN(data!Q28)&lt;=35</f>
        <v>1</v>
      </c>
      <c r="AA28" s="4" t="b">
        <f>LEN(data!R28)=2</f>
        <v>0</v>
      </c>
      <c r="AB28" s="4" t="b">
        <f>LEN(data!S28)&gt;0</f>
        <v>0</v>
      </c>
      <c r="AC28" s="4" t="b">
        <f>LEN(data!S28)&lt;=120</f>
        <v>1</v>
      </c>
      <c r="AD28" s="4" t="b">
        <f>LEN(data!U28)=11</f>
        <v>0</v>
      </c>
      <c r="AE28" s="4" t="b">
        <f>AND(ISERROR(MATCH(data!V28, rule_mapping!$C$2:$C$325, 0))=FALSE, LEN(data!V28) &lt;= 4)</f>
        <v>0</v>
      </c>
      <c r="AF28" s="4" t="b">
        <f>LEN(data!W28)&gt;0</f>
        <v>0</v>
      </c>
      <c r="AG28" s="4" t="b">
        <f>LEN(data!W28)&lt;=20</f>
        <v>1</v>
      </c>
      <c r="AH28" s="4" t="b">
        <f xml:space="preserve"> IFERROR(ISNUMBER(data!X28), FALSE)</f>
        <v>0</v>
      </c>
      <c r="AI28" s="4" t="b">
        <f>IF(ISERROR(MATCH(data!Y28, rule_mapping!$D$2:$D$252, 0))=FALSE,TRUE, FALSE)</f>
        <v>0</v>
      </c>
      <c r="AJ28" s="4" t="b">
        <f>IFERROR(ISNUMBER(data!Z28), FALSE)</f>
        <v>0</v>
      </c>
      <c r="AK28" s="4" t="b">
        <f>IFERROR(ISNUMBER(data!AA28), FALSE)</f>
        <v>0</v>
      </c>
      <c r="AL28" s="4" t="b">
        <f>LEN(data!AB28)&lt;=90</f>
        <v>1</v>
      </c>
      <c r="AM28" s="4" t="b">
        <f>LEN(data!AC28)&gt;0</f>
        <v>0</v>
      </c>
      <c r="AN28" s="4" t="b">
        <f>LEN(data!AC28)&lt;=2000</f>
        <v>1</v>
      </c>
      <c r="AO28" s="4" t="b">
        <f>IF(LEN(data!AD28)=0,TRUE,IF(LEN(data!AD28)=5,TRUE,FALSE))</f>
        <v>1</v>
      </c>
      <c r="AP28" s="4" t="b">
        <f>LEN(data!AE28)&gt;0</f>
        <v>0</v>
      </c>
      <c r="AQ28" s="4" t="b">
        <f>LEN(data!AE28)=5</f>
        <v>0</v>
      </c>
      <c r="AR28" s="4" t="b">
        <f>ISERROR(MATCH(data!AF28, rule_mapping!$B$2:$B$3, 0))=FALSE</f>
        <v>0</v>
      </c>
      <c r="AS28" s="4" t="b">
        <f>ISERROR(MATCH(data!AG28, rule_mapping!$A$2:$A$8, 0))=FALSE</f>
        <v>0</v>
      </c>
      <c r="AT28" s="4" t="b">
        <f>LEN(data!AH28)&lt;=4</f>
        <v>1</v>
      </c>
      <c r="AU28" s="4" t="b">
        <f>LEN(data!AI28)&lt;=10</f>
        <v>1</v>
      </c>
      <c r="AV28" s="4" t="b">
        <f>LEN(data!AJ28)&lt;=35</f>
        <v>1</v>
      </c>
      <c r="AW28" s="4" t="b">
        <f>LEN(data!AK28)&lt;=20</f>
        <v>1</v>
      </c>
      <c r="AX28"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9" spans="1:50" ht="409.5" x14ac:dyDescent="0.15">
      <c r="A29" s="4" t="b">
        <f>OR(ISBLANK(data!B29), AND(B29:AW29))</f>
        <v>1</v>
      </c>
      <c r="B29" s="4" t="b">
        <f>AND(LEFT(TRIM(data!B29), 4)="OOLU", ISNUMBER(RIGHT(TRIM(data!B29), LEN(TRIM(data!B29))-4)+0))</f>
        <v>0</v>
      </c>
      <c r="C29" s="4" t="b">
        <f>LEN(data!C29)&gt;0</f>
        <v>0</v>
      </c>
      <c r="D29" s="4" t="b">
        <f>LEN(data!C29)&lt;=70</f>
        <v>1</v>
      </c>
      <c r="E29" s="4" t="b">
        <f>LEN(data!D29)&gt;0</f>
        <v>0</v>
      </c>
      <c r="F29" s="4" t="b">
        <f>LEN(data!D29)&lt;=140</f>
        <v>1</v>
      </c>
      <c r="G29" s="4" t="b">
        <f>LEN(data!E29)&gt;0</f>
        <v>0</v>
      </c>
      <c r="H29" s="4" t="b">
        <f>LEN(data!E29)&lt;=35</f>
        <v>1</v>
      </c>
      <c r="I29" s="4" t="b">
        <f>LEN(data!F29)=2</f>
        <v>0</v>
      </c>
      <c r="J29" s="4" t="b">
        <f>LEN(data!G29)&gt;0</f>
        <v>0</v>
      </c>
      <c r="K29" s="4" t="b">
        <f>LEN(data!G29)&lt;=60</f>
        <v>1</v>
      </c>
      <c r="L29" s="4" t="b">
        <f>LEN(data!I29)&gt;0</f>
        <v>0</v>
      </c>
      <c r="M29" s="4" t="b">
        <f>LEN(data!I29)&lt;=70</f>
        <v>1</v>
      </c>
      <c r="N29" s="4" t="b">
        <f>LEN(data!J29)&gt;0</f>
        <v>0</v>
      </c>
      <c r="O29" s="4" t="b">
        <f>LEN(data!J29)&lt;=140</f>
        <v>1</v>
      </c>
      <c r="P29" s="4" t="b">
        <f>LEN(data!K29)&gt;0</f>
        <v>0</v>
      </c>
      <c r="Q29" s="4" t="b">
        <f>LEN(data!K29)&lt;=35</f>
        <v>1</v>
      </c>
      <c r="R29" s="4" t="b">
        <f>LEN(data!L29)=2</f>
        <v>0</v>
      </c>
      <c r="S29" s="4" t="b">
        <f>LEN(data!M29)&gt;0</f>
        <v>0</v>
      </c>
      <c r="T29" s="4" t="b">
        <f>LEN(data!M29)&lt;=60</f>
        <v>1</v>
      </c>
      <c r="U29" s="4" t="b">
        <f>LEN(data!O29)&gt;0</f>
        <v>0</v>
      </c>
      <c r="V29" s="4" t="b">
        <f>LEN(data!O29)&lt;=70</f>
        <v>1</v>
      </c>
      <c r="W29" s="4" t="b">
        <f>LEN(data!P29)&gt;0</f>
        <v>0</v>
      </c>
      <c r="X29" s="4" t="b">
        <f>LEN(data!P29)&lt;=140</f>
        <v>1</v>
      </c>
      <c r="Y29" s="4" t="b">
        <f>LEN(data!Q29)&gt;0</f>
        <v>0</v>
      </c>
      <c r="Z29" s="4" t="b">
        <f>LEN(data!Q29)&lt;=35</f>
        <v>1</v>
      </c>
      <c r="AA29" s="4" t="b">
        <f>LEN(data!R29)=2</f>
        <v>0</v>
      </c>
      <c r="AB29" s="4" t="b">
        <f>LEN(data!S29)&gt;0</f>
        <v>0</v>
      </c>
      <c r="AC29" s="4" t="b">
        <f>LEN(data!S29)&lt;=120</f>
        <v>1</v>
      </c>
      <c r="AD29" s="4" t="b">
        <f>LEN(data!U29)=11</f>
        <v>0</v>
      </c>
      <c r="AE29" s="4" t="b">
        <f>AND(ISERROR(MATCH(data!V29, rule_mapping!$C$2:$C$325, 0))=FALSE, LEN(data!V29) &lt;= 4)</f>
        <v>0</v>
      </c>
      <c r="AF29" s="4" t="b">
        <f>LEN(data!W29)&gt;0</f>
        <v>0</v>
      </c>
      <c r="AG29" s="4" t="b">
        <f>LEN(data!W29)&lt;=20</f>
        <v>1</v>
      </c>
      <c r="AH29" s="4" t="b">
        <f xml:space="preserve"> IFERROR(ISNUMBER(data!X29), FALSE)</f>
        <v>0</v>
      </c>
      <c r="AI29" s="4" t="b">
        <f>IF(ISERROR(MATCH(data!Y29, rule_mapping!$D$2:$D$252, 0))=FALSE,TRUE, FALSE)</f>
        <v>0</v>
      </c>
      <c r="AJ29" s="4" t="b">
        <f>IFERROR(ISNUMBER(data!Z29), FALSE)</f>
        <v>0</v>
      </c>
      <c r="AK29" s="4" t="b">
        <f>IFERROR(ISNUMBER(data!AA29), FALSE)</f>
        <v>0</v>
      </c>
      <c r="AL29" s="4" t="b">
        <f>LEN(data!AB29)&lt;=90</f>
        <v>1</v>
      </c>
      <c r="AM29" s="4" t="b">
        <f>LEN(data!AC29)&gt;0</f>
        <v>0</v>
      </c>
      <c r="AN29" s="4" t="b">
        <f>LEN(data!AC29)&lt;=2000</f>
        <v>1</v>
      </c>
      <c r="AO29" s="4" t="b">
        <f>IF(LEN(data!AD29)=0,TRUE,IF(LEN(data!AD29)=5,TRUE,FALSE))</f>
        <v>1</v>
      </c>
      <c r="AP29" s="4" t="b">
        <f>LEN(data!AE29)&gt;0</f>
        <v>0</v>
      </c>
      <c r="AQ29" s="4" t="b">
        <f>LEN(data!AE29)=5</f>
        <v>0</v>
      </c>
      <c r="AR29" s="4" t="b">
        <f>ISERROR(MATCH(data!AF29, rule_mapping!$B$2:$B$3, 0))=FALSE</f>
        <v>0</v>
      </c>
      <c r="AS29" s="4" t="b">
        <f>ISERROR(MATCH(data!AG29, rule_mapping!$A$2:$A$8, 0))=FALSE</f>
        <v>0</v>
      </c>
      <c r="AT29" s="4" t="b">
        <f>LEN(data!AH29)&lt;=4</f>
        <v>1</v>
      </c>
      <c r="AU29" s="4" t="b">
        <f>LEN(data!AI29)&lt;=10</f>
        <v>1</v>
      </c>
      <c r="AV29" s="4" t="b">
        <f>LEN(data!AJ29)&lt;=35</f>
        <v>1</v>
      </c>
      <c r="AW29" s="4" t="b">
        <f>LEN(data!AK29)&lt;=20</f>
        <v>1</v>
      </c>
      <c r="AX29"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0" spans="1:50" ht="409.5" x14ac:dyDescent="0.15">
      <c r="A30" s="4" t="b">
        <f>OR(ISBLANK(data!B30), AND(B30:AW30))</f>
        <v>1</v>
      </c>
      <c r="B30" s="4" t="b">
        <f>AND(LEFT(TRIM(data!B30), 4)="OOLU", ISNUMBER(RIGHT(TRIM(data!B30), LEN(TRIM(data!B30))-4)+0))</f>
        <v>0</v>
      </c>
      <c r="C30" s="4" t="b">
        <f>LEN(data!C30)&gt;0</f>
        <v>0</v>
      </c>
      <c r="D30" s="4" t="b">
        <f>LEN(data!C30)&lt;=70</f>
        <v>1</v>
      </c>
      <c r="E30" s="4" t="b">
        <f>LEN(data!D30)&gt;0</f>
        <v>0</v>
      </c>
      <c r="F30" s="4" t="b">
        <f>LEN(data!D30)&lt;=140</f>
        <v>1</v>
      </c>
      <c r="G30" s="4" t="b">
        <f>LEN(data!E30)&gt;0</f>
        <v>0</v>
      </c>
      <c r="H30" s="4" t="b">
        <f>LEN(data!E30)&lt;=35</f>
        <v>1</v>
      </c>
      <c r="I30" s="4" t="b">
        <f>LEN(data!F30)=2</f>
        <v>0</v>
      </c>
      <c r="J30" s="4" t="b">
        <f>LEN(data!G30)&gt;0</f>
        <v>0</v>
      </c>
      <c r="K30" s="4" t="b">
        <f>LEN(data!G30)&lt;=60</f>
        <v>1</v>
      </c>
      <c r="L30" s="4" t="b">
        <f>LEN(data!I30)&gt;0</f>
        <v>0</v>
      </c>
      <c r="M30" s="4" t="b">
        <f>LEN(data!I30)&lt;=70</f>
        <v>1</v>
      </c>
      <c r="N30" s="4" t="b">
        <f>LEN(data!J30)&gt;0</f>
        <v>0</v>
      </c>
      <c r="O30" s="4" t="b">
        <f>LEN(data!J30)&lt;=140</f>
        <v>1</v>
      </c>
      <c r="P30" s="4" t="b">
        <f>LEN(data!K30)&gt;0</f>
        <v>0</v>
      </c>
      <c r="Q30" s="4" t="b">
        <f>LEN(data!K30)&lt;=35</f>
        <v>1</v>
      </c>
      <c r="R30" s="4" t="b">
        <f>LEN(data!L30)=2</f>
        <v>0</v>
      </c>
      <c r="S30" s="4" t="b">
        <f>LEN(data!M30)&gt;0</f>
        <v>0</v>
      </c>
      <c r="T30" s="4" t="b">
        <f>LEN(data!M30)&lt;=60</f>
        <v>1</v>
      </c>
      <c r="U30" s="4" t="b">
        <f>LEN(data!O30)&gt;0</f>
        <v>0</v>
      </c>
      <c r="V30" s="4" t="b">
        <f>LEN(data!O30)&lt;=70</f>
        <v>1</v>
      </c>
      <c r="W30" s="4" t="b">
        <f>LEN(data!P30)&gt;0</f>
        <v>0</v>
      </c>
      <c r="X30" s="4" t="b">
        <f>LEN(data!P30)&lt;=140</f>
        <v>1</v>
      </c>
      <c r="Y30" s="4" t="b">
        <f>LEN(data!Q30)&gt;0</f>
        <v>0</v>
      </c>
      <c r="Z30" s="4" t="b">
        <f>LEN(data!Q30)&lt;=35</f>
        <v>1</v>
      </c>
      <c r="AA30" s="4" t="b">
        <f>LEN(data!R30)=2</f>
        <v>0</v>
      </c>
      <c r="AB30" s="4" t="b">
        <f>LEN(data!S30)&gt;0</f>
        <v>0</v>
      </c>
      <c r="AC30" s="4" t="b">
        <f>LEN(data!S30)&lt;=120</f>
        <v>1</v>
      </c>
      <c r="AD30" s="4" t="b">
        <f>LEN(data!U30)=11</f>
        <v>0</v>
      </c>
      <c r="AE30" s="4" t="b">
        <f>AND(ISERROR(MATCH(data!V30, rule_mapping!$C$2:$C$325, 0))=FALSE, LEN(data!V30) &lt;= 4)</f>
        <v>0</v>
      </c>
      <c r="AF30" s="4" t="b">
        <f>LEN(data!W30)&gt;0</f>
        <v>0</v>
      </c>
      <c r="AG30" s="4" t="b">
        <f>LEN(data!W30)&lt;=20</f>
        <v>1</v>
      </c>
      <c r="AH30" s="4" t="b">
        <f xml:space="preserve"> IFERROR(ISNUMBER(data!X30), FALSE)</f>
        <v>0</v>
      </c>
      <c r="AI30" s="4" t="b">
        <f>IF(ISERROR(MATCH(data!Y30, rule_mapping!$D$2:$D$252, 0))=FALSE,TRUE, FALSE)</f>
        <v>0</v>
      </c>
      <c r="AJ30" s="4" t="b">
        <f>IFERROR(ISNUMBER(data!Z30), FALSE)</f>
        <v>0</v>
      </c>
      <c r="AK30" s="4" t="b">
        <f>IFERROR(ISNUMBER(data!AA30), FALSE)</f>
        <v>0</v>
      </c>
      <c r="AL30" s="4" t="b">
        <f>LEN(data!AB30)&lt;=90</f>
        <v>1</v>
      </c>
      <c r="AM30" s="4" t="b">
        <f>LEN(data!AC30)&gt;0</f>
        <v>0</v>
      </c>
      <c r="AN30" s="4" t="b">
        <f>LEN(data!AC30)&lt;=2000</f>
        <v>1</v>
      </c>
      <c r="AO30" s="4" t="b">
        <f>IF(LEN(data!AD30)=0,TRUE,IF(LEN(data!AD30)=5,TRUE,FALSE))</f>
        <v>1</v>
      </c>
      <c r="AP30" s="4" t="b">
        <f>LEN(data!AE30)&gt;0</f>
        <v>0</v>
      </c>
      <c r="AQ30" s="4" t="b">
        <f>LEN(data!AE30)=5</f>
        <v>0</v>
      </c>
      <c r="AR30" s="4" t="b">
        <f>ISERROR(MATCH(data!AF30, rule_mapping!$B$2:$B$3, 0))=FALSE</f>
        <v>0</v>
      </c>
      <c r="AS30" s="4" t="b">
        <f>ISERROR(MATCH(data!AG30, rule_mapping!$A$2:$A$8, 0))=FALSE</f>
        <v>0</v>
      </c>
      <c r="AT30" s="4" t="b">
        <f>LEN(data!AH30)&lt;=4</f>
        <v>1</v>
      </c>
      <c r="AU30" s="4" t="b">
        <f>LEN(data!AI30)&lt;=10</f>
        <v>1</v>
      </c>
      <c r="AV30" s="4" t="b">
        <f>LEN(data!AJ30)&lt;=35</f>
        <v>1</v>
      </c>
      <c r="AW30" s="4" t="b">
        <f>LEN(data!AK30)&lt;=20</f>
        <v>1</v>
      </c>
      <c r="AX30"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1" spans="1:50" ht="409.5" x14ac:dyDescent="0.15">
      <c r="A31" s="4" t="b">
        <f>OR(ISBLANK(data!B31), AND(B31:AW31))</f>
        <v>1</v>
      </c>
      <c r="B31" s="4" t="b">
        <f>AND(LEFT(TRIM(data!B31), 4)="OOLU", ISNUMBER(RIGHT(TRIM(data!B31), LEN(TRIM(data!B31))-4)+0))</f>
        <v>0</v>
      </c>
      <c r="C31" s="4" t="b">
        <f>LEN(data!C31)&gt;0</f>
        <v>0</v>
      </c>
      <c r="D31" s="4" t="b">
        <f>LEN(data!C31)&lt;=70</f>
        <v>1</v>
      </c>
      <c r="E31" s="4" t="b">
        <f>LEN(data!D31)&gt;0</f>
        <v>0</v>
      </c>
      <c r="F31" s="4" t="b">
        <f>LEN(data!D31)&lt;=140</f>
        <v>1</v>
      </c>
      <c r="G31" s="4" t="b">
        <f>LEN(data!E31)&gt;0</f>
        <v>0</v>
      </c>
      <c r="H31" s="4" t="b">
        <f>LEN(data!E31)&lt;=35</f>
        <v>1</v>
      </c>
      <c r="I31" s="4" t="b">
        <f>LEN(data!F31)=2</f>
        <v>0</v>
      </c>
      <c r="J31" s="4" t="b">
        <f>LEN(data!G31)&gt;0</f>
        <v>0</v>
      </c>
      <c r="K31" s="4" t="b">
        <f>LEN(data!G31)&lt;=60</f>
        <v>1</v>
      </c>
      <c r="L31" s="4" t="b">
        <f>LEN(data!I31)&gt;0</f>
        <v>0</v>
      </c>
      <c r="M31" s="4" t="b">
        <f>LEN(data!I31)&lt;=70</f>
        <v>1</v>
      </c>
      <c r="N31" s="4" t="b">
        <f>LEN(data!J31)&gt;0</f>
        <v>0</v>
      </c>
      <c r="O31" s="4" t="b">
        <f>LEN(data!J31)&lt;=140</f>
        <v>1</v>
      </c>
      <c r="P31" s="4" t="b">
        <f>LEN(data!K31)&gt;0</f>
        <v>0</v>
      </c>
      <c r="Q31" s="4" t="b">
        <f>LEN(data!K31)&lt;=35</f>
        <v>1</v>
      </c>
      <c r="R31" s="4" t="b">
        <f>LEN(data!L31)=2</f>
        <v>0</v>
      </c>
      <c r="S31" s="4" t="b">
        <f>LEN(data!M31)&gt;0</f>
        <v>0</v>
      </c>
      <c r="T31" s="4" t="b">
        <f>LEN(data!M31)&lt;=60</f>
        <v>1</v>
      </c>
      <c r="U31" s="4" t="b">
        <f>LEN(data!O31)&gt;0</f>
        <v>0</v>
      </c>
      <c r="V31" s="4" t="b">
        <f>LEN(data!O31)&lt;=70</f>
        <v>1</v>
      </c>
      <c r="W31" s="4" t="b">
        <f>LEN(data!P31)&gt;0</f>
        <v>0</v>
      </c>
      <c r="X31" s="4" t="b">
        <f>LEN(data!P31)&lt;=140</f>
        <v>1</v>
      </c>
      <c r="Y31" s="4" t="b">
        <f>LEN(data!Q31)&gt;0</f>
        <v>0</v>
      </c>
      <c r="Z31" s="4" t="b">
        <f>LEN(data!Q31)&lt;=35</f>
        <v>1</v>
      </c>
      <c r="AA31" s="4" t="b">
        <f>LEN(data!R31)=2</f>
        <v>0</v>
      </c>
      <c r="AB31" s="4" t="b">
        <f>LEN(data!S31)&gt;0</f>
        <v>0</v>
      </c>
      <c r="AC31" s="4" t="b">
        <f>LEN(data!S31)&lt;=120</f>
        <v>1</v>
      </c>
      <c r="AD31" s="4" t="b">
        <f>LEN(data!U31)=11</f>
        <v>0</v>
      </c>
      <c r="AE31" s="4" t="b">
        <f>AND(ISERROR(MATCH(data!V31, rule_mapping!$C$2:$C$325, 0))=FALSE, LEN(data!V31) &lt;= 4)</f>
        <v>0</v>
      </c>
      <c r="AF31" s="4" t="b">
        <f>LEN(data!W31)&gt;0</f>
        <v>0</v>
      </c>
      <c r="AG31" s="4" t="b">
        <f>LEN(data!W31)&lt;=20</f>
        <v>1</v>
      </c>
      <c r="AH31" s="4" t="b">
        <f xml:space="preserve"> IFERROR(ISNUMBER(data!X31), FALSE)</f>
        <v>0</v>
      </c>
      <c r="AI31" s="4" t="b">
        <f>IF(ISERROR(MATCH(data!Y31, rule_mapping!$D$2:$D$252, 0))=FALSE,TRUE, FALSE)</f>
        <v>0</v>
      </c>
      <c r="AJ31" s="4" t="b">
        <f>IFERROR(ISNUMBER(data!Z31), FALSE)</f>
        <v>0</v>
      </c>
      <c r="AK31" s="4" t="b">
        <f>IFERROR(ISNUMBER(data!AA31), FALSE)</f>
        <v>0</v>
      </c>
      <c r="AL31" s="4" t="b">
        <f>LEN(data!AB31)&lt;=90</f>
        <v>1</v>
      </c>
      <c r="AM31" s="4" t="b">
        <f>LEN(data!AC31)&gt;0</f>
        <v>0</v>
      </c>
      <c r="AN31" s="4" t="b">
        <f>LEN(data!AC31)&lt;=2000</f>
        <v>1</v>
      </c>
      <c r="AO31" s="4" t="b">
        <f>IF(LEN(data!AD31)=0,TRUE,IF(LEN(data!AD31)=5,TRUE,FALSE))</f>
        <v>1</v>
      </c>
      <c r="AP31" s="4" t="b">
        <f>LEN(data!AE31)&gt;0</f>
        <v>0</v>
      </c>
      <c r="AQ31" s="4" t="b">
        <f>LEN(data!AE31)=5</f>
        <v>0</v>
      </c>
      <c r="AR31" s="4" t="b">
        <f>ISERROR(MATCH(data!AF31, rule_mapping!$B$2:$B$3, 0))=FALSE</f>
        <v>0</v>
      </c>
      <c r="AS31" s="4" t="b">
        <f>ISERROR(MATCH(data!AG31, rule_mapping!$A$2:$A$8, 0))=FALSE</f>
        <v>0</v>
      </c>
      <c r="AT31" s="4" t="b">
        <f>LEN(data!AH31)&lt;=4</f>
        <v>1</v>
      </c>
      <c r="AU31" s="4" t="b">
        <f>LEN(data!AI31)&lt;=10</f>
        <v>1</v>
      </c>
      <c r="AV31" s="4" t="b">
        <f>LEN(data!AJ31)&lt;=35</f>
        <v>1</v>
      </c>
      <c r="AW31" s="4" t="b">
        <f>LEN(data!AK31)&lt;=20</f>
        <v>1</v>
      </c>
      <c r="AX31"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2" spans="1:50" ht="409.5" x14ac:dyDescent="0.15">
      <c r="A32" s="4" t="b">
        <f>OR(ISBLANK(data!B32), AND(B32:AW32))</f>
        <v>1</v>
      </c>
      <c r="B32" s="4" t="b">
        <f>AND(LEFT(TRIM(data!B32), 4)="OOLU", ISNUMBER(RIGHT(TRIM(data!B32), LEN(TRIM(data!B32))-4)+0))</f>
        <v>0</v>
      </c>
      <c r="C32" s="4" t="b">
        <f>LEN(data!C32)&gt;0</f>
        <v>0</v>
      </c>
      <c r="D32" s="4" t="b">
        <f>LEN(data!C32)&lt;=70</f>
        <v>1</v>
      </c>
      <c r="E32" s="4" t="b">
        <f>LEN(data!D32)&gt;0</f>
        <v>0</v>
      </c>
      <c r="F32" s="4" t="b">
        <f>LEN(data!D32)&lt;=140</f>
        <v>1</v>
      </c>
      <c r="G32" s="4" t="b">
        <f>LEN(data!E32)&gt;0</f>
        <v>0</v>
      </c>
      <c r="H32" s="4" t="b">
        <f>LEN(data!E32)&lt;=35</f>
        <v>1</v>
      </c>
      <c r="I32" s="4" t="b">
        <f>LEN(data!F32)=2</f>
        <v>0</v>
      </c>
      <c r="J32" s="4" t="b">
        <f>LEN(data!G32)&gt;0</f>
        <v>0</v>
      </c>
      <c r="K32" s="4" t="b">
        <f>LEN(data!G32)&lt;=60</f>
        <v>1</v>
      </c>
      <c r="L32" s="4" t="b">
        <f>LEN(data!I32)&gt;0</f>
        <v>0</v>
      </c>
      <c r="M32" s="4" t="b">
        <f>LEN(data!I32)&lt;=70</f>
        <v>1</v>
      </c>
      <c r="N32" s="4" t="b">
        <f>LEN(data!J32)&gt;0</f>
        <v>0</v>
      </c>
      <c r="O32" s="4" t="b">
        <f>LEN(data!J32)&lt;=140</f>
        <v>1</v>
      </c>
      <c r="P32" s="4" t="b">
        <f>LEN(data!K32)&gt;0</f>
        <v>0</v>
      </c>
      <c r="Q32" s="4" t="b">
        <f>LEN(data!K32)&lt;=35</f>
        <v>1</v>
      </c>
      <c r="R32" s="4" t="b">
        <f>LEN(data!L32)=2</f>
        <v>0</v>
      </c>
      <c r="S32" s="4" t="b">
        <f>LEN(data!M32)&gt;0</f>
        <v>0</v>
      </c>
      <c r="T32" s="4" t="b">
        <f>LEN(data!M32)&lt;=60</f>
        <v>1</v>
      </c>
      <c r="U32" s="4" t="b">
        <f>LEN(data!O32)&gt;0</f>
        <v>0</v>
      </c>
      <c r="V32" s="4" t="b">
        <f>LEN(data!O32)&lt;=70</f>
        <v>1</v>
      </c>
      <c r="W32" s="4" t="b">
        <f>LEN(data!P32)&gt;0</f>
        <v>0</v>
      </c>
      <c r="X32" s="4" t="b">
        <f>LEN(data!P32)&lt;=140</f>
        <v>1</v>
      </c>
      <c r="Y32" s="4" t="b">
        <f>LEN(data!Q32)&gt;0</f>
        <v>0</v>
      </c>
      <c r="Z32" s="4" t="b">
        <f>LEN(data!Q32)&lt;=35</f>
        <v>1</v>
      </c>
      <c r="AA32" s="4" t="b">
        <f>LEN(data!R32)=2</f>
        <v>0</v>
      </c>
      <c r="AB32" s="4" t="b">
        <f>LEN(data!S32)&gt;0</f>
        <v>0</v>
      </c>
      <c r="AC32" s="4" t="b">
        <f>LEN(data!S32)&lt;=120</f>
        <v>1</v>
      </c>
      <c r="AD32" s="4" t="b">
        <f>LEN(data!U32)=11</f>
        <v>0</v>
      </c>
      <c r="AE32" s="4" t="b">
        <f>AND(ISERROR(MATCH(data!V32, rule_mapping!$C$2:$C$325, 0))=FALSE, LEN(data!V32) &lt;= 4)</f>
        <v>0</v>
      </c>
      <c r="AF32" s="4" t="b">
        <f>LEN(data!W32)&gt;0</f>
        <v>0</v>
      </c>
      <c r="AG32" s="4" t="b">
        <f>LEN(data!W32)&lt;=20</f>
        <v>1</v>
      </c>
      <c r="AH32" s="4" t="b">
        <f xml:space="preserve"> IFERROR(ISNUMBER(data!X32), FALSE)</f>
        <v>0</v>
      </c>
      <c r="AI32" s="4" t="b">
        <f>IF(ISERROR(MATCH(data!Y32, rule_mapping!$D$2:$D$252, 0))=FALSE,TRUE, FALSE)</f>
        <v>0</v>
      </c>
      <c r="AJ32" s="4" t="b">
        <f>IFERROR(ISNUMBER(data!Z32), FALSE)</f>
        <v>0</v>
      </c>
      <c r="AK32" s="4" t="b">
        <f>IFERROR(ISNUMBER(data!AA32), FALSE)</f>
        <v>0</v>
      </c>
      <c r="AL32" s="4" t="b">
        <f>LEN(data!AB32)&lt;=90</f>
        <v>1</v>
      </c>
      <c r="AM32" s="4" t="b">
        <f>LEN(data!AC32)&gt;0</f>
        <v>0</v>
      </c>
      <c r="AN32" s="4" t="b">
        <f>LEN(data!AC32)&lt;=2000</f>
        <v>1</v>
      </c>
      <c r="AO32" s="4" t="b">
        <f>IF(LEN(data!AD32)=0,TRUE,IF(LEN(data!AD32)=5,TRUE,FALSE))</f>
        <v>1</v>
      </c>
      <c r="AP32" s="4" t="b">
        <f>LEN(data!AE32)&gt;0</f>
        <v>0</v>
      </c>
      <c r="AQ32" s="4" t="b">
        <f>LEN(data!AE32)=5</f>
        <v>0</v>
      </c>
      <c r="AR32" s="4" t="b">
        <f>ISERROR(MATCH(data!AF32, rule_mapping!$B$2:$B$3, 0))=FALSE</f>
        <v>0</v>
      </c>
      <c r="AS32" s="4" t="b">
        <f>ISERROR(MATCH(data!AG32, rule_mapping!$A$2:$A$8, 0))=FALSE</f>
        <v>0</v>
      </c>
      <c r="AT32" s="4" t="b">
        <f>LEN(data!AH32)&lt;=4</f>
        <v>1</v>
      </c>
      <c r="AU32" s="4" t="b">
        <f>LEN(data!AI32)&lt;=10</f>
        <v>1</v>
      </c>
      <c r="AV32" s="4" t="b">
        <f>LEN(data!AJ32)&lt;=35</f>
        <v>1</v>
      </c>
      <c r="AW32" s="4" t="b">
        <f>LEN(data!AK32)&lt;=20</f>
        <v>1</v>
      </c>
      <c r="AX32"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3" spans="1:50" ht="409.5" x14ac:dyDescent="0.15">
      <c r="A33" s="4" t="b">
        <f>OR(ISBLANK(data!B33), AND(B33:AW33))</f>
        <v>1</v>
      </c>
      <c r="B33" s="4" t="b">
        <f>AND(LEFT(TRIM(data!B33), 4)="OOLU", ISNUMBER(RIGHT(TRIM(data!B33), LEN(TRIM(data!B33))-4)+0))</f>
        <v>0</v>
      </c>
      <c r="C33" s="4" t="b">
        <f>LEN(data!C33)&gt;0</f>
        <v>0</v>
      </c>
      <c r="D33" s="4" t="b">
        <f>LEN(data!C33)&lt;=70</f>
        <v>1</v>
      </c>
      <c r="E33" s="4" t="b">
        <f>LEN(data!D33)&gt;0</f>
        <v>0</v>
      </c>
      <c r="F33" s="4" t="b">
        <f>LEN(data!D33)&lt;=140</f>
        <v>1</v>
      </c>
      <c r="G33" s="4" t="b">
        <f>LEN(data!E33)&gt;0</f>
        <v>0</v>
      </c>
      <c r="H33" s="4" t="b">
        <f>LEN(data!E33)&lt;=35</f>
        <v>1</v>
      </c>
      <c r="I33" s="4" t="b">
        <f>LEN(data!F33)=2</f>
        <v>0</v>
      </c>
      <c r="J33" s="4" t="b">
        <f>LEN(data!G33)&gt;0</f>
        <v>0</v>
      </c>
      <c r="K33" s="4" t="b">
        <f>LEN(data!G33)&lt;=60</f>
        <v>1</v>
      </c>
      <c r="L33" s="4" t="b">
        <f>LEN(data!I33)&gt;0</f>
        <v>0</v>
      </c>
      <c r="M33" s="4" t="b">
        <f>LEN(data!I33)&lt;=70</f>
        <v>1</v>
      </c>
      <c r="N33" s="4" t="b">
        <f>LEN(data!J33)&gt;0</f>
        <v>0</v>
      </c>
      <c r="O33" s="4" t="b">
        <f>LEN(data!J33)&lt;=140</f>
        <v>1</v>
      </c>
      <c r="P33" s="4" t="b">
        <f>LEN(data!K33)&gt;0</f>
        <v>0</v>
      </c>
      <c r="Q33" s="4" t="b">
        <f>LEN(data!K33)&lt;=35</f>
        <v>1</v>
      </c>
      <c r="R33" s="4" t="b">
        <f>LEN(data!L33)=2</f>
        <v>0</v>
      </c>
      <c r="S33" s="4" t="b">
        <f>LEN(data!M33)&gt;0</f>
        <v>0</v>
      </c>
      <c r="T33" s="4" t="b">
        <f>LEN(data!M33)&lt;=60</f>
        <v>1</v>
      </c>
      <c r="U33" s="4" t="b">
        <f>LEN(data!O33)&gt;0</f>
        <v>0</v>
      </c>
      <c r="V33" s="4" t="b">
        <f>LEN(data!O33)&lt;=70</f>
        <v>1</v>
      </c>
      <c r="W33" s="4" t="b">
        <f>LEN(data!P33)&gt;0</f>
        <v>0</v>
      </c>
      <c r="X33" s="4" t="b">
        <f>LEN(data!P33)&lt;=140</f>
        <v>1</v>
      </c>
      <c r="Y33" s="4" t="b">
        <f>LEN(data!Q33)&gt;0</f>
        <v>0</v>
      </c>
      <c r="Z33" s="4" t="b">
        <f>LEN(data!Q33)&lt;=35</f>
        <v>1</v>
      </c>
      <c r="AA33" s="4" t="b">
        <f>LEN(data!R33)=2</f>
        <v>0</v>
      </c>
      <c r="AB33" s="4" t="b">
        <f>LEN(data!S33)&gt;0</f>
        <v>0</v>
      </c>
      <c r="AC33" s="4" t="b">
        <f>LEN(data!S33)&lt;=120</f>
        <v>1</v>
      </c>
      <c r="AD33" s="4" t="b">
        <f>LEN(data!U33)=11</f>
        <v>0</v>
      </c>
      <c r="AE33" s="4" t="b">
        <f>AND(ISERROR(MATCH(data!V33, rule_mapping!$C$2:$C$325, 0))=FALSE, LEN(data!V33) &lt;= 4)</f>
        <v>0</v>
      </c>
      <c r="AF33" s="4" t="b">
        <f>LEN(data!W33)&gt;0</f>
        <v>0</v>
      </c>
      <c r="AG33" s="4" t="b">
        <f>LEN(data!W33)&lt;=20</f>
        <v>1</v>
      </c>
      <c r="AH33" s="4" t="b">
        <f xml:space="preserve"> IFERROR(ISNUMBER(data!X33), FALSE)</f>
        <v>0</v>
      </c>
      <c r="AI33" s="4" t="b">
        <f>IF(ISERROR(MATCH(data!Y33, rule_mapping!$D$2:$D$252, 0))=FALSE,TRUE, FALSE)</f>
        <v>0</v>
      </c>
      <c r="AJ33" s="4" t="b">
        <f>IFERROR(ISNUMBER(data!Z33), FALSE)</f>
        <v>0</v>
      </c>
      <c r="AK33" s="4" t="b">
        <f>IFERROR(ISNUMBER(data!AA33), FALSE)</f>
        <v>0</v>
      </c>
      <c r="AL33" s="4" t="b">
        <f>LEN(data!AB33)&lt;=90</f>
        <v>1</v>
      </c>
      <c r="AM33" s="4" t="b">
        <f>LEN(data!AC33)&gt;0</f>
        <v>0</v>
      </c>
      <c r="AN33" s="4" t="b">
        <f>LEN(data!AC33)&lt;=2000</f>
        <v>1</v>
      </c>
      <c r="AO33" s="4" t="b">
        <f>IF(LEN(data!AD33)=0,TRUE,IF(LEN(data!AD33)=5,TRUE,FALSE))</f>
        <v>1</v>
      </c>
      <c r="AP33" s="4" t="b">
        <f>LEN(data!AE33)&gt;0</f>
        <v>0</v>
      </c>
      <c r="AQ33" s="4" t="b">
        <f>LEN(data!AE33)=5</f>
        <v>0</v>
      </c>
      <c r="AR33" s="4" t="b">
        <f>ISERROR(MATCH(data!AF33, rule_mapping!$B$2:$B$3, 0))=FALSE</f>
        <v>0</v>
      </c>
      <c r="AS33" s="4" t="b">
        <f>ISERROR(MATCH(data!AG33, rule_mapping!$A$2:$A$8, 0))=FALSE</f>
        <v>0</v>
      </c>
      <c r="AT33" s="4" t="b">
        <f>LEN(data!AH33)&lt;=4</f>
        <v>1</v>
      </c>
      <c r="AU33" s="4" t="b">
        <f>LEN(data!AI33)&lt;=10</f>
        <v>1</v>
      </c>
      <c r="AV33" s="4" t="b">
        <f>LEN(data!AJ33)&lt;=35</f>
        <v>1</v>
      </c>
      <c r="AW33" s="4" t="b">
        <f>LEN(data!AK33)&lt;=20</f>
        <v>1</v>
      </c>
      <c r="AX33"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4" spans="1:50" ht="409.5" x14ac:dyDescent="0.15">
      <c r="A34" s="4" t="b">
        <f>OR(ISBLANK(data!B34), AND(B34:AW34))</f>
        <v>1</v>
      </c>
      <c r="B34" s="4" t="b">
        <f>AND(LEFT(TRIM(data!B34), 4)="OOLU", ISNUMBER(RIGHT(TRIM(data!B34), LEN(TRIM(data!B34))-4)+0))</f>
        <v>0</v>
      </c>
      <c r="C34" s="4" t="b">
        <f>LEN(data!C34)&gt;0</f>
        <v>0</v>
      </c>
      <c r="D34" s="4" t="b">
        <f>LEN(data!C34)&lt;=70</f>
        <v>1</v>
      </c>
      <c r="E34" s="4" t="b">
        <f>LEN(data!D34)&gt;0</f>
        <v>0</v>
      </c>
      <c r="F34" s="4" t="b">
        <f>LEN(data!D34)&lt;=140</f>
        <v>1</v>
      </c>
      <c r="G34" s="4" t="b">
        <f>LEN(data!E34)&gt;0</f>
        <v>0</v>
      </c>
      <c r="H34" s="4" t="b">
        <f>LEN(data!E34)&lt;=35</f>
        <v>1</v>
      </c>
      <c r="I34" s="4" t="b">
        <f>LEN(data!F34)=2</f>
        <v>0</v>
      </c>
      <c r="J34" s="4" t="b">
        <f>LEN(data!G34)&gt;0</f>
        <v>0</v>
      </c>
      <c r="K34" s="4" t="b">
        <f>LEN(data!G34)&lt;=60</f>
        <v>1</v>
      </c>
      <c r="L34" s="4" t="b">
        <f>LEN(data!I34)&gt;0</f>
        <v>0</v>
      </c>
      <c r="M34" s="4" t="b">
        <f>LEN(data!I34)&lt;=70</f>
        <v>1</v>
      </c>
      <c r="N34" s="4" t="b">
        <f>LEN(data!J34)&gt;0</f>
        <v>0</v>
      </c>
      <c r="O34" s="4" t="b">
        <f>LEN(data!J34)&lt;=140</f>
        <v>1</v>
      </c>
      <c r="P34" s="4" t="b">
        <f>LEN(data!K34)&gt;0</f>
        <v>0</v>
      </c>
      <c r="Q34" s="4" t="b">
        <f>LEN(data!K34)&lt;=35</f>
        <v>1</v>
      </c>
      <c r="R34" s="4" t="b">
        <f>LEN(data!L34)=2</f>
        <v>0</v>
      </c>
      <c r="S34" s="4" t="b">
        <f>LEN(data!M34)&gt;0</f>
        <v>0</v>
      </c>
      <c r="T34" s="4" t="b">
        <f>LEN(data!M34)&lt;=60</f>
        <v>1</v>
      </c>
      <c r="U34" s="4" t="b">
        <f>LEN(data!O34)&gt;0</f>
        <v>0</v>
      </c>
      <c r="V34" s="4" t="b">
        <f>LEN(data!O34)&lt;=70</f>
        <v>1</v>
      </c>
      <c r="W34" s="4" t="b">
        <f>LEN(data!P34)&gt;0</f>
        <v>0</v>
      </c>
      <c r="X34" s="4" t="b">
        <f>LEN(data!P34)&lt;=140</f>
        <v>1</v>
      </c>
      <c r="Y34" s="4" t="b">
        <f>LEN(data!Q34)&gt;0</f>
        <v>0</v>
      </c>
      <c r="Z34" s="4" t="b">
        <f>LEN(data!Q34)&lt;=35</f>
        <v>1</v>
      </c>
      <c r="AA34" s="4" t="b">
        <f>LEN(data!R34)=2</f>
        <v>0</v>
      </c>
      <c r="AB34" s="4" t="b">
        <f>LEN(data!S34)&gt;0</f>
        <v>0</v>
      </c>
      <c r="AC34" s="4" t="b">
        <f>LEN(data!S34)&lt;=120</f>
        <v>1</v>
      </c>
      <c r="AD34" s="4" t="b">
        <f>LEN(data!U34)=11</f>
        <v>0</v>
      </c>
      <c r="AE34" s="4" t="b">
        <f>AND(ISERROR(MATCH(data!V34, rule_mapping!$C$2:$C$325, 0))=FALSE, LEN(data!V34) &lt;= 4)</f>
        <v>0</v>
      </c>
      <c r="AF34" s="4" t="b">
        <f>LEN(data!W34)&gt;0</f>
        <v>0</v>
      </c>
      <c r="AG34" s="4" t="b">
        <f>LEN(data!W34)&lt;=20</f>
        <v>1</v>
      </c>
      <c r="AH34" s="4" t="b">
        <f xml:space="preserve"> IFERROR(ISNUMBER(data!X34), FALSE)</f>
        <v>0</v>
      </c>
      <c r="AI34" s="4" t="b">
        <f>IF(ISERROR(MATCH(data!Y34, rule_mapping!$D$2:$D$252, 0))=FALSE,TRUE, FALSE)</f>
        <v>0</v>
      </c>
      <c r="AJ34" s="4" t="b">
        <f>IFERROR(ISNUMBER(data!Z34), FALSE)</f>
        <v>0</v>
      </c>
      <c r="AK34" s="4" t="b">
        <f>IFERROR(ISNUMBER(data!AA34), FALSE)</f>
        <v>0</v>
      </c>
      <c r="AL34" s="4" t="b">
        <f>LEN(data!AB34)&lt;=90</f>
        <v>1</v>
      </c>
      <c r="AM34" s="4" t="b">
        <f>LEN(data!AC34)&gt;0</f>
        <v>0</v>
      </c>
      <c r="AN34" s="4" t="b">
        <f>LEN(data!AC34)&lt;=2000</f>
        <v>1</v>
      </c>
      <c r="AO34" s="4" t="b">
        <f>IF(LEN(data!AD34)=0,TRUE,IF(LEN(data!AD34)=5,TRUE,FALSE))</f>
        <v>1</v>
      </c>
      <c r="AP34" s="4" t="b">
        <f>LEN(data!AE34)&gt;0</f>
        <v>0</v>
      </c>
      <c r="AQ34" s="4" t="b">
        <f>LEN(data!AE34)=5</f>
        <v>0</v>
      </c>
      <c r="AR34" s="4" t="b">
        <f>ISERROR(MATCH(data!AF34, rule_mapping!$B$2:$B$3, 0))=FALSE</f>
        <v>0</v>
      </c>
      <c r="AS34" s="4" t="b">
        <f>ISERROR(MATCH(data!AG34, rule_mapping!$A$2:$A$8, 0))=FALSE</f>
        <v>0</v>
      </c>
      <c r="AT34" s="4" t="b">
        <f>LEN(data!AH34)&lt;=4</f>
        <v>1</v>
      </c>
      <c r="AU34" s="4" t="b">
        <f>LEN(data!AI34)&lt;=10</f>
        <v>1</v>
      </c>
      <c r="AV34" s="4" t="b">
        <f>LEN(data!AJ34)&lt;=35</f>
        <v>1</v>
      </c>
      <c r="AW34" s="4" t="b">
        <f>LEN(data!AK34)&lt;=20</f>
        <v>1</v>
      </c>
      <c r="AX34"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5" spans="1:50" ht="409.5" x14ac:dyDescent="0.15">
      <c r="A35" s="4" t="b">
        <f>OR(ISBLANK(data!B35), AND(B35:AW35))</f>
        <v>1</v>
      </c>
      <c r="B35" s="4" t="b">
        <f>AND(LEFT(TRIM(data!B35), 4)="OOLU", ISNUMBER(RIGHT(TRIM(data!B35), LEN(TRIM(data!B35))-4)+0))</f>
        <v>0</v>
      </c>
      <c r="C35" s="4" t="b">
        <f>LEN(data!C35)&gt;0</f>
        <v>0</v>
      </c>
      <c r="D35" s="4" t="b">
        <f>LEN(data!C35)&lt;=70</f>
        <v>1</v>
      </c>
      <c r="E35" s="4" t="b">
        <f>LEN(data!D35)&gt;0</f>
        <v>0</v>
      </c>
      <c r="F35" s="4" t="b">
        <f>LEN(data!D35)&lt;=140</f>
        <v>1</v>
      </c>
      <c r="G35" s="4" t="b">
        <f>LEN(data!E35)&gt;0</f>
        <v>0</v>
      </c>
      <c r="H35" s="4" t="b">
        <f>LEN(data!E35)&lt;=35</f>
        <v>1</v>
      </c>
      <c r="I35" s="4" t="b">
        <f>LEN(data!F35)=2</f>
        <v>0</v>
      </c>
      <c r="J35" s="4" t="b">
        <f>LEN(data!G35)&gt;0</f>
        <v>0</v>
      </c>
      <c r="K35" s="4" t="b">
        <f>LEN(data!G35)&lt;=60</f>
        <v>1</v>
      </c>
      <c r="L35" s="4" t="b">
        <f>LEN(data!I35)&gt;0</f>
        <v>0</v>
      </c>
      <c r="M35" s="4" t="b">
        <f>LEN(data!I35)&lt;=70</f>
        <v>1</v>
      </c>
      <c r="N35" s="4" t="b">
        <f>LEN(data!J35)&gt;0</f>
        <v>0</v>
      </c>
      <c r="O35" s="4" t="b">
        <f>LEN(data!J35)&lt;=140</f>
        <v>1</v>
      </c>
      <c r="P35" s="4" t="b">
        <f>LEN(data!K35)&gt;0</f>
        <v>0</v>
      </c>
      <c r="Q35" s="4" t="b">
        <f>LEN(data!K35)&lt;=35</f>
        <v>1</v>
      </c>
      <c r="R35" s="4" t="b">
        <f>LEN(data!L35)=2</f>
        <v>0</v>
      </c>
      <c r="S35" s="4" t="b">
        <f>LEN(data!M35)&gt;0</f>
        <v>0</v>
      </c>
      <c r="T35" s="4" t="b">
        <f>LEN(data!M35)&lt;=60</f>
        <v>1</v>
      </c>
      <c r="U35" s="4" t="b">
        <f>LEN(data!O35)&gt;0</f>
        <v>0</v>
      </c>
      <c r="V35" s="4" t="b">
        <f>LEN(data!O35)&lt;=70</f>
        <v>1</v>
      </c>
      <c r="W35" s="4" t="b">
        <f>LEN(data!P35)&gt;0</f>
        <v>0</v>
      </c>
      <c r="X35" s="4" t="b">
        <f>LEN(data!P35)&lt;=140</f>
        <v>1</v>
      </c>
      <c r="Y35" s="4" t="b">
        <f>LEN(data!Q35)&gt;0</f>
        <v>0</v>
      </c>
      <c r="Z35" s="4" t="b">
        <f>LEN(data!Q35)&lt;=35</f>
        <v>1</v>
      </c>
      <c r="AA35" s="4" t="b">
        <f>LEN(data!R35)=2</f>
        <v>0</v>
      </c>
      <c r="AB35" s="4" t="b">
        <f>LEN(data!S35)&gt;0</f>
        <v>0</v>
      </c>
      <c r="AC35" s="4" t="b">
        <f>LEN(data!S35)&lt;=120</f>
        <v>1</v>
      </c>
      <c r="AD35" s="4" t="b">
        <f>LEN(data!U35)=11</f>
        <v>0</v>
      </c>
      <c r="AE35" s="4" t="b">
        <f>AND(ISERROR(MATCH(data!V35, rule_mapping!$C$2:$C$325, 0))=FALSE, LEN(data!V35) &lt;= 4)</f>
        <v>0</v>
      </c>
      <c r="AF35" s="4" t="b">
        <f>LEN(data!W35)&gt;0</f>
        <v>0</v>
      </c>
      <c r="AG35" s="4" t="b">
        <f>LEN(data!W35)&lt;=20</f>
        <v>1</v>
      </c>
      <c r="AH35" s="4" t="b">
        <f xml:space="preserve"> IFERROR(ISNUMBER(data!X35), FALSE)</f>
        <v>0</v>
      </c>
      <c r="AI35" s="4" t="b">
        <f>IF(ISERROR(MATCH(data!Y35, rule_mapping!$D$2:$D$252, 0))=FALSE,TRUE, FALSE)</f>
        <v>0</v>
      </c>
      <c r="AJ35" s="4" t="b">
        <f>IFERROR(ISNUMBER(data!Z35), FALSE)</f>
        <v>0</v>
      </c>
      <c r="AK35" s="4" t="b">
        <f>IFERROR(ISNUMBER(data!AA35), FALSE)</f>
        <v>0</v>
      </c>
      <c r="AL35" s="4" t="b">
        <f>LEN(data!AB35)&lt;=90</f>
        <v>1</v>
      </c>
      <c r="AM35" s="4" t="b">
        <f>LEN(data!AC35)&gt;0</f>
        <v>0</v>
      </c>
      <c r="AN35" s="4" t="b">
        <f>LEN(data!AC35)&lt;=2000</f>
        <v>1</v>
      </c>
      <c r="AO35" s="4" t="b">
        <f>IF(LEN(data!AD35)=0,TRUE,IF(LEN(data!AD35)=5,TRUE,FALSE))</f>
        <v>1</v>
      </c>
      <c r="AP35" s="4" t="b">
        <f>LEN(data!AE35)&gt;0</f>
        <v>0</v>
      </c>
      <c r="AQ35" s="4" t="b">
        <f>LEN(data!AE35)=5</f>
        <v>0</v>
      </c>
      <c r="AR35" s="4" t="b">
        <f>ISERROR(MATCH(data!AF35, rule_mapping!$B$2:$B$3, 0))=FALSE</f>
        <v>0</v>
      </c>
      <c r="AS35" s="4" t="b">
        <f>ISERROR(MATCH(data!AG35, rule_mapping!$A$2:$A$8, 0))=FALSE</f>
        <v>0</v>
      </c>
      <c r="AT35" s="4" t="b">
        <f>LEN(data!AH35)&lt;=4</f>
        <v>1</v>
      </c>
      <c r="AU35" s="4" t="b">
        <f>LEN(data!AI35)&lt;=10</f>
        <v>1</v>
      </c>
      <c r="AV35" s="4" t="b">
        <f>LEN(data!AJ35)&lt;=35</f>
        <v>1</v>
      </c>
      <c r="AW35" s="4" t="b">
        <f>LEN(data!AK35)&lt;=20</f>
        <v>1</v>
      </c>
      <c r="AX35"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6" spans="1:50" ht="409.5" x14ac:dyDescent="0.15">
      <c r="A36" s="4" t="b">
        <f>OR(ISBLANK(data!B36), AND(B36:AW36))</f>
        <v>1</v>
      </c>
      <c r="B36" s="4" t="b">
        <f>AND(LEFT(TRIM(data!B36), 4)="OOLU", ISNUMBER(RIGHT(TRIM(data!B36), LEN(TRIM(data!B36))-4)+0))</f>
        <v>0</v>
      </c>
      <c r="C36" s="4" t="b">
        <f>LEN(data!C36)&gt;0</f>
        <v>0</v>
      </c>
      <c r="D36" s="4" t="b">
        <f>LEN(data!C36)&lt;=70</f>
        <v>1</v>
      </c>
      <c r="E36" s="4" t="b">
        <f>LEN(data!D36)&gt;0</f>
        <v>0</v>
      </c>
      <c r="F36" s="4" t="b">
        <f>LEN(data!D36)&lt;=140</f>
        <v>1</v>
      </c>
      <c r="G36" s="4" t="b">
        <f>LEN(data!E36)&gt;0</f>
        <v>0</v>
      </c>
      <c r="H36" s="4" t="b">
        <f>LEN(data!E36)&lt;=35</f>
        <v>1</v>
      </c>
      <c r="I36" s="4" t="b">
        <f>LEN(data!F36)=2</f>
        <v>0</v>
      </c>
      <c r="J36" s="4" t="b">
        <f>LEN(data!G36)&gt;0</f>
        <v>0</v>
      </c>
      <c r="K36" s="4" t="b">
        <f>LEN(data!G36)&lt;=60</f>
        <v>1</v>
      </c>
      <c r="L36" s="4" t="b">
        <f>LEN(data!I36)&gt;0</f>
        <v>0</v>
      </c>
      <c r="M36" s="4" t="b">
        <f>LEN(data!I36)&lt;=70</f>
        <v>1</v>
      </c>
      <c r="N36" s="4" t="b">
        <f>LEN(data!J36)&gt;0</f>
        <v>0</v>
      </c>
      <c r="O36" s="4" t="b">
        <f>LEN(data!J36)&lt;=140</f>
        <v>1</v>
      </c>
      <c r="P36" s="4" t="b">
        <f>LEN(data!K36)&gt;0</f>
        <v>0</v>
      </c>
      <c r="Q36" s="4" t="b">
        <f>LEN(data!K36)&lt;=35</f>
        <v>1</v>
      </c>
      <c r="R36" s="4" t="b">
        <f>LEN(data!L36)=2</f>
        <v>0</v>
      </c>
      <c r="S36" s="4" t="b">
        <f>LEN(data!M36)&gt;0</f>
        <v>0</v>
      </c>
      <c r="T36" s="4" t="b">
        <f>LEN(data!M36)&lt;=60</f>
        <v>1</v>
      </c>
      <c r="U36" s="4" t="b">
        <f>LEN(data!O36)&gt;0</f>
        <v>0</v>
      </c>
      <c r="V36" s="4" t="b">
        <f>LEN(data!O36)&lt;=70</f>
        <v>1</v>
      </c>
      <c r="W36" s="4" t="b">
        <f>LEN(data!P36)&gt;0</f>
        <v>0</v>
      </c>
      <c r="X36" s="4" t="b">
        <f>LEN(data!P36)&lt;=140</f>
        <v>1</v>
      </c>
      <c r="Y36" s="4" t="b">
        <f>LEN(data!Q36)&gt;0</f>
        <v>0</v>
      </c>
      <c r="Z36" s="4" t="b">
        <f>LEN(data!Q36)&lt;=35</f>
        <v>1</v>
      </c>
      <c r="AA36" s="4" t="b">
        <f>LEN(data!R36)=2</f>
        <v>0</v>
      </c>
      <c r="AB36" s="4" t="b">
        <f>LEN(data!S36)&gt;0</f>
        <v>0</v>
      </c>
      <c r="AC36" s="4" t="b">
        <f>LEN(data!S36)&lt;=120</f>
        <v>1</v>
      </c>
      <c r="AD36" s="4" t="b">
        <f>LEN(data!U36)=11</f>
        <v>0</v>
      </c>
      <c r="AE36" s="4" t="b">
        <f>AND(ISERROR(MATCH(data!V36, rule_mapping!$C$2:$C$325, 0))=FALSE, LEN(data!V36) &lt;= 4)</f>
        <v>0</v>
      </c>
      <c r="AF36" s="4" t="b">
        <f>LEN(data!W36)&gt;0</f>
        <v>0</v>
      </c>
      <c r="AG36" s="4" t="b">
        <f>LEN(data!W36)&lt;=20</f>
        <v>1</v>
      </c>
      <c r="AH36" s="4" t="b">
        <f xml:space="preserve"> IFERROR(ISNUMBER(data!X36), FALSE)</f>
        <v>0</v>
      </c>
      <c r="AI36" s="4" t="b">
        <f>IF(ISERROR(MATCH(data!Y36, rule_mapping!$D$2:$D$252, 0))=FALSE,TRUE, FALSE)</f>
        <v>0</v>
      </c>
      <c r="AJ36" s="4" t="b">
        <f>IFERROR(ISNUMBER(data!Z36), FALSE)</f>
        <v>0</v>
      </c>
      <c r="AK36" s="4" t="b">
        <f>IFERROR(ISNUMBER(data!AA36), FALSE)</f>
        <v>0</v>
      </c>
      <c r="AL36" s="4" t="b">
        <f>LEN(data!AB36)&lt;=90</f>
        <v>1</v>
      </c>
      <c r="AM36" s="4" t="b">
        <f>LEN(data!AC36)&gt;0</f>
        <v>0</v>
      </c>
      <c r="AN36" s="4" t="b">
        <f>LEN(data!AC36)&lt;=2000</f>
        <v>1</v>
      </c>
      <c r="AO36" s="4" t="b">
        <f>IF(LEN(data!AD36)=0,TRUE,IF(LEN(data!AD36)=5,TRUE,FALSE))</f>
        <v>1</v>
      </c>
      <c r="AP36" s="4" t="b">
        <f>LEN(data!AE36)&gt;0</f>
        <v>0</v>
      </c>
      <c r="AQ36" s="4" t="b">
        <f>LEN(data!AE36)=5</f>
        <v>0</v>
      </c>
      <c r="AR36" s="4" t="b">
        <f>ISERROR(MATCH(data!AF36, rule_mapping!$B$2:$B$3, 0))=FALSE</f>
        <v>0</v>
      </c>
      <c r="AS36" s="4" t="b">
        <f>ISERROR(MATCH(data!AG36, rule_mapping!$A$2:$A$8, 0))=FALSE</f>
        <v>0</v>
      </c>
      <c r="AT36" s="4" t="b">
        <f>LEN(data!AH36)&lt;=4</f>
        <v>1</v>
      </c>
      <c r="AU36" s="4" t="b">
        <f>LEN(data!AI36)&lt;=10</f>
        <v>1</v>
      </c>
      <c r="AV36" s="4" t="b">
        <f>LEN(data!AJ36)&lt;=35</f>
        <v>1</v>
      </c>
      <c r="AW36" s="4" t="b">
        <f>LEN(data!AK36)&lt;=20</f>
        <v>1</v>
      </c>
      <c r="AX36"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7" spans="1:50" ht="409.5" x14ac:dyDescent="0.15">
      <c r="A37" s="4" t="b">
        <f>OR(ISBLANK(data!B37), AND(B37:AW37))</f>
        <v>1</v>
      </c>
      <c r="B37" s="4" t="b">
        <f>AND(LEFT(TRIM(data!B37), 4)="OOLU", ISNUMBER(RIGHT(TRIM(data!B37), LEN(TRIM(data!B37))-4)+0))</f>
        <v>0</v>
      </c>
      <c r="C37" s="4" t="b">
        <f>LEN(data!C37)&gt;0</f>
        <v>0</v>
      </c>
      <c r="D37" s="4" t="b">
        <f>LEN(data!C37)&lt;=70</f>
        <v>1</v>
      </c>
      <c r="E37" s="4" t="b">
        <f>LEN(data!D37)&gt;0</f>
        <v>0</v>
      </c>
      <c r="F37" s="4" t="b">
        <f>LEN(data!D37)&lt;=140</f>
        <v>1</v>
      </c>
      <c r="G37" s="4" t="b">
        <f>LEN(data!E37)&gt;0</f>
        <v>0</v>
      </c>
      <c r="H37" s="4" t="b">
        <f>LEN(data!E37)&lt;=35</f>
        <v>1</v>
      </c>
      <c r="I37" s="4" t="b">
        <f>LEN(data!F37)=2</f>
        <v>0</v>
      </c>
      <c r="J37" s="4" t="b">
        <f>LEN(data!G37)&gt;0</f>
        <v>0</v>
      </c>
      <c r="K37" s="4" t="b">
        <f>LEN(data!G37)&lt;=60</f>
        <v>1</v>
      </c>
      <c r="L37" s="4" t="b">
        <f>LEN(data!I37)&gt;0</f>
        <v>0</v>
      </c>
      <c r="M37" s="4" t="b">
        <f>LEN(data!I37)&lt;=70</f>
        <v>1</v>
      </c>
      <c r="N37" s="4" t="b">
        <f>LEN(data!J37)&gt;0</f>
        <v>0</v>
      </c>
      <c r="O37" s="4" t="b">
        <f>LEN(data!J37)&lt;=140</f>
        <v>1</v>
      </c>
      <c r="P37" s="4" t="b">
        <f>LEN(data!K37)&gt;0</f>
        <v>0</v>
      </c>
      <c r="Q37" s="4" t="b">
        <f>LEN(data!K37)&lt;=35</f>
        <v>1</v>
      </c>
      <c r="R37" s="4" t="b">
        <f>LEN(data!L37)=2</f>
        <v>0</v>
      </c>
      <c r="S37" s="4" t="b">
        <f>LEN(data!M37)&gt;0</f>
        <v>0</v>
      </c>
      <c r="T37" s="4" t="b">
        <f>LEN(data!M37)&lt;=60</f>
        <v>1</v>
      </c>
      <c r="U37" s="4" t="b">
        <f>LEN(data!O37)&gt;0</f>
        <v>0</v>
      </c>
      <c r="V37" s="4" t="b">
        <f>LEN(data!O37)&lt;=70</f>
        <v>1</v>
      </c>
      <c r="W37" s="4" t="b">
        <f>LEN(data!P37)&gt;0</f>
        <v>0</v>
      </c>
      <c r="X37" s="4" t="b">
        <f>LEN(data!P37)&lt;=140</f>
        <v>1</v>
      </c>
      <c r="Y37" s="4" t="b">
        <f>LEN(data!Q37)&gt;0</f>
        <v>0</v>
      </c>
      <c r="Z37" s="4" t="b">
        <f>LEN(data!Q37)&lt;=35</f>
        <v>1</v>
      </c>
      <c r="AA37" s="4" t="b">
        <f>LEN(data!R37)=2</f>
        <v>0</v>
      </c>
      <c r="AB37" s="4" t="b">
        <f>LEN(data!S37)&gt;0</f>
        <v>0</v>
      </c>
      <c r="AC37" s="4" t="b">
        <f>LEN(data!S37)&lt;=120</f>
        <v>1</v>
      </c>
      <c r="AD37" s="4" t="b">
        <f>LEN(data!U37)=11</f>
        <v>0</v>
      </c>
      <c r="AE37" s="4" t="b">
        <f>AND(ISERROR(MATCH(data!V37, rule_mapping!$C$2:$C$325, 0))=FALSE, LEN(data!V37) &lt;= 4)</f>
        <v>0</v>
      </c>
      <c r="AF37" s="4" t="b">
        <f>LEN(data!W37)&gt;0</f>
        <v>0</v>
      </c>
      <c r="AG37" s="4" t="b">
        <f>LEN(data!W37)&lt;=20</f>
        <v>1</v>
      </c>
      <c r="AH37" s="4" t="b">
        <f xml:space="preserve"> IFERROR(ISNUMBER(data!X37), FALSE)</f>
        <v>0</v>
      </c>
      <c r="AI37" s="4" t="b">
        <f>IF(ISERROR(MATCH(data!Y37, rule_mapping!$D$2:$D$252, 0))=FALSE,TRUE, FALSE)</f>
        <v>0</v>
      </c>
      <c r="AJ37" s="4" t="b">
        <f>IFERROR(ISNUMBER(data!Z37), FALSE)</f>
        <v>0</v>
      </c>
      <c r="AK37" s="4" t="b">
        <f>IFERROR(ISNUMBER(data!AA37), FALSE)</f>
        <v>0</v>
      </c>
      <c r="AL37" s="4" t="b">
        <f>LEN(data!AB37)&lt;=90</f>
        <v>1</v>
      </c>
      <c r="AM37" s="4" t="b">
        <f>LEN(data!AC37)&gt;0</f>
        <v>0</v>
      </c>
      <c r="AN37" s="4" t="b">
        <f>LEN(data!AC37)&lt;=2000</f>
        <v>1</v>
      </c>
      <c r="AO37" s="4" t="b">
        <f>IF(LEN(data!AD37)=0,TRUE,IF(LEN(data!AD37)=5,TRUE,FALSE))</f>
        <v>1</v>
      </c>
      <c r="AP37" s="4" t="b">
        <f>LEN(data!AE37)&gt;0</f>
        <v>0</v>
      </c>
      <c r="AQ37" s="4" t="b">
        <f>LEN(data!AE37)=5</f>
        <v>0</v>
      </c>
      <c r="AR37" s="4" t="b">
        <f>ISERROR(MATCH(data!AF37, rule_mapping!$B$2:$B$3, 0))=FALSE</f>
        <v>0</v>
      </c>
      <c r="AS37" s="4" t="b">
        <f>ISERROR(MATCH(data!AG37, rule_mapping!$A$2:$A$8, 0))=FALSE</f>
        <v>0</v>
      </c>
      <c r="AT37" s="4" t="b">
        <f>LEN(data!AH37)&lt;=4</f>
        <v>1</v>
      </c>
      <c r="AU37" s="4" t="b">
        <f>LEN(data!AI37)&lt;=10</f>
        <v>1</v>
      </c>
      <c r="AV37" s="4" t="b">
        <f>LEN(data!AJ37)&lt;=35</f>
        <v>1</v>
      </c>
      <c r="AW37" s="4" t="b">
        <f>LEN(data!AK37)&lt;=20</f>
        <v>1</v>
      </c>
      <c r="AX37"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8" spans="1:50" ht="409.5" x14ac:dyDescent="0.15">
      <c r="A38" s="4" t="b">
        <f>OR(ISBLANK(data!B38), AND(B38:AW38))</f>
        <v>1</v>
      </c>
      <c r="B38" s="4" t="b">
        <f>AND(LEFT(TRIM(data!B38), 4)="OOLU", ISNUMBER(RIGHT(TRIM(data!B38), LEN(TRIM(data!B38))-4)+0))</f>
        <v>0</v>
      </c>
      <c r="C38" s="4" t="b">
        <f>LEN(data!C38)&gt;0</f>
        <v>0</v>
      </c>
      <c r="D38" s="4" t="b">
        <f>LEN(data!C38)&lt;=70</f>
        <v>1</v>
      </c>
      <c r="E38" s="4" t="b">
        <f>LEN(data!D38)&gt;0</f>
        <v>0</v>
      </c>
      <c r="F38" s="4" t="b">
        <f>LEN(data!D38)&lt;=140</f>
        <v>1</v>
      </c>
      <c r="G38" s="4" t="b">
        <f>LEN(data!E38)&gt;0</f>
        <v>0</v>
      </c>
      <c r="H38" s="4" t="b">
        <f>LEN(data!E38)&lt;=35</f>
        <v>1</v>
      </c>
      <c r="I38" s="4" t="b">
        <f>LEN(data!F38)=2</f>
        <v>0</v>
      </c>
      <c r="J38" s="4" t="b">
        <f>LEN(data!G38)&gt;0</f>
        <v>0</v>
      </c>
      <c r="K38" s="4" t="b">
        <f>LEN(data!G38)&lt;=60</f>
        <v>1</v>
      </c>
      <c r="L38" s="4" t="b">
        <f>LEN(data!I38)&gt;0</f>
        <v>0</v>
      </c>
      <c r="M38" s="4" t="b">
        <f>LEN(data!I38)&lt;=70</f>
        <v>1</v>
      </c>
      <c r="N38" s="4" t="b">
        <f>LEN(data!J38)&gt;0</f>
        <v>0</v>
      </c>
      <c r="O38" s="4" t="b">
        <f>LEN(data!J38)&lt;=140</f>
        <v>1</v>
      </c>
      <c r="P38" s="4" t="b">
        <f>LEN(data!K38)&gt;0</f>
        <v>0</v>
      </c>
      <c r="Q38" s="4" t="b">
        <f>LEN(data!K38)&lt;=35</f>
        <v>1</v>
      </c>
      <c r="R38" s="4" t="b">
        <f>LEN(data!L38)=2</f>
        <v>0</v>
      </c>
      <c r="S38" s="4" t="b">
        <f>LEN(data!M38)&gt;0</f>
        <v>0</v>
      </c>
      <c r="T38" s="4" t="b">
        <f>LEN(data!M38)&lt;=60</f>
        <v>1</v>
      </c>
      <c r="U38" s="4" t="b">
        <f>LEN(data!O38)&gt;0</f>
        <v>0</v>
      </c>
      <c r="V38" s="4" t="b">
        <f>LEN(data!O38)&lt;=70</f>
        <v>1</v>
      </c>
      <c r="W38" s="4" t="b">
        <f>LEN(data!P38)&gt;0</f>
        <v>0</v>
      </c>
      <c r="X38" s="4" t="b">
        <f>LEN(data!P38)&lt;=140</f>
        <v>1</v>
      </c>
      <c r="Y38" s="4" t="b">
        <f>LEN(data!Q38)&gt;0</f>
        <v>0</v>
      </c>
      <c r="Z38" s="4" t="b">
        <f>LEN(data!Q38)&lt;=35</f>
        <v>1</v>
      </c>
      <c r="AA38" s="4" t="b">
        <f>LEN(data!R38)=2</f>
        <v>0</v>
      </c>
      <c r="AB38" s="4" t="b">
        <f>LEN(data!S38)&gt;0</f>
        <v>0</v>
      </c>
      <c r="AC38" s="4" t="b">
        <f>LEN(data!S38)&lt;=120</f>
        <v>1</v>
      </c>
      <c r="AD38" s="4" t="b">
        <f>LEN(data!U38)=11</f>
        <v>0</v>
      </c>
      <c r="AE38" s="4" t="b">
        <f>AND(ISERROR(MATCH(data!V38, rule_mapping!$C$2:$C$325, 0))=FALSE, LEN(data!V38) &lt;= 4)</f>
        <v>0</v>
      </c>
      <c r="AF38" s="4" t="b">
        <f>LEN(data!W38)&gt;0</f>
        <v>0</v>
      </c>
      <c r="AG38" s="4" t="b">
        <f>LEN(data!W38)&lt;=20</f>
        <v>1</v>
      </c>
      <c r="AH38" s="4" t="b">
        <f xml:space="preserve"> IFERROR(ISNUMBER(data!X38), FALSE)</f>
        <v>0</v>
      </c>
      <c r="AI38" s="4" t="b">
        <f>IF(ISERROR(MATCH(data!Y38, rule_mapping!$D$2:$D$252, 0))=FALSE,TRUE, FALSE)</f>
        <v>0</v>
      </c>
      <c r="AJ38" s="4" t="b">
        <f>IFERROR(ISNUMBER(data!Z38), FALSE)</f>
        <v>0</v>
      </c>
      <c r="AK38" s="4" t="b">
        <f>IFERROR(ISNUMBER(data!AA38), FALSE)</f>
        <v>0</v>
      </c>
      <c r="AL38" s="4" t="b">
        <f>LEN(data!AB38)&lt;=90</f>
        <v>1</v>
      </c>
      <c r="AM38" s="4" t="b">
        <f>LEN(data!AC38)&gt;0</f>
        <v>0</v>
      </c>
      <c r="AN38" s="4" t="b">
        <f>LEN(data!AC38)&lt;=2000</f>
        <v>1</v>
      </c>
      <c r="AO38" s="4" t="b">
        <f>IF(LEN(data!AD38)=0,TRUE,IF(LEN(data!AD38)=5,TRUE,FALSE))</f>
        <v>1</v>
      </c>
      <c r="AP38" s="4" t="b">
        <f>LEN(data!AE38)&gt;0</f>
        <v>0</v>
      </c>
      <c r="AQ38" s="4" t="b">
        <f>LEN(data!AE38)=5</f>
        <v>0</v>
      </c>
      <c r="AR38" s="4" t="b">
        <f>ISERROR(MATCH(data!AF38, rule_mapping!$B$2:$B$3, 0))=FALSE</f>
        <v>0</v>
      </c>
      <c r="AS38" s="4" t="b">
        <f>ISERROR(MATCH(data!AG38, rule_mapping!$A$2:$A$8, 0))=FALSE</f>
        <v>0</v>
      </c>
      <c r="AT38" s="4" t="b">
        <f>LEN(data!AH38)&lt;=4</f>
        <v>1</v>
      </c>
      <c r="AU38" s="4" t="b">
        <f>LEN(data!AI38)&lt;=10</f>
        <v>1</v>
      </c>
      <c r="AV38" s="4" t="b">
        <f>LEN(data!AJ38)&lt;=35</f>
        <v>1</v>
      </c>
      <c r="AW38" s="4" t="b">
        <f>LEN(data!AK38)&lt;=20</f>
        <v>1</v>
      </c>
      <c r="AX38"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39" spans="1:50" ht="409.5" x14ac:dyDescent="0.15">
      <c r="A39" s="4" t="b">
        <f>OR(ISBLANK(data!B39), AND(B39:AW39))</f>
        <v>1</v>
      </c>
      <c r="B39" s="4" t="b">
        <f>AND(LEFT(TRIM(data!B39), 4)="OOLU", ISNUMBER(RIGHT(TRIM(data!B39), LEN(TRIM(data!B39))-4)+0))</f>
        <v>0</v>
      </c>
      <c r="C39" s="4" t="b">
        <f>LEN(data!C39)&gt;0</f>
        <v>0</v>
      </c>
      <c r="D39" s="4" t="b">
        <f>LEN(data!C39)&lt;=70</f>
        <v>1</v>
      </c>
      <c r="E39" s="4" t="b">
        <f>LEN(data!D39)&gt;0</f>
        <v>0</v>
      </c>
      <c r="F39" s="4" t="b">
        <f>LEN(data!D39)&lt;=140</f>
        <v>1</v>
      </c>
      <c r="G39" s="4" t="b">
        <f>LEN(data!E39)&gt;0</f>
        <v>0</v>
      </c>
      <c r="H39" s="4" t="b">
        <f>LEN(data!E39)&lt;=35</f>
        <v>1</v>
      </c>
      <c r="I39" s="4" t="b">
        <f>LEN(data!F39)=2</f>
        <v>0</v>
      </c>
      <c r="J39" s="4" t="b">
        <f>LEN(data!G39)&gt;0</f>
        <v>0</v>
      </c>
      <c r="K39" s="4" t="b">
        <f>LEN(data!G39)&lt;=60</f>
        <v>1</v>
      </c>
      <c r="L39" s="4" t="b">
        <f>LEN(data!I39)&gt;0</f>
        <v>0</v>
      </c>
      <c r="M39" s="4" t="b">
        <f>LEN(data!I39)&lt;=70</f>
        <v>1</v>
      </c>
      <c r="N39" s="4" t="b">
        <f>LEN(data!J39)&gt;0</f>
        <v>0</v>
      </c>
      <c r="O39" s="4" t="b">
        <f>LEN(data!J39)&lt;=140</f>
        <v>1</v>
      </c>
      <c r="P39" s="4" t="b">
        <f>LEN(data!K39)&gt;0</f>
        <v>0</v>
      </c>
      <c r="Q39" s="4" t="b">
        <f>LEN(data!K39)&lt;=35</f>
        <v>1</v>
      </c>
      <c r="R39" s="4" t="b">
        <f>LEN(data!L39)=2</f>
        <v>0</v>
      </c>
      <c r="S39" s="4" t="b">
        <f>LEN(data!M39)&gt;0</f>
        <v>0</v>
      </c>
      <c r="T39" s="4" t="b">
        <f>LEN(data!M39)&lt;=60</f>
        <v>1</v>
      </c>
      <c r="U39" s="4" t="b">
        <f>LEN(data!O39)&gt;0</f>
        <v>0</v>
      </c>
      <c r="V39" s="4" t="b">
        <f>LEN(data!O39)&lt;=70</f>
        <v>1</v>
      </c>
      <c r="W39" s="4" t="b">
        <f>LEN(data!P39)&gt;0</f>
        <v>0</v>
      </c>
      <c r="X39" s="4" t="b">
        <f>LEN(data!P39)&lt;=140</f>
        <v>1</v>
      </c>
      <c r="Y39" s="4" t="b">
        <f>LEN(data!Q39)&gt;0</f>
        <v>0</v>
      </c>
      <c r="Z39" s="4" t="b">
        <f>LEN(data!Q39)&lt;=35</f>
        <v>1</v>
      </c>
      <c r="AA39" s="4" t="b">
        <f>LEN(data!R39)=2</f>
        <v>0</v>
      </c>
      <c r="AB39" s="4" t="b">
        <f>LEN(data!S39)&gt;0</f>
        <v>0</v>
      </c>
      <c r="AC39" s="4" t="b">
        <f>LEN(data!S39)&lt;=120</f>
        <v>1</v>
      </c>
      <c r="AD39" s="4" t="b">
        <f>LEN(data!U39)=11</f>
        <v>0</v>
      </c>
      <c r="AE39" s="4" t="b">
        <f>AND(ISERROR(MATCH(data!V39, rule_mapping!$C$2:$C$325, 0))=FALSE, LEN(data!V39) &lt;= 4)</f>
        <v>0</v>
      </c>
      <c r="AF39" s="4" t="b">
        <f>LEN(data!W39)&gt;0</f>
        <v>0</v>
      </c>
      <c r="AG39" s="4" t="b">
        <f>LEN(data!W39)&lt;=20</f>
        <v>1</v>
      </c>
      <c r="AH39" s="4" t="b">
        <f xml:space="preserve"> IFERROR(ISNUMBER(data!X39), FALSE)</f>
        <v>0</v>
      </c>
      <c r="AI39" s="4" t="b">
        <f>IF(ISERROR(MATCH(data!Y39, rule_mapping!$D$2:$D$252, 0))=FALSE,TRUE, FALSE)</f>
        <v>0</v>
      </c>
      <c r="AJ39" s="4" t="b">
        <f>IFERROR(ISNUMBER(data!Z39), FALSE)</f>
        <v>0</v>
      </c>
      <c r="AK39" s="4" t="b">
        <f>IFERROR(ISNUMBER(data!AA39), FALSE)</f>
        <v>0</v>
      </c>
      <c r="AL39" s="4" t="b">
        <f>LEN(data!AB39)&lt;=90</f>
        <v>1</v>
      </c>
      <c r="AM39" s="4" t="b">
        <f>LEN(data!AC39)&gt;0</f>
        <v>0</v>
      </c>
      <c r="AN39" s="4" t="b">
        <f>LEN(data!AC39)&lt;=2000</f>
        <v>1</v>
      </c>
      <c r="AO39" s="4" t="b">
        <f>IF(LEN(data!AD39)=0,TRUE,IF(LEN(data!AD39)=5,TRUE,FALSE))</f>
        <v>1</v>
      </c>
      <c r="AP39" s="4" t="b">
        <f>LEN(data!AE39)&gt;0</f>
        <v>0</v>
      </c>
      <c r="AQ39" s="4" t="b">
        <f>LEN(data!AE39)=5</f>
        <v>0</v>
      </c>
      <c r="AR39" s="4" t="b">
        <f>ISERROR(MATCH(data!AF39, rule_mapping!$B$2:$B$3, 0))=FALSE</f>
        <v>0</v>
      </c>
      <c r="AS39" s="4" t="b">
        <f>ISERROR(MATCH(data!AG39, rule_mapping!$A$2:$A$8, 0))=FALSE</f>
        <v>0</v>
      </c>
      <c r="AT39" s="4" t="b">
        <f>LEN(data!AH39)&lt;=4</f>
        <v>1</v>
      </c>
      <c r="AU39" s="4" t="b">
        <f>LEN(data!AI39)&lt;=10</f>
        <v>1</v>
      </c>
      <c r="AV39" s="4" t="b">
        <f>LEN(data!AJ39)&lt;=35</f>
        <v>1</v>
      </c>
      <c r="AW39" s="4" t="b">
        <f>LEN(data!AK39)&lt;=20</f>
        <v>1</v>
      </c>
      <c r="AX39"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0" spans="1:50" ht="409.5" x14ac:dyDescent="0.15">
      <c r="A40" s="4" t="b">
        <f>OR(ISBLANK(data!B40), AND(B40:AW40))</f>
        <v>1</v>
      </c>
      <c r="B40" s="4" t="b">
        <f>AND(LEFT(TRIM(data!B40), 4)="OOLU", ISNUMBER(RIGHT(TRIM(data!B40), LEN(TRIM(data!B40))-4)+0))</f>
        <v>0</v>
      </c>
      <c r="C40" s="4" t="b">
        <f>LEN(data!C40)&gt;0</f>
        <v>0</v>
      </c>
      <c r="D40" s="4" t="b">
        <f>LEN(data!C40)&lt;=70</f>
        <v>1</v>
      </c>
      <c r="E40" s="4" t="b">
        <f>LEN(data!D40)&gt;0</f>
        <v>0</v>
      </c>
      <c r="F40" s="4" t="b">
        <f>LEN(data!D40)&lt;=140</f>
        <v>1</v>
      </c>
      <c r="G40" s="4" t="b">
        <f>LEN(data!E40)&gt;0</f>
        <v>0</v>
      </c>
      <c r="H40" s="4" t="b">
        <f>LEN(data!E40)&lt;=35</f>
        <v>1</v>
      </c>
      <c r="I40" s="4" t="b">
        <f>LEN(data!F40)=2</f>
        <v>0</v>
      </c>
      <c r="J40" s="4" t="b">
        <f>LEN(data!G40)&gt;0</f>
        <v>0</v>
      </c>
      <c r="K40" s="4" t="b">
        <f>LEN(data!G40)&lt;=60</f>
        <v>1</v>
      </c>
      <c r="L40" s="4" t="b">
        <f>LEN(data!I40)&gt;0</f>
        <v>0</v>
      </c>
      <c r="M40" s="4" t="b">
        <f>LEN(data!I40)&lt;=70</f>
        <v>1</v>
      </c>
      <c r="N40" s="4" t="b">
        <f>LEN(data!J40)&gt;0</f>
        <v>0</v>
      </c>
      <c r="O40" s="4" t="b">
        <f>LEN(data!J40)&lt;=140</f>
        <v>1</v>
      </c>
      <c r="P40" s="4" t="b">
        <f>LEN(data!K40)&gt;0</f>
        <v>0</v>
      </c>
      <c r="Q40" s="4" t="b">
        <f>LEN(data!K40)&lt;=35</f>
        <v>1</v>
      </c>
      <c r="R40" s="4" t="b">
        <f>LEN(data!L40)=2</f>
        <v>0</v>
      </c>
      <c r="S40" s="4" t="b">
        <f>LEN(data!M40)&gt;0</f>
        <v>0</v>
      </c>
      <c r="T40" s="4" t="b">
        <f>LEN(data!M40)&lt;=60</f>
        <v>1</v>
      </c>
      <c r="U40" s="4" t="b">
        <f>LEN(data!O40)&gt;0</f>
        <v>0</v>
      </c>
      <c r="V40" s="4" t="b">
        <f>LEN(data!O40)&lt;=70</f>
        <v>1</v>
      </c>
      <c r="W40" s="4" t="b">
        <f>LEN(data!P40)&gt;0</f>
        <v>0</v>
      </c>
      <c r="X40" s="4" t="b">
        <f>LEN(data!P40)&lt;=140</f>
        <v>1</v>
      </c>
      <c r="Y40" s="4" t="b">
        <f>LEN(data!Q40)&gt;0</f>
        <v>0</v>
      </c>
      <c r="Z40" s="4" t="b">
        <f>LEN(data!Q40)&lt;=35</f>
        <v>1</v>
      </c>
      <c r="AA40" s="4" t="b">
        <f>LEN(data!R40)=2</f>
        <v>0</v>
      </c>
      <c r="AB40" s="4" t="b">
        <f>LEN(data!S40)&gt;0</f>
        <v>0</v>
      </c>
      <c r="AC40" s="4" t="b">
        <f>LEN(data!S40)&lt;=120</f>
        <v>1</v>
      </c>
      <c r="AD40" s="4" t="b">
        <f>LEN(data!U40)=11</f>
        <v>0</v>
      </c>
      <c r="AE40" s="4" t="b">
        <f>AND(ISERROR(MATCH(data!V40, rule_mapping!$C$2:$C$325, 0))=FALSE, LEN(data!V40) &lt;= 4)</f>
        <v>0</v>
      </c>
      <c r="AF40" s="4" t="b">
        <f>LEN(data!W40)&gt;0</f>
        <v>0</v>
      </c>
      <c r="AG40" s="4" t="b">
        <f>LEN(data!W40)&lt;=20</f>
        <v>1</v>
      </c>
      <c r="AH40" s="4" t="b">
        <f xml:space="preserve"> IFERROR(ISNUMBER(data!X40), FALSE)</f>
        <v>0</v>
      </c>
      <c r="AI40" s="4" t="b">
        <f>IF(ISERROR(MATCH(data!Y40, rule_mapping!$D$2:$D$252, 0))=FALSE,TRUE, FALSE)</f>
        <v>0</v>
      </c>
      <c r="AJ40" s="4" t="b">
        <f>IFERROR(ISNUMBER(data!Z40), FALSE)</f>
        <v>0</v>
      </c>
      <c r="AK40" s="4" t="b">
        <f>IFERROR(ISNUMBER(data!AA40), FALSE)</f>
        <v>0</v>
      </c>
      <c r="AL40" s="4" t="b">
        <f>LEN(data!AB40)&lt;=90</f>
        <v>1</v>
      </c>
      <c r="AM40" s="4" t="b">
        <f>LEN(data!AC40)&gt;0</f>
        <v>0</v>
      </c>
      <c r="AN40" s="4" t="b">
        <f>LEN(data!AC40)&lt;=2000</f>
        <v>1</v>
      </c>
      <c r="AO40" s="4" t="b">
        <f>IF(LEN(data!AD40)=0,TRUE,IF(LEN(data!AD40)=5,TRUE,FALSE))</f>
        <v>1</v>
      </c>
      <c r="AP40" s="4" t="b">
        <f>LEN(data!AE40)&gt;0</f>
        <v>0</v>
      </c>
      <c r="AQ40" s="4" t="b">
        <f>LEN(data!AE40)=5</f>
        <v>0</v>
      </c>
      <c r="AR40" s="4" t="b">
        <f>ISERROR(MATCH(data!AF40, rule_mapping!$B$2:$B$3, 0))=FALSE</f>
        <v>0</v>
      </c>
      <c r="AS40" s="4" t="b">
        <f>ISERROR(MATCH(data!AG40, rule_mapping!$A$2:$A$8, 0))=FALSE</f>
        <v>0</v>
      </c>
      <c r="AT40" s="4" t="b">
        <f>LEN(data!AH40)&lt;=4</f>
        <v>1</v>
      </c>
      <c r="AU40" s="4" t="b">
        <f>LEN(data!AI40)&lt;=10</f>
        <v>1</v>
      </c>
      <c r="AV40" s="4" t="b">
        <f>LEN(data!AJ40)&lt;=35</f>
        <v>1</v>
      </c>
      <c r="AW40" s="4" t="b">
        <f>LEN(data!AK40)&lt;=20</f>
        <v>1</v>
      </c>
      <c r="AX40"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1" spans="1:50" ht="409.5" x14ac:dyDescent="0.15">
      <c r="A41" s="4" t="b">
        <f>OR(ISBLANK(data!B41), AND(B41:AW41))</f>
        <v>1</v>
      </c>
      <c r="B41" s="4" t="b">
        <f>AND(LEFT(TRIM(data!B41), 4)="OOLU", ISNUMBER(RIGHT(TRIM(data!B41), LEN(TRIM(data!B41))-4)+0))</f>
        <v>0</v>
      </c>
      <c r="C41" s="4" t="b">
        <f>LEN(data!C41)&gt;0</f>
        <v>0</v>
      </c>
      <c r="D41" s="4" t="b">
        <f>LEN(data!C41)&lt;=70</f>
        <v>1</v>
      </c>
      <c r="E41" s="4" t="b">
        <f>LEN(data!D41)&gt;0</f>
        <v>0</v>
      </c>
      <c r="F41" s="4" t="b">
        <f>LEN(data!D41)&lt;=140</f>
        <v>1</v>
      </c>
      <c r="G41" s="4" t="b">
        <f>LEN(data!E41)&gt;0</f>
        <v>0</v>
      </c>
      <c r="H41" s="4" t="b">
        <f>LEN(data!E41)&lt;=35</f>
        <v>1</v>
      </c>
      <c r="I41" s="4" t="b">
        <f>LEN(data!F41)=2</f>
        <v>0</v>
      </c>
      <c r="J41" s="4" t="b">
        <f>LEN(data!G41)&gt;0</f>
        <v>0</v>
      </c>
      <c r="K41" s="4" t="b">
        <f>LEN(data!G41)&lt;=60</f>
        <v>1</v>
      </c>
      <c r="L41" s="4" t="b">
        <f>LEN(data!I41)&gt;0</f>
        <v>0</v>
      </c>
      <c r="M41" s="4" t="b">
        <f>LEN(data!I41)&lt;=70</f>
        <v>1</v>
      </c>
      <c r="N41" s="4" t="b">
        <f>LEN(data!J41)&gt;0</f>
        <v>0</v>
      </c>
      <c r="O41" s="4" t="b">
        <f>LEN(data!J41)&lt;=140</f>
        <v>1</v>
      </c>
      <c r="P41" s="4" t="b">
        <f>LEN(data!K41)&gt;0</f>
        <v>0</v>
      </c>
      <c r="Q41" s="4" t="b">
        <f>LEN(data!K41)&lt;=35</f>
        <v>1</v>
      </c>
      <c r="R41" s="4" t="b">
        <f>LEN(data!L41)=2</f>
        <v>0</v>
      </c>
      <c r="S41" s="4" t="b">
        <f>LEN(data!M41)&gt;0</f>
        <v>0</v>
      </c>
      <c r="T41" s="4" t="b">
        <f>LEN(data!M41)&lt;=60</f>
        <v>1</v>
      </c>
      <c r="U41" s="4" t="b">
        <f>LEN(data!O41)&gt;0</f>
        <v>0</v>
      </c>
      <c r="V41" s="4" t="b">
        <f>LEN(data!O41)&lt;=70</f>
        <v>1</v>
      </c>
      <c r="W41" s="4" t="b">
        <f>LEN(data!P41)&gt;0</f>
        <v>0</v>
      </c>
      <c r="X41" s="4" t="b">
        <f>LEN(data!P41)&lt;=140</f>
        <v>1</v>
      </c>
      <c r="Y41" s="4" t="b">
        <f>LEN(data!Q41)&gt;0</f>
        <v>0</v>
      </c>
      <c r="Z41" s="4" t="b">
        <f>LEN(data!Q41)&lt;=35</f>
        <v>1</v>
      </c>
      <c r="AA41" s="4" t="b">
        <f>LEN(data!R41)=2</f>
        <v>0</v>
      </c>
      <c r="AB41" s="4" t="b">
        <f>LEN(data!S41)&gt;0</f>
        <v>0</v>
      </c>
      <c r="AC41" s="4" t="b">
        <f>LEN(data!S41)&lt;=120</f>
        <v>1</v>
      </c>
      <c r="AD41" s="4" t="b">
        <f>LEN(data!U41)=11</f>
        <v>0</v>
      </c>
      <c r="AE41" s="4" t="b">
        <f>AND(ISERROR(MATCH(data!V41, rule_mapping!$C$2:$C$325, 0))=FALSE, LEN(data!V41) &lt;= 4)</f>
        <v>0</v>
      </c>
      <c r="AF41" s="4" t="b">
        <f>LEN(data!W41)&gt;0</f>
        <v>0</v>
      </c>
      <c r="AG41" s="4" t="b">
        <f>LEN(data!W41)&lt;=20</f>
        <v>1</v>
      </c>
      <c r="AH41" s="4" t="b">
        <f xml:space="preserve"> IFERROR(ISNUMBER(data!X41), FALSE)</f>
        <v>0</v>
      </c>
      <c r="AI41" s="4" t="b">
        <f>IF(ISERROR(MATCH(data!Y41, rule_mapping!$D$2:$D$252, 0))=FALSE,TRUE, FALSE)</f>
        <v>0</v>
      </c>
      <c r="AJ41" s="4" t="b">
        <f>IFERROR(ISNUMBER(data!Z41), FALSE)</f>
        <v>0</v>
      </c>
      <c r="AK41" s="4" t="b">
        <f>IFERROR(ISNUMBER(data!AA41), FALSE)</f>
        <v>0</v>
      </c>
      <c r="AL41" s="4" t="b">
        <f>LEN(data!AB41)&lt;=90</f>
        <v>1</v>
      </c>
      <c r="AM41" s="4" t="b">
        <f>LEN(data!AC41)&gt;0</f>
        <v>0</v>
      </c>
      <c r="AN41" s="4" t="b">
        <f>LEN(data!AC41)&lt;=2000</f>
        <v>1</v>
      </c>
      <c r="AO41" s="4" t="b">
        <f>IF(LEN(data!AD41)=0,TRUE,IF(LEN(data!AD41)=5,TRUE,FALSE))</f>
        <v>1</v>
      </c>
      <c r="AP41" s="4" t="b">
        <f>LEN(data!AE41)&gt;0</f>
        <v>0</v>
      </c>
      <c r="AQ41" s="4" t="b">
        <f>LEN(data!AE41)=5</f>
        <v>0</v>
      </c>
      <c r="AR41" s="4" t="b">
        <f>ISERROR(MATCH(data!AF41, rule_mapping!$B$2:$B$3, 0))=FALSE</f>
        <v>0</v>
      </c>
      <c r="AS41" s="4" t="b">
        <f>ISERROR(MATCH(data!AG41, rule_mapping!$A$2:$A$8, 0))=FALSE</f>
        <v>0</v>
      </c>
      <c r="AT41" s="4" t="b">
        <f>LEN(data!AH41)&lt;=4</f>
        <v>1</v>
      </c>
      <c r="AU41" s="4" t="b">
        <f>LEN(data!AI41)&lt;=10</f>
        <v>1</v>
      </c>
      <c r="AV41" s="4" t="b">
        <f>LEN(data!AJ41)&lt;=35</f>
        <v>1</v>
      </c>
      <c r="AW41" s="4" t="b">
        <f>LEN(data!AK41)&lt;=20</f>
        <v>1</v>
      </c>
      <c r="AX41"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2" spans="1:50" ht="409.5" x14ac:dyDescent="0.15">
      <c r="A42" s="4" t="b">
        <f>OR(ISBLANK(data!B42), AND(B42:AW42))</f>
        <v>1</v>
      </c>
      <c r="B42" s="4" t="b">
        <f>AND(LEFT(TRIM(data!B42), 4)="OOLU", ISNUMBER(RIGHT(TRIM(data!B42), LEN(TRIM(data!B42))-4)+0))</f>
        <v>0</v>
      </c>
      <c r="C42" s="4" t="b">
        <f>LEN(data!C42)&gt;0</f>
        <v>0</v>
      </c>
      <c r="D42" s="4" t="b">
        <f>LEN(data!C42)&lt;=70</f>
        <v>1</v>
      </c>
      <c r="E42" s="4" t="b">
        <f>LEN(data!D42)&gt;0</f>
        <v>0</v>
      </c>
      <c r="F42" s="4" t="b">
        <f>LEN(data!D42)&lt;=140</f>
        <v>1</v>
      </c>
      <c r="G42" s="4" t="b">
        <f>LEN(data!E42)&gt;0</f>
        <v>0</v>
      </c>
      <c r="H42" s="4" t="b">
        <f>LEN(data!E42)&lt;=35</f>
        <v>1</v>
      </c>
      <c r="I42" s="4" t="b">
        <f>LEN(data!F42)=2</f>
        <v>0</v>
      </c>
      <c r="J42" s="4" t="b">
        <f>LEN(data!G42)&gt;0</f>
        <v>0</v>
      </c>
      <c r="K42" s="4" t="b">
        <f>LEN(data!G42)&lt;=60</f>
        <v>1</v>
      </c>
      <c r="L42" s="4" t="b">
        <f>LEN(data!I42)&gt;0</f>
        <v>0</v>
      </c>
      <c r="M42" s="4" t="b">
        <f>LEN(data!I42)&lt;=70</f>
        <v>1</v>
      </c>
      <c r="N42" s="4" t="b">
        <f>LEN(data!J42)&gt;0</f>
        <v>0</v>
      </c>
      <c r="O42" s="4" t="b">
        <f>LEN(data!J42)&lt;=140</f>
        <v>1</v>
      </c>
      <c r="P42" s="4" t="b">
        <f>LEN(data!K42)&gt;0</f>
        <v>0</v>
      </c>
      <c r="Q42" s="4" t="b">
        <f>LEN(data!K42)&lt;=35</f>
        <v>1</v>
      </c>
      <c r="R42" s="4" t="b">
        <f>LEN(data!L42)=2</f>
        <v>0</v>
      </c>
      <c r="S42" s="4" t="b">
        <f>LEN(data!M42)&gt;0</f>
        <v>0</v>
      </c>
      <c r="T42" s="4" t="b">
        <f>LEN(data!M42)&lt;=60</f>
        <v>1</v>
      </c>
      <c r="U42" s="4" t="b">
        <f>LEN(data!O42)&gt;0</f>
        <v>0</v>
      </c>
      <c r="V42" s="4" t="b">
        <f>LEN(data!O42)&lt;=70</f>
        <v>1</v>
      </c>
      <c r="W42" s="4" t="b">
        <f>LEN(data!P42)&gt;0</f>
        <v>0</v>
      </c>
      <c r="X42" s="4" t="b">
        <f>LEN(data!P42)&lt;=140</f>
        <v>1</v>
      </c>
      <c r="Y42" s="4" t="b">
        <f>LEN(data!Q42)&gt;0</f>
        <v>0</v>
      </c>
      <c r="Z42" s="4" t="b">
        <f>LEN(data!Q42)&lt;=35</f>
        <v>1</v>
      </c>
      <c r="AA42" s="4" t="b">
        <f>LEN(data!R42)=2</f>
        <v>0</v>
      </c>
      <c r="AB42" s="4" t="b">
        <f>LEN(data!S42)&gt;0</f>
        <v>0</v>
      </c>
      <c r="AC42" s="4" t="b">
        <f>LEN(data!S42)&lt;=120</f>
        <v>1</v>
      </c>
      <c r="AD42" s="4" t="b">
        <f>LEN(data!U42)=11</f>
        <v>0</v>
      </c>
      <c r="AE42" s="4" t="b">
        <f>AND(ISERROR(MATCH(data!V42, rule_mapping!$C$2:$C$325, 0))=FALSE, LEN(data!V42) &lt;= 4)</f>
        <v>0</v>
      </c>
      <c r="AF42" s="4" t="b">
        <f>LEN(data!W42)&gt;0</f>
        <v>0</v>
      </c>
      <c r="AG42" s="4" t="b">
        <f>LEN(data!W42)&lt;=20</f>
        <v>1</v>
      </c>
      <c r="AH42" s="4" t="b">
        <f xml:space="preserve"> IFERROR(ISNUMBER(data!X42), FALSE)</f>
        <v>0</v>
      </c>
      <c r="AI42" s="4" t="b">
        <f>IF(ISERROR(MATCH(data!Y42, rule_mapping!$D$2:$D$252, 0))=FALSE,TRUE, FALSE)</f>
        <v>0</v>
      </c>
      <c r="AJ42" s="4" t="b">
        <f>IFERROR(ISNUMBER(data!Z42), FALSE)</f>
        <v>0</v>
      </c>
      <c r="AK42" s="4" t="b">
        <f>IFERROR(ISNUMBER(data!AA42), FALSE)</f>
        <v>0</v>
      </c>
      <c r="AL42" s="4" t="b">
        <f>LEN(data!AB42)&lt;=90</f>
        <v>1</v>
      </c>
      <c r="AM42" s="4" t="b">
        <f>LEN(data!AC42)&gt;0</f>
        <v>0</v>
      </c>
      <c r="AN42" s="4" t="b">
        <f>LEN(data!AC42)&lt;=2000</f>
        <v>1</v>
      </c>
      <c r="AO42" s="4" t="b">
        <f>IF(LEN(data!AD42)=0,TRUE,IF(LEN(data!AD42)=5,TRUE,FALSE))</f>
        <v>1</v>
      </c>
      <c r="AP42" s="4" t="b">
        <f>LEN(data!AE42)&gt;0</f>
        <v>0</v>
      </c>
      <c r="AQ42" s="4" t="b">
        <f>LEN(data!AE42)=5</f>
        <v>0</v>
      </c>
      <c r="AR42" s="4" t="b">
        <f>ISERROR(MATCH(data!AF42, rule_mapping!$B$2:$B$3, 0))=FALSE</f>
        <v>0</v>
      </c>
      <c r="AS42" s="4" t="b">
        <f>ISERROR(MATCH(data!AG42, rule_mapping!$A$2:$A$8, 0))=FALSE</f>
        <v>0</v>
      </c>
      <c r="AT42" s="4" t="b">
        <f>LEN(data!AH42)&lt;=4</f>
        <v>1</v>
      </c>
      <c r="AU42" s="4" t="b">
        <f>LEN(data!AI42)&lt;=10</f>
        <v>1</v>
      </c>
      <c r="AV42" s="4" t="b">
        <f>LEN(data!AJ42)&lt;=35</f>
        <v>1</v>
      </c>
      <c r="AW42" s="4" t="b">
        <f>LEN(data!AK42)&lt;=20</f>
        <v>1</v>
      </c>
      <c r="AX42"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3" spans="1:50" ht="409.5" x14ac:dyDescent="0.15">
      <c r="A43" s="4" t="b">
        <f>OR(ISBLANK(data!B43), AND(B43:AW43))</f>
        <v>1</v>
      </c>
      <c r="B43" s="4" t="b">
        <f>AND(LEFT(TRIM(data!B43), 4)="OOLU", ISNUMBER(RIGHT(TRIM(data!B43), LEN(TRIM(data!B43))-4)+0))</f>
        <v>0</v>
      </c>
      <c r="C43" s="4" t="b">
        <f>LEN(data!C43)&gt;0</f>
        <v>0</v>
      </c>
      <c r="D43" s="4" t="b">
        <f>LEN(data!C43)&lt;=70</f>
        <v>1</v>
      </c>
      <c r="E43" s="4" t="b">
        <f>LEN(data!D43)&gt;0</f>
        <v>0</v>
      </c>
      <c r="F43" s="4" t="b">
        <f>LEN(data!D43)&lt;=140</f>
        <v>1</v>
      </c>
      <c r="G43" s="4" t="b">
        <f>LEN(data!E43)&gt;0</f>
        <v>0</v>
      </c>
      <c r="H43" s="4" t="b">
        <f>LEN(data!E43)&lt;=35</f>
        <v>1</v>
      </c>
      <c r="I43" s="4" t="b">
        <f>LEN(data!F43)=2</f>
        <v>0</v>
      </c>
      <c r="J43" s="4" t="b">
        <f>LEN(data!G43)&gt;0</f>
        <v>0</v>
      </c>
      <c r="K43" s="4" t="b">
        <f>LEN(data!G43)&lt;=60</f>
        <v>1</v>
      </c>
      <c r="L43" s="4" t="b">
        <f>LEN(data!I43)&gt;0</f>
        <v>0</v>
      </c>
      <c r="M43" s="4" t="b">
        <f>LEN(data!I43)&lt;=70</f>
        <v>1</v>
      </c>
      <c r="N43" s="4" t="b">
        <f>LEN(data!J43)&gt;0</f>
        <v>0</v>
      </c>
      <c r="O43" s="4" t="b">
        <f>LEN(data!J43)&lt;=140</f>
        <v>1</v>
      </c>
      <c r="P43" s="4" t="b">
        <f>LEN(data!K43)&gt;0</f>
        <v>0</v>
      </c>
      <c r="Q43" s="4" t="b">
        <f>LEN(data!K43)&lt;=35</f>
        <v>1</v>
      </c>
      <c r="R43" s="4" t="b">
        <f>LEN(data!L43)=2</f>
        <v>0</v>
      </c>
      <c r="S43" s="4" t="b">
        <f>LEN(data!M43)&gt;0</f>
        <v>0</v>
      </c>
      <c r="T43" s="4" t="b">
        <f>LEN(data!M43)&lt;=60</f>
        <v>1</v>
      </c>
      <c r="U43" s="4" t="b">
        <f>LEN(data!O43)&gt;0</f>
        <v>0</v>
      </c>
      <c r="V43" s="4" t="b">
        <f>LEN(data!O43)&lt;=70</f>
        <v>1</v>
      </c>
      <c r="W43" s="4" t="b">
        <f>LEN(data!P43)&gt;0</f>
        <v>0</v>
      </c>
      <c r="X43" s="4" t="b">
        <f>LEN(data!P43)&lt;=140</f>
        <v>1</v>
      </c>
      <c r="Y43" s="4" t="b">
        <f>LEN(data!Q43)&gt;0</f>
        <v>0</v>
      </c>
      <c r="Z43" s="4" t="b">
        <f>LEN(data!Q43)&lt;=35</f>
        <v>1</v>
      </c>
      <c r="AA43" s="4" t="b">
        <f>LEN(data!R43)=2</f>
        <v>0</v>
      </c>
      <c r="AB43" s="4" t="b">
        <f>LEN(data!S43)&gt;0</f>
        <v>0</v>
      </c>
      <c r="AC43" s="4" t="b">
        <f>LEN(data!S43)&lt;=120</f>
        <v>1</v>
      </c>
      <c r="AD43" s="4" t="b">
        <f>LEN(data!U43)=11</f>
        <v>0</v>
      </c>
      <c r="AE43" s="4" t="b">
        <f>AND(ISERROR(MATCH(data!V43, rule_mapping!$C$2:$C$325, 0))=FALSE, LEN(data!V43) &lt;= 4)</f>
        <v>0</v>
      </c>
      <c r="AF43" s="4" t="b">
        <f>LEN(data!W43)&gt;0</f>
        <v>0</v>
      </c>
      <c r="AG43" s="4" t="b">
        <f>LEN(data!W43)&lt;=20</f>
        <v>1</v>
      </c>
      <c r="AH43" s="4" t="b">
        <f xml:space="preserve"> IFERROR(ISNUMBER(data!X43), FALSE)</f>
        <v>0</v>
      </c>
      <c r="AI43" s="4" t="b">
        <f>IF(ISERROR(MATCH(data!Y43, rule_mapping!$D$2:$D$252, 0))=FALSE,TRUE, FALSE)</f>
        <v>0</v>
      </c>
      <c r="AJ43" s="4" t="b">
        <f>IFERROR(ISNUMBER(data!Z43), FALSE)</f>
        <v>0</v>
      </c>
      <c r="AK43" s="4" t="b">
        <f>IFERROR(ISNUMBER(data!AA43), FALSE)</f>
        <v>0</v>
      </c>
      <c r="AL43" s="4" t="b">
        <f>LEN(data!AB43)&lt;=90</f>
        <v>1</v>
      </c>
      <c r="AM43" s="4" t="b">
        <f>LEN(data!AC43)&gt;0</f>
        <v>0</v>
      </c>
      <c r="AN43" s="4" t="b">
        <f>LEN(data!AC43)&lt;=2000</f>
        <v>1</v>
      </c>
      <c r="AO43" s="4" t="b">
        <f>IF(LEN(data!AD43)=0,TRUE,IF(LEN(data!AD43)=5,TRUE,FALSE))</f>
        <v>1</v>
      </c>
      <c r="AP43" s="4" t="b">
        <f>LEN(data!AE43)&gt;0</f>
        <v>0</v>
      </c>
      <c r="AQ43" s="4" t="b">
        <f>LEN(data!AE43)=5</f>
        <v>0</v>
      </c>
      <c r="AR43" s="4" t="b">
        <f>ISERROR(MATCH(data!AF43, rule_mapping!$B$2:$B$3, 0))=FALSE</f>
        <v>0</v>
      </c>
      <c r="AS43" s="4" t="b">
        <f>ISERROR(MATCH(data!AG43, rule_mapping!$A$2:$A$8, 0))=FALSE</f>
        <v>0</v>
      </c>
      <c r="AT43" s="4" t="b">
        <f>LEN(data!AH43)&lt;=4</f>
        <v>1</v>
      </c>
      <c r="AU43" s="4" t="b">
        <f>LEN(data!AI43)&lt;=10</f>
        <v>1</v>
      </c>
      <c r="AV43" s="4" t="b">
        <f>LEN(data!AJ43)&lt;=35</f>
        <v>1</v>
      </c>
      <c r="AW43" s="4" t="b">
        <f>LEN(data!AK43)&lt;=20</f>
        <v>1</v>
      </c>
      <c r="AX43"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4" spans="1:50" ht="409.5" x14ac:dyDescent="0.15">
      <c r="A44" s="4" t="b">
        <f>OR(ISBLANK(data!B44), AND(B44:AW44))</f>
        <v>1</v>
      </c>
      <c r="B44" s="4" t="b">
        <f>AND(LEFT(TRIM(data!B44), 4)="OOLU", ISNUMBER(RIGHT(TRIM(data!B44), LEN(TRIM(data!B44))-4)+0))</f>
        <v>0</v>
      </c>
      <c r="C44" s="4" t="b">
        <f>LEN(data!C44)&gt;0</f>
        <v>0</v>
      </c>
      <c r="D44" s="4" t="b">
        <f>LEN(data!C44)&lt;=70</f>
        <v>1</v>
      </c>
      <c r="E44" s="4" t="b">
        <f>LEN(data!D44)&gt;0</f>
        <v>0</v>
      </c>
      <c r="F44" s="4" t="b">
        <f>LEN(data!D44)&lt;=140</f>
        <v>1</v>
      </c>
      <c r="G44" s="4" t="b">
        <f>LEN(data!E44)&gt;0</f>
        <v>0</v>
      </c>
      <c r="H44" s="4" t="b">
        <f>LEN(data!E44)&lt;=35</f>
        <v>1</v>
      </c>
      <c r="I44" s="4" t="b">
        <f>LEN(data!F44)=2</f>
        <v>0</v>
      </c>
      <c r="J44" s="4" t="b">
        <f>LEN(data!G44)&gt;0</f>
        <v>0</v>
      </c>
      <c r="K44" s="4" t="b">
        <f>LEN(data!G44)&lt;=60</f>
        <v>1</v>
      </c>
      <c r="L44" s="4" t="b">
        <f>LEN(data!I44)&gt;0</f>
        <v>0</v>
      </c>
      <c r="M44" s="4" t="b">
        <f>LEN(data!I44)&lt;=70</f>
        <v>1</v>
      </c>
      <c r="N44" s="4" t="b">
        <f>LEN(data!J44)&gt;0</f>
        <v>0</v>
      </c>
      <c r="O44" s="4" t="b">
        <f>LEN(data!J44)&lt;=140</f>
        <v>1</v>
      </c>
      <c r="P44" s="4" t="b">
        <f>LEN(data!K44)&gt;0</f>
        <v>0</v>
      </c>
      <c r="Q44" s="4" t="b">
        <f>LEN(data!K44)&lt;=35</f>
        <v>1</v>
      </c>
      <c r="R44" s="4" t="b">
        <f>LEN(data!L44)=2</f>
        <v>0</v>
      </c>
      <c r="S44" s="4" t="b">
        <f>LEN(data!M44)&gt;0</f>
        <v>0</v>
      </c>
      <c r="T44" s="4" t="b">
        <f>LEN(data!M44)&lt;=60</f>
        <v>1</v>
      </c>
      <c r="U44" s="4" t="b">
        <f>LEN(data!O44)&gt;0</f>
        <v>0</v>
      </c>
      <c r="V44" s="4" t="b">
        <f>LEN(data!O44)&lt;=70</f>
        <v>1</v>
      </c>
      <c r="W44" s="4" t="b">
        <f>LEN(data!P44)&gt;0</f>
        <v>0</v>
      </c>
      <c r="X44" s="4" t="b">
        <f>LEN(data!P44)&lt;=140</f>
        <v>1</v>
      </c>
      <c r="Y44" s="4" t="b">
        <f>LEN(data!Q44)&gt;0</f>
        <v>0</v>
      </c>
      <c r="Z44" s="4" t="b">
        <f>LEN(data!Q44)&lt;=35</f>
        <v>1</v>
      </c>
      <c r="AA44" s="4" t="b">
        <f>LEN(data!R44)=2</f>
        <v>0</v>
      </c>
      <c r="AB44" s="4" t="b">
        <f>LEN(data!S44)&gt;0</f>
        <v>0</v>
      </c>
      <c r="AC44" s="4" t="b">
        <f>LEN(data!S44)&lt;=120</f>
        <v>1</v>
      </c>
      <c r="AD44" s="4" t="b">
        <f>LEN(data!U44)=11</f>
        <v>0</v>
      </c>
      <c r="AE44" s="4" t="b">
        <f>AND(ISERROR(MATCH(data!V44, rule_mapping!$C$2:$C$325, 0))=FALSE, LEN(data!V44) &lt;= 4)</f>
        <v>0</v>
      </c>
      <c r="AF44" s="4" t="b">
        <f>LEN(data!W44)&gt;0</f>
        <v>0</v>
      </c>
      <c r="AG44" s="4" t="b">
        <f>LEN(data!W44)&lt;=20</f>
        <v>1</v>
      </c>
      <c r="AH44" s="4" t="b">
        <f xml:space="preserve"> IFERROR(ISNUMBER(data!X44), FALSE)</f>
        <v>0</v>
      </c>
      <c r="AI44" s="4" t="b">
        <f>IF(ISERROR(MATCH(data!Y44, rule_mapping!$D$2:$D$252, 0))=FALSE,TRUE, FALSE)</f>
        <v>0</v>
      </c>
      <c r="AJ44" s="4" t="b">
        <f>IFERROR(ISNUMBER(data!Z44), FALSE)</f>
        <v>0</v>
      </c>
      <c r="AK44" s="4" t="b">
        <f>IFERROR(ISNUMBER(data!AA44), FALSE)</f>
        <v>0</v>
      </c>
      <c r="AL44" s="4" t="b">
        <f>LEN(data!AB44)&lt;=90</f>
        <v>1</v>
      </c>
      <c r="AM44" s="4" t="b">
        <f>LEN(data!AC44)&gt;0</f>
        <v>0</v>
      </c>
      <c r="AN44" s="4" t="b">
        <f>LEN(data!AC44)&lt;=2000</f>
        <v>1</v>
      </c>
      <c r="AO44" s="4" t="b">
        <f>IF(LEN(data!AD44)=0,TRUE,IF(LEN(data!AD44)=5,TRUE,FALSE))</f>
        <v>1</v>
      </c>
      <c r="AP44" s="4" t="b">
        <f>LEN(data!AE44)&gt;0</f>
        <v>0</v>
      </c>
      <c r="AQ44" s="4" t="b">
        <f>LEN(data!AE44)=5</f>
        <v>0</v>
      </c>
      <c r="AR44" s="4" t="b">
        <f>ISERROR(MATCH(data!AF44, rule_mapping!$B$2:$B$3, 0))=FALSE</f>
        <v>0</v>
      </c>
      <c r="AS44" s="4" t="b">
        <f>ISERROR(MATCH(data!AG44, rule_mapping!$A$2:$A$8, 0))=FALSE</f>
        <v>0</v>
      </c>
      <c r="AT44" s="4" t="b">
        <f>LEN(data!AH44)&lt;=4</f>
        <v>1</v>
      </c>
      <c r="AU44" s="4" t="b">
        <f>LEN(data!AI44)&lt;=10</f>
        <v>1</v>
      </c>
      <c r="AV44" s="4" t="b">
        <f>LEN(data!AJ44)&lt;=35</f>
        <v>1</v>
      </c>
      <c r="AW44" s="4" t="b">
        <f>LEN(data!AK44)&lt;=20</f>
        <v>1</v>
      </c>
      <c r="AX44"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5" spans="1:50" ht="409.5" x14ac:dyDescent="0.15">
      <c r="A45" s="4" t="b">
        <f>OR(ISBLANK(data!B45), AND(B45:AW45))</f>
        <v>1</v>
      </c>
      <c r="B45" s="4" t="b">
        <f>AND(LEFT(TRIM(data!B45), 4)="OOLU", ISNUMBER(RIGHT(TRIM(data!B45), LEN(TRIM(data!B45))-4)+0))</f>
        <v>0</v>
      </c>
      <c r="C45" s="4" t="b">
        <f>LEN(data!C45)&gt;0</f>
        <v>0</v>
      </c>
      <c r="D45" s="4" t="b">
        <f>LEN(data!C45)&lt;=70</f>
        <v>1</v>
      </c>
      <c r="E45" s="4" t="b">
        <f>LEN(data!D45)&gt;0</f>
        <v>0</v>
      </c>
      <c r="F45" s="4" t="b">
        <f>LEN(data!D45)&lt;=140</f>
        <v>1</v>
      </c>
      <c r="G45" s="4" t="b">
        <f>LEN(data!E45)&gt;0</f>
        <v>0</v>
      </c>
      <c r="H45" s="4" t="b">
        <f>LEN(data!E45)&lt;=35</f>
        <v>1</v>
      </c>
      <c r="I45" s="4" t="b">
        <f>LEN(data!F45)=2</f>
        <v>0</v>
      </c>
      <c r="J45" s="4" t="b">
        <f>LEN(data!G45)&gt;0</f>
        <v>0</v>
      </c>
      <c r="K45" s="4" t="b">
        <f>LEN(data!G45)&lt;=60</f>
        <v>1</v>
      </c>
      <c r="L45" s="4" t="b">
        <f>LEN(data!I45)&gt;0</f>
        <v>0</v>
      </c>
      <c r="M45" s="4" t="b">
        <f>LEN(data!I45)&lt;=70</f>
        <v>1</v>
      </c>
      <c r="N45" s="4" t="b">
        <f>LEN(data!J45)&gt;0</f>
        <v>0</v>
      </c>
      <c r="O45" s="4" t="b">
        <f>LEN(data!J45)&lt;=140</f>
        <v>1</v>
      </c>
      <c r="P45" s="4" t="b">
        <f>LEN(data!K45)&gt;0</f>
        <v>0</v>
      </c>
      <c r="Q45" s="4" t="b">
        <f>LEN(data!K45)&lt;=35</f>
        <v>1</v>
      </c>
      <c r="R45" s="4" t="b">
        <f>LEN(data!L45)=2</f>
        <v>0</v>
      </c>
      <c r="S45" s="4" t="b">
        <f>LEN(data!M45)&gt;0</f>
        <v>0</v>
      </c>
      <c r="T45" s="4" t="b">
        <f>LEN(data!M45)&lt;=60</f>
        <v>1</v>
      </c>
      <c r="U45" s="4" t="b">
        <f>LEN(data!O45)&gt;0</f>
        <v>0</v>
      </c>
      <c r="V45" s="4" t="b">
        <f>LEN(data!O45)&lt;=70</f>
        <v>1</v>
      </c>
      <c r="W45" s="4" t="b">
        <f>LEN(data!P45)&gt;0</f>
        <v>0</v>
      </c>
      <c r="X45" s="4" t="b">
        <f>LEN(data!P45)&lt;=140</f>
        <v>1</v>
      </c>
      <c r="Y45" s="4" t="b">
        <f>LEN(data!Q45)&gt;0</f>
        <v>0</v>
      </c>
      <c r="Z45" s="4" t="b">
        <f>LEN(data!Q45)&lt;=35</f>
        <v>1</v>
      </c>
      <c r="AA45" s="4" t="b">
        <f>LEN(data!R45)=2</f>
        <v>0</v>
      </c>
      <c r="AB45" s="4" t="b">
        <f>LEN(data!S45)&gt;0</f>
        <v>0</v>
      </c>
      <c r="AC45" s="4" t="b">
        <f>LEN(data!S45)&lt;=120</f>
        <v>1</v>
      </c>
      <c r="AD45" s="4" t="b">
        <f>LEN(data!U45)=11</f>
        <v>0</v>
      </c>
      <c r="AE45" s="4" t="b">
        <f>AND(ISERROR(MATCH(data!V45, rule_mapping!$C$2:$C$325, 0))=FALSE, LEN(data!V45) &lt;= 4)</f>
        <v>0</v>
      </c>
      <c r="AF45" s="4" t="b">
        <f>LEN(data!W45)&gt;0</f>
        <v>0</v>
      </c>
      <c r="AG45" s="4" t="b">
        <f>LEN(data!W45)&lt;=20</f>
        <v>1</v>
      </c>
      <c r="AH45" s="4" t="b">
        <f xml:space="preserve"> IFERROR(ISNUMBER(data!X45), FALSE)</f>
        <v>0</v>
      </c>
      <c r="AI45" s="4" t="b">
        <f>IF(ISERROR(MATCH(data!Y45, rule_mapping!$D$2:$D$252, 0))=FALSE,TRUE, FALSE)</f>
        <v>0</v>
      </c>
      <c r="AJ45" s="4" t="b">
        <f>IFERROR(ISNUMBER(data!Z45), FALSE)</f>
        <v>0</v>
      </c>
      <c r="AK45" s="4" t="b">
        <f>IFERROR(ISNUMBER(data!AA45), FALSE)</f>
        <v>0</v>
      </c>
      <c r="AL45" s="4" t="b">
        <f>LEN(data!AB45)&lt;=90</f>
        <v>1</v>
      </c>
      <c r="AM45" s="4" t="b">
        <f>LEN(data!AC45)&gt;0</f>
        <v>0</v>
      </c>
      <c r="AN45" s="4" t="b">
        <f>LEN(data!AC45)&lt;=2000</f>
        <v>1</v>
      </c>
      <c r="AO45" s="4" t="b">
        <f>IF(LEN(data!AD45)=0,TRUE,IF(LEN(data!AD45)=5,TRUE,FALSE))</f>
        <v>1</v>
      </c>
      <c r="AP45" s="4" t="b">
        <f>LEN(data!AE45)&gt;0</f>
        <v>0</v>
      </c>
      <c r="AQ45" s="4" t="b">
        <f>LEN(data!AE45)=5</f>
        <v>0</v>
      </c>
      <c r="AR45" s="4" t="b">
        <f>ISERROR(MATCH(data!AF45, rule_mapping!$B$2:$B$3, 0))=FALSE</f>
        <v>0</v>
      </c>
      <c r="AS45" s="4" t="b">
        <f>ISERROR(MATCH(data!AG45, rule_mapping!$A$2:$A$8, 0))=FALSE</f>
        <v>0</v>
      </c>
      <c r="AT45" s="4" t="b">
        <f>LEN(data!AH45)&lt;=4</f>
        <v>1</v>
      </c>
      <c r="AU45" s="4" t="b">
        <f>LEN(data!AI45)&lt;=10</f>
        <v>1</v>
      </c>
      <c r="AV45" s="4" t="b">
        <f>LEN(data!AJ45)&lt;=35</f>
        <v>1</v>
      </c>
      <c r="AW45" s="4" t="b">
        <f>LEN(data!AK45)&lt;=20</f>
        <v>1</v>
      </c>
      <c r="AX45"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6" spans="1:50" ht="409.5" x14ac:dyDescent="0.15">
      <c r="A46" s="4" t="b">
        <f>OR(ISBLANK(data!B46), AND(B46:AW46))</f>
        <v>1</v>
      </c>
      <c r="B46" s="4" t="b">
        <f>AND(LEFT(TRIM(data!B46), 4)="OOLU", ISNUMBER(RIGHT(TRIM(data!B46), LEN(TRIM(data!B46))-4)+0))</f>
        <v>0</v>
      </c>
      <c r="C46" s="4" t="b">
        <f>LEN(data!C46)&gt;0</f>
        <v>0</v>
      </c>
      <c r="D46" s="4" t="b">
        <f>LEN(data!C46)&lt;=70</f>
        <v>1</v>
      </c>
      <c r="E46" s="4" t="b">
        <f>LEN(data!D46)&gt;0</f>
        <v>0</v>
      </c>
      <c r="F46" s="4" t="b">
        <f>LEN(data!D46)&lt;=140</f>
        <v>1</v>
      </c>
      <c r="G46" s="4" t="b">
        <f>LEN(data!E46)&gt;0</f>
        <v>0</v>
      </c>
      <c r="H46" s="4" t="b">
        <f>LEN(data!E46)&lt;=35</f>
        <v>1</v>
      </c>
      <c r="I46" s="4" t="b">
        <f>LEN(data!F46)=2</f>
        <v>0</v>
      </c>
      <c r="J46" s="4" t="b">
        <f>LEN(data!G46)&gt;0</f>
        <v>0</v>
      </c>
      <c r="K46" s="4" t="b">
        <f>LEN(data!G46)&lt;=60</f>
        <v>1</v>
      </c>
      <c r="L46" s="4" t="b">
        <f>LEN(data!I46)&gt;0</f>
        <v>0</v>
      </c>
      <c r="M46" s="4" t="b">
        <f>LEN(data!I46)&lt;=70</f>
        <v>1</v>
      </c>
      <c r="N46" s="4" t="b">
        <f>LEN(data!J46)&gt;0</f>
        <v>0</v>
      </c>
      <c r="O46" s="4" t="b">
        <f>LEN(data!J46)&lt;=140</f>
        <v>1</v>
      </c>
      <c r="P46" s="4" t="b">
        <f>LEN(data!K46)&gt;0</f>
        <v>0</v>
      </c>
      <c r="Q46" s="4" t="b">
        <f>LEN(data!K46)&lt;=35</f>
        <v>1</v>
      </c>
      <c r="R46" s="4" t="b">
        <f>LEN(data!L46)=2</f>
        <v>0</v>
      </c>
      <c r="S46" s="4" t="b">
        <f>LEN(data!M46)&gt;0</f>
        <v>0</v>
      </c>
      <c r="T46" s="4" t="b">
        <f>LEN(data!M46)&lt;=60</f>
        <v>1</v>
      </c>
      <c r="U46" s="4" t="b">
        <f>LEN(data!O46)&gt;0</f>
        <v>0</v>
      </c>
      <c r="V46" s="4" t="b">
        <f>LEN(data!O46)&lt;=70</f>
        <v>1</v>
      </c>
      <c r="W46" s="4" t="b">
        <f>LEN(data!P46)&gt;0</f>
        <v>0</v>
      </c>
      <c r="X46" s="4" t="b">
        <f>LEN(data!P46)&lt;=140</f>
        <v>1</v>
      </c>
      <c r="Y46" s="4" t="b">
        <f>LEN(data!Q46)&gt;0</f>
        <v>0</v>
      </c>
      <c r="Z46" s="4" t="b">
        <f>LEN(data!Q46)&lt;=35</f>
        <v>1</v>
      </c>
      <c r="AA46" s="4" t="b">
        <f>LEN(data!R46)=2</f>
        <v>0</v>
      </c>
      <c r="AB46" s="4" t="b">
        <f>LEN(data!S46)&gt;0</f>
        <v>0</v>
      </c>
      <c r="AC46" s="4" t="b">
        <f>LEN(data!S46)&lt;=120</f>
        <v>1</v>
      </c>
      <c r="AD46" s="4" t="b">
        <f>LEN(data!U46)=11</f>
        <v>0</v>
      </c>
      <c r="AE46" s="4" t="b">
        <f>AND(ISERROR(MATCH(data!V46, rule_mapping!$C$2:$C$325, 0))=FALSE, LEN(data!V46) &lt;= 4)</f>
        <v>0</v>
      </c>
      <c r="AF46" s="4" t="b">
        <f>LEN(data!W46)&gt;0</f>
        <v>0</v>
      </c>
      <c r="AG46" s="4" t="b">
        <f>LEN(data!W46)&lt;=20</f>
        <v>1</v>
      </c>
      <c r="AH46" s="4" t="b">
        <f xml:space="preserve"> IFERROR(ISNUMBER(data!X46), FALSE)</f>
        <v>0</v>
      </c>
      <c r="AI46" s="4" t="b">
        <f>IF(ISERROR(MATCH(data!Y46, rule_mapping!$D$2:$D$252, 0))=FALSE,TRUE, FALSE)</f>
        <v>0</v>
      </c>
      <c r="AJ46" s="4" t="b">
        <f>IFERROR(ISNUMBER(data!Z46), FALSE)</f>
        <v>0</v>
      </c>
      <c r="AK46" s="4" t="b">
        <f>IFERROR(ISNUMBER(data!AA46), FALSE)</f>
        <v>0</v>
      </c>
      <c r="AL46" s="4" t="b">
        <f>LEN(data!AB46)&lt;=90</f>
        <v>1</v>
      </c>
      <c r="AM46" s="4" t="b">
        <f>LEN(data!AC46)&gt;0</f>
        <v>0</v>
      </c>
      <c r="AN46" s="4" t="b">
        <f>LEN(data!AC46)&lt;=2000</f>
        <v>1</v>
      </c>
      <c r="AO46" s="4" t="b">
        <f>IF(LEN(data!AD46)=0,TRUE,IF(LEN(data!AD46)=5,TRUE,FALSE))</f>
        <v>1</v>
      </c>
      <c r="AP46" s="4" t="b">
        <f>LEN(data!AE46)&gt;0</f>
        <v>0</v>
      </c>
      <c r="AQ46" s="4" t="b">
        <f>LEN(data!AE46)=5</f>
        <v>0</v>
      </c>
      <c r="AR46" s="4" t="b">
        <f>ISERROR(MATCH(data!AF46, rule_mapping!$B$2:$B$3, 0))=FALSE</f>
        <v>0</v>
      </c>
      <c r="AS46" s="4" t="b">
        <f>ISERROR(MATCH(data!AG46, rule_mapping!$A$2:$A$8, 0))=FALSE</f>
        <v>0</v>
      </c>
      <c r="AT46" s="4" t="b">
        <f>LEN(data!AH46)&lt;=4</f>
        <v>1</v>
      </c>
      <c r="AU46" s="4" t="b">
        <f>LEN(data!AI46)&lt;=10</f>
        <v>1</v>
      </c>
      <c r="AV46" s="4" t="b">
        <f>LEN(data!AJ46)&lt;=35</f>
        <v>1</v>
      </c>
      <c r="AW46" s="4" t="b">
        <f>LEN(data!AK46)&lt;=20</f>
        <v>1</v>
      </c>
      <c r="AX46"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7" spans="1:50" ht="409.5" x14ac:dyDescent="0.15">
      <c r="A47" s="4" t="b">
        <f>OR(ISBLANK(data!B47), AND(B47:AW47))</f>
        <v>1</v>
      </c>
      <c r="B47" s="4" t="b">
        <f>AND(LEFT(TRIM(data!B47), 4)="OOLU", ISNUMBER(RIGHT(TRIM(data!B47), LEN(TRIM(data!B47))-4)+0))</f>
        <v>0</v>
      </c>
      <c r="C47" s="4" t="b">
        <f>LEN(data!C47)&gt;0</f>
        <v>0</v>
      </c>
      <c r="D47" s="4" t="b">
        <f>LEN(data!C47)&lt;=70</f>
        <v>1</v>
      </c>
      <c r="E47" s="4" t="b">
        <f>LEN(data!D47)&gt;0</f>
        <v>0</v>
      </c>
      <c r="F47" s="4" t="b">
        <f>LEN(data!D47)&lt;=140</f>
        <v>1</v>
      </c>
      <c r="G47" s="4" t="b">
        <f>LEN(data!E47)&gt;0</f>
        <v>0</v>
      </c>
      <c r="H47" s="4" t="b">
        <f>LEN(data!E47)&lt;=35</f>
        <v>1</v>
      </c>
      <c r="I47" s="4" t="b">
        <f>LEN(data!F47)=2</f>
        <v>0</v>
      </c>
      <c r="J47" s="4" t="b">
        <f>LEN(data!G47)&gt;0</f>
        <v>0</v>
      </c>
      <c r="K47" s="4" t="b">
        <f>LEN(data!G47)&lt;=60</f>
        <v>1</v>
      </c>
      <c r="L47" s="4" t="b">
        <f>LEN(data!I47)&gt;0</f>
        <v>0</v>
      </c>
      <c r="M47" s="4" t="b">
        <f>LEN(data!I47)&lt;=70</f>
        <v>1</v>
      </c>
      <c r="N47" s="4" t="b">
        <f>LEN(data!J47)&gt;0</f>
        <v>0</v>
      </c>
      <c r="O47" s="4" t="b">
        <f>LEN(data!J47)&lt;=140</f>
        <v>1</v>
      </c>
      <c r="P47" s="4" t="b">
        <f>LEN(data!K47)&gt;0</f>
        <v>0</v>
      </c>
      <c r="Q47" s="4" t="b">
        <f>LEN(data!K47)&lt;=35</f>
        <v>1</v>
      </c>
      <c r="R47" s="4" t="b">
        <f>LEN(data!L47)=2</f>
        <v>0</v>
      </c>
      <c r="S47" s="4" t="b">
        <f>LEN(data!M47)&gt;0</f>
        <v>0</v>
      </c>
      <c r="T47" s="4" t="b">
        <f>LEN(data!M47)&lt;=60</f>
        <v>1</v>
      </c>
      <c r="U47" s="4" t="b">
        <f>LEN(data!O47)&gt;0</f>
        <v>0</v>
      </c>
      <c r="V47" s="4" t="b">
        <f>LEN(data!O47)&lt;=70</f>
        <v>1</v>
      </c>
      <c r="W47" s="4" t="b">
        <f>LEN(data!P47)&gt;0</f>
        <v>0</v>
      </c>
      <c r="X47" s="4" t="b">
        <f>LEN(data!P47)&lt;=140</f>
        <v>1</v>
      </c>
      <c r="Y47" s="4" t="b">
        <f>LEN(data!Q47)&gt;0</f>
        <v>0</v>
      </c>
      <c r="Z47" s="4" t="b">
        <f>LEN(data!Q47)&lt;=35</f>
        <v>1</v>
      </c>
      <c r="AA47" s="4" t="b">
        <f>LEN(data!R47)=2</f>
        <v>0</v>
      </c>
      <c r="AB47" s="4" t="b">
        <f>LEN(data!S47)&gt;0</f>
        <v>0</v>
      </c>
      <c r="AC47" s="4" t="b">
        <f>LEN(data!S47)&lt;=120</f>
        <v>1</v>
      </c>
      <c r="AD47" s="4" t="b">
        <f>LEN(data!U47)=11</f>
        <v>0</v>
      </c>
      <c r="AE47" s="4" t="b">
        <f>AND(ISERROR(MATCH(data!V47, rule_mapping!$C$2:$C$325, 0))=FALSE, LEN(data!V47) &lt;= 4)</f>
        <v>0</v>
      </c>
      <c r="AF47" s="4" t="b">
        <f>LEN(data!W47)&gt;0</f>
        <v>0</v>
      </c>
      <c r="AG47" s="4" t="b">
        <f>LEN(data!W47)&lt;=20</f>
        <v>1</v>
      </c>
      <c r="AH47" s="4" t="b">
        <f xml:space="preserve"> IFERROR(ISNUMBER(data!X47), FALSE)</f>
        <v>0</v>
      </c>
      <c r="AI47" s="4" t="b">
        <f>IF(ISERROR(MATCH(data!Y47, rule_mapping!$D$2:$D$252, 0))=FALSE,TRUE, FALSE)</f>
        <v>0</v>
      </c>
      <c r="AJ47" s="4" t="b">
        <f>IFERROR(ISNUMBER(data!Z47), FALSE)</f>
        <v>0</v>
      </c>
      <c r="AK47" s="4" t="b">
        <f>IFERROR(ISNUMBER(data!AA47), FALSE)</f>
        <v>0</v>
      </c>
      <c r="AL47" s="4" t="b">
        <f>LEN(data!AB47)&lt;=90</f>
        <v>1</v>
      </c>
      <c r="AM47" s="4" t="b">
        <f>LEN(data!AC47)&gt;0</f>
        <v>0</v>
      </c>
      <c r="AN47" s="4" t="b">
        <f>LEN(data!AC47)&lt;=2000</f>
        <v>1</v>
      </c>
      <c r="AO47" s="4" t="b">
        <f>IF(LEN(data!AD47)=0,TRUE,IF(LEN(data!AD47)=5,TRUE,FALSE))</f>
        <v>1</v>
      </c>
      <c r="AP47" s="4" t="b">
        <f>LEN(data!AE47)&gt;0</f>
        <v>0</v>
      </c>
      <c r="AQ47" s="4" t="b">
        <f>LEN(data!AE47)=5</f>
        <v>0</v>
      </c>
      <c r="AR47" s="4" t="b">
        <f>ISERROR(MATCH(data!AF47, rule_mapping!$B$2:$B$3, 0))=FALSE</f>
        <v>0</v>
      </c>
      <c r="AS47" s="4" t="b">
        <f>ISERROR(MATCH(data!AG47, rule_mapping!$A$2:$A$8, 0))=FALSE</f>
        <v>0</v>
      </c>
      <c r="AT47" s="4" t="b">
        <f>LEN(data!AH47)&lt;=4</f>
        <v>1</v>
      </c>
      <c r="AU47" s="4" t="b">
        <f>LEN(data!AI47)&lt;=10</f>
        <v>1</v>
      </c>
      <c r="AV47" s="4" t="b">
        <f>LEN(data!AJ47)&lt;=35</f>
        <v>1</v>
      </c>
      <c r="AW47" s="4" t="b">
        <f>LEN(data!AK47)&lt;=20</f>
        <v>1</v>
      </c>
      <c r="AX47"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8" spans="1:50" ht="409.5" x14ac:dyDescent="0.15">
      <c r="A48" s="4" t="b">
        <f>OR(ISBLANK(data!B48), AND(B48:AW48))</f>
        <v>1</v>
      </c>
      <c r="B48" s="4" t="b">
        <f>AND(LEFT(TRIM(data!B48), 4)="OOLU", ISNUMBER(RIGHT(TRIM(data!B48), LEN(TRIM(data!B48))-4)+0))</f>
        <v>0</v>
      </c>
      <c r="C48" s="4" t="b">
        <f>LEN(data!C48)&gt;0</f>
        <v>0</v>
      </c>
      <c r="D48" s="4" t="b">
        <f>LEN(data!C48)&lt;=70</f>
        <v>1</v>
      </c>
      <c r="E48" s="4" t="b">
        <f>LEN(data!D48)&gt;0</f>
        <v>0</v>
      </c>
      <c r="F48" s="4" t="b">
        <f>LEN(data!D48)&lt;=140</f>
        <v>1</v>
      </c>
      <c r="G48" s="4" t="b">
        <f>LEN(data!E48)&gt;0</f>
        <v>0</v>
      </c>
      <c r="H48" s="4" t="b">
        <f>LEN(data!E48)&lt;=35</f>
        <v>1</v>
      </c>
      <c r="I48" s="4" t="b">
        <f>LEN(data!F48)=2</f>
        <v>0</v>
      </c>
      <c r="J48" s="4" t="b">
        <f>LEN(data!G48)&gt;0</f>
        <v>0</v>
      </c>
      <c r="K48" s="4" t="b">
        <f>LEN(data!G48)&lt;=60</f>
        <v>1</v>
      </c>
      <c r="L48" s="4" t="b">
        <f>LEN(data!I48)&gt;0</f>
        <v>0</v>
      </c>
      <c r="M48" s="4" t="b">
        <f>LEN(data!I48)&lt;=70</f>
        <v>1</v>
      </c>
      <c r="N48" s="4" t="b">
        <f>LEN(data!J48)&gt;0</f>
        <v>0</v>
      </c>
      <c r="O48" s="4" t="b">
        <f>LEN(data!J48)&lt;=140</f>
        <v>1</v>
      </c>
      <c r="P48" s="4" t="b">
        <f>LEN(data!K48)&gt;0</f>
        <v>0</v>
      </c>
      <c r="Q48" s="4" t="b">
        <f>LEN(data!K48)&lt;=35</f>
        <v>1</v>
      </c>
      <c r="R48" s="4" t="b">
        <f>LEN(data!L48)=2</f>
        <v>0</v>
      </c>
      <c r="S48" s="4" t="b">
        <f>LEN(data!M48)&gt;0</f>
        <v>0</v>
      </c>
      <c r="T48" s="4" t="b">
        <f>LEN(data!M48)&lt;=60</f>
        <v>1</v>
      </c>
      <c r="U48" s="4" t="b">
        <f>LEN(data!O48)&gt;0</f>
        <v>0</v>
      </c>
      <c r="V48" s="4" t="b">
        <f>LEN(data!O48)&lt;=70</f>
        <v>1</v>
      </c>
      <c r="W48" s="4" t="b">
        <f>LEN(data!P48)&gt;0</f>
        <v>0</v>
      </c>
      <c r="X48" s="4" t="b">
        <f>LEN(data!P48)&lt;=140</f>
        <v>1</v>
      </c>
      <c r="Y48" s="4" t="b">
        <f>LEN(data!Q48)&gt;0</f>
        <v>0</v>
      </c>
      <c r="Z48" s="4" t="b">
        <f>LEN(data!Q48)&lt;=35</f>
        <v>1</v>
      </c>
      <c r="AA48" s="4" t="b">
        <f>LEN(data!R48)=2</f>
        <v>0</v>
      </c>
      <c r="AB48" s="4" t="b">
        <f>LEN(data!S48)&gt;0</f>
        <v>0</v>
      </c>
      <c r="AC48" s="4" t="b">
        <f>LEN(data!S48)&lt;=120</f>
        <v>1</v>
      </c>
      <c r="AD48" s="4" t="b">
        <f>LEN(data!U48)=11</f>
        <v>0</v>
      </c>
      <c r="AE48" s="4" t="b">
        <f>AND(ISERROR(MATCH(data!V48, rule_mapping!$C$2:$C$325, 0))=FALSE, LEN(data!V48) &lt;= 4)</f>
        <v>0</v>
      </c>
      <c r="AF48" s="4" t="b">
        <f>LEN(data!W48)&gt;0</f>
        <v>0</v>
      </c>
      <c r="AG48" s="4" t="b">
        <f>LEN(data!W48)&lt;=20</f>
        <v>1</v>
      </c>
      <c r="AH48" s="4" t="b">
        <f xml:space="preserve"> IFERROR(ISNUMBER(data!X48), FALSE)</f>
        <v>0</v>
      </c>
      <c r="AI48" s="4" t="b">
        <f>IF(ISERROR(MATCH(data!Y48, rule_mapping!$D$2:$D$252, 0))=FALSE,TRUE, FALSE)</f>
        <v>0</v>
      </c>
      <c r="AJ48" s="4" t="b">
        <f>IFERROR(ISNUMBER(data!Z48), FALSE)</f>
        <v>0</v>
      </c>
      <c r="AK48" s="4" t="b">
        <f>IFERROR(ISNUMBER(data!AA48), FALSE)</f>
        <v>0</v>
      </c>
      <c r="AL48" s="4" t="b">
        <f>LEN(data!AB48)&lt;=90</f>
        <v>1</v>
      </c>
      <c r="AM48" s="4" t="b">
        <f>LEN(data!AC48)&gt;0</f>
        <v>0</v>
      </c>
      <c r="AN48" s="4" t="b">
        <f>LEN(data!AC48)&lt;=2000</f>
        <v>1</v>
      </c>
      <c r="AO48" s="4" t="b">
        <f>IF(LEN(data!AD48)=0,TRUE,IF(LEN(data!AD48)=5,TRUE,FALSE))</f>
        <v>1</v>
      </c>
      <c r="AP48" s="4" t="b">
        <f>LEN(data!AE48)&gt;0</f>
        <v>0</v>
      </c>
      <c r="AQ48" s="4" t="b">
        <f>LEN(data!AE48)=5</f>
        <v>0</v>
      </c>
      <c r="AR48" s="4" t="b">
        <f>ISERROR(MATCH(data!AF48, rule_mapping!$B$2:$B$3, 0))=FALSE</f>
        <v>0</v>
      </c>
      <c r="AS48" s="4" t="b">
        <f>ISERROR(MATCH(data!AG48, rule_mapping!$A$2:$A$8, 0))=FALSE</f>
        <v>0</v>
      </c>
      <c r="AT48" s="4" t="b">
        <f>LEN(data!AH48)&lt;=4</f>
        <v>1</v>
      </c>
      <c r="AU48" s="4" t="b">
        <f>LEN(data!AI48)&lt;=10</f>
        <v>1</v>
      </c>
      <c r="AV48" s="4" t="b">
        <f>LEN(data!AJ48)&lt;=35</f>
        <v>1</v>
      </c>
      <c r="AW48" s="4" t="b">
        <f>LEN(data!AK48)&lt;=20</f>
        <v>1</v>
      </c>
      <c r="AX48"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49" spans="1:50" ht="409.5" x14ac:dyDescent="0.15">
      <c r="A49" s="4" t="b">
        <f>OR(ISBLANK(data!B49), AND(B49:AW49))</f>
        <v>1</v>
      </c>
      <c r="B49" s="4" t="b">
        <f>AND(LEFT(TRIM(data!B49), 4)="OOLU", ISNUMBER(RIGHT(TRIM(data!B49), LEN(TRIM(data!B49))-4)+0))</f>
        <v>0</v>
      </c>
      <c r="C49" s="4" t="b">
        <f>LEN(data!C49)&gt;0</f>
        <v>0</v>
      </c>
      <c r="D49" s="4" t="b">
        <f>LEN(data!C49)&lt;=70</f>
        <v>1</v>
      </c>
      <c r="E49" s="4" t="b">
        <f>LEN(data!D49)&gt;0</f>
        <v>0</v>
      </c>
      <c r="F49" s="4" t="b">
        <f>LEN(data!D49)&lt;=140</f>
        <v>1</v>
      </c>
      <c r="G49" s="4" t="b">
        <f>LEN(data!E49)&gt;0</f>
        <v>0</v>
      </c>
      <c r="H49" s="4" t="b">
        <f>LEN(data!E49)&lt;=35</f>
        <v>1</v>
      </c>
      <c r="I49" s="4" t="b">
        <f>LEN(data!F49)=2</f>
        <v>0</v>
      </c>
      <c r="J49" s="4" t="b">
        <f>LEN(data!G49)&gt;0</f>
        <v>0</v>
      </c>
      <c r="K49" s="4" t="b">
        <f>LEN(data!G49)&lt;=60</f>
        <v>1</v>
      </c>
      <c r="L49" s="4" t="b">
        <f>LEN(data!I49)&gt;0</f>
        <v>0</v>
      </c>
      <c r="M49" s="4" t="b">
        <f>LEN(data!I49)&lt;=70</f>
        <v>1</v>
      </c>
      <c r="N49" s="4" t="b">
        <f>LEN(data!J49)&gt;0</f>
        <v>0</v>
      </c>
      <c r="O49" s="4" t="b">
        <f>LEN(data!J49)&lt;=140</f>
        <v>1</v>
      </c>
      <c r="P49" s="4" t="b">
        <f>LEN(data!K49)&gt;0</f>
        <v>0</v>
      </c>
      <c r="Q49" s="4" t="b">
        <f>LEN(data!K49)&lt;=35</f>
        <v>1</v>
      </c>
      <c r="R49" s="4" t="b">
        <f>LEN(data!L49)=2</f>
        <v>0</v>
      </c>
      <c r="S49" s="4" t="b">
        <f>LEN(data!M49)&gt;0</f>
        <v>0</v>
      </c>
      <c r="T49" s="4" t="b">
        <f>LEN(data!M49)&lt;=60</f>
        <v>1</v>
      </c>
      <c r="U49" s="4" t="b">
        <f>LEN(data!O49)&gt;0</f>
        <v>0</v>
      </c>
      <c r="V49" s="4" t="b">
        <f>LEN(data!O49)&lt;=70</f>
        <v>1</v>
      </c>
      <c r="W49" s="4" t="b">
        <f>LEN(data!P49)&gt;0</f>
        <v>0</v>
      </c>
      <c r="X49" s="4" t="b">
        <f>LEN(data!P49)&lt;=140</f>
        <v>1</v>
      </c>
      <c r="Y49" s="4" t="b">
        <f>LEN(data!Q49)&gt;0</f>
        <v>0</v>
      </c>
      <c r="Z49" s="4" t="b">
        <f>LEN(data!Q49)&lt;=35</f>
        <v>1</v>
      </c>
      <c r="AA49" s="4" t="b">
        <f>LEN(data!R49)=2</f>
        <v>0</v>
      </c>
      <c r="AB49" s="4" t="b">
        <f>LEN(data!S49)&gt;0</f>
        <v>0</v>
      </c>
      <c r="AC49" s="4" t="b">
        <f>LEN(data!S49)&lt;=120</f>
        <v>1</v>
      </c>
      <c r="AD49" s="4" t="b">
        <f>LEN(data!U49)=11</f>
        <v>0</v>
      </c>
      <c r="AE49" s="4" t="b">
        <f>AND(ISERROR(MATCH(data!V49, rule_mapping!$C$2:$C$325, 0))=FALSE, LEN(data!V49) &lt;= 4)</f>
        <v>0</v>
      </c>
      <c r="AF49" s="4" t="b">
        <f>LEN(data!W49)&gt;0</f>
        <v>0</v>
      </c>
      <c r="AG49" s="4" t="b">
        <f>LEN(data!W49)&lt;=20</f>
        <v>1</v>
      </c>
      <c r="AH49" s="4" t="b">
        <f xml:space="preserve"> IFERROR(ISNUMBER(data!X49), FALSE)</f>
        <v>0</v>
      </c>
      <c r="AI49" s="4" t="b">
        <f>IF(ISERROR(MATCH(data!Y49, rule_mapping!$D$2:$D$252, 0))=FALSE,TRUE, FALSE)</f>
        <v>0</v>
      </c>
      <c r="AJ49" s="4" t="b">
        <f>IFERROR(ISNUMBER(data!Z49), FALSE)</f>
        <v>0</v>
      </c>
      <c r="AK49" s="4" t="b">
        <f>IFERROR(ISNUMBER(data!AA49), FALSE)</f>
        <v>0</v>
      </c>
      <c r="AL49" s="4" t="b">
        <f>LEN(data!AB49)&lt;=90</f>
        <v>1</v>
      </c>
      <c r="AM49" s="4" t="b">
        <f>LEN(data!AC49)&gt;0</f>
        <v>0</v>
      </c>
      <c r="AN49" s="4" t="b">
        <f>LEN(data!AC49)&lt;=2000</f>
        <v>1</v>
      </c>
      <c r="AO49" s="4" t="b">
        <f>IF(LEN(data!AD49)=0,TRUE,IF(LEN(data!AD49)=5,TRUE,FALSE))</f>
        <v>1</v>
      </c>
      <c r="AP49" s="4" t="b">
        <f>LEN(data!AE49)&gt;0</f>
        <v>0</v>
      </c>
      <c r="AQ49" s="4" t="b">
        <f>LEN(data!AE49)=5</f>
        <v>0</v>
      </c>
      <c r="AR49" s="4" t="b">
        <f>ISERROR(MATCH(data!AF49, rule_mapping!$B$2:$B$3, 0))=FALSE</f>
        <v>0</v>
      </c>
      <c r="AS49" s="4" t="b">
        <f>ISERROR(MATCH(data!AG49, rule_mapping!$A$2:$A$8, 0))=FALSE</f>
        <v>0</v>
      </c>
      <c r="AT49" s="4" t="b">
        <f>LEN(data!AH49)&lt;=4</f>
        <v>1</v>
      </c>
      <c r="AU49" s="4" t="b">
        <f>LEN(data!AI49)&lt;=10</f>
        <v>1</v>
      </c>
      <c r="AV49" s="4" t="b">
        <f>LEN(data!AJ49)&lt;=35</f>
        <v>1</v>
      </c>
      <c r="AW49" s="4" t="b">
        <f>LEN(data!AK49)&lt;=20</f>
        <v>1</v>
      </c>
      <c r="AX49"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0" spans="1:50" ht="409.5" x14ac:dyDescent="0.15">
      <c r="A50" s="4" t="b">
        <f>OR(ISBLANK(data!B50), AND(B50:AW50))</f>
        <v>1</v>
      </c>
      <c r="B50" s="4" t="b">
        <f>AND(LEFT(TRIM(data!B50), 4)="OOLU", ISNUMBER(RIGHT(TRIM(data!B50), LEN(TRIM(data!B50))-4)+0))</f>
        <v>0</v>
      </c>
      <c r="C50" s="4" t="b">
        <f>LEN(data!C50)&gt;0</f>
        <v>0</v>
      </c>
      <c r="D50" s="4" t="b">
        <f>LEN(data!C50)&lt;=70</f>
        <v>1</v>
      </c>
      <c r="E50" s="4" t="b">
        <f>LEN(data!D50)&gt;0</f>
        <v>0</v>
      </c>
      <c r="F50" s="4" t="b">
        <f>LEN(data!D50)&lt;=140</f>
        <v>1</v>
      </c>
      <c r="G50" s="4" t="b">
        <f>LEN(data!E50)&gt;0</f>
        <v>0</v>
      </c>
      <c r="H50" s="4" t="b">
        <f>LEN(data!E50)&lt;=35</f>
        <v>1</v>
      </c>
      <c r="I50" s="4" t="b">
        <f>LEN(data!F50)=2</f>
        <v>0</v>
      </c>
      <c r="J50" s="4" t="b">
        <f>LEN(data!G50)&gt;0</f>
        <v>0</v>
      </c>
      <c r="K50" s="4" t="b">
        <f>LEN(data!G50)&lt;=60</f>
        <v>1</v>
      </c>
      <c r="L50" s="4" t="b">
        <f>LEN(data!I50)&gt;0</f>
        <v>0</v>
      </c>
      <c r="M50" s="4" t="b">
        <f>LEN(data!I50)&lt;=70</f>
        <v>1</v>
      </c>
      <c r="N50" s="4" t="b">
        <f>LEN(data!J50)&gt;0</f>
        <v>0</v>
      </c>
      <c r="O50" s="4" t="b">
        <f>LEN(data!J50)&lt;=140</f>
        <v>1</v>
      </c>
      <c r="P50" s="4" t="b">
        <f>LEN(data!K50)&gt;0</f>
        <v>0</v>
      </c>
      <c r="Q50" s="4" t="b">
        <f>LEN(data!K50)&lt;=35</f>
        <v>1</v>
      </c>
      <c r="R50" s="4" t="b">
        <f>LEN(data!L50)=2</f>
        <v>0</v>
      </c>
      <c r="S50" s="4" t="b">
        <f>LEN(data!M50)&gt;0</f>
        <v>0</v>
      </c>
      <c r="T50" s="4" t="b">
        <f>LEN(data!M50)&lt;=60</f>
        <v>1</v>
      </c>
      <c r="U50" s="4" t="b">
        <f>LEN(data!O50)&gt;0</f>
        <v>0</v>
      </c>
      <c r="V50" s="4" t="b">
        <f>LEN(data!O50)&lt;=70</f>
        <v>1</v>
      </c>
      <c r="W50" s="4" t="b">
        <f>LEN(data!P50)&gt;0</f>
        <v>0</v>
      </c>
      <c r="X50" s="4" t="b">
        <f>LEN(data!P50)&lt;=140</f>
        <v>1</v>
      </c>
      <c r="Y50" s="4" t="b">
        <f>LEN(data!Q50)&gt;0</f>
        <v>0</v>
      </c>
      <c r="Z50" s="4" t="b">
        <f>LEN(data!Q50)&lt;=35</f>
        <v>1</v>
      </c>
      <c r="AA50" s="4" t="b">
        <f>LEN(data!R50)=2</f>
        <v>0</v>
      </c>
      <c r="AB50" s="4" t="b">
        <f>LEN(data!S50)&gt;0</f>
        <v>0</v>
      </c>
      <c r="AC50" s="4" t="b">
        <f>LEN(data!S50)&lt;=120</f>
        <v>1</v>
      </c>
      <c r="AD50" s="4" t="b">
        <f>LEN(data!U50)=11</f>
        <v>0</v>
      </c>
      <c r="AE50" s="4" t="b">
        <f>AND(ISERROR(MATCH(data!V50, rule_mapping!$C$2:$C$325, 0))=FALSE, LEN(data!V50) &lt;= 4)</f>
        <v>0</v>
      </c>
      <c r="AF50" s="4" t="b">
        <f>LEN(data!W50)&gt;0</f>
        <v>0</v>
      </c>
      <c r="AG50" s="4" t="b">
        <f>LEN(data!W50)&lt;=20</f>
        <v>1</v>
      </c>
      <c r="AH50" s="4" t="b">
        <f xml:space="preserve"> IFERROR(ISNUMBER(data!X50), FALSE)</f>
        <v>0</v>
      </c>
      <c r="AI50" s="4" t="b">
        <f>IF(ISERROR(MATCH(data!Y50, rule_mapping!$D$2:$D$252, 0))=FALSE,TRUE, FALSE)</f>
        <v>0</v>
      </c>
      <c r="AJ50" s="4" t="b">
        <f>IFERROR(ISNUMBER(data!Z50), FALSE)</f>
        <v>0</v>
      </c>
      <c r="AK50" s="4" t="b">
        <f>IFERROR(ISNUMBER(data!AA50), FALSE)</f>
        <v>0</v>
      </c>
      <c r="AL50" s="4" t="b">
        <f>LEN(data!AB50)&lt;=90</f>
        <v>1</v>
      </c>
      <c r="AM50" s="4" t="b">
        <f>LEN(data!AC50)&gt;0</f>
        <v>0</v>
      </c>
      <c r="AN50" s="4" t="b">
        <f>LEN(data!AC50)&lt;=2000</f>
        <v>1</v>
      </c>
      <c r="AO50" s="4" t="b">
        <f>IF(LEN(data!AD50)=0,TRUE,IF(LEN(data!AD50)=5,TRUE,FALSE))</f>
        <v>1</v>
      </c>
      <c r="AP50" s="4" t="b">
        <f>LEN(data!AE50)&gt;0</f>
        <v>0</v>
      </c>
      <c r="AQ50" s="4" t="b">
        <f>LEN(data!AE50)=5</f>
        <v>0</v>
      </c>
      <c r="AR50" s="4" t="b">
        <f>ISERROR(MATCH(data!AF50, rule_mapping!$B$2:$B$3, 0))=FALSE</f>
        <v>0</v>
      </c>
      <c r="AS50" s="4" t="b">
        <f>ISERROR(MATCH(data!AG50, rule_mapping!$A$2:$A$8, 0))=FALSE</f>
        <v>0</v>
      </c>
      <c r="AT50" s="4" t="b">
        <f>LEN(data!AH50)&lt;=4</f>
        <v>1</v>
      </c>
      <c r="AU50" s="4" t="b">
        <f>LEN(data!AI50)&lt;=10</f>
        <v>1</v>
      </c>
      <c r="AV50" s="4" t="b">
        <f>LEN(data!AJ50)&lt;=35</f>
        <v>1</v>
      </c>
      <c r="AW50" s="4" t="b">
        <f>LEN(data!AK50)&lt;=20</f>
        <v>1</v>
      </c>
      <c r="AX50"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1" spans="1:50" ht="409.5" x14ac:dyDescent="0.15">
      <c r="A51" s="4" t="b">
        <f>OR(ISBLANK(data!B51), AND(B51:AW51))</f>
        <v>1</v>
      </c>
      <c r="B51" s="4" t="b">
        <f>AND(LEFT(TRIM(data!B51), 4)="OOLU", ISNUMBER(RIGHT(TRIM(data!B51), LEN(TRIM(data!B51))-4)+0))</f>
        <v>0</v>
      </c>
      <c r="C51" s="4" t="b">
        <f>LEN(data!C51)&gt;0</f>
        <v>0</v>
      </c>
      <c r="D51" s="4" t="b">
        <f>LEN(data!C51)&lt;=70</f>
        <v>1</v>
      </c>
      <c r="E51" s="4" t="b">
        <f>LEN(data!D51)&gt;0</f>
        <v>0</v>
      </c>
      <c r="F51" s="4" t="b">
        <f>LEN(data!D51)&lt;=140</f>
        <v>1</v>
      </c>
      <c r="G51" s="4" t="b">
        <f>LEN(data!E51)&gt;0</f>
        <v>0</v>
      </c>
      <c r="H51" s="4" t="b">
        <f>LEN(data!E51)&lt;=35</f>
        <v>1</v>
      </c>
      <c r="I51" s="4" t="b">
        <f>LEN(data!F51)=2</f>
        <v>0</v>
      </c>
      <c r="J51" s="4" t="b">
        <f>LEN(data!G51)&gt;0</f>
        <v>0</v>
      </c>
      <c r="K51" s="4" t="b">
        <f>LEN(data!G51)&lt;=60</f>
        <v>1</v>
      </c>
      <c r="L51" s="4" t="b">
        <f>LEN(data!I51)&gt;0</f>
        <v>0</v>
      </c>
      <c r="M51" s="4" t="b">
        <f>LEN(data!I51)&lt;=70</f>
        <v>1</v>
      </c>
      <c r="N51" s="4" t="b">
        <f>LEN(data!J51)&gt;0</f>
        <v>0</v>
      </c>
      <c r="O51" s="4" t="b">
        <f>LEN(data!J51)&lt;=140</f>
        <v>1</v>
      </c>
      <c r="P51" s="4" t="b">
        <f>LEN(data!K51)&gt;0</f>
        <v>0</v>
      </c>
      <c r="Q51" s="4" t="b">
        <f>LEN(data!K51)&lt;=35</f>
        <v>1</v>
      </c>
      <c r="R51" s="4" t="b">
        <f>LEN(data!L51)=2</f>
        <v>0</v>
      </c>
      <c r="S51" s="4" t="b">
        <f>LEN(data!M51)&gt;0</f>
        <v>0</v>
      </c>
      <c r="T51" s="4" t="b">
        <f>LEN(data!M51)&lt;=60</f>
        <v>1</v>
      </c>
      <c r="U51" s="4" t="b">
        <f>LEN(data!O51)&gt;0</f>
        <v>0</v>
      </c>
      <c r="V51" s="4" t="b">
        <f>LEN(data!O51)&lt;=70</f>
        <v>1</v>
      </c>
      <c r="W51" s="4" t="b">
        <f>LEN(data!P51)&gt;0</f>
        <v>0</v>
      </c>
      <c r="X51" s="4" t="b">
        <f>LEN(data!P51)&lt;=140</f>
        <v>1</v>
      </c>
      <c r="Y51" s="4" t="b">
        <f>LEN(data!Q51)&gt;0</f>
        <v>0</v>
      </c>
      <c r="Z51" s="4" t="b">
        <f>LEN(data!Q51)&lt;=35</f>
        <v>1</v>
      </c>
      <c r="AA51" s="4" t="b">
        <f>LEN(data!R51)=2</f>
        <v>0</v>
      </c>
      <c r="AB51" s="4" t="b">
        <f>LEN(data!S51)&gt;0</f>
        <v>0</v>
      </c>
      <c r="AC51" s="4" t="b">
        <f>LEN(data!S51)&lt;=120</f>
        <v>1</v>
      </c>
      <c r="AD51" s="4" t="b">
        <f>LEN(data!U51)=11</f>
        <v>0</v>
      </c>
      <c r="AE51" s="4" t="b">
        <f>AND(ISERROR(MATCH(data!V51, rule_mapping!$C$2:$C$325, 0))=FALSE, LEN(data!V51) &lt;= 4)</f>
        <v>0</v>
      </c>
      <c r="AF51" s="4" t="b">
        <f>LEN(data!W51)&gt;0</f>
        <v>0</v>
      </c>
      <c r="AG51" s="4" t="b">
        <f>LEN(data!W51)&lt;=20</f>
        <v>1</v>
      </c>
      <c r="AH51" s="4" t="b">
        <f xml:space="preserve"> IFERROR(ISNUMBER(data!X51), FALSE)</f>
        <v>0</v>
      </c>
      <c r="AI51" s="4" t="b">
        <f>IF(ISERROR(MATCH(data!Y51, rule_mapping!$D$2:$D$252, 0))=FALSE,TRUE, FALSE)</f>
        <v>0</v>
      </c>
      <c r="AJ51" s="4" t="b">
        <f>IFERROR(ISNUMBER(data!Z51), FALSE)</f>
        <v>0</v>
      </c>
      <c r="AK51" s="4" t="b">
        <f>IFERROR(ISNUMBER(data!AA51), FALSE)</f>
        <v>0</v>
      </c>
      <c r="AL51" s="4" t="b">
        <f>LEN(data!AB51)&lt;=90</f>
        <v>1</v>
      </c>
      <c r="AM51" s="4" t="b">
        <f>LEN(data!AC51)&gt;0</f>
        <v>0</v>
      </c>
      <c r="AN51" s="4" t="b">
        <f>LEN(data!AC51)&lt;=2000</f>
        <v>1</v>
      </c>
      <c r="AO51" s="4" t="b">
        <f>IF(LEN(data!AD51)=0,TRUE,IF(LEN(data!AD51)=5,TRUE,FALSE))</f>
        <v>1</v>
      </c>
      <c r="AP51" s="4" t="b">
        <f>LEN(data!AE51)&gt;0</f>
        <v>0</v>
      </c>
      <c r="AQ51" s="4" t="b">
        <f>LEN(data!AE51)=5</f>
        <v>0</v>
      </c>
      <c r="AR51" s="4" t="b">
        <f>ISERROR(MATCH(data!AF51, rule_mapping!$B$2:$B$3, 0))=FALSE</f>
        <v>0</v>
      </c>
      <c r="AS51" s="4" t="b">
        <f>ISERROR(MATCH(data!AG51, rule_mapping!$A$2:$A$8, 0))=FALSE</f>
        <v>0</v>
      </c>
      <c r="AT51" s="4" t="b">
        <f>LEN(data!AH51)&lt;=4</f>
        <v>1</v>
      </c>
      <c r="AU51" s="4" t="b">
        <f>LEN(data!AI51)&lt;=10</f>
        <v>1</v>
      </c>
      <c r="AV51" s="4" t="b">
        <f>LEN(data!AJ51)&lt;=35</f>
        <v>1</v>
      </c>
      <c r="AW51" s="4" t="b">
        <f>LEN(data!AK51)&lt;=20</f>
        <v>1</v>
      </c>
      <c r="AX51"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2" spans="1:50" ht="409.5" x14ac:dyDescent="0.15">
      <c r="A52" s="4" t="b">
        <f>OR(ISBLANK(data!B52), AND(B52:AW52))</f>
        <v>1</v>
      </c>
      <c r="B52" s="4" t="b">
        <f>AND(LEFT(TRIM(data!B52), 4)="OOLU", ISNUMBER(RIGHT(TRIM(data!B52), LEN(TRIM(data!B52))-4)+0))</f>
        <v>0</v>
      </c>
      <c r="C52" s="4" t="b">
        <f>LEN(data!C52)&gt;0</f>
        <v>0</v>
      </c>
      <c r="D52" s="4" t="b">
        <f>LEN(data!C52)&lt;=70</f>
        <v>1</v>
      </c>
      <c r="E52" s="4" t="b">
        <f>LEN(data!D52)&gt;0</f>
        <v>0</v>
      </c>
      <c r="F52" s="4" t="b">
        <f>LEN(data!D52)&lt;=140</f>
        <v>1</v>
      </c>
      <c r="G52" s="4" t="b">
        <f>LEN(data!E52)&gt;0</f>
        <v>0</v>
      </c>
      <c r="H52" s="4" t="b">
        <f>LEN(data!E52)&lt;=35</f>
        <v>1</v>
      </c>
      <c r="I52" s="4" t="b">
        <f>LEN(data!F52)=2</f>
        <v>0</v>
      </c>
      <c r="J52" s="4" t="b">
        <f>LEN(data!G52)&gt;0</f>
        <v>0</v>
      </c>
      <c r="K52" s="4" t="b">
        <f>LEN(data!G52)&lt;=60</f>
        <v>1</v>
      </c>
      <c r="L52" s="4" t="b">
        <f>LEN(data!I52)&gt;0</f>
        <v>0</v>
      </c>
      <c r="M52" s="4" t="b">
        <f>LEN(data!I52)&lt;=70</f>
        <v>1</v>
      </c>
      <c r="N52" s="4" t="b">
        <f>LEN(data!J52)&gt;0</f>
        <v>0</v>
      </c>
      <c r="O52" s="4" t="b">
        <f>LEN(data!J52)&lt;=140</f>
        <v>1</v>
      </c>
      <c r="P52" s="4" t="b">
        <f>LEN(data!K52)&gt;0</f>
        <v>0</v>
      </c>
      <c r="Q52" s="4" t="b">
        <f>LEN(data!K52)&lt;=35</f>
        <v>1</v>
      </c>
      <c r="R52" s="4" t="b">
        <f>LEN(data!L52)=2</f>
        <v>0</v>
      </c>
      <c r="S52" s="4" t="b">
        <f>LEN(data!M52)&gt;0</f>
        <v>0</v>
      </c>
      <c r="T52" s="4" t="b">
        <f>LEN(data!M52)&lt;=60</f>
        <v>1</v>
      </c>
      <c r="U52" s="4" t="b">
        <f>LEN(data!O52)&gt;0</f>
        <v>0</v>
      </c>
      <c r="V52" s="4" t="b">
        <f>LEN(data!O52)&lt;=70</f>
        <v>1</v>
      </c>
      <c r="W52" s="4" t="b">
        <f>LEN(data!P52)&gt;0</f>
        <v>0</v>
      </c>
      <c r="X52" s="4" t="b">
        <f>LEN(data!P52)&lt;=140</f>
        <v>1</v>
      </c>
      <c r="Y52" s="4" t="b">
        <f>LEN(data!Q52)&gt;0</f>
        <v>0</v>
      </c>
      <c r="Z52" s="4" t="b">
        <f>LEN(data!Q52)&lt;=35</f>
        <v>1</v>
      </c>
      <c r="AA52" s="4" t="b">
        <f>LEN(data!R52)=2</f>
        <v>0</v>
      </c>
      <c r="AB52" s="4" t="b">
        <f>LEN(data!S52)&gt;0</f>
        <v>0</v>
      </c>
      <c r="AC52" s="4" t="b">
        <f>LEN(data!S52)&lt;=120</f>
        <v>1</v>
      </c>
      <c r="AD52" s="4" t="b">
        <f>LEN(data!U52)=11</f>
        <v>0</v>
      </c>
      <c r="AE52" s="4" t="b">
        <f>AND(ISERROR(MATCH(data!V52, rule_mapping!$C$2:$C$325, 0))=FALSE, LEN(data!V52) &lt;= 4)</f>
        <v>0</v>
      </c>
      <c r="AF52" s="4" t="b">
        <f>LEN(data!W52)&gt;0</f>
        <v>0</v>
      </c>
      <c r="AG52" s="4" t="b">
        <f>LEN(data!W52)&lt;=20</f>
        <v>1</v>
      </c>
      <c r="AH52" s="4" t="b">
        <f xml:space="preserve"> IFERROR(ISNUMBER(data!X52), FALSE)</f>
        <v>0</v>
      </c>
      <c r="AI52" s="4" t="b">
        <f>IF(ISERROR(MATCH(data!Y52, rule_mapping!$D$2:$D$252, 0))=FALSE,TRUE, FALSE)</f>
        <v>0</v>
      </c>
      <c r="AJ52" s="4" t="b">
        <f>IFERROR(ISNUMBER(data!Z52), FALSE)</f>
        <v>0</v>
      </c>
      <c r="AK52" s="4" t="b">
        <f>IFERROR(ISNUMBER(data!AA52), FALSE)</f>
        <v>0</v>
      </c>
      <c r="AL52" s="4" t="b">
        <f>LEN(data!AB52)&lt;=90</f>
        <v>1</v>
      </c>
      <c r="AM52" s="4" t="b">
        <f>LEN(data!AC52)&gt;0</f>
        <v>0</v>
      </c>
      <c r="AN52" s="4" t="b">
        <f>LEN(data!AC52)&lt;=2000</f>
        <v>1</v>
      </c>
      <c r="AO52" s="4" t="b">
        <f>IF(LEN(data!AD52)=0,TRUE,IF(LEN(data!AD52)=5,TRUE,FALSE))</f>
        <v>1</v>
      </c>
      <c r="AP52" s="4" t="b">
        <f>LEN(data!AE52)&gt;0</f>
        <v>0</v>
      </c>
      <c r="AQ52" s="4" t="b">
        <f>LEN(data!AE52)=5</f>
        <v>0</v>
      </c>
      <c r="AR52" s="4" t="b">
        <f>ISERROR(MATCH(data!AF52, rule_mapping!$B$2:$B$3, 0))=FALSE</f>
        <v>0</v>
      </c>
      <c r="AS52" s="4" t="b">
        <f>ISERROR(MATCH(data!AG52, rule_mapping!$A$2:$A$8, 0))=FALSE</f>
        <v>0</v>
      </c>
      <c r="AT52" s="4" t="b">
        <f>LEN(data!AH52)&lt;=4</f>
        <v>1</v>
      </c>
      <c r="AU52" s="4" t="b">
        <f>LEN(data!AI52)&lt;=10</f>
        <v>1</v>
      </c>
      <c r="AV52" s="4" t="b">
        <f>LEN(data!AJ52)&lt;=35</f>
        <v>1</v>
      </c>
      <c r="AW52" s="4" t="b">
        <f>LEN(data!AK52)&lt;=20</f>
        <v>1</v>
      </c>
      <c r="AX52"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3" spans="1:50" ht="409.5" x14ac:dyDescent="0.15">
      <c r="A53" s="4" t="b">
        <f>OR(ISBLANK(data!B53), AND(B53:AW53))</f>
        <v>1</v>
      </c>
      <c r="B53" s="4" t="b">
        <f>AND(LEFT(TRIM(data!B53), 4)="OOLU", ISNUMBER(RIGHT(TRIM(data!B53), LEN(TRIM(data!B53))-4)+0))</f>
        <v>0</v>
      </c>
      <c r="C53" s="4" t="b">
        <f>LEN(data!C53)&gt;0</f>
        <v>0</v>
      </c>
      <c r="D53" s="4" t="b">
        <f>LEN(data!C53)&lt;=70</f>
        <v>1</v>
      </c>
      <c r="E53" s="4" t="b">
        <f>LEN(data!D53)&gt;0</f>
        <v>0</v>
      </c>
      <c r="F53" s="4" t="b">
        <f>LEN(data!D53)&lt;=140</f>
        <v>1</v>
      </c>
      <c r="G53" s="4" t="b">
        <f>LEN(data!E53)&gt;0</f>
        <v>0</v>
      </c>
      <c r="H53" s="4" t="b">
        <f>LEN(data!E53)&lt;=35</f>
        <v>1</v>
      </c>
      <c r="I53" s="4" t="b">
        <f>LEN(data!F53)=2</f>
        <v>0</v>
      </c>
      <c r="J53" s="4" t="b">
        <f>LEN(data!G53)&gt;0</f>
        <v>0</v>
      </c>
      <c r="K53" s="4" t="b">
        <f>LEN(data!G53)&lt;=60</f>
        <v>1</v>
      </c>
      <c r="L53" s="4" t="b">
        <f>LEN(data!I53)&gt;0</f>
        <v>0</v>
      </c>
      <c r="M53" s="4" t="b">
        <f>LEN(data!I53)&lt;=70</f>
        <v>1</v>
      </c>
      <c r="N53" s="4" t="b">
        <f>LEN(data!J53)&gt;0</f>
        <v>0</v>
      </c>
      <c r="O53" s="4" t="b">
        <f>LEN(data!J53)&lt;=140</f>
        <v>1</v>
      </c>
      <c r="P53" s="4" t="b">
        <f>LEN(data!K53)&gt;0</f>
        <v>0</v>
      </c>
      <c r="Q53" s="4" t="b">
        <f>LEN(data!K53)&lt;=35</f>
        <v>1</v>
      </c>
      <c r="R53" s="4" t="b">
        <f>LEN(data!L53)=2</f>
        <v>0</v>
      </c>
      <c r="S53" s="4" t="b">
        <f>LEN(data!M53)&gt;0</f>
        <v>0</v>
      </c>
      <c r="T53" s="4" t="b">
        <f>LEN(data!M53)&lt;=60</f>
        <v>1</v>
      </c>
      <c r="U53" s="4" t="b">
        <f>LEN(data!O53)&gt;0</f>
        <v>0</v>
      </c>
      <c r="V53" s="4" t="b">
        <f>LEN(data!O53)&lt;=70</f>
        <v>1</v>
      </c>
      <c r="W53" s="4" t="b">
        <f>LEN(data!P53)&gt;0</f>
        <v>0</v>
      </c>
      <c r="X53" s="4" t="b">
        <f>LEN(data!P53)&lt;=140</f>
        <v>1</v>
      </c>
      <c r="Y53" s="4" t="b">
        <f>LEN(data!Q53)&gt;0</f>
        <v>0</v>
      </c>
      <c r="Z53" s="4" t="b">
        <f>LEN(data!Q53)&lt;=35</f>
        <v>1</v>
      </c>
      <c r="AA53" s="4" t="b">
        <f>LEN(data!R53)=2</f>
        <v>0</v>
      </c>
      <c r="AB53" s="4" t="b">
        <f>LEN(data!S53)&gt;0</f>
        <v>0</v>
      </c>
      <c r="AC53" s="4" t="b">
        <f>LEN(data!S53)&lt;=120</f>
        <v>1</v>
      </c>
      <c r="AD53" s="4" t="b">
        <f>LEN(data!U53)=11</f>
        <v>0</v>
      </c>
      <c r="AE53" s="4" t="b">
        <f>AND(ISERROR(MATCH(data!V53, rule_mapping!$C$2:$C$325, 0))=FALSE, LEN(data!V53) &lt;= 4)</f>
        <v>0</v>
      </c>
      <c r="AF53" s="4" t="b">
        <f>LEN(data!W53)&gt;0</f>
        <v>0</v>
      </c>
      <c r="AG53" s="4" t="b">
        <f>LEN(data!W53)&lt;=20</f>
        <v>1</v>
      </c>
      <c r="AH53" s="4" t="b">
        <f xml:space="preserve"> IFERROR(ISNUMBER(data!X53), FALSE)</f>
        <v>0</v>
      </c>
      <c r="AI53" s="4" t="b">
        <f>IF(ISERROR(MATCH(data!Y53, rule_mapping!$D$2:$D$252, 0))=FALSE,TRUE, FALSE)</f>
        <v>0</v>
      </c>
      <c r="AJ53" s="4" t="b">
        <f>IFERROR(ISNUMBER(data!Z53), FALSE)</f>
        <v>0</v>
      </c>
      <c r="AK53" s="4" t="b">
        <f>IFERROR(ISNUMBER(data!AA53), FALSE)</f>
        <v>0</v>
      </c>
      <c r="AL53" s="4" t="b">
        <f>LEN(data!AB53)&lt;=90</f>
        <v>1</v>
      </c>
      <c r="AM53" s="4" t="b">
        <f>LEN(data!AC53)&gt;0</f>
        <v>0</v>
      </c>
      <c r="AN53" s="4" t="b">
        <f>LEN(data!AC53)&lt;=2000</f>
        <v>1</v>
      </c>
      <c r="AO53" s="4" t="b">
        <f>IF(LEN(data!AD53)=0,TRUE,IF(LEN(data!AD53)=5,TRUE,FALSE))</f>
        <v>1</v>
      </c>
      <c r="AP53" s="4" t="b">
        <f>LEN(data!AE53)&gt;0</f>
        <v>0</v>
      </c>
      <c r="AQ53" s="4" t="b">
        <f>LEN(data!AE53)=5</f>
        <v>0</v>
      </c>
      <c r="AR53" s="4" t="b">
        <f>ISERROR(MATCH(data!AF53, rule_mapping!$B$2:$B$3, 0))=FALSE</f>
        <v>0</v>
      </c>
      <c r="AS53" s="4" t="b">
        <f>ISERROR(MATCH(data!AG53, rule_mapping!$A$2:$A$8, 0))=FALSE</f>
        <v>0</v>
      </c>
      <c r="AT53" s="4" t="b">
        <f>LEN(data!AH53)&lt;=4</f>
        <v>1</v>
      </c>
      <c r="AU53" s="4" t="b">
        <f>LEN(data!AI53)&lt;=10</f>
        <v>1</v>
      </c>
      <c r="AV53" s="4" t="b">
        <f>LEN(data!AJ53)&lt;=35</f>
        <v>1</v>
      </c>
      <c r="AW53" s="4" t="b">
        <f>LEN(data!AK53)&lt;=20</f>
        <v>1</v>
      </c>
      <c r="AX53"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4" spans="1:50" ht="409.5" x14ac:dyDescent="0.15">
      <c r="A54" s="4" t="b">
        <f>OR(ISBLANK(data!B54), AND(B54:AW54))</f>
        <v>1</v>
      </c>
      <c r="B54" s="4" t="b">
        <f>AND(LEFT(TRIM(data!B54), 4)="OOLU", ISNUMBER(RIGHT(TRIM(data!B54), LEN(TRIM(data!B54))-4)+0))</f>
        <v>0</v>
      </c>
      <c r="C54" s="4" t="b">
        <f>LEN(data!C54)&gt;0</f>
        <v>0</v>
      </c>
      <c r="D54" s="4" t="b">
        <f>LEN(data!C54)&lt;=70</f>
        <v>1</v>
      </c>
      <c r="E54" s="4" t="b">
        <f>LEN(data!D54)&gt;0</f>
        <v>0</v>
      </c>
      <c r="F54" s="4" t="b">
        <f>LEN(data!D54)&lt;=140</f>
        <v>1</v>
      </c>
      <c r="G54" s="4" t="b">
        <f>LEN(data!E54)&gt;0</f>
        <v>0</v>
      </c>
      <c r="H54" s="4" t="b">
        <f>LEN(data!E54)&lt;=35</f>
        <v>1</v>
      </c>
      <c r="I54" s="4" t="b">
        <f>LEN(data!F54)=2</f>
        <v>0</v>
      </c>
      <c r="J54" s="4" t="b">
        <f>LEN(data!G54)&gt;0</f>
        <v>0</v>
      </c>
      <c r="K54" s="4" t="b">
        <f>LEN(data!G54)&lt;=60</f>
        <v>1</v>
      </c>
      <c r="L54" s="4" t="b">
        <f>LEN(data!I54)&gt;0</f>
        <v>0</v>
      </c>
      <c r="M54" s="4" t="b">
        <f>LEN(data!I54)&lt;=70</f>
        <v>1</v>
      </c>
      <c r="N54" s="4" t="b">
        <f>LEN(data!J54)&gt;0</f>
        <v>0</v>
      </c>
      <c r="O54" s="4" t="b">
        <f>LEN(data!J54)&lt;=140</f>
        <v>1</v>
      </c>
      <c r="P54" s="4" t="b">
        <f>LEN(data!K54)&gt;0</f>
        <v>0</v>
      </c>
      <c r="Q54" s="4" t="b">
        <f>LEN(data!K54)&lt;=35</f>
        <v>1</v>
      </c>
      <c r="R54" s="4" t="b">
        <f>LEN(data!L54)=2</f>
        <v>0</v>
      </c>
      <c r="S54" s="4" t="b">
        <f>LEN(data!M54)&gt;0</f>
        <v>0</v>
      </c>
      <c r="T54" s="4" t="b">
        <f>LEN(data!M54)&lt;=60</f>
        <v>1</v>
      </c>
      <c r="U54" s="4" t="b">
        <f>LEN(data!O54)&gt;0</f>
        <v>0</v>
      </c>
      <c r="V54" s="4" t="b">
        <f>LEN(data!O54)&lt;=70</f>
        <v>1</v>
      </c>
      <c r="W54" s="4" t="b">
        <f>LEN(data!P54)&gt;0</f>
        <v>0</v>
      </c>
      <c r="X54" s="4" t="b">
        <f>LEN(data!P54)&lt;=140</f>
        <v>1</v>
      </c>
      <c r="Y54" s="4" t="b">
        <f>LEN(data!Q54)&gt;0</f>
        <v>0</v>
      </c>
      <c r="Z54" s="4" t="b">
        <f>LEN(data!Q54)&lt;=35</f>
        <v>1</v>
      </c>
      <c r="AA54" s="4" t="b">
        <f>LEN(data!R54)=2</f>
        <v>0</v>
      </c>
      <c r="AB54" s="4" t="b">
        <f>LEN(data!S54)&gt;0</f>
        <v>0</v>
      </c>
      <c r="AC54" s="4" t="b">
        <f>LEN(data!S54)&lt;=120</f>
        <v>1</v>
      </c>
      <c r="AD54" s="4" t="b">
        <f>LEN(data!U54)=11</f>
        <v>0</v>
      </c>
      <c r="AE54" s="4" t="b">
        <f>AND(ISERROR(MATCH(data!V54, rule_mapping!$C$2:$C$325, 0))=FALSE, LEN(data!V54) &lt;= 4)</f>
        <v>0</v>
      </c>
      <c r="AF54" s="4" t="b">
        <f>LEN(data!W54)&gt;0</f>
        <v>0</v>
      </c>
      <c r="AG54" s="4" t="b">
        <f>LEN(data!W54)&lt;=20</f>
        <v>1</v>
      </c>
      <c r="AH54" s="4" t="b">
        <f xml:space="preserve"> IFERROR(ISNUMBER(data!X54), FALSE)</f>
        <v>0</v>
      </c>
      <c r="AI54" s="4" t="b">
        <f>IF(ISERROR(MATCH(data!Y54, rule_mapping!$D$2:$D$252, 0))=FALSE,TRUE, FALSE)</f>
        <v>0</v>
      </c>
      <c r="AJ54" s="4" t="b">
        <f>IFERROR(ISNUMBER(data!Z54), FALSE)</f>
        <v>0</v>
      </c>
      <c r="AK54" s="4" t="b">
        <f>IFERROR(ISNUMBER(data!AA54), FALSE)</f>
        <v>0</v>
      </c>
      <c r="AL54" s="4" t="b">
        <f>LEN(data!AB54)&lt;=90</f>
        <v>1</v>
      </c>
      <c r="AM54" s="4" t="b">
        <f>LEN(data!AC54)&gt;0</f>
        <v>0</v>
      </c>
      <c r="AN54" s="4" t="b">
        <f>LEN(data!AC54)&lt;=2000</f>
        <v>1</v>
      </c>
      <c r="AO54" s="4" t="b">
        <f>IF(LEN(data!AD54)=0,TRUE,IF(LEN(data!AD54)=5,TRUE,FALSE))</f>
        <v>1</v>
      </c>
      <c r="AP54" s="4" t="b">
        <f>LEN(data!AE54)&gt;0</f>
        <v>0</v>
      </c>
      <c r="AQ54" s="4" t="b">
        <f>LEN(data!AE54)=5</f>
        <v>0</v>
      </c>
      <c r="AR54" s="4" t="b">
        <f>ISERROR(MATCH(data!AF54, rule_mapping!$B$2:$B$3, 0))=FALSE</f>
        <v>0</v>
      </c>
      <c r="AS54" s="4" t="b">
        <f>ISERROR(MATCH(data!AG54, rule_mapping!$A$2:$A$8, 0))=FALSE</f>
        <v>0</v>
      </c>
      <c r="AT54" s="4" t="b">
        <f>LEN(data!AH54)&lt;=4</f>
        <v>1</v>
      </c>
      <c r="AU54" s="4" t="b">
        <f>LEN(data!AI54)&lt;=10</f>
        <v>1</v>
      </c>
      <c r="AV54" s="4" t="b">
        <f>LEN(data!AJ54)&lt;=35</f>
        <v>1</v>
      </c>
      <c r="AW54" s="4" t="b">
        <f>LEN(data!AK54)&lt;=20</f>
        <v>1</v>
      </c>
      <c r="AX54"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5" spans="1:50" ht="409.5" x14ac:dyDescent="0.15">
      <c r="A55" s="4" t="b">
        <f>OR(ISBLANK(data!B55), AND(B55:AW55))</f>
        <v>1</v>
      </c>
      <c r="B55" s="4" t="b">
        <f>AND(LEFT(TRIM(data!B55), 4)="OOLU", ISNUMBER(RIGHT(TRIM(data!B55), LEN(TRIM(data!B55))-4)+0))</f>
        <v>0</v>
      </c>
      <c r="C55" s="4" t="b">
        <f>LEN(data!C55)&gt;0</f>
        <v>0</v>
      </c>
      <c r="D55" s="4" t="b">
        <f>LEN(data!C55)&lt;=70</f>
        <v>1</v>
      </c>
      <c r="E55" s="4" t="b">
        <f>LEN(data!D55)&gt;0</f>
        <v>0</v>
      </c>
      <c r="F55" s="4" t="b">
        <f>LEN(data!D55)&lt;=140</f>
        <v>1</v>
      </c>
      <c r="G55" s="4" t="b">
        <f>LEN(data!E55)&gt;0</f>
        <v>0</v>
      </c>
      <c r="H55" s="4" t="b">
        <f>LEN(data!E55)&lt;=35</f>
        <v>1</v>
      </c>
      <c r="I55" s="4" t="b">
        <f>LEN(data!F55)=2</f>
        <v>0</v>
      </c>
      <c r="J55" s="4" t="b">
        <f>LEN(data!G55)&gt;0</f>
        <v>0</v>
      </c>
      <c r="K55" s="4" t="b">
        <f>LEN(data!G55)&lt;=60</f>
        <v>1</v>
      </c>
      <c r="L55" s="4" t="b">
        <f>LEN(data!I55)&gt;0</f>
        <v>0</v>
      </c>
      <c r="M55" s="4" t="b">
        <f>LEN(data!I55)&lt;=70</f>
        <v>1</v>
      </c>
      <c r="N55" s="4" t="b">
        <f>LEN(data!J55)&gt;0</f>
        <v>0</v>
      </c>
      <c r="O55" s="4" t="b">
        <f>LEN(data!J55)&lt;=140</f>
        <v>1</v>
      </c>
      <c r="P55" s="4" t="b">
        <f>LEN(data!K55)&gt;0</f>
        <v>0</v>
      </c>
      <c r="Q55" s="4" t="b">
        <f>LEN(data!K55)&lt;=35</f>
        <v>1</v>
      </c>
      <c r="R55" s="4" t="b">
        <f>LEN(data!L55)=2</f>
        <v>0</v>
      </c>
      <c r="S55" s="4" t="b">
        <f>LEN(data!M55)&gt;0</f>
        <v>0</v>
      </c>
      <c r="T55" s="4" t="b">
        <f>LEN(data!M55)&lt;=60</f>
        <v>1</v>
      </c>
      <c r="U55" s="4" t="b">
        <f>LEN(data!O55)&gt;0</f>
        <v>0</v>
      </c>
      <c r="V55" s="4" t="b">
        <f>LEN(data!O55)&lt;=70</f>
        <v>1</v>
      </c>
      <c r="W55" s="4" t="b">
        <f>LEN(data!P55)&gt;0</f>
        <v>0</v>
      </c>
      <c r="X55" s="4" t="b">
        <f>LEN(data!P55)&lt;=140</f>
        <v>1</v>
      </c>
      <c r="Y55" s="4" t="b">
        <f>LEN(data!Q55)&gt;0</f>
        <v>0</v>
      </c>
      <c r="Z55" s="4" t="b">
        <f>LEN(data!Q55)&lt;=35</f>
        <v>1</v>
      </c>
      <c r="AA55" s="4" t="b">
        <f>LEN(data!R55)=2</f>
        <v>0</v>
      </c>
      <c r="AB55" s="4" t="b">
        <f>LEN(data!S55)&gt;0</f>
        <v>0</v>
      </c>
      <c r="AC55" s="4" t="b">
        <f>LEN(data!S55)&lt;=120</f>
        <v>1</v>
      </c>
      <c r="AD55" s="4" t="b">
        <f>LEN(data!U55)=11</f>
        <v>0</v>
      </c>
      <c r="AE55" s="4" t="b">
        <f>AND(ISERROR(MATCH(data!V55, rule_mapping!$C$2:$C$325, 0))=FALSE, LEN(data!V55) &lt;= 4)</f>
        <v>0</v>
      </c>
      <c r="AF55" s="4" t="b">
        <f>LEN(data!W55)&gt;0</f>
        <v>0</v>
      </c>
      <c r="AG55" s="4" t="b">
        <f>LEN(data!W55)&lt;=20</f>
        <v>1</v>
      </c>
      <c r="AH55" s="4" t="b">
        <f xml:space="preserve"> IFERROR(ISNUMBER(data!X55), FALSE)</f>
        <v>0</v>
      </c>
      <c r="AI55" s="4" t="b">
        <f>IF(ISERROR(MATCH(data!Y55, rule_mapping!$D$2:$D$252, 0))=FALSE,TRUE, FALSE)</f>
        <v>0</v>
      </c>
      <c r="AJ55" s="4" t="b">
        <f>IFERROR(ISNUMBER(data!Z55), FALSE)</f>
        <v>0</v>
      </c>
      <c r="AK55" s="4" t="b">
        <f>IFERROR(ISNUMBER(data!AA55), FALSE)</f>
        <v>0</v>
      </c>
      <c r="AL55" s="4" t="b">
        <f>LEN(data!AB55)&lt;=90</f>
        <v>1</v>
      </c>
      <c r="AM55" s="4" t="b">
        <f>LEN(data!AC55)&gt;0</f>
        <v>0</v>
      </c>
      <c r="AN55" s="4" t="b">
        <f>LEN(data!AC55)&lt;=2000</f>
        <v>1</v>
      </c>
      <c r="AO55" s="4" t="b">
        <f>IF(LEN(data!AD55)=0,TRUE,IF(LEN(data!AD55)=5,TRUE,FALSE))</f>
        <v>1</v>
      </c>
      <c r="AP55" s="4" t="b">
        <f>LEN(data!AE55)&gt;0</f>
        <v>0</v>
      </c>
      <c r="AQ55" s="4" t="b">
        <f>LEN(data!AE55)=5</f>
        <v>0</v>
      </c>
      <c r="AR55" s="4" t="b">
        <f>ISERROR(MATCH(data!AF55, rule_mapping!$B$2:$B$3, 0))=FALSE</f>
        <v>0</v>
      </c>
      <c r="AS55" s="4" t="b">
        <f>ISERROR(MATCH(data!AG55, rule_mapping!$A$2:$A$8, 0))=FALSE</f>
        <v>0</v>
      </c>
      <c r="AT55" s="4" t="b">
        <f>LEN(data!AH55)&lt;=4</f>
        <v>1</v>
      </c>
      <c r="AU55" s="4" t="b">
        <f>LEN(data!AI55)&lt;=10</f>
        <v>1</v>
      </c>
      <c r="AV55" s="4" t="b">
        <f>LEN(data!AJ55)&lt;=35</f>
        <v>1</v>
      </c>
      <c r="AW55" s="4" t="b">
        <f>LEN(data!AK55)&lt;=20</f>
        <v>1</v>
      </c>
      <c r="AX55"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6" spans="1:50" ht="409.5" x14ac:dyDescent="0.15">
      <c r="A56" s="4" t="b">
        <f>OR(ISBLANK(data!B56), AND(B56:AW56))</f>
        <v>1</v>
      </c>
      <c r="B56" s="4" t="b">
        <f>AND(LEFT(TRIM(data!B56), 4)="OOLU", ISNUMBER(RIGHT(TRIM(data!B56), LEN(TRIM(data!B56))-4)+0))</f>
        <v>0</v>
      </c>
      <c r="C56" s="4" t="b">
        <f>LEN(data!C56)&gt;0</f>
        <v>0</v>
      </c>
      <c r="D56" s="4" t="b">
        <f>LEN(data!C56)&lt;=70</f>
        <v>1</v>
      </c>
      <c r="E56" s="4" t="b">
        <f>LEN(data!D56)&gt;0</f>
        <v>0</v>
      </c>
      <c r="F56" s="4" t="b">
        <f>LEN(data!D56)&lt;=140</f>
        <v>1</v>
      </c>
      <c r="G56" s="4" t="b">
        <f>LEN(data!E56)&gt;0</f>
        <v>0</v>
      </c>
      <c r="H56" s="4" t="b">
        <f>LEN(data!E56)&lt;=35</f>
        <v>1</v>
      </c>
      <c r="I56" s="4" t="b">
        <f>LEN(data!F56)=2</f>
        <v>0</v>
      </c>
      <c r="J56" s="4" t="b">
        <f>LEN(data!G56)&gt;0</f>
        <v>0</v>
      </c>
      <c r="K56" s="4" t="b">
        <f>LEN(data!G56)&lt;=60</f>
        <v>1</v>
      </c>
      <c r="L56" s="4" t="b">
        <f>LEN(data!I56)&gt;0</f>
        <v>0</v>
      </c>
      <c r="M56" s="4" t="b">
        <f>LEN(data!I56)&lt;=70</f>
        <v>1</v>
      </c>
      <c r="N56" s="4" t="b">
        <f>LEN(data!J56)&gt;0</f>
        <v>0</v>
      </c>
      <c r="O56" s="4" t="b">
        <f>LEN(data!J56)&lt;=140</f>
        <v>1</v>
      </c>
      <c r="P56" s="4" t="b">
        <f>LEN(data!K56)&gt;0</f>
        <v>0</v>
      </c>
      <c r="Q56" s="4" t="b">
        <f>LEN(data!K56)&lt;=35</f>
        <v>1</v>
      </c>
      <c r="R56" s="4" t="b">
        <f>LEN(data!L56)=2</f>
        <v>0</v>
      </c>
      <c r="S56" s="4" t="b">
        <f>LEN(data!M56)&gt;0</f>
        <v>0</v>
      </c>
      <c r="T56" s="4" t="b">
        <f>LEN(data!M56)&lt;=60</f>
        <v>1</v>
      </c>
      <c r="U56" s="4" t="b">
        <f>LEN(data!O56)&gt;0</f>
        <v>0</v>
      </c>
      <c r="V56" s="4" t="b">
        <f>LEN(data!O56)&lt;=70</f>
        <v>1</v>
      </c>
      <c r="W56" s="4" t="b">
        <f>LEN(data!P56)&gt;0</f>
        <v>0</v>
      </c>
      <c r="X56" s="4" t="b">
        <f>LEN(data!P56)&lt;=140</f>
        <v>1</v>
      </c>
      <c r="Y56" s="4" t="b">
        <f>LEN(data!Q56)&gt;0</f>
        <v>0</v>
      </c>
      <c r="Z56" s="4" t="b">
        <f>LEN(data!Q56)&lt;=35</f>
        <v>1</v>
      </c>
      <c r="AA56" s="4" t="b">
        <f>LEN(data!R56)=2</f>
        <v>0</v>
      </c>
      <c r="AB56" s="4" t="b">
        <f>LEN(data!S56)&gt;0</f>
        <v>0</v>
      </c>
      <c r="AC56" s="4" t="b">
        <f>LEN(data!S56)&lt;=120</f>
        <v>1</v>
      </c>
      <c r="AD56" s="4" t="b">
        <f>LEN(data!U56)=11</f>
        <v>0</v>
      </c>
      <c r="AE56" s="4" t="b">
        <f>AND(ISERROR(MATCH(data!V56, rule_mapping!$C$2:$C$325, 0))=FALSE, LEN(data!V56) &lt;= 4)</f>
        <v>0</v>
      </c>
      <c r="AF56" s="4" t="b">
        <f>LEN(data!W56)&gt;0</f>
        <v>0</v>
      </c>
      <c r="AG56" s="4" t="b">
        <f>LEN(data!W56)&lt;=20</f>
        <v>1</v>
      </c>
      <c r="AH56" s="4" t="b">
        <f xml:space="preserve"> IFERROR(ISNUMBER(data!X56), FALSE)</f>
        <v>0</v>
      </c>
      <c r="AI56" s="4" t="b">
        <f>IF(ISERROR(MATCH(data!Y56, rule_mapping!$D$2:$D$252, 0))=FALSE,TRUE, FALSE)</f>
        <v>0</v>
      </c>
      <c r="AJ56" s="4" t="b">
        <f>IFERROR(ISNUMBER(data!Z56), FALSE)</f>
        <v>0</v>
      </c>
      <c r="AK56" s="4" t="b">
        <f>IFERROR(ISNUMBER(data!AA56), FALSE)</f>
        <v>0</v>
      </c>
      <c r="AL56" s="4" t="b">
        <f>LEN(data!AB56)&lt;=90</f>
        <v>1</v>
      </c>
      <c r="AM56" s="4" t="b">
        <f>LEN(data!AC56)&gt;0</f>
        <v>0</v>
      </c>
      <c r="AN56" s="4" t="b">
        <f>LEN(data!AC56)&lt;=2000</f>
        <v>1</v>
      </c>
      <c r="AO56" s="4" t="b">
        <f>IF(LEN(data!AD56)=0,TRUE,IF(LEN(data!AD56)=5,TRUE,FALSE))</f>
        <v>1</v>
      </c>
      <c r="AP56" s="4" t="b">
        <f>LEN(data!AE56)&gt;0</f>
        <v>0</v>
      </c>
      <c r="AQ56" s="4" t="b">
        <f>LEN(data!AE56)=5</f>
        <v>0</v>
      </c>
      <c r="AR56" s="4" t="b">
        <f>ISERROR(MATCH(data!AF56, rule_mapping!$B$2:$B$3, 0))=FALSE</f>
        <v>0</v>
      </c>
      <c r="AS56" s="4" t="b">
        <f>ISERROR(MATCH(data!AG56, rule_mapping!$A$2:$A$8, 0))=FALSE</f>
        <v>0</v>
      </c>
      <c r="AT56" s="4" t="b">
        <f>LEN(data!AH56)&lt;=4</f>
        <v>1</v>
      </c>
      <c r="AU56" s="4" t="b">
        <f>LEN(data!AI56)&lt;=10</f>
        <v>1</v>
      </c>
      <c r="AV56" s="4" t="b">
        <f>LEN(data!AJ56)&lt;=35</f>
        <v>1</v>
      </c>
      <c r="AW56" s="4" t="b">
        <f>LEN(data!AK56)&lt;=20</f>
        <v>1</v>
      </c>
      <c r="AX56"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7" spans="1:50" ht="409.5" x14ac:dyDescent="0.15">
      <c r="A57" s="4" t="b">
        <f>OR(ISBLANK(data!B57), AND(B57:AW57))</f>
        <v>1</v>
      </c>
      <c r="B57" s="4" t="b">
        <f>AND(LEFT(TRIM(data!B57), 4)="OOLU", ISNUMBER(RIGHT(TRIM(data!B57), LEN(TRIM(data!B57))-4)+0))</f>
        <v>0</v>
      </c>
      <c r="C57" s="4" t="b">
        <f>LEN(data!C57)&gt;0</f>
        <v>0</v>
      </c>
      <c r="D57" s="4" t="b">
        <f>LEN(data!C57)&lt;=70</f>
        <v>1</v>
      </c>
      <c r="E57" s="4" t="b">
        <f>LEN(data!D57)&gt;0</f>
        <v>0</v>
      </c>
      <c r="F57" s="4" t="b">
        <f>LEN(data!D57)&lt;=140</f>
        <v>1</v>
      </c>
      <c r="G57" s="4" t="b">
        <f>LEN(data!E57)&gt;0</f>
        <v>0</v>
      </c>
      <c r="H57" s="4" t="b">
        <f>LEN(data!E57)&lt;=35</f>
        <v>1</v>
      </c>
      <c r="I57" s="4" t="b">
        <f>LEN(data!F57)=2</f>
        <v>0</v>
      </c>
      <c r="J57" s="4" t="b">
        <f>LEN(data!G57)&gt;0</f>
        <v>0</v>
      </c>
      <c r="K57" s="4" t="b">
        <f>LEN(data!G57)&lt;=60</f>
        <v>1</v>
      </c>
      <c r="L57" s="4" t="b">
        <f>LEN(data!I57)&gt;0</f>
        <v>0</v>
      </c>
      <c r="M57" s="4" t="b">
        <f>LEN(data!I57)&lt;=70</f>
        <v>1</v>
      </c>
      <c r="N57" s="4" t="b">
        <f>LEN(data!J57)&gt;0</f>
        <v>0</v>
      </c>
      <c r="O57" s="4" t="b">
        <f>LEN(data!J57)&lt;=140</f>
        <v>1</v>
      </c>
      <c r="P57" s="4" t="b">
        <f>LEN(data!K57)&gt;0</f>
        <v>0</v>
      </c>
      <c r="Q57" s="4" t="b">
        <f>LEN(data!K57)&lt;=35</f>
        <v>1</v>
      </c>
      <c r="R57" s="4" t="b">
        <f>LEN(data!L57)=2</f>
        <v>0</v>
      </c>
      <c r="S57" s="4" t="b">
        <f>LEN(data!M57)&gt;0</f>
        <v>0</v>
      </c>
      <c r="T57" s="4" t="b">
        <f>LEN(data!M57)&lt;=60</f>
        <v>1</v>
      </c>
      <c r="U57" s="4" t="b">
        <f>LEN(data!O57)&gt;0</f>
        <v>0</v>
      </c>
      <c r="V57" s="4" t="b">
        <f>LEN(data!O57)&lt;=70</f>
        <v>1</v>
      </c>
      <c r="W57" s="4" t="b">
        <f>LEN(data!P57)&gt;0</f>
        <v>0</v>
      </c>
      <c r="X57" s="4" t="b">
        <f>LEN(data!P57)&lt;=140</f>
        <v>1</v>
      </c>
      <c r="Y57" s="4" t="b">
        <f>LEN(data!Q57)&gt;0</f>
        <v>0</v>
      </c>
      <c r="Z57" s="4" t="b">
        <f>LEN(data!Q57)&lt;=35</f>
        <v>1</v>
      </c>
      <c r="AA57" s="4" t="b">
        <f>LEN(data!R57)=2</f>
        <v>0</v>
      </c>
      <c r="AB57" s="4" t="b">
        <f>LEN(data!S57)&gt;0</f>
        <v>0</v>
      </c>
      <c r="AC57" s="4" t="b">
        <f>LEN(data!S57)&lt;=120</f>
        <v>1</v>
      </c>
      <c r="AD57" s="4" t="b">
        <f>LEN(data!U57)=11</f>
        <v>0</v>
      </c>
      <c r="AE57" s="4" t="b">
        <f>AND(ISERROR(MATCH(data!V57, rule_mapping!$C$2:$C$325, 0))=FALSE, LEN(data!V57) &lt;= 4)</f>
        <v>0</v>
      </c>
      <c r="AF57" s="4" t="b">
        <f>LEN(data!W57)&gt;0</f>
        <v>0</v>
      </c>
      <c r="AG57" s="4" t="b">
        <f>LEN(data!W57)&lt;=20</f>
        <v>1</v>
      </c>
      <c r="AH57" s="4" t="b">
        <f xml:space="preserve"> IFERROR(ISNUMBER(data!X57), FALSE)</f>
        <v>0</v>
      </c>
      <c r="AI57" s="4" t="b">
        <f>IF(ISERROR(MATCH(data!Y57, rule_mapping!$D$2:$D$252, 0))=FALSE,TRUE, FALSE)</f>
        <v>0</v>
      </c>
      <c r="AJ57" s="4" t="b">
        <f>IFERROR(ISNUMBER(data!Z57), FALSE)</f>
        <v>0</v>
      </c>
      <c r="AK57" s="4" t="b">
        <f>IFERROR(ISNUMBER(data!AA57), FALSE)</f>
        <v>0</v>
      </c>
      <c r="AL57" s="4" t="b">
        <f>LEN(data!AB57)&lt;=90</f>
        <v>1</v>
      </c>
      <c r="AM57" s="4" t="b">
        <f>LEN(data!AC57)&gt;0</f>
        <v>0</v>
      </c>
      <c r="AN57" s="4" t="b">
        <f>LEN(data!AC57)&lt;=2000</f>
        <v>1</v>
      </c>
      <c r="AO57" s="4" t="b">
        <f>IF(LEN(data!AD57)=0,TRUE,IF(LEN(data!AD57)=5,TRUE,FALSE))</f>
        <v>1</v>
      </c>
      <c r="AP57" s="4" t="b">
        <f>LEN(data!AE57)&gt;0</f>
        <v>0</v>
      </c>
      <c r="AQ57" s="4" t="b">
        <f>LEN(data!AE57)=5</f>
        <v>0</v>
      </c>
      <c r="AR57" s="4" t="b">
        <f>ISERROR(MATCH(data!AF57, rule_mapping!$B$2:$B$3, 0))=FALSE</f>
        <v>0</v>
      </c>
      <c r="AS57" s="4" t="b">
        <f>ISERROR(MATCH(data!AG57, rule_mapping!$A$2:$A$8, 0))=FALSE</f>
        <v>0</v>
      </c>
      <c r="AT57" s="4" t="b">
        <f>LEN(data!AH57)&lt;=4</f>
        <v>1</v>
      </c>
      <c r="AU57" s="4" t="b">
        <f>LEN(data!AI57)&lt;=10</f>
        <v>1</v>
      </c>
      <c r="AV57" s="4" t="b">
        <f>LEN(data!AJ57)&lt;=35</f>
        <v>1</v>
      </c>
      <c r="AW57" s="4" t="b">
        <f>LEN(data!AK57)&lt;=20</f>
        <v>1</v>
      </c>
      <c r="AX57"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8" spans="1:50" ht="409.5" x14ac:dyDescent="0.15">
      <c r="A58" s="4" t="b">
        <f>OR(ISBLANK(data!B58), AND(B58:AW58))</f>
        <v>1</v>
      </c>
      <c r="B58" s="4" t="b">
        <f>AND(LEFT(TRIM(data!B58), 4)="OOLU", ISNUMBER(RIGHT(TRIM(data!B58), LEN(TRIM(data!B58))-4)+0))</f>
        <v>0</v>
      </c>
      <c r="C58" s="4" t="b">
        <f>LEN(data!C58)&gt;0</f>
        <v>0</v>
      </c>
      <c r="D58" s="4" t="b">
        <f>LEN(data!C58)&lt;=70</f>
        <v>1</v>
      </c>
      <c r="E58" s="4" t="b">
        <f>LEN(data!D58)&gt;0</f>
        <v>0</v>
      </c>
      <c r="F58" s="4" t="b">
        <f>LEN(data!D58)&lt;=140</f>
        <v>1</v>
      </c>
      <c r="G58" s="4" t="b">
        <f>LEN(data!E58)&gt;0</f>
        <v>0</v>
      </c>
      <c r="H58" s="4" t="b">
        <f>LEN(data!E58)&lt;=35</f>
        <v>1</v>
      </c>
      <c r="I58" s="4" t="b">
        <f>LEN(data!F58)=2</f>
        <v>0</v>
      </c>
      <c r="J58" s="4" t="b">
        <f>LEN(data!G58)&gt;0</f>
        <v>0</v>
      </c>
      <c r="K58" s="4" t="b">
        <f>LEN(data!G58)&lt;=60</f>
        <v>1</v>
      </c>
      <c r="L58" s="4" t="b">
        <f>LEN(data!I58)&gt;0</f>
        <v>0</v>
      </c>
      <c r="M58" s="4" t="b">
        <f>LEN(data!I58)&lt;=70</f>
        <v>1</v>
      </c>
      <c r="N58" s="4" t="b">
        <f>LEN(data!J58)&gt;0</f>
        <v>0</v>
      </c>
      <c r="O58" s="4" t="b">
        <f>LEN(data!J58)&lt;=140</f>
        <v>1</v>
      </c>
      <c r="P58" s="4" t="b">
        <f>LEN(data!K58)&gt;0</f>
        <v>0</v>
      </c>
      <c r="Q58" s="4" t="b">
        <f>LEN(data!K58)&lt;=35</f>
        <v>1</v>
      </c>
      <c r="R58" s="4" t="b">
        <f>LEN(data!L58)=2</f>
        <v>0</v>
      </c>
      <c r="S58" s="4" t="b">
        <f>LEN(data!M58)&gt;0</f>
        <v>0</v>
      </c>
      <c r="T58" s="4" t="b">
        <f>LEN(data!M58)&lt;=60</f>
        <v>1</v>
      </c>
      <c r="U58" s="4" t="b">
        <f>LEN(data!O58)&gt;0</f>
        <v>0</v>
      </c>
      <c r="V58" s="4" t="b">
        <f>LEN(data!O58)&lt;=70</f>
        <v>1</v>
      </c>
      <c r="W58" s="4" t="b">
        <f>LEN(data!P58)&gt;0</f>
        <v>0</v>
      </c>
      <c r="X58" s="4" t="b">
        <f>LEN(data!P58)&lt;=140</f>
        <v>1</v>
      </c>
      <c r="Y58" s="4" t="b">
        <f>LEN(data!Q58)&gt;0</f>
        <v>0</v>
      </c>
      <c r="Z58" s="4" t="b">
        <f>LEN(data!Q58)&lt;=35</f>
        <v>1</v>
      </c>
      <c r="AA58" s="4" t="b">
        <f>LEN(data!R58)=2</f>
        <v>0</v>
      </c>
      <c r="AB58" s="4" t="b">
        <f>LEN(data!S58)&gt;0</f>
        <v>0</v>
      </c>
      <c r="AC58" s="4" t="b">
        <f>LEN(data!S58)&lt;=120</f>
        <v>1</v>
      </c>
      <c r="AD58" s="4" t="b">
        <f>LEN(data!U58)=11</f>
        <v>0</v>
      </c>
      <c r="AE58" s="4" t="b">
        <f>AND(ISERROR(MATCH(data!V58, rule_mapping!$C$2:$C$325, 0))=FALSE, LEN(data!V58) &lt;= 4)</f>
        <v>0</v>
      </c>
      <c r="AF58" s="4" t="b">
        <f>LEN(data!W58)&gt;0</f>
        <v>0</v>
      </c>
      <c r="AG58" s="4" t="b">
        <f>LEN(data!W58)&lt;=20</f>
        <v>1</v>
      </c>
      <c r="AH58" s="4" t="b">
        <f xml:space="preserve"> IFERROR(ISNUMBER(data!X58), FALSE)</f>
        <v>0</v>
      </c>
      <c r="AI58" s="4" t="b">
        <f>IF(ISERROR(MATCH(data!Y58, rule_mapping!$D$2:$D$252, 0))=FALSE,TRUE, FALSE)</f>
        <v>0</v>
      </c>
      <c r="AJ58" s="4" t="b">
        <f>IFERROR(ISNUMBER(data!Z58), FALSE)</f>
        <v>0</v>
      </c>
      <c r="AK58" s="4" t="b">
        <f>IFERROR(ISNUMBER(data!AA58), FALSE)</f>
        <v>0</v>
      </c>
      <c r="AL58" s="4" t="b">
        <f>LEN(data!AB58)&lt;=90</f>
        <v>1</v>
      </c>
      <c r="AM58" s="4" t="b">
        <f>LEN(data!AC58)&gt;0</f>
        <v>0</v>
      </c>
      <c r="AN58" s="4" t="b">
        <f>LEN(data!AC58)&lt;=2000</f>
        <v>1</v>
      </c>
      <c r="AO58" s="4" t="b">
        <f>IF(LEN(data!AD58)=0,TRUE,IF(LEN(data!AD58)=5,TRUE,FALSE))</f>
        <v>1</v>
      </c>
      <c r="AP58" s="4" t="b">
        <f>LEN(data!AE58)&gt;0</f>
        <v>0</v>
      </c>
      <c r="AQ58" s="4" t="b">
        <f>LEN(data!AE58)=5</f>
        <v>0</v>
      </c>
      <c r="AR58" s="4" t="b">
        <f>ISERROR(MATCH(data!AF58, rule_mapping!$B$2:$B$3, 0))=FALSE</f>
        <v>0</v>
      </c>
      <c r="AS58" s="4" t="b">
        <f>ISERROR(MATCH(data!AG58, rule_mapping!$A$2:$A$8, 0))=FALSE</f>
        <v>0</v>
      </c>
      <c r="AT58" s="4" t="b">
        <f>LEN(data!AH58)&lt;=4</f>
        <v>1</v>
      </c>
      <c r="AU58" s="4" t="b">
        <f>LEN(data!AI58)&lt;=10</f>
        <v>1</v>
      </c>
      <c r="AV58" s="4" t="b">
        <f>LEN(data!AJ58)&lt;=35</f>
        <v>1</v>
      </c>
      <c r="AW58" s="4" t="b">
        <f>LEN(data!AK58)&lt;=20</f>
        <v>1</v>
      </c>
      <c r="AX58"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59" spans="1:50" ht="409.5" x14ac:dyDescent="0.15">
      <c r="A59" s="4" t="b">
        <f>OR(ISBLANK(data!B59), AND(B59:AW59))</f>
        <v>1</v>
      </c>
      <c r="B59" s="4" t="b">
        <f>AND(LEFT(TRIM(data!B59), 4)="OOLU", ISNUMBER(RIGHT(TRIM(data!B59), LEN(TRIM(data!B59))-4)+0))</f>
        <v>0</v>
      </c>
      <c r="C59" s="4" t="b">
        <f>LEN(data!C59)&gt;0</f>
        <v>0</v>
      </c>
      <c r="D59" s="4" t="b">
        <f>LEN(data!C59)&lt;=70</f>
        <v>1</v>
      </c>
      <c r="E59" s="4" t="b">
        <f>LEN(data!D59)&gt;0</f>
        <v>0</v>
      </c>
      <c r="F59" s="4" t="b">
        <f>LEN(data!D59)&lt;=140</f>
        <v>1</v>
      </c>
      <c r="G59" s="4" t="b">
        <f>LEN(data!E59)&gt;0</f>
        <v>0</v>
      </c>
      <c r="H59" s="4" t="b">
        <f>LEN(data!E59)&lt;=35</f>
        <v>1</v>
      </c>
      <c r="I59" s="4" t="b">
        <f>LEN(data!F59)=2</f>
        <v>0</v>
      </c>
      <c r="J59" s="4" t="b">
        <f>LEN(data!G59)&gt;0</f>
        <v>0</v>
      </c>
      <c r="K59" s="4" t="b">
        <f>LEN(data!G59)&lt;=60</f>
        <v>1</v>
      </c>
      <c r="L59" s="4" t="b">
        <f>LEN(data!I59)&gt;0</f>
        <v>0</v>
      </c>
      <c r="M59" s="4" t="b">
        <f>LEN(data!I59)&lt;=70</f>
        <v>1</v>
      </c>
      <c r="N59" s="4" t="b">
        <f>LEN(data!J59)&gt;0</f>
        <v>0</v>
      </c>
      <c r="O59" s="4" t="b">
        <f>LEN(data!J59)&lt;=140</f>
        <v>1</v>
      </c>
      <c r="P59" s="4" t="b">
        <f>LEN(data!K59)&gt;0</f>
        <v>0</v>
      </c>
      <c r="Q59" s="4" t="b">
        <f>LEN(data!K59)&lt;=35</f>
        <v>1</v>
      </c>
      <c r="R59" s="4" t="b">
        <f>LEN(data!L59)=2</f>
        <v>0</v>
      </c>
      <c r="S59" s="4" t="b">
        <f>LEN(data!M59)&gt;0</f>
        <v>0</v>
      </c>
      <c r="T59" s="4" t="b">
        <f>LEN(data!M59)&lt;=60</f>
        <v>1</v>
      </c>
      <c r="U59" s="4" t="b">
        <f>LEN(data!O59)&gt;0</f>
        <v>0</v>
      </c>
      <c r="V59" s="4" t="b">
        <f>LEN(data!O59)&lt;=70</f>
        <v>1</v>
      </c>
      <c r="W59" s="4" t="b">
        <f>LEN(data!P59)&gt;0</f>
        <v>0</v>
      </c>
      <c r="X59" s="4" t="b">
        <f>LEN(data!P59)&lt;=140</f>
        <v>1</v>
      </c>
      <c r="Y59" s="4" t="b">
        <f>LEN(data!Q59)&gt;0</f>
        <v>0</v>
      </c>
      <c r="Z59" s="4" t="b">
        <f>LEN(data!Q59)&lt;=35</f>
        <v>1</v>
      </c>
      <c r="AA59" s="4" t="b">
        <f>LEN(data!R59)=2</f>
        <v>0</v>
      </c>
      <c r="AB59" s="4" t="b">
        <f>LEN(data!S59)&gt;0</f>
        <v>0</v>
      </c>
      <c r="AC59" s="4" t="b">
        <f>LEN(data!S59)&lt;=120</f>
        <v>1</v>
      </c>
      <c r="AD59" s="4" t="b">
        <f>LEN(data!U59)=11</f>
        <v>0</v>
      </c>
      <c r="AE59" s="4" t="b">
        <f>AND(ISERROR(MATCH(data!V59, rule_mapping!$C$2:$C$325, 0))=FALSE, LEN(data!V59) &lt;= 4)</f>
        <v>0</v>
      </c>
      <c r="AF59" s="4" t="b">
        <f>LEN(data!W59)&gt;0</f>
        <v>0</v>
      </c>
      <c r="AG59" s="4" t="b">
        <f>LEN(data!W59)&lt;=20</f>
        <v>1</v>
      </c>
      <c r="AH59" s="4" t="b">
        <f xml:space="preserve"> IFERROR(ISNUMBER(data!X59), FALSE)</f>
        <v>0</v>
      </c>
      <c r="AI59" s="4" t="b">
        <f>IF(ISERROR(MATCH(data!Y59, rule_mapping!$D$2:$D$252, 0))=FALSE,TRUE, FALSE)</f>
        <v>0</v>
      </c>
      <c r="AJ59" s="4" t="b">
        <f>IFERROR(ISNUMBER(data!Z59), FALSE)</f>
        <v>0</v>
      </c>
      <c r="AK59" s="4" t="b">
        <f>IFERROR(ISNUMBER(data!AA59), FALSE)</f>
        <v>0</v>
      </c>
      <c r="AL59" s="4" t="b">
        <f>LEN(data!AB59)&lt;=90</f>
        <v>1</v>
      </c>
      <c r="AM59" s="4" t="b">
        <f>LEN(data!AC59)&gt;0</f>
        <v>0</v>
      </c>
      <c r="AN59" s="4" t="b">
        <f>LEN(data!AC59)&lt;=2000</f>
        <v>1</v>
      </c>
      <c r="AO59" s="4" t="b">
        <f>IF(LEN(data!AD59)=0,TRUE,IF(LEN(data!AD59)=5,TRUE,FALSE))</f>
        <v>1</v>
      </c>
      <c r="AP59" s="4" t="b">
        <f>LEN(data!AE59)&gt;0</f>
        <v>0</v>
      </c>
      <c r="AQ59" s="4" t="b">
        <f>LEN(data!AE59)=5</f>
        <v>0</v>
      </c>
      <c r="AR59" s="4" t="b">
        <f>ISERROR(MATCH(data!AF59, rule_mapping!$B$2:$B$3, 0))=FALSE</f>
        <v>0</v>
      </c>
      <c r="AS59" s="4" t="b">
        <f>ISERROR(MATCH(data!AG59, rule_mapping!$A$2:$A$8, 0))=FALSE</f>
        <v>0</v>
      </c>
      <c r="AT59" s="4" t="b">
        <f>LEN(data!AH59)&lt;=4</f>
        <v>1</v>
      </c>
      <c r="AU59" s="4" t="b">
        <f>LEN(data!AI59)&lt;=10</f>
        <v>1</v>
      </c>
      <c r="AV59" s="4" t="b">
        <f>LEN(data!AJ59)&lt;=35</f>
        <v>1</v>
      </c>
      <c r="AW59" s="4" t="b">
        <f>LEN(data!AK59)&lt;=20</f>
        <v>1</v>
      </c>
      <c r="AX59"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0" spans="1:50" ht="409.5" x14ac:dyDescent="0.15">
      <c r="A60" s="4" t="b">
        <f>OR(ISBLANK(data!B60), AND(B60:AW60))</f>
        <v>1</v>
      </c>
      <c r="B60" s="4" t="b">
        <f>AND(LEFT(TRIM(data!B60), 4)="OOLU", ISNUMBER(RIGHT(TRIM(data!B60), LEN(TRIM(data!B60))-4)+0))</f>
        <v>0</v>
      </c>
      <c r="C60" s="4" t="b">
        <f>LEN(data!C60)&gt;0</f>
        <v>0</v>
      </c>
      <c r="D60" s="4" t="b">
        <f>LEN(data!C60)&lt;=70</f>
        <v>1</v>
      </c>
      <c r="E60" s="4" t="b">
        <f>LEN(data!D60)&gt;0</f>
        <v>0</v>
      </c>
      <c r="F60" s="4" t="b">
        <f>LEN(data!D60)&lt;=140</f>
        <v>1</v>
      </c>
      <c r="G60" s="4" t="b">
        <f>LEN(data!E60)&gt;0</f>
        <v>0</v>
      </c>
      <c r="H60" s="4" t="b">
        <f>LEN(data!E60)&lt;=35</f>
        <v>1</v>
      </c>
      <c r="I60" s="4" t="b">
        <f>LEN(data!F60)=2</f>
        <v>0</v>
      </c>
      <c r="J60" s="4" t="b">
        <f>LEN(data!G60)&gt;0</f>
        <v>0</v>
      </c>
      <c r="K60" s="4" t="b">
        <f>LEN(data!G60)&lt;=60</f>
        <v>1</v>
      </c>
      <c r="L60" s="4" t="b">
        <f>LEN(data!I60)&gt;0</f>
        <v>0</v>
      </c>
      <c r="M60" s="4" t="b">
        <f>LEN(data!I60)&lt;=70</f>
        <v>1</v>
      </c>
      <c r="N60" s="4" t="b">
        <f>LEN(data!J60)&gt;0</f>
        <v>0</v>
      </c>
      <c r="O60" s="4" t="b">
        <f>LEN(data!J60)&lt;=140</f>
        <v>1</v>
      </c>
      <c r="P60" s="4" t="b">
        <f>LEN(data!K60)&gt;0</f>
        <v>0</v>
      </c>
      <c r="Q60" s="4" t="b">
        <f>LEN(data!K60)&lt;=35</f>
        <v>1</v>
      </c>
      <c r="R60" s="4" t="b">
        <f>LEN(data!L60)=2</f>
        <v>0</v>
      </c>
      <c r="S60" s="4" t="b">
        <f>LEN(data!M60)&gt;0</f>
        <v>0</v>
      </c>
      <c r="T60" s="4" t="b">
        <f>LEN(data!M60)&lt;=60</f>
        <v>1</v>
      </c>
      <c r="U60" s="4" t="b">
        <f>LEN(data!O60)&gt;0</f>
        <v>0</v>
      </c>
      <c r="V60" s="4" t="b">
        <f>LEN(data!O60)&lt;=70</f>
        <v>1</v>
      </c>
      <c r="W60" s="4" t="b">
        <f>LEN(data!P60)&gt;0</f>
        <v>0</v>
      </c>
      <c r="X60" s="4" t="b">
        <f>LEN(data!P60)&lt;=140</f>
        <v>1</v>
      </c>
      <c r="Y60" s="4" t="b">
        <f>LEN(data!Q60)&gt;0</f>
        <v>0</v>
      </c>
      <c r="Z60" s="4" t="b">
        <f>LEN(data!Q60)&lt;=35</f>
        <v>1</v>
      </c>
      <c r="AA60" s="4" t="b">
        <f>LEN(data!R60)=2</f>
        <v>0</v>
      </c>
      <c r="AB60" s="4" t="b">
        <f>LEN(data!S60)&gt;0</f>
        <v>0</v>
      </c>
      <c r="AC60" s="4" t="b">
        <f>LEN(data!S60)&lt;=120</f>
        <v>1</v>
      </c>
      <c r="AD60" s="4" t="b">
        <f>LEN(data!U60)=11</f>
        <v>0</v>
      </c>
      <c r="AE60" s="4" t="b">
        <f>AND(ISERROR(MATCH(data!V60, rule_mapping!$C$2:$C$325, 0))=FALSE, LEN(data!V60) &lt;= 4)</f>
        <v>0</v>
      </c>
      <c r="AF60" s="4" t="b">
        <f>LEN(data!W60)&gt;0</f>
        <v>0</v>
      </c>
      <c r="AG60" s="4" t="b">
        <f>LEN(data!W60)&lt;=20</f>
        <v>1</v>
      </c>
      <c r="AH60" s="4" t="b">
        <f xml:space="preserve"> IFERROR(ISNUMBER(data!X60), FALSE)</f>
        <v>0</v>
      </c>
      <c r="AI60" s="4" t="b">
        <f>IF(ISERROR(MATCH(data!Y60, rule_mapping!$D$2:$D$252, 0))=FALSE,TRUE, FALSE)</f>
        <v>0</v>
      </c>
      <c r="AJ60" s="4" t="b">
        <f>IFERROR(ISNUMBER(data!Z60), FALSE)</f>
        <v>0</v>
      </c>
      <c r="AK60" s="4" t="b">
        <f>IFERROR(ISNUMBER(data!AA60), FALSE)</f>
        <v>0</v>
      </c>
      <c r="AL60" s="4" t="b">
        <f>LEN(data!AB60)&lt;=90</f>
        <v>1</v>
      </c>
      <c r="AM60" s="4" t="b">
        <f>LEN(data!AC60)&gt;0</f>
        <v>0</v>
      </c>
      <c r="AN60" s="4" t="b">
        <f>LEN(data!AC60)&lt;=2000</f>
        <v>1</v>
      </c>
      <c r="AO60" s="4" t="b">
        <f>IF(LEN(data!AD60)=0,TRUE,IF(LEN(data!AD60)=5,TRUE,FALSE))</f>
        <v>1</v>
      </c>
      <c r="AP60" s="4" t="b">
        <f>LEN(data!AE60)&gt;0</f>
        <v>0</v>
      </c>
      <c r="AQ60" s="4" t="b">
        <f>LEN(data!AE60)=5</f>
        <v>0</v>
      </c>
      <c r="AR60" s="4" t="b">
        <f>ISERROR(MATCH(data!AF60, rule_mapping!$B$2:$B$3, 0))=FALSE</f>
        <v>0</v>
      </c>
      <c r="AS60" s="4" t="b">
        <f>ISERROR(MATCH(data!AG60, rule_mapping!$A$2:$A$8, 0))=FALSE</f>
        <v>0</v>
      </c>
      <c r="AT60" s="4" t="b">
        <f>LEN(data!AH60)&lt;=4</f>
        <v>1</v>
      </c>
      <c r="AU60" s="4" t="b">
        <f>LEN(data!AI60)&lt;=10</f>
        <v>1</v>
      </c>
      <c r="AV60" s="4" t="b">
        <f>LEN(data!AJ60)&lt;=35</f>
        <v>1</v>
      </c>
      <c r="AW60" s="4" t="b">
        <f>LEN(data!AK60)&lt;=20</f>
        <v>1</v>
      </c>
      <c r="AX60"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1" spans="1:50" ht="409.5" x14ac:dyDescent="0.15">
      <c r="A61" s="4" t="b">
        <f>OR(ISBLANK(data!B61), AND(B61:AW61))</f>
        <v>1</v>
      </c>
      <c r="B61" s="4" t="b">
        <f>AND(LEFT(TRIM(data!B61), 4)="OOLU", ISNUMBER(RIGHT(TRIM(data!B61), LEN(TRIM(data!B61))-4)+0))</f>
        <v>0</v>
      </c>
      <c r="C61" s="4" t="b">
        <f>LEN(data!C61)&gt;0</f>
        <v>0</v>
      </c>
      <c r="D61" s="4" t="b">
        <f>LEN(data!C61)&lt;=70</f>
        <v>1</v>
      </c>
      <c r="E61" s="4" t="b">
        <f>LEN(data!D61)&gt;0</f>
        <v>0</v>
      </c>
      <c r="F61" s="4" t="b">
        <f>LEN(data!D61)&lt;=140</f>
        <v>1</v>
      </c>
      <c r="G61" s="4" t="b">
        <f>LEN(data!E61)&gt;0</f>
        <v>0</v>
      </c>
      <c r="H61" s="4" t="b">
        <f>LEN(data!E61)&lt;=35</f>
        <v>1</v>
      </c>
      <c r="I61" s="4" t="b">
        <f>LEN(data!F61)=2</f>
        <v>0</v>
      </c>
      <c r="J61" s="4" t="b">
        <f>LEN(data!G61)&gt;0</f>
        <v>0</v>
      </c>
      <c r="K61" s="4" t="b">
        <f>LEN(data!G61)&lt;=60</f>
        <v>1</v>
      </c>
      <c r="L61" s="4" t="b">
        <f>LEN(data!I61)&gt;0</f>
        <v>0</v>
      </c>
      <c r="M61" s="4" t="b">
        <f>LEN(data!I61)&lt;=70</f>
        <v>1</v>
      </c>
      <c r="N61" s="4" t="b">
        <f>LEN(data!J61)&gt;0</f>
        <v>0</v>
      </c>
      <c r="O61" s="4" t="b">
        <f>LEN(data!J61)&lt;=140</f>
        <v>1</v>
      </c>
      <c r="P61" s="4" t="b">
        <f>LEN(data!K61)&gt;0</f>
        <v>0</v>
      </c>
      <c r="Q61" s="4" t="b">
        <f>LEN(data!K61)&lt;=35</f>
        <v>1</v>
      </c>
      <c r="R61" s="4" t="b">
        <f>LEN(data!L61)=2</f>
        <v>0</v>
      </c>
      <c r="S61" s="4" t="b">
        <f>LEN(data!M61)&gt;0</f>
        <v>0</v>
      </c>
      <c r="T61" s="4" t="b">
        <f>LEN(data!M61)&lt;=60</f>
        <v>1</v>
      </c>
      <c r="U61" s="4" t="b">
        <f>LEN(data!O61)&gt;0</f>
        <v>0</v>
      </c>
      <c r="V61" s="4" t="b">
        <f>LEN(data!O61)&lt;=70</f>
        <v>1</v>
      </c>
      <c r="W61" s="4" t="b">
        <f>LEN(data!P61)&gt;0</f>
        <v>0</v>
      </c>
      <c r="X61" s="4" t="b">
        <f>LEN(data!P61)&lt;=140</f>
        <v>1</v>
      </c>
      <c r="Y61" s="4" t="b">
        <f>LEN(data!Q61)&gt;0</f>
        <v>0</v>
      </c>
      <c r="Z61" s="4" t="b">
        <f>LEN(data!Q61)&lt;=35</f>
        <v>1</v>
      </c>
      <c r="AA61" s="4" t="b">
        <f>LEN(data!R61)=2</f>
        <v>0</v>
      </c>
      <c r="AB61" s="4" t="b">
        <f>LEN(data!S61)&gt;0</f>
        <v>0</v>
      </c>
      <c r="AC61" s="4" t="b">
        <f>LEN(data!S61)&lt;=120</f>
        <v>1</v>
      </c>
      <c r="AD61" s="4" t="b">
        <f>LEN(data!U61)=11</f>
        <v>0</v>
      </c>
      <c r="AE61" s="4" t="b">
        <f>AND(ISERROR(MATCH(data!V61, rule_mapping!$C$2:$C$325, 0))=FALSE, LEN(data!V61) &lt;= 4)</f>
        <v>0</v>
      </c>
      <c r="AF61" s="4" t="b">
        <f>LEN(data!W61)&gt;0</f>
        <v>0</v>
      </c>
      <c r="AG61" s="4" t="b">
        <f>LEN(data!W61)&lt;=20</f>
        <v>1</v>
      </c>
      <c r="AH61" s="4" t="b">
        <f xml:space="preserve"> IFERROR(ISNUMBER(data!X61), FALSE)</f>
        <v>0</v>
      </c>
      <c r="AI61" s="4" t="b">
        <f>IF(ISERROR(MATCH(data!Y61, rule_mapping!$D$2:$D$252, 0))=FALSE,TRUE, FALSE)</f>
        <v>0</v>
      </c>
      <c r="AJ61" s="4" t="b">
        <f>IFERROR(ISNUMBER(data!Z61), FALSE)</f>
        <v>0</v>
      </c>
      <c r="AK61" s="4" t="b">
        <f>IFERROR(ISNUMBER(data!AA61), FALSE)</f>
        <v>0</v>
      </c>
      <c r="AL61" s="4" t="b">
        <f>LEN(data!AB61)&lt;=90</f>
        <v>1</v>
      </c>
      <c r="AM61" s="4" t="b">
        <f>LEN(data!AC61)&gt;0</f>
        <v>0</v>
      </c>
      <c r="AN61" s="4" t="b">
        <f>LEN(data!AC61)&lt;=2000</f>
        <v>1</v>
      </c>
      <c r="AO61" s="4" t="b">
        <f>IF(LEN(data!AD61)=0,TRUE,IF(LEN(data!AD61)=5,TRUE,FALSE))</f>
        <v>1</v>
      </c>
      <c r="AP61" s="4" t="b">
        <f>LEN(data!AE61)&gt;0</f>
        <v>0</v>
      </c>
      <c r="AQ61" s="4" t="b">
        <f>LEN(data!AE61)=5</f>
        <v>0</v>
      </c>
      <c r="AR61" s="4" t="b">
        <f>ISERROR(MATCH(data!AF61, rule_mapping!$B$2:$B$3, 0))=FALSE</f>
        <v>0</v>
      </c>
      <c r="AS61" s="4" t="b">
        <f>ISERROR(MATCH(data!AG61, rule_mapping!$A$2:$A$8, 0))=FALSE</f>
        <v>0</v>
      </c>
      <c r="AT61" s="4" t="b">
        <f>LEN(data!AH61)&lt;=4</f>
        <v>1</v>
      </c>
      <c r="AU61" s="4" t="b">
        <f>LEN(data!AI61)&lt;=10</f>
        <v>1</v>
      </c>
      <c r="AV61" s="4" t="b">
        <f>LEN(data!AJ61)&lt;=35</f>
        <v>1</v>
      </c>
      <c r="AW61" s="4" t="b">
        <f>LEN(data!AK61)&lt;=20</f>
        <v>1</v>
      </c>
      <c r="AX61"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2" spans="1:50" ht="409.5" x14ac:dyDescent="0.15">
      <c r="A62" s="4" t="b">
        <f>OR(ISBLANK(data!B62), AND(B62:AW62))</f>
        <v>1</v>
      </c>
      <c r="B62" s="4" t="b">
        <f>AND(LEFT(TRIM(data!B62), 4)="OOLU", ISNUMBER(RIGHT(TRIM(data!B62), LEN(TRIM(data!B62))-4)+0))</f>
        <v>0</v>
      </c>
      <c r="C62" s="4" t="b">
        <f>LEN(data!C62)&gt;0</f>
        <v>0</v>
      </c>
      <c r="D62" s="4" t="b">
        <f>LEN(data!C62)&lt;=70</f>
        <v>1</v>
      </c>
      <c r="E62" s="4" t="b">
        <f>LEN(data!D62)&gt;0</f>
        <v>0</v>
      </c>
      <c r="F62" s="4" t="b">
        <f>LEN(data!D62)&lt;=140</f>
        <v>1</v>
      </c>
      <c r="G62" s="4" t="b">
        <f>LEN(data!E62)&gt;0</f>
        <v>0</v>
      </c>
      <c r="H62" s="4" t="b">
        <f>LEN(data!E62)&lt;=35</f>
        <v>1</v>
      </c>
      <c r="I62" s="4" t="b">
        <f>LEN(data!F62)=2</f>
        <v>0</v>
      </c>
      <c r="J62" s="4" t="b">
        <f>LEN(data!G62)&gt;0</f>
        <v>0</v>
      </c>
      <c r="K62" s="4" t="b">
        <f>LEN(data!G62)&lt;=60</f>
        <v>1</v>
      </c>
      <c r="L62" s="4" t="b">
        <f>LEN(data!I62)&gt;0</f>
        <v>0</v>
      </c>
      <c r="M62" s="4" t="b">
        <f>LEN(data!I62)&lt;=70</f>
        <v>1</v>
      </c>
      <c r="N62" s="4" t="b">
        <f>LEN(data!J62)&gt;0</f>
        <v>0</v>
      </c>
      <c r="O62" s="4" t="b">
        <f>LEN(data!J62)&lt;=140</f>
        <v>1</v>
      </c>
      <c r="P62" s="4" t="b">
        <f>LEN(data!K62)&gt;0</f>
        <v>0</v>
      </c>
      <c r="Q62" s="4" t="b">
        <f>LEN(data!K62)&lt;=35</f>
        <v>1</v>
      </c>
      <c r="R62" s="4" t="b">
        <f>LEN(data!L62)=2</f>
        <v>0</v>
      </c>
      <c r="S62" s="4" t="b">
        <f>LEN(data!M62)&gt;0</f>
        <v>0</v>
      </c>
      <c r="T62" s="4" t="b">
        <f>LEN(data!M62)&lt;=60</f>
        <v>1</v>
      </c>
      <c r="U62" s="4" t="b">
        <f>LEN(data!O62)&gt;0</f>
        <v>0</v>
      </c>
      <c r="V62" s="4" t="b">
        <f>LEN(data!O62)&lt;=70</f>
        <v>1</v>
      </c>
      <c r="W62" s="4" t="b">
        <f>LEN(data!P62)&gt;0</f>
        <v>0</v>
      </c>
      <c r="X62" s="4" t="b">
        <f>LEN(data!P62)&lt;=140</f>
        <v>1</v>
      </c>
      <c r="Y62" s="4" t="b">
        <f>LEN(data!Q62)&gt;0</f>
        <v>0</v>
      </c>
      <c r="Z62" s="4" t="b">
        <f>LEN(data!Q62)&lt;=35</f>
        <v>1</v>
      </c>
      <c r="AA62" s="4" t="b">
        <f>LEN(data!R62)=2</f>
        <v>0</v>
      </c>
      <c r="AB62" s="4" t="b">
        <f>LEN(data!S62)&gt;0</f>
        <v>0</v>
      </c>
      <c r="AC62" s="4" t="b">
        <f>LEN(data!S62)&lt;=120</f>
        <v>1</v>
      </c>
      <c r="AD62" s="4" t="b">
        <f>LEN(data!U62)=11</f>
        <v>0</v>
      </c>
      <c r="AE62" s="4" t="b">
        <f>AND(ISERROR(MATCH(data!V62, rule_mapping!$C$2:$C$325, 0))=FALSE, LEN(data!V62) &lt;= 4)</f>
        <v>0</v>
      </c>
      <c r="AF62" s="4" t="b">
        <f>LEN(data!W62)&gt;0</f>
        <v>0</v>
      </c>
      <c r="AG62" s="4" t="b">
        <f>LEN(data!W62)&lt;=20</f>
        <v>1</v>
      </c>
      <c r="AH62" s="4" t="b">
        <f xml:space="preserve"> IFERROR(ISNUMBER(data!X62), FALSE)</f>
        <v>0</v>
      </c>
      <c r="AI62" s="4" t="b">
        <f>IF(ISERROR(MATCH(data!Y62, rule_mapping!$D$2:$D$252, 0))=FALSE,TRUE, FALSE)</f>
        <v>0</v>
      </c>
      <c r="AJ62" s="4" t="b">
        <f>IFERROR(ISNUMBER(data!Z62), FALSE)</f>
        <v>0</v>
      </c>
      <c r="AK62" s="4" t="b">
        <f>IFERROR(ISNUMBER(data!AA62), FALSE)</f>
        <v>0</v>
      </c>
      <c r="AL62" s="4" t="b">
        <f>LEN(data!AB62)&lt;=90</f>
        <v>1</v>
      </c>
      <c r="AM62" s="4" t="b">
        <f>LEN(data!AC62)&gt;0</f>
        <v>0</v>
      </c>
      <c r="AN62" s="4" t="b">
        <f>LEN(data!AC62)&lt;=2000</f>
        <v>1</v>
      </c>
      <c r="AO62" s="4" t="b">
        <f>IF(LEN(data!AD62)=0,TRUE,IF(LEN(data!AD62)=5,TRUE,FALSE))</f>
        <v>1</v>
      </c>
      <c r="AP62" s="4" t="b">
        <f>LEN(data!AE62)&gt;0</f>
        <v>0</v>
      </c>
      <c r="AQ62" s="4" t="b">
        <f>LEN(data!AE62)=5</f>
        <v>0</v>
      </c>
      <c r="AR62" s="4" t="b">
        <f>ISERROR(MATCH(data!AF62, rule_mapping!$B$2:$B$3, 0))=FALSE</f>
        <v>0</v>
      </c>
      <c r="AS62" s="4" t="b">
        <f>ISERROR(MATCH(data!AG62, rule_mapping!$A$2:$A$8, 0))=FALSE</f>
        <v>0</v>
      </c>
      <c r="AT62" s="4" t="b">
        <f>LEN(data!AH62)&lt;=4</f>
        <v>1</v>
      </c>
      <c r="AU62" s="4" t="b">
        <f>LEN(data!AI62)&lt;=10</f>
        <v>1</v>
      </c>
      <c r="AV62" s="4" t="b">
        <f>LEN(data!AJ62)&lt;=35</f>
        <v>1</v>
      </c>
      <c r="AW62" s="4" t="b">
        <f>LEN(data!AK62)&lt;=20</f>
        <v>1</v>
      </c>
      <c r="AX62"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3" spans="1:50" ht="409.5" x14ac:dyDescent="0.15">
      <c r="A63" s="4" t="b">
        <f>OR(ISBLANK(data!B63), AND(B63:AW63))</f>
        <v>1</v>
      </c>
      <c r="B63" s="4" t="b">
        <f>AND(LEFT(TRIM(data!B63), 4)="OOLU", ISNUMBER(RIGHT(TRIM(data!B63), LEN(TRIM(data!B63))-4)+0))</f>
        <v>0</v>
      </c>
      <c r="C63" s="4" t="b">
        <f>LEN(data!C63)&gt;0</f>
        <v>0</v>
      </c>
      <c r="D63" s="4" t="b">
        <f>LEN(data!C63)&lt;=70</f>
        <v>1</v>
      </c>
      <c r="E63" s="4" t="b">
        <f>LEN(data!D63)&gt;0</f>
        <v>0</v>
      </c>
      <c r="F63" s="4" t="b">
        <f>LEN(data!D63)&lt;=140</f>
        <v>1</v>
      </c>
      <c r="G63" s="4" t="b">
        <f>LEN(data!E63)&gt;0</f>
        <v>0</v>
      </c>
      <c r="H63" s="4" t="b">
        <f>LEN(data!E63)&lt;=35</f>
        <v>1</v>
      </c>
      <c r="I63" s="4" t="b">
        <f>LEN(data!F63)=2</f>
        <v>0</v>
      </c>
      <c r="J63" s="4" t="b">
        <f>LEN(data!G63)&gt;0</f>
        <v>0</v>
      </c>
      <c r="K63" s="4" t="b">
        <f>LEN(data!G63)&lt;=60</f>
        <v>1</v>
      </c>
      <c r="L63" s="4" t="b">
        <f>LEN(data!I63)&gt;0</f>
        <v>0</v>
      </c>
      <c r="M63" s="4" t="b">
        <f>LEN(data!I63)&lt;=70</f>
        <v>1</v>
      </c>
      <c r="N63" s="4" t="b">
        <f>LEN(data!J63)&gt;0</f>
        <v>0</v>
      </c>
      <c r="O63" s="4" t="b">
        <f>LEN(data!J63)&lt;=140</f>
        <v>1</v>
      </c>
      <c r="P63" s="4" t="b">
        <f>LEN(data!K63)&gt;0</f>
        <v>0</v>
      </c>
      <c r="Q63" s="4" t="b">
        <f>LEN(data!K63)&lt;=35</f>
        <v>1</v>
      </c>
      <c r="R63" s="4" t="b">
        <f>LEN(data!L63)=2</f>
        <v>0</v>
      </c>
      <c r="S63" s="4" t="b">
        <f>LEN(data!M63)&gt;0</f>
        <v>0</v>
      </c>
      <c r="T63" s="4" t="b">
        <f>LEN(data!M63)&lt;=60</f>
        <v>1</v>
      </c>
      <c r="U63" s="4" t="b">
        <f>LEN(data!O63)&gt;0</f>
        <v>0</v>
      </c>
      <c r="V63" s="4" t="b">
        <f>LEN(data!O63)&lt;=70</f>
        <v>1</v>
      </c>
      <c r="W63" s="4" t="b">
        <f>LEN(data!P63)&gt;0</f>
        <v>0</v>
      </c>
      <c r="X63" s="4" t="b">
        <f>LEN(data!P63)&lt;=140</f>
        <v>1</v>
      </c>
      <c r="Y63" s="4" t="b">
        <f>LEN(data!Q63)&gt;0</f>
        <v>0</v>
      </c>
      <c r="Z63" s="4" t="b">
        <f>LEN(data!Q63)&lt;=35</f>
        <v>1</v>
      </c>
      <c r="AA63" s="4" t="b">
        <f>LEN(data!R63)=2</f>
        <v>0</v>
      </c>
      <c r="AB63" s="4" t="b">
        <f>LEN(data!S63)&gt;0</f>
        <v>0</v>
      </c>
      <c r="AC63" s="4" t="b">
        <f>LEN(data!S63)&lt;=120</f>
        <v>1</v>
      </c>
      <c r="AD63" s="4" t="b">
        <f>LEN(data!U63)=11</f>
        <v>0</v>
      </c>
      <c r="AE63" s="4" t="b">
        <f>AND(ISERROR(MATCH(data!V63, rule_mapping!$C$2:$C$325, 0))=FALSE, LEN(data!V63) &lt;= 4)</f>
        <v>0</v>
      </c>
      <c r="AF63" s="4" t="b">
        <f>LEN(data!W63)&gt;0</f>
        <v>0</v>
      </c>
      <c r="AG63" s="4" t="b">
        <f>LEN(data!W63)&lt;=20</f>
        <v>1</v>
      </c>
      <c r="AH63" s="4" t="b">
        <f xml:space="preserve"> IFERROR(ISNUMBER(data!X63), FALSE)</f>
        <v>0</v>
      </c>
      <c r="AI63" s="4" t="b">
        <f>IF(ISERROR(MATCH(data!Y63, rule_mapping!$D$2:$D$252, 0))=FALSE,TRUE, FALSE)</f>
        <v>0</v>
      </c>
      <c r="AJ63" s="4" t="b">
        <f>IFERROR(ISNUMBER(data!Z63), FALSE)</f>
        <v>0</v>
      </c>
      <c r="AK63" s="4" t="b">
        <f>IFERROR(ISNUMBER(data!AA63), FALSE)</f>
        <v>0</v>
      </c>
      <c r="AL63" s="4" t="b">
        <f>LEN(data!AB63)&lt;=90</f>
        <v>1</v>
      </c>
      <c r="AM63" s="4" t="b">
        <f>LEN(data!AC63)&gt;0</f>
        <v>0</v>
      </c>
      <c r="AN63" s="4" t="b">
        <f>LEN(data!AC63)&lt;=2000</f>
        <v>1</v>
      </c>
      <c r="AO63" s="4" t="b">
        <f>IF(LEN(data!AD63)=0,TRUE,IF(LEN(data!AD63)=5,TRUE,FALSE))</f>
        <v>1</v>
      </c>
      <c r="AP63" s="4" t="b">
        <f>LEN(data!AE63)&gt;0</f>
        <v>0</v>
      </c>
      <c r="AQ63" s="4" t="b">
        <f>LEN(data!AE63)=5</f>
        <v>0</v>
      </c>
      <c r="AR63" s="4" t="b">
        <f>ISERROR(MATCH(data!AF63, rule_mapping!$B$2:$B$3, 0))=FALSE</f>
        <v>0</v>
      </c>
      <c r="AS63" s="4" t="b">
        <f>ISERROR(MATCH(data!AG63, rule_mapping!$A$2:$A$8, 0))=FALSE</f>
        <v>0</v>
      </c>
      <c r="AT63" s="4" t="b">
        <f>LEN(data!AH63)&lt;=4</f>
        <v>1</v>
      </c>
      <c r="AU63" s="4" t="b">
        <f>LEN(data!AI63)&lt;=10</f>
        <v>1</v>
      </c>
      <c r="AV63" s="4" t="b">
        <f>LEN(data!AJ63)&lt;=35</f>
        <v>1</v>
      </c>
      <c r="AW63" s="4" t="b">
        <f>LEN(data!AK63)&lt;=20</f>
        <v>1</v>
      </c>
      <c r="AX63"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4" spans="1:50" ht="409.5" x14ac:dyDescent="0.15">
      <c r="A64" s="4" t="b">
        <f>OR(ISBLANK(data!B64), AND(B64:AW64))</f>
        <v>1</v>
      </c>
      <c r="B64" s="4" t="b">
        <f>AND(LEFT(TRIM(data!B64), 4)="OOLU", ISNUMBER(RIGHT(TRIM(data!B64), LEN(TRIM(data!B64))-4)+0))</f>
        <v>0</v>
      </c>
      <c r="C64" s="4" t="b">
        <f>LEN(data!C64)&gt;0</f>
        <v>0</v>
      </c>
      <c r="D64" s="4" t="b">
        <f>LEN(data!C64)&lt;=70</f>
        <v>1</v>
      </c>
      <c r="E64" s="4" t="b">
        <f>LEN(data!D64)&gt;0</f>
        <v>0</v>
      </c>
      <c r="F64" s="4" t="b">
        <f>LEN(data!D64)&lt;=140</f>
        <v>1</v>
      </c>
      <c r="G64" s="4" t="b">
        <f>LEN(data!E64)&gt;0</f>
        <v>0</v>
      </c>
      <c r="H64" s="4" t="b">
        <f>LEN(data!E64)&lt;=35</f>
        <v>1</v>
      </c>
      <c r="I64" s="4" t="b">
        <f>LEN(data!F64)=2</f>
        <v>0</v>
      </c>
      <c r="J64" s="4" t="b">
        <f>LEN(data!G64)&gt;0</f>
        <v>0</v>
      </c>
      <c r="K64" s="4" t="b">
        <f>LEN(data!G64)&lt;=60</f>
        <v>1</v>
      </c>
      <c r="L64" s="4" t="b">
        <f>LEN(data!I64)&gt;0</f>
        <v>0</v>
      </c>
      <c r="M64" s="4" t="b">
        <f>LEN(data!I64)&lt;=70</f>
        <v>1</v>
      </c>
      <c r="N64" s="4" t="b">
        <f>LEN(data!J64)&gt;0</f>
        <v>0</v>
      </c>
      <c r="O64" s="4" t="b">
        <f>LEN(data!J64)&lt;=140</f>
        <v>1</v>
      </c>
      <c r="P64" s="4" t="b">
        <f>LEN(data!K64)&gt;0</f>
        <v>0</v>
      </c>
      <c r="Q64" s="4" t="b">
        <f>LEN(data!K64)&lt;=35</f>
        <v>1</v>
      </c>
      <c r="R64" s="4" t="b">
        <f>LEN(data!L64)=2</f>
        <v>0</v>
      </c>
      <c r="S64" s="4" t="b">
        <f>LEN(data!M64)&gt;0</f>
        <v>0</v>
      </c>
      <c r="T64" s="4" t="b">
        <f>LEN(data!M64)&lt;=60</f>
        <v>1</v>
      </c>
      <c r="U64" s="4" t="b">
        <f>LEN(data!O64)&gt;0</f>
        <v>0</v>
      </c>
      <c r="V64" s="4" t="b">
        <f>LEN(data!O64)&lt;=70</f>
        <v>1</v>
      </c>
      <c r="W64" s="4" t="b">
        <f>LEN(data!P64)&gt;0</f>
        <v>0</v>
      </c>
      <c r="X64" s="4" t="b">
        <f>LEN(data!P64)&lt;=140</f>
        <v>1</v>
      </c>
      <c r="Y64" s="4" t="b">
        <f>LEN(data!Q64)&gt;0</f>
        <v>0</v>
      </c>
      <c r="Z64" s="4" t="b">
        <f>LEN(data!Q64)&lt;=35</f>
        <v>1</v>
      </c>
      <c r="AA64" s="4" t="b">
        <f>LEN(data!R64)=2</f>
        <v>0</v>
      </c>
      <c r="AB64" s="4" t="b">
        <f>LEN(data!S64)&gt;0</f>
        <v>0</v>
      </c>
      <c r="AC64" s="4" t="b">
        <f>LEN(data!S64)&lt;=120</f>
        <v>1</v>
      </c>
      <c r="AD64" s="4" t="b">
        <f>LEN(data!U64)=11</f>
        <v>0</v>
      </c>
      <c r="AE64" s="4" t="b">
        <f>AND(ISERROR(MATCH(data!V64, rule_mapping!$C$2:$C$325, 0))=FALSE, LEN(data!V64) &lt;= 4)</f>
        <v>0</v>
      </c>
      <c r="AF64" s="4" t="b">
        <f>LEN(data!W64)&gt;0</f>
        <v>0</v>
      </c>
      <c r="AG64" s="4" t="b">
        <f>LEN(data!W64)&lt;=20</f>
        <v>1</v>
      </c>
      <c r="AH64" s="4" t="b">
        <f xml:space="preserve"> IFERROR(ISNUMBER(data!X64), FALSE)</f>
        <v>0</v>
      </c>
      <c r="AI64" s="4" t="b">
        <f>IF(ISERROR(MATCH(data!Y64, rule_mapping!$D$2:$D$252, 0))=FALSE,TRUE, FALSE)</f>
        <v>0</v>
      </c>
      <c r="AJ64" s="4" t="b">
        <f>IFERROR(ISNUMBER(data!Z64), FALSE)</f>
        <v>0</v>
      </c>
      <c r="AK64" s="4" t="b">
        <f>IFERROR(ISNUMBER(data!AA64), FALSE)</f>
        <v>0</v>
      </c>
      <c r="AL64" s="4" t="b">
        <f>LEN(data!AB64)&lt;=90</f>
        <v>1</v>
      </c>
      <c r="AM64" s="4" t="b">
        <f>LEN(data!AC64)&gt;0</f>
        <v>0</v>
      </c>
      <c r="AN64" s="4" t="b">
        <f>LEN(data!AC64)&lt;=2000</f>
        <v>1</v>
      </c>
      <c r="AO64" s="4" t="b">
        <f>IF(LEN(data!AD64)=0,TRUE,IF(LEN(data!AD64)=5,TRUE,FALSE))</f>
        <v>1</v>
      </c>
      <c r="AP64" s="4" t="b">
        <f>LEN(data!AE64)&gt;0</f>
        <v>0</v>
      </c>
      <c r="AQ64" s="4" t="b">
        <f>LEN(data!AE64)=5</f>
        <v>0</v>
      </c>
      <c r="AR64" s="4" t="b">
        <f>ISERROR(MATCH(data!AF64, rule_mapping!$B$2:$B$3, 0))=FALSE</f>
        <v>0</v>
      </c>
      <c r="AS64" s="4" t="b">
        <f>ISERROR(MATCH(data!AG64, rule_mapping!$A$2:$A$8, 0))=FALSE</f>
        <v>0</v>
      </c>
      <c r="AT64" s="4" t="b">
        <f>LEN(data!AH64)&lt;=4</f>
        <v>1</v>
      </c>
      <c r="AU64" s="4" t="b">
        <f>LEN(data!AI64)&lt;=10</f>
        <v>1</v>
      </c>
      <c r="AV64" s="4" t="b">
        <f>LEN(data!AJ64)&lt;=35</f>
        <v>1</v>
      </c>
      <c r="AW64" s="4" t="b">
        <f>LEN(data!AK64)&lt;=20</f>
        <v>1</v>
      </c>
      <c r="AX64"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5" spans="1:50" ht="409.5" x14ac:dyDescent="0.15">
      <c r="A65" s="4" t="b">
        <f>OR(ISBLANK(data!B65), AND(B65:AW65))</f>
        <v>1</v>
      </c>
      <c r="B65" s="4" t="b">
        <f>AND(LEFT(TRIM(data!B65), 4)="OOLU", ISNUMBER(RIGHT(TRIM(data!B65), LEN(TRIM(data!B65))-4)+0))</f>
        <v>0</v>
      </c>
      <c r="C65" s="4" t="b">
        <f>LEN(data!C65)&gt;0</f>
        <v>0</v>
      </c>
      <c r="D65" s="4" t="b">
        <f>LEN(data!C65)&lt;=70</f>
        <v>1</v>
      </c>
      <c r="E65" s="4" t="b">
        <f>LEN(data!D65)&gt;0</f>
        <v>0</v>
      </c>
      <c r="F65" s="4" t="b">
        <f>LEN(data!D65)&lt;=140</f>
        <v>1</v>
      </c>
      <c r="G65" s="4" t="b">
        <f>LEN(data!E65)&gt;0</f>
        <v>0</v>
      </c>
      <c r="H65" s="4" t="b">
        <f>LEN(data!E65)&lt;=35</f>
        <v>1</v>
      </c>
      <c r="I65" s="4" t="b">
        <f>LEN(data!F65)=2</f>
        <v>0</v>
      </c>
      <c r="J65" s="4" t="b">
        <f>LEN(data!G65)&gt;0</f>
        <v>0</v>
      </c>
      <c r="K65" s="4" t="b">
        <f>LEN(data!G65)&lt;=60</f>
        <v>1</v>
      </c>
      <c r="L65" s="4" t="b">
        <f>LEN(data!I65)&gt;0</f>
        <v>0</v>
      </c>
      <c r="M65" s="4" t="b">
        <f>LEN(data!I65)&lt;=70</f>
        <v>1</v>
      </c>
      <c r="N65" s="4" t="b">
        <f>LEN(data!J65)&gt;0</f>
        <v>0</v>
      </c>
      <c r="O65" s="4" t="b">
        <f>LEN(data!J65)&lt;=140</f>
        <v>1</v>
      </c>
      <c r="P65" s="4" t="b">
        <f>LEN(data!K65)&gt;0</f>
        <v>0</v>
      </c>
      <c r="Q65" s="4" t="b">
        <f>LEN(data!K65)&lt;=35</f>
        <v>1</v>
      </c>
      <c r="R65" s="4" t="b">
        <f>LEN(data!L65)=2</f>
        <v>0</v>
      </c>
      <c r="S65" s="4" t="b">
        <f>LEN(data!M65)&gt;0</f>
        <v>0</v>
      </c>
      <c r="T65" s="4" t="b">
        <f>LEN(data!M65)&lt;=60</f>
        <v>1</v>
      </c>
      <c r="U65" s="4" t="b">
        <f>LEN(data!O65)&gt;0</f>
        <v>0</v>
      </c>
      <c r="V65" s="4" t="b">
        <f>LEN(data!O65)&lt;=70</f>
        <v>1</v>
      </c>
      <c r="W65" s="4" t="b">
        <f>LEN(data!P65)&gt;0</f>
        <v>0</v>
      </c>
      <c r="X65" s="4" t="b">
        <f>LEN(data!P65)&lt;=140</f>
        <v>1</v>
      </c>
      <c r="Y65" s="4" t="b">
        <f>LEN(data!Q65)&gt;0</f>
        <v>0</v>
      </c>
      <c r="Z65" s="4" t="b">
        <f>LEN(data!Q65)&lt;=35</f>
        <v>1</v>
      </c>
      <c r="AA65" s="4" t="b">
        <f>LEN(data!R65)=2</f>
        <v>0</v>
      </c>
      <c r="AB65" s="4" t="b">
        <f>LEN(data!S65)&gt;0</f>
        <v>0</v>
      </c>
      <c r="AC65" s="4" t="b">
        <f>LEN(data!S65)&lt;=120</f>
        <v>1</v>
      </c>
      <c r="AD65" s="4" t="b">
        <f>LEN(data!U65)=11</f>
        <v>0</v>
      </c>
      <c r="AE65" s="4" t="b">
        <f>AND(ISERROR(MATCH(data!V65, rule_mapping!$C$2:$C$325, 0))=FALSE, LEN(data!V65) &lt;= 4)</f>
        <v>0</v>
      </c>
      <c r="AF65" s="4" t="b">
        <f>LEN(data!W65)&gt;0</f>
        <v>0</v>
      </c>
      <c r="AG65" s="4" t="b">
        <f>LEN(data!W65)&lt;=20</f>
        <v>1</v>
      </c>
      <c r="AH65" s="4" t="b">
        <f xml:space="preserve"> IFERROR(ISNUMBER(data!X65), FALSE)</f>
        <v>0</v>
      </c>
      <c r="AI65" s="4" t="b">
        <f>IF(ISERROR(MATCH(data!Y65, rule_mapping!$D$2:$D$252, 0))=FALSE,TRUE, FALSE)</f>
        <v>0</v>
      </c>
      <c r="AJ65" s="4" t="b">
        <f>IFERROR(ISNUMBER(data!Z65), FALSE)</f>
        <v>0</v>
      </c>
      <c r="AK65" s="4" t="b">
        <f>IFERROR(ISNUMBER(data!AA65), FALSE)</f>
        <v>0</v>
      </c>
      <c r="AL65" s="4" t="b">
        <f>LEN(data!AB65)&lt;=90</f>
        <v>1</v>
      </c>
      <c r="AM65" s="4" t="b">
        <f>LEN(data!AC65)&gt;0</f>
        <v>0</v>
      </c>
      <c r="AN65" s="4" t="b">
        <f>LEN(data!AC65)&lt;=2000</f>
        <v>1</v>
      </c>
      <c r="AO65" s="4" t="b">
        <f>IF(LEN(data!AD65)=0,TRUE,IF(LEN(data!AD65)=5,TRUE,FALSE))</f>
        <v>1</v>
      </c>
      <c r="AP65" s="4" t="b">
        <f>LEN(data!AE65)&gt;0</f>
        <v>0</v>
      </c>
      <c r="AQ65" s="4" t="b">
        <f>LEN(data!AE65)=5</f>
        <v>0</v>
      </c>
      <c r="AR65" s="4" t="b">
        <f>ISERROR(MATCH(data!AF65, rule_mapping!$B$2:$B$3, 0))=FALSE</f>
        <v>0</v>
      </c>
      <c r="AS65" s="4" t="b">
        <f>ISERROR(MATCH(data!AG65, rule_mapping!$A$2:$A$8, 0))=FALSE</f>
        <v>0</v>
      </c>
      <c r="AT65" s="4" t="b">
        <f>LEN(data!AH65)&lt;=4</f>
        <v>1</v>
      </c>
      <c r="AU65" s="4" t="b">
        <f>LEN(data!AI65)&lt;=10</f>
        <v>1</v>
      </c>
      <c r="AV65" s="4" t="b">
        <f>LEN(data!AJ65)&lt;=35</f>
        <v>1</v>
      </c>
      <c r="AW65" s="4" t="b">
        <f>LEN(data!AK65)&lt;=20</f>
        <v>1</v>
      </c>
      <c r="AX65"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6" spans="1:50" ht="409.5" x14ac:dyDescent="0.15">
      <c r="A66" s="4" t="b">
        <f>OR(ISBLANK(data!B66), AND(B66:AW66))</f>
        <v>1</v>
      </c>
      <c r="B66" s="4" t="b">
        <f>AND(LEFT(TRIM(data!B66), 4)="OOLU", ISNUMBER(RIGHT(TRIM(data!B66), LEN(TRIM(data!B66))-4)+0))</f>
        <v>0</v>
      </c>
      <c r="C66" s="4" t="b">
        <f>LEN(data!C66)&gt;0</f>
        <v>0</v>
      </c>
      <c r="D66" s="4" t="b">
        <f>LEN(data!C66)&lt;=70</f>
        <v>1</v>
      </c>
      <c r="E66" s="4" t="b">
        <f>LEN(data!D66)&gt;0</f>
        <v>0</v>
      </c>
      <c r="F66" s="4" t="b">
        <f>LEN(data!D66)&lt;=140</f>
        <v>1</v>
      </c>
      <c r="G66" s="4" t="b">
        <f>LEN(data!E66)&gt;0</f>
        <v>0</v>
      </c>
      <c r="H66" s="4" t="b">
        <f>LEN(data!E66)&lt;=35</f>
        <v>1</v>
      </c>
      <c r="I66" s="4" t="b">
        <f>LEN(data!F66)=2</f>
        <v>0</v>
      </c>
      <c r="J66" s="4" t="b">
        <f>LEN(data!G66)&gt;0</f>
        <v>0</v>
      </c>
      <c r="K66" s="4" t="b">
        <f>LEN(data!G66)&lt;=60</f>
        <v>1</v>
      </c>
      <c r="L66" s="4" t="b">
        <f>LEN(data!I66)&gt;0</f>
        <v>0</v>
      </c>
      <c r="M66" s="4" t="b">
        <f>LEN(data!I66)&lt;=70</f>
        <v>1</v>
      </c>
      <c r="N66" s="4" t="b">
        <f>LEN(data!J66)&gt;0</f>
        <v>0</v>
      </c>
      <c r="O66" s="4" t="b">
        <f>LEN(data!J66)&lt;=140</f>
        <v>1</v>
      </c>
      <c r="P66" s="4" t="b">
        <f>LEN(data!K66)&gt;0</f>
        <v>0</v>
      </c>
      <c r="Q66" s="4" t="b">
        <f>LEN(data!K66)&lt;=35</f>
        <v>1</v>
      </c>
      <c r="R66" s="4" t="b">
        <f>LEN(data!L66)=2</f>
        <v>0</v>
      </c>
      <c r="S66" s="4" t="b">
        <f>LEN(data!M66)&gt;0</f>
        <v>0</v>
      </c>
      <c r="T66" s="4" t="b">
        <f>LEN(data!M66)&lt;=60</f>
        <v>1</v>
      </c>
      <c r="U66" s="4" t="b">
        <f>LEN(data!O66)&gt;0</f>
        <v>0</v>
      </c>
      <c r="V66" s="4" t="b">
        <f>LEN(data!O66)&lt;=70</f>
        <v>1</v>
      </c>
      <c r="W66" s="4" t="b">
        <f>LEN(data!P66)&gt;0</f>
        <v>0</v>
      </c>
      <c r="X66" s="4" t="b">
        <f>LEN(data!P66)&lt;=140</f>
        <v>1</v>
      </c>
      <c r="Y66" s="4" t="b">
        <f>LEN(data!Q66)&gt;0</f>
        <v>0</v>
      </c>
      <c r="Z66" s="4" t="b">
        <f>LEN(data!Q66)&lt;=35</f>
        <v>1</v>
      </c>
      <c r="AA66" s="4" t="b">
        <f>LEN(data!R66)=2</f>
        <v>0</v>
      </c>
      <c r="AB66" s="4" t="b">
        <f>LEN(data!S66)&gt;0</f>
        <v>0</v>
      </c>
      <c r="AC66" s="4" t="b">
        <f>LEN(data!S66)&lt;=120</f>
        <v>1</v>
      </c>
      <c r="AD66" s="4" t="b">
        <f>LEN(data!U66)=11</f>
        <v>0</v>
      </c>
      <c r="AE66" s="4" t="b">
        <f>AND(ISERROR(MATCH(data!V66, rule_mapping!$C$2:$C$325, 0))=FALSE, LEN(data!V66) &lt;= 4)</f>
        <v>0</v>
      </c>
      <c r="AF66" s="4" t="b">
        <f>LEN(data!W66)&gt;0</f>
        <v>0</v>
      </c>
      <c r="AG66" s="4" t="b">
        <f>LEN(data!W66)&lt;=20</f>
        <v>1</v>
      </c>
      <c r="AH66" s="4" t="b">
        <f xml:space="preserve"> IFERROR(ISNUMBER(data!X66), FALSE)</f>
        <v>0</v>
      </c>
      <c r="AI66" s="4" t="b">
        <f>IF(ISERROR(MATCH(data!Y66, rule_mapping!$D$2:$D$252, 0))=FALSE,TRUE, FALSE)</f>
        <v>0</v>
      </c>
      <c r="AJ66" s="4" t="b">
        <f>IFERROR(ISNUMBER(data!Z66), FALSE)</f>
        <v>0</v>
      </c>
      <c r="AK66" s="4" t="b">
        <f>IFERROR(ISNUMBER(data!AA66), FALSE)</f>
        <v>0</v>
      </c>
      <c r="AL66" s="4" t="b">
        <f>LEN(data!AB66)&lt;=90</f>
        <v>1</v>
      </c>
      <c r="AM66" s="4" t="b">
        <f>LEN(data!AC66)&gt;0</f>
        <v>0</v>
      </c>
      <c r="AN66" s="4" t="b">
        <f>LEN(data!AC66)&lt;=2000</f>
        <v>1</v>
      </c>
      <c r="AO66" s="4" t="b">
        <f>IF(LEN(data!AD66)=0,TRUE,IF(LEN(data!AD66)=5,TRUE,FALSE))</f>
        <v>1</v>
      </c>
      <c r="AP66" s="4" t="b">
        <f>LEN(data!AE66)&gt;0</f>
        <v>0</v>
      </c>
      <c r="AQ66" s="4" t="b">
        <f>LEN(data!AE66)=5</f>
        <v>0</v>
      </c>
      <c r="AR66" s="4" t="b">
        <f>ISERROR(MATCH(data!AF66, rule_mapping!$B$2:$B$3, 0))=FALSE</f>
        <v>0</v>
      </c>
      <c r="AS66" s="4" t="b">
        <f>ISERROR(MATCH(data!AG66, rule_mapping!$A$2:$A$8, 0))=FALSE</f>
        <v>0</v>
      </c>
      <c r="AT66" s="4" t="b">
        <f>LEN(data!AH66)&lt;=4</f>
        <v>1</v>
      </c>
      <c r="AU66" s="4" t="b">
        <f>LEN(data!AI66)&lt;=10</f>
        <v>1</v>
      </c>
      <c r="AV66" s="4" t="b">
        <f>LEN(data!AJ66)&lt;=35</f>
        <v>1</v>
      </c>
      <c r="AW66" s="4" t="b">
        <f>LEN(data!AK66)&lt;=20</f>
        <v>1</v>
      </c>
      <c r="AX66" s="11" t="str">
        <f t="shared" si="0"/>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7" spans="1:50" ht="409.5" x14ac:dyDescent="0.15">
      <c r="A67" s="4" t="b">
        <f>OR(ISBLANK(data!B67), AND(B67:AW67))</f>
        <v>1</v>
      </c>
      <c r="B67" s="4" t="b">
        <f>AND(LEFT(TRIM(data!B67), 4)="OOLU", ISNUMBER(RIGHT(TRIM(data!B67), LEN(TRIM(data!B67))-4)+0))</f>
        <v>0</v>
      </c>
      <c r="C67" s="4" t="b">
        <f>LEN(data!C67)&gt;0</f>
        <v>0</v>
      </c>
      <c r="D67" s="4" t="b">
        <f>LEN(data!C67)&lt;=70</f>
        <v>1</v>
      </c>
      <c r="E67" s="4" t="b">
        <f>LEN(data!D67)&gt;0</f>
        <v>0</v>
      </c>
      <c r="F67" s="4" t="b">
        <f>LEN(data!D67)&lt;=140</f>
        <v>1</v>
      </c>
      <c r="G67" s="4" t="b">
        <f>LEN(data!E67)&gt;0</f>
        <v>0</v>
      </c>
      <c r="H67" s="4" t="b">
        <f>LEN(data!E67)&lt;=35</f>
        <v>1</v>
      </c>
      <c r="I67" s="4" t="b">
        <f>LEN(data!F67)=2</f>
        <v>0</v>
      </c>
      <c r="J67" s="4" t="b">
        <f>LEN(data!G67)&gt;0</f>
        <v>0</v>
      </c>
      <c r="K67" s="4" t="b">
        <f>LEN(data!G67)&lt;=60</f>
        <v>1</v>
      </c>
      <c r="L67" s="4" t="b">
        <f>LEN(data!I67)&gt;0</f>
        <v>0</v>
      </c>
      <c r="M67" s="4" t="b">
        <f>LEN(data!I67)&lt;=70</f>
        <v>1</v>
      </c>
      <c r="N67" s="4" t="b">
        <f>LEN(data!J67)&gt;0</f>
        <v>0</v>
      </c>
      <c r="O67" s="4" t="b">
        <f>LEN(data!J67)&lt;=140</f>
        <v>1</v>
      </c>
      <c r="P67" s="4" t="b">
        <f>LEN(data!K67)&gt;0</f>
        <v>0</v>
      </c>
      <c r="Q67" s="4" t="b">
        <f>LEN(data!K67)&lt;=35</f>
        <v>1</v>
      </c>
      <c r="R67" s="4" t="b">
        <f>LEN(data!L67)=2</f>
        <v>0</v>
      </c>
      <c r="S67" s="4" t="b">
        <f>LEN(data!M67)&gt;0</f>
        <v>0</v>
      </c>
      <c r="T67" s="4" t="b">
        <f>LEN(data!M67)&lt;=60</f>
        <v>1</v>
      </c>
      <c r="U67" s="4" t="b">
        <f>LEN(data!O67)&gt;0</f>
        <v>0</v>
      </c>
      <c r="V67" s="4" t="b">
        <f>LEN(data!O67)&lt;=70</f>
        <v>1</v>
      </c>
      <c r="W67" s="4" t="b">
        <f>LEN(data!P67)&gt;0</f>
        <v>0</v>
      </c>
      <c r="X67" s="4" t="b">
        <f>LEN(data!P67)&lt;=140</f>
        <v>1</v>
      </c>
      <c r="Y67" s="4" t="b">
        <f>LEN(data!Q67)&gt;0</f>
        <v>0</v>
      </c>
      <c r="Z67" s="4" t="b">
        <f>LEN(data!Q67)&lt;=35</f>
        <v>1</v>
      </c>
      <c r="AA67" s="4" t="b">
        <f>LEN(data!R67)=2</f>
        <v>0</v>
      </c>
      <c r="AB67" s="4" t="b">
        <f>LEN(data!S67)&gt;0</f>
        <v>0</v>
      </c>
      <c r="AC67" s="4" t="b">
        <f>LEN(data!S67)&lt;=120</f>
        <v>1</v>
      </c>
      <c r="AD67" s="4" t="b">
        <f>LEN(data!U67)=11</f>
        <v>0</v>
      </c>
      <c r="AE67" s="4" t="b">
        <f>AND(ISERROR(MATCH(data!V67, rule_mapping!$C$2:$C$325, 0))=FALSE, LEN(data!V67) &lt;= 4)</f>
        <v>0</v>
      </c>
      <c r="AF67" s="4" t="b">
        <f>LEN(data!W67)&gt;0</f>
        <v>0</v>
      </c>
      <c r="AG67" s="4" t="b">
        <f>LEN(data!W67)&lt;=20</f>
        <v>1</v>
      </c>
      <c r="AH67" s="4" t="b">
        <f xml:space="preserve"> IFERROR(ISNUMBER(data!X67), FALSE)</f>
        <v>0</v>
      </c>
      <c r="AI67" s="4" t="b">
        <f>IF(ISERROR(MATCH(data!Y67, rule_mapping!$D$2:$D$252, 0))=FALSE,TRUE, FALSE)</f>
        <v>0</v>
      </c>
      <c r="AJ67" s="4" t="b">
        <f>IFERROR(ISNUMBER(data!Z67), FALSE)</f>
        <v>0</v>
      </c>
      <c r="AK67" s="4" t="b">
        <f>IFERROR(ISNUMBER(data!AA67), FALSE)</f>
        <v>0</v>
      </c>
      <c r="AL67" s="4" t="b">
        <f>LEN(data!AB67)&lt;=90</f>
        <v>1</v>
      </c>
      <c r="AM67" s="4" t="b">
        <f>LEN(data!AC67)&gt;0</f>
        <v>0</v>
      </c>
      <c r="AN67" s="4" t="b">
        <f>LEN(data!AC67)&lt;=2000</f>
        <v>1</v>
      </c>
      <c r="AO67" s="4" t="b">
        <f>IF(LEN(data!AD67)=0,TRUE,IF(LEN(data!AD67)=5,TRUE,FALSE))</f>
        <v>1</v>
      </c>
      <c r="AP67" s="4" t="b">
        <f>LEN(data!AE67)&gt;0</f>
        <v>0</v>
      </c>
      <c r="AQ67" s="4" t="b">
        <f>LEN(data!AE67)=5</f>
        <v>0</v>
      </c>
      <c r="AR67" s="4" t="b">
        <f>ISERROR(MATCH(data!AF67, rule_mapping!$B$2:$B$3, 0))=FALSE</f>
        <v>0</v>
      </c>
      <c r="AS67" s="4" t="b">
        <f>ISERROR(MATCH(data!AG67, rule_mapping!$A$2:$A$8, 0))=FALSE</f>
        <v>0</v>
      </c>
      <c r="AT67" s="4" t="b">
        <f>LEN(data!AH67)&lt;=4</f>
        <v>1</v>
      </c>
      <c r="AU67" s="4" t="b">
        <f>LEN(data!AI67)&lt;=10</f>
        <v>1</v>
      </c>
      <c r="AV67" s="4" t="b">
        <f>LEN(data!AJ67)&lt;=35</f>
        <v>1</v>
      </c>
      <c r="AW67" s="4" t="b">
        <f>LEN(data!AK67)&lt;=20</f>
        <v>1</v>
      </c>
      <c r="AX67" s="11" t="str">
        <f t="shared" ref="AX67:AX130" si="1">CONCATENATE(IF(NOT(B67), B$1 &amp; CHAR(10), ""), IF(NOT(C67), C$1 &amp; CHAR(10), ""), IF(NOT(D67), D$1 &amp; CHAR(10), ""), IF(NOT(E67), E$1 &amp; CHAR(10), ""), IF(NOT(F67), F$1 &amp; CHAR(10), ""), IF(NOT(G67), G$1 &amp; CHAR(10), ""), IF(NOT(H67), H$1 &amp; CHAR(10), ""), IF(NOT(I67), I$1 &amp; CHAR(10), ""), IF(NOT(J67), J$1 &amp; CHAR(10), ""), IF(NOT(K67), K$1 &amp; CHAR(10), ""), IF(NOT(L67), L$1 &amp; CHAR(10), ""), IF(NOT(M67), M$1 &amp; CHAR(10), ""), IF(NOT(N67), N$1 &amp; CHAR(10), ""), IF(NOT(O67), O$1 &amp; CHAR(10), ""), IF(NOT(P67), P$1 &amp; CHAR(10), ""), IF(NOT(Q67), Q$1 &amp; CHAR(10), ""), IF(NOT(R67), R$1 &amp; CHAR(10), ""), IF(NOT(S67), S$1 &amp; CHAR(10), ""), IF(NOT(T67), T$1 &amp; CHAR(10), ""), IF(NOT(U67), U$1 &amp; CHAR(10), ""), IF(NOT(V67), V$1 &amp; CHAR(10), ""), IF(NOT(W67), W$1 &amp; CHAR(10), ""), IF(NOT(X67), X$1 &amp; CHAR(10), ""), IF(NOT(Y67), Y$1 &amp; CHAR(10), ""), IF(NOT(Z67), Z$1 &amp; CHAR(10), ""), IF(NOT(AA67), AA$1 &amp; CHAR(10), ""), IF(NOT(AB67), AB$1 &amp; CHAR(10), ""), IF(NOT(AC67), AC$1 &amp; CHAR(10), ""), IF(NOT(AD67), AD$1 &amp; CHAR(10), ""), IF(NOT(AE67), AE$1 &amp; CHAR(10), ""), IF(NOT(AF67), AF$1 &amp; CHAR(10), ""), IF(NOT(AG67), AG$1 &amp; CHAR(10), ""), IF(NOT(AH67), AH$1 &amp; CHAR(10), ""), IF(NOT(AI67), AI$1 &amp; CHAR(10), ""), IF(NOT(AJ67), AJ$1 &amp; CHAR(10), ""), IF(NOT(AK67), AK$1 &amp; CHAR(10), ""), IF(NOT(AL67), AL$1 &amp; CHAR(10), ""), IF(NOT(AM67), AM$1 &amp; CHAR(10), ""), IF(NOT(AN67), AN$1 &amp; CHAR(10), ""), IF(NOT(AO67), AO$1 &amp; CHAR(10), ""), IF(NOT(AP67), AP$1 &amp; CHAR(10), ""), IF(NOT(AQ67), AQ$1 &amp; CHAR(10), ""), IF(NOT(AR67), AR$1 &amp; CHAR(10), ""), IF(NOT(AS67), AS$1 &amp; CHAR(10), ""), IF(NOT(AT67), AT$1 &amp; CHAR(10), ""), IF(NOT(AU67), AU$1 &amp; CHAR(10), ""), IF(NOT(AV67), AV$1 &amp; CHAR(10), ""), IF(NOT(AW67), AW$1 &amp; CHAR(10), ""))</f>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8" spans="1:50" ht="409.5" x14ac:dyDescent="0.15">
      <c r="A68" s="4" t="b">
        <f>OR(ISBLANK(data!B68), AND(B68:AW68))</f>
        <v>1</v>
      </c>
      <c r="B68" s="4" t="b">
        <f>AND(LEFT(TRIM(data!B68), 4)="OOLU", ISNUMBER(RIGHT(TRIM(data!B68), LEN(TRIM(data!B68))-4)+0))</f>
        <v>0</v>
      </c>
      <c r="C68" s="4" t="b">
        <f>LEN(data!C68)&gt;0</f>
        <v>0</v>
      </c>
      <c r="D68" s="4" t="b">
        <f>LEN(data!C68)&lt;=70</f>
        <v>1</v>
      </c>
      <c r="E68" s="4" t="b">
        <f>LEN(data!D68)&gt;0</f>
        <v>0</v>
      </c>
      <c r="F68" s="4" t="b">
        <f>LEN(data!D68)&lt;=140</f>
        <v>1</v>
      </c>
      <c r="G68" s="4" t="b">
        <f>LEN(data!E68)&gt;0</f>
        <v>0</v>
      </c>
      <c r="H68" s="4" t="b">
        <f>LEN(data!E68)&lt;=35</f>
        <v>1</v>
      </c>
      <c r="I68" s="4" t="b">
        <f>LEN(data!F68)=2</f>
        <v>0</v>
      </c>
      <c r="J68" s="4" t="b">
        <f>LEN(data!G68)&gt;0</f>
        <v>0</v>
      </c>
      <c r="K68" s="4" t="b">
        <f>LEN(data!G68)&lt;=60</f>
        <v>1</v>
      </c>
      <c r="L68" s="4" t="b">
        <f>LEN(data!I68)&gt;0</f>
        <v>0</v>
      </c>
      <c r="M68" s="4" t="b">
        <f>LEN(data!I68)&lt;=70</f>
        <v>1</v>
      </c>
      <c r="N68" s="4" t="b">
        <f>LEN(data!J68)&gt;0</f>
        <v>0</v>
      </c>
      <c r="O68" s="4" t="b">
        <f>LEN(data!J68)&lt;=140</f>
        <v>1</v>
      </c>
      <c r="P68" s="4" t="b">
        <f>LEN(data!K68)&gt;0</f>
        <v>0</v>
      </c>
      <c r="Q68" s="4" t="b">
        <f>LEN(data!K68)&lt;=35</f>
        <v>1</v>
      </c>
      <c r="R68" s="4" t="b">
        <f>LEN(data!L68)=2</f>
        <v>0</v>
      </c>
      <c r="S68" s="4" t="b">
        <f>LEN(data!M68)&gt;0</f>
        <v>0</v>
      </c>
      <c r="T68" s="4" t="b">
        <f>LEN(data!M68)&lt;=60</f>
        <v>1</v>
      </c>
      <c r="U68" s="4" t="b">
        <f>LEN(data!O68)&gt;0</f>
        <v>0</v>
      </c>
      <c r="V68" s="4" t="b">
        <f>LEN(data!O68)&lt;=70</f>
        <v>1</v>
      </c>
      <c r="W68" s="4" t="b">
        <f>LEN(data!P68)&gt;0</f>
        <v>0</v>
      </c>
      <c r="X68" s="4" t="b">
        <f>LEN(data!P68)&lt;=140</f>
        <v>1</v>
      </c>
      <c r="Y68" s="4" t="b">
        <f>LEN(data!Q68)&gt;0</f>
        <v>0</v>
      </c>
      <c r="Z68" s="4" t="b">
        <f>LEN(data!Q68)&lt;=35</f>
        <v>1</v>
      </c>
      <c r="AA68" s="4" t="b">
        <f>LEN(data!R68)=2</f>
        <v>0</v>
      </c>
      <c r="AB68" s="4" t="b">
        <f>LEN(data!S68)&gt;0</f>
        <v>0</v>
      </c>
      <c r="AC68" s="4" t="b">
        <f>LEN(data!S68)&lt;=120</f>
        <v>1</v>
      </c>
      <c r="AD68" s="4" t="b">
        <f>LEN(data!U68)=11</f>
        <v>0</v>
      </c>
      <c r="AE68" s="4" t="b">
        <f>AND(ISERROR(MATCH(data!V68, rule_mapping!$C$2:$C$325, 0))=FALSE, LEN(data!V68) &lt;= 4)</f>
        <v>0</v>
      </c>
      <c r="AF68" s="4" t="b">
        <f>LEN(data!W68)&gt;0</f>
        <v>0</v>
      </c>
      <c r="AG68" s="4" t="b">
        <f>LEN(data!W68)&lt;=20</f>
        <v>1</v>
      </c>
      <c r="AH68" s="4" t="b">
        <f xml:space="preserve"> IFERROR(ISNUMBER(data!X68), FALSE)</f>
        <v>0</v>
      </c>
      <c r="AI68" s="4" t="b">
        <f>IF(ISERROR(MATCH(data!Y68, rule_mapping!$D$2:$D$252, 0))=FALSE,TRUE, FALSE)</f>
        <v>0</v>
      </c>
      <c r="AJ68" s="4" t="b">
        <f>IFERROR(ISNUMBER(data!Z68), FALSE)</f>
        <v>0</v>
      </c>
      <c r="AK68" s="4" t="b">
        <f>IFERROR(ISNUMBER(data!AA68), FALSE)</f>
        <v>0</v>
      </c>
      <c r="AL68" s="4" t="b">
        <f>LEN(data!AB68)&lt;=90</f>
        <v>1</v>
      </c>
      <c r="AM68" s="4" t="b">
        <f>LEN(data!AC68)&gt;0</f>
        <v>0</v>
      </c>
      <c r="AN68" s="4" t="b">
        <f>LEN(data!AC68)&lt;=2000</f>
        <v>1</v>
      </c>
      <c r="AO68" s="4" t="b">
        <f>IF(LEN(data!AD68)=0,TRUE,IF(LEN(data!AD68)=5,TRUE,FALSE))</f>
        <v>1</v>
      </c>
      <c r="AP68" s="4" t="b">
        <f>LEN(data!AE68)&gt;0</f>
        <v>0</v>
      </c>
      <c r="AQ68" s="4" t="b">
        <f>LEN(data!AE68)=5</f>
        <v>0</v>
      </c>
      <c r="AR68" s="4" t="b">
        <f>ISERROR(MATCH(data!AF68, rule_mapping!$B$2:$B$3, 0))=FALSE</f>
        <v>0</v>
      </c>
      <c r="AS68" s="4" t="b">
        <f>ISERROR(MATCH(data!AG68, rule_mapping!$A$2:$A$8, 0))=FALSE</f>
        <v>0</v>
      </c>
      <c r="AT68" s="4" t="b">
        <f>LEN(data!AH68)&lt;=4</f>
        <v>1</v>
      </c>
      <c r="AU68" s="4" t="b">
        <f>LEN(data!AI68)&lt;=10</f>
        <v>1</v>
      </c>
      <c r="AV68" s="4" t="b">
        <f>LEN(data!AJ68)&lt;=35</f>
        <v>1</v>
      </c>
      <c r="AW68" s="4" t="b">
        <f>LEN(data!AK68)&lt;=20</f>
        <v>1</v>
      </c>
      <c r="AX68"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69" spans="1:50" ht="409.5" x14ac:dyDescent="0.15">
      <c r="A69" s="4" t="b">
        <f>OR(ISBLANK(data!B69), AND(B69:AW69))</f>
        <v>1</v>
      </c>
      <c r="B69" s="4" t="b">
        <f>AND(LEFT(TRIM(data!B69), 4)="OOLU", ISNUMBER(RIGHT(TRIM(data!B69), LEN(TRIM(data!B69))-4)+0))</f>
        <v>0</v>
      </c>
      <c r="C69" s="4" t="b">
        <f>LEN(data!C69)&gt;0</f>
        <v>0</v>
      </c>
      <c r="D69" s="4" t="b">
        <f>LEN(data!C69)&lt;=70</f>
        <v>1</v>
      </c>
      <c r="E69" s="4" t="b">
        <f>LEN(data!D69)&gt;0</f>
        <v>0</v>
      </c>
      <c r="F69" s="4" t="b">
        <f>LEN(data!D69)&lt;=140</f>
        <v>1</v>
      </c>
      <c r="G69" s="4" t="b">
        <f>LEN(data!E69)&gt;0</f>
        <v>0</v>
      </c>
      <c r="H69" s="4" t="b">
        <f>LEN(data!E69)&lt;=35</f>
        <v>1</v>
      </c>
      <c r="I69" s="4" t="b">
        <f>LEN(data!F69)=2</f>
        <v>0</v>
      </c>
      <c r="J69" s="4" t="b">
        <f>LEN(data!G69)&gt;0</f>
        <v>0</v>
      </c>
      <c r="K69" s="4" t="b">
        <f>LEN(data!G69)&lt;=60</f>
        <v>1</v>
      </c>
      <c r="L69" s="4" t="b">
        <f>LEN(data!I69)&gt;0</f>
        <v>0</v>
      </c>
      <c r="M69" s="4" t="b">
        <f>LEN(data!I69)&lt;=70</f>
        <v>1</v>
      </c>
      <c r="N69" s="4" t="b">
        <f>LEN(data!J69)&gt;0</f>
        <v>0</v>
      </c>
      <c r="O69" s="4" t="b">
        <f>LEN(data!J69)&lt;=140</f>
        <v>1</v>
      </c>
      <c r="P69" s="4" t="b">
        <f>LEN(data!K69)&gt;0</f>
        <v>0</v>
      </c>
      <c r="Q69" s="4" t="b">
        <f>LEN(data!K69)&lt;=35</f>
        <v>1</v>
      </c>
      <c r="R69" s="4" t="b">
        <f>LEN(data!L69)=2</f>
        <v>0</v>
      </c>
      <c r="S69" s="4" t="b">
        <f>LEN(data!M69)&gt;0</f>
        <v>0</v>
      </c>
      <c r="T69" s="4" t="b">
        <f>LEN(data!M69)&lt;=60</f>
        <v>1</v>
      </c>
      <c r="U69" s="4" t="b">
        <f>LEN(data!O69)&gt;0</f>
        <v>0</v>
      </c>
      <c r="V69" s="4" t="b">
        <f>LEN(data!O69)&lt;=70</f>
        <v>1</v>
      </c>
      <c r="W69" s="4" t="b">
        <f>LEN(data!P69)&gt;0</f>
        <v>0</v>
      </c>
      <c r="X69" s="4" t="b">
        <f>LEN(data!P69)&lt;=140</f>
        <v>1</v>
      </c>
      <c r="Y69" s="4" t="b">
        <f>LEN(data!Q69)&gt;0</f>
        <v>0</v>
      </c>
      <c r="Z69" s="4" t="b">
        <f>LEN(data!Q69)&lt;=35</f>
        <v>1</v>
      </c>
      <c r="AA69" s="4" t="b">
        <f>LEN(data!R69)=2</f>
        <v>0</v>
      </c>
      <c r="AB69" s="4" t="b">
        <f>LEN(data!S69)&gt;0</f>
        <v>0</v>
      </c>
      <c r="AC69" s="4" t="b">
        <f>LEN(data!S69)&lt;=120</f>
        <v>1</v>
      </c>
      <c r="AD69" s="4" t="b">
        <f>LEN(data!U69)=11</f>
        <v>0</v>
      </c>
      <c r="AE69" s="4" t="b">
        <f>AND(ISERROR(MATCH(data!V69, rule_mapping!$C$2:$C$325, 0))=FALSE, LEN(data!V69) &lt;= 4)</f>
        <v>0</v>
      </c>
      <c r="AF69" s="4" t="b">
        <f>LEN(data!W69)&gt;0</f>
        <v>0</v>
      </c>
      <c r="AG69" s="4" t="b">
        <f>LEN(data!W69)&lt;=20</f>
        <v>1</v>
      </c>
      <c r="AH69" s="4" t="b">
        <f xml:space="preserve"> IFERROR(ISNUMBER(data!X69), FALSE)</f>
        <v>0</v>
      </c>
      <c r="AI69" s="4" t="b">
        <f>IF(ISERROR(MATCH(data!Y69, rule_mapping!$D$2:$D$252, 0))=FALSE,TRUE, FALSE)</f>
        <v>0</v>
      </c>
      <c r="AJ69" s="4" t="b">
        <f>IFERROR(ISNUMBER(data!Z69), FALSE)</f>
        <v>0</v>
      </c>
      <c r="AK69" s="4" t="b">
        <f>IFERROR(ISNUMBER(data!AA69), FALSE)</f>
        <v>0</v>
      </c>
      <c r="AL69" s="4" t="b">
        <f>LEN(data!AB69)&lt;=90</f>
        <v>1</v>
      </c>
      <c r="AM69" s="4" t="b">
        <f>LEN(data!AC69)&gt;0</f>
        <v>0</v>
      </c>
      <c r="AN69" s="4" t="b">
        <f>LEN(data!AC69)&lt;=2000</f>
        <v>1</v>
      </c>
      <c r="AO69" s="4" t="b">
        <f>IF(LEN(data!AD69)=0,TRUE,IF(LEN(data!AD69)=5,TRUE,FALSE))</f>
        <v>1</v>
      </c>
      <c r="AP69" s="4" t="b">
        <f>LEN(data!AE69)&gt;0</f>
        <v>0</v>
      </c>
      <c r="AQ69" s="4" t="b">
        <f>LEN(data!AE69)=5</f>
        <v>0</v>
      </c>
      <c r="AR69" s="4" t="b">
        <f>ISERROR(MATCH(data!AF69, rule_mapping!$B$2:$B$3, 0))=FALSE</f>
        <v>0</v>
      </c>
      <c r="AS69" s="4" t="b">
        <f>ISERROR(MATCH(data!AG69, rule_mapping!$A$2:$A$8, 0))=FALSE</f>
        <v>0</v>
      </c>
      <c r="AT69" s="4" t="b">
        <f>LEN(data!AH69)&lt;=4</f>
        <v>1</v>
      </c>
      <c r="AU69" s="4" t="b">
        <f>LEN(data!AI69)&lt;=10</f>
        <v>1</v>
      </c>
      <c r="AV69" s="4" t="b">
        <f>LEN(data!AJ69)&lt;=35</f>
        <v>1</v>
      </c>
      <c r="AW69" s="4" t="b">
        <f>LEN(data!AK69)&lt;=20</f>
        <v>1</v>
      </c>
      <c r="AX69"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0" spans="1:50" ht="409.5" x14ac:dyDescent="0.15">
      <c r="A70" s="4" t="b">
        <f>OR(ISBLANK(data!B70), AND(B70:AW70))</f>
        <v>1</v>
      </c>
      <c r="B70" s="4" t="b">
        <f>AND(LEFT(TRIM(data!B70), 4)="OOLU", ISNUMBER(RIGHT(TRIM(data!B70), LEN(TRIM(data!B70))-4)+0))</f>
        <v>0</v>
      </c>
      <c r="C70" s="4" t="b">
        <f>LEN(data!C70)&gt;0</f>
        <v>0</v>
      </c>
      <c r="D70" s="4" t="b">
        <f>LEN(data!C70)&lt;=70</f>
        <v>1</v>
      </c>
      <c r="E70" s="4" t="b">
        <f>LEN(data!D70)&gt;0</f>
        <v>0</v>
      </c>
      <c r="F70" s="4" t="b">
        <f>LEN(data!D70)&lt;=140</f>
        <v>1</v>
      </c>
      <c r="G70" s="4" t="b">
        <f>LEN(data!E70)&gt;0</f>
        <v>0</v>
      </c>
      <c r="H70" s="4" t="b">
        <f>LEN(data!E70)&lt;=35</f>
        <v>1</v>
      </c>
      <c r="I70" s="4" t="b">
        <f>LEN(data!F70)=2</f>
        <v>0</v>
      </c>
      <c r="J70" s="4" t="b">
        <f>LEN(data!G70)&gt;0</f>
        <v>0</v>
      </c>
      <c r="K70" s="4" t="b">
        <f>LEN(data!G70)&lt;=60</f>
        <v>1</v>
      </c>
      <c r="L70" s="4" t="b">
        <f>LEN(data!I70)&gt;0</f>
        <v>0</v>
      </c>
      <c r="M70" s="4" t="b">
        <f>LEN(data!I70)&lt;=70</f>
        <v>1</v>
      </c>
      <c r="N70" s="4" t="b">
        <f>LEN(data!J70)&gt;0</f>
        <v>0</v>
      </c>
      <c r="O70" s="4" t="b">
        <f>LEN(data!J70)&lt;=140</f>
        <v>1</v>
      </c>
      <c r="P70" s="4" t="b">
        <f>LEN(data!K70)&gt;0</f>
        <v>0</v>
      </c>
      <c r="Q70" s="4" t="b">
        <f>LEN(data!K70)&lt;=35</f>
        <v>1</v>
      </c>
      <c r="R70" s="4" t="b">
        <f>LEN(data!L70)=2</f>
        <v>0</v>
      </c>
      <c r="S70" s="4" t="b">
        <f>LEN(data!M70)&gt;0</f>
        <v>0</v>
      </c>
      <c r="T70" s="4" t="b">
        <f>LEN(data!M70)&lt;=60</f>
        <v>1</v>
      </c>
      <c r="U70" s="4" t="b">
        <f>LEN(data!O70)&gt;0</f>
        <v>0</v>
      </c>
      <c r="V70" s="4" t="b">
        <f>LEN(data!O70)&lt;=70</f>
        <v>1</v>
      </c>
      <c r="W70" s="4" t="b">
        <f>LEN(data!P70)&gt;0</f>
        <v>0</v>
      </c>
      <c r="X70" s="4" t="b">
        <f>LEN(data!P70)&lt;=140</f>
        <v>1</v>
      </c>
      <c r="Y70" s="4" t="b">
        <f>LEN(data!Q70)&gt;0</f>
        <v>0</v>
      </c>
      <c r="Z70" s="4" t="b">
        <f>LEN(data!Q70)&lt;=35</f>
        <v>1</v>
      </c>
      <c r="AA70" s="4" t="b">
        <f>LEN(data!R70)=2</f>
        <v>0</v>
      </c>
      <c r="AB70" s="4" t="b">
        <f>LEN(data!S70)&gt;0</f>
        <v>0</v>
      </c>
      <c r="AC70" s="4" t="b">
        <f>LEN(data!S70)&lt;=120</f>
        <v>1</v>
      </c>
      <c r="AD70" s="4" t="b">
        <f>LEN(data!U70)=11</f>
        <v>0</v>
      </c>
      <c r="AE70" s="4" t="b">
        <f>AND(ISERROR(MATCH(data!V70, rule_mapping!$C$2:$C$325, 0))=FALSE, LEN(data!V70) &lt;= 4)</f>
        <v>0</v>
      </c>
      <c r="AF70" s="4" t="b">
        <f>LEN(data!W70)&gt;0</f>
        <v>0</v>
      </c>
      <c r="AG70" s="4" t="b">
        <f>LEN(data!W70)&lt;=20</f>
        <v>1</v>
      </c>
      <c r="AH70" s="4" t="b">
        <f xml:space="preserve"> IFERROR(ISNUMBER(data!X70), FALSE)</f>
        <v>0</v>
      </c>
      <c r="AI70" s="4" t="b">
        <f>IF(ISERROR(MATCH(data!Y70, rule_mapping!$D$2:$D$252, 0))=FALSE,TRUE, FALSE)</f>
        <v>0</v>
      </c>
      <c r="AJ70" s="4" t="b">
        <f>IFERROR(ISNUMBER(data!Z70), FALSE)</f>
        <v>0</v>
      </c>
      <c r="AK70" s="4" t="b">
        <f>IFERROR(ISNUMBER(data!AA70), FALSE)</f>
        <v>0</v>
      </c>
      <c r="AL70" s="4" t="b">
        <f>LEN(data!AB70)&lt;=90</f>
        <v>1</v>
      </c>
      <c r="AM70" s="4" t="b">
        <f>LEN(data!AC70)&gt;0</f>
        <v>0</v>
      </c>
      <c r="AN70" s="4" t="b">
        <f>LEN(data!AC70)&lt;=2000</f>
        <v>1</v>
      </c>
      <c r="AO70" s="4" t="b">
        <f>IF(LEN(data!AD70)=0,TRUE,IF(LEN(data!AD70)=5,TRUE,FALSE))</f>
        <v>1</v>
      </c>
      <c r="AP70" s="4" t="b">
        <f>LEN(data!AE70)&gt;0</f>
        <v>0</v>
      </c>
      <c r="AQ70" s="4" t="b">
        <f>LEN(data!AE70)=5</f>
        <v>0</v>
      </c>
      <c r="AR70" s="4" t="b">
        <f>ISERROR(MATCH(data!AF70, rule_mapping!$B$2:$B$3, 0))=FALSE</f>
        <v>0</v>
      </c>
      <c r="AS70" s="4" t="b">
        <f>ISERROR(MATCH(data!AG70, rule_mapping!$A$2:$A$8, 0))=FALSE</f>
        <v>0</v>
      </c>
      <c r="AT70" s="4" t="b">
        <f>LEN(data!AH70)&lt;=4</f>
        <v>1</v>
      </c>
      <c r="AU70" s="4" t="b">
        <f>LEN(data!AI70)&lt;=10</f>
        <v>1</v>
      </c>
      <c r="AV70" s="4" t="b">
        <f>LEN(data!AJ70)&lt;=35</f>
        <v>1</v>
      </c>
      <c r="AW70" s="4" t="b">
        <f>LEN(data!AK70)&lt;=20</f>
        <v>1</v>
      </c>
      <c r="AX70"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1" spans="1:50" ht="409.5" x14ac:dyDescent="0.15">
      <c r="A71" s="4" t="b">
        <f>OR(ISBLANK(data!B71), AND(B71:AW71))</f>
        <v>1</v>
      </c>
      <c r="B71" s="4" t="b">
        <f>AND(LEFT(TRIM(data!B71), 4)="OOLU", ISNUMBER(RIGHT(TRIM(data!B71), LEN(TRIM(data!B71))-4)+0))</f>
        <v>0</v>
      </c>
      <c r="C71" s="4" t="b">
        <f>LEN(data!C71)&gt;0</f>
        <v>0</v>
      </c>
      <c r="D71" s="4" t="b">
        <f>LEN(data!C71)&lt;=70</f>
        <v>1</v>
      </c>
      <c r="E71" s="4" t="b">
        <f>LEN(data!D71)&gt;0</f>
        <v>0</v>
      </c>
      <c r="F71" s="4" t="b">
        <f>LEN(data!D71)&lt;=140</f>
        <v>1</v>
      </c>
      <c r="G71" s="4" t="b">
        <f>LEN(data!E71)&gt;0</f>
        <v>0</v>
      </c>
      <c r="H71" s="4" t="b">
        <f>LEN(data!E71)&lt;=35</f>
        <v>1</v>
      </c>
      <c r="I71" s="4" t="b">
        <f>LEN(data!F71)=2</f>
        <v>0</v>
      </c>
      <c r="J71" s="4" t="b">
        <f>LEN(data!G71)&gt;0</f>
        <v>0</v>
      </c>
      <c r="K71" s="4" t="b">
        <f>LEN(data!G71)&lt;=60</f>
        <v>1</v>
      </c>
      <c r="L71" s="4" t="b">
        <f>LEN(data!I71)&gt;0</f>
        <v>0</v>
      </c>
      <c r="M71" s="4" t="b">
        <f>LEN(data!I71)&lt;=70</f>
        <v>1</v>
      </c>
      <c r="N71" s="4" t="b">
        <f>LEN(data!J71)&gt;0</f>
        <v>0</v>
      </c>
      <c r="O71" s="4" t="b">
        <f>LEN(data!J71)&lt;=140</f>
        <v>1</v>
      </c>
      <c r="P71" s="4" t="b">
        <f>LEN(data!K71)&gt;0</f>
        <v>0</v>
      </c>
      <c r="Q71" s="4" t="b">
        <f>LEN(data!K71)&lt;=35</f>
        <v>1</v>
      </c>
      <c r="R71" s="4" t="b">
        <f>LEN(data!L71)=2</f>
        <v>0</v>
      </c>
      <c r="S71" s="4" t="b">
        <f>LEN(data!M71)&gt;0</f>
        <v>0</v>
      </c>
      <c r="T71" s="4" t="b">
        <f>LEN(data!M71)&lt;=60</f>
        <v>1</v>
      </c>
      <c r="U71" s="4" t="b">
        <f>LEN(data!O71)&gt;0</f>
        <v>0</v>
      </c>
      <c r="V71" s="4" t="b">
        <f>LEN(data!O71)&lt;=70</f>
        <v>1</v>
      </c>
      <c r="W71" s="4" t="b">
        <f>LEN(data!P71)&gt;0</f>
        <v>0</v>
      </c>
      <c r="X71" s="4" t="b">
        <f>LEN(data!P71)&lt;=140</f>
        <v>1</v>
      </c>
      <c r="Y71" s="4" t="b">
        <f>LEN(data!Q71)&gt;0</f>
        <v>0</v>
      </c>
      <c r="Z71" s="4" t="b">
        <f>LEN(data!Q71)&lt;=35</f>
        <v>1</v>
      </c>
      <c r="AA71" s="4" t="b">
        <f>LEN(data!R71)=2</f>
        <v>0</v>
      </c>
      <c r="AB71" s="4" t="b">
        <f>LEN(data!S71)&gt;0</f>
        <v>0</v>
      </c>
      <c r="AC71" s="4" t="b">
        <f>LEN(data!S71)&lt;=120</f>
        <v>1</v>
      </c>
      <c r="AD71" s="4" t="b">
        <f>LEN(data!U71)=11</f>
        <v>0</v>
      </c>
      <c r="AE71" s="4" t="b">
        <f>AND(ISERROR(MATCH(data!V71, rule_mapping!$C$2:$C$325, 0))=FALSE, LEN(data!V71) &lt;= 4)</f>
        <v>0</v>
      </c>
      <c r="AF71" s="4" t="b">
        <f>LEN(data!W71)&gt;0</f>
        <v>0</v>
      </c>
      <c r="AG71" s="4" t="b">
        <f>LEN(data!W71)&lt;=20</f>
        <v>1</v>
      </c>
      <c r="AH71" s="4" t="b">
        <f xml:space="preserve"> IFERROR(ISNUMBER(data!X71), FALSE)</f>
        <v>0</v>
      </c>
      <c r="AI71" s="4" t="b">
        <f>IF(ISERROR(MATCH(data!Y71, rule_mapping!$D$2:$D$252, 0))=FALSE,TRUE, FALSE)</f>
        <v>0</v>
      </c>
      <c r="AJ71" s="4" t="b">
        <f>IFERROR(ISNUMBER(data!Z71), FALSE)</f>
        <v>0</v>
      </c>
      <c r="AK71" s="4" t="b">
        <f>IFERROR(ISNUMBER(data!AA71), FALSE)</f>
        <v>0</v>
      </c>
      <c r="AL71" s="4" t="b">
        <f>LEN(data!AB71)&lt;=90</f>
        <v>1</v>
      </c>
      <c r="AM71" s="4" t="b">
        <f>LEN(data!AC71)&gt;0</f>
        <v>0</v>
      </c>
      <c r="AN71" s="4" t="b">
        <f>LEN(data!AC71)&lt;=2000</f>
        <v>1</v>
      </c>
      <c r="AO71" s="4" t="b">
        <f>IF(LEN(data!AD71)=0,TRUE,IF(LEN(data!AD71)=5,TRUE,FALSE))</f>
        <v>1</v>
      </c>
      <c r="AP71" s="4" t="b">
        <f>LEN(data!AE71)&gt;0</f>
        <v>0</v>
      </c>
      <c r="AQ71" s="4" t="b">
        <f>LEN(data!AE71)=5</f>
        <v>0</v>
      </c>
      <c r="AR71" s="4" t="b">
        <f>ISERROR(MATCH(data!AF71, rule_mapping!$B$2:$B$3, 0))=FALSE</f>
        <v>0</v>
      </c>
      <c r="AS71" s="4" t="b">
        <f>ISERROR(MATCH(data!AG71, rule_mapping!$A$2:$A$8, 0))=FALSE</f>
        <v>0</v>
      </c>
      <c r="AT71" s="4" t="b">
        <f>LEN(data!AH71)&lt;=4</f>
        <v>1</v>
      </c>
      <c r="AU71" s="4" t="b">
        <f>LEN(data!AI71)&lt;=10</f>
        <v>1</v>
      </c>
      <c r="AV71" s="4" t="b">
        <f>LEN(data!AJ71)&lt;=35</f>
        <v>1</v>
      </c>
      <c r="AW71" s="4" t="b">
        <f>LEN(data!AK71)&lt;=20</f>
        <v>1</v>
      </c>
      <c r="AX71"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2" spans="1:50" ht="409.5" x14ac:dyDescent="0.15">
      <c r="A72" s="4" t="b">
        <f>OR(ISBLANK(data!B72), AND(B72:AW72))</f>
        <v>1</v>
      </c>
      <c r="B72" s="4" t="b">
        <f>AND(LEFT(TRIM(data!B72), 4)="OOLU", ISNUMBER(RIGHT(TRIM(data!B72), LEN(TRIM(data!B72))-4)+0))</f>
        <v>0</v>
      </c>
      <c r="C72" s="4" t="b">
        <f>LEN(data!C72)&gt;0</f>
        <v>0</v>
      </c>
      <c r="D72" s="4" t="b">
        <f>LEN(data!C72)&lt;=70</f>
        <v>1</v>
      </c>
      <c r="E72" s="4" t="b">
        <f>LEN(data!D72)&gt;0</f>
        <v>0</v>
      </c>
      <c r="F72" s="4" t="b">
        <f>LEN(data!D72)&lt;=140</f>
        <v>1</v>
      </c>
      <c r="G72" s="4" t="b">
        <f>LEN(data!E72)&gt;0</f>
        <v>0</v>
      </c>
      <c r="H72" s="4" t="b">
        <f>LEN(data!E72)&lt;=35</f>
        <v>1</v>
      </c>
      <c r="I72" s="4" t="b">
        <f>LEN(data!F72)=2</f>
        <v>0</v>
      </c>
      <c r="J72" s="4" t="b">
        <f>LEN(data!G72)&gt;0</f>
        <v>0</v>
      </c>
      <c r="K72" s="4" t="b">
        <f>LEN(data!G72)&lt;=60</f>
        <v>1</v>
      </c>
      <c r="L72" s="4" t="b">
        <f>LEN(data!I72)&gt;0</f>
        <v>0</v>
      </c>
      <c r="M72" s="4" t="b">
        <f>LEN(data!I72)&lt;=70</f>
        <v>1</v>
      </c>
      <c r="N72" s="4" t="b">
        <f>LEN(data!J72)&gt;0</f>
        <v>0</v>
      </c>
      <c r="O72" s="4" t="b">
        <f>LEN(data!J72)&lt;=140</f>
        <v>1</v>
      </c>
      <c r="P72" s="4" t="b">
        <f>LEN(data!K72)&gt;0</f>
        <v>0</v>
      </c>
      <c r="Q72" s="4" t="b">
        <f>LEN(data!K72)&lt;=35</f>
        <v>1</v>
      </c>
      <c r="R72" s="4" t="b">
        <f>LEN(data!L72)=2</f>
        <v>0</v>
      </c>
      <c r="S72" s="4" t="b">
        <f>LEN(data!M72)&gt;0</f>
        <v>0</v>
      </c>
      <c r="T72" s="4" t="b">
        <f>LEN(data!M72)&lt;=60</f>
        <v>1</v>
      </c>
      <c r="U72" s="4" t="b">
        <f>LEN(data!O72)&gt;0</f>
        <v>0</v>
      </c>
      <c r="V72" s="4" t="b">
        <f>LEN(data!O72)&lt;=70</f>
        <v>1</v>
      </c>
      <c r="W72" s="4" t="b">
        <f>LEN(data!P72)&gt;0</f>
        <v>0</v>
      </c>
      <c r="X72" s="4" t="b">
        <f>LEN(data!P72)&lt;=140</f>
        <v>1</v>
      </c>
      <c r="Y72" s="4" t="b">
        <f>LEN(data!Q72)&gt;0</f>
        <v>0</v>
      </c>
      <c r="Z72" s="4" t="b">
        <f>LEN(data!Q72)&lt;=35</f>
        <v>1</v>
      </c>
      <c r="AA72" s="4" t="b">
        <f>LEN(data!R72)=2</f>
        <v>0</v>
      </c>
      <c r="AB72" s="4" t="b">
        <f>LEN(data!S72)&gt;0</f>
        <v>0</v>
      </c>
      <c r="AC72" s="4" t="b">
        <f>LEN(data!S72)&lt;=120</f>
        <v>1</v>
      </c>
      <c r="AD72" s="4" t="b">
        <f>LEN(data!U72)=11</f>
        <v>0</v>
      </c>
      <c r="AE72" s="4" t="b">
        <f>AND(ISERROR(MATCH(data!V72, rule_mapping!$C$2:$C$325, 0))=FALSE, LEN(data!V72) &lt;= 4)</f>
        <v>0</v>
      </c>
      <c r="AF72" s="4" t="b">
        <f>LEN(data!W72)&gt;0</f>
        <v>0</v>
      </c>
      <c r="AG72" s="4" t="b">
        <f>LEN(data!W72)&lt;=20</f>
        <v>1</v>
      </c>
      <c r="AH72" s="4" t="b">
        <f xml:space="preserve"> IFERROR(ISNUMBER(data!X72), FALSE)</f>
        <v>0</v>
      </c>
      <c r="AI72" s="4" t="b">
        <f>IF(ISERROR(MATCH(data!Y72, rule_mapping!$D$2:$D$252, 0))=FALSE,TRUE, FALSE)</f>
        <v>0</v>
      </c>
      <c r="AJ72" s="4" t="b">
        <f>IFERROR(ISNUMBER(data!Z72), FALSE)</f>
        <v>0</v>
      </c>
      <c r="AK72" s="4" t="b">
        <f>IFERROR(ISNUMBER(data!AA72), FALSE)</f>
        <v>0</v>
      </c>
      <c r="AL72" s="4" t="b">
        <f>LEN(data!AB72)&lt;=90</f>
        <v>1</v>
      </c>
      <c r="AM72" s="4" t="b">
        <f>LEN(data!AC72)&gt;0</f>
        <v>0</v>
      </c>
      <c r="AN72" s="4" t="b">
        <f>LEN(data!AC72)&lt;=2000</f>
        <v>1</v>
      </c>
      <c r="AO72" s="4" t="b">
        <f>IF(LEN(data!AD72)=0,TRUE,IF(LEN(data!AD72)=5,TRUE,FALSE))</f>
        <v>1</v>
      </c>
      <c r="AP72" s="4" t="b">
        <f>LEN(data!AE72)&gt;0</f>
        <v>0</v>
      </c>
      <c r="AQ72" s="4" t="b">
        <f>LEN(data!AE72)=5</f>
        <v>0</v>
      </c>
      <c r="AR72" s="4" t="b">
        <f>ISERROR(MATCH(data!AF72, rule_mapping!$B$2:$B$3, 0))=FALSE</f>
        <v>0</v>
      </c>
      <c r="AS72" s="4" t="b">
        <f>ISERROR(MATCH(data!AG72, rule_mapping!$A$2:$A$8, 0))=FALSE</f>
        <v>0</v>
      </c>
      <c r="AT72" s="4" t="b">
        <f>LEN(data!AH72)&lt;=4</f>
        <v>1</v>
      </c>
      <c r="AU72" s="4" t="b">
        <f>LEN(data!AI72)&lt;=10</f>
        <v>1</v>
      </c>
      <c r="AV72" s="4" t="b">
        <f>LEN(data!AJ72)&lt;=35</f>
        <v>1</v>
      </c>
      <c r="AW72" s="4" t="b">
        <f>LEN(data!AK72)&lt;=20</f>
        <v>1</v>
      </c>
      <c r="AX72"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3" spans="1:50" ht="409.5" x14ac:dyDescent="0.15">
      <c r="A73" s="4" t="b">
        <f>OR(ISBLANK(data!B73), AND(B73:AW73))</f>
        <v>1</v>
      </c>
      <c r="B73" s="4" t="b">
        <f>AND(LEFT(TRIM(data!B73), 4)="OOLU", ISNUMBER(RIGHT(TRIM(data!B73), LEN(TRIM(data!B73))-4)+0))</f>
        <v>0</v>
      </c>
      <c r="C73" s="4" t="b">
        <f>LEN(data!C73)&gt;0</f>
        <v>0</v>
      </c>
      <c r="D73" s="4" t="b">
        <f>LEN(data!C73)&lt;=70</f>
        <v>1</v>
      </c>
      <c r="E73" s="4" t="b">
        <f>LEN(data!D73)&gt;0</f>
        <v>0</v>
      </c>
      <c r="F73" s="4" t="b">
        <f>LEN(data!D73)&lt;=140</f>
        <v>1</v>
      </c>
      <c r="G73" s="4" t="b">
        <f>LEN(data!E73)&gt;0</f>
        <v>0</v>
      </c>
      <c r="H73" s="4" t="b">
        <f>LEN(data!E73)&lt;=35</f>
        <v>1</v>
      </c>
      <c r="I73" s="4" t="b">
        <f>LEN(data!F73)=2</f>
        <v>0</v>
      </c>
      <c r="J73" s="4" t="b">
        <f>LEN(data!G73)&gt;0</f>
        <v>0</v>
      </c>
      <c r="K73" s="4" t="b">
        <f>LEN(data!G73)&lt;=60</f>
        <v>1</v>
      </c>
      <c r="L73" s="4" t="b">
        <f>LEN(data!I73)&gt;0</f>
        <v>0</v>
      </c>
      <c r="M73" s="4" t="b">
        <f>LEN(data!I73)&lt;=70</f>
        <v>1</v>
      </c>
      <c r="N73" s="4" t="b">
        <f>LEN(data!J73)&gt;0</f>
        <v>0</v>
      </c>
      <c r="O73" s="4" t="b">
        <f>LEN(data!J73)&lt;=140</f>
        <v>1</v>
      </c>
      <c r="P73" s="4" t="b">
        <f>LEN(data!K73)&gt;0</f>
        <v>0</v>
      </c>
      <c r="Q73" s="4" t="b">
        <f>LEN(data!K73)&lt;=35</f>
        <v>1</v>
      </c>
      <c r="R73" s="4" t="b">
        <f>LEN(data!L73)=2</f>
        <v>0</v>
      </c>
      <c r="S73" s="4" t="b">
        <f>LEN(data!M73)&gt;0</f>
        <v>0</v>
      </c>
      <c r="T73" s="4" t="b">
        <f>LEN(data!M73)&lt;=60</f>
        <v>1</v>
      </c>
      <c r="U73" s="4" t="b">
        <f>LEN(data!O73)&gt;0</f>
        <v>0</v>
      </c>
      <c r="V73" s="4" t="b">
        <f>LEN(data!O73)&lt;=70</f>
        <v>1</v>
      </c>
      <c r="W73" s="4" t="b">
        <f>LEN(data!P73)&gt;0</f>
        <v>0</v>
      </c>
      <c r="X73" s="4" t="b">
        <f>LEN(data!P73)&lt;=140</f>
        <v>1</v>
      </c>
      <c r="Y73" s="4" t="b">
        <f>LEN(data!Q73)&gt;0</f>
        <v>0</v>
      </c>
      <c r="Z73" s="4" t="b">
        <f>LEN(data!Q73)&lt;=35</f>
        <v>1</v>
      </c>
      <c r="AA73" s="4" t="b">
        <f>LEN(data!R73)=2</f>
        <v>0</v>
      </c>
      <c r="AB73" s="4" t="b">
        <f>LEN(data!S73)&gt;0</f>
        <v>0</v>
      </c>
      <c r="AC73" s="4" t="b">
        <f>LEN(data!S73)&lt;=120</f>
        <v>1</v>
      </c>
      <c r="AD73" s="4" t="b">
        <f>LEN(data!U73)=11</f>
        <v>0</v>
      </c>
      <c r="AE73" s="4" t="b">
        <f>AND(ISERROR(MATCH(data!V73, rule_mapping!$C$2:$C$325, 0))=FALSE, LEN(data!V73) &lt;= 4)</f>
        <v>0</v>
      </c>
      <c r="AF73" s="4" t="b">
        <f>LEN(data!W73)&gt;0</f>
        <v>0</v>
      </c>
      <c r="AG73" s="4" t="b">
        <f>LEN(data!W73)&lt;=20</f>
        <v>1</v>
      </c>
      <c r="AH73" s="4" t="b">
        <f xml:space="preserve"> IFERROR(ISNUMBER(data!X73), FALSE)</f>
        <v>0</v>
      </c>
      <c r="AI73" s="4" t="b">
        <f>IF(ISERROR(MATCH(data!Y73, rule_mapping!$D$2:$D$252, 0))=FALSE,TRUE, FALSE)</f>
        <v>0</v>
      </c>
      <c r="AJ73" s="4" t="b">
        <f>IFERROR(ISNUMBER(data!Z73), FALSE)</f>
        <v>0</v>
      </c>
      <c r="AK73" s="4" t="b">
        <f>IFERROR(ISNUMBER(data!AA73), FALSE)</f>
        <v>0</v>
      </c>
      <c r="AL73" s="4" t="b">
        <f>LEN(data!AB73)&lt;=90</f>
        <v>1</v>
      </c>
      <c r="AM73" s="4" t="b">
        <f>LEN(data!AC73)&gt;0</f>
        <v>0</v>
      </c>
      <c r="AN73" s="4" t="b">
        <f>LEN(data!AC73)&lt;=2000</f>
        <v>1</v>
      </c>
      <c r="AO73" s="4" t="b">
        <f>IF(LEN(data!AD73)=0,TRUE,IF(LEN(data!AD73)=5,TRUE,FALSE))</f>
        <v>1</v>
      </c>
      <c r="AP73" s="4" t="b">
        <f>LEN(data!AE73)&gt;0</f>
        <v>0</v>
      </c>
      <c r="AQ73" s="4" t="b">
        <f>LEN(data!AE73)=5</f>
        <v>0</v>
      </c>
      <c r="AR73" s="4" t="b">
        <f>ISERROR(MATCH(data!AF73, rule_mapping!$B$2:$B$3, 0))=FALSE</f>
        <v>0</v>
      </c>
      <c r="AS73" s="4" t="b">
        <f>ISERROR(MATCH(data!AG73, rule_mapping!$A$2:$A$8, 0))=FALSE</f>
        <v>0</v>
      </c>
      <c r="AT73" s="4" t="b">
        <f>LEN(data!AH73)&lt;=4</f>
        <v>1</v>
      </c>
      <c r="AU73" s="4" t="b">
        <f>LEN(data!AI73)&lt;=10</f>
        <v>1</v>
      </c>
      <c r="AV73" s="4" t="b">
        <f>LEN(data!AJ73)&lt;=35</f>
        <v>1</v>
      </c>
      <c r="AW73" s="4" t="b">
        <f>LEN(data!AK73)&lt;=20</f>
        <v>1</v>
      </c>
      <c r="AX73"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4" spans="1:50" ht="409.5" x14ac:dyDescent="0.15">
      <c r="A74" s="4" t="b">
        <f>OR(ISBLANK(data!B74), AND(B74:AW74))</f>
        <v>1</v>
      </c>
      <c r="B74" s="4" t="b">
        <f>AND(LEFT(TRIM(data!B74), 4)="OOLU", ISNUMBER(RIGHT(TRIM(data!B74), LEN(TRIM(data!B74))-4)+0))</f>
        <v>0</v>
      </c>
      <c r="C74" s="4" t="b">
        <f>LEN(data!C74)&gt;0</f>
        <v>0</v>
      </c>
      <c r="D74" s="4" t="b">
        <f>LEN(data!C74)&lt;=70</f>
        <v>1</v>
      </c>
      <c r="E74" s="4" t="b">
        <f>LEN(data!D74)&gt;0</f>
        <v>0</v>
      </c>
      <c r="F74" s="4" t="b">
        <f>LEN(data!D74)&lt;=140</f>
        <v>1</v>
      </c>
      <c r="G74" s="4" t="b">
        <f>LEN(data!E74)&gt;0</f>
        <v>0</v>
      </c>
      <c r="H74" s="4" t="b">
        <f>LEN(data!E74)&lt;=35</f>
        <v>1</v>
      </c>
      <c r="I74" s="4" t="b">
        <f>LEN(data!F74)=2</f>
        <v>0</v>
      </c>
      <c r="J74" s="4" t="b">
        <f>LEN(data!G74)&gt;0</f>
        <v>0</v>
      </c>
      <c r="K74" s="4" t="b">
        <f>LEN(data!G74)&lt;=60</f>
        <v>1</v>
      </c>
      <c r="L74" s="4" t="b">
        <f>LEN(data!I74)&gt;0</f>
        <v>0</v>
      </c>
      <c r="M74" s="4" t="b">
        <f>LEN(data!I74)&lt;=70</f>
        <v>1</v>
      </c>
      <c r="N74" s="4" t="b">
        <f>LEN(data!J74)&gt;0</f>
        <v>0</v>
      </c>
      <c r="O74" s="4" t="b">
        <f>LEN(data!J74)&lt;=140</f>
        <v>1</v>
      </c>
      <c r="P74" s="4" t="b">
        <f>LEN(data!K74)&gt;0</f>
        <v>0</v>
      </c>
      <c r="Q74" s="4" t="b">
        <f>LEN(data!K74)&lt;=35</f>
        <v>1</v>
      </c>
      <c r="R74" s="4" t="b">
        <f>LEN(data!L74)=2</f>
        <v>0</v>
      </c>
      <c r="S74" s="4" t="b">
        <f>LEN(data!M74)&gt;0</f>
        <v>0</v>
      </c>
      <c r="T74" s="4" t="b">
        <f>LEN(data!M74)&lt;=60</f>
        <v>1</v>
      </c>
      <c r="U74" s="4" t="b">
        <f>LEN(data!O74)&gt;0</f>
        <v>0</v>
      </c>
      <c r="V74" s="4" t="b">
        <f>LEN(data!O74)&lt;=70</f>
        <v>1</v>
      </c>
      <c r="W74" s="4" t="b">
        <f>LEN(data!P74)&gt;0</f>
        <v>0</v>
      </c>
      <c r="X74" s="4" t="b">
        <f>LEN(data!P74)&lt;=140</f>
        <v>1</v>
      </c>
      <c r="Y74" s="4" t="b">
        <f>LEN(data!Q74)&gt;0</f>
        <v>0</v>
      </c>
      <c r="Z74" s="4" t="b">
        <f>LEN(data!Q74)&lt;=35</f>
        <v>1</v>
      </c>
      <c r="AA74" s="4" t="b">
        <f>LEN(data!R74)=2</f>
        <v>0</v>
      </c>
      <c r="AB74" s="4" t="b">
        <f>LEN(data!S74)&gt;0</f>
        <v>0</v>
      </c>
      <c r="AC74" s="4" t="b">
        <f>LEN(data!S74)&lt;=120</f>
        <v>1</v>
      </c>
      <c r="AD74" s="4" t="b">
        <f>LEN(data!U74)=11</f>
        <v>0</v>
      </c>
      <c r="AE74" s="4" t="b">
        <f>AND(ISERROR(MATCH(data!V74, rule_mapping!$C$2:$C$325, 0))=FALSE, LEN(data!V74) &lt;= 4)</f>
        <v>0</v>
      </c>
      <c r="AF74" s="4" t="b">
        <f>LEN(data!W74)&gt;0</f>
        <v>0</v>
      </c>
      <c r="AG74" s="4" t="b">
        <f>LEN(data!W74)&lt;=20</f>
        <v>1</v>
      </c>
      <c r="AH74" s="4" t="b">
        <f xml:space="preserve"> IFERROR(ISNUMBER(data!X74), FALSE)</f>
        <v>0</v>
      </c>
      <c r="AI74" s="4" t="b">
        <f>IF(ISERROR(MATCH(data!Y74, rule_mapping!$D$2:$D$252, 0))=FALSE,TRUE, FALSE)</f>
        <v>0</v>
      </c>
      <c r="AJ74" s="4" t="b">
        <f>IFERROR(ISNUMBER(data!Z74), FALSE)</f>
        <v>0</v>
      </c>
      <c r="AK74" s="4" t="b">
        <f>IFERROR(ISNUMBER(data!AA74), FALSE)</f>
        <v>0</v>
      </c>
      <c r="AL74" s="4" t="b">
        <f>LEN(data!AB74)&lt;=90</f>
        <v>1</v>
      </c>
      <c r="AM74" s="4" t="b">
        <f>LEN(data!AC74)&gt;0</f>
        <v>0</v>
      </c>
      <c r="AN74" s="4" t="b">
        <f>LEN(data!AC74)&lt;=2000</f>
        <v>1</v>
      </c>
      <c r="AO74" s="4" t="b">
        <f>IF(LEN(data!AD74)=0,TRUE,IF(LEN(data!AD74)=5,TRUE,FALSE))</f>
        <v>1</v>
      </c>
      <c r="AP74" s="4" t="b">
        <f>LEN(data!AE74)&gt;0</f>
        <v>0</v>
      </c>
      <c r="AQ74" s="4" t="b">
        <f>LEN(data!AE74)=5</f>
        <v>0</v>
      </c>
      <c r="AR74" s="4" t="b">
        <f>ISERROR(MATCH(data!AF74, rule_mapping!$B$2:$B$3, 0))=FALSE</f>
        <v>0</v>
      </c>
      <c r="AS74" s="4" t="b">
        <f>ISERROR(MATCH(data!AG74, rule_mapping!$A$2:$A$8, 0))=FALSE</f>
        <v>0</v>
      </c>
      <c r="AT74" s="4" t="b">
        <f>LEN(data!AH74)&lt;=4</f>
        <v>1</v>
      </c>
      <c r="AU74" s="4" t="b">
        <f>LEN(data!AI74)&lt;=10</f>
        <v>1</v>
      </c>
      <c r="AV74" s="4" t="b">
        <f>LEN(data!AJ74)&lt;=35</f>
        <v>1</v>
      </c>
      <c r="AW74" s="4" t="b">
        <f>LEN(data!AK74)&lt;=20</f>
        <v>1</v>
      </c>
      <c r="AX74"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5" spans="1:50" ht="409.5" x14ac:dyDescent="0.15">
      <c r="A75" s="4" t="b">
        <f>OR(ISBLANK(data!B75), AND(B75:AW75))</f>
        <v>1</v>
      </c>
      <c r="B75" s="4" t="b">
        <f>AND(LEFT(TRIM(data!B75), 4)="OOLU", ISNUMBER(RIGHT(TRIM(data!B75), LEN(TRIM(data!B75))-4)+0))</f>
        <v>0</v>
      </c>
      <c r="C75" s="4" t="b">
        <f>LEN(data!C75)&gt;0</f>
        <v>0</v>
      </c>
      <c r="D75" s="4" t="b">
        <f>LEN(data!C75)&lt;=70</f>
        <v>1</v>
      </c>
      <c r="E75" s="4" t="b">
        <f>LEN(data!D75)&gt;0</f>
        <v>0</v>
      </c>
      <c r="F75" s="4" t="b">
        <f>LEN(data!D75)&lt;=140</f>
        <v>1</v>
      </c>
      <c r="G75" s="4" t="b">
        <f>LEN(data!E75)&gt;0</f>
        <v>0</v>
      </c>
      <c r="H75" s="4" t="b">
        <f>LEN(data!E75)&lt;=35</f>
        <v>1</v>
      </c>
      <c r="I75" s="4" t="b">
        <f>LEN(data!F75)=2</f>
        <v>0</v>
      </c>
      <c r="J75" s="4" t="b">
        <f>LEN(data!G75)&gt;0</f>
        <v>0</v>
      </c>
      <c r="K75" s="4" t="b">
        <f>LEN(data!G75)&lt;=60</f>
        <v>1</v>
      </c>
      <c r="L75" s="4" t="b">
        <f>LEN(data!I75)&gt;0</f>
        <v>0</v>
      </c>
      <c r="M75" s="4" t="b">
        <f>LEN(data!I75)&lt;=70</f>
        <v>1</v>
      </c>
      <c r="N75" s="4" t="b">
        <f>LEN(data!J75)&gt;0</f>
        <v>0</v>
      </c>
      <c r="O75" s="4" t="b">
        <f>LEN(data!J75)&lt;=140</f>
        <v>1</v>
      </c>
      <c r="P75" s="4" t="b">
        <f>LEN(data!K75)&gt;0</f>
        <v>0</v>
      </c>
      <c r="Q75" s="4" t="b">
        <f>LEN(data!K75)&lt;=35</f>
        <v>1</v>
      </c>
      <c r="R75" s="4" t="b">
        <f>LEN(data!L75)=2</f>
        <v>0</v>
      </c>
      <c r="S75" s="4" t="b">
        <f>LEN(data!M75)&gt;0</f>
        <v>0</v>
      </c>
      <c r="T75" s="4" t="b">
        <f>LEN(data!M75)&lt;=60</f>
        <v>1</v>
      </c>
      <c r="U75" s="4" t="b">
        <f>LEN(data!O75)&gt;0</f>
        <v>0</v>
      </c>
      <c r="V75" s="4" t="b">
        <f>LEN(data!O75)&lt;=70</f>
        <v>1</v>
      </c>
      <c r="W75" s="4" t="b">
        <f>LEN(data!P75)&gt;0</f>
        <v>0</v>
      </c>
      <c r="X75" s="4" t="b">
        <f>LEN(data!P75)&lt;=140</f>
        <v>1</v>
      </c>
      <c r="Y75" s="4" t="b">
        <f>LEN(data!Q75)&gt;0</f>
        <v>0</v>
      </c>
      <c r="Z75" s="4" t="b">
        <f>LEN(data!Q75)&lt;=35</f>
        <v>1</v>
      </c>
      <c r="AA75" s="4" t="b">
        <f>LEN(data!R75)=2</f>
        <v>0</v>
      </c>
      <c r="AB75" s="4" t="b">
        <f>LEN(data!S75)&gt;0</f>
        <v>0</v>
      </c>
      <c r="AC75" s="4" t="b">
        <f>LEN(data!S75)&lt;=120</f>
        <v>1</v>
      </c>
      <c r="AD75" s="4" t="b">
        <f>LEN(data!U75)=11</f>
        <v>0</v>
      </c>
      <c r="AE75" s="4" t="b">
        <f>AND(ISERROR(MATCH(data!V75, rule_mapping!$C$2:$C$325, 0))=FALSE, LEN(data!V75) &lt;= 4)</f>
        <v>0</v>
      </c>
      <c r="AF75" s="4" t="b">
        <f>LEN(data!W75)&gt;0</f>
        <v>0</v>
      </c>
      <c r="AG75" s="4" t="b">
        <f>LEN(data!W75)&lt;=20</f>
        <v>1</v>
      </c>
      <c r="AH75" s="4" t="b">
        <f xml:space="preserve"> IFERROR(ISNUMBER(data!X75), FALSE)</f>
        <v>0</v>
      </c>
      <c r="AI75" s="4" t="b">
        <f>IF(ISERROR(MATCH(data!Y75, rule_mapping!$D$2:$D$252, 0))=FALSE,TRUE, FALSE)</f>
        <v>0</v>
      </c>
      <c r="AJ75" s="4" t="b">
        <f>IFERROR(ISNUMBER(data!Z75), FALSE)</f>
        <v>0</v>
      </c>
      <c r="AK75" s="4" t="b">
        <f>IFERROR(ISNUMBER(data!AA75), FALSE)</f>
        <v>0</v>
      </c>
      <c r="AL75" s="4" t="b">
        <f>LEN(data!AB75)&lt;=90</f>
        <v>1</v>
      </c>
      <c r="AM75" s="4" t="b">
        <f>LEN(data!AC75)&gt;0</f>
        <v>0</v>
      </c>
      <c r="AN75" s="4" t="b">
        <f>LEN(data!AC75)&lt;=2000</f>
        <v>1</v>
      </c>
      <c r="AO75" s="4" t="b">
        <f>IF(LEN(data!AD75)=0,TRUE,IF(LEN(data!AD75)=5,TRUE,FALSE))</f>
        <v>1</v>
      </c>
      <c r="AP75" s="4" t="b">
        <f>LEN(data!AE75)&gt;0</f>
        <v>0</v>
      </c>
      <c r="AQ75" s="4" t="b">
        <f>LEN(data!AE75)=5</f>
        <v>0</v>
      </c>
      <c r="AR75" s="4" t="b">
        <f>ISERROR(MATCH(data!AF75, rule_mapping!$B$2:$B$3, 0))=FALSE</f>
        <v>0</v>
      </c>
      <c r="AS75" s="4" t="b">
        <f>ISERROR(MATCH(data!AG75, rule_mapping!$A$2:$A$8, 0))=FALSE</f>
        <v>0</v>
      </c>
      <c r="AT75" s="4" t="b">
        <f>LEN(data!AH75)&lt;=4</f>
        <v>1</v>
      </c>
      <c r="AU75" s="4" t="b">
        <f>LEN(data!AI75)&lt;=10</f>
        <v>1</v>
      </c>
      <c r="AV75" s="4" t="b">
        <f>LEN(data!AJ75)&lt;=35</f>
        <v>1</v>
      </c>
      <c r="AW75" s="4" t="b">
        <f>LEN(data!AK75)&lt;=20</f>
        <v>1</v>
      </c>
      <c r="AX75"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6" spans="1:50" ht="409.5" x14ac:dyDescent="0.15">
      <c r="A76" s="4" t="b">
        <f>OR(ISBLANK(data!B76), AND(B76:AW76))</f>
        <v>1</v>
      </c>
      <c r="B76" s="4" t="b">
        <f>AND(LEFT(TRIM(data!B76), 4)="OOLU", ISNUMBER(RIGHT(TRIM(data!B76), LEN(TRIM(data!B76))-4)+0))</f>
        <v>0</v>
      </c>
      <c r="C76" s="4" t="b">
        <f>LEN(data!C76)&gt;0</f>
        <v>0</v>
      </c>
      <c r="D76" s="4" t="b">
        <f>LEN(data!C76)&lt;=70</f>
        <v>1</v>
      </c>
      <c r="E76" s="4" t="b">
        <f>LEN(data!D76)&gt;0</f>
        <v>0</v>
      </c>
      <c r="F76" s="4" t="b">
        <f>LEN(data!D76)&lt;=140</f>
        <v>1</v>
      </c>
      <c r="G76" s="4" t="b">
        <f>LEN(data!E76)&gt;0</f>
        <v>0</v>
      </c>
      <c r="H76" s="4" t="b">
        <f>LEN(data!E76)&lt;=35</f>
        <v>1</v>
      </c>
      <c r="I76" s="4" t="b">
        <f>LEN(data!F76)=2</f>
        <v>0</v>
      </c>
      <c r="J76" s="4" t="b">
        <f>LEN(data!G76)&gt;0</f>
        <v>0</v>
      </c>
      <c r="K76" s="4" t="b">
        <f>LEN(data!G76)&lt;=60</f>
        <v>1</v>
      </c>
      <c r="L76" s="4" t="b">
        <f>LEN(data!I76)&gt;0</f>
        <v>0</v>
      </c>
      <c r="M76" s="4" t="b">
        <f>LEN(data!I76)&lt;=70</f>
        <v>1</v>
      </c>
      <c r="N76" s="4" t="b">
        <f>LEN(data!J76)&gt;0</f>
        <v>0</v>
      </c>
      <c r="O76" s="4" t="b">
        <f>LEN(data!J76)&lt;=140</f>
        <v>1</v>
      </c>
      <c r="P76" s="4" t="b">
        <f>LEN(data!K76)&gt;0</f>
        <v>0</v>
      </c>
      <c r="Q76" s="4" t="b">
        <f>LEN(data!K76)&lt;=35</f>
        <v>1</v>
      </c>
      <c r="R76" s="4" t="b">
        <f>LEN(data!L76)=2</f>
        <v>0</v>
      </c>
      <c r="S76" s="4" t="b">
        <f>LEN(data!M76)&gt;0</f>
        <v>0</v>
      </c>
      <c r="T76" s="4" t="b">
        <f>LEN(data!M76)&lt;=60</f>
        <v>1</v>
      </c>
      <c r="U76" s="4" t="b">
        <f>LEN(data!O76)&gt;0</f>
        <v>0</v>
      </c>
      <c r="V76" s="4" t="b">
        <f>LEN(data!O76)&lt;=70</f>
        <v>1</v>
      </c>
      <c r="W76" s="4" t="b">
        <f>LEN(data!P76)&gt;0</f>
        <v>0</v>
      </c>
      <c r="X76" s="4" t="b">
        <f>LEN(data!P76)&lt;=140</f>
        <v>1</v>
      </c>
      <c r="Y76" s="4" t="b">
        <f>LEN(data!Q76)&gt;0</f>
        <v>0</v>
      </c>
      <c r="Z76" s="4" t="b">
        <f>LEN(data!Q76)&lt;=35</f>
        <v>1</v>
      </c>
      <c r="AA76" s="4" t="b">
        <f>LEN(data!R76)=2</f>
        <v>0</v>
      </c>
      <c r="AB76" s="4" t="b">
        <f>LEN(data!S76)&gt;0</f>
        <v>0</v>
      </c>
      <c r="AC76" s="4" t="b">
        <f>LEN(data!S76)&lt;=120</f>
        <v>1</v>
      </c>
      <c r="AD76" s="4" t="b">
        <f>LEN(data!U76)=11</f>
        <v>0</v>
      </c>
      <c r="AE76" s="4" t="b">
        <f>AND(ISERROR(MATCH(data!V76, rule_mapping!$C$2:$C$325, 0))=FALSE, LEN(data!V76) &lt;= 4)</f>
        <v>0</v>
      </c>
      <c r="AF76" s="4" t="b">
        <f>LEN(data!W76)&gt;0</f>
        <v>0</v>
      </c>
      <c r="AG76" s="4" t="b">
        <f>LEN(data!W76)&lt;=20</f>
        <v>1</v>
      </c>
      <c r="AH76" s="4" t="b">
        <f xml:space="preserve"> IFERROR(ISNUMBER(data!X76), FALSE)</f>
        <v>0</v>
      </c>
      <c r="AI76" s="4" t="b">
        <f>IF(ISERROR(MATCH(data!Y76, rule_mapping!$D$2:$D$252, 0))=FALSE,TRUE, FALSE)</f>
        <v>0</v>
      </c>
      <c r="AJ76" s="4" t="b">
        <f>IFERROR(ISNUMBER(data!Z76), FALSE)</f>
        <v>0</v>
      </c>
      <c r="AK76" s="4" t="b">
        <f>IFERROR(ISNUMBER(data!AA76), FALSE)</f>
        <v>0</v>
      </c>
      <c r="AL76" s="4" t="b">
        <f>LEN(data!AB76)&lt;=90</f>
        <v>1</v>
      </c>
      <c r="AM76" s="4" t="b">
        <f>LEN(data!AC76)&gt;0</f>
        <v>0</v>
      </c>
      <c r="AN76" s="4" t="b">
        <f>LEN(data!AC76)&lt;=2000</f>
        <v>1</v>
      </c>
      <c r="AO76" s="4" t="b">
        <f>IF(LEN(data!AD76)=0,TRUE,IF(LEN(data!AD76)=5,TRUE,FALSE))</f>
        <v>1</v>
      </c>
      <c r="AP76" s="4" t="b">
        <f>LEN(data!AE76)&gt;0</f>
        <v>0</v>
      </c>
      <c r="AQ76" s="4" t="b">
        <f>LEN(data!AE76)=5</f>
        <v>0</v>
      </c>
      <c r="AR76" s="4" t="b">
        <f>ISERROR(MATCH(data!AF76, rule_mapping!$B$2:$B$3, 0))=FALSE</f>
        <v>0</v>
      </c>
      <c r="AS76" s="4" t="b">
        <f>ISERROR(MATCH(data!AG76, rule_mapping!$A$2:$A$8, 0))=FALSE</f>
        <v>0</v>
      </c>
      <c r="AT76" s="4" t="b">
        <f>LEN(data!AH76)&lt;=4</f>
        <v>1</v>
      </c>
      <c r="AU76" s="4" t="b">
        <f>LEN(data!AI76)&lt;=10</f>
        <v>1</v>
      </c>
      <c r="AV76" s="4" t="b">
        <f>LEN(data!AJ76)&lt;=35</f>
        <v>1</v>
      </c>
      <c r="AW76" s="4" t="b">
        <f>LEN(data!AK76)&lt;=20</f>
        <v>1</v>
      </c>
      <c r="AX76"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7" spans="1:50" ht="409.5" x14ac:dyDescent="0.15">
      <c r="A77" s="4" t="b">
        <f>OR(ISBLANK(data!B77), AND(B77:AW77))</f>
        <v>1</v>
      </c>
      <c r="B77" s="4" t="b">
        <f>AND(LEFT(TRIM(data!B77), 4)="OOLU", ISNUMBER(RIGHT(TRIM(data!B77), LEN(TRIM(data!B77))-4)+0))</f>
        <v>0</v>
      </c>
      <c r="C77" s="4" t="b">
        <f>LEN(data!C77)&gt;0</f>
        <v>0</v>
      </c>
      <c r="D77" s="4" t="b">
        <f>LEN(data!C77)&lt;=70</f>
        <v>1</v>
      </c>
      <c r="E77" s="4" t="b">
        <f>LEN(data!D77)&gt;0</f>
        <v>0</v>
      </c>
      <c r="F77" s="4" t="b">
        <f>LEN(data!D77)&lt;=140</f>
        <v>1</v>
      </c>
      <c r="G77" s="4" t="b">
        <f>LEN(data!E77)&gt;0</f>
        <v>0</v>
      </c>
      <c r="H77" s="4" t="b">
        <f>LEN(data!E77)&lt;=35</f>
        <v>1</v>
      </c>
      <c r="I77" s="4" t="b">
        <f>LEN(data!F77)=2</f>
        <v>0</v>
      </c>
      <c r="J77" s="4" t="b">
        <f>LEN(data!G77)&gt;0</f>
        <v>0</v>
      </c>
      <c r="K77" s="4" t="b">
        <f>LEN(data!G77)&lt;=60</f>
        <v>1</v>
      </c>
      <c r="L77" s="4" t="b">
        <f>LEN(data!I77)&gt;0</f>
        <v>0</v>
      </c>
      <c r="M77" s="4" t="b">
        <f>LEN(data!I77)&lt;=70</f>
        <v>1</v>
      </c>
      <c r="N77" s="4" t="b">
        <f>LEN(data!J77)&gt;0</f>
        <v>0</v>
      </c>
      <c r="O77" s="4" t="b">
        <f>LEN(data!J77)&lt;=140</f>
        <v>1</v>
      </c>
      <c r="P77" s="4" t="b">
        <f>LEN(data!K77)&gt;0</f>
        <v>0</v>
      </c>
      <c r="Q77" s="4" t="b">
        <f>LEN(data!K77)&lt;=35</f>
        <v>1</v>
      </c>
      <c r="R77" s="4" t="b">
        <f>LEN(data!L77)=2</f>
        <v>0</v>
      </c>
      <c r="S77" s="4" t="b">
        <f>LEN(data!M77)&gt;0</f>
        <v>0</v>
      </c>
      <c r="T77" s="4" t="b">
        <f>LEN(data!M77)&lt;=60</f>
        <v>1</v>
      </c>
      <c r="U77" s="4" t="b">
        <f>LEN(data!O77)&gt;0</f>
        <v>0</v>
      </c>
      <c r="V77" s="4" t="b">
        <f>LEN(data!O77)&lt;=70</f>
        <v>1</v>
      </c>
      <c r="W77" s="4" t="b">
        <f>LEN(data!P77)&gt;0</f>
        <v>0</v>
      </c>
      <c r="X77" s="4" t="b">
        <f>LEN(data!P77)&lt;=140</f>
        <v>1</v>
      </c>
      <c r="Y77" s="4" t="b">
        <f>LEN(data!Q77)&gt;0</f>
        <v>0</v>
      </c>
      <c r="Z77" s="4" t="b">
        <f>LEN(data!Q77)&lt;=35</f>
        <v>1</v>
      </c>
      <c r="AA77" s="4" t="b">
        <f>LEN(data!R77)=2</f>
        <v>0</v>
      </c>
      <c r="AB77" s="4" t="b">
        <f>LEN(data!S77)&gt;0</f>
        <v>0</v>
      </c>
      <c r="AC77" s="4" t="b">
        <f>LEN(data!S77)&lt;=120</f>
        <v>1</v>
      </c>
      <c r="AD77" s="4" t="b">
        <f>LEN(data!U77)=11</f>
        <v>0</v>
      </c>
      <c r="AE77" s="4" t="b">
        <f>AND(ISERROR(MATCH(data!V77, rule_mapping!$C$2:$C$325, 0))=FALSE, LEN(data!V77) &lt;= 4)</f>
        <v>0</v>
      </c>
      <c r="AF77" s="4" t="b">
        <f>LEN(data!W77)&gt;0</f>
        <v>0</v>
      </c>
      <c r="AG77" s="4" t="b">
        <f>LEN(data!W77)&lt;=20</f>
        <v>1</v>
      </c>
      <c r="AH77" s="4" t="b">
        <f xml:space="preserve"> IFERROR(ISNUMBER(data!X77), FALSE)</f>
        <v>0</v>
      </c>
      <c r="AI77" s="4" t="b">
        <f>IF(ISERROR(MATCH(data!Y77, rule_mapping!$D$2:$D$252, 0))=FALSE,TRUE, FALSE)</f>
        <v>0</v>
      </c>
      <c r="AJ77" s="4" t="b">
        <f>IFERROR(ISNUMBER(data!Z77), FALSE)</f>
        <v>0</v>
      </c>
      <c r="AK77" s="4" t="b">
        <f>IFERROR(ISNUMBER(data!AA77), FALSE)</f>
        <v>0</v>
      </c>
      <c r="AL77" s="4" t="b">
        <f>LEN(data!AB77)&lt;=90</f>
        <v>1</v>
      </c>
      <c r="AM77" s="4" t="b">
        <f>LEN(data!AC77)&gt;0</f>
        <v>0</v>
      </c>
      <c r="AN77" s="4" t="b">
        <f>LEN(data!AC77)&lt;=2000</f>
        <v>1</v>
      </c>
      <c r="AO77" s="4" t="b">
        <f>IF(LEN(data!AD77)=0,TRUE,IF(LEN(data!AD77)=5,TRUE,FALSE))</f>
        <v>1</v>
      </c>
      <c r="AP77" s="4" t="b">
        <f>LEN(data!AE77)&gt;0</f>
        <v>0</v>
      </c>
      <c r="AQ77" s="4" t="b">
        <f>LEN(data!AE77)=5</f>
        <v>0</v>
      </c>
      <c r="AR77" s="4" t="b">
        <f>ISERROR(MATCH(data!AF77, rule_mapping!$B$2:$B$3, 0))=FALSE</f>
        <v>0</v>
      </c>
      <c r="AS77" s="4" t="b">
        <f>ISERROR(MATCH(data!AG77, rule_mapping!$A$2:$A$8, 0))=FALSE</f>
        <v>0</v>
      </c>
      <c r="AT77" s="4" t="b">
        <f>LEN(data!AH77)&lt;=4</f>
        <v>1</v>
      </c>
      <c r="AU77" s="4" t="b">
        <f>LEN(data!AI77)&lt;=10</f>
        <v>1</v>
      </c>
      <c r="AV77" s="4" t="b">
        <f>LEN(data!AJ77)&lt;=35</f>
        <v>1</v>
      </c>
      <c r="AW77" s="4" t="b">
        <f>LEN(data!AK77)&lt;=20</f>
        <v>1</v>
      </c>
      <c r="AX77"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8" spans="1:50" ht="409.5" x14ac:dyDescent="0.15">
      <c r="A78" s="4" t="b">
        <f>OR(ISBLANK(data!B78), AND(B78:AW78))</f>
        <v>1</v>
      </c>
      <c r="B78" s="4" t="b">
        <f>AND(LEFT(TRIM(data!B78), 4)="OOLU", ISNUMBER(RIGHT(TRIM(data!B78), LEN(TRIM(data!B78))-4)+0))</f>
        <v>0</v>
      </c>
      <c r="C78" s="4" t="b">
        <f>LEN(data!C78)&gt;0</f>
        <v>0</v>
      </c>
      <c r="D78" s="4" t="b">
        <f>LEN(data!C78)&lt;=70</f>
        <v>1</v>
      </c>
      <c r="E78" s="4" t="b">
        <f>LEN(data!D78)&gt;0</f>
        <v>0</v>
      </c>
      <c r="F78" s="4" t="b">
        <f>LEN(data!D78)&lt;=140</f>
        <v>1</v>
      </c>
      <c r="G78" s="4" t="b">
        <f>LEN(data!E78)&gt;0</f>
        <v>0</v>
      </c>
      <c r="H78" s="4" t="b">
        <f>LEN(data!E78)&lt;=35</f>
        <v>1</v>
      </c>
      <c r="I78" s="4" t="b">
        <f>LEN(data!F78)=2</f>
        <v>0</v>
      </c>
      <c r="J78" s="4" t="b">
        <f>LEN(data!G78)&gt;0</f>
        <v>0</v>
      </c>
      <c r="K78" s="4" t="b">
        <f>LEN(data!G78)&lt;=60</f>
        <v>1</v>
      </c>
      <c r="L78" s="4" t="b">
        <f>LEN(data!I78)&gt;0</f>
        <v>0</v>
      </c>
      <c r="M78" s="4" t="b">
        <f>LEN(data!I78)&lt;=70</f>
        <v>1</v>
      </c>
      <c r="N78" s="4" t="b">
        <f>LEN(data!J78)&gt;0</f>
        <v>0</v>
      </c>
      <c r="O78" s="4" t="b">
        <f>LEN(data!J78)&lt;=140</f>
        <v>1</v>
      </c>
      <c r="P78" s="4" t="b">
        <f>LEN(data!K78)&gt;0</f>
        <v>0</v>
      </c>
      <c r="Q78" s="4" t="b">
        <f>LEN(data!K78)&lt;=35</f>
        <v>1</v>
      </c>
      <c r="R78" s="4" t="b">
        <f>LEN(data!L78)=2</f>
        <v>0</v>
      </c>
      <c r="S78" s="4" t="b">
        <f>LEN(data!M78)&gt;0</f>
        <v>0</v>
      </c>
      <c r="T78" s="4" t="b">
        <f>LEN(data!M78)&lt;=60</f>
        <v>1</v>
      </c>
      <c r="U78" s="4" t="b">
        <f>LEN(data!O78)&gt;0</f>
        <v>0</v>
      </c>
      <c r="V78" s="4" t="b">
        <f>LEN(data!O78)&lt;=70</f>
        <v>1</v>
      </c>
      <c r="W78" s="4" t="b">
        <f>LEN(data!P78)&gt;0</f>
        <v>0</v>
      </c>
      <c r="X78" s="4" t="b">
        <f>LEN(data!P78)&lt;=140</f>
        <v>1</v>
      </c>
      <c r="Y78" s="4" t="b">
        <f>LEN(data!Q78)&gt;0</f>
        <v>0</v>
      </c>
      <c r="Z78" s="4" t="b">
        <f>LEN(data!Q78)&lt;=35</f>
        <v>1</v>
      </c>
      <c r="AA78" s="4" t="b">
        <f>LEN(data!R78)=2</f>
        <v>0</v>
      </c>
      <c r="AB78" s="4" t="b">
        <f>LEN(data!S78)&gt;0</f>
        <v>0</v>
      </c>
      <c r="AC78" s="4" t="b">
        <f>LEN(data!S78)&lt;=120</f>
        <v>1</v>
      </c>
      <c r="AD78" s="4" t="b">
        <f>LEN(data!U78)=11</f>
        <v>0</v>
      </c>
      <c r="AE78" s="4" t="b">
        <f>AND(ISERROR(MATCH(data!V78, rule_mapping!$C$2:$C$325, 0))=FALSE, LEN(data!V78) &lt;= 4)</f>
        <v>0</v>
      </c>
      <c r="AF78" s="4" t="b">
        <f>LEN(data!W78)&gt;0</f>
        <v>0</v>
      </c>
      <c r="AG78" s="4" t="b">
        <f>LEN(data!W78)&lt;=20</f>
        <v>1</v>
      </c>
      <c r="AH78" s="4" t="b">
        <f xml:space="preserve"> IFERROR(ISNUMBER(data!X78), FALSE)</f>
        <v>0</v>
      </c>
      <c r="AI78" s="4" t="b">
        <f>IF(ISERROR(MATCH(data!Y78, rule_mapping!$D$2:$D$252, 0))=FALSE,TRUE, FALSE)</f>
        <v>0</v>
      </c>
      <c r="AJ78" s="4" t="b">
        <f>IFERROR(ISNUMBER(data!Z78), FALSE)</f>
        <v>0</v>
      </c>
      <c r="AK78" s="4" t="b">
        <f>IFERROR(ISNUMBER(data!AA78), FALSE)</f>
        <v>0</v>
      </c>
      <c r="AL78" s="4" t="b">
        <f>LEN(data!AB78)&lt;=90</f>
        <v>1</v>
      </c>
      <c r="AM78" s="4" t="b">
        <f>LEN(data!AC78)&gt;0</f>
        <v>0</v>
      </c>
      <c r="AN78" s="4" t="b">
        <f>LEN(data!AC78)&lt;=2000</f>
        <v>1</v>
      </c>
      <c r="AO78" s="4" t="b">
        <f>IF(LEN(data!AD78)=0,TRUE,IF(LEN(data!AD78)=5,TRUE,FALSE))</f>
        <v>1</v>
      </c>
      <c r="AP78" s="4" t="b">
        <f>LEN(data!AE78)&gt;0</f>
        <v>0</v>
      </c>
      <c r="AQ78" s="4" t="b">
        <f>LEN(data!AE78)=5</f>
        <v>0</v>
      </c>
      <c r="AR78" s="4" t="b">
        <f>ISERROR(MATCH(data!AF78, rule_mapping!$B$2:$B$3, 0))=FALSE</f>
        <v>0</v>
      </c>
      <c r="AS78" s="4" t="b">
        <f>ISERROR(MATCH(data!AG78, rule_mapping!$A$2:$A$8, 0))=FALSE</f>
        <v>0</v>
      </c>
      <c r="AT78" s="4" t="b">
        <f>LEN(data!AH78)&lt;=4</f>
        <v>1</v>
      </c>
      <c r="AU78" s="4" t="b">
        <f>LEN(data!AI78)&lt;=10</f>
        <v>1</v>
      </c>
      <c r="AV78" s="4" t="b">
        <f>LEN(data!AJ78)&lt;=35</f>
        <v>1</v>
      </c>
      <c r="AW78" s="4" t="b">
        <f>LEN(data!AK78)&lt;=20</f>
        <v>1</v>
      </c>
      <c r="AX78"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79" spans="1:50" ht="409.5" x14ac:dyDescent="0.15">
      <c r="A79" s="4" t="b">
        <f>OR(ISBLANK(data!B79), AND(B79:AW79))</f>
        <v>1</v>
      </c>
      <c r="B79" s="4" t="b">
        <f>AND(LEFT(TRIM(data!B79), 4)="OOLU", ISNUMBER(RIGHT(TRIM(data!B79), LEN(TRIM(data!B79))-4)+0))</f>
        <v>0</v>
      </c>
      <c r="C79" s="4" t="b">
        <f>LEN(data!C79)&gt;0</f>
        <v>0</v>
      </c>
      <c r="D79" s="4" t="b">
        <f>LEN(data!C79)&lt;=70</f>
        <v>1</v>
      </c>
      <c r="E79" s="4" t="b">
        <f>LEN(data!D79)&gt;0</f>
        <v>0</v>
      </c>
      <c r="F79" s="4" t="b">
        <f>LEN(data!D79)&lt;=140</f>
        <v>1</v>
      </c>
      <c r="G79" s="4" t="b">
        <f>LEN(data!E79)&gt;0</f>
        <v>0</v>
      </c>
      <c r="H79" s="4" t="b">
        <f>LEN(data!E79)&lt;=35</f>
        <v>1</v>
      </c>
      <c r="I79" s="4" t="b">
        <f>LEN(data!F79)=2</f>
        <v>0</v>
      </c>
      <c r="J79" s="4" t="b">
        <f>LEN(data!G79)&gt;0</f>
        <v>0</v>
      </c>
      <c r="K79" s="4" t="b">
        <f>LEN(data!G79)&lt;=60</f>
        <v>1</v>
      </c>
      <c r="L79" s="4" t="b">
        <f>LEN(data!I79)&gt;0</f>
        <v>0</v>
      </c>
      <c r="M79" s="4" t="b">
        <f>LEN(data!I79)&lt;=70</f>
        <v>1</v>
      </c>
      <c r="N79" s="4" t="b">
        <f>LEN(data!J79)&gt;0</f>
        <v>0</v>
      </c>
      <c r="O79" s="4" t="b">
        <f>LEN(data!J79)&lt;=140</f>
        <v>1</v>
      </c>
      <c r="P79" s="4" t="b">
        <f>LEN(data!K79)&gt;0</f>
        <v>0</v>
      </c>
      <c r="Q79" s="4" t="b">
        <f>LEN(data!K79)&lt;=35</f>
        <v>1</v>
      </c>
      <c r="R79" s="4" t="b">
        <f>LEN(data!L79)=2</f>
        <v>0</v>
      </c>
      <c r="S79" s="4" t="b">
        <f>LEN(data!M79)&gt;0</f>
        <v>0</v>
      </c>
      <c r="T79" s="4" t="b">
        <f>LEN(data!M79)&lt;=60</f>
        <v>1</v>
      </c>
      <c r="U79" s="4" t="b">
        <f>LEN(data!O79)&gt;0</f>
        <v>0</v>
      </c>
      <c r="V79" s="4" t="b">
        <f>LEN(data!O79)&lt;=70</f>
        <v>1</v>
      </c>
      <c r="W79" s="4" t="b">
        <f>LEN(data!P79)&gt;0</f>
        <v>0</v>
      </c>
      <c r="X79" s="4" t="b">
        <f>LEN(data!P79)&lt;=140</f>
        <v>1</v>
      </c>
      <c r="Y79" s="4" t="b">
        <f>LEN(data!Q79)&gt;0</f>
        <v>0</v>
      </c>
      <c r="Z79" s="4" t="b">
        <f>LEN(data!Q79)&lt;=35</f>
        <v>1</v>
      </c>
      <c r="AA79" s="4" t="b">
        <f>LEN(data!R79)=2</f>
        <v>0</v>
      </c>
      <c r="AB79" s="4" t="b">
        <f>LEN(data!S79)&gt;0</f>
        <v>0</v>
      </c>
      <c r="AC79" s="4" t="b">
        <f>LEN(data!S79)&lt;=120</f>
        <v>1</v>
      </c>
      <c r="AD79" s="4" t="b">
        <f>LEN(data!U79)=11</f>
        <v>0</v>
      </c>
      <c r="AE79" s="4" t="b">
        <f>AND(ISERROR(MATCH(data!V79, rule_mapping!$C$2:$C$325, 0))=FALSE, LEN(data!V79) &lt;= 4)</f>
        <v>0</v>
      </c>
      <c r="AF79" s="4" t="b">
        <f>LEN(data!W79)&gt;0</f>
        <v>0</v>
      </c>
      <c r="AG79" s="4" t="b">
        <f>LEN(data!W79)&lt;=20</f>
        <v>1</v>
      </c>
      <c r="AH79" s="4" t="b">
        <f xml:space="preserve"> IFERROR(ISNUMBER(data!X79), FALSE)</f>
        <v>0</v>
      </c>
      <c r="AI79" s="4" t="b">
        <f>IF(ISERROR(MATCH(data!Y79, rule_mapping!$D$2:$D$252, 0))=FALSE,TRUE, FALSE)</f>
        <v>0</v>
      </c>
      <c r="AJ79" s="4" t="b">
        <f>IFERROR(ISNUMBER(data!Z79), FALSE)</f>
        <v>0</v>
      </c>
      <c r="AK79" s="4" t="b">
        <f>IFERROR(ISNUMBER(data!AA79), FALSE)</f>
        <v>0</v>
      </c>
      <c r="AL79" s="4" t="b">
        <f>LEN(data!AB79)&lt;=90</f>
        <v>1</v>
      </c>
      <c r="AM79" s="4" t="b">
        <f>LEN(data!AC79)&gt;0</f>
        <v>0</v>
      </c>
      <c r="AN79" s="4" t="b">
        <f>LEN(data!AC79)&lt;=2000</f>
        <v>1</v>
      </c>
      <c r="AO79" s="4" t="b">
        <f>IF(LEN(data!AD79)=0,TRUE,IF(LEN(data!AD79)=5,TRUE,FALSE))</f>
        <v>1</v>
      </c>
      <c r="AP79" s="4" t="b">
        <f>LEN(data!AE79)&gt;0</f>
        <v>0</v>
      </c>
      <c r="AQ79" s="4" t="b">
        <f>LEN(data!AE79)=5</f>
        <v>0</v>
      </c>
      <c r="AR79" s="4" t="b">
        <f>ISERROR(MATCH(data!AF79, rule_mapping!$B$2:$B$3, 0))=FALSE</f>
        <v>0</v>
      </c>
      <c r="AS79" s="4" t="b">
        <f>ISERROR(MATCH(data!AG79, rule_mapping!$A$2:$A$8, 0))=FALSE</f>
        <v>0</v>
      </c>
      <c r="AT79" s="4" t="b">
        <f>LEN(data!AH79)&lt;=4</f>
        <v>1</v>
      </c>
      <c r="AU79" s="4" t="b">
        <f>LEN(data!AI79)&lt;=10</f>
        <v>1</v>
      </c>
      <c r="AV79" s="4" t="b">
        <f>LEN(data!AJ79)&lt;=35</f>
        <v>1</v>
      </c>
      <c r="AW79" s="4" t="b">
        <f>LEN(data!AK79)&lt;=20</f>
        <v>1</v>
      </c>
      <c r="AX79"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0" spans="1:50" ht="409.5" x14ac:dyDescent="0.15">
      <c r="A80" s="4" t="b">
        <f>OR(ISBLANK(data!B80), AND(B80:AW80))</f>
        <v>1</v>
      </c>
      <c r="B80" s="4" t="b">
        <f>AND(LEFT(TRIM(data!B80), 4)="OOLU", ISNUMBER(RIGHT(TRIM(data!B80), LEN(TRIM(data!B80))-4)+0))</f>
        <v>0</v>
      </c>
      <c r="C80" s="4" t="b">
        <f>LEN(data!C80)&gt;0</f>
        <v>0</v>
      </c>
      <c r="D80" s="4" t="b">
        <f>LEN(data!C80)&lt;=70</f>
        <v>1</v>
      </c>
      <c r="E80" s="4" t="b">
        <f>LEN(data!D80)&gt;0</f>
        <v>0</v>
      </c>
      <c r="F80" s="4" t="b">
        <f>LEN(data!D80)&lt;=140</f>
        <v>1</v>
      </c>
      <c r="G80" s="4" t="b">
        <f>LEN(data!E80)&gt;0</f>
        <v>0</v>
      </c>
      <c r="H80" s="4" t="b">
        <f>LEN(data!E80)&lt;=35</f>
        <v>1</v>
      </c>
      <c r="I80" s="4" t="b">
        <f>LEN(data!F80)=2</f>
        <v>0</v>
      </c>
      <c r="J80" s="4" t="b">
        <f>LEN(data!G80)&gt;0</f>
        <v>0</v>
      </c>
      <c r="K80" s="4" t="b">
        <f>LEN(data!G80)&lt;=60</f>
        <v>1</v>
      </c>
      <c r="L80" s="4" t="b">
        <f>LEN(data!I80)&gt;0</f>
        <v>0</v>
      </c>
      <c r="M80" s="4" t="b">
        <f>LEN(data!I80)&lt;=70</f>
        <v>1</v>
      </c>
      <c r="N80" s="4" t="b">
        <f>LEN(data!J80)&gt;0</f>
        <v>0</v>
      </c>
      <c r="O80" s="4" t="b">
        <f>LEN(data!J80)&lt;=140</f>
        <v>1</v>
      </c>
      <c r="P80" s="4" t="b">
        <f>LEN(data!K80)&gt;0</f>
        <v>0</v>
      </c>
      <c r="Q80" s="4" t="b">
        <f>LEN(data!K80)&lt;=35</f>
        <v>1</v>
      </c>
      <c r="R80" s="4" t="b">
        <f>LEN(data!L80)=2</f>
        <v>0</v>
      </c>
      <c r="S80" s="4" t="b">
        <f>LEN(data!M80)&gt;0</f>
        <v>0</v>
      </c>
      <c r="T80" s="4" t="b">
        <f>LEN(data!M80)&lt;=60</f>
        <v>1</v>
      </c>
      <c r="U80" s="4" t="b">
        <f>LEN(data!O80)&gt;0</f>
        <v>0</v>
      </c>
      <c r="V80" s="4" t="b">
        <f>LEN(data!O80)&lt;=70</f>
        <v>1</v>
      </c>
      <c r="W80" s="4" t="b">
        <f>LEN(data!P80)&gt;0</f>
        <v>0</v>
      </c>
      <c r="X80" s="4" t="b">
        <f>LEN(data!P80)&lt;=140</f>
        <v>1</v>
      </c>
      <c r="Y80" s="4" t="b">
        <f>LEN(data!Q80)&gt;0</f>
        <v>0</v>
      </c>
      <c r="Z80" s="4" t="b">
        <f>LEN(data!Q80)&lt;=35</f>
        <v>1</v>
      </c>
      <c r="AA80" s="4" t="b">
        <f>LEN(data!R80)=2</f>
        <v>0</v>
      </c>
      <c r="AB80" s="4" t="b">
        <f>LEN(data!S80)&gt;0</f>
        <v>0</v>
      </c>
      <c r="AC80" s="4" t="b">
        <f>LEN(data!S80)&lt;=120</f>
        <v>1</v>
      </c>
      <c r="AD80" s="4" t="b">
        <f>LEN(data!U80)=11</f>
        <v>0</v>
      </c>
      <c r="AE80" s="4" t="b">
        <f>AND(ISERROR(MATCH(data!V80, rule_mapping!$C$2:$C$325, 0))=FALSE, LEN(data!V80) &lt;= 4)</f>
        <v>0</v>
      </c>
      <c r="AF80" s="4" t="b">
        <f>LEN(data!W80)&gt;0</f>
        <v>0</v>
      </c>
      <c r="AG80" s="4" t="b">
        <f>LEN(data!W80)&lt;=20</f>
        <v>1</v>
      </c>
      <c r="AH80" s="4" t="b">
        <f xml:space="preserve"> IFERROR(ISNUMBER(data!X80), FALSE)</f>
        <v>0</v>
      </c>
      <c r="AI80" s="4" t="b">
        <f>IF(ISERROR(MATCH(data!Y80, rule_mapping!$D$2:$D$252, 0))=FALSE,TRUE, FALSE)</f>
        <v>0</v>
      </c>
      <c r="AJ80" s="4" t="b">
        <f>IFERROR(ISNUMBER(data!Z80), FALSE)</f>
        <v>0</v>
      </c>
      <c r="AK80" s="4" t="b">
        <f>IFERROR(ISNUMBER(data!AA80), FALSE)</f>
        <v>0</v>
      </c>
      <c r="AL80" s="4" t="b">
        <f>LEN(data!AB80)&lt;=90</f>
        <v>1</v>
      </c>
      <c r="AM80" s="4" t="b">
        <f>LEN(data!AC80)&gt;0</f>
        <v>0</v>
      </c>
      <c r="AN80" s="4" t="b">
        <f>LEN(data!AC80)&lt;=2000</f>
        <v>1</v>
      </c>
      <c r="AO80" s="4" t="b">
        <f>IF(LEN(data!AD80)=0,TRUE,IF(LEN(data!AD80)=5,TRUE,FALSE))</f>
        <v>1</v>
      </c>
      <c r="AP80" s="4" t="b">
        <f>LEN(data!AE80)&gt;0</f>
        <v>0</v>
      </c>
      <c r="AQ80" s="4" t="b">
        <f>LEN(data!AE80)=5</f>
        <v>0</v>
      </c>
      <c r="AR80" s="4" t="b">
        <f>ISERROR(MATCH(data!AF80, rule_mapping!$B$2:$B$3, 0))=FALSE</f>
        <v>0</v>
      </c>
      <c r="AS80" s="4" t="b">
        <f>ISERROR(MATCH(data!AG80, rule_mapping!$A$2:$A$8, 0))=FALSE</f>
        <v>0</v>
      </c>
      <c r="AT80" s="4" t="b">
        <f>LEN(data!AH80)&lt;=4</f>
        <v>1</v>
      </c>
      <c r="AU80" s="4" t="b">
        <f>LEN(data!AI80)&lt;=10</f>
        <v>1</v>
      </c>
      <c r="AV80" s="4" t="b">
        <f>LEN(data!AJ80)&lt;=35</f>
        <v>1</v>
      </c>
      <c r="AW80" s="4" t="b">
        <f>LEN(data!AK80)&lt;=20</f>
        <v>1</v>
      </c>
      <c r="AX80"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1" spans="1:50" ht="409.5" x14ac:dyDescent="0.15">
      <c r="A81" s="4" t="b">
        <f>OR(ISBLANK(data!B81), AND(B81:AW81))</f>
        <v>1</v>
      </c>
      <c r="B81" s="4" t="b">
        <f>AND(LEFT(TRIM(data!B81), 4)="OOLU", ISNUMBER(RIGHT(TRIM(data!B81), LEN(TRIM(data!B81))-4)+0))</f>
        <v>0</v>
      </c>
      <c r="C81" s="4" t="b">
        <f>LEN(data!C81)&gt;0</f>
        <v>0</v>
      </c>
      <c r="D81" s="4" t="b">
        <f>LEN(data!C81)&lt;=70</f>
        <v>1</v>
      </c>
      <c r="E81" s="4" t="b">
        <f>LEN(data!D81)&gt;0</f>
        <v>0</v>
      </c>
      <c r="F81" s="4" t="b">
        <f>LEN(data!D81)&lt;=140</f>
        <v>1</v>
      </c>
      <c r="G81" s="4" t="b">
        <f>LEN(data!E81)&gt;0</f>
        <v>0</v>
      </c>
      <c r="H81" s="4" t="b">
        <f>LEN(data!E81)&lt;=35</f>
        <v>1</v>
      </c>
      <c r="I81" s="4" t="b">
        <f>LEN(data!F81)=2</f>
        <v>0</v>
      </c>
      <c r="J81" s="4" t="b">
        <f>LEN(data!G81)&gt;0</f>
        <v>0</v>
      </c>
      <c r="K81" s="4" t="b">
        <f>LEN(data!G81)&lt;=60</f>
        <v>1</v>
      </c>
      <c r="L81" s="4" t="b">
        <f>LEN(data!I81)&gt;0</f>
        <v>0</v>
      </c>
      <c r="M81" s="4" t="b">
        <f>LEN(data!I81)&lt;=70</f>
        <v>1</v>
      </c>
      <c r="N81" s="4" t="b">
        <f>LEN(data!J81)&gt;0</f>
        <v>0</v>
      </c>
      <c r="O81" s="4" t="b">
        <f>LEN(data!J81)&lt;=140</f>
        <v>1</v>
      </c>
      <c r="P81" s="4" t="b">
        <f>LEN(data!K81)&gt;0</f>
        <v>0</v>
      </c>
      <c r="Q81" s="4" t="b">
        <f>LEN(data!K81)&lt;=35</f>
        <v>1</v>
      </c>
      <c r="R81" s="4" t="b">
        <f>LEN(data!L81)=2</f>
        <v>0</v>
      </c>
      <c r="S81" s="4" t="b">
        <f>LEN(data!M81)&gt;0</f>
        <v>0</v>
      </c>
      <c r="T81" s="4" t="b">
        <f>LEN(data!M81)&lt;=60</f>
        <v>1</v>
      </c>
      <c r="U81" s="4" t="b">
        <f>LEN(data!O81)&gt;0</f>
        <v>0</v>
      </c>
      <c r="V81" s="4" t="b">
        <f>LEN(data!O81)&lt;=70</f>
        <v>1</v>
      </c>
      <c r="W81" s="4" t="b">
        <f>LEN(data!P81)&gt;0</f>
        <v>0</v>
      </c>
      <c r="X81" s="4" t="b">
        <f>LEN(data!P81)&lt;=140</f>
        <v>1</v>
      </c>
      <c r="Y81" s="4" t="b">
        <f>LEN(data!Q81)&gt;0</f>
        <v>0</v>
      </c>
      <c r="Z81" s="4" t="b">
        <f>LEN(data!Q81)&lt;=35</f>
        <v>1</v>
      </c>
      <c r="AA81" s="4" t="b">
        <f>LEN(data!R81)=2</f>
        <v>0</v>
      </c>
      <c r="AB81" s="4" t="b">
        <f>LEN(data!S81)&gt;0</f>
        <v>0</v>
      </c>
      <c r="AC81" s="4" t="b">
        <f>LEN(data!S81)&lt;=120</f>
        <v>1</v>
      </c>
      <c r="AD81" s="4" t="b">
        <f>LEN(data!U81)=11</f>
        <v>0</v>
      </c>
      <c r="AE81" s="4" t="b">
        <f>AND(ISERROR(MATCH(data!V81, rule_mapping!$C$2:$C$325, 0))=FALSE, LEN(data!V81) &lt;= 4)</f>
        <v>0</v>
      </c>
      <c r="AF81" s="4" t="b">
        <f>LEN(data!W81)&gt;0</f>
        <v>0</v>
      </c>
      <c r="AG81" s="4" t="b">
        <f>LEN(data!W81)&lt;=20</f>
        <v>1</v>
      </c>
      <c r="AH81" s="4" t="b">
        <f xml:space="preserve"> IFERROR(ISNUMBER(data!X81), FALSE)</f>
        <v>0</v>
      </c>
      <c r="AI81" s="4" t="b">
        <f>IF(ISERROR(MATCH(data!Y81, rule_mapping!$D$2:$D$252, 0))=FALSE,TRUE, FALSE)</f>
        <v>0</v>
      </c>
      <c r="AJ81" s="4" t="b">
        <f>IFERROR(ISNUMBER(data!Z81), FALSE)</f>
        <v>0</v>
      </c>
      <c r="AK81" s="4" t="b">
        <f>IFERROR(ISNUMBER(data!AA81), FALSE)</f>
        <v>0</v>
      </c>
      <c r="AL81" s="4" t="b">
        <f>LEN(data!AB81)&lt;=90</f>
        <v>1</v>
      </c>
      <c r="AM81" s="4" t="b">
        <f>LEN(data!AC81)&gt;0</f>
        <v>0</v>
      </c>
      <c r="AN81" s="4" t="b">
        <f>LEN(data!AC81)&lt;=2000</f>
        <v>1</v>
      </c>
      <c r="AO81" s="4" t="b">
        <f>IF(LEN(data!AD81)=0,TRUE,IF(LEN(data!AD81)=5,TRUE,FALSE))</f>
        <v>1</v>
      </c>
      <c r="AP81" s="4" t="b">
        <f>LEN(data!AE81)&gt;0</f>
        <v>0</v>
      </c>
      <c r="AQ81" s="4" t="b">
        <f>LEN(data!AE81)=5</f>
        <v>0</v>
      </c>
      <c r="AR81" s="4" t="b">
        <f>ISERROR(MATCH(data!AF81, rule_mapping!$B$2:$B$3, 0))=FALSE</f>
        <v>0</v>
      </c>
      <c r="AS81" s="4" t="b">
        <f>ISERROR(MATCH(data!AG81, rule_mapping!$A$2:$A$8, 0))=FALSE</f>
        <v>0</v>
      </c>
      <c r="AT81" s="4" t="b">
        <f>LEN(data!AH81)&lt;=4</f>
        <v>1</v>
      </c>
      <c r="AU81" s="4" t="b">
        <f>LEN(data!AI81)&lt;=10</f>
        <v>1</v>
      </c>
      <c r="AV81" s="4" t="b">
        <f>LEN(data!AJ81)&lt;=35</f>
        <v>1</v>
      </c>
      <c r="AW81" s="4" t="b">
        <f>LEN(data!AK81)&lt;=20</f>
        <v>1</v>
      </c>
      <c r="AX81"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2" spans="1:50" ht="409.5" x14ac:dyDescent="0.15">
      <c r="A82" s="4" t="b">
        <f>OR(ISBLANK(data!B82), AND(B82:AW82))</f>
        <v>1</v>
      </c>
      <c r="B82" s="4" t="b">
        <f>AND(LEFT(TRIM(data!B82), 4)="OOLU", ISNUMBER(RIGHT(TRIM(data!B82), LEN(TRIM(data!B82))-4)+0))</f>
        <v>0</v>
      </c>
      <c r="C82" s="4" t="b">
        <f>LEN(data!C82)&gt;0</f>
        <v>0</v>
      </c>
      <c r="D82" s="4" t="b">
        <f>LEN(data!C82)&lt;=70</f>
        <v>1</v>
      </c>
      <c r="E82" s="4" t="b">
        <f>LEN(data!D82)&gt;0</f>
        <v>0</v>
      </c>
      <c r="F82" s="4" t="b">
        <f>LEN(data!D82)&lt;=140</f>
        <v>1</v>
      </c>
      <c r="G82" s="4" t="b">
        <f>LEN(data!E82)&gt;0</f>
        <v>0</v>
      </c>
      <c r="H82" s="4" t="b">
        <f>LEN(data!E82)&lt;=35</f>
        <v>1</v>
      </c>
      <c r="I82" s="4" t="b">
        <f>LEN(data!F82)=2</f>
        <v>0</v>
      </c>
      <c r="J82" s="4" t="b">
        <f>LEN(data!G82)&gt;0</f>
        <v>0</v>
      </c>
      <c r="K82" s="4" t="b">
        <f>LEN(data!G82)&lt;=60</f>
        <v>1</v>
      </c>
      <c r="L82" s="4" t="b">
        <f>LEN(data!I82)&gt;0</f>
        <v>0</v>
      </c>
      <c r="M82" s="4" t="b">
        <f>LEN(data!I82)&lt;=70</f>
        <v>1</v>
      </c>
      <c r="N82" s="4" t="b">
        <f>LEN(data!J82)&gt;0</f>
        <v>0</v>
      </c>
      <c r="O82" s="4" t="b">
        <f>LEN(data!J82)&lt;=140</f>
        <v>1</v>
      </c>
      <c r="P82" s="4" t="b">
        <f>LEN(data!K82)&gt;0</f>
        <v>0</v>
      </c>
      <c r="Q82" s="4" t="b">
        <f>LEN(data!K82)&lt;=35</f>
        <v>1</v>
      </c>
      <c r="R82" s="4" t="b">
        <f>LEN(data!L82)=2</f>
        <v>0</v>
      </c>
      <c r="S82" s="4" t="b">
        <f>LEN(data!M82)&gt;0</f>
        <v>0</v>
      </c>
      <c r="T82" s="4" t="b">
        <f>LEN(data!M82)&lt;=60</f>
        <v>1</v>
      </c>
      <c r="U82" s="4" t="b">
        <f>LEN(data!O82)&gt;0</f>
        <v>0</v>
      </c>
      <c r="V82" s="4" t="b">
        <f>LEN(data!O82)&lt;=70</f>
        <v>1</v>
      </c>
      <c r="W82" s="4" t="b">
        <f>LEN(data!P82)&gt;0</f>
        <v>0</v>
      </c>
      <c r="X82" s="4" t="b">
        <f>LEN(data!P82)&lt;=140</f>
        <v>1</v>
      </c>
      <c r="Y82" s="4" t="b">
        <f>LEN(data!Q82)&gt;0</f>
        <v>0</v>
      </c>
      <c r="Z82" s="4" t="b">
        <f>LEN(data!Q82)&lt;=35</f>
        <v>1</v>
      </c>
      <c r="AA82" s="4" t="b">
        <f>LEN(data!R82)=2</f>
        <v>0</v>
      </c>
      <c r="AB82" s="4" t="b">
        <f>LEN(data!S82)&gt;0</f>
        <v>0</v>
      </c>
      <c r="AC82" s="4" t="b">
        <f>LEN(data!S82)&lt;=120</f>
        <v>1</v>
      </c>
      <c r="AD82" s="4" t="b">
        <f>LEN(data!U82)=11</f>
        <v>0</v>
      </c>
      <c r="AE82" s="4" t="b">
        <f>AND(ISERROR(MATCH(data!V82, rule_mapping!$C$2:$C$325, 0))=FALSE, LEN(data!V82) &lt;= 4)</f>
        <v>0</v>
      </c>
      <c r="AF82" s="4" t="b">
        <f>LEN(data!W82)&gt;0</f>
        <v>0</v>
      </c>
      <c r="AG82" s="4" t="b">
        <f>LEN(data!W82)&lt;=20</f>
        <v>1</v>
      </c>
      <c r="AH82" s="4" t="b">
        <f xml:space="preserve"> IFERROR(ISNUMBER(data!X82), FALSE)</f>
        <v>0</v>
      </c>
      <c r="AI82" s="4" t="b">
        <f>IF(ISERROR(MATCH(data!Y82, rule_mapping!$D$2:$D$252, 0))=FALSE,TRUE, FALSE)</f>
        <v>0</v>
      </c>
      <c r="AJ82" s="4" t="b">
        <f>IFERROR(ISNUMBER(data!Z82), FALSE)</f>
        <v>0</v>
      </c>
      <c r="AK82" s="4" t="b">
        <f>IFERROR(ISNUMBER(data!AA82), FALSE)</f>
        <v>0</v>
      </c>
      <c r="AL82" s="4" t="b">
        <f>LEN(data!AB82)&lt;=90</f>
        <v>1</v>
      </c>
      <c r="AM82" s="4" t="b">
        <f>LEN(data!AC82)&gt;0</f>
        <v>0</v>
      </c>
      <c r="AN82" s="4" t="b">
        <f>LEN(data!AC82)&lt;=2000</f>
        <v>1</v>
      </c>
      <c r="AO82" s="4" t="b">
        <f>IF(LEN(data!AD82)=0,TRUE,IF(LEN(data!AD82)=5,TRUE,FALSE))</f>
        <v>1</v>
      </c>
      <c r="AP82" s="4" t="b">
        <f>LEN(data!AE82)&gt;0</f>
        <v>0</v>
      </c>
      <c r="AQ82" s="4" t="b">
        <f>LEN(data!AE82)=5</f>
        <v>0</v>
      </c>
      <c r="AR82" s="4" t="b">
        <f>ISERROR(MATCH(data!AF82, rule_mapping!$B$2:$B$3, 0))=FALSE</f>
        <v>0</v>
      </c>
      <c r="AS82" s="4" t="b">
        <f>ISERROR(MATCH(data!AG82, rule_mapping!$A$2:$A$8, 0))=FALSE</f>
        <v>0</v>
      </c>
      <c r="AT82" s="4" t="b">
        <f>LEN(data!AH82)&lt;=4</f>
        <v>1</v>
      </c>
      <c r="AU82" s="4" t="b">
        <f>LEN(data!AI82)&lt;=10</f>
        <v>1</v>
      </c>
      <c r="AV82" s="4" t="b">
        <f>LEN(data!AJ82)&lt;=35</f>
        <v>1</v>
      </c>
      <c r="AW82" s="4" t="b">
        <f>LEN(data!AK82)&lt;=20</f>
        <v>1</v>
      </c>
      <c r="AX82"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3" spans="1:50" ht="409.5" x14ac:dyDescent="0.15">
      <c r="A83" s="4" t="b">
        <f>OR(ISBLANK(data!B83), AND(B83:AW83))</f>
        <v>1</v>
      </c>
      <c r="B83" s="4" t="b">
        <f>AND(LEFT(TRIM(data!B83), 4)="OOLU", ISNUMBER(RIGHT(TRIM(data!B83), LEN(TRIM(data!B83))-4)+0))</f>
        <v>0</v>
      </c>
      <c r="C83" s="4" t="b">
        <f>LEN(data!C83)&gt;0</f>
        <v>0</v>
      </c>
      <c r="D83" s="4" t="b">
        <f>LEN(data!C83)&lt;=70</f>
        <v>1</v>
      </c>
      <c r="E83" s="4" t="b">
        <f>LEN(data!D83)&gt;0</f>
        <v>0</v>
      </c>
      <c r="F83" s="4" t="b">
        <f>LEN(data!D83)&lt;=140</f>
        <v>1</v>
      </c>
      <c r="G83" s="4" t="b">
        <f>LEN(data!E83)&gt;0</f>
        <v>0</v>
      </c>
      <c r="H83" s="4" t="b">
        <f>LEN(data!E83)&lt;=35</f>
        <v>1</v>
      </c>
      <c r="I83" s="4" t="b">
        <f>LEN(data!F83)=2</f>
        <v>0</v>
      </c>
      <c r="J83" s="4" t="b">
        <f>LEN(data!G83)&gt;0</f>
        <v>0</v>
      </c>
      <c r="K83" s="4" t="b">
        <f>LEN(data!G83)&lt;=60</f>
        <v>1</v>
      </c>
      <c r="L83" s="4" t="b">
        <f>LEN(data!I83)&gt;0</f>
        <v>0</v>
      </c>
      <c r="M83" s="4" t="b">
        <f>LEN(data!I83)&lt;=70</f>
        <v>1</v>
      </c>
      <c r="N83" s="4" t="b">
        <f>LEN(data!J83)&gt;0</f>
        <v>0</v>
      </c>
      <c r="O83" s="4" t="b">
        <f>LEN(data!J83)&lt;=140</f>
        <v>1</v>
      </c>
      <c r="P83" s="4" t="b">
        <f>LEN(data!K83)&gt;0</f>
        <v>0</v>
      </c>
      <c r="Q83" s="4" t="b">
        <f>LEN(data!K83)&lt;=35</f>
        <v>1</v>
      </c>
      <c r="R83" s="4" t="b">
        <f>LEN(data!L83)=2</f>
        <v>0</v>
      </c>
      <c r="S83" s="4" t="b">
        <f>LEN(data!M83)&gt;0</f>
        <v>0</v>
      </c>
      <c r="T83" s="4" t="b">
        <f>LEN(data!M83)&lt;=60</f>
        <v>1</v>
      </c>
      <c r="U83" s="4" t="b">
        <f>LEN(data!O83)&gt;0</f>
        <v>0</v>
      </c>
      <c r="V83" s="4" t="b">
        <f>LEN(data!O83)&lt;=70</f>
        <v>1</v>
      </c>
      <c r="W83" s="4" t="b">
        <f>LEN(data!P83)&gt;0</f>
        <v>0</v>
      </c>
      <c r="X83" s="4" t="b">
        <f>LEN(data!P83)&lt;=140</f>
        <v>1</v>
      </c>
      <c r="Y83" s="4" t="b">
        <f>LEN(data!Q83)&gt;0</f>
        <v>0</v>
      </c>
      <c r="Z83" s="4" t="b">
        <f>LEN(data!Q83)&lt;=35</f>
        <v>1</v>
      </c>
      <c r="AA83" s="4" t="b">
        <f>LEN(data!R83)=2</f>
        <v>0</v>
      </c>
      <c r="AB83" s="4" t="b">
        <f>LEN(data!S83)&gt;0</f>
        <v>0</v>
      </c>
      <c r="AC83" s="4" t="b">
        <f>LEN(data!S83)&lt;=120</f>
        <v>1</v>
      </c>
      <c r="AD83" s="4" t="b">
        <f>LEN(data!U83)=11</f>
        <v>0</v>
      </c>
      <c r="AE83" s="4" t="b">
        <f>AND(ISERROR(MATCH(data!V83, rule_mapping!$C$2:$C$325, 0))=FALSE, LEN(data!V83) &lt;= 4)</f>
        <v>0</v>
      </c>
      <c r="AF83" s="4" t="b">
        <f>LEN(data!W83)&gt;0</f>
        <v>0</v>
      </c>
      <c r="AG83" s="4" t="b">
        <f>LEN(data!W83)&lt;=20</f>
        <v>1</v>
      </c>
      <c r="AH83" s="4" t="b">
        <f xml:space="preserve"> IFERROR(ISNUMBER(data!X83), FALSE)</f>
        <v>0</v>
      </c>
      <c r="AI83" s="4" t="b">
        <f>IF(ISERROR(MATCH(data!Y83, rule_mapping!$D$2:$D$252, 0))=FALSE,TRUE, FALSE)</f>
        <v>0</v>
      </c>
      <c r="AJ83" s="4" t="b">
        <f>IFERROR(ISNUMBER(data!Z83), FALSE)</f>
        <v>0</v>
      </c>
      <c r="AK83" s="4" t="b">
        <f>IFERROR(ISNUMBER(data!AA83), FALSE)</f>
        <v>0</v>
      </c>
      <c r="AL83" s="4" t="b">
        <f>LEN(data!AB83)&lt;=90</f>
        <v>1</v>
      </c>
      <c r="AM83" s="4" t="b">
        <f>LEN(data!AC83)&gt;0</f>
        <v>0</v>
      </c>
      <c r="AN83" s="4" t="b">
        <f>LEN(data!AC83)&lt;=2000</f>
        <v>1</v>
      </c>
      <c r="AO83" s="4" t="b">
        <f>IF(LEN(data!AD83)=0,TRUE,IF(LEN(data!AD83)=5,TRUE,FALSE))</f>
        <v>1</v>
      </c>
      <c r="AP83" s="4" t="b">
        <f>LEN(data!AE83)&gt;0</f>
        <v>0</v>
      </c>
      <c r="AQ83" s="4" t="b">
        <f>LEN(data!AE83)=5</f>
        <v>0</v>
      </c>
      <c r="AR83" s="4" t="b">
        <f>ISERROR(MATCH(data!AF83, rule_mapping!$B$2:$B$3, 0))=FALSE</f>
        <v>0</v>
      </c>
      <c r="AS83" s="4" t="b">
        <f>ISERROR(MATCH(data!AG83, rule_mapping!$A$2:$A$8, 0))=FALSE</f>
        <v>0</v>
      </c>
      <c r="AT83" s="4" t="b">
        <f>LEN(data!AH83)&lt;=4</f>
        <v>1</v>
      </c>
      <c r="AU83" s="4" t="b">
        <f>LEN(data!AI83)&lt;=10</f>
        <v>1</v>
      </c>
      <c r="AV83" s="4" t="b">
        <f>LEN(data!AJ83)&lt;=35</f>
        <v>1</v>
      </c>
      <c r="AW83" s="4" t="b">
        <f>LEN(data!AK83)&lt;=20</f>
        <v>1</v>
      </c>
      <c r="AX83"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4" spans="1:50" ht="409.5" x14ac:dyDescent="0.15">
      <c r="A84" s="4" t="b">
        <f>OR(ISBLANK(data!B84), AND(B84:AW84))</f>
        <v>1</v>
      </c>
      <c r="B84" s="4" t="b">
        <f>AND(LEFT(TRIM(data!B84), 4)="OOLU", ISNUMBER(RIGHT(TRIM(data!B84), LEN(TRIM(data!B84))-4)+0))</f>
        <v>0</v>
      </c>
      <c r="C84" s="4" t="b">
        <f>LEN(data!C84)&gt;0</f>
        <v>0</v>
      </c>
      <c r="D84" s="4" t="b">
        <f>LEN(data!C84)&lt;=70</f>
        <v>1</v>
      </c>
      <c r="E84" s="4" t="b">
        <f>LEN(data!D84)&gt;0</f>
        <v>0</v>
      </c>
      <c r="F84" s="4" t="b">
        <f>LEN(data!D84)&lt;=140</f>
        <v>1</v>
      </c>
      <c r="G84" s="4" t="b">
        <f>LEN(data!E84)&gt;0</f>
        <v>0</v>
      </c>
      <c r="H84" s="4" t="b">
        <f>LEN(data!E84)&lt;=35</f>
        <v>1</v>
      </c>
      <c r="I84" s="4" t="b">
        <f>LEN(data!F84)=2</f>
        <v>0</v>
      </c>
      <c r="J84" s="4" t="b">
        <f>LEN(data!G84)&gt;0</f>
        <v>0</v>
      </c>
      <c r="K84" s="4" t="b">
        <f>LEN(data!G84)&lt;=60</f>
        <v>1</v>
      </c>
      <c r="L84" s="4" t="b">
        <f>LEN(data!I84)&gt;0</f>
        <v>0</v>
      </c>
      <c r="M84" s="4" t="b">
        <f>LEN(data!I84)&lt;=70</f>
        <v>1</v>
      </c>
      <c r="N84" s="4" t="b">
        <f>LEN(data!J84)&gt;0</f>
        <v>0</v>
      </c>
      <c r="O84" s="4" t="b">
        <f>LEN(data!J84)&lt;=140</f>
        <v>1</v>
      </c>
      <c r="P84" s="4" t="b">
        <f>LEN(data!K84)&gt;0</f>
        <v>0</v>
      </c>
      <c r="Q84" s="4" t="b">
        <f>LEN(data!K84)&lt;=35</f>
        <v>1</v>
      </c>
      <c r="R84" s="4" t="b">
        <f>LEN(data!L84)=2</f>
        <v>0</v>
      </c>
      <c r="S84" s="4" t="b">
        <f>LEN(data!M84)&gt;0</f>
        <v>0</v>
      </c>
      <c r="T84" s="4" t="b">
        <f>LEN(data!M84)&lt;=60</f>
        <v>1</v>
      </c>
      <c r="U84" s="4" t="b">
        <f>LEN(data!O84)&gt;0</f>
        <v>0</v>
      </c>
      <c r="V84" s="4" t="b">
        <f>LEN(data!O84)&lt;=70</f>
        <v>1</v>
      </c>
      <c r="W84" s="4" t="b">
        <f>LEN(data!P84)&gt;0</f>
        <v>0</v>
      </c>
      <c r="X84" s="4" t="b">
        <f>LEN(data!P84)&lt;=140</f>
        <v>1</v>
      </c>
      <c r="Y84" s="4" t="b">
        <f>LEN(data!Q84)&gt;0</f>
        <v>0</v>
      </c>
      <c r="Z84" s="4" t="b">
        <f>LEN(data!Q84)&lt;=35</f>
        <v>1</v>
      </c>
      <c r="AA84" s="4" t="b">
        <f>LEN(data!R84)=2</f>
        <v>0</v>
      </c>
      <c r="AB84" s="4" t="b">
        <f>LEN(data!S84)&gt;0</f>
        <v>0</v>
      </c>
      <c r="AC84" s="4" t="b">
        <f>LEN(data!S84)&lt;=120</f>
        <v>1</v>
      </c>
      <c r="AD84" s="4" t="b">
        <f>LEN(data!U84)=11</f>
        <v>0</v>
      </c>
      <c r="AE84" s="4" t="b">
        <f>AND(ISERROR(MATCH(data!V84, rule_mapping!$C$2:$C$325, 0))=FALSE, LEN(data!V84) &lt;= 4)</f>
        <v>0</v>
      </c>
      <c r="AF84" s="4" t="b">
        <f>LEN(data!W84)&gt;0</f>
        <v>0</v>
      </c>
      <c r="AG84" s="4" t="b">
        <f>LEN(data!W84)&lt;=20</f>
        <v>1</v>
      </c>
      <c r="AH84" s="4" t="b">
        <f xml:space="preserve"> IFERROR(ISNUMBER(data!X84), FALSE)</f>
        <v>0</v>
      </c>
      <c r="AI84" s="4" t="b">
        <f>IF(ISERROR(MATCH(data!Y84, rule_mapping!$D$2:$D$252, 0))=FALSE,TRUE, FALSE)</f>
        <v>0</v>
      </c>
      <c r="AJ84" s="4" t="b">
        <f>IFERROR(ISNUMBER(data!Z84), FALSE)</f>
        <v>0</v>
      </c>
      <c r="AK84" s="4" t="b">
        <f>IFERROR(ISNUMBER(data!AA84), FALSE)</f>
        <v>0</v>
      </c>
      <c r="AL84" s="4" t="b">
        <f>LEN(data!AB84)&lt;=90</f>
        <v>1</v>
      </c>
      <c r="AM84" s="4" t="b">
        <f>LEN(data!AC84)&gt;0</f>
        <v>0</v>
      </c>
      <c r="AN84" s="4" t="b">
        <f>LEN(data!AC84)&lt;=2000</f>
        <v>1</v>
      </c>
      <c r="AO84" s="4" t="b">
        <f>IF(LEN(data!AD84)=0,TRUE,IF(LEN(data!AD84)=5,TRUE,FALSE))</f>
        <v>1</v>
      </c>
      <c r="AP84" s="4" t="b">
        <f>LEN(data!AE84)&gt;0</f>
        <v>0</v>
      </c>
      <c r="AQ84" s="4" t="b">
        <f>LEN(data!AE84)=5</f>
        <v>0</v>
      </c>
      <c r="AR84" s="4" t="b">
        <f>ISERROR(MATCH(data!AF84, rule_mapping!$B$2:$B$3, 0))=FALSE</f>
        <v>0</v>
      </c>
      <c r="AS84" s="4" t="b">
        <f>ISERROR(MATCH(data!AG84, rule_mapping!$A$2:$A$8, 0))=FALSE</f>
        <v>0</v>
      </c>
      <c r="AT84" s="4" t="b">
        <f>LEN(data!AH84)&lt;=4</f>
        <v>1</v>
      </c>
      <c r="AU84" s="4" t="b">
        <f>LEN(data!AI84)&lt;=10</f>
        <v>1</v>
      </c>
      <c r="AV84" s="4" t="b">
        <f>LEN(data!AJ84)&lt;=35</f>
        <v>1</v>
      </c>
      <c r="AW84" s="4" t="b">
        <f>LEN(data!AK84)&lt;=20</f>
        <v>1</v>
      </c>
      <c r="AX84"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5" spans="1:50" ht="409.5" x14ac:dyDescent="0.15">
      <c r="A85" s="4" t="b">
        <f>OR(ISBLANK(data!B85), AND(B85:AW85))</f>
        <v>1</v>
      </c>
      <c r="B85" s="4" t="b">
        <f>AND(LEFT(TRIM(data!B85), 4)="OOLU", ISNUMBER(RIGHT(TRIM(data!B85), LEN(TRIM(data!B85))-4)+0))</f>
        <v>0</v>
      </c>
      <c r="C85" s="4" t="b">
        <f>LEN(data!C85)&gt;0</f>
        <v>0</v>
      </c>
      <c r="D85" s="4" t="b">
        <f>LEN(data!C85)&lt;=70</f>
        <v>1</v>
      </c>
      <c r="E85" s="4" t="b">
        <f>LEN(data!D85)&gt;0</f>
        <v>0</v>
      </c>
      <c r="F85" s="4" t="b">
        <f>LEN(data!D85)&lt;=140</f>
        <v>1</v>
      </c>
      <c r="G85" s="4" t="b">
        <f>LEN(data!E85)&gt;0</f>
        <v>0</v>
      </c>
      <c r="H85" s="4" t="b">
        <f>LEN(data!E85)&lt;=35</f>
        <v>1</v>
      </c>
      <c r="I85" s="4" t="b">
        <f>LEN(data!F85)=2</f>
        <v>0</v>
      </c>
      <c r="J85" s="4" t="b">
        <f>LEN(data!G85)&gt;0</f>
        <v>0</v>
      </c>
      <c r="K85" s="4" t="b">
        <f>LEN(data!G85)&lt;=60</f>
        <v>1</v>
      </c>
      <c r="L85" s="4" t="b">
        <f>LEN(data!I85)&gt;0</f>
        <v>0</v>
      </c>
      <c r="M85" s="4" t="b">
        <f>LEN(data!I85)&lt;=70</f>
        <v>1</v>
      </c>
      <c r="N85" s="4" t="b">
        <f>LEN(data!J85)&gt;0</f>
        <v>0</v>
      </c>
      <c r="O85" s="4" t="b">
        <f>LEN(data!J85)&lt;=140</f>
        <v>1</v>
      </c>
      <c r="P85" s="4" t="b">
        <f>LEN(data!K85)&gt;0</f>
        <v>0</v>
      </c>
      <c r="Q85" s="4" t="b">
        <f>LEN(data!K85)&lt;=35</f>
        <v>1</v>
      </c>
      <c r="R85" s="4" t="b">
        <f>LEN(data!L85)=2</f>
        <v>0</v>
      </c>
      <c r="S85" s="4" t="b">
        <f>LEN(data!M85)&gt;0</f>
        <v>0</v>
      </c>
      <c r="T85" s="4" t="b">
        <f>LEN(data!M85)&lt;=60</f>
        <v>1</v>
      </c>
      <c r="U85" s="4" t="b">
        <f>LEN(data!O85)&gt;0</f>
        <v>0</v>
      </c>
      <c r="V85" s="4" t="b">
        <f>LEN(data!O85)&lt;=70</f>
        <v>1</v>
      </c>
      <c r="W85" s="4" t="b">
        <f>LEN(data!P85)&gt;0</f>
        <v>0</v>
      </c>
      <c r="X85" s="4" t="b">
        <f>LEN(data!P85)&lt;=140</f>
        <v>1</v>
      </c>
      <c r="Y85" s="4" t="b">
        <f>LEN(data!Q85)&gt;0</f>
        <v>0</v>
      </c>
      <c r="Z85" s="4" t="b">
        <f>LEN(data!Q85)&lt;=35</f>
        <v>1</v>
      </c>
      <c r="AA85" s="4" t="b">
        <f>LEN(data!R85)=2</f>
        <v>0</v>
      </c>
      <c r="AB85" s="4" t="b">
        <f>LEN(data!S85)&gt;0</f>
        <v>0</v>
      </c>
      <c r="AC85" s="4" t="b">
        <f>LEN(data!S85)&lt;=120</f>
        <v>1</v>
      </c>
      <c r="AD85" s="4" t="b">
        <f>LEN(data!U85)=11</f>
        <v>0</v>
      </c>
      <c r="AE85" s="4" t="b">
        <f>AND(ISERROR(MATCH(data!V85, rule_mapping!$C$2:$C$325, 0))=FALSE, LEN(data!V85) &lt;= 4)</f>
        <v>0</v>
      </c>
      <c r="AF85" s="4" t="b">
        <f>LEN(data!W85)&gt;0</f>
        <v>0</v>
      </c>
      <c r="AG85" s="4" t="b">
        <f>LEN(data!W85)&lt;=20</f>
        <v>1</v>
      </c>
      <c r="AH85" s="4" t="b">
        <f xml:space="preserve"> IFERROR(ISNUMBER(data!X85), FALSE)</f>
        <v>0</v>
      </c>
      <c r="AI85" s="4" t="b">
        <f>IF(ISERROR(MATCH(data!Y85, rule_mapping!$D$2:$D$252, 0))=FALSE,TRUE, FALSE)</f>
        <v>0</v>
      </c>
      <c r="AJ85" s="4" t="b">
        <f>IFERROR(ISNUMBER(data!Z85), FALSE)</f>
        <v>0</v>
      </c>
      <c r="AK85" s="4" t="b">
        <f>IFERROR(ISNUMBER(data!AA85), FALSE)</f>
        <v>0</v>
      </c>
      <c r="AL85" s="4" t="b">
        <f>LEN(data!AB85)&lt;=90</f>
        <v>1</v>
      </c>
      <c r="AM85" s="4" t="b">
        <f>LEN(data!AC85)&gt;0</f>
        <v>0</v>
      </c>
      <c r="AN85" s="4" t="b">
        <f>LEN(data!AC85)&lt;=2000</f>
        <v>1</v>
      </c>
      <c r="AO85" s="4" t="b">
        <f>IF(LEN(data!AD85)=0,TRUE,IF(LEN(data!AD85)=5,TRUE,FALSE))</f>
        <v>1</v>
      </c>
      <c r="AP85" s="4" t="b">
        <f>LEN(data!AE85)&gt;0</f>
        <v>0</v>
      </c>
      <c r="AQ85" s="4" t="b">
        <f>LEN(data!AE85)=5</f>
        <v>0</v>
      </c>
      <c r="AR85" s="4" t="b">
        <f>ISERROR(MATCH(data!AF85, rule_mapping!$B$2:$B$3, 0))=FALSE</f>
        <v>0</v>
      </c>
      <c r="AS85" s="4" t="b">
        <f>ISERROR(MATCH(data!AG85, rule_mapping!$A$2:$A$8, 0))=FALSE</f>
        <v>0</v>
      </c>
      <c r="AT85" s="4" t="b">
        <f>LEN(data!AH85)&lt;=4</f>
        <v>1</v>
      </c>
      <c r="AU85" s="4" t="b">
        <f>LEN(data!AI85)&lt;=10</f>
        <v>1</v>
      </c>
      <c r="AV85" s="4" t="b">
        <f>LEN(data!AJ85)&lt;=35</f>
        <v>1</v>
      </c>
      <c r="AW85" s="4" t="b">
        <f>LEN(data!AK85)&lt;=20</f>
        <v>1</v>
      </c>
      <c r="AX85"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6" spans="1:50" ht="409.5" x14ac:dyDescent="0.15">
      <c r="A86" s="4" t="b">
        <f>OR(ISBLANK(data!B86), AND(B86:AW86))</f>
        <v>1</v>
      </c>
      <c r="B86" s="4" t="b">
        <f>AND(LEFT(TRIM(data!B86), 4)="OOLU", ISNUMBER(RIGHT(TRIM(data!B86), LEN(TRIM(data!B86))-4)+0))</f>
        <v>0</v>
      </c>
      <c r="C86" s="4" t="b">
        <f>LEN(data!C86)&gt;0</f>
        <v>0</v>
      </c>
      <c r="D86" s="4" t="b">
        <f>LEN(data!C86)&lt;=70</f>
        <v>1</v>
      </c>
      <c r="E86" s="4" t="b">
        <f>LEN(data!D86)&gt;0</f>
        <v>0</v>
      </c>
      <c r="F86" s="4" t="b">
        <f>LEN(data!D86)&lt;=140</f>
        <v>1</v>
      </c>
      <c r="G86" s="4" t="b">
        <f>LEN(data!E86)&gt;0</f>
        <v>0</v>
      </c>
      <c r="H86" s="4" t="b">
        <f>LEN(data!E86)&lt;=35</f>
        <v>1</v>
      </c>
      <c r="I86" s="4" t="b">
        <f>LEN(data!F86)=2</f>
        <v>0</v>
      </c>
      <c r="J86" s="4" t="b">
        <f>LEN(data!G86)&gt;0</f>
        <v>0</v>
      </c>
      <c r="K86" s="4" t="b">
        <f>LEN(data!G86)&lt;=60</f>
        <v>1</v>
      </c>
      <c r="L86" s="4" t="b">
        <f>LEN(data!I86)&gt;0</f>
        <v>0</v>
      </c>
      <c r="M86" s="4" t="b">
        <f>LEN(data!I86)&lt;=70</f>
        <v>1</v>
      </c>
      <c r="N86" s="4" t="b">
        <f>LEN(data!J86)&gt;0</f>
        <v>0</v>
      </c>
      <c r="O86" s="4" t="b">
        <f>LEN(data!J86)&lt;=140</f>
        <v>1</v>
      </c>
      <c r="P86" s="4" t="b">
        <f>LEN(data!K86)&gt;0</f>
        <v>0</v>
      </c>
      <c r="Q86" s="4" t="b">
        <f>LEN(data!K86)&lt;=35</f>
        <v>1</v>
      </c>
      <c r="R86" s="4" t="b">
        <f>LEN(data!L86)=2</f>
        <v>0</v>
      </c>
      <c r="S86" s="4" t="b">
        <f>LEN(data!M86)&gt;0</f>
        <v>0</v>
      </c>
      <c r="T86" s="4" t="b">
        <f>LEN(data!M86)&lt;=60</f>
        <v>1</v>
      </c>
      <c r="U86" s="4" t="b">
        <f>LEN(data!O86)&gt;0</f>
        <v>0</v>
      </c>
      <c r="V86" s="4" t="b">
        <f>LEN(data!O86)&lt;=70</f>
        <v>1</v>
      </c>
      <c r="W86" s="4" t="b">
        <f>LEN(data!P86)&gt;0</f>
        <v>0</v>
      </c>
      <c r="X86" s="4" t="b">
        <f>LEN(data!P86)&lt;=140</f>
        <v>1</v>
      </c>
      <c r="Y86" s="4" t="b">
        <f>LEN(data!Q86)&gt;0</f>
        <v>0</v>
      </c>
      <c r="Z86" s="4" t="b">
        <f>LEN(data!Q86)&lt;=35</f>
        <v>1</v>
      </c>
      <c r="AA86" s="4" t="b">
        <f>LEN(data!R86)=2</f>
        <v>0</v>
      </c>
      <c r="AB86" s="4" t="b">
        <f>LEN(data!S86)&gt;0</f>
        <v>0</v>
      </c>
      <c r="AC86" s="4" t="b">
        <f>LEN(data!S86)&lt;=120</f>
        <v>1</v>
      </c>
      <c r="AD86" s="4" t="b">
        <f>LEN(data!U86)=11</f>
        <v>0</v>
      </c>
      <c r="AE86" s="4" t="b">
        <f>AND(ISERROR(MATCH(data!V86, rule_mapping!$C$2:$C$325, 0))=FALSE, LEN(data!V86) &lt;= 4)</f>
        <v>0</v>
      </c>
      <c r="AF86" s="4" t="b">
        <f>LEN(data!W86)&gt;0</f>
        <v>0</v>
      </c>
      <c r="AG86" s="4" t="b">
        <f>LEN(data!W86)&lt;=20</f>
        <v>1</v>
      </c>
      <c r="AH86" s="4" t="b">
        <f xml:space="preserve"> IFERROR(ISNUMBER(data!X86), FALSE)</f>
        <v>0</v>
      </c>
      <c r="AI86" s="4" t="b">
        <f>IF(ISERROR(MATCH(data!Y86, rule_mapping!$D$2:$D$252, 0))=FALSE,TRUE, FALSE)</f>
        <v>0</v>
      </c>
      <c r="AJ86" s="4" t="b">
        <f>IFERROR(ISNUMBER(data!Z86), FALSE)</f>
        <v>0</v>
      </c>
      <c r="AK86" s="4" t="b">
        <f>IFERROR(ISNUMBER(data!AA86), FALSE)</f>
        <v>0</v>
      </c>
      <c r="AL86" s="4" t="b">
        <f>LEN(data!AB86)&lt;=90</f>
        <v>1</v>
      </c>
      <c r="AM86" s="4" t="b">
        <f>LEN(data!AC86)&gt;0</f>
        <v>0</v>
      </c>
      <c r="AN86" s="4" t="b">
        <f>LEN(data!AC86)&lt;=2000</f>
        <v>1</v>
      </c>
      <c r="AO86" s="4" t="b">
        <f>IF(LEN(data!AD86)=0,TRUE,IF(LEN(data!AD86)=5,TRUE,FALSE))</f>
        <v>1</v>
      </c>
      <c r="AP86" s="4" t="b">
        <f>LEN(data!AE86)&gt;0</f>
        <v>0</v>
      </c>
      <c r="AQ86" s="4" t="b">
        <f>LEN(data!AE86)=5</f>
        <v>0</v>
      </c>
      <c r="AR86" s="4" t="b">
        <f>ISERROR(MATCH(data!AF86, rule_mapping!$B$2:$B$3, 0))=FALSE</f>
        <v>0</v>
      </c>
      <c r="AS86" s="4" t="b">
        <f>ISERROR(MATCH(data!AG86, rule_mapping!$A$2:$A$8, 0))=FALSE</f>
        <v>0</v>
      </c>
      <c r="AT86" s="4" t="b">
        <f>LEN(data!AH86)&lt;=4</f>
        <v>1</v>
      </c>
      <c r="AU86" s="4" t="b">
        <f>LEN(data!AI86)&lt;=10</f>
        <v>1</v>
      </c>
      <c r="AV86" s="4" t="b">
        <f>LEN(data!AJ86)&lt;=35</f>
        <v>1</v>
      </c>
      <c r="AW86" s="4" t="b">
        <f>LEN(data!AK86)&lt;=20</f>
        <v>1</v>
      </c>
      <c r="AX86"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7" spans="1:50" ht="409.5" x14ac:dyDescent="0.15">
      <c r="A87" s="4" t="b">
        <f>OR(ISBLANK(data!B87), AND(B87:AW87))</f>
        <v>1</v>
      </c>
      <c r="B87" s="4" t="b">
        <f>AND(LEFT(TRIM(data!B87), 4)="OOLU", ISNUMBER(RIGHT(TRIM(data!B87), LEN(TRIM(data!B87))-4)+0))</f>
        <v>0</v>
      </c>
      <c r="C87" s="4" t="b">
        <f>LEN(data!C87)&gt;0</f>
        <v>0</v>
      </c>
      <c r="D87" s="4" t="b">
        <f>LEN(data!C87)&lt;=70</f>
        <v>1</v>
      </c>
      <c r="E87" s="4" t="b">
        <f>LEN(data!D87)&gt;0</f>
        <v>0</v>
      </c>
      <c r="F87" s="4" t="b">
        <f>LEN(data!D87)&lt;=140</f>
        <v>1</v>
      </c>
      <c r="G87" s="4" t="b">
        <f>LEN(data!E87)&gt;0</f>
        <v>0</v>
      </c>
      <c r="H87" s="4" t="b">
        <f>LEN(data!E87)&lt;=35</f>
        <v>1</v>
      </c>
      <c r="I87" s="4" t="b">
        <f>LEN(data!F87)=2</f>
        <v>0</v>
      </c>
      <c r="J87" s="4" t="b">
        <f>LEN(data!G87)&gt;0</f>
        <v>0</v>
      </c>
      <c r="K87" s="4" t="b">
        <f>LEN(data!G87)&lt;=60</f>
        <v>1</v>
      </c>
      <c r="L87" s="4" t="b">
        <f>LEN(data!I87)&gt;0</f>
        <v>0</v>
      </c>
      <c r="M87" s="4" t="b">
        <f>LEN(data!I87)&lt;=70</f>
        <v>1</v>
      </c>
      <c r="N87" s="4" t="b">
        <f>LEN(data!J87)&gt;0</f>
        <v>0</v>
      </c>
      <c r="O87" s="4" t="b">
        <f>LEN(data!J87)&lt;=140</f>
        <v>1</v>
      </c>
      <c r="P87" s="4" t="b">
        <f>LEN(data!K87)&gt;0</f>
        <v>0</v>
      </c>
      <c r="Q87" s="4" t="b">
        <f>LEN(data!K87)&lt;=35</f>
        <v>1</v>
      </c>
      <c r="R87" s="4" t="b">
        <f>LEN(data!L87)=2</f>
        <v>0</v>
      </c>
      <c r="S87" s="4" t="b">
        <f>LEN(data!M87)&gt;0</f>
        <v>0</v>
      </c>
      <c r="T87" s="4" t="b">
        <f>LEN(data!M87)&lt;=60</f>
        <v>1</v>
      </c>
      <c r="U87" s="4" t="b">
        <f>LEN(data!O87)&gt;0</f>
        <v>0</v>
      </c>
      <c r="V87" s="4" t="b">
        <f>LEN(data!O87)&lt;=70</f>
        <v>1</v>
      </c>
      <c r="W87" s="4" t="b">
        <f>LEN(data!P87)&gt;0</f>
        <v>0</v>
      </c>
      <c r="X87" s="4" t="b">
        <f>LEN(data!P87)&lt;=140</f>
        <v>1</v>
      </c>
      <c r="Y87" s="4" t="b">
        <f>LEN(data!Q87)&gt;0</f>
        <v>0</v>
      </c>
      <c r="Z87" s="4" t="b">
        <f>LEN(data!Q87)&lt;=35</f>
        <v>1</v>
      </c>
      <c r="AA87" s="4" t="b">
        <f>LEN(data!R87)=2</f>
        <v>0</v>
      </c>
      <c r="AB87" s="4" t="b">
        <f>LEN(data!S87)&gt;0</f>
        <v>0</v>
      </c>
      <c r="AC87" s="4" t="b">
        <f>LEN(data!S87)&lt;=120</f>
        <v>1</v>
      </c>
      <c r="AD87" s="4" t="b">
        <f>LEN(data!U87)=11</f>
        <v>0</v>
      </c>
      <c r="AE87" s="4" t="b">
        <f>AND(ISERROR(MATCH(data!V87, rule_mapping!$C$2:$C$325, 0))=FALSE, LEN(data!V87) &lt;= 4)</f>
        <v>0</v>
      </c>
      <c r="AF87" s="4" t="b">
        <f>LEN(data!W87)&gt;0</f>
        <v>0</v>
      </c>
      <c r="AG87" s="4" t="b">
        <f>LEN(data!W87)&lt;=20</f>
        <v>1</v>
      </c>
      <c r="AH87" s="4" t="b">
        <f xml:space="preserve"> IFERROR(ISNUMBER(data!X87), FALSE)</f>
        <v>0</v>
      </c>
      <c r="AI87" s="4" t="b">
        <f>IF(ISERROR(MATCH(data!Y87, rule_mapping!$D$2:$D$252, 0))=FALSE,TRUE, FALSE)</f>
        <v>0</v>
      </c>
      <c r="AJ87" s="4" t="b">
        <f>IFERROR(ISNUMBER(data!Z87), FALSE)</f>
        <v>0</v>
      </c>
      <c r="AK87" s="4" t="b">
        <f>IFERROR(ISNUMBER(data!AA87), FALSE)</f>
        <v>0</v>
      </c>
      <c r="AL87" s="4" t="b">
        <f>LEN(data!AB87)&lt;=90</f>
        <v>1</v>
      </c>
      <c r="AM87" s="4" t="b">
        <f>LEN(data!AC87)&gt;0</f>
        <v>0</v>
      </c>
      <c r="AN87" s="4" t="b">
        <f>LEN(data!AC87)&lt;=2000</f>
        <v>1</v>
      </c>
      <c r="AO87" s="4" t="b">
        <f>IF(LEN(data!AD87)=0,TRUE,IF(LEN(data!AD87)=5,TRUE,FALSE))</f>
        <v>1</v>
      </c>
      <c r="AP87" s="4" t="b">
        <f>LEN(data!AE87)&gt;0</f>
        <v>0</v>
      </c>
      <c r="AQ87" s="4" t="b">
        <f>LEN(data!AE87)=5</f>
        <v>0</v>
      </c>
      <c r="AR87" s="4" t="b">
        <f>ISERROR(MATCH(data!AF87, rule_mapping!$B$2:$B$3, 0))=FALSE</f>
        <v>0</v>
      </c>
      <c r="AS87" s="4" t="b">
        <f>ISERROR(MATCH(data!AG87, rule_mapping!$A$2:$A$8, 0))=FALSE</f>
        <v>0</v>
      </c>
      <c r="AT87" s="4" t="b">
        <f>LEN(data!AH87)&lt;=4</f>
        <v>1</v>
      </c>
      <c r="AU87" s="4" t="b">
        <f>LEN(data!AI87)&lt;=10</f>
        <v>1</v>
      </c>
      <c r="AV87" s="4" t="b">
        <f>LEN(data!AJ87)&lt;=35</f>
        <v>1</v>
      </c>
      <c r="AW87" s="4" t="b">
        <f>LEN(data!AK87)&lt;=20</f>
        <v>1</v>
      </c>
      <c r="AX87"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8" spans="1:50" ht="409.5" x14ac:dyDescent="0.15">
      <c r="A88" s="4" t="b">
        <f>OR(ISBLANK(data!B88), AND(B88:AW88))</f>
        <v>1</v>
      </c>
      <c r="B88" s="4" t="b">
        <f>AND(LEFT(TRIM(data!B88), 4)="OOLU", ISNUMBER(RIGHT(TRIM(data!B88), LEN(TRIM(data!B88))-4)+0))</f>
        <v>0</v>
      </c>
      <c r="C88" s="4" t="b">
        <f>LEN(data!C88)&gt;0</f>
        <v>0</v>
      </c>
      <c r="D88" s="4" t="b">
        <f>LEN(data!C88)&lt;=70</f>
        <v>1</v>
      </c>
      <c r="E88" s="4" t="b">
        <f>LEN(data!D88)&gt;0</f>
        <v>0</v>
      </c>
      <c r="F88" s="4" t="b">
        <f>LEN(data!D88)&lt;=140</f>
        <v>1</v>
      </c>
      <c r="G88" s="4" t="b">
        <f>LEN(data!E88)&gt;0</f>
        <v>0</v>
      </c>
      <c r="H88" s="4" t="b">
        <f>LEN(data!E88)&lt;=35</f>
        <v>1</v>
      </c>
      <c r="I88" s="4" t="b">
        <f>LEN(data!F88)=2</f>
        <v>0</v>
      </c>
      <c r="J88" s="4" t="b">
        <f>LEN(data!G88)&gt;0</f>
        <v>0</v>
      </c>
      <c r="K88" s="4" t="b">
        <f>LEN(data!G88)&lt;=60</f>
        <v>1</v>
      </c>
      <c r="L88" s="4" t="b">
        <f>LEN(data!I88)&gt;0</f>
        <v>0</v>
      </c>
      <c r="M88" s="4" t="b">
        <f>LEN(data!I88)&lt;=70</f>
        <v>1</v>
      </c>
      <c r="N88" s="4" t="b">
        <f>LEN(data!J88)&gt;0</f>
        <v>0</v>
      </c>
      <c r="O88" s="4" t="b">
        <f>LEN(data!J88)&lt;=140</f>
        <v>1</v>
      </c>
      <c r="P88" s="4" t="b">
        <f>LEN(data!K88)&gt;0</f>
        <v>0</v>
      </c>
      <c r="Q88" s="4" t="b">
        <f>LEN(data!K88)&lt;=35</f>
        <v>1</v>
      </c>
      <c r="R88" s="4" t="b">
        <f>LEN(data!L88)=2</f>
        <v>0</v>
      </c>
      <c r="S88" s="4" t="b">
        <f>LEN(data!M88)&gt;0</f>
        <v>0</v>
      </c>
      <c r="T88" s="4" t="b">
        <f>LEN(data!M88)&lt;=60</f>
        <v>1</v>
      </c>
      <c r="U88" s="4" t="b">
        <f>LEN(data!O88)&gt;0</f>
        <v>0</v>
      </c>
      <c r="V88" s="4" t="b">
        <f>LEN(data!O88)&lt;=70</f>
        <v>1</v>
      </c>
      <c r="W88" s="4" t="b">
        <f>LEN(data!P88)&gt;0</f>
        <v>0</v>
      </c>
      <c r="X88" s="4" t="b">
        <f>LEN(data!P88)&lt;=140</f>
        <v>1</v>
      </c>
      <c r="Y88" s="4" t="b">
        <f>LEN(data!Q88)&gt;0</f>
        <v>0</v>
      </c>
      <c r="Z88" s="4" t="b">
        <f>LEN(data!Q88)&lt;=35</f>
        <v>1</v>
      </c>
      <c r="AA88" s="4" t="b">
        <f>LEN(data!R88)=2</f>
        <v>0</v>
      </c>
      <c r="AB88" s="4" t="b">
        <f>LEN(data!S88)&gt;0</f>
        <v>0</v>
      </c>
      <c r="AC88" s="4" t="b">
        <f>LEN(data!S88)&lt;=120</f>
        <v>1</v>
      </c>
      <c r="AD88" s="4" t="b">
        <f>LEN(data!U88)=11</f>
        <v>0</v>
      </c>
      <c r="AE88" s="4" t="b">
        <f>AND(ISERROR(MATCH(data!V88, rule_mapping!$C$2:$C$325, 0))=FALSE, LEN(data!V88) &lt;= 4)</f>
        <v>0</v>
      </c>
      <c r="AF88" s="4" t="b">
        <f>LEN(data!W88)&gt;0</f>
        <v>0</v>
      </c>
      <c r="AG88" s="4" t="b">
        <f>LEN(data!W88)&lt;=20</f>
        <v>1</v>
      </c>
      <c r="AH88" s="4" t="b">
        <f xml:space="preserve"> IFERROR(ISNUMBER(data!X88), FALSE)</f>
        <v>0</v>
      </c>
      <c r="AI88" s="4" t="b">
        <f>IF(ISERROR(MATCH(data!Y88, rule_mapping!$D$2:$D$252, 0))=FALSE,TRUE, FALSE)</f>
        <v>0</v>
      </c>
      <c r="AJ88" s="4" t="b">
        <f>IFERROR(ISNUMBER(data!Z88), FALSE)</f>
        <v>0</v>
      </c>
      <c r="AK88" s="4" t="b">
        <f>IFERROR(ISNUMBER(data!AA88), FALSE)</f>
        <v>0</v>
      </c>
      <c r="AL88" s="4" t="b">
        <f>LEN(data!AB88)&lt;=90</f>
        <v>1</v>
      </c>
      <c r="AM88" s="4" t="b">
        <f>LEN(data!AC88)&gt;0</f>
        <v>0</v>
      </c>
      <c r="AN88" s="4" t="b">
        <f>LEN(data!AC88)&lt;=2000</f>
        <v>1</v>
      </c>
      <c r="AO88" s="4" t="b">
        <f>IF(LEN(data!AD88)=0,TRUE,IF(LEN(data!AD88)=5,TRUE,FALSE))</f>
        <v>1</v>
      </c>
      <c r="AP88" s="4" t="b">
        <f>LEN(data!AE88)&gt;0</f>
        <v>0</v>
      </c>
      <c r="AQ88" s="4" t="b">
        <f>LEN(data!AE88)=5</f>
        <v>0</v>
      </c>
      <c r="AR88" s="4" t="b">
        <f>ISERROR(MATCH(data!AF88, rule_mapping!$B$2:$B$3, 0))=FALSE</f>
        <v>0</v>
      </c>
      <c r="AS88" s="4" t="b">
        <f>ISERROR(MATCH(data!AG88, rule_mapping!$A$2:$A$8, 0))=FALSE</f>
        <v>0</v>
      </c>
      <c r="AT88" s="4" t="b">
        <f>LEN(data!AH88)&lt;=4</f>
        <v>1</v>
      </c>
      <c r="AU88" s="4" t="b">
        <f>LEN(data!AI88)&lt;=10</f>
        <v>1</v>
      </c>
      <c r="AV88" s="4" t="b">
        <f>LEN(data!AJ88)&lt;=35</f>
        <v>1</v>
      </c>
      <c r="AW88" s="4" t="b">
        <f>LEN(data!AK88)&lt;=20</f>
        <v>1</v>
      </c>
      <c r="AX88"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89" spans="1:50" ht="409.5" x14ac:dyDescent="0.15">
      <c r="A89" s="4" t="b">
        <f>OR(ISBLANK(data!B89), AND(B89:AW89))</f>
        <v>1</v>
      </c>
      <c r="B89" s="4" t="b">
        <f>AND(LEFT(TRIM(data!B89), 4)="OOLU", ISNUMBER(RIGHT(TRIM(data!B89), LEN(TRIM(data!B89))-4)+0))</f>
        <v>0</v>
      </c>
      <c r="C89" s="4" t="b">
        <f>LEN(data!C89)&gt;0</f>
        <v>0</v>
      </c>
      <c r="D89" s="4" t="b">
        <f>LEN(data!C89)&lt;=70</f>
        <v>1</v>
      </c>
      <c r="E89" s="4" t="b">
        <f>LEN(data!D89)&gt;0</f>
        <v>0</v>
      </c>
      <c r="F89" s="4" t="b">
        <f>LEN(data!D89)&lt;=140</f>
        <v>1</v>
      </c>
      <c r="G89" s="4" t="b">
        <f>LEN(data!E89)&gt;0</f>
        <v>0</v>
      </c>
      <c r="H89" s="4" t="b">
        <f>LEN(data!E89)&lt;=35</f>
        <v>1</v>
      </c>
      <c r="I89" s="4" t="b">
        <f>LEN(data!F89)=2</f>
        <v>0</v>
      </c>
      <c r="J89" s="4" t="b">
        <f>LEN(data!G89)&gt;0</f>
        <v>0</v>
      </c>
      <c r="K89" s="4" t="b">
        <f>LEN(data!G89)&lt;=60</f>
        <v>1</v>
      </c>
      <c r="L89" s="4" t="b">
        <f>LEN(data!I89)&gt;0</f>
        <v>0</v>
      </c>
      <c r="M89" s="4" t="b">
        <f>LEN(data!I89)&lt;=70</f>
        <v>1</v>
      </c>
      <c r="N89" s="4" t="b">
        <f>LEN(data!J89)&gt;0</f>
        <v>0</v>
      </c>
      <c r="O89" s="4" t="b">
        <f>LEN(data!J89)&lt;=140</f>
        <v>1</v>
      </c>
      <c r="P89" s="4" t="b">
        <f>LEN(data!K89)&gt;0</f>
        <v>0</v>
      </c>
      <c r="Q89" s="4" t="b">
        <f>LEN(data!K89)&lt;=35</f>
        <v>1</v>
      </c>
      <c r="R89" s="4" t="b">
        <f>LEN(data!L89)=2</f>
        <v>0</v>
      </c>
      <c r="S89" s="4" t="b">
        <f>LEN(data!M89)&gt;0</f>
        <v>0</v>
      </c>
      <c r="T89" s="4" t="b">
        <f>LEN(data!M89)&lt;=60</f>
        <v>1</v>
      </c>
      <c r="U89" s="4" t="b">
        <f>LEN(data!O89)&gt;0</f>
        <v>0</v>
      </c>
      <c r="V89" s="4" t="b">
        <f>LEN(data!O89)&lt;=70</f>
        <v>1</v>
      </c>
      <c r="W89" s="4" t="b">
        <f>LEN(data!P89)&gt;0</f>
        <v>0</v>
      </c>
      <c r="X89" s="4" t="b">
        <f>LEN(data!P89)&lt;=140</f>
        <v>1</v>
      </c>
      <c r="Y89" s="4" t="b">
        <f>LEN(data!Q89)&gt;0</f>
        <v>0</v>
      </c>
      <c r="Z89" s="4" t="b">
        <f>LEN(data!Q89)&lt;=35</f>
        <v>1</v>
      </c>
      <c r="AA89" s="4" t="b">
        <f>LEN(data!R89)=2</f>
        <v>0</v>
      </c>
      <c r="AB89" s="4" t="b">
        <f>LEN(data!S89)&gt;0</f>
        <v>0</v>
      </c>
      <c r="AC89" s="4" t="b">
        <f>LEN(data!S89)&lt;=120</f>
        <v>1</v>
      </c>
      <c r="AD89" s="4" t="b">
        <f>LEN(data!U89)=11</f>
        <v>0</v>
      </c>
      <c r="AE89" s="4" t="b">
        <f>AND(ISERROR(MATCH(data!V89, rule_mapping!$C$2:$C$325, 0))=FALSE, LEN(data!V89) &lt;= 4)</f>
        <v>0</v>
      </c>
      <c r="AF89" s="4" t="b">
        <f>LEN(data!W89)&gt;0</f>
        <v>0</v>
      </c>
      <c r="AG89" s="4" t="b">
        <f>LEN(data!W89)&lt;=20</f>
        <v>1</v>
      </c>
      <c r="AH89" s="4" t="b">
        <f xml:space="preserve"> IFERROR(ISNUMBER(data!X89), FALSE)</f>
        <v>0</v>
      </c>
      <c r="AI89" s="4" t="b">
        <f>IF(ISERROR(MATCH(data!Y89, rule_mapping!$D$2:$D$252, 0))=FALSE,TRUE, FALSE)</f>
        <v>0</v>
      </c>
      <c r="AJ89" s="4" t="b">
        <f>IFERROR(ISNUMBER(data!Z89), FALSE)</f>
        <v>0</v>
      </c>
      <c r="AK89" s="4" t="b">
        <f>IFERROR(ISNUMBER(data!AA89), FALSE)</f>
        <v>0</v>
      </c>
      <c r="AL89" s="4" t="b">
        <f>LEN(data!AB89)&lt;=90</f>
        <v>1</v>
      </c>
      <c r="AM89" s="4" t="b">
        <f>LEN(data!AC89)&gt;0</f>
        <v>0</v>
      </c>
      <c r="AN89" s="4" t="b">
        <f>LEN(data!AC89)&lt;=2000</f>
        <v>1</v>
      </c>
      <c r="AO89" s="4" t="b">
        <f>IF(LEN(data!AD89)=0,TRUE,IF(LEN(data!AD89)=5,TRUE,FALSE))</f>
        <v>1</v>
      </c>
      <c r="AP89" s="4" t="b">
        <f>LEN(data!AE89)&gt;0</f>
        <v>0</v>
      </c>
      <c r="AQ89" s="4" t="b">
        <f>LEN(data!AE89)=5</f>
        <v>0</v>
      </c>
      <c r="AR89" s="4" t="b">
        <f>ISERROR(MATCH(data!AF89, rule_mapping!$B$2:$B$3, 0))=FALSE</f>
        <v>0</v>
      </c>
      <c r="AS89" s="4" t="b">
        <f>ISERROR(MATCH(data!AG89, rule_mapping!$A$2:$A$8, 0))=FALSE</f>
        <v>0</v>
      </c>
      <c r="AT89" s="4" t="b">
        <f>LEN(data!AH89)&lt;=4</f>
        <v>1</v>
      </c>
      <c r="AU89" s="4" t="b">
        <f>LEN(data!AI89)&lt;=10</f>
        <v>1</v>
      </c>
      <c r="AV89" s="4" t="b">
        <f>LEN(data!AJ89)&lt;=35</f>
        <v>1</v>
      </c>
      <c r="AW89" s="4" t="b">
        <f>LEN(data!AK89)&lt;=20</f>
        <v>1</v>
      </c>
      <c r="AX89"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0" spans="1:50" ht="409.5" x14ac:dyDescent="0.15">
      <c r="A90" s="4" t="b">
        <f>OR(ISBLANK(data!B90), AND(B90:AW90))</f>
        <v>1</v>
      </c>
      <c r="B90" s="4" t="b">
        <f>AND(LEFT(TRIM(data!B90), 4)="OOLU", ISNUMBER(RIGHT(TRIM(data!B90), LEN(TRIM(data!B90))-4)+0))</f>
        <v>0</v>
      </c>
      <c r="C90" s="4" t="b">
        <f>LEN(data!C90)&gt;0</f>
        <v>0</v>
      </c>
      <c r="D90" s="4" t="b">
        <f>LEN(data!C90)&lt;=70</f>
        <v>1</v>
      </c>
      <c r="E90" s="4" t="b">
        <f>LEN(data!D90)&gt;0</f>
        <v>0</v>
      </c>
      <c r="F90" s="4" t="b">
        <f>LEN(data!D90)&lt;=140</f>
        <v>1</v>
      </c>
      <c r="G90" s="4" t="b">
        <f>LEN(data!E90)&gt;0</f>
        <v>0</v>
      </c>
      <c r="H90" s="4" t="b">
        <f>LEN(data!E90)&lt;=35</f>
        <v>1</v>
      </c>
      <c r="I90" s="4" t="b">
        <f>LEN(data!F90)=2</f>
        <v>0</v>
      </c>
      <c r="J90" s="4" t="b">
        <f>LEN(data!G90)&gt;0</f>
        <v>0</v>
      </c>
      <c r="K90" s="4" t="b">
        <f>LEN(data!G90)&lt;=60</f>
        <v>1</v>
      </c>
      <c r="L90" s="4" t="b">
        <f>LEN(data!I90)&gt;0</f>
        <v>0</v>
      </c>
      <c r="M90" s="4" t="b">
        <f>LEN(data!I90)&lt;=70</f>
        <v>1</v>
      </c>
      <c r="N90" s="4" t="b">
        <f>LEN(data!J90)&gt;0</f>
        <v>0</v>
      </c>
      <c r="O90" s="4" t="b">
        <f>LEN(data!J90)&lt;=140</f>
        <v>1</v>
      </c>
      <c r="P90" s="4" t="b">
        <f>LEN(data!K90)&gt;0</f>
        <v>0</v>
      </c>
      <c r="Q90" s="4" t="b">
        <f>LEN(data!K90)&lt;=35</f>
        <v>1</v>
      </c>
      <c r="R90" s="4" t="b">
        <f>LEN(data!L90)=2</f>
        <v>0</v>
      </c>
      <c r="S90" s="4" t="b">
        <f>LEN(data!M90)&gt;0</f>
        <v>0</v>
      </c>
      <c r="T90" s="4" t="b">
        <f>LEN(data!M90)&lt;=60</f>
        <v>1</v>
      </c>
      <c r="U90" s="4" t="b">
        <f>LEN(data!O90)&gt;0</f>
        <v>0</v>
      </c>
      <c r="V90" s="4" t="b">
        <f>LEN(data!O90)&lt;=70</f>
        <v>1</v>
      </c>
      <c r="W90" s="4" t="b">
        <f>LEN(data!P90)&gt;0</f>
        <v>0</v>
      </c>
      <c r="X90" s="4" t="b">
        <f>LEN(data!P90)&lt;=140</f>
        <v>1</v>
      </c>
      <c r="Y90" s="4" t="b">
        <f>LEN(data!Q90)&gt;0</f>
        <v>0</v>
      </c>
      <c r="Z90" s="4" t="b">
        <f>LEN(data!Q90)&lt;=35</f>
        <v>1</v>
      </c>
      <c r="AA90" s="4" t="b">
        <f>LEN(data!R90)=2</f>
        <v>0</v>
      </c>
      <c r="AB90" s="4" t="b">
        <f>LEN(data!S90)&gt;0</f>
        <v>0</v>
      </c>
      <c r="AC90" s="4" t="b">
        <f>LEN(data!S90)&lt;=120</f>
        <v>1</v>
      </c>
      <c r="AD90" s="4" t="b">
        <f>LEN(data!U90)=11</f>
        <v>0</v>
      </c>
      <c r="AE90" s="4" t="b">
        <f>AND(ISERROR(MATCH(data!V90, rule_mapping!$C$2:$C$325, 0))=FALSE, LEN(data!V90) &lt;= 4)</f>
        <v>0</v>
      </c>
      <c r="AF90" s="4" t="b">
        <f>LEN(data!W90)&gt;0</f>
        <v>0</v>
      </c>
      <c r="AG90" s="4" t="b">
        <f>LEN(data!W90)&lt;=20</f>
        <v>1</v>
      </c>
      <c r="AH90" s="4" t="b">
        <f xml:space="preserve"> IFERROR(ISNUMBER(data!X90), FALSE)</f>
        <v>0</v>
      </c>
      <c r="AI90" s="4" t="b">
        <f>IF(ISERROR(MATCH(data!Y90, rule_mapping!$D$2:$D$252, 0))=FALSE,TRUE, FALSE)</f>
        <v>0</v>
      </c>
      <c r="AJ90" s="4" t="b">
        <f>IFERROR(ISNUMBER(data!Z90), FALSE)</f>
        <v>0</v>
      </c>
      <c r="AK90" s="4" t="b">
        <f>IFERROR(ISNUMBER(data!AA90), FALSE)</f>
        <v>0</v>
      </c>
      <c r="AL90" s="4" t="b">
        <f>LEN(data!AB90)&lt;=90</f>
        <v>1</v>
      </c>
      <c r="AM90" s="4" t="b">
        <f>LEN(data!AC90)&gt;0</f>
        <v>0</v>
      </c>
      <c r="AN90" s="4" t="b">
        <f>LEN(data!AC90)&lt;=2000</f>
        <v>1</v>
      </c>
      <c r="AO90" s="4" t="b">
        <f>IF(LEN(data!AD90)=0,TRUE,IF(LEN(data!AD90)=5,TRUE,FALSE))</f>
        <v>1</v>
      </c>
      <c r="AP90" s="4" t="b">
        <f>LEN(data!AE90)&gt;0</f>
        <v>0</v>
      </c>
      <c r="AQ90" s="4" t="b">
        <f>LEN(data!AE90)=5</f>
        <v>0</v>
      </c>
      <c r="AR90" s="4" t="b">
        <f>ISERROR(MATCH(data!AF90, rule_mapping!$B$2:$B$3, 0))=FALSE</f>
        <v>0</v>
      </c>
      <c r="AS90" s="4" t="b">
        <f>ISERROR(MATCH(data!AG90, rule_mapping!$A$2:$A$8, 0))=FALSE</f>
        <v>0</v>
      </c>
      <c r="AT90" s="4" t="b">
        <f>LEN(data!AH90)&lt;=4</f>
        <v>1</v>
      </c>
      <c r="AU90" s="4" t="b">
        <f>LEN(data!AI90)&lt;=10</f>
        <v>1</v>
      </c>
      <c r="AV90" s="4" t="b">
        <f>LEN(data!AJ90)&lt;=35</f>
        <v>1</v>
      </c>
      <c r="AW90" s="4" t="b">
        <f>LEN(data!AK90)&lt;=20</f>
        <v>1</v>
      </c>
      <c r="AX90"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1" spans="1:50" ht="409.5" x14ac:dyDescent="0.15">
      <c r="A91" s="4" t="b">
        <f>OR(ISBLANK(data!B91), AND(B91:AW91))</f>
        <v>1</v>
      </c>
      <c r="B91" s="4" t="b">
        <f>AND(LEFT(TRIM(data!B91), 4)="OOLU", ISNUMBER(RIGHT(TRIM(data!B91), LEN(TRIM(data!B91))-4)+0))</f>
        <v>0</v>
      </c>
      <c r="C91" s="4" t="b">
        <f>LEN(data!C91)&gt;0</f>
        <v>0</v>
      </c>
      <c r="D91" s="4" t="b">
        <f>LEN(data!C91)&lt;=70</f>
        <v>1</v>
      </c>
      <c r="E91" s="4" t="b">
        <f>LEN(data!D91)&gt;0</f>
        <v>0</v>
      </c>
      <c r="F91" s="4" t="b">
        <f>LEN(data!D91)&lt;=140</f>
        <v>1</v>
      </c>
      <c r="G91" s="4" t="b">
        <f>LEN(data!E91)&gt;0</f>
        <v>0</v>
      </c>
      <c r="H91" s="4" t="b">
        <f>LEN(data!E91)&lt;=35</f>
        <v>1</v>
      </c>
      <c r="I91" s="4" t="b">
        <f>LEN(data!F91)=2</f>
        <v>0</v>
      </c>
      <c r="J91" s="4" t="b">
        <f>LEN(data!G91)&gt;0</f>
        <v>0</v>
      </c>
      <c r="K91" s="4" t="b">
        <f>LEN(data!G91)&lt;=60</f>
        <v>1</v>
      </c>
      <c r="L91" s="4" t="b">
        <f>LEN(data!I91)&gt;0</f>
        <v>0</v>
      </c>
      <c r="M91" s="4" t="b">
        <f>LEN(data!I91)&lt;=70</f>
        <v>1</v>
      </c>
      <c r="N91" s="4" t="b">
        <f>LEN(data!J91)&gt;0</f>
        <v>0</v>
      </c>
      <c r="O91" s="4" t="b">
        <f>LEN(data!J91)&lt;=140</f>
        <v>1</v>
      </c>
      <c r="P91" s="4" t="b">
        <f>LEN(data!K91)&gt;0</f>
        <v>0</v>
      </c>
      <c r="Q91" s="4" t="b">
        <f>LEN(data!K91)&lt;=35</f>
        <v>1</v>
      </c>
      <c r="R91" s="4" t="b">
        <f>LEN(data!L91)=2</f>
        <v>0</v>
      </c>
      <c r="S91" s="4" t="b">
        <f>LEN(data!M91)&gt;0</f>
        <v>0</v>
      </c>
      <c r="T91" s="4" t="b">
        <f>LEN(data!M91)&lt;=60</f>
        <v>1</v>
      </c>
      <c r="U91" s="4" t="b">
        <f>LEN(data!O91)&gt;0</f>
        <v>0</v>
      </c>
      <c r="V91" s="4" t="b">
        <f>LEN(data!O91)&lt;=70</f>
        <v>1</v>
      </c>
      <c r="W91" s="4" t="b">
        <f>LEN(data!P91)&gt;0</f>
        <v>0</v>
      </c>
      <c r="X91" s="4" t="b">
        <f>LEN(data!P91)&lt;=140</f>
        <v>1</v>
      </c>
      <c r="Y91" s="4" t="b">
        <f>LEN(data!Q91)&gt;0</f>
        <v>0</v>
      </c>
      <c r="Z91" s="4" t="b">
        <f>LEN(data!Q91)&lt;=35</f>
        <v>1</v>
      </c>
      <c r="AA91" s="4" t="b">
        <f>LEN(data!R91)=2</f>
        <v>0</v>
      </c>
      <c r="AB91" s="4" t="b">
        <f>LEN(data!S91)&gt;0</f>
        <v>0</v>
      </c>
      <c r="AC91" s="4" t="b">
        <f>LEN(data!S91)&lt;=120</f>
        <v>1</v>
      </c>
      <c r="AD91" s="4" t="b">
        <f>LEN(data!U91)=11</f>
        <v>0</v>
      </c>
      <c r="AE91" s="4" t="b">
        <f>AND(ISERROR(MATCH(data!V91, rule_mapping!$C$2:$C$325, 0))=FALSE, LEN(data!V91) &lt;= 4)</f>
        <v>0</v>
      </c>
      <c r="AF91" s="4" t="b">
        <f>LEN(data!W91)&gt;0</f>
        <v>0</v>
      </c>
      <c r="AG91" s="4" t="b">
        <f>LEN(data!W91)&lt;=20</f>
        <v>1</v>
      </c>
      <c r="AH91" s="4" t="b">
        <f xml:space="preserve"> IFERROR(ISNUMBER(data!X91), FALSE)</f>
        <v>0</v>
      </c>
      <c r="AI91" s="4" t="b">
        <f>IF(ISERROR(MATCH(data!Y91, rule_mapping!$D$2:$D$252, 0))=FALSE,TRUE, FALSE)</f>
        <v>0</v>
      </c>
      <c r="AJ91" s="4" t="b">
        <f>IFERROR(ISNUMBER(data!Z91), FALSE)</f>
        <v>0</v>
      </c>
      <c r="AK91" s="4" t="b">
        <f>IFERROR(ISNUMBER(data!AA91), FALSE)</f>
        <v>0</v>
      </c>
      <c r="AL91" s="4" t="b">
        <f>LEN(data!AB91)&lt;=90</f>
        <v>1</v>
      </c>
      <c r="AM91" s="4" t="b">
        <f>LEN(data!AC91)&gt;0</f>
        <v>0</v>
      </c>
      <c r="AN91" s="4" t="b">
        <f>LEN(data!AC91)&lt;=2000</f>
        <v>1</v>
      </c>
      <c r="AO91" s="4" t="b">
        <f>IF(LEN(data!AD91)=0,TRUE,IF(LEN(data!AD91)=5,TRUE,FALSE))</f>
        <v>1</v>
      </c>
      <c r="AP91" s="4" t="b">
        <f>LEN(data!AE91)&gt;0</f>
        <v>0</v>
      </c>
      <c r="AQ91" s="4" t="b">
        <f>LEN(data!AE91)=5</f>
        <v>0</v>
      </c>
      <c r="AR91" s="4" t="b">
        <f>ISERROR(MATCH(data!AF91, rule_mapping!$B$2:$B$3, 0))=FALSE</f>
        <v>0</v>
      </c>
      <c r="AS91" s="4" t="b">
        <f>ISERROR(MATCH(data!AG91, rule_mapping!$A$2:$A$8, 0))=FALSE</f>
        <v>0</v>
      </c>
      <c r="AT91" s="4" t="b">
        <f>LEN(data!AH91)&lt;=4</f>
        <v>1</v>
      </c>
      <c r="AU91" s="4" t="b">
        <f>LEN(data!AI91)&lt;=10</f>
        <v>1</v>
      </c>
      <c r="AV91" s="4" t="b">
        <f>LEN(data!AJ91)&lt;=35</f>
        <v>1</v>
      </c>
      <c r="AW91" s="4" t="b">
        <f>LEN(data!AK91)&lt;=20</f>
        <v>1</v>
      </c>
      <c r="AX91"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2" spans="1:50" ht="409.5" x14ac:dyDescent="0.15">
      <c r="A92" s="4" t="b">
        <f>OR(ISBLANK(data!B92), AND(B92:AW92))</f>
        <v>1</v>
      </c>
      <c r="B92" s="4" t="b">
        <f>AND(LEFT(TRIM(data!B92), 4)="OOLU", ISNUMBER(RIGHT(TRIM(data!B92), LEN(TRIM(data!B92))-4)+0))</f>
        <v>0</v>
      </c>
      <c r="C92" s="4" t="b">
        <f>LEN(data!C92)&gt;0</f>
        <v>0</v>
      </c>
      <c r="D92" s="4" t="b">
        <f>LEN(data!C92)&lt;=70</f>
        <v>1</v>
      </c>
      <c r="E92" s="4" t="b">
        <f>LEN(data!D92)&gt;0</f>
        <v>0</v>
      </c>
      <c r="F92" s="4" t="b">
        <f>LEN(data!D92)&lt;=140</f>
        <v>1</v>
      </c>
      <c r="G92" s="4" t="b">
        <f>LEN(data!E92)&gt;0</f>
        <v>0</v>
      </c>
      <c r="H92" s="4" t="b">
        <f>LEN(data!E92)&lt;=35</f>
        <v>1</v>
      </c>
      <c r="I92" s="4" t="b">
        <f>LEN(data!F92)=2</f>
        <v>0</v>
      </c>
      <c r="J92" s="4" t="b">
        <f>LEN(data!G92)&gt;0</f>
        <v>0</v>
      </c>
      <c r="K92" s="4" t="b">
        <f>LEN(data!G92)&lt;=60</f>
        <v>1</v>
      </c>
      <c r="L92" s="4" t="b">
        <f>LEN(data!I92)&gt;0</f>
        <v>0</v>
      </c>
      <c r="M92" s="4" t="b">
        <f>LEN(data!I92)&lt;=70</f>
        <v>1</v>
      </c>
      <c r="N92" s="4" t="b">
        <f>LEN(data!J92)&gt;0</f>
        <v>0</v>
      </c>
      <c r="O92" s="4" t="b">
        <f>LEN(data!J92)&lt;=140</f>
        <v>1</v>
      </c>
      <c r="P92" s="4" t="b">
        <f>LEN(data!K92)&gt;0</f>
        <v>0</v>
      </c>
      <c r="Q92" s="4" t="b">
        <f>LEN(data!K92)&lt;=35</f>
        <v>1</v>
      </c>
      <c r="R92" s="4" t="b">
        <f>LEN(data!L92)=2</f>
        <v>0</v>
      </c>
      <c r="S92" s="4" t="b">
        <f>LEN(data!M92)&gt;0</f>
        <v>0</v>
      </c>
      <c r="T92" s="4" t="b">
        <f>LEN(data!M92)&lt;=60</f>
        <v>1</v>
      </c>
      <c r="U92" s="4" t="b">
        <f>LEN(data!O92)&gt;0</f>
        <v>0</v>
      </c>
      <c r="V92" s="4" t="b">
        <f>LEN(data!O92)&lt;=70</f>
        <v>1</v>
      </c>
      <c r="W92" s="4" t="b">
        <f>LEN(data!P92)&gt;0</f>
        <v>0</v>
      </c>
      <c r="X92" s="4" t="b">
        <f>LEN(data!P92)&lt;=140</f>
        <v>1</v>
      </c>
      <c r="Y92" s="4" t="b">
        <f>LEN(data!Q92)&gt;0</f>
        <v>0</v>
      </c>
      <c r="Z92" s="4" t="b">
        <f>LEN(data!Q92)&lt;=35</f>
        <v>1</v>
      </c>
      <c r="AA92" s="4" t="b">
        <f>LEN(data!R92)=2</f>
        <v>0</v>
      </c>
      <c r="AB92" s="4" t="b">
        <f>LEN(data!S92)&gt;0</f>
        <v>0</v>
      </c>
      <c r="AC92" s="4" t="b">
        <f>LEN(data!S92)&lt;=120</f>
        <v>1</v>
      </c>
      <c r="AD92" s="4" t="b">
        <f>LEN(data!U92)=11</f>
        <v>0</v>
      </c>
      <c r="AE92" s="4" t="b">
        <f>AND(ISERROR(MATCH(data!V92, rule_mapping!$C$2:$C$325, 0))=FALSE, LEN(data!V92) &lt;= 4)</f>
        <v>0</v>
      </c>
      <c r="AF92" s="4" t="b">
        <f>LEN(data!W92)&gt;0</f>
        <v>0</v>
      </c>
      <c r="AG92" s="4" t="b">
        <f>LEN(data!W92)&lt;=20</f>
        <v>1</v>
      </c>
      <c r="AH92" s="4" t="b">
        <f xml:space="preserve"> IFERROR(ISNUMBER(data!X92), FALSE)</f>
        <v>0</v>
      </c>
      <c r="AI92" s="4" t="b">
        <f>IF(ISERROR(MATCH(data!Y92, rule_mapping!$D$2:$D$252, 0))=FALSE,TRUE, FALSE)</f>
        <v>0</v>
      </c>
      <c r="AJ92" s="4" t="b">
        <f>IFERROR(ISNUMBER(data!Z92), FALSE)</f>
        <v>0</v>
      </c>
      <c r="AK92" s="4" t="b">
        <f>IFERROR(ISNUMBER(data!AA92), FALSE)</f>
        <v>0</v>
      </c>
      <c r="AL92" s="4" t="b">
        <f>LEN(data!AB92)&lt;=90</f>
        <v>1</v>
      </c>
      <c r="AM92" s="4" t="b">
        <f>LEN(data!AC92)&gt;0</f>
        <v>0</v>
      </c>
      <c r="AN92" s="4" t="b">
        <f>LEN(data!AC92)&lt;=2000</f>
        <v>1</v>
      </c>
      <c r="AO92" s="4" t="b">
        <f>IF(LEN(data!AD92)=0,TRUE,IF(LEN(data!AD92)=5,TRUE,FALSE))</f>
        <v>1</v>
      </c>
      <c r="AP92" s="4" t="b">
        <f>LEN(data!AE92)&gt;0</f>
        <v>0</v>
      </c>
      <c r="AQ92" s="4" t="b">
        <f>LEN(data!AE92)=5</f>
        <v>0</v>
      </c>
      <c r="AR92" s="4" t="b">
        <f>ISERROR(MATCH(data!AF92, rule_mapping!$B$2:$B$3, 0))=FALSE</f>
        <v>0</v>
      </c>
      <c r="AS92" s="4" t="b">
        <f>ISERROR(MATCH(data!AG92, rule_mapping!$A$2:$A$8, 0))=FALSE</f>
        <v>0</v>
      </c>
      <c r="AT92" s="4" t="b">
        <f>LEN(data!AH92)&lt;=4</f>
        <v>1</v>
      </c>
      <c r="AU92" s="4" t="b">
        <f>LEN(data!AI92)&lt;=10</f>
        <v>1</v>
      </c>
      <c r="AV92" s="4" t="b">
        <f>LEN(data!AJ92)&lt;=35</f>
        <v>1</v>
      </c>
      <c r="AW92" s="4" t="b">
        <f>LEN(data!AK92)&lt;=20</f>
        <v>1</v>
      </c>
      <c r="AX92"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3" spans="1:50" ht="409.5" x14ac:dyDescent="0.15">
      <c r="A93" s="4" t="b">
        <f>OR(ISBLANK(data!B93), AND(B93:AW93))</f>
        <v>1</v>
      </c>
      <c r="B93" s="4" t="b">
        <f>AND(LEFT(TRIM(data!B93), 4)="OOLU", ISNUMBER(RIGHT(TRIM(data!B93), LEN(TRIM(data!B93))-4)+0))</f>
        <v>0</v>
      </c>
      <c r="C93" s="4" t="b">
        <f>LEN(data!C93)&gt;0</f>
        <v>0</v>
      </c>
      <c r="D93" s="4" t="b">
        <f>LEN(data!C93)&lt;=70</f>
        <v>1</v>
      </c>
      <c r="E93" s="4" t="b">
        <f>LEN(data!D93)&gt;0</f>
        <v>0</v>
      </c>
      <c r="F93" s="4" t="b">
        <f>LEN(data!D93)&lt;=140</f>
        <v>1</v>
      </c>
      <c r="G93" s="4" t="b">
        <f>LEN(data!E93)&gt;0</f>
        <v>0</v>
      </c>
      <c r="H93" s="4" t="b">
        <f>LEN(data!E93)&lt;=35</f>
        <v>1</v>
      </c>
      <c r="I93" s="4" t="b">
        <f>LEN(data!F93)=2</f>
        <v>0</v>
      </c>
      <c r="J93" s="4" t="b">
        <f>LEN(data!G93)&gt;0</f>
        <v>0</v>
      </c>
      <c r="K93" s="4" t="b">
        <f>LEN(data!G93)&lt;=60</f>
        <v>1</v>
      </c>
      <c r="L93" s="4" t="b">
        <f>LEN(data!I93)&gt;0</f>
        <v>0</v>
      </c>
      <c r="M93" s="4" t="b">
        <f>LEN(data!I93)&lt;=70</f>
        <v>1</v>
      </c>
      <c r="N93" s="4" t="b">
        <f>LEN(data!J93)&gt;0</f>
        <v>0</v>
      </c>
      <c r="O93" s="4" t="b">
        <f>LEN(data!J93)&lt;=140</f>
        <v>1</v>
      </c>
      <c r="P93" s="4" t="b">
        <f>LEN(data!K93)&gt;0</f>
        <v>0</v>
      </c>
      <c r="Q93" s="4" t="b">
        <f>LEN(data!K93)&lt;=35</f>
        <v>1</v>
      </c>
      <c r="R93" s="4" t="b">
        <f>LEN(data!L93)=2</f>
        <v>0</v>
      </c>
      <c r="S93" s="4" t="b">
        <f>LEN(data!M93)&gt;0</f>
        <v>0</v>
      </c>
      <c r="T93" s="4" t="b">
        <f>LEN(data!M93)&lt;=60</f>
        <v>1</v>
      </c>
      <c r="U93" s="4" t="b">
        <f>LEN(data!O93)&gt;0</f>
        <v>0</v>
      </c>
      <c r="V93" s="4" t="b">
        <f>LEN(data!O93)&lt;=70</f>
        <v>1</v>
      </c>
      <c r="W93" s="4" t="b">
        <f>LEN(data!P93)&gt;0</f>
        <v>0</v>
      </c>
      <c r="X93" s="4" t="b">
        <f>LEN(data!P93)&lt;=140</f>
        <v>1</v>
      </c>
      <c r="Y93" s="4" t="b">
        <f>LEN(data!Q93)&gt;0</f>
        <v>0</v>
      </c>
      <c r="Z93" s="4" t="b">
        <f>LEN(data!Q93)&lt;=35</f>
        <v>1</v>
      </c>
      <c r="AA93" s="4" t="b">
        <f>LEN(data!R93)=2</f>
        <v>0</v>
      </c>
      <c r="AB93" s="4" t="b">
        <f>LEN(data!S93)&gt;0</f>
        <v>0</v>
      </c>
      <c r="AC93" s="4" t="b">
        <f>LEN(data!S93)&lt;=120</f>
        <v>1</v>
      </c>
      <c r="AD93" s="4" t="b">
        <f>LEN(data!U93)=11</f>
        <v>0</v>
      </c>
      <c r="AE93" s="4" t="b">
        <f>AND(ISERROR(MATCH(data!V93, rule_mapping!$C$2:$C$325, 0))=FALSE, LEN(data!V93) &lt;= 4)</f>
        <v>0</v>
      </c>
      <c r="AF93" s="4" t="b">
        <f>LEN(data!W93)&gt;0</f>
        <v>0</v>
      </c>
      <c r="AG93" s="4" t="b">
        <f>LEN(data!W93)&lt;=20</f>
        <v>1</v>
      </c>
      <c r="AH93" s="4" t="b">
        <f xml:space="preserve"> IFERROR(ISNUMBER(data!X93), FALSE)</f>
        <v>0</v>
      </c>
      <c r="AI93" s="4" t="b">
        <f>IF(ISERROR(MATCH(data!Y93, rule_mapping!$D$2:$D$252, 0))=FALSE,TRUE, FALSE)</f>
        <v>0</v>
      </c>
      <c r="AJ93" s="4" t="b">
        <f>IFERROR(ISNUMBER(data!Z93), FALSE)</f>
        <v>0</v>
      </c>
      <c r="AK93" s="4" t="b">
        <f>IFERROR(ISNUMBER(data!AA93), FALSE)</f>
        <v>0</v>
      </c>
      <c r="AL93" s="4" t="b">
        <f>LEN(data!AB93)&lt;=90</f>
        <v>1</v>
      </c>
      <c r="AM93" s="4" t="b">
        <f>LEN(data!AC93)&gt;0</f>
        <v>0</v>
      </c>
      <c r="AN93" s="4" t="b">
        <f>LEN(data!AC93)&lt;=2000</f>
        <v>1</v>
      </c>
      <c r="AO93" s="4" t="b">
        <f>IF(LEN(data!AD93)=0,TRUE,IF(LEN(data!AD93)=5,TRUE,FALSE))</f>
        <v>1</v>
      </c>
      <c r="AP93" s="4" t="b">
        <f>LEN(data!AE93)&gt;0</f>
        <v>0</v>
      </c>
      <c r="AQ93" s="4" t="b">
        <f>LEN(data!AE93)=5</f>
        <v>0</v>
      </c>
      <c r="AR93" s="4" t="b">
        <f>ISERROR(MATCH(data!AF93, rule_mapping!$B$2:$B$3, 0))=FALSE</f>
        <v>0</v>
      </c>
      <c r="AS93" s="4" t="b">
        <f>ISERROR(MATCH(data!AG93, rule_mapping!$A$2:$A$8, 0))=FALSE</f>
        <v>0</v>
      </c>
      <c r="AT93" s="4" t="b">
        <f>LEN(data!AH93)&lt;=4</f>
        <v>1</v>
      </c>
      <c r="AU93" s="4" t="b">
        <f>LEN(data!AI93)&lt;=10</f>
        <v>1</v>
      </c>
      <c r="AV93" s="4" t="b">
        <f>LEN(data!AJ93)&lt;=35</f>
        <v>1</v>
      </c>
      <c r="AW93" s="4" t="b">
        <f>LEN(data!AK93)&lt;=20</f>
        <v>1</v>
      </c>
      <c r="AX93"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4" spans="1:50" ht="409.5" x14ac:dyDescent="0.15">
      <c r="A94" s="4" t="b">
        <f>OR(ISBLANK(data!B94), AND(B94:AW94))</f>
        <v>1</v>
      </c>
      <c r="B94" s="4" t="b">
        <f>AND(LEFT(TRIM(data!B94), 4)="OOLU", ISNUMBER(RIGHT(TRIM(data!B94), LEN(TRIM(data!B94))-4)+0))</f>
        <v>0</v>
      </c>
      <c r="C94" s="4" t="b">
        <f>LEN(data!C94)&gt;0</f>
        <v>0</v>
      </c>
      <c r="D94" s="4" t="b">
        <f>LEN(data!C94)&lt;=70</f>
        <v>1</v>
      </c>
      <c r="E94" s="4" t="b">
        <f>LEN(data!D94)&gt;0</f>
        <v>0</v>
      </c>
      <c r="F94" s="4" t="b">
        <f>LEN(data!D94)&lt;=140</f>
        <v>1</v>
      </c>
      <c r="G94" s="4" t="b">
        <f>LEN(data!E94)&gt;0</f>
        <v>0</v>
      </c>
      <c r="H94" s="4" t="b">
        <f>LEN(data!E94)&lt;=35</f>
        <v>1</v>
      </c>
      <c r="I94" s="4" t="b">
        <f>LEN(data!F94)=2</f>
        <v>0</v>
      </c>
      <c r="J94" s="4" t="b">
        <f>LEN(data!G94)&gt;0</f>
        <v>0</v>
      </c>
      <c r="K94" s="4" t="b">
        <f>LEN(data!G94)&lt;=60</f>
        <v>1</v>
      </c>
      <c r="L94" s="4" t="b">
        <f>LEN(data!I94)&gt;0</f>
        <v>0</v>
      </c>
      <c r="M94" s="4" t="b">
        <f>LEN(data!I94)&lt;=70</f>
        <v>1</v>
      </c>
      <c r="N94" s="4" t="b">
        <f>LEN(data!J94)&gt;0</f>
        <v>0</v>
      </c>
      <c r="O94" s="4" t="b">
        <f>LEN(data!J94)&lt;=140</f>
        <v>1</v>
      </c>
      <c r="P94" s="4" t="b">
        <f>LEN(data!K94)&gt;0</f>
        <v>0</v>
      </c>
      <c r="Q94" s="4" t="b">
        <f>LEN(data!K94)&lt;=35</f>
        <v>1</v>
      </c>
      <c r="R94" s="4" t="b">
        <f>LEN(data!L94)=2</f>
        <v>0</v>
      </c>
      <c r="S94" s="4" t="b">
        <f>LEN(data!M94)&gt;0</f>
        <v>0</v>
      </c>
      <c r="T94" s="4" t="b">
        <f>LEN(data!M94)&lt;=60</f>
        <v>1</v>
      </c>
      <c r="U94" s="4" t="b">
        <f>LEN(data!O94)&gt;0</f>
        <v>0</v>
      </c>
      <c r="V94" s="4" t="b">
        <f>LEN(data!O94)&lt;=70</f>
        <v>1</v>
      </c>
      <c r="W94" s="4" t="b">
        <f>LEN(data!P94)&gt;0</f>
        <v>0</v>
      </c>
      <c r="X94" s="4" t="b">
        <f>LEN(data!P94)&lt;=140</f>
        <v>1</v>
      </c>
      <c r="Y94" s="4" t="b">
        <f>LEN(data!Q94)&gt;0</f>
        <v>0</v>
      </c>
      <c r="Z94" s="4" t="b">
        <f>LEN(data!Q94)&lt;=35</f>
        <v>1</v>
      </c>
      <c r="AA94" s="4" t="b">
        <f>LEN(data!R94)=2</f>
        <v>0</v>
      </c>
      <c r="AB94" s="4" t="b">
        <f>LEN(data!S94)&gt;0</f>
        <v>0</v>
      </c>
      <c r="AC94" s="4" t="b">
        <f>LEN(data!S94)&lt;=120</f>
        <v>1</v>
      </c>
      <c r="AD94" s="4" t="b">
        <f>LEN(data!U94)=11</f>
        <v>0</v>
      </c>
      <c r="AE94" s="4" t="b">
        <f>AND(ISERROR(MATCH(data!V94, rule_mapping!$C$2:$C$325, 0))=FALSE, LEN(data!V94) &lt;= 4)</f>
        <v>0</v>
      </c>
      <c r="AF94" s="4" t="b">
        <f>LEN(data!W94)&gt;0</f>
        <v>0</v>
      </c>
      <c r="AG94" s="4" t="b">
        <f>LEN(data!W94)&lt;=20</f>
        <v>1</v>
      </c>
      <c r="AH94" s="4" t="b">
        <f xml:space="preserve"> IFERROR(ISNUMBER(data!X94), FALSE)</f>
        <v>0</v>
      </c>
      <c r="AI94" s="4" t="b">
        <f>IF(ISERROR(MATCH(data!Y94, rule_mapping!$D$2:$D$252, 0))=FALSE,TRUE, FALSE)</f>
        <v>0</v>
      </c>
      <c r="AJ94" s="4" t="b">
        <f>IFERROR(ISNUMBER(data!Z94), FALSE)</f>
        <v>0</v>
      </c>
      <c r="AK94" s="4" t="b">
        <f>IFERROR(ISNUMBER(data!AA94), FALSE)</f>
        <v>0</v>
      </c>
      <c r="AL94" s="4" t="b">
        <f>LEN(data!AB94)&lt;=90</f>
        <v>1</v>
      </c>
      <c r="AM94" s="4" t="b">
        <f>LEN(data!AC94)&gt;0</f>
        <v>0</v>
      </c>
      <c r="AN94" s="4" t="b">
        <f>LEN(data!AC94)&lt;=2000</f>
        <v>1</v>
      </c>
      <c r="AO94" s="4" t="b">
        <f>IF(LEN(data!AD94)=0,TRUE,IF(LEN(data!AD94)=5,TRUE,FALSE))</f>
        <v>1</v>
      </c>
      <c r="AP94" s="4" t="b">
        <f>LEN(data!AE94)&gt;0</f>
        <v>0</v>
      </c>
      <c r="AQ94" s="4" t="b">
        <f>LEN(data!AE94)=5</f>
        <v>0</v>
      </c>
      <c r="AR94" s="4" t="b">
        <f>ISERROR(MATCH(data!AF94, rule_mapping!$B$2:$B$3, 0))=FALSE</f>
        <v>0</v>
      </c>
      <c r="AS94" s="4" t="b">
        <f>ISERROR(MATCH(data!AG94, rule_mapping!$A$2:$A$8, 0))=FALSE</f>
        <v>0</v>
      </c>
      <c r="AT94" s="4" t="b">
        <f>LEN(data!AH94)&lt;=4</f>
        <v>1</v>
      </c>
      <c r="AU94" s="4" t="b">
        <f>LEN(data!AI94)&lt;=10</f>
        <v>1</v>
      </c>
      <c r="AV94" s="4" t="b">
        <f>LEN(data!AJ94)&lt;=35</f>
        <v>1</v>
      </c>
      <c r="AW94" s="4" t="b">
        <f>LEN(data!AK94)&lt;=20</f>
        <v>1</v>
      </c>
      <c r="AX94"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5" spans="1:50" ht="409.5" x14ac:dyDescent="0.15">
      <c r="A95" s="4" t="b">
        <f>OR(ISBLANK(data!B95), AND(B95:AW95))</f>
        <v>1</v>
      </c>
      <c r="B95" s="4" t="b">
        <f>AND(LEFT(TRIM(data!B95), 4)="OOLU", ISNUMBER(RIGHT(TRIM(data!B95), LEN(TRIM(data!B95))-4)+0))</f>
        <v>0</v>
      </c>
      <c r="C95" s="4" t="b">
        <f>LEN(data!C95)&gt;0</f>
        <v>0</v>
      </c>
      <c r="D95" s="4" t="b">
        <f>LEN(data!C95)&lt;=70</f>
        <v>1</v>
      </c>
      <c r="E95" s="4" t="b">
        <f>LEN(data!D95)&gt;0</f>
        <v>0</v>
      </c>
      <c r="F95" s="4" t="b">
        <f>LEN(data!D95)&lt;=140</f>
        <v>1</v>
      </c>
      <c r="G95" s="4" t="b">
        <f>LEN(data!E95)&gt;0</f>
        <v>0</v>
      </c>
      <c r="H95" s="4" t="b">
        <f>LEN(data!E95)&lt;=35</f>
        <v>1</v>
      </c>
      <c r="I95" s="4" t="b">
        <f>LEN(data!F95)=2</f>
        <v>0</v>
      </c>
      <c r="J95" s="4" t="b">
        <f>LEN(data!G95)&gt;0</f>
        <v>0</v>
      </c>
      <c r="K95" s="4" t="b">
        <f>LEN(data!G95)&lt;=60</f>
        <v>1</v>
      </c>
      <c r="L95" s="4" t="b">
        <f>LEN(data!I95)&gt;0</f>
        <v>0</v>
      </c>
      <c r="M95" s="4" t="b">
        <f>LEN(data!I95)&lt;=70</f>
        <v>1</v>
      </c>
      <c r="N95" s="4" t="b">
        <f>LEN(data!J95)&gt;0</f>
        <v>0</v>
      </c>
      <c r="O95" s="4" t="b">
        <f>LEN(data!J95)&lt;=140</f>
        <v>1</v>
      </c>
      <c r="P95" s="4" t="b">
        <f>LEN(data!K95)&gt;0</f>
        <v>0</v>
      </c>
      <c r="Q95" s="4" t="b">
        <f>LEN(data!K95)&lt;=35</f>
        <v>1</v>
      </c>
      <c r="R95" s="4" t="b">
        <f>LEN(data!L95)=2</f>
        <v>0</v>
      </c>
      <c r="S95" s="4" t="b">
        <f>LEN(data!M95)&gt;0</f>
        <v>0</v>
      </c>
      <c r="T95" s="4" t="b">
        <f>LEN(data!M95)&lt;=60</f>
        <v>1</v>
      </c>
      <c r="U95" s="4" t="b">
        <f>LEN(data!O95)&gt;0</f>
        <v>0</v>
      </c>
      <c r="V95" s="4" t="b">
        <f>LEN(data!O95)&lt;=70</f>
        <v>1</v>
      </c>
      <c r="W95" s="4" t="b">
        <f>LEN(data!P95)&gt;0</f>
        <v>0</v>
      </c>
      <c r="X95" s="4" t="b">
        <f>LEN(data!P95)&lt;=140</f>
        <v>1</v>
      </c>
      <c r="Y95" s="4" t="b">
        <f>LEN(data!Q95)&gt;0</f>
        <v>0</v>
      </c>
      <c r="Z95" s="4" t="b">
        <f>LEN(data!Q95)&lt;=35</f>
        <v>1</v>
      </c>
      <c r="AA95" s="4" t="b">
        <f>LEN(data!R95)=2</f>
        <v>0</v>
      </c>
      <c r="AB95" s="4" t="b">
        <f>LEN(data!S95)&gt;0</f>
        <v>0</v>
      </c>
      <c r="AC95" s="4" t="b">
        <f>LEN(data!S95)&lt;=120</f>
        <v>1</v>
      </c>
      <c r="AD95" s="4" t="b">
        <f>LEN(data!U95)=11</f>
        <v>0</v>
      </c>
      <c r="AE95" s="4" t="b">
        <f>AND(ISERROR(MATCH(data!V95, rule_mapping!$C$2:$C$325, 0))=FALSE, LEN(data!V95) &lt;= 4)</f>
        <v>0</v>
      </c>
      <c r="AF95" s="4" t="b">
        <f>LEN(data!W95)&gt;0</f>
        <v>0</v>
      </c>
      <c r="AG95" s="4" t="b">
        <f>LEN(data!W95)&lt;=20</f>
        <v>1</v>
      </c>
      <c r="AH95" s="4" t="b">
        <f xml:space="preserve"> IFERROR(ISNUMBER(data!X95), FALSE)</f>
        <v>0</v>
      </c>
      <c r="AI95" s="4" t="b">
        <f>IF(ISERROR(MATCH(data!Y95, rule_mapping!$D$2:$D$252, 0))=FALSE,TRUE, FALSE)</f>
        <v>0</v>
      </c>
      <c r="AJ95" s="4" t="b">
        <f>IFERROR(ISNUMBER(data!Z95), FALSE)</f>
        <v>0</v>
      </c>
      <c r="AK95" s="4" t="b">
        <f>IFERROR(ISNUMBER(data!AA95), FALSE)</f>
        <v>0</v>
      </c>
      <c r="AL95" s="4" t="b">
        <f>LEN(data!AB95)&lt;=90</f>
        <v>1</v>
      </c>
      <c r="AM95" s="4" t="b">
        <f>LEN(data!AC95)&gt;0</f>
        <v>0</v>
      </c>
      <c r="AN95" s="4" t="b">
        <f>LEN(data!AC95)&lt;=2000</f>
        <v>1</v>
      </c>
      <c r="AO95" s="4" t="b">
        <f>IF(LEN(data!AD95)=0,TRUE,IF(LEN(data!AD95)=5,TRUE,FALSE))</f>
        <v>1</v>
      </c>
      <c r="AP95" s="4" t="b">
        <f>LEN(data!AE95)&gt;0</f>
        <v>0</v>
      </c>
      <c r="AQ95" s="4" t="b">
        <f>LEN(data!AE95)=5</f>
        <v>0</v>
      </c>
      <c r="AR95" s="4" t="b">
        <f>ISERROR(MATCH(data!AF95, rule_mapping!$B$2:$B$3, 0))=FALSE</f>
        <v>0</v>
      </c>
      <c r="AS95" s="4" t="b">
        <f>ISERROR(MATCH(data!AG95, rule_mapping!$A$2:$A$8, 0))=FALSE</f>
        <v>0</v>
      </c>
      <c r="AT95" s="4" t="b">
        <f>LEN(data!AH95)&lt;=4</f>
        <v>1</v>
      </c>
      <c r="AU95" s="4" t="b">
        <f>LEN(data!AI95)&lt;=10</f>
        <v>1</v>
      </c>
      <c r="AV95" s="4" t="b">
        <f>LEN(data!AJ95)&lt;=35</f>
        <v>1</v>
      </c>
      <c r="AW95" s="4" t="b">
        <f>LEN(data!AK95)&lt;=20</f>
        <v>1</v>
      </c>
      <c r="AX95"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6" spans="1:50" ht="409.5" x14ac:dyDescent="0.15">
      <c r="A96" s="4" t="b">
        <f>OR(ISBLANK(data!B96), AND(B96:AW96))</f>
        <v>1</v>
      </c>
      <c r="B96" s="4" t="b">
        <f>AND(LEFT(TRIM(data!B96), 4)="OOLU", ISNUMBER(RIGHT(TRIM(data!B96), LEN(TRIM(data!B96))-4)+0))</f>
        <v>0</v>
      </c>
      <c r="C96" s="4" t="b">
        <f>LEN(data!C96)&gt;0</f>
        <v>0</v>
      </c>
      <c r="D96" s="4" t="b">
        <f>LEN(data!C96)&lt;=70</f>
        <v>1</v>
      </c>
      <c r="E96" s="4" t="b">
        <f>LEN(data!D96)&gt;0</f>
        <v>0</v>
      </c>
      <c r="F96" s="4" t="b">
        <f>LEN(data!D96)&lt;=140</f>
        <v>1</v>
      </c>
      <c r="G96" s="4" t="b">
        <f>LEN(data!E96)&gt;0</f>
        <v>0</v>
      </c>
      <c r="H96" s="4" t="b">
        <f>LEN(data!E96)&lt;=35</f>
        <v>1</v>
      </c>
      <c r="I96" s="4" t="b">
        <f>LEN(data!F96)=2</f>
        <v>0</v>
      </c>
      <c r="J96" s="4" t="b">
        <f>LEN(data!G96)&gt;0</f>
        <v>0</v>
      </c>
      <c r="K96" s="4" t="b">
        <f>LEN(data!G96)&lt;=60</f>
        <v>1</v>
      </c>
      <c r="L96" s="4" t="b">
        <f>LEN(data!I96)&gt;0</f>
        <v>0</v>
      </c>
      <c r="M96" s="4" t="b">
        <f>LEN(data!I96)&lt;=70</f>
        <v>1</v>
      </c>
      <c r="N96" s="4" t="b">
        <f>LEN(data!J96)&gt;0</f>
        <v>0</v>
      </c>
      <c r="O96" s="4" t="b">
        <f>LEN(data!J96)&lt;=140</f>
        <v>1</v>
      </c>
      <c r="P96" s="4" t="b">
        <f>LEN(data!K96)&gt;0</f>
        <v>0</v>
      </c>
      <c r="Q96" s="4" t="b">
        <f>LEN(data!K96)&lt;=35</f>
        <v>1</v>
      </c>
      <c r="R96" s="4" t="b">
        <f>LEN(data!L96)=2</f>
        <v>0</v>
      </c>
      <c r="S96" s="4" t="b">
        <f>LEN(data!M96)&gt;0</f>
        <v>0</v>
      </c>
      <c r="T96" s="4" t="b">
        <f>LEN(data!M96)&lt;=60</f>
        <v>1</v>
      </c>
      <c r="U96" s="4" t="b">
        <f>LEN(data!O96)&gt;0</f>
        <v>0</v>
      </c>
      <c r="V96" s="4" t="b">
        <f>LEN(data!O96)&lt;=70</f>
        <v>1</v>
      </c>
      <c r="W96" s="4" t="b">
        <f>LEN(data!P96)&gt;0</f>
        <v>0</v>
      </c>
      <c r="X96" s="4" t="b">
        <f>LEN(data!P96)&lt;=140</f>
        <v>1</v>
      </c>
      <c r="Y96" s="4" t="b">
        <f>LEN(data!Q96)&gt;0</f>
        <v>0</v>
      </c>
      <c r="Z96" s="4" t="b">
        <f>LEN(data!Q96)&lt;=35</f>
        <v>1</v>
      </c>
      <c r="AA96" s="4" t="b">
        <f>LEN(data!R96)=2</f>
        <v>0</v>
      </c>
      <c r="AB96" s="4" t="b">
        <f>LEN(data!S96)&gt;0</f>
        <v>0</v>
      </c>
      <c r="AC96" s="4" t="b">
        <f>LEN(data!S96)&lt;=120</f>
        <v>1</v>
      </c>
      <c r="AD96" s="4" t="b">
        <f>LEN(data!U96)=11</f>
        <v>0</v>
      </c>
      <c r="AE96" s="4" t="b">
        <f>AND(ISERROR(MATCH(data!V96, rule_mapping!$C$2:$C$325, 0))=FALSE, LEN(data!V96) &lt;= 4)</f>
        <v>0</v>
      </c>
      <c r="AF96" s="4" t="b">
        <f>LEN(data!W96)&gt;0</f>
        <v>0</v>
      </c>
      <c r="AG96" s="4" t="b">
        <f>LEN(data!W96)&lt;=20</f>
        <v>1</v>
      </c>
      <c r="AH96" s="4" t="b">
        <f xml:space="preserve"> IFERROR(ISNUMBER(data!X96), FALSE)</f>
        <v>0</v>
      </c>
      <c r="AI96" s="4" t="b">
        <f>IF(ISERROR(MATCH(data!Y96, rule_mapping!$D$2:$D$252, 0))=FALSE,TRUE, FALSE)</f>
        <v>0</v>
      </c>
      <c r="AJ96" s="4" t="b">
        <f>IFERROR(ISNUMBER(data!Z96), FALSE)</f>
        <v>0</v>
      </c>
      <c r="AK96" s="4" t="b">
        <f>IFERROR(ISNUMBER(data!AA96), FALSE)</f>
        <v>0</v>
      </c>
      <c r="AL96" s="4" t="b">
        <f>LEN(data!AB96)&lt;=90</f>
        <v>1</v>
      </c>
      <c r="AM96" s="4" t="b">
        <f>LEN(data!AC96)&gt;0</f>
        <v>0</v>
      </c>
      <c r="AN96" s="4" t="b">
        <f>LEN(data!AC96)&lt;=2000</f>
        <v>1</v>
      </c>
      <c r="AO96" s="4" t="b">
        <f>IF(LEN(data!AD96)=0,TRUE,IF(LEN(data!AD96)=5,TRUE,FALSE))</f>
        <v>1</v>
      </c>
      <c r="AP96" s="4" t="b">
        <f>LEN(data!AE96)&gt;0</f>
        <v>0</v>
      </c>
      <c r="AQ96" s="4" t="b">
        <f>LEN(data!AE96)=5</f>
        <v>0</v>
      </c>
      <c r="AR96" s="4" t="b">
        <f>ISERROR(MATCH(data!AF96, rule_mapping!$B$2:$B$3, 0))=FALSE</f>
        <v>0</v>
      </c>
      <c r="AS96" s="4" t="b">
        <f>ISERROR(MATCH(data!AG96, rule_mapping!$A$2:$A$8, 0))=FALSE</f>
        <v>0</v>
      </c>
      <c r="AT96" s="4" t="b">
        <f>LEN(data!AH96)&lt;=4</f>
        <v>1</v>
      </c>
      <c r="AU96" s="4" t="b">
        <f>LEN(data!AI96)&lt;=10</f>
        <v>1</v>
      </c>
      <c r="AV96" s="4" t="b">
        <f>LEN(data!AJ96)&lt;=35</f>
        <v>1</v>
      </c>
      <c r="AW96" s="4" t="b">
        <f>LEN(data!AK96)&lt;=20</f>
        <v>1</v>
      </c>
      <c r="AX96"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7" spans="1:50" ht="409.5" x14ac:dyDescent="0.15">
      <c r="A97" s="4" t="b">
        <f>OR(ISBLANK(data!B97), AND(B97:AW97))</f>
        <v>1</v>
      </c>
      <c r="B97" s="4" t="b">
        <f>AND(LEFT(TRIM(data!B97), 4)="OOLU", ISNUMBER(RIGHT(TRIM(data!B97), LEN(TRIM(data!B97))-4)+0))</f>
        <v>0</v>
      </c>
      <c r="C97" s="4" t="b">
        <f>LEN(data!C97)&gt;0</f>
        <v>0</v>
      </c>
      <c r="D97" s="4" t="b">
        <f>LEN(data!C97)&lt;=70</f>
        <v>1</v>
      </c>
      <c r="E97" s="4" t="b">
        <f>LEN(data!D97)&gt;0</f>
        <v>0</v>
      </c>
      <c r="F97" s="4" t="b">
        <f>LEN(data!D97)&lt;=140</f>
        <v>1</v>
      </c>
      <c r="G97" s="4" t="b">
        <f>LEN(data!E97)&gt;0</f>
        <v>0</v>
      </c>
      <c r="H97" s="4" t="b">
        <f>LEN(data!E97)&lt;=35</f>
        <v>1</v>
      </c>
      <c r="I97" s="4" t="b">
        <f>LEN(data!F97)=2</f>
        <v>0</v>
      </c>
      <c r="J97" s="4" t="b">
        <f>LEN(data!G97)&gt;0</f>
        <v>0</v>
      </c>
      <c r="K97" s="4" t="b">
        <f>LEN(data!G97)&lt;=60</f>
        <v>1</v>
      </c>
      <c r="L97" s="4" t="b">
        <f>LEN(data!I97)&gt;0</f>
        <v>0</v>
      </c>
      <c r="M97" s="4" t="b">
        <f>LEN(data!I97)&lt;=70</f>
        <v>1</v>
      </c>
      <c r="N97" s="4" t="b">
        <f>LEN(data!J97)&gt;0</f>
        <v>0</v>
      </c>
      <c r="O97" s="4" t="b">
        <f>LEN(data!J97)&lt;=140</f>
        <v>1</v>
      </c>
      <c r="P97" s="4" t="b">
        <f>LEN(data!K97)&gt;0</f>
        <v>0</v>
      </c>
      <c r="Q97" s="4" t="b">
        <f>LEN(data!K97)&lt;=35</f>
        <v>1</v>
      </c>
      <c r="R97" s="4" t="b">
        <f>LEN(data!L97)=2</f>
        <v>0</v>
      </c>
      <c r="S97" s="4" t="b">
        <f>LEN(data!M97)&gt;0</f>
        <v>0</v>
      </c>
      <c r="T97" s="4" t="b">
        <f>LEN(data!M97)&lt;=60</f>
        <v>1</v>
      </c>
      <c r="U97" s="4" t="b">
        <f>LEN(data!O97)&gt;0</f>
        <v>0</v>
      </c>
      <c r="V97" s="4" t="b">
        <f>LEN(data!O97)&lt;=70</f>
        <v>1</v>
      </c>
      <c r="W97" s="4" t="b">
        <f>LEN(data!P97)&gt;0</f>
        <v>0</v>
      </c>
      <c r="X97" s="4" t="b">
        <f>LEN(data!P97)&lt;=140</f>
        <v>1</v>
      </c>
      <c r="Y97" s="4" t="b">
        <f>LEN(data!Q97)&gt;0</f>
        <v>0</v>
      </c>
      <c r="Z97" s="4" t="b">
        <f>LEN(data!Q97)&lt;=35</f>
        <v>1</v>
      </c>
      <c r="AA97" s="4" t="b">
        <f>LEN(data!R97)=2</f>
        <v>0</v>
      </c>
      <c r="AB97" s="4" t="b">
        <f>LEN(data!S97)&gt;0</f>
        <v>0</v>
      </c>
      <c r="AC97" s="4" t="b">
        <f>LEN(data!S97)&lt;=120</f>
        <v>1</v>
      </c>
      <c r="AD97" s="4" t="b">
        <f>LEN(data!U97)=11</f>
        <v>0</v>
      </c>
      <c r="AE97" s="4" t="b">
        <f>AND(ISERROR(MATCH(data!V97, rule_mapping!$C$2:$C$325, 0))=FALSE, LEN(data!V97) &lt;= 4)</f>
        <v>0</v>
      </c>
      <c r="AF97" s="4" t="b">
        <f>LEN(data!W97)&gt;0</f>
        <v>0</v>
      </c>
      <c r="AG97" s="4" t="b">
        <f>LEN(data!W97)&lt;=20</f>
        <v>1</v>
      </c>
      <c r="AH97" s="4" t="b">
        <f xml:space="preserve"> IFERROR(ISNUMBER(data!X97), FALSE)</f>
        <v>0</v>
      </c>
      <c r="AI97" s="4" t="b">
        <f>IF(ISERROR(MATCH(data!Y97, rule_mapping!$D$2:$D$252, 0))=FALSE,TRUE, FALSE)</f>
        <v>0</v>
      </c>
      <c r="AJ97" s="4" t="b">
        <f>IFERROR(ISNUMBER(data!Z97), FALSE)</f>
        <v>0</v>
      </c>
      <c r="AK97" s="4" t="b">
        <f>IFERROR(ISNUMBER(data!AA97), FALSE)</f>
        <v>0</v>
      </c>
      <c r="AL97" s="4" t="b">
        <f>LEN(data!AB97)&lt;=90</f>
        <v>1</v>
      </c>
      <c r="AM97" s="4" t="b">
        <f>LEN(data!AC97)&gt;0</f>
        <v>0</v>
      </c>
      <c r="AN97" s="4" t="b">
        <f>LEN(data!AC97)&lt;=2000</f>
        <v>1</v>
      </c>
      <c r="AO97" s="4" t="b">
        <f>IF(LEN(data!AD97)=0,TRUE,IF(LEN(data!AD97)=5,TRUE,FALSE))</f>
        <v>1</v>
      </c>
      <c r="AP97" s="4" t="b">
        <f>LEN(data!AE97)&gt;0</f>
        <v>0</v>
      </c>
      <c r="AQ97" s="4" t="b">
        <f>LEN(data!AE97)=5</f>
        <v>0</v>
      </c>
      <c r="AR97" s="4" t="b">
        <f>ISERROR(MATCH(data!AF97, rule_mapping!$B$2:$B$3, 0))=FALSE</f>
        <v>0</v>
      </c>
      <c r="AS97" s="4" t="b">
        <f>ISERROR(MATCH(data!AG97, rule_mapping!$A$2:$A$8, 0))=FALSE</f>
        <v>0</v>
      </c>
      <c r="AT97" s="4" t="b">
        <f>LEN(data!AH97)&lt;=4</f>
        <v>1</v>
      </c>
      <c r="AU97" s="4" t="b">
        <f>LEN(data!AI97)&lt;=10</f>
        <v>1</v>
      </c>
      <c r="AV97" s="4" t="b">
        <f>LEN(data!AJ97)&lt;=35</f>
        <v>1</v>
      </c>
      <c r="AW97" s="4" t="b">
        <f>LEN(data!AK97)&lt;=20</f>
        <v>1</v>
      </c>
      <c r="AX97"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8" spans="1:50" ht="409.5" x14ac:dyDescent="0.15">
      <c r="A98" s="4" t="b">
        <f>OR(ISBLANK(data!B98), AND(B98:AW98))</f>
        <v>1</v>
      </c>
      <c r="B98" s="4" t="b">
        <f>AND(LEFT(TRIM(data!B98), 4)="OOLU", ISNUMBER(RIGHT(TRIM(data!B98), LEN(TRIM(data!B98))-4)+0))</f>
        <v>0</v>
      </c>
      <c r="C98" s="4" t="b">
        <f>LEN(data!C98)&gt;0</f>
        <v>0</v>
      </c>
      <c r="D98" s="4" t="b">
        <f>LEN(data!C98)&lt;=70</f>
        <v>1</v>
      </c>
      <c r="E98" s="4" t="b">
        <f>LEN(data!D98)&gt;0</f>
        <v>0</v>
      </c>
      <c r="F98" s="4" t="b">
        <f>LEN(data!D98)&lt;=140</f>
        <v>1</v>
      </c>
      <c r="G98" s="4" t="b">
        <f>LEN(data!E98)&gt;0</f>
        <v>0</v>
      </c>
      <c r="H98" s="4" t="b">
        <f>LEN(data!E98)&lt;=35</f>
        <v>1</v>
      </c>
      <c r="I98" s="4" t="b">
        <f>LEN(data!F98)=2</f>
        <v>0</v>
      </c>
      <c r="J98" s="4" t="b">
        <f>LEN(data!G98)&gt;0</f>
        <v>0</v>
      </c>
      <c r="K98" s="4" t="b">
        <f>LEN(data!G98)&lt;=60</f>
        <v>1</v>
      </c>
      <c r="L98" s="4" t="b">
        <f>LEN(data!I98)&gt;0</f>
        <v>0</v>
      </c>
      <c r="M98" s="4" t="b">
        <f>LEN(data!I98)&lt;=70</f>
        <v>1</v>
      </c>
      <c r="N98" s="4" t="b">
        <f>LEN(data!J98)&gt;0</f>
        <v>0</v>
      </c>
      <c r="O98" s="4" t="b">
        <f>LEN(data!J98)&lt;=140</f>
        <v>1</v>
      </c>
      <c r="P98" s="4" t="b">
        <f>LEN(data!K98)&gt;0</f>
        <v>0</v>
      </c>
      <c r="Q98" s="4" t="b">
        <f>LEN(data!K98)&lt;=35</f>
        <v>1</v>
      </c>
      <c r="R98" s="4" t="b">
        <f>LEN(data!L98)=2</f>
        <v>0</v>
      </c>
      <c r="S98" s="4" t="b">
        <f>LEN(data!M98)&gt;0</f>
        <v>0</v>
      </c>
      <c r="T98" s="4" t="b">
        <f>LEN(data!M98)&lt;=60</f>
        <v>1</v>
      </c>
      <c r="U98" s="4" t="b">
        <f>LEN(data!O98)&gt;0</f>
        <v>0</v>
      </c>
      <c r="V98" s="4" t="b">
        <f>LEN(data!O98)&lt;=70</f>
        <v>1</v>
      </c>
      <c r="W98" s="4" t="b">
        <f>LEN(data!P98)&gt;0</f>
        <v>0</v>
      </c>
      <c r="X98" s="4" t="b">
        <f>LEN(data!P98)&lt;=140</f>
        <v>1</v>
      </c>
      <c r="Y98" s="4" t="b">
        <f>LEN(data!Q98)&gt;0</f>
        <v>0</v>
      </c>
      <c r="Z98" s="4" t="b">
        <f>LEN(data!Q98)&lt;=35</f>
        <v>1</v>
      </c>
      <c r="AA98" s="4" t="b">
        <f>LEN(data!R98)=2</f>
        <v>0</v>
      </c>
      <c r="AB98" s="4" t="b">
        <f>LEN(data!S98)&gt;0</f>
        <v>0</v>
      </c>
      <c r="AC98" s="4" t="b">
        <f>LEN(data!S98)&lt;=120</f>
        <v>1</v>
      </c>
      <c r="AD98" s="4" t="b">
        <f>LEN(data!U98)=11</f>
        <v>0</v>
      </c>
      <c r="AE98" s="4" t="b">
        <f>AND(ISERROR(MATCH(data!V98, rule_mapping!$C$2:$C$325, 0))=FALSE, LEN(data!V98) &lt;= 4)</f>
        <v>0</v>
      </c>
      <c r="AF98" s="4" t="b">
        <f>LEN(data!W98)&gt;0</f>
        <v>0</v>
      </c>
      <c r="AG98" s="4" t="b">
        <f>LEN(data!W98)&lt;=20</f>
        <v>1</v>
      </c>
      <c r="AH98" s="4" t="b">
        <f xml:space="preserve"> IFERROR(ISNUMBER(data!X98), FALSE)</f>
        <v>0</v>
      </c>
      <c r="AI98" s="4" t="b">
        <f>IF(ISERROR(MATCH(data!Y98, rule_mapping!$D$2:$D$252, 0))=FALSE,TRUE, FALSE)</f>
        <v>0</v>
      </c>
      <c r="AJ98" s="4" t="b">
        <f>IFERROR(ISNUMBER(data!Z98), FALSE)</f>
        <v>0</v>
      </c>
      <c r="AK98" s="4" t="b">
        <f>IFERROR(ISNUMBER(data!AA98), FALSE)</f>
        <v>0</v>
      </c>
      <c r="AL98" s="4" t="b">
        <f>LEN(data!AB98)&lt;=90</f>
        <v>1</v>
      </c>
      <c r="AM98" s="4" t="b">
        <f>LEN(data!AC98)&gt;0</f>
        <v>0</v>
      </c>
      <c r="AN98" s="4" t="b">
        <f>LEN(data!AC98)&lt;=2000</f>
        <v>1</v>
      </c>
      <c r="AO98" s="4" t="b">
        <f>IF(LEN(data!AD98)=0,TRUE,IF(LEN(data!AD98)=5,TRUE,FALSE))</f>
        <v>1</v>
      </c>
      <c r="AP98" s="4" t="b">
        <f>LEN(data!AE98)&gt;0</f>
        <v>0</v>
      </c>
      <c r="AQ98" s="4" t="b">
        <f>LEN(data!AE98)=5</f>
        <v>0</v>
      </c>
      <c r="AR98" s="4" t="b">
        <f>ISERROR(MATCH(data!AF98, rule_mapping!$B$2:$B$3, 0))=FALSE</f>
        <v>0</v>
      </c>
      <c r="AS98" s="4" t="b">
        <f>ISERROR(MATCH(data!AG98, rule_mapping!$A$2:$A$8, 0))=FALSE</f>
        <v>0</v>
      </c>
      <c r="AT98" s="4" t="b">
        <f>LEN(data!AH98)&lt;=4</f>
        <v>1</v>
      </c>
      <c r="AU98" s="4" t="b">
        <f>LEN(data!AI98)&lt;=10</f>
        <v>1</v>
      </c>
      <c r="AV98" s="4" t="b">
        <f>LEN(data!AJ98)&lt;=35</f>
        <v>1</v>
      </c>
      <c r="AW98" s="4" t="b">
        <f>LEN(data!AK98)&lt;=20</f>
        <v>1</v>
      </c>
      <c r="AX98"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99" spans="1:50" ht="409.5" x14ac:dyDescent="0.15">
      <c r="A99" s="4" t="b">
        <f>OR(ISBLANK(data!B99), AND(B99:AW99))</f>
        <v>1</v>
      </c>
      <c r="B99" s="4" t="b">
        <f>AND(LEFT(TRIM(data!B99), 4)="OOLU", ISNUMBER(RIGHT(TRIM(data!B99), LEN(TRIM(data!B99))-4)+0))</f>
        <v>0</v>
      </c>
      <c r="C99" s="4" t="b">
        <f>LEN(data!C99)&gt;0</f>
        <v>0</v>
      </c>
      <c r="D99" s="4" t="b">
        <f>LEN(data!C99)&lt;=70</f>
        <v>1</v>
      </c>
      <c r="E99" s="4" t="b">
        <f>LEN(data!D99)&gt;0</f>
        <v>0</v>
      </c>
      <c r="F99" s="4" t="b">
        <f>LEN(data!D99)&lt;=140</f>
        <v>1</v>
      </c>
      <c r="G99" s="4" t="b">
        <f>LEN(data!E99)&gt;0</f>
        <v>0</v>
      </c>
      <c r="H99" s="4" t="b">
        <f>LEN(data!E99)&lt;=35</f>
        <v>1</v>
      </c>
      <c r="I99" s="4" t="b">
        <f>LEN(data!F99)=2</f>
        <v>0</v>
      </c>
      <c r="J99" s="4" t="b">
        <f>LEN(data!G99)&gt;0</f>
        <v>0</v>
      </c>
      <c r="K99" s="4" t="b">
        <f>LEN(data!G99)&lt;=60</f>
        <v>1</v>
      </c>
      <c r="L99" s="4" t="b">
        <f>LEN(data!I99)&gt;0</f>
        <v>0</v>
      </c>
      <c r="M99" s="4" t="b">
        <f>LEN(data!I99)&lt;=70</f>
        <v>1</v>
      </c>
      <c r="N99" s="4" t="b">
        <f>LEN(data!J99)&gt;0</f>
        <v>0</v>
      </c>
      <c r="O99" s="4" t="b">
        <f>LEN(data!J99)&lt;=140</f>
        <v>1</v>
      </c>
      <c r="P99" s="4" t="b">
        <f>LEN(data!K99)&gt;0</f>
        <v>0</v>
      </c>
      <c r="Q99" s="4" t="b">
        <f>LEN(data!K99)&lt;=35</f>
        <v>1</v>
      </c>
      <c r="R99" s="4" t="b">
        <f>LEN(data!L99)=2</f>
        <v>0</v>
      </c>
      <c r="S99" s="4" t="b">
        <f>LEN(data!M99)&gt;0</f>
        <v>0</v>
      </c>
      <c r="T99" s="4" t="b">
        <f>LEN(data!M99)&lt;=60</f>
        <v>1</v>
      </c>
      <c r="U99" s="4" t="b">
        <f>LEN(data!O99)&gt;0</f>
        <v>0</v>
      </c>
      <c r="V99" s="4" t="b">
        <f>LEN(data!O99)&lt;=70</f>
        <v>1</v>
      </c>
      <c r="W99" s="4" t="b">
        <f>LEN(data!P99)&gt;0</f>
        <v>0</v>
      </c>
      <c r="X99" s="4" t="b">
        <f>LEN(data!P99)&lt;=140</f>
        <v>1</v>
      </c>
      <c r="Y99" s="4" t="b">
        <f>LEN(data!Q99)&gt;0</f>
        <v>0</v>
      </c>
      <c r="Z99" s="4" t="b">
        <f>LEN(data!Q99)&lt;=35</f>
        <v>1</v>
      </c>
      <c r="AA99" s="4" t="b">
        <f>LEN(data!R99)=2</f>
        <v>0</v>
      </c>
      <c r="AB99" s="4" t="b">
        <f>LEN(data!S99)&gt;0</f>
        <v>0</v>
      </c>
      <c r="AC99" s="4" t="b">
        <f>LEN(data!S99)&lt;=120</f>
        <v>1</v>
      </c>
      <c r="AD99" s="4" t="b">
        <f>LEN(data!U99)=11</f>
        <v>0</v>
      </c>
      <c r="AE99" s="4" t="b">
        <f>AND(ISERROR(MATCH(data!V99, rule_mapping!$C$2:$C$325, 0))=FALSE, LEN(data!V99) &lt;= 4)</f>
        <v>0</v>
      </c>
      <c r="AF99" s="4" t="b">
        <f>LEN(data!W99)&gt;0</f>
        <v>0</v>
      </c>
      <c r="AG99" s="4" t="b">
        <f>LEN(data!W99)&lt;=20</f>
        <v>1</v>
      </c>
      <c r="AH99" s="4" t="b">
        <f xml:space="preserve"> IFERROR(ISNUMBER(data!X99), FALSE)</f>
        <v>0</v>
      </c>
      <c r="AI99" s="4" t="b">
        <f>IF(ISERROR(MATCH(data!Y99, rule_mapping!$D$2:$D$252, 0))=FALSE,TRUE, FALSE)</f>
        <v>0</v>
      </c>
      <c r="AJ99" s="4" t="b">
        <f>IFERROR(ISNUMBER(data!Z99), FALSE)</f>
        <v>0</v>
      </c>
      <c r="AK99" s="4" t="b">
        <f>IFERROR(ISNUMBER(data!AA99), FALSE)</f>
        <v>0</v>
      </c>
      <c r="AL99" s="4" t="b">
        <f>LEN(data!AB99)&lt;=90</f>
        <v>1</v>
      </c>
      <c r="AM99" s="4" t="b">
        <f>LEN(data!AC99)&gt;0</f>
        <v>0</v>
      </c>
      <c r="AN99" s="4" t="b">
        <f>LEN(data!AC99)&lt;=2000</f>
        <v>1</v>
      </c>
      <c r="AO99" s="4" t="b">
        <f>IF(LEN(data!AD99)=0,TRUE,IF(LEN(data!AD99)=5,TRUE,FALSE))</f>
        <v>1</v>
      </c>
      <c r="AP99" s="4" t="b">
        <f>LEN(data!AE99)&gt;0</f>
        <v>0</v>
      </c>
      <c r="AQ99" s="4" t="b">
        <f>LEN(data!AE99)=5</f>
        <v>0</v>
      </c>
      <c r="AR99" s="4" t="b">
        <f>ISERROR(MATCH(data!AF99, rule_mapping!$B$2:$B$3, 0))=FALSE</f>
        <v>0</v>
      </c>
      <c r="AS99" s="4" t="b">
        <f>ISERROR(MATCH(data!AG99, rule_mapping!$A$2:$A$8, 0))=FALSE</f>
        <v>0</v>
      </c>
      <c r="AT99" s="4" t="b">
        <f>LEN(data!AH99)&lt;=4</f>
        <v>1</v>
      </c>
      <c r="AU99" s="4" t="b">
        <f>LEN(data!AI99)&lt;=10</f>
        <v>1</v>
      </c>
      <c r="AV99" s="4" t="b">
        <f>LEN(data!AJ99)&lt;=35</f>
        <v>1</v>
      </c>
      <c r="AW99" s="4" t="b">
        <f>LEN(data!AK99)&lt;=20</f>
        <v>1</v>
      </c>
      <c r="AX99"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0" spans="1:50" ht="409.5" x14ac:dyDescent="0.15">
      <c r="A100" s="4" t="b">
        <f>OR(ISBLANK(data!B100), AND(B100:AW100))</f>
        <v>1</v>
      </c>
      <c r="B100" s="4" t="b">
        <f>AND(LEFT(TRIM(data!B100), 4)="OOLU", ISNUMBER(RIGHT(TRIM(data!B100), LEN(TRIM(data!B100))-4)+0))</f>
        <v>0</v>
      </c>
      <c r="C100" s="4" t="b">
        <f>LEN(data!C100)&gt;0</f>
        <v>0</v>
      </c>
      <c r="D100" s="4" t="b">
        <f>LEN(data!C100)&lt;=70</f>
        <v>1</v>
      </c>
      <c r="E100" s="4" t="b">
        <f>LEN(data!D100)&gt;0</f>
        <v>0</v>
      </c>
      <c r="F100" s="4" t="b">
        <f>LEN(data!D100)&lt;=140</f>
        <v>1</v>
      </c>
      <c r="G100" s="4" t="b">
        <f>LEN(data!E100)&gt;0</f>
        <v>0</v>
      </c>
      <c r="H100" s="4" t="b">
        <f>LEN(data!E100)&lt;=35</f>
        <v>1</v>
      </c>
      <c r="I100" s="4" t="b">
        <f>LEN(data!F100)=2</f>
        <v>0</v>
      </c>
      <c r="J100" s="4" t="b">
        <f>LEN(data!G100)&gt;0</f>
        <v>0</v>
      </c>
      <c r="K100" s="4" t="b">
        <f>LEN(data!G100)&lt;=60</f>
        <v>1</v>
      </c>
      <c r="L100" s="4" t="b">
        <f>LEN(data!I100)&gt;0</f>
        <v>0</v>
      </c>
      <c r="M100" s="4" t="b">
        <f>LEN(data!I100)&lt;=70</f>
        <v>1</v>
      </c>
      <c r="N100" s="4" t="b">
        <f>LEN(data!J100)&gt;0</f>
        <v>0</v>
      </c>
      <c r="O100" s="4" t="b">
        <f>LEN(data!J100)&lt;=140</f>
        <v>1</v>
      </c>
      <c r="P100" s="4" t="b">
        <f>LEN(data!K100)&gt;0</f>
        <v>0</v>
      </c>
      <c r="Q100" s="4" t="b">
        <f>LEN(data!K100)&lt;=35</f>
        <v>1</v>
      </c>
      <c r="R100" s="4" t="b">
        <f>LEN(data!L100)=2</f>
        <v>0</v>
      </c>
      <c r="S100" s="4" t="b">
        <f>LEN(data!M100)&gt;0</f>
        <v>0</v>
      </c>
      <c r="T100" s="4" t="b">
        <f>LEN(data!M100)&lt;=60</f>
        <v>1</v>
      </c>
      <c r="U100" s="4" t="b">
        <f>LEN(data!O100)&gt;0</f>
        <v>0</v>
      </c>
      <c r="V100" s="4" t="b">
        <f>LEN(data!O100)&lt;=70</f>
        <v>1</v>
      </c>
      <c r="W100" s="4" t="b">
        <f>LEN(data!P100)&gt;0</f>
        <v>0</v>
      </c>
      <c r="X100" s="4" t="b">
        <f>LEN(data!P100)&lt;=140</f>
        <v>1</v>
      </c>
      <c r="Y100" s="4" t="b">
        <f>LEN(data!Q100)&gt;0</f>
        <v>0</v>
      </c>
      <c r="Z100" s="4" t="b">
        <f>LEN(data!Q100)&lt;=35</f>
        <v>1</v>
      </c>
      <c r="AA100" s="4" t="b">
        <f>LEN(data!R100)=2</f>
        <v>0</v>
      </c>
      <c r="AB100" s="4" t="b">
        <f>LEN(data!S100)&gt;0</f>
        <v>0</v>
      </c>
      <c r="AC100" s="4" t="b">
        <f>LEN(data!S100)&lt;=120</f>
        <v>1</v>
      </c>
      <c r="AD100" s="4" t="b">
        <f>LEN(data!U100)=11</f>
        <v>0</v>
      </c>
      <c r="AE100" s="4" t="b">
        <f>AND(ISERROR(MATCH(data!V100, rule_mapping!$C$2:$C$325, 0))=FALSE, LEN(data!V100) &lt;= 4)</f>
        <v>0</v>
      </c>
      <c r="AF100" s="4" t="b">
        <f>LEN(data!W100)&gt;0</f>
        <v>0</v>
      </c>
      <c r="AG100" s="4" t="b">
        <f>LEN(data!W100)&lt;=20</f>
        <v>1</v>
      </c>
      <c r="AH100" s="4" t="b">
        <f xml:space="preserve"> IFERROR(ISNUMBER(data!X100), FALSE)</f>
        <v>0</v>
      </c>
      <c r="AI100" s="4" t="b">
        <f>IF(ISERROR(MATCH(data!Y100, rule_mapping!$D$2:$D$252, 0))=FALSE,TRUE, FALSE)</f>
        <v>0</v>
      </c>
      <c r="AJ100" s="4" t="b">
        <f>IFERROR(ISNUMBER(data!Z100), FALSE)</f>
        <v>0</v>
      </c>
      <c r="AK100" s="4" t="b">
        <f>IFERROR(ISNUMBER(data!AA100), FALSE)</f>
        <v>0</v>
      </c>
      <c r="AL100" s="4" t="b">
        <f>LEN(data!AB100)&lt;=90</f>
        <v>1</v>
      </c>
      <c r="AM100" s="4" t="b">
        <f>LEN(data!AC100)&gt;0</f>
        <v>0</v>
      </c>
      <c r="AN100" s="4" t="b">
        <f>LEN(data!AC100)&lt;=2000</f>
        <v>1</v>
      </c>
      <c r="AO100" s="4" t="b">
        <f>IF(LEN(data!AD100)=0,TRUE,IF(LEN(data!AD100)=5,TRUE,FALSE))</f>
        <v>1</v>
      </c>
      <c r="AP100" s="4" t="b">
        <f>LEN(data!AE100)&gt;0</f>
        <v>0</v>
      </c>
      <c r="AQ100" s="4" t="b">
        <f>LEN(data!AE100)=5</f>
        <v>0</v>
      </c>
      <c r="AR100" s="4" t="b">
        <f>ISERROR(MATCH(data!AF100, rule_mapping!$B$2:$B$3, 0))=FALSE</f>
        <v>0</v>
      </c>
      <c r="AS100" s="4" t="b">
        <f>ISERROR(MATCH(data!AG100, rule_mapping!$A$2:$A$8, 0))=FALSE</f>
        <v>0</v>
      </c>
      <c r="AT100" s="4" t="b">
        <f>LEN(data!AH100)&lt;=4</f>
        <v>1</v>
      </c>
      <c r="AU100" s="4" t="b">
        <f>LEN(data!AI100)&lt;=10</f>
        <v>1</v>
      </c>
      <c r="AV100" s="4" t="b">
        <f>LEN(data!AJ100)&lt;=35</f>
        <v>1</v>
      </c>
      <c r="AW100" s="4" t="b">
        <f>LEN(data!AK100)&lt;=20</f>
        <v>1</v>
      </c>
      <c r="AX100"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1" spans="1:50" ht="409.5" x14ac:dyDescent="0.15">
      <c r="A101" s="4" t="b">
        <f>OR(ISBLANK(data!B101), AND(B101:AW101))</f>
        <v>1</v>
      </c>
      <c r="B101" s="4" t="b">
        <f>AND(LEFT(TRIM(data!B101), 4)="OOLU", ISNUMBER(RIGHT(TRIM(data!B101), LEN(TRIM(data!B101))-4)+0))</f>
        <v>0</v>
      </c>
      <c r="C101" s="4" t="b">
        <f>LEN(data!C101)&gt;0</f>
        <v>0</v>
      </c>
      <c r="D101" s="4" t="b">
        <f>LEN(data!C101)&lt;=70</f>
        <v>1</v>
      </c>
      <c r="E101" s="4" t="b">
        <f>LEN(data!D101)&gt;0</f>
        <v>0</v>
      </c>
      <c r="F101" s="4" t="b">
        <f>LEN(data!D101)&lt;=140</f>
        <v>1</v>
      </c>
      <c r="G101" s="4" t="b">
        <f>LEN(data!E101)&gt;0</f>
        <v>0</v>
      </c>
      <c r="H101" s="4" t="b">
        <f>LEN(data!E101)&lt;=35</f>
        <v>1</v>
      </c>
      <c r="I101" s="4" t="b">
        <f>LEN(data!F101)=2</f>
        <v>0</v>
      </c>
      <c r="J101" s="4" t="b">
        <f>LEN(data!G101)&gt;0</f>
        <v>0</v>
      </c>
      <c r="K101" s="4" t="b">
        <f>LEN(data!G101)&lt;=60</f>
        <v>1</v>
      </c>
      <c r="L101" s="4" t="b">
        <f>LEN(data!I101)&gt;0</f>
        <v>0</v>
      </c>
      <c r="M101" s="4" t="b">
        <f>LEN(data!I101)&lt;=70</f>
        <v>1</v>
      </c>
      <c r="N101" s="4" t="b">
        <f>LEN(data!J101)&gt;0</f>
        <v>0</v>
      </c>
      <c r="O101" s="4" t="b">
        <f>LEN(data!J101)&lt;=140</f>
        <v>1</v>
      </c>
      <c r="P101" s="4" t="b">
        <f>LEN(data!K101)&gt;0</f>
        <v>0</v>
      </c>
      <c r="Q101" s="4" t="b">
        <f>LEN(data!K101)&lt;=35</f>
        <v>1</v>
      </c>
      <c r="R101" s="4" t="b">
        <f>LEN(data!L101)=2</f>
        <v>0</v>
      </c>
      <c r="S101" s="4" t="b">
        <f>LEN(data!M101)&gt;0</f>
        <v>0</v>
      </c>
      <c r="T101" s="4" t="b">
        <f>LEN(data!M101)&lt;=60</f>
        <v>1</v>
      </c>
      <c r="U101" s="4" t="b">
        <f>LEN(data!O101)&gt;0</f>
        <v>0</v>
      </c>
      <c r="V101" s="4" t="b">
        <f>LEN(data!O101)&lt;=70</f>
        <v>1</v>
      </c>
      <c r="W101" s="4" t="b">
        <f>LEN(data!P101)&gt;0</f>
        <v>0</v>
      </c>
      <c r="X101" s="4" t="b">
        <f>LEN(data!P101)&lt;=140</f>
        <v>1</v>
      </c>
      <c r="Y101" s="4" t="b">
        <f>LEN(data!Q101)&gt;0</f>
        <v>0</v>
      </c>
      <c r="Z101" s="4" t="b">
        <f>LEN(data!Q101)&lt;=35</f>
        <v>1</v>
      </c>
      <c r="AA101" s="4" t="b">
        <f>LEN(data!R101)=2</f>
        <v>0</v>
      </c>
      <c r="AB101" s="4" t="b">
        <f>LEN(data!S101)&gt;0</f>
        <v>0</v>
      </c>
      <c r="AC101" s="4" t="b">
        <f>LEN(data!S101)&lt;=120</f>
        <v>1</v>
      </c>
      <c r="AD101" s="4" t="b">
        <f>LEN(data!U101)=11</f>
        <v>0</v>
      </c>
      <c r="AE101" s="4" t="b">
        <f>AND(ISERROR(MATCH(data!V101, rule_mapping!$C$2:$C$325, 0))=FALSE, LEN(data!V101) &lt;= 4)</f>
        <v>0</v>
      </c>
      <c r="AF101" s="4" t="b">
        <f>LEN(data!W101)&gt;0</f>
        <v>0</v>
      </c>
      <c r="AG101" s="4" t="b">
        <f>LEN(data!W101)&lt;=20</f>
        <v>1</v>
      </c>
      <c r="AH101" s="4" t="b">
        <f xml:space="preserve"> IFERROR(ISNUMBER(data!X101), FALSE)</f>
        <v>0</v>
      </c>
      <c r="AI101" s="4" t="b">
        <f>IF(ISERROR(MATCH(data!Y101, rule_mapping!$D$2:$D$252, 0))=FALSE,TRUE, FALSE)</f>
        <v>0</v>
      </c>
      <c r="AJ101" s="4" t="b">
        <f>IFERROR(ISNUMBER(data!Z101), FALSE)</f>
        <v>0</v>
      </c>
      <c r="AK101" s="4" t="b">
        <f>IFERROR(ISNUMBER(data!AA101), FALSE)</f>
        <v>0</v>
      </c>
      <c r="AL101" s="4" t="b">
        <f>LEN(data!AB101)&lt;=90</f>
        <v>1</v>
      </c>
      <c r="AM101" s="4" t="b">
        <f>LEN(data!AC101)&gt;0</f>
        <v>0</v>
      </c>
      <c r="AN101" s="4" t="b">
        <f>LEN(data!AC101)&lt;=2000</f>
        <v>1</v>
      </c>
      <c r="AO101" s="4" t="b">
        <f>IF(LEN(data!AD101)=0,TRUE,IF(LEN(data!AD101)=5,TRUE,FALSE))</f>
        <v>1</v>
      </c>
      <c r="AP101" s="4" t="b">
        <f>LEN(data!AE101)&gt;0</f>
        <v>0</v>
      </c>
      <c r="AQ101" s="4" t="b">
        <f>LEN(data!AE101)=5</f>
        <v>0</v>
      </c>
      <c r="AR101" s="4" t="b">
        <f>ISERROR(MATCH(data!AF101, rule_mapping!$B$2:$B$3, 0))=FALSE</f>
        <v>0</v>
      </c>
      <c r="AS101" s="4" t="b">
        <f>ISERROR(MATCH(data!AG101, rule_mapping!$A$2:$A$8, 0))=FALSE</f>
        <v>0</v>
      </c>
      <c r="AT101" s="4" t="b">
        <f>LEN(data!AH101)&lt;=4</f>
        <v>1</v>
      </c>
      <c r="AU101" s="4" t="b">
        <f>LEN(data!AI101)&lt;=10</f>
        <v>1</v>
      </c>
      <c r="AV101" s="4" t="b">
        <f>LEN(data!AJ101)&lt;=35</f>
        <v>1</v>
      </c>
      <c r="AW101" s="4" t="b">
        <f>LEN(data!AK101)&lt;=20</f>
        <v>1</v>
      </c>
      <c r="AX101"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2" spans="1:50" ht="409.5" x14ac:dyDescent="0.15">
      <c r="A102" s="4" t="b">
        <f>OR(ISBLANK(data!B102), AND(B102:AW102))</f>
        <v>1</v>
      </c>
      <c r="B102" s="4" t="b">
        <f>AND(LEFT(TRIM(data!B102), 4)="OOLU", ISNUMBER(RIGHT(TRIM(data!B102), LEN(TRIM(data!B102))-4)+0))</f>
        <v>0</v>
      </c>
      <c r="C102" s="4" t="b">
        <f>LEN(data!C102)&gt;0</f>
        <v>0</v>
      </c>
      <c r="D102" s="4" t="b">
        <f>LEN(data!C102)&lt;=70</f>
        <v>1</v>
      </c>
      <c r="E102" s="4" t="b">
        <f>LEN(data!D102)&gt;0</f>
        <v>0</v>
      </c>
      <c r="F102" s="4" t="b">
        <f>LEN(data!D102)&lt;=140</f>
        <v>1</v>
      </c>
      <c r="G102" s="4" t="b">
        <f>LEN(data!E102)&gt;0</f>
        <v>0</v>
      </c>
      <c r="H102" s="4" t="b">
        <f>LEN(data!E102)&lt;=35</f>
        <v>1</v>
      </c>
      <c r="I102" s="4" t="b">
        <f>LEN(data!F102)=2</f>
        <v>0</v>
      </c>
      <c r="J102" s="4" t="b">
        <f>LEN(data!G102)&gt;0</f>
        <v>0</v>
      </c>
      <c r="K102" s="4" t="b">
        <f>LEN(data!G102)&lt;=60</f>
        <v>1</v>
      </c>
      <c r="L102" s="4" t="b">
        <f>LEN(data!I102)&gt;0</f>
        <v>0</v>
      </c>
      <c r="M102" s="4" t="b">
        <f>LEN(data!I102)&lt;=70</f>
        <v>1</v>
      </c>
      <c r="N102" s="4" t="b">
        <f>LEN(data!J102)&gt;0</f>
        <v>0</v>
      </c>
      <c r="O102" s="4" t="b">
        <f>LEN(data!J102)&lt;=140</f>
        <v>1</v>
      </c>
      <c r="P102" s="4" t="b">
        <f>LEN(data!K102)&gt;0</f>
        <v>0</v>
      </c>
      <c r="Q102" s="4" t="b">
        <f>LEN(data!K102)&lt;=35</f>
        <v>1</v>
      </c>
      <c r="R102" s="4" t="b">
        <f>LEN(data!L102)=2</f>
        <v>0</v>
      </c>
      <c r="S102" s="4" t="b">
        <f>LEN(data!M102)&gt;0</f>
        <v>0</v>
      </c>
      <c r="T102" s="4" t="b">
        <f>LEN(data!M102)&lt;=60</f>
        <v>1</v>
      </c>
      <c r="U102" s="4" t="b">
        <f>LEN(data!O102)&gt;0</f>
        <v>0</v>
      </c>
      <c r="V102" s="4" t="b">
        <f>LEN(data!O102)&lt;=70</f>
        <v>1</v>
      </c>
      <c r="W102" s="4" t="b">
        <f>LEN(data!P102)&gt;0</f>
        <v>0</v>
      </c>
      <c r="X102" s="4" t="b">
        <f>LEN(data!P102)&lt;=140</f>
        <v>1</v>
      </c>
      <c r="Y102" s="4" t="b">
        <f>LEN(data!Q102)&gt;0</f>
        <v>0</v>
      </c>
      <c r="Z102" s="4" t="b">
        <f>LEN(data!Q102)&lt;=35</f>
        <v>1</v>
      </c>
      <c r="AA102" s="4" t="b">
        <f>LEN(data!R102)=2</f>
        <v>0</v>
      </c>
      <c r="AB102" s="4" t="b">
        <f>LEN(data!S102)&gt;0</f>
        <v>0</v>
      </c>
      <c r="AC102" s="4" t="b">
        <f>LEN(data!S102)&lt;=120</f>
        <v>1</v>
      </c>
      <c r="AD102" s="4" t="b">
        <f>LEN(data!U102)=11</f>
        <v>0</v>
      </c>
      <c r="AE102" s="4" t="b">
        <f>AND(ISERROR(MATCH(data!V102, rule_mapping!$C$2:$C$325, 0))=FALSE, LEN(data!V102) &lt;= 4)</f>
        <v>0</v>
      </c>
      <c r="AF102" s="4" t="b">
        <f>LEN(data!W102)&gt;0</f>
        <v>0</v>
      </c>
      <c r="AG102" s="4" t="b">
        <f>LEN(data!W102)&lt;=20</f>
        <v>1</v>
      </c>
      <c r="AH102" s="4" t="b">
        <f xml:space="preserve"> IFERROR(ISNUMBER(data!X102), FALSE)</f>
        <v>0</v>
      </c>
      <c r="AI102" s="4" t="b">
        <f>IF(ISERROR(MATCH(data!Y102, rule_mapping!$D$2:$D$252, 0))=FALSE,TRUE, FALSE)</f>
        <v>0</v>
      </c>
      <c r="AJ102" s="4" t="b">
        <f>IFERROR(ISNUMBER(data!Z102), FALSE)</f>
        <v>0</v>
      </c>
      <c r="AK102" s="4" t="b">
        <f>IFERROR(ISNUMBER(data!AA102), FALSE)</f>
        <v>0</v>
      </c>
      <c r="AL102" s="4" t="b">
        <f>LEN(data!AB102)&lt;=90</f>
        <v>1</v>
      </c>
      <c r="AM102" s="4" t="b">
        <f>LEN(data!AC102)&gt;0</f>
        <v>0</v>
      </c>
      <c r="AN102" s="4" t="b">
        <f>LEN(data!AC102)&lt;=2000</f>
        <v>1</v>
      </c>
      <c r="AO102" s="4" t="b">
        <f>IF(LEN(data!AD102)=0,TRUE,IF(LEN(data!AD102)=5,TRUE,FALSE))</f>
        <v>1</v>
      </c>
      <c r="AP102" s="4" t="b">
        <f>LEN(data!AE102)&gt;0</f>
        <v>0</v>
      </c>
      <c r="AQ102" s="4" t="b">
        <f>LEN(data!AE102)=5</f>
        <v>0</v>
      </c>
      <c r="AR102" s="4" t="b">
        <f>ISERROR(MATCH(data!AF102, rule_mapping!$B$2:$B$3, 0))=FALSE</f>
        <v>0</v>
      </c>
      <c r="AS102" s="4" t="b">
        <f>ISERROR(MATCH(data!AG102, rule_mapping!$A$2:$A$8, 0))=FALSE</f>
        <v>0</v>
      </c>
      <c r="AT102" s="4" t="b">
        <f>LEN(data!AH102)&lt;=4</f>
        <v>1</v>
      </c>
      <c r="AU102" s="4" t="b">
        <f>LEN(data!AI102)&lt;=10</f>
        <v>1</v>
      </c>
      <c r="AV102" s="4" t="b">
        <f>LEN(data!AJ102)&lt;=35</f>
        <v>1</v>
      </c>
      <c r="AW102" s="4" t="b">
        <f>LEN(data!AK102)&lt;=20</f>
        <v>1</v>
      </c>
      <c r="AX102"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3" spans="1:50" ht="409.5" x14ac:dyDescent="0.15">
      <c r="A103" s="4" t="b">
        <f>OR(ISBLANK(data!B103), AND(B103:AW103))</f>
        <v>1</v>
      </c>
      <c r="B103" s="4" t="b">
        <f>AND(LEFT(TRIM(data!B103), 4)="OOLU", ISNUMBER(RIGHT(TRIM(data!B103), LEN(TRIM(data!B103))-4)+0))</f>
        <v>0</v>
      </c>
      <c r="C103" s="4" t="b">
        <f>LEN(data!C103)&gt;0</f>
        <v>0</v>
      </c>
      <c r="D103" s="4" t="b">
        <f>LEN(data!C103)&lt;=70</f>
        <v>1</v>
      </c>
      <c r="E103" s="4" t="b">
        <f>LEN(data!D103)&gt;0</f>
        <v>0</v>
      </c>
      <c r="F103" s="4" t="b">
        <f>LEN(data!D103)&lt;=140</f>
        <v>1</v>
      </c>
      <c r="G103" s="4" t="b">
        <f>LEN(data!E103)&gt;0</f>
        <v>0</v>
      </c>
      <c r="H103" s="4" t="b">
        <f>LEN(data!E103)&lt;=35</f>
        <v>1</v>
      </c>
      <c r="I103" s="4" t="b">
        <f>LEN(data!F103)=2</f>
        <v>0</v>
      </c>
      <c r="J103" s="4" t="b">
        <f>LEN(data!G103)&gt;0</f>
        <v>0</v>
      </c>
      <c r="K103" s="4" t="b">
        <f>LEN(data!G103)&lt;=60</f>
        <v>1</v>
      </c>
      <c r="L103" s="4" t="b">
        <f>LEN(data!I103)&gt;0</f>
        <v>0</v>
      </c>
      <c r="M103" s="4" t="b">
        <f>LEN(data!I103)&lt;=70</f>
        <v>1</v>
      </c>
      <c r="N103" s="4" t="b">
        <f>LEN(data!J103)&gt;0</f>
        <v>0</v>
      </c>
      <c r="O103" s="4" t="b">
        <f>LEN(data!J103)&lt;=140</f>
        <v>1</v>
      </c>
      <c r="P103" s="4" t="b">
        <f>LEN(data!K103)&gt;0</f>
        <v>0</v>
      </c>
      <c r="Q103" s="4" t="b">
        <f>LEN(data!K103)&lt;=35</f>
        <v>1</v>
      </c>
      <c r="R103" s="4" t="b">
        <f>LEN(data!L103)=2</f>
        <v>0</v>
      </c>
      <c r="S103" s="4" t="b">
        <f>LEN(data!M103)&gt;0</f>
        <v>0</v>
      </c>
      <c r="T103" s="4" t="b">
        <f>LEN(data!M103)&lt;=60</f>
        <v>1</v>
      </c>
      <c r="U103" s="4" t="b">
        <f>LEN(data!O103)&gt;0</f>
        <v>0</v>
      </c>
      <c r="V103" s="4" t="b">
        <f>LEN(data!O103)&lt;=70</f>
        <v>1</v>
      </c>
      <c r="W103" s="4" t="b">
        <f>LEN(data!P103)&gt;0</f>
        <v>0</v>
      </c>
      <c r="X103" s="4" t="b">
        <f>LEN(data!P103)&lt;=140</f>
        <v>1</v>
      </c>
      <c r="Y103" s="4" t="b">
        <f>LEN(data!Q103)&gt;0</f>
        <v>0</v>
      </c>
      <c r="Z103" s="4" t="b">
        <f>LEN(data!Q103)&lt;=35</f>
        <v>1</v>
      </c>
      <c r="AA103" s="4" t="b">
        <f>LEN(data!R103)=2</f>
        <v>0</v>
      </c>
      <c r="AB103" s="4" t="b">
        <f>LEN(data!S103)&gt;0</f>
        <v>0</v>
      </c>
      <c r="AC103" s="4" t="b">
        <f>LEN(data!S103)&lt;=120</f>
        <v>1</v>
      </c>
      <c r="AD103" s="4" t="b">
        <f>LEN(data!U103)=11</f>
        <v>0</v>
      </c>
      <c r="AE103" s="4" t="b">
        <f>AND(ISERROR(MATCH(data!V103, rule_mapping!$C$2:$C$325, 0))=FALSE, LEN(data!V103) &lt;= 4)</f>
        <v>0</v>
      </c>
      <c r="AF103" s="4" t="b">
        <f>LEN(data!W103)&gt;0</f>
        <v>0</v>
      </c>
      <c r="AG103" s="4" t="b">
        <f>LEN(data!W103)&lt;=20</f>
        <v>1</v>
      </c>
      <c r="AH103" s="4" t="b">
        <f xml:space="preserve"> IFERROR(ISNUMBER(data!X103), FALSE)</f>
        <v>0</v>
      </c>
      <c r="AI103" s="4" t="b">
        <f>IF(ISERROR(MATCH(data!Y103, rule_mapping!$D$2:$D$252, 0))=FALSE,TRUE, FALSE)</f>
        <v>0</v>
      </c>
      <c r="AJ103" s="4" t="b">
        <f>IFERROR(ISNUMBER(data!Z103), FALSE)</f>
        <v>0</v>
      </c>
      <c r="AK103" s="4" t="b">
        <f>IFERROR(ISNUMBER(data!AA103), FALSE)</f>
        <v>0</v>
      </c>
      <c r="AL103" s="4" t="b">
        <f>LEN(data!AB103)&lt;=90</f>
        <v>1</v>
      </c>
      <c r="AM103" s="4" t="b">
        <f>LEN(data!AC103)&gt;0</f>
        <v>0</v>
      </c>
      <c r="AN103" s="4" t="b">
        <f>LEN(data!AC103)&lt;=2000</f>
        <v>1</v>
      </c>
      <c r="AO103" s="4" t="b">
        <f>IF(LEN(data!AD103)=0,TRUE,IF(LEN(data!AD103)=5,TRUE,FALSE))</f>
        <v>1</v>
      </c>
      <c r="AP103" s="4" t="b">
        <f>LEN(data!AE103)&gt;0</f>
        <v>0</v>
      </c>
      <c r="AQ103" s="4" t="b">
        <f>LEN(data!AE103)=5</f>
        <v>0</v>
      </c>
      <c r="AR103" s="4" t="b">
        <f>ISERROR(MATCH(data!AF103, rule_mapping!$B$2:$B$3, 0))=FALSE</f>
        <v>0</v>
      </c>
      <c r="AS103" s="4" t="b">
        <f>ISERROR(MATCH(data!AG103, rule_mapping!$A$2:$A$8, 0))=FALSE</f>
        <v>0</v>
      </c>
      <c r="AT103" s="4" t="b">
        <f>LEN(data!AH103)&lt;=4</f>
        <v>1</v>
      </c>
      <c r="AU103" s="4" t="b">
        <f>LEN(data!AI103)&lt;=10</f>
        <v>1</v>
      </c>
      <c r="AV103" s="4" t="b">
        <f>LEN(data!AJ103)&lt;=35</f>
        <v>1</v>
      </c>
      <c r="AW103" s="4" t="b">
        <f>LEN(data!AK103)&lt;=20</f>
        <v>1</v>
      </c>
      <c r="AX103"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4" spans="1:50" ht="409.5" x14ac:dyDescent="0.15">
      <c r="A104" s="4" t="b">
        <f>OR(ISBLANK(data!B104), AND(B104:AW104))</f>
        <v>1</v>
      </c>
      <c r="B104" s="4" t="b">
        <f>AND(LEFT(TRIM(data!B104), 4)="OOLU", ISNUMBER(RIGHT(TRIM(data!B104), LEN(TRIM(data!B104))-4)+0))</f>
        <v>0</v>
      </c>
      <c r="C104" s="4" t="b">
        <f>LEN(data!C104)&gt;0</f>
        <v>0</v>
      </c>
      <c r="D104" s="4" t="b">
        <f>LEN(data!C104)&lt;=70</f>
        <v>1</v>
      </c>
      <c r="E104" s="4" t="b">
        <f>LEN(data!D104)&gt;0</f>
        <v>0</v>
      </c>
      <c r="F104" s="4" t="b">
        <f>LEN(data!D104)&lt;=140</f>
        <v>1</v>
      </c>
      <c r="G104" s="4" t="b">
        <f>LEN(data!E104)&gt;0</f>
        <v>0</v>
      </c>
      <c r="H104" s="4" t="b">
        <f>LEN(data!E104)&lt;=35</f>
        <v>1</v>
      </c>
      <c r="I104" s="4" t="b">
        <f>LEN(data!F104)=2</f>
        <v>0</v>
      </c>
      <c r="J104" s="4" t="b">
        <f>LEN(data!G104)&gt;0</f>
        <v>0</v>
      </c>
      <c r="K104" s="4" t="b">
        <f>LEN(data!G104)&lt;=60</f>
        <v>1</v>
      </c>
      <c r="L104" s="4" t="b">
        <f>LEN(data!I104)&gt;0</f>
        <v>0</v>
      </c>
      <c r="M104" s="4" t="b">
        <f>LEN(data!I104)&lt;=70</f>
        <v>1</v>
      </c>
      <c r="N104" s="4" t="b">
        <f>LEN(data!J104)&gt;0</f>
        <v>0</v>
      </c>
      <c r="O104" s="4" t="b">
        <f>LEN(data!J104)&lt;=140</f>
        <v>1</v>
      </c>
      <c r="P104" s="4" t="b">
        <f>LEN(data!K104)&gt;0</f>
        <v>0</v>
      </c>
      <c r="Q104" s="4" t="b">
        <f>LEN(data!K104)&lt;=35</f>
        <v>1</v>
      </c>
      <c r="R104" s="4" t="b">
        <f>LEN(data!L104)=2</f>
        <v>0</v>
      </c>
      <c r="S104" s="4" t="b">
        <f>LEN(data!M104)&gt;0</f>
        <v>0</v>
      </c>
      <c r="T104" s="4" t="b">
        <f>LEN(data!M104)&lt;=60</f>
        <v>1</v>
      </c>
      <c r="U104" s="4" t="b">
        <f>LEN(data!O104)&gt;0</f>
        <v>0</v>
      </c>
      <c r="V104" s="4" t="b">
        <f>LEN(data!O104)&lt;=70</f>
        <v>1</v>
      </c>
      <c r="W104" s="4" t="b">
        <f>LEN(data!P104)&gt;0</f>
        <v>0</v>
      </c>
      <c r="X104" s="4" t="b">
        <f>LEN(data!P104)&lt;=140</f>
        <v>1</v>
      </c>
      <c r="Y104" s="4" t="b">
        <f>LEN(data!Q104)&gt;0</f>
        <v>0</v>
      </c>
      <c r="Z104" s="4" t="b">
        <f>LEN(data!Q104)&lt;=35</f>
        <v>1</v>
      </c>
      <c r="AA104" s="4" t="b">
        <f>LEN(data!R104)=2</f>
        <v>0</v>
      </c>
      <c r="AB104" s="4" t="b">
        <f>LEN(data!S104)&gt;0</f>
        <v>0</v>
      </c>
      <c r="AC104" s="4" t="b">
        <f>LEN(data!S104)&lt;=120</f>
        <v>1</v>
      </c>
      <c r="AD104" s="4" t="b">
        <f>LEN(data!U104)=11</f>
        <v>0</v>
      </c>
      <c r="AE104" s="4" t="b">
        <f>AND(ISERROR(MATCH(data!V104, rule_mapping!$C$2:$C$325, 0))=FALSE, LEN(data!V104) &lt;= 4)</f>
        <v>0</v>
      </c>
      <c r="AF104" s="4" t="b">
        <f>LEN(data!W104)&gt;0</f>
        <v>0</v>
      </c>
      <c r="AG104" s="4" t="b">
        <f>LEN(data!W104)&lt;=20</f>
        <v>1</v>
      </c>
      <c r="AH104" s="4" t="b">
        <f xml:space="preserve"> IFERROR(ISNUMBER(data!X104), FALSE)</f>
        <v>0</v>
      </c>
      <c r="AI104" s="4" t="b">
        <f>IF(ISERROR(MATCH(data!Y104, rule_mapping!$D$2:$D$252, 0))=FALSE,TRUE, FALSE)</f>
        <v>0</v>
      </c>
      <c r="AJ104" s="4" t="b">
        <f>IFERROR(ISNUMBER(data!Z104), FALSE)</f>
        <v>0</v>
      </c>
      <c r="AK104" s="4" t="b">
        <f>IFERROR(ISNUMBER(data!AA104), FALSE)</f>
        <v>0</v>
      </c>
      <c r="AL104" s="4" t="b">
        <f>LEN(data!AB104)&lt;=90</f>
        <v>1</v>
      </c>
      <c r="AM104" s="4" t="b">
        <f>LEN(data!AC104)&gt;0</f>
        <v>0</v>
      </c>
      <c r="AN104" s="4" t="b">
        <f>LEN(data!AC104)&lt;=2000</f>
        <v>1</v>
      </c>
      <c r="AO104" s="4" t="b">
        <f>IF(LEN(data!AD104)=0,TRUE,IF(LEN(data!AD104)=5,TRUE,FALSE))</f>
        <v>1</v>
      </c>
      <c r="AP104" s="4" t="b">
        <f>LEN(data!AE104)&gt;0</f>
        <v>0</v>
      </c>
      <c r="AQ104" s="4" t="b">
        <f>LEN(data!AE104)=5</f>
        <v>0</v>
      </c>
      <c r="AR104" s="4" t="b">
        <f>ISERROR(MATCH(data!AF104, rule_mapping!$B$2:$B$3, 0))=FALSE</f>
        <v>0</v>
      </c>
      <c r="AS104" s="4" t="b">
        <f>ISERROR(MATCH(data!AG104, rule_mapping!$A$2:$A$8, 0))=FALSE</f>
        <v>0</v>
      </c>
      <c r="AT104" s="4" t="b">
        <f>LEN(data!AH104)&lt;=4</f>
        <v>1</v>
      </c>
      <c r="AU104" s="4" t="b">
        <f>LEN(data!AI104)&lt;=10</f>
        <v>1</v>
      </c>
      <c r="AV104" s="4" t="b">
        <f>LEN(data!AJ104)&lt;=35</f>
        <v>1</v>
      </c>
      <c r="AW104" s="4" t="b">
        <f>LEN(data!AK104)&lt;=20</f>
        <v>1</v>
      </c>
      <c r="AX104"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5" spans="1:50" ht="409.5" x14ac:dyDescent="0.15">
      <c r="A105" s="4" t="b">
        <f>OR(ISBLANK(data!B105), AND(B105:AW105))</f>
        <v>1</v>
      </c>
      <c r="B105" s="4" t="b">
        <f>AND(LEFT(TRIM(data!B105), 4)="OOLU", ISNUMBER(RIGHT(TRIM(data!B105), LEN(TRIM(data!B105))-4)+0))</f>
        <v>0</v>
      </c>
      <c r="C105" s="4" t="b">
        <f>LEN(data!C105)&gt;0</f>
        <v>0</v>
      </c>
      <c r="D105" s="4" t="b">
        <f>LEN(data!C105)&lt;=70</f>
        <v>1</v>
      </c>
      <c r="E105" s="4" t="b">
        <f>LEN(data!D105)&gt;0</f>
        <v>0</v>
      </c>
      <c r="F105" s="4" t="b">
        <f>LEN(data!D105)&lt;=140</f>
        <v>1</v>
      </c>
      <c r="G105" s="4" t="b">
        <f>LEN(data!E105)&gt;0</f>
        <v>0</v>
      </c>
      <c r="H105" s="4" t="b">
        <f>LEN(data!E105)&lt;=35</f>
        <v>1</v>
      </c>
      <c r="I105" s="4" t="b">
        <f>LEN(data!F105)=2</f>
        <v>0</v>
      </c>
      <c r="J105" s="4" t="b">
        <f>LEN(data!G105)&gt;0</f>
        <v>0</v>
      </c>
      <c r="K105" s="4" t="b">
        <f>LEN(data!G105)&lt;=60</f>
        <v>1</v>
      </c>
      <c r="L105" s="4" t="b">
        <f>LEN(data!I105)&gt;0</f>
        <v>0</v>
      </c>
      <c r="M105" s="4" t="b">
        <f>LEN(data!I105)&lt;=70</f>
        <v>1</v>
      </c>
      <c r="N105" s="4" t="b">
        <f>LEN(data!J105)&gt;0</f>
        <v>0</v>
      </c>
      <c r="O105" s="4" t="b">
        <f>LEN(data!J105)&lt;=140</f>
        <v>1</v>
      </c>
      <c r="P105" s="4" t="b">
        <f>LEN(data!K105)&gt;0</f>
        <v>0</v>
      </c>
      <c r="Q105" s="4" t="b">
        <f>LEN(data!K105)&lt;=35</f>
        <v>1</v>
      </c>
      <c r="R105" s="4" t="b">
        <f>LEN(data!L105)=2</f>
        <v>0</v>
      </c>
      <c r="S105" s="4" t="b">
        <f>LEN(data!M105)&gt;0</f>
        <v>0</v>
      </c>
      <c r="T105" s="4" t="b">
        <f>LEN(data!M105)&lt;=60</f>
        <v>1</v>
      </c>
      <c r="U105" s="4" t="b">
        <f>LEN(data!O105)&gt;0</f>
        <v>0</v>
      </c>
      <c r="V105" s="4" t="b">
        <f>LEN(data!O105)&lt;=70</f>
        <v>1</v>
      </c>
      <c r="W105" s="4" t="b">
        <f>LEN(data!P105)&gt;0</f>
        <v>0</v>
      </c>
      <c r="X105" s="4" t="b">
        <f>LEN(data!P105)&lt;=140</f>
        <v>1</v>
      </c>
      <c r="Y105" s="4" t="b">
        <f>LEN(data!Q105)&gt;0</f>
        <v>0</v>
      </c>
      <c r="Z105" s="4" t="b">
        <f>LEN(data!Q105)&lt;=35</f>
        <v>1</v>
      </c>
      <c r="AA105" s="4" t="b">
        <f>LEN(data!R105)=2</f>
        <v>0</v>
      </c>
      <c r="AB105" s="4" t="b">
        <f>LEN(data!S105)&gt;0</f>
        <v>0</v>
      </c>
      <c r="AC105" s="4" t="b">
        <f>LEN(data!S105)&lt;=120</f>
        <v>1</v>
      </c>
      <c r="AD105" s="4" t="b">
        <f>LEN(data!U105)=11</f>
        <v>0</v>
      </c>
      <c r="AE105" s="4" t="b">
        <f>AND(ISERROR(MATCH(data!V105, rule_mapping!$C$2:$C$325, 0))=FALSE, LEN(data!V105) &lt;= 4)</f>
        <v>0</v>
      </c>
      <c r="AF105" s="4" t="b">
        <f>LEN(data!W105)&gt;0</f>
        <v>0</v>
      </c>
      <c r="AG105" s="4" t="b">
        <f>LEN(data!W105)&lt;=20</f>
        <v>1</v>
      </c>
      <c r="AH105" s="4" t="b">
        <f xml:space="preserve"> IFERROR(ISNUMBER(data!X105), FALSE)</f>
        <v>0</v>
      </c>
      <c r="AI105" s="4" t="b">
        <f>IF(ISERROR(MATCH(data!Y105, rule_mapping!$D$2:$D$252, 0))=FALSE,TRUE, FALSE)</f>
        <v>0</v>
      </c>
      <c r="AJ105" s="4" t="b">
        <f>IFERROR(ISNUMBER(data!Z105), FALSE)</f>
        <v>0</v>
      </c>
      <c r="AK105" s="4" t="b">
        <f>IFERROR(ISNUMBER(data!AA105), FALSE)</f>
        <v>0</v>
      </c>
      <c r="AL105" s="4" t="b">
        <f>LEN(data!AB105)&lt;=90</f>
        <v>1</v>
      </c>
      <c r="AM105" s="4" t="b">
        <f>LEN(data!AC105)&gt;0</f>
        <v>0</v>
      </c>
      <c r="AN105" s="4" t="b">
        <f>LEN(data!AC105)&lt;=2000</f>
        <v>1</v>
      </c>
      <c r="AO105" s="4" t="b">
        <f>IF(LEN(data!AD105)=0,TRUE,IF(LEN(data!AD105)=5,TRUE,FALSE))</f>
        <v>1</v>
      </c>
      <c r="AP105" s="4" t="b">
        <f>LEN(data!AE105)&gt;0</f>
        <v>0</v>
      </c>
      <c r="AQ105" s="4" t="b">
        <f>LEN(data!AE105)=5</f>
        <v>0</v>
      </c>
      <c r="AR105" s="4" t="b">
        <f>ISERROR(MATCH(data!AF105, rule_mapping!$B$2:$B$3, 0))=FALSE</f>
        <v>0</v>
      </c>
      <c r="AS105" s="4" t="b">
        <f>ISERROR(MATCH(data!AG105, rule_mapping!$A$2:$A$8, 0))=FALSE</f>
        <v>0</v>
      </c>
      <c r="AT105" s="4" t="b">
        <f>LEN(data!AH105)&lt;=4</f>
        <v>1</v>
      </c>
      <c r="AU105" s="4" t="b">
        <f>LEN(data!AI105)&lt;=10</f>
        <v>1</v>
      </c>
      <c r="AV105" s="4" t="b">
        <f>LEN(data!AJ105)&lt;=35</f>
        <v>1</v>
      </c>
      <c r="AW105" s="4" t="b">
        <f>LEN(data!AK105)&lt;=20</f>
        <v>1</v>
      </c>
      <c r="AX105"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6" spans="1:50" ht="409.5" x14ac:dyDescent="0.15">
      <c r="A106" s="4" t="b">
        <f>OR(ISBLANK(data!B106), AND(B106:AW106))</f>
        <v>1</v>
      </c>
      <c r="B106" s="4" t="b">
        <f>AND(LEFT(TRIM(data!B106), 4)="OOLU", ISNUMBER(RIGHT(TRIM(data!B106), LEN(TRIM(data!B106))-4)+0))</f>
        <v>0</v>
      </c>
      <c r="C106" s="4" t="b">
        <f>LEN(data!C106)&gt;0</f>
        <v>0</v>
      </c>
      <c r="D106" s="4" t="b">
        <f>LEN(data!C106)&lt;=70</f>
        <v>1</v>
      </c>
      <c r="E106" s="4" t="b">
        <f>LEN(data!D106)&gt;0</f>
        <v>0</v>
      </c>
      <c r="F106" s="4" t="b">
        <f>LEN(data!D106)&lt;=140</f>
        <v>1</v>
      </c>
      <c r="G106" s="4" t="b">
        <f>LEN(data!E106)&gt;0</f>
        <v>0</v>
      </c>
      <c r="H106" s="4" t="b">
        <f>LEN(data!E106)&lt;=35</f>
        <v>1</v>
      </c>
      <c r="I106" s="4" t="b">
        <f>LEN(data!F106)=2</f>
        <v>0</v>
      </c>
      <c r="J106" s="4" t="b">
        <f>LEN(data!G106)&gt;0</f>
        <v>0</v>
      </c>
      <c r="K106" s="4" t="b">
        <f>LEN(data!G106)&lt;=60</f>
        <v>1</v>
      </c>
      <c r="L106" s="4" t="b">
        <f>LEN(data!I106)&gt;0</f>
        <v>0</v>
      </c>
      <c r="M106" s="4" t="b">
        <f>LEN(data!I106)&lt;=70</f>
        <v>1</v>
      </c>
      <c r="N106" s="4" t="b">
        <f>LEN(data!J106)&gt;0</f>
        <v>0</v>
      </c>
      <c r="O106" s="4" t="b">
        <f>LEN(data!J106)&lt;=140</f>
        <v>1</v>
      </c>
      <c r="P106" s="4" t="b">
        <f>LEN(data!K106)&gt;0</f>
        <v>0</v>
      </c>
      <c r="Q106" s="4" t="b">
        <f>LEN(data!K106)&lt;=35</f>
        <v>1</v>
      </c>
      <c r="R106" s="4" t="b">
        <f>LEN(data!L106)=2</f>
        <v>0</v>
      </c>
      <c r="S106" s="4" t="b">
        <f>LEN(data!M106)&gt;0</f>
        <v>0</v>
      </c>
      <c r="T106" s="4" t="b">
        <f>LEN(data!M106)&lt;=60</f>
        <v>1</v>
      </c>
      <c r="U106" s="4" t="b">
        <f>LEN(data!O106)&gt;0</f>
        <v>0</v>
      </c>
      <c r="V106" s="4" t="b">
        <f>LEN(data!O106)&lt;=70</f>
        <v>1</v>
      </c>
      <c r="W106" s="4" t="b">
        <f>LEN(data!P106)&gt;0</f>
        <v>0</v>
      </c>
      <c r="X106" s="4" t="b">
        <f>LEN(data!P106)&lt;=140</f>
        <v>1</v>
      </c>
      <c r="Y106" s="4" t="b">
        <f>LEN(data!Q106)&gt;0</f>
        <v>0</v>
      </c>
      <c r="Z106" s="4" t="b">
        <f>LEN(data!Q106)&lt;=35</f>
        <v>1</v>
      </c>
      <c r="AA106" s="4" t="b">
        <f>LEN(data!R106)=2</f>
        <v>0</v>
      </c>
      <c r="AB106" s="4" t="b">
        <f>LEN(data!S106)&gt;0</f>
        <v>0</v>
      </c>
      <c r="AC106" s="4" t="b">
        <f>LEN(data!S106)&lt;=120</f>
        <v>1</v>
      </c>
      <c r="AD106" s="4" t="b">
        <f>LEN(data!U106)=11</f>
        <v>0</v>
      </c>
      <c r="AE106" s="4" t="b">
        <f>AND(ISERROR(MATCH(data!V106, rule_mapping!$C$2:$C$325, 0))=FALSE, LEN(data!V106) &lt;= 4)</f>
        <v>0</v>
      </c>
      <c r="AF106" s="4" t="b">
        <f>LEN(data!W106)&gt;0</f>
        <v>0</v>
      </c>
      <c r="AG106" s="4" t="b">
        <f>LEN(data!W106)&lt;=20</f>
        <v>1</v>
      </c>
      <c r="AH106" s="4" t="b">
        <f xml:space="preserve"> IFERROR(ISNUMBER(data!X106), FALSE)</f>
        <v>0</v>
      </c>
      <c r="AI106" s="4" t="b">
        <f>IF(ISERROR(MATCH(data!Y106, rule_mapping!$D$2:$D$252, 0))=FALSE,TRUE, FALSE)</f>
        <v>0</v>
      </c>
      <c r="AJ106" s="4" t="b">
        <f>IFERROR(ISNUMBER(data!Z106), FALSE)</f>
        <v>0</v>
      </c>
      <c r="AK106" s="4" t="b">
        <f>IFERROR(ISNUMBER(data!AA106), FALSE)</f>
        <v>0</v>
      </c>
      <c r="AL106" s="4" t="b">
        <f>LEN(data!AB106)&lt;=90</f>
        <v>1</v>
      </c>
      <c r="AM106" s="4" t="b">
        <f>LEN(data!AC106)&gt;0</f>
        <v>0</v>
      </c>
      <c r="AN106" s="4" t="b">
        <f>LEN(data!AC106)&lt;=2000</f>
        <v>1</v>
      </c>
      <c r="AO106" s="4" t="b">
        <f>IF(LEN(data!AD106)=0,TRUE,IF(LEN(data!AD106)=5,TRUE,FALSE))</f>
        <v>1</v>
      </c>
      <c r="AP106" s="4" t="b">
        <f>LEN(data!AE106)&gt;0</f>
        <v>0</v>
      </c>
      <c r="AQ106" s="4" t="b">
        <f>LEN(data!AE106)=5</f>
        <v>0</v>
      </c>
      <c r="AR106" s="4" t="b">
        <f>ISERROR(MATCH(data!AF106, rule_mapping!$B$2:$B$3, 0))=FALSE</f>
        <v>0</v>
      </c>
      <c r="AS106" s="4" t="b">
        <f>ISERROR(MATCH(data!AG106, rule_mapping!$A$2:$A$8, 0))=FALSE</f>
        <v>0</v>
      </c>
      <c r="AT106" s="4" t="b">
        <f>LEN(data!AH106)&lt;=4</f>
        <v>1</v>
      </c>
      <c r="AU106" s="4" t="b">
        <f>LEN(data!AI106)&lt;=10</f>
        <v>1</v>
      </c>
      <c r="AV106" s="4" t="b">
        <f>LEN(data!AJ106)&lt;=35</f>
        <v>1</v>
      </c>
      <c r="AW106" s="4" t="b">
        <f>LEN(data!AK106)&lt;=20</f>
        <v>1</v>
      </c>
      <c r="AX106"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7" spans="1:50" ht="409.5" x14ac:dyDescent="0.15">
      <c r="A107" s="4" t="b">
        <f>OR(ISBLANK(data!B107), AND(B107:AW107))</f>
        <v>1</v>
      </c>
      <c r="B107" s="4" t="b">
        <f>AND(LEFT(TRIM(data!B107), 4)="OOLU", ISNUMBER(RIGHT(TRIM(data!B107), LEN(TRIM(data!B107))-4)+0))</f>
        <v>0</v>
      </c>
      <c r="C107" s="4" t="b">
        <f>LEN(data!C107)&gt;0</f>
        <v>0</v>
      </c>
      <c r="D107" s="4" t="b">
        <f>LEN(data!C107)&lt;=70</f>
        <v>1</v>
      </c>
      <c r="E107" s="4" t="b">
        <f>LEN(data!D107)&gt;0</f>
        <v>0</v>
      </c>
      <c r="F107" s="4" t="b">
        <f>LEN(data!D107)&lt;=140</f>
        <v>1</v>
      </c>
      <c r="G107" s="4" t="b">
        <f>LEN(data!E107)&gt;0</f>
        <v>0</v>
      </c>
      <c r="H107" s="4" t="b">
        <f>LEN(data!E107)&lt;=35</f>
        <v>1</v>
      </c>
      <c r="I107" s="4" t="b">
        <f>LEN(data!F107)=2</f>
        <v>0</v>
      </c>
      <c r="J107" s="4" t="b">
        <f>LEN(data!G107)&gt;0</f>
        <v>0</v>
      </c>
      <c r="K107" s="4" t="b">
        <f>LEN(data!G107)&lt;=60</f>
        <v>1</v>
      </c>
      <c r="L107" s="4" t="b">
        <f>LEN(data!I107)&gt;0</f>
        <v>0</v>
      </c>
      <c r="M107" s="4" t="b">
        <f>LEN(data!I107)&lt;=70</f>
        <v>1</v>
      </c>
      <c r="N107" s="4" t="b">
        <f>LEN(data!J107)&gt;0</f>
        <v>0</v>
      </c>
      <c r="O107" s="4" t="b">
        <f>LEN(data!J107)&lt;=140</f>
        <v>1</v>
      </c>
      <c r="P107" s="4" t="b">
        <f>LEN(data!K107)&gt;0</f>
        <v>0</v>
      </c>
      <c r="Q107" s="4" t="b">
        <f>LEN(data!K107)&lt;=35</f>
        <v>1</v>
      </c>
      <c r="R107" s="4" t="b">
        <f>LEN(data!L107)=2</f>
        <v>0</v>
      </c>
      <c r="S107" s="4" t="b">
        <f>LEN(data!M107)&gt;0</f>
        <v>0</v>
      </c>
      <c r="T107" s="4" t="b">
        <f>LEN(data!M107)&lt;=60</f>
        <v>1</v>
      </c>
      <c r="U107" s="4" t="b">
        <f>LEN(data!O107)&gt;0</f>
        <v>0</v>
      </c>
      <c r="V107" s="4" t="b">
        <f>LEN(data!O107)&lt;=70</f>
        <v>1</v>
      </c>
      <c r="W107" s="4" t="b">
        <f>LEN(data!P107)&gt;0</f>
        <v>0</v>
      </c>
      <c r="X107" s="4" t="b">
        <f>LEN(data!P107)&lt;=140</f>
        <v>1</v>
      </c>
      <c r="Y107" s="4" t="b">
        <f>LEN(data!Q107)&gt;0</f>
        <v>0</v>
      </c>
      <c r="Z107" s="4" t="b">
        <f>LEN(data!Q107)&lt;=35</f>
        <v>1</v>
      </c>
      <c r="AA107" s="4" t="b">
        <f>LEN(data!R107)=2</f>
        <v>0</v>
      </c>
      <c r="AB107" s="4" t="b">
        <f>LEN(data!S107)&gt;0</f>
        <v>0</v>
      </c>
      <c r="AC107" s="4" t="b">
        <f>LEN(data!S107)&lt;=120</f>
        <v>1</v>
      </c>
      <c r="AD107" s="4" t="b">
        <f>LEN(data!U107)=11</f>
        <v>0</v>
      </c>
      <c r="AE107" s="4" t="b">
        <f>AND(ISERROR(MATCH(data!V107, rule_mapping!$C$2:$C$325, 0))=FALSE, LEN(data!V107) &lt;= 4)</f>
        <v>0</v>
      </c>
      <c r="AF107" s="4" t="b">
        <f>LEN(data!W107)&gt;0</f>
        <v>0</v>
      </c>
      <c r="AG107" s="4" t="b">
        <f>LEN(data!W107)&lt;=20</f>
        <v>1</v>
      </c>
      <c r="AH107" s="4" t="b">
        <f xml:space="preserve"> IFERROR(ISNUMBER(data!X107), FALSE)</f>
        <v>0</v>
      </c>
      <c r="AI107" s="4" t="b">
        <f>IF(ISERROR(MATCH(data!Y107, rule_mapping!$D$2:$D$252, 0))=FALSE,TRUE, FALSE)</f>
        <v>0</v>
      </c>
      <c r="AJ107" s="4" t="b">
        <f>IFERROR(ISNUMBER(data!Z107), FALSE)</f>
        <v>0</v>
      </c>
      <c r="AK107" s="4" t="b">
        <f>IFERROR(ISNUMBER(data!AA107), FALSE)</f>
        <v>0</v>
      </c>
      <c r="AL107" s="4" t="b">
        <f>LEN(data!AB107)&lt;=90</f>
        <v>1</v>
      </c>
      <c r="AM107" s="4" t="b">
        <f>LEN(data!AC107)&gt;0</f>
        <v>0</v>
      </c>
      <c r="AN107" s="4" t="b">
        <f>LEN(data!AC107)&lt;=2000</f>
        <v>1</v>
      </c>
      <c r="AO107" s="4" t="b">
        <f>IF(LEN(data!AD107)=0,TRUE,IF(LEN(data!AD107)=5,TRUE,FALSE))</f>
        <v>1</v>
      </c>
      <c r="AP107" s="4" t="b">
        <f>LEN(data!AE107)&gt;0</f>
        <v>0</v>
      </c>
      <c r="AQ107" s="4" t="b">
        <f>LEN(data!AE107)=5</f>
        <v>0</v>
      </c>
      <c r="AR107" s="4" t="b">
        <f>ISERROR(MATCH(data!AF107, rule_mapping!$B$2:$B$3, 0))=FALSE</f>
        <v>0</v>
      </c>
      <c r="AS107" s="4" t="b">
        <f>ISERROR(MATCH(data!AG107, rule_mapping!$A$2:$A$8, 0))=FALSE</f>
        <v>0</v>
      </c>
      <c r="AT107" s="4" t="b">
        <f>LEN(data!AH107)&lt;=4</f>
        <v>1</v>
      </c>
      <c r="AU107" s="4" t="b">
        <f>LEN(data!AI107)&lt;=10</f>
        <v>1</v>
      </c>
      <c r="AV107" s="4" t="b">
        <f>LEN(data!AJ107)&lt;=35</f>
        <v>1</v>
      </c>
      <c r="AW107" s="4" t="b">
        <f>LEN(data!AK107)&lt;=20</f>
        <v>1</v>
      </c>
      <c r="AX107"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8" spans="1:50" ht="409.5" x14ac:dyDescent="0.15">
      <c r="A108" s="4" t="b">
        <f>OR(ISBLANK(data!B108), AND(B108:AW108))</f>
        <v>1</v>
      </c>
      <c r="B108" s="4" t="b">
        <f>AND(LEFT(TRIM(data!B108), 4)="OOLU", ISNUMBER(RIGHT(TRIM(data!B108), LEN(TRIM(data!B108))-4)+0))</f>
        <v>0</v>
      </c>
      <c r="C108" s="4" t="b">
        <f>LEN(data!C108)&gt;0</f>
        <v>0</v>
      </c>
      <c r="D108" s="4" t="b">
        <f>LEN(data!C108)&lt;=70</f>
        <v>1</v>
      </c>
      <c r="E108" s="4" t="b">
        <f>LEN(data!D108)&gt;0</f>
        <v>0</v>
      </c>
      <c r="F108" s="4" t="b">
        <f>LEN(data!D108)&lt;=140</f>
        <v>1</v>
      </c>
      <c r="G108" s="4" t="b">
        <f>LEN(data!E108)&gt;0</f>
        <v>0</v>
      </c>
      <c r="H108" s="4" t="b">
        <f>LEN(data!E108)&lt;=35</f>
        <v>1</v>
      </c>
      <c r="I108" s="4" t="b">
        <f>LEN(data!F108)=2</f>
        <v>0</v>
      </c>
      <c r="J108" s="4" t="b">
        <f>LEN(data!G108)&gt;0</f>
        <v>0</v>
      </c>
      <c r="K108" s="4" t="b">
        <f>LEN(data!G108)&lt;=60</f>
        <v>1</v>
      </c>
      <c r="L108" s="4" t="b">
        <f>LEN(data!I108)&gt;0</f>
        <v>0</v>
      </c>
      <c r="M108" s="4" t="b">
        <f>LEN(data!I108)&lt;=70</f>
        <v>1</v>
      </c>
      <c r="N108" s="4" t="b">
        <f>LEN(data!J108)&gt;0</f>
        <v>0</v>
      </c>
      <c r="O108" s="4" t="b">
        <f>LEN(data!J108)&lt;=140</f>
        <v>1</v>
      </c>
      <c r="P108" s="4" t="b">
        <f>LEN(data!K108)&gt;0</f>
        <v>0</v>
      </c>
      <c r="Q108" s="4" t="b">
        <f>LEN(data!K108)&lt;=35</f>
        <v>1</v>
      </c>
      <c r="R108" s="4" t="b">
        <f>LEN(data!L108)=2</f>
        <v>0</v>
      </c>
      <c r="S108" s="4" t="b">
        <f>LEN(data!M108)&gt;0</f>
        <v>0</v>
      </c>
      <c r="T108" s="4" t="b">
        <f>LEN(data!M108)&lt;=60</f>
        <v>1</v>
      </c>
      <c r="U108" s="4" t="b">
        <f>LEN(data!O108)&gt;0</f>
        <v>0</v>
      </c>
      <c r="V108" s="4" t="b">
        <f>LEN(data!O108)&lt;=70</f>
        <v>1</v>
      </c>
      <c r="W108" s="4" t="b">
        <f>LEN(data!P108)&gt;0</f>
        <v>0</v>
      </c>
      <c r="X108" s="4" t="b">
        <f>LEN(data!P108)&lt;=140</f>
        <v>1</v>
      </c>
      <c r="Y108" s="4" t="b">
        <f>LEN(data!Q108)&gt;0</f>
        <v>0</v>
      </c>
      <c r="Z108" s="4" t="b">
        <f>LEN(data!Q108)&lt;=35</f>
        <v>1</v>
      </c>
      <c r="AA108" s="4" t="b">
        <f>LEN(data!R108)=2</f>
        <v>0</v>
      </c>
      <c r="AB108" s="4" t="b">
        <f>LEN(data!S108)&gt;0</f>
        <v>0</v>
      </c>
      <c r="AC108" s="4" t="b">
        <f>LEN(data!S108)&lt;=120</f>
        <v>1</v>
      </c>
      <c r="AD108" s="4" t="b">
        <f>LEN(data!U108)=11</f>
        <v>0</v>
      </c>
      <c r="AE108" s="4" t="b">
        <f>AND(ISERROR(MATCH(data!V108, rule_mapping!$C$2:$C$325, 0))=FALSE, LEN(data!V108) &lt;= 4)</f>
        <v>0</v>
      </c>
      <c r="AF108" s="4" t="b">
        <f>LEN(data!W108)&gt;0</f>
        <v>0</v>
      </c>
      <c r="AG108" s="4" t="b">
        <f>LEN(data!W108)&lt;=20</f>
        <v>1</v>
      </c>
      <c r="AH108" s="4" t="b">
        <f xml:space="preserve"> IFERROR(ISNUMBER(data!X108), FALSE)</f>
        <v>0</v>
      </c>
      <c r="AI108" s="4" t="b">
        <f>IF(ISERROR(MATCH(data!Y108, rule_mapping!$D$2:$D$252, 0))=FALSE,TRUE, FALSE)</f>
        <v>0</v>
      </c>
      <c r="AJ108" s="4" t="b">
        <f>IFERROR(ISNUMBER(data!Z108), FALSE)</f>
        <v>0</v>
      </c>
      <c r="AK108" s="4" t="b">
        <f>IFERROR(ISNUMBER(data!AA108), FALSE)</f>
        <v>0</v>
      </c>
      <c r="AL108" s="4" t="b">
        <f>LEN(data!AB108)&lt;=90</f>
        <v>1</v>
      </c>
      <c r="AM108" s="4" t="b">
        <f>LEN(data!AC108)&gt;0</f>
        <v>0</v>
      </c>
      <c r="AN108" s="4" t="b">
        <f>LEN(data!AC108)&lt;=2000</f>
        <v>1</v>
      </c>
      <c r="AO108" s="4" t="b">
        <f>IF(LEN(data!AD108)=0,TRUE,IF(LEN(data!AD108)=5,TRUE,FALSE))</f>
        <v>1</v>
      </c>
      <c r="AP108" s="4" t="b">
        <f>LEN(data!AE108)&gt;0</f>
        <v>0</v>
      </c>
      <c r="AQ108" s="4" t="b">
        <f>LEN(data!AE108)=5</f>
        <v>0</v>
      </c>
      <c r="AR108" s="4" t="b">
        <f>ISERROR(MATCH(data!AF108, rule_mapping!$B$2:$B$3, 0))=FALSE</f>
        <v>0</v>
      </c>
      <c r="AS108" s="4" t="b">
        <f>ISERROR(MATCH(data!AG108, rule_mapping!$A$2:$A$8, 0))=FALSE</f>
        <v>0</v>
      </c>
      <c r="AT108" s="4" t="b">
        <f>LEN(data!AH108)&lt;=4</f>
        <v>1</v>
      </c>
      <c r="AU108" s="4" t="b">
        <f>LEN(data!AI108)&lt;=10</f>
        <v>1</v>
      </c>
      <c r="AV108" s="4" t="b">
        <f>LEN(data!AJ108)&lt;=35</f>
        <v>1</v>
      </c>
      <c r="AW108" s="4" t="b">
        <f>LEN(data!AK108)&lt;=20</f>
        <v>1</v>
      </c>
      <c r="AX108"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09" spans="1:50" ht="409.5" x14ac:dyDescent="0.15">
      <c r="A109" s="4" t="b">
        <f>OR(ISBLANK(data!B109), AND(B109:AW109))</f>
        <v>1</v>
      </c>
      <c r="B109" s="4" t="b">
        <f>AND(LEFT(TRIM(data!B109), 4)="OOLU", ISNUMBER(RIGHT(TRIM(data!B109), LEN(TRIM(data!B109))-4)+0))</f>
        <v>0</v>
      </c>
      <c r="C109" s="4" t="b">
        <f>LEN(data!C109)&gt;0</f>
        <v>0</v>
      </c>
      <c r="D109" s="4" t="b">
        <f>LEN(data!C109)&lt;=70</f>
        <v>1</v>
      </c>
      <c r="E109" s="4" t="b">
        <f>LEN(data!D109)&gt;0</f>
        <v>0</v>
      </c>
      <c r="F109" s="4" t="b">
        <f>LEN(data!D109)&lt;=140</f>
        <v>1</v>
      </c>
      <c r="G109" s="4" t="b">
        <f>LEN(data!E109)&gt;0</f>
        <v>0</v>
      </c>
      <c r="H109" s="4" t="b">
        <f>LEN(data!E109)&lt;=35</f>
        <v>1</v>
      </c>
      <c r="I109" s="4" t="b">
        <f>LEN(data!F109)=2</f>
        <v>0</v>
      </c>
      <c r="J109" s="4" t="b">
        <f>LEN(data!G109)&gt;0</f>
        <v>0</v>
      </c>
      <c r="K109" s="4" t="b">
        <f>LEN(data!G109)&lt;=60</f>
        <v>1</v>
      </c>
      <c r="L109" s="4" t="b">
        <f>LEN(data!I109)&gt;0</f>
        <v>0</v>
      </c>
      <c r="M109" s="4" t="b">
        <f>LEN(data!I109)&lt;=70</f>
        <v>1</v>
      </c>
      <c r="N109" s="4" t="b">
        <f>LEN(data!J109)&gt;0</f>
        <v>0</v>
      </c>
      <c r="O109" s="4" t="b">
        <f>LEN(data!J109)&lt;=140</f>
        <v>1</v>
      </c>
      <c r="P109" s="4" t="b">
        <f>LEN(data!K109)&gt;0</f>
        <v>0</v>
      </c>
      <c r="Q109" s="4" t="b">
        <f>LEN(data!K109)&lt;=35</f>
        <v>1</v>
      </c>
      <c r="R109" s="4" t="b">
        <f>LEN(data!L109)=2</f>
        <v>0</v>
      </c>
      <c r="S109" s="4" t="b">
        <f>LEN(data!M109)&gt;0</f>
        <v>0</v>
      </c>
      <c r="T109" s="4" t="b">
        <f>LEN(data!M109)&lt;=60</f>
        <v>1</v>
      </c>
      <c r="U109" s="4" t="b">
        <f>LEN(data!O109)&gt;0</f>
        <v>0</v>
      </c>
      <c r="V109" s="4" t="b">
        <f>LEN(data!O109)&lt;=70</f>
        <v>1</v>
      </c>
      <c r="W109" s="4" t="b">
        <f>LEN(data!P109)&gt;0</f>
        <v>0</v>
      </c>
      <c r="X109" s="4" t="b">
        <f>LEN(data!P109)&lt;=140</f>
        <v>1</v>
      </c>
      <c r="Y109" s="4" t="b">
        <f>LEN(data!Q109)&gt;0</f>
        <v>0</v>
      </c>
      <c r="Z109" s="4" t="b">
        <f>LEN(data!Q109)&lt;=35</f>
        <v>1</v>
      </c>
      <c r="AA109" s="4" t="b">
        <f>LEN(data!R109)=2</f>
        <v>0</v>
      </c>
      <c r="AB109" s="4" t="b">
        <f>LEN(data!S109)&gt;0</f>
        <v>0</v>
      </c>
      <c r="AC109" s="4" t="b">
        <f>LEN(data!S109)&lt;=120</f>
        <v>1</v>
      </c>
      <c r="AD109" s="4" t="b">
        <f>LEN(data!U109)=11</f>
        <v>0</v>
      </c>
      <c r="AE109" s="4" t="b">
        <f>AND(ISERROR(MATCH(data!V109, rule_mapping!$C$2:$C$325, 0))=FALSE, LEN(data!V109) &lt;= 4)</f>
        <v>0</v>
      </c>
      <c r="AF109" s="4" t="b">
        <f>LEN(data!W109)&gt;0</f>
        <v>0</v>
      </c>
      <c r="AG109" s="4" t="b">
        <f>LEN(data!W109)&lt;=20</f>
        <v>1</v>
      </c>
      <c r="AH109" s="4" t="b">
        <f xml:space="preserve"> IFERROR(ISNUMBER(data!X109), FALSE)</f>
        <v>0</v>
      </c>
      <c r="AI109" s="4" t="b">
        <f>IF(ISERROR(MATCH(data!Y109, rule_mapping!$D$2:$D$252, 0))=FALSE,TRUE, FALSE)</f>
        <v>0</v>
      </c>
      <c r="AJ109" s="4" t="b">
        <f>IFERROR(ISNUMBER(data!Z109), FALSE)</f>
        <v>0</v>
      </c>
      <c r="AK109" s="4" t="b">
        <f>IFERROR(ISNUMBER(data!AA109), FALSE)</f>
        <v>0</v>
      </c>
      <c r="AL109" s="4" t="b">
        <f>LEN(data!AB109)&lt;=90</f>
        <v>1</v>
      </c>
      <c r="AM109" s="4" t="b">
        <f>LEN(data!AC109)&gt;0</f>
        <v>0</v>
      </c>
      <c r="AN109" s="4" t="b">
        <f>LEN(data!AC109)&lt;=2000</f>
        <v>1</v>
      </c>
      <c r="AO109" s="4" t="b">
        <f>IF(LEN(data!AD109)=0,TRUE,IF(LEN(data!AD109)=5,TRUE,FALSE))</f>
        <v>1</v>
      </c>
      <c r="AP109" s="4" t="b">
        <f>LEN(data!AE109)&gt;0</f>
        <v>0</v>
      </c>
      <c r="AQ109" s="4" t="b">
        <f>LEN(data!AE109)=5</f>
        <v>0</v>
      </c>
      <c r="AR109" s="4" t="b">
        <f>ISERROR(MATCH(data!AF109, rule_mapping!$B$2:$B$3, 0))=FALSE</f>
        <v>0</v>
      </c>
      <c r="AS109" s="4" t="b">
        <f>ISERROR(MATCH(data!AG109, rule_mapping!$A$2:$A$8, 0))=FALSE</f>
        <v>0</v>
      </c>
      <c r="AT109" s="4" t="b">
        <f>LEN(data!AH109)&lt;=4</f>
        <v>1</v>
      </c>
      <c r="AU109" s="4" t="b">
        <f>LEN(data!AI109)&lt;=10</f>
        <v>1</v>
      </c>
      <c r="AV109" s="4" t="b">
        <f>LEN(data!AJ109)&lt;=35</f>
        <v>1</v>
      </c>
      <c r="AW109" s="4" t="b">
        <f>LEN(data!AK109)&lt;=20</f>
        <v>1</v>
      </c>
      <c r="AX109"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0" spans="1:50" ht="409.5" x14ac:dyDescent="0.15">
      <c r="A110" s="4" t="b">
        <f>OR(ISBLANK(data!B110), AND(B110:AW110))</f>
        <v>1</v>
      </c>
      <c r="B110" s="4" t="b">
        <f>AND(LEFT(TRIM(data!B110), 4)="OOLU", ISNUMBER(RIGHT(TRIM(data!B110), LEN(TRIM(data!B110))-4)+0))</f>
        <v>0</v>
      </c>
      <c r="C110" s="4" t="b">
        <f>LEN(data!C110)&gt;0</f>
        <v>0</v>
      </c>
      <c r="D110" s="4" t="b">
        <f>LEN(data!C110)&lt;=70</f>
        <v>1</v>
      </c>
      <c r="E110" s="4" t="b">
        <f>LEN(data!D110)&gt;0</f>
        <v>0</v>
      </c>
      <c r="F110" s="4" t="b">
        <f>LEN(data!D110)&lt;=140</f>
        <v>1</v>
      </c>
      <c r="G110" s="4" t="b">
        <f>LEN(data!E110)&gt;0</f>
        <v>0</v>
      </c>
      <c r="H110" s="4" t="b">
        <f>LEN(data!E110)&lt;=35</f>
        <v>1</v>
      </c>
      <c r="I110" s="4" t="b">
        <f>LEN(data!F110)=2</f>
        <v>0</v>
      </c>
      <c r="J110" s="4" t="b">
        <f>LEN(data!G110)&gt;0</f>
        <v>0</v>
      </c>
      <c r="K110" s="4" t="b">
        <f>LEN(data!G110)&lt;=60</f>
        <v>1</v>
      </c>
      <c r="L110" s="4" t="b">
        <f>LEN(data!I110)&gt;0</f>
        <v>0</v>
      </c>
      <c r="M110" s="4" t="b">
        <f>LEN(data!I110)&lt;=70</f>
        <v>1</v>
      </c>
      <c r="N110" s="4" t="b">
        <f>LEN(data!J110)&gt;0</f>
        <v>0</v>
      </c>
      <c r="O110" s="4" t="b">
        <f>LEN(data!J110)&lt;=140</f>
        <v>1</v>
      </c>
      <c r="P110" s="4" t="b">
        <f>LEN(data!K110)&gt;0</f>
        <v>0</v>
      </c>
      <c r="Q110" s="4" t="b">
        <f>LEN(data!K110)&lt;=35</f>
        <v>1</v>
      </c>
      <c r="R110" s="4" t="b">
        <f>LEN(data!L110)=2</f>
        <v>0</v>
      </c>
      <c r="S110" s="4" t="b">
        <f>LEN(data!M110)&gt;0</f>
        <v>0</v>
      </c>
      <c r="T110" s="4" t="b">
        <f>LEN(data!M110)&lt;=60</f>
        <v>1</v>
      </c>
      <c r="U110" s="4" t="b">
        <f>LEN(data!O110)&gt;0</f>
        <v>0</v>
      </c>
      <c r="V110" s="4" t="b">
        <f>LEN(data!O110)&lt;=70</f>
        <v>1</v>
      </c>
      <c r="W110" s="4" t="b">
        <f>LEN(data!P110)&gt;0</f>
        <v>0</v>
      </c>
      <c r="X110" s="4" t="b">
        <f>LEN(data!P110)&lt;=140</f>
        <v>1</v>
      </c>
      <c r="Y110" s="4" t="b">
        <f>LEN(data!Q110)&gt;0</f>
        <v>0</v>
      </c>
      <c r="Z110" s="4" t="b">
        <f>LEN(data!Q110)&lt;=35</f>
        <v>1</v>
      </c>
      <c r="AA110" s="4" t="b">
        <f>LEN(data!R110)=2</f>
        <v>0</v>
      </c>
      <c r="AB110" s="4" t="b">
        <f>LEN(data!S110)&gt;0</f>
        <v>0</v>
      </c>
      <c r="AC110" s="4" t="b">
        <f>LEN(data!S110)&lt;=120</f>
        <v>1</v>
      </c>
      <c r="AD110" s="4" t="b">
        <f>LEN(data!U110)=11</f>
        <v>0</v>
      </c>
      <c r="AE110" s="4" t="b">
        <f>AND(ISERROR(MATCH(data!V110, rule_mapping!$C$2:$C$325, 0))=FALSE, LEN(data!V110) &lt;= 4)</f>
        <v>0</v>
      </c>
      <c r="AF110" s="4" t="b">
        <f>LEN(data!W110)&gt;0</f>
        <v>0</v>
      </c>
      <c r="AG110" s="4" t="b">
        <f>LEN(data!W110)&lt;=20</f>
        <v>1</v>
      </c>
      <c r="AH110" s="4" t="b">
        <f xml:space="preserve"> IFERROR(ISNUMBER(data!X110), FALSE)</f>
        <v>0</v>
      </c>
      <c r="AI110" s="4" t="b">
        <f>IF(ISERROR(MATCH(data!Y110, rule_mapping!$D$2:$D$252, 0))=FALSE,TRUE, FALSE)</f>
        <v>0</v>
      </c>
      <c r="AJ110" s="4" t="b">
        <f>IFERROR(ISNUMBER(data!Z110), FALSE)</f>
        <v>0</v>
      </c>
      <c r="AK110" s="4" t="b">
        <f>IFERROR(ISNUMBER(data!AA110), FALSE)</f>
        <v>0</v>
      </c>
      <c r="AL110" s="4" t="b">
        <f>LEN(data!AB110)&lt;=90</f>
        <v>1</v>
      </c>
      <c r="AM110" s="4" t="b">
        <f>LEN(data!AC110)&gt;0</f>
        <v>0</v>
      </c>
      <c r="AN110" s="4" t="b">
        <f>LEN(data!AC110)&lt;=2000</f>
        <v>1</v>
      </c>
      <c r="AO110" s="4" t="b">
        <f>IF(LEN(data!AD110)=0,TRUE,IF(LEN(data!AD110)=5,TRUE,FALSE))</f>
        <v>1</v>
      </c>
      <c r="AP110" s="4" t="b">
        <f>LEN(data!AE110)&gt;0</f>
        <v>0</v>
      </c>
      <c r="AQ110" s="4" t="b">
        <f>LEN(data!AE110)=5</f>
        <v>0</v>
      </c>
      <c r="AR110" s="4" t="b">
        <f>ISERROR(MATCH(data!AF110, rule_mapping!$B$2:$B$3, 0))=FALSE</f>
        <v>0</v>
      </c>
      <c r="AS110" s="4" t="b">
        <f>ISERROR(MATCH(data!AG110, rule_mapping!$A$2:$A$8, 0))=FALSE</f>
        <v>0</v>
      </c>
      <c r="AT110" s="4" t="b">
        <f>LEN(data!AH110)&lt;=4</f>
        <v>1</v>
      </c>
      <c r="AU110" s="4" t="b">
        <f>LEN(data!AI110)&lt;=10</f>
        <v>1</v>
      </c>
      <c r="AV110" s="4" t="b">
        <f>LEN(data!AJ110)&lt;=35</f>
        <v>1</v>
      </c>
      <c r="AW110" s="4" t="b">
        <f>LEN(data!AK110)&lt;=20</f>
        <v>1</v>
      </c>
      <c r="AX110"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1" spans="1:50" ht="409.5" x14ac:dyDescent="0.15">
      <c r="A111" s="4" t="b">
        <f>OR(ISBLANK(data!B111), AND(B111:AW111))</f>
        <v>1</v>
      </c>
      <c r="B111" s="4" t="b">
        <f>AND(LEFT(TRIM(data!B111), 4)="OOLU", ISNUMBER(RIGHT(TRIM(data!B111), LEN(TRIM(data!B111))-4)+0))</f>
        <v>0</v>
      </c>
      <c r="C111" s="4" t="b">
        <f>LEN(data!C111)&gt;0</f>
        <v>0</v>
      </c>
      <c r="D111" s="4" t="b">
        <f>LEN(data!C111)&lt;=70</f>
        <v>1</v>
      </c>
      <c r="E111" s="4" t="b">
        <f>LEN(data!D111)&gt;0</f>
        <v>0</v>
      </c>
      <c r="F111" s="4" t="b">
        <f>LEN(data!D111)&lt;=140</f>
        <v>1</v>
      </c>
      <c r="G111" s="4" t="b">
        <f>LEN(data!E111)&gt;0</f>
        <v>0</v>
      </c>
      <c r="H111" s="4" t="b">
        <f>LEN(data!E111)&lt;=35</f>
        <v>1</v>
      </c>
      <c r="I111" s="4" t="b">
        <f>LEN(data!F111)=2</f>
        <v>0</v>
      </c>
      <c r="J111" s="4" t="b">
        <f>LEN(data!G111)&gt;0</f>
        <v>0</v>
      </c>
      <c r="K111" s="4" t="b">
        <f>LEN(data!G111)&lt;=60</f>
        <v>1</v>
      </c>
      <c r="L111" s="4" t="b">
        <f>LEN(data!I111)&gt;0</f>
        <v>0</v>
      </c>
      <c r="M111" s="4" t="b">
        <f>LEN(data!I111)&lt;=70</f>
        <v>1</v>
      </c>
      <c r="N111" s="4" t="b">
        <f>LEN(data!J111)&gt;0</f>
        <v>0</v>
      </c>
      <c r="O111" s="4" t="b">
        <f>LEN(data!J111)&lt;=140</f>
        <v>1</v>
      </c>
      <c r="P111" s="4" t="b">
        <f>LEN(data!K111)&gt;0</f>
        <v>0</v>
      </c>
      <c r="Q111" s="4" t="b">
        <f>LEN(data!K111)&lt;=35</f>
        <v>1</v>
      </c>
      <c r="R111" s="4" t="b">
        <f>LEN(data!L111)=2</f>
        <v>0</v>
      </c>
      <c r="S111" s="4" t="b">
        <f>LEN(data!M111)&gt;0</f>
        <v>0</v>
      </c>
      <c r="T111" s="4" t="b">
        <f>LEN(data!M111)&lt;=60</f>
        <v>1</v>
      </c>
      <c r="U111" s="4" t="b">
        <f>LEN(data!O111)&gt;0</f>
        <v>0</v>
      </c>
      <c r="V111" s="4" t="b">
        <f>LEN(data!O111)&lt;=70</f>
        <v>1</v>
      </c>
      <c r="W111" s="4" t="b">
        <f>LEN(data!P111)&gt;0</f>
        <v>0</v>
      </c>
      <c r="X111" s="4" t="b">
        <f>LEN(data!P111)&lt;=140</f>
        <v>1</v>
      </c>
      <c r="Y111" s="4" t="b">
        <f>LEN(data!Q111)&gt;0</f>
        <v>0</v>
      </c>
      <c r="Z111" s="4" t="b">
        <f>LEN(data!Q111)&lt;=35</f>
        <v>1</v>
      </c>
      <c r="AA111" s="4" t="b">
        <f>LEN(data!R111)=2</f>
        <v>0</v>
      </c>
      <c r="AB111" s="4" t="b">
        <f>LEN(data!S111)&gt;0</f>
        <v>0</v>
      </c>
      <c r="AC111" s="4" t="b">
        <f>LEN(data!S111)&lt;=120</f>
        <v>1</v>
      </c>
      <c r="AD111" s="4" t="b">
        <f>LEN(data!U111)=11</f>
        <v>0</v>
      </c>
      <c r="AE111" s="4" t="b">
        <f>AND(ISERROR(MATCH(data!V111, rule_mapping!$C$2:$C$325, 0))=FALSE, LEN(data!V111) &lt;= 4)</f>
        <v>0</v>
      </c>
      <c r="AF111" s="4" t="b">
        <f>LEN(data!W111)&gt;0</f>
        <v>0</v>
      </c>
      <c r="AG111" s="4" t="b">
        <f>LEN(data!W111)&lt;=20</f>
        <v>1</v>
      </c>
      <c r="AH111" s="4" t="b">
        <f xml:space="preserve"> IFERROR(ISNUMBER(data!X111), FALSE)</f>
        <v>0</v>
      </c>
      <c r="AI111" s="4" t="b">
        <f>IF(ISERROR(MATCH(data!Y111, rule_mapping!$D$2:$D$252, 0))=FALSE,TRUE, FALSE)</f>
        <v>0</v>
      </c>
      <c r="AJ111" s="4" t="b">
        <f>IFERROR(ISNUMBER(data!Z111), FALSE)</f>
        <v>0</v>
      </c>
      <c r="AK111" s="4" t="b">
        <f>IFERROR(ISNUMBER(data!AA111), FALSE)</f>
        <v>0</v>
      </c>
      <c r="AL111" s="4" t="b">
        <f>LEN(data!AB111)&lt;=90</f>
        <v>1</v>
      </c>
      <c r="AM111" s="4" t="b">
        <f>LEN(data!AC111)&gt;0</f>
        <v>0</v>
      </c>
      <c r="AN111" s="4" t="b">
        <f>LEN(data!AC111)&lt;=2000</f>
        <v>1</v>
      </c>
      <c r="AO111" s="4" t="b">
        <f>IF(LEN(data!AD111)=0,TRUE,IF(LEN(data!AD111)=5,TRUE,FALSE))</f>
        <v>1</v>
      </c>
      <c r="AP111" s="4" t="b">
        <f>LEN(data!AE111)&gt;0</f>
        <v>0</v>
      </c>
      <c r="AQ111" s="4" t="b">
        <f>LEN(data!AE111)=5</f>
        <v>0</v>
      </c>
      <c r="AR111" s="4" t="b">
        <f>ISERROR(MATCH(data!AF111, rule_mapping!$B$2:$B$3, 0))=FALSE</f>
        <v>0</v>
      </c>
      <c r="AS111" s="4" t="b">
        <f>ISERROR(MATCH(data!AG111, rule_mapping!$A$2:$A$8, 0))=FALSE</f>
        <v>0</v>
      </c>
      <c r="AT111" s="4" t="b">
        <f>LEN(data!AH111)&lt;=4</f>
        <v>1</v>
      </c>
      <c r="AU111" s="4" t="b">
        <f>LEN(data!AI111)&lt;=10</f>
        <v>1</v>
      </c>
      <c r="AV111" s="4" t="b">
        <f>LEN(data!AJ111)&lt;=35</f>
        <v>1</v>
      </c>
      <c r="AW111" s="4" t="b">
        <f>LEN(data!AK111)&lt;=20</f>
        <v>1</v>
      </c>
      <c r="AX111"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2" spans="1:50" ht="409.5" x14ac:dyDescent="0.15">
      <c r="A112" s="4" t="b">
        <f>OR(ISBLANK(data!B112), AND(B112:AW112))</f>
        <v>1</v>
      </c>
      <c r="B112" s="4" t="b">
        <f>AND(LEFT(TRIM(data!B112), 4)="OOLU", ISNUMBER(RIGHT(TRIM(data!B112), LEN(TRIM(data!B112))-4)+0))</f>
        <v>0</v>
      </c>
      <c r="C112" s="4" t="b">
        <f>LEN(data!C112)&gt;0</f>
        <v>0</v>
      </c>
      <c r="D112" s="4" t="b">
        <f>LEN(data!C112)&lt;=70</f>
        <v>1</v>
      </c>
      <c r="E112" s="4" t="b">
        <f>LEN(data!D112)&gt;0</f>
        <v>0</v>
      </c>
      <c r="F112" s="4" t="b">
        <f>LEN(data!D112)&lt;=140</f>
        <v>1</v>
      </c>
      <c r="G112" s="4" t="b">
        <f>LEN(data!E112)&gt;0</f>
        <v>0</v>
      </c>
      <c r="H112" s="4" t="b">
        <f>LEN(data!E112)&lt;=35</f>
        <v>1</v>
      </c>
      <c r="I112" s="4" t="b">
        <f>LEN(data!F112)=2</f>
        <v>0</v>
      </c>
      <c r="J112" s="4" t="b">
        <f>LEN(data!G112)&gt;0</f>
        <v>0</v>
      </c>
      <c r="K112" s="4" t="b">
        <f>LEN(data!G112)&lt;=60</f>
        <v>1</v>
      </c>
      <c r="L112" s="4" t="b">
        <f>LEN(data!I112)&gt;0</f>
        <v>0</v>
      </c>
      <c r="M112" s="4" t="b">
        <f>LEN(data!I112)&lt;=70</f>
        <v>1</v>
      </c>
      <c r="N112" s="4" t="b">
        <f>LEN(data!J112)&gt;0</f>
        <v>0</v>
      </c>
      <c r="O112" s="4" t="b">
        <f>LEN(data!J112)&lt;=140</f>
        <v>1</v>
      </c>
      <c r="P112" s="4" t="b">
        <f>LEN(data!K112)&gt;0</f>
        <v>0</v>
      </c>
      <c r="Q112" s="4" t="b">
        <f>LEN(data!K112)&lt;=35</f>
        <v>1</v>
      </c>
      <c r="R112" s="4" t="b">
        <f>LEN(data!L112)=2</f>
        <v>0</v>
      </c>
      <c r="S112" s="4" t="b">
        <f>LEN(data!M112)&gt;0</f>
        <v>0</v>
      </c>
      <c r="T112" s="4" t="b">
        <f>LEN(data!M112)&lt;=60</f>
        <v>1</v>
      </c>
      <c r="U112" s="4" t="b">
        <f>LEN(data!O112)&gt;0</f>
        <v>0</v>
      </c>
      <c r="V112" s="4" t="b">
        <f>LEN(data!O112)&lt;=70</f>
        <v>1</v>
      </c>
      <c r="W112" s="4" t="b">
        <f>LEN(data!P112)&gt;0</f>
        <v>0</v>
      </c>
      <c r="X112" s="4" t="b">
        <f>LEN(data!P112)&lt;=140</f>
        <v>1</v>
      </c>
      <c r="Y112" s="4" t="b">
        <f>LEN(data!Q112)&gt;0</f>
        <v>0</v>
      </c>
      <c r="Z112" s="4" t="b">
        <f>LEN(data!Q112)&lt;=35</f>
        <v>1</v>
      </c>
      <c r="AA112" s="4" t="b">
        <f>LEN(data!R112)=2</f>
        <v>0</v>
      </c>
      <c r="AB112" s="4" t="b">
        <f>LEN(data!S112)&gt;0</f>
        <v>0</v>
      </c>
      <c r="AC112" s="4" t="b">
        <f>LEN(data!S112)&lt;=120</f>
        <v>1</v>
      </c>
      <c r="AD112" s="4" t="b">
        <f>LEN(data!U112)=11</f>
        <v>0</v>
      </c>
      <c r="AE112" s="4" t="b">
        <f>AND(ISERROR(MATCH(data!V112, rule_mapping!$C$2:$C$325, 0))=FALSE, LEN(data!V112) &lt;= 4)</f>
        <v>0</v>
      </c>
      <c r="AF112" s="4" t="b">
        <f>LEN(data!W112)&gt;0</f>
        <v>0</v>
      </c>
      <c r="AG112" s="4" t="b">
        <f>LEN(data!W112)&lt;=20</f>
        <v>1</v>
      </c>
      <c r="AH112" s="4" t="b">
        <f xml:space="preserve"> IFERROR(ISNUMBER(data!X112), FALSE)</f>
        <v>0</v>
      </c>
      <c r="AI112" s="4" t="b">
        <f>IF(ISERROR(MATCH(data!Y112, rule_mapping!$D$2:$D$252, 0))=FALSE,TRUE, FALSE)</f>
        <v>0</v>
      </c>
      <c r="AJ112" s="4" t="b">
        <f>IFERROR(ISNUMBER(data!Z112), FALSE)</f>
        <v>0</v>
      </c>
      <c r="AK112" s="4" t="b">
        <f>IFERROR(ISNUMBER(data!AA112), FALSE)</f>
        <v>0</v>
      </c>
      <c r="AL112" s="4" t="b">
        <f>LEN(data!AB112)&lt;=90</f>
        <v>1</v>
      </c>
      <c r="AM112" s="4" t="b">
        <f>LEN(data!AC112)&gt;0</f>
        <v>0</v>
      </c>
      <c r="AN112" s="4" t="b">
        <f>LEN(data!AC112)&lt;=2000</f>
        <v>1</v>
      </c>
      <c r="AO112" s="4" t="b">
        <f>IF(LEN(data!AD112)=0,TRUE,IF(LEN(data!AD112)=5,TRUE,FALSE))</f>
        <v>1</v>
      </c>
      <c r="AP112" s="4" t="b">
        <f>LEN(data!AE112)&gt;0</f>
        <v>0</v>
      </c>
      <c r="AQ112" s="4" t="b">
        <f>LEN(data!AE112)=5</f>
        <v>0</v>
      </c>
      <c r="AR112" s="4" t="b">
        <f>ISERROR(MATCH(data!AF112, rule_mapping!$B$2:$B$3, 0))=FALSE</f>
        <v>0</v>
      </c>
      <c r="AS112" s="4" t="b">
        <f>ISERROR(MATCH(data!AG112, rule_mapping!$A$2:$A$8, 0))=FALSE</f>
        <v>0</v>
      </c>
      <c r="AT112" s="4" t="b">
        <f>LEN(data!AH112)&lt;=4</f>
        <v>1</v>
      </c>
      <c r="AU112" s="4" t="b">
        <f>LEN(data!AI112)&lt;=10</f>
        <v>1</v>
      </c>
      <c r="AV112" s="4" t="b">
        <f>LEN(data!AJ112)&lt;=35</f>
        <v>1</v>
      </c>
      <c r="AW112" s="4" t="b">
        <f>LEN(data!AK112)&lt;=20</f>
        <v>1</v>
      </c>
      <c r="AX112"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3" spans="1:50" ht="409.5" x14ac:dyDescent="0.15">
      <c r="A113" s="4" t="b">
        <f>OR(ISBLANK(data!B113), AND(B113:AW113))</f>
        <v>1</v>
      </c>
      <c r="B113" s="4" t="b">
        <f>AND(LEFT(TRIM(data!B113), 4)="OOLU", ISNUMBER(RIGHT(TRIM(data!B113), LEN(TRIM(data!B113))-4)+0))</f>
        <v>0</v>
      </c>
      <c r="C113" s="4" t="b">
        <f>LEN(data!C113)&gt;0</f>
        <v>0</v>
      </c>
      <c r="D113" s="4" t="b">
        <f>LEN(data!C113)&lt;=70</f>
        <v>1</v>
      </c>
      <c r="E113" s="4" t="b">
        <f>LEN(data!D113)&gt;0</f>
        <v>0</v>
      </c>
      <c r="F113" s="4" t="b">
        <f>LEN(data!D113)&lt;=140</f>
        <v>1</v>
      </c>
      <c r="G113" s="4" t="b">
        <f>LEN(data!E113)&gt;0</f>
        <v>0</v>
      </c>
      <c r="H113" s="4" t="b">
        <f>LEN(data!E113)&lt;=35</f>
        <v>1</v>
      </c>
      <c r="I113" s="4" t="b">
        <f>LEN(data!F113)=2</f>
        <v>0</v>
      </c>
      <c r="J113" s="4" t="b">
        <f>LEN(data!G113)&gt;0</f>
        <v>0</v>
      </c>
      <c r="K113" s="4" t="b">
        <f>LEN(data!G113)&lt;=60</f>
        <v>1</v>
      </c>
      <c r="L113" s="4" t="b">
        <f>LEN(data!I113)&gt;0</f>
        <v>0</v>
      </c>
      <c r="M113" s="4" t="b">
        <f>LEN(data!I113)&lt;=70</f>
        <v>1</v>
      </c>
      <c r="N113" s="4" t="b">
        <f>LEN(data!J113)&gt;0</f>
        <v>0</v>
      </c>
      <c r="O113" s="4" t="b">
        <f>LEN(data!J113)&lt;=140</f>
        <v>1</v>
      </c>
      <c r="P113" s="4" t="b">
        <f>LEN(data!K113)&gt;0</f>
        <v>0</v>
      </c>
      <c r="Q113" s="4" t="b">
        <f>LEN(data!K113)&lt;=35</f>
        <v>1</v>
      </c>
      <c r="R113" s="4" t="b">
        <f>LEN(data!L113)=2</f>
        <v>0</v>
      </c>
      <c r="S113" s="4" t="b">
        <f>LEN(data!M113)&gt;0</f>
        <v>0</v>
      </c>
      <c r="T113" s="4" t="b">
        <f>LEN(data!M113)&lt;=60</f>
        <v>1</v>
      </c>
      <c r="U113" s="4" t="b">
        <f>LEN(data!O113)&gt;0</f>
        <v>0</v>
      </c>
      <c r="V113" s="4" t="b">
        <f>LEN(data!O113)&lt;=70</f>
        <v>1</v>
      </c>
      <c r="W113" s="4" t="b">
        <f>LEN(data!P113)&gt;0</f>
        <v>0</v>
      </c>
      <c r="X113" s="4" t="b">
        <f>LEN(data!P113)&lt;=140</f>
        <v>1</v>
      </c>
      <c r="Y113" s="4" t="b">
        <f>LEN(data!Q113)&gt;0</f>
        <v>0</v>
      </c>
      <c r="Z113" s="4" t="b">
        <f>LEN(data!Q113)&lt;=35</f>
        <v>1</v>
      </c>
      <c r="AA113" s="4" t="b">
        <f>LEN(data!R113)=2</f>
        <v>0</v>
      </c>
      <c r="AB113" s="4" t="b">
        <f>LEN(data!S113)&gt;0</f>
        <v>0</v>
      </c>
      <c r="AC113" s="4" t="b">
        <f>LEN(data!S113)&lt;=120</f>
        <v>1</v>
      </c>
      <c r="AD113" s="4" t="b">
        <f>LEN(data!U113)=11</f>
        <v>0</v>
      </c>
      <c r="AE113" s="4" t="b">
        <f>AND(ISERROR(MATCH(data!V113, rule_mapping!$C$2:$C$325, 0))=FALSE, LEN(data!V113) &lt;= 4)</f>
        <v>0</v>
      </c>
      <c r="AF113" s="4" t="b">
        <f>LEN(data!W113)&gt;0</f>
        <v>0</v>
      </c>
      <c r="AG113" s="4" t="b">
        <f>LEN(data!W113)&lt;=20</f>
        <v>1</v>
      </c>
      <c r="AH113" s="4" t="b">
        <f xml:space="preserve"> IFERROR(ISNUMBER(data!X113), FALSE)</f>
        <v>0</v>
      </c>
      <c r="AI113" s="4" t="b">
        <f>IF(ISERROR(MATCH(data!Y113, rule_mapping!$D$2:$D$252, 0))=FALSE,TRUE, FALSE)</f>
        <v>0</v>
      </c>
      <c r="AJ113" s="4" t="b">
        <f>IFERROR(ISNUMBER(data!Z113), FALSE)</f>
        <v>0</v>
      </c>
      <c r="AK113" s="4" t="b">
        <f>IFERROR(ISNUMBER(data!AA113), FALSE)</f>
        <v>0</v>
      </c>
      <c r="AL113" s="4" t="b">
        <f>LEN(data!AB113)&lt;=90</f>
        <v>1</v>
      </c>
      <c r="AM113" s="4" t="b">
        <f>LEN(data!AC113)&gt;0</f>
        <v>0</v>
      </c>
      <c r="AN113" s="4" t="b">
        <f>LEN(data!AC113)&lt;=2000</f>
        <v>1</v>
      </c>
      <c r="AO113" s="4" t="b">
        <f>IF(LEN(data!AD113)=0,TRUE,IF(LEN(data!AD113)=5,TRUE,FALSE))</f>
        <v>1</v>
      </c>
      <c r="AP113" s="4" t="b">
        <f>LEN(data!AE113)&gt;0</f>
        <v>0</v>
      </c>
      <c r="AQ113" s="4" t="b">
        <f>LEN(data!AE113)=5</f>
        <v>0</v>
      </c>
      <c r="AR113" s="4" t="b">
        <f>ISERROR(MATCH(data!AF113, rule_mapping!$B$2:$B$3, 0))=FALSE</f>
        <v>0</v>
      </c>
      <c r="AS113" s="4" t="b">
        <f>ISERROR(MATCH(data!AG113, rule_mapping!$A$2:$A$8, 0))=FALSE</f>
        <v>0</v>
      </c>
      <c r="AT113" s="4" t="b">
        <f>LEN(data!AH113)&lt;=4</f>
        <v>1</v>
      </c>
      <c r="AU113" s="4" t="b">
        <f>LEN(data!AI113)&lt;=10</f>
        <v>1</v>
      </c>
      <c r="AV113" s="4" t="b">
        <f>LEN(data!AJ113)&lt;=35</f>
        <v>1</v>
      </c>
      <c r="AW113" s="4" t="b">
        <f>LEN(data!AK113)&lt;=20</f>
        <v>1</v>
      </c>
      <c r="AX113"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4" spans="1:50" ht="409.5" x14ac:dyDescent="0.15">
      <c r="A114" s="4" t="b">
        <f>OR(ISBLANK(data!B114), AND(B114:AW114))</f>
        <v>1</v>
      </c>
      <c r="B114" s="4" t="b">
        <f>AND(LEFT(TRIM(data!B114), 4)="OOLU", ISNUMBER(RIGHT(TRIM(data!B114), LEN(TRIM(data!B114))-4)+0))</f>
        <v>0</v>
      </c>
      <c r="C114" s="4" t="b">
        <f>LEN(data!C114)&gt;0</f>
        <v>0</v>
      </c>
      <c r="D114" s="4" t="b">
        <f>LEN(data!C114)&lt;=70</f>
        <v>1</v>
      </c>
      <c r="E114" s="4" t="b">
        <f>LEN(data!D114)&gt;0</f>
        <v>0</v>
      </c>
      <c r="F114" s="4" t="b">
        <f>LEN(data!D114)&lt;=140</f>
        <v>1</v>
      </c>
      <c r="G114" s="4" t="b">
        <f>LEN(data!E114)&gt;0</f>
        <v>0</v>
      </c>
      <c r="H114" s="4" t="b">
        <f>LEN(data!E114)&lt;=35</f>
        <v>1</v>
      </c>
      <c r="I114" s="4" t="b">
        <f>LEN(data!F114)=2</f>
        <v>0</v>
      </c>
      <c r="J114" s="4" t="b">
        <f>LEN(data!G114)&gt;0</f>
        <v>0</v>
      </c>
      <c r="K114" s="4" t="b">
        <f>LEN(data!G114)&lt;=60</f>
        <v>1</v>
      </c>
      <c r="L114" s="4" t="b">
        <f>LEN(data!I114)&gt;0</f>
        <v>0</v>
      </c>
      <c r="M114" s="4" t="b">
        <f>LEN(data!I114)&lt;=70</f>
        <v>1</v>
      </c>
      <c r="N114" s="4" t="b">
        <f>LEN(data!J114)&gt;0</f>
        <v>0</v>
      </c>
      <c r="O114" s="4" t="b">
        <f>LEN(data!J114)&lt;=140</f>
        <v>1</v>
      </c>
      <c r="P114" s="4" t="b">
        <f>LEN(data!K114)&gt;0</f>
        <v>0</v>
      </c>
      <c r="Q114" s="4" t="b">
        <f>LEN(data!K114)&lt;=35</f>
        <v>1</v>
      </c>
      <c r="R114" s="4" t="b">
        <f>LEN(data!L114)=2</f>
        <v>0</v>
      </c>
      <c r="S114" s="4" t="b">
        <f>LEN(data!M114)&gt;0</f>
        <v>0</v>
      </c>
      <c r="T114" s="4" t="b">
        <f>LEN(data!M114)&lt;=60</f>
        <v>1</v>
      </c>
      <c r="U114" s="4" t="b">
        <f>LEN(data!O114)&gt;0</f>
        <v>0</v>
      </c>
      <c r="V114" s="4" t="b">
        <f>LEN(data!O114)&lt;=70</f>
        <v>1</v>
      </c>
      <c r="W114" s="4" t="b">
        <f>LEN(data!P114)&gt;0</f>
        <v>0</v>
      </c>
      <c r="X114" s="4" t="b">
        <f>LEN(data!P114)&lt;=140</f>
        <v>1</v>
      </c>
      <c r="Y114" s="4" t="b">
        <f>LEN(data!Q114)&gt;0</f>
        <v>0</v>
      </c>
      <c r="Z114" s="4" t="b">
        <f>LEN(data!Q114)&lt;=35</f>
        <v>1</v>
      </c>
      <c r="AA114" s="4" t="b">
        <f>LEN(data!R114)=2</f>
        <v>0</v>
      </c>
      <c r="AB114" s="4" t="b">
        <f>LEN(data!S114)&gt;0</f>
        <v>0</v>
      </c>
      <c r="AC114" s="4" t="b">
        <f>LEN(data!S114)&lt;=120</f>
        <v>1</v>
      </c>
      <c r="AD114" s="4" t="b">
        <f>LEN(data!U114)=11</f>
        <v>0</v>
      </c>
      <c r="AE114" s="4" t="b">
        <f>AND(ISERROR(MATCH(data!V114, rule_mapping!$C$2:$C$325, 0))=FALSE, LEN(data!V114) &lt;= 4)</f>
        <v>0</v>
      </c>
      <c r="AF114" s="4" t="b">
        <f>LEN(data!W114)&gt;0</f>
        <v>0</v>
      </c>
      <c r="AG114" s="4" t="b">
        <f>LEN(data!W114)&lt;=20</f>
        <v>1</v>
      </c>
      <c r="AH114" s="4" t="b">
        <f xml:space="preserve"> IFERROR(ISNUMBER(data!X114), FALSE)</f>
        <v>0</v>
      </c>
      <c r="AI114" s="4" t="b">
        <f>IF(ISERROR(MATCH(data!Y114, rule_mapping!$D$2:$D$252, 0))=FALSE,TRUE, FALSE)</f>
        <v>0</v>
      </c>
      <c r="AJ114" s="4" t="b">
        <f>IFERROR(ISNUMBER(data!Z114), FALSE)</f>
        <v>0</v>
      </c>
      <c r="AK114" s="4" t="b">
        <f>IFERROR(ISNUMBER(data!AA114), FALSE)</f>
        <v>0</v>
      </c>
      <c r="AL114" s="4" t="b">
        <f>LEN(data!AB114)&lt;=90</f>
        <v>1</v>
      </c>
      <c r="AM114" s="4" t="b">
        <f>LEN(data!AC114)&gt;0</f>
        <v>0</v>
      </c>
      <c r="AN114" s="4" t="b">
        <f>LEN(data!AC114)&lt;=2000</f>
        <v>1</v>
      </c>
      <c r="AO114" s="4" t="b">
        <f>IF(LEN(data!AD114)=0,TRUE,IF(LEN(data!AD114)=5,TRUE,FALSE))</f>
        <v>1</v>
      </c>
      <c r="AP114" s="4" t="b">
        <f>LEN(data!AE114)&gt;0</f>
        <v>0</v>
      </c>
      <c r="AQ114" s="4" t="b">
        <f>LEN(data!AE114)=5</f>
        <v>0</v>
      </c>
      <c r="AR114" s="4" t="b">
        <f>ISERROR(MATCH(data!AF114, rule_mapping!$B$2:$B$3, 0))=FALSE</f>
        <v>0</v>
      </c>
      <c r="AS114" s="4" t="b">
        <f>ISERROR(MATCH(data!AG114, rule_mapping!$A$2:$A$8, 0))=FALSE</f>
        <v>0</v>
      </c>
      <c r="AT114" s="4" t="b">
        <f>LEN(data!AH114)&lt;=4</f>
        <v>1</v>
      </c>
      <c r="AU114" s="4" t="b">
        <f>LEN(data!AI114)&lt;=10</f>
        <v>1</v>
      </c>
      <c r="AV114" s="4" t="b">
        <f>LEN(data!AJ114)&lt;=35</f>
        <v>1</v>
      </c>
      <c r="AW114" s="4" t="b">
        <f>LEN(data!AK114)&lt;=20</f>
        <v>1</v>
      </c>
      <c r="AX114"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5" spans="1:50" ht="409.5" x14ac:dyDescent="0.15">
      <c r="A115" s="4" t="b">
        <f>OR(ISBLANK(data!B115), AND(B115:AW115))</f>
        <v>1</v>
      </c>
      <c r="B115" s="4" t="b">
        <f>AND(LEFT(TRIM(data!B115), 4)="OOLU", ISNUMBER(RIGHT(TRIM(data!B115), LEN(TRIM(data!B115))-4)+0))</f>
        <v>0</v>
      </c>
      <c r="C115" s="4" t="b">
        <f>LEN(data!C115)&gt;0</f>
        <v>0</v>
      </c>
      <c r="D115" s="4" t="b">
        <f>LEN(data!C115)&lt;=70</f>
        <v>1</v>
      </c>
      <c r="E115" s="4" t="b">
        <f>LEN(data!D115)&gt;0</f>
        <v>0</v>
      </c>
      <c r="F115" s="4" t="b">
        <f>LEN(data!D115)&lt;=140</f>
        <v>1</v>
      </c>
      <c r="G115" s="4" t="b">
        <f>LEN(data!E115)&gt;0</f>
        <v>0</v>
      </c>
      <c r="H115" s="4" t="b">
        <f>LEN(data!E115)&lt;=35</f>
        <v>1</v>
      </c>
      <c r="I115" s="4" t="b">
        <f>LEN(data!F115)=2</f>
        <v>0</v>
      </c>
      <c r="J115" s="4" t="b">
        <f>LEN(data!G115)&gt;0</f>
        <v>0</v>
      </c>
      <c r="K115" s="4" t="b">
        <f>LEN(data!G115)&lt;=60</f>
        <v>1</v>
      </c>
      <c r="L115" s="4" t="b">
        <f>LEN(data!I115)&gt;0</f>
        <v>0</v>
      </c>
      <c r="M115" s="4" t="b">
        <f>LEN(data!I115)&lt;=70</f>
        <v>1</v>
      </c>
      <c r="N115" s="4" t="b">
        <f>LEN(data!J115)&gt;0</f>
        <v>0</v>
      </c>
      <c r="O115" s="4" t="b">
        <f>LEN(data!J115)&lt;=140</f>
        <v>1</v>
      </c>
      <c r="P115" s="4" t="b">
        <f>LEN(data!K115)&gt;0</f>
        <v>0</v>
      </c>
      <c r="Q115" s="4" t="b">
        <f>LEN(data!K115)&lt;=35</f>
        <v>1</v>
      </c>
      <c r="R115" s="4" t="b">
        <f>LEN(data!L115)=2</f>
        <v>0</v>
      </c>
      <c r="S115" s="4" t="b">
        <f>LEN(data!M115)&gt;0</f>
        <v>0</v>
      </c>
      <c r="T115" s="4" t="b">
        <f>LEN(data!M115)&lt;=60</f>
        <v>1</v>
      </c>
      <c r="U115" s="4" t="b">
        <f>LEN(data!O115)&gt;0</f>
        <v>0</v>
      </c>
      <c r="V115" s="4" t="b">
        <f>LEN(data!O115)&lt;=70</f>
        <v>1</v>
      </c>
      <c r="W115" s="4" t="b">
        <f>LEN(data!P115)&gt;0</f>
        <v>0</v>
      </c>
      <c r="X115" s="4" t="b">
        <f>LEN(data!P115)&lt;=140</f>
        <v>1</v>
      </c>
      <c r="Y115" s="4" t="b">
        <f>LEN(data!Q115)&gt;0</f>
        <v>0</v>
      </c>
      <c r="Z115" s="4" t="b">
        <f>LEN(data!Q115)&lt;=35</f>
        <v>1</v>
      </c>
      <c r="AA115" s="4" t="b">
        <f>LEN(data!R115)=2</f>
        <v>0</v>
      </c>
      <c r="AB115" s="4" t="b">
        <f>LEN(data!S115)&gt;0</f>
        <v>0</v>
      </c>
      <c r="AC115" s="4" t="b">
        <f>LEN(data!S115)&lt;=120</f>
        <v>1</v>
      </c>
      <c r="AD115" s="4" t="b">
        <f>LEN(data!U115)=11</f>
        <v>0</v>
      </c>
      <c r="AE115" s="4" t="b">
        <f>AND(ISERROR(MATCH(data!V115, rule_mapping!$C$2:$C$325, 0))=FALSE, LEN(data!V115) &lt;= 4)</f>
        <v>0</v>
      </c>
      <c r="AF115" s="4" t="b">
        <f>LEN(data!W115)&gt;0</f>
        <v>0</v>
      </c>
      <c r="AG115" s="4" t="b">
        <f>LEN(data!W115)&lt;=20</f>
        <v>1</v>
      </c>
      <c r="AH115" s="4" t="b">
        <f xml:space="preserve"> IFERROR(ISNUMBER(data!X115), FALSE)</f>
        <v>0</v>
      </c>
      <c r="AI115" s="4" t="b">
        <f>IF(ISERROR(MATCH(data!Y115, rule_mapping!$D$2:$D$252, 0))=FALSE,TRUE, FALSE)</f>
        <v>0</v>
      </c>
      <c r="AJ115" s="4" t="b">
        <f>IFERROR(ISNUMBER(data!Z115), FALSE)</f>
        <v>0</v>
      </c>
      <c r="AK115" s="4" t="b">
        <f>IFERROR(ISNUMBER(data!AA115), FALSE)</f>
        <v>0</v>
      </c>
      <c r="AL115" s="4" t="b">
        <f>LEN(data!AB115)&lt;=90</f>
        <v>1</v>
      </c>
      <c r="AM115" s="4" t="b">
        <f>LEN(data!AC115)&gt;0</f>
        <v>0</v>
      </c>
      <c r="AN115" s="4" t="b">
        <f>LEN(data!AC115)&lt;=2000</f>
        <v>1</v>
      </c>
      <c r="AO115" s="4" t="b">
        <f>IF(LEN(data!AD115)=0,TRUE,IF(LEN(data!AD115)=5,TRUE,FALSE))</f>
        <v>1</v>
      </c>
      <c r="AP115" s="4" t="b">
        <f>LEN(data!AE115)&gt;0</f>
        <v>0</v>
      </c>
      <c r="AQ115" s="4" t="b">
        <f>LEN(data!AE115)=5</f>
        <v>0</v>
      </c>
      <c r="AR115" s="4" t="b">
        <f>ISERROR(MATCH(data!AF115, rule_mapping!$B$2:$B$3, 0))=FALSE</f>
        <v>0</v>
      </c>
      <c r="AS115" s="4" t="b">
        <f>ISERROR(MATCH(data!AG115, rule_mapping!$A$2:$A$8, 0))=FALSE</f>
        <v>0</v>
      </c>
      <c r="AT115" s="4" t="b">
        <f>LEN(data!AH115)&lt;=4</f>
        <v>1</v>
      </c>
      <c r="AU115" s="4" t="b">
        <f>LEN(data!AI115)&lt;=10</f>
        <v>1</v>
      </c>
      <c r="AV115" s="4" t="b">
        <f>LEN(data!AJ115)&lt;=35</f>
        <v>1</v>
      </c>
      <c r="AW115" s="4" t="b">
        <f>LEN(data!AK115)&lt;=20</f>
        <v>1</v>
      </c>
      <c r="AX115"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6" spans="1:50" ht="409.5" x14ac:dyDescent="0.15">
      <c r="A116" s="4" t="b">
        <f>OR(ISBLANK(data!B116), AND(B116:AW116))</f>
        <v>1</v>
      </c>
      <c r="B116" s="4" t="b">
        <f>AND(LEFT(TRIM(data!B116), 4)="OOLU", ISNUMBER(RIGHT(TRIM(data!B116), LEN(TRIM(data!B116))-4)+0))</f>
        <v>0</v>
      </c>
      <c r="C116" s="4" t="b">
        <f>LEN(data!C116)&gt;0</f>
        <v>0</v>
      </c>
      <c r="D116" s="4" t="b">
        <f>LEN(data!C116)&lt;=70</f>
        <v>1</v>
      </c>
      <c r="E116" s="4" t="b">
        <f>LEN(data!D116)&gt;0</f>
        <v>0</v>
      </c>
      <c r="F116" s="4" t="b">
        <f>LEN(data!D116)&lt;=140</f>
        <v>1</v>
      </c>
      <c r="G116" s="4" t="b">
        <f>LEN(data!E116)&gt;0</f>
        <v>0</v>
      </c>
      <c r="H116" s="4" t="b">
        <f>LEN(data!E116)&lt;=35</f>
        <v>1</v>
      </c>
      <c r="I116" s="4" t="b">
        <f>LEN(data!F116)=2</f>
        <v>0</v>
      </c>
      <c r="J116" s="4" t="b">
        <f>LEN(data!G116)&gt;0</f>
        <v>0</v>
      </c>
      <c r="K116" s="4" t="b">
        <f>LEN(data!G116)&lt;=60</f>
        <v>1</v>
      </c>
      <c r="L116" s="4" t="b">
        <f>LEN(data!I116)&gt;0</f>
        <v>0</v>
      </c>
      <c r="M116" s="4" t="b">
        <f>LEN(data!I116)&lt;=70</f>
        <v>1</v>
      </c>
      <c r="N116" s="4" t="b">
        <f>LEN(data!J116)&gt;0</f>
        <v>0</v>
      </c>
      <c r="O116" s="4" t="b">
        <f>LEN(data!J116)&lt;=140</f>
        <v>1</v>
      </c>
      <c r="P116" s="4" t="b">
        <f>LEN(data!K116)&gt;0</f>
        <v>0</v>
      </c>
      <c r="Q116" s="4" t="b">
        <f>LEN(data!K116)&lt;=35</f>
        <v>1</v>
      </c>
      <c r="R116" s="4" t="b">
        <f>LEN(data!L116)=2</f>
        <v>0</v>
      </c>
      <c r="S116" s="4" t="b">
        <f>LEN(data!M116)&gt;0</f>
        <v>0</v>
      </c>
      <c r="T116" s="4" t="b">
        <f>LEN(data!M116)&lt;=60</f>
        <v>1</v>
      </c>
      <c r="U116" s="4" t="b">
        <f>LEN(data!O116)&gt;0</f>
        <v>0</v>
      </c>
      <c r="V116" s="4" t="b">
        <f>LEN(data!O116)&lt;=70</f>
        <v>1</v>
      </c>
      <c r="W116" s="4" t="b">
        <f>LEN(data!P116)&gt;0</f>
        <v>0</v>
      </c>
      <c r="X116" s="4" t="b">
        <f>LEN(data!P116)&lt;=140</f>
        <v>1</v>
      </c>
      <c r="Y116" s="4" t="b">
        <f>LEN(data!Q116)&gt;0</f>
        <v>0</v>
      </c>
      <c r="Z116" s="4" t="b">
        <f>LEN(data!Q116)&lt;=35</f>
        <v>1</v>
      </c>
      <c r="AA116" s="4" t="b">
        <f>LEN(data!R116)=2</f>
        <v>0</v>
      </c>
      <c r="AB116" s="4" t="b">
        <f>LEN(data!S116)&gt;0</f>
        <v>0</v>
      </c>
      <c r="AC116" s="4" t="b">
        <f>LEN(data!S116)&lt;=120</f>
        <v>1</v>
      </c>
      <c r="AD116" s="4" t="b">
        <f>LEN(data!U116)=11</f>
        <v>0</v>
      </c>
      <c r="AE116" s="4" t="b">
        <f>AND(ISERROR(MATCH(data!V116, rule_mapping!$C$2:$C$325, 0))=FALSE, LEN(data!V116) &lt;= 4)</f>
        <v>0</v>
      </c>
      <c r="AF116" s="4" t="b">
        <f>LEN(data!W116)&gt;0</f>
        <v>0</v>
      </c>
      <c r="AG116" s="4" t="b">
        <f>LEN(data!W116)&lt;=20</f>
        <v>1</v>
      </c>
      <c r="AH116" s="4" t="b">
        <f xml:space="preserve"> IFERROR(ISNUMBER(data!X116), FALSE)</f>
        <v>0</v>
      </c>
      <c r="AI116" s="4" t="b">
        <f>IF(ISERROR(MATCH(data!Y116, rule_mapping!$D$2:$D$252, 0))=FALSE,TRUE, FALSE)</f>
        <v>0</v>
      </c>
      <c r="AJ116" s="4" t="b">
        <f>IFERROR(ISNUMBER(data!Z116), FALSE)</f>
        <v>0</v>
      </c>
      <c r="AK116" s="4" t="b">
        <f>IFERROR(ISNUMBER(data!AA116), FALSE)</f>
        <v>0</v>
      </c>
      <c r="AL116" s="4" t="b">
        <f>LEN(data!AB116)&lt;=90</f>
        <v>1</v>
      </c>
      <c r="AM116" s="4" t="b">
        <f>LEN(data!AC116)&gt;0</f>
        <v>0</v>
      </c>
      <c r="AN116" s="4" t="b">
        <f>LEN(data!AC116)&lt;=2000</f>
        <v>1</v>
      </c>
      <c r="AO116" s="4" t="b">
        <f>IF(LEN(data!AD116)=0,TRUE,IF(LEN(data!AD116)=5,TRUE,FALSE))</f>
        <v>1</v>
      </c>
      <c r="AP116" s="4" t="b">
        <f>LEN(data!AE116)&gt;0</f>
        <v>0</v>
      </c>
      <c r="AQ116" s="4" t="b">
        <f>LEN(data!AE116)=5</f>
        <v>0</v>
      </c>
      <c r="AR116" s="4" t="b">
        <f>ISERROR(MATCH(data!AF116, rule_mapping!$B$2:$B$3, 0))=FALSE</f>
        <v>0</v>
      </c>
      <c r="AS116" s="4" t="b">
        <f>ISERROR(MATCH(data!AG116, rule_mapping!$A$2:$A$8, 0))=FALSE</f>
        <v>0</v>
      </c>
      <c r="AT116" s="4" t="b">
        <f>LEN(data!AH116)&lt;=4</f>
        <v>1</v>
      </c>
      <c r="AU116" s="4" t="b">
        <f>LEN(data!AI116)&lt;=10</f>
        <v>1</v>
      </c>
      <c r="AV116" s="4" t="b">
        <f>LEN(data!AJ116)&lt;=35</f>
        <v>1</v>
      </c>
      <c r="AW116" s="4" t="b">
        <f>LEN(data!AK116)&lt;=20</f>
        <v>1</v>
      </c>
      <c r="AX116"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7" spans="1:50" ht="409.5" x14ac:dyDescent="0.15">
      <c r="A117" s="4" t="b">
        <f>OR(ISBLANK(data!B117), AND(B117:AW117))</f>
        <v>1</v>
      </c>
      <c r="B117" s="4" t="b">
        <f>AND(LEFT(TRIM(data!B117), 4)="OOLU", ISNUMBER(RIGHT(TRIM(data!B117), LEN(TRIM(data!B117))-4)+0))</f>
        <v>0</v>
      </c>
      <c r="C117" s="4" t="b">
        <f>LEN(data!C117)&gt;0</f>
        <v>0</v>
      </c>
      <c r="D117" s="4" t="b">
        <f>LEN(data!C117)&lt;=70</f>
        <v>1</v>
      </c>
      <c r="E117" s="4" t="b">
        <f>LEN(data!D117)&gt;0</f>
        <v>0</v>
      </c>
      <c r="F117" s="4" t="b">
        <f>LEN(data!D117)&lt;=140</f>
        <v>1</v>
      </c>
      <c r="G117" s="4" t="b">
        <f>LEN(data!E117)&gt;0</f>
        <v>0</v>
      </c>
      <c r="H117" s="4" t="b">
        <f>LEN(data!E117)&lt;=35</f>
        <v>1</v>
      </c>
      <c r="I117" s="4" t="b">
        <f>LEN(data!F117)=2</f>
        <v>0</v>
      </c>
      <c r="J117" s="4" t="b">
        <f>LEN(data!G117)&gt;0</f>
        <v>0</v>
      </c>
      <c r="K117" s="4" t="b">
        <f>LEN(data!G117)&lt;=60</f>
        <v>1</v>
      </c>
      <c r="L117" s="4" t="b">
        <f>LEN(data!I117)&gt;0</f>
        <v>0</v>
      </c>
      <c r="M117" s="4" t="b">
        <f>LEN(data!I117)&lt;=70</f>
        <v>1</v>
      </c>
      <c r="N117" s="4" t="b">
        <f>LEN(data!J117)&gt;0</f>
        <v>0</v>
      </c>
      <c r="O117" s="4" t="b">
        <f>LEN(data!J117)&lt;=140</f>
        <v>1</v>
      </c>
      <c r="P117" s="4" t="b">
        <f>LEN(data!K117)&gt;0</f>
        <v>0</v>
      </c>
      <c r="Q117" s="4" t="b">
        <f>LEN(data!K117)&lt;=35</f>
        <v>1</v>
      </c>
      <c r="R117" s="4" t="b">
        <f>LEN(data!L117)=2</f>
        <v>0</v>
      </c>
      <c r="S117" s="4" t="b">
        <f>LEN(data!M117)&gt;0</f>
        <v>0</v>
      </c>
      <c r="T117" s="4" t="b">
        <f>LEN(data!M117)&lt;=60</f>
        <v>1</v>
      </c>
      <c r="U117" s="4" t="b">
        <f>LEN(data!O117)&gt;0</f>
        <v>0</v>
      </c>
      <c r="V117" s="4" t="b">
        <f>LEN(data!O117)&lt;=70</f>
        <v>1</v>
      </c>
      <c r="W117" s="4" t="b">
        <f>LEN(data!P117)&gt;0</f>
        <v>0</v>
      </c>
      <c r="X117" s="4" t="b">
        <f>LEN(data!P117)&lt;=140</f>
        <v>1</v>
      </c>
      <c r="Y117" s="4" t="b">
        <f>LEN(data!Q117)&gt;0</f>
        <v>0</v>
      </c>
      <c r="Z117" s="4" t="b">
        <f>LEN(data!Q117)&lt;=35</f>
        <v>1</v>
      </c>
      <c r="AA117" s="4" t="b">
        <f>LEN(data!R117)=2</f>
        <v>0</v>
      </c>
      <c r="AB117" s="4" t="b">
        <f>LEN(data!S117)&gt;0</f>
        <v>0</v>
      </c>
      <c r="AC117" s="4" t="b">
        <f>LEN(data!S117)&lt;=120</f>
        <v>1</v>
      </c>
      <c r="AD117" s="4" t="b">
        <f>LEN(data!U117)=11</f>
        <v>0</v>
      </c>
      <c r="AE117" s="4" t="b">
        <f>AND(ISERROR(MATCH(data!V117, rule_mapping!$C$2:$C$325, 0))=FALSE, LEN(data!V117) &lt;= 4)</f>
        <v>0</v>
      </c>
      <c r="AF117" s="4" t="b">
        <f>LEN(data!W117)&gt;0</f>
        <v>0</v>
      </c>
      <c r="AG117" s="4" t="b">
        <f>LEN(data!W117)&lt;=20</f>
        <v>1</v>
      </c>
      <c r="AH117" s="4" t="b">
        <f xml:space="preserve"> IFERROR(ISNUMBER(data!X117), FALSE)</f>
        <v>0</v>
      </c>
      <c r="AI117" s="4" t="b">
        <f>IF(ISERROR(MATCH(data!Y117, rule_mapping!$D$2:$D$252, 0))=FALSE,TRUE, FALSE)</f>
        <v>0</v>
      </c>
      <c r="AJ117" s="4" t="b">
        <f>IFERROR(ISNUMBER(data!Z117), FALSE)</f>
        <v>0</v>
      </c>
      <c r="AK117" s="4" t="b">
        <f>IFERROR(ISNUMBER(data!AA117), FALSE)</f>
        <v>0</v>
      </c>
      <c r="AL117" s="4" t="b">
        <f>LEN(data!AB117)&lt;=90</f>
        <v>1</v>
      </c>
      <c r="AM117" s="4" t="b">
        <f>LEN(data!AC117)&gt;0</f>
        <v>0</v>
      </c>
      <c r="AN117" s="4" t="b">
        <f>LEN(data!AC117)&lt;=2000</f>
        <v>1</v>
      </c>
      <c r="AO117" s="4" t="b">
        <f>IF(LEN(data!AD117)=0,TRUE,IF(LEN(data!AD117)=5,TRUE,FALSE))</f>
        <v>1</v>
      </c>
      <c r="AP117" s="4" t="b">
        <f>LEN(data!AE117)&gt;0</f>
        <v>0</v>
      </c>
      <c r="AQ117" s="4" t="b">
        <f>LEN(data!AE117)=5</f>
        <v>0</v>
      </c>
      <c r="AR117" s="4" t="b">
        <f>ISERROR(MATCH(data!AF117, rule_mapping!$B$2:$B$3, 0))=FALSE</f>
        <v>0</v>
      </c>
      <c r="AS117" s="4" t="b">
        <f>ISERROR(MATCH(data!AG117, rule_mapping!$A$2:$A$8, 0))=FALSE</f>
        <v>0</v>
      </c>
      <c r="AT117" s="4" t="b">
        <f>LEN(data!AH117)&lt;=4</f>
        <v>1</v>
      </c>
      <c r="AU117" s="4" t="b">
        <f>LEN(data!AI117)&lt;=10</f>
        <v>1</v>
      </c>
      <c r="AV117" s="4" t="b">
        <f>LEN(data!AJ117)&lt;=35</f>
        <v>1</v>
      </c>
      <c r="AW117" s="4" t="b">
        <f>LEN(data!AK117)&lt;=20</f>
        <v>1</v>
      </c>
      <c r="AX117"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8" spans="1:50" ht="409.5" x14ac:dyDescent="0.15">
      <c r="A118" s="4" t="b">
        <f>OR(ISBLANK(data!B118), AND(B118:AW118))</f>
        <v>1</v>
      </c>
      <c r="B118" s="4" t="b">
        <f>AND(LEFT(TRIM(data!B118), 4)="OOLU", ISNUMBER(RIGHT(TRIM(data!B118), LEN(TRIM(data!B118))-4)+0))</f>
        <v>0</v>
      </c>
      <c r="C118" s="4" t="b">
        <f>LEN(data!C118)&gt;0</f>
        <v>0</v>
      </c>
      <c r="D118" s="4" t="b">
        <f>LEN(data!C118)&lt;=70</f>
        <v>1</v>
      </c>
      <c r="E118" s="4" t="b">
        <f>LEN(data!D118)&gt;0</f>
        <v>0</v>
      </c>
      <c r="F118" s="4" t="b">
        <f>LEN(data!D118)&lt;=140</f>
        <v>1</v>
      </c>
      <c r="G118" s="4" t="b">
        <f>LEN(data!E118)&gt;0</f>
        <v>0</v>
      </c>
      <c r="H118" s="4" t="b">
        <f>LEN(data!E118)&lt;=35</f>
        <v>1</v>
      </c>
      <c r="I118" s="4" t="b">
        <f>LEN(data!F118)=2</f>
        <v>0</v>
      </c>
      <c r="J118" s="4" t="b">
        <f>LEN(data!G118)&gt;0</f>
        <v>0</v>
      </c>
      <c r="K118" s="4" t="b">
        <f>LEN(data!G118)&lt;=60</f>
        <v>1</v>
      </c>
      <c r="L118" s="4" t="b">
        <f>LEN(data!I118)&gt;0</f>
        <v>0</v>
      </c>
      <c r="M118" s="4" t="b">
        <f>LEN(data!I118)&lt;=70</f>
        <v>1</v>
      </c>
      <c r="N118" s="4" t="b">
        <f>LEN(data!J118)&gt;0</f>
        <v>0</v>
      </c>
      <c r="O118" s="4" t="b">
        <f>LEN(data!J118)&lt;=140</f>
        <v>1</v>
      </c>
      <c r="P118" s="4" t="b">
        <f>LEN(data!K118)&gt;0</f>
        <v>0</v>
      </c>
      <c r="Q118" s="4" t="b">
        <f>LEN(data!K118)&lt;=35</f>
        <v>1</v>
      </c>
      <c r="R118" s="4" t="b">
        <f>LEN(data!L118)=2</f>
        <v>0</v>
      </c>
      <c r="S118" s="4" t="b">
        <f>LEN(data!M118)&gt;0</f>
        <v>0</v>
      </c>
      <c r="T118" s="4" t="b">
        <f>LEN(data!M118)&lt;=60</f>
        <v>1</v>
      </c>
      <c r="U118" s="4" t="b">
        <f>LEN(data!O118)&gt;0</f>
        <v>0</v>
      </c>
      <c r="V118" s="4" t="b">
        <f>LEN(data!O118)&lt;=70</f>
        <v>1</v>
      </c>
      <c r="W118" s="4" t="b">
        <f>LEN(data!P118)&gt;0</f>
        <v>0</v>
      </c>
      <c r="X118" s="4" t="b">
        <f>LEN(data!P118)&lt;=140</f>
        <v>1</v>
      </c>
      <c r="Y118" s="4" t="b">
        <f>LEN(data!Q118)&gt;0</f>
        <v>0</v>
      </c>
      <c r="Z118" s="4" t="b">
        <f>LEN(data!Q118)&lt;=35</f>
        <v>1</v>
      </c>
      <c r="AA118" s="4" t="b">
        <f>LEN(data!R118)=2</f>
        <v>0</v>
      </c>
      <c r="AB118" s="4" t="b">
        <f>LEN(data!S118)&gt;0</f>
        <v>0</v>
      </c>
      <c r="AC118" s="4" t="b">
        <f>LEN(data!S118)&lt;=120</f>
        <v>1</v>
      </c>
      <c r="AD118" s="4" t="b">
        <f>LEN(data!U118)=11</f>
        <v>0</v>
      </c>
      <c r="AE118" s="4" t="b">
        <f>AND(ISERROR(MATCH(data!V118, rule_mapping!$C$2:$C$325, 0))=FALSE, LEN(data!V118) &lt;= 4)</f>
        <v>0</v>
      </c>
      <c r="AF118" s="4" t="b">
        <f>LEN(data!W118)&gt;0</f>
        <v>0</v>
      </c>
      <c r="AG118" s="4" t="b">
        <f>LEN(data!W118)&lt;=20</f>
        <v>1</v>
      </c>
      <c r="AH118" s="4" t="b">
        <f xml:space="preserve"> IFERROR(ISNUMBER(data!X118), FALSE)</f>
        <v>0</v>
      </c>
      <c r="AI118" s="4" t="b">
        <f>IF(ISERROR(MATCH(data!Y118, rule_mapping!$D$2:$D$252, 0))=FALSE,TRUE, FALSE)</f>
        <v>0</v>
      </c>
      <c r="AJ118" s="4" t="b">
        <f>IFERROR(ISNUMBER(data!Z118), FALSE)</f>
        <v>0</v>
      </c>
      <c r="AK118" s="4" t="b">
        <f>IFERROR(ISNUMBER(data!AA118), FALSE)</f>
        <v>0</v>
      </c>
      <c r="AL118" s="4" t="b">
        <f>LEN(data!AB118)&lt;=90</f>
        <v>1</v>
      </c>
      <c r="AM118" s="4" t="b">
        <f>LEN(data!AC118)&gt;0</f>
        <v>0</v>
      </c>
      <c r="AN118" s="4" t="b">
        <f>LEN(data!AC118)&lt;=2000</f>
        <v>1</v>
      </c>
      <c r="AO118" s="4" t="b">
        <f>IF(LEN(data!AD118)=0,TRUE,IF(LEN(data!AD118)=5,TRUE,FALSE))</f>
        <v>1</v>
      </c>
      <c r="AP118" s="4" t="b">
        <f>LEN(data!AE118)&gt;0</f>
        <v>0</v>
      </c>
      <c r="AQ118" s="4" t="b">
        <f>LEN(data!AE118)=5</f>
        <v>0</v>
      </c>
      <c r="AR118" s="4" t="b">
        <f>ISERROR(MATCH(data!AF118, rule_mapping!$B$2:$B$3, 0))=FALSE</f>
        <v>0</v>
      </c>
      <c r="AS118" s="4" t="b">
        <f>ISERROR(MATCH(data!AG118, rule_mapping!$A$2:$A$8, 0))=FALSE</f>
        <v>0</v>
      </c>
      <c r="AT118" s="4" t="b">
        <f>LEN(data!AH118)&lt;=4</f>
        <v>1</v>
      </c>
      <c r="AU118" s="4" t="b">
        <f>LEN(data!AI118)&lt;=10</f>
        <v>1</v>
      </c>
      <c r="AV118" s="4" t="b">
        <f>LEN(data!AJ118)&lt;=35</f>
        <v>1</v>
      </c>
      <c r="AW118" s="4" t="b">
        <f>LEN(data!AK118)&lt;=20</f>
        <v>1</v>
      </c>
      <c r="AX118"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19" spans="1:50" ht="409.5" x14ac:dyDescent="0.15">
      <c r="A119" s="4" t="b">
        <f>OR(ISBLANK(data!B119), AND(B119:AW119))</f>
        <v>1</v>
      </c>
      <c r="B119" s="4" t="b">
        <f>AND(LEFT(TRIM(data!B119), 4)="OOLU", ISNUMBER(RIGHT(TRIM(data!B119), LEN(TRIM(data!B119))-4)+0))</f>
        <v>0</v>
      </c>
      <c r="C119" s="4" t="b">
        <f>LEN(data!C119)&gt;0</f>
        <v>0</v>
      </c>
      <c r="D119" s="4" t="b">
        <f>LEN(data!C119)&lt;=70</f>
        <v>1</v>
      </c>
      <c r="E119" s="4" t="b">
        <f>LEN(data!D119)&gt;0</f>
        <v>0</v>
      </c>
      <c r="F119" s="4" t="b">
        <f>LEN(data!D119)&lt;=140</f>
        <v>1</v>
      </c>
      <c r="G119" s="4" t="b">
        <f>LEN(data!E119)&gt;0</f>
        <v>0</v>
      </c>
      <c r="H119" s="4" t="b">
        <f>LEN(data!E119)&lt;=35</f>
        <v>1</v>
      </c>
      <c r="I119" s="4" t="b">
        <f>LEN(data!F119)=2</f>
        <v>0</v>
      </c>
      <c r="J119" s="4" t="b">
        <f>LEN(data!G119)&gt;0</f>
        <v>0</v>
      </c>
      <c r="K119" s="4" t="b">
        <f>LEN(data!G119)&lt;=60</f>
        <v>1</v>
      </c>
      <c r="L119" s="4" t="b">
        <f>LEN(data!I119)&gt;0</f>
        <v>0</v>
      </c>
      <c r="M119" s="4" t="b">
        <f>LEN(data!I119)&lt;=70</f>
        <v>1</v>
      </c>
      <c r="N119" s="4" t="b">
        <f>LEN(data!J119)&gt;0</f>
        <v>0</v>
      </c>
      <c r="O119" s="4" t="b">
        <f>LEN(data!J119)&lt;=140</f>
        <v>1</v>
      </c>
      <c r="P119" s="4" t="b">
        <f>LEN(data!K119)&gt;0</f>
        <v>0</v>
      </c>
      <c r="Q119" s="4" t="b">
        <f>LEN(data!K119)&lt;=35</f>
        <v>1</v>
      </c>
      <c r="R119" s="4" t="b">
        <f>LEN(data!L119)=2</f>
        <v>0</v>
      </c>
      <c r="S119" s="4" t="b">
        <f>LEN(data!M119)&gt;0</f>
        <v>0</v>
      </c>
      <c r="T119" s="4" t="b">
        <f>LEN(data!M119)&lt;=60</f>
        <v>1</v>
      </c>
      <c r="U119" s="4" t="b">
        <f>LEN(data!O119)&gt;0</f>
        <v>0</v>
      </c>
      <c r="V119" s="4" t="b">
        <f>LEN(data!O119)&lt;=70</f>
        <v>1</v>
      </c>
      <c r="W119" s="4" t="b">
        <f>LEN(data!P119)&gt;0</f>
        <v>0</v>
      </c>
      <c r="X119" s="4" t="b">
        <f>LEN(data!P119)&lt;=140</f>
        <v>1</v>
      </c>
      <c r="Y119" s="4" t="b">
        <f>LEN(data!Q119)&gt;0</f>
        <v>0</v>
      </c>
      <c r="Z119" s="4" t="b">
        <f>LEN(data!Q119)&lt;=35</f>
        <v>1</v>
      </c>
      <c r="AA119" s="4" t="b">
        <f>LEN(data!R119)=2</f>
        <v>0</v>
      </c>
      <c r="AB119" s="4" t="b">
        <f>LEN(data!S119)&gt;0</f>
        <v>0</v>
      </c>
      <c r="AC119" s="4" t="b">
        <f>LEN(data!S119)&lt;=120</f>
        <v>1</v>
      </c>
      <c r="AD119" s="4" t="b">
        <f>LEN(data!U119)=11</f>
        <v>0</v>
      </c>
      <c r="AE119" s="4" t="b">
        <f>AND(ISERROR(MATCH(data!V119, rule_mapping!$C$2:$C$325, 0))=FALSE, LEN(data!V119) &lt;= 4)</f>
        <v>0</v>
      </c>
      <c r="AF119" s="4" t="b">
        <f>LEN(data!W119)&gt;0</f>
        <v>0</v>
      </c>
      <c r="AG119" s="4" t="b">
        <f>LEN(data!W119)&lt;=20</f>
        <v>1</v>
      </c>
      <c r="AH119" s="4" t="b">
        <f xml:space="preserve"> IFERROR(ISNUMBER(data!X119), FALSE)</f>
        <v>0</v>
      </c>
      <c r="AI119" s="4" t="b">
        <f>IF(ISERROR(MATCH(data!Y119, rule_mapping!$D$2:$D$252, 0))=FALSE,TRUE, FALSE)</f>
        <v>0</v>
      </c>
      <c r="AJ119" s="4" t="b">
        <f>IFERROR(ISNUMBER(data!Z119), FALSE)</f>
        <v>0</v>
      </c>
      <c r="AK119" s="4" t="b">
        <f>IFERROR(ISNUMBER(data!AA119), FALSE)</f>
        <v>0</v>
      </c>
      <c r="AL119" s="4" t="b">
        <f>LEN(data!AB119)&lt;=90</f>
        <v>1</v>
      </c>
      <c r="AM119" s="4" t="b">
        <f>LEN(data!AC119)&gt;0</f>
        <v>0</v>
      </c>
      <c r="AN119" s="4" t="b">
        <f>LEN(data!AC119)&lt;=2000</f>
        <v>1</v>
      </c>
      <c r="AO119" s="4" t="b">
        <f>IF(LEN(data!AD119)=0,TRUE,IF(LEN(data!AD119)=5,TRUE,FALSE))</f>
        <v>1</v>
      </c>
      <c r="AP119" s="4" t="b">
        <f>LEN(data!AE119)&gt;0</f>
        <v>0</v>
      </c>
      <c r="AQ119" s="4" t="b">
        <f>LEN(data!AE119)=5</f>
        <v>0</v>
      </c>
      <c r="AR119" s="4" t="b">
        <f>ISERROR(MATCH(data!AF119, rule_mapping!$B$2:$B$3, 0))=FALSE</f>
        <v>0</v>
      </c>
      <c r="AS119" s="4" t="b">
        <f>ISERROR(MATCH(data!AG119, rule_mapping!$A$2:$A$8, 0))=FALSE</f>
        <v>0</v>
      </c>
      <c r="AT119" s="4" t="b">
        <f>LEN(data!AH119)&lt;=4</f>
        <v>1</v>
      </c>
      <c r="AU119" s="4" t="b">
        <f>LEN(data!AI119)&lt;=10</f>
        <v>1</v>
      </c>
      <c r="AV119" s="4" t="b">
        <f>LEN(data!AJ119)&lt;=35</f>
        <v>1</v>
      </c>
      <c r="AW119" s="4" t="b">
        <f>LEN(data!AK119)&lt;=20</f>
        <v>1</v>
      </c>
      <c r="AX119"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0" spans="1:50" ht="409.5" x14ac:dyDescent="0.15">
      <c r="A120" s="4" t="b">
        <f>OR(ISBLANK(data!B120), AND(B120:AW120))</f>
        <v>1</v>
      </c>
      <c r="B120" s="4" t="b">
        <f>AND(LEFT(TRIM(data!B120), 4)="OOLU", ISNUMBER(RIGHT(TRIM(data!B120), LEN(TRIM(data!B120))-4)+0))</f>
        <v>0</v>
      </c>
      <c r="C120" s="4" t="b">
        <f>LEN(data!C120)&gt;0</f>
        <v>0</v>
      </c>
      <c r="D120" s="4" t="b">
        <f>LEN(data!C120)&lt;=70</f>
        <v>1</v>
      </c>
      <c r="E120" s="4" t="b">
        <f>LEN(data!D120)&gt;0</f>
        <v>0</v>
      </c>
      <c r="F120" s="4" t="b">
        <f>LEN(data!D120)&lt;=140</f>
        <v>1</v>
      </c>
      <c r="G120" s="4" t="b">
        <f>LEN(data!E120)&gt;0</f>
        <v>0</v>
      </c>
      <c r="H120" s="4" t="b">
        <f>LEN(data!E120)&lt;=35</f>
        <v>1</v>
      </c>
      <c r="I120" s="4" t="b">
        <f>LEN(data!F120)=2</f>
        <v>0</v>
      </c>
      <c r="J120" s="4" t="b">
        <f>LEN(data!G120)&gt;0</f>
        <v>0</v>
      </c>
      <c r="K120" s="4" t="b">
        <f>LEN(data!G120)&lt;=60</f>
        <v>1</v>
      </c>
      <c r="L120" s="4" t="b">
        <f>LEN(data!I120)&gt;0</f>
        <v>0</v>
      </c>
      <c r="M120" s="4" t="b">
        <f>LEN(data!I120)&lt;=70</f>
        <v>1</v>
      </c>
      <c r="N120" s="4" t="b">
        <f>LEN(data!J120)&gt;0</f>
        <v>0</v>
      </c>
      <c r="O120" s="4" t="b">
        <f>LEN(data!J120)&lt;=140</f>
        <v>1</v>
      </c>
      <c r="P120" s="4" t="b">
        <f>LEN(data!K120)&gt;0</f>
        <v>0</v>
      </c>
      <c r="Q120" s="4" t="b">
        <f>LEN(data!K120)&lt;=35</f>
        <v>1</v>
      </c>
      <c r="R120" s="4" t="b">
        <f>LEN(data!L120)=2</f>
        <v>0</v>
      </c>
      <c r="S120" s="4" t="b">
        <f>LEN(data!M120)&gt;0</f>
        <v>0</v>
      </c>
      <c r="T120" s="4" t="b">
        <f>LEN(data!M120)&lt;=60</f>
        <v>1</v>
      </c>
      <c r="U120" s="4" t="b">
        <f>LEN(data!O120)&gt;0</f>
        <v>0</v>
      </c>
      <c r="V120" s="4" t="b">
        <f>LEN(data!O120)&lt;=70</f>
        <v>1</v>
      </c>
      <c r="W120" s="4" t="b">
        <f>LEN(data!P120)&gt;0</f>
        <v>0</v>
      </c>
      <c r="X120" s="4" t="b">
        <f>LEN(data!P120)&lt;=140</f>
        <v>1</v>
      </c>
      <c r="Y120" s="4" t="b">
        <f>LEN(data!Q120)&gt;0</f>
        <v>0</v>
      </c>
      <c r="Z120" s="4" t="b">
        <f>LEN(data!Q120)&lt;=35</f>
        <v>1</v>
      </c>
      <c r="AA120" s="4" t="b">
        <f>LEN(data!R120)=2</f>
        <v>0</v>
      </c>
      <c r="AB120" s="4" t="b">
        <f>LEN(data!S120)&gt;0</f>
        <v>0</v>
      </c>
      <c r="AC120" s="4" t="b">
        <f>LEN(data!S120)&lt;=120</f>
        <v>1</v>
      </c>
      <c r="AD120" s="4" t="b">
        <f>LEN(data!U120)=11</f>
        <v>0</v>
      </c>
      <c r="AE120" s="4" t="b">
        <f>AND(ISERROR(MATCH(data!V120, rule_mapping!$C$2:$C$325, 0))=FALSE, LEN(data!V120) &lt;= 4)</f>
        <v>0</v>
      </c>
      <c r="AF120" s="4" t="b">
        <f>LEN(data!W120)&gt;0</f>
        <v>0</v>
      </c>
      <c r="AG120" s="4" t="b">
        <f>LEN(data!W120)&lt;=20</f>
        <v>1</v>
      </c>
      <c r="AH120" s="4" t="b">
        <f xml:space="preserve"> IFERROR(ISNUMBER(data!X120), FALSE)</f>
        <v>0</v>
      </c>
      <c r="AI120" s="4" t="b">
        <f>IF(ISERROR(MATCH(data!Y120, rule_mapping!$D$2:$D$252, 0))=FALSE,TRUE, FALSE)</f>
        <v>0</v>
      </c>
      <c r="AJ120" s="4" t="b">
        <f>IFERROR(ISNUMBER(data!Z120), FALSE)</f>
        <v>0</v>
      </c>
      <c r="AK120" s="4" t="b">
        <f>IFERROR(ISNUMBER(data!AA120), FALSE)</f>
        <v>0</v>
      </c>
      <c r="AL120" s="4" t="b">
        <f>LEN(data!AB120)&lt;=90</f>
        <v>1</v>
      </c>
      <c r="AM120" s="4" t="b">
        <f>LEN(data!AC120)&gt;0</f>
        <v>0</v>
      </c>
      <c r="AN120" s="4" t="b">
        <f>LEN(data!AC120)&lt;=2000</f>
        <v>1</v>
      </c>
      <c r="AO120" s="4" t="b">
        <f>IF(LEN(data!AD120)=0,TRUE,IF(LEN(data!AD120)=5,TRUE,FALSE))</f>
        <v>1</v>
      </c>
      <c r="AP120" s="4" t="b">
        <f>LEN(data!AE120)&gt;0</f>
        <v>0</v>
      </c>
      <c r="AQ120" s="4" t="b">
        <f>LEN(data!AE120)=5</f>
        <v>0</v>
      </c>
      <c r="AR120" s="4" t="b">
        <f>ISERROR(MATCH(data!AF120, rule_mapping!$B$2:$B$3, 0))=FALSE</f>
        <v>0</v>
      </c>
      <c r="AS120" s="4" t="b">
        <f>ISERROR(MATCH(data!AG120, rule_mapping!$A$2:$A$8, 0))=FALSE</f>
        <v>0</v>
      </c>
      <c r="AT120" s="4" t="b">
        <f>LEN(data!AH120)&lt;=4</f>
        <v>1</v>
      </c>
      <c r="AU120" s="4" t="b">
        <f>LEN(data!AI120)&lt;=10</f>
        <v>1</v>
      </c>
      <c r="AV120" s="4" t="b">
        <f>LEN(data!AJ120)&lt;=35</f>
        <v>1</v>
      </c>
      <c r="AW120" s="4" t="b">
        <f>LEN(data!AK120)&lt;=20</f>
        <v>1</v>
      </c>
      <c r="AX120"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1" spans="1:50" ht="409.5" x14ac:dyDescent="0.15">
      <c r="A121" s="4" t="b">
        <f>OR(ISBLANK(data!B121), AND(B121:AW121))</f>
        <v>1</v>
      </c>
      <c r="B121" s="4" t="b">
        <f>AND(LEFT(TRIM(data!B121), 4)="OOLU", ISNUMBER(RIGHT(TRIM(data!B121), LEN(TRIM(data!B121))-4)+0))</f>
        <v>0</v>
      </c>
      <c r="C121" s="4" t="b">
        <f>LEN(data!C121)&gt;0</f>
        <v>0</v>
      </c>
      <c r="D121" s="4" t="b">
        <f>LEN(data!C121)&lt;=70</f>
        <v>1</v>
      </c>
      <c r="E121" s="4" t="b">
        <f>LEN(data!D121)&gt;0</f>
        <v>0</v>
      </c>
      <c r="F121" s="4" t="b">
        <f>LEN(data!D121)&lt;=140</f>
        <v>1</v>
      </c>
      <c r="G121" s="4" t="b">
        <f>LEN(data!E121)&gt;0</f>
        <v>0</v>
      </c>
      <c r="H121" s="4" t="b">
        <f>LEN(data!E121)&lt;=35</f>
        <v>1</v>
      </c>
      <c r="I121" s="4" t="b">
        <f>LEN(data!F121)=2</f>
        <v>0</v>
      </c>
      <c r="J121" s="4" t="b">
        <f>LEN(data!G121)&gt;0</f>
        <v>0</v>
      </c>
      <c r="K121" s="4" t="b">
        <f>LEN(data!G121)&lt;=60</f>
        <v>1</v>
      </c>
      <c r="L121" s="4" t="b">
        <f>LEN(data!I121)&gt;0</f>
        <v>0</v>
      </c>
      <c r="M121" s="4" t="b">
        <f>LEN(data!I121)&lt;=70</f>
        <v>1</v>
      </c>
      <c r="N121" s="4" t="b">
        <f>LEN(data!J121)&gt;0</f>
        <v>0</v>
      </c>
      <c r="O121" s="4" t="b">
        <f>LEN(data!J121)&lt;=140</f>
        <v>1</v>
      </c>
      <c r="P121" s="4" t="b">
        <f>LEN(data!K121)&gt;0</f>
        <v>0</v>
      </c>
      <c r="Q121" s="4" t="b">
        <f>LEN(data!K121)&lt;=35</f>
        <v>1</v>
      </c>
      <c r="R121" s="4" t="b">
        <f>LEN(data!L121)=2</f>
        <v>0</v>
      </c>
      <c r="S121" s="4" t="b">
        <f>LEN(data!M121)&gt;0</f>
        <v>0</v>
      </c>
      <c r="T121" s="4" t="b">
        <f>LEN(data!M121)&lt;=60</f>
        <v>1</v>
      </c>
      <c r="U121" s="4" t="b">
        <f>LEN(data!O121)&gt;0</f>
        <v>0</v>
      </c>
      <c r="V121" s="4" t="b">
        <f>LEN(data!O121)&lt;=70</f>
        <v>1</v>
      </c>
      <c r="W121" s="4" t="b">
        <f>LEN(data!P121)&gt;0</f>
        <v>0</v>
      </c>
      <c r="X121" s="4" t="b">
        <f>LEN(data!P121)&lt;=140</f>
        <v>1</v>
      </c>
      <c r="Y121" s="4" t="b">
        <f>LEN(data!Q121)&gt;0</f>
        <v>0</v>
      </c>
      <c r="Z121" s="4" t="b">
        <f>LEN(data!Q121)&lt;=35</f>
        <v>1</v>
      </c>
      <c r="AA121" s="4" t="b">
        <f>LEN(data!R121)=2</f>
        <v>0</v>
      </c>
      <c r="AB121" s="4" t="b">
        <f>LEN(data!S121)&gt;0</f>
        <v>0</v>
      </c>
      <c r="AC121" s="4" t="b">
        <f>LEN(data!S121)&lt;=120</f>
        <v>1</v>
      </c>
      <c r="AD121" s="4" t="b">
        <f>LEN(data!U121)=11</f>
        <v>0</v>
      </c>
      <c r="AE121" s="4" t="b">
        <f>AND(ISERROR(MATCH(data!V121, rule_mapping!$C$2:$C$325, 0))=FALSE, LEN(data!V121) &lt;= 4)</f>
        <v>0</v>
      </c>
      <c r="AF121" s="4" t="b">
        <f>LEN(data!W121)&gt;0</f>
        <v>0</v>
      </c>
      <c r="AG121" s="4" t="b">
        <f>LEN(data!W121)&lt;=20</f>
        <v>1</v>
      </c>
      <c r="AH121" s="4" t="b">
        <f xml:space="preserve"> IFERROR(ISNUMBER(data!X121), FALSE)</f>
        <v>0</v>
      </c>
      <c r="AI121" s="4" t="b">
        <f>IF(ISERROR(MATCH(data!Y121, rule_mapping!$D$2:$D$252, 0))=FALSE,TRUE, FALSE)</f>
        <v>0</v>
      </c>
      <c r="AJ121" s="4" t="b">
        <f>IFERROR(ISNUMBER(data!Z121), FALSE)</f>
        <v>0</v>
      </c>
      <c r="AK121" s="4" t="b">
        <f>IFERROR(ISNUMBER(data!AA121), FALSE)</f>
        <v>0</v>
      </c>
      <c r="AL121" s="4" t="b">
        <f>LEN(data!AB121)&lt;=90</f>
        <v>1</v>
      </c>
      <c r="AM121" s="4" t="b">
        <f>LEN(data!AC121)&gt;0</f>
        <v>0</v>
      </c>
      <c r="AN121" s="4" t="b">
        <f>LEN(data!AC121)&lt;=2000</f>
        <v>1</v>
      </c>
      <c r="AO121" s="4" t="b">
        <f>IF(LEN(data!AD121)=0,TRUE,IF(LEN(data!AD121)=5,TRUE,FALSE))</f>
        <v>1</v>
      </c>
      <c r="AP121" s="4" t="b">
        <f>LEN(data!AE121)&gt;0</f>
        <v>0</v>
      </c>
      <c r="AQ121" s="4" t="b">
        <f>LEN(data!AE121)=5</f>
        <v>0</v>
      </c>
      <c r="AR121" s="4" t="b">
        <f>ISERROR(MATCH(data!AF121, rule_mapping!$B$2:$B$3, 0))=FALSE</f>
        <v>0</v>
      </c>
      <c r="AS121" s="4" t="b">
        <f>ISERROR(MATCH(data!AG121, rule_mapping!$A$2:$A$8, 0))=FALSE</f>
        <v>0</v>
      </c>
      <c r="AT121" s="4" t="b">
        <f>LEN(data!AH121)&lt;=4</f>
        <v>1</v>
      </c>
      <c r="AU121" s="4" t="b">
        <f>LEN(data!AI121)&lt;=10</f>
        <v>1</v>
      </c>
      <c r="AV121" s="4" t="b">
        <f>LEN(data!AJ121)&lt;=35</f>
        <v>1</v>
      </c>
      <c r="AW121" s="4" t="b">
        <f>LEN(data!AK121)&lt;=20</f>
        <v>1</v>
      </c>
      <c r="AX121"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2" spans="1:50" ht="409.5" x14ac:dyDescent="0.15">
      <c r="A122" s="4" t="b">
        <f>OR(ISBLANK(data!B122), AND(B122:AW122))</f>
        <v>1</v>
      </c>
      <c r="B122" s="4" t="b">
        <f>AND(LEFT(TRIM(data!B122), 4)="OOLU", ISNUMBER(RIGHT(TRIM(data!B122), LEN(TRIM(data!B122))-4)+0))</f>
        <v>0</v>
      </c>
      <c r="C122" s="4" t="b">
        <f>LEN(data!C122)&gt;0</f>
        <v>0</v>
      </c>
      <c r="D122" s="4" t="b">
        <f>LEN(data!C122)&lt;=70</f>
        <v>1</v>
      </c>
      <c r="E122" s="4" t="b">
        <f>LEN(data!D122)&gt;0</f>
        <v>0</v>
      </c>
      <c r="F122" s="4" t="b">
        <f>LEN(data!D122)&lt;=140</f>
        <v>1</v>
      </c>
      <c r="G122" s="4" t="b">
        <f>LEN(data!E122)&gt;0</f>
        <v>0</v>
      </c>
      <c r="H122" s="4" t="b">
        <f>LEN(data!E122)&lt;=35</f>
        <v>1</v>
      </c>
      <c r="I122" s="4" t="b">
        <f>LEN(data!F122)=2</f>
        <v>0</v>
      </c>
      <c r="J122" s="4" t="b">
        <f>LEN(data!G122)&gt;0</f>
        <v>0</v>
      </c>
      <c r="K122" s="4" t="b">
        <f>LEN(data!G122)&lt;=60</f>
        <v>1</v>
      </c>
      <c r="L122" s="4" t="b">
        <f>LEN(data!I122)&gt;0</f>
        <v>0</v>
      </c>
      <c r="M122" s="4" t="b">
        <f>LEN(data!I122)&lt;=70</f>
        <v>1</v>
      </c>
      <c r="N122" s="4" t="b">
        <f>LEN(data!J122)&gt;0</f>
        <v>0</v>
      </c>
      <c r="O122" s="4" t="b">
        <f>LEN(data!J122)&lt;=140</f>
        <v>1</v>
      </c>
      <c r="P122" s="4" t="b">
        <f>LEN(data!K122)&gt;0</f>
        <v>0</v>
      </c>
      <c r="Q122" s="4" t="b">
        <f>LEN(data!K122)&lt;=35</f>
        <v>1</v>
      </c>
      <c r="R122" s="4" t="b">
        <f>LEN(data!L122)=2</f>
        <v>0</v>
      </c>
      <c r="S122" s="4" t="b">
        <f>LEN(data!M122)&gt;0</f>
        <v>0</v>
      </c>
      <c r="T122" s="4" t="b">
        <f>LEN(data!M122)&lt;=60</f>
        <v>1</v>
      </c>
      <c r="U122" s="4" t="b">
        <f>LEN(data!O122)&gt;0</f>
        <v>0</v>
      </c>
      <c r="V122" s="4" t="b">
        <f>LEN(data!O122)&lt;=70</f>
        <v>1</v>
      </c>
      <c r="W122" s="4" t="b">
        <f>LEN(data!P122)&gt;0</f>
        <v>0</v>
      </c>
      <c r="X122" s="4" t="b">
        <f>LEN(data!P122)&lt;=140</f>
        <v>1</v>
      </c>
      <c r="Y122" s="4" t="b">
        <f>LEN(data!Q122)&gt;0</f>
        <v>0</v>
      </c>
      <c r="Z122" s="4" t="b">
        <f>LEN(data!Q122)&lt;=35</f>
        <v>1</v>
      </c>
      <c r="AA122" s="4" t="b">
        <f>LEN(data!R122)=2</f>
        <v>0</v>
      </c>
      <c r="AB122" s="4" t="b">
        <f>LEN(data!S122)&gt;0</f>
        <v>0</v>
      </c>
      <c r="AC122" s="4" t="b">
        <f>LEN(data!S122)&lt;=120</f>
        <v>1</v>
      </c>
      <c r="AD122" s="4" t="b">
        <f>LEN(data!U122)=11</f>
        <v>0</v>
      </c>
      <c r="AE122" s="4" t="b">
        <f>AND(ISERROR(MATCH(data!V122, rule_mapping!$C$2:$C$325, 0))=FALSE, LEN(data!V122) &lt;= 4)</f>
        <v>0</v>
      </c>
      <c r="AF122" s="4" t="b">
        <f>LEN(data!W122)&gt;0</f>
        <v>0</v>
      </c>
      <c r="AG122" s="4" t="b">
        <f>LEN(data!W122)&lt;=20</f>
        <v>1</v>
      </c>
      <c r="AH122" s="4" t="b">
        <f xml:space="preserve"> IFERROR(ISNUMBER(data!X122), FALSE)</f>
        <v>0</v>
      </c>
      <c r="AI122" s="4" t="b">
        <f>IF(ISERROR(MATCH(data!Y122, rule_mapping!$D$2:$D$252, 0))=FALSE,TRUE, FALSE)</f>
        <v>0</v>
      </c>
      <c r="AJ122" s="4" t="b">
        <f>IFERROR(ISNUMBER(data!Z122), FALSE)</f>
        <v>0</v>
      </c>
      <c r="AK122" s="4" t="b">
        <f>IFERROR(ISNUMBER(data!AA122), FALSE)</f>
        <v>0</v>
      </c>
      <c r="AL122" s="4" t="b">
        <f>LEN(data!AB122)&lt;=90</f>
        <v>1</v>
      </c>
      <c r="AM122" s="4" t="b">
        <f>LEN(data!AC122)&gt;0</f>
        <v>0</v>
      </c>
      <c r="AN122" s="4" t="b">
        <f>LEN(data!AC122)&lt;=2000</f>
        <v>1</v>
      </c>
      <c r="AO122" s="4" t="b">
        <f>IF(LEN(data!AD122)=0,TRUE,IF(LEN(data!AD122)=5,TRUE,FALSE))</f>
        <v>1</v>
      </c>
      <c r="AP122" s="4" t="b">
        <f>LEN(data!AE122)&gt;0</f>
        <v>0</v>
      </c>
      <c r="AQ122" s="4" t="b">
        <f>LEN(data!AE122)=5</f>
        <v>0</v>
      </c>
      <c r="AR122" s="4" t="b">
        <f>ISERROR(MATCH(data!AF122, rule_mapping!$B$2:$B$3, 0))=FALSE</f>
        <v>0</v>
      </c>
      <c r="AS122" s="4" t="b">
        <f>ISERROR(MATCH(data!AG122, rule_mapping!$A$2:$A$8, 0))=FALSE</f>
        <v>0</v>
      </c>
      <c r="AT122" s="4" t="b">
        <f>LEN(data!AH122)&lt;=4</f>
        <v>1</v>
      </c>
      <c r="AU122" s="4" t="b">
        <f>LEN(data!AI122)&lt;=10</f>
        <v>1</v>
      </c>
      <c r="AV122" s="4" t="b">
        <f>LEN(data!AJ122)&lt;=35</f>
        <v>1</v>
      </c>
      <c r="AW122" s="4" t="b">
        <f>LEN(data!AK122)&lt;=20</f>
        <v>1</v>
      </c>
      <c r="AX122"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3" spans="1:50" ht="409.5" x14ac:dyDescent="0.15">
      <c r="A123" s="4" t="b">
        <f>OR(ISBLANK(data!B123), AND(B123:AW123))</f>
        <v>1</v>
      </c>
      <c r="B123" s="4" t="b">
        <f>AND(LEFT(TRIM(data!B123), 4)="OOLU", ISNUMBER(RIGHT(TRIM(data!B123), LEN(TRIM(data!B123))-4)+0))</f>
        <v>0</v>
      </c>
      <c r="C123" s="4" t="b">
        <f>LEN(data!C123)&gt;0</f>
        <v>0</v>
      </c>
      <c r="D123" s="4" t="b">
        <f>LEN(data!C123)&lt;=70</f>
        <v>1</v>
      </c>
      <c r="E123" s="4" t="b">
        <f>LEN(data!D123)&gt;0</f>
        <v>0</v>
      </c>
      <c r="F123" s="4" t="b">
        <f>LEN(data!D123)&lt;=140</f>
        <v>1</v>
      </c>
      <c r="G123" s="4" t="b">
        <f>LEN(data!E123)&gt;0</f>
        <v>0</v>
      </c>
      <c r="H123" s="4" t="b">
        <f>LEN(data!E123)&lt;=35</f>
        <v>1</v>
      </c>
      <c r="I123" s="4" t="b">
        <f>LEN(data!F123)=2</f>
        <v>0</v>
      </c>
      <c r="J123" s="4" t="b">
        <f>LEN(data!G123)&gt;0</f>
        <v>0</v>
      </c>
      <c r="K123" s="4" t="b">
        <f>LEN(data!G123)&lt;=60</f>
        <v>1</v>
      </c>
      <c r="L123" s="4" t="b">
        <f>LEN(data!I123)&gt;0</f>
        <v>0</v>
      </c>
      <c r="M123" s="4" t="b">
        <f>LEN(data!I123)&lt;=70</f>
        <v>1</v>
      </c>
      <c r="N123" s="4" t="b">
        <f>LEN(data!J123)&gt;0</f>
        <v>0</v>
      </c>
      <c r="O123" s="4" t="b">
        <f>LEN(data!J123)&lt;=140</f>
        <v>1</v>
      </c>
      <c r="P123" s="4" t="b">
        <f>LEN(data!K123)&gt;0</f>
        <v>0</v>
      </c>
      <c r="Q123" s="4" t="b">
        <f>LEN(data!K123)&lt;=35</f>
        <v>1</v>
      </c>
      <c r="R123" s="4" t="b">
        <f>LEN(data!L123)=2</f>
        <v>0</v>
      </c>
      <c r="S123" s="4" t="b">
        <f>LEN(data!M123)&gt;0</f>
        <v>0</v>
      </c>
      <c r="T123" s="4" t="b">
        <f>LEN(data!M123)&lt;=60</f>
        <v>1</v>
      </c>
      <c r="U123" s="4" t="b">
        <f>LEN(data!O123)&gt;0</f>
        <v>0</v>
      </c>
      <c r="V123" s="4" t="b">
        <f>LEN(data!O123)&lt;=70</f>
        <v>1</v>
      </c>
      <c r="W123" s="4" t="b">
        <f>LEN(data!P123)&gt;0</f>
        <v>0</v>
      </c>
      <c r="X123" s="4" t="b">
        <f>LEN(data!P123)&lt;=140</f>
        <v>1</v>
      </c>
      <c r="Y123" s="4" t="b">
        <f>LEN(data!Q123)&gt;0</f>
        <v>0</v>
      </c>
      <c r="Z123" s="4" t="b">
        <f>LEN(data!Q123)&lt;=35</f>
        <v>1</v>
      </c>
      <c r="AA123" s="4" t="b">
        <f>LEN(data!R123)=2</f>
        <v>0</v>
      </c>
      <c r="AB123" s="4" t="b">
        <f>LEN(data!S123)&gt;0</f>
        <v>0</v>
      </c>
      <c r="AC123" s="4" t="b">
        <f>LEN(data!S123)&lt;=120</f>
        <v>1</v>
      </c>
      <c r="AD123" s="4" t="b">
        <f>LEN(data!U123)=11</f>
        <v>0</v>
      </c>
      <c r="AE123" s="4" t="b">
        <f>AND(ISERROR(MATCH(data!V123, rule_mapping!$C$2:$C$325, 0))=FALSE, LEN(data!V123) &lt;= 4)</f>
        <v>0</v>
      </c>
      <c r="AF123" s="4" t="b">
        <f>LEN(data!W123)&gt;0</f>
        <v>0</v>
      </c>
      <c r="AG123" s="4" t="b">
        <f>LEN(data!W123)&lt;=20</f>
        <v>1</v>
      </c>
      <c r="AH123" s="4" t="b">
        <f xml:space="preserve"> IFERROR(ISNUMBER(data!X123), FALSE)</f>
        <v>0</v>
      </c>
      <c r="AI123" s="4" t="b">
        <f>IF(ISERROR(MATCH(data!Y123, rule_mapping!$D$2:$D$252, 0))=FALSE,TRUE, FALSE)</f>
        <v>0</v>
      </c>
      <c r="AJ123" s="4" t="b">
        <f>IFERROR(ISNUMBER(data!Z123), FALSE)</f>
        <v>0</v>
      </c>
      <c r="AK123" s="4" t="b">
        <f>IFERROR(ISNUMBER(data!AA123), FALSE)</f>
        <v>0</v>
      </c>
      <c r="AL123" s="4" t="b">
        <f>LEN(data!AB123)&lt;=90</f>
        <v>1</v>
      </c>
      <c r="AM123" s="4" t="b">
        <f>LEN(data!AC123)&gt;0</f>
        <v>0</v>
      </c>
      <c r="AN123" s="4" t="b">
        <f>LEN(data!AC123)&lt;=2000</f>
        <v>1</v>
      </c>
      <c r="AO123" s="4" t="b">
        <f>IF(LEN(data!AD123)=0,TRUE,IF(LEN(data!AD123)=5,TRUE,FALSE))</f>
        <v>1</v>
      </c>
      <c r="AP123" s="4" t="b">
        <f>LEN(data!AE123)&gt;0</f>
        <v>0</v>
      </c>
      <c r="AQ123" s="4" t="b">
        <f>LEN(data!AE123)=5</f>
        <v>0</v>
      </c>
      <c r="AR123" s="4" t="b">
        <f>ISERROR(MATCH(data!AF123, rule_mapping!$B$2:$B$3, 0))=FALSE</f>
        <v>0</v>
      </c>
      <c r="AS123" s="4" t="b">
        <f>ISERROR(MATCH(data!AG123, rule_mapping!$A$2:$A$8, 0))=FALSE</f>
        <v>0</v>
      </c>
      <c r="AT123" s="4" t="b">
        <f>LEN(data!AH123)&lt;=4</f>
        <v>1</v>
      </c>
      <c r="AU123" s="4" t="b">
        <f>LEN(data!AI123)&lt;=10</f>
        <v>1</v>
      </c>
      <c r="AV123" s="4" t="b">
        <f>LEN(data!AJ123)&lt;=35</f>
        <v>1</v>
      </c>
      <c r="AW123" s="4" t="b">
        <f>LEN(data!AK123)&lt;=20</f>
        <v>1</v>
      </c>
      <c r="AX123"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4" spans="1:50" ht="409.5" x14ac:dyDescent="0.15">
      <c r="A124" s="4" t="b">
        <f>OR(ISBLANK(data!B124), AND(B124:AW124))</f>
        <v>1</v>
      </c>
      <c r="B124" s="4" t="b">
        <f>AND(LEFT(TRIM(data!B124), 4)="OOLU", ISNUMBER(RIGHT(TRIM(data!B124), LEN(TRIM(data!B124))-4)+0))</f>
        <v>0</v>
      </c>
      <c r="C124" s="4" t="b">
        <f>LEN(data!C124)&gt;0</f>
        <v>0</v>
      </c>
      <c r="D124" s="4" t="b">
        <f>LEN(data!C124)&lt;=70</f>
        <v>1</v>
      </c>
      <c r="E124" s="4" t="b">
        <f>LEN(data!D124)&gt;0</f>
        <v>0</v>
      </c>
      <c r="F124" s="4" t="b">
        <f>LEN(data!D124)&lt;=140</f>
        <v>1</v>
      </c>
      <c r="G124" s="4" t="b">
        <f>LEN(data!E124)&gt;0</f>
        <v>0</v>
      </c>
      <c r="H124" s="4" t="b">
        <f>LEN(data!E124)&lt;=35</f>
        <v>1</v>
      </c>
      <c r="I124" s="4" t="b">
        <f>LEN(data!F124)=2</f>
        <v>0</v>
      </c>
      <c r="J124" s="4" t="b">
        <f>LEN(data!G124)&gt;0</f>
        <v>0</v>
      </c>
      <c r="K124" s="4" t="b">
        <f>LEN(data!G124)&lt;=60</f>
        <v>1</v>
      </c>
      <c r="L124" s="4" t="b">
        <f>LEN(data!I124)&gt;0</f>
        <v>0</v>
      </c>
      <c r="M124" s="4" t="b">
        <f>LEN(data!I124)&lt;=70</f>
        <v>1</v>
      </c>
      <c r="N124" s="4" t="b">
        <f>LEN(data!J124)&gt;0</f>
        <v>0</v>
      </c>
      <c r="O124" s="4" t="b">
        <f>LEN(data!J124)&lt;=140</f>
        <v>1</v>
      </c>
      <c r="P124" s="4" t="b">
        <f>LEN(data!K124)&gt;0</f>
        <v>0</v>
      </c>
      <c r="Q124" s="4" t="b">
        <f>LEN(data!K124)&lt;=35</f>
        <v>1</v>
      </c>
      <c r="R124" s="4" t="b">
        <f>LEN(data!L124)=2</f>
        <v>0</v>
      </c>
      <c r="S124" s="4" t="b">
        <f>LEN(data!M124)&gt;0</f>
        <v>0</v>
      </c>
      <c r="T124" s="4" t="b">
        <f>LEN(data!M124)&lt;=60</f>
        <v>1</v>
      </c>
      <c r="U124" s="4" t="b">
        <f>LEN(data!O124)&gt;0</f>
        <v>0</v>
      </c>
      <c r="V124" s="4" t="b">
        <f>LEN(data!O124)&lt;=70</f>
        <v>1</v>
      </c>
      <c r="W124" s="4" t="b">
        <f>LEN(data!P124)&gt;0</f>
        <v>0</v>
      </c>
      <c r="X124" s="4" t="b">
        <f>LEN(data!P124)&lt;=140</f>
        <v>1</v>
      </c>
      <c r="Y124" s="4" t="b">
        <f>LEN(data!Q124)&gt;0</f>
        <v>0</v>
      </c>
      <c r="Z124" s="4" t="b">
        <f>LEN(data!Q124)&lt;=35</f>
        <v>1</v>
      </c>
      <c r="AA124" s="4" t="b">
        <f>LEN(data!R124)=2</f>
        <v>0</v>
      </c>
      <c r="AB124" s="4" t="b">
        <f>LEN(data!S124)&gt;0</f>
        <v>0</v>
      </c>
      <c r="AC124" s="4" t="b">
        <f>LEN(data!S124)&lt;=120</f>
        <v>1</v>
      </c>
      <c r="AD124" s="4" t="b">
        <f>LEN(data!U124)=11</f>
        <v>0</v>
      </c>
      <c r="AE124" s="4" t="b">
        <f>AND(ISERROR(MATCH(data!V124, rule_mapping!$C$2:$C$325, 0))=FALSE, LEN(data!V124) &lt;= 4)</f>
        <v>0</v>
      </c>
      <c r="AF124" s="4" t="b">
        <f>LEN(data!W124)&gt;0</f>
        <v>0</v>
      </c>
      <c r="AG124" s="4" t="b">
        <f>LEN(data!W124)&lt;=20</f>
        <v>1</v>
      </c>
      <c r="AH124" s="4" t="b">
        <f xml:space="preserve"> IFERROR(ISNUMBER(data!X124), FALSE)</f>
        <v>0</v>
      </c>
      <c r="AI124" s="4" t="b">
        <f>IF(ISERROR(MATCH(data!Y124, rule_mapping!$D$2:$D$252, 0))=FALSE,TRUE, FALSE)</f>
        <v>0</v>
      </c>
      <c r="AJ124" s="4" t="b">
        <f>IFERROR(ISNUMBER(data!Z124), FALSE)</f>
        <v>0</v>
      </c>
      <c r="AK124" s="4" t="b">
        <f>IFERROR(ISNUMBER(data!AA124), FALSE)</f>
        <v>0</v>
      </c>
      <c r="AL124" s="4" t="b">
        <f>LEN(data!AB124)&lt;=90</f>
        <v>1</v>
      </c>
      <c r="AM124" s="4" t="b">
        <f>LEN(data!AC124)&gt;0</f>
        <v>0</v>
      </c>
      <c r="AN124" s="4" t="b">
        <f>LEN(data!AC124)&lt;=2000</f>
        <v>1</v>
      </c>
      <c r="AO124" s="4" t="b">
        <f>IF(LEN(data!AD124)=0,TRUE,IF(LEN(data!AD124)=5,TRUE,FALSE))</f>
        <v>1</v>
      </c>
      <c r="AP124" s="4" t="b">
        <f>LEN(data!AE124)&gt;0</f>
        <v>0</v>
      </c>
      <c r="AQ124" s="4" t="b">
        <f>LEN(data!AE124)=5</f>
        <v>0</v>
      </c>
      <c r="AR124" s="4" t="b">
        <f>ISERROR(MATCH(data!AF124, rule_mapping!$B$2:$B$3, 0))=FALSE</f>
        <v>0</v>
      </c>
      <c r="AS124" s="4" t="b">
        <f>ISERROR(MATCH(data!AG124, rule_mapping!$A$2:$A$8, 0))=FALSE</f>
        <v>0</v>
      </c>
      <c r="AT124" s="4" t="b">
        <f>LEN(data!AH124)&lt;=4</f>
        <v>1</v>
      </c>
      <c r="AU124" s="4" t="b">
        <f>LEN(data!AI124)&lt;=10</f>
        <v>1</v>
      </c>
      <c r="AV124" s="4" t="b">
        <f>LEN(data!AJ124)&lt;=35</f>
        <v>1</v>
      </c>
      <c r="AW124" s="4" t="b">
        <f>LEN(data!AK124)&lt;=20</f>
        <v>1</v>
      </c>
      <c r="AX124"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5" spans="1:50" ht="409.5" x14ac:dyDescent="0.15">
      <c r="A125" s="4" t="b">
        <f>OR(ISBLANK(data!B125), AND(B125:AW125))</f>
        <v>1</v>
      </c>
      <c r="B125" s="4" t="b">
        <f>AND(LEFT(TRIM(data!B125), 4)="OOLU", ISNUMBER(RIGHT(TRIM(data!B125), LEN(TRIM(data!B125))-4)+0))</f>
        <v>0</v>
      </c>
      <c r="C125" s="4" t="b">
        <f>LEN(data!C125)&gt;0</f>
        <v>0</v>
      </c>
      <c r="D125" s="4" t="b">
        <f>LEN(data!C125)&lt;=70</f>
        <v>1</v>
      </c>
      <c r="E125" s="4" t="b">
        <f>LEN(data!D125)&gt;0</f>
        <v>0</v>
      </c>
      <c r="F125" s="4" t="b">
        <f>LEN(data!D125)&lt;=140</f>
        <v>1</v>
      </c>
      <c r="G125" s="4" t="b">
        <f>LEN(data!E125)&gt;0</f>
        <v>0</v>
      </c>
      <c r="H125" s="4" t="b">
        <f>LEN(data!E125)&lt;=35</f>
        <v>1</v>
      </c>
      <c r="I125" s="4" t="b">
        <f>LEN(data!F125)=2</f>
        <v>0</v>
      </c>
      <c r="J125" s="4" t="b">
        <f>LEN(data!G125)&gt;0</f>
        <v>0</v>
      </c>
      <c r="K125" s="4" t="b">
        <f>LEN(data!G125)&lt;=60</f>
        <v>1</v>
      </c>
      <c r="L125" s="4" t="b">
        <f>LEN(data!I125)&gt;0</f>
        <v>0</v>
      </c>
      <c r="M125" s="4" t="b">
        <f>LEN(data!I125)&lt;=70</f>
        <v>1</v>
      </c>
      <c r="N125" s="4" t="b">
        <f>LEN(data!J125)&gt;0</f>
        <v>0</v>
      </c>
      <c r="O125" s="4" t="b">
        <f>LEN(data!J125)&lt;=140</f>
        <v>1</v>
      </c>
      <c r="P125" s="4" t="b">
        <f>LEN(data!K125)&gt;0</f>
        <v>0</v>
      </c>
      <c r="Q125" s="4" t="b">
        <f>LEN(data!K125)&lt;=35</f>
        <v>1</v>
      </c>
      <c r="R125" s="4" t="b">
        <f>LEN(data!L125)=2</f>
        <v>0</v>
      </c>
      <c r="S125" s="4" t="b">
        <f>LEN(data!M125)&gt;0</f>
        <v>0</v>
      </c>
      <c r="T125" s="4" t="b">
        <f>LEN(data!M125)&lt;=60</f>
        <v>1</v>
      </c>
      <c r="U125" s="4" t="b">
        <f>LEN(data!O125)&gt;0</f>
        <v>0</v>
      </c>
      <c r="V125" s="4" t="b">
        <f>LEN(data!O125)&lt;=70</f>
        <v>1</v>
      </c>
      <c r="W125" s="4" t="b">
        <f>LEN(data!P125)&gt;0</f>
        <v>0</v>
      </c>
      <c r="X125" s="4" t="b">
        <f>LEN(data!P125)&lt;=140</f>
        <v>1</v>
      </c>
      <c r="Y125" s="4" t="b">
        <f>LEN(data!Q125)&gt;0</f>
        <v>0</v>
      </c>
      <c r="Z125" s="4" t="b">
        <f>LEN(data!Q125)&lt;=35</f>
        <v>1</v>
      </c>
      <c r="AA125" s="4" t="b">
        <f>LEN(data!R125)=2</f>
        <v>0</v>
      </c>
      <c r="AB125" s="4" t="b">
        <f>LEN(data!S125)&gt;0</f>
        <v>0</v>
      </c>
      <c r="AC125" s="4" t="b">
        <f>LEN(data!S125)&lt;=120</f>
        <v>1</v>
      </c>
      <c r="AD125" s="4" t="b">
        <f>LEN(data!U125)=11</f>
        <v>0</v>
      </c>
      <c r="AE125" s="4" t="b">
        <f>AND(ISERROR(MATCH(data!V125, rule_mapping!$C$2:$C$325, 0))=FALSE, LEN(data!V125) &lt;= 4)</f>
        <v>0</v>
      </c>
      <c r="AF125" s="4" t="b">
        <f>LEN(data!W125)&gt;0</f>
        <v>0</v>
      </c>
      <c r="AG125" s="4" t="b">
        <f>LEN(data!W125)&lt;=20</f>
        <v>1</v>
      </c>
      <c r="AH125" s="4" t="b">
        <f xml:space="preserve"> IFERROR(ISNUMBER(data!X125), FALSE)</f>
        <v>0</v>
      </c>
      <c r="AI125" s="4" t="b">
        <f>IF(ISERROR(MATCH(data!Y125, rule_mapping!$D$2:$D$252, 0))=FALSE,TRUE, FALSE)</f>
        <v>0</v>
      </c>
      <c r="AJ125" s="4" t="b">
        <f>IFERROR(ISNUMBER(data!Z125), FALSE)</f>
        <v>0</v>
      </c>
      <c r="AK125" s="4" t="b">
        <f>IFERROR(ISNUMBER(data!AA125), FALSE)</f>
        <v>0</v>
      </c>
      <c r="AL125" s="4" t="b">
        <f>LEN(data!AB125)&lt;=90</f>
        <v>1</v>
      </c>
      <c r="AM125" s="4" t="b">
        <f>LEN(data!AC125)&gt;0</f>
        <v>0</v>
      </c>
      <c r="AN125" s="4" t="b">
        <f>LEN(data!AC125)&lt;=2000</f>
        <v>1</v>
      </c>
      <c r="AO125" s="4" t="b">
        <f>IF(LEN(data!AD125)=0,TRUE,IF(LEN(data!AD125)=5,TRUE,FALSE))</f>
        <v>1</v>
      </c>
      <c r="AP125" s="4" t="b">
        <f>LEN(data!AE125)&gt;0</f>
        <v>0</v>
      </c>
      <c r="AQ125" s="4" t="b">
        <f>LEN(data!AE125)=5</f>
        <v>0</v>
      </c>
      <c r="AR125" s="4" t="b">
        <f>ISERROR(MATCH(data!AF125, rule_mapping!$B$2:$B$3, 0))=FALSE</f>
        <v>0</v>
      </c>
      <c r="AS125" s="4" t="b">
        <f>ISERROR(MATCH(data!AG125, rule_mapping!$A$2:$A$8, 0))=FALSE</f>
        <v>0</v>
      </c>
      <c r="AT125" s="4" t="b">
        <f>LEN(data!AH125)&lt;=4</f>
        <v>1</v>
      </c>
      <c r="AU125" s="4" t="b">
        <f>LEN(data!AI125)&lt;=10</f>
        <v>1</v>
      </c>
      <c r="AV125" s="4" t="b">
        <f>LEN(data!AJ125)&lt;=35</f>
        <v>1</v>
      </c>
      <c r="AW125" s="4" t="b">
        <f>LEN(data!AK125)&lt;=20</f>
        <v>1</v>
      </c>
      <c r="AX125"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6" spans="1:50" ht="409.5" x14ac:dyDescent="0.15">
      <c r="A126" s="4" t="b">
        <f>OR(ISBLANK(data!B126), AND(B126:AW126))</f>
        <v>1</v>
      </c>
      <c r="B126" s="4" t="b">
        <f>AND(LEFT(TRIM(data!B126), 4)="OOLU", ISNUMBER(RIGHT(TRIM(data!B126), LEN(TRIM(data!B126))-4)+0))</f>
        <v>0</v>
      </c>
      <c r="C126" s="4" t="b">
        <f>LEN(data!C126)&gt;0</f>
        <v>0</v>
      </c>
      <c r="D126" s="4" t="b">
        <f>LEN(data!C126)&lt;=70</f>
        <v>1</v>
      </c>
      <c r="E126" s="4" t="b">
        <f>LEN(data!D126)&gt;0</f>
        <v>0</v>
      </c>
      <c r="F126" s="4" t="b">
        <f>LEN(data!D126)&lt;=140</f>
        <v>1</v>
      </c>
      <c r="G126" s="4" t="b">
        <f>LEN(data!E126)&gt;0</f>
        <v>0</v>
      </c>
      <c r="H126" s="4" t="b">
        <f>LEN(data!E126)&lt;=35</f>
        <v>1</v>
      </c>
      <c r="I126" s="4" t="b">
        <f>LEN(data!F126)=2</f>
        <v>0</v>
      </c>
      <c r="J126" s="4" t="b">
        <f>LEN(data!G126)&gt;0</f>
        <v>0</v>
      </c>
      <c r="K126" s="4" t="b">
        <f>LEN(data!G126)&lt;=60</f>
        <v>1</v>
      </c>
      <c r="L126" s="4" t="b">
        <f>LEN(data!I126)&gt;0</f>
        <v>0</v>
      </c>
      <c r="M126" s="4" t="b">
        <f>LEN(data!I126)&lt;=70</f>
        <v>1</v>
      </c>
      <c r="N126" s="4" t="b">
        <f>LEN(data!J126)&gt;0</f>
        <v>0</v>
      </c>
      <c r="O126" s="4" t="b">
        <f>LEN(data!J126)&lt;=140</f>
        <v>1</v>
      </c>
      <c r="P126" s="4" t="b">
        <f>LEN(data!K126)&gt;0</f>
        <v>0</v>
      </c>
      <c r="Q126" s="4" t="b">
        <f>LEN(data!K126)&lt;=35</f>
        <v>1</v>
      </c>
      <c r="R126" s="4" t="b">
        <f>LEN(data!L126)=2</f>
        <v>0</v>
      </c>
      <c r="S126" s="4" t="b">
        <f>LEN(data!M126)&gt;0</f>
        <v>0</v>
      </c>
      <c r="T126" s="4" t="b">
        <f>LEN(data!M126)&lt;=60</f>
        <v>1</v>
      </c>
      <c r="U126" s="4" t="b">
        <f>LEN(data!O126)&gt;0</f>
        <v>0</v>
      </c>
      <c r="V126" s="4" t="b">
        <f>LEN(data!O126)&lt;=70</f>
        <v>1</v>
      </c>
      <c r="W126" s="4" t="b">
        <f>LEN(data!P126)&gt;0</f>
        <v>0</v>
      </c>
      <c r="X126" s="4" t="b">
        <f>LEN(data!P126)&lt;=140</f>
        <v>1</v>
      </c>
      <c r="Y126" s="4" t="b">
        <f>LEN(data!Q126)&gt;0</f>
        <v>0</v>
      </c>
      <c r="Z126" s="4" t="b">
        <f>LEN(data!Q126)&lt;=35</f>
        <v>1</v>
      </c>
      <c r="AA126" s="4" t="b">
        <f>LEN(data!R126)=2</f>
        <v>0</v>
      </c>
      <c r="AB126" s="4" t="b">
        <f>LEN(data!S126)&gt;0</f>
        <v>0</v>
      </c>
      <c r="AC126" s="4" t="b">
        <f>LEN(data!S126)&lt;=120</f>
        <v>1</v>
      </c>
      <c r="AD126" s="4" t="b">
        <f>LEN(data!U126)=11</f>
        <v>0</v>
      </c>
      <c r="AE126" s="4" t="b">
        <f>AND(ISERROR(MATCH(data!V126, rule_mapping!$C$2:$C$325, 0))=FALSE, LEN(data!V126) &lt;= 4)</f>
        <v>0</v>
      </c>
      <c r="AF126" s="4" t="b">
        <f>LEN(data!W126)&gt;0</f>
        <v>0</v>
      </c>
      <c r="AG126" s="4" t="b">
        <f>LEN(data!W126)&lt;=20</f>
        <v>1</v>
      </c>
      <c r="AH126" s="4" t="b">
        <f xml:space="preserve"> IFERROR(ISNUMBER(data!X126), FALSE)</f>
        <v>0</v>
      </c>
      <c r="AI126" s="4" t="b">
        <f>IF(ISERROR(MATCH(data!Y126, rule_mapping!$D$2:$D$252, 0))=FALSE,TRUE, FALSE)</f>
        <v>0</v>
      </c>
      <c r="AJ126" s="4" t="b">
        <f>IFERROR(ISNUMBER(data!Z126), FALSE)</f>
        <v>0</v>
      </c>
      <c r="AK126" s="4" t="b">
        <f>IFERROR(ISNUMBER(data!AA126), FALSE)</f>
        <v>0</v>
      </c>
      <c r="AL126" s="4" t="b">
        <f>LEN(data!AB126)&lt;=90</f>
        <v>1</v>
      </c>
      <c r="AM126" s="4" t="b">
        <f>LEN(data!AC126)&gt;0</f>
        <v>0</v>
      </c>
      <c r="AN126" s="4" t="b">
        <f>LEN(data!AC126)&lt;=2000</f>
        <v>1</v>
      </c>
      <c r="AO126" s="4" t="b">
        <f>IF(LEN(data!AD126)=0,TRUE,IF(LEN(data!AD126)=5,TRUE,FALSE))</f>
        <v>1</v>
      </c>
      <c r="AP126" s="4" t="b">
        <f>LEN(data!AE126)&gt;0</f>
        <v>0</v>
      </c>
      <c r="AQ126" s="4" t="b">
        <f>LEN(data!AE126)=5</f>
        <v>0</v>
      </c>
      <c r="AR126" s="4" t="b">
        <f>ISERROR(MATCH(data!AF126, rule_mapping!$B$2:$B$3, 0))=FALSE</f>
        <v>0</v>
      </c>
      <c r="AS126" s="4" t="b">
        <f>ISERROR(MATCH(data!AG126, rule_mapping!$A$2:$A$8, 0))=FALSE</f>
        <v>0</v>
      </c>
      <c r="AT126" s="4" t="b">
        <f>LEN(data!AH126)&lt;=4</f>
        <v>1</v>
      </c>
      <c r="AU126" s="4" t="b">
        <f>LEN(data!AI126)&lt;=10</f>
        <v>1</v>
      </c>
      <c r="AV126" s="4" t="b">
        <f>LEN(data!AJ126)&lt;=35</f>
        <v>1</v>
      </c>
      <c r="AW126" s="4" t="b">
        <f>LEN(data!AK126)&lt;=20</f>
        <v>1</v>
      </c>
      <c r="AX126"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7" spans="1:50" ht="409.5" x14ac:dyDescent="0.15">
      <c r="A127" s="4" t="b">
        <f>OR(ISBLANK(data!B127), AND(B127:AW127))</f>
        <v>1</v>
      </c>
      <c r="B127" s="4" t="b">
        <f>AND(LEFT(TRIM(data!B127), 4)="OOLU", ISNUMBER(RIGHT(TRIM(data!B127), LEN(TRIM(data!B127))-4)+0))</f>
        <v>0</v>
      </c>
      <c r="C127" s="4" t="b">
        <f>LEN(data!C127)&gt;0</f>
        <v>0</v>
      </c>
      <c r="D127" s="4" t="b">
        <f>LEN(data!C127)&lt;=70</f>
        <v>1</v>
      </c>
      <c r="E127" s="4" t="b">
        <f>LEN(data!D127)&gt;0</f>
        <v>0</v>
      </c>
      <c r="F127" s="4" t="b">
        <f>LEN(data!D127)&lt;=140</f>
        <v>1</v>
      </c>
      <c r="G127" s="4" t="b">
        <f>LEN(data!E127)&gt;0</f>
        <v>0</v>
      </c>
      <c r="H127" s="4" t="b">
        <f>LEN(data!E127)&lt;=35</f>
        <v>1</v>
      </c>
      <c r="I127" s="4" t="b">
        <f>LEN(data!F127)=2</f>
        <v>0</v>
      </c>
      <c r="J127" s="4" t="b">
        <f>LEN(data!G127)&gt;0</f>
        <v>0</v>
      </c>
      <c r="K127" s="4" t="b">
        <f>LEN(data!G127)&lt;=60</f>
        <v>1</v>
      </c>
      <c r="L127" s="4" t="b">
        <f>LEN(data!I127)&gt;0</f>
        <v>0</v>
      </c>
      <c r="M127" s="4" t="b">
        <f>LEN(data!I127)&lt;=70</f>
        <v>1</v>
      </c>
      <c r="N127" s="4" t="b">
        <f>LEN(data!J127)&gt;0</f>
        <v>0</v>
      </c>
      <c r="O127" s="4" t="b">
        <f>LEN(data!J127)&lt;=140</f>
        <v>1</v>
      </c>
      <c r="P127" s="4" t="b">
        <f>LEN(data!K127)&gt;0</f>
        <v>0</v>
      </c>
      <c r="Q127" s="4" t="b">
        <f>LEN(data!K127)&lt;=35</f>
        <v>1</v>
      </c>
      <c r="R127" s="4" t="b">
        <f>LEN(data!L127)=2</f>
        <v>0</v>
      </c>
      <c r="S127" s="4" t="b">
        <f>LEN(data!M127)&gt;0</f>
        <v>0</v>
      </c>
      <c r="T127" s="4" t="b">
        <f>LEN(data!M127)&lt;=60</f>
        <v>1</v>
      </c>
      <c r="U127" s="4" t="b">
        <f>LEN(data!O127)&gt;0</f>
        <v>0</v>
      </c>
      <c r="V127" s="4" t="b">
        <f>LEN(data!O127)&lt;=70</f>
        <v>1</v>
      </c>
      <c r="W127" s="4" t="b">
        <f>LEN(data!P127)&gt;0</f>
        <v>0</v>
      </c>
      <c r="X127" s="4" t="b">
        <f>LEN(data!P127)&lt;=140</f>
        <v>1</v>
      </c>
      <c r="Y127" s="4" t="b">
        <f>LEN(data!Q127)&gt;0</f>
        <v>0</v>
      </c>
      <c r="Z127" s="4" t="b">
        <f>LEN(data!Q127)&lt;=35</f>
        <v>1</v>
      </c>
      <c r="AA127" s="4" t="b">
        <f>LEN(data!R127)=2</f>
        <v>0</v>
      </c>
      <c r="AB127" s="4" t="b">
        <f>LEN(data!S127)&gt;0</f>
        <v>0</v>
      </c>
      <c r="AC127" s="4" t="b">
        <f>LEN(data!S127)&lt;=120</f>
        <v>1</v>
      </c>
      <c r="AD127" s="4" t="b">
        <f>LEN(data!U127)=11</f>
        <v>0</v>
      </c>
      <c r="AE127" s="4" t="b">
        <f>AND(ISERROR(MATCH(data!V127, rule_mapping!$C$2:$C$325, 0))=FALSE, LEN(data!V127) &lt;= 4)</f>
        <v>0</v>
      </c>
      <c r="AF127" s="4" t="b">
        <f>LEN(data!W127)&gt;0</f>
        <v>0</v>
      </c>
      <c r="AG127" s="4" t="b">
        <f>LEN(data!W127)&lt;=20</f>
        <v>1</v>
      </c>
      <c r="AH127" s="4" t="b">
        <f xml:space="preserve"> IFERROR(ISNUMBER(data!X127), FALSE)</f>
        <v>0</v>
      </c>
      <c r="AI127" s="4" t="b">
        <f>IF(ISERROR(MATCH(data!Y127, rule_mapping!$D$2:$D$252, 0))=FALSE,TRUE, FALSE)</f>
        <v>0</v>
      </c>
      <c r="AJ127" s="4" t="b">
        <f>IFERROR(ISNUMBER(data!Z127), FALSE)</f>
        <v>0</v>
      </c>
      <c r="AK127" s="4" t="b">
        <f>IFERROR(ISNUMBER(data!AA127), FALSE)</f>
        <v>0</v>
      </c>
      <c r="AL127" s="4" t="b">
        <f>LEN(data!AB127)&lt;=90</f>
        <v>1</v>
      </c>
      <c r="AM127" s="4" t="b">
        <f>LEN(data!AC127)&gt;0</f>
        <v>0</v>
      </c>
      <c r="AN127" s="4" t="b">
        <f>LEN(data!AC127)&lt;=2000</f>
        <v>1</v>
      </c>
      <c r="AO127" s="4" t="b">
        <f>IF(LEN(data!AD127)=0,TRUE,IF(LEN(data!AD127)=5,TRUE,FALSE))</f>
        <v>1</v>
      </c>
      <c r="AP127" s="4" t="b">
        <f>LEN(data!AE127)&gt;0</f>
        <v>0</v>
      </c>
      <c r="AQ127" s="4" t="b">
        <f>LEN(data!AE127)=5</f>
        <v>0</v>
      </c>
      <c r="AR127" s="4" t="b">
        <f>ISERROR(MATCH(data!AF127, rule_mapping!$B$2:$B$3, 0))=FALSE</f>
        <v>0</v>
      </c>
      <c r="AS127" s="4" t="b">
        <f>ISERROR(MATCH(data!AG127, rule_mapping!$A$2:$A$8, 0))=FALSE</f>
        <v>0</v>
      </c>
      <c r="AT127" s="4" t="b">
        <f>LEN(data!AH127)&lt;=4</f>
        <v>1</v>
      </c>
      <c r="AU127" s="4" t="b">
        <f>LEN(data!AI127)&lt;=10</f>
        <v>1</v>
      </c>
      <c r="AV127" s="4" t="b">
        <f>LEN(data!AJ127)&lt;=35</f>
        <v>1</v>
      </c>
      <c r="AW127" s="4" t="b">
        <f>LEN(data!AK127)&lt;=20</f>
        <v>1</v>
      </c>
      <c r="AX127"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8" spans="1:50" ht="409.5" x14ac:dyDescent="0.15">
      <c r="A128" s="4" t="b">
        <f>OR(ISBLANK(data!B128), AND(B128:AW128))</f>
        <v>1</v>
      </c>
      <c r="B128" s="4" t="b">
        <f>AND(LEFT(TRIM(data!B128), 4)="OOLU", ISNUMBER(RIGHT(TRIM(data!B128), LEN(TRIM(data!B128))-4)+0))</f>
        <v>0</v>
      </c>
      <c r="C128" s="4" t="b">
        <f>LEN(data!C128)&gt;0</f>
        <v>0</v>
      </c>
      <c r="D128" s="4" t="b">
        <f>LEN(data!C128)&lt;=70</f>
        <v>1</v>
      </c>
      <c r="E128" s="4" t="b">
        <f>LEN(data!D128)&gt;0</f>
        <v>0</v>
      </c>
      <c r="F128" s="4" t="b">
        <f>LEN(data!D128)&lt;=140</f>
        <v>1</v>
      </c>
      <c r="G128" s="4" t="b">
        <f>LEN(data!E128)&gt;0</f>
        <v>0</v>
      </c>
      <c r="H128" s="4" t="b">
        <f>LEN(data!E128)&lt;=35</f>
        <v>1</v>
      </c>
      <c r="I128" s="4" t="b">
        <f>LEN(data!F128)=2</f>
        <v>0</v>
      </c>
      <c r="J128" s="4" t="b">
        <f>LEN(data!G128)&gt;0</f>
        <v>0</v>
      </c>
      <c r="K128" s="4" t="b">
        <f>LEN(data!G128)&lt;=60</f>
        <v>1</v>
      </c>
      <c r="L128" s="4" t="b">
        <f>LEN(data!I128)&gt;0</f>
        <v>0</v>
      </c>
      <c r="M128" s="4" t="b">
        <f>LEN(data!I128)&lt;=70</f>
        <v>1</v>
      </c>
      <c r="N128" s="4" t="b">
        <f>LEN(data!J128)&gt;0</f>
        <v>0</v>
      </c>
      <c r="O128" s="4" t="b">
        <f>LEN(data!J128)&lt;=140</f>
        <v>1</v>
      </c>
      <c r="P128" s="4" t="b">
        <f>LEN(data!K128)&gt;0</f>
        <v>0</v>
      </c>
      <c r="Q128" s="4" t="b">
        <f>LEN(data!K128)&lt;=35</f>
        <v>1</v>
      </c>
      <c r="R128" s="4" t="b">
        <f>LEN(data!L128)=2</f>
        <v>0</v>
      </c>
      <c r="S128" s="4" t="b">
        <f>LEN(data!M128)&gt;0</f>
        <v>0</v>
      </c>
      <c r="T128" s="4" t="b">
        <f>LEN(data!M128)&lt;=60</f>
        <v>1</v>
      </c>
      <c r="U128" s="4" t="b">
        <f>LEN(data!O128)&gt;0</f>
        <v>0</v>
      </c>
      <c r="V128" s="4" t="b">
        <f>LEN(data!O128)&lt;=70</f>
        <v>1</v>
      </c>
      <c r="W128" s="4" t="b">
        <f>LEN(data!P128)&gt;0</f>
        <v>0</v>
      </c>
      <c r="X128" s="4" t="b">
        <f>LEN(data!P128)&lt;=140</f>
        <v>1</v>
      </c>
      <c r="Y128" s="4" t="b">
        <f>LEN(data!Q128)&gt;0</f>
        <v>0</v>
      </c>
      <c r="Z128" s="4" t="b">
        <f>LEN(data!Q128)&lt;=35</f>
        <v>1</v>
      </c>
      <c r="AA128" s="4" t="b">
        <f>LEN(data!R128)=2</f>
        <v>0</v>
      </c>
      <c r="AB128" s="4" t="b">
        <f>LEN(data!S128)&gt;0</f>
        <v>0</v>
      </c>
      <c r="AC128" s="4" t="b">
        <f>LEN(data!S128)&lt;=120</f>
        <v>1</v>
      </c>
      <c r="AD128" s="4" t="b">
        <f>LEN(data!U128)=11</f>
        <v>0</v>
      </c>
      <c r="AE128" s="4" t="b">
        <f>AND(ISERROR(MATCH(data!V128, rule_mapping!$C$2:$C$325, 0))=FALSE, LEN(data!V128) &lt;= 4)</f>
        <v>0</v>
      </c>
      <c r="AF128" s="4" t="b">
        <f>LEN(data!W128)&gt;0</f>
        <v>0</v>
      </c>
      <c r="AG128" s="4" t="b">
        <f>LEN(data!W128)&lt;=20</f>
        <v>1</v>
      </c>
      <c r="AH128" s="4" t="b">
        <f xml:space="preserve"> IFERROR(ISNUMBER(data!X128), FALSE)</f>
        <v>0</v>
      </c>
      <c r="AI128" s="4" t="b">
        <f>IF(ISERROR(MATCH(data!Y128, rule_mapping!$D$2:$D$252, 0))=FALSE,TRUE, FALSE)</f>
        <v>0</v>
      </c>
      <c r="AJ128" s="4" t="b">
        <f>IFERROR(ISNUMBER(data!Z128), FALSE)</f>
        <v>0</v>
      </c>
      <c r="AK128" s="4" t="b">
        <f>IFERROR(ISNUMBER(data!AA128), FALSE)</f>
        <v>0</v>
      </c>
      <c r="AL128" s="4" t="b">
        <f>LEN(data!AB128)&lt;=90</f>
        <v>1</v>
      </c>
      <c r="AM128" s="4" t="b">
        <f>LEN(data!AC128)&gt;0</f>
        <v>0</v>
      </c>
      <c r="AN128" s="4" t="b">
        <f>LEN(data!AC128)&lt;=2000</f>
        <v>1</v>
      </c>
      <c r="AO128" s="4" t="b">
        <f>IF(LEN(data!AD128)=0,TRUE,IF(LEN(data!AD128)=5,TRUE,FALSE))</f>
        <v>1</v>
      </c>
      <c r="AP128" s="4" t="b">
        <f>LEN(data!AE128)&gt;0</f>
        <v>0</v>
      </c>
      <c r="AQ128" s="4" t="b">
        <f>LEN(data!AE128)=5</f>
        <v>0</v>
      </c>
      <c r="AR128" s="4" t="b">
        <f>ISERROR(MATCH(data!AF128, rule_mapping!$B$2:$B$3, 0))=FALSE</f>
        <v>0</v>
      </c>
      <c r="AS128" s="4" t="b">
        <f>ISERROR(MATCH(data!AG128, rule_mapping!$A$2:$A$8, 0))=FALSE</f>
        <v>0</v>
      </c>
      <c r="AT128" s="4" t="b">
        <f>LEN(data!AH128)&lt;=4</f>
        <v>1</v>
      </c>
      <c r="AU128" s="4" t="b">
        <f>LEN(data!AI128)&lt;=10</f>
        <v>1</v>
      </c>
      <c r="AV128" s="4" t="b">
        <f>LEN(data!AJ128)&lt;=35</f>
        <v>1</v>
      </c>
      <c r="AW128" s="4" t="b">
        <f>LEN(data!AK128)&lt;=20</f>
        <v>1</v>
      </c>
      <c r="AX128"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29" spans="1:50" ht="409.5" x14ac:dyDescent="0.15">
      <c r="A129" s="4" t="b">
        <f>OR(ISBLANK(data!B129), AND(B129:AW129))</f>
        <v>1</v>
      </c>
      <c r="B129" s="4" t="b">
        <f>AND(LEFT(TRIM(data!B129), 4)="OOLU", ISNUMBER(RIGHT(TRIM(data!B129), LEN(TRIM(data!B129))-4)+0))</f>
        <v>0</v>
      </c>
      <c r="C129" s="4" t="b">
        <f>LEN(data!C129)&gt;0</f>
        <v>0</v>
      </c>
      <c r="D129" s="4" t="b">
        <f>LEN(data!C129)&lt;=70</f>
        <v>1</v>
      </c>
      <c r="E129" s="4" t="b">
        <f>LEN(data!D129)&gt;0</f>
        <v>0</v>
      </c>
      <c r="F129" s="4" t="b">
        <f>LEN(data!D129)&lt;=140</f>
        <v>1</v>
      </c>
      <c r="G129" s="4" t="b">
        <f>LEN(data!E129)&gt;0</f>
        <v>0</v>
      </c>
      <c r="H129" s="4" t="b">
        <f>LEN(data!E129)&lt;=35</f>
        <v>1</v>
      </c>
      <c r="I129" s="4" t="b">
        <f>LEN(data!F129)=2</f>
        <v>0</v>
      </c>
      <c r="J129" s="4" t="b">
        <f>LEN(data!G129)&gt;0</f>
        <v>0</v>
      </c>
      <c r="K129" s="4" t="b">
        <f>LEN(data!G129)&lt;=60</f>
        <v>1</v>
      </c>
      <c r="L129" s="4" t="b">
        <f>LEN(data!I129)&gt;0</f>
        <v>0</v>
      </c>
      <c r="M129" s="4" t="b">
        <f>LEN(data!I129)&lt;=70</f>
        <v>1</v>
      </c>
      <c r="N129" s="4" t="b">
        <f>LEN(data!J129)&gt;0</f>
        <v>0</v>
      </c>
      <c r="O129" s="4" t="b">
        <f>LEN(data!J129)&lt;=140</f>
        <v>1</v>
      </c>
      <c r="P129" s="4" t="b">
        <f>LEN(data!K129)&gt;0</f>
        <v>0</v>
      </c>
      <c r="Q129" s="4" t="b">
        <f>LEN(data!K129)&lt;=35</f>
        <v>1</v>
      </c>
      <c r="R129" s="4" t="b">
        <f>LEN(data!L129)=2</f>
        <v>0</v>
      </c>
      <c r="S129" s="4" t="b">
        <f>LEN(data!M129)&gt;0</f>
        <v>0</v>
      </c>
      <c r="T129" s="4" t="b">
        <f>LEN(data!M129)&lt;=60</f>
        <v>1</v>
      </c>
      <c r="U129" s="4" t="b">
        <f>LEN(data!O129)&gt;0</f>
        <v>0</v>
      </c>
      <c r="V129" s="4" t="b">
        <f>LEN(data!O129)&lt;=70</f>
        <v>1</v>
      </c>
      <c r="W129" s="4" t="b">
        <f>LEN(data!P129)&gt;0</f>
        <v>0</v>
      </c>
      <c r="X129" s="4" t="b">
        <f>LEN(data!P129)&lt;=140</f>
        <v>1</v>
      </c>
      <c r="Y129" s="4" t="b">
        <f>LEN(data!Q129)&gt;0</f>
        <v>0</v>
      </c>
      <c r="Z129" s="4" t="b">
        <f>LEN(data!Q129)&lt;=35</f>
        <v>1</v>
      </c>
      <c r="AA129" s="4" t="b">
        <f>LEN(data!R129)=2</f>
        <v>0</v>
      </c>
      <c r="AB129" s="4" t="b">
        <f>LEN(data!S129)&gt;0</f>
        <v>0</v>
      </c>
      <c r="AC129" s="4" t="b">
        <f>LEN(data!S129)&lt;=120</f>
        <v>1</v>
      </c>
      <c r="AD129" s="4" t="b">
        <f>LEN(data!U129)=11</f>
        <v>0</v>
      </c>
      <c r="AE129" s="4" t="b">
        <f>AND(ISERROR(MATCH(data!V129, rule_mapping!$C$2:$C$325, 0))=FALSE, LEN(data!V129) &lt;= 4)</f>
        <v>0</v>
      </c>
      <c r="AF129" s="4" t="b">
        <f>LEN(data!W129)&gt;0</f>
        <v>0</v>
      </c>
      <c r="AG129" s="4" t="b">
        <f>LEN(data!W129)&lt;=20</f>
        <v>1</v>
      </c>
      <c r="AH129" s="4" t="b">
        <f xml:space="preserve"> IFERROR(ISNUMBER(data!X129), FALSE)</f>
        <v>0</v>
      </c>
      <c r="AI129" s="4" t="b">
        <f>IF(ISERROR(MATCH(data!Y129, rule_mapping!$D$2:$D$252, 0))=FALSE,TRUE, FALSE)</f>
        <v>0</v>
      </c>
      <c r="AJ129" s="4" t="b">
        <f>IFERROR(ISNUMBER(data!Z129), FALSE)</f>
        <v>0</v>
      </c>
      <c r="AK129" s="4" t="b">
        <f>IFERROR(ISNUMBER(data!AA129), FALSE)</f>
        <v>0</v>
      </c>
      <c r="AL129" s="4" t="b">
        <f>LEN(data!AB129)&lt;=90</f>
        <v>1</v>
      </c>
      <c r="AM129" s="4" t="b">
        <f>LEN(data!AC129)&gt;0</f>
        <v>0</v>
      </c>
      <c r="AN129" s="4" t="b">
        <f>LEN(data!AC129)&lt;=2000</f>
        <v>1</v>
      </c>
      <c r="AO129" s="4" t="b">
        <f>IF(LEN(data!AD129)=0,TRUE,IF(LEN(data!AD129)=5,TRUE,FALSE))</f>
        <v>1</v>
      </c>
      <c r="AP129" s="4" t="b">
        <f>LEN(data!AE129)&gt;0</f>
        <v>0</v>
      </c>
      <c r="AQ129" s="4" t="b">
        <f>LEN(data!AE129)=5</f>
        <v>0</v>
      </c>
      <c r="AR129" s="4" t="b">
        <f>ISERROR(MATCH(data!AF129, rule_mapping!$B$2:$B$3, 0))=FALSE</f>
        <v>0</v>
      </c>
      <c r="AS129" s="4" t="b">
        <f>ISERROR(MATCH(data!AG129, rule_mapping!$A$2:$A$8, 0))=FALSE</f>
        <v>0</v>
      </c>
      <c r="AT129" s="4" t="b">
        <f>LEN(data!AH129)&lt;=4</f>
        <v>1</v>
      </c>
      <c r="AU129" s="4" t="b">
        <f>LEN(data!AI129)&lt;=10</f>
        <v>1</v>
      </c>
      <c r="AV129" s="4" t="b">
        <f>LEN(data!AJ129)&lt;=35</f>
        <v>1</v>
      </c>
      <c r="AW129" s="4" t="b">
        <f>LEN(data!AK129)&lt;=20</f>
        <v>1</v>
      </c>
      <c r="AX129"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0" spans="1:50" ht="409.5" x14ac:dyDescent="0.15">
      <c r="A130" s="4" t="b">
        <f>OR(ISBLANK(data!B130), AND(B130:AW130))</f>
        <v>1</v>
      </c>
      <c r="B130" s="4" t="b">
        <f>AND(LEFT(TRIM(data!B130), 4)="OOLU", ISNUMBER(RIGHT(TRIM(data!B130), LEN(TRIM(data!B130))-4)+0))</f>
        <v>0</v>
      </c>
      <c r="C130" s="4" t="b">
        <f>LEN(data!C130)&gt;0</f>
        <v>0</v>
      </c>
      <c r="D130" s="4" t="b">
        <f>LEN(data!C130)&lt;=70</f>
        <v>1</v>
      </c>
      <c r="E130" s="4" t="b">
        <f>LEN(data!D130)&gt;0</f>
        <v>0</v>
      </c>
      <c r="F130" s="4" t="b">
        <f>LEN(data!D130)&lt;=140</f>
        <v>1</v>
      </c>
      <c r="G130" s="4" t="b">
        <f>LEN(data!E130)&gt;0</f>
        <v>0</v>
      </c>
      <c r="H130" s="4" t="b">
        <f>LEN(data!E130)&lt;=35</f>
        <v>1</v>
      </c>
      <c r="I130" s="4" t="b">
        <f>LEN(data!F130)=2</f>
        <v>0</v>
      </c>
      <c r="J130" s="4" t="b">
        <f>LEN(data!G130)&gt;0</f>
        <v>0</v>
      </c>
      <c r="K130" s="4" t="b">
        <f>LEN(data!G130)&lt;=60</f>
        <v>1</v>
      </c>
      <c r="L130" s="4" t="b">
        <f>LEN(data!I130)&gt;0</f>
        <v>0</v>
      </c>
      <c r="M130" s="4" t="b">
        <f>LEN(data!I130)&lt;=70</f>
        <v>1</v>
      </c>
      <c r="N130" s="4" t="b">
        <f>LEN(data!J130)&gt;0</f>
        <v>0</v>
      </c>
      <c r="O130" s="4" t="b">
        <f>LEN(data!J130)&lt;=140</f>
        <v>1</v>
      </c>
      <c r="P130" s="4" t="b">
        <f>LEN(data!K130)&gt;0</f>
        <v>0</v>
      </c>
      <c r="Q130" s="4" t="b">
        <f>LEN(data!K130)&lt;=35</f>
        <v>1</v>
      </c>
      <c r="R130" s="4" t="b">
        <f>LEN(data!L130)=2</f>
        <v>0</v>
      </c>
      <c r="S130" s="4" t="b">
        <f>LEN(data!M130)&gt;0</f>
        <v>0</v>
      </c>
      <c r="T130" s="4" t="b">
        <f>LEN(data!M130)&lt;=60</f>
        <v>1</v>
      </c>
      <c r="U130" s="4" t="b">
        <f>LEN(data!O130)&gt;0</f>
        <v>0</v>
      </c>
      <c r="V130" s="4" t="b">
        <f>LEN(data!O130)&lt;=70</f>
        <v>1</v>
      </c>
      <c r="W130" s="4" t="b">
        <f>LEN(data!P130)&gt;0</f>
        <v>0</v>
      </c>
      <c r="X130" s="4" t="b">
        <f>LEN(data!P130)&lt;=140</f>
        <v>1</v>
      </c>
      <c r="Y130" s="4" t="b">
        <f>LEN(data!Q130)&gt;0</f>
        <v>0</v>
      </c>
      <c r="Z130" s="4" t="b">
        <f>LEN(data!Q130)&lt;=35</f>
        <v>1</v>
      </c>
      <c r="AA130" s="4" t="b">
        <f>LEN(data!R130)=2</f>
        <v>0</v>
      </c>
      <c r="AB130" s="4" t="b">
        <f>LEN(data!S130)&gt;0</f>
        <v>0</v>
      </c>
      <c r="AC130" s="4" t="b">
        <f>LEN(data!S130)&lt;=120</f>
        <v>1</v>
      </c>
      <c r="AD130" s="4" t="b">
        <f>LEN(data!U130)=11</f>
        <v>0</v>
      </c>
      <c r="AE130" s="4" t="b">
        <f>AND(ISERROR(MATCH(data!V130, rule_mapping!$C$2:$C$325, 0))=FALSE, LEN(data!V130) &lt;= 4)</f>
        <v>0</v>
      </c>
      <c r="AF130" s="4" t="b">
        <f>LEN(data!W130)&gt;0</f>
        <v>0</v>
      </c>
      <c r="AG130" s="4" t="b">
        <f>LEN(data!W130)&lt;=20</f>
        <v>1</v>
      </c>
      <c r="AH130" s="4" t="b">
        <f xml:space="preserve"> IFERROR(ISNUMBER(data!X130), FALSE)</f>
        <v>0</v>
      </c>
      <c r="AI130" s="4" t="b">
        <f>IF(ISERROR(MATCH(data!Y130, rule_mapping!$D$2:$D$252, 0))=FALSE,TRUE, FALSE)</f>
        <v>0</v>
      </c>
      <c r="AJ130" s="4" t="b">
        <f>IFERROR(ISNUMBER(data!Z130), FALSE)</f>
        <v>0</v>
      </c>
      <c r="AK130" s="4" t="b">
        <f>IFERROR(ISNUMBER(data!AA130), FALSE)</f>
        <v>0</v>
      </c>
      <c r="AL130" s="4" t="b">
        <f>LEN(data!AB130)&lt;=90</f>
        <v>1</v>
      </c>
      <c r="AM130" s="4" t="b">
        <f>LEN(data!AC130)&gt;0</f>
        <v>0</v>
      </c>
      <c r="AN130" s="4" t="b">
        <f>LEN(data!AC130)&lt;=2000</f>
        <v>1</v>
      </c>
      <c r="AO130" s="4" t="b">
        <f>IF(LEN(data!AD130)=0,TRUE,IF(LEN(data!AD130)=5,TRUE,FALSE))</f>
        <v>1</v>
      </c>
      <c r="AP130" s="4" t="b">
        <f>LEN(data!AE130)&gt;0</f>
        <v>0</v>
      </c>
      <c r="AQ130" s="4" t="b">
        <f>LEN(data!AE130)=5</f>
        <v>0</v>
      </c>
      <c r="AR130" s="4" t="b">
        <f>ISERROR(MATCH(data!AF130, rule_mapping!$B$2:$B$3, 0))=FALSE</f>
        <v>0</v>
      </c>
      <c r="AS130" s="4" t="b">
        <f>ISERROR(MATCH(data!AG130, rule_mapping!$A$2:$A$8, 0))=FALSE</f>
        <v>0</v>
      </c>
      <c r="AT130" s="4" t="b">
        <f>LEN(data!AH130)&lt;=4</f>
        <v>1</v>
      </c>
      <c r="AU130" s="4" t="b">
        <f>LEN(data!AI130)&lt;=10</f>
        <v>1</v>
      </c>
      <c r="AV130" s="4" t="b">
        <f>LEN(data!AJ130)&lt;=35</f>
        <v>1</v>
      </c>
      <c r="AW130" s="4" t="b">
        <f>LEN(data!AK130)&lt;=20</f>
        <v>1</v>
      </c>
      <c r="AX130" s="11" t="str">
        <f t="shared" si="1"/>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1" spans="1:50" ht="409.5" x14ac:dyDescent="0.15">
      <c r="A131" s="4" t="b">
        <f>OR(ISBLANK(data!B131), AND(B131:AW131))</f>
        <v>1</v>
      </c>
      <c r="B131" s="4" t="b">
        <f>AND(LEFT(TRIM(data!B131), 4)="OOLU", ISNUMBER(RIGHT(TRIM(data!B131), LEN(TRIM(data!B131))-4)+0))</f>
        <v>0</v>
      </c>
      <c r="C131" s="4" t="b">
        <f>LEN(data!C131)&gt;0</f>
        <v>0</v>
      </c>
      <c r="D131" s="4" t="b">
        <f>LEN(data!C131)&lt;=70</f>
        <v>1</v>
      </c>
      <c r="E131" s="4" t="b">
        <f>LEN(data!D131)&gt;0</f>
        <v>0</v>
      </c>
      <c r="F131" s="4" t="b">
        <f>LEN(data!D131)&lt;=140</f>
        <v>1</v>
      </c>
      <c r="G131" s="4" t="b">
        <f>LEN(data!E131)&gt;0</f>
        <v>0</v>
      </c>
      <c r="H131" s="4" t="b">
        <f>LEN(data!E131)&lt;=35</f>
        <v>1</v>
      </c>
      <c r="I131" s="4" t="b">
        <f>LEN(data!F131)=2</f>
        <v>0</v>
      </c>
      <c r="J131" s="4" t="b">
        <f>LEN(data!G131)&gt;0</f>
        <v>0</v>
      </c>
      <c r="K131" s="4" t="b">
        <f>LEN(data!G131)&lt;=60</f>
        <v>1</v>
      </c>
      <c r="L131" s="4" t="b">
        <f>LEN(data!I131)&gt;0</f>
        <v>0</v>
      </c>
      <c r="M131" s="4" t="b">
        <f>LEN(data!I131)&lt;=70</f>
        <v>1</v>
      </c>
      <c r="N131" s="4" t="b">
        <f>LEN(data!J131)&gt;0</f>
        <v>0</v>
      </c>
      <c r="O131" s="4" t="b">
        <f>LEN(data!J131)&lt;=140</f>
        <v>1</v>
      </c>
      <c r="P131" s="4" t="b">
        <f>LEN(data!K131)&gt;0</f>
        <v>0</v>
      </c>
      <c r="Q131" s="4" t="b">
        <f>LEN(data!K131)&lt;=35</f>
        <v>1</v>
      </c>
      <c r="R131" s="4" t="b">
        <f>LEN(data!L131)=2</f>
        <v>0</v>
      </c>
      <c r="S131" s="4" t="b">
        <f>LEN(data!M131)&gt;0</f>
        <v>0</v>
      </c>
      <c r="T131" s="4" t="b">
        <f>LEN(data!M131)&lt;=60</f>
        <v>1</v>
      </c>
      <c r="U131" s="4" t="b">
        <f>LEN(data!O131)&gt;0</f>
        <v>0</v>
      </c>
      <c r="V131" s="4" t="b">
        <f>LEN(data!O131)&lt;=70</f>
        <v>1</v>
      </c>
      <c r="W131" s="4" t="b">
        <f>LEN(data!P131)&gt;0</f>
        <v>0</v>
      </c>
      <c r="X131" s="4" t="b">
        <f>LEN(data!P131)&lt;=140</f>
        <v>1</v>
      </c>
      <c r="Y131" s="4" t="b">
        <f>LEN(data!Q131)&gt;0</f>
        <v>0</v>
      </c>
      <c r="Z131" s="4" t="b">
        <f>LEN(data!Q131)&lt;=35</f>
        <v>1</v>
      </c>
      <c r="AA131" s="4" t="b">
        <f>LEN(data!R131)=2</f>
        <v>0</v>
      </c>
      <c r="AB131" s="4" t="b">
        <f>LEN(data!S131)&gt;0</f>
        <v>0</v>
      </c>
      <c r="AC131" s="4" t="b">
        <f>LEN(data!S131)&lt;=120</f>
        <v>1</v>
      </c>
      <c r="AD131" s="4" t="b">
        <f>LEN(data!U131)=11</f>
        <v>0</v>
      </c>
      <c r="AE131" s="4" t="b">
        <f>AND(ISERROR(MATCH(data!V131, rule_mapping!$C$2:$C$325, 0))=FALSE, LEN(data!V131) &lt;= 4)</f>
        <v>0</v>
      </c>
      <c r="AF131" s="4" t="b">
        <f>LEN(data!W131)&gt;0</f>
        <v>0</v>
      </c>
      <c r="AG131" s="4" t="b">
        <f>LEN(data!W131)&lt;=20</f>
        <v>1</v>
      </c>
      <c r="AH131" s="4" t="b">
        <f xml:space="preserve"> IFERROR(ISNUMBER(data!X131), FALSE)</f>
        <v>0</v>
      </c>
      <c r="AI131" s="4" t="b">
        <f>IF(ISERROR(MATCH(data!Y131, rule_mapping!$D$2:$D$252, 0))=FALSE,TRUE, FALSE)</f>
        <v>0</v>
      </c>
      <c r="AJ131" s="4" t="b">
        <f>IFERROR(ISNUMBER(data!Z131), FALSE)</f>
        <v>0</v>
      </c>
      <c r="AK131" s="4" t="b">
        <f>IFERROR(ISNUMBER(data!AA131), FALSE)</f>
        <v>0</v>
      </c>
      <c r="AL131" s="4" t="b">
        <f>LEN(data!AB131)&lt;=90</f>
        <v>1</v>
      </c>
      <c r="AM131" s="4" t="b">
        <f>LEN(data!AC131)&gt;0</f>
        <v>0</v>
      </c>
      <c r="AN131" s="4" t="b">
        <f>LEN(data!AC131)&lt;=2000</f>
        <v>1</v>
      </c>
      <c r="AO131" s="4" t="b">
        <f>IF(LEN(data!AD131)=0,TRUE,IF(LEN(data!AD131)=5,TRUE,FALSE))</f>
        <v>1</v>
      </c>
      <c r="AP131" s="4" t="b">
        <f>LEN(data!AE131)&gt;0</f>
        <v>0</v>
      </c>
      <c r="AQ131" s="4" t="b">
        <f>LEN(data!AE131)=5</f>
        <v>0</v>
      </c>
      <c r="AR131" s="4" t="b">
        <f>ISERROR(MATCH(data!AF131, rule_mapping!$B$2:$B$3, 0))=FALSE</f>
        <v>0</v>
      </c>
      <c r="AS131" s="4" t="b">
        <f>ISERROR(MATCH(data!AG131, rule_mapping!$A$2:$A$8, 0))=FALSE</f>
        <v>0</v>
      </c>
      <c r="AT131" s="4" t="b">
        <f>LEN(data!AH131)&lt;=4</f>
        <v>1</v>
      </c>
      <c r="AU131" s="4" t="b">
        <f>LEN(data!AI131)&lt;=10</f>
        <v>1</v>
      </c>
      <c r="AV131" s="4" t="b">
        <f>LEN(data!AJ131)&lt;=35</f>
        <v>1</v>
      </c>
      <c r="AW131" s="4" t="b">
        <f>LEN(data!AK131)&lt;=20</f>
        <v>1</v>
      </c>
      <c r="AX131" s="11" t="str">
        <f t="shared" ref="AX131:AX194" si="2">CONCATENATE(IF(NOT(B131), B$1 &amp; CHAR(10), ""), IF(NOT(C131), C$1 &amp; CHAR(10), ""), IF(NOT(D131), D$1 &amp; CHAR(10), ""), IF(NOT(E131), E$1 &amp; CHAR(10), ""), IF(NOT(F131), F$1 &amp; CHAR(10), ""), IF(NOT(G131), G$1 &amp; CHAR(10), ""), IF(NOT(H131), H$1 &amp; CHAR(10), ""), IF(NOT(I131), I$1 &amp; CHAR(10), ""), IF(NOT(J131), J$1 &amp; CHAR(10), ""), IF(NOT(K131), K$1 &amp; CHAR(10), ""), IF(NOT(L131), L$1 &amp; CHAR(10), ""), IF(NOT(M131), M$1 &amp; CHAR(10), ""), IF(NOT(N131), N$1 &amp; CHAR(10), ""), IF(NOT(O131), O$1 &amp; CHAR(10), ""), IF(NOT(P131), P$1 &amp; CHAR(10), ""), IF(NOT(Q131), Q$1 &amp; CHAR(10), ""), IF(NOT(R131), R$1 &amp; CHAR(10), ""), IF(NOT(S131), S$1 &amp; CHAR(10), ""), IF(NOT(T131), T$1 &amp; CHAR(10), ""), IF(NOT(U131), U$1 &amp; CHAR(10), ""), IF(NOT(V131), V$1 &amp; CHAR(10), ""), IF(NOT(W131), W$1 &amp; CHAR(10), ""), IF(NOT(X131), X$1 &amp; CHAR(10), ""), IF(NOT(Y131), Y$1 &amp; CHAR(10), ""), IF(NOT(Z131), Z$1 &amp; CHAR(10), ""), IF(NOT(AA131), AA$1 &amp; CHAR(10), ""), IF(NOT(AB131), AB$1 &amp; CHAR(10), ""), IF(NOT(AC131), AC$1 &amp; CHAR(10), ""), IF(NOT(AD131), AD$1 &amp; CHAR(10), ""), IF(NOT(AE131), AE$1 &amp; CHAR(10), ""), IF(NOT(AF131), AF$1 &amp; CHAR(10), ""), IF(NOT(AG131), AG$1 &amp; CHAR(10), ""), IF(NOT(AH131), AH$1 &amp; CHAR(10), ""), IF(NOT(AI131), AI$1 &amp; CHAR(10), ""), IF(NOT(AJ131), AJ$1 &amp; CHAR(10), ""), IF(NOT(AK131), AK$1 &amp; CHAR(10), ""), IF(NOT(AL131), AL$1 &amp; CHAR(10), ""), IF(NOT(AM131), AM$1 &amp; CHAR(10), ""), IF(NOT(AN131), AN$1 &amp; CHAR(10), ""), IF(NOT(AO131), AO$1 &amp; CHAR(10), ""), IF(NOT(AP131), AP$1 &amp; CHAR(10), ""), IF(NOT(AQ131), AQ$1 &amp; CHAR(10), ""), IF(NOT(AR131), AR$1 &amp; CHAR(10), ""), IF(NOT(AS131), AS$1 &amp; CHAR(10), ""), IF(NOT(AT131), AT$1 &amp; CHAR(10), ""), IF(NOT(AU131), AU$1 &amp; CHAR(10), ""), IF(NOT(AV131), AV$1 &amp; CHAR(10), ""), IF(NOT(AW131), AW$1 &amp; CHAR(10), ""))</f>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2" spans="1:50" ht="409.5" x14ac:dyDescent="0.15">
      <c r="A132" s="4" t="b">
        <f>OR(ISBLANK(data!B132), AND(B132:AW132))</f>
        <v>1</v>
      </c>
      <c r="B132" s="4" t="b">
        <f>AND(LEFT(TRIM(data!B132), 4)="OOLU", ISNUMBER(RIGHT(TRIM(data!B132), LEN(TRIM(data!B132))-4)+0))</f>
        <v>0</v>
      </c>
      <c r="C132" s="4" t="b">
        <f>LEN(data!C132)&gt;0</f>
        <v>0</v>
      </c>
      <c r="D132" s="4" t="b">
        <f>LEN(data!C132)&lt;=70</f>
        <v>1</v>
      </c>
      <c r="E132" s="4" t="b">
        <f>LEN(data!D132)&gt;0</f>
        <v>0</v>
      </c>
      <c r="F132" s="4" t="b">
        <f>LEN(data!D132)&lt;=140</f>
        <v>1</v>
      </c>
      <c r="G132" s="4" t="b">
        <f>LEN(data!E132)&gt;0</f>
        <v>0</v>
      </c>
      <c r="H132" s="4" t="b">
        <f>LEN(data!E132)&lt;=35</f>
        <v>1</v>
      </c>
      <c r="I132" s="4" t="b">
        <f>LEN(data!F132)=2</f>
        <v>0</v>
      </c>
      <c r="J132" s="4" t="b">
        <f>LEN(data!G132)&gt;0</f>
        <v>0</v>
      </c>
      <c r="K132" s="4" t="b">
        <f>LEN(data!G132)&lt;=60</f>
        <v>1</v>
      </c>
      <c r="L132" s="4" t="b">
        <f>LEN(data!I132)&gt;0</f>
        <v>0</v>
      </c>
      <c r="M132" s="4" t="b">
        <f>LEN(data!I132)&lt;=70</f>
        <v>1</v>
      </c>
      <c r="N132" s="4" t="b">
        <f>LEN(data!J132)&gt;0</f>
        <v>0</v>
      </c>
      <c r="O132" s="4" t="b">
        <f>LEN(data!J132)&lt;=140</f>
        <v>1</v>
      </c>
      <c r="P132" s="4" t="b">
        <f>LEN(data!K132)&gt;0</f>
        <v>0</v>
      </c>
      <c r="Q132" s="4" t="b">
        <f>LEN(data!K132)&lt;=35</f>
        <v>1</v>
      </c>
      <c r="R132" s="4" t="b">
        <f>LEN(data!L132)=2</f>
        <v>0</v>
      </c>
      <c r="S132" s="4" t="b">
        <f>LEN(data!M132)&gt;0</f>
        <v>0</v>
      </c>
      <c r="T132" s="4" t="b">
        <f>LEN(data!M132)&lt;=60</f>
        <v>1</v>
      </c>
      <c r="U132" s="4" t="b">
        <f>LEN(data!O132)&gt;0</f>
        <v>0</v>
      </c>
      <c r="V132" s="4" t="b">
        <f>LEN(data!O132)&lt;=70</f>
        <v>1</v>
      </c>
      <c r="W132" s="4" t="b">
        <f>LEN(data!P132)&gt;0</f>
        <v>0</v>
      </c>
      <c r="X132" s="4" t="b">
        <f>LEN(data!P132)&lt;=140</f>
        <v>1</v>
      </c>
      <c r="Y132" s="4" t="b">
        <f>LEN(data!Q132)&gt;0</f>
        <v>0</v>
      </c>
      <c r="Z132" s="4" t="b">
        <f>LEN(data!Q132)&lt;=35</f>
        <v>1</v>
      </c>
      <c r="AA132" s="4" t="b">
        <f>LEN(data!R132)=2</f>
        <v>0</v>
      </c>
      <c r="AB132" s="4" t="b">
        <f>LEN(data!S132)&gt;0</f>
        <v>0</v>
      </c>
      <c r="AC132" s="4" t="b">
        <f>LEN(data!S132)&lt;=120</f>
        <v>1</v>
      </c>
      <c r="AD132" s="4" t="b">
        <f>LEN(data!U132)=11</f>
        <v>0</v>
      </c>
      <c r="AE132" s="4" t="b">
        <f>AND(ISERROR(MATCH(data!V132, rule_mapping!$C$2:$C$325, 0))=FALSE, LEN(data!V132) &lt;= 4)</f>
        <v>0</v>
      </c>
      <c r="AF132" s="4" t="b">
        <f>LEN(data!W132)&gt;0</f>
        <v>0</v>
      </c>
      <c r="AG132" s="4" t="b">
        <f>LEN(data!W132)&lt;=20</f>
        <v>1</v>
      </c>
      <c r="AH132" s="4" t="b">
        <f xml:space="preserve"> IFERROR(ISNUMBER(data!X132), FALSE)</f>
        <v>0</v>
      </c>
      <c r="AI132" s="4" t="b">
        <f>IF(ISERROR(MATCH(data!Y132, rule_mapping!$D$2:$D$252, 0))=FALSE,TRUE, FALSE)</f>
        <v>0</v>
      </c>
      <c r="AJ132" s="4" t="b">
        <f>IFERROR(ISNUMBER(data!Z132), FALSE)</f>
        <v>0</v>
      </c>
      <c r="AK132" s="4" t="b">
        <f>IFERROR(ISNUMBER(data!AA132), FALSE)</f>
        <v>0</v>
      </c>
      <c r="AL132" s="4" t="b">
        <f>LEN(data!AB132)&lt;=90</f>
        <v>1</v>
      </c>
      <c r="AM132" s="4" t="b">
        <f>LEN(data!AC132)&gt;0</f>
        <v>0</v>
      </c>
      <c r="AN132" s="4" t="b">
        <f>LEN(data!AC132)&lt;=2000</f>
        <v>1</v>
      </c>
      <c r="AO132" s="4" t="b">
        <f>IF(LEN(data!AD132)=0,TRUE,IF(LEN(data!AD132)=5,TRUE,FALSE))</f>
        <v>1</v>
      </c>
      <c r="AP132" s="4" t="b">
        <f>LEN(data!AE132)&gt;0</f>
        <v>0</v>
      </c>
      <c r="AQ132" s="4" t="b">
        <f>LEN(data!AE132)=5</f>
        <v>0</v>
      </c>
      <c r="AR132" s="4" t="b">
        <f>ISERROR(MATCH(data!AF132, rule_mapping!$B$2:$B$3, 0))=FALSE</f>
        <v>0</v>
      </c>
      <c r="AS132" s="4" t="b">
        <f>ISERROR(MATCH(data!AG132, rule_mapping!$A$2:$A$8, 0))=FALSE</f>
        <v>0</v>
      </c>
      <c r="AT132" s="4" t="b">
        <f>LEN(data!AH132)&lt;=4</f>
        <v>1</v>
      </c>
      <c r="AU132" s="4" t="b">
        <f>LEN(data!AI132)&lt;=10</f>
        <v>1</v>
      </c>
      <c r="AV132" s="4" t="b">
        <f>LEN(data!AJ132)&lt;=35</f>
        <v>1</v>
      </c>
      <c r="AW132" s="4" t="b">
        <f>LEN(data!AK132)&lt;=20</f>
        <v>1</v>
      </c>
      <c r="AX132"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3" spans="1:50" ht="409.5" x14ac:dyDescent="0.15">
      <c r="A133" s="4" t="b">
        <f>OR(ISBLANK(data!B133), AND(B133:AW133))</f>
        <v>1</v>
      </c>
      <c r="B133" s="4" t="b">
        <f>AND(LEFT(TRIM(data!B133), 4)="OOLU", ISNUMBER(RIGHT(TRIM(data!B133), LEN(TRIM(data!B133))-4)+0))</f>
        <v>0</v>
      </c>
      <c r="C133" s="4" t="b">
        <f>LEN(data!C133)&gt;0</f>
        <v>0</v>
      </c>
      <c r="D133" s="4" t="b">
        <f>LEN(data!C133)&lt;=70</f>
        <v>1</v>
      </c>
      <c r="E133" s="4" t="b">
        <f>LEN(data!D133)&gt;0</f>
        <v>0</v>
      </c>
      <c r="F133" s="4" t="b">
        <f>LEN(data!D133)&lt;=140</f>
        <v>1</v>
      </c>
      <c r="G133" s="4" t="b">
        <f>LEN(data!E133)&gt;0</f>
        <v>0</v>
      </c>
      <c r="H133" s="4" t="b">
        <f>LEN(data!E133)&lt;=35</f>
        <v>1</v>
      </c>
      <c r="I133" s="4" t="b">
        <f>LEN(data!F133)=2</f>
        <v>0</v>
      </c>
      <c r="J133" s="4" t="b">
        <f>LEN(data!G133)&gt;0</f>
        <v>0</v>
      </c>
      <c r="K133" s="4" t="b">
        <f>LEN(data!G133)&lt;=60</f>
        <v>1</v>
      </c>
      <c r="L133" s="4" t="b">
        <f>LEN(data!I133)&gt;0</f>
        <v>0</v>
      </c>
      <c r="M133" s="4" t="b">
        <f>LEN(data!I133)&lt;=70</f>
        <v>1</v>
      </c>
      <c r="N133" s="4" t="b">
        <f>LEN(data!J133)&gt;0</f>
        <v>0</v>
      </c>
      <c r="O133" s="4" t="b">
        <f>LEN(data!J133)&lt;=140</f>
        <v>1</v>
      </c>
      <c r="P133" s="4" t="b">
        <f>LEN(data!K133)&gt;0</f>
        <v>0</v>
      </c>
      <c r="Q133" s="4" t="b">
        <f>LEN(data!K133)&lt;=35</f>
        <v>1</v>
      </c>
      <c r="R133" s="4" t="b">
        <f>LEN(data!L133)=2</f>
        <v>0</v>
      </c>
      <c r="S133" s="4" t="b">
        <f>LEN(data!M133)&gt;0</f>
        <v>0</v>
      </c>
      <c r="T133" s="4" t="b">
        <f>LEN(data!M133)&lt;=60</f>
        <v>1</v>
      </c>
      <c r="U133" s="4" t="b">
        <f>LEN(data!O133)&gt;0</f>
        <v>0</v>
      </c>
      <c r="V133" s="4" t="b">
        <f>LEN(data!O133)&lt;=70</f>
        <v>1</v>
      </c>
      <c r="W133" s="4" t="b">
        <f>LEN(data!P133)&gt;0</f>
        <v>0</v>
      </c>
      <c r="X133" s="4" t="b">
        <f>LEN(data!P133)&lt;=140</f>
        <v>1</v>
      </c>
      <c r="Y133" s="4" t="b">
        <f>LEN(data!Q133)&gt;0</f>
        <v>0</v>
      </c>
      <c r="Z133" s="4" t="b">
        <f>LEN(data!Q133)&lt;=35</f>
        <v>1</v>
      </c>
      <c r="AA133" s="4" t="b">
        <f>LEN(data!R133)=2</f>
        <v>0</v>
      </c>
      <c r="AB133" s="4" t="b">
        <f>LEN(data!S133)&gt;0</f>
        <v>0</v>
      </c>
      <c r="AC133" s="4" t="b">
        <f>LEN(data!S133)&lt;=120</f>
        <v>1</v>
      </c>
      <c r="AD133" s="4" t="b">
        <f>LEN(data!U133)=11</f>
        <v>0</v>
      </c>
      <c r="AE133" s="4" t="b">
        <f>AND(ISERROR(MATCH(data!V133, rule_mapping!$C$2:$C$325, 0))=FALSE, LEN(data!V133) &lt;= 4)</f>
        <v>0</v>
      </c>
      <c r="AF133" s="4" t="b">
        <f>LEN(data!W133)&gt;0</f>
        <v>0</v>
      </c>
      <c r="AG133" s="4" t="b">
        <f>LEN(data!W133)&lt;=20</f>
        <v>1</v>
      </c>
      <c r="AH133" s="4" t="b">
        <f xml:space="preserve"> IFERROR(ISNUMBER(data!X133), FALSE)</f>
        <v>0</v>
      </c>
      <c r="AI133" s="4" t="b">
        <f>IF(ISERROR(MATCH(data!Y133, rule_mapping!$D$2:$D$252, 0))=FALSE,TRUE, FALSE)</f>
        <v>0</v>
      </c>
      <c r="AJ133" s="4" t="b">
        <f>IFERROR(ISNUMBER(data!Z133), FALSE)</f>
        <v>0</v>
      </c>
      <c r="AK133" s="4" t="b">
        <f>IFERROR(ISNUMBER(data!AA133), FALSE)</f>
        <v>0</v>
      </c>
      <c r="AL133" s="4" t="b">
        <f>LEN(data!AB133)&lt;=90</f>
        <v>1</v>
      </c>
      <c r="AM133" s="4" t="b">
        <f>LEN(data!AC133)&gt;0</f>
        <v>0</v>
      </c>
      <c r="AN133" s="4" t="b">
        <f>LEN(data!AC133)&lt;=2000</f>
        <v>1</v>
      </c>
      <c r="AO133" s="4" t="b">
        <f>IF(LEN(data!AD133)=0,TRUE,IF(LEN(data!AD133)=5,TRUE,FALSE))</f>
        <v>1</v>
      </c>
      <c r="AP133" s="4" t="b">
        <f>LEN(data!AE133)&gt;0</f>
        <v>0</v>
      </c>
      <c r="AQ133" s="4" t="b">
        <f>LEN(data!AE133)=5</f>
        <v>0</v>
      </c>
      <c r="AR133" s="4" t="b">
        <f>ISERROR(MATCH(data!AF133, rule_mapping!$B$2:$B$3, 0))=FALSE</f>
        <v>0</v>
      </c>
      <c r="AS133" s="4" t="b">
        <f>ISERROR(MATCH(data!AG133, rule_mapping!$A$2:$A$8, 0))=FALSE</f>
        <v>0</v>
      </c>
      <c r="AT133" s="4" t="b">
        <f>LEN(data!AH133)&lt;=4</f>
        <v>1</v>
      </c>
      <c r="AU133" s="4" t="b">
        <f>LEN(data!AI133)&lt;=10</f>
        <v>1</v>
      </c>
      <c r="AV133" s="4" t="b">
        <f>LEN(data!AJ133)&lt;=35</f>
        <v>1</v>
      </c>
      <c r="AW133" s="4" t="b">
        <f>LEN(data!AK133)&lt;=20</f>
        <v>1</v>
      </c>
      <c r="AX133"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4" spans="1:50" ht="409.5" x14ac:dyDescent="0.15">
      <c r="A134" s="4" t="b">
        <f>OR(ISBLANK(data!B134), AND(B134:AW134))</f>
        <v>1</v>
      </c>
      <c r="B134" s="4" t="b">
        <f>AND(LEFT(TRIM(data!B134), 4)="OOLU", ISNUMBER(RIGHT(TRIM(data!B134), LEN(TRIM(data!B134))-4)+0))</f>
        <v>0</v>
      </c>
      <c r="C134" s="4" t="b">
        <f>LEN(data!C134)&gt;0</f>
        <v>0</v>
      </c>
      <c r="D134" s="4" t="b">
        <f>LEN(data!C134)&lt;=70</f>
        <v>1</v>
      </c>
      <c r="E134" s="4" t="b">
        <f>LEN(data!D134)&gt;0</f>
        <v>0</v>
      </c>
      <c r="F134" s="4" t="b">
        <f>LEN(data!D134)&lt;=140</f>
        <v>1</v>
      </c>
      <c r="G134" s="4" t="b">
        <f>LEN(data!E134)&gt;0</f>
        <v>0</v>
      </c>
      <c r="H134" s="4" t="b">
        <f>LEN(data!E134)&lt;=35</f>
        <v>1</v>
      </c>
      <c r="I134" s="4" t="b">
        <f>LEN(data!F134)=2</f>
        <v>0</v>
      </c>
      <c r="J134" s="4" t="b">
        <f>LEN(data!G134)&gt;0</f>
        <v>0</v>
      </c>
      <c r="K134" s="4" t="b">
        <f>LEN(data!G134)&lt;=60</f>
        <v>1</v>
      </c>
      <c r="L134" s="4" t="b">
        <f>LEN(data!I134)&gt;0</f>
        <v>0</v>
      </c>
      <c r="M134" s="4" t="b">
        <f>LEN(data!I134)&lt;=70</f>
        <v>1</v>
      </c>
      <c r="N134" s="4" t="b">
        <f>LEN(data!J134)&gt;0</f>
        <v>0</v>
      </c>
      <c r="O134" s="4" t="b">
        <f>LEN(data!J134)&lt;=140</f>
        <v>1</v>
      </c>
      <c r="P134" s="4" t="b">
        <f>LEN(data!K134)&gt;0</f>
        <v>0</v>
      </c>
      <c r="Q134" s="4" t="b">
        <f>LEN(data!K134)&lt;=35</f>
        <v>1</v>
      </c>
      <c r="R134" s="4" t="b">
        <f>LEN(data!L134)=2</f>
        <v>0</v>
      </c>
      <c r="S134" s="4" t="b">
        <f>LEN(data!M134)&gt;0</f>
        <v>0</v>
      </c>
      <c r="T134" s="4" t="b">
        <f>LEN(data!M134)&lt;=60</f>
        <v>1</v>
      </c>
      <c r="U134" s="4" t="b">
        <f>LEN(data!O134)&gt;0</f>
        <v>0</v>
      </c>
      <c r="V134" s="4" t="b">
        <f>LEN(data!O134)&lt;=70</f>
        <v>1</v>
      </c>
      <c r="W134" s="4" t="b">
        <f>LEN(data!P134)&gt;0</f>
        <v>0</v>
      </c>
      <c r="X134" s="4" t="b">
        <f>LEN(data!P134)&lt;=140</f>
        <v>1</v>
      </c>
      <c r="Y134" s="4" t="b">
        <f>LEN(data!Q134)&gt;0</f>
        <v>0</v>
      </c>
      <c r="Z134" s="4" t="b">
        <f>LEN(data!Q134)&lt;=35</f>
        <v>1</v>
      </c>
      <c r="AA134" s="4" t="b">
        <f>LEN(data!R134)=2</f>
        <v>0</v>
      </c>
      <c r="AB134" s="4" t="b">
        <f>LEN(data!S134)&gt;0</f>
        <v>0</v>
      </c>
      <c r="AC134" s="4" t="b">
        <f>LEN(data!S134)&lt;=120</f>
        <v>1</v>
      </c>
      <c r="AD134" s="4" t="b">
        <f>LEN(data!U134)=11</f>
        <v>0</v>
      </c>
      <c r="AE134" s="4" t="b">
        <f>AND(ISERROR(MATCH(data!V134, rule_mapping!$C$2:$C$325, 0))=FALSE, LEN(data!V134) &lt;= 4)</f>
        <v>0</v>
      </c>
      <c r="AF134" s="4" t="b">
        <f>LEN(data!W134)&gt;0</f>
        <v>0</v>
      </c>
      <c r="AG134" s="4" t="b">
        <f>LEN(data!W134)&lt;=20</f>
        <v>1</v>
      </c>
      <c r="AH134" s="4" t="b">
        <f xml:space="preserve"> IFERROR(ISNUMBER(data!X134), FALSE)</f>
        <v>0</v>
      </c>
      <c r="AI134" s="4" t="b">
        <f>IF(ISERROR(MATCH(data!Y134, rule_mapping!$D$2:$D$252, 0))=FALSE,TRUE, FALSE)</f>
        <v>0</v>
      </c>
      <c r="AJ134" s="4" t="b">
        <f>IFERROR(ISNUMBER(data!Z134), FALSE)</f>
        <v>0</v>
      </c>
      <c r="AK134" s="4" t="b">
        <f>IFERROR(ISNUMBER(data!AA134), FALSE)</f>
        <v>0</v>
      </c>
      <c r="AL134" s="4" t="b">
        <f>LEN(data!AB134)&lt;=90</f>
        <v>1</v>
      </c>
      <c r="AM134" s="4" t="b">
        <f>LEN(data!AC134)&gt;0</f>
        <v>0</v>
      </c>
      <c r="AN134" s="4" t="b">
        <f>LEN(data!AC134)&lt;=2000</f>
        <v>1</v>
      </c>
      <c r="AO134" s="4" t="b">
        <f>IF(LEN(data!AD134)=0,TRUE,IF(LEN(data!AD134)=5,TRUE,FALSE))</f>
        <v>1</v>
      </c>
      <c r="AP134" s="4" t="b">
        <f>LEN(data!AE134)&gt;0</f>
        <v>0</v>
      </c>
      <c r="AQ134" s="4" t="b">
        <f>LEN(data!AE134)=5</f>
        <v>0</v>
      </c>
      <c r="AR134" s="4" t="b">
        <f>ISERROR(MATCH(data!AF134, rule_mapping!$B$2:$B$3, 0))=FALSE</f>
        <v>0</v>
      </c>
      <c r="AS134" s="4" t="b">
        <f>ISERROR(MATCH(data!AG134, rule_mapping!$A$2:$A$8, 0))=FALSE</f>
        <v>0</v>
      </c>
      <c r="AT134" s="4" t="b">
        <f>LEN(data!AH134)&lt;=4</f>
        <v>1</v>
      </c>
      <c r="AU134" s="4" t="b">
        <f>LEN(data!AI134)&lt;=10</f>
        <v>1</v>
      </c>
      <c r="AV134" s="4" t="b">
        <f>LEN(data!AJ134)&lt;=35</f>
        <v>1</v>
      </c>
      <c r="AW134" s="4" t="b">
        <f>LEN(data!AK134)&lt;=20</f>
        <v>1</v>
      </c>
      <c r="AX134"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5" spans="1:50" ht="409.5" x14ac:dyDescent="0.15">
      <c r="A135" s="4" t="b">
        <f>OR(ISBLANK(data!B135), AND(B135:AW135))</f>
        <v>1</v>
      </c>
      <c r="B135" s="4" t="b">
        <f>AND(LEFT(TRIM(data!B135), 4)="OOLU", ISNUMBER(RIGHT(TRIM(data!B135), LEN(TRIM(data!B135))-4)+0))</f>
        <v>0</v>
      </c>
      <c r="C135" s="4" t="b">
        <f>LEN(data!C135)&gt;0</f>
        <v>0</v>
      </c>
      <c r="D135" s="4" t="b">
        <f>LEN(data!C135)&lt;=70</f>
        <v>1</v>
      </c>
      <c r="E135" s="4" t="b">
        <f>LEN(data!D135)&gt;0</f>
        <v>0</v>
      </c>
      <c r="F135" s="4" t="b">
        <f>LEN(data!D135)&lt;=140</f>
        <v>1</v>
      </c>
      <c r="G135" s="4" t="b">
        <f>LEN(data!E135)&gt;0</f>
        <v>0</v>
      </c>
      <c r="H135" s="4" t="b">
        <f>LEN(data!E135)&lt;=35</f>
        <v>1</v>
      </c>
      <c r="I135" s="4" t="b">
        <f>LEN(data!F135)=2</f>
        <v>0</v>
      </c>
      <c r="J135" s="4" t="b">
        <f>LEN(data!G135)&gt;0</f>
        <v>0</v>
      </c>
      <c r="K135" s="4" t="b">
        <f>LEN(data!G135)&lt;=60</f>
        <v>1</v>
      </c>
      <c r="L135" s="4" t="b">
        <f>LEN(data!I135)&gt;0</f>
        <v>0</v>
      </c>
      <c r="M135" s="4" t="b">
        <f>LEN(data!I135)&lt;=70</f>
        <v>1</v>
      </c>
      <c r="N135" s="4" t="b">
        <f>LEN(data!J135)&gt;0</f>
        <v>0</v>
      </c>
      <c r="O135" s="4" t="b">
        <f>LEN(data!J135)&lt;=140</f>
        <v>1</v>
      </c>
      <c r="P135" s="4" t="b">
        <f>LEN(data!K135)&gt;0</f>
        <v>0</v>
      </c>
      <c r="Q135" s="4" t="b">
        <f>LEN(data!K135)&lt;=35</f>
        <v>1</v>
      </c>
      <c r="R135" s="4" t="b">
        <f>LEN(data!L135)=2</f>
        <v>0</v>
      </c>
      <c r="S135" s="4" t="b">
        <f>LEN(data!M135)&gt;0</f>
        <v>0</v>
      </c>
      <c r="T135" s="4" t="b">
        <f>LEN(data!M135)&lt;=60</f>
        <v>1</v>
      </c>
      <c r="U135" s="4" t="b">
        <f>LEN(data!O135)&gt;0</f>
        <v>0</v>
      </c>
      <c r="V135" s="4" t="b">
        <f>LEN(data!O135)&lt;=70</f>
        <v>1</v>
      </c>
      <c r="W135" s="4" t="b">
        <f>LEN(data!P135)&gt;0</f>
        <v>0</v>
      </c>
      <c r="X135" s="4" t="b">
        <f>LEN(data!P135)&lt;=140</f>
        <v>1</v>
      </c>
      <c r="Y135" s="4" t="b">
        <f>LEN(data!Q135)&gt;0</f>
        <v>0</v>
      </c>
      <c r="Z135" s="4" t="b">
        <f>LEN(data!Q135)&lt;=35</f>
        <v>1</v>
      </c>
      <c r="AA135" s="4" t="b">
        <f>LEN(data!R135)=2</f>
        <v>0</v>
      </c>
      <c r="AB135" s="4" t="b">
        <f>LEN(data!S135)&gt;0</f>
        <v>0</v>
      </c>
      <c r="AC135" s="4" t="b">
        <f>LEN(data!S135)&lt;=120</f>
        <v>1</v>
      </c>
      <c r="AD135" s="4" t="b">
        <f>LEN(data!U135)=11</f>
        <v>0</v>
      </c>
      <c r="AE135" s="4" t="b">
        <f>AND(ISERROR(MATCH(data!V135, rule_mapping!$C$2:$C$325, 0))=FALSE, LEN(data!V135) &lt;= 4)</f>
        <v>0</v>
      </c>
      <c r="AF135" s="4" t="b">
        <f>LEN(data!W135)&gt;0</f>
        <v>0</v>
      </c>
      <c r="AG135" s="4" t="b">
        <f>LEN(data!W135)&lt;=20</f>
        <v>1</v>
      </c>
      <c r="AH135" s="4" t="b">
        <f xml:space="preserve"> IFERROR(ISNUMBER(data!X135), FALSE)</f>
        <v>0</v>
      </c>
      <c r="AI135" s="4" t="b">
        <f>IF(ISERROR(MATCH(data!Y135, rule_mapping!$D$2:$D$252, 0))=FALSE,TRUE, FALSE)</f>
        <v>0</v>
      </c>
      <c r="AJ135" s="4" t="b">
        <f>IFERROR(ISNUMBER(data!Z135), FALSE)</f>
        <v>0</v>
      </c>
      <c r="AK135" s="4" t="b">
        <f>IFERROR(ISNUMBER(data!AA135), FALSE)</f>
        <v>0</v>
      </c>
      <c r="AL135" s="4" t="b">
        <f>LEN(data!AB135)&lt;=90</f>
        <v>1</v>
      </c>
      <c r="AM135" s="4" t="b">
        <f>LEN(data!AC135)&gt;0</f>
        <v>0</v>
      </c>
      <c r="AN135" s="4" t="b">
        <f>LEN(data!AC135)&lt;=2000</f>
        <v>1</v>
      </c>
      <c r="AO135" s="4" t="b">
        <f>IF(LEN(data!AD135)=0,TRUE,IF(LEN(data!AD135)=5,TRUE,FALSE))</f>
        <v>1</v>
      </c>
      <c r="AP135" s="4" t="b">
        <f>LEN(data!AE135)&gt;0</f>
        <v>0</v>
      </c>
      <c r="AQ135" s="4" t="b">
        <f>LEN(data!AE135)=5</f>
        <v>0</v>
      </c>
      <c r="AR135" s="4" t="b">
        <f>ISERROR(MATCH(data!AF135, rule_mapping!$B$2:$B$3, 0))=FALSE</f>
        <v>0</v>
      </c>
      <c r="AS135" s="4" t="b">
        <f>ISERROR(MATCH(data!AG135, rule_mapping!$A$2:$A$8, 0))=FALSE</f>
        <v>0</v>
      </c>
      <c r="AT135" s="4" t="b">
        <f>LEN(data!AH135)&lt;=4</f>
        <v>1</v>
      </c>
      <c r="AU135" s="4" t="b">
        <f>LEN(data!AI135)&lt;=10</f>
        <v>1</v>
      </c>
      <c r="AV135" s="4" t="b">
        <f>LEN(data!AJ135)&lt;=35</f>
        <v>1</v>
      </c>
      <c r="AW135" s="4" t="b">
        <f>LEN(data!AK135)&lt;=20</f>
        <v>1</v>
      </c>
      <c r="AX135"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6" spans="1:50" ht="409.5" x14ac:dyDescent="0.15">
      <c r="A136" s="4" t="b">
        <f>OR(ISBLANK(data!B136), AND(B136:AW136))</f>
        <v>1</v>
      </c>
      <c r="B136" s="4" t="b">
        <f>AND(LEFT(TRIM(data!B136), 4)="OOLU", ISNUMBER(RIGHT(TRIM(data!B136), LEN(TRIM(data!B136))-4)+0))</f>
        <v>0</v>
      </c>
      <c r="C136" s="4" t="b">
        <f>LEN(data!C136)&gt;0</f>
        <v>0</v>
      </c>
      <c r="D136" s="4" t="b">
        <f>LEN(data!C136)&lt;=70</f>
        <v>1</v>
      </c>
      <c r="E136" s="4" t="b">
        <f>LEN(data!D136)&gt;0</f>
        <v>0</v>
      </c>
      <c r="F136" s="4" t="b">
        <f>LEN(data!D136)&lt;=140</f>
        <v>1</v>
      </c>
      <c r="G136" s="4" t="b">
        <f>LEN(data!E136)&gt;0</f>
        <v>0</v>
      </c>
      <c r="H136" s="4" t="b">
        <f>LEN(data!E136)&lt;=35</f>
        <v>1</v>
      </c>
      <c r="I136" s="4" t="b">
        <f>LEN(data!F136)=2</f>
        <v>0</v>
      </c>
      <c r="J136" s="4" t="b">
        <f>LEN(data!G136)&gt;0</f>
        <v>0</v>
      </c>
      <c r="K136" s="4" t="b">
        <f>LEN(data!G136)&lt;=60</f>
        <v>1</v>
      </c>
      <c r="L136" s="4" t="b">
        <f>LEN(data!I136)&gt;0</f>
        <v>0</v>
      </c>
      <c r="M136" s="4" t="b">
        <f>LEN(data!I136)&lt;=70</f>
        <v>1</v>
      </c>
      <c r="N136" s="4" t="b">
        <f>LEN(data!J136)&gt;0</f>
        <v>0</v>
      </c>
      <c r="O136" s="4" t="b">
        <f>LEN(data!J136)&lt;=140</f>
        <v>1</v>
      </c>
      <c r="P136" s="4" t="b">
        <f>LEN(data!K136)&gt;0</f>
        <v>0</v>
      </c>
      <c r="Q136" s="4" t="b">
        <f>LEN(data!K136)&lt;=35</f>
        <v>1</v>
      </c>
      <c r="R136" s="4" t="b">
        <f>LEN(data!L136)=2</f>
        <v>0</v>
      </c>
      <c r="S136" s="4" t="b">
        <f>LEN(data!M136)&gt;0</f>
        <v>0</v>
      </c>
      <c r="T136" s="4" t="b">
        <f>LEN(data!M136)&lt;=60</f>
        <v>1</v>
      </c>
      <c r="U136" s="4" t="b">
        <f>LEN(data!O136)&gt;0</f>
        <v>0</v>
      </c>
      <c r="V136" s="4" t="b">
        <f>LEN(data!O136)&lt;=70</f>
        <v>1</v>
      </c>
      <c r="W136" s="4" t="b">
        <f>LEN(data!P136)&gt;0</f>
        <v>0</v>
      </c>
      <c r="X136" s="4" t="b">
        <f>LEN(data!P136)&lt;=140</f>
        <v>1</v>
      </c>
      <c r="Y136" s="4" t="b">
        <f>LEN(data!Q136)&gt;0</f>
        <v>0</v>
      </c>
      <c r="Z136" s="4" t="b">
        <f>LEN(data!Q136)&lt;=35</f>
        <v>1</v>
      </c>
      <c r="AA136" s="4" t="b">
        <f>LEN(data!R136)=2</f>
        <v>0</v>
      </c>
      <c r="AB136" s="4" t="b">
        <f>LEN(data!S136)&gt;0</f>
        <v>0</v>
      </c>
      <c r="AC136" s="4" t="b">
        <f>LEN(data!S136)&lt;=120</f>
        <v>1</v>
      </c>
      <c r="AD136" s="4" t="b">
        <f>LEN(data!U136)=11</f>
        <v>0</v>
      </c>
      <c r="AE136" s="4" t="b">
        <f>AND(ISERROR(MATCH(data!V136, rule_mapping!$C$2:$C$325, 0))=FALSE, LEN(data!V136) &lt;= 4)</f>
        <v>0</v>
      </c>
      <c r="AF136" s="4" t="b">
        <f>LEN(data!W136)&gt;0</f>
        <v>0</v>
      </c>
      <c r="AG136" s="4" t="b">
        <f>LEN(data!W136)&lt;=20</f>
        <v>1</v>
      </c>
      <c r="AH136" s="4" t="b">
        <f xml:space="preserve"> IFERROR(ISNUMBER(data!X136), FALSE)</f>
        <v>0</v>
      </c>
      <c r="AI136" s="4" t="b">
        <f>IF(ISERROR(MATCH(data!Y136, rule_mapping!$D$2:$D$252, 0))=FALSE,TRUE, FALSE)</f>
        <v>0</v>
      </c>
      <c r="AJ136" s="4" t="b">
        <f>IFERROR(ISNUMBER(data!Z136), FALSE)</f>
        <v>0</v>
      </c>
      <c r="AK136" s="4" t="b">
        <f>IFERROR(ISNUMBER(data!AA136), FALSE)</f>
        <v>0</v>
      </c>
      <c r="AL136" s="4" t="b">
        <f>LEN(data!AB136)&lt;=90</f>
        <v>1</v>
      </c>
      <c r="AM136" s="4" t="b">
        <f>LEN(data!AC136)&gt;0</f>
        <v>0</v>
      </c>
      <c r="AN136" s="4" t="b">
        <f>LEN(data!AC136)&lt;=2000</f>
        <v>1</v>
      </c>
      <c r="AO136" s="4" t="b">
        <f>IF(LEN(data!AD136)=0,TRUE,IF(LEN(data!AD136)=5,TRUE,FALSE))</f>
        <v>1</v>
      </c>
      <c r="AP136" s="4" t="b">
        <f>LEN(data!AE136)&gt;0</f>
        <v>0</v>
      </c>
      <c r="AQ136" s="4" t="b">
        <f>LEN(data!AE136)=5</f>
        <v>0</v>
      </c>
      <c r="AR136" s="4" t="b">
        <f>ISERROR(MATCH(data!AF136, rule_mapping!$B$2:$B$3, 0))=FALSE</f>
        <v>0</v>
      </c>
      <c r="AS136" s="4" t="b">
        <f>ISERROR(MATCH(data!AG136, rule_mapping!$A$2:$A$8, 0))=FALSE</f>
        <v>0</v>
      </c>
      <c r="AT136" s="4" t="b">
        <f>LEN(data!AH136)&lt;=4</f>
        <v>1</v>
      </c>
      <c r="AU136" s="4" t="b">
        <f>LEN(data!AI136)&lt;=10</f>
        <v>1</v>
      </c>
      <c r="AV136" s="4" t="b">
        <f>LEN(data!AJ136)&lt;=35</f>
        <v>1</v>
      </c>
      <c r="AW136" s="4" t="b">
        <f>LEN(data!AK136)&lt;=20</f>
        <v>1</v>
      </c>
      <c r="AX136"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7" spans="1:50" ht="409.5" x14ac:dyDescent="0.15">
      <c r="A137" s="4" t="b">
        <f>OR(ISBLANK(data!B137), AND(B137:AW137))</f>
        <v>1</v>
      </c>
      <c r="B137" s="4" t="b">
        <f>AND(LEFT(TRIM(data!B137), 4)="OOLU", ISNUMBER(RIGHT(TRIM(data!B137), LEN(TRIM(data!B137))-4)+0))</f>
        <v>0</v>
      </c>
      <c r="C137" s="4" t="b">
        <f>LEN(data!C137)&gt;0</f>
        <v>0</v>
      </c>
      <c r="D137" s="4" t="b">
        <f>LEN(data!C137)&lt;=70</f>
        <v>1</v>
      </c>
      <c r="E137" s="4" t="b">
        <f>LEN(data!D137)&gt;0</f>
        <v>0</v>
      </c>
      <c r="F137" s="4" t="b">
        <f>LEN(data!D137)&lt;=140</f>
        <v>1</v>
      </c>
      <c r="G137" s="4" t="b">
        <f>LEN(data!E137)&gt;0</f>
        <v>0</v>
      </c>
      <c r="H137" s="4" t="b">
        <f>LEN(data!E137)&lt;=35</f>
        <v>1</v>
      </c>
      <c r="I137" s="4" t="b">
        <f>LEN(data!F137)=2</f>
        <v>0</v>
      </c>
      <c r="J137" s="4" t="b">
        <f>LEN(data!G137)&gt;0</f>
        <v>0</v>
      </c>
      <c r="K137" s="4" t="b">
        <f>LEN(data!G137)&lt;=60</f>
        <v>1</v>
      </c>
      <c r="L137" s="4" t="b">
        <f>LEN(data!I137)&gt;0</f>
        <v>0</v>
      </c>
      <c r="M137" s="4" t="b">
        <f>LEN(data!I137)&lt;=70</f>
        <v>1</v>
      </c>
      <c r="N137" s="4" t="b">
        <f>LEN(data!J137)&gt;0</f>
        <v>0</v>
      </c>
      <c r="O137" s="4" t="b">
        <f>LEN(data!J137)&lt;=140</f>
        <v>1</v>
      </c>
      <c r="P137" s="4" t="b">
        <f>LEN(data!K137)&gt;0</f>
        <v>0</v>
      </c>
      <c r="Q137" s="4" t="b">
        <f>LEN(data!K137)&lt;=35</f>
        <v>1</v>
      </c>
      <c r="R137" s="4" t="b">
        <f>LEN(data!L137)=2</f>
        <v>0</v>
      </c>
      <c r="S137" s="4" t="b">
        <f>LEN(data!M137)&gt;0</f>
        <v>0</v>
      </c>
      <c r="T137" s="4" t="b">
        <f>LEN(data!M137)&lt;=60</f>
        <v>1</v>
      </c>
      <c r="U137" s="4" t="b">
        <f>LEN(data!O137)&gt;0</f>
        <v>0</v>
      </c>
      <c r="V137" s="4" t="b">
        <f>LEN(data!O137)&lt;=70</f>
        <v>1</v>
      </c>
      <c r="W137" s="4" t="b">
        <f>LEN(data!P137)&gt;0</f>
        <v>0</v>
      </c>
      <c r="X137" s="4" t="b">
        <f>LEN(data!P137)&lt;=140</f>
        <v>1</v>
      </c>
      <c r="Y137" s="4" t="b">
        <f>LEN(data!Q137)&gt;0</f>
        <v>0</v>
      </c>
      <c r="Z137" s="4" t="b">
        <f>LEN(data!Q137)&lt;=35</f>
        <v>1</v>
      </c>
      <c r="AA137" s="4" t="b">
        <f>LEN(data!R137)=2</f>
        <v>0</v>
      </c>
      <c r="AB137" s="4" t="b">
        <f>LEN(data!S137)&gt;0</f>
        <v>0</v>
      </c>
      <c r="AC137" s="4" t="b">
        <f>LEN(data!S137)&lt;=120</f>
        <v>1</v>
      </c>
      <c r="AD137" s="4" t="b">
        <f>LEN(data!U137)=11</f>
        <v>0</v>
      </c>
      <c r="AE137" s="4" t="b">
        <f>AND(ISERROR(MATCH(data!V137, rule_mapping!$C$2:$C$325, 0))=FALSE, LEN(data!V137) &lt;= 4)</f>
        <v>0</v>
      </c>
      <c r="AF137" s="4" t="b">
        <f>LEN(data!W137)&gt;0</f>
        <v>0</v>
      </c>
      <c r="AG137" s="4" t="b">
        <f>LEN(data!W137)&lt;=20</f>
        <v>1</v>
      </c>
      <c r="AH137" s="4" t="b">
        <f xml:space="preserve"> IFERROR(ISNUMBER(data!X137), FALSE)</f>
        <v>0</v>
      </c>
      <c r="AI137" s="4" t="b">
        <f>IF(ISERROR(MATCH(data!Y137, rule_mapping!$D$2:$D$252, 0))=FALSE,TRUE, FALSE)</f>
        <v>0</v>
      </c>
      <c r="AJ137" s="4" t="b">
        <f>IFERROR(ISNUMBER(data!Z137), FALSE)</f>
        <v>0</v>
      </c>
      <c r="AK137" s="4" t="b">
        <f>IFERROR(ISNUMBER(data!AA137), FALSE)</f>
        <v>0</v>
      </c>
      <c r="AL137" s="4" t="b">
        <f>LEN(data!AB137)&lt;=90</f>
        <v>1</v>
      </c>
      <c r="AM137" s="4" t="b">
        <f>LEN(data!AC137)&gt;0</f>
        <v>0</v>
      </c>
      <c r="AN137" s="4" t="b">
        <f>LEN(data!AC137)&lt;=2000</f>
        <v>1</v>
      </c>
      <c r="AO137" s="4" t="b">
        <f>IF(LEN(data!AD137)=0,TRUE,IF(LEN(data!AD137)=5,TRUE,FALSE))</f>
        <v>1</v>
      </c>
      <c r="AP137" s="4" t="b">
        <f>LEN(data!AE137)&gt;0</f>
        <v>0</v>
      </c>
      <c r="AQ137" s="4" t="b">
        <f>LEN(data!AE137)=5</f>
        <v>0</v>
      </c>
      <c r="AR137" s="4" t="b">
        <f>ISERROR(MATCH(data!AF137, rule_mapping!$B$2:$B$3, 0))=FALSE</f>
        <v>0</v>
      </c>
      <c r="AS137" s="4" t="b">
        <f>ISERROR(MATCH(data!AG137, rule_mapping!$A$2:$A$8, 0))=FALSE</f>
        <v>0</v>
      </c>
      <c r="AT137" s="4" t="b">
        <f>LEN(data!AH137)&lt;=4</f>
        <v>1</v>
      </c>
      <c r="AU137" s="4" t="b">
        <f>LEN(data!AI137)&lt;=10</f>
        <v>1</v>
      </c>
      <c r="AV137" s="4" t="b">
        <f>LEN(data!AJ137)&lt;=35</f>
        <v>1</v>
      </c>
      <c r="AW137" s="4" t="b">
        <f>LEN(data!AK137)&lt;=20</f>
        <v>1</v>
      </c>
      <c r="AX137"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8" spans="1:50" ht="409.5" x14ac:dyDescent="0.15">
      <c r="A138" s="4" t="b">
        <f>OR(ISBLANK(data!B138), AND(B138:AW138))</f>
        <v>1</v>
      </c>
      <c r="B138" s="4" t="b">
        <f>AND(LEFT(TRIM(data!B138), 4)="OOLU", ISNUMBER(RIGHT(TRIM(data!B138), LEN(TRIM(data!B138))-4)+0))</f>
        <v>0</v>
      </c>
      <c r="C138" s="4" t="b">
        <f>LEN(data!C138)&gt;0</f>
        <v>0</v>
      </c>
      <c r="D138" s="4" t="b">
        <f>LEN(data!C138)&lt;=70</f>
        <v>1</v>
      </c>
      <c r="E138" s="4" t="b">
        <f>LEN(data!D138)&gt;0</f>
        <v>0</v>
      </c>
      <c r="F138" s="4" t="b">
        <f>LEN(data!D138)&lt;=140</f>
        <v>1</v>
      </c>
      <c r="G138" s="4" t="b">
        <f>LEN(data!E138)&gt;0</f>
        <v>0</v>
      </c>
      <c r="H138" s="4" t="b">
        <f>LEN(data!E138)&lt;=35</f>
        <v>1</v>
      </c>
      <c r="I138" s="4" t="b">
        <f>LEN(data!F138)=2</f>
        <v>0</v>
      </c>
      <c r="J138" s="4" t="b">
        <f>LEN(data!G138)&gt;0</f>
        <v>0</v>
      </c>
      <c r="K138" s="4" t="b">
        <f>LEN(data!G138)&lt;=60</f>
        <v>1</v>
      </c>
      <c r="L138" s="4" t="b">
        <f>LEN(data!I138)&gt;0</f>
        <v>0</v>
      </c>
      <c r="M138" s="4" t="b">
        <f>LEN(data!I138)&lt;=70</f>
        <v>1</v>
      </c>
      <c r="N138" s="4" t="b">
        <f>LEN(data!J138)&gt;0</f>
        <v>0</v>
      </c>
      <c r="O138" s="4" t="b">
        <f>LEN(data!J138)&lt;=140</f>
        <v>1</v>
      </c>
      <c r="P138" s="4" t="b">
        <f>LEN(data!K138)&gt;0</f>
        <v>0</v>
      </c>
      <c r="Q138" s="4" t="b">
        <f>LEN(data!K138)&lt;=35</f>
        <v>1</v>
      </c>
      <c r="R138" s="4" t="b">
        <f>LEN(data!L138)=2</f>
        <v>0</v>
      </c>
      <c r="S138" s="4" t="b">
        <f>LEN(data!M138)&gt;0</f>
        <v>0</v>
      </c>
      <c r="T138" s="4" t="b">
        <f>LEN(data!M138)&lt;=60</f>
        <v>1</v>
      </c>
      <c r="U138" s="4" t="b">
        <f>LEN(data!O138)&gt;0</f>
        <v>0</v>
      </c>
      <c r="V138" s="4" t="b">
        <f>LEN(data!O138)&lt;=70</f>
        <v>1</v>
      </c>
      <c r="W138" s="4" t="b">
        <f>LEN(data!P138)&gt;0</f>
        <v>0</v>
      </c>
      <c r="X138" s="4" t="b">
        <f>LEN(data!P138)&lt;=140</f>
        <v>1</v>
      </c>
      <c r="Y138" s="4" t="b">
        <f>LEN(data!Q138)&gt;0</f>
        <v>0</v>
      </c>
      <c r="Z138" s="4" t="b">
        <f>LEN(data!Q138)&lt;=35</f>
        <v>1</v>
      </c>
      <c r="AA138" s="4" t="b">
        <f>LEN(data!R138)=2</f>
        <v>0</v>
      </c>
      <c r="AB138" s="4" t="b">
        <f>LEN(data!S138)&gt;0</f>
        <v>0</v>
      </c>
      <c r="AC138" s="4" t="b">
        <f>LEN(data!S138)&lt;=120</f>
        <v>1</v>
      </c>
      <c r="AD138" s="4" t="b">
        <f>LEN(data!U138)=11</f>
        <v>0</v>
      </c>
      <c r="AE138" s="4" t="b">
        <f>AND(ISERROR(MATCH(data!V138, rule_mapping!$C$2:$C$325, 0))=FALSE, LEN(data!V138) &lt;= 4)</f>
        <v>0</v>
      </c>
      <c r="AF138" s="4" t="b">
        <f>LEN(data!W138)&gt;0</f>
        <v>0</v>
      </c>
      <c r="AG138" s="4" t="b">
        <f>LEN(data!W138)&lt;=20</f>
        <v>1</v>
      </c>
      <c r="AH138" s="4" t="b">
        <f xml:space="preserve"> IFERROR(ISNUMBER(data!X138), FALSE)</f>
        <v>0</v>
      </c>
      <c r="AI138" s="4" t="b">
        <f>IF(ISERROR(MATCH(data!Y138, rule_mapping!$D$2:$D$252, 0))=FALSE,TRUE, FALSE)</f>
        <v>0</v>
      </c>
      <c r="AJ138" s="4" t="b">
        <f>IFERROR(ISNUMBER(data!Z138), FALSE)</f>
        <v>0</v>
      </c>
      <c r="AK138" s="4" t="b">
        <f>IFERROR(ISNUMBER(data!AA138), FALSE)</f>
        <v>0</v>
      </c>
      <c r="AL138" s="4" t="b">
        <f>LEN(data!AB138)&lt;=90</f>
        <v>1</v>
      </c>
      <c r="AM138" s="4" t="b">
        <f>LEN(data!AC138)&gt;0</f>
        <v>0</v>
      </c>
      <c r="AN138" s="4" t="b">
        <f>LEN(data!AC138)&lt;=2000</f>
        <v>1</v>
      </c>
      <c r="AO138" s="4" t="b">
        <f>IF(LEN(data!AD138)=0,TRUE,IF(LEN(data!AD138)=5,TRUE,FALSE))</f>
        <v>1</v>
      </c>
      <c r="AP138" s="4" t="b">
        <f>LEN(data!AE138)&gt;0</f>
        <v>0</v>
      </c>
      <c r="AQ138" s="4" t="b">
        <f>LEN(data!AE138)=5</f>
        <v>0</v>
      </c>
      <c r="AR138" s="4" t="b">
        <f>ISERROR(MATCH(data!AF138, rule_mapping!$B$2:$B$3, 0))=FALSE</f>
        <v>0</v>
      </c>
      <c r="AS138" s="4" t="b">
        <f>ISERROR(MATCH(data!AG138, rule_mapping!$A$2:$A$8, 0))=FALSE</f>
        <v>0</v>
      </c>
      <c r="AT138" s="4" t="b">
        <f>LEN(data!AH138)&lt;=4</f>
        <v>1</v>
      </c>
      <c r="AU138" s="4" t="b">
        <f>LEN(data!AI138)&lt;=10</f>
        <v>1</v>
      </c>
      <c r="AV138" s="4" t="b">
        <f>LEN(data!AJ138)&lt;=35</f>
        <v>1</v>
      </c>
      <c r="AW138" s="4" t="b">
        <f>LEN(data!AK138)&lt;=20</f>
        <v>1</v>
      </c>
      <c r="AX138"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39" spans="1:50" ht="409.5" x14ac:dyDescent="0.15">
      <c r="A139" s="4" t="b">
        <f>OR(ISBLANK(data!B139), AND(B139:AW139))</f>
        <v>1</v>
      </c>
      <c r="B139" s="4" t="b">
        <f>AND(LEFT(TRIM(data!B139), 4)="OOLU", ISNUMBER(RIGHT(TRIM(data!B139), LEN(TRIM(data!B139))-4)+0))</f>
        <v>0</v>
      </c>
      <c r="C139" s="4" t="b">
        <f>LEN(data!C139)&gt;0</f>
        <v>0</v>
      </c>
      <c r="D139" s="4" t="b">
        <f>LEN(data!C139)&lt;=70</f>
        <v>1</v>
      </c>
      <c r="E139" s="4" t="b">
        <f>LEN(data!D139)&gt;0</f>
        <v>0</v>
      </c>
      <c r="F139" s="4" t="b">
        <f>LEN(data!D139)&lt;=140</f>
        <v>1</v>
      </c>
      <c r="G139" s="4" t="b">
        <f>LEN(data!E139)&gt;0</f>
        <v>0</v>
      </c>
      <c r="H139" s="4" t="b">
        <f>LEN(data!E139)&lt;=35</f>
        <v>1</v>
      </c>
      <c r="I139" s="4" t="b">
        <f>LEN(data!F139)=2</f>
        <v>0</v>
      </c>
      <c r="J139" s="4" t="b">
        <f>LEN(data!G139)&gt;0</f>
        <v>0</v>
      </c>
      <c r="K139" s="4" t="b">
        <f>LEN(data!G139)&lt;=60</f>
        <v>1</v>
      </c>
      <c r="L139" s="4" t="b">
        <f>LEN(data!I139)&gt;0</f>
        <v>0</v>
      </c>
      <c r="M139" s="4" t="b">
        <f>LEN(data!I139)&lt;=70</f>
        <v>1</v>
      </c>
      <c r="N139" s="4" t="b">
        <f>LEN(data!J139)&gt;0</f>
        <v>0</v>
      </c>
      <c r="O139" s="4" t="b">
        <f>LEN(data!J139)&lt;=140</f>
        <v>1</v>
      </c>
      <c r="P139" s="4" t="b">
        <f>LEN(data!K139)&gt;0</f>
        <v>0</v>
      </c>
      <c r="Q139" s="4" t="b">
        <f>LEN(data!K139)&lt;=35</f>
        <v>1</v>
      </c>
      <c r="R139" s="4" t="b">
        <f>LEN(data!L139)=2</f>
        <v>0</v>
      </c>
      <c r="S139" s="4" t="b">
        <f>LEN(data!M139)&gt;0</f>
        <v>0</v>
      </c>
      <c r="T139" s="4" t="b">
        <f>LEN(data!M139)&lt;=60</f>
        <v>1</v>
      </c>
      <c r="U139" s="4" t="b">
        <f>LEN(data!O139)&gt;0</f>
        <v>0</v>
      </c>
      <c r="V139" s="4" t="b">
        <f>LEN(data!O139)&lt;=70</f>
        <v>1</v>
      </c>
      <c r="W139" s="4" t="b">
        <f>LEN(data!P139)&gt;0</f>
        <v>0</v>
      </c>
      <c r="X139" s="4" t="b">
        <f>LEN(data!P139)&lt;=140</f>
        <v>1</v>
      </c>
      <c r="Y139" s="4" t="b">
        <f>LEN(data!Q139)&gt;0</f>
        <v>0</v>
      </c>
      <c r="Z139" s="4" t="b">
        <f>LEN(data!Q139)&lt;=35</f>
        <v>1</v>
      </c>
      <c r="AA139" s="4" t="b">
        <f>LEN(data!R139)=2</f>
        <v>0</v>
      </c>
      <c r="AB139" s="4" t="b">
        <f>LEN(data!S139)&gt;0</f>
        <v>0</v>
      </c>
      <c r="AC139" s="4" t="b">
        <f>LEN(data!S139)&lt;=120</f>
        <v>1</v>
      </c>
      <c r="AD139" s="4" t="b">
        <f>LEN(data!U139)=11</f>
        <v>0</v>
      </c>
      <c r="AE139" s="4" t="b">
        <f>AND(ISERROR(MATCH(data!V139, rule_mapping!$C$2:$C$325, 0))=FALSE, LEN(data!V139) &lt;= 4)</f>
        <v>0</v>
      </c>
      <c r="AF139" s="4" t="b">
        <f>LEN(data!W139)&gt;0</f>
        <v>0</v>
      </c>
      <c r="AG139" s="4" t="b">
        <f>LEN(data!W139)&lt;=20</f>
        <v>1</v>
      </c>
      <c r="AH139" s="4" t="b">
        <f xml:space="preserve"> IFERROR(ISNUMBER(data!X139), FALSE)</f>
        <v>0</v>
      </c>
      <c r="AI139" s="4" t="b">
        <f>IF(ISERROR(MATCH(data!Y139, rule_mapping!$D$2:$D$252, 0))=FALSE,TRUE, FALSE)</f>
        <v>0</v>
      </c>
      <c r="AJ139" s="4" t="b">
        <f>IFERROR(ISNUMBER(data!Z139), FALSE)</f>
        <v>0</v>
      </c>
      <c r="AK139" s="4" t="b">
        <f>IFERROR(ISNUMBER(data!AA139), FALSE)</f>
        <v>0</v>
      </c>
      <c r="AL139" s="4" t="b">
        <f>LEN(data!AB139)&lt;=90</f>
        <v>1</v>
      </c>
      <c r="AM139" s="4" t="b">
        <f>LEN(data!AC139)&gt;0</f>
        <v>0</v>
      </c>
      <c r="AN139" s="4" t="b">
        <f>LEN(data!AC139)&lt;=2000</f>
        <v>1</v>
      </c>
      <c r="AO139" s="4" t="b">
        <f>IF(LEN(data!AD139)=0,TRUE,IF(LEN(data!AD139)=5,TRUE,FALSE))</f>
        <v>1</v>
      </c>
      <c r="AP139" s="4" t="b">
        <f>LEN(data!AE139)&gt;0</f>
        <v>0</v>
      </c>
      <c r="AQ139" s="4" t="b">
        <f>LEN(data!AE139)=5</f>
        <v>0</v>
      </c>
      <c r="AR139" s="4" t="b">
        <f>ISERROR(MATCH(data!AF139, rule_mapping!$B$2:$B$3, 0))=FALSE</f>
        <v>0</v>
      </c>
      <c r="AS139" s="4" t="b">
        <f>ISERROR(MATCH(data!AG139, rule_mapping!$A$2:$A$8, 0))=FALSE</f>
        <v>0</v>
      </c>
      <c r="AT139" s="4" t="b">
        <f>LEN(data!AH139)&lt;=4</f>
        <v>1</v>
      </c>
      <c r="AU139" s="4" t="b">
        <f>LEN(data!AI139)&lt;=10</f>
        <v>1</v>
      </c>
      <c r="AV139" s="4" t="b">
        <f>LEN(data!AJ139)&lt;=35</f>
        <v>1</v>
      </c>
      <c r="AW139" s="4" t="b">
        <f>LEN(data!AK139)&lt;=20</f>
        <v>1</v>
      </c>
      <c r="AX139"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0" spans="1:50" ht="409.5" x14ac:dyDescent="0.15">
      <c r="A140" s="4" t="b">
        <f>OR(ISBLANK(data!B140), AND(B140:AW140))</f>
        <v>1</v>
      </c>
      <c r="B140" s="4" t="b">
        <f>AND(LEFT(TRIM(data!B140), 4)="OOLU", ISNUMBER(RIGHT(TRIM(data!B140), LEN(TRIM(data!B140))-4)+0))</f>
        <v>0</v>
      </c>
      <c r="C140" s="4" t="b">
        <f>LEN(data!C140)&gt;0</f>
        <v>0</v>
      </c>
      <c r="D140" s="4" t="b">
        <f>LEN(data!C140)&lt;=70</f>
        <v>1</v>
      </c>
      <c r="E140" s="4" t="b">
        <f>LEN(data!D140)&gt;0</f>
        <v>0</v>
      </c>
      <c r="F140" s="4" t="b">
        <f>LEN(data!D140)&lt;=140</f>
        <v>1</v>
      </c>
      <c r="G140" s="4" t="b">
        <f>LEN(data!E140)&gt;0</f>
        <v>0</v>
      </c>
      <c r="H140" s="4" t="b">
        <f>LEN(data!E140)&lt;=35</f>
        <v>1</v>
      </c>
      <c r="I140" s="4" t="b">
        <f>LEN(data!F140)=2</f>
        <v>0</v>
      </c>
      <c r="J140" s="4" t="b">
        <f>LEN(data!G140)&gt;0</f>
        <v>0</v>
      </c>
      <c r="K140" s="4" t="b">
        <f>LEN(data!G140)&lt;=60</f>
        <v>1</v>
      </c>
      <c r="L140" s="4" t="b">
        <f>LEN(data!I140)&gt;0</f>
        <v>0</v>
      </c>
      <c r="M140" s="4" t="b">
        <f>LEN(data!I140)&lt;=70</f>
        <v>1</v>
      </c>
      <c r="N140" s="4" t="b">
        <f>LEN(data!J140)&gt;0</f>
        <v>0</v>
      </c>
      <c r="O140" s="4" t="b">
        <f>LEN(data!J140)&lt;=140</f>
        <v>1</v>
      </c>
      <c r="P140" s="4" t="b">
        <f>LEN(data!K140)&gt;0</f>
        <v>0</v>
      </c>
      <c r="Q140" s="4" t="b">
        <f>LEN(data!K140)&lt;=35</f>
        <v>1</v>
      </c>
      <c r="R140" s="4" t="b">
        <f>LEN(data!L140)=2</f>
        <v>0</v>
      </c>
      <c r="S140" s="4" t="b">
        <f>LEN(data!M140)&gt;0</f>
        <v>0</v>
      </c>
      <c r="T140" s="4" t="b">
        <f>LEN(data!M140)&lt;=60</f>
        <v>1</v>
      </c>
      <c r="U140" s="4" t="b">
        <f>LEN(data!O140)&gt;0</f>
        <v>0</v>
      </c>
      <c r="V140" s="4" t="b">
        <f>LEN(data!O140)&lt;=70</f>
        <v>1</v>
      </c>
      <c r="W140" s="4" t="b">
        <f>LEN(data!P140)&gt;0</f>
        <v>0</v>
      </c>
      <c r="X140" s="4" t="b">
        <f>LEN(data!P140)&lt;=140</f>
        <v>1</v>
      </c>
      <c r="Y140" s="4" t="b">
        <f>LEN(data!Q140)&gt;0</f>
        <v>0</v>
      </c>
      <c r="Z140" s="4" t="b">
        <f>LEN(data!Q140)&lt;=35</f>
        <v>1</v>
      </c>
      <c r="AA140" s="4" t="b">
        <f>LEN(data!R140)=2</f>
        <v>0</v>
      </c>
      <c r="AB140" s="4" t="b">
        <f>LEN(data!S140)&gt;0</f>
        <v>0</v>
      </c>
      <c r="AC140" s="4" t="b">
        <f>LEN(data!S140)&lt;=120</f>
        <v>1</v>
      </c>
      <c r="AD140" s="4" t="b">
        <f>LEN(data!U140)=11</f>
        <v>0</v>
      </c>
      <c r="AE140" s="4" t="b">
        <f>AND(ISERROR(MATCH(data!V140, rule_mapping!$C$2:$C$325, 0))=FALSE, LEN(data!V140) &lt;= 4)</f>
        <v>0</v>
      </c>
      <c r="AF140" s="4" t="b">
        <f>LEN(data!W140)&gt;0</f>
        <v>0</v>
      </c>
      <c r="AG140" s="4" t="b">
        <f>LEN(data!W140)&lt;=20</f>
        <v>1</v>
      </c>
      <c r="AH140" s="4" t="b">
        <f xml:space="preserve"> IFERROR(ISNUMBER(data!X140), FALSE)</f>
        <v>0</v>
      </c>
      <c r="AI140" s="4" t="b">
        <f>IF(ISERROR(MATCH(data!Y140, rule_mapping!$D$2:$D$252, 0))=FALSE,TRUE, FALSE)</f>
        <v>0</v>
      </c>
      <c r="AJ140" s="4" t="b">
        <f>IFERROR(ISNUMBER(data!Z140), FALSE)</f>
        <v>0</v>
      </c>
      <c r="AK140" s="4" t="b">
        <f>IFERROR(ISNUMBER(data!AA140), FALSE)</f>
        <v>0</v>
      </c>
      <c r="AL140" s="4" t="b">
        <f>LEN(data!AB140)&lt;=90</f>
        <v>1</v>
      </c>
      <c r="AM140" s="4" t="b">
        <f>LEN(data!AC140)&gt;0</f>
        <v>0</v>
      </c>
      <c r="AN140" s="4" t="b">
        <f>LEN(data!AC140)&lt;=2000</f>
        <v>1</v>
      </c>
      <c r="AO140" s="4" t="b">
        <f>IF(LEN(data!AD140)=0,TRUE,IF(LEN(data!AD140)=5,TRUE,FALSE))</f>
        <v>1</v>
      </c>
      <c r="AP140" s="4" t="b">
        <f>LEN(data!AE140)&gt;0</f>
        <v>0</v>
      </c>
      <c r="AQ140" s="4" t="b">
        <f>LEN(data!AE140)=5</f>
        <v>0</v>
      </c>
      <c r="AR140" s="4" t="b">
        <f>ISERROR(MATCH(data!AF140, rule_mapping!$B$2:$B$3, 0))=FALSE</f>
        <v>0</v>
      </c>
      <c r="AS140" s="4" t="b">
        <f>ISERROR(MATCH(data!AG140, rule_mapping!$A$2:$A$8, 0))=FALSE</f>
        <v>0</v>
      </c>
      <c r="AT140" s="4" t="b">
        <f>LEN(data!AH140)&lt;=4</f>
        <v>1</v>
      </c>
      <c r="AU140" s="4" t="b">
        <f>LEN(data!AI140)&lt;=10</f>
        <v>1</v>
      </c>
      <c r="AV140" s="4" t="b">
        <f>LEN(data!AJ140)&lt;=35</f>
        <v>1</v>
      </c>
      <c r="AW140" s="4" t="b">
        <f>LEN(data!AK140)&lt;=20</f>
        <v>1</v>
      </c>
      <c r="AX140"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1" spans="1:50" ht="409.5" x14ac:dyDescent="0.15">
      <c r="A141" s="4" t="b">
        <f>OR(ISBLANK(data!B141), AND(B141:AW141))</f>
        <v>1</v>
      </c>
      <c r="B141" s="4" t="b">
        <f>AND(LEFT(TRIM(data!B141), 4)="OOLU", ISNUMBER(RIGHT(TRIM(data!B141), LEN(TRIM(data!B141))-4)+0))</f>
        <v>0</v>
      </c>
      <c r="C141" s="4" t="b">
        <f>LEN(data!C141)&gt;0</f>
        <v>0</v>
      </c>
      <c r="D141" s="4" t="b">
        <f>LEN(data!C141)&lt;=70</f>
        <v>1</v>
      </c>
      <c r="E141" s="4" t="b">
        <f>LEN(data!D141)&gt;0</f>
        <v>0</v>
      </c>
      <c r="F141" s="4" t="b">
        <f>LEN(data!D141)&lt;=140</f>
        <v>1</v>
      </c>
      <c r="G141" s="4" t="b">
        <f>LEN(data!E141)&gt;0</f>
        <v>0</v>
      </c>
      <c r="H141" s="4" t="b">
        <f>LEN(data!E141)&lt;=35</f>
        <v>1</v>
      </c>
      <c r="I141" s="4" t="b">
        <f>LEN(data!F141)=2</f>
        <v>0</v>
      </c>
      <c r="J141" s="4" t="b">
        <f>LEN(data!G141)&gt;0</f>
        <v>0</v>
      </c>
      <c r="K141" s="4" t="b">
        <f>LEN(data!G141)&lt;=60</f>
        <v>1</v>
      </c>
      <c r="L141" s="4" t="b">
        <f>LEN(data!I141)&gt;0</f>
        <v>0</v>
      </c>
      <c r="M141" s="4" t="b">
        <f>LEN(data!I141)&lt;=70</f>
        <v>1</v>
      </c>
      <c r="N141" s="4" t="b">
        <f>LEN(data!J141)&gt;0</f>
        <v>0</v>
      </c>
      <c r="O141" s="4" t="b">
        <f>LEN(data!J141)&lt;=140</f>
        <v>1</v>
      </c>
      <c r="P141" s="4" t="b">
        <f>LEN(data!K141)&gt;0</f>
        <v>0</v>
      </c>
      <c r="Q141" s="4" t="b">
        <f>LEN(data!K141)&lt;=35</f>
        <v>1</v>
      </c>
      <c r="R141" s="4" t="b">
        <f>LEN(data!L141)=2</f>
        <v>0</v>
      </c>
      <c r="S141" s="4" t="b">
        <f>LEN(data!M141)&gt;0</f>
        <v>0</v>
      </c>
      <c r="T141" s="4" t="b">
        <f>LEN(data!M141)&lt;=60</f>
        <v>1</v>
      </c>
      <c r="U141" s="4" t="b">
        <f>LEN(data!O141)&gt;0</f>
        <v>0</v>
      </c>
      <c r="V141" s="4" t="b">
        <f>LEN(data!O141)&lt;=70</f>
        <v>1</v>
      </c>
      <c r="W141" s="4" t="b">
        <f>LEN(data!P141)&gt;0</f>
        <v>0</v>
      </c>
      <c r="X141" s="4" t="b">
        <f>LEN(data!P141)&lt;=140</f>
        <v>1</v>
      </c>
      <c r="Y141" s="4" t="b">
        <f>LEN(data!Q141)&gt;0</f>
        <v>0</v>
      </c>
      <c r="Z141" s="4" t="b">
        <f>LEN(data!Q141)&lt;=35</f>
        <v>1</v>
      </c>
      <c r="AA141" s="4" t="b">
        <f>LEN(data!R141)=2</f>
        <v>0</v>
      </c>
      <c r="AB141" s="4" t="b">
        <f>LEN(data!S141)&gt;0</f>
        <v>0</v>
      </c>
      <c r="AC141" s="4" t="b">
        <f>LEN(data!S141)&lt;=120</f>
        <v>1</v>
      </c>
      <c r="AD141" s="4" t="b">
        <f>LEN(data!U141)=11</f>
        <v>0</v>
      </c>
      <c r="AE141" s="4" t="b">
        <f>AND(ISERROR(MATCH(data!V141, rule_mapping!$C$2:$C$325, 0))=FALSE, LEN(data!V141) &lt;= 4)</f>
        <v>0</v>
      </c>
      <c r="AF141" s="4" t="b">
        <f>LEN(data!W141)&gt;0</f>
        <v>0</v>
      </c>
      <c r="AG141" s="4" t="b">
        <f>LEN(data!W141)&lt;=20</f>
        <v>1</v>
      </c>
      <c r="AH141" s="4" t="b">
        <f xml:space="preserve"> IFERROR(ISNUMBER(data!X141), FALSE)</f>
        <v>0</v>
      </c>
      <c r="AI141" s="4" t="b">
        <f>IF(ISERROR(MATCH(data!Y141, rule_mapping!$D$2:$D$252, 0))=FALSE,TRUE, FALSE)</f>
        <v>0</v>
      </c>
      <c r="AJ141" s="4" t="b">
        <f>IFERROR(ISNUMBER(data!Z141), FALSE)</f>
        <v>0</v>
      </c>
      <c r="AK141" s="4" t="b">
        <f>IFERROR(ISNUMBER(data!AA141), FALSE)</f>
        <v>0</v>
      </c>
      <c r="AL141" s="4" t="b">
        <f>LEN(data!AB141)&lt;=90</f>
        <v>1</v>
      </c>
      <c r="AM141" s="4" t="b">
        <f>LEN(data!AC141)&gt;0</f>
        <v>0</v>
      </c>
      <c r="AN141" s="4" t="b">
        <f>LEN(data!AC141)&lt;=2000</f>
        <v>1</v>
      </c>
      <c r="AO141" s="4" t="b">
        <f>IF(LEN(data!AD141)=0,TRUE,IF(LEN(data!AD141)=5,TRUE,FALSE))</f>
        <v>1</v>
      </c>
      <c r="AP141" s="4" t="b">
        <f>LEN(data!AE141)&gt;0</f>
        <v>0</v>
      </c>
      <c r="AQ141" s="4" t="b">
        <f>LEN(data!AE141)=5</f>
        <v>0</v>
      </c>
      <c r="AR141" s="4" t="b">
        <f>ISERROR(MATCH(data!AF141, rule_mapping!$B$2:$B$3, 0))=FALSE</f>
        <v>0</v>
      </c>
      <c r="AS141" s="4" t="b">
        <f>ISERROR(MATCH(data!AG141, rule_mapping!$A$2:$A$8, 0))=FALSE</f>
        <v>0</v>
      </c>
      <c r="AT141" s="4" t="b">
        <f>LEN(data!AH141)&lt;=4</f>
        <v>1</v>
      </c>
      <c r="AU141" s="4" t="b">
        <f>LEN(data!AI141)&lt;=10</f>
        <v>1</v>
      </c>
      <c r="AV141" s="4" t="b">
        <f>LEN(data!AJ141)&lt;=35</f>
        <v>1</v>
      </c>
      <c r="AW141" s="4" t="b">
        <f>LEN(data!AK141)&lt;=20</f>
        <v>1</v>
      </c>
      <c r="AX141"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2" spans="1:50" ht="409.5" x14ac:dyDescent="0.15">
      <c r="A142" s="4" t="b">
        <f>OR(ISBLANK(data!B142), AND(B142:AW142))</f>
        <v>1</v>
      </c>
      <c r="B142" s="4" t="b">
        <f>AND(LEFT(TRIM(data!B142), 4)="OOLU", ISNUMBER(RIGHT(TRIM(data!B142), LEN(TRIM(data!B142))-4)+0))</f>
        <v>0</v>
      </c>
      <c r="C142" s="4" t="b">
        <f>LEN(data!C142)&gt;0</f>
        <v>0</v>
      </c>
      <c r="D142" s="4" t="b">
        <f>LEN(data!C142)&lt;=70</f>
        <v>1</v>
      </c>
      <c r="E142" s="4" t="b">
        <f>LEN(data!D142)&gt;0</f>
        <v>0</v>
      </c>
      <c r="F142" s="4" t="b">
        <f>LEN(data!D142)&lt;=140</f>
        <v>1</v>
      </c>
      <c r="G142" s="4" t="b">
        <f>LEN(data!E142)&gt;0</f>
        <v>0</v>
      </c>
      <c r="H142" s="4" t="b">
        <f>LEN(data!E142)&lt;=35</f>
        <v>1</v>
      </c>
      <c r="I142" s="4" t="b">
        <f>LEN(data!F142)=2</f>
        <v>0</v>
      </c>
      <c r="J142" s="4" t="b">
        <f>LEN(data!G142)&gt;0</f>
        <v>0</v>
      </c>
      <c r="K142" s="4" t="b">
        <f>LEN(data!G142)&lt;=60</f>
        <v>1</v>
      </c>
      <c r="L142" s="4" t="b">
        <f>LEN(data!I142)&gt;0</f>
        <v>0</v>
      </c>
      <c r="M142" s="4" t="b">
        <f>LEN(data!I142)&lt;=70</f>
        <v>1</v>
      </c>
      <c r="N142" s="4" t="b">
        <f>LEN(data!J142)&gt;0</f>
        <v>0</v>
      </c>
      <c r="O142" s="4" t="b">
        <f>LEN(data!J142)&lt;=140</f>
        <v>1</v>
      </c>
      <c r="P142" s="4" t="b">
        <f>LEN(data!K142)&gt;0</f>
        <v>0</v>
      </c>
      <c r="Q142" s="4" t="b">
        <f>LEN(data!K142)&lt;=35</f>
        <v>1</v>
      </c>
      <c r="R142" s="4" t="b">
        <f>LEN(data!L142)=2</f>
        <v>0</v>
      </c>
      <c r="S142" s="4" t="b">
        <f>LEN(data!M142)&gt;0</f>
        <v>0</v>
      </c>
      <c r="T142" s="4" t="b">
        <f>LEN(data!M142)&lt;=60</f>
        <v>1</v>
      </c>
      <c r="U142" s="4" t="b">
        <f>LEN(data!O142)&gt;0</f>
        <v>0</v>
      </c>
      <c r="V142" s="4" t="b">
        <f>LEN(data!O142)&lt;=70</f>
        <v>1</v>
      </c>
      <c r="W142" s="4" t="b">
        <f>LEN(data!P142)&gt;0</f>
        <v>0</v>
      </c>
      <c r="X142" s="4" t="b">
        <f>LEN(data!P142)&lt;=140</f>
        <v>1</v>
      </c>
      <c r="Y142" s="4" t="b">
        <f>LEN(data!Q142)&gt;0</f>
        <v>0</v>
      </c>
      <c r="Z142" s="4" t="b">
        <f>LEN(data!Q142)&lt;=35</f>
        <v>1</v>
      </c>
      <c r="AA142" s="4" t="b">
        <f>LEN(data!R142)=2</f>
        <v>0</v>
      </c>
      <c r="AB142" s="4" t="b">
        <f>LEN(data!S142)&gt;0</f>
        <v>0</v>
      </c>
      <c r="AC142" s="4" t="b">
        <f>LEN(data!S142)&lt;=120</f>
        <v>1</v>
      </c>
      <c r="AD142" s="4" t="b">
        <f>LEN(data!U142)=11</f>
        <v>0</v>
      </c>
      <c r="AE142" s="4" t="b">
        <f>AND(ISERROR(MATCH(data!V142, rule_mapping!$C$2:$C$325, 0))=FALSE, LEN(data!V142) &lt;= 4)</f>
        <v>0</v>
      </c>
      <c r="AF142" s="4" t="b">
        <f>LEN(data!W142)&gt;0</f>
        <v>0</v>
      </c>
      <c r="AG142" s="4" t="b">
        <f>LEN(data!W142)&lt;=20</f>
        <v>1</v>
      </c>
      <c r="AH142" s="4" t="b">
        <f xml:space="preserve"> IFERROR(ISNUMBER(data!X142), FALSE)</f>
        <v>0</v>
      </c>
      <c r="AI142" s="4" t="b">
        <f>IF(ISERROR(MATCH(data!Y142, rule_mapping!$D$2:$D$252, 0))=FALSE,TRUE, FALSE)</f>
        <v>0</v>
      </c>
      <c r="AJ142" s="4" t="b">
        <f>IFERROR(ISNUMBER(data!Z142), FALSE)</f>
        <v>0</v>
      </c>
      <c r="AK142" s="4" t="b">
        <f>IFERROR(ISNUMBER(data!AA142), FALSE)</f>
        <v>0</v>
      </c>
      <c r="AL142" s="4" t="b">
        <f>LEN(data!AB142)&lt;=90</f>
        <v>1</v>
      </c>
      <c r="AM142" s="4" t="b">
        <f>LEN(data!AC142)&gt;0</f>
        <v>0</v>
      </c>
      <c r="AN142" s="4" t="b">
        <f>LEN(data!AC142)&lt;=2000</f>
        <v>1</v>
      </c>
      <c r="AO142" s="4" t="b">
        <f>IF(LEN(data!AD142)=0,TRUE,IF(LEN(data!AD142)=5,TRUE,FALSE))</f>
        <v>1</v>
      </c>
      <c r="AP142" s="4" t="b">
        <f>LEN(data!AE142)&gt;0</f>
        <v>0</v>
      </c>
      <c r="AQ142" s="4" t="b">
        <f>LEN(data!AE142)=5</f>
        <v>0</v>
      </c>
      <c r="AR142" s="4" t="b">
        <f>ISERROR(MATCH(data!AF142, rule_mapping!$B$2:$B$3, 0))=FALSE</f>
        <v>0</v>
      </c>
      <c r="AS142" s="4" t="b">
        <f>ISERROR(MATCH(data!AG142, rule_mapping!$A$2:$A$8, 0))=FALSE</f>
        <v>0</v>
      </c>
      <c r="AT142" s="4" t="b">
        <f>LEN(data!AH142)&lt;=4</f>
        <v>1</v>
      </c>
      <c r="AU142" s="4" t="b">
        <f>LEN(data!AI142)&lt;=10</f>
        <v>1</v>
      </c>
      <c r="AV142" s="4" t="b">
        <f>LEN(data!AJ142)&lt;=35</f>
        <v>1</v>
      </c>
      <c r="AW142" s="4" t="b">
        <f>LEN(data!AK142)&lt;=20</f>
        <v>1</v>
      </c>
      <c r="AX142"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3" spans="1:50" ht="409.5" x14ac:dyDescent="0.15">
      <c r="A143" s="4" t="b">
        <f>OR(ISBLANK(data!B143), AND(B143:AW143))</f>
        <v>1</v>
      </c>
      <c r="B143" s="4" t="b">
        <f>AND(LEFT(TRIM(data!B143), 4)="OOLU", ISNUMBER(RIGHT(TRIM(data!B143), LEN(TRIM(data!B143))-4)+0))</f>
        <v>0</v>
      </c>
      <c r="C143" s="4" t="b">
        <f>LEN(data!C143)&gt;0</f>
        <v>0</v>
      </c>
      <c r="D143" s="4" t="b">
        <f>LEN(data!C143)&lt;=70</f>
        <v>1</v>
      </c>
      <c r="E143" s="4" t="b">
        <f>LEN(data!D143)&gt;0</f>
        <v>0</v>
      </c>
      <c r="F143" s="4" t="b">
        <f>LEN(data!D143)&lt;=140</f>
        <v>1</v>
      </c>
      <c r="G143" s="4" t="b">
        <f>LEN(data!E143)&gt;0</f>
        <v>0</v>
      </c>
      <c r="H143" s="4" t="b">
        <f>LEN(data!E143)&lt;=35</f>
        <v>1</v>
      </c>
      <c r="I143" s="4" t="b">
        <f>LEN(data!F143)=2</f>
        <v>0</v>
      </c>
      <c r="J143" s="4" t="b">
        <f>LEN(data!G143)&gt;0</f>
        <v>0</v>
      </c>
      <c r="K143" s="4" t="b">
        <f>LEN(data!G143)&lt;=60</f>
        <v>1</v>
      </c>
      <c r="L143" s="4" t="b">
        <f>LEN(data!I143)&gt;0</f>
        <v>0</v>
      </c>
      <c r="M143" s="4" t="b">
        <f>LEN(data!I143)&lt;=70</f>
        <v>1</v>
      </c>
      <c r="N143" s="4" t="b">
        <f>LEN(data!J143)&gt;0</f>
        <v>0</v>
      </c>
      <c r="O143" s="4" t="b">
        <f>LEN(data!J143)&lt;=140</f>
        <v>1</v>
      </c>
      <c r="P143" s="4" t="b">
        <f>LEN(data!K143)&gt;0</f>
        <v>0</v>
      </c>
      <c r="Q143" s="4" t="b">
        <f>LEN(data!K143)&lt;=35</f>
        <v>1</v>
      </c>
      <c r="R143" s="4" t="b">
        <f>LEN(data!L143)=2</f>
        <v>0</v>
      </c>
      <c r="S143" s="4" t="b">
        <f>LEN(data!M143)&gt;0</f>
        <v>0</v>
      </c>
      <c r="T143" s="4" t="b">
        <f>LEN(data!M143)&lt;=60</f>
        <v>1</v>
      </c>
      <c r="U143" s="4" t="b">
        <f>LEN(data!O143)&gt;0</f>
        <v>0</v>
      </c>
      <c r="V143" s="4" t="b">
        <f>LEN(data!O143)&lt;=70</f>
        <v>1</v>
      </c>
      <c r="W143" s="4" t="b">
        <f>LEN(data!P143)&gt;0</f>
        <v>0</v>
      </c>
      <c r="X143" s="4" t="b">
        <f>LEN(data!P143)&lt;=140</f>
        <v>1</v>
      </c>
      <c r="Y143" s="4" t="b">
        <f>LEN(data!Q143)&gt;0</f>
        <v>0</v>
      </c>
      <c r="Z143" s="4" t="b">
        <f>LEN(data!Q143)&lt;=35</f>
        <v>1</v>
      </c>
      <c r="AA143" s="4" t="b">
        <f>LEN(data!R143)=2</f>
        <v>0</v>
      </c>
      <c r="AB143" s="4" t="b">
        <f>LEN(data!S143)&gt;0</f>
        <v>0</v>
      </c>
      <c r="AC143" s="4" t="b">
        <f>LEN(data!S143)&lt;=120</f>
        <v>1</v>
      </c>
      <c r="AD143" s="4" t="b">
        <f>LEN(data!U143)=11</f>
        <v>0</v>
      </c>
      <c r="AE143" s="4" t="b">
        <f>AND(ISERROR(MATCH(data!V143, rule_mapping!$C$2:$C$325, 0))=FALSE, LEN(data!V143) &lt;= 4)</f>
        <v>0</v>
      </c>
      <c r="AF143" s="4" t="b">
        <f>LEN(data!W143)&gt;0</f>
        <v>0</v>
      </c>
      <c r="AG143" s="4" t="b">
        <f>LEN(data!W143)&lt;=20</f>
        <v>1</v>
      </c>
      <c r="AH143" s="4" t="b">
        <f xml:space="preserve"> IFERROR(ISNUMBER(data!X143), FALSE)</f>
        <v>0</v>
      </c>
      <c r="AI143" s="4" t="b">
        <f>IF(ISERROR(MATCH(data!Y143, rule_mapping!$D$2:$D$252, 0))=FALSE,TRUE, FALSE)</f>
        <v>0</v>
      </c>
      <c r="AJ143" s="4" t="b">
        <f>IFERROR(ISNUMBER(data!Z143), FALSE)</f>
        <v>0</v>
      </c>
      <c r="AK143" s="4" t="b">
        <f>IFERROR(ISNUMBER(data!AA143), FALSE)</f>
        <v>0</v>
      </c>
      <c r="AL143" s="4" t="b">
        <f>LEN(data!AB143)&lt;=90</f>
        <v>1</v>
      </c>
      <c r="AM143" s="4" t="b">
        <f>LEN(data!AC143)&gt;0</f>
        <v>0</v>
      </c>
      <c r="AN143" s="4" t="b">
        <f>LEN(data!AC143)&lt;=2000</f>
        <v>1</v>
      </c>
      <c r="AO143" s="4" t="b">
        <f>IF(LEN(data!AD143)=0,TRUE,IF(LEN(data!AD143)=5,TRUE,FALSE))</f>
        <v>1</v>
      </c>
      <c r="AP143" s="4" t="b">
        <f>LEN(data!AE143)&gt;0</f>
        <v>0</v>
      </c>
      <c r="AQ143" s="4" t="b">
        <f>LEN(data!AE143)=5</f>
        <v>0</v>
      </c>
      <c r="AR143" s="4" t="b">
        <f>ISERROR(MATCH(data!AF143, rule_mapping!$B$2:$B$3, 0))=FALSE</f>
        <v>0</v>
      </c>
      <c r="AS143" s="4" t="b">
        <f>ISERROR(MATCH(data!AG143, rule_mapping!$A$2:$A$8, 0))=FALSE</f>
        <v>0</v>
      </c>
      <c r="AT143" s="4" t="b">
        <f>LEN(data!AH143)&lt;=4</f>
        <v>1</v>
      </c>
      <c r="AU143" s="4" t="b">
        <f>LEN(data!AI143)&lt;=10</f>
        <v>1</v>
      </c>
      <c r="AV143" s="4" t="b">
        <f>LEN(data!AJ143)&lt;=35</f>
        <v>1</v>
      </c>
      <c r="AW143" s="4" t="b">
        <f>LEN(data!AK143)&lt;=20</f>
        <v>1</v>
      </c>
      <c r="AX143"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4" spans="1:50" ht="409.5" x14ac:dyDescent="0.15">
      <c r="A144" s="4" t="b">
        <f>OR(ISBLANK(data!B144), AND(B144:AW144))</f>
        <v>1</v>
      </c>
      <c r="B144" s="4" t="b">
        <f>AND(LEFT(TRIM(data!B144), 4)="OOLU", ISNUMBER(RIGHT(TRIM(data!B144), LEN(TRIM(data!B144))-4)+0))</f>
        <v>0</v>
      </c>
      <c r="C144" s="4" t="b">
        <f>LEN(data!C144)&gt;0</f>
        <v>0</v>
      </c>
      <c r="D144" s="4" t="b">
        <f>LEN(data!C144)&lt;=70</f>
        <v>1</v>
      </c>
      <c r="E144" s="4" t="b">
        <f>LEN(data!D144)&gt;0</f>
        <v>0</v>
      </c>
      <c r="F144" s="4" t="b">
        <f>LEN(data!D144)&lt;=140</f>
        <v>1</v>
      </c>
      <c r="G144" s="4" t="b">
        <f>LEN(data!E144)&gt;0</f>
        <v>0</v>
      </c>
      <c r="H144" s="4" t="b">
        <f>LEN(data!E144)&lt;=35</f>
        <v>1</v>
      </c>
      <c r="I144" s="4" t="b">
        <f>LEN(data!F144)=2</f>
        <v>0</v>
      </c>
      <c r="J144" s="4" t="b">
        <f>LEN(data!G144)&gt;0</f>
        <v>0</v>
      </c>
      <c r="K144" s="4" t="b">
        <f>LEN(data!G144)&lt;=60</f>
        <v>1</v>
      </c>
      <c r="L144" s="4" t="b">
        <f>LEN(data!I144)&gt;0</f>
        <v>0</v>
      </c>
      <c r="M144" s="4" t="b">
        <f>LEN(data!I144)&lt;=70</f>
        <v>1</v>
      </c>
      <c r="N144" s="4" t="b">
        <f>LEN(data!J144)&gt;0</f>
        <v>0</v>
      </c>
      <c r="O144" s="4" t="b">
        <f>LEN(data!J144)&lt;=140</f>
        <v>1</v>
      </c>
      <c r="P144" s="4" t="b">
        <f>LEN(data!K144)&gt;0</f>
        <v>0</v>
      </c>
      <c r="Q144" s="4" t="b">
        <f>LEN(data!K144)&lt;=35</f>
        <v>1</v>
      </c>
      <c r="R144" s="4" t="b">
        <f>LEN(data!L144)=2</f>
        <v>0</v>
      </c>
      <c r="S144" s="4" t="b">
        <f>LEN(data!M144)&gt;0</f>
        <v>0</v>
      </c>
      <c r="T144" s="4" t="b">
        <f>LEN(data!M144)&lt;=60</f>
        <v>1</v>
      </c>
      <c r="U144" s="4" t="b">
        <f>LEN(data!O144)&gt;0</f>
        <v>0</v>
      </c>
      <c r="V144" s="4" t="b">
        <f>LEN(data!O144)&lt;=70</f>
        <v>1</v>
      </c>
      <c r="W144" s="4" t="b">
        <f>LEN(data!P144)&gt;0</f>
        <v>0</v>
      </c>
      <c r="X144" s="4" t="b">
        <f>LEN(data!P144)&lt;=140</f>
        <v>1</v>
      </c>
      <c r="Y144" s="4" t="b">
        <f>LEN(data!Q144)&gt;0</f>
        <v>0</v>
      </c>
      <c r="Z144" s="4" t="b">
        <f>LEN(data!Q144)&lt;=35</f>
        <v>1</v>
      </c>
      <c r="AA144" s="4" t="b">
        <f>LEN(data!R144)=2</f>
        <v>0</v>
      </c>
      <c r="AB144" s="4" t="b">
        <f>LEN(data!S144)&gt;0</f>
        <v>0</v>
      </c>
      <c r="AC144" s="4" t="b">
        <f>LEN(data!S144)&lt;=120</f>
        <v>1</v>
      </c>
      <c r="AD144" s="4" t="b">
        <f>LEN(data!U144)=11</f>
        <v>0</v>
      </c>
      <c r="AE144" s="4" t="b">
        <f>AND(ISERROR(MATCH(data!V144, rule_mapping!$C$2:$C$325, 0))=FALSE, LEN(data!V144) &lt;= 4)</f>
        <v>0</v>
      </c>
      <c r="AF144" s="4" t="b">
        <f>LEN(data!W144)&gt;0</f>
        <v>0</v>
      </c>
      <c r="AG144" s="4" t="b">
        <f>LEN(data!W144)&lt;=20</f>
        <v>1</v>
      </c>
      <c r="AH144" s="4" t="b">
        <f xml:space="preserve"> IFERROR(ISNUMBER(data!X144), FALSE)</f>
        <v>0</v>
      </c>
      <c r="AI144" s="4" t="b">
        <f>IF(ISERROR(MATCH(data!Y144, rule_mapping!$D$2:$D$252, 0))=FALSE,TRUE, FALSE)</f>
        <v>0</v>
      </c>
      <c r="AJ144" s="4" t="b">
        <f>IFERROR(ISNUMBER(data!Z144), FALSE)</f>
        <v>0</v>
      </c>
      <c r="AK144" s="4" t="b">
        <f>IFERROR(ISNUMBER(data!AA144), FALSE)</f>
        <v>0</v>
      </c>
      <c r="AL144" s="4" t="b">
        <f>LEN(data!AB144)&lt;=90</f>
        <v>1</v>
      </c>
      <c r="AM144" s="4" t="b">
        <f>LEN(data!AC144)&gt;0</f>
        <v>0</v>
      </c>
      <c r="AN144" s="4" t="b">
        <f>LEN(data!AC144)&lt;=2000</f>
        <v>1</v>
      </c>
      <c r="AO144" s="4" t="b">
        <f>IF(LEN(data!AD144)=0,TRUE,IF(LEN(data!AD144)=5,TRUE,FALSE))</f>
        <v>1</v>
      </c>
      <c r="AP144" s="4" t="b">
        <f>LEN(data!AE144)&gt;0</f>
        <v>0</v>
      </c>
      <c r="AQ144" s="4" t="b">
        <f>LEN(data!AE144)=5</f>
        <v>0</v>
      </c>
      <c r="AR144" s="4" t="b">
        <f>ISERROR(MATCH(data!AF144, rule_mapping!$B$2:$B$3, 0))=FALSE</f>
        <v>0</v>
      </c>
      <c r="AS144" s="4" t="b">
        <f>ISERROR(MATCH(data!AG144, rule_mapping!$A$2:$A$8, 0))=FALSE</f>
        <v>0</v>
      </c>
      <c r="AT144" s="4" t="b">
        <f>LEN(data!AH144)&lt;=4</f>
        <v>1</v>
      </c>
      <c r="AU144" s="4" t="b">
        <f>LEN(data!AI144)&lt;=10</f>
        <v>1</v>
      </c>
      <c r="AV144" s="4" t="b">
        <f>LEN(data!AJ144)&lt;=35</f>
        <v>1</v>
      </c>
      <c r="AW144" s="4" t="b">
        <f>LEN(data!AK144)&lt;=20</f>
        <v>1</v>
      </c>
      <c r="AX144"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5" spans="1:50" ht="409.5" x14ac:dyDescent="0.15">
      <c r="A145" s="4" t="b">
        <f>OR(ISBLANK(data!B145), AND(B145:AW145))</f>
        <v>1</v>
      </c>
      <c r="B145" s="4" t="b">
        <f>AND(LEFT(TRIM(data!B145), 4)="OOLU", ISNUMBER(RIGHT(TRIM(data!B145), LEN(TRIM(data!B145))-4)+0))</f>
        <v>0</v>
      </c>
      <c r="C145" s="4" t="b">
        <f>LEN(data!C145)&gt;0</f>
        <v>0</v>
      </c>
      <c r="D145" s="4" t="b">
        <f>LEN(data!C145)&lt;=70</f>
        <v>1</v>
      </c>
      <c r="E145" s="4" t="b">
        <f>LEN(data!D145)&gt;0</f>
        <v>0</v>
      </c>
      <c r="F145" s="4" t="b">
        <f>LEN(data!D145)&lt;=140</f>
        <v>1</v>
      </c>
      <c r="G145" s="4" t="b">
        <f>LEN(data!E145)&gt;0</f>
        <v>0</v>
      </c>
      <c r="H145" s="4" t="b">
        <f>LEN(data!E145)&lt;=35</f>
        <v>1</v>
      </c>
      <c r="I145" s="4" t="b">
        <f>LEN(data!F145)=2</f>
        <v>0</v>
      </c>
      <c r="J145" s="4" t="b">
        <f>LEN(data!G145)&gt;0</f>
        <v>0</v>
      </c>
      <c r="K145" s="4" t="b">
        <f>LEN(data!G145)&lt;=60</f>
        <v>1</v>
      </c>
      <c r="L145" s="4" t="b">
        <f>LEN(data!I145)&gt;0</f>
        <v>0</v>
      </c>
      <c r="M145" s="4" t="b">
        <f>LEN(data!I145)&lt;=70</f>
        <v>1</v>
      </c>
      <c r="N145" s="4" t="b">
        <f>LEN(data!J145)&gt;0</f>
        <v>0</v>
      </c>
      <c r="O145" s="4" t="b">
        <f>LEN(data!J145)&lt;=140</f>
        <v>1</v>
      </c>
      <c r="P145" s="4" t="b">
        <f>LEN(data!K145)&gt;0</f>
        <v>0</v>
      </c>
      <c r="Q145" s="4" t="b">
        <f>LEN(data!K145)&lt;=35</f>
        <v>1</v>
      </c>
      <c r="R145" s="4" t="b">
        <f>LEN(data!L145)=2</f>
        <v>0</v>
      </c>
      <c r="S145" s="4" t="b">
        <f>LEN(data!M145)&gt;0</f>
        <v>0</v>
      </c>
      <c r="T145" s="4" t="b">
        <f>LEN(data!M145)&lt;=60</f>
        <v>1</v>
      </c>
      <c r="U145" s="4" t="b">
        <f>LEN(data!O145)&gt;0</f>
        <v>0</v>
      </c>
      <c r="V145" s="4" t="b">
        <f>LEN(data!O145)&lt;=70</f>
        <v>1</v>
      </c>
      <c r="W145" s="4" t="b">
        <f>LEN(data!P145)&gt;0</f>
        <v>0</v>
      </c>
      <c r="X145" s="4" t="b">
        <f>LEN(data!P145)&lt;=140</f>
        <v>1</v>
      </c>
      <c r="Y145" s="4" t="b">
        <f>LEN(data!Q145)&gt;0</f>
        <v>0</v>
      </c>
      <c r="Z145" s="4" t="b">
        <f>LEN(data!Q145)&lt;=35</f>
        <v>1</v>
      </c>
      <c r="AA145" s="4" t="b">
        <f>LEN(data!R145)=2</f>
        <v>0</v>
      </c>
      <c r="AB145" s="4" t="b">
        <f>LEN(data!S145)&gt;0</f>
        <v>0</v>
      </c>
      <c r="AC145" s="4" t="b">
        <f>LEN(data!S145)&lt;=120</f>
        <v>1</v>
      </c>
      <c r="AD145" s="4" t="b">
        <f>LEN(data!U145)=11</f>
        <v>0</v>
      </c>
      <c r="AE145" s="4" t="b">
        <f>AND(ISERROR(MATCH(data!V145, rule_mapping!$C$2:$C$325, 0))=FALSE, LEN(data!V145) &lt;= 4)</f>
        <v>0</v>
      </c>
      <c r="AF145" s="4" t="b">
        <f>LEN(data!W145)&gt;0</f>
        <v>0</v>
      </c>
      <c r="AG145" s="4" t="b">
        <f>LEN(data!W145)&lt;=20</f>
        <v>1</v>
      </c>
      <c r="AH145" s="4" t="b">
        <f xml:space="preserve"> IFERROR(ISNUMBER(data!X145), FALSE)</f>
        <v>0</v>
      </c>
      <c r="AI145" s="4" t="b">
        <f>IF(ISERROR(MATCH(data!Y145, rule_mapping!$D$2:$D$252, 0))=FALSE,TRUE, FALSE)</f>
        <v>0</v>
      </c>
      <c r="AJ145" s="4" t="b">
        <f>IFERROR(ISNUMBER(data!Z145), FALSE)</f>
        <v>0</v>
      </c>
      <c r="AK145" s="4" t="b">
        <f>IFERROR(ISNUMBER(data!AA145), FALSE)</f>
        <v>0</v>
      </c>
      <c r="AL145" s="4" t="b">
        <f>LEN(data!AB145)&lt;=90</f>
        <v>1</v>
      </c>
      <c r="AM145" s="4" t="b">
        <f>LEN(data!AC145)&gt;0</f>
        <v>0</v>
      </c>
      <c r="AN145" s="4" t="b">
        <f>LEN(data!AC145)&lt;=2000</f>
        <v>1</v>
      </c>
      <c r="AO145" s="4" t="b">
        <f>IF(LEN(data!AD145)=0,TRUE,IF(LEN(data!AD145)=5,TRUE,FALSE))</f>
        <v>1</v>
      </c>
      <c r="AP145" s="4" t="b">
        <f>LEN(data!AE145)&gt;0</f>
        <v>0</v>
      </c>
      <c r="AQ145" s="4" t="b">
        <f>LEN(data!AE145)=5</f>
        <v>0</v>
      </c>
      <c r="AR145" s="4" t="b">
        <f>ISERROR(MATCH(data!AF145, rule_mapping!$B$2:$B$3, 0))=FALSE</f>
        <v>0</v>
      </c>
      <c r="AS145" s="4" t="b">
        <f>ISERROR(MATCH(data!AG145, rule_mapping!$A$2:$A$8, 0))=FALSE</f>
        <v>0</v>
      </c>
      <c r="AT145" s="4" t="b">
        <f>LEN(data!AH145)&lt;=4</f>
        <v>1</v>
      </c>
      <c r="AU145" s="4" t="b">
        <f>LEN(data!AI145)&lt;=10</f>
        <v>1</v>
      </c>
      <c r="AV145" s="4" t="b">
        <f>LEN(data!AJ145)&lt;=35</f>
        <v>1</v>
      </c>
      <c r="AW145" s="4" t="b">
        <f>LEN(data!AK145)&lt;=20</f>
        <v>1</v>
      </c>
      <c r="AX145"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6" spans="1:50" ht="409.5" x14ac:dyDescent="0.15">
      <c r="A146" s="4" t="b">
        <f>OR(ISBLANK(data!B146), AND(B146:AW146))</f>
        <v>1</v>
      </c>
      <c r="B146" s="4" t="b">
        <f>AND(LEFT(TRIM(data!B146), 4)="OOLU", ISNUMBER(RIGHT(TRIM(data!B146), LEN(TRIM(data!B146))-4)+0))</f>
        <v>0</v>
      </c>
      <c r="C146" s="4" t="b">
        <f>LEN(data!C146)&gt;0</f>
        <v>0</v>
      </c>
      <c r="D146" s="4" t="b">
        <f>LEN(data!C146)&lt;=70</f>
        <v>1</v>
      </c>
      <c r="E146" s="4" t="b">
        <f>LEN(data!D146)&gt;0</f>
        <v>0</v>
      </c>
      <c r="F146" s="4" t="b">
        <f>LEN(data!D146)&lt;=140</f>
        <v>1</v>
      </c>
      <c r="G146" s="4" t="b">
        <f>LEN(data!E146)&gt;0</f>
        <v>0</v>
      </c>
      <c r="H146" s="4" t="b">
        <f>LEN(data!E146)&lt;=35</f>
        <v>1</v>
      </c>
      <c r="I146" s="4" t="b">
        <f>LEN(data!F146)=2</f>
        <v>0</v>
      </c>
      <c r="J146" s="4" t="b">
        <f>LEN(data!G146)&gt;0</f>
        <v>0</v>
      </c>
      <c r="K146" s="4" t="b">
        <f>LEN(data!G146)&lt;=60</f>
        <v>1</v>
      </c>
      <c r="L146" s="4" t="b">
        <f>LEN(data!I146)&gt;0</f>
        <v>0</v>
      </c>
      <c r="M146" s="4" t="b">
        <f>LEN(data!I146)&lt;=70</f>
        <v>1</v>
      </c>
      <c r="N146" s="4" t="b">
        <f>LEN(data!J146)&gt;0</f>
        <v>0</v>
      </c>
      <c r="O146" s="4" t="b">
        <f>LEN(data!J146)&lt;=140</f>
        <v>1</v>
      </c>
      <c r="P146" s="4" t="b">
        <f>LEN(data!K146)&gt;0</f>
        <v>0</v>
      </c>
      <c r="Q146" s="4" t="b">
        <f>LEN(data!K146)&lt;=35</f>
        <v>1</v>
      </c>
      <c r="R146" s="4" t="b">
        <f>LEN(data!L146)=2</f>
        <v>0</v>
      </c>
      <c r="S146" s="4" t="b">
        <f>LEN(data!M146)&gt;0</f>
        <v>0</v>
      </c>
      <c r="T146" s="4" t="b">
        <f>LEN(data!M146)&lt;=60</f>
        <v>1</v>
      </c>
      <c r="U146" s="4" t="b">
        <f>LEN(data!O146)&gt;0</f>
        <v>0</v>
      </c>
      <c r="V146" s="4" t="b">
        <f>LEN(data!O146)&lt;=70</f>
        <v>1</v>
      </c>
      <c r="W146" s="4" t="b">
        <f>LEN(data!P146)&gt;0</f>
        <v>0</v>
      </c>
      <c r="X146" s="4" t="b">
        <f>LEN(data!P146)&lt;=140</f>
        <v>1</v>
      </c>
      <c r="Y146" s="4" t="b">
        <f>LEN(data!Q146)&gt;0</f>
        <v>0</v>
      </c>
      <c r="Z146" s="4" t="b">
        <f>LEN(data!Q146)&lt;=35</f>
        <v>1</v>
      </c>
      <c r="AA146" s="4" t="b">
        <f>LEN(data!R146)=2</f>
        <v>0</v>
      </c>
      <c r="AB146" s="4" t="b">
        <f>LEN(data!S146)&gt;0</f>
        <v>0</v>
      </c>
      <c r="AC146" s="4" t="b">
        <f>LEN(data!S146)&lt;=120</f>
        <v>1</v>
      </c>
      <c r="AD146" s="4" t="b">
        <f>LEN(data!U146)=11</f>
        <v>0</v>
      </c>
      <c r="AE146" s="4" t="b">
        <f>AND(ISERROR(MATCH(data!V146, rule_mapping!$C$2:$C$325, 0))=FALSE, LEN(data!V146) &lt;= 4)</f>
        <v>0</v>
      </c>
      <c r="AF146" s="4" t="b">
        <f>LEN(data!W146)&gt;0</f>
        <v>0</v>
      </c>
      <c r="AG146" s="4" t="b">
        <f>LEN(data!W146)&lt;=20</f>
        <v>1</v>
      </c>
      <c r="AH146" s="4" t="b">
        <f xml:space="preserve"> IFERROR(ISNUMBER(data!X146), FALSE)</f>
        <v>0</v>
      </c>
      <c r="AI146" s="4" t="b">
        <f>IF(ISERROR(MATCH(data!Y146, rule_mapping!$D$2:$D$252, 0))=FALSE,TRUE, FALSE)</f>
        <v>0</v>
      </c>
      <c r="AJ146" s="4" t="b">
        <f>IFERROR(ISNUMBER(data!Z146), FALSE)</f>
        <v>0</v>
      </c>
      <c r="AK146" s="4" t="b">
        <f>IFERROR(ISNUMBER(data!AA146), FALSE)</f>
        <v>0</v>
      </c>
      <c r="AL146" s="4" t="b">
        <f>LEN(data!AB146)&lt;=90</f>
        <v>1</v>
      </c>
      <c r="AM146" s="4" t="b">
        <f>LEN(data!AC146)&gt;0</f>
        <v>0</v>
      </c>
      <c r="AN146" s="4" t="b">
        <f>LEN(data!AC146)&lt;=2000</f>
        <v>1</v>
      </c>
      <c r="AO146" s="4" t="b">
        <f>IF(LEN(data!AD146)=0,TRUE,IF(LEN(data!AD146)=5,TRUE,FALSE))</f>
        <v>1</v>
      </c>
      <c r="AP146" s="4" t="b">
        <f>LEN(data!AE146)&gt;0</f>
        <v>0</v>
      </c>
      <c r="AQ146" s="4" t="b">
        <f>LEN(data!AE146)=5</f>
        <v>0</v>
      </c>
      <c r="AR146" s="4" t="b">
        <f>ISERROR(MATCH(data!AF146, rule_mapping!$B$2:$B$3, 0))=FALSE</f>
        <v>0</v>
      </c>
      <c r="AS146" s="4" t="b">
        <f>ISERROR(MATCH(data!AG146, rule_mapping!$A$2:$A$8, 0))=FALSE</f>
        <v>0</v>
      </c>
      <c r="AT146" s="4" t="b">
        <f>LEN(data!AH146)&lt;=4</f>
        <v>1</v>
      </c>
      <c r="AU146" s="4" t="b">
        <f>LEN(data!AI146)&lt;=10</f>
        <v>1</v>
      </c>
      <c r="AV146" s="4" t="b">
        <f>LEN(data!AJ146)&lt;=35</f>
        <v>1</v>
      </c>
      <c r="AW146" s="4" t="b">
        <f>LEN(data!AK146)&lt;=20</f>
        <v>1</v>
      </c>
      <c r="AX146"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7" spans="1:50" ht="409.5" x14ac:dyDescent="0.15">
      <c r="A147" s="4" t="b">
        <f>OR(ISBLANK(data!B147), AND(B147:AW147))</f>
        <v>1</v>
      </c>
      <c r="B147" s="4" t="b">
        <f>AND(LEFT(TRIM(data!B147), 4)="OOLU", ISNUMBER(RIGHT(TRIM(data!B147), LEN(TRIM(data!B147))-4)+0))</f>
        <v>0</v>
      </c>
      <c r="C147" s="4" t="b">
        <f>LEN(data!C147)&gt;0</f>
        <v>0</v>
      </c>
      <c r="D147" s="4" t="b">
        <f>LEN(data!C147)&lt;=70</f>
        <v>1</v>
      </c>
      <c r="E147" s="4" t="b">
        <f>LEN(data!D147)&gt;0</f>
        <v>0</v>
      </c>
      <c r="F147" s="4" t="b">
        <f>LEN(data!D147)&lt;=140</f>
        <v>1</v>
      </c>
      <c r="G147" s="4" t="b">
        <f>LEN(data!E147)&gt;0</f>
        <v>0</v>
      </c>
      <c r="H147" s="4" t="b">
        <f>LEN(data!E147)&lt;=35</f>
        <v>1</v>
      </c>
      <c r="I147" s="4" t="b">
        <f>LEN(data!F147)=2</f>
        <v>0</v>
      </c>
      <c r="J147" s="4" t="b">
        <f>LEN(data!G147)&gt;0</f>
        <v>0</v>
      </c>
      <c r="K147" s="4" t="b">
        <f>LEN(data!G147)&lt;=60</f>
        <v>1</v>
      </c>
      <c r="L147" s="4" t="b">
        <f>LEN(data!I147)&gt;0</f>
        <v>0</v>
      </c>
      <c r="M147" s="4" t="b">
        <f>LEN(data!I147)&lt;=70</f>
        <v>1</v>
      </c>
      <c r="N147" s="4" t="b">
        <f>LEN(data!J147)&gt;0</f>
        <v>0</v>
      </c>
      <c r="O147" s="4" t="b">
        <f>LEN(data!J147)&lt;=140</f>
        <v>1</v>
      </c>
      <c r="P147" s="4" t="b">
        <f>LEN(data!K147)&gt;0</f>
        <v>0</v>
      </c>
      <c r="Q147" s="4" t="b">
        <f>LEN(data!K147)&lt;=35</f>
        <v>1</v>
      </c>
      <c r="R147" s="4" t="b">
        <f>LEN(data!L147)=2</f>
        <v>0</v>
      </c>
      <c r="S147" s="4" t="b">
        <f>LEN(data!M147)&gt;0</f>
        <v>0</v>
      </c>
      <c r="T147" s="4" t="b">
        <f>LEN(data!M147)&lt;=60</f>
        <v>1</v>
      </c>
      <c r="U147" s="4" t="b">
        <f>LEN(data!O147)&gt;0</f>
        <v>0</v>
      </c>
      <c r="V147" s="4" t="b">
        <f>LEN(data!O147)&lt;=70</f>
        <v>1</v>
      </c>
      <c r="W147" s="4" t="b">
        <f>LEN(data!P147)&gt;0</f>
        <v>0</v>
      </c>
      <c r="X147" s="4" t="b">
        <f>LEN(data!P147)&lt;=140</f>
        <v>1</v>
      </c>
      <c r="Y147" s="4" t="b">
        <f>LEN(data!Q147)&gt;0</f>
        <v>0</v>
      </c>
      <c r="Z147" s="4" t="b">
        <f>LEN(data!Q147)&lt;=35</f>
        <v>1</v>
      </c>
      <c r="AA147" s="4" t="b">
        <f>LEN(data!R147)=2</f>
        <v>0</v>
      </c>
      <c r="AB147" s="4" t="b">
        <f>LEN(data!S147)&gt;0</f>
        <v>0</v>
      </c>
      <c r="AC147" s="4" t="b">
        <f>LEN(data!S147)&lt;=120</f>
        <v>1</v>
      </c>
      <c r="AD147" s="4" t="b">
        <f>LEN(data!U147)=11</f>
        <v>0</v>
      </c>
      <c r="AE147" s="4" t="b">
        <f>AND(ISERROR(MATCH(data!V147, rule_mapping!$C$2:$C$325, 0))=FALSE, LEN(data!V147) &lt;= 4)</f>
        <v>0</v>
      </c>
      <c r="AF147" s="4" t="b">
        <f>LEN(data!W147)&gt;0</f>
        <v>0</v>
      </c>
      <c r="AG147" s="4" t="b">
        <f>LEN(data!W147)&lt;=20</f>
        <v>1</v>
      </c>
      <c r="AH147" s="4" t="b">
        <f xml:space="preserve"> IFERROR(ISNUMBER(data!X147), FALSE)</f>
        <v>0</v>
      </c>
      <c r="AI147" s="4" t="b">
        <f>IF(ISERROR(MATCH(data!Y147, rule_mapping!$D$2:$D$252, 0))=FALSE,TRUE, FALSE)</f>
        <v>0</v>
      </c>
      <c r="AJ147" s="4" t="b">
        <f>IFERROR(ISNUMBER(data!Z147), FALSE)</f>
        <v>0</v>
      </c>
      <c r="AK147" s="4" t="b">
        <f>IFERROR(ISNUMBER(data!AA147), FALSE)</f>
        <v>0</v>
      </c>
      <c r="AL147" s="4" t="b">
        <f>LEN(data!AB147)&lt;=90</f>
        <v>1</v>
      </c>
      <c r="AM147" s="4" t="b">
        <f>LEN(data!AC147)&gt;0</f>
        <v>0</v>
      </c>
      <c r="AN147" s="4" t="b">
        <f>LEN(data!AC147)&lt;=2000</f>
        <v>1</v>
      </c>
      <c r="AO147" s="4" t="b">
        <f>IF(LEN(data!AD147)=0,TRUE,IF(LEN(data!AD147)=5,TRUE,FALSE))</f>
        <v>1</v>
      </c>
      <c r="AP147" s="4" t="b">
        <f>LEN(data!AE147)&gt;0</f>
        <v>0</v>
      </c>
      <c r="AQ147" s="4" t="b">
        <f>LEN(data!AE147)=5</f>
        <v>0</v>
      </c>
      <c r="AR147" s="4" t="b">
        <f>ISERROR(MATCH(data!AF147, rule_mapping!$B$2:$B$3, 0))=FALSE</f>
        <v>0</v>
      </c>
      <c r="AS147" s="4" t="b">
        <f>ISERROR(MATCH(data!AG147, rule_mapping!$A$2:$A$8, 0))=FALSE</f>
        <v>0</v>
      </c>
      <c r="AT147" s="4" t="b">
        <f>LEN(data!AH147)&lt;=4</f>
        <v>1</v>
      </c>
      <c r="AU147" s="4" t="b">
        <f>LEN(data!AI147)&lt;=10</f>
        <v>1</v>
      </c>
      <c r="AV147" s="4" t="b">
        <f>LEN(data!AJ147)&lt;=35</f>
        <v>1</v>
      </c>
      <c r="AW147" s="4" t="b">
        <f>LEN(data!AK147)&lt;=20</f>
        <v>1</v>
      </c>
      <c r="AX147"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8" spans="1:50" ht="409.5" x14ac:dyDescent="0.15">
      <c r="A148" s="4" t="b">
        <f>OR(ISBLANK(data!B148), AND(B148:AW148))</f>
        <v>1</v>
      </c>
      <c r="B148" s="4" t="b">
        <f>AND(LEFT(TRIM(data!B148), 4)="OOLU", ISNUMBER(RIGHT(TRIM(data!B148), LEN(TRIM(data!B148))-4)+0))</f>
        <v>0</v>
      </c>
      <c r="C148" s="4" t="b">
        <f>LEN(data!C148)&gt;0</f>
        <v>0</v>
      </c>
      <c r="D148" s="4" t="b">
        <f>LEN(data!C148)&lt;=70</f>
        <v>1</v>
      </c>
      <c r="E148" s="4" t="b">
        <f>LEN(data!D148)&gt;0</f>
        <v>0</v>
      </c>
      <c r="F148" s="4" t="b">
        <f>LEN(data!D148)&lt;=140</f>
        <v>1</v>
      </c>
      <c r="G148" s="4" t="b">
        <f>LEN(data!E148)&gt;0</f>
        <v>0</v>
      </c>
      <c r="H148" s="4" t="b">
        <f>LEN(data!E148)&lt;=35</f>
        <v>1</v>
      </c>
      <c r="I148" s="4" t="b">
        <f>LEN(data!F148)=2</f>
        <v>0</v>
      </c>
      <c r="J148" s="4" t="b">
        <f>LEN(data!G148)&gt;0</f>
        <v>0</v>
      </c>
      <c r="K148" s="4" t="b">
        <f>LEN(data!G148)&lt;=60</f>
        <v>1</v>
      </c>
      <c r="L148" s="4" t="b">
        <f>LEN(data!I148)&gt;0</f>
        <v>0</v>
      </c>
      <c r="M148" s="4" t="b">
        <f>LEN(data!I148)&lt;=70</f>
        <v>1</v>
      </c>
      <c r="N148" s="4" t="b">
        <f>LEN(data!J148)&gt;0</f>
        <v>0</v>
      </c>
      <c r="O148" s="4" t="b">
        <f>LEN(data!J148)&lt;=140</f>
        <v>1</v>
      </c>
      <c r="P148" s="4" t="b">
        <f>LEN(data!K148)&gt;0</f>
        <v>0</v>
      </c>
      <c r="Q148" s="4" t="b">
        <f>LEN(data!K148)&lt;=35</f>
        <v>1</v>
      </c>
      <c r="R148" s="4" t="b">
        <f>LEN(data!L148)=2</f>
        <v>0</v>
      </c>
      <c r="S148" s="4" t="b">
        <f>LEN(data!M148)&gt;0</f>
        <v>0</v>
      </c>
      <c r="T148" s="4" t="b">
        <f>LEN(data!M148)&lt;=60</f>
        <v>1</v>
      </c>
      <c r="U148" s="4" t="b">
        <f>LEN(data!O148)&gt;0</f>
        <v>0</v>
      </c>
      <c r="V148" s="4" t="b">
        <f>LEN(data!O148)&lt;=70</f>
        <v>1</v>
      </c>
      <c r="W148" s="4" t="b">
        <f>LEN(data!P148)&gt;0</f>
        <v>0</v>
      </c>
      <c r="X148" s="4" t="b">
        <f>LEN(data!P148)&lt;=140</f>
        <v>1</v>
      </c>
      <c r="Y148" s="4" t="b">
        <f>LEN(data!Q148)&gt;0</f>
        <v>0</v>
      </c>
      <c r="Z148" s="4" t="b">
        <f>LEN(data!Q148)&lt;=35</f>
        <v>1</v>
      </c>
      <c r="AA148" s="4" t="b">
        <f>LEN(data!R148)=2</f>
        <v>0</v>
      </c>
      <c r="AB148" s="4" t="b">
        <f>LEN(data!S148)&gt;0</f>
        <v>0</v>
      </c>
      <c r="AC148" s="4" t="b">
        <f>LEN(data!S148)&lt;=120</f>
        <v>1</v>
      </c>
      <c r="AD148" s="4" t="b">
        <f>LEN(data!U148)=11</f>
        <v>0</v>
      </c>
      <c r="AE148" s="4" t="b">
        <f>AND(ISERROR(MATCH(data!V148, rule_mapping!$C$2:$C$325, 0))=FALSE, LEN(data!V148) &lt;= 4)</f>
        <v>0</v>
      </c>
      <c r="AF148" s="4" t="b">
        <f>LEN(data!W148)&gt;0</f>
        <v>0</v>
      </c>
      <c r="AG148" s="4" t="b">
        <f>LEN(data!W148)&lt;=20</f>
        <v>1</v>
      </c>
      <c r="AH148" s="4" t="b">
        <f xml:space="preserve"> IFERROR(ISNUMBER(data!X148), FALSE)</f>
        <v>0</v>
      </c>
      <c r="AI148" s="4" t="b">
        <f>IF(ISERROR(MATCH(data!Y148, rule_mapping!$D$2:$D$252, 0))=FALSE,TRUE, FALSE)</f>
        <v>0</v>
      </c>
      <c r="AJ148" s="4" t="b">
        <f>IFERROR(ISNUMBER(data!Z148), FALSE)</f>
        <v>0</v>
      </c>
      <c r="AK148" s="4" t="b">
        <f>IFERROR(ISNUMBER(data!AA148), FALSE)</f>
        <v>0</v>
      </c>
      <c r="AL148" s="4" t="b">
        <f>LEN(data!AB148)&lt;=90</f>
        <v>1</v>
      </c>
      <c r="AM148" s="4" t="b">
        <f>LEN(data!AC148)&gt;0</f>
        <v>0</v>
      </c>
      <c r="AN148" s="4" t="b">
        <f>LEN(data!AC148)&lt;=2000</f>
        <v>1</v>
      </c>
      <c r="AO148" s="4" t="b">
        <f>IF(LEN(data!AD148)=0,TRUE,IF(LEN(data!AD148)=5,TRUE,FALSE))</f>
        <v>1</v>
      </c>
      <c r="AP148" s="4" t="b">
        <f>LEN(data!AE148)&gt;0</f>
        <v>0</v>
      </c>
      <c r="AQ148" s="4" t="b">
        <f>LEN(data!AE148)=5</f>
        <v>0</v>
      </c>
      <c r="AR148" s="4" t="b">
        <f>ISERROR(MATCH(data!AF148, rule_mapping!$B$2:$B$3, 0))=FALSE</f>
        <v>0</v>
      </c>
      <c r="AS148" s="4" t="b">
        <f>ISERROR(MATCH(data!AG148, rule_mapping!$A$2:$A$8, 0))=FALSE</f>
        <v>0</v>
      </c>
      <c r="AT148" s="4" t="b">
        <f>LEN(data!AH148)&lt;=4</f>
        <v>1</v>
      </c>
      <c r="AU148" s="4" t="b">
        <f>LEN(data!AI148)&lt;=10</f>
        <v>1</v>
      </c>
      <c r="AV148" s="4" t="b">
        <f>LEN(data!AJ148)&lt;=35</f>
        <v>1</v>
      </c>
      <c r="AW148" s="4" t="b">
        <f>LEN(data!AK148)&lt;=20</f>
        <v>1</v>
      </c>
      <c r="AX148"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49" spans="1:50" ht="409.5" x14ac:dyDescent="0.15">
      <c r="A149" s="4" t="b">
        <f>OR(ISBLANK(data!B149), AND(B149:AW149))</f>
        <v>1</v>
      </c>
      <c r="B149" s="4" t="b">
        <f>AND(LEFT(TRIM(data!B149), 4)="OOLU", ISNUMBER(RIGHT(TRIM(data!B149), LEN(TRIM(data!B149))-4)+0))</f>
        <v>0</v>
      </c>
      <c r="C149" s="4" t="b">
        <f>LEN(data!C149)&gt;0</f>
        <v>0</v>
      </c>
      <c r="D149" s="4" t="b">
        <f>LEN(data!C149)&lt;=70</f>
        <v>1</v>
      </c>
      <c r="E149" s="4" t="b">
        <f>LEN(data!D149)&gt;0</f>
        <v>0</v>
      </c>
      <c r="F149" s="4" t="b">
        <f>LEN(data!D149)&lt;=140</f>
        <v>1</v>
      </c>
      <c r="G149" s="4" t="b">
        <f>LEN(data!E149)&gt;0</f>
        <v>0</v>
      </c>
      <c r="H149" s="4" t="b">
        <f>LEN(data!E149)&lt;=35</f>
        <v>1</v>
      </c>
      <c r="I149" s="4" t="b">
        <f>LEN(data!F149)=2</f>
        <v>0</v>
      </c>
      <c r="J149" s="4" t="b">
        <f>LEN(data!G149)&gt;0</f>
        <v>0</v>
      </c>
      <c r="K149" s="4" t="b">
        <f>LEN(data!G149)&lt;=60</f>
        <v>1</v>
      </c>
      <c r="L149" s="4" t="b">
        <f>LEN(data!I149)&gt;0</f>
        <v>0</v>
      </c>
      <c r="M149" s="4" t="b">
        <f>LEN(data!I149)&lt;=70</f>
        <v>1</v>
      </c>
      <c r="N149" s="4" t="b">
        <f>LEN(data!J149)&gt;0</f>
        <v>0</v>
      </c>
      <c r="O149" s="4" t="b">
        <f>LEN(data!J149)&lt;=140</f>
        <v>1</v>
      </c>
      <c r="P149" s="4" t="b">
        <f>LEN(data!K149)&gt;0</f>
        <v>0</v>
      </c>
      <c r="Q149" s="4" t="b">
        <f>LEN(data!K149)&lt;=35</f>
        <v>1</v>
      </c>
      <c r="R149" s="4" t="b">
        <f>LEN(data!L149)=2</f>
        <v>0</v>
      </c>
      <c r="S149" s="4" t="b">
        <f>LEN(data!M149)&gt;0</f>
        <v>0</v>
      </c>
      <c r="T149" s="4" t="b">
        <f>LEN(data!M149)&lt;=60</f>
        <v>1</v>
      </c>
      <c r="U149" s="4" t="b">
        <f>LEN(data!O149)&gt;0</f>
        <v>0</v>
      </c>
      <c r="V149" s="4" t="b">
        <f>LEN(data!O149)&lt;=70</f>
        <v>1</v>
      </c>
      <c r="W149" s="4" t="b">
        <f>LEN(data!P149)&gt;0</f>
        <v>0</v>
      </c>
      <c r="X149" s="4" t="b">
        <f>LEN(data!P149)&lt;=140</f>
        <v>1</v>
      </c>
      <c r="Y149" s="4" t="b">
        <f>LEN(data!Q149)&gt;0</f>
        <v>0</v>
      </c>
      <c r="Z149" s="4" t="b">
        <f>LEN(data!Q149)&lt;=35</f>
        <v>1</v>
      </c>
      <c r="AA149" s="4" t="b">
        <f>LEN(data!R149)=2</f>
        <v>0</v>
      </c>
      <c r="AB149" s="4" t="b">
        <f>LEN(data!S149)&gt;0</f>
        <v>0</v>
      </c>
      <c r="AC149" s="4" t="b">
        <f>LEN(data!S149)&lt;=120</f>
        <v>1</v>
      </c>
      <c r="AD149" s="4" t="b">
        <f>LEN(data!U149)=11</f>
        <v>0</v>
      </c>
      <c r="AE149" s="4" t="b">
        <f>AND(ISERROR(MATCH(data!V149, rule_mapping!$C$2:$C$325, 0))=FALSE, LEN(data!V149) &lt;= 4)</f>
        <v>0</v>
      </c>
      <c r="AF149" s="4" t="b">
        <f>LEN(data!W149)&gt;0</f>
        <v>0</v>
      </c>
      <c r="AG149" s="4" t="b">
        <f>LEN(data!W149)&lt;=20</f>
        <v>1</v>
      </c>
      <c r="AH149" s="4" t="b">
        <f xml:space="preserve"> IFERROR(ISNUMBER(data!X149), FALSE)</f>
        <v>0</v>
      </c>
      <c r="AI149" s="4" t="b">
        <f>IF(ISERROR(MATCH(data!Y149, rule_mapping!$D$2:$D$252, 0))=FALSE,TRUE, FALSE)</f>
        <v>0</v>
      </c>
      <c r="AJ149" s="4" t="b">
        <f>IFERROR(ISNUMBER(data!Z149), FALSE)</f>
        <v>0</v>
      </c>
      <c r="AK149" s="4" t="b">
        <f>IFERROR(ISNUMBER(data!AA149), FALSE)</f>
        <v>0</v>
      </c>
      <c r="AL149" s="4" t="b">
        <f>LEN(data!AB149)&lt;=90</f>
        <v>1</v>
      </c>
      <c r="AM149" s="4" t="b">
        <f>LEN(data!AC149)&gt;0</f>
        <v>0</v>
      </c>
      <c r="AN149" s="4" t="b">
        <f>LEN(data!AC149)&lt;=2000</f>
        <v>1</v>
      </c>
      <c r="AO149" s="4" t="b">
        <f>IF(LEN(data!AD149)=0,TRUE,IF(LEN(data!AD149)=5,TRUE,FALSE))</f>
        <v>1</v>
      </c>
      <c r="AP149" s="4" t="b">
        <f>LEN(data!AE149)&gt;0</f>
        <v>0</v>
      </c>
      <c r="AQ149" s="4" t="b">
        <f>LEN(data!AE149)=5</f>
        <v>0</v>
      </c>
      <c r="AR149" s="4" t="b">
        <f>ISERROR(MATCH(data!AF149, rule_mapping!$B$2:$B$3, 0))=FALSE</f>
        <v>0</v>
      </c>
      <c r="AS149" s="4" t="b">
        <f>ISERROR(MATCH(data!AG149, rule_mapping!$A$2:$A$8, 0))=FALSE</f>
        <v>0</v>
      </c>
      <c r="AT149" s="4" t="b">
        <f>LEN(data!AH149)&lt;=4</f>
        <v>1</v>
      </c>
      <c r="AU149" s="4" t="b">
        <f>LEN(data!AI149)&lt;=10</f>
        <v>1</v>
      </c>
      <c r="AV149" s="4" t="b">
        <f>LEN(data!AJ149)&lt;=35</f>
        <v>1</v>
      </c>
      <c r="AW149" s="4" t="b">
        <f>LEN(data!AK149)&lt;=20</f>
        <v>1</v>
      </c>
      <c r="AX149"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0" spans="1:50" ht="409.5" x14ac:dyDescent="0.15">
      <c r="A150" s="4" t="b">
        <f>OR(ISBLANK(data!B150), AND(B150:AW150))</f>
        <v>1</v>
      </c>
      <c r="B150" s="4" t="b">
        <f>AND(LEFT(TRIM(data!B150), 4)="OOLU", ISNUMBER(RIGHT(TRIM(data!B150), LEN(TRIM(data!B150))-4)+0))</f>
        <v>0</v>
      </c>
      <c r="C150" s="4" t="b">
        <f>LEN(data!C150)&gt;0</f>
        <v>0</v>
      </c>
      <c r="D150" s="4" t="b">
        <f>LEN(data!C150)&lt;=70</f>
        <v>1</v>
      </c>
      <c r="E150" s="4" t="b">
        <f>LEN(data!D150)&gt;0</f>
        <v>0</v>
      </c>
      <c r="F150" s="4" t="b">
        <f>LEN(data!D150)&lt;=140</f>
        <v>1</v>
      </c>
      <c r="G150" s="4" t="b">
        <f>LEN(data!E150)&gt;0</f>
        <v>0</v>
      </c>
      <c r="H150" s="4" t="b">
        <f>LEN(data!E150)&lt;=35</f>
        <v>1</v>
      </c>
      <c r="I150" s="4" t="b">
        <f>LEN(data!F150)=2</f>
        <v>0</v>
      </c>
      <c r="J150" s="4" t="b">
        <f>LEN(data!G150)&gt;0</f>
        <v>0</v>
      </c>
      <c r="K150" s="4" t="b">
        <f>LEN(data!G150)&lt;=60</f>
        <v>1</v>
      </c>
      <c r="L150" s="4" t="b">
        <f>LEN(data!I150)&gt;0</f>
        <v>0</v>
      </c>
      <c r="M150" s="4" t="b">
        <f>LEN(data!I150)&lt;=70</f>
        <v>1</v>
      </c>
      <c r="N150" s="4" t="b">
        <f>LEN(data!J150)&gt;0</f>
        <v>0</v>
      </c>
      <c r="O150" s="4" t="b">
        <f>LEN(data!J150)&lt;=140</f>
        <v>1</v>
      </c>
      <c r="P150" s="4" t="b">
        <f>LEN(data!K150)&gt;0</f>
        <v>0</v>
      </c>
      <c r="Q150" s="4" t="b">
        <f>LEN(data!K150)&lt;=35</f>
        <v>1</v>
      </c>
      <c r="R150" s="4" t="b">
        <f>LEN(data!L150)=2</f>
        <v>0</v>
      </c>
      <c r="S150" s="4" t="b">
        <f>LEN(data!M150)&gt;0</f>
        <v>0</v>
      </c>
      <c r="T150" s="4" t="b">
        <f>LEN(data!M150)&lt;=60</f>
        <v>1</v>
      </c>
      <c r="U150" s="4" t="b">
        <f>LEN(data!O150)&gt;0</f>
        <v>0</v>
      </c>
      <c r="V150" s="4" t="b">
        <f>LEN(data!O150)&lt;=70</f>
        <v>1</v>
      </c>
      <c r="W150" s="4" t="b">
        <f>LEN(data!P150)&gt;0</f>
        <v>0</v>
      </c>
      <c r="X150" s="4" t="b">
        <f>LEN(data!P150)&lt;=140</f>
        <v>1</v>
      </c>
      <c r="Y150" s="4" t="b">
        <f>LEN(data!Q150)&gt;0</f>
        <v>0</v>
      </c>
      <c r="Z150" s="4" t="b">
        <f>LEN(data!Q150)&lt;=35</f>
        <v>1</v>
      </c>
      <c r="AA150" s="4" t="b">
        <f>LEN(data!R150)=2</f>
        <v>0</v>
      </c>
      <c r="AB150" s="4" t="b">
        <f>LEN(data!S150)&gt;0</f>
        <v>0</v>
      </c>
      <c r="AC150" s="4" t="b">
        <f>LEN(data!S150)&lt;=120</f>
        <v>1</v>
      </c>
      <c r="AD150" s="4" t="b">
        <f>LEN(data!U150)=11</f>
        <v>0</v>
      </c>
      <c r="AE150" s="4" t="b">
        <f>AND(ISERROR(MATCH(data!V150, rule_mapping!$C$2:$C$325, 0))=FALSE, LEN(data!V150) &lt;= 4)</f>
        <v>0</v>
      </c>
      <c r="AF150" s="4" t="b">
        <f>LEN(data!W150)&gt;0</f>
        <v>0</v>
      </c>
      <c r="AG150" s="4" t="b">
        <f>LEN(data!W150)&lt;=20</f>
        <v>1</v>
      </c>
      <c r="AH150" s="4" t="b">
        <f xml:space="preserve"> IFERROR(ISNUMBER(data!X150), FALSE)</f>
        <v>0</v>
      </c>
      <c r="AI150" s="4" t="b">
        <f>IF(ISERROR(MATCH(data!Y150, rule_mapping!$D$2:$D$252, 0))=FALSE,TRUE, FALSE)</f>
        <v>0</v>
      </c>
      <c r="AJ150" s="4" t="b">
        <f>IFERROR(ISNUMBER(data!Z150), FALSE)</f>
        <v>0</v>
      </c>
      <c r="AK150" s="4" t="b">
        <f>IFERROR(ISNUMBER(data!AA150), FALSE)</f>
        <v>0</v>
      </c>
      <c r="AL150" s="4" t="b">
        <f>LEN(data!AB150)&lt;=90</f>
        <v>1</v>
      </c>
      <c r="AM150" s="4" t="b">
        <f>LEN(data!AC150)&gt;0</f>
        <v>0</v>
      </c>
      <c r="AN150" s="4" t="b">
        <f>LEN(data!AC150)&lt;=2000</f>
        <v>1</v>
      </c>
      <c r="AO150" s="4" t="b">
        <f>IF(LEN(data!AD150)=0,TRUE,IF(LEN(data!AD150)=5,TRUE,FALSE))</f>
        <v>1</v>
      </c>
      <c r="AP150" s="4" t="b">
        <f>LEN(data!AE150)&gt;0</f>
        <v>0</v>
      </c>
      <c r="AQ150" s="4" t="b">
        <f>LEN(data!AE150)=5</f>
        <v>0</v>
      </c>
      <c r="AR150" s="4" t="b">
        <f>ISERROR(MATCH(data!AF150, rule_mapping!$B$2:$B$3, 0))=FALSE</f>
        <v>0</v>
      </c>
      <c r="AS150" s="4" t="b">
        <f>ISERROR(MATCH(data!AG150, rule_mapping!$A$2:$A$8, 0))=FALSE</f>
        <v>0</v>
      </c>
      <c r="AT150" s="4" t="b">
        <f>LEN(data!AH150)&lt;=4</f>
        <v>1</v>
      </c>
      <c r="AU150" s="4" t="b">
        <f>LEN(data!AI150)&lt;=10</f>
        <v>1</v>
      </c>
      <c r="AV150" s="4" t="b">
        <f>LEN(data!AJ150)&lt;=35</f>
        <v>1</v>
      </c>
      <c r="AW150" s="4" t="b">
        <f>LEN(data!AK150)&lt;=20</f>
        <v>1</v>
      </c>
      <c r="AX150"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1" spans="1:50" ht="409.5" x14ac:dyDescent="0.15">
      <c r="A151" s="4" t="b">
        <f>OR(ISBLANK(data!B151), AND(B151:AW151))</f>
        <v>1</v>
      </c>
      <c r="B151" s="4" t="b">
        <f>AND(LEFT(TRIM(data!B151), 4)="OOLU", ISNUMBER(RIGHT(TRIM(data!B151), LEN(TRIM(data!B151))-4)+0))</f>
        <v>0</v>
      </c>
      <c r="C151" s="4" t="b">
        <f>LEN(data!C151)&gt;0</f>
        <v>0</v>
      </c>
      <c r="D151" s="4" t="b">
        <f>LEN(data!C151)&lt;=70</f>
        <v>1</v>
      </c>
      <c r="E151" s="4" t="b">
        <f>LEN(data!D151)&gt;0</f>
        <v>0</v>
      </c>
      <c r="F151" s="4" t="b">
        <f>LEN(data!D151)&lt;=140</f>
        <v>1</v>
      </c>
      <c r="G151" s="4" t="b">
        <f>LEN(data!E151)&gt;0</f>
        <v>0</v>
      </c>
      <c r="H151" s="4" t="b">
        <f>LEN(data!E151)&lt;=35</f>
        <v>1</v>
      </c>
      <c r="I151" s="4" t="b">
        <f>LEN(data!F151)=2</f>
        <v>0</v>
      </c>
      <c r="J151" s="4" t="b">
        <f>LEN(data!G151)&gt;0</f>
        <v>0</v>
      </c>
      <c r="K151" s="4" t="b">
        <f>LEN(data!G151)&lt;=60</f>
        <v>1</v>
      </c>
      <c r="L151" s="4" t="b">
        <f>LEN(data!I151)&gt;0</f>
        <v>0</v>
      </c>
      <c r="M151" s="4" t="b">
        <f>LEN(data!I151)&lt;=70</f>
        <v>1</v>
      </c>
      <c r="N151" s="4" t="b">
        <f>LEN(data!J151)&gt;0</f>
        <v>0</v>
      </c>
      <c r="O151" s="4" t="b">
        <f>LEN(data!J151)&lt;=140</f>
        <v>1</v>
      </c>
      <c r="P151" s="4" t="b">
        <f>LEN(data!K151)&gt;0</f>
        <v>0</v>
      </c>
      <c r="Q151" s="4" t="b">
        <f>LEN(data!K151)&lt;=35</f>
        <v>1</v>
      </c>
      <c r="R151" s="4" t="b">
        <f>LEN(data!L151)=2</f>
        <v>0</v>
      </c>
      <c r="S151" s="4" t="b">
        <f>LEN(data!M151)&gt;0</f>
        <v>0</v>
      </c>
      <c r="T151" s="4" t="b">
        <f>LEN(data!M151)&lt;=60</f>
        <v>1</v>
      </c>
      <c r="U151" s="4" t="b">
        <f>LEN(data!O151)&gt;0</f>
        <v>0</v>
      </c>
      <c r="V151" s="4" t="b">
        <f>LEN(data!O151)&lt;=70</f>
        <v>1</v>
      </c>
      <c r="W151" s="4" t="b">
        <f>LEN(data!P151)&gt;0</f>
        <v>0</v>
      </c>
      <c r="X151" s="4" t="b">
        <f>LEN(data!P151)&lt;=140</f>
        <v>1</v>
      </c>
      <c r="Y151" s="4" t="b">
        <f>LEN(data!Q151)&gt;0</f>
        <v>0</v>
      </c>
      <c r="Z151" s="4" t="b">
        <f>LEN(data!Q151)&lt;=35</f>
        <v>1</v>
      </c>
      <c r="AA151" s="4" t="b">
        <f>LEN(data!R151)=2</f>
        <v>0</v>
      </c>
      <c r="AB151" s="4" t="b">
        <f>LEN(data!S151)&gt;0</f>
        <v>0</v>
      </c>
      <c r="AC151" s="4" t="b">
        <f>LEN(data!S151)&lt;=120</f>
        <v>1</v>
      </c>
      <c r="AD151" s="4" t="b">
        <f>LEN(data!U151)=11</f>
        <v>0</v>
      </c>
      <c r="AE151" s="4" t="b">
        <f>AND(ISERROR(MATCH(data!V151, rule_mapping!$C$2:$C$325, 0))=FALSE, LEN(data!V151) &lt;= 4)</f>
        <v>0</v>
      </c>
      <c r="AF151" s="4" t="b">
        <f>LEN(data!W151)&gt;0</f>
        <v>0</v>
      </c>
      <c r="AG151" s="4" t="b">
        <f>LEN(data!W151)&lt;=20</f>
        <v>1</v>
      </c>
      <c r="AH151" s="4" t="b">
        <f xml:space="preserve"> IFERROR(ISNUMBER(data!X151), FALSE)</f>
        <v>0</v>
      </c>
      <c r="AI151" s="4" t="b">
        <f>IF(ISERROR(MATCH(data!Y151, rule_mapping!$D$2:$D$252, 0))=FALSE,TRUE, FALSE)</f>
        <v>0</v>
      </c>
      <c r="AJ151" s="4" t="b">
        <f>IFERROR(ISNUMBER(data!Z151), FALSE)</f>
        <v>0</v>
      </c>
      <c r="AK151" s="4" t="b">
        <f>IFERROR(ISNUMBER(data!AA151), FALSE)</f>
        <v>0</v>
      </c>
      <c r="AL151" s="4" t="b">
        <f>LEN(data!AB151)&lt;=90</f>
        <v>1</v>
      </c>
      <c r="AM151" s="4" t="b">
        <f>LEN(data!AC151)&gt;0</f>
        <v>0</v>
      </c>
      <c r="AN151" s="4" t="b">
        <f>LEN(data!AC151)&lt;=2000</f>
        <v>1</v>
      </c>
      <c r="AO151" s="4" t="b">
        <f>IF(LEN(data!AD151)=0,TRUE,IF(LEN(data!AD151)=5,TRUE,FALSE))</f>
        <v>1</v>
      </c>
      <c r="AP151" s="4" t="b">
        <f>LEN(data!AE151)&gt;0</f>
        <v>0</v>
      </c>
      <c r="AQ151" s="4" t="b">
        <f>LEN(data!AE151)=5</f>
        <v>0</v>
      </c>
      <c r="AR151" s="4" t="b">
        <f>ISERROR(MATCH(data!AF151, rule_mapping!$B$2:$B$3, 0))=FALSE</f>
        <v>0</v>
      </c>
      <c r="AS151" s="4" t="b">
        <f>ISERROR(MATCH(data!AG151, rule_mapping!$A$2:$A$8, 0))=FALSE</f>
        <v>0</v>
      </c>
      <c r="AT151" s="4" t="b">
        <f>LEN(data!AH151)&lt;=4</f>
        <v>1</v>
      </c>
      <c r="AU151" s="4" t="b">
        <f>LEN(data!AI151)&lt;=10</f>
        <v>1</v>
      </c>
      <c r="AV151" s="4" t="b">
        <f>LEN(data!AJ151)&lt;=35</f>
        <v>1</v>
      </c>
      <c r="AW151" s="4" t="b">
        <f>LEN(data!AK151)&lt;=20</f>
        <v>1</v>
      </c>
      <c r="AX151"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2" spans="1:50" ht="409.5" x14ac:dyDescent="0.15">
      <c r="A152" s="4" t="b">
        <f>OR(ISBLANK(data!B152), AND(B152:AW152))</f>
        <v>1</v>
      </c>
      <c r="B152" s="4" t="b">
        <f>AND(LEFT(TRIM(data!B152), 4)="OOLU", ISNUMBER(RIGHT(TRIM(data!B152), LEN(TRIM(data!B152))-4)+0))</f>
        <v>0</v>
      </c>
      <c r="C152" s="4" t="b">
        <f>LEN(data!C152)&gt;0</f>
        <v>0</v>
      </c>
      <c r="D152" s="4" t="b">
        <f>LEN(data!C152)&lt;=70</f>
        <v>1</v>
      </c>
      <c r="E152" s="4" t="b">
        <f>LEN(data!D152)&gt;0</f>
        <v>0</v>
      </c>
      <c r="F152" s="4" t="b">
        <f>LEN(data!D152)&lt;=140</f>
        <v>1</v>
      </c>
      <c r="G152" s="4" t="b">
        <f>LEN(data!E152)&gt;0</f>
        <v>0</v>
      </c>
      <c r="H152" s="4" t="b">
        <f>LEN(data!E152)&lt;=35</f>
        <v>1</v>
      </c>
      <c r="I152" s="4" t="b">
        <f>LEN(data!F152)=2</f>
        <v>0</v>
      </c>
      <c r="J152" s="4" t="b">
        <f>LEN(data!G152)&gt;0</f>
        <v>0</v>
      </c>
      <c r="K152" s="4" t="b">
        <f>LEN(data!G152)&lt;=60</f>
        <v>1</v>
      </c>
      <c r="L152" s="4" t="b">
        <f>LEN(data!I152)&gt;0</f>
        <v>0</v>
      </c>
      <c r="M152" s="4" t="b">
        <f>LEN(data!I152)&lt;=70</f>
        <v>1</v>
      </c>
      <c r="N152" s="4" t="b">
        <f>LEN(data!J152)&gt;0</f>
        <v>0</v>
      </c>
      <c r="O152" s="4" t="b">
        <f>LEN(data!J152)&lt;=140</f>
        <v>1</v>
      </c>
      <c r="P152" s="4" t="b">
        <f>LEN(data!K152)&gt;0</f>
        <v>0</v>
      </c>
      <c r="Q152" s="4" t="b">
        <f>LEN(data!K152)&lt;=35</f>
        <v>1</v>
      </c>
      <c r="R152" s="4" t="b">
        <f>LEN(data!L152)=2</f>
        <v>0</v>
      </c>
      <c r="S152" s="4" t="b">
        <f>LEN(data!M152)&gt;0</f>
        <v>0</v>
      </c>
      <c r="T152" s="4" t="b">
        <f>LEN(data!M152)&lt;=60</f>
        <v>1</v>
      </c>
      <c r="U152" s="4" t="b">
        <f>LEN(data!O152)&gt;0</f>
        <v>0</v>
      </c>
      <c r="V152" s="4" t="b">
        <f>LEN(data!O152)&lt;=70</f>
        <v>1</v>
      </c>
      <c r="W152" s="4" t="b">
        <f>LEN(data!P152)&gt;0</f>
        <v>0</v>
      </c>
      <c r="X152" s="4" t="b">
        <f>LEN(data!P152)&lt;=140</f>
        <v>1</v>
      </c>
      <c r="Y152" s="4" t="b">
        <f>LEN(data!Q152)&gt;0</f>
        <v>0</v>
      </c>
      <c r="Z152" s="4" t="b">
        <f>LEN(data!Q152)&lt;=35</f>
        <v>1</v>
      </c>
      <c r="AA152" s="4" t="b">
        <f>LEN(data!R152)=2</f>
        <v>0</v>
      </c>
      <c r="AB152" s="4" t="b">
        <f>LEN(data!S152)&gt;0</f>
        <v>0</v>
      </c>
      <c r="AC152" s="4" t="b">
        <f>LEN(data!S152)&lt;=120</f>
        <v>1</v>
      </c>
      <c r="AD152" s="4" t="b">
        <f>LEN(data!U152)=11</f>
        <v>0</v>
      </c>
      <c r="AE152" s="4" t="b">
        <f>AND(ISERROR(MATCH(data!V152, rule_mapping!$C$2:$C$325, 0))=FALSE, LEN(data!V152) &lt;= 4)</f>
        <v>0</v>
      </c>
      <c r="AF152" s="4" t="b">
        <f>LEN(data!W152)&gt;0</f>
        <v>0</v>
      </c>
      <c r="AG152" s="4" t="b">
        <f>LEN(data!W152)&lt;=20</f>
        <v>1</v>
      </c>
      <c r="AH152" s="4" t="b">
        <f xml:space="preserve"> IFERROR(ISNUMBER(data!X152), FALSE)</f>
        <v>0</v>
      </c>
      <c r="AI152" s="4" t="b">
        <f>IF(ISERROR(MATCH(data!Y152, rule_mapping!$D$2:$D$252, 0))=FALSE,TRUE, FALSE)</f>
        <v>0</v>
      </c>
      <c r="AJ152" s="4" t="b">
        <f>IFERROR(ISNUMBER(data!Z152), FALSE)</f>
        <v>0</v>
      </c>
      <c r="AK152" s="4" t="b">
        <f>IFERROR(ISNUMBER(data!AA152), FALSE)</f>
        <v>0</v>
      </c>
      <c r="AL152" s="4" t="b">
        <f>LEN(data!AB152)&lt;=90</f>
        <v>1</v>
      </c>
      <c r="AM152" s="4" t="b">
        <f>LEN(data!AC152)&gt;0</f>
        <v>0</v>
      </c>
      <c r="AN152" s="4" t="b">
        <f>LEN(data!AC152)&lt;=2000</f>
        <v>1</v>
      </c>
      <c r="AO152" s="4" t="b">
        <f>IF(LEN(data!AD152)=0,TRUE,IF(LEN(data!AD152)=5,TRUE,FALSE))</f>
        <v>1</v>
      </c>
      <c r="AP152" s="4" t="b">
        <f>LEN(data!AE152)&gt;0</f>
        <v>0</v>
      </c>
      <c r="AQ152" s="4" t="b">
        <f>LEN(data!AE152)=5</f>
        <v>0</v>
      </c>
      <c r="AR152" s="4" t="b">
        <f>ISERROR(MATCH(data!AF152, rule_mapping!$B$2:$B$3, 0))=FALSE</f>
        <v>0</v>
      </c>
      <c r="AS152" s="4" t="b">
        <f>ISERROR(MATCH(data!AG152, rule_mapping!$A$2:$A$8, 0))=FALSE</f>
        <v>0</v>
      </c>
      <c r="AT152" s="4" t="b">
        <f>LEN(data!AH152)&lt;=4</f>
        <v>1</v>
      </c>
      <c r="AU152" s="4" t="b">
        <f>LEN(data!AI152)&lt;=10</f>
        <v>1</v>
      </c>
      <c r="AV152" s="4" t="b">
        <f>LEN(data!AJ152)&lt;=35</f>
        <v>1</v>
      </c>
      <c r="AW152" s="4" t="b">
        <f>LEN(data!AK152)&lt;=20</f>
        <v>1</v>
      </c>
      <c r="AX152"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3" spans="1:50" ht="409.5" x14ac:dyDescent="0.15">
      <c r="A153" s="4" t="b">
        <f>OR(ISBLANK(data!B153), AND(B153:AW153))</f>
        <v>1</v>
      </c>
      <c r="B153" s="4" t="b">
        <f>AND(LEFT(TRIM(data!B153), 4)="OOLU", ISNUMBER(RIGHT(TRIM(data!B153), LEN(TRIM(data!B153))-4)+0))</f>
        <v>0</v>
      </c>
      <c r="C153" s="4" t="b">
        <f>LEN(data!C153)&gt;0</f>
        <v>0</v>
      </c>
      <c r="D153" s="4" t="b">
        <f>LEN(data!C153)&lt;=70</f>
        <v>1</v>
      </c>
      <c r="E153" s="4" t="b">
        <f>LEN(data!D153)&gt;0</f>
        <v>0</v>
      </c>
      <c r="F153" s="4" t="b">
        <f>LEN(data!D153)&lt;=140</f>
        <v>1</v>
      </c>
      <c r="G153" s="4" t="b">
        <f>LEN(data!E153)&gt;0</f>
        <v>0</v>
      </c>
      <c r="H153" s="4" t="b">
        <f>LEN(data!E153)&lt;=35</f>
        <v>1</v>
      </c>
      <c r="I153" s="4" t="b">
        <f>LEN(data!F153)=2</f>
        <v>0</v>
      </c>
      <c r="J153" s="4" t="b">
        <f>LEN(data!G153)&gt;0</f>
        <v>0</v>
      </c>
      <c r="K153" s="4" t="b">
        <f>LEN(data!G153)&lt;=60</f>
        <v>1</v>
      </c>
      <c r="L153" s="4" t="b">
        <f>LEN(data!I153)&gt;0</f>
        <v>0</v>
      </c>
      <c r="M153" s="4" t="b">
        <f>LEN(data!I153)&lt;=70</f>
        <v>1</v>
      </c>
      <c r="N153" s="4" t="b">
        <f>LEN(data!J153)&gt;0</f>
        <v>0</v>
      </c>
      <c r="O153" s="4" t="b">
        <f>LEN(data!J153)&lt;=140</f>
        <v>1</v>
      </c>
      <c r="P153" s="4" t="b">
        <f>LEN(data!K153)&gt;0</f>
        <v>0</v>
      </c>
      <c r="Q153" s="4" t="b">
        <f>LEN(data!K153)&lt;=35</f>
        <v>1</v>
      </c>
      <c r="R153" s="4" t="b">
        <f>LEN(data!L153)=2</f>
        <v>0</v>
      </c>
      <c r="S153" s="4" t="b">
        <f>LEN(data!M153)&gt;0</f>
        <v>0</v>
      </c>
      <c r="T153" s="4" t="b">
        <f>LEN(data!M153)&lt;=60</f>
        <v>1</v>
      </c>
      <c r="U153" s="4" t="b">
        <f>LEN(data!O153)&gt;0</f>
        <v>0</v>
      </c>
      <c r="V153" s="4" t="b">
        <f>LEN(data!O153)&lt;=70</f>
        <v>1</v>
      </c>
      <c r="W153" s="4" t="b">
        <f>LEN(data!P153)&gt;0</f>
        <v>0</v>
      </c>
      <c r="X153" s="4" t="b">
        <f>LEN(data!P153)&lt;=140</f>
        <v>1</v>
      </c>
      <c r="Y153" s="4" t="b">
        <f>LEN(data!Q153)&gt;0</f>
        <v>0</v>
      </c>
      <c r="Z153" s="4" t="b">
        <f>LEN(data!Q153)&lt;=35</f>
        <v>1</v>
      </c>
      <c r="AA153" s="4" t="b">
        <f>LEN(data!R153)=2</f>
        <v>0</v>
      </c>
      <c r="AB153" s="4" t="b">
        <f>LEN(data!S153)&gt;0</f>
        <v>0</v>
      </c>
      <c r="AC153" s="4" t="b">
        <f>LEN(data!S153)&lt;=120</f>
        <v>1</v>
      </c>
      <c r="AD153" s="4" t="b">
        <f>LEN(data!U153)=11</f>
        <v>0</v>
      </c>
      <c r="AE153" s="4" t="b">
        <f>AND(ISERROR(MATCH(data!V153, rule_mapping!$C$2:$C$325, 0))=FALSE, LEN(data!V153) &lt;= 4)</f>
        <v>0</v>
      </c>
      <c r="AF153" s="4" t="b">
        <f>LEN(data!W153)&gt;0</f>
        <v>0</v>
      </c>
      <c r="AG153" s="4" t="b">
        <f>LEN(data!W153)&lt;=20</f>
        <v>1</v>
      </c>
      <c r="AH153" s="4" t="b">
        <f xml:space="preserve"> IFERROR(ISNUMBER(data!X153), FALSE)</f>
        <v>0</v>
      </c>
      <c r="AI153" s="4" t="b">
        <f>IF(ISERROR(MATCH(data!Y153, rule_mapping!$D$2:$D$252, 0))=FALSE,TRUE, FALSE)</f>
        <v>0</v>
      </c>
      <c r="AJ153" s="4" t="b">
        <f>IFERROR(ISNUMBER(data!Z153), FALSE)</f>
        <v>0</v>
      </c>
      <c r="AK153" s="4" t="b">
        <f>IFERROR(ISNUMBER(data!AA153), FALSE)</f>
        <v>0</v>
      </c>
      <c r="AL153" s="4" t="b">
        <f>LEN(data!AB153)&lt;=90</f>
        <v>1</v>
      </c>
      <c r="AM153" s="4" t="b">
        <f>LEN(data!AC153)&gt;0</f>
        <v>0</v>
      </c>
      <c r="AN153" s="4" t="b">
        <f>LEN(data!AC153)&lt;=2000</f>
        <v>1</v>
      </c>
      <c r="AO153" s="4" t="b">
        <f>IF(LEN(data!AD153)=0,TRUE,IF(LEN(data!AD153)=5,TRUE,FALSE))</f>
        <v>1</v>
      </c>
      <c r="AP153" s="4" t="b">
        <f>LEN(data!AE153)&gt;0</f>
        <v>0</v>
      </c>
      <c r="AQ153" s="4" t="b">
        <f>LEN(data!AE153)=5</f>
        <v>0</v>
      </c>
      <c r="AR153" s="4" t="b">
        <f>ISERROR(MATCH(data!AF153, rule_mapping!$B$2:$B$3, 0))=FALSE</f>
        <v>0</v>
      </c>
      <c r="AS153" s="4" t="b">
        <f>ISERROR(MATCH(data!AG153, rule_mapping!$A$2:$A$8, 0))=FALSE</f>
        <v>0</v>
      </c>
      <c r="AT153" s="4" t="b">
        <f>LEN(data!AH153)&lt;=4</f>
        <v>1</v>
      </c>
      <c r="AU153" s="4" t="b">
        <f>LEN(data!AI153)&lt;=10</f>
        <v>1</v>
      </c>
      <c r="AV153" s="4" t="b">
        <f>LEN(data!AJ153)&lt;=35</f>
        <v>1</v>
      </c>
      <c r="AW153" s="4" t="b">
        <f>LEN(data!AK153)&lt;=20</f>
        <v>1</v>
      </c>
      <c r="AX153"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4" spans="1:50" ht="409.5" x14ac:dyDescent="0.15">
      <c r="A154" s="4" t="b">
        <f>OR(ISBLANK(data!B154), AND(B154:AW154))</f>
        <v>1</v>
      </c>
      <c r="B154" s="4" t="b">
        <f>AND(LEFT(TRIM(data!B154), 4)="OOLU", ISNUMBER(RIGHT(TRIM(data!B154), LEN(TRIM(data!B154))-4)+0))</f>
        <v>0</v>
      </c>
      <c r="C154" s="4" t="b">
        <f>LEN(data!C154)&gt;0</f>
        <v>0</v>
      </c>
      <c r="D154" s="4" t="b">
        <f>LEN(data!C154)&lt;=70</f>
        <v>1</v>
      </c>
      <c r="E154" s="4" t="b">
        <f>LEN(data!D154)&gt;0</f>
        <v>0</v>
      </c>
      <c r="F154" s="4" t="b">
        <f>LEN(data!D154)&lt;=140</f>
        <v>1</v>
      </c>
      <c r="G154" s="4" t="b">
        <f>LEN(data!E154)&gt;0</f>
        <v>0</v>
      </c>
      <c r="H154" s="4" t="b">
        <f>LEN(data!E154)&lt;=35</f>
        <v>1</v>
      </c>
      <c r="I154" s="4" t="b">
        <f>LEN(data!F154)=2</f>
        <v>0</v>
      </c>
      <c r="J154" s="4" t="b">
        <f>LEN(data!G154)&gt;0</f>
        <v>0</v>
      </c>
      <c r="K154" s="4" t="b">
        <f>LEN(data!G154)&lt;=60</f>
        <v>1</v>
      </c>
      <c r="L154" s="4" t="b">
        <f>LEN(data!I154)&gt;0</f>
        <v>0</v>
      </c>
      <c r="M154" s="4" t="b">
        <f>LEN(data!I154)&lt;=70</f>
        <v>1</v>
      </c>
      <c r="N154" s="4" t="b">
        <f>LEN(data!J154)&gt;0</f>
        <v>0</v>
      </c>
      <c r="O154" s="4" t="b">
        <f>LEN(data!J154)&lt;=140</f>
        <v>1</v>
      </c>
      <c r="P154" s="4" t="b">
        <f>LEN(data!K154)&gt;0</f>
        <v>0</v>
      </c>
      <c r="Q154" s="4" t="b">
        <f>LEN(data!K154)&lt;=35</f>
        <v>1</v>
      </c>
      <c r="R154" s="4" t="b">
        <f>LEN(data!L154)=2</f>
        <v>0</v>
      </c>
      <c r="S154" s="4" t="b">
        <f>LEN(data!M154)&gt;0</f>
        <v>0</v>
      </c>
      <c r="T154" s="4" t="b">
        <f>LEN(data!M154)&lt;=60</f>
        <v>1</v>
      </c>
      <c r="U154" s="4" t="b">
        <f>LEN(data!O154)&gt;0</f>
        <v>0</v>
      </c>
      <c r="V154" s="4" t="b">
        <f>LEN(data!O154)&lt;=70</f>
        <v>1</v>
      </c>
      <c r="W154" s="4" t="b">
        <f>LEN(data!P154)&gt;0</f>
        <v>0</v>
      </c>
      <c r="X154" s="4" t="b">
        <f>LEN(data!P154)&lt;=140</f>
        <v>1</v>
      </c>
      <c r="Y154" s="4" t="b">
        <f>LEN(data!Q154)&gt;0</f>
        <v>0</v>
      </c>
      <c r="Z154" s="4" t="b">
        <f>LEN(data!Q154)&lt;=35</f>
        <v>1</v>
      </c>
      <c r="AA154" s="4" t="b">
        <f>LEN(data!R154)=2</f>
        <v>0</v>
      </c>
      <c r="AB154" s="4" t="b">
        <f>LEN(data!S154)&gt;0</f>
        <v>0</v>
      </c>
      <c r="AC154" s="4" t="b">
        <f>LEN(data!S154)&lt;=120</f>
        <v>1</v>
      </c>
      <c r="AD154" s="4" t="b">
        <f>LEN(data!U154)=11</f>
        <v>0</v>
      </c>
      <c r="AE154" s="4" t="b">
        <f>AND(ISERROR(MATCH(data!V154, rule_mapping!$C$2:$C$325, 0))=FALSE, LEN(data!V154) &lt;= 4)</f>
        <v>0</v>
      </c>
      <c r="AF154" s="4" t="b">
        <f>LEN(data!W154)&gt;0</f>
        <v>0</v>
      </c>
      <c r="AG154" s="4" t="b">
        <f>LEN(data!W154)&lt;=20</f>
        <v>1</v>
      </c>
      <c r="AH154" s="4" t="b">
        <f xml:space="preserve"> IFERROR(ISNUMBER(data!X154), FALSE)</f>
        <v>0</v>
      </c>
      <c r="AI154" s="4" t="b">
        <f>IF(ISERROR(MATCH(data!Y154, rule_mapping!$D$2:$D$252, 0))=FALSE,TRUE, FALSE)</f>
        <v>0</v>
      </c>
      <c r="AJ154" s="4" t="b">
        <f>IFERROR(ISNUMBER(data!Z154), FALSE)</f>
        <v>0</v>
      </c>
      <c r="AK154" s="4" t="b">
        <f>IFERROR(ISNUMBER(data!AA154), FALSE)</f>
        <v>0</v>
      </c>
      <c r="AL154" s="4" t="b">
        <f>LEN(data!AB154)&lt;=90</f>
        <v>1</v>
      </c>
      <c r="AM154" s="4" t="b">
        <f>LEN(data!AC154)&gt;0</f>
        <v>0</v>
      </c>
      <c r="AN154" s="4" t="b">
        <f>LEN(data!AC154)&lt;=2000</f>
        <v>1</v>
      </c>
      <c r="AO154" s="4" t="b">
        <f>IF(LEN(data!AD154)=0,TRUE,IF(LEN(data!AD154)=5,TRUE,FALSE))</f>
        <v>1</v>
      </c>
      <c r="AP154" s="4" t="b">
        <f>LEN(data!AE154)&gt;0</f>
        <v>0</v>
      </c>
      <c r="AQ154" s="4" t="b">
        <f>LEN(data!AE154)=5</f>
        <v>0</v>
      </c>
      <c r="AR154" s="4" t="b">
        <f>ISERROR(MATCH(data!AF154, rule_mapping!$B$2:$B$3, 0))=FALSE</f>
        <v>0</v>
      </c>
      <c r="AS154" s="4" t="b">
        <f>ISERROR(MATCH(data!AG154, rule_mapping!$A$2:$A$8, 0))=FALSE</f>
        <v>0</v>
      </c>
      <c r="AT154" s="4" t="b">
        <f>LEN(data!AH154)&lt;=4</f>
        <v>1</v>
      </c>
      <c r="AU154" s="4" t="b">
        <f>LEN(data!AI154)&lt;=10</f>
        <v>1</v>
      </c>
      <c r="AV154" s="4" t="b">
        <f>LEN(data!AJ154)&lt;=35</f>
        <v>1</v>
      </c>
      <c r="AW154" s="4" t="b">
        <f>LEN(data!AK154)&lt;=20</f>
        <v>1</v>
      </c>
      <c r="AX154"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5" spans="1:50" ht="409.5" x14ac:dyDescent="0.15">
      <c r="A155" s="4" t="b">
        <f>OR(ISBLANK(data!B155), AND(B155:AW155))</f>
        <v>1</v>
      </c>
      <c r="B155" s="4" t="b">
        <f>AND(LEFT(TRIM(data!B155), 4)="OOLU", ISNUMBER(RIGHT(TRIM(data!B155), LEN(TRIM(data!B155))-4)+0))</f>
        <v>0</v>
      </c>
      <c r="C155" s="4" t="b">
        <f>LEN(data!C155)&gt;0</f>
        <v>0</v>
      </c>
      <c r="D155" s="4" t="b">
        <f>LEN(data!C155)&lt;=70</f>
        <v>1</v>
      </c>
      <c r="E155" s="4" t="b">
        <f>LEN(data!D155)&gt;0</f>
        <v>0</v>
      </c>
      <c r="F155" s="4" t="b">
        <f>LEN(data!D155)&lt;=140</f>
        <v>1</v>
      </c>
      <c r="G155" s="4" t="b">
        <f>LEN(data!E155)&gt;0</f>
        <v>0</v>
      </c>
      <c r="H155" s="4" t="b">
        <f>LEN(data!E155)&lt;=35</f>
        <v>1</v>
      </c>
      <c r="I155" s="4" t="b">
        <f>LEN(data!F155)=2</f>
        <v>0</v>
      </c>
      <c r="J155" s="4" t="b">
        <f>LEN(data!G155)&gt;0</f>
        <v>0</v>
      </c>
      <c r="K155" s="4" t="b">
        <f>LEN(data!G155)&lt;=60</f>
        <v>1</v>
      </c>
      <c r="L155" s="4" t="b">
        <f>LEN(data!I155)&gt;0</f>
        <v>0</v>
      </c>
      <c r="M155" s="4" t="b">
        <f>LEN(data!I155)&lt;=70</f>
        <v>1</v>
      </c>
      <c r="N155" s="4" t="b">
        <f>LEN(data!J155)&gt;0</f>
        <v>0</v>
      </c>
      <c r="O155" s="4" t="b">
        <f>LEN(data!J155)&lt;=140</f>
        <v>1</v>
      </c>
      <c r="P155" s="4" t="b">
        <f>LEN(data!K155)&gt;0</f>
        <v>0</v>
      </c>
      <c r="Q155" s="4" t="b">
        <f>LEN(data!K155)&lt;=35</f>
        <v>1</v>
      </c>
      <c r="R155" s="4" t="b">
        <f>LEN(data!L155)=2</f>
        <v>0</v>
      </c>
      <c r="S155" s="4" t="b">
        <f>LEN(data!M155)&gt;0</f>
        <v>0</v>
      </c>
      <c r="T155" s="4" t="b">
        <f>LEN(data!M155)&lt;=60</f>
        <v>1</v>
      </c>
      <c r="U155" s="4" t="b">
        <f>LEN(data!O155)&gt;0</f>
        <v>0</v>
      </c>
      <c r="V155" s="4" t="b">
        <f>LEN(data!O155)&lt;=70</f>
        <v>1</v>
      </c>
      <c r="W155" s="4" t="b">
        <f>LEN(data!P155)&gt;0</f>
        <v>0</v>
      </c>
      <c r="X155" s="4" t="b">
        <f>LEN(data!P155)&lt;=140</f>
        <v>1</v>
      </c>
      <c r="Y155" s="4" t="b">
        <f>LEN(data!Q155)&gt;0</f>
        <v>0</v>
      </c>
      <c r="Z155" s="4" t="b">
        <f>LEN(data!Q155)&lt;=35</f>
        <v>1</v>
      </c>
      <c r="AA155" s="4" t="b">
        <f>LEN(data!R155)=2</f>
        <v>0</v>
      </c>
      <c r="AB155" s="4" t="b">
        <f>LEN(data!S155)&gt;0</f>
        <v>0</v>
      </c>
      <c r="AC155" s="4" t="b">
        <f>LEN(data!S155)&lt;=120</f>
        <v>1</v>
      </c>
      <c r="AD155" s="4" t="b">
        <f>LEN(data!U155)=11</f>
        <v>0</v>
      </c>
      <c r="AE155" s="4" t="b">
        <f>AND(ISERROR(MATCH(data!V155, rule_mapping!$C$2:$C$325, 0))=FALSE, LEN(data!V155) &lt;= 4)</f>
        <v>0</v>
      </c>
      <c r="AF155" s="4" t="b">
        <f>LEN(data!W155)&gt;0</f>
        <v>0</v>
      </c>
      <c r="AG155" s="4" t="b">
        <f>LEN(data!W155)&lt;=20</f>
        <v>1</v>
      </c>
      <c r="AH155" s="4" t="b">
        <f xml:space="preserve"> IFERROR(ISNUMBER(data!X155), FALSE)</f>
        <v>0</v>
      </c>
      <c r="AI155" s="4" t="b">
        <f>IF(ISERROR(MATCH(data!Y155, rule_mapping!$D$2:$D$252, 0))=FALSE,TRUE, FALSE)</f>
        <v>0</v>
      </c>
      <c r="AJ155" s="4" t="b">
        <f>IFERROR(ISNUMBER(data!Z155), FALSE)</f>
        <v>0</v>
      </c>
      <c r="AK155" s="4" t="b">
        <f>IFERROR(ISNUMBER(data!AA155), FALSE)</f>
        <v>0</v>
      </c>
      <c r="AL155" s="4" t="b">
        <f>LEN(data!AB155)&lt;=90</f>
        <v>1</v>
      </c>
      <c r="AM155" s="4" t="b">
        <f>LEN(data!AC155)&gt;0</f>
        <v>0</v>
      </c>
      <c r="AN155" s="4" t="b">
        <f>LEN(data!AC155)&lt;=2000</f>
        <v>1</v>
      </c>
      <c r="AO155" s="4" t="b">
        <f>IF(LEN(data!AD155)=0,TRUE,IF(LEN(data!AD155)=5,TRUE,FALSE))</f>
        <v>1</v>
      </c>
      <c r="AP155" s="4" t="b">
        <f>LEN(data!AE155)&gt;0</f>
        <v>0</v>
      </c>
      <c r="AQ155" s="4" t="b">
        <f>LEN(data!AE155)=5</f>
        <v>0</v>
      </c>
      <c r="AR155" s="4" t="b">
        <f>ISERROR(MATCH(data!AF155, rule_mapping!$B$2:$B$3, 0))=FALSE</f>
        <v>0</v>
      </c>
      <c r="AS155" s="4" t="b">
        <f>ISERROR(MATCH(data!AG155, rule_mapping!$A$2:$A$8, 0))=FALSE</f>
        <v>0</v>
      </c>
      <c r="AT155" s="4" t="b">
        <f>LEN(data!AH155)&lt;=4</f>
        <v>1</v>
      </c>
      <c r="AU155" s="4" t="b">
        <f>LEN(data!AI155)&lt;=10</f>
        <v>1</v>
      </c>
      <c r="AV155" s="4" t="b">
        <f>LEN(data!AJ155)&lt;=35</f>
        <v>1</v>
      </c>
      <c r="AW155" s="4" t="b">
        <f>LEN(data!AK155)&lt;=20</f>
        <v>1</v>
      </c>
      <c r="AX155"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6" spans="1:50" ht="409.5" x14ac:dyDescent="0.15">
      <c r="A156" s="4" t="b">
        <f>OR(ISBLANK(data!B156), AND(B156:AW156))</f>
        <v>1</v>
      </c>
      <c r="B156" s="4" t="b">
        <f>AND(LEFT(TRIM(data!B156), 4)="OOLU", ISNUMBER(RIGHT(TRIM(data!B156), LEN(TRIM(data!B156))-4)+0))</f>
        <v>0</v>
      </c>
      <c r="C156" s="4" t="b">
        <f>LEN(data!C156)&gt;0</f>
        <v>0</v>
      </c>
      <c r="D156" s="4" t="b">
        <f>LEN(data!C156)&lt;=70</f>
        <v>1</v>
      </c>
      <c r="E156" s="4" t="b">
        <f>LEN(data!D156)&gt;0</f>
        <v>0</v>
      </c>
      <c r="F156" s="4" t="b">
        <f>LEN(data!D156)&lt;=140</f>
        <v>1</v>
      </c>
      <c r="G156" s="4" t="b">
        <f>LEN(data!E156)&gt;0</f>
        <v>0</v>
      </c>
      <c r="H156" s="4" t="b">
        <f>LEN(data!E156)&lt;=35</f>
        <v>1</v>
      </c>
      <c r="I156" s="4" t="b">
        <f>LEN(data!F156)=2</f>
        <v>0</v>
      </c>
      <c r="J156" s="4" t="b">
        <f>LEN(data!G156)&gt;0</f>
        <v>0</v>
      </c>
      <c r="K156" s="4" t="b">
        <f>LEN(data!G156)&lt;=60</f>
        <v>1</v>
      </c>
      <c r="L156" s="4" t="b">
        <f>LEN(data!I156)&gt;0</f>
        <v>0</v>
      </c>
      <c r="M156" s="4" t="b">
        <f>LEN(data!I156)&lt;=70</f>
        <v>1</v>
      </c>
      <c r="N156" s="4" t="b">
        <f>LEN(data!J156)&gt;0</f>
        <v>0</v>
      </c>
      <c r="O156" s="4" t="b">
        <f>LEN(data!J156)&lt;=140</f>
        <v>1</v>
      </c>
      <c r="P156" s="4" t="b">
        <f>LEN(data!K156)&gt;0</f>
        <v>0</v>
      </c>
      <c r="Q156" s="4" t="b">
        <f>LEN(data!K156)&lt;=35</f>
        <v>1</v>
      </c>
      <c r="R156" s="4" t="b">
        <f>LEN(data!L156)=2</f>
        <v>0</v>
      </c>
      <c r="S156" s="4" t="b">
        <f>LEN(data!M156)&gt;0</f>
        <v>0</v>
      </c>
      <c r="T156" s="4" t="b">
        <f>LEN(data!M156)&lt;=60</f>
        <v>1</v>
      </c>
      <c r="U156" s="4" t="b">
        <f>LEN(data!O156)&gt;0</f>
        <v>0</v>
      </c>
      <c r="V156" s="4" t="b">
        <f>LEN(data!O156)&lt;=70</f>
        <v>1</v>
      </c>
      <c r="W156" s="4" t="b">
        <f>LEN(data!P156)&gt;0</f>
        <v>0</v>
      </c>
      <c r="X156" s="4" t="b">
        <f>LEN(data!P156)&lt;=140</f>
        <v>1</v>
      </c>
      <c r="Y156" s="4" t="b">
        <f>LEN(data!Q156)&gt;0</f>
        <v>0</v>
      </c>
      <c r="Z156" s="4" t="b">
        <f>LEN(data!Q156)&lt;=35</f>
        <v>1</v>
      </c>
      <c r="AA156" s="4" t="b">
        <f>LEN(data!R156)=2</f>
        <v>0</v>
      </c>
      <c r="AB156" s="4" t="b">
        <f>LEN(data!S156)&gt;0</f>
        <v>0</v>
      </c>
      <c r="AC156" s="4" t="b">
        <f>LEN(data!S156)&lt;=120</f>
        <v>1</v>
      </c>
      <c r="AD156" s="4" t="b">
        <f>LEN(data!U156)=11</f>
        <v>0</v>
      </c>
      <c r="AE156" s="4" t="b">
        <f>AND(ISERROR(MATCH(data!V156, rule_mapping!$C$2:$C$325, 0))=FALSE, LEN(data!V156) &lt;= 4)</f>
        <v>0</v>
      </c>
      <c r="AF156" s="4" t="b">
        <f>LEN(data!W156)&gt;0</f>
        <v>0</v>
      </c>
      <c r="AG156" s="4" t="b">
        <f>LEN(data!W156)&lt;=20</f>
        <v>1</v>
      </c>
      <c r="AH156" s="4" t="b">
        <f xml:space="preserve"> IFERROR(ISNUMBER(data!X156), FALSE)</f>
        <v>0</v>
      </c>
      <c r="AI156" s="4" t="b">
        <f>IF(ISERROR(MATCH(data!Y156, rule_mapping!$D$2:$D$252, 0))=FALSE,TRUE, FALSE)</f>
        <v>0</v>
      </c>
      <c r="AJ156" s="4" t="b">
        <f>IFERROR(ISNUMBER(data!Z156), FALSE)</f>
        <v>0</v>
      </c>
      <c r="AK156" s="4" t="b">
        <f>IFERROR(ISNUMBER(data!AA156), FALSE)</f>
        <v>0</v>
      </c>
      <c r="AL156" s="4" t="b">
        <f>LEN(data!AB156)&lt;=90</f>
        <v>1</v>
      </c>
      <c r="AM156" s="4" t="b">
        <f>LEN(data!AC156)&gt;0</f>
        <v>0</v>
      </c>
      <c r="AN156" s="4" t="b">
        <f>LEN(data!AC156)&lt;=2000</f>
        <v>1</v>
      </c>
      <c r="AO156" s="4" t="b">
        <f>IF(LEN(data!AD156)=0,TRUE,IF(LEN(data!AD156)=5,TRUE,FALSE))</f>
        <v>1</v>
      </c>
      <c r="AP156" s="4" t="b">
        <f>LEN(data!AE156)&gt;0</f>
        <v>0</v>
      </c>
      <c r="AQ156" s="4" t="b">
        <f>LEN(data!AE156)=5</f>
        <v>0</v>
      </c>
      <c r="AR156" s="4" t="b">
        <f>ISERROR(MATCH(data!AF156, rule_mapping!$B$2:$B$3, 0))=FALSE</f>
        <v>0</v>
      </c>
      <c r="AS156" s="4" t="b">
        <f>ISERROR(MATCH(data!AG156, rule_mapping!$A$2:$A$8, 0))=FALSE</f>
        <v>0</v>
      </c>
      <c r="AT156" s="4" t="b">
        <f>LEN(data!AH156)&lt;=4</f>
        <v>1</v>
      </c>
      <c r="AU156" s="4" t="b">
        <f>LEN(data!AI156)&lt;=10</f>
        <v>1</v>
      </c>
      <c r="AV156" s="4" t="b">
        <f>LEN(data!AJ156)&lt;=35</f>
        <v>1</v>
      </c>
      <c r="AW156" s="4" t="b">
        <f>LEN(data!AK156)&lt;=20</f>
        <v>1</v>
      </c>
      <c r="AX156"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7" spans="1:50" ht="409.5" x14ac:dyDescent="0.15">
      <c r="A157" s="4" t="b">
        <f>OR(ISBLANK(data!B157), AND(B157:AW157))</f>
        <v>1</v>
      </c>
      <c r="B157" s="4" t="b">
        <f>AND(LEFT(TRIM(data!B157), 4)="OOLU", ISNUMBER(RIGHT(TRIM(data!B157), LEN(TRIM(data!B157))-4)+0))</f>
        <v>0</v>
      </c>
      <c r="C157" s="4" t="b">
        <f>LEN(data!C157)&gt;0</f>
        <v>0</v>
      </c>
      <c r="D157" s="4" t="b">
        <f>LEN(data!C157)&lt;=70</f>
        <v>1</v>
      </c>
      <c r="E157" s="4" t="b">
        <f>LEN(data!D157)&gt;0</f>
        <v>0</v>
      </c>
      <c r="F157" s="4" t="b">
        <f>LEN(data!D157)&lt;=140</f>
        <v>1</v>
      </c>
      <c r="G157" s="4" t="b">
        <f>LEN(data!E157)&gt;0</f>
        <v>0</v>
      </c>
      <c r="H157" s="4" t="b">
        <f>LEN(data!E157)&lt;=35</f>
        <v>1</v>
      </c>
      <c r="I157" s="4" t="b">
        <f>LEN(data!F157)=2</f>
        <v>0</v>
      </c>
      <c r="J157" s="4" t="b">
        <f>LEN(data!G157)&gt;0</f>
        <v>0</v>
      </c>
      <c r="K157" s="4" t="b">
        <f>LEN(data!G157)&lt;=60</f>
        <v>1</v>
      </c>
      <c r="L157" s="4" t="b">
        <f>LEN(data!I157)&gt;0</f>
        <v>0</v>
      </c>
      <c r="M157" s="4" t="b">
        <f>LEN(data!I157)&lt;=70</f>
        <v>1</v>
      </c>
      <c r="N157" s="4" t="b">
        <f>LEN(data!J157)&gt;0</f>
        <v>0</v>
      </c>
      <c r="O157" s="4" t="b">
        <f>LEN(data!J157)&lt;=140</f>
        <v>1</v>
      </c>
      <c r="P157" s="4" t="b">
        <f>LEN(data!K157)&gt;0</f>
        <v>0</v>
      </c>
      <c r="Q157" s="4" t="b">
        <f>LEN(data!K157)&lt;=35</f>
        <v>1</v>
      </c>
      <c r="R157" s="4" t="b">
        <f>LEN(data!L157)=2</f>
        <v>0</v>
      </c>
      <c r="S157" s="4" t="b">
        <f>LEN(data!M157)&gt;0</f>
        <v>0</v>
      </c>
      <c r="T157" s="4" t="b">
        <f>LEN(data!M157)&lt;=60</f>
        <v>1</v>
      </c>
      <c r="U157" s="4" t="b">
        <f>LEN(data!O157)&gt;0</f>
        <v>0</v>
      </c>
      <c r="V157" s="4" t="b">
        <f>LEN(data!O157)&lt;=70</f>
        <v>1</v>
      </c>
      <c r="W157" s="4" t="b">
        <f>LEN(data!P157)&gt;0</f>
        <v>0</v>
      </c>
      <c r="X157" s="4" t="b">
        <f>LEN(data!P157)&lt;=140</f>
        <v>1</v>
      </c>
      <c r="Y157" s="4" t="b">
        <f>LEN(data!Q157)&gt;0</f>
        <v>0</v>
      </c>
      <c r="Z157" s="4" t="b">
        <f>LEN(data!Q157)&lt;=35</f>
        <v>1</v>
      </c>
      <c r="AA157" s="4" t="b">
        <f>LEN(data!R157)=2</f>
        <v>0</v>
      </c>
      <c r="AB157" s="4" t="b">
        <f>LEN(data!S157)&gt;0</f>
        <v>0</v>
      </c>
      <c r="AC157" s="4" t="b">
        <f>LEN(data!S157)&lt;=120</f>
        <v>1</v>
      </c>
      <c r="AD157" s="4" t="b">
        <f>LEN(data!U157)=11</f>
        <v>0</v>
      </c>
      <c r="AE157" s="4" t="b">
        <f>AND(ISERROR(MATCH(data!V157, rule_mapping!$C$2:$C$325, 0))=FALSE, LEN(data!V157) &lt;= 4)</f>
        <v>0</v>
      </c>
      <c r="AF157" s="4" t="b">
        <f>LEN(data!W157)&gt;0</f>
        <v>0</v>
      </c>
      <c r="AG157" s="4" t="b">
        <f>LEN(data!W157)&lt;=20</f>
        <v>1</v>
      </c>
      <c r="AH157" s="4" t="b">
        <f xml:space="preserve"> IFERROR(ISNUMBER(data!X157), FALSE)</f>
        <v>0</v>
      </c>
      <c r="AI157" s="4" t="b">
        <f>IF(ISERROR(MATCH(data!Y157, rule_mapping!$D$2:$D$252, 0))=FALSE,TRUE, FALSE)</f>
        <v>0</v>
      </c>
      <c r="AJ157" s="4" t="b">
        <f>IFERROR(ISNUMBER(data!Z157), FALSE)</f>
        <v>0</v>
      </c>
      <c r="AK157" s="4" t="b">
        <f>IFERROR(ISNUMBER(data!AA157), FALSE)</f>
        <v>0</v>
      </c>
      <c r="AL157" s="4" t="b">
        <f>LEN(data!AB157)&lt;=90</f>
        <v>1</v>
      </c>
      <c r="AM157" s="4" t="b">
        <f>LEN(data!AC157)&gt;0</f>
        <v>0</v>
      </c>
      <c r="AN157" s="4" t="b">
        <f>LEN(data!AC157)&lt;=2000</f>
        <v>1</v>
      </c>
      <c r="AO157" s="4" t="b">
        <f>IF(LEN(data!AD157)=0,TRUE,IF(LEN(data!AD157)=5,TRUE,FALSE))</f>
        <v>1</v>
      </c>
      <c r="AP157" s="4" t="b">
        <f>LEN(data!AE157)&gt;0</f>
        <v>0</v>
      </c>
      <c r="AQ157" s="4" t="b">
        <f>LEN(data!AE157)=5</f>
        <v>0</v>
      </c>
      <c r="AR157" s="4" t="b">
        <f>ISERROR(MATCH(data!AF157, rule_mapping!$B$2:$B$3, 0))=FALSE</f>
        <v>0</v>
      </c>
      <c r="AS157" s="4" t="b">
        <f>ISERROR(MATCH(data!AG157, rule_mapping!$A$2:$A$8, 0))=FALSE</f>
        <v>0</v>
      </c>
      <c r="AT157" s="4" t="b">
        <f>LEN(data!AH157)&lt;=4</f>
        <v>1</v>
      </c>
      <c r="AU157" s="4" t="b">
        <f>LEN(data!AI157)&lt;=10</f>
        <v>1</v>
      </c>
      <c r="AV157" s="4" t="b">
        <f>LEN(data!AJ157)&lt;=35</f>
        <v>1</v>
      </c>
      <c r="AW157" s="4" t="b">
        <f>LEN(data!AK157)&lt;=20</f>
        <v>1</v>
      </c>
      <c r="AX157"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8" spans="1:50" ht="409.5" x14ac:dyDescent="0.15">
      <c r="A158" s="4" t="b">
        <f>OR(ISBLANK(data!B158), AND(B158:AW158))</f>
        <v>1</v>
      </c>
      <c r="B158" s="4" t="b">
        <f>AND(LEFT(TRIM(data!B158), 4)="OOLU", ISNUMBER(RIGHT(TRIM(data!B158), LEN(TRIM(data!B158))-4)+0))</f>
        <v>0</v>
      </c>
      <c r="C158" s="4" t="b">
        <f>LEN(data!C158)&gt;0</f>
        <v>0</v>
      </c>
      <c r="D158" s="4" t="b">
        <f>LEN(data!C158)&lt;=70</f>
        <v>1</v>
      </c>
      <c r="E158" s="4" t="b">
        <f>LEN(data!D158)&gt;0</f>
        <v>0</v>
      </c>
      <c r="F158" s="4" t="b">
        <f>LEN(data!D158)&lt;=140</f>
        <v>1</v>
      </c>
      <c r="G158" s="4" t="b">
        <f>LEN(data!E158)&gt;0</f>
        <v>0</v>
      </c>
      <c r="H158" s="4" t="b">
        <f>LEN(data!E158)&lt;=35</f>
        <v>1</v>
      </c>
      <c r="I158" s="4" t="b">
        <f>LEN(data!F158)=2</f>
        <v>0</v>
      </c>
      <c r="J158" s="4" t="b">
        <f>LEN(data!G158)&gt;0</f>
        <v>0</v>
      </c>
      <c r="K158" s="4" t="b">
        <f>LEN(data!G158)&lt;=60</f>
        <v>1</v>
      </c>
      <c r="L158" s="4" t="b">
        <f>LEN(data!I158)&gt;0</f>
        <v>0</v>
      </c>
      <c r="M158" s="4" t="b">
        <f>LEN(data!I158)&lt;=70</f>
        <v>1</v>
      </c>
      <c r="N158" s="4" t="b">
        <f>LEN(data!J158)&gt;0</f>
        <v>0</v>
      </c>
      <c r="O158" s="4" t="b">
        <f>LEN(data!J158)&lt;=140</f>
        <v>1</v>
      </c>
      <c r="P158" s="4" t="b">
        <f>LEN(data!K158)&gt;0</f>
        <v>0</v>
      </c>
      <c r="Q158" s="4" t="b">
        <f>LEN(data!K158)&lt;=35</f>
        <v>1</v>
      </c>
      <c r="R158" s="4" t="b">
        <f>LEN(data!L158)=2</f>
        <v>0</v>
      </c>
      <c r="S158" s="4" t="b">
        <f>LEN(data!M158)&gt;0</f>
        <v>0</v>
      </c>
      <c r="T158" s="4" t="b">
        <f>LEN(data!M158)&lt;=60</f>
        <v>1</v>
      </c>
      <c r="U158" s="4" t="b">
        <f>LEN(data!O158)&gt;0</f>
        <v>0</v>
      </c>
      <c r="V158" s="4" t="b">
        <f>LEN(data!O158)&lt;=70</f>
        <v>1</v>
      </c>
      <c r="W158" s="4" t="b">
        <f>LEN(data!P158)&gt;0</f>
        <v>0</v>
      </c>
      <c r="X158" s="4" t="b">
        <f>LEN(data!P158)&lt;=140</f>
        <v>1</v>
      </c>
      <c r="Y158" s="4" t="b">
        <f>LEN(data!Q158)&gt;0</f>
        <v>0</v>
      </c>
      <c r="Z158" s="4" t="b">
        <f>LEN(data!Q158)&lt;=35</f>
        <v>1</v>
      </c>
      <c r="AA158" s="4" t="b">
        <f>LEN(data!R158)=2</f>
        <v>0</v>
      </c>
      <c r="AB158" s="4" t="b">
        <f>LEN(data!S158)&gt;0</f>
        <v>0</v>
      </c>
      <c r="AC158" s="4" t="b">
        <f>LEN(data!S158)&lt;=120</f>
        <v>1</v>
      </c>
      <c r="AD158" s="4" t="b">
        <f>LEN(data!U158)=11</f>
        <v>0</v>
      </c>
      <c r="AE158" s="4" t="b">
        <f>AND(ISERROR(MATCH(data!V158, rule_mapping!$C$2:$C$325, 0))=FALSE, LEN(data!V158) &lt;= 4)</f>
        <v>0</v>
      </c>
      <c r="AF158" s="4" t="b">
        <f>LEN(data!W158)&gt;0</f>
        <v>0</v>
      </c>
      <c r="AG158" s="4" t="b">
        <f>LEN(data!W158)&lt;=20</f>
        <v>1</v>
      </c>
      <c r="AH158" s="4" t="b">
        <f xml:space="preserve"> IFERROR(ISNUMBER(data!X158), FALSE)</f>
        <v>0</v>
      </c>
      <c r="AI158" s="4" t="b">
        <f>IF(ISERROR(MATCH(data!Y158, rule_mapping!$D$2:$D$252, 0))=FALSE,TRUE, FALSE)</f>
        <v>0</v>
      </c>
      <c r="AJ158" s="4" t="b">
        <f>IFERROR(ISNUMBER(data!Z158), FALSE)</f>
        <v>0</v>
      </c>
      <c r="AK158" s="4" t="b">
        <f>IFERROR(ISNUMBER(data!AA158), FALSE)</f>
        <v>0</v>
      </c>
      <c r="AL158" s="4" t="b">
        <f>LEN(data!AB158)&lt;=90</f>
        <v>1</v>
      </c>
      <c r="AM158" s="4" t="b">
        <f>LEN(data!AC158)&gt;0</f>
        <v>0</v>
      </c>
      <c r="AN158" s="4" t="b">
        <f>LEN(data!AC158)&lt;=2000</f>
        <v>1</v>
      </c>
      <c r="AO158" s="4" t="b">
        <f>IF(LEN(data!AD158)=0,TRUE,IF(LEN(data!AD158)=5,TRUE,FALSE))</f>
        <v>1</v>
      </c>
      <c r="AP158" s="4" t="b">
        <f>LEN(data!AE158)&gt;0</f>
        <v>0</v>
      </c>
      <c r="AQ158" s="4" t="b">
        <f>LEN(data!AE158)=5</f>
        <v>0</v>
      </c>
      <c r="AR158" s="4" t="b">
        <f>ISERROR(MATCH(data!AF158, rule_mapping!$B$2:$B$3, 0))=FALSE</f>
        <v>0</v>
      </c>
      <c r="AS158" s="4" t="b">
        <f>ISERROR(MATCH(data!AG158, rule_mapping!$A$2:$A$8, 0))=FALSE</f>
        <v>0</v>
      </c>
      <c r="AT158" s="4" t="b">
        <f>LEN(data!AH158)&lt;=4</f>
        <v>1</v>
      </c>
      <c r="AU158" s="4" t="b">
        <f>LEN(data!AI158)&lt;=10</f>
        <v>1</v>
      </c>
      <c r="AV158" s="4" t="b">
        <f>LEN(data!AJ158)&lt;=35</f>
        <v>1</v>
      </c>
      <c r="AW158" s="4" t="b">
        <f>LEN(data!AK158)&lt;=20</f>
        <v>1</v>
      </c>
      <c r="AX158"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59" spans="1:50" ht="409.5" x14ac:dyDescent="0.15">
      <c r="A159" s="4" t="b">
        <f>OR(ISBLANK(data!B159), AND(B159:AW159))</f>
        <v>1</v>
      </c>
      <c r="B159" s="4" t="b">
        <f>AND(LEFT(TRIM(data!B159), 4)="OOLU", ISNUMBER(RIGHT(TRIM(data!B159), LEN(TRIM(data!B159))-4)+0))</f>
        <v>0</v>
      </c>
      <c r="C159" s="4" t="b">
        <f>LEN(data!C159)&gt;0</f>
        <v>0</v>
      </c>
      <c r="D159" s="4" t="b">
        <f>LEN(data!C159)&lt;=70</f>
        <v>1</v>
      </c>
      <c r="E159" s="4" t="b">
        <f>LEN(data!D159)&gt;0</f>
        <v>0</v>
      </c>
      <c r="F159" s="4" t="b">
        <f>LEN(data!D159)&lt;=140</f>
        <v>1</v>
      </c>
      <c r="G159" s="4" t="b">
        <f>LEN(data!E159)&gt;0</f>
        <v>0</v>
      </c>
      <c r="H159" s="4" t="b">
        <f>LEN(data!E159)&lt;=35</f>
        <v>1</v>
      </c>
      <c r="I159" s="4" t="b">
        <f>LEN(data!F159)=2</f>
        <v>0</v>
      </c>
      <c r="J159" s="4" t="b">
        <f>LEN(data!G159)&gt;0</f>
        <v>0</v>
      </c>
      <c r="K159" s="4" t="b">
        <f>LEN(data!G159)&lt;=60</f>
        <v>1</v>
      </c>
      <c r="L159" s="4" t="b">
        <f>LEN(data!I159)&gt;0</f>
        <v>0</v>
      </c>
      <c r="M159" s="4" t="b">
        <f>LEN(data!I159)&lt;=70</f>
        <v>1</v>
      </c>
      <c r="N159" s="4" t="b">
        <f>LEN(data!J159)&gt;0</f>
        <v>0</v>
      </c>
      <c r="O159" s="4" t="b">
        <f>LEN(data!J159)&lt;=140</f>
        <v>1</v>
      </c>
      <c r="P159" s="4" t="b">
        <f>LEN(data!K159)&gt;0</f>
        <v>0</v>
      </c>
      <c r="Q159" s="4" t="b">
        <f>LEN(data!K159)&lt;=35</f>
        <v>1</v>
      </c>
      <c r="R159" s="4" t="b">
        <f>LEN(data!L159)=2</f>
        <v>0</v>
      </c>
      <c r="S159" s="4" t="b">
        <f>LEN(data!M159)&gt;0</f>
        <v>0</v>
      </c>
      <c r="T159" s="4" t="b">
        <f>LEN(data!M159)&lt;=60</f>
        <v>1</v>
      </c>
      <c r="U159" s="4" t="b">
        <f>LEN(data!O159)&gt;0</f>
        <v>0</v>
      </c>
      <c r="V159" s="4" t="b">
        <f>LEN(data!O159)&lt;=70</f>
        <v>1</v>
      </c>
      <c r="W159" s="4" t="b">
        <f>LEN(data!P159)&gt;0</f>
        <v>0</v>
      </c>
      <c r="X159" s="4" t="b">
        <f>LEN(data!P159)&lt;=140</f>
        <v>1</v>
      </c>
      <c r="Y159" s="4" t="b">
        <f>LEN(data!Q159)&gt;0</f>
        <v>0</v>
      </c>
      <c r="Z159" s="4" t="b">
        <f>LEN(data!Q159)&lt;=35</f>
        <v>1</v>
      </c>
      <c r="AA159" s="4" t="b">
        <f>LEN(data!R159)=2</f>
        <v>0</v>
      </c>
      <c r="AB159" s="4" t="b">
        <f>LEN(data!S159)&gt;0</f>
        <v>0</v>
      </c>
      <c r="AC159" s="4" t="b">
        <f>LEN(data!S159)&lt;=120</f>
        <v>1</v>
      </c>
      <c r="AD159" s="4" t="b">
        <f>LEN(data!U159)=11</f>
        <v>0</v>
      </c>
      <c r="AE159" s="4" t="b">
        <f>AND(ISERROR(MATCH(data!V159, rule_mapping!$C$2:$C$325, 0))=FALSE, LEN(data!V159) &lt;= 4)</f>
        <v>0</v>
      </c>
      <c r="AF159" s="4" t="b">
        <f>LEN(data!W159)&gt;0</f>
        <v>0</v>
      </c>
      <c r="AG159" s="4" t="b">
        <f>LEN(data!W159)&lt;=20</f>
        <v>1</v>
      </c>
      <c r="AH159" s="4" t="b">
        <f xml:space="preserve"> IFERROR(ISNUMBER(data!X159), FALSE)</f>
        <v>0</v>
      </c>
      <c r="AI159" s="4" t="b">
        <f>IF(ISERROR(MATCH(data!Y159, rule_mapping!$D$2:$D$252, 0))=FALSE,TRUE, FALSE)</f>
        <v>0</v>
      </c>
      <c r="AJ159" s="4" t="b">
        <f>IFERROR(ISNUMBER(data!Z159), FALSE)</f>
        <v>0</v>
      </c>
      <c r="AK159" s="4" t="b">
        <f>IFERROR(ISNUMBER(data!AA159), FALSE)</f>
        <v>0</v>
      </c>
      <c r="AL159" s="4" t="b">
        <f>LEN(data!AB159)&lt;=90</f>
        <v>1</v>
      </c>
      <c r="AM159" s="4" t="b">
        <f>LEN(data!AC159)&gt;0</f>
        <v>0</v>
      </c>
      <c r="AN159" s="4" t="b">
        <f>LEN(data!AC159)&lt;=2000</f>
        <v>1</v>
      </c>
      <c r="AO159" s="4" t="b">
        <f>IF(LEN(data!AD159)=0,TRUE,IF(LEN(data!AD159)=5,TRUE,FALSE))</f>
        <v>1</v>
      </c>
      <c r="AP159" s="4" t="b">
        <f>LEN(data!AE159)&gt;0</f>
        <v>0</v>
      </c>
      <c r="AQ159" s="4" t="b">
        <f>LEN(data!AE159)=5</f>
        <v>0</v>
      </c>
      <c r="AR159" s="4" t="b">
        <f>ISERROR(MATCH(data!AF159, rule_mapping!$B$2:$B$3, 0))=FALSE</f>
        <v>0</v>
      </c>
      <c r="AS159" s="4" t="b">
        <f>ISERROR(MATCH(data!AG159, rule_mapping!$A$2:$A$8, 0))=FALSE</f>
        <v>0</v>
      </c>
      <c r="AT159" s="4" t="b">
        <f>LEN(data!AH159)&lt;=4</f>
        <v>1</v>
      </c>
      <c r="AU159" s="4" t="b">
        <f>LEN(data!AI159)&lt;=10</f>
        <v>1</v>
      </c>
      <c r="AV159" s="4" t="b">
        <f>LEN(data!AJ159)&lt;=35</f>
        <v>1</v>
      </c>
      <c r="AW159" s="4" t="b">
        <f>LEN(data!AK159)&lt;=20</f>
        <v>1</v>
      </c>
      <c r="AX159"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0" spans="1:50" ht="409.5" x14ac:dyDescent="0.15">
      <c r="A160" s="4" t="b">
        <f>OR(ISBLANK(data!B160), AND(B160:AW160))</f>
        <v>1</v>
      </c>
      <c r="B160" s="4" t="b">
        <f>AND(LEFT(TRIM(data!B160), 4)="OOLU", ISNUMBER(RIGHT(TRIM(data!B160), LEN(TRIM(data!B160))-4)+0))</f>
        <v>0</v>
      </c>
      <c r="C160" s="4" t="b">
        <f>LEN(data!C160)&gt;0</f>
        <v>0</v>
      </c>
      <c r="D160" s="4" t="b">
        <f>LEN(data!C160)&lt;=70</f>
        <v>1</v>
      </c>
      <c r="E160" s="4" t="b">
        <f>LEN(data!D160)&gt;0</f>
        <v>0</v>
      </c>
      <c r="F160" s="4" t="b">
        <f>LEN(data!D160)&lt;=140</f>
        <v>1</v>
      </c>
      <c r="G160" s="4" t="b">
        <f>LEN(data!E160)&gt;0</f>
        <v>0</v>
      </c>
      <c r="H160" s="4" t="b">
        <f>LEN(data!E160)&lt;=35</f>
        <v>1</v>
      </c>
      <c r="I160" s="4" t="b">
        <f>LEN(data!F160)=2</f>
        <v>0</v>
      </c>
      <c r="J160" s="4" t="b">
        <f>LEN(data!G160)&gt;0</f>
        <v>0</v>
      </c>
      <c r="K160" s="4" t="b">
        <f>LEN(data!G160)&lt;=60</f>
        <v>1</v>
      </c>
      <c r="L160" s="4" t="b">
        <f>LEN(data!I160)&gt;0</f>
        <v>0</v>
      </c>
      <c r="M160" s="4" t="b">
        <f>LEN(data!I160)&lt;=70</f>
        <v>1</v>
      </c>
      <c r="N160" s="4" t="b">
        <f>LEN(data!J160)&gt;0</f>
        <v>0</v>
      </c>
      <c r="O160" s="4" t="b">
        <f>LEN(data!J160)&lt;=140</f>
        <v>1</v>
      </c>
      <c r="P160" s="4" t="b">
        <f>LEN(data!K160)&gt;0</f>
        <v>0</v>
      </c>
      <c r="Q160" s="4" t="b">
        <f>LEN(data!K160)&lt;=35</f>
        <v>1</v>
      </c>
      <c r="R160" s="4" t="b">
        <f>LEN(data!L160)=2</f>
        <v>0</v>
      </c>
      <c r="S160" s="4" t="b">
        <f>LEN(data!M160)&gt;0</f>
        <v>0</v>
      </c>
      <c r="T160" s="4" t="b">
        <f>LEN(data!M160)&lt;=60</f>
        <v>1</v>
      </c>
      <c r="U160" s="4" t="b">
        <f>LEN(data!O160)&gt;0</f>
        <v>0</v>
      </c>
      <c r="V160" s="4" t="b">
        <f>LEN(data!O160)&lt;=70</f>
        <v>1</v>
      </c>
      <c r="W160" s="4" t="b">
        <f>LEN(data!P160)&gt;0</f>
        <v>0</v>
      </c>
      <c r="X160" s="4" t="b">
        <f>LEN(data!P160)&lt;=140</f>
        <v>1</v>
      </c>
      <c r="Y160" s="4" t="b">
        <f>LEN(data!Q160)&gt;0</f>
        <v>0</v>
      </c>
      <c r="Z160" s="4" t="b">
        <f>LEN(data!Q160)&lt;=35</f>
        <v>1</v>
      </c>
      <c r="AA160" s="4" t="b">
        <f>LEN(data!R160)=2</f>
        <v>0</v>
      </c>
      <c r="AB160" s="4" t="b">
        <f>LEN(data!S160)&gt;0</f>
        <v>0</v>
      </c>
      <c r="AC160" s="4" t="b">
        <f>LEN(data!S160)&lt;=120</f>
        <v>1</v>
      </c>
      <c r="AD160" s="4" t="b">
        <f>LEN(data!U160)=11</f>
        <v>0</v>
      </c>
      <c r="AE160" s="4" t="b">
        <f>AND(ISERROR(MATCH(data!V160, rule_mapping!$C$2:$C$325, 0))=FALSE, LEN(data!V160) &lt;= 4)</f>
        <v>0</v>
      </c>
      <c r="AF160" s="4" t="b">
        <f>LEN(data!W160)&gt;0</f>
        <v>0</v>
      </c>
      <c r="AG160" s="4" t="b">
        <f>LEN(data!W160)&lt;=20</f>
        <v>1</v>
      </c>
      <c r="AH160" s="4" t="b">
        <f xml:space="preserve"> IFERROR(ISNUMBER(data!X160), FALSE)</f>
        <v>0</v>
      </c>
      <c r="AI160" s="4" t="b">
        <f>IF(ISERROR(MATCH(data!Y160, rule_mapping!$D$2:$D$252, 0))=FALSE,TRUE, FALSE)</f>
        <v>0</v>
      </c>
      <c r="AJ160" s="4" t="b">
        <f>IFERROR(ISNUMBER(data!Z160), FALSE)</f>
        <v>0</v>
      </c>
      <c r="AK160" s="4" t="b">
        <f>IFERROR(ISNUMBER(data!AA160), FALSE)</f>
        <v>0</v>
      </c>
      <c r="AL160" s="4" t="b">
        <f>LEN(data!AB160)&lt;=90</f>
        <v>1</v>
      </c>
      <c r="AM160" s="4" t="b">
        <f>LEN(data!AC160)&gt;0</f>
        <v>0</v>
      </c>
      <c r="AN160" s="4" t="b">
        <f>LEN(data!AC160)&lt;=2000</f>
        <v>1</v>
      </c>
      <c r="AO160" s="4" t="b">
        <f>IF(LEN(data!AD160)=0,TRUE,IF(LEN(data!AD160)=5,TRUE,FALSE))</f>
        <v>1</v>
      </c>
      <c r="AP160" s="4" t="b">
        <f>LEN(data!AE160)&gt;0</f>
        <v>0</v>
      </c>
      <c r="AQ160" s="4" t="b">
        <f>LEN(data!AE160)=5</f>
        <v>0</v>
      </c>
      <c r="AR160" s="4" t="b">
        <f>ISERROR(MATCH(data!AF160, rule_mapping!$B$2:$B$3, 0))=FALSE</f>
        <v>0</v>
      </c>
      <c r="AS160" s="4" t="b">
        <f>ISERROR(MATCH(data!AG160, rule_mapping!$A$2:$A$8, 0))=FALSE</f>
        <v>0</v>
      </c>
      <c r="AT160" s="4" t="b">
        <f>LEN(data!AH160)&lt;=4</f>
        <v>1</v>
      </c>
      <c r="AU160" s="4" t="b">
        <f>LEN(data!AI160)&lt;=10</f>
        <v>1</v>
      </c>
      <c r="AV160" s="4" t="b">
        <f>LEN(data!AJ160)&lt;=35</f>
        <v>1</v>
      </c>
      <c r="AW160" s="4" t="b">
        <f>LEN(data!AK160)&lt;=20</f>
        <v>1</v>
      </c>
      <c r="AX160"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1" spans="1:50" ht="409.5" x14ac:dyDescent="0.15">
      <c r="A161" s="4" t="b">
        <f>OR(ISBLANK(data!B161), AND(B161:AW161))</f>
        <v>1</v>
      </c>
      <c r="B161" s="4" t="b">
        <f>AND(LEFT(TRIM(data!B161), 4)="OOLU", ISNUMBER(RIGHT(TRIM(data!B161), LEN(TRIM(data!B161))-4)+0))</f>
        <v>0</v>
      </c>
      <c r="C161" s="4" t="b">
        <f>LEN(data!C161)&gt;0</f>
        <v>0</v>
      </c>
      <c r="D161" s="4" t="b">
        <f>LEN(data!C161)&lt;=70</f>
        <v>1</v>
      </c>
      <c r="E161" s="4" t="b">
        <f>LEN(data!D161)&gt;0</f>
        <v>0</v>
      </c>
      <c r="F161" s="4" t="b">
        <f>LEN(data!D161)&lt;=140</f>
        <v>1</v>
      </c>
      <c r="G161" s="4" t="b">
        <f>LEN(data!E161)&gt;0</f>
        <v>0</v>
      </c>
      <c r="H161" s="4" t="b">
        <f>LEN(data!E161)&lt;=35</f>
        <v>1</v>
      </c>
      <c r="I161" s="4" t="b">
        <f>LEN(data!F161)=2</f>
        <v>0</v>
      </c>
      <c r="J161" s="4" t="b">
        <f>LEN(data!G161)&gt;0</f>
        <v>0</v>
      </c>
      <c r="K161" s="4" t="b">
        <f>LEN(data!G161)&lt;=60</f>
        <v>1</v>
      </c>
      <c r="L161" s="4" t="b">
        <f>LEN(data!I161)&gt;0</f>
        <v>0</v>
      </c>
      <c r="M161" s="4" t="b">
        <f>LEN(data!I161)&lt;=70</f>
        <v>1</v>
      </c>
      <c r="N161" s="4" t="b">
        <f>LEN(data!J161)&gt;0</f>
        <v>0</v>
      </c>
      <c r="O161" s="4" t="b">
        <f>LEN(data!J161)&lt;=140</f>
        <v>1</v>
      </c>
      <c r="P161" s="4" t="b">
        <f>LEN(data!K161)&gt;0</f>
        <v>0</v>
      </c>
      <c r="Q161" s="4" t="b">
        <f>LEN(data!K161)&lt;=35</f>
        <v>1</v>
      </c>
      <c r="R161" s="4" t="b">
        <f>LEN(data!L161)=2</f>
        <v>0</v>
      </c>
      <c r="S161" s="4" t="b">
        <f>LEN(data!M161)&gt;0</f>
        <v>0</v>
      </c>
      <c r="T161" s="4" t="b">
        <f>LEN(data!M161)&lt;=60</f>
        <v>1</v>
      </c>
      <c r="U161" s="4" t="b">
        <f>LEN(data!O161)&gt;0</f>
        <v>0</v>
      </c>
      <c r="V161" s="4" t="b">
        <f>LEN(data!O161)&lt;=70</f>
        <v>1</v>
      </c>
      <c r="W161" s="4" t="b">
        <f>LEN(data!P161)&gt;0</f>
        <v>0</v>
      </c>
      <c r="X161" s="4" t="b">
        <f>LEN(data!P161)&lt;=140</f>
        <v>1</v>
      </c>
      <c r="Y161" s="4" t="b">
        <f>LEN(data!Q161)&gt;0</f>
        <v>0</v>
      </c>
      <c r="Z161" s="4" t="b">
        <f>LEN(data!Q161)&lt;=35</f>
        <v>1</v>
      </c>
      <c r="AA161" s="4" t="b">
        <f>LEN(data!R161)=2</f>
        <v>0</v>
      </c>
      <c r="AB161" s="4" t="b">
        <f>LEN(data!S161)&gt;0</f>
        <v>0</v>
      </c>
      <c r="AC161" s="4" t="b">
        <f>LEN(data!S161)&lt;=120</f>
        <v>1</v>
      </c>
      <c r="AD161" s="4" t="b">
        <f>LEN(data!U161)=11</f>
        <v>0</v>
      </c>
      <c r="AE161" s="4" t="b">
        <f>AND(ISERROR(MATCH(data!V161, rule_mapping!$C$2:$C$325, 0))=FALSE, LEN(data!V161) &lt;= 4)</f>
        <v>0</v>
      </c>
      <c r="AF161" s="4" t="b">
        <f>LEN(data!W161)&gt;0</f>
        <v>0</v>
      </c>
      <c r="AG161" s="4" t="b">
        <f>LEN(data!W161)&lt;=20</f>
        <v>1</v>
      </c>
      <c r="AH161" s="4" t="b">
        <f xml:space="preserve"> IFERROR(ISNUMBER(data!X161), FALSE)</f>
        <v>0</v>
      </c>
      <c r="AI161" s="4" t="b">
        <f>IF(ISERROR(MATCH(data!Y161, rule_mapping!$D$2:$D$252, 0))=FALSE,TRUE, FALSE)</f>
        <v>0</v>
      </c>
      <c r="AJ161" s="4" t="b">
        <f>IFERROR(ISNUMBER(data!Z161), FALSE)</f>
        <v>0</v>
      </c>
      <c r="AK161" s="4" t="b">
        <f>IFERROR(ISNUMBER(data!AA161), FALSE)</f>
        <v>0</v>
      </c>
      <c r="AL161" s="4" t="b">
        <f>LEN(data!AB161)&lt;=90</f>
        <v>1</v>
      </c>
      <c r="AM161" s="4" t="b">
        <f>LEN(data!AC161)&gt;0</f>
        <v>0</v>
      </c>
      <c r="AN161" s="4" t="b">
        <f>LEN(data!AC161)&lt;=2000</f>
        <v>1</v>
      </c>
      <c r="AO161" s="4" t="b">
        <f>IF(LEN(data!AD161)=0,TRUE,IF(LEN(data!AD161)=5,TRUE,FALSE))</f>
        <v>1</v>
      </c>
      <c r="AP161" s="4" t="b">
        <f>LEN(data!AE161)&gt;0</f>
        <v>0</v>
      </c>
      <c r="AQ161" s="4" t="b">
        <f>LEN(data!AE161)=5</f>
        <v>0</v>
      </c>
      <c r="AR161" s="4" t="b">
        <f>ISERROR(MATCH(data!AF161, rule_mapping!$B$2:$B$3, 0))=FALSE</f>
        <v>0</v>
      </c>
      <c r="AS161" s="4" t="b">
        <f>ISERROR(MATCH(data!AG161, rule_mapping!$A$2:$A$8, 0))=FALSE</f>
        <v>0</v>
      </c>
      <c r="AT161" s="4" t="b">
        <f>LEN(data!AH161)&lt;=4</f>
        <v>1</v>
      </c>
      <c r="AU161" s="4" t="b">
        <f>LEN(data!AI161)&lt;=10</f>
        <v>1</v>
      </c>
      <c r="AV161" s="4" t="b">
        <f>LEN(data!AJ161)&lt;=35</f>
        <v>1</v>
      </c>
      <c r="AW161" s="4" t="b">
        <f>LEN(data!AK161)&lt;=20</f>
        <v>1</v>
      </c>
      <c r="AX161"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2" spans="1:50" ht="409.5" x14ac:dyDescent="0.15">
      <c r="A162" s="4" t="b">
        <f>OR(ISBLANK(data!B162), AND(B162:AW162))</f>
        <v>1</v>
      </c>
      <c r="B162" s="4" t="b">
        <f>AND(LEFT(TRIM(data!B162), 4)="OOLU", ISNUMBER(RIGHT(TRIM(data!B162), LEN(TRIM(data!B162))-4)+0))</f>
        <v>0</v>
      </c>
      <c r="C162" s="4" t="b">
        <f>LEN(data!C162)&gt;0</f>
        <v>0</v>
      </c>
      <c r="D162" s="4" t="b">
        <f>LEN(data!C162)&lt;=70</f>
        <v>1</v>
      </c>
      <c r="E162" s="4" t="b">
        <f>LEN(data!D162)&gt;0</f>
        <v>0</v>
      </c>
      <c r="F162" s="4" t="b">
        <f>LEN(data!D162)&lt;=140</f>
        <v>1</v>
      </c>
      <c r="G162" s="4" t="b">
        <f>LEN(data!E162)&gt;0</f>
        <v>0</v>
      </c>
      <c r="H162" s="4" t="b">
        <f>LEN(data!E162)&lt;=35</f>
        <v>1</v>
      </c>
      <c r="I162" s="4" t="b">
        <f>LEN(data!F162)=2</f>
        <v>0</v>
      </c>
      <c r="J162" s="4" t="b">
        <f>LEN(data!G162)&gt;0</f>
        <v>0</v>
      </c>
      <c r="K162" s="4" t="b">
        <f>LEN(data!G162)&lt;=60</f>
        <v>1</v>
      </c>
      <c r="L162" s="4" t="b">
        <f>LEN(data!I162)&gt;0</f>
        <v>0</v>
      </c>
      <c r="M162" s="4" t="b">
        <f>LEN(data!I162)&lt;=70</f>
        <v>1</v>
      </c>
      <c r="N162" s="4" t="b">
        <f>LEN(data!J162)&gt;0</f>
        <v>0</v>
      </c>
      <c r="O162" s="4" t="b">
        <f>LEN(data!J162)&lt;=140</f>
        <v>1</v>
      </c>
      <c r="P162" s="4" t="b">
        <f>LEN(data!K162)&gt;0</f>
        <v>0</v>
      </c>
      <c r="Q162" s="4" t="b">
        <f>LEN(data!K162)&lt;=35</f>
        <v>1</v>
      </c>
      <c r="R162" s="4" t="b">
        <f>LEN(data!L162)=2</f>
        <v>0</v>
      </c>
      <c r="S162" s="4" t="b">
        <f>LEN(data!M162)&gt;0</f>
        <v>0</v>
      </c>
      <c r="T162" s="4" t="b">
        <f>LEN(data!M162)&lt;=60</f>
        <v>1</v>
      </c>
      <c r="U162" s="4" t="b">
        <f>LEN(data!O162)&gt;0</f>
        <v>0</v>
      </c>
      <c r="V162" s="4" t="b">
        <f>LEN(data!O162)&lt;=70</f>
        <v>1</v>
      </c>
      <c r="W162" s="4" t="b">
        <f>LEN(data!P162)&gt;0</f>
        <v>0</v>
      </c>
      <c r="X162" s="4" t="b">
        <f>LEN(data!P162)&lt;=140</f>
        <v>1</v>
      </c>
      <c r="Y162" s="4" t="b">
        <f>LEN(data!Q162)&gt;0</f>
        <v>0</v>
      </c>
      <c r="Z162" s="4" t="b">
        <f>LEN(data!Q162)&lt;=35</f>
        <v>1</v>
      </c>
      <c r="AA162" s="4" t="b">
        <f>LEN(data!R162)=2</f>
        <v>0</v>
      </c>
      <c r="AB162" s="4" t="b">
        <f>LEN(data!S162)&gt;0</f>
        <v>0</v>
      </c>
      <c r="AC162" s="4" t="b">
        <f>LEN(data!S162)&lt;=120</f>
        <v>1</v>
      </c>
      <c r="AD162" s="4" t="b">
        <f>LEN(data!U162)=11</f>
        <v>0</v>
      </c>
      <c r="AE162" s="4" t="b">
        <f>AND(ISERROR(MATCH(data!V162, rule_mapping!$C$2:$C$325, 0))=FALSE, LEN(data!V162) &lt;= 4)</f>
        <v>0</v>
      </c>
      <c r="AF162" s="4" t="b">
        <f>LEN(data!W162)&gt;0</f>
        <v>0</v>
      </c>
      <c r="AG162" s="4" t="b">
        <f>LEN(data!W162)&lt;=20</f>
        <v>1</v>
      </c>
      <c r="AH162" s="4" t="b">
        <f xml:space="preserve"> IFERROR(ISNUMBER(data!X162), FALSE)</f>
        <v>0</v>
      </c>
      <c r="AI162" s="4" t="b">
        <f>IF(ISERROR(MATCH(data!Y162, rule_mapping!$D$2:$D$252, 0))=FALSE,TRUE, FALSE)</f>
        <v>0</v>
      </c>
      <c r="AJ162" s="4" t="b">
        <f>IFERROR(ISNUMBER(data!Z162), FALSE)</f>
        <v>0</v>
      </c>
      <c r="AK162" s="4" t="b">
        <f>IFERROR(ISNUMBER(data!AA162), FALSE)</f>
        <v>0</v>
      </c>
      <c r="AL162" s="4" t="b">
        <f>LEN(data!AB162)&lt;=90</f>
        <v>1</v>
      </c>
      <c r="AM162" s="4" t="b">
        <f>LEN(data!AC162)&gt;0</f>
        <v>0</v>
      </c>
      <c r="AN162" s="4" t="b">
        <f>LEN(data!AC162)&lt;=2000</f>
        <v>1</v>
      </c>
      <c r="AO162" s="4" t="b">
        <f>IF(LEN(data!AD162)=0,TRUE,IF(LEN(data!AD162)=5,TRUE,FALSE))</f>
        <v>1</v>
      </c>
      <c r="AP162" s="4" t="b">
        <f>LEN(data!AE162)&gt;0</f>
        <v>0</v>
      </c>
      <c r="AQ162" s="4" t="b">
        <f>LEN(data!AE162)=5</f>
        <v>0</v>
      </c>
      <c r="AR162" s="4" t="b">
        <f>ISERROR(MATCH(data!AF162, rule_mapping!$B$2:$B$3, 0))=FALSE</f>
        <v>0</v>
      </c>
      <c r="AS162" s="4" t="b">
        <f>ISERROR(MATCH(data!AG162, rule_mapping!$A$2:$A$8, 0))=FALSE</f>
        <v>0</v>
      </c>
      <c r="AT162" s="4" t="b">
        <f>LEN(data!AH162)&lt;=4</f>
        <v>1</v>
      </c>
      <c r="AU162" s="4" t="b">
        <f>LEN(data!AI162)&lt;=10</f>
        <v>1</v>
      </c>
      <c r="AV162" s="4" t="b">
        <f>LEN(data!AJ162)&lt;=35</f>
        <v>1</v>
      </c>
      <c r="AW162" s="4" t="b">
        <f>LEN(data!AK162)&lt;=20</f>
        <v>1</v>
      </c>
      <c r="AX162"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3" spans="1:50" ht="409.5" x14ac:dyDescent="0.15">
      <c r="A163" s="4" t="b">
        <f>OR(ISBLANK(data!B163), AND(B163:AW163))</f>
        <v>1</v>
      </c>
      <c r="B163" s="4" t="b">
        <f>AND(LEFT(TRIM(data!B163), 4)="OOLU", ISNUMBER(RIGHT(TRIM(data!B163), LEN(TRIM(data!B163))-4)+0))</f>
        <v>0</v>
      </c>
      <c r="C163" s="4" t="b">
        <f>LEN(data!C163)&gt;0</f>
        <v>0</v>
      </c>
      <c r="D163" s="4" t="b">
        <f>LEN(data!C163)&lt;=70</f>
        <v>1</v>
      </c>
      <c r="E163" s="4" t="b">
        <f>LEN(data!D163)&gt;0</f>
        <v>0</v>
      </c>
      <c r="F163" s="4" t="b">
        <f>LEN(data!D163)&lt;=140</f>
        <v>1</v>
      </c>
      <c r="G163" s="4" t="b">
        <f>LEN(data!E163)&gt;0</f>
        <v>0</v>
      </c>
      <c r="H163" s="4" t="b">
        <f>LEN(data!E163)&lt;=35</f>
        <v>1</v>
      </c>
      <c r="I163" s="4" t="b">
        <f>LEN(data!F163)=2</f>
        <v>0</v>
      </c>
      <c r="J163" s="4" t="b">
        <f>LEN(data!G163)&gt;0</f>
        <v>0</v>
      </c>
      <c r="K163" s="4" t="b">
        <f>LEN(data!G163)&lt;=60</f>
        <v>1</v>
      </c>
      <c r="L163" s="4" t="b">
        <f>LEN(data!I163)&gt;0</f>
        <v>0</v>
      </c>
      <c r="M163" s="4" t="b">
        <f>LEN(data!I163)&lt;=70</f>
        <v>1</v>
      </c>
      <c r="N163" s="4" t="b">
        <f>LEN(data!J163)&gt;0</f>
        <v>0</v>
      </c>
      <c r="O163" s="4" t="b">
        <f>LEN(data!J163)&lt;=140</f>
        <v>1</v>
      </c>
      <c r="P163" s="4" t="b">
        <f>LEN(data!K163)&gt;0</f>
        <v>0</v>
      </c>
      <c r="Q163" s="4" t="b">
        <f>LEN(data!K163)&lt;=35</f>
        <v>1</v>
      </c>
      <c r="R163" s="4" t="b">
        <f>LEN(data!L163)=2</f>
        <v>0</v>
      </c>
      <c r="S163" s="4" t="b">
        <f>LEN(data!M163)&gt;0</f>
        <v>0</v>
      </c>
      <c r="T163" s="4" t="b">
        <f>LEN(data!M163)&lt;=60</f>
        <v>1</v>
      </c>
      <c r="U163" s="4" t="b">
        <f>LEN(data!O163)&gt;0</f>
        <v>0</v>
      </c>
      <c r="V163" s="4" t="b">
        <f>LEN(data!O163)&lt;=70</f>
        <v>1</v>
      </c>
      <c r="W163" s="4" t="b">
        <f>LEN(data!P163)&gt;0</f>
        <v>0</v>
      </c>
      <c r="X163" s="4" t="b">
        <f>LEN(data!P163)&lt;=140</f>
        <v>1</v>
      </c>
      <c r="Y163" s="4" t="b">
        <f>LEN(data!Q163)&gt;0</f>
        <v>0</v>
      </c>
      <c r="Z163" s="4" t="b">
        <f>LEN(data!Q163)&lt;=35</f>
        <v>1</v>
      </c>
      <c r="AA163" s="4" t="b">
        <f>LEN(data!R163)=2</f>
        <v>0</v>
      </c>
      <c r="AB163" s="4" t="b">
        <f>LEN(data!S163)&gt;0</f>
        <v>0</v>
      </c>
      <c r="AC163" s="4" t="b">
        <f>LEN(data!S163)&lt;=120</f>
        <v>1</v>
      </c>
      <c r="AD163" s="4" t="b">
        <f>LEN(data!U163)=11</f>
        <v>0</v>
      </c>
      <c r="AE163" s="4" t="b">
        <f>AND(ISERROR(MATCH(data!V163, rule_mapping!$C$2:$C$325, 0))=FALSE, LEN(data!V163) &lt;= 4)</f>
        <v>0</v>
      </c>
      <c r="AF163" s="4" t="b">
        <f>LEN(data!W163)&gt;0</f>
        <v>0</v>
      </c>
      <c r="AG163" s="4" t="b">
        <f>LEN(data!W163)&lt;=20</f>
        <v>1</v>
      </c>
      <c r="AH163" s="4" t="b">
        <f xml:space="preserve"> IFERROR(ISNUMBER(data!X163), FALSE)</f>
        <v>0</v>
      </c>
      <c r="AI163" s="4" t="b">
        <f>IF(ISERROR(MATCH(data!Y163, rule_mapping!$D$2:$D$252, 0))=FALSE,TRUE, FALSE)</f>
        <v>0</v>
      </c>
      <c r="AJ163" s="4" t="b">
        <f>IFERROR(ISNUMBER(data!Z163), FALSE)</f>
        <v>0</v>
      </c>
      <c r="AK163" s="4" t="b">
        <f>IFERROR(ISNUMBER(data!AA163), FALSE)</f>
        <v>0</v>
      </c>
      <c r="AL163" s="4" t="b">
        <f>LEN(data!AB163)&lt;=90</f>
        <v>1</v>
      </c>
      <c r="AM163" s="4" t="b">
        <f>LEN(data!AC163)&gt;0</f>
        <v>0</v>
      </c>
      <c r="AN163" s="4" t="b">
        <f>LEN(data!AC163)&lt;=2000</f>
        <v>1</v>
      </c>
      <c r="AO163" s="4" t="b">
        <f>IF(LEN(data!AD163)=0,TRUE,IF(LEN(data!AD163)=5,TRUE,FALSE))</f>
        <v>1</v>
      </c>
      <c r="AP163" s="4" t="b">
        <f>LEN(data!AE163)&gt;0</f>
        <v>0</v>
      </c>
      <c r="AQ163" s="4" t="b">
        <f>LEN(data!AE163)=5</f>
        <v>0</v>
      </c>
      <c r="AR163" s="4" t="b">
        <f>ISERROR(MATCH(data!AF163, rule_mapping!$B$2:$B$3, 0))=FALSE</f>
        <v>0</v>
      </c>
      <c r="AS163" s="4" t="b">
        <f>ISERROR(MATCH(data!AG163, rule_mapping!$A$2:$A$8, 0))=FALSE</f>
        <v>0</v>
      </c>
      <c r="AT163" s="4" t="b">
        <f>LEN(data!AH163)&lt;=4</f>
        <v>1</v>
      </c>
      <c r="AU163" s="4" t="b">
        <f>LEN(data!AI163)&lt;=10</f>
        <v>1</v>
      </c>
      <c r="AV163" s="4" t="b">
        <f>LEN(data!AJ163)&lt;=35</f>
        <v>1</v>
      </c>
      <c r="AW163" s="4" t="b">
        <f>LEN(data!AK163)&lt;=20</f>
        <v>1</v>
      </c>
      <c r="AX163"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4" spans="1:50" ht="409.5" x14ac:dyDescent="0.15">
      <c r="A164" s="4" t="b">
        <f>OR(ISBLANK(data!B164), AND(B164:AW164))</f>
        <v>1</v>
      </c>
      <c r="B164" s="4" t="b">
        <f>AND(LEFT(TRIM(data!B164), 4)="OOLU", ISNUMBER(RIGHT(TRIM(data!B164), LEN(TRIM(data!B164))-4)+0))</f>
        <v>0</v>
      </c>
      <c r="C164" s="4" t="b">
        <f>LEN(data!C164)&gt;0</f>
        <v>0</v>
      </c>
      <c r="D164" s="4" t="b">
        <f>LEN(data!C164)&lt;=70</f>
        <v>1</v>
      </c>
      <c r="E164" s="4" t="b">
        <f>LEN(data!D164)&gt;0</f>
        <v>0</v>
      </c>
      <c r="F164" s="4" t="b">
        <f>LEN(data!D164)&lt;=140</f>
        <v>1</v>
      </c>
      <c r="G164" s="4" t="b">
        <f>LEN(data!E164)&gt;0</f>
        <v>0</v>
      </c>
      <c r="H164" s="4" t="b">
        <f>LEN(data!E164)&lt;=35</f>
        <v>1</v>
      </c>
      <c r="I164" s="4" t="b">
        <f>LEN(data!F164)=2</f>
        <v>0</v>
      </c>
      <c r="J164" s="4" t="b">
        <f>LEN(data!G164)&gt;0</f>
        <v>0</v>
      </c>
      <c r="K164" s="4" t="b">
        <f>LEN(data!G164)&lt;=60</f>
        <v>1</v>
      </c>
      <c r="L164" s="4" t="b">
        <f>LEN(data!I164)&gt;0</f>
        <v>0</v>
      </c>
      <c r="M164" s="4" t="b">
        <f>LEN(data!I164)&lt;=70</f>
        <v>1</v>
      </c>
      <c r="N164" s="4" t="b">
        <f>LEN(data!J164)&gt;0</f>
        <v>0</v>
      </c>
      <c r="O164" s="4" t="b">
        <f>LEN(data!J164)&lt;=140</f>
        <v>1</v>
      </c>
      <c r="P164" s="4" t="b">
        <f>LEN(data!K164)&gt;0</f>
        <v>0</v>
      </c>
      <c r="Q164" s="4" t="b">
        <f>LEN(data!K164)&lt;=35</f>
        <v>1</v>
      </c>
      <c r="R164" s="4" t="b">
        <f>LEN(data!L164)=2</f>
        <v>0</v>
      </c>
      <c r="S164" s="4" t="b">
        <f>LEN(data!M164)&gt;0</f>
        <v>0</v>
      </c>
      <c r="T164" s="4" t="b">
        <f>LEN(data!M164)&lt;=60</f>
        <v>1</v>
      </c>
      <c r="U164" s="4" t="b">
        <f>LEN(data!O164)&gt;0</f>
        <v>0</v>
      </c>
      <c r="V164" s="4" t="b">
        <f>LEN(data!O164)&lt;=70</f>
        <v>1</v>
      </c>
      <c r="W164" s="4" t="b">
        <f>LEN(data!P164)&gt;0</f>
        <v>0</v>
      </c>
      <c r="X164" s="4" t="b">
        <f>LEN(data!P164)&lt;=140</f>
        <v>1</v>
      </c>
      <c r="Y164" s="4" t="b">
        <f>LEN(data!Q164)&gt;0</f>
        <v>0</v>
      </c>
      <c r="Z164" s="4" t="b">
        <f>LEN(data!Q164)&lt;=35</f>
        <v>1</v>
      </c>
      <c r="AA164" s="4" t="b">
        <f>LEN(data!R164)=2</f>
        <v>0</v>
      </c>
      <c r="AB164" s="4" t="b">
        <f>LEN(data!S164)&gt;0</f>
        <v>0</v>
      </c>
      <c r="AC164" s="4" t="b">
        <f>LEN(data!S164)&lt;=120</f>
        <v>1</v>
      </c>
      <c r="AD164" s="4" t="b">
        <f>LEN(data!U164)=11</f>
        <v>0</v>
      </c>
      <c r="AE164" s="4" t="b">
        <f>AND(ISERROR(MATCH(data!V164, rule_mapping!$C$2:$C$325, 0))=FALSE, LEN(data!V164) &lt;= 4)</f>
        <v>0</v>
      </c>
      <c r="AF164" s="4" t="b">
        <f>LEN(data!W164)&gt;0</f>
        <v>0</v>
      </c>
      <c r="AG164" s="4" t="b">
        <f>LEN(data!W164)&lt;=20</f>
        <v>1</v>
      </c>
      <c r="AH164" s="4" t="b">
        <f xml:space="preserve"> IFERROR(ISNUMBER(data!X164), FALSE)</f>
        <v>0</v>
      </c>
      <c r="AI164" s="4" t="b">
        <f>IF(ISERROR(MATCH(data!Y164, rule_mapping!$D$2:$D$252, 0))=FALSE,TRUE, FALSE)</f>
        <v>0</v>
      </c>
      <c r="AJ164" s="4" t="b">
        <f>IFERROR(ISNUMBER(data!Z164), FALSE)</f>
        <v>0</v>
      </c>
      <c r="AK164" s="4" t="b">
        <f>IFERROR(ISNUMBER(data!AA164), FALSE)</f>
        <v>0</v>
      </c>
      <c r="AL164" s="4" t="b">
        <f>LEN(data!AB164)&lt;=90</f>
        <v>1</v>
      </c>
      <c r="AM164" s="4" t="b">
        <f>LEN(data!AC164)&gt;0</f>
        <v>0</v>
      </c>
      <c r="AN164" s="4" t="b">
        <f>LEN(data!AC164)&lt;=2000</f>
        <v>1</v>
      </c>
      <c r="AO164" s="4" t="b">
        <f>IF(LEN(data!AD164)=0,TRUE,IF(LEN(data!AD164)=5,TRUE,FALSE))</f>
        <v>1</v>
      </c>
      <c r="AP164" s="4" t="b">
        <f>LEN(data!AE164)&gt;0</f>
        <v>0</v>
      </c>
      <c r="AQ164" s="4" t="b">
        <f>LEN(data!AE164)=5</f>
        <v>0</v>
      </c>
      <c r="AR164" s="4" t="b">
        <f>ISERROR(MATCH(data!AF164, rule_mapping!$B$2:$B$3, 0))=FALSE</f>
        <v>0</v>
      </c>
      <c r="AS164" s="4" t="b">
        <f>ISERROR(MATCH(data!AG164, rule_mapping!$A$2:$A$8, 0))=FALSE</f>
        <v>0</v>
      </c>
      <c r="AT164" s="4" t="b">
        <f>LEN(data!AH164)&lt;=4</f>
        <v>1</v>
      </c>
      <c r="AU164" s="4" t="b">
        <f>LEN(data!AI164)&lt;=10</f>
        <v>1</v>
      </c>
      <c r="AV164" s="4" t="b">
        <f>LEN(data!AJ164)&lt;=35</f>
        <v>1</v>
      </c>
      <c r="AW164" s="4" t="b">
        <f>LEN(data!AK164)&lt;=20</f>
        <v>1</v>
      </c>
      <c r="AX164"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5" spans="1:50" ht="409.5" x14ac:dyDescent="0.15">
      <c r="A165" s="4" t="b">
        <f>OR(ISBLANK(data!B165), AND(B165:AW165))</f>
        <v>1</v>
      </c>
      <c r="B165" s="4" t="b">
        <f>AND(LEFT(TRIM(data!B165), 4)="OOLU", ISNUMBER(RIGHT(TRIM(data!B165), LEN(TRIM(data!B165))-4)+0))</f>
        <v>0</v>
      </c>
      <c r="C165" s="4" t="b">
        <f>LEN(data!C165)&gt;0</f>
        <v>0</v>
      </c>
      <c r="D165" s="4" t="b">
        <f>LEN(data!C165)&lt;=70</f>
        <v>1</v>
      </c>
      <c r="E165" s="4" t="b">
        <f>LEN(data!D165)&gt;0</f>
        <v>0</v>
      </c>
      <c r="F165" s="4" t="b">
        <f>LEN(data!D165)&lt;=140</f>
        <v>1</v>
      </c>
      <c r="G165" s="4" t="b">
        <f>LEN(data!E165)&gt;0</f>
        <v>0</v>
      </c>
      <c r="H165" s="4" t="b">
        <f>LEN(data!E165)&lt;=35</f>
        <v>1</v>
      </c>
      <c r="I165" s="4" t="b">
        <f>LEN(data!F165)=2</f>
        <v>0</v>
      </c>
      <c r="J165" s="4" t="b">
        <f>LEN(data!G165)&gt;0</f>
        <v>0</v>
      </c>
      <c r="K165" s="4" t="b">
        <f>LEN(data!G165)&lt;=60</f>
        <v>1</v>
      </c>
      <c r="L165" s="4" t="b">
        <f>LEN(data!I165)&gt;0</f>
        <v>0</v>
      </c>
      <c r="M165" s="4" t="b">
        <f>LEN(data!I165)&lt;=70</f>
        <v>1</v>
      </c>
      <c r="N165" s="4" t="b">
        <f>LEN(data!J165)&gt;0</f>
        <v>0</v>
      </c>
      <c r="O165" s="4" t="b">
        <f>LEN(data!J165)&lt;=140</f>
        <v>1</v>
      </c>
      <c r="P165" s="4" t="b">
        <f>LEN(data!K165)&gt;0</f>
        <v>0</v>
      </c>
      <c r="Q165" s="4" t="b">
        <f>LEN(data!K165)&lt;=35</f>
        <v>1</v>
      </c>
      <c r="R165" s="4" t="b">
        <f>LEN(data!L165)=2</f>
        <v>0</v>
      </c>
      <c r="S165" s="4" t="b">
        <f>LEN(data!M165)&gt;0</f>
        <v>0</v>
      </c>
      <c r="T165" s="4" t="b">
        <f>LEN(data!M165)&lt;=60</f>
        <v>1</v>
      </c>
      <c r="U165" s="4" t="b">
        <f>LEN(data!O165)&gt;0</f>
        <v>0</v>
      </c>
      <c r="V165" s="4" t="b">
        <f>LEN(data!O165)&lt;=70</f>
        <v>1</v>
      </c>
      <c r="W165" s="4" t="b">
        <f>LEN(data!P165)&gt;0</f>
        <v>0</v>
      </c>
      <c r="X165" s="4" t="b">
        <f>LEN(data!P165)&lt;=140</f>
        <v>1</v>
      </c>
      <c r="Y165" s="4" t="b">
        <f>LEN(data!Q165)&gt;0</f>
        <v>0</v>
      </c>
      <c r="Z165" s="4" t="b">
        <f>LEN(data!Q165)&lt;=35</f>
        <v>1</v>
      </c>
      <c r="AA165" s="4" t="b">
        <f>LEN(data!R165)=2</f>
        <v>0</v>
      </c>
      <c r="AB165" s="4" t="b">
        <f>LEN(data!S165)&gt;0</f>
        <v>0</v>
      </c>
      <c r="AC165" s="4" t="b">
        <f>LEN(data!S165)&lt;=120</f>
        <v>1</v>
      </c>
      <c r="AD165" s="4" t="b">
        <f>LEN(data!U165)=11</f>
        <v>0</v>
      </c>
      <c r="AE165" s="4" t="b">
        <f>AND(ISERROR(MATCH(data!V165, rule_mapping!$C$2:$C$325, 0))=FALSE, LEN(data!V165) &lt;= 4)</f>
        <v>0</v>
      </c>
      <c r="AF165" s="4" t="b">
        <f>LEN(data!W165)&gt;0</f>
        <v>0</v>
      </c>
      <c r="AG165" s="4" t="b">
        <f>LEN(data!W165)&lt;=20</f>
        <v>1</v>
      </c>
      <c r="AH165" s="4" t="b">
        <f xml:space="preserve"> IFERROR(ISNUMBER(data!X165), FALSE)</f>
        <v>0</v>
      </c>
      <c r="AI165" s="4" t="b">
        <f>IF(ISERROR(MATCH(data!Y165, rule_mapping!$D$2:$D$252, 0))=FALSE,TRUE, FALSE)</f>
        <v>0</v>
      </c>
      <c r="AJ165" s="4" t="b">
        <f>IFERROR(ISNUMBER(data!Z165), FALSE)</f>
        <v>0</v>
      </c>
      <c r="AK165" s="4" t="b">
        <f>IFERROR(ISNUMBER(data!AA165), FALSE)</f>
        <v>0</v>
      </c>
      <c r="AL165" s="4" t="b">
        <f>LEN(data!AB165)&lt;=90</f>
        <v>1</v>
      </c>
      <c r="AM165" s="4" t="b">
        <f>LEN(data!AC165)&gt;0</f>
        <v>0</v>
      </c>
      <c r="AN165" s="4" t="b">
        <f>LEN(data!AC165)&lt;=2000</f>
        <v>1</v>
      </c>
      <c r="AO165" s="4" t="b">
        <f>IF(LEN(data!AD165)=0,TRUE,IF(LEN(data!AD165)=5,TRUE,FALSE))</f>
        <v>1</v>
      </c>
      <c r="AP165" s="4" t="b">
        <f>LEN(data!AE165)&gt;0</f>
        <v>0</v>
      </c>
      <c r="AQ165" s="4" t="b">
        <f>LEN(data!AE165)=5</f>
        <v>0</v>
      </c>
      <c r="AR165" s="4" t="b">
        <f>ISERROR(MATCH(data!AF165, rule_mapping!$B$2:$B$3, 0))=FALSE</f>
        <v>0</v>
      </c>
      <c r="AS165" s="4" t="b">
        <f>ISERROR(MATCH(data!AG165, rule_mapping!$A$2:$A$8, 0))=FALSE</f>
        <v>0</v>
      </c>
      <c r="AT165" s="4" t="b">
        <f>LEN(data!AH165)&lt;=4</f>
        <v>1</v>
      </c>
      <c r="AU165" s="4" t="b">
        <f>LEN(data!AI165)&lt;=10</f>
        <v>1</v>
      </c>
      <c r="AV165" s="4" t="b">
        <f>LEN(data!AJ165)&lt;=35</f>
        <v>1</v>
      </c>
      <c r="AW165" s="4" t="b">
        <f>LEN(data!AK165)&lt;=20</f>
        <v>1</v>
      </c>
      <c r="AX165"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6" spans="1:50" ht="409.5" x14ac:dyDescent="0.15">
      <c r="A166" s="4" t="b">
        <f>OR(ISBLANK(data!B166), AND(B166:AW166))</f>
        <v>1</v>
      </c>
      <c r="B166" s="4" t="b">
        <f>AND(LEFT(TRIM(data!B166), 4)="OOLU", ISNUMBER(RIGHT(TRIM(data!B166), LEN(TRIM(data!B166))-4)+0))</f>
        <v>0</v>
      </c>
      <c r="C166" s="4" t="b">
        <f>LEN(data!C166)&gt;0</f>
        <v>0</v>
      </c>
      <c r="D166" s="4" t="b">
        <f>LEN(data!C166)&lt;=70</f>
        <v>1</v>
      </c>
      <c r="E166" s="4" t="b">
        <f>LEN(data!D166)&gt;0</f>
        <v>0</v>
      </c>
      <c r="F166" s="4" t="b">
        <f>LEN(data!D166)&lt;=140</f>
        <v>1</v>
      </c>
      <c r="G166" s="4" t="b">
        <f>LEN(data!E166)&gt;0</f>
        <v>0</v>
      </c>
      <c r="H166" s="4" t="b">
        <f>LEN(data!E166)&lt;=35</f>
        <v>1</v>
      </c>
      <c r="I166" s="4" t="b">
        <f>LEN(data!F166)=2</f>
        <v>0</v>
      </c>
      <c r="J166" s="4" t="b">
        <f>LEN(data!G166)&gt;0</f>
        <v>0</v>
      </c>
      <c r="K166" s="4" t="b">
        <f>LEN(data!G166)&lt;=60</f>
        <v>1</v>
      </c>
      <c r="L166" s="4" t="b">
        <f>LEN(data!I166)&gt;0</f>
        <v>0</v>
      </c>
      <c r="M166" s="4" t="b">
        <f>LEN(data!I166)&lt;=70</f>
        <v>1</v>
      </c>
      <c r="N166" s="4" t="b">
        <f>LEN(data!J166)&gt;0</f>
        <v>0</v>
      </c>
      <c r="O166" s="4" t="b">
        <f>LEN(data!J166)&lt;=140</f>
        <v>1</v>
      </c>
      <c r="P166" s="4" t="b">
        <f>LEN(data!K166)&gt;0</f>
        <v>0</v>
      </c>
      <c r="Q166" s="4" t="b">
        <f>LEN(data!K166)&lt;=35</f>
        <v>1</v>
      </c>
      <c r="R166" s="4" t="b">
        <f>LEN(data!L166)=2</f>
        <v>0</v>
      </c>
      <c r="S166" s="4" t="b">
        <f>LEN(data!M166)&gt;0</f>
        <v>0</v>
      </c>
      <c r="T166" s="4" t="b">
        <f>LEN(data!M166)&lt;=60</f>
        <v>1</v>
      </c>
      <c r="U166" s="4" t="b">
        <f>LEN(data!O166)&gt;0</f>
        <v>0</v>
      </c>
      <c r="V166" s="4" t="b">
        <f>LEN(data!O166)&lt;=70</f>
        <v>1</v>
      </c>
      <c r="W166" s="4" t="b">
        <f>LEN(data!P166)&gt;0</f>
        <v>0</v>
      </c>
      <c r="X166" s="4" t="b">
        <f>LEN(data!P166)&lt;=140</f>
        <v>1</v>
      </c>
      <c r="Y166" s="4" t="b">
        <f>LEN(data!Q166)&gt;0</f>
        <v>0</v>
      </c>
      <c r="Z166" s="4" t="b">
        <f>LEN(data!Q166)&lt;=35</f>
        <v>1</v>
      </c>
      <c r="AA166" s="4" t="b">
        <f>LEN(data!R166)=2</f>
        <v>0</v>
      </c>
      <c r="AB166" s="4" t="b">
        <f>LEN(data!S166)&gt;0</f>
        <v>0</v>
      </c>
      <c r="AC166" s="4" t="b">
        <f>LEN(data!S166)&lt;=120</f>
        <v>1</v>
      </c>
      <c r="AD166" s="4" t="b">
        <f>LEN(data!U166)=11</f>
        <v>0</v>
      </c>
      <c r="AE166" s="4" t="b">
        <f>AND(ISERROR(MATCH(data!V166, rule_mapping!$C$2:$C$325, 0))=FALSE, LEN(data!V166) &lt;= 4)</f>
        <v>0</v>
      </c>
      <c r="AF166" s="4" t="b">
        <f>LEN(data!W166)&gt;0</f>
        <v>0</v>
      </c>
      <c r="AG166" s="4" t="b">
        <f>LEN(data!W166)&lt;=20</f>
        <v>1</v>
      </c>
      <c r="AH166" s="4" t="b">
        <f xml:space="preserve"> IFERROR(ISNUMBER(data!X166), FALSE)</f>
        <v>0</v>
      </c>
      <c r="AI166" s="4" t="b">
        <f>IF(ISERROR(MATCH(data!Y166, rule_mapping!$D$2:$D$252, 0))=FALSE,TRUE, FALSE)</f>
        <v>0</v>
      </c>
      <c r="AJ166" s="4" t="b">
        <f>IFERROR(ISNUMBER(data!Z166), FALSE)</f>
        <v>0</v>
      </c>
      <c r="AK166" s="4" t="b">
        <f>IFERROR(ISNUMBER(data!AA166), FALSE)</f>
        <v>0</v>
      </c>
      <c r="AL166" s="4" t="b">
        <f>LEN(data!AB166)&lt;=90</f>
        <v>1</v>
      </c>
      <c r="AM166" s="4" t="b">
        <f>LEN(data!AC166)&gt;0</f>
        <v>0</v>
      </c>
      <c r="AN166" s="4" t="b">
        <f>LEN(data!AC166)&lt;=2000</f>
        <v>1</v>
      </c>
      <c r="AO166" s="4" t="b">
        <f>IF(LEN(data!AD166)=0,TRUE,IF(LEN(data!AD166)=5,TRUE,FALSE))</f>
        <v>1</v>
      </c>
      <c r="AP166" s="4" t="b">
        <f>LEN(data!AE166)&gt;0</f>
        <v>0</v>
      </c>
      <c r="AQ166" s="4" t="b">
        <f>LEN(data!AE166)=5</f>
        <v>0</v>
      </c>
      <c r="AR166" s="4" t="b">
        <f>ISERROR(MATCH(data!AF166, rule_mapping!$B$2:$B$3, 0))=FALSE</f>
        <v>0</v>
      </c>
      <c r="AS166" s="4" t="b">
        <f>ISERROR(MATCH(data!AG166, rule_mapping!$A$2:$A$8, 0))=FALSE</f>
        <v>0</v>
      </c>
      <c r="AT166" s="4" t="b">
        <f>LEN(data!AH166)&lt;=4</f>
        <v>1</v>
      </c>
      <c r="AU166" s="4" t="b">
        <f>LEN(data!AI166)&lt;=10</f>
        <v>1</v>
      </c>
      <c r="AV166" s="4" t="b">
        <f>LEN(data!AJ166)&lt;=35</f>
        <v>1</v>
      </c>
      <c r="AW166" s="4" t="b">
        <f>LEN(data!AK166)&lt;=20</f>
        <v>1</v>
      </c>
      <c r="AX166"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7" spans="1:50" ht="409.5" x14ac:dyDescent="0.15">
      <c r="A167" s="4" t="b">
        <f>OR(ISBLANK(data!B167), AND(B167:AW167))</f>
        <v>1</v>
      </c>
      <c r="B167" s="4" t="b">
        <f>AND(LEFT(TRIM(data!B167), 4)="OOLU", ISNUMBER(RIGHT(TRIM(data!B167), LEN(TRIM(data!B167))-4)+0))</f>
        <v>0</v>
      </c>
      <c r="C167" s="4" t="b">
        <f>LEN(data!C167)&gt;0</f>
        <v>0</v>
      </c>
      <c r="D167" s="4" t="b">
        <f>LEN(data!C167)&lt;=70</f>
        <v>1</v>
      </c>
      <c r="E167" s="4" t="b">
        <f>LEN(data!D167)&gt;0</f>
        <v>0</v>
      </c>
      <c r="F167" s="4" t="b">
        <f>LEN(data!D167)&lt;=140</f>
        <v>1</v>
      </c>
      <c r="G167" s="4" t="b">
        <f>LEN(data!E167)&gt;0</f>
        <v>0</v>
      </c>
      <c r="H167" s="4" t="b">
        <f>LEN(data!E167)&lt;=35</f>
        <v>1</v>
      </c>
      <c r="I167" s="4" t="b">
        <f>LEN(data!F167)=2</f>
        <v>0</v>
      </c>
      <c r="J167" s="4" t="b">
        <f>LEN(data!G167)&gt;0</f>
        <v>0</v>
      </c>
      <c r="K167" s="4" t="b">
        <f>LEN(data!G167)&lt;=60</f>
        <v>1</v>
      </c>
      <c r="L167" s="4" t="b">
        <f>LEN(data!I167)&gt;0</f>
        <v>0</v>
      </c>
      <c r="M167" s="4" t="b">
        <f>LEN(data!I167)&lt;=70</f>
        <v>1</v>
      </c>
      <c r="N167" s="4" t="b">
        <f>LEN(data!J167)&gt;0</f>
        <v>0</v>
      </c>
      <c r="O167" s="4" t="b">
        <f>LEN(data!J167)&lt;=140</f>
        <v>1</v>
      </c>
      <c r="P167" s="4" t="b">
        <f>LEN(data!K167)&gt;0</f>
        <v>0</v>
      </c>
      <c r="Q167" s="4" t="b">
        <f>LEN(data!K167)&lt;=35</f>
        <v>1</v>
      </c>
      <c r="R167" s="4" t="b">
        <f>LEN(data!L167)=2</f>
        <v>0</v>
      </c>
      <c r="S167" s="4" t="b">
        <f>LEN(data!M167)&gt;0</f>
        <v>0</v>
      </c>
      <c r="T167" s="4" t="b">
        <f>LEN(data!M167)&lt;=60</f>
        <v>1</v>
      </c>
      <c r="U167" s="4" t="b">
        <f>LEN(data!O167)&gt;0</f>
        <v>0</v>
      </c>
      <c r="V167" s="4" t="b">
        <f>LEN(data!O167)&lt;=70</f>
        <v>1</v>
      </c>
      <c r="W167" s="4" t="b">
        <f>LEN(data!P167)&gt;0</f>
        <v>0</v>
      </c>
      <c r="X167" s="4" t="b">
        <f>LEN(data!P167)&lt;=140</f>
        <v>1</v>
      </c>
      <c r="Y167" s="4" t="b">
        <f>LEN(data!Q167)&gt;0</f>
        <v>0</v>
      </c>
      <c r="Z167" s="4" t="b">
        <f>LEN(data!Q167)&lt;=35</f>
        <v>1</v>
      </c>
      <c r="AA167" s="4" t="b">
        <f>LEN(data!R167)=2</f>
        <v>0</v>
      </c>
      <c r="AB167" s="4" t="b">
        <f>LEN(data!S167)&gt;0</f>
        <v>0</v>
      </c>
      <c r="AC167" s="4" t="b">
        <f>LEN(data!S167)&lt;=120</f>
        <v>1</v>
      </c>
      <c r="AD167" s="4" t="b">
        <f>LEN(data!U167)=11</f>
        <v>0</v>
      </c>
      <c r="AE167" s="4" t="b">
        <f>AND(ISERROR(MATCH(data!V167, rule_mapping!$C$2:$C$325, 0))=FALSE, LEN(data!V167) &lt;= 4)</f>
        <v>0</v>
      </c>
      <c r="AF167" s="4" t="b">
        <f>LEN(data!W167)&gt;0</f>
        <v>0</v>
      </c>
      <c r="AG167" s="4" t="b">
        <f>LEN(data!W167)&lt;=20</f>
        <v>1</v>
      </c>
      <c r="AH167" s="4" t="b">
        <f xml:space="preserve"> IFERROR(ISNUMBER(data!X167), FALSE)</f>
        <v>0</v>
      </c>
      <c r="AI167" s="4" t="b">
        <f>IF(ISERROR(MATCH(data!Y167, rule_mapping!$D$2:$D$252, 0))=FALSE,TRUE, FALSE)</f>
        <v>0</v>
      </c>
      <c r="AJ167" s="4" t="b">
        <f>IFERROR(ISNUMBER(data!Z167), FALSE)</f>
        <v>0</v>
      </c>
      <c r="AK167" s="4" t="b">
        <f>IFERROR(ISNUMBER(data!AA167), FALSE)</f>
        <v>0</v>
      </c>
      <c r="AL167" s="4" t="b">
        <f>LEN(data!AB167)&lt;=90</f>
        <v>1</v>
      </c>
      <c r="AM167" s="4" t="b">
        <f>LEN(data!AC167)&gt;0</f>
        <v>0</v>
      </c>
      <c r="AN167" s="4" t="b">
        <f>LEN(data!AC167)&lt;=2000</f>
        <v>1</v>
      </c>
      <c r="AO167" s="4" t="b">
        <f>IF(LEN(data!AD167)=0,TRUE,IF(LEN(data!AD167)=5,TRUE,FALSE))</f>
        <v>1</v>
      </c>
      <c r="AP167" s="4" t="b">
        <f>LEN(data!AE167)&gt;0</f>
        <v>0</v>
      </c>
      <c r="AQ167" s="4" t="b">
        <f>LEN(data!AE167)=5</f>
        <v>0</v>
      </c>
      <c r="AR167" s="4" t="b">
        <f>ISERROR(MATCH(data!AF167, rule_mapping!$B$2:$B$3, 0))=FALSE</f>
        <v>0</v>
      </c>
      <c r="AS167" s="4" t="b">
        <f>ISERROR(MATCH(data!AG167, rule_mapping!$A$2:$A$8, 0))=FALSE</f>
        <v>0</v>
      </c>
      <c r="AT167" s="4" t="b">
        <f>LEN(data!AH167)&lt;=4</f>
        <v>1</v>
      </c>
      <c r="AU167" s="4" t="b">
        <f>LEN(data!AI167)&lt;=10</f>
        <v>1</v>
      </c>
      <c r="AV167" s="4" t="b">
        <f>LEN(data!AJ167)&lt;=35</f>
        <v>1</v>
      </c>
      <c r="AW167" s="4" t="b">
        <f>LEN(data!AK167)&lt;=20</f>
        <v>1</v>
      </c>
      <c r="AX167"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8" spans="1:50" ht="409.5" x14ac:dyDescent="0.15">
      <c r="A168" s="4" t="b">
        <f>OR(ISBLANK(data!B168), AND(B168:AW168))</f>
        <v>1</v>
      </c>
      <c r="B168" s="4" t="b">
        <f>AND(LEFT(TRIM(data!B168), 4)="OOLU", ISNUMBER(RIGHT(TRIM(data!B168), LEN(TRIM(data!B168))-4)+0))</f>
        <v>0</v>
      </c>
      <c r="C168" s="4" t="b">
        <f>LEN(data!C168)&gt;0</f>
        <v>0</v>
      </c>
      <c r="D168" s="4" t="b">
        <f>LEN(data!C168)&lt;=70</f>
        <v>1</v>
      </c>
      <c r="E168" s="4" t="b">
        <f>LEN(data!D168)&gt;0</f>
        <v>0</v>
      </c>
      <c r="F168" s="4" t="b">
        <f>LEN(data!D168)&lt;=140</f>
        <v>1</v>
      </c>
      <c r="G168" s="4" t="b">
        <f>LEN(data!E168)&gt;0</f>
        <v>0</v>
      </c>
      <c r="H168" s="4" t="b">
        <f>LEN(data!E168)&lt;=35</f>
        <v>1</v>
      </c>
      <c r="I168" s="4" t="b">
        <f>LEN(data!F168)=2</f>
        <v>0</v>
      </c>
      <c r="J168" s="4" t="b">
        <f>LEN(data!G168)&gt;0</f>
        <v>0</v>
      </c>
      <c r="K168" s="4" t="b">
        <f>LEN(data!G168)&lt;=60</f>
        <v>1</v>
      </c>
      <c r="L168" s="4" t="b">
        <f>LEN(data!I168)&gt;0</f>
        <v>0</v>
      </c>
      <c r="M168" s="4" t="b">
        <f>LEN(data!I168)&lt;=70</f>
        <v>1</v>
      </c>
      <c r="N168" s="4" t="b">
        <f>LEN(data!J168)&gt;0</f>
        <v>0</v>
      </c>
      <c r="O168" s="4" t="b">
        <f>LEN(data!J168)&lt;=140</f>
        <v>1</v>
      </c>
      <c r="P168" s="4" t="b">
        <f>LEN(data!K168)&gt;0</f>
        <v>0</v>
      </c>
      <c r="Q168" s="4" t="b">
        <f>LEN(data!K168)&lt;=35</f>
        <v>1</v>
      </c>
      <c r="R168" s="4" t="b">
        <f>LEN(data!L168)=2</f>
        <v>0</v>
      </c>
      <c r="S168" s="4" t="b">
        <f>LEN(data!M168)&gt;0</f>
        <v>0</v>
      </c>
      <c r="T168" s="4" t="b">
        <f>LEN(data!M168)&lt;=60</f>
        <v>1</v>
      </c>
      <c r="U168" s="4" t="b">
        <f>LEN(data!O168)&gt;0</f>
        <v>0</v>
      </c>
      <c r="V168" s="4" t="b">
        <f>LEN(data!O168)&lt;=70</f>
        <v>1</v>
      </c>
      <c r="W168" s="4" t="b">
        <f>LEN(data!P168)&gt;0</f>
        <v>0</v>
      </c>
      <c r="X168" s="4" t="b">
        <f>LEN(data!P168)&lt;=140</f>
        <v>1</v>
      </c>
      <c r="Y168" s="4" t="b">
        <f>LEN(data!Q168)&gt;0</f>
        <v>0</v>
      </c>
      <c r="Z168" s="4" t="b">
        <f>LEN(data!Q168)&lt;=35</f>
        <v>1</v>
      </c>
      <c r="AA168" s="4" t="b">
        <f>LEN(data!R168)=2</f>
        <v>0</v>
      </c>
      <c r="AB168" s="4" t="b">
        <f>LEN(data!S168)&gt;0</f>
        <v>0</v>
      </c>
      <c r="AC168" s="4" t="b">
        <f>LEN(data!S168)&lt;=120</f>
        <v>1</v>
      </c>
      <c r="AD168" s="4" t="b">
        <f>LEN(data!U168)=11</f>
        <v>0</v>
      </c>
      <c r="AE168" s="4" t="b">
        <f>AND(ISERROR(MATCH(data!V168, rule_mapping!$C$2:$C$325, 0))=FALSE, LEN(data!V168) &lt;= 4)</f>
        <v>0</v>
      </c>
      <c r="AF168" s="4" t="b">
        <f>LEN(data!W168)&gt;0</f>
        <v>0</v>
      </c>
      <c r="AG168" s="4" t="b">
        <f>LEN(data!W168)&lt;=20</f>
        <v>1</v>
      </c>
      <c r="AH168" s="4" t="b">
        <f xml:space="preserve"> IFERROR(ISNUMBER(data!X168), FALSE)</f>
        <v>0</v>
      </c>
      <c r="AI168" s="4" t="b">
        <f>IF(ISERROR(MATCH(data!Y168, rule_mapping!$D$2:$D$252, 0))=FALSE,TRUE, FALSE)</f>
        <v>0</v>
      </c>
      <c r="AJ168" s="4" t="b">
        <f>IFERROR(ISNUMBER(data!Z168), FALSE)</f>
        <v>0</v>
      </c>
      <c r="AK168" s="4" t="b">
        <f>IFERROR(ISNUMBER(data!AA168), FALSE)</f>
        <v>0</v>
      </c>
      <c r="AL168" s="4" t="b">
        <f>LEN(data!AB168)&lt;=90</f>
        <v>1</v>
      </c>
      <c r="AM168" s="4" t="b">
        <f>LEN(data!AC168)&gt;0</f>
        <v>0</v>
      </c>
      <c r="AN168" s="4" t="b">
        <f>LEN(data!AC168)&lt;=2000</f>
        <v>1</v>
      </c>
      <c r="AO168" s="4" t="b">
        <f>IF(LEN(data!AD168)=0,TRUE,IF(LEN(data!AD168)=5,TRUE,FALSE))</f>
        <v>1</v>
      </c>
      <c r="AP168" s="4" t="b">
        <f>LEN(data!AE168)&gt;0</f>
        <v>0</v>
      </c>
      <c r="AQ168" s="4" t="b">
        <f>LEN(data!AE168)=5</f>
        <v>0</v>
      </c>
      <c r="AR168" s="4" t="b">
        <f>ISERROR(MATCH(data!AF168, rule_mapping!$B$2:$B$3, 0))=FALSE</f>
        <v>0</v>
      </c>
      <c r="AS168" s="4" t="b">
        <f>ISERROR(MATCH(data!AG168, rule_mapping!$A$2:$A$8, 0))=FALSE</f>
        <v>0</v>
      </c>
      <c r="AT168" s="4" t="b">
        <f>LEN(data!AH168)&lt;=4</f>
        <v>1</v>
      </c>
      <c r="AU168" s="4" t="b">
        <f>LEN(data!AI168)&lt;=10</f>
        <v>1</v>
      </c>
      <c r="AV168" s="4" t="b">
        <f>LEN(data!AJ168)&lt;=35</f>
        <v>1</v>
      </c>
      <c r="AW168" s="4" t="b">
        <f>LEN(data!AK168)&lt;=20</f>
        <v>1</v>
      </c>
      <c r="AX168"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69" spans="1:50" ht="409.5" x14ac:dyDescent="0.15">
      <c r="A169" s="4" t="b">
        <f>OR(ISBLANK(data!B169), AND(B169:AW169))</f>
        <v>1</v>
      </c>
      <c r="B169" s="4" t="b">
        <f>AND(LEFT(TRIM(data!B169), 4)="OOLU", ISNUMBER(RIGHT(TRIM(data!B169), LEN(TRIM(data!B169))-4)+0))</f>
        <v>0</v>
      </c>
      <c r="C169" s="4" t="b">
        <f>LEN(data!C169)&gt;0</f>
        <v>0</v>
      </c>
      <c r="D169" s="4" t="b">
        <f>LEN(data!C169)&lt;=70</f>
        <v>1</v>
      </c>
      <c r="E169" s="4" t="b">
        <f>LEN(data!D169)&gt;0</f>
        <v>0</v>
      </c>
      <c r="F169" s="4" t="b">
        <f>LEN(data!D169)&lt;=140</f>
        <v>1</v>
      </c>
      <c r="G169" s="4" t="b">
        <f>LEN(data!E169)&gt;0</f>
        <v>0</v>
      </c>
      <c r="H169" s="4" t="b">
        <f>LEN(data!E169)&lt;=35</f>
        <v>1</v>
      </c>
      <c r="I169" s="4" t="b">
        <f>LEN(data!F169)=2</f>
        <v>0</v>
      </c>
      <c r="J169" s="4" t="b">
        <f>LEN(data!G169)&gt;0</f>
        <v>0</v>
      </c>
      <c r="K169" s="4" t="b">
        <f>LEN(data!G169)&lt;=60</f>
        <v>1</v>
      </c>
      <c r="L169" s="4" t="b">
        <f>LEN(data!I169)&gt;0</f>
        <v>0</v>
      </c>
      <c r="M169" s="4" t="b">
        <f>LEN(data!I169)&lt;=70</f>
        <v>1</v>
      </c>
      <c r="N169" s="4" t="b">
        <f>LEN(data!J169)&gt;0</f>
        <v>0</v>
      </c>
      <c r="O169" s="4" t="b">
        <f>LEN(data!J169)&lt;=140</f>
        <v>1</v>
      </c>
      <c r="P169" s="4" t="b">
        <f>LEN(data!K169)&gt;0</f>
        <v>0</v>
      </c>
      <c r="Q169" s="4" t="b">
        <f>LEN(data!K169)&lt;=35</f>
        <v>1</v>
      </c>
      <c r="R169" s="4" t="b">
        <f>LEN(data!L169)=2</f>
        <v>0</v>
      </c>
      <c r="S169" s="4" t="b">
        <f>LEN(data!M169)&gt;0</f>
        <v>0</v>
      </c>
      <c r="T169" s="4" t="b">
        <f>LEN(data!M169)&lt;=60</f>
        <v>1</v>
      </c>
      <c r="U169" s="4" t="b">
        <f>LEN(data!O169)&gt;0</f>
        <v>0</v>
      </c>
      <c r="V169" s="4" t="b">
        <f>LEN(data!O169)&lt;=70</f>
        <v>1</v>
      </c>
      <c r="W169" s="4" t="b">
        <f>LEN(data!P169)&gt;0</f>
        <v>0</v>
      </c>
      <c r="X169" s="4" t="b">
        <f>LEN(data!P169)&lt;=140</f>
        <v>1</v>
      </c>
      <c r="Y169" s="4" t="b">
        <f>LEN(data!Q169)&gt;0</f>
        <v>0</v>
      </c>
      <c r="Z169" s="4" t="b">
        <f>LEN(data!Q169)&lt;=35</f>
        <v>1</v>
      </c>
      <c r="AA169" s="4" t="b">
        <f>LEN(data!R169)=2</f>
        <v>0</v>
      </c>
      <c r="AB169" s="4" t="b">
        <f>LEN(data!S169)&gt;0</f>
        <v>0</v>
      </c>
      <c r="AC169" s="4" t="b">
        <f>LEN(data!S169)&lt;=120</f>
        <v>1</v>
      </c>
      <c r="AD169" s="4" t="b">
        <f>LEN(data!U169)=11</f>
        <v>0</v>
      </c>
      <c r="AE169" s="4" t="b">
        <f>AND(ISERROR(MATCH(data!V169, rule_mapping!$C$2:$C$325, 0))=FALSE, LEN(data!V169) &lt;= 4)</f>
        <v>0</v>
      </c>
      <c r="AF169" s="4" t="b">
        <f>LEN(data!W169)&gt;0</f>
        <v>0</v>
      </c>
      <c r="AG169" s="4" t="b">
        <f>LEN(data!W169)&lt;=20</f>
        <v>1</v>
      </c>
      <c r="AH169" s="4" t="b">
        <f xml:space="preserve"> IFERROR(ISNUMBER(data!X169), FALSE)</f>
        <v>0</v>
      </c>
      <c r="AI169" s="4" t="b">
        <f>IF(ISERROR(MATCH(data!Y169, rule_mapping!$D$2:$D$252, 0))=FALSE,TRUE, FALSE)</f>
        <v>0</v>
      </c>
      <c r="AJ169" s="4" t="b">
        <f>IFERROR(ISNUMBER(data!Z169), FALSE)</f>
        <v>0</v>
      </c>
      <c r="AK169" s="4" t="b">
        <f>IFERROR(ISNUMBER(data!AA169), FALSE)</f>
        <v>0</v>
      </c>
      <c r="AL169" s="4" t="b">
        <f>LEN(data!AB169)&lt;=90</f>
        <v>1</v>
      </c>
      <c r="AM169" s="4" t="b">
        <f>LEN(data!AC169)&gt;0</f>
        <v>0</v>
      </c>
      <c r="AN169" s="4" t="b">
        <f>LEN(data!AC169)&lt;=2000</f>
        <v>1</v>
      </c>
      <c r="AO169" s="4" t="b">
        <f>IF(LEN(data!AD169)=0,TRUE,IF(LEN(data!AD169)=5,TRUE,FALSE))</f>
        <v>1</v>
      </c>
      <c r="AP169" s="4" t="b">
        <f>LEN(data!AE169)&gt;0</f>
        <v>0</v>
      </c>
      <c r="AQ169" s="4" t="b">
        <f>LEN(data!AE169)=5</f>
        <v>0</v>
      </c>
      <c r="AR169" s="4" t="b">
        <f>ISERROR(MATCH(data!AF169, rule_mapping!$B$2:$B$3, 0))=FALSE</f>
        <v>0</v>
      </c>
      <c r="AS169" s="4" t="b">
        <f>ISERROR(MATCH(data!AG169, rule_mapping!$A$2:$A$8, 0))=FALSE</f>
        <v>0</v>
      </c>
      <c r="AT169" s="4" t="b">
        <f>LEN(data!AH169)&lt;=4</f>
        <v>1</v>
      </c>
      <c r="AU169" s="4" t="b">
        <f>LEN(data!AI169)&lt;=10</f>
        <v>1</v>
      </c>
      <c r="AV169" s="4" t="b">
        <f>LEN(data!AJ169)&lt;=35</f>
        <v>1</v>
      </c>
      <c r="AW169" s="4" t="b">
        <f>LEN(data!AK169)&lt;=20</f>
        <v>1</v>
      </c>
      <c r="AX169"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0" spans="1:50" ht="409.5" x14ac:dyDescent="0.15">
      <c r="A170" s="4" t="b">
        <f>OR(ISBLANK(data!B170), AND(B170:AW170))</f>
        <v>1</v>
      </c>
      <c r="B170" s="4" t="b">
        <f>AND(LEFT(TRIM(data!B170), 4)="OOLU", ISNUMBER(RIGHT(TRIM(data!B170), LEN(TRIM(data!B170))-4)+0))</f>
        <v>0</v>
      </c>
      <c r="C170" s="4" t="b">
        <f>LEN(data!C170)&gt;0</f>
        <v>0</v>
      </c>
      <c r="D170" s="4" t="b">
        <f>LEN(data!C170)&lt;=70</f>
        <v>1</v>
      </c>
      <c r="E170" s="4" t="b">
        <f>LEN(data!D170)&gt;0</f>
        <v>0</v>
      </c>
      <c r="F170" s="4" t="b">
        <f>LEN(data!D170)&lt;=140</f>
        <v>1</v>
      </c>
      <c r="G170" s="4" t="b">
        <f>LEN(data!E170)&gt;0</f>
        <v>0</v>
      </c>
      <c r="H170" s="4" t="b">
        <f>LEN(data!E170)&lt;=35</f>
        <v>1</v>
      </c>
      <c r="I170" s="4" t="b">
        <f>LEN(data!F170)=2</f>
        <v>0</v>
      </c>
      <c r="J170" s="4" t="b">
        <f>LEN(data!G170)&gt;0</f>
        <v>0</v>
      </c>
      <c r="K170" s="4" t="b">
        <f>LEN(data!G170)&lt;=60</f>
        <v>1</v>
      </c>
      <c r="L170" s="4" t="b">
        <f>LEN(data!I170)&gt;0</f>
        <v>0</v>
      </c>
      <c r="M170" s="4" t="b">
        <f>LEN(data!I170)&lt;=70</f>
        <v>1</v>
      </c>
      <c r="N170" s="4" t="b">
        <f>LEN(data!J170)&gt;0</f>
        <v>0</v>
      </c>
      <c r="O170" s="4" t="b">
        <f>LEN(data!J170)&lt;=140</f>
        <v>1</v>
      </c>
      <c r="P170" s="4" t="b">
        <f>LEN(data!K170)&gt;0</f>
        <v>0</v>
      </c>
      <c r="Q170" s="4" t="b">
        <f>LEN(data!K170)&lt;=35</f>
        <v>1</v>
      </c>
      <c r="R170" s="4" t="b">
        <f>LEN(data!L170)=2</f>
        <v>0</v>
      </c>
      <c r="S170" s="4" t="b">
        <f>LEN(data!M170)&gt;0</f>
        <v>0</v>
      </c>
      <c r="T170" s="4" t="b">
        <f>LEN(data!M170)&lt;=60</f>
        <v>1</v>
      </c>
      <c r="U170" s="4" t="b">
        <f>LEN(data!O170)&gt;0</f>
        <v>0</v>
      </c>
      <c r="V170" s="4" t="b">
        <f>LEN(data!O170)&lt;=70</f>
        <v>1</v>
      </c>
      <c r="W170" s="4" t="b">
        <f>LEN(data!P170)&gt;0</f>
        <v>0</v>
      </c>
      <c r="X170" s="4" t="b">
        <f>LEN(data!P170)&lt;=140</f>
        <v>1</v>
      </c>
      <c r="Y170" s="4" t="b">
        <f>LEN(data!Q170)&gt;0</f>
        <v>0</v>
      </c>
      <c r="Z170" s="4" t="b">
        <f>LEN(data!Q170)&lt;=35</f>
        <v>1</v>
      </c>
      <c r="AA170" s="4" t="b">
        <f>LEN(data!R170)=2</f>
        <v>0</v>
      </c>
      <c r="AB170" s="4" t="b">
        <f>LEN(data!S170)&gt;0</f>
        <v>0</v>
      </c>
      <c r="AC170" s="4" t="b">
        <f>LEN(data!S170)&lt;=120</f>
        <v>1</v>
      </c>
      <c r="AD170" s="4" t="b">
        <f>LEN(data!U170)=11</f>
        <v>0</v>
      </c>
      <c r="AE170" s="4" t="b">
        <f>AND(ISERROR(MATCH(data!V170, rule_mapping!$C$2:$C$325, 0))=FALSE, LEN(data!V170) &lt;= 4)</f>
        <v>0</v>
      </c>
      <c r="AF170" s="4" t="b">
        <f>LEN(data!W170)&gt;0</f>
        <v>0</v>
      </c>
      <c r="AG170" s="4" t="b">
        <f>LEN(data!W170)&lt;=20</f>
        <v>1</v>
      </c>
      <c r="AH170" s="4" t="b">
        <f xml:space="preserve"> IFERROR(ISNUMBER(data!X170), FALSE)</f>
        <v>0</v>
      </c>
      <c r="AI170" s="4" t="b">
        <f>IF(ISERROR(MATCH(data!Y170, rule_mapping!$D$2:$D$252, 0))=FALSE,TRUE, FALSE)</f>
        <v>0</v>
      </c>
      <c r="AJ170" s="4" t="b">
        <f>IFERROR(ISNUMBER(data!Z170), FALSE)</f>
        <v>0</v>
      </c>
      <c r="AK170" s="4" t="b">
        <f>IFERROR(ISNUMBER(data!AA170), FALSE)</f>
        <v>0</v>
      </c>
      <c r="AL170" s="4" t="b">
        <f>LEN(data!AB170)&lt;=90</f>
        <v>1</v>
      </c>
      <c r="AM170" s="4" t="b">
        <f>LEN(data!AC170)&gt;0</f>
        <v>0</v>
      </c>
      <c r="AN170" s="4" t="b">
        <f>LEN(data!AC170)&lt;=2000</f>
        <v>1</v>
      </c>
      <c r="AO170" s="4" t="b">
        <f>IF(LEN(data!AD170)=0,TRUE,IF(LEN(data!AD170)=5,TRUE,FALSE))</f>
        <v>1</v>
      </c>
      <c r="AP170" s="4" t="b">
        <f>LEN(data!AE170)&gt;0</f>
        <v>0</v>
      </c>
      <c r="AQ170" s="4" t="b">
        <f>LEN(data!AE170)=5</f>
        <v>0</v>
      </c>
      <c r="AR170" s="4" t="b">
        <f>ISERROR(MATCH(data!AF170, rule_mapping!$B$2:$B$3, 0))=FALSE</f>
        <v>0</v>
      </c>
      <c r="AS170" s="4" t="b">
        <f>ISERROR(MATCH(data!AG170, rule_mapping!$A$2:$A$8, 0))=FALSE</f>
        <v>0</v>
      </c>
      <c r="AT170" s="4" t="b">
        <f>LEN(data!AH170)&lt;=4</f>
        <v>1</v>
      </c>
      <c r="AU170" s="4" t="b">
        <f>LEN(data!AI170)&lt;=10</f>
        <v>1</v>
      </c>
      <c r="AV170" s="4" t="b">
        <f>LEN(data!AJ170)&lt;=35</f>
        <v>1</v>
      </c>
      <c r="AW170" s="4" t="b">
        <f>LEN(data!AK170)&lt;=20</f>
        <v>1</v>
      </c>
      <c r="AX170"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1" spans="1:50" ht="409.5" x14ac:dyDescent="0.15">
      <c r="A171" s="4" t="b">
        <f>OR(ISBLANK(data!B171), AND(B171:AW171))</f>
        <v>1</v>
      </c>
      <c r="B171" s="4" t="b">
        <f>AND(LEFT(TRIM(data!B171), 4)="OOLU", ISNUMBER(RIGHT(TRIM(data!B171), LEN(TRIM(data!B171))-4)+0))</f>
        <v>0</v>
      </c>
      <c r="C171" s="4" t="b">
        <f>LEN(data!C171)&gt;0</f>
        <v>0</v>
      </c>
      <c r="D171" s="4" t="b">
        <f>LEN(data!C171)&lt;=70</f>
        <v>1</v>
      </c>
      <c r="E171" s="4" t="b">
        <f>LEN(data!D171)&gt;0</f>
        <v>0</v>
      </c>
      <c r="F171" s="4" t="b">
        <f>LEN(data!D171)&lt;=140</f>
        <v>1</v>
      </c>
      <c r="G171" s="4" t="b">
        <f>LEN(data!E171)&gt;0</f>
        <v>0</v>
      </c>
      <c r="H171" s="4" t="b">
        <f>LEN(data!E171)&lt;=35</f>
        <v>1</v>
      </c>
      <c r="I171" s="4" t="b">
        <f>LEN(data!F171)=2</f>
        <v>0</v>
      </c>
      <c r="J171" s="4" t="b">
        <f>LEN(data!G171)&gt;0</f>
        <v>0</v>
      </c>
      <c r="K171" s="4" t="b">
        <f>LEN(data!G171)&lt;=60</f>
        <v>1</v>
      </c>
      <c r="L171" s="4" t="b">
        <f>LEN(data!I171)&gt;0</f>
        <v>0</v>
      </c>
      <c r="M171" s="4" t="b">
        <f>LEN(data!I171)&lt;=70</f>
        <v>1</v>
      </c>
      <c r="N171" s="4" t="b">
        <f>LEN(data!J171)&gt;0</f>
        <v>0</v>
      </c>
      <c r="O171" s="4" t="b">
        <f>LEN(data!J171)&lt;=140</f>
        <v>1</v>
      </c>
      <c r="P171" s="4" t="b">
        <f>LEN(data!K171)&gt;0</f>
        <v>0</v>
      </c>
      <c r="Q171" s="4" t="b">
        <f>LEN(data!K171)&lt;=35</f>
        <v>1</v>
      </c>
      <c r="R171" s="4" t="b">
        <f>LEN(data!L171)=2</f>
        <v>0</v>
      </c>
      <c r="S171" s="4" t="b">
        <f>LEN(data!M171)&gt;0</f>
        <v>0</v>
      </c>
      <c r="T171" s="4" t="b">
        <f>LEN(data!M171)&lt;=60</f>
        <v>1</v>
      </c>
      <c r="U171" s="4" t="b">
        <f>LEN(data!O171)&gt;0</f>
        <v>0</v>
      </c>
      <c r="V171" s="4" t="b">
        <f>LEN(data!O171)&lt;=70</f>
        <v>1</v>
      </c>
      <c r="W171" s="4" t="b">
        <f>LEN(data!P171)&gt;0</f>
        <v>0</v>
      </c>
      <c r="X171" s="4" t="b">
        <f>LEN(data!P171)&lt;=140</f>
        <v>1</v>
      </c>
      <c r="Y171" s="4" t="b">
        <f>LEN(data!Q171)&gt;0</f>
        <v>0</v>
      </c>
      <c r="Z171" s="4" t="b">
        <f>LEN(data!Q171)&lt;=35</f>
        <v>1</v>
      </c>
      <c r="AA171" s="4" t="b">
        <f>LEN(data!R171)=2</f>
        <v>0</v>
      </c>
      <c r="AB171" s="4" t="b">
        <f>LEN(data!S171)&gt;0</f>
        <v>0</v>
      </c>
      <c r="AC171" s="4" t="b">
        <f>LEN(data!S171)&lt;=120</f>
        <v>1</v>
      </c>
      <c r="AD171" s="4" t="b">
        <f>LEN(data!U171)=11</f>
        <v>0</v>
      </c>
      <c r="AE171" s="4" t="b">
        <f>AND(ISERROR(MATCH(data!V171, rule_mapping!$C$2:$C$325, 0))=FALSE, LEN(data!V171) &lt;= 4)</f>
        <v>0</v>
      </c>
      <c r="AF171" s="4" t="b">
        <f>LEN(data!W171)&gt;0</f>
        <v>0</v>
      </c>
      <c r="AG171" s="4" t="b">
        <f>LEN(data!W171)&lt;=20</f>
        <v>1</v>
      </c>
      <c r="AH171" s="4" t="b">
        <f xml:space="preserve"> IFERROR(ISNUMBER(data!X171), FALSE)</f>
        <v>0</v>
      </c>
      <c r="AI171" s="4" t="b">
        <f>IF(ISERROR(MATCH(data!Y171, rule_mapping!$D$2:$D$252, 0))=FALSE,TRUE, FALSE)</f>
        <v>0</v>
      </c>
      <c r="AJ171" s="4" t="b">
        <f>IFERROR(ISNUMBER(data!Z171), FALSE)</f>
        <v>0</v>
      </c>
      <c r="AK171" s="4" t="b">
        <f>IFERROR(ISNUMBER(data!AA171), FALSE)</f>
        <v>0</v>
      </c>
      <c r="AL171" s="4" t="b">
        <f>LEN(data!AB171)&lt;=90</f>
        <v>1</v>
      </c>
      <c r="AM171" s="4" t="b">
        <f>LEN(data!AC171)&gt;0</f>
        <v>0</v>
      </c>
      <c r="AN171" s="4" t="b">
        <f>LEN(data!AC171)&lt;=2000</f>
        <v>1</v>
      </c>
      <c r="AO171" s="4" t="b">
        <f>IF(LEN(data!AD171)=0,TRUE,IF(LEN(data!AD171)=5,TRUE,FALSE))</f>
        <v>1</v>
      </c>
      <c r="AP171" s="4" t="b">
        <f>LEN(data!AE171)&gt;0</f>
        <v>0</v>
      </c>
      <c r="AQ171" s="4" t="b">
        <f>LEN(data!AE171)=5</f>
        <v>0</v>
      </c>
      <c r="AR171" s="4" t="b">
        <f>ISERROR(MATCH(data!AF171, rule_mapping!$B$2:$B$3, 0))=FALSE</f>
        <v>0</v>
      </c>
      <c r="AS171" s="4" t="b">
        <f>ISERROR(MATCH(data!AG171, rule_mapping!$A$2:$A$8, 0))=FALSE</f>
        <v>0</v>
      </c>
      <c r="AT171" s="4" t="b">
        <f>LEN(data!AH171)&lt;=4</f>
        <v>1</v>
      </c>
      <c r="AU171" s="4" t="b">
        <f>LEN(data!AI171)&lt;=10</f>
        <v>1</v>
      </c>
      <c r="AV171" s="4" t="b">
        <f>LEN(data!AJ171)&lt;=35</f>
        <v>1</v>
      </c>
      <c r="AW171" s="4" t="b">
        <f>LEN(data!AK171)&lt;=20</f>
        <v>1</v>
      </c>
      <c r="AX171"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2" spans="1:50" ht="409.5" x14ac:dyDescent="0.15">
      <c r="A172" s="4" t="b">
        <f>OR(ISBLANK(data!B172), AND(B172:AW172))</f>
        <v>1</v>
      </c>
      <c r="B172" s="4" t="b">
        <f>AND(LEFT(TRIM(data!B172), 4)="OOLU", ISNUMBER(RIGHT(TRIM(data!B172), LEN(TRIM(data!B172))-4)+0))</f>
        <v>0</v>
      </c>
      <c r="C172" s="4" t="b">
        <f>LEN(data!C172)&gt;0</f>
        <v>0</v>
      </c>
      <c r="D172" s="4" t="b">
        <f>LEN(data!C172)&lt;=70</f>
        <v>1</v>
      </c>
      <c r="E172" s="4" t="b">
        <f>LEN(data!D172)&gt;0</f>
        <v>0</v>
      </c>
      <c r="F172" s="4" t="b">
        <f>LEN(data!D172)&lt;=140</f>
        <v>1</v>
      </c>
      <c r="G172" s="4" t="b">
        <f>LEN(data!E172)&gt;0</f>
        <v>0</v>
      </c>
      <c r="H172" s="4" t="b">
        <f>LEN(data!E172)&lt;=35</f>
        <v>1</v>
      </c>
      <c r="I172" s="4" t="b">
        <f>LEN(data!F172)=2</f>
        <v>0</v>
      </c>
      <c r="J172" s="4" t="b">
        <f>LEN(data!G172)&gt;0</f>
        <v>0</v>
      </c>
      <c r="K172" s="4" t="b">
        <f>LEN(data!G172)&lt;=60</f>
        <v>1</v>
      </c>
      <c r="L172" s="4" t="b">
        <f>LEN(data!I172)&gt;0</f>
        <v>0</v>
      </c>
      <c r="M172" s="4" t="b">
        <f>LEN(data!I172)&lt;=70</f>
        <v>1</v>
      </c>
      <c r="N172" s="4" t="b">
        <f>LEN(data!J172)&gt;0</f>
        <v>0</v>
      </c>
      <c r="O172" s="4" t="b">
        <f>LEN(data!J172)&lt;=140</f>
        <v>1</v>
      </c>
      <c r="P172" s="4" t="b">
        <f>LEN(data!K172)&gt;0</f>
        <v>0</v>
      </c>
      <c r="Q172" s="4" t="b">
        <f>LEN(data!K172)&lt;=35</f>
        <v>1</v>
      </c>
      <c r="R172" s="4" t="b">
        <f>LEN(data!L172)=2</f>
        <v>0</v>
      </c>
      <c r="S172" s="4" t="b">
        <f>LEN(data!M172)&gt;0</f>
        <v>0</v>
      </c>
      <c r="T172" s="4" t="b">
        <f>LEN(data!M172)&lt;=60</f>
        <v>1</v>
      </c>
      <c r="U172" s="4" t="b">
        <f>LEN(data!O172)&gt;0</f>
        <v>0</v>
      </c>
      <c r="V172" s="4" t="b">
        <f>LEN(data!O172)&lt;=70</f>
        <v>1</v>
      </c>
      <c r="W172" s="4" t="b">
        <f>LEN(data!P172)&gt;0</f>
        <v>0</v>
      </c>
      <c r="X172" s="4" t="b">
        <f>LEN(data!P172)&lt;=140</f>
        <v>1</v>
      </c>
      <c r="Y172" s="4" t="b">
        <f>LEN(data!Q172)&gt;0</f>
        <v>0</v>
      </c>
      <c r="Z172" s="4" t="b">
        <f>LEN(data!Q172)&lt;=35</f>
        <v>1</v>
      </c>
      <c r="AA172" s="4" t="b">
        <f>LEN(data!R172)=2</f>
        <v>0</v>
      </c>
      <c r="AB172" s="4" t="b">
        <f>LEN(data!S172)&gt;0</f>
        <v>0</v>
      </c>
      <c r="AC172" s="4" t="b">
        <f>LEN(data!S172)&lt;=120</f>
        <v>1</v>
      </c>
      <c r="AD172" s="4" t="b">
        <f>LEN(data!U172)=11</f>
        <v>0</v>
      </c>
      <c r="AE172" s="4" t="b">
        <f>AND(ISERROR(MATCH(data!V172, rule_mapping!$C$2:$C$325, 0))=FALSE, LEN(data!V172) &lt;= 4)</f>
        <v>0</v>
      </c>
      <c r="AF172" s="4" t="b">
        <f>LEN(data!W172)&gt;0</f>
        <v>0</v>
      </c>
      <c r="AG172" s="4" t="b">
        <f>LEN(data!W172)&lt;=20</f>
        <v>1</v>
      </c>
      <c r="AH172" s="4" t="b">
        <f xml:space="preserve"> IFERROR(ISNUMBER(data!X172), FALSE)</f>
        <v>0</v>
      </c>
      <c r="AI172" s="4" t="b">
        <f>IF(ISERROR(MATCH(data!Y172, rule_mapping!$D$2:$D$252, 0))=FALSE,TRUE, FALSE)</f>
        <v>0</v>
      </c>
      <c r="AJ172" s="4" t="b">
        <f>IFERROR(ISNUMBER(data!Z172), FALSE)</f>
        <v>0</v>
      </c>
      <c r="AK172" s="4" t="b">
        <f>IFERROR(ISNUMBER(data!AA172), FALSE)</f>
        <v>0</v>
      </c>
      <c r="AL172" s="4" t="b">
        <f>LEN(data!AB172)&lt;=90</f>
        <v>1</v>
      </c>
      <c r="AM172" s="4" t="b">
        <f>LEN(data!AC172)&gt;0</f>
        <v>0</v>
      </c>
      <c r="AN172" s="4" t="b">
        <f>LEN(data!AC172)&lt;=2000</f>
        <v>1</v>
      </c>
      <c r="AO172" s="4" t="b">
        <f>IF(LEN(data!AD172)=0,TRUE,IF(LEN(data!AD172)=5,TRUE,FALSE))</f>
        <v>1</v>
      </c>
      <c r="AP172" s="4" t="b">
        <f>LEN(data!AE172)&gt;0</f>
        <v>0</v>
      </c>
      <c r="AQ172" s="4" t="b">
        <f>LEN(data!AE172)=5</f>
        <v>0</v>
      </c>
      <c r="AR172" s="4" t="b">
        <f>ISERROR(MATCH(data!AF172, rule_mapping!$B$2:$B$3, 0))=FALSE</f>
        <v>0</v>
      </c>
      <c r="AS172" s="4" t="b">
        <f>ISERROR(MATCH(data!AG172, rule_mapping!$A$2:$A$8, 0))=FALSE</f>
        <v>0</v>
      </c>
      <c r="AT172" s="4" t="b">
        <f>LEN(data!AH172)&lt;=4</f>
        <v>1</v>
      </c>
      <c r="AU172" s="4" t="b">
        <f>LEN(data!AI172)&lt;=10</f>
        <v>1</v>
      </c>
      <c r="AV172" s="4" t="b">
        <f>LEN(data!AJ172)&lt;=35</f>
        <v>1</v>
      </c>
      <c r="AW172" s="4" t="b">
        <f>LEN(data!AK172)&lt;=20</f>
        <v>1</v>
      </c>
      <c r="AX172"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3" spans="1:50" ht="409.5" x14ac:dyDescent="0.15">
      <c r="A173" s="4" t="b">
        <f>OR(ISBLANK(data!B173), AND(B173:AW173))</f>
        <v>1</v>
      </c>
      <c r="B173" s="4" t="b">
        <f>AND(LEFT(TRIM(data!B173), 4)="OOLU", ISNUMBER(RIGHT(TRIM(data!B173), LEN(TRIM(data!B173))-4)+0))</f>
        <v>0</v>
      </c>
      <c r="C173" s="4" t="b">
        <f>LEN(data!C173)&gt;0</f>
        <v>0</v>
      </c>
      <c r="D173" s="4" t="b">
        <f>LEN(data!C173)&lt;=70</f>
        <v>1</v>
      </c>
      <c r="E173" s="4" t="b">
        <f>LEN(data!D173)&gt;0</f>
        <v>0</v>
      </c>
      <c r="F173" s="4" t="b">
        <f>LEN(data!D173)&lt;=140</f>
        <v>1</v>
      </c>
      <c r="G173" s="4" t="b">
        <f>LEN(data!E173)&gt;0</f>
        <v>0</v>
      </c>
      <c r="H173" s="4" t="b">
        <f>LEN(data!E173)&lt;=35</f>
        <v>1</v>
      </c>
      <c r="I173" s="4" t="b">
        <f>LEN(data!F173)=2</f>
        <v>0</v>
      </c>
      <c r="J173" s="4" t="b">
        <f>LEN(data!G173)&gt;0</f>
        <v>0</v>
      </c>
      <c r="K173" s="4" t="b">
        <f>LEN(data!G173)&lt;=60</f>
        <v>1</v>
      </c>
      <c r="L173" s="4" t="b">
        <f>LEN(data!I173)&gt;0</f>
        <v>0</v>
      </c>
      <c r="M173" s="4" t="b">
        <f>LEN(data!I173)&lt;=70</f>
        <v>1</v>
      </c>
      <c r="N173" s="4" t="b">
        <f>LEN(data!J173)&gt;0</f>
        <v>0</v>
      </c>
      <c r="O173" s="4" t="b">
        <f>LEN(data!J173)&lt;=140</f>
        <v>1</v>
      </c>
      <c r="P173" s="4" t="b">
        <f>LEN(data!K173)&gt;0</f>
        <v>0</v>
      </c>
      <c r="Q173" s="4" t="b">
        <f>LEN(data!K173)&lt;=35</f>
        <v>1</v>
      </c>
      <c r="R173" s="4" t="b">
        <f>LEN(data!L173)=2</f>
        <v>0</v>
      </c>
      <c r="S173" s="4" t="b">
        <f>LEN(data!M173)&gt;0</f>
        <v>0</v>
      </c>
      <c r="T173" s="4" t="b">
        <f>LEN(data!M173)&lt;=60</f>
        <v>1</v>
      </c>
      <c r="U173" s="4" t="b">
        <f>LEN(data!O173)&gt;0</f>
        <v>0</v>
      </c>
      <c r="V173" s="4" t="b">
        <f>LEN(data!O173)&lt;=70</f>
        <v>1</v>
      </c>
      <c r="W173" s="4" t="b">
        <f>LEN(data!P173)&gt;0</f>
        <v>0</v>
      </c>
      <c r="X173" s="4" t="b">
        <f>LEN(data!P173)&lt;=140</f>
        <v>1</v>
      </c>
      <c r="Y173" s="4" t="b">
        <f>LEN(data!Q173)&gt;0</f>
        <v>0</v>
      </c>
      <c r="Z173" s="4" t="b">
        <f>LEN(data!Q173)&lt;=35</f>
        <v>1</v>
      </c>
      <c r="AA173" s="4" t="b">
        <f>LEN(data!R173)=2</f>
        <v>0</v>
      </c>
      <c r="AB173" s="4" t="b">
        <f>LEN(data!S173)&gt;0</f>
        <v>0</v>
      </c>
      <c r="AC173" s="4" t="b">
        <f>LEN(data!S173)&lt;=120</f>
        <v>1</v>
      </c>
      <c r="AD173" s="4" t="b">
        <f>LEN(data!U173)=11</f>
        <v>0</v>
      </c>
      <c r="AE173" s="4" t="b">
        <f>AND(ISERROR(MATCH(data!V173, rule_mapping!$C$2:$C$325, 0))=FALSE, LEN(data!V173) &lt;= 4)</f>
        <v>0</v>
      </c>
      <c r="AF173" s="4" t="b">
        <f>LEN(data!W173)&gt;0</f>
        <v>0</v>
      </c>
      <c r="AG173" s="4" t="b">
        <f>LEN(data!W173)&lt;=20</f>
        <v>1</v>
      </c>
      <c r="AH173" s="4" t="b">
        <f xml:space="preserve"> IFERROR(ISNUMBER(data!X173), FALSE)</f>
        <v>0</v>
      </c>
      <c r="AI173" s="4" t="b">
        <f>IF(ISERROR(MATCH(data!Y173, rule_mapping!$D$2:$D$252, 0))=FALSE,TRUE, FALSE)</f>
        <v>0</v>
      </c>
      <c r="AJ173" s="4" t="b">
        <f>IFERROR(ISNUMBER(data!Z173), FALSE)</f>
        <v>0</v>
      </c>
      <c r="AK173" s="4" t="b">
        <f>IFERROR(ISNUMBER(data!AA173), FALSE)</f>
        <v>0</v>
      </c>
      <c r="AL173" s="4" t="b">
        <f>LEN(data!AB173)&lt;=90</f>
        <v>1</v>
      </c>
      <c r="AM173" s="4" t="b">
        <f>LEN(data!AC173)&gt;0</f>
        <v>0</v>
      </c>
      <c r="AN173" s="4" t="b">
        <f>LEN(data!AC173)&lt;=2000</f>
        <v>1</v>
      </c>
      <c r="AO173" s="4" t="b">
        <f>IF(LEN(data!AD173)=0,TRUE,IF(LEN(data!AD173)=5,TRUE,FALSE))</f>
        <v>1</v>
      </c>
      <c r="AP173" s="4" t="b">
        <f>LEN(data!AE173)&gt;0</f>
        <v>0</v>
      </c>
      <c r="AQ173" s="4" t="b">
        <f>LEN(data!AE173)=5</f>
        <v>0</v>
      </c>
      <c r="AR173" s="4" t="b">
        <f>ISERROR(MATCH(data!AF173, rule_mapping!$B$2:$B$3, 0))=FALSE</f>
        <v>0</v>
      </c>
      <c r="AS173" s="4" t="b">
        <f>ISERROR(MATCH(data!AG173, rule_mapping!$A$2:$A$8, 0))=FALSE</f>
        <v>0</v>
      </c>
      <c r="AT173" s="4" t="b">
        <f>LEN(data!AH173)&lt;=4</f>
        <v>1</v>
      </c>
      <c r="AU173" s="4" t="b">
        <f>LEN(data!AI173)&lt;=10</f>
        <v>1</v>
      </c>
      <c r="AV173" s="4" t="b">
        <f>LEN(data!AJ173)&lt;=35</f>
        <v>1</v>
      </c>
      <c r="AW173" s="4" t="b">
        <f>LEN(data!AK173)&lt;=20</f>
        <v>1</v>
      </c>
      <c r="AX173"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4" spans="1:50" ht="409.5" x14ac:dyDescent="0.15">
      <c r="A174" s="4" t="b">
        <f>OR(ISBLANK(data!B174), AND(B174:AW174))</f>
        <v>1</v>
      </c>
      <c r="B174" s="4" t="b">
        <f>AND(LEFT(TRIM(data!B174), 4)="OOLU", ISNUMBER(RIGHT(TRIM(data!B174), LEN(TRIM(data!B174))-4)+0))</f>
        <v>0</v>
      </c>
      <c r="C174" s="4" t="b">
        <f>LEN(data!C174)&gt;0</f>
        <v>0</v>
      </c>
      <c r="D174" s="4" t="b">
        <f>LEN(data!C174)&lt;=70</f>
        <v>1</v>
      </c>
      <c r="E174" s="4" t="b">
        <f>LEN(data!D174)&gt;0</f>
        <v>0</v>
      </c>
      <c r="F174" s="4" t="b">
        <f>LEN(data!D174)&lt;=140</f>
        <v>1</v>
      </c>
      <c r="G174" s="4" t="b">
        <f>LEN(data!E174)&gt;0</f>
        <v>0</v>
      </c>
      <c r="H174" s="4" t="b">
        <f>LEN(data!E174)&lt;=35</f>
        <v>1</v>
      </c>
      <c r="I174" s="4" t="b">
        <f>LEN(data!F174)=2</f>
        <v>0</v>
      </c>
      <c r="J174" s="4" t="b">
        <f>LEN(data!G174)&gt;0</f>
        <v>0</v>
      </c>
      <c r="K174" s="4" t="b">
        <f>LEN(data!G174)&lt;=60</f>
        <v>1</v>
      </c>
      <c r="L174" s="4" t="b">
        <f>LEN(data!I174)&gt;0</f>
        <v>0</v>
      </c>
      <c r="M174" s="4" t="b">
        <f>LEN(data!I174)&lt;=70</f>
        <v>1</v>
      </c>
      <c r="N174" s="4" t="b">
        <f>LEN(data!J174)&gt;0</f>
        <v>0</v>
      </c>
      <c r="O174" s="4" t="b">
        <f>LEN(data!J174)&lt;=140</f>
        <v>1</v>
      </c>
      <c r="P174" s="4" t="b">
        <f>LEN(data!K174)&gt;0</f>
        <v>0</v>
      </c>
      <c r="Q174" s="4" t="b">
        <f>LEN(data!K174)&lt;=35</f>
        <v>1</v>
      </c>
      <c r="R174" s="4" t="b">
        <f>LEN(data!L174)=2</f>
        <v>0</v>
      </c>
      <c r="S174" s="4" t="b">
        <f>LEN(data!M174)&gt;0</f>
        <v>0</v>
      </c>
      <c r="T174" s="4" t="b">
        <f>LEN(data!M174)&lt;=60</f>
        <v>1</v>
      </c>
      <c r="U174" s="4" t="b">
        <f>LEN(data!O174)&gt;0</f>
        <v>0</v>
      </c>
      <c r="V174" s="4" t="b">
        <f>LEN(data!O174)&lt;=70</f>
        <v>1</v>
      </c>
      <c r="W174" s="4" t="b">
        <f>LEN(data!P174)&gt;0</f>
        <v>0</v>
      </c>
      <c r="X174" s="4" t="b">
        <f>LEN(data!P174)&lt;=140</f>
        <v>1</v>
      </c>
      <c r="Y174" s="4" t="b">
        <f>LEN(data!Q174)&gt;0</f>
        <v>0</v>
      </c>
      <c r="Z174" s="4" t="b">
        <f>LEN(data!Q174)&lt;=35</f>
        <v>1</v>
      </c>
      <c r="AA174" s="4" t="b">
        <f>LEN(data!R174)=2</f>
        <v>0</v>
      </c>
      <c r="AB174" s="4" t="b">
        <f>LEN(data!S174)&gt;0</f>
        <v>0</v>
      </c>
      <c r="AC174" s="4" t="b">
        <f>LEN(data!S174)&lt;=120</f>
        <v>1</v>
      </c>
      <c r="AD174" s="4" t="b">
        <f>LEN(data!U174)=11</f>
        <v>0</v>
      </c>
      <c r="AE174" s="4" t="b">
        <f>AND(ISERROR(MATCH(data!V174, rule_mapping!$C$2:$C$325, 0))=FALSE, LEN(data!V174) &lt;= 4)</f>
        <v>0</v>
      </c>
      <c r="AF174" s="4" t="b">
        <f>LEN(data!W174)&gt;0</f>
        <v>0</v>
      </c>
      <c r="AG174" s="4" t="b">
        <f>LEN(data!W174)&lt;=20</f>
        <v>1</v>
      </c>
      <c r="AH174" s="4" t="b">
        <f xml:space="preserve"> IFERROR(ISNUMBER(data!X174), FALSE)</f>
        <v>0</v>
      </c>
      <c r="AI174" s="4" t="b">
        <f>IF(ISERROR(MATCH(data!Y174, rule_mapping!$D$2:$D$252, 0))=FALSE,TRUE, FALSE)</f>
        <v>0</v>
      </c>
      <c r="AJ174" s="4" t="b">
        <f>IFERROR(ISNUMBER(data!Z174), FALSE)</f>
        <v>0</v>
      </c>
      <c r="AK174" s="4" t="b">
        <f>IFERROR(ISNUMBER(data!AA174), FALSE)</f>
        <v>0</v>
      </c>
      <c r="AL174" s="4" t="b">
        <f>LEN(data!AB174)&lt;=90</f>
        <v>1</v>
      </c>
      <c r="AM174" s="4" t="b">
        <f>LEN(data!AC174)&gt;0</f>
        <v>0</v>
      </c>
      <c r="AN174" s="4" t="b">
        <f>LEN(data!AC174)&lt;=2000</f>
        <v>1</v>
      </c>
      <c r="AO174" s="4" t="b">
        <f>IF(LEN(data!AD174)=0,TRUE,IF(LEN(data!AD174)=5,TRUE,FALSE))</f>
        <v>1</v>
      </c>
      <c r="AP174" s="4" t="b">
        <f>LEN(data!AE174)&gt;0</f>
        <v>0</v>
      </c>
      <c r="AQ174" s="4" t="b">
        <f>LEN(data!AE174)=5</f>
        <v>0</v>
      </c>
      <c r="AR174" s="4" t="b">
        <f>ISERROR(MATCH(data!AF174, rule_mapping!$B$2:$B$3, 0))=FALSE</f>
        <v>0</v>
      </c>
      <c r="AS174" s="4" t="b">
        <f>ISERROR(MATCH(data!AG174, rule_mapping!$A$2:$A$8, 0))=FALSE</f>
        <v>0</v>
      </c>
      <c r="AT174" s="4" t="b">
        <f>LEN(data!AH174)&lt;=4</f>
        <v>1</v>
      </c>
      <c r="AU174" s="4" t="b">
        <f>LEN(data!AI174)&lt;=10</f>
        <v>1</v>
      </c>
      <c r="AV174" s="4" t="b">
        <f>LEN(data!AJ174)&lt;=35</f>
        <v>1</v>
      </c>
      <c r="AW174" s="4" t="b">
        <f>LEN(data!AK174)&lt;=20</f>
        <v>1</v>
      </c>
      <c r="AX174"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5" spans="1:50" ht="409.5" x14ac:dyDescent="0.15">
      <c r="A175" s="4" t="b">
        <f>OR(ISBLANK(data!B175), AND(B175:AW175))</f>
        <v>1</v>
      </c>
      <c r="B175" s="4" t="b">
        <f>AND(LEFT(TRIM(data!B175), 4)="OOLU", ISNUMBER(RIGHT(TRIM(data!B175), LEN(TRIM(data!B175))-4)+0))</f>
        <v>0</v>
      </c>
      <c r="C175" s="4" t="b">
        <f>LEN(data!C175)&gt;0</f>
        <v>0</v>
      </c>
      <c r="D175" s="4" t="b">
        <f>LEN(data!C175)&lt;=70</f>
        <v>1</v>
      </c>
      <c r="E175" s="4" t="b">
        <f>LEN(data!D175)&gt;0</f>
        <v>0</v>
      </c>
      <c r="F175" s="4" t="b">
        <f>LEN(data!D175)&lt;=140</f>
        <v>1</v>
      </c>
      <c r="G175" s="4" t="b">
        <f>LEN(data!E175)&gt;0</f>
        <v>0</v>
      </c>
      <c r="H175" s="4" t="b">
        <f>LEN(data!E175)&lt;=35</f>
        <v>1</v>
      </c>
      <c r="I175" s="4" t="b">
        <f>LEN(data!F175)=2</f>
        <v>0</v>
      </c>
      <c r="J175" s="4" t="b">
        <f>LEN(data!G175)&gt;0</f>
        <v>0</v>
      </c>
      <c r="K175" s="4" t="b">
        <f>LEN(data!G175)&lt;=60</f>
        <v>1</v>
      </c>
      <c r="L175" s="4" t="b">
        <f>LEN(data!I175)&gt;0</f>
        <v>0</v>
      </c>
      <c r="M175" s="4" t="b">
        <f>LEN(data!I175)&lt;=70</f>
        <v>1</v>
      </c>
      <c r="N175" s="4" t="b">
        <f>LEN(data!J175)&gt;0</f>
        <v>0</v>
      </c>
      <c r="O175" s="4" t="b">
        <f>LEN(data!J175)&lt;=140</f>
        <v>1</v>
      </c>
      <c r="P175" s="4" t="b">
        <f>LEN(data!K175)&gt;0</f>
        <v>0</v>
      </c>
      <c r="Q175" s="4" t="b">
        <f>LEN(data!K175)&lt;=35</f>
        <v>1</v>
      </c>
      <c r="R175" s="4" t="b">
        <f>LEN(data!L175)=2</f>
        <v>0</v>
      </c>
      <c r="S175" s="4" t="b">
        <f>LEN(data!M175)&gt;0</f>
        <v>0</v>
      </c>
      <c r="T175" s="4" t="b">
        <f>LEN(data!M175)&lt;=60</f>
        <v>1</v>
      </c>
      <c r="U175" s="4" t="b">
        <f>LEN(data!O175)&gt;0</f>
        <v>0</v>
      </c>
      <c r="V175" s="4" t="b">
        <f>LEN(data!O175)&lt;=70</f>
        <v>1</v>
      </c>
      <c r="W175" s="4" t="b">
        <f>LEN(data!P175)&gt;0</f>
        <v>0</v>
      </c>
      <c r="X175" s="4" t="b">
        <f>LEN(data!P175)&lt;=140</f>
        <v>1</v>
      </c>
      <c r="Y175" s="4" t="b">
        <f>LEN(data!Q175)&gt;0</f>
        <v>0</v>
      </c>
      <c r="Z175" s="4" t="b">
        <f>LEN(data!Q175)&lt;=35</f>
        <v>1</v>
      </c>
      <c r="AA175" s="4" t="b">
        <f>LEN(data!R175)=2</f>
        <v>0</v>
      </c>
      <c r="AB175" s="4" t="b">
        <f>LEN(data!S175)&gt;0</f>
        <v>0</v>
      </c>
      <c r="AC175" s="4" t="b">
        <f>LEN(data!S175)&lt;=120</f>
        <v>1</v>
      </c>
      <c r="AD175" s="4" t="b">
        <f>LEN(data!U175)=11</f>
        <v>0</v>
      </c>
      <c r="AE175" s="4" t="b">
        <f>AND(ISERROR(MATCH(data!V175, rule_mapping!$C$2:$C$325, 0))=FALSE, LEN(data!V175) &lt;= 4)</f>
        <v>0</v>
      </c>
      <c r="AF175" s="4" t="b">
        <f>LEN(data!W175)&gt;0</f>
        <v>0</v>
      </c>
      <c r="AG175" s="4" t="b">
        <f>LEN(data!W175)&lt;=20</f>
        <v>1</v>
      </c>
      <c r="AH175" s="4" t="b">
        <f xml:space="preserve"> IFERROR(ISNUMBER(data!X175), FALSE)</f>
        <v>0</v>
      </c>
      <c r="AI175" s="4" t="b">
        <f>IF(ISERROR(MATCH(data!Y175, rule_mapping!$D$2:$D$252, 0))=FALSE,TRUE, FALSE)</f>
        <v>0</v>
      </c>
      <c r="AJ175" s="4" t="b">
        <f>IFERROR(ISNUMBER(data!Z175), FALSE)</f>
        <v>0</v>
      </c>
      <c r="AK175" s="4" t="b">
        <f>IFERROR(ISNUMBER(data!AA175), FALSE)</f>
        <v>0</v>
      </c>
      <c r="AL175" s="4" t="b">
        <f>LEN(data!AB175)&lt;=90</f>
        <v>1</v>
      </c>
      <c r="AM175" s="4" t="b">
        <f>LEN(data!AC175)&gt;0</f>
        <v>0</v>
      </c>
      <c r="AN175" s="4" t="b">
        <f>LEN(data!AC175)&lt;=2000</f>
        <v>1</v>
      </c>
      <c r="AO175" s="4" t="b">
        <f>IF(LEN(data!AD175)=0,TRUE,IF(LEN(data!AD175)=5,TRUE,FALSE))</f>
        <v>1</v>
      </c>
      <c r="AP175" s="4" t="b">
        <f>LEN(data!AE175)&gt;0</f>
        <v>0</v>
      </c>
      <c r="AQ175" s="4" t="b">
        <f>LEN(data!AE175)=5</f>
        <v>0</v>
      </c>
      <c r="AR175" s="4" t="b">
        <f>ISERROR(MATCH(data!AF175, rule_mapping!$B$2:$B$3, 0))=FALSE</f>
        <v>0</v>
      </c>
      <c r="AS175" s="4" t="b">
        <f>ISERROR(MATCH(data!AG175, rule_mapping!$A$2:$A$8, 0))=FALSE</f>
        <v>0</v>
      </c>
      <c r="AT175" s="4" t="b">
        <f>LEN(data!AH175)&lt;=4</f>
        <v>1</v>
      </c>
      <c r="AU175" s="4" t="b">
        <f>LEN(data!AI175)&lt;=10</f>
        <v>1</v>
      </c>
      <c r="AV175" s="4" t="b">
        <f>LEN(data!AJ175)&lt;=35</f>
        <v>1</v>
      </c>
      <c r="AW175" s="4" t="b">
        <f>LEN(data!AK175)&lt;=20</f>
        <v>1</v>
      </c>
      <c r="AX175"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6" spans="1:50" ht="409.5" x14ac:dyDescent="0.15">
      <c r="A176" s="4" t="b">
        <f>OR(ISBLANK(data!B176), AND(B176:AW176))</f>
        <v>1</v>
      </c>
      <c r="B176" s="4" t="b">
        <f>AND(LEFT(TRIM(data!B176), 4)="OOLU", ISNUMBER(RIGHT(TRIM(data!B176), LEN(TRIM(data!B176))-4)+0))</f>
        <v>0</v>
      </c>
      <c r="C176" s="4" t="b">
        <f>LEN(data!C176)&gt;0</f>
        <v>0</v>
      </c>
      <c r="D176" s="4" t="b">
        <f>LEN(data!C176)&lt;=70</f>
        <v>1</v>
      </c>
      <c r="E176" s="4" t="b">
        <f>LEN(data!D176)&gt;0</f>
        <v>0</v>
      </c>
      <c r="F176" s="4" t="b">
        <f>LEN(data!D176)&lt;=140</f>
        <v>1</v>
      </c>
      <c r="G176" s="4" t="b">
        <f>LEN(data!E176)&gt;0</f>
        <v>0</v>
      </c>
      <c r="H176" s="4" t="b">
        <f>LEN(data!E176)&lt;=35</f>
        <v>1</v>
      </c>
      <c r="I176" s="4" t="b">
        <f>LEN(data!F176)=2</f>
        <v>0</v>
      </c>
      <c r="J176" s="4" t="b">
        <f>LEN(data!G176)&gt;0</f>
        <v>0</v>
      </c>
      <c r="K176" s="4" t="b">
        <f>LEN(data!G176)&lt;=60</f>
        <v>1</v>
      </c>
      <c r="L176" s="4" t="b">
        <f>LEN(data!I176)&gt;0</f>
        <v>0</v>
      </c>
      <c r="M176" s="4" t="b">
        <f>LEN(data!I176)&lt;=70</f>
        <v>1</v>
      </c>
      <c r="N176" s="4" t="b">
        <f>LEN(data!J176)&gt;0</f>
        <v>0</v>
      </c>
      <c r="O176" s="4" t="b">
        <f>LEN(data!J176)&lt;=140</f>
        <v>1</v>
      </c>
      <c r="P176" s="4" t="b">
        <f>LEN(data!K176)&gt;0</f>
        <v>0</v>
      </c>
      <c r="Q176" s="4" t="b">
        <f>LEN(data!K176)&lt;=35</f>
        <v>1</v>
      </c>
      <c r="R176" s="4" t="b">
        <f>LEN(data!L176)=2</f>
        <v>0</v>
      </c>
      <c r="S176" s="4" t="b">
        <f>LEN(data!M176)&gt;0</f>
        <v>0</v>
      </c>
      <c r="T176" s="4" t="b">
        <f>LEN(data!M176)&lt;=60</f>
        <v>1</v>
      </c>
      <c r="U176" s="4" t="b">
        <f>LEN(data!O176)&gt;0</f>
        <v>0</v>
      </c>
      <c r="V176" s="4" t="b">
        <f>LEN(data!O176)&lt;=70</f>
        <v>1</v>
      </c>
      <c r="W176" s="4" t="b">
        <f>LEN(data!P176)&gt;0</f>
        <v>0</v>
      </c>
      <c r="X176" s="4" t="b">
        <f>LEN(data!P176)&lt;=140</f>
        <v>1</v>
      </c>
      <c r="Y176" s="4" t="b">
        <f>LEN(data!Q176)&gt;0</f>
        <v>0</v>
      </c>
      <c r="Z176" s="4" t="b">
        <f>LEN(data!Q176)&lt;=35</f>
        <v>1</v>
      </c>
      <c r="AA176" s="4" t="b">
        <f>LEN(data!R176)=2</f>
        <v>0</v>
      </c>
      <c r="AB176" s="4" t="b">
        <f>LEN(data!S176)&gt;0</f>
        <v>0</v>
      </c>
      <c r="AC176" s="4" t="b">
        <f>LEN(data!S176)&lt;=120</f>
        <v>1</v>
      </c>
      <c r="AD176" s="4" t="b">
        <f>LEN(data!U176)=11</f>
        <v>0</v>
      </c>
      <c r="AE176" s="4" t="b">
        <f>AND(ISERROR(MATCH(data!V176, rule_mapping!$C$2:$C$325, 0))=FALSE, LEN(data!V176) &lt;= 4)</f>
        <v>0</v>
      </c>
      <c r="AF176" s="4" t="b">
        <f>LEN(data!W176)&gt;0</f>
        <v>0</v>
      </c>
      <c r="AG176" s="4" t="b">
        <f>LEN(data!W176)&lt;=20</f>
        <v>1</v>
      </c>
      <c r="AH176" s="4" t="b">
        <f xml:space="preserve"> IFERROR(ISNUMBER(data!X176), FALSE)</f>
        <v>0</v>
      </c>
      <c r="AI176" s="4" t="b">
        <f>IF(ISERROR(MATCH(data!Y176, rule_mapping!$D$2:$D$252, 0))=FALSE,TRUE, FALSE)</f>
        <v>0</v>
      </c>
      <c r="AJ176" s="4" t="b">
        <f>IFERROR(ISNUMBER(data!Z176), FALSE)</f>
        <v>0</v>
      </c>
      <c r="AK176" s="4" t="b">
        <f>IFERROR(ISNUMBER(data!AA176), FALSE)</f>
        <v>0</v>
      </c>
      <c r="AL176" s="4" t="b">
        <f>LEN(data!AB176)&lt;=90</f>
        <v>1</v>
      </c>
      <c r="AM176" s="4" t="b">
        <f>LEN(data!AC176)&gt;0</f>
        <v>0</v>
      </c>
      <c r="AN176" s="4" t="b">
        <f>LEN(data!AC176)&lt;=2000</f>
        <v>1</v>
      </c>
      <c r="AO176" s="4" t="b">
        <f>IF(LEN(data!AD176)=0,TRUE,IF(LEN(data!AD176)=5,TRUE,FALSE))</f>
        <v>1</v>
      </c>
      <c r="AP176" s="4" t="b">
        <f>LEN(data!AE176)&gt;0</f>
        <v>0</v>
      </c>
      <c r="AQ176" s="4" t="b">
        <f>LEN(data!AE176)=5</f>
        <v>0</v>
      </c>
      <c r="AR176" s="4" t="b">
        <f>ISERROR(MATCH(data!AF176, rule_mapping!$B$2:$B$3, 0))=FALSE</f>
        <v>0</v>
      </c>
      <c r="AS176" s="4" t="b">
        <f>ISERROR(MATCH(data!AG176, rule_mapping!$A$2:$A$8, 0))=FALSE</f>
        <v>0</v>
      </c>
      <c r="AT176" s="4" t="b">
        <f>LEN(data!AH176)&lt;=4</f>
        <v>1</v>
      </c>
      <c r="AU176" s="4" t="b">
        <f>LEN(data!AI176)&lt;=10</f>
        <v>1</v>
      </c>
      <c r="AV176" s="4" t="b">
        <f>LEN(data!AJ176)&lt;=35</f>
        <v>1</v>
      </c>
      <c r="AW176" s="4" t="b">
        <f>LEN(data!AK176)&lt;=20</f>
        <v>1</v>
      </c>
      <c r="AX176"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7" spans="1:50" ht="409.5" x14ac:dyDescent="0.15">
      <c r="A177" s="4" t="b">
        <f>OR(ISBLANK(data!B177), AND(B177:AW177))</f>
        <v>1</v>
      </c>
      <c r="B177" s="4" t="b">
        <f>AND(LEFT(TRIM(data!B177), 4)="OOLU", ISNUMBER(RIGHT(TRIM(data!B177), LEN(TRIM(data!B177))-4)+0))</f>
        <v>0</v>
      </c>
      <c r="C177" s="4" t="b">
        <f>LEN(data!C177)&gt;0</f>
        <v>0</v>
      </c>
      <c r="D177" s="4" t="b">
        <f>LEN(data!C177)&lt;=70</f>
        <v>1</v>
      </c>
      <c r="E177" s="4" t="b">
        <f>LEN(data!D177)&gt;0</f>
        <v>0</v>
      </c>
      <c r="F177" s="4" t="b">
        <f>LEN(data!D177)&lt;=140</f>
        <v>1</v>
      </c>
      <c r="G177" s="4" t="b">
        <f>LEN(data!E177)&gt;0</f>
        <v>0</v>
      </c>
      <c r="H177" s="4" t="b">
        <f>LEN(data!E177)&lt;=35</f>
        <v>1</v>
      </c>
      <c r="I177" s="4" t="b">
        <f>LEN(data!F177)=2</f>
        <v>0</v>
      </c>
      <c r="J177" s="4" t="b">
        <f>LEN(data!G177)&gt;0</f>
        <v>0</v>
      </c>
      <c r="K177" s="4" t="b">
        <f>LEN(data!G177)&lt;=60</f>
        <v>1</v>
      </c>
      <c r="L177" s="4" t="b">
        <f>LEN(data!I177)&gt;0</f>
        <v>0</v>
      </c>
      <c r="M177" s="4" t="b">
        <f>LEN(data!I177)&lt;=70</f>
        <v>1</v>
      </c>
      <c r="N177" s="4" t="b">
        <f>LEN(data!J177)&gt;0</f>
        <v>0</v>
      </c>
      <c r="O177" s="4" t="b">
        <f>LEN(data!J177)&lt;=140</f>
        <v>1</v>
      </c>
      <c r="P177" s="4" t="b">
        <f>LEN(data!K177)&gt;0</f>
        <v>0</v>
      </c>
      <c r="Q177" s="4" t="b">
        <f>LEN(data!K177)&lt;=35</f>
        <v>1</v>
      </c>
      <c r="R177" s="4" t="b">
        <f>LEN(data!L177)=2</f>
        <v>0</v>
      </c>
      <c r="S177" s="4" t="b">
        <f>LEN(data!M177)&gt;0</f>
        <v>0</v>
      </c>
      <c r="T177" s="4" t="b">
        <f>LEN(data!M177)&lt;=60</f>
        <v>1</v>
      </c>
      <c r="U177" s="4" t="b">
        <f>LEN(data!O177)&gt;0</f>
        <v>0</v>
      </c>
      <c r="V177" s="4" t="b">
        <f>LEN(data!O177)&lt;=70</f>
        <v>1</v>
      </c>
      <c r="W177" s="4" t="b">
        <f>LEN(data!P177)&gt;0</f>
        <v>0</v>
      </c>
      <c r="X177" s="4" t="b">
        <f>LEN(data!P177)&lt;=140</f>
        <v>1</v>
      </c>
      <c r="Y177" s="4" t="b">
        <f>LEN(data!Q177)&gt;0</f>
        <v>0</v>
      </c>
      <c r="Z177" s="4" t="b">
        <f>LEN(data!Q177)&lt;=35</f>
        <v>1</v>
      </c>
      <c r="AA177" s="4" t="b">
        <f>LEN(data!R177)=2</f>
        <v>0</v>
      </c>
      <c r="AB177" s="4" t="b">
        <f>LEN(data!S177)&gt;0</f>
        <v>0</v>
      </c>
      <c r="AC177" s="4" t="b">
        <f>LEN(data!S177)&lt;=120</f>
        <v>1</v>
      </c>
      <c r="AD177" s="4" t="b">
        <f>LEN(data!U177)=11</f>
        <v>0</v>
      </c>
      <c r="AE177" s="4" t="b">
        <f>AND(ISERROR(MATCH(data!V177, rule_mapping!$C$2:$C$325, 0))=FALSE, LEN(data!V177) &lt;= 4)</f>
        <v>0</v>
      </c>
      <c r="AF177" s="4" t="b">
        <f>LEN(data!W177)&gt;0</f>
        <v>0</v>
      </c>
      <c r="AG177" s="4" t="b">
        <f>LEN(data!W177)&lt;=20</f>
        <v>1</v>
      </c>
      <c r="AH177" s="4" t="b">
        <f xml:space="preserve"> IFERROR(ISNUMBER(data!X177), FALSE)</f>
        <v>0</v>
      </c>
      <c r="AI177" s="4" t="b">
        <f>IF(ISERROR(MATCH(data!Y177, rule_mapping!$D$2:$D$252, 0))=FALSE,TRUE, FALSE)</f>
        <v>0</v>
      </c>
      <c r="AJ177" s="4" t="b">
        <f>IFERROR(ISNUMBER(data!Z177), FALSE)</f>
        <v>0</v>
      </c>
      <c r="AK177" s="4" t="b">
        <f>IFERROR(ISNUMBER(data!AA177), FALSE)</f>
        <v>0</v>
      </c>
      <c r="AL177" s="4" t="b">
        <f>LEN(data!AB177)&lt;=90</f>
        <v>1</v>
      </c>
      <c r="AM177" s="4" t="b">
        <f>LEN(data!AC177)&gt;0</f>
        <v>0</v>
      </c>
      <c r="AN177" s="4" t="b">
        <f>LEN(data!AC177)&lt;=2000</f>
        <v>1</v>
      </c>
      <c r="AO177" s="4" t="b">
        <f>IF(LEN(data!AD177)=0,TRUE,IF(LEN(data!AD177)=5,TRUE,FALSE))</f>
        <v>1</v>
      </c>
      <c r="AP177" s="4" t="b">
        <f>LEN(data!AE177)&gt;0</f>
        <v>0</v>
      </c>
      <c r="AQ177" s="4" t="b">
        <f>LEN(data!AE177)=5</f>
        <v>0</v>
      </c>
      <c r="AR177" s="4" t="b">
        <f>ISERROR(MATCH(data!AF177, rule_mapping!$B$2:$B$3, 0))=FALSE</f>
        <v>0</v>
      </c>
      <c r="AS177" s="4" t="b">
        <f>ISERROR(MATCH(data!AG177, rule_mapping!$A$2:$A$8, 0))=FALSE</f>
        <v>0</v>
      </c>
      <c r="AT177" s="4" t="b">
        <f>LEN(data!AH177)&lt;=4</f>
        <v>1</v>
      </c>
      <c r="AU177" s="4" t="b">
        <f>LEN(data!AI177)&lt;=10</f>
        <v>1</v>
      </c>
      <c r="AV177" s="4" t="b">
        <f>LEN(data!AJ177)&lt;=35</f>
        <v>1</v>
      </c>
      <c r="AW177" s="4" t="b">
        <f>LEN(data!AK177)&lt;=20</f>
        <v>1</v>
      </c>
      <c r="AX177"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8" spans="1:50" ht="409.5" x14ac:dyDescent="0.15">
      <c r="A178" s="4" t="b">
        <f>OR(ISBLANK(data!B178), AND(B178:AW178))</f>
        <v>1</v>
      </c>
      <c r="B178" s="4" t="b">
        <f>AND(LEFT(TRIM(data!B178), 4)="OOLU", ISNUMBER(RIGHT(TRIM(data!B178), LEN(TRIM(data!B178))-4)+0))</f>
        <v>0</v>
      </c>
      <c r="C178" s="4" t="b">
        <f>LEN(data!C178)&gt;0</f>
        <v>0</v>
      </c>
      <c r="D178" s="4" t="b">
        <f>LEN(data!C178)&lt;=70</f>
        <v>1</v>
      </c>
      <c r="E178" s="4" t="b">
        <f>LEN(data!D178)&gt;0</f>
        <v>0</v>
      </c>
      <c r="F178" s="4" t="b">
        <f>LEN(data!D178)&lt;=140</f>
        <v>1</v>
      </c>
      <c r="G178" s="4" t="b">
        <f>LEN(data!E178)&gt;0</f>
        <v>0</v>
      </c>
      <c r="H178" s="4" t="b">
        <f>LEN(data!E178)&lt;=35</f>
        <v>1</v>
      </c>
      <c r="I178" s="4" t="b">
        <f>LEN(data!F178)=2</f>
        <v>0</v>
      </c>
      <c r="J178" s="4" t="b">
        <f>LEN(data!G178)&gt;0</f>
        <v>0</v>
      </c>
      <c r="K178" s="4" t="b">
        <f>LEN(data!G178)&lt;=60</f>
        <v>1</v>
      </c>
      <c r="L178" s="4" t="b">
        <f>LEN(data!I178)&gt;0</f>
        <v>0</v>
      </c>
      <c r="M178" s="4" t="b">
        <f>LEN(data!I178)&lt;=70</f>
        <v>1</v>
      </c>
      <c r="N178" s="4" t="b">
        <f>LEN(data!J178)&gt;0</f>
        <v>0</v>
      </c>
      <c r="O178" s="4" t="b">
        <f>LEN(data!J178)&lt;=140</f>
        <v>1</v>
      </c>
      <c r="P178" s="4" t="b">
        <f>LEN(data!K178)&gt;0</f>
        <v>0</v>
      </c>
      <c r="Q178" s="4" t="b">
        <f>LEN(data!K178)&lt;=35</f>
        <v>1</v>
      </c>
      <c r="R178" s="4" t="b">
        <f>LEN(data!L178)=2</f>
        <v>0</v>
      </c>
      <c r="S178" s="4" t="b">
        <f>LEN(data!M178)&gt;0</f>
        <v>0</v>
      </c>
      <c r="T178" s="4" t="b">
        <f>LEN(data!M178)&lt;=60</f>
        <v>1</v>
      </c>
      <c r="U178" s="4" t="b">
        <f>LEN(data!O178)&gt;0</f>
        <v>0</v>
      </c>
      <c r="V178" s="4" t="b">
        <f>LEN(data!O178)&lt;=70</f>
        <v>1</v>
      </c>
      <c r="W178" s="4" t="b">
        <f>LEN(data!P178)&gt;0</f>
        <v>0</v>
      </c>
      <c r="X178" s="4" t="b">
        <f>LEN(data!P178)&lt;=140</f>
        <v>1</v>
      </c>
      <c r="Y178" s="4" t="b">
        <f>LEN(data!Q178)&gt;0</f>
        <v>0</v>
      </c>
      <c r="Z178" s="4" t="b">
        <f>LEN(data!Q178)&lt;=35</f>
        <v>1</v>
      </c>
      <c r="AA178" s="4" t="b">
        <f>LEN(data!R178)=2</f>
        <v>0</v>
      </c>
      <c r="AB178" s="4" t="b">
        <f>LEN(data!S178)&gt;0</f>
        <v>0</v>
      </c>
      <c r="AC178" s="4" t="b">
        <f>LEN(data!S178)&lt;=120</f>
        <v>1</v>
      </c>
      <c r="AD178" s="4" t="b">
        <f>LEN(data!U178)=11</f>
        <v>0</v>
      </c>
      <c r="AE178" s="4" t="b">
        <f>AND(ISERROR(MATCH(data!V178, rule_mapping!$C$2:$C$325, 0))=FALSE, LEN(data!V178) &lt;= 4)</f>
        <v>0</v>
      </c>
      <c r="AF178" s="4" t="b">
        <f>LEN(data!W178)&gt;0</f>
        <v>0</v>
      </c>
      <c r="AG178" s="4" t="b">
        <f>LEN(data!W178)&lt;=20</f>
        <v>1</v>
      </c>
      <c r="AH178" s="4" t="b">
        <f xml:space="preserve"> IFERROR(ISNUMBER(data!X178), FALSE)</f>
        <v>0</v>
      </c>
      <c r="AI178" s="4" t="b">
        <f>IF(ISERROR(MATCH(data!Y178, rule_mapping!$D$2:$D$252, 0))=FALSE,TRUE, FALSE)</f>
        <v>0</v>
      </c>
      <c r="AJ178" s="4" t="b">
        <f>IFERROR(ISNUMBER(data!Z178), FALSE)</f>
        <v>0</v>
      </c>
      <c r="AK178" s="4" t="b">
        <f>IFERROR(ISNUMBER(data!AA178), FALSE)</f>
        <v>0</v>
      </c>
      <c r="AL178" s="4" t="b">
        <f>LEN(data!AB178)&lt;=90</f>
        <v>1</v>
      </c>
      <c r="AM178" s="4" t="b">
        <f>LEN(data!AC178)&gt;0</f>
        <v>0</v>
      </c>
      <c r="AN178" s="4" t="b">
        <f>LEN(data!AC178)&lt;=2000</f>
        <v>1</v>
      </c>
      <c r="AO178" s="4" t="b">
        <f>IF(LEN(data!AD178)=0,TRUE,IF(LEN(data!AD178)=5,TRUE,FALSE))</f>
        <v>1</v>
      </c>
      <c r="AP178" s="4" t="b">
        <f>LEN(data!AE178)&gt;0</f>
        <v>0</v>
      </c>
      <c r="AQ178" s="4" t="b">
        <f>LEN(data!AE178)=5</f>
        <v>0</v>
      </c>
      <c r="AR178" s="4" t="b">
        <f>ISERROR(MATCH(data!AF178, rule_mapping!$B$2:$B$3, 0))=FALSE</f>
        <v>0</v>
      </c>
      <c r="AS178" s="4" t="b">
        <f>ISERROR(MATCH(data!AG178, rule_mapping!$A$2:$A$8, 0))=FALSE</f>
        <v>0</v>
      </c>
      <c r="AT178" s="4" t="b">
        <f>LEN(data!AH178)&lt;=4</f>
        <v>1</v>
      </c>
      <c r="AU178" s="4" t="b">
        <f>LEN(data!AI178)&lt;=10</f>
        <v>1</v>
      </c>
      <c r="AV178" s="4" t="b">
        <f>LEN(data!AJ178)&lt;=35</f>
        <v>1</v>
      </c>
      <c r="AW178" s="4" t="b">
        <f>LEN(data!AK178)&lt;=20</f>
        <v>1</v>
      </c>
      <c r="AX178"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79" spans="1:50" ht="409.5" x14ac:dyDescent="0.15">
      <c r="A179" s="4" t="b">
        <f>OR(ISBLANK(data!B179), AND(B179:AW179))</f>
        <v>1</v>
      </c>
      <c r="B179" s="4" t="b">
        <f>AND(LEFT(TRIM(data!B179), 4)="OOLU", ISNUMBER(RIGHT(TRIM(data!B179), LEN(TRIM(data!B179))-4)+0))</f>
        <v>0</v>
      </c>
      <c r="C179" s="4" t="b">
        <f>LEN(data!C179)&gt;0</f>
        <v>0</v>
      </c>
      <c r="D179" s="4" t="b">
        <f>LEN(data!C179)&lt;=70</f>
        <v>1</v>
      </c>
      <c r="E179" s="4" t="b">
        <f>LEN(data!D179)&gt;0</f>
        <v>0</v>
      </c>
      <c r="F179" s="4" t="b">
        <f>LEN(data!D179)&lt;=140</f>
        <v>1</v>
      </c>
      <c r="G179" s="4" t="b">
        <f>LEN(data!E179)&gt;0</f>
        <v>0</v>
      </c>
      <c r="H179" s="4" t="b">
        <f>LEN(data!E179)&lt;=35</f>
        <v>1</v>
      </c>
      <c r="I179" s="4" t="b">
        <f>LEN(data!F179)=2</f>
        <v>0</v>
      </c>
      <c r="J179" s="4" t="b">
        <f>LEN(data!G179)&gt;0</f>
        <v>0</v>
      </c>
      <c r="K179" s="4" t="b">
        <f>LEN(data!G179)&lt;=60</f>
        <v>1</v>
      </c>
      <c r="L179" s="4" t="b">
        <f>LEN(data!I179)&gt;0</f>
        <v>0</v>
      </c>
      <c r="M179" s="4" t="b">
        <f>LEN(data!I179)&lt;=70</f>
        <v>1</v>
      </c>
      <c r="N179" s="4" t="b">
        <f>LEN(data!J179)&gt;0</f>
        <v>0</v>
      </c>
      <c r="O179" s="4" t="b">
        <f>LEN(data!J179)&lt;=140</f>
        <v>1</v>
      </c>
      <c r="P179" s="4" t="b">
        <f>LEN(data!K179)&gt;0</f>
        <v>0</v>
      </c>
      <c r="Q179" s="4" t="b">
        <f>LEN(data!K179)&lt;=35</f>
        <v>1</v>
      </c>
      <c r="R179" s="4" t="b">
        <f>LEN(data!L179)=2</f>
        <v>0</v>
      </c>
      <c r="S179" s="4" t="b">
        <f>LEN(data!M179)&gt;0</f>
        <v>0</v>
      </c>
      <c r="T179" s="4" t="b">
        <f>LEN(data!M179)&lt;=60</f>
        <v>1</v>
      </c>
      <c r="U179" s="4" t="b">
        <f>LEN(data!O179)&gt;0</f>
        <v>0</v>
      </c>
      <c r="V179" s="4" t="b">
        <f>LEN(data!O179)&lt;=70</f>
        <v>1</v>
      </c>
      <c r="W179" s="4" t="b">
        <f>LEN(data!P179)&gt;0</f>
        <v>0</v>
      </c>
      <c r="X179" s="4" t="b">
        <f>LEN(data!P179)&lt;=140</f>
        <v>1</v>
      </c>
      <c r="Y179" s="4" t="b">
        <f>LEN(data!Q179)&gt;0</f>
        <v>0</v>
      </c>
      <c r="Z179" s="4" t="b">
        <f>LEN(data!Q179)&lt;=35</f>
        <v>1</v>
      </c>
      <c r="AA179" s="4" t="b">
        <f>LEN(data!R179)=2</f>
        <v>0</v>
      </c>
      <c r="AB179" s="4" t="b">
        <f>LEN(data!S179)&gt;0</f>
        <v>0</v>
      </c>
      <c r="AC179" s="4" t="b">
        <f>LEN(data!S179)&lt;=120</f>
        <v>1</v>
      </c>
      <c r="AD179" s="4" t="b">
        <f>LEN(data!U179)=11</f>
        <v>0</v>
      </c>
      <c r="AE179" s="4" t="b">
        <f>AND(ISERROR(MATCH(data!V179, rule_mapping!$C$2:$C$325, 0))=FALSE, LEN(data!V179) &lt;= 4)</f>
        <v>0</v>
      </c>
      <c r="AF179" s="4" t="b">
        <f>LEN(data!W179)&gt;0</f>
        <v>0</v>
      </c>
      <c r="AG179" s="4" t="b">
        <f>LEN(data!W179)&lt;=20</f>
        <v>1</v>
      </c>
      <c r="AH179" s="4" t="b">
        <f xml:space="preserve"> IFERROR(ISNUMBER(data!X179), FALSE)</f>
        <v>0</v>
      </c>
      <c r="AI179" s="4" t="b">
        <f>IF(ISERROR(MATCH(data!Y179, rule_mapping!$D$2:$D$252, 0))=FALSE,TRUE, FALSE)</f>
        <v>0</v>
      </c>
      <c r="AJ179" s="4" t="b">
        <f>IFERROR(ISNUMBER(data!Z179), FALSE)</f>
        <v>0</v>
      </c>
      <c r="AK179" s="4" t="b">
        <f>IFERROR(ISNUMBER(data!AA179), FALSE)</f>
        <v>0</v>
      </c>
      <c r="AL179" s="4" t="b">
        <f>LEN(data!AB179)&lt;=90</f>
        <v>1</v>
      </c>
      <c r="AM179" s="4" t="b">
        <f>LEN(data!AC179)&gt;0</f>
        <v>0</v>
      </c>
      <c r="AN179" s="4" t="b">
        <f>LEN(data!AC179)&lt;=2000</f>
        <v>1</v>
      </c>
      <c r="AO179" s="4" t="b">
        <f>IF(LEN(data!AD179)=0,TRUE,IF(LEN(data!AD179)=5,TRUE,FALSE))</f>
        <v>1</v>
      </c>
      <c r="AP179" s="4" t="b">
        <f>LEN(data!AE179)&gt;0</f>
        <v>0</v>
      </c>
      <c r="AQ179" s="4" t="b">
        <f>LEN(data!AE179)=5</f>
        <v>0</v>
      </c>
      <c r="AR179" s="4" t="b">
        <f>ISERROR(MATCH(data!AF179, rule_mapping!$B$2:$B$3, 0))=FALSE</f>
        <v>0</v>
      </c>
      <c r="AS179" s="4" t="b">
        <f>ISERROR(MATCH(data!AG179, rule_mapping!$A$2:$A$8, 0))=FALSE</f>
        <v>0</v>
      </c>
      <c r="AT179" s="4" t="b">
        <f>LEN(data!AH179)&lt;=4</f>
        <v>1</v>
      </c>
      <c r="AU179" s="4" t="b">
        <f>LEN(data!AI179)&lt;=10</f>
        <v>1</v>
      </c>
      <c r="AV179" s="4" t="b">
        <f>LEN(data!AJ179)&lt;=35</f>
        <v>1</v>
      </c>
      <c r="AW179" s="4" t="b">
        <f>LEN(data!AK179)&lt;=20</f>
        <v>1</v>
      </c>
      <c r="AX179"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0" spans="1:50" ht="409.5" x14ac:dyDescent="0.15">
      <c r="A180" s="4" t="b">
        <f>OR(ISBLANK(data!B180), AND(B180:AW180))</f>
        <v>1</v>
      </c>
      <c r="B180" s="4" t="b">
        <f>AND(LEFT(TRIM(data!B180), 4)="OOLU", ISNUMBER(RIGHT(TRIM(data!B180), LEN(TRIM(data!B180))-4)+0))</f>
        <v>0</v>
      </c>
      <c r="C180" s="4" t="b">
        <f>LEN(data!C180)&gt;0</f>
        <v>0</v>
      </c>
      <c r="D180" s="4" t="b">
        <f>LEN(data!C180)&lt;=70</f>
        <v>1</v>
      </c>
      <c r="E180" s="4" t="b">
        <f>LEN(data!D180)&gt;0</f>
        <v>0</v>
      </c>
      <c r="F180" s="4" t="b">
        <f>LEN(data!D180)&lt;=140</f>
        <v>1</v>
      </c>
      <c r="G180" s="4" t="b">
        <f>LEN(data!E180)&gt;0</f>
        <v>0</v>
      </c>
      <c r="H180" s="4" t="b">
        <f>LEN(data!E180)&lt;=35</f>
        <v>1</v>
      </c>
      <c r="I180" s="4" t="b">
        <f>LEN(data!F180)=2</f>
        <v>0</v>
      </c>
      <c r="J180" s="4" t="b">
        <f>LEN(data!G180)&gt;0</f>
        <v>0</v>
      </c>
      <c r="K180" s="4" t="b">
        <f>LEN(data!G180)&lt;=60</f>
        <v>1</v>
      </c>
      <c r="L180" s="4" t="b">
        <f>LEN(data!I180)&gt;0</f>
        <v>0</v>
      </c>
      <c r="M180" s="4" t="b">
        <f>LEN(data!I180)&lt;=70</f>
        <v>1</v>
      </c>
      <c r="N180" s="4" t="b">
        <f>LEN(data!J180)&gt;0</f>
        <v>0</v>
      </c>
      <c r="O180" s="4" t="b">
        <f>LEN(data!J180)&lt;=140</f>
        <v>1</v>
      </c>
      <c r="P180" s="4" t="b">
        <f>LEN(data!K180)&gt;0</f>
        <v>0</v>
      </c>
      <c r="Q180" s="4" t="b">
        <f>LEN(data!K180)&lt;=35</f>
        <v>1</v>
      </c>
      <c r="R180" s="4" t="b">
        <f>LEN(data!L180)=2</f>
        <v>0</v>
      </c>
      <c r="S180" s="4" t="b">
        <f>LEN(data!M180)&gt;0</f>
        <v>0</v>
      </c>
      <c r="T180" s="4" t="b">
        <f>LEN(data!M180)&lt;=60</f>
        <v>1</v>
      </c>
      <c r="U180" s="4" t="b">
        <f>LEN(data!O180)&gt;0</f>
        <v>0</v>
      </c>
      <c r="V180" s="4" t="b">
        <f>LEN(data!O180)&lt;=70</f>
        <v>1</v>
      </c>
      <c r="W180" s="4" t="b">
        <f>LEN(data!P180)&gt;0</f>
        <v>0</v>
      </c>
      <c r="X180" s="4" t="b">
        <f>LEN(data!P180)&lt;=140</f>
        <v>1</v>
      </c>
      <c r="Y180" s="4" t="b">
        <f>LEN(data!Q180)&gt;0</f>
        <v>0</v>
      </c>
      <c r="Z180" s="4" t="b">
        <f>LEN(data!Q180)&lt;=35</f>
        <v>1</v>
      </c>
      <c r="AA180" s="4" t="b">
        <f>LEN(data!R180)=2</f>
        <v>0</v>
      </c>
      <c r="AB180" s="4" t="b">
        <f>LEN(data!S180)&gt;0</f>
        <v>0</v>
      </c>
      <c r="AC180" s="4" t="b">
        <f>LEN(data!S180)&lt;=120</f>
        <v>1</v>
      </c>
      <c r="AD180" s="4" t="b">
        <f>LEN(data!U180)=11</f>
        <v>0</v>
      </c>
      <c r="AE180" s="4" t="b">
        <f>AND(ISERROR(MATCH(data!V180, rule_mapping!$C$2:$C$325, 0))=FALSE, LEN(data!V180) &lt;= 4)</f>
        <v>0</v>
      </c>
      <c r="AF180" s="4" t="b">
        <f>LEN(data!W180)&gt;0</f>
        <v>0</v>
      </c>
      <c r="AG180" s="4" t="b">
        <f>LEN(data!W180)&lt;=20</f>
        <v>1</v>
      </c>
      <c r="AH180" s="4" t="b">
        <f xml:space="preserve"> IFERROR(ISNUMBER(data!X180), FALSE)</f>
        <v>0</v>
      </c>
      <c r="AI180" s="4" t="b">
        <f>IF(ISERROR(MATCH(data!Y180, rule_mapping!$D$2:$D$252, 0))=FALSE,TRUE, FALSE)</f>
        <v>0</v>
      </c>
      <c r="AJ180" s="4" t="b">
        <f>IFERROR(ISNUMBER(data!Z180), FALSE)</f>
        <v>0</v>
      </c>
      <c r="AK180" s="4" t="b">
        <f>IFERROR(ISNUMBER(data!AA180), FALSE)</f>
        <v>0</v>
      </c>
      <c r="AL180" s="4" t="b">
        <f>LEN(data!AB180)&lt;=90</f>
        <v>1</v>
      </c>
      <c r="AM180" s="4" t="b">
        <f>LEN(data!AC180)&gt;0</f>
        <v>0</v>
      </c>
      <c r="AN180" s="4" t="b">
        <f>LEN(data!AC180)&lt;=2000</f>
        <v>1</v>
      </c>
      <c r="AO180" s="4" t="b">
        <f>IF(LEN(data!AD180)=0,TRUE,IF(LEN(data!AD180)=5,TRUE,FALSE))</f>
        <v>1</v>
      </c>
      <c r="AP180" s="4" t="b">
        <f>LEN(data!AE180)&gt;0</f>
        <v>0</v>
      </c>
      <c r="AQ180" s="4" t="b">
        <f>LEN(data!AE180)=5</f>
        <v>0</v>
      </c>
      <c r="AR180" s="4" t="b">
        <f>ISERROR(MATCH(data!AF180, rule_mapping!$B$2:$B$3, 0))=FALSE</f>
        <v>0</v>
      </c>
      <c r="AS180" s="4" t="b">
        <f>ISERROR(MATCH(data!AG180, rule_mapping!$A$2:$A$8, 0))=FALSE</f>
        <v>0</v>
      </c>
      <c r="AT180" s="4" t="b">
        <f>LEN(data!AH180)&lt;=4</f>
        <v>1</v>
      </c>
      <c r="AU180" s="4" t="b">
        <f>LEN(data!AI180)&lt;=10</f>
        <v>1</v>
      </c>
      <c r="AV180" s="4" t="b">
        <f>LEN(data!AJ180)&lt;=35</f>
        <v>1</v>
      </c>
      <c r="AW180" s="4" t="b">
        <f>LEN(data!AK180)&lt;=20</f>
        <v>1</v>
      </c>
      <c r="AX180"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1" spans="1:50" ht="409.5" x14ac:dyDescent="0.15">
      <c r="A181" s="4" t="b">
        <f>OR(ISBLANK(data!B181), AND(B181:AW181))</f>
        <v>1</v>
      </c>
      <c r="B181" s="4" t="b">
        <f>AND(LEFT(TRIM(data!B181), 4)="OOLU", ISNUMBER(RIGHT(TRIM(data!B181), LEN(TRIM(data!B181))-4)+0))</f>
        <v>0</v>
      </c>
      <c r="C181" s="4" t="b">
        <f>LEN(data!C181)&gt;0</f>
        <v>0</v>
      </c>
      <c r="D181" s="4" t="b">
        <f>LEN(data!C181)&lt;=70</f>
        <v>1</v>
      </c>
      <c r="E181" s="4" t="b">
        <f>LEN(data!D181)&gt;0</f>
        <v>0</v>
      </c>
      <c r="F181" s="4" t="b">
        <f>LEN(data!D181)&lt;=140</f>
        <v>1</v>
      </c>
      <c r="G181" s="4" t="b">
        <f>LEN(data!E181)&gt;0</f>
        <v>0</v>
      </c>
      <c r="H181" s="4" t="b">
        <f>LEN(data!E181)&lt;=35</f>
        <v>1</v>
      </c>
      <c r="I181" s="4" t="b">
        <f>LEN(data!F181)=2</f>
        <v>0</v>
      </c>
      <c r="J181" s="4" t="b">
        <f>LEN(data!G181)&gt;0</f>
        <v>0</v>
      </c>
      <c r="K181" s="4" t="b">
        <f>LEN(data!G181)&lt;=60</f>
        <v>1</v>
      </c>
      <c r="L181" s="4" t="b">
        <f>LEN(data!I181)&gt;0</f>
        <v>0</v>
      </c>
      <c r="M181" s="4" t="b">
        <f>LEN(data!I181)&lt;=70</f>
        <v>1</v>
      </c>
      <c r="N181" s="4" t="b">
        <f>LEN(data!J181)&gt;0</f>
        <v>0</v>
      </c>
      <c r="O181" s="4" t="b">
        <f>LEN(data!J181)&lt;=140</f>
        <v>1</v>
      </c>
      <c r="P181" s="4" t="b">
        <f>LEN(data!K181)&gt;0</f>
        <v>0</v>
      </c>
      <c r="Q181" s="4" t="b">
        <f>LEN(data!K181)&lt;=35</f>
        <v>1</v>
      </c>
      <c r="R181" s="4" t="b">
        <f>LEN(data!L181)=2</f>
        <v>0</v>
      </c>
      <c r="S181" s="4" t="b">
        <f>LEN(data!M181)&gt;0</f>
        <v>0</v>
      </c>
      <c r="T181" s="4" t="b">
        <f>LEN(data!M181)&lt;=60</f>
        <v>1</v>
      </c>
      <c r="U181" s="4" t="b">
        <f>LEN(data!O181)&gt;0</f>
        <v>0</v>
      </c>
      <c r="V181" s="4" t="b">
        <f>LEN(data!O181)&lt;=70</f>
        <v>1</v>
      </c>
      <c r="W181" s="4" t="b">
        <f>LEN(data!P181)&gt;0</f>
        <v>0</v>
      </c>
      <c r="X181" s="4" t="b">
        <f>LEN(data!P181)&lt;=140</f>
        <v>1</v>
      </c>
      <c r="Y181" s="4" t="b">
        <f>LEN(data!Q181)&gt;0</f>
        <v>0</v>
      </c>
      <c r="Z181" s="4" t="b">
        <f>LEN(data!Q181)&lt;=35</f>
        <v>1</v>
      </c>
      <c r="AA181" s="4" t="b">
        <f>LEN(data!R181)=2</f>
        <v>0</v>
      </c>
      <c r="AB181" s="4" t="b">
        <f>LEN(data!S181)&gt;0</f>
        <v>0</v>
      </c>
      <c r="AC181" s="4" t="b">
        <f>LEN(data!S181)&lt;=120</f>
        <v>1</v>
      </c>
      <c r="AD181" s="4" t="b">
        <f>LEN(data!U181)=11</f>
        <v>0</v>
      </c>
      <c r="AE181" s="4" t="b">
        <f>AND(ISERROR(MATCH(data!V181, rule_mapping!$C$2:$C$325, 0))=FALSE, LEN(data!V181) &lt;= 4)</f>
        <v>0</v>
      </c>
      <c r="AF181" s="4" t="b">
        <f>LEN(data!W181)&gt;0</f>
        <v>0</v>
      </c>
      <c r="AG181" s="4" t="b">
        <f>LEN(data!W181)&lt;=20</f>
        <v>1</v>
      </c>
      <c r="AH181" s="4" t="b">
        <f xml:space="preserve"> IFERROR(ISNUMBER(data!X181), FALSE)</f>
        <v>0</v>
      </c>
      <c r="AI181" s="4" t="b">
        <f>IF(ISERROR(MATCH(data!Y181, rule_mapping!$D$2:$D$252, 0))=FALSE,TRUE, FALSE)</f>
        <v>0</v>
      </c>
      <c r="AJ181" s="4" t="b">
        <f>IFERROR(ISNUMBER(data!Z181), FALSE)</f>
        <v>0</v>
      </c>
      <c r="AK181" s="4" t="b">
        <f>IFERROR(ISNUMBER(data!AA181), FALSE)</f>
        <v>0</v>
      </c>
      <c r="AL181" s="4" t="b">
        <f>LEN(data!AB181)&lt;=90</f>
        <v>1</v>
      </c>
      <c r="AM181" s="4" t="b">
        <f>LEN(data!AC181)&gt;0</f>
        <v>0</v>
      </c>
      <c r="AN181" s="4" t="b">
        <f>LEN(data!AC181)&lt;=2000</f>
        <v>1</v>
      </c>
      <c r="AO181" s="4" t="b">
        <f>IF(LEN(data!AD181)=0,TRUE,IF(LEN(data!AD181)=5,TRUE,FALSE))</f>
        <v>1</v>
      </c>
      <c r="AP181" s="4" t="b">
        <f>LEN(data!AE181)&gt;0</f>
        <v>0</v>
      </c>
      <c r="AQ181" s="4" t="b">
        <f>LEN(data!AE181)=5</f>
        <v>0</v>
      </c>
      <c r="AR181" s="4" t="b">
        <f>ISERROR(MATCH(data!AF181, rule_mapping!$B$2:$B$3, 0))=FALSE</f>
        <v>0</v>
      </c>
      <c r="AS181" s="4" t="b">
        <f>ISERROR(MATCH(data!AG181, rule_mapping!$A$2:$A$8, 0))=FALSE</f>
        <v>0</v>
      </c>
      <c r="AT181" s="4" t="b">
        <f>LEN(data!AH181)&lt;=4</f>
        <v>1</v>
      </c>
      <c r="AU181" s="4" t="b">
        <f>LEN(data!AI181)&lt;=10</f>
        <v>1</v>
      </c>
      <c r="AV181" s="4" t="b">
        <f>LEN(data!AJ181)&lt;=35</f>
        <v>1</v>
      </c>
      <c r="AW181" s="4" t="b">
        <f>LEN(data!AK181)&lt;=20</f>
        <v>1</v>
      </c>
      <c r="AX181"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2" spans="1:50" ht="409.5" x14ac:dyDescent="0.15">
      <c r="A182" s="4" t="b">
        <f>OR(ISBLANK(data!B182), AND(B182:AW182))</f>
        <v>1</v>
      </c>
      <c r="B182" s="4" t="b">
        <f>AND(LEFT(TRIM(data!B182), 4)="OOLU", ISNUMBER(RIGHT(TRIM(data!B182), LEN(TRIM(data!B182))-4)+0))</f>
        <v>0</v>
      </c>
      <c r="C182" s="4" t="b">
        <f>LEN(data!C182)&gt;0</f>
        <v>0</v>
      </c>
      <c r="D182" s="4" t="b">
        <f>LEN(data!C182)&lt;=70</f>
        <v>1</v>
      </c>
      <c r="E182" s="4" t="b">
        <f>LEN(data!D182)&gt;0</f>
        <v>0</v>
      </c>
      <c r="F182" s="4" t="b">
        <f>LEN(data!D182)&lt;=140</f>
        <v>1</v>
      </c>
      <c r="G182" s="4" t="b">
        <f>LEN(data!E182)&gt;0</f>
        <v>0</v>
      </c>
      <c r="H182" s="4" t="b">
        <f>LEN(data!E182)&lt;=35</f>
        <v>1</v>
      </c>
      <c r="I182" s="4" t="b">
        <f>LEN(data!F182)=2</f>
        <v>0</v>
      </c>
      <c r="J182" s="4" t="b">
        <f>LEN(data!G182)&gt;0</f>
        <v>0</v>
      </c>
      <c r="K182" s="4" t="b">
        <f>LEN(data!G182)&lt;=60</f>
        <v>1</v>
      </c>
      <c r="L182" s="4" t="b">
        <f>LEN(data!I182)&gt;0</f>
        <v>0</v>
      </c>
      <c r="M182" s="4" t="b">
        <f>LEN(data!I182)&lt;=70</f>
        <v>1</v>
      </c>
      <c r="N182" s="4" t="b">
        <f>LEN(data!J182)&gt;0</f>
        <v>0</v>
      </c>
      <c r="O182" s="4" t="b">
        <f>LEN(data!J182)&lt;=140</f>
        <v>1</v>
      </c>
      <c r="P182" s="4" t="b">
        <f>LEN(data!K182)&gt;0</f>
        <v>0</v>
      </c>
      <c r="Q182" s="4" t="b">
        <f>LEN(data!K182)&lt;=35</f>
        <v>1</v>
      </c>
      <c r="R182" s="4" t="b">
        <f>LEN(data!L182)=2</f>
        <v>0</v>
      </c>
      <c r="S182" s="4" t="b">
        <f>LEN(data!M182)&gt;0</f>
        <v>0</v>
      </c>
      <c r="T182" s="4" t="b">
        <f>LEN(data!M182)&lt;=60</f>
        <v>1</v>
      </c>
      <c r="U182" s="4" t="b">
        <f>LEN(data!O182)&gt;0</f>
        <v>0</v>
      </c>
      <c r="V182" s="4" t="b">
        <f>LEN(data!O182)&lt;=70</f>
        <v>1</v>
      </c>
      <c r="W182" s="4" t="b">
        <f>LEN(data!P182)&gt;0</f>
        <v>0</v>
      </c>
      <c r="X182" s="4" t="b">
        <f>LEN(data!P182)&lt;=140</f>
        <v>1</v>
      </c>
      <c r="Y182" s="4" t="b">
        <f>LEN(data!Q182)&gt;0</f>
        <v>0</v>
      </c>
      <c r="Z182" s="4" t="b">
        <f>LEN(data!Q182)&lt;=35</f>
        <v>1</v>
      </c>
      <c r="AA182" s="4" t="b">
        <f>LEN(data!R182)=2</f>
        <v>0</v>
      </c>
      <c r="AB182" s="4" t="b">
        <f>LEN(data!S182)&gt;0</f>
        <v>0</v>
      </c>
      <c r="AC182" s="4" t="b">
        <f>LEN(data!S182)&lt;=120</f>
        <v>1</v>
      </c>
      <c r="AD182" s="4" t="b">
        <f>LEN(data!U182)=11</f>
        <v>0</v>
      </c>
      <c r="AE182" s="4" t="b">
        <f>AND(ISERROR(MATCH(data!V182, rule_mapping!$C$2:$C$325, 0))=FALSE, LEN(data!V182) &lt;= 4)</f>
        <v>0</v>
      </c>
      <c r="AF182" s="4" t="b">
        <f>LEN(data!W182)&gt;0</f>
        <v>0</v>
      </c>
      <c r="AG182" s="4" t="b">
        <f>LEN(data!W182)&lt;=20</f>
        <v>1</v>
      </c>
      <c r="AH182" s="4" t="b">
        <f xml:space="preserve"> IFERROR(ISNUMBER(data!X182), FALSE)</f>
        <v>0</v>
      </c>
      <c r="AI182" s="4" t="b">
        <f>IF(ISERROR(MATCH(data!Y182, rule_mapping!$D$2:$D$252, 0))=FALSE,TRUE, FALSE)</f>
        <v>0</v>
      </c>
      <c r="AJ182" s="4" t="b">
        <f>IFERROR(ISNUMBER(data!Z182), FALSE)</f>
        <v>0</v>
      </c>
      <c r="AK182" s="4" t="b">
        <f>IFERROR(ISNUMBER(data!AA182), FALSE)</f>
        <v>0</v>
      </c>
      <c r="AL182" s="4" t="b">
        <f>LEN(data!AB182)&lt;=90</f>
        <v>1</v>
      </c>
      <c r="AM182" s="4" t="b">
        <f>LEN(data!AC182)&gt;0</f>
        <v>0</v>
      </c>
      <c r="AN182" s="4" t="b">
        <f>LEN(data!AC182)&lt;=2000</f>
        <v>1</v>
      </c>
      <c r="AO182" s="4" t="b">
        <f>IF(LEN(data!AD182)=0,TRUE,IF(LEN(data!AD182)=5,TRUE,FALSE))</f>
        <v>1</v>
      </c>
      <c r="AP182" s="4" t="b">
        <f>LEN(data!AE182)&gt;0</f>
        <v>0</v>
      </c>
      <c r="AQ182" s="4" t="b">
        <f>LEN(data!AE182)=5</f>
        <v>0</v>
      </c>
      <c r="AR182" s="4" t="b">
        <f>ISERROR(MATCH(data!AF182, rule_mapping!$B$2:$B$3, 0))=FALSE</f>
        <v>0</v>
      </c>
      <c r="AS182" s="4" t="b">
        <f>ISERROR(MATCH(data!AG182, rule_mapping!$A$2:$A$8, 0))=FALSE</f>
        <v>0</v>
      </c>
      <c r="AT182" s="4" t="b">
        <f>LEN(data!AH182)&lt;=4</f>
        <v>1</v>
      </c>
      <c r="AU182" s="4" t="b">
        <f>LEN(data!AI182)&lt;=10</f>
        <v>1</v>
      </c>
      <c r="AV182" s="4" t="b">
        <f>LEN(data!AJ182)&lt;=35</f>
        <v>1</v>
      </c>
      <c r="AW182" s="4" t="b">
        <f>LEN(data!AK182)&lt;=20</f>
        <v>1</v>
      </c>
      <c r="AX182"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3" spans="1:50" ht="409.5" x14ac:dyDescent="0.15">
      <c r="A183" s="4" t="b">
        <f>OR(ISBLANK(data!B183), AND(B183:AW183))</f>
        <v>1</v>
      </c>
      <c r="B183" s="4" t="b">
        <f>AND(LEFT(TRIM(data!B183), 4)="OOLU", ISNUMBER(RIGHT(TRIM(data!B183), LEN(TRIM(data!B183))-4)+0))</f>
        <v>0</v>
      </c>
      <c r="C183" s="4" t="b">
        <f>LEN(data!C183)&gt;0</f>
        <v>0</v>
      </c>
      <c r="D183" s="4" t="b">
        <f>LEN(data!C183)&lt;=70</f>
        <v>1</v>
      </c>
      <c r="E183" s="4" t="b">
        <f>LEN(data!D183)&gt;0</f>
        <v>0</v>
      </c>
      <c r="F183" s="4" t="b">
        <f>LEN(data!D183)&lt;=140</f>
        <v>1</v>
      </c>
      <c r="G183" s="4" t="b">
        <f>LEN(data!E183)&gt;0</f>
        <v>0</v>
      </c>
      <c r="H183" s="4" t="b">
        <f>LEN(data!E183)&lt;=35</f>
        <v>1</v>
      </c>
      <c r="I183" s="4" t="b">
        <f>LEN(data!F183)=2</f>
        <v>0</v>
      </c>
      <c r="J183" s="4" t="b">
        <f>LEN(data!G183)&gt;0</f>
        <v>0</v>
      </c>
      <c r="K183" s="4" t="b">
        <f>LEN(data!G183)&lt;=60</f>
        <v>1</v>
      </c>
      <c r="L183" s="4" t="b">
        <f>LEN(data!I183)&gt;0</f>
        <v>0</v>
      </c>
      <c r="M183" s="4" t="b">
        <f>LEN(data!I183)&lt;=70</f>
        <v>1</v>
      </c>
      <c r="N183" s="4" t="b">
        <f>LEN(data!J183)&gt;0</f>
        <v>0</v>
      </c>
      <c r="O183" s="4" t="b">
        <f>LEN(data!J183)&lt;=140</f>
        <v>1</v>
      </c>
      <c r="P183" s="4" t="b">
        <f>LEN(data!K183)&gt;0</f>
        <v>0</v>
      </c>
      <c r="Q183" s="4" t="b">
        <f>LEN(data!K183)&lt;=35</f>
        <v>1</v>
      </c>
      <c r="R183" s="4" t="b">
        <f>LEN(data!L183)=2</f>
        <v>0</v>
      </c>
      <c r="S183" s="4" t="b">
        <f>LEN(data!M183)&gt;0</f>
        <v>0</v>
      </c>
      <c r="T183" s="4" t="b">
        <f>LEN(data!M183)&lt;=60</f>
        <v>1</v>
      </c>
      <c r="U183" s="4" t="b">
        <f>LEN(data!O183)&gt;0</f>
        <v>0</v>
      </c>
      <c r="V183" s="4" t="b">
        <f>LEN(data!O183)&lt;=70</f>
        <v>1</v>
      </c>
      <c r="W183" s="4" t="b">
        <f>LEN(data!P183)&gt;0</f>
        <v>0</v>
      </c>
      <c r="X183" s="4" t="b">
        <f>LEN(data!P183)&lt;=140</f>
        <v>1</v>
      </c>
      <c r="Y183" s="4" t="b">
        <f>LEN(data!Q183)&gt;0</f>
        <v>0</v>
      </c>
      <c r="Z183" s="4" t="b">
        <f>LEN(data!Q183)&lt;=35</f>
        <v>1</v>
      </c>
      <c r="AA183" s="4" t="b">
        <f>LEN(data!R183)=2</f>
        <v>0</v>
      </c>
      <c r="AB183" s="4" t="b">
        <f>LEN(data!S183)&gt;0</f>
        <v>0</v>
      </c>
      <c r="AC183" s="4" t="b">
        <f>LEN(data!S183)&lt;=120</f>
        <v>1</v>
      </c>
      <c r="AD183" s="4" t="b">
        <f>LEN(data!U183)=11</f>
        <v>0</v>
      </c>
      <c r="AE183" s="4" t="b">
        <f>AND(ISERROR(MATCH(data!V183, rule_mapping!$C$2:$C$325, 0))=FALSE, LEN(data!V183) &lt;= 4)</f>
        <v>0</v>
      </c>
      <c r="AF183" s="4" t="b">
        <f>LEN(data!W183)&gt;0</f>
        <v>0</v>
      </c>
      <c r="AG183" s="4" t="b">
        <f>LEN(data!W183)&lt;=20</f>
        <v>1</v>
      </c>
      <c r="AH183" s="4" t="b">
        <f xml:space="preserve"> IFERROR(ISNUMBER(data!X183), FALSE)</f>
        <v>0</v>
      </c>
      <c r="AI183" s="4" t="b">
        <f>IF(ISERROR(MATCH(data!Y183, rule_mapping!$D$2:$D$252, 0))=FALSE,TRUE, FALSE)</f>
        <v>0</v>
      </c>
      <c r="AJ183" s="4" t="b">
        <f>IFERROR(ISNUMBER(data!Z183), FALSE)</f>
        <v>0</v>
      </c>
      <c r="AK183" s="4" t="b">
        <f>IFERROR(ISNUMBER(data!AA183), FALSE)</f>
        <v>0</v>
      </c>
      <c r="AL183" s="4" t="b">
        <f>LEN(data!AB183)&lt;=90</f>
        <v>1</v>
      </c>
      <c r="AM183" s="4" t="b">
        <f>LEN(data!AC183)&gt;0</f>
        <v>0</v>
      </c>
      <c r="AN183" s="4" t="b">
        <f>LEN(data!AC183)&lt;=2000</f>
        <v>1</v>
      </c>
      <c r="AO183" s="4" t="b">
        <f>IF(LEN(data!AD183)=0,TRUE,IF(LEN(data!AD183)=5,TRUE,FALSE))</f>
        <v>1</v>
      </c>
      <c r="AP183" s="4" t="b">
        <f>LEN(data!AE183)&gt;0</f>
        <v>0</v>
      </c>
      <c r="AQ183" s="4" t="b">
        <f>LEN(data!AE183)=5</f>
        <v>0</v>
      </c>
      <c r="AR183" s="4" t="b">
        <f>ISERROR(MATCH(data!AF183, rule_mapping!$B$2:$B$3, 0))=FALSE</f>
        <v>0</v>
      </c>
      <c r="AS183" s="4" t="b">
        <f>ISERROR(MATCH(data!AG183, rule_mapping!$A$2:$A$8, 0))=FALSE</f>
        <v>0</v>
      </c>
      <c r="AT183" s="4" t="b">
        <f>LEN(data!AH183)&lt;=4</f>
        <v>1</v>
      </c>
      <c r="AU183" s="4" t="b">
        <f>LEN(data!AI183)&lt;=10</f>
        <v>1</v>
      </c>
      <c r="AV183" s="4" t="b">
        <f>LEN(data!AJ183)&lt;=35</f>
        <v>1</v>
      </c>
      <c r="AW183" s="4" t="b">
        <f>LEN(data!AK183)&lt;=20</f>
        <v>1</v>
      </c>
      <c r="AX183"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4" spans="1:50" ht="409.5" x14ac:dyDescent="0.15">
      <c r="A184" s="4" t="b">
        <f>OR(ISBLANK(data!B184), AND(B184:AW184))</f>
        <v>1</v>
      </c>
      <c r="B184" s="4" t="b">
        <f>AND(LEFT(TRIM(data!B184), 4)="OOLU", ISNUMBER(RIGHT(TRIM(data!B184), LEN(TRIM(data!B184))-4)+0))</f>
        <v>0</v>
      </c>
      <c r="C184" s="4" t="b">
        <f>LEN(data!C184)&gt;0</f>
        <v>0</v>
      </c>
      <c r="D184" s="4" t="b">
        <f>LEN(data!C184)&lt;=70</f>
        <v>1</v>
      </c>
      <c r="E184" s="4" t="b">
        <f>LEN(data!D184)&gt;0</f>
        <v>0</v>
      </c>
      <c r="F184" s="4" t="b">
        <f>LEN(data!D184)&lt;=140</f>
        <v>1</v>
      </c>
      <c r="G184" s="4" t="b">
        <f>LEN(data!E184)&gt;0</f>
        <v>0</v>
      </c>
      <c r="H184" s="4" t="b">
        <f>LEN(data!E184)&lt;=35</f>
        <v>1</v>
      </c>
      <c r="I184" s="4" t="b">
        <f>LEN(data!F184)=2</f>
        <v>0</v>
      </c>
      <c r="J184" s="4" t="b">
        <f>LEN(data!G184)&gt;0</f>
        <v>0</v>
      </c>
      <c r="K184" s="4" t="b">
        <f>LEN(data!G184)&lt;=60</f>
        <v>1</v>
      </c>
      <c r="L184" s="4" t="b">
        <f>LEN(data!I184)&gt;0</f>
        <v>0</v>
      </c>
      <c r="M184" s="4" t="b">
        <f>LEN(data!I184)&lt;=70</f>
        <v>1</v>
      </c>
      <c r="N184" s="4" t="b">
        <f>LEN(data!J184)&gt;0</f>
        <v>0</v>
      </c>
      <c r="O184" s="4" t="b">
        <f>LEN(data!J184)&lt;=140</f>
        <v>1</v>
      </c>
      <c r="P184" s="4" t="b">
        <f>LEN(data!K184)&gt;0</f>
        <v>0</v>
      </c>
      <c r="Q184" s="4" t="b">
        <f>LEN(data!K184)&lt;=35</f>
        <v>1</v>
      </c>
      <c r="R184" s="4" t="b">
        <f>LEN(data!L184)=2</f>
        <v>0</v>
      </c>
      <c r="S184" s="4" t="b">
        <f>LEN(data!M184)&gt;0</f>
        <v>0</v>
      </c>
      <c r="T184" s="4" t="b">
        <f>LEN(data!M184)&lt;=60</f>
        <v>1</v>
      </c>
      <c r="U184" s="4" t="b">
        <f>LEN(data!O184)&gt;0</f>
        <v>0</v>
      </c>
      <c r="V184" s="4" t="b">
        <f>LEN(data!O184)&lt;=70</f>
        <v>1</v>
      </c>
      <c r="W184" s="4" t="b">
        <f>LEN(data!P184)&gt;0</f>
        <v>0</v>
      </c>
      <c r="X184" s="4" t="b">
        <f>LEN(data!P184)&lt;=140</f>
        <v>1</v>
      </c>
      <c r="Y184" s="4" t="b">
        <f>LEN(data!Q184)&gt;0</f>
        <v>0</v>
      </c>
      <c r="Z184" s="4" t="b">
        <f>LEN(data!Q184)&lt;=35</f>
        <v>1</v>
      </c>
      <c r="AA184" s="4" t="b">
        <f>LEN(data!R184)=2</f>
        <v>0</v>
      </c>
      <c r="AB184" s="4" t="b">
        <f>LEN(data!S184)&gt;0</f>
        <v>0</v>
      </c>
      <c r="AC184" s="4" t="b">
        <f>LEN(data!S184)&lt;=120</f>
        <v>1</v>
      </c>
      <c r="AD184" s="4" t="b">
        <f>LEN(data!U184)=11</f>
        <v>0</v>
      </c>
      <c r="AE184" s="4" t="b">
        <f>AND(ISERROR(MATCH(data!V184, rule_mapping!$C$2:$C$325, 0))=FALSE, LEN(data!V184) &lt;= 4)</f>
        <v>0</v>
      </c>
      <c r="AF184" s="4" t="b">
        <f>LEN(data!W184)&gt;0</f>
        <v>0</v>
      </c>
      <c r="AG184" s="4" t="b">
        <f>LEN(data!W184)&lt;=20</f>
        <v>1</v>
      </c>
      <c r="AH184" s="4" t="b">
        <f xml:space="preserve"> IFERROR(ISNUMBER(data!X184), FALSE)</f>
        <v>0</v>
      </c>
      <c r="AI184" s="4" t="b">
        <f>IF(ISERROR(MATCH(data!Y184, rule_mapping!$D$2:$D$252, 0))=FALSE,TRUE, FALSE)</f>
        <v>0</v>
      </c>
      <c r="AJ184" s="4" t="b">
        <f>IFERROR(ISNUMBER(data!Z184), FALSE)</f>
        <v>0</v>
      </c>
      <c r="AK184" s="4" t="b">
        <f>IFERROR(ISNUMBER(data!AA184), FALSE)</f>
        <v>0</v>
      </c>
      <c r="AL184" s="4" t="b">
        <f>LEN(data!AB184)&lt;=90</f>
        <v>1</v>
      </c>
      <c r="AM184" s="4" t="b">
        <f>LEN(data!AC184)&gt;0</f>
        <v>0</v>
      </c>
      <c r="AN184" s="4" t="b">
        <f>LEN(data!AC184)&lt;=2000</f>
        <v>1</v>
      </c>
      <c r="AO184" s="4" t="b">
        <f>IF(LEN(data!AD184)=0,TRUE,IF(LEN(data!AD184)=5,TRUE,FALSE))</f>
        <v>1</v>
      </c>
      <c r="AP184" s="4" t="b">
        <f>LEN(data!AE184)&gt;0</f>
        <v>0</v>
      </c>
      <c r="AQ184" s="4" t="b">
        <f>LEN(data!AE184)=5</f>
        <v>0</v>
      </c>
      <c r="AR184" s="4" t="b">
        <f>ISERROR(MATCH(data!AF184, rule_mapping!$B$2:$B$3, 0))=FALSE</f>
        <v>0</v>
      </c>
      <c r="AS184" s="4" t="b">
        <f>ISERROR(MATCH(data!AG184, rule_mapping!$A$2:$A$8, 0))=FALSE</f>
        <v>0</v>
      </c>
      <c r="AT184" s="4" t="b">
        <f>LEN(data!AH184)&lt;=4</f>
        <v>1</v>
      </c>
      <c r="AU184" s="4" t="b">
        <f>LEN(data!AI184)&lt;=10</f>
        <v>1</v>
      </c>
      <c r="AV184" s="4" t="b">
        <f>LEN(data!AJ184)&lt;=35</f>
        <v>1</v>
      </c>
      <c r="AW184" s="4" t="b">
        <f>LEN(data!AK184)&lt;=20</f>
        <v>1</v>
      </c>
      <c r="AX184"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5" spans="1:50" ht="409.5" x14ac:dyDescent="0.15">
      <c r="A185" s="4" t="b">
        <f>OR(ISBLANK(data!B185), AND(B185:AW185))</f>
        <v>1</v>
      </c>
      <c r="B185" s="4" t="b">
        <f>AND(LEFT(TRIM(data!B185), 4)="OOLU", ISNUMBER(RIGHT(TRIM(data!B185), LEN(TRIM(data!B185))-4)+0))</f>
        <v>0</v>
      </c>
      <c r="C185" s="4" t="b">
        <f>LEN(data!C185)&gt;0</f>
        <v>0</v>
      </c>
      <c r="D185" s="4" t="b">
        <f>LEN(data!C185)&lt;=70</f>
        <v>1</v>
      </c>
      <c r="E185" s="4" t="b">
        <f>LEN(data!D185)&gt;0</f>
        <v>0</v>
      </c>
      <c r="F185" s="4" t="b">
        <f>LEN(data!D185)&lt;=140</f>
        <v>1</v>
      </c>
      <c r="G185" s="4" t="b">
        <f>LEN(data!E185)&gt;0</f>
        <v>0</v>
      </c>
      <c r="H185" s="4" t="b">
        <f>LEN(data!E185)&lt;=35</f>
        <v>1</v>
      </c>
      <c r="I185" s="4" t="b">
        <f>LEN(data!F185)=2</f>
        <v>0</v>
      </c>
      <c r="J185" s="4" t="b">
        <f>LEN(data!G185)&gt;0</f>
        <v>0</v>
      </c>
      <c r="K185" s="4" t="b">
        <f>LEN(data!G185)&lt;=60</f>
        <v>1</v>
      </c>
      <c r="L185" s="4" t="b">
        <f>LEN(data!I185)&gt;0</f>
        <v>0</v>
      </c>
      <c r="M185" s="4" t="b">
        <f>LEN(data!I185)&lt;=70</f>
        <v>1</v>
      </c>
      <c r="N185" s="4" t="b">
        <f>LEN(data!J185)&gt;0</f>
        <v>0</v>
      </c>
      <c r="O185" s="4" t="b">
        <f>LEN(data!J185)&lt;=140</f>
        <v>1</v>
      </c>
      <c r="P185" s="4" t="b">
        <f>LEN(data!K185)&gt;0</f>
        <v>0</v>
      </c>
      <c r="Q185" s="4" t="b">
        <f>LEN(data!K185)&lt;=35</f>
        <v>1</v>
      </c>
      <c r="R185" s="4" t="b">
        <f>LEN(data!L185)=2</f>
        <v>0</v>
      </c>
      <c r="S185" s="4" t="b">
        <f>LEN(data!M185)&gt;0</f>
        <v>0</v>
      </c>
      <c r="T185" s="4" t="b">
        <f>LEN(data!M185)&lt;=60</f>
        <v>1</v>
      </c>
      <c r="U185" s="4" t="b">
        <f>LEN(data!O185)&gt;0</f>
        <v>0</v>
      </c>
      <c r="V185" s="4" t="b">
        <f>LEN(data!O185)&lt;=70</f>
        <v>1</v>
      </c>
      <c r="W185" s="4" t="b">
        <f>LEN(data!P185)&gt;0</f>
        <v>0</v>
      </c>
      <c r="X185" s="4" t="b">
        <f>LEN(data!P185)&lt;=140</f>
        <v>1</v>
      </c>
      <c r="Y185" s="4" t="b">
        <f>LEN(data!Q185)&gt;0</f>
        <v>0</v>
      </c>
      <c r="Z185" s="4" t="b">
        <f>LEN(data!Q185)&lt;=35</f>
        <v>1</v>
      </c>
      <c r="AA185" s="4" t="b">
        <f>LEN(data!R185)=2</f>
        <v>0</v>
      </c>
      <c r="AB185" s="4" t="b">
        <f>LEN(data!S185)&gt;0</f>
        <v>0</v>
      </c>
      <c r="AC185" s="4" t="b">
        <f>LEN(data!S185)&lt;=120</f>
        <v>1</v>
      </c>
      <c r="AD185" s="4" t="b">
        <f>LEN(data!U185)=11</f>
        <v>0</v>
      </c>
      <c r="AE185" s="4" t="b">
        <f>AND(ISERROR(MATCH(data!V185, rule_mapping!$C$2:$C$325, 0))=FALSE, LEN(data!V185) &lt;= 4)</f>
        <v>0</v>
      </c>
      <c r="AF185" s="4" t="b">
        <f>LEN(data!W185)&gt;0</f>
        <v>0</v>
      </c>
      <c r="AG185" s="4" t="b">
        <f>LEN(data!W185)&lt;=20</f>
        <v>1</v>
      </c>
      <c r="AH185" s="4" t="b">
        <f xml:space="preserve"> IFERROR(ISNUMBER(data!X185), FALSE)</f>
        <v>0</v>
      </c>
      <c r="AI185" s="4" t="b">
        <f>IF(ISERROR(MATCH(data!Y185, rule_mapping!$D$2:$D$252, 0))=FALSE,TRUE, FALSE)</f>
        <v>0</v>
      </c>
      <c r="AJ185" s="4" t="b">
        <f>IFERROR(ISNUMBER(data!Z185), FALSE)</f>
        <v>0</v>
      </c>
      <c r="AK185" s="4" t="b">
        <f>IFERROR(ISNUMBER(data!AA185), FALSE)</f>
        <v>0</v>
      </c>
      <c r="AL185" s="4" t="b">
        <f>LEN(data!AB185)&lt;=90</f>
        <v>1</v>
      </c>
      <c r="AM185" s="4" t="b">
        <f>LEN(data!AC185)&gt;0</f>
        <v>0</v>
      </c>
      <c r="AN185" s="4" t="b">
        <f>LEN(data!AC185)&lt;=2000</f>
        <v>1</v>
      </c>
      <c r="AO185" s="4" t="b">
        <f>IF(LEN(data!AD185)=0,TRUE,IF(LEN(data!AD185)=5,TRUE,FALSE))</f>
        <v>1</v>
      </c>
      <c r="AP185" s="4" t="b">
        <f>LEN(data!AE185)&gt;0</f>
        <v>0</v>
      </c>
      <c r="AQ185" s="4" t="b">
        <f>LEN(data!AE185)=5</f>
        <v>0</v>
      </c>
      <c r="AR185" s="4" t="b">
        <f>ISERROR(MATCH(data!AF185, rule_mapping!$B$2:$B$3, 0))=FALSE</f>
        <v>0</v>
      </c>
      <c r="AS185" s="4" t="b">
        <f>ISERROR(MATCH(data!AG185, rule_mapping!$A$2:$A$8, 0))=FALSE</f>
        <v>0</v>
      </c>
      <c r="AT185" s="4" t="b">
        <f>LEN(data!AH185)&lt;=4</f>
        <v>1</v>
      </c>
      <c r="AU185" s="4" t="b">
        <f>LEN(data!AI185)&lt;=10</f>
        <v>1</v>
      </c>
      <c r="AV185" s="4" t="b">
        <f>LEN(data!AJ185)&lt;=35</f>
        <v>1</v>
      </c>
      <c r="AW185" s="4" t="b">
        <f>LEN(data!AK185)&lt;=20</f>
        <v>1</v>
      </c>
      <c r="AX185"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6" spans="1:50" ht="409.5" x14ac:dyDescent="0.15">
      <c r="A186" s="4" t="b">
        <f>OR(ISBLANK(data!B186), AND(B186:AW186))</f>
        <v>1</v>
      </c>
      <c r="B186" s="4" t="b">
        <f>AND(LEFT(TRIM(data!B186), 4)="OOLU", ISNUMBER(RIGHT(TRIM(data!B186), LEN(TRIM(data!B186))-4)+0))</f>
        <v>0</v>
      </c>
      <c r="C186" s="4" t="b">
        <f>LEN(data!C186)&gt;0</f>
        <v>0</v>
      </c>
      <c r="D186" s="4" t="b">
        <f>LEN(data!C186)&lt;=70</f>
        <v>1</v>
      </c>
      <c r="E186" s="4" t="b">
        <f>LEN(data!D186)&gt;0</f>
        <v>0</v>
      </c>
      <c r="F186" s="4" t="b">
        <f>LEN(data!D186)&lt;=140</f>
        <v>1</v>
      </c>
      <c r="G186" s="4" t="b">
        <f>LEN(data!E186)&gt;0</f>
        <v>0</v>
      </c>
      <c r="H186" s="4" t="b">
        <f>LEN(data!E186)&lt;=35</f>
        <v>1</v>
      </c>
      <c r="I186" s="4" t="b">
        <f>LEN(data!F186)=2</f>
        <v>0</v>
      </c>
      <c r="J186" s="4" t="b">
        <f>LEN(data!G186)&gt;0</f>
        <v>0</v>
      </c>
      <c r="K186" s="4" t="b">
        <f>LEN(data!G186)&lt;=60</f>
        <v>1</v>
      </c>
      <c r="L186" s="4" t="b">
        <f>LEN(data!I186)&gt;0</f>
        <v>0</v>
      </c>
      <c r="M186" s="4" t="b">
        <f>LEN(data!I186)&lt;=70</f>
        <v>1</v>
      </c>
      <c r="N186" s="4" t="b">
        <f>LEN(data!J186)&gt;0</f>
        <v>0</v>
      </c>
      <c r="O186" s="4" t="b">
        <f>LEN(data!J186)&lt;=140</f>
        <v>1</v>
      </c>
      <c r="P186" s="4" t="b">
        <f>LEN(data!K186)&gt;0</f>
        <v>0</v>
      </c>
      <c r="Q186" s="4" t="b">
        <f>LEN(data!K186)&lt;=35</f>
        <v>1</v>
      </c>
      <c r="R186" s="4" t="b">
        <f>LEN(data!L186)=2</f>
        <v>0</v>
      </c>
      <c r="S186" s="4" t="b">
        <f>LEN(data!M186)&gt;0</f>
        <v>0</v>
      </c>
      <c r="T186" s="4" t="b">
        <f>LEN(data!M186)&lt;=60</f>
        <v>1</v>
      </c>
      <c r="U186" s="4" t="b">
        <f>LEN(data!O186)&gt;0</f>
        <v>0</v>
      </c>
      <c r="V186" s="4" t="b">
        <f>LEN(data!O186)&lt;=70</f>
        <v>1</v>
      </c>
      <c r="W186" s="4" t="b">
        <f>LEN(data!P186)&gt;0</f>
        <v>0</v>
      </c>
      <c r="X186" s="4" t="b">
        <f>LEN(data!P186)&lt;=140</f>
        <v>1</v>
      </c>
      <c r="Y186" s="4" t="b">
        <f>LEN(data!Q186)&gt;0</f>
        <v>0</v>
      </c>
      <c r="Z186" s="4" t="b">
        <f>LEN(data!Q186)&lt;=35</f>
        <v>1</v>
      </c>
      <c r="AA186" s="4" t="b">
        <f>LEN(data!R186)=2</f>
        <v>0</v>
      </c>
      <c r="AB186" s="4" t="b">
        <f>LEN(data!S186)&gt;0</f>
        <v>0</v>
      </c>
      <c r="AC186" s="4" t="b">
        <f>LEN(data!S186)&lt;=120</f>
        <v>1</v>
      </c>
      <c r="AD186" s="4" t="b">
        <f>LEN(data!U186)=11</f>
        <v>0</v>
      </c>
      <c r="AE186" s="4" t="b">
        <f>AND(ISERROR(MATCH(data!V186, rule_mapping!$C$2:$C$325, 0))=FALSE, LEN(data!V186) &lt;= 4)</f>
        <v>0</v>
      </c>
      <c r="AF186" s="4" t="b">
        <f>LEN(data!W186)&gt;0</f>
        <v>0</v>
      </c>
      <c r="AG186" s="4" t="b">
        <f>LEN(data!W186)&lt;=20</f>
        <v>1</v>
      </c>
      <c r="AH186" s="4" t="b">
        <f xml:space="preserve"> IFERROR(ISNUMBER(data!X186), FALSE)</f>
        <v>0</v>
      </c>
      <c r="AI186" s="4" t="b">
        <f>IF(ISERROR(MATCH(data!Y186, rule_mapping!$D$2:$D$252, 0))=FALSE,TRUE, FALSE)</f>
        <v>0</v>
      </c>
      <c r="AJ186" s="4" t="b">
        <f>IFERROR(ISNUMBER(data!Z186), FALSE)</f>
        <v>0</v>
      </c>
      <c r="AK186" s="4" t="b">
        <f>IFERROR(ISNUMBER(data!AA186), FALSE)</f>
        <v>0</v>
      </c>
      <c r="AL186" s="4" t="b">
        <f>LEN(data!AB186)&lt;=90</f>
        <v>1</v>
      </c>
      <c r="AM186" s="4" t="b">
        <f>LEN(data!AC186)&gt;0</f>
        <v>0</v>
      </c>
      <c r="AN186" s="4" t="b">
        <f>LEN(data!AC186)&lt;=2000</f>
        <v>1</v>
      </c>
      <c r="AO186" s="4" t="b">
        <f>IF(LEN(data!AD186)=0,TRUE,IF(LEN(data!AD186)=5,TRUE,FALSE))</f>
        <v>1</v>
      </c>
      <c r="AP186" s="4" t="b">
        <f>LEN(data!AE186)&gt;0</f>
        <v>0</v>
      </c>
      <c r="AQ186" s="4" t="b">
        <f>LEN(data!AE186)=5</f>
        <v>0</v>
      </c>
      <c r="AR186" s="4" t="b">
        <f>ISERROR(MATCH(data!AF186, rule_mapping!$B$2:$B$3, 0))=FALSE</f>
        <v>0</v>
      </c>
      <c r="AS186" s="4" t="b">
        <f>ISERROR(MATCH(data!AG186, rule_mapping!$A$2:$A$8, 0))=FALSE</f>
        <v>0</v>
      </c>
      <c r="AT186" s="4" t="b">
        <f>LEN(data!AH186)&lt;=4</f>
        <v>1</v>
      </c>
      <c r="AU186" s="4" t="b">
        <f>LEN(data!AI186)&lt;=10</f>
        <v>1</v>
      </c>
      <c r="AV186" s="4" t="b">
        <f>LEN(data!AJ186)&lt;=35</f>
        <v>1</v>
      </c>
      <c r="AW186" s="4" t="b">
        <f>LEN(data!AK186)&lt;=20</f>
        <v>1</v>
      </c>
      <c r="AX186"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7" spans="1:50" ht="409.5" x14ac:dyDescent="0.15">
      <c r="A187" s="4" t="b">
        <f>OR(ISBLANK(data!B187), AND(B187:AW187))</f>
        <v>1</v>
      </c>
      <c r="B187" s="4" t="b">
        <f>AND(LEFT(TRIM(data!B187), 4)="OOLU", ISNUMBER(RIGHT(TRIM(data!B187), LEN(TRIM(data!B187))-4)+0))</f>
        <v>0</v>
      </c>
      <c r="C187" s="4" t="b">
        <f>LEN(data!C187)&gt;0</f>
        <v>0</v>
      </c>
      <c r="D187" s="4" t="b">
        <f>LEN(data!C187)&lt;=70</f>
        <v>1</v>
      </c>
      <c r="E187" s="4" t="b">
        <f>LEN(data!D187)&gt;0</f>
        <v>0</v>
      </c>
      <c r="F187" s="4" t="b">
        <f>LEN(data!D187)&lt;=140</f>
        <v>1</v>
      </c>
      <c r="G187" s="4" t="b">
        <f>LEN(data!E187)&gt;0</f>
        <v>0</v>
      </c>
      <c r="H187" s="4" t="b">
        <f>LEN(data!E187)&lt;=35</f>
        <v>1</v>
      </c>
      <c r="I187" s="4" t="b">
        <f>LEN(data!F187)=2</f>
        <v>0</v>
      </c>
      <c r="J187" s="4" t="b">
        <f>LEN(data!G187)&gt;0</f>
        <v>0</v>
      </c>
      <c r="K187" s="4" t="b">
        <f>LEN(data!G187)&lt;=60</f>
        <v>1</v>
      </c>
      <c r="L187" s="4" t="b">
        <f>LEN(data!I187)&gt;0</f>
        <v>0</v>
      </c>
      <c r="M187" s="4" t="b">
        <f>LEN(data!I187)&lt;=70</f>
        <v>1</v>
      </c>
      <c r="N187" s="4" t="b">
        <f>LEN(data!J187)&gt;0</f>
        <v>0</v>
      </c>
      <c r="O187" s="4" t="b">
        <f>LEN(data!J187)&lt;=140</f>
        <v>1</v>
      </c>
      <c r="P187" s="4" t="b">
        <f>LEN(data!K187)&gt;0</f>
        <v>0</v>
      </c>
      <c r="Q187" s="4" t="b">
        <f>LEN(data!K187)&lt;=35</f>
        <v>1</v>
      </c>
      <c r="R187" s="4" t="b">
        <f>LEN(data!L187)=2</f>
        <v>0</v>
      </c>
      <c r="S187" s="4" t="b">
        <f>LEN(data!M187)&gt;0</f>
        <v>0</v>
      </c>
      <c r="T187" s="4" t="b">
        <f>LEN(data!M187)&lt;=60</f>
        <v>1</v>
      </c>
      <c r="U187" s="4" t="b">
        <f>LEN(data!O187)&gt;0</f>
        <v>0</v>
      </c>
      <c r="V187" s="4" t="b">
        <f>LEN(data!O187)&lt;=70</f>
        <v>1</v>
      </c>
      <c r="W187" s="4" t="b">
        <f>LEN(data!P187)&gt;0</f>
        <v>0</v>
      </c>
      <c r="X187" s="4" t="b">
        <f>LEN(data!P187)&lt;=140</f>
        <v>1</v>
      </c>
      <c r="Y187" s="4" t="b">
        <f>LEN(data!Q187)&gt;0</f>
        <v>0</v>
      </c>
      <c r="Z187" s="4" t="b">
        <f>LEN(data!Q187)&lt;=35</f>
        <v>1</v>
      </c>
      <c r="AA187" s="4" t="b">
        <f>LEN(data!R187)=2</f>
        <v>0</v>
      </c>
      <c r="AB187" s="4" t="b">
        <f>LEN(data!S187)&gt;0</f>
        <v>0</v>
      </c>
      <c r="AC187" s="4" t="b">
        <f>LEN(data!S187)&lt;=120</f>
        <v>1</v>
      </c>
      <c r="AD187" s="4" t="b">
        <f>LEN(data!U187)=11</f>
        <v>0</v>
      </c>
      <c r="AE187" s="4" t="b">
        <f>AND(ISERROR(MATCH(data!V187, rule_mapping!$C$2:$C$325, 0))=FALSE, LEN(data!V187) &lt;= 4)</f>
        <v>0</v>
      </c>
      <c r="AF187" s="4" t="b">
        <f>LEN(data!W187)&gt;0</f>
        <v>0</v>
      </c>
      <c r="AG187" s="4" t="b">
        <f>LEN(data!W187)&lt;=20</f>
        <v>1</v>
      </c>
      <c r="AH187" s="4" t="b">
        <f xml:space="preserve"> IFERROR(ISNUMBER(data!X187), FALSE)</f>
        <v>0</v>
      </c>
      <c r="AI187" s="4" t="b">
        <f>IF(ISERROR(MATCH(data!Y187, rule_mapping!$D$2:$D$252, 0))=FALSE,TRUE, FALSE)</f>
        <v>0</v>
      </c>
      <c r="AJ187" s="4" t="b">
        <f>IFERROR(ISNUMBER(data!Z187), FALSE)</f>
        <v>0</v>
      </c>
      <c r="AK187" s="4" t="b">
        <f>IFERROR(ISNUMBER(data!AA187), FALSE)</f>
        <v>0</v>
      </c>
      <c r="AL187" s="4" t="b">
        <f>LEN(data!AB187)&lt;=90</f>
        <v>1</v>
      </c>
      <c r="AM187" s="4" t="b">
        <f>LEN(data!AC187)&gt;0</f>
        <v>0</v>
      </c>
      <c r="AN187" s="4" t="b">
        <f>LEN(data!AC187)&lt;=2000</f>
        <v>1</v>
      </c>
      <c r="AO187" s="4" t="b">
        <f>IF(LEN(data!AD187)=0,TRUE,IF(LEN(data!AD187)=5,TRUE,FALSE))</f>
        <v>1</v>
      </c>
      <c r="AP187" s="4" t="b">
        <f>LEN(data!AE187)&gt;0</f>
        <v>0</v>
      </c>
      <c r="AQ187" s="4" t="b">
        <f>LEN(data!AE187)=5</f>
        <v>0</v>
      </c>
      <c r="AR187" s="4" t="b">
        <f>ISERROR(MATCH(data!AF187, rule_mapping!$B$2:$B$3, 0))=FALSE</f>
        <v>0</v>
      </c>
      <c r="AS187" s="4" t="b">
        <f>ISERROR(MATCH(data!AG187, rule_mapping!$A$2:$A$8, 0))=FALSE</f>
        <v>0</v>
      </c>
      <c r="AT187" s="4" t="b">
        <f>LEN(data!AH187)&lt;=4</f>
        <v>1</v>
      </c>
      <c r="AU187" s="4" t="b">
        <f>LEN(data!AI187)&lt;=10</f>
        <v>1</v>
      </c>
      <c r="AV187" s="4" t="b">
        <f>LEN(data!AJ187)&lt;=35</f>
        <v>1</v>
      </c>
      <c r="AW187" s="4" t="b">
        <f>LEN(data!AK187)&lt;=20</f>
        <v>1</v>
      </c>
      <c r="AX187"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8" spans="1:50" ht="409.5" x14ac:dyDescent="0.15">
      <c r="A188" s="4" t="b">
        <f>OR(ISBLANK(data!B188), AND(B188:AW188))</f>
        <v>1</v>
      </c>
      <c r="B188" s="4" t="b">
        <f>AND(LEFT(TRIM(data!B188), 4)="OOLU", ISNUMBER(RIGHT(TRIM(data!B188), LEN(TRIM(data!B188))-4)+0))</f>
        <v>0</v>
      </c>
      <c r="C188" s="4" t="b">
        <f>LEN(data!C188)&gt;0</f>
        <v>0</v>
      </c>
      <c r="D188" s="4" t="b">
        <f>LEN(data!C188)&lt;=70</f>
        <v>1</v>
      </c>
      <c r="E188" s="4" t="b">
        <f>LEN(data!D188)&gt;0</f>
        <v>0</v>
      </c>
      <c r="F188" s="4" t="b">
        <f>LEN(data!D188)&lt;=140</f>
        <v>1</v>
      </c>
      <c r="G188" s="4" t="b">
        <f>LEN(data!E188)&gt;0</f>
        <v>0</v>
      </c>
      <c r="H188" s="4" t="b">
        <f>LEN(data!E188)&lt;=35</f>
        <v>1</v>
      </c>
      <c r="I188" s="4" t="b">
        <f>LEN(data!F188)=2</f>
        <v>0</v>
      </c>
      <c r="J188" s="4" t="b">
        <f>LEN(data!G188)&gt;0</f>
        <v>0</v>
      </c>
      <c r="K188" s="4" t="b">
        <f>LEN(data!G188)&lt;=60</f>
        <v>1</v>
      </c>
      <c r="L188" s="4" t="b">
        <f>LEN(data!I188)&gt;0</f>
        <v>0</v>
      </c>
      <c r="M188" s="4" t="b">
        <f>LEN(data!I188)&lt;=70</f>
        <v>1</v>
      </c>
      <c r="N188" s="4" t="b">
        <f>LEN(data!J188)&gt;0</f>
        <v>0</v>
      </c>
      <c r="O188" s="4" t="b">
        <f>LEN(data!J188)&lt;=140</f>
        <v>1</v>
      </c>
      <c r="P188" s="4" t="b">
        <f>LEN(data!K188)&gt;0</f>
        <v>0</v>
      </c>
      <c r="Q188" s="4" t="b">
        <f>LEN(data!K188)&lt;=35</f>
        <v>1</v>
      </c>
      <c r="R188" s="4" t="b">
        <f>LEN(data!L188)=2</f>
        <v>0</v>
      </c>
      <c r="S188" s="4" t="b">
        <f>LEN(data!M188)&gt;0</f>
        <v>0</v>
      </c>
      <c r="T188" s="4" t="b">
        <f>LEN(data!M188)&lt;=60</f>
        <v>1</v>
      </c>
      <c r="U188" s="4" t="b">
        <f>LEN(data!O188)&gt;0</f>
        <v>0</v>
      </c>
      <c r="V188" s="4" t="b">
        <f>LEN(data!O188)&lt;=70</f>
        <v>1</v>
      </c>
      <c r="W188" s="4" t="b">
        <f>LEN(data!P188)&gt;0</f>
        <v>0</v>
      </c>
      <c r="X188" s="4" t="b">
        <f>LEN(data!P188)&lt;=140</f>
        <v>1</v>
      </c>
      <c r="Y188" s="4" t="b">
        <f>LEN(data!Q188)&gt;0</f>
        <v>0</v>
      </c>
      <c r="Z188" s="4" t="b">
        <f>LEN(data!Q188)&lt;=35</f>
        <v>1</v>
      </c>
      <c r="AA188" s="4" t="b">
        <f>LEN(data!R188)=2</f>
        <v>0</v>
      </c>
      <c r="AB188" s="4" t="b">
        <f>LEN(data!S188)&gt;0</f>
        <v>0</v>
      </c>
      <c r="AC188" s="4" t="b">
        <f>LEN(data!S188)&lt;=120</f>
        <v>1</v>
      </c>
      <c r="AD188" s="4" t="b">
        <f>LEN(data!U188)=11</f>
        <v>0</v>
      </c>
      <c r="AE188" s="4" t="b">
        <f>AND(ISERROR(MATCH(data!V188, rule_mapping!$C$2:$C$325, 0))=FALSE, LEN(data!V188) &lt;= 4)</f>
        <v>0</v>
      </c>
      <c r="AF188" s="4" t="b">
        <f>LEN(data!W188)&gt;0</f>
        <v>0</v>
      </c>
      <c r="AG188" s="4" t="b">
        <f>LEN(data!W188)&lt;=20</f>
        <v>1</v>
      </c>
      <c r="AH188" s="4" t="b">
        <f xml:space="preserve"> IFERROR(ISNUMBER(data!X188), FALSE)</f>
        <v>0</v>
      </c>
      <c r="AI188" s="4" t="b">
        <f>IF(ISERROR(MATCH(data!Y188, rule_mapping!$D$2:$D$252, 0))=FALSE,TRUE, FALSE)</f>
        <v>0</v>
      </c>
      <c r="AJ188" s="4" t="b">
        <f>IFERROR(ISNUMBER(data!Z188), FALSE)</f>
        <v>0</v>
      </c>
      <c r="AK188" s="4" t="b">
        <f>IFERROR(ISNUMBER(data!AA188), FALSE)</f>
        <v>0</v>
      </c>
      <c r="AL188" s="4" t="b">
        <f>LEN(data!AB188)&lt;=90</f>
        <v>1</v>
      </c>
      <c r="AM188" s="4" t="b">
        <f>LEN(data!AC188)&gt;0</f>
        <v>0</v>
      </c>
      <c r="AN188" s="4" t="b">
        <f>LEN(data!AC188)&lt;=2000</f>
        <v>1</v>
      </c>
      <c r="AO188" s="4" t="b">
        <f>IF(LEN(data!AD188)=0,TRUE,IF(LEN(data!AD188)=5,TRUE,FALSE))</f>
        <v>1</v>
      </c>
      <c r="AP188" s="4" t="b">
        <f>LEN(data!AE188)&gt;0</f>
        <v>0</v>
      </c>
      <c r="AQ188" s="4" t="b">
        <f>LEN(data!AE188)=5</f>
        <v>0</v>
      </c>
      <c r="AR188" s="4" t="b">
        <f>ISERROR(MATCH(data!AF188, rule_mapping!$B$2:$B$3, 0))=FALSE</f>
        <v>0</v>
      </c>
      <c r="AS188" s="4" t="b">
        <f>ISERROR(MATCH(data!AG188, rule_mapping!$A$2:$A$8, 0))=FALSE</f>
        <v>0</v>
      </c>
      <c r="AT188" s="4" t="b">
        <f>LEN(data!AH188)&lt;=4</f>
        <v>1</v>
      </c>
      <c r="AU188" s="4" t="b">
        <f>LEN(data!AI188)&lt;=10</f>
        <v>1</v>
      </c>
      <c r="AV188" s="4" t="b">
        <f>LEN(data!AJ188)&lt;=35</f>
        <v>1</v>
      </c>
      <c r="AW188" s="4" t="b">
        <f>LEN(data!AK188)&lt;=20</f>
        <v>1</v>
      </c>
      <c r="AX188"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89" spans="1:50" ht="409.5" x14ac:dyDescent="0.15">
      <c r="A189" s="4" t="b">
        <f>OR(ISBLANK(data!B189), AND(B189:AW189))</f>
        <v>1</v>
      </c>
      <c r="B189" s="4" t="b">
        <f>AND(LEFT(TRIM(data!B189), 4)="OOLU", ISNUMBER(RIGHT(TRIM(data!B189), LEN(TRIM(data!B189))-4)+0))</f>
        <v>0</v>
      </c>
      <c r="C189" s="4" t="b">
        <f>LEN(data!C189)&gt;0</f>
        <v>0</v>
      </c>
      <c r="D189" s="4" t="b">
        <f>LEN(data!C189)&lt;=70</f>
        <v>1</v>
      </c>
      <c r="E189" s="4" t="b">
        <f>LEN(data!D189)&gt;0</f>
        <v>0</v>
      </c>
      <c r="F189" s="4" t="b">
        <f>LEN(data!D189)&lt;=140</f>
        <v>1</v>
      </c>
      <c r="G189" s="4" t="b">
        <f>LEN(data!E189)&gt;0</f>
        <v>0</v>
      </c>
      <c r="H189" s="4" t="b">
        <f>LEN(data!E189)&lt;=35</f>
        <v>1</v>
      </c>
      <c r="I189" s="4" t="b">
        <f>LEN(data!F189)=2</f>
        <v>0</v>
      </c>
      <c r="J189" s="4" t="b">
        <f>LEN(data!G189)&gt;0</f>
        <v>0</v>
      </c>
      <c r="K189" s="4" t="b">
        <f>LEN(data!G189)&lt;=60</f>
        <v>1</v>
      </c>
      <c r="L189" s="4" t="b">
        <f>LEN(data!I189)&gt;0</f>
        <v>0</v>
      </c>
      <c r="M189" s="4" t="b">
        <f>LEN(data!I189)&lt;=70</f>
        <v>1</v>
      </c>
      <c r="N189" s="4" t="b">
        <f>LEN(data!J189)&gt;0</f>
        <v>0</v>
      </c>
      <c r="O189" s="4" t="b">
        <f>LEN(data!J189)&lt;=140</f>
        <v>1</v>
      </c>
      <c r="P189" s="4" t="b">
        <f>LEN(data!K189)&gt;0</f>
        <v>0</v>
      </c>
      <c r="Q189" s="4" t="b">
        <f>LEN(data!K189)&lt;=35</f>
        <v>1</v>
      </c>
      <c r="R189" s="4" t="b">
        <f>LEN(data!L189)=2</f>
        <v>0</v>
      </c>
      <c r="S189" s="4" t="b">
        <f>LEN(data!M189)&gt;0</f>
        <v>0</v>
      </c>
      <c r="T189" s="4" t="b">
        <f>LEN(data!M189)&lt;=60</f>
        <v>1</v>
      </c>
      <c r="U189" s="4" t="b">
        <f>LEN(data!O189)&gt;0</f>
        <v>0</v>
      </c>
      <c r="V189" s="4" t="b">
        <f>LEN(data!O189)&lt;=70</f>
        <v>1</v>
      </c>
      <c r="W189" s="4" t="b">
        <f>LEN(data!P189)&gt;0</f>
        <v>0</v>
      </c>
      <c r="X189" s="4" t="b">
        <f>LEN(data!P189)&lt;=140</f>
        <v>1</v>
      </c>
      <c r="Y189" s="4" t="b">
        <f>LEN(data!Q189)&gt;0</f>
        <v>0</v>
      </c>
      <c r="Z189" s="4" t="b">
        <f>LEN(data!Q189)&lt;=35</f>
        <v>1</v>
      </c>
      <c r="AA189" s="4" t="b">
        <f>LEN(data!R189)=2</f>
        <v>0</v>
      </c>
      <c r="AB189" s="4" t="b">
        <f>LEN(data!S189)&gt;0</f>
        <v>0</v>
      </c>
      <c r="AC189" s="4" t="b">
        <f>LEN(data!S189)&lt;=120</f>
        <v>1</v>
      </c>
      <c r="AD189" s="4" t="b">
        <f>LEN(data!U189)=11</f>
        <v>0</v>
      </c>
      <c r="AE189" s="4" t="b">
        <f>AND(ISERROR(MATCH(data!V189, rule_mapping!$C$2:$C$325, 0))=FALSE, LEN(data!V189) &lt;= 4)</f>
        <v>0</v>
      </c>
      <c r="AF189" s="4" t="b">
        <f>LEN(data!W189)&gt;0</f>
        <v>0</v>
      </c>
      <c r="AG189" s="4" t="b">
        <f>LEN(data!W189)&lt;=20</f>
        <v>1</v>
      </c>
      <c r="AH189" s="4" t="b">
        <f xml:space="preserve"> IFERROR(ISNUMBER(data!X189), FALSE)</f>
        <v>0</v>
      </c>
      <c r="AI189" s="4" t="b">
        <f>IF(ISERROR(MATCH(data!Y189, rule_mapping!$D$2:$D$252, 0))=FALSE,TRUE, FALSE)</f>
        <v>0</v>
      </c>
      <c r="AJ189" s="4" t="b">
        <f>IFERROR(ISNUMBER(data!Z189), FALSE)</f>
        <v>0</v>
      </c>
      <c r="AK189" s="4" t="b">
        <f>IFERROR(ISNUMBER(data!AA189), FALSE)</f>
        <v>0</v>
      </c>
      <c r="AL189" s="4" t="b">
        <f>LEN(data!AB189)&lt;=90</f>
        <v>1</v>
      </c>
      <c r="AM189" s="4" t="b">
        <f>LEN(data!AC189)&gt;0</f>
        <v>0</v>
      </c>
      <c r="AN189" s="4" t="b">
        <f>LEN(data!AC189)&lt;=2000</f>
        <v>1</v>
      </c>
      <c r="AO189" s="4" t="b">
        <f>IF(LEN(data!AD189)=0,TRUE,IF(LEN(data!AD189)=5,TRUE,FALSE))</f>
        <v>1</v>
      </c>
      <c r="AP189" s="4" t="b">
        <f>LEN(data!AE189)&gt;0</f>
        <v>0</v>
      </c>
      <c r="AQ189" s="4" t="b">
        <f>LEN(data!AE189)=5</f>
        <v>0</v>
      </c>
      <c r="AR189" s="4" t="b">
        <f>ISERROR(MATCH(data!AF189, rule_mapping!$B$2:$B$3, 0))=FALSE</f>
        <v>0</v>
      </c>
      <c r="AS189" s="4" t="b">
        <f>ISERROR(MATCH(data!AG189, rule_mapping!$A$2:$A$8, 0))=FALSE</f>
        <v>0</v>
      </c>
      <c r="AT189" s="4" t="b">
        <f>LEN(data!AH189)&lt;=4</f>
        <v>1</v>
      </c>
      <c r="AU189" s="4" t="b">
        <f>LEN(data!AI189)&lt;=10</f>
        <v>1</v>
      </c>
      <c r="AV189" s="4" t="b">
        <f>LEN(data!AJ189)&lt;=35</f>
        <v>1</v>
      </c>
      <c r="AW189" s="4" t="b">
        <f>LEN(data!AK189)&lt;=20</f>
        <v>1</v>
      </c>
      <c r="AX189"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0" spans="1:50" ht="409.5" x14ac:dyDescent="0.15">
      <c r="A190" s="4" t="b">
        <f>OR(ISBLANK(data!B190), AND(B190:AW190))</f>
        <v>1</v>
      </c>
      <c r="B190" s="4" t="b">
        <f>AND(LEFT(TRIM(data!B190), 4)="OOLU", ISNUMBER(RIGHT(TRIM(data!B190), LEN(TRIM(data!B190))-4)+0))</f>
        <v>0</v>
      </c>
      <c r="C190" s="4" t="b">
        <f>LEN(data!C190)&gt;0</f>
        <v>0</v>
      </c>
      <c r="D190" s="4" t="b">
        <f>LEN(data!C190)&lt;=70</f>
        <v>1</v>
      </c>
      <c r="E190" s="4" t="b">
        <f>LEN(data!D190)&gt;0</f>
        <v>0</v>
      </c>
      <c r="F190" s="4" t="b">
        <f>LEN(data!D190)&lt;=140</f>
        <v>1</v>
      </c>
      <c r="G190" s="4" t="b">
        <f>LEN(data!E190)&gt;0</f>
        <v>0</v>
      </c>
      <c r="H190" s="4" t="b">
        <f>LEN(data!E190)&lt;=35</f>
        <v>1</v>
      </c>
      <c r="I190" s="4" t="b">
        <f>LEN(data!F190)=2</f>
        <v>0</v>
      </c>
      <c r="J190" s="4" t="b">
        <f>LEN(data!G190)&gt;0</f>
        <v>0</v>
      </c>
      <c r="K190" s="4" t="b">
        <f>LEN(data!G190)&lt;=60</f>
        <v>1</v>
      </c>
      <c r="L190" s="4" t="b">
        <f>LEN(data!I190)&gt;0</f>
        <v>0</v>
      </c>
      <c r="M190" s="4" t="b">
        <f>LEN(data!I190)&lt;=70</f>
        <v>1</v>
      </c>
      <c r="N190" s="4" t="b">
        <f>LEN(data!J190)&gt;0</f>
        <v>0</v>
      </c>
      <c r="O190" s="4" t="b">
        <f>LEN(data!J190)&lt;=140</f>
        <v>1</v>
      </c>
      <c r="P190" s="4" t="b">
        <f>LEN(data!K190)&gt;0</f>
        <v>0</v>
      </c>
      <c r="Q190" s="4" t="b">
        <f>LEN(data!K190)&lt;=35</f>
        <v>1</v>
      </c>
      <c r="R190" s="4" t="b">
        <f>LEN(data!L190)=2</f>
        <v>0</v>
      </c>
      <c r="S190" s="4" t="b">
        <f>LEN(data!M190)&gt;0</f>
        <v>0</v>
      </c>
      <c r="T190" s="4" t="b">
        <f>LEN(data!M190)&lt;=60</f>
        <v>1</v>
      </c>
      <c r="U190" s="4" t="b">
        <f>LEN(data!O190)&gt;0</f>
        <v>0</v>
      </c>
      <c r="V190" s="4" t="b">
        <f>LEN(data!O190)&lt;=70</f>
        <v>1</v>
      </c>
      <c r="W190" s="4" t="b">
        <f>LEN(data!P190)&gt;0</f>
        <v>0</v>
      </c>
      <c r="X190" s="4" t="b">
        <f>LEN(data!P190)&lt;=140</f>
        <v>1</v>
      </c>
      <c r="Y190" s="4" t="b">
        <f>LEN(data!Q190)&gt;0</f>
        <v>0</v>
      </c>
      <c r="Z190" s="4" t="b">
        <f>LEN(data!Q190)&lt;=35</f>
        <v>1</v>
      </c>
      <c r="AA190" s="4" t="b">
        <f>LEN(data!R190)=2</f>
        <v>0</v>
      </c>
      <c r="AB190" s="4" t="b">
        <f>LEN(data!S190)&gt;0</f>
        <v>0</v>
      </c>
      <c r="AC190" s="4" t="b">
        <f>LEN(data!S190)&lt;=120</f>
        <v>1</v>
      </c>
      <c r="AD190" s="4" t="b">
        <f>LEN(data!U190)=11</f>
        <v>0</v>
      </c>
      <c r="AE190" s="4" t="b">
        <f>AND(ISERROR(MATCH(data!V190, rule_mapping!$C$2:$C$325, 0))=FALSE, LEN(data!V190) &lt;= 4)</f>
        <v>0</v>
      </c>
      <c r="AF190" s="4" t="b">
        <f>LEN(data!W190)&gt;0</f>
        <v>0</v>
      </c>
      <c r="AG190" s="4" t="b">
        <f>LEN(data!W190)&lt;=20</f>
        <v>1</v>
      </c>
      <c r="AH190" s="4" t="b">
        <f xml:space="preserve"> IFERROR(ISNUMBER(data!X190), FALSE)</f>
        <v>0</v>
      </c>
      <c r="AI190" s="4" t="b">
        <f>IF(ISERROR(MATCH(data!Y190, rule_mapping!$D$2:$D$252, 0))=FALSE,TRUE, FALSE)</f>
        <v>0</v>
      </c>
      <c r="AJ190" s="4" t="b">
        <f>IFERROR(ISNUMBER(data!Z190), FALSE)</f>
        <v>0</v>
      </c>
      <c r="AK190" s="4" t="b">
        <f>IFERROR(ISNUMBER(data!AA190), FALSE)</f>
        <v>0</v>
      </c>
      <c r="AL190" s="4" t="b">
        <f>LEN(data!AB190)&lt;=90</f>
        <v>1</v>
      </c>
      <c r="AM190" s="4" t="b">
        <f>LEN(data!AC190)&gt;0</f>
        <v>0</v>
      </c>
      <c r="AN190" s="4" t="b">
        <f>LEN(data!AC190)&lt;=2000</f>
        <v>1</v>
      </c>
      <c r="AO190" s="4" t="b">
        <f>IF(LEN(data!AD190)=0,TRUE,IF(LEN(data!AD190)=5,TRUE,FALSE))</f>
        <v>1</v>
      </c>
      <c r="AP190" s="4" t="b">
        <f>LEN(data!AE190)&gt;0</f>
        <v>0</v>
      </c>
      <c r="AQ190" s="4" t="b">
        <f>LEN(data!AE190)=5</f>
        <v>0</v>
      </c>
      <c r="AR190" s="4" t="b">
        <f>ISERROR(MATCH(data!AF190, rule_mapping!$B$2:$B$3, 0))=FALSE</f>
        <v>0</v>
      </c>
      <c r="AS190" s="4" t="b">
        <f>ISERROR(MATCH(data!AG190, rule_mapping!$A$2:$A$8, 0))=FALSE</f>
        <v>0</v>
      </c>
      <c r="AT190" s="4" t="b">
        <f>LEN(data!AH190)&lt;=4</f>
        <v>1</v>
      </c>
      <c r="AU190" s="4" t="b">
        <f>LEN(data!AI190)&lt;=10</f>
        <v>1</v>
      </c>
      <c r="AV190" s="4" t="b">
        <f>LEN(data!AJ190)&lt;=35</f>
        <v>1</v>
      </c>
      <c r="AW190" s="4" t="b">
        <f>LEN(data!AK190)&lt;=20</f>
        <v>1</v>
      </c>
      <c r="AX190"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1" spans="1:50" ht="409.5" x14ac:dyDescent="0.15">
      <c r="A191" s="4" t="b">
        <f>OR(ISBLANK(data!B191), AND(B191:AW191))</f>
        <v>1</v>
      </c>
      <c r="B191" s="4" t="b">
        <f>AND(LEFT(TRIM(data!B191), 4)="OOLU", ISNUMBER(RIGHT(TRIM(data!B191), LEN(TRIM(data!B191))-4)+0))</f>
        <v>0</v>
      </c>
      <c r="C191" s="4" t="b">
        <f>LEN(data!C191)&gt;0</f>
        <v>0</v>
      </c>
      <c r="D191" s="4" t="b">
        <f>LEN(data!C191)&lt;=70</f>
        <v>1</v>
      </c>
      <c r="E191" s="4" t="b">
        <f>LEN(data!D191)&gt;0</f>
        <v>0</v>
      </c>
      <c r="F191" s="4" t="b">
        <f>LEN(data!D191)&lt;=140</f>
        <v>1</v>
      </c>
      <c r="G191" s="4" t="b">
        <f>LEN(data!E191)&gt;0</f>
        <v>0</v>
      </c>
      <c r="H191" s="4" t="b">
        <f>LEN(data!E191)&lt;=35</f>
        <v>1</v>
      </c>
      <c r="I191" s="4" t="b">
        <f>LEN(data!F191)=2</f>
        <v>0</v>
      </c>
      <c r="J191" s="4" t="b">
        <f>LEN(data!G191)&gt;0</f>
        <v>0</v>
      </c>
      <c r="K191" s="4" t="b">
        <f>LEN(data!G191)&lt;=60</f>
        <v>1</v>
      </c>
      <c r="L191" s="4" t="b">
        <f>LEN(data!I191)&gt;0</f>
        <v>0</v>
      </c>
      <c r="M191" s="4" t="b">
        <f>LEN(data!I191)&lt;=70</f>
        <v>1</v>
      </c>
      <c r="N191" s="4" t="b">
        <f>LEN(data!J191)&gt;0</f>
        <v>0</v>
      </c>
      <c r="O191" s="4" t="b">
        <f>LEN(data!J191)&lt;=140</f>
        <v>1</v>
      </c>
      <c r="P191" s="4" t="b">
        <f>LEN(data!K191)&gt;0</f>
        <v>0</v>
      </c>
      <c r="Q191" s="4" t="b">
        <f>LEN(data!K191)&lt;=35</f>
        <v>1</v>
      </c>
      <c r="R191" s="4" t="b">
        <f>LEN(data!L191)=2</f>
        <v>0</v>
      </c>
      <c r="S191" s="4" t="b">
        <f>LEN(data!M191)&gt;0</f>
        <v>0</v>
      </c>
      <c r="T191" s="4" t="b">
        <f>LEN(data!M191)&lt;=60</f>
        <v>1</v>
      </c>
      <c r="U191" s="4" t="b">
        <f>LEN(data!O191)&gt;0</f>
        <v>0</v>
      </c>
      <c r="V191" s="4" t="b">
        <f>LEN(data!O191)&lt;=70</f>
        <v>1</v>
      </c>
      <c r="W191" s="4" t="b">
        <f>LEN(data!P191)&gt;0</f>
        <v>0</v>
      </c>
      <c r="X191" s="4" t="b">
        <f>LEN(data!P191)&lt;=140</f>
        <v>1</v>
      </c>
      <c r="Y191" s="4" t="b">
        <f>LEN(data!Q191)&gt;0</f>
        <v>0</v>
      </c>
      <c r="Z191" s="4" t="b">
        <f>LEN(data!Q191)&lt;=35</f>
        <v>1</v>
      </c>
      <c r="AA191" s="4" t="b">
        <f>LEN(data!R191)=2</f>
        <v>0</v>
      </c>
      <c r="AB191" s="4" t="b">
        <f>LEN(data!S191)&gt;0</f>
        <v>0</v>
      </c>
      <c r="AC191" s="4" t="b">
        <f>LEN(data!S191)&lt;=120</f>
        <v>1</v>
      </c>
      <c r="AD191" s="4" t="b">
        <f>LEN(data!U191)=11</f>
        <v>0</v>
      </c>
      <c r="AE191" s="4" t="b">
        <f>AND(ISERROR(MATCH(data!V191, rule_mapping!$C$2:$C$325, 0))=FALSE, LEN(data!V191) &lt;= 4)</f>
        <v>0</v>
      </c>
      <c r="AF191" s="4" t="b">
        <f>LEN(data!W191)&gt;0</f>
        <v>0</v>
      </c>
      <c r="AG191" s="4" t="b">
        <f>LEN(data!W191)&lt;=20</f>
        <v>1</v>
      </c>
      <c r="AH191" s="4" t="b">
        <f xml:space="preserve"> IFERROR(ISNUMBER(data!X191), FALSE)</f>
        <v>0</v>
      </c>
      <c r="AI191" s="4" t="b">
        <f>IF(ISERROR(MATCH(data!Y191, rule_mapping!$D$2:$D$252, 0))=FALSE,TRUE, FALSE)</f>
        <v>0</v>
      </c>
      <c r="AJ191" s="4" t="b">
        <f>IFERROR(ISNUMBER(data!Z191), FALSE)</f>
        <v>0</v>
      </c>
      <c r="AK191" s="4" t="b">
        <f>IFERROR(ISNUMBER(data!AA191), FALSE)</f>
        <v>0</v>
      </c>
      <c r="AL191" s="4" t="b">
        <f>LEN(data!AB191)&lt;=90</f>
        <v>1</v>
      </c>
      <c r="AM191" s="4" t="b">
        <f>LEN(data!AC191)&gt;0</f>
        <v>0</v>
      </c>
      <c r="AN191" s="4" t="b">
        <f>LEN(data!AC191)&lt;=2000</f>
        <v>1</v>
      </c>
      <c r="AO191" s="4" t="b">
        <f>IF(LEN(data!AD191)=0,TRUE,IF(LEN(data!AD191)=5,TRUE,FALSE))</f>
        <v>1</v>
      </c>
      <c r="AP191" s="4" t="b">
        <f>LEN(data!AE191)&gt;0</f>
        <v>0</v>
      </c>
      <c r="AQ191" s="4" t="b">
        <f>LEN(data!AE191)=5</f>
        <v>0</v>
      </c>
      <c r="AR191" s="4" t="b">
        <f>ISERROR(MATCH(data!AF191, rule_mapping!$B$2:$B$3, 0))=FALSE</f>
        <v>0</v>
      </c>
      <c r="AS191" s="4" t="b">
        <f>ISERROR(MATCH(data!AG191, rule_mapping!$A$2:$A$8, 0))=FALSE</f>
        <v>0</v>
      </c>
      <c r="AT191" s="4" t="b">
        <f>LEN(data!AH191)&lt;=4</f>
        <v>1</v>
      </c>
      <c r="AU191" s="4" t="b">
        <f>LEN(data!AI191)&lt;=10</f>
        <v>1</v>
      </c>
      <c r="AV191" s="4" t="b">
        <f>LEN(data!AJ191)&lt;=35</f>
        <v>1</v>
      </c>
      <c r="AW191" s="4" t="b">
        <f>LEN(data!AK191)&lt;=20</f>
        <v>1</v>
      </c>
      <c r="AX191"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2" spans="1:50" ht="409.5" x14ac:dyDescent="0.15">
      <c r="A192" s="4" t="b">
        <f>OR(ISBLANK(data!B192), AND(B192:AW192))</f>
        <v>1</v>
      </c>
      <c r="B192" s="4" t="b">
        <f>AND(LEFT(TRIM(data!B192), 4)="OOLU", ISNUMBER(RIGHT(TRIM(data!B192), LEN(TRIM(data!B192))-4)+0))</f>
        <v>0</v>
      </c>
      <c r="C192" s="4" t="b">
        <f>LEN(data!C192)&gt;0</f>
        <v>0</v>
      </c>
      <c r="D192" s="4" t="b">
        <f>LEN(data!C192)&lt;=70</f>
        <v>1</v>
      </c>
      <c r="E192" s="4" t="b">
        <f>LEN(data!D192)&gt;0</f>
        <v>0</v>
      </c>
      <c r="F192" s="4" t="b">
        <f>LEN(data!D192)&lt;=140</f>
        <v>1</v>
      </c>
      <c r="G192" s="4" t="b">
        <f>LEN(data!E192)&gt;0</f>
        <v>0</v>
      </c>
      <c r="H192" s="4" t="b">
        <f>LEN(data!E192)&lt;=35</f>
        <v>1</v>
      </c>
      <c r="I192" s="4" t="b">
        <f>LEN(data!F192)=2</f>
        <v>0</v>
      </c>
      <c r="J192" s="4" t="b">
        <f>LEN(data!G192)&gt;0</f>
        <v>0</v>
      </c>
      <c r="K192" s="4" t="b">
        <f>LEN(data!G192)&lt;=60</f>
        <v>1</v>
      </c>
      <c r="L192" s="4" t="b">
        <f>LEN(data!I192)&gt;0</f>
        <v>0</v>
      </c>
      <c r="M192" s="4" t="b">
        <f>LEN(data!I192)&lt;=70</f>
        <v>1</v>
      </c>
      <c r="N192" s="4" t="b">
        <f>LEN(data!J192)&gt;0</f>
        <v>0</v>
      </c>
      <c r="O192" s="4" t="b">
        <f>LEN(data!J192)&lt;=140</f>
        <v>1</v>
      </c>
      <c r="P192" s="4" t="b">
        <f>LEN(data!K192)&gt;0</f>
        <v>0</v>
      </c>
      <c r="Q192" s="4" t="b">
        <f>LEN(data!K192)&lt;=35</f>
        <v>1</v>
      </c>
      <c r="R192" s="4" t="b">
        <f>LEN(data!L192)=2</f>
        <v>0</v>
      </c>
      <c r="S192" s="4" t="b">
        <f>LEN(data!M192)&gt;0</f>
        <v>0</v>
      </c>
      <c r="T192" s="4" t="b">
        <f>LEN(data!M192)&lt;=60</f>
        <v>1</v>
      </c>
      <c r="U192" s="4" t="b">
        <f>LEN(data!O192)&gt;0</f>
        <v>0</v>
      </c>
      <c r="V192" s="4" t="b">
        <f>LEN(data!O192)&lt;=70</f>
        <v>1</v>
      </c>
      <c r="W192" s="4" t="b">
        <f>LEN(data!P192)&gt;0</f>
        <v>0</v>
      </c>
      <c r="X192" s="4" t="b">
        <f>LEN(data!P192)&lt;=140</f>
        <v>1</v>
      </c>
      <c r="Y192" s="4" t="b">
        <f>LEN(data!Q192)&gt;0</f>
        <v>0</v>
      </c>
      <c r="Z192" s="4" t="b">
        <f>LEN(data!Q192)&lt;=35</f>
        <v>1</v>
      </c>
      <c r="AA192" s="4" t="b">
        <f>LEN(data!R192)=2</f>
        <v>0</v>
      </c>
      <c r="AB192" s="4" t="b">
        <f>LEN(data!S192)&gt;0</f>
        <v>0</v>
      </c>
      <c r="AC192" s="4" t="b">
        <f>LEN(data!S192)&lt;=120</f>
        <v>1</v>
      </c>
      <c r="AD192" s="4" t="b">
        <f>LEN(data!U192)=11</f>
        <v>0</v>
      </c>
      <c r="AE192" s="4" t="b">
        <f>AND(ISERROR(MATCH(data!V192, rule_mapping!$C$2:$C$325, 0))=FALSE, LEN(data!V192) &lt;= 4)</f>
        <v>0</v>
      </c>
      <c r="AF192" s="4" t="b">
        <f>LEN(data!W192)&gt;0</f>
        <v>0</v>
      </c>
      <c r="AG192" s="4" t="b">
        <f>LEN(data!W192)&lt;=20</f>
        <v>1</v>
      </c>
      <c r="AH192" s="4" t="b">
        <f xml:space="preserve"> IFERROR(ISNUMBER(data!X192), FALSE)</f>
        <v>0</v>
      </c>
      <c r="AI192" s="4" t="b">
        <f>IF(ISERROR(MATCH(data!Y192, rule_mapping!$D$2:$D$252, 0))=FALSE,TRUE, FALSE)</f>
        <v>0</v>
      </c>
      <c r="AJ192" s="4" t="b">
        <f>IFERROR(ISNUMBER(data!Z192), FALSE)</f>
        <v>0</v>
      </c>
      <c r="AK192" s="4" t="b">
        <f>IFERROR(ISNUMBER(data!AA192), FALSE)</f>
        <v>0</v>
      </c>
      <c r="AL192" s="4" t="b">
        <f>LEN(data!AB192)&lt;=90</f>
        <v>1</v>
      </c>
      <c r="AM192" s="4" t="b">
        <f>LEN(data!AC192)&gt;0</f>
        <v>0</v>
      </c>
      <c r="AN192" s="4" t="b">
        <f>LEN(data!AC192)&lt;=2000</f>
        <v>1</v>
      </c>
      <c r="AO192" s="4" t="b">
        <f>IF(LEN(data!AD192)=0,TRUE,IF(LEN(data!AD192)=5,TRUE,FALSE))</f>
        <v>1</v>
      </c>
      <c r="AP192" s="4" t="b">
        <f>LEN(data!AE192)&gt;0</f>
        <v>0</v>
      </c>
      <c r="AQ192" s="4" t="b">
        <f>LEN(data!AE192)=5</f>
        <v>0</v>
      </c>
      <c r="AR192" s="4" t="b">
        <f>ISERROR(MATCH(data!AF192, rule_mapping!$B$2:$B$3, 0))=FALSE</f>
        <v>0</v>
      </c>
      <c r="AS192" s="4" t="b">
        <f>ISERROR(MATCH(data!AG192, rule_mapping!$A$2:$A$8, 0))=FALSE</f>
        <v>0</v>
      </c>
      <c r="AT192" s="4" t="b">
        <f>LEN(data!AH192)&lt;=4</f>
        <v>1</v>
      </c>
      <c r="AU192" s="4" t="b">
        <f>LEN(data!AI192)&lt;=10</f>
        <v>1</v>
      </c>
      <c r="AV192" s="4" t="b">
        <f>LEN(data!AJ192)&lt;=35</f>
        <v>1</v>
      </c>
      <c r="AW192" s="4" t="b">
        <f>LEN(data!AK192)&lt;=20</f>
        <v>1</v>
      </c>
      <c r="AX192"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3" spans="1:50" ht="409.5" x14ac:dyDescent="0.15">
      <c r="A193" s="4" t="b">
        <f>OR(ISBLANK(data!B193), AND(B193:AW193))</f>
        <v>1</v>
      </c>
      <c r="B193" s="4" t="b">
        <f>AND(LEFT(TRIM(data!B193), 4)="OOLU", ISNUMBER(RIGHT(TRIM(data!B193), LEN(TRIM(data!B193))-4)+0))</f>
        <v>0</v>
      </c>
      <c r="C193" s="4" t="b">
        <f>LEN(data!C193)&gt;0</f>
        <v>0</v>
      </c>
      <c r="D193" s="4" t="b">
        <f>LEN(data!C193)&lt;=70</f>
        <v>1</v>
      </c>
      <c r="E193" s="4" t="b">
        <f>LEN(data!D193)&gt;0</f>
        <v>0</v>
      </c>
      <c r="F193" s="4" t="b">
        <f>LEN(data!D193)&lt;=140</f>
        <v>1</v>
      </c>
      <c r="G193" s="4" t="b">
        <f>LEN(data!E193)&gt;0</f>
        <v>0</v>
      </c>
      <c r="H193" s="4" t="b">
        <f>LEN(data!E193)&lt;=35</f>
        <v>1</v>
      </c>
      <c r="I193" s="4" t="b">
        <f>LEN(data!F193)=2</f>
        <v>0</v>
      </c>
      <c r="J193" s="4" t="b">
        <f>LEN(data!G193)&gt;0</f>
        <v>0</v>
      </c>
      <c r="K193" s="4" t="b">
        <f>LEN(data!G193)&lt;=60</f>
        <v>1</v>
      </c>
      <c r="L193" s="4" t="b">
        <f>LEN(data!I193)&gt;0</f>
        <v>0</v>
      </c>
      <c r="M193" s="4" t="b">
        <f>LEN(data!I193)&lt;=70</f>
        <v>1</v>
      </c>
      <c r="N193" s="4" t="b">
        <f>LEN(data!J193)&gt;0</f>
        <v>0</v>
      </c>
      <c r="O193" s="4" t="b">
        <f>LEN(data!J193)&lt;=140</f>
        <v>1</v>
      </c>
      <c r="P193" s="4" t="b">
        <f>LEN(data!K193)&gt;0</f>
        <v>0</v>
      </c>
      <c r="Q193" s="4" t="b">
        <f>LEN(data!K193)&lt;=35</f>
        <v>1</v>
      </c>
      <c r="R193" s="4" t="b">
        <f>LEN(data!L193)=2</f>
        <v>0</v>
      </c>
      <c r="S193" s="4" t="b">
        <f>LEN(data!M193)&gt;0</f>
        <v>0</v>
      </c>
      <c r="T193" s="4" t="b">
        <f>LEN(data!M193)&lt;=60</f>
        <v>1</v>
      </c>
      <c r="U193" s="4" t="b">
        <f>LEN(data!O193)&gt;0</f>
        <v>0</v>
      </c>
      <c r="V193" s="4" t="b">
        <f>LEN(data!O193)&lt;=70</f>
        <v>1</v>
      </c>
      <c r="W193" s="4" t="b">
        <f>LEN(data!P193)&gt;0</f>
        <v>0</v>
      </c>
      <c r="X193" s="4" t="b">
        <f>LEN(data!P193)&lt;=140</f>
        <v>1</v>
      </c>
      <c r="Y193" s="4" t="b">
        <f>LEN(data!Q193)&gt;0</f>
        <v>0</v>
      </c>
      <c r="Z193" s="4" t="b">
        <f>LEN(data!Q193)&lt;=35</f>
        <v>1</v>
      </c>
      <c r="AA193" s="4" t="b">
        <f>LEN(data!R193)=2</f>
        <v>0</v>
      </c>
      <c r="AB193" s="4" t="b">
        <f>LEN(data!S193)&gt;0</f>
        <v>0</v>
      </c>
      <c r="AC193" s="4" t="b">
        <f>LEN(data!S193)&lt;=120</f>
        <v>1</v>
      </c>
      <c r="AD193" s="4" t="b">
        <f>LEN(data!U193)=11</f>
        <v>0</v>
      </c>
      <c r="AE193" s="4" t="b">
        <f>AND(ISERROR(MATCH(data!V193, rule_mapping!$C$2:$C$325, 0))=FALSE, LEN(data!V193) &lt;= 4)</f>
        <v>0</v>
      </c>
      <c r="AF193" s="4" t="b">
        <f>LEN(data!W193)&gt;0</f>
        <v>0</v>
      </c>
      <c r="AG193" s="4" t="b">
        <f>LEN(data!W193)&lt;=20</f>
        <v>1</v>
      </c>
      <c r="AH193" s="4" t="b">
        <f xml:space="preserve"> IFERROR(ISNUMBER(data!X193), FALSE)</f>
        <v>0</v>
      </c>
      <c r="AI193" s="4" t="b">
        <f>IF(ISERROR(MATCH(data!Y193, rule_mapping!$D$2:$D$252, 0))=FALSE,TRUE, FALSE)</f>
        <v>0</v>
      </c>
      <c r="AJ193" s="4" t="b">
        <f>IFERROR(ISNUMBER(data!Z193), FALSE)</f>
        <v>0</v>
      </c>
      <c r="AK193" s="4" t="b">
        <f>IFERROR(ISNUMBER(data!AA193), FALSE)</f>
        <v>0</v>
      </c>
      <c r="AL193" s="4" t="b">
        <f>LEN(data!AB193)&lt;=90</f>
        <v>1</v>
      </c>
      <c r="AM193" s="4" t="b">
        <f>LEN(data!AC193)&gt;0</f>
        <v>0</v>
      </c>
      <c r="AN193" s="4" t="b">
        <f>LEN(data!AC193)&lt;=2000</f>
        <v>1</v>
      </c>
      <c r="AO193" s="4" t="b">
        <f>IF(LEN(data!AD193)=0,TRUE,IF(LEN(data!AD193)=5,TRUE,FALSE))</f>
        <v>1</v>
      </c>
      <c r="AP193" s="4" t="b">
        <f>LEN(data!AE193)&gt;0</f>
        <v>0</v>
      </c>
      <c r="AQ193" s="4" t="b">
        <f>LEN(data!AE193)=5</f>
        <v>0</v>
      </c>
      <c r="AR193" s="4" t="b">
        <f>ISERROR(MATCH(data!AF193, rule_mapping!$B$2:$B$3, 0))=FALSE</f>
        <v>0</v>
      </c>
      <c r="AS193" s="4" t="b">
        <f>ISERROR(MATCH(data!AG193, rule_mapping!$A$2:$A$8, 0))=FALSE</f>
        <v>0</v>
      </c>
      <c r="AT193" s="4" t="b">
        <f>LEN(data!AH193)&lt;=4</f>
        <v>1</v>
      </c>
      <c r="AU193" s="4" t="b">
        <f>LEN(data!AI193)&lt;=10</f>
        <v>1</v>
      </c>
      <c r="AV193" s="4" t="b">
        <f>LEN(data!AJ193)&lt;=35</f>
        <v>1</v>
      </c>
      <c r="AW193" s="4" t="b">
        <f>LEN(data!AK193)&lt;=20</f>
        <v>1</v>
      </c>
      <c r="AX193"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4" spans="1:50" ht="409.5" x14ac:dyDescent="0.15">
      <c r="A194" s="4" t="b">
        <f>OR(ISBLANK(data!B194), AND(B194:AW194))</f>
        <v>1</v>
      </c>
      <c r="B194" s="4" t="b">
        <f>AND(LEFT(TRIM(data!B194), 4)="OOLU", ISNUMBER(RIGHT(TRIM(data!B194), LEN(TRIM(data!B194))-4)+0))</f>
        <v>0</v>
      </c>
      <c r="C194" s="4" t="b">
        <f>LEN(data!C194)&gt;0</f>
        <v>0</v>
      </c>
      <c r="D194" s="4" t="b">
        <f>LEN(data!C194)&lt;=70</f>
        <v>1</v>
      </c>
      <c r="E194" s="4" t="b">
        <f>LEN(data!D194)&gt;0</f>
        <v>0</v>
      </c>
      <c r="F194" s="4" t="b">
        <f>LEN(data!D194)&lt;=140</f>
        <v>1</v>
      </c>
      <c r="G194" s="4" t="b">
        <f>LEN(data!E194)&gt;0</f>
        <v>0</v>
      </c>
      <c r="H194" s="4" t="b">
        <f>LEN(data!E194)&lt;=35</f>
        <v>1</v>
      </c>
      <c r="I194" s="4" t="b">
        <f>LEN(data!F194)=2</f>
        <v>0</v>
      </c>
      <c r="J194" s="4" t="b">
        <f>LEN(data!G194)&gt;0</f>
        <v>0</v>
      </c>
      <c r="K194" s="4" t="b">
        <f>LEN(data!G194)&lt;=60</f>
        <v>1</v>
      </c>
      <c r="L194" s="4" t="b">
        <f>LEN(data!I194)&gt;0</f>
        <v>0</v>
      </c>
      <c r="M194" s="4" t="b">
        <f>LEN(data!I194)&lt;=70</f>
        <v>1</v>
      </c>
      <c r="N194" s="4" t="b">
        <f>LEN(data!J194)&gt;0</f>
        <v>0</v>
      </c>
      <c r="O194" s="4" t="b">
        <f>LEN(data!J194)&lt;=140</f>
        <v>1</v>
      </c>
      <c r="P194" s="4" t="b">
        <f>LEN(data!K194)&gt;0</f>
        <v>0</v>
      </c>
      <c r="Q194" s="4" t="b">
        <f>LEN(data!K194)&lt;=35</f>
        <v>1</v>
      </c>
      <c r="R194" s="4" t="b">
        <f>LEN(data!L194)=2</f>
        <v>0</v>
      </c>
      <c r="S194" s="4" t="b">
        <f>LEN(data!M194)&gt;0</f>
        <v>0</v>
      </c>
      <c r="T194" s="4" t="b">
        <f>LEN(data!M194)&lt;=60</f>
        <v>1</v>
      </c>
      <c r="U194" s="4" t="b">
        <f>LEN(data!O194)&gt;0</f>
        <v>0</v>
      </c>
      <c r="V194" s="4" t="b">
        <f>LEN(data!O194)&lt;=70</f>
        <v>1</v>
      </c>
      <c r="W194" s="4" t="b">
        <f>LEN(data!P194)&gt;0</f>
        <v>0</v>
      </c>
      <c r="X194" s="4" t="b">
        <f>LEN(data!P194)&lt;=140</f>
        <v>1</v>
      </c>
      <c r="Y194" s="4" t="b">
        <f>LEN(data!Q194)&gt;0</f>
        <v>0</v>
      </c>
      <c r="Z194" s="4" t="b">
        <f>LEN(data!Q194)&lt;=35</f>
        <v>1</v>
      </c>
      <c r="AA194" s="4" t="b">
        <f>LEN(data!R194)=2</f>
        <v>0</v>
      </c>
      <c r="AB194" s="4" t="b">
        <f>LEN(data!S194)&gt;0</f>
        <v>0</v>
      </c>
      <c r="AC194" s="4" t="b">
        <f>LEN(data!S194)&lt;=120</f>
        <v>1</v>
      </c>
      <c r="AD194" s="4" t="b">
        <f>LEN(data!U194)=11</f>
        <v>0</v>
      </c>
      <c r="AE194" s="4" t="b">
        <f>AND(ISERROR(MATCH(data!V194, rule_mapping!$C$2:$C$325, 0))=FALSE, LEN(data!V194) &lt;= 4)</f>
        <v>0</v>
      </c>
      <c r="AF194" s="4" t="b">
        <f>LEN(data!W194)&gt;0</f>
        <v>0</v>
      </c>
      <c r="AG194" s="4" t="b">
        <f>LEN(data!W194)&lt;=20</f>
        <v>1</v>
      </c>
      <c r="AH194" s="4" t="b">
        <f xml:space="preserve"> IFERROR(ISNUMBER(data!X194), FALSE)</f>
        <v>0</v>
      </c>
      <c r="AI194" s="4" t="b">
        <f>IF(ISERROR(MATCH(data!Y194, rule_mapping!$D$2:$D$252, 0))=FALSE,TRUE, FALSE)</f>
        <v>0</v>
      </c>
      <c r="AJ194" s="4" t="b">
        <f>IFERROR(ISNUMBER(data!Z194), FALSE)</f>
        <v>0</v>
      </c>
      <c r="AK194" s="4" t="b">
        <f>IFERROR(ISNUMBER(data!AA194), FALSE)</f>
        <v>0</v>
      </c>
      <c r="AL194" s="4" t="b">
        <f>LEN(data!AB194)&lt;=90</f>
        <v>1</v>
      </c>
      <c r="AM194" s="4" t="b">
        <f>LEN(data!AC194)&gt;0</f>
        <v>0</v>
      </c>
      <c r="AN194" s="4" t="b">
        <f>LEN(data!AC194)&lt;=2000</f>
        <v>1</v>
      </c>
      <c r="AO194" s="4" t="b">
        <f>IF(LEN(data!AD194)=0,TRUE,IF(LEN(data!AD194)=5,TRUE,FALSE))</f>
        <v>1</v>
      </c>
      <c r="AP194" s="4" t="b">
        <f>LEN(data!AE194)&gt;0</f>
        <v>0</v>
      </c>
      <c r="AQ194" s="4" t="b">
        <f>LEN(data!AE194)=5</f>
        <v>0</v>
      </c>
      <c r="AR194" s="4" t="b">
        <f>ISERROR(MATCH(data!AF194, rule_mapping!$B$2:$B$3, 0))=FALSE</f>
        <v>0</v>
      </c>
      <c r="AS194" s="4" t="b">
        <f>ISERROR(MATCH(data!AG194, rule_mapping!$A$2:$A$8, 0))=FALSE</f>
        <v>0</v>
      </c>
      <c r="AT194" s="4" t="b">
        <f>LEN(data!AH194)&lt;=4</f>
        <v>1</v>
      </c>
      <c r="AU194" s="4" t="b">
        <f>LEN(data!AI194)&lt;=10</f>
        <v>1</v>
      </c>
      <c r="AV194" s="4" t="b">
        <f>LEN(data!AJ194)&lt;=35</f>
        <v>1</v>
      </c>
      <c r="AW194" s="4" t="b">
        <f>LEN(data!AK194)&lt;=20</f>
        <v>1</v>
      </c>
      <c r="AX194" s="11" t="str">
        <f t="shared" si="2"/>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5" spans="1:50" ht="409.5" x14ac:dyDescent="0.15">
      <c r="A195" s="4" t="b">
        <f>OR(ISBLANK(data!B195), AND(B195:AW195))</f>
        <v>1</v>
      </c>
      <c r="B195" s="4" t="b">
        <f>AND(LEFT(TRIM(data!B195), 4)="OOLU", ISNUMBER(RIGHT(TRIM(data!B195), LEN(TRIM(data!B195))-4)+0))</f>
        <v>0</v>
      </c>
      <c r="C195" s="4" t="b">
        <f>LEN(data!C195)&gt;0</f>
        <v>0</v>
      </c>
      <c r="D195" s="4" t="b">
        <f>LEN(data!C195)&lt;=70</f>
        <v>1</v>
      </c>
      <c r="E195" s="4" t="b">
        <f>LEN(data!D195)&gt;0</f>
        <v>0</v>
      </c>
      <c r="F195" s="4" t="b">
        <f>LEN(data!D195)&lt;=140</f>
        <v>1</v>
      </c>
      <c r="G195" s="4" t="b">
        <f>LEN(data!E195)&gt;0</f>
        <v>0</v>
      </c>
      <c r="H195" s="4" t="b">
        <f>LEN(data!E195)&lt;=35</f>
        <v>1</v>
      </c>
      <c r="I195" s="4" t="b">
        <f>LEN(data!F195)=2</f>
        <v>0</v>
      </c>
      <c r="J195" s="4" t="b">
        <f>LEN(data!G195)&gt;0</f>
        <v>0</v>
      </c>
      <c r="K195" s="4" t="b">
        <f>LEN(data!G195)&lt;=60</f>
        <v>1</v>
      </c>
      <c r="L195" s="4" t="b">
        <f>LEN(data!I195)&gt;0</f>
        <v>0</v>
      </c>
      <c r="M195" s="4" t="b">
        <f>LEN(data!I195)&lt;=70</f>
        <v>1</v>
      </c>
      <c r="N195" s="4" t="b">
        <f>LEN(data!J195)&gt;0</f>
        <v>0</v>
      </c>
      <c r="O195" s="4" t="b">
        <f>LEN(data!J195)&lt;=140</f>
        <v>1</v>
      </c>
      <c r="P195" s="4" t="b">
        <f>LEN(data!K195)&gt;0</f>
        <v>0</v>
      </c>
      <c r="Q195" s="4" t="b">
        <f>LEN(data!K195)&lt;=35</f>
        <v>1</v>
      </c>
      <c r="R195" s="4" t="b">
        <f>LEN(data!L195)=2</f>
        <v>0</v>
      </c>
      <c r="S195" s="4" t="b">
        <f>LEN(data!M195)&gt;0</f>
        <v>0</v>
      </c>
      <c r="T195" s="4" t="b">
        <f>LEN(data!M195)&lt;=60</f>
        <v>1</v>
      </c>
      <c r="U195" s="4" t="b">
        <f>LEN(data!O195)&gt;0</f>
        <v>0</v>
      </c>
      <c r="V195" s="4" t="b">
        <f>LEN(data!O195)&lt;=70</f>
        <v>1</v>
      </c>
      <c r="W195" s="4" t="b">
        <f>LEN(data!P195)&gt;0</f>
        <v>0</v>
      </c>
      <c r="X195" s="4" t="b">
        <f>LEN(data!P195)&lt;=140</f>
        <v>1</v>
      </c>
      <c r="Y195" s="4" t="b">
        <f>LEN(data!Q195)&gt;0</f>
        <v>0</v>
      </c>
      <c r="Z195" s="4" t="b">
        <f>LEN(data!Q195)&lt;=35</f>
        <v>1</v>
      </c>
      <c r="AA195" s="4" t="b">
        <f>LEN(data!R195)=2</f>
        <v>0</v>
      </c>
      <c r="AB195" s="4" t="b">
        <f>LEN(data!S195)&gt;0</f>
        <v>0</v>
      </c>
      <c r="AC195" s="4" t="b">
        <f>LEN(data!S195)&lt;=120</f>
        <v>1</v>
      </c>
      <c r="AD195" s="4" t="b">
        <f>LEN(data!U195)=11</f>
        <v>0</v>
      </c>
      <c r="AE195" s="4" t="b">
        <f>AND(ISERROR(MATCH(data!V195, rule_mapping!$C$2:$C$325, 0))=FALSE, LEN(data!V195) &lt;= 4)</f>
        <v>0</v>
      </c>
      <c r="AF195" s="4" t="b">
        <f>LEN(data!W195)&gt;0</f>
        <v>0</v>
      </c>
      <c r="AG195" s="4" t="b">
        <f>LEN(data!W195)&lt;=20</f>
        <v>1</v>
      </c>
      <c r="AH195" s="4" t="b">
        <f xml:space="preserve"> IFERROR(ISNUMBER(data!X195), FALSE)</f>
        <v>0</v>
      </c>
      <c r="AI195" s="4" t="b">
        <f>IF(ISERROR(MATCH(data!Y195, rule_mapping!$D$2:$D$252, 0))=FALSE,TRUE, FALSE)</f>
        <v>0</v>
      </c>
      <c r="AJ195" s="4" t="b">
        <f>IFERROR(ISNUMBER(data!Z195), FALSE)</f>
        <v>0</v>
      </c>
      <c r="AK195" s="4" t="b">
        <f>IFERROR(ISNUMBER(data!AA195), FALSE)</f>
        <v>0</v>
      </c>
      <c r="AL195" s="4" t="b">
        <f>LEN(data!AB195)&lt;=90</f>
        <v>1</v>
      </c>
      <c r="AM195" s="4" t="b">
        <f>LEN(data!AC195)&gt;0</f>
        <v>0</v>
      </c>
      <c r="AN195" s="4" t="b">
        <f>LEN(data!AC195)&lt;=2000</f>
        <v>1</v>
      </c>
      <c r="AO195" s="4" t="b">
        <f>IF(LEN(data!AD195)=0,TRUE,IF(LEN(data!AD195)=5,TRUE,FALSE))</f>
        <v>1</v>
      </c>
      <c r="AP195" s="4" t="b">
        <f>LEN(data!AE195)&gt;0</f>
        <v>0</v>
      </c>
      <c r="AQ195" s="4" t="b">
        <f>LEN(data!AE195)=5</f>
        <v>0</v>
      </c>
      <c r="AR195" s="4" t="b">
        <f>ISERROR(MATCH(data!AF195, rule_mapping!$B$2:$B$3, 0))=FALSE</f>
        <v>0</v>
      </c>
      <c r="AS195" s="4" t="b">
        <f>ISERROR(MATCH(data!AG195, rule_mapping!$A$2:$A$8, 0))=FALSE</f>
        <v>0</v>
      </c>
      <c r="AT195" s="4" t="b">
        <f>LEN(data!AH195)&lt;=4</f>
        <v>1</v>
      </c>
      <c r="AU195" s="4" t="b">
        <f>LEN(data!AI195)&lt;=10</f>
        <v>1</v>
      </c>
      <c r="AV195" s="4" t="b">
        <f>LEN(data!AJ195)&lt;=35</f>
        <v>1</v>
      </c>
      <c r="AW195" s="4" t="b">
        <f>LEN(data!AK195)&lt;=20</f>
        <v>1</v>
      </c>
      <c r="AX195" s="11" t="str">
        <f t="shared" ref="AX195:AX258" si="3">CONCATENATE(IF(NOT(B195), B$1 &amp; CHAR(10), ""), IF(NOT(C195), C$1 &amp; CHAR(10), ""), IF(NOT(D195), D$1 &amp; CHAR(10), ""), IF(NOT(E195), E$1 &amp; CHAR(10), ""), IF(NOT(F195), F$1 &amp; CHAR(10), ""), IF(NOT(G195), G$1 &amp; CHAR(10), ""), IF(NOT(H195), H$1 &amp; CHAR(10), ""), IF(NOT(I195), I$1 &amp; CHAR(10), ""), IF(NOT(J195), J$1 &amp; CHAR(10), ""), IF(NOT(K195), K$1 &amp; CHAR(10), ""), IF(NOT(L195), L$1 &amp; CHAR(10), ""), IF(NOT(M195), M$1 &amp; CHAR(10), ""), IF(NOT(N195), N$1 &amp; CHAR(10), ""), IF(NOT(O195), O$1 &amp; CHAR(10), ""), IF(NOT(P195), P$1 &amp; CHAR(10), ""), IF(NOT(Q195), Q$1 &amp; CHAR(10), ""), IF(NOT(R195), R$1 &amp; CHAR(10), ""), IF(NOT(S195), S$1 &amp; CHAR(10), ""), IF(NOT(T195), T$1 &amp; CHAR(10), ""), IF(NOT(U195), U$1 &amp; CHAR(10), ""), IF(NOT(V195), V$1 &amp; CHAR(10), ""), IF(NOT(W195), W$1 &amp; CHAR(10), ""), IF(NOT(X195), X$1 &amp; CHAR(10), ""), IF(NOT(Y195), Y$1 &amp; CHAR(10), ""), IF(NOT(Z195), Z$1 &amp; CHAR(10), ""), IF(NOT(AA195), AA$1 &amp; CHAR(10), ""), IF(NOT(AB195), AB$1 &amp; CHAR(10), ""), IF(NOT(AC195), AC$1 &amp; CHAR(10), ""), IF(NOT(AD195), AD$1 &amp; CHAR(10), ""), IF(NOT(AE195), AE$1 &amp; CHAR(10), ""), IF(NOT(AF195), AF$1 &amp; CHAR(10), ""), IF(NOT(AG195), AG$1 &amp; CHAR(10), ""), IF(NOT(AH195), AH$1 &amp; CHAR(10), ""), IF(NOT(AI195), AI$1 &amp; CHAR(10), ""), IF(NOT(AJ195), AJ$1 &amp; CHAR(10), ""), IF(NOT(AK195), AK$1 &amp; CHAR(10), ""), IF(NOT(AL195), AL$1 &amp; CHAR(10), ""), IF(NOT(AM195), AM$1 &amp; CHAR(10), ""), IF(NOT(AN195), AN$1 &amp; CHAR(10), ""), IF(NOT(AO195), AO$1 &amp; CHAR(10), ""), IF(NOT(AP195), AP$1 &amp; CHAR(10), ""), IF(NOT(AQ195), AQ$1 &amp; CHAR(10), ""), IF(NOT(AR195), AR$1 &amp; CHAR(10), ""), IF(NOT(AS195), AS$1 &amp; CHAR(10), ""), IF(NOT(AT195), AT$1 &amp; CHAR(10), ""), IF(NOT(AU195), AU$1 &amp; CHAR(10), ""), IF(NOT(AV195), AV$1 &amp; CHAR(10), ""), IF(NOT(AW195), AW$1 &amp; CHAR(10), ""))</f>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6" spans="1:50" ht="409.5" x14ac:dyDescent="0.15">
      <c r="A196" s="4" t="b">
        <f>OR(ISBLANK(data!B196), AND(B196:AW196))</f>
        <v>1</v>
      </c>
      <c r="B196" s="4" t="b">
        <f>AND(LEFT(TRIM(data!B196), 4)="OOLU", ISNUMBER(RIGHT(TRIM(data!B196), LEN(TRIM(data!B196))-4)+0))</f>
        <v>0</v>
      </c>
      <c r="C196" s="4" t="b">
        <f>LEN(data!C196)&gt;0</f>
        <v>0</v>
      </c>
      <c r="D196" s="4" t="b">
        <f>LEN(data!C196)&lt;=70</f>
        <v>1</v>
      </c>
      <c r="E196" s="4" t="b">
        <f>LEN(data!D196)&gt;0</f>
        <v>0</v>
      </c>
      <c r="F196" s="4" t="b">
        <f>LEN(data!D196)&lt;=140</f>
        <v>1</v>
      </c>
      <c r="G196" s="4" t="b">
        <f>LEN(data!E196)&gt;0</f>
        <v>0</v>
      </c>
      <c r="H196" s="4" t="b">
        <f>LEN(data!E196)&lt;=35</f>
        <v>1</v>
      </c>
      <c r="I196" s="4" t="b">
        <f>LEN(data!F196)=2</f>
        <v>0</v>
      </c>
      <c r="J196" s="4" t="b">
        <f>LEN(data!G196)&gt;0</f>
        <v>0</v>
      </c>
      <c r="K196" s="4" t="b">
        <f>LEN(data!G196)&lt;=60</f>
        <v>1</v>
      </c>
      <c r="L196" s="4" t="b">
        <f>LEN(data!I196)&gt;0</f>
        <v>0</v>
      </c>
      <c r="M196" s="4" t="b">
        <f>LEN(data!I196)&lt;=70</f>
        <v>1</v>
      </c>
      <c r="N196" s="4" t="b">
        <f>LEN(data!J196)&gt;0</f>
        <v>0</v>
      </c>
      <c r="O196" s="4" t="b">
        <f>LEN(data!J196)&lt;=140</f>
        <v>1</v>
      </c>
      <c r="P196" s="4" t="b">
        <f>LEN(data!K196)&gt;0</f>
        <v>0</v>
      </c>
      <c r="Q196" s="4" t="b">
        <f>LEN(data!K196)&lt;=35</f>
        <v>1</v>
      </c>
      <c r="R196" s="4" t="b">
        <f>LEN(data!L196)=2</f>
        <v>0</v>
      </c>
      <c r="S196" s="4" t="b">
        <f>LEN(data!M196)&gt;0</f>
        <v>0</v>
      </c>
      <c r="T196" s="4" t="b">
        <f>LEN(data!M196)&lt;=60</f>
        <v>1</v>
      </c>
      <c r="U196" s="4" t="b">
        <f>LEN(data!O196)&gt;0</f>
        <v>0</v>
      </c>
      <c r="V196" s="4" t="b">
        <f>LEN(data!O196)&lt;=70</f>
        <v>1</v>
      </c>
      <c r="W196" s="4" t="b">
        <f>LEN(data!P196)&gt;0</f>
        <v>0</v>
      </c>
      <c r="X196" s="4" t="b">
        <f>LEN(data!P196)&lt;=140</f>
        <v>1</v>
      </c>
      <c r="Y196" s="4" t="b">
        <f>LEN(data!Q196)&gt;0</f>
        <v>0</v>
      </c>
      <c r="Z196" s="4" t="b">
        <f>LEN(data!Q196)&lt;=35</f>
        <v>1</v>
      </c>
      <c r="AA196" s="4" t="b">
        <f>LEN(data!R196)=2</f>
        <v>0</v>
      </c>
      <c r="AB196" s="4" t="b">
        <f>LEN(data!S196)&gt;0</f>
        <v>0</v>
      </c>
      <c r="AC196" s="4" t="b">
        <f>LEN(data!S196)&lt;=120</f>
        <v>1</v>
      </c>
      <c r="AD196" s="4" t="b">
        <f>LEN(data!U196)=11</f>
        <v>0</v>
      </c>
      <c r="AE196" s="4" t="b">
        <f>AND(ISERROR(MATCH(data!V196, rule_mapping!$C$2:$C$325, 0))=FALSE, LEN(data!V196) &lt;= 4)</f>
        <v>0</v>
      </c>
      <c r="AF196" s="4" t="b">
        <f>LEN(data!W196)&gt;0</f>
        <v>0</v>
      </c>
      <c r="AG196" s="4" t="b">
        <f>LEN(data!W196)&lt;=20</f>
        <v>1</v>
      </c>
      <c r="AH196" s="4" t="b">
        <f xml:space="preserve"> IFERROR(ISNUMBER(data!X196), FALSE)</f>
        <v>0</v>
      </c>
      <c r="AI196" s="4" t="b">
        <f>IF(ISERROR(MATCH(data!Y196, rule_mapping!$D$2:$D$252, 0))=FALSE,TRUE, FALSE)</f>
        <v>0</v>
      </c>
      <c r="AJ196" s="4" t="b">
        <f>IFERROR(ISNUMBER(data!Z196), FALSE)</f>
        <v>0</v>
      </c>
      <c r="AK196" s="4" t="b">
        <f>IFERROR(ISNUMBER(data!AA196), FALSE)</f>
        <v>0</v>
      </c>
      <c r="AL196" s="4" t="b">
        <f>LEN(data!AB196)&lt;=90</f>
        <v>1</v>
      </c>
      <c r="AM196" s="4" t="b">
        <f>LEN(data!AC196)&gt;0</f>
        <v>0</v>
      </c>
      <c r="AN196" s="4" t="b">
        <f>LEN(data!AC196)&lt;=2000</f>
        <v>1</v>
      </c>
      <c r="AO196" s="4" t="b">
        <f>IF(LEN(data!AD196)=0,TRUE,IF(LEN(data!AD196)=5,TRUE,FALSE))</f>
        <v>1</v>
      </c>
      <c r="AP196" s="4" t="b">
        <f>LEN(data!AE196)&gt;0</f>
        <v>0</v>
      </c>
      <c r="AQ196" s="4" t="b">
        <f>LEN(data!AE196)=5</f>
        <v>0</v>
      </c>
      <c r="AR196" s="4" t="b">
        <f>ISERROR(MATCH(data!AF196, rule_mapping!$B$2:$B$3, 0))=FALSE</f>
        <v>0</v>
      </c>
      <c r="AS196" s="4" t="b">
        <f>ISERROR(MATCH(data!AG196, rule_mapping!$A$2:$A$8, 0))=FALSE</f>
        <v>0</v>
      </c>
      <c r="AT196" s="4" t="b">
        <f>LEN(data!AH196)&lt;=4</f>
        <v>1</v>
      </c>
      <c r="AU196" s="4" t="b">
        <f>LEN(data!AI196)&lt;=10</f>
        <v>1</v>
      </c>
      <c r="AV196" s="4" t="b">
        <f>LEN(data!AJ196)&lt;=35</f>
        <v>1</v>
      </c>
      <c r="AW196" s="4" t="b">
        <f>LEN(data!AK196)&lt;=20</f>
        <v>1</v>
      </c>
      <c r="AX196"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7" spans="1:50" ht="409.5" x14ac:dyDescent="0.15">
      <c r="A197" s="4" t="b">
        <f>OR(ISBLANK(data!B197), AND(B197:AW197))</f>
        <v>1</v>
      </c>
      <c r="B197" s="4" t="b">
        <f>AND(LEFT(TRIM(data!B197), 4)="OOLU", ISNUMBER(RIGHT(TRIM(data!B197), LEN(TRIM(data!B197))-4)+0))</f>
        <v>0</v>
      </c>
      <c r="C197" s="4" t="b">
        <f>LEN(data!C197)&gt;0</f>
        <v>0</v>
      </c>
      <c r="D197" s="4" t="b">
        <f>LEN(data!C197)&lt;=70</f>
        <v>1</v>
      </c>
      <c r="E197" s="4" t="b">
        <f>LEN(data!D197)&gt;0</f>
        <v>0</v>
      </c>
      <c r="F197" s="4" t="b">
        <f>LEN(data!D197)&lt;=140</f>
        <v>1</v>
      </c>
      <c r="G197" s="4" t="b">
        <f>LEN(data!E197)&gt;0</f>
        <v>0</v>
      </c>
      <c r="H197" s="4" t="b">
        <f>LEN(data!E197)&lt;=35</f>
        <v>1</v>
      </c>
      <c r="I197" s="4" t="b">
        <f>LEN(data!F197)=2</f>
        <v>0</v>
      </c>
      <c r="J197" s="4" t="b">
        <f>LEN(data!G197)&gt;0</f>
        <v>0</v>
      </c>
      <c r="K197" s="4" t="b">
        <f>LEN(data!G197)&lt;=60</f>
        <v>1</v>
      </c>
      <c r="L197" s="4" t="b">
        <f>LEN(data!I197)&gt;0</f>
        <v>0</v>
      </c>
      <c r="M197" s="4" t="b">
        <f>LEN(data!I197)&lt;=70</f>
        <v>1</v>
      </c>
      <c r="N197" s="4" t="b">
        <f>LEN(data!J197)&gt;0</f>
        <v>0</v>
      </c>
      <c r="O197" s="4" t="b">
        <f>LEN(data!J197)&lt;=140</f>
        <v>1</v>
      </c>
      <c r="P197" s="4" t="b">
        <f>LEN(data!K197)&gt;0</f>
        <v>0</v>
      </c>
      <c r="Q197" s="4" t="b">
        <f>LEN(data!K197)&lt;=35</f>
        <v>1</v>
      </c>
      <c r="R197" s="4" t="b">
        <f>LEN(data!L197)=2</f>
        <v>0</v>
      </c>
      <c r="S197" s="4" t="b">
        <f>LEN(data!M197)&gt;0</f>
        <v>0</v>
      </c>
      <c r="T197" s="4" t="b">
        <f>LEN(data!M197)&lt;=60</f>
        <v>1</v>
      </c>
      <c r="U197" s="4" t="b">
        <f>LEN(data!O197)&gt;0</f>
        <v>0</v>
      </c>
      <c r="V197" s="4" t="b">
        <f>LEN(data!O197)&lt;=70</f>
        <v>1</v>
      </c>
      <c r="W197" s="4" t="b">
        <f>LEN(data!P197)&gt;0</f>
        <v>0</v>
      </c>
      <c r="X197" s="4" t="b">
        <f>LEN(data!P197)&lt;=140</f>
        <v>1</v>
      </c>
      <c r="Y197" s="4" t="b">
        <f>LEN(data!Q197)&gt;0</f>
        <v>0</v>
      </c>
      <c r="Z197" s="4" t="b">
        <f>LEN(data!Q197)&lt;=35</f>
        <v>1</v>
      </c>
      <c r="AA197" s="4" t="b">
        <f>LEN(data!R197)=2</f>
        <v>0</v>
      </c>
      <c r="AB197" s="4" t="b">
        <f>LEN(data!S197)&gt;0</f>
        <v>0</v>
      </c>
      <c r="AC197" s="4" t="b">
        <f>LEN(data!S197)&lt;=120</f>
        <v>1</v>
      </c>
      <c r="AD197" s="4" t="b">
        <f>LEN(data!U197)=11</f>
        <v>0</v>
      </c>
      <c r="AE197" s="4" t="b">
        <f>AND(ISERROR(MATCH(data!V197, rule_mapping!$C$2:$C$325, 0))=FALSE, LEN(data!V197) &lt;= 4)</f>
        <v>0</v>
      </c>
      <c r="AF197" s="4" t="b">
        <f>LEN(data!W197)&gt;0</f>
        <v>0</v>
      </c>
      <c r="AG197" s="4" t="b">
        <f>LEN(data!W197)&lt;=20</f>
        <v>1</v>
      </c>
      <c r="AH197" s="4" t="b">
        <f xml:space="preserve"> IFERROR(ISNUMBER(data!X197), FALSE)</f>
        <v>0</v>
      </c>
      <c r="AI197" s="4" t="b">
        <f>IF(ISERROR(MATCH(data!Y197, rule_mapping!$D$2:$D$252, 0))=FALSE,TRUE, FALSE)</f>
        <v>0</v>
      </c>
      <c r="AJ197" s="4" t="b">
        <f>IFERROR(ISNUMBER(data!Z197), FALSE)</f>
        <v>0</v>
      </c>
      <c r="AK197" s="4" t="b">
        <f>IFERROR(ISNUMBER(data!AA197), FALSE)</f>
        <v>0</v>
      </c>
      <c r="AL197" s="4" t="b">
        <f>LEN(data!AB197)&lt;=90</f>
        <v>1</v>
      </c>
      <c r="AM197" s="4" t="b">
        <f>LEN(data!AC197)&gt;0</f>
        <v>0</v>
      </c>
      <c r="AN197" s="4" t="b">
        <f>LEN(data!AC197)&lt;=2000</f>
        <v>1</v>
      </c>
      <c r="AO197" s="4" t="b">
        <f>IF(LEN(data!AD197)=0,TRUE,IF(LEN(data!AD197)=5,TRUE,FALSE))</f>
        <v>1</v>
      </c>
      <c r="AP197" s="4" t="b">
        <f>LEN(data!AE197)&gt;0</f>
        <v>0</v>
      </c>
      <c r="AQ197" s="4" t="b">
        <f>LEN(data!AE197)=5</f>
        <v>0</v>
      </c>
      <c r="AR197" s="4" t="b">
        <f>ISERROR(MATCH(data!AF197, rule_mapping!$B$2:$B$3, 0))=FALSE</f>
        <v>0</v>
      </c>
      <c r="AS197" s="4" t="b">
        <f>ISERROR(MATCH(data!AG197, rule_mapping!$A$2:$A$8, 0))=FALSE</f>
        <v>0</v>
      </c>
      <c r="AT197" s="4" t="b">
        <f>LEN(data!AH197)&lt;=4</f>
        <v>1</v>
      </c>
      <c r="AU197" s="4" t="b">
        <f>LEN(data!AI197)&lt;=10</f>
        <v>1</v>
      </c>
      <c r="AV197" s="4" t="b">
        <f>LEN(data!AJ197)&lt;=35</f>
        <v>1</v>
      </c>
      <c r="AW197" s="4" t="b">
        <f>LEN(data!AK197)&lt;=20</f>
        <v>1</v>
      </c>
      <c r="AX197"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8" spans="1:50" ht="409.5" x14ac:dyDescent="0.15">
      <c r="A198" s="4" t="b">
        <f>OR(ISBLANK(data!B198), AND(B198:AW198))</f>
        <v>1</v>
      </c>
      <c r="B198" s="4" t="b">
        <f>AND(LEFT(TRIM(data!B198), 4)="OOLU", ISNUMBER(RIGHT(TRIM(data!B198), LEN(TRIM(data!B198))-4)+0))</f>
        <v>0</v>
      </c>
      <c r="C198" s="4" t="b">
        <f>LEN(data!C198)&gt;0</f>
        <v>0</v>
      </c>
      <c r="D198" s="4" t="b">
        <f>LEN(data!C198)&lt;=70</f>
        <v>1</v>
      </c>
      <c r="E198" s="4" t="b">
        <f>LEN(data!D198)&gt;0</f>
        <v>0</v>
      </c>
      <c r="F198" s="4" t="b">
        <f>LEN(data!D198)&lt;=140</f>
        <v>1</v>
      </c>
      <c r="G198" s="4" t="b">
        <f>LEN(data!E198)&gt;0</f>
        <v>0</v>
      </c>
      <c r="H198" s="4" t="b">
        <f>LEN(data!E198)&lt;=35</f>
        <v>1</v>
      </c>
      <c r="I198" s="4" t="b">
        <f>LEN(data!F198)=2</f>
        <v>0</v>
      </c>
      <c r="J198" s="4" t="b">
        <f>LEN(data!G198)&gt;0</f>
        <v>0</v>
      </c>
      <c r="K198" s="4" t="b">
        <f>LEN(data!G198)&lt;=60</f>
        <v>1</v>
      </c>
      <c r="L198" s="4" t="b">
        <f>LEN(data!I198)&gt;0</f>
        <v>0</v>
      </c>
      <c r="M198" s="4" t="b">
        <f>LEN(data!I198)&lt;=70</f>
        <v>1</v>
      </c>
      <c r="N198" s="4" t="b">
        <f>LEN(data!J198)&gt;0</f>
        <v>0</v>
      </c>
      <c r="O198" s="4" t="b">
        <f>LEN(data!J198)&lt;=140</f>
        <v>1</v>
      </c>
      <c r="P198" s="4" t="b">
        <f>LEN(data!K198)&gt;0</f>
        <v>0</v>
      </c>
      <c r="Q198" s="4" t="b">
        <f>LEN(data!K198)&lt;=35</f>
        <v>1</v>
      </c>
      <c r="R198" s="4" t="b">
        <f>LEN(data!L198)=2</f>
        <v>0</v>
      </c>
      <c r="S198" s="4" t="b">
        <f>LEN(data!M198)&gt;0</f>
        <v>0</v>
      </c>
      <c r="T198" s="4" t="b">
        <f>LEN(data!M198)&lt;=60</f>
        <v>1</v>
      </c>
      <c r="U198" s="4" t="b">
        <f>LEN(data!O198)&gt;0</f>
        <v>0</v>
      </c>
      <c r="V198" s="4" t="b">
        <f>LEN(data!O198)&lt;=70</f>
        <v>1</v>
      </c>
      <c r="W198" s="4" t="b">
        <f>LEN(data!P198)&gt;0</f>
        <v>0</v>
      </c>
      <c r="X198" s="4" t="b">
        <f>LEN(data!P198)&lt;=140</f>
        <v>1</v>
      </c>
      <c r="Y198" s="4" t="b">
        <f>LEN(data!Q198)&gt;0</f>
        <v>0</v>
      </c>
      <c r="Z198" s="4" t="b">
        <f>LEN(data!Q198)&lt;=35</f>
        <v>1</v>
      </c>
      <c r="AA198" s="4" t="b">
        <f>LEN(data!R198)=2</f>
        <v>0</v>
      </c>
      <c r="AB198" s="4" t="b">
        <f>LEN(data!S198)&gt;0</f>
        <v>0</v>
      </c>
      <c r="AC198" s="4" t="b">
        <f>LEN(data!S198)&lt;=120</f>
        <v>1</v>
      </c>
      <c r="AD198" s="4" t="b">
        <f>LEN(data!U198)=11</f>
        <v>0</v>
      </c>
      <c r="AE198" s="4" t="b">
        <f>AND(ISERROR(MATCH(data!V198, rule_mapping!$C$2:$C$325, 0))=FALSE, LEN(data!V198) &lt;= 4)</f>
        <v>0</v>
      </c>
      <c r="AF198" s="4" t="b">
        <f>LEN(data!W198)&gt;0</f>
        <v>0</v>
      </c>
      <c r="AG198" s="4" t="b">
        <f>LEN(data!W198)&lt;=20</f>
        <v>1</v>
      </c>
      <c r="AH198" s="4" t="b">
        <f xml:space="preserve"> IFERROR(ISNUMBER(data!X198), FALSE)</f>
        <v>0</v>
      </c>
      <c r="AI198" s="4" t="b">
        <f>IF(ISERROR(MATCH(data!Y198, rule_mapping!$D$2:$D$252, 0))=FALSE,TRUE, FALSE)</f>
        <v>0</v>
      </c>
      <c r="AJ198" s="4" t="b">
        <f>IFERROR(ISNUMBER(data!Z198), FALSE)</f>
        <v>0</v>
      </c>
      <c r="AK198" s="4" t="b">
        <f>IFERROR(ISNUMBER(data!AA198), FALSE)</f>
        <v>0</v>
      </c>
      <c r="AL198" s="4" t="b">
        <f>LEN(data!AB198)&lt;=90</f>
        <v>1</v>
      </c>
      <c r="AM198" s="4" t="b">
        <f>LEN(data!AC198)&gt;0</f>
        <v>0</v>
      </c>
      <c r="AN198" s="4" t="b">
        <f>LEN(data!AC198)&lt;=2000</f>
        <v>1</v>
      </c>
      <c r="AO198" s="4" t="b">
        <f>IF(LEN(data!AD198)=0,TRUE,IF(LEN(data!AD198)=5,TRUE,FALSE))</f>
        <v>1</v>
      </c>
      <c r="AP198" s="4" t="b">
        <f>LEN(data!AE198)&gt;0</f>
        <v>0</v>
      </c>
      <c r="AQ198" s="4" t="b">
        <f>LEN(data!AE198)=5</f>
        <v>0</v>
      </c>
      <c r="AR198" s="4" t="b">
        <f>ISERROR(MATCH(data!AF198, rule_mapping!$B$2:$B$3, 0))=FALSE</f>
        <v>0</v>
      </c>
      <c r="AS198" s="4" t="b">
        <f>ISERROR(MATCH(data!AG198, rule_mapping!$A$2:$A$8, 0))=FALSE</f>
        <v>0</v>
      </c>
      <c r="AT198" s="4" t="b">
        <f>LEN(data!AH198)&lt;=4</f>
        <v>1</v>
      </c>
      <c r="AU198" s="4" t="b">
        <f>LEN(data!AI198)&lt;=10</f>
        <v>1</v>
      </c>
      <c r="AV198" s="4" t="b">
        <f>LEN(data!AJ198)&lt;=35</f>
        <v>1</v>
      </c>
      <c r="AW198" s="4" t="b">
        <f>LEN(data!AK198)&lt;=20</f>
        <v>1</v>
      </c>
      <c r="AX198"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199" spans="1:50" ht="409.5" x14ac:dyDescent="0.15">
      <c r="A199" s="4" t="b">
        <f>OR(ISBLANK(data!B199), AND(B199:AW199))</f>
        <v>1</v>
      </c>
      <c r="B199" s="4" t="b">
        <f>AND(LEFT(TRIM(data!B199), 4)="OOLU", ISNUMBER(RIGHT(TRIM(data!B199), LEN(TRIM(data!B199))-4)+0))</f>
        <v>0</v>
      </c>
      <c r="C199" s="4" t="b">
        <f>LEN(data!C199)&gt;0</f>
        <v>0</v>
      </c>
      <c r="D199" s="4" t="b">
        <f>LEN(data!C199)&lt;=70</f>
        <v>1</v>
      </c>
      <c r="E199" s="4" t="b">
        <f>LEN(data!D199)&gt;0</f>
        <v>0</v>
      </c>
      <c r="F199" s="4" t="b">
        <f>LEN(data!D199)&lt;=140</f>
        <v>1</v>
      </c>
      <c r="G199" s="4" t="b">
        <f>LEN(data!E199)&gt;0</f>
        <v>0</v>
      </c>
      <c r="H199" s="4" t="b">
        <f>LEN(data!E199)&lt;=35</f>
        <v>1</v>
      </c>
      <c r="I199" s="4" t="b">
        <f>LEN(data!F199)=2</f>
        <v>0</v>
      </c>
      <c r="J199" s="4" t="b">
        <f>LEN(data!G199)&gt;0</f>
        <v>0</v>
      </c>
      <c r="K199" s="4" t="b">
        <f>LEN(data!G199)&lt;=60</f>
        <v>1</v>
      </c>
      <c r="L199" s="4" t="b">
        <f>LEN(data!I199)&gt;0</f>
        <v>0</v>
      </c>
      <c r="M199" s="4" t="b">
        <f>LEN(data!I199)&lt;=70</f>
        <v>1</v>
      </c>
      <c r="N199" s="4" t="b">
        <f>LEN(data!J199)&gt;0</f>
        <v>0</v>
      </c>
      <c r="O199" s="4" t="b">
        <f>LEN(data!J199)&lt;=140</f>
        <v>1</v>
      </c>
      <c r="P199" s="4" t="b">
        <f>LEN(data!K199)&gt;0</f>
        <v>0</v>
      </c>
      <c r="Q199" s="4" t="b">
        <f>LEN(data!K199)&lt;=35</f>
        <v>1</v>
      </c>
      <c r="R199" s="4" t="b">
        <f>LEN(data!L199)=2</f>
        <v>0</v>
      </c>
      <c r="S199" s="4" t="b">
        <f>LEN(data!M199)&gt;0</f>
        <v>0</v>
      </c>
      <c r="T199" s="4" t="b">
        <f>LEN(data!M199)&lt;=60</f>
        <v>1</v>
      </c>
      <c r="U199" s="4" t="b">
        <f>LEN(data!O199)&gt;0</f>
        <v>0</v>
      </c>
      <c r="V199" s="4" t="b">
        <f>LEN(data!O199)&lt;=70</f>
        <v>1</v>
      </c>
      <c r="W199" s="4" t="b">
        <f>LEN(data!P199)&gt;0</f>
        <v>0</v>
      </c>
      <c r="X199" s="4" t="b">
        <f>LEN(data!P199)&lt;=140</f>
        <v>1</v>
      </c>
      <c r="Y199" s="4" t="b">
        <f>LEN(data!Q199)&gt;0</f>
        <v>0</v>
      </c>
      <c r="Z199" s="4" t="b">
        <f>LEN(data!Q199)&lt;=35</f>
        <v>1</v>
      </c>
      <c r="AA199" s="4" t="b">
        <f>LEN(data!R199)=2</f>
        <v>0</v>
      </c>
      <c r="AB199" s="4" t="b">
        <f>LEN(data!S199)&gt;0</f>
        <v>0</v>
      </c>
      <c r="AC199" s="4" t="b">
        <f>LEN(data!S199)&lt;=120</f>
        <v>1</v>
      </c>
      <c r="AD199" s="4" t="b">
        <f>LEN(data!U199)=11</f>
        <v>0</v>
      </c>
      <c r="AE199" s="4" t="b">
        <f>AND(ISERROR(MATCH(data!V199, rule_mapping!$C$2:$C$325, 0))=FALSE, LEN(data!V199) &lt;= 4)</f>
        <v>0</v>
      </c>
      <c r="AF199" s="4" t="b">
        <f>LEN(data!W199)&gt;0</f>
        <v>0</v>
      </c>
      <c r="AG199" s="4" t="b">
        <f>LEN(data!W199)&lt;=20</f>
        <v>1</v>
      </c>
      <c r="AH199" s="4" t="b">
        <f xml:space="preserve"> IFERROR(ISNUMBER(data!X199), FALSE)</f>
        <v>0</v>
      </c>
      <c r="AI199" s="4" t="b">
        <f>IF(ISERROR(MATCH(data!Y199, rule_mapping!$D$2:$D$252, 0))=FALSE,TRUE, FALSE)</f>
        <v>0</v>
      </c>
      <c r="AJ199" s="4" t="b">
        <f>IFERROR(ISNUMBER(data!Z199), FALSE)</f>
        <v>0</v>
      </c>
      <c r="AK199" s="4" t="b">
        <f>IFERROR(ISNUMBER(data!AA199), FALSE)</f>
        <v>0</v>
      </c>
      <c r="AL199" s="4" t="b">
        <f>LEN(data!AB199)&lt;=90</f>
        <v>1</v>
      </c>
      <c r="AM199" s="4" t="b">
        <f>LEN(data!AC199)&gt;0</f>
        <v>0</v>
      </c>
      <c r="AN199" s="4" t="b">
        <f>LEN(data!AC199)&lt;=2000</f>
        <v>1</v>
      </c>
      <c r="AO199" s="4" t="b">
        <f>IF(LEN(data!AD199)=0,TRUE,IF(LEN(data!AD199)=5,TRUE,FALSE))</f>
        <v>1</v>
      </c>
      <c r="AP199" s="4" t="b">
        <f>LEN(data!AE199)&gt;0</f>
        <v>0</v>
      </c>
      <c r="AQ199" s="4" t="b">
        <f>LEN(data!AE199)=5</f>
        <v>0</v>
      </c>
      <c r="AR199" s="4" t="b">
        <f>ISERROR(MATCH(data!AF199, rule_mapping!$B$2:$B$3, 0))=FALSE</f>
        <v>0</v>
      </c>
      <c r="AS199" s="4" t="b">
        <f>ISERROR(MATCH(data!AG199, rule_mapping!$A$2:$A$8, 0))=FALSE</f>
        <v>0</v>
      </c>
      <c r="AT199" s="4" t="b">
        <f>LEN(data!AH199)&lt;=4</f>
        <v>1</v>
      </c>
      <c r="AU199" s="4" t="b">
        <f>LEN(data!AI199)&lt;=10</f>
        <v>1</v>
      </c>
      <c r="AV199" s="4" t="b">
        <f>LEN(data!AJ199)&lt;=35</f>
        <v>1</v>
      </c>
      <c r="AW199" s="4" t="b">
        <f>LEN(data!AK199)&lt;=20</f>
        <v>1</v>
      </c>
      <c r="AX199"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0" spans="1:50" ht="409.5" x14ac:dyDescent="0.15">
      <c r="A200" s="4" t="b">
        <f>OR(ISBLANK(data!B200), AND(B200:AW200))</f>
        <v>1</v>
      </c>
      <c r="B200" s="4" t="b">
        <f>AND(LEFT(TRIM(data!B200), 4)="OOLU", ISNUMBER(RIGHT(TRIM(data!B200), LEN(TRIM(data!B200))-4)+0))</f>
        <v>0</v>
      </c>
      <c r="C200" s="4" t="b">
        <f>LEN(data!C200)&gt;0</f>
        <v>0</v>
      </c>
      <c r="D200" s="4" t="b">
        <f>LEN(data!C200)&lt;=70</f>
        <v>1</v>
      </c>
      <c r="E200" s="4" t="b">
        <f>LEN(data!D200)&gt;0</f>
        <v>0</v>
      </c>
      <c r="F200" s="4" t="b">
        <f>LEN(data!D200)&lt;=140</f>
        <v>1</v>
      </c>
      <c r="G200" s="4" t="b">
        <f>LEN(data!E200)&gt;0</f>
        <v>0</v>
      </c>
      <c r="H200" s="4" t="b">
        <f>LEN(data!E200)&lt;=35</f>
        <v>1</v>
      </c>
      <c r="I200" s="4" t="b">
        <f>LEN(data!F200)=2</f>
        <v>0</v>
      </c>
      <c r="J200" s="4" t="b">
        <f>LEN(data!G200)&gt;0</f>
        <v>0</v>
      </c>
      <c r="K200" s="4" t="b">
        <f>LEN(data!G200)&lt;=60</f>
        <v>1</v>
      </c>
      <c r="L200" s="4" t="b">
        <f>LEN(data!I200)&gt;0</f>
        <v>0</v>
      </c>
      <c r="M200" s="4" t="b">
        <f>LEN(data!I200)&lt;=70</f>
        <v>1</v>
      </c>
      <c r="N200" s="4" t="b">
        <f>LEN(data!J200)&gt;0</f>
        <v>0</v>
      </c>
      <c r="O200" s="4" t="b">
        <f>LEN(data!J200)&lt;=140</f>
        <v>1</v>
      </c>
      <c r="P200" s="4" t="b">
        <f>LEN(data!K200)&gt;0</f>
        <v>0</v>
      </c>
      <c r="Q200" s="4" t="b">
        <f>LEN(data!K200)&lt;=35</f>
        <v>1</v>
      </c>
      <c r="R200" s="4" t="b">
        <f>LEN(data!L200)=2</f>
        <v>0</v>
      </c>
      <c r="S200" s="4" t="b">
        <f>LEN(data!M200)&gt;0</f>
        <v>0</v>
      </c>
      <c r="T200" s="4" t="b">
        <f>LEN(data!M200)&lt;=60</f>
        <v>1</v>
      </c>
      <c r="U200" s="4" t="b">
        <f>LEN(data!O200)&gt;0</f>
        <v>0</v>
      </c>
      <c r="V200" s="4" t="b">
        <f>LEN(data!O200)&lt;=70</f>
        <v>1</v>
      </c>
      <c r="W200" s="4" t="b">
        <f>LEN(data!P200)&gt;0</f>
        <v>0</v>
      </c>
      <c r="X200" s="4" t="b">
        <f>LEN(data!P200)&lt;=140</f>
        <v>1</v>
      </c>
      <c r="Y200" s="4" t="b">
        <f>LEN(data!Q200)&gt;0</f>
        <v>0</v>
      </c>
      <c r="Z200" s="4" t="b">
        <f>LEN(data!Q200)&lt;=35</f>
        <v>1</v>
      </c>
      <c r="AA200" s="4" t="b">
        <f>LEN(data!R200)=2</f>
        <v>0</v>
      </c>
      <c r="AB200" s="4" t="b">
        <f>LEN(data!S200)&gt;0</f>
        <v>0</v>
      </c>
      <c r="AC200" s="4" t="b">
        <f>LEN(data!S200)&lt;=120</f>
        <v>1</v>
      </c>
      <c r="AD200" s="4" t="b">
        <f>LEN(data!U200)=11</f>
        <v>0</v>
      </c>
      <c r="AE200" s="4" t="b">
        <f>AND(ISERROR(MATCH(data!V200, rule_mapping!$C$2:$C$325, 0))=FALSE, LEN(data!V200) &lt;= 4)</f>
        <v>0</v>
      </c>
      <c r="AF200" s="4" t="b">
        <f>LEN(data!W200)&gt;0</f>
        <v>0</v>
      </c>
      <c r="AG200" s="4" t="b">
        <f>LEN(data!W200)&lt;=20</f>
        <v>1</v>
      </c>
      <c r="AH200" s="4" t="b">
        <f xml:space="preserve"> IFERROR(ISNUMBER(data!X200), FALSE)</f>
        <v>0</v>
      </c>
      <c r="AI200" s="4" t="b">
        <f>IF(ISERROR(MATCH(data!Y200, rule_mapping!$D$2:$D$252, 0))=FALSE,TRUE, FALSE)</f>
        <v>0</v>
      </c>
      <c r="AJ200" s="4" t="b">
        <f>IFERROR(ISNUMBER(data!Z200), FALSE)</f>
        <v>0</v>
      </c>
      <c r="AK200" s="4" t="b">
        <f>IFERROR(ISNUMBER(data!AA200), FALSE)</f>
        <v>0</v>
      </c>
      <c r="AL200" s="4" t="b">
        <f>LEN(data!AB200)&lt;=90</f>
        <v>1</v>
      </c>
      <c r="AM200" s="4" t="b">
        <f>LEN(data!AC200)&gt;0</f>
        <v>0</v>
      </c>
      <c r="AN200" s="4" t="b">
        <f>LEN(data!AC200)&lt;=2000</f>
        <v>1</v>
      </c>
      <c r="AO200" s="4" t="b">
        <f>IF(LEN(data!AD200)=0,TRUE,IF(LEN(data!AD200)=5,TRUE,FALSE))</f>
        <v>1</v>
      </c>
      <c r="AP200" s="4" t="b">
        <f>LEN(data!AE200)&gt;0</f>
        <v>0</v>
      </c>
      <c r="AQ200" s="4" t="b">
        <f>LEN(data!AE200)=5</f>
        <v>0</v>
      </c>
      <c r="AR200" s="4" t="b">
        <f>ISERROR(MATCH(data!AF200, rule_mapping!$B$2:$B$3, 0))=FALSE</f>
        <v>0</v>
      </c>
      <c r="AS200" s="4" t="b">
        <f>ISERROR(MATCH(data!AG200, rule_mapping!$A$2:$A$8, 0))=FALSE</f>
        <v>0</v>
      </c>
      <c r="AT200" s="4" t="b">
        <f>LEN(data!AH200)&lt;=4</f>
        <v>1</v>
      </c>
      <c r="AU200" s="4" t="b">
        <f>LEN(data!AI200)&lt;=10</f>
        <v>1</v>
      </c>
      <c r="AV200" s="4" t="b">
        <f>LEN(data!AJ200)&lt;=35</f>
        <v>1</v>
      </c>
      <c r="AW200" s="4" t="b">
        <f>LEN(data!AK200)&lt;=20</f>
        <v>1</v>
      </c>
      <c r="AX200"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1" spans="1:50" ht="409.5" x14ac:dyDescent="0.15">
      <c r="A201" s="4" t="b">
        <f>OR(ISBLANK(data!B201), AND(B201:AW201))</f>
        <v>1</v>
      </c>
      <c r="B201" s="4" t="b">
        <f>AND(LEFT(TRIM(data!B201), 4)="OOLU", ISNUMBER(RIGHT(TRIM(data!B201), LEN(TRIM(data!B201))-4)+0))</f>
        <v>0</v>
      </c>
      <c r="C201" s="4" t="b">
        <f>LEN(data!C201)&gt;0</f>
        <v>0</v>
      </c>
      <c r="D201" s="4" t="b">
        <f>LEN(data!C201)&lt;=70</f>
        <v>1</v>
      </c>
      <c r="E201" s="4" t="b">
        <f>LEN(data!D201)&gt;0</f>
        <v>0</v>
      </c>
      <c r="F201" s="4" t="b">
        <f>LEN(data!D201)&lt;=140</f>
        <v>1</v>
      </c>
      <c r="G201" s="4" t="b">
        <f>LEN(data!E201)&gt;0</f>
        <v>0</v>
      </c>
      <c r="H201" s="4" t="b">
        <f>LEN(data!E201)&lt;=35</f>
        <v>1</v>
      </c>
      <c r="I201" s="4" t="b">
        <f>LEN(data!F201)=2</f>
        <v>0</v>
      </c>
      <c r="J201" s="4" t="b">
        <f>LEN(data!G201)&gt;0</f>
        <v>0</v>
      </c>
      <c r="K201" s="4" t="b">
        <f>LEN(data!G201)&lt;=60</f>
        <v>1</v>
      </c>
      <c r="L201" s="4" t="b">
        <f>LEN(data!I201)&gt;0</f>
        <v>0</v>
      </c>
      <c r="M201" s="4" t="b">
        <f>LEN(data!I201)&lt;=70</f>
        <v>1</v>
      </c>
      <c r="N201" s="4" t="b">
        <f>LEN(data!J201)&gt;0</f>
        <v>0</v>
      </c>
      <c r="O201" s="4" t="b">
        <f>LEN(data!J201)&lt;=140</f>
        <v>1</v>
      </c>
      <c r="P201" s="4" t="b">
        <f>LEN(data!K201)&gt;0</f>
        <v>0</v>
      </c>
      <c r="Q201" s="4" t="b">
        <f>LEN(data!K201)&lt;=35</f>
        <v>1</v>
      </c>
      <c r="R201" s="4" t="b">
        <f>LEN(data!L201)=2</f>
        <v>0</v>
      </c>
      <c r="S201" s="4" t="b">
        <f>LEN(data!M201)&gt;0</f>
        <v>0</v>
      </c>
      <c r="T201" s="4" t="b">
        <f>LEN(data!M201)&lt;=60</f>
        <v>1</v>
      </c>
      <c r="U201" s="4" t="b">
        <f>LEN(data!O201)&gt;0</f>
        <v>0</v>
      </c>
      <c r="V201" s="4" t="b">
        <f>LEN(data!O201)&lt;=70</f>
        <v>1</v>
      </c>
      <c r="W201" s="4" t="b">
        <f>LEN(data!P201)&gt;0</f>
        <v>0</v>
      </c>
      <c r="X201" s="4" t="b">
        <f>LEN(data!P201)&lt;=140</f>
        <v>1</v>
      </c>
      <c r="Y201" s="4" t="b">
        <f>LEN(data!Q201)&gt;0</f>
        <v>0</v>
      </c>
      <c r="Z201" s="4" t="b">
        <f>LEN(data!Q201)&lt;=35</f>
        <v>1</v>
      </c>
      <c r="AA201" s="4" t="b">
        <f>LEN(data!R201)=2</f>
        <v>0</v>
      </c>
      <c r="AB201" s="4" t="b">
        <f>LEN(data!S201)&gt;0</f>
        <v>0</v>
      </c>
      <c r="AC201" s="4" t="b">
        <f>LEN(data!S201)&lt;=120</f>
        <v>1</v>
      </c>
      <c r="AD201" s="4" t="b">
        <f>LEN(data!U201)=11</f>
        <v>0</v>
      </c>
      <c r="AE201" s="4" t="b">
        <f>AND(ISERROR(MATCH(data!V201, rule_mapping!$C$2:$C$325, 0))=FALSE, LEN(data!V201) &lt;= 4)</f>
        <v>0</v>
      </c>
      <c r="AF201" s="4" t="b">
        <f>LEN(data!W201)&gt;0</f>
        <v>0</v>
      </c>
      <c r="AG201" s="4" t="b">
        <f>LEN(data!W201)&lt;=20</f>
        <v>1</v>
      </c>
      <c r="AH201" s="4" t="b">
        <f xml:space="preserve"> IFERROR(ISNUMBER(data!X201), FALSE)</f>
        <v>0</v>
      </c>
      <c r="AI201" s="4" t="b">
        <f>IF(ISERROR(MATCH(data!Y201, rule_mapping!$D$2:$D$252, 0))=FALSE,TRUE, FALSE)</f>
        <v>0</v>
      </c>
      <c r="AJ201" s="4" t="b">
        <f>IFERROR(ISNUMBER(data!Z201), FALSE)</f>
        <v>0</v>
      </c>
      <c r="AK201" s="4" t="b">
        <f>IFERROR(ISNUMBER(data!AA201), FALSE)</f>
        <v>0</v>
      </c>
      <c r="AL201" s="4" t="b">
        <f>LEN(data!AB201)&lt;=90</f>
        <v>1</v>
      </c>
      <c r="AM201" s="4" t="b">
        <f>LEN(data!AC201)&gt;0</f>
        <v>0</v>
      </c>
      <c r="AN201" s="4" t="b">
        <f>LEN(data!AC201)&lt;=2000</f>
        <v>1</v>
      </c>
      <c r="AO201" s="4" t="b">
        <f>IF(LEN(data!AD201)=0,TRUE,IF(LEN(data!AD201)=5,TRUE,FALSE))</f>
        <v>1</v>
      </c>
      <c r="AP201" s="4" t="b">
        <f>LEN(data!AE201)&gt;0</f>
        <v>0</v>
      </c>
      <c r="AQ201" s="4" t="b">
        <f>LEN(data!AE201)=5</f>
        <v>0</v>
      </c>
      <c r="AR201" s="4" t="b">
        <f>ISERROR(MATCH(data!AF201, rule_mapping!$B$2:$B$3, 0))=FALSE</f>
        <v>0</v>
      </c>
      <c r="AS201" s="4" t="b">
        <f>ISERROR(MATCH(data!AG201, rule_mapping!$A$2:$A$8, 0))=FALSE</f>
        <v>0</v>
      </c>
      <c r="AT201" s="4" t="b">
        <f>LEN(data!AH201)&lt;=4</f>
        <v>1</v>
      </c>
      <c r="AU201" s="4" t="b">
        <f>LEN(data!AI201)&lt;=10</f>
        <v>1</v>
      </c>
      <c r="AV201" s="4" t="b">
        <f>LEN(data!AJ201)&lt;=35</f>
        <v>1</v>
      </c>
      <c r="AW201" s="4" t="b">
        <f>LEN(data!AK201)&lt;=20</f>
        <v>1</v>
      </c>
      <c r="AX201"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2" spans="1:50" ht="409.5" x14ac:dyDescent="0.15">
      <c r="A202" s="4" t="b">
        <f>OR(ISBLANK(data!B202), AND(B202:AW202))</f>
        <v>1</v>
      </c>
      <c r="B202" s="4" t="b">
        <f>AND(LEFT(TRIM(data!B202), 4)="OOLU", ISNUMBER(RIGHT(TRIM(data!B202), LEN(TRIM(data!B202))-4)+0))</f>
        <v>0</v>
      </c>
      <c r="C202" s="4" t="b">
        <f>LEN(data!C202)&gt;0</f>
        <v>0</v>
      </c>
      <c r="D202" s="4" t="b">
        <f>LEN(data!C202)&lt;=70</f>
        <v>1</v>
      </c>
      <c r="E202" s="4" t="b">
        <f>LEN(data!D202)&gt;0</f>
        <v>0</v>
      </c>
      <c r="F202" s="4" t="b">
        <f>LEN(data!D202)&lt;=140</f>
        <v>1</v>
      </c>
      <c r="G202" s="4" t="b">
        <f>LEN(data!E202)&gt;0</f>
        <v>0</v>
      </c>
      <c r="H202" s="4" t="b">
        <f>LEN(data!E202)&lt;=35</f>
        <v>1</v>
      </c>
      <c r="I202" s="4" t="b">
        <f>LEN(data!F202)=2</f>
        <v>0</v>
      </c>
      <c r="J202" s="4" t="b">
        <f>LEN(data!G202)&gt;0</f>
        <v>0</v>
      </c>
      <c r="K202" s="4" t="b">
        <f>LEN(data!G202)&lt;=60</f>
        <v>1</v>
      </c>
      <c r="L202" s="4" t="b">
        <f>LEN(data!I202)&gt;0</f>
        <v>0</v>
      </c>
      <c r="M202" s="4" t="b">
        <f>LEN(data!I202)&lt;=70</f>
        <v>1</v>
      </c>
      <c r="N202" s="4" t="b">
        <f>LEN(data!J202)&gt;0</f>
        <v>0</v>
      </c>
      <c r="O202" s="4" t="b">
        <f>LEN(data!J202)&lt;=140</f>
        <v>1</v>
      </c>
      <c r="P202" s="4" t="b">
        <f>LEN(data!K202)&gt;0</f>
        <v>0</v>
      </c>
      <c r="Q202" s="4" t="b">
        <f>LEN(data!K202)&lt;=35</f>
        <v>1</v>
      </c>
      <c r="R202" s="4" t="b">
        <f>LEN(data!L202)=2</f>
        <v>0</v>
      </c>
      <c r="S202" s="4" t="b">
        <f>LEN(data!M202)&gt;0</f>
        <v>0</v>
      </c>
      <c r="T202" s="4" t="b">
        <f>LEN(data!M202)&lt;=60</f>
        <v>1</v>
      </c>
      <c r="U202" s="4" t="b">
        <f>LEN(data!O202)&gt;0</f>
        <v>0</v>
      </c>
      <c r="V202" s="4" t="b">
        <f>LEN(data!O202)&lt;=70</f>
        <v>1</v>
      </c>
      <c r="W202" s="4" t="b">
        <f>LEN(data!P202)&gt;0</f>
        <v>0</v>
      </c>
      <c r="X202" s="4" t="b">
        <f>LEN(data!P202)&lt;=140</f>
        <v>1</v>
      </c>
      <c r="Y202" s="4" t="b">
        <f>LEN(data!Q202)&gt;0</f>
        <v>0</v>
      </c>
      <c r="Z202" s="4" t="b">
        <f>LEN(data!Q202)&lt;=35</f>
        <v>1</v>
      </c>
      <c r="AA202" s="4" t="b">
        <f>LEN(data!R202)=2</f>
        <v>0</v>
      </c>
      <c r="AB202" s="4" t="b">
        <f>LEN(data!S202)&gt;0</f>
        <v>0</v>
      </c>
      <c r="AC202" s="4" t="b">
        <f>LEN(data!S202)&lt;=120</f>
        <v>1</v>
      </c>
      <c r="AD202" s="4" t="b">
        <f>LEN(data!U202)=11</f>
        <v>0</v>
      </c>
      <c r="AE202" s="4" t="b">
        <f>AND(ISERROR(MATCH(data!V202, rule_mapping!$C$2:$C$325, 0))=FALSE, LEN(data!V202) &lt;= 4)</f>
        <v>0</v>
      </c>
      <c r="AF202" s="4" t="b">
        <f>LEN(data!W202)&gt;0</f>
        <v>0</v>
      </c>
      <c r="AG202" s="4" t="b">
        <f>LEN(data!W202)&lt;=20</f>
        <v>1</v>
      </c>
      <c r="AH202" s="4" t="b">
        <f xml:space="preserve"> IFERROR(ISNUMBER(data!X202), FALSE)</f>
        <v>0</v>
      </c>
      <c r="AI202" s="4" t="b">
        <f>IF(ISERROR(MATCH(data!Y202, rule_mapping!$D$2:$D$252, 0))=FALSE,TRUE, FALSE)</f>
        <v>0</v>
      </c>
      <c r="AJ202" s="4" t="b">
        <f>IFERROR(ISNUMBER(data!Z202), FALSE)</f>
        <v>0</v>
      </c>
      <c r="AK202" s="4" t="b">
        <f>IFERROR(ISNUMBER(data!AA202), FALSE)</f>
        <v>0</v>
      </c>
      <c r="AL202" s="4" t="b">
        <f>LEN(data!AB202)&lt;=90</f>
        <v>1</v>
      </c>
      <c r="AM202" s="4" t="b">
        <f>LEN(data!AC202)&gt;0</f>
        <v>0</v>
      </c>
      <c r="AN202" s="4" t="b">
        <f>LEN(data!AC202)&lt;=2000</f>
        <v>1</v>
      </c>
      <c r="AO202" s="4" t="b">
        <f>IF(LEN(data!AD202)=0,TRUE,IF(LEN(data!AD202)=5,TRUE,FALSE))</f>
        <v>1</v>
      </c>
      <c r="AP202" s="4" t="b">
        <f>LEN(data!AE202)&gt;0</f>
        <v>0</v>
      </c>
      <c r="AQ202" s="4" t="b">
        <f>LEN(data!AE202)=5</f>
        <v>0</v>
      </c>
      <c r="AR202" s="4" t="b">
        <f>ISERROR(MATCH(data!AF202, rule_mapping!$B$2:$B$3, 0))=FALSE</f>
        <v>0</v>
      </c>
      <c r="AS202" s="4" t="b">
        <f>ISERROR(MATCH(data!AG202, rule_mapping!$A$2:$A$8, 0))=FALSE</f>
        <v>0</v>
      </c>
      <c r="AT202" s="4" t="b">
        <f>LEN(data!AH202)&lt;=4</f>
        <v>1</v>
      </c>
      <c r="AU202" s="4" t="b">
        <f>LEN(data!AI202)&lt;=10</f>
        <v>1</v>
      </c>
      <c r="AV202" s="4" t="b">
        <f>LEN(data!AJ202)&lt;=35</f>
        <v>1</v>
      </c>
      <c r="AW202" s="4" t="b">
        <f>LEN(data!AK202)&lt;=20</f>
        <v>1</v>
      </c>
      <c r="AX202"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3" spans="1:50" ht="409.5" x14ac:dyDescent="0.15">
      <c r="A203" s="4" t="b">
        <f>OR(ISBLANK(data!B203), AND(B203:AW203))</f>
        <v>1</v>
      </c>
      <c r="B203" s="4" t="b">
        <f>AND(LEFT(TRIM(data!B203), 4)="OOLU", ISNUMBER(RIGHT(TRIM(data!B203), LEN(TRIM(data!B203))-4)+0))</f>
        <v>0</v>
      </c>
      <c r="C203" s="4" t="b">
        <f>LEN(data!C203)&gt;0</f>
        <v>0</v>
      </c>
      <c r="D203" s="4" t="b">
        <f>LEN(data!C203)&lt;=70</f>
        <v>1</v>
      </c>
      <c r="E203" s="4" t="b">
        <f>LEN(data!D203)&gt;0</f>
        <v>0</v>
      </c>
      <c r="F203" s="4" t="b">
        <f>LEN(data!D203)&lt;=140</f>
        <v>1</v>
      </c>
      <c r="G203" s="4" t="b">
        <f>LEN(data!E203)&gt;0</f>
        <v>0</v>
      </c>
      <c r="H203" s="4" t="b">
        <f>LEN(data!E203)&lt;=35</f>
        <v>1</v>
      </c>
      <c r="I203" s="4" t="b">
        <f>LEN(data!F203)=2</f>
        <v>0</v>
      </c>
      <c r="J203" s="4" t="b">
        <f>LEN(data!G203)&gt;0</f>
        <v>0</v>
      </c>
      <c r="K203" s="4" t="b">
        <f>LEN(data!G203)&lt;=60</f>
        <v>1</v>
      </c>
      <c r="L203" s="4" t="b">
        <f>LEN(data!I203)&gt;0</f>
        <v>0</v>
      </c>
      <c r="M203" s="4" t="b">
        <f>LEN(data!I203)&lt;=70</f>
        <v>1</v>
      </c>
      <c r="N203" s="4" t="b">
        <f>LEN(data!J203)&gt;0</f>
        <v>0</v>
      </c>
      <c r="O203" s="4" t="b">
        <f>LEN(data!J203)&lt;=140</f>
        <v>1</v>
      </c>
      <c r="P203" s="4" t="b">
        <f>LEN(data!K203)&gt;0</f>
        <v>0</v>
      </c>
      <c r="Q203" s="4" t="b">
        <f>LEN(data!K203)&lt;=35</f>
        <v>1</v>
      </c>
      <c r="R203" s="4" t="b">
        <f>LEN(data!L203)=2</f>
        <v>0</v>
      </c>
      <c r="S203" s="4" t="b">
        <f>LEN(data!M203)&gt;0</f>
        <v>0</v>
      </c>
      <c r="T203" s="4" t="b">
        <f>LEN(data!M203)&lt;=60</f>
        <v>1</v>
      </c>
      <c r="U203" s="4" t="b">
        <f>LEN(data!O203)&gt;0</f>
        <v>0</v>
      </c>
      <c r="V203" s="4" t="b">
        <f>LEN(data!O203)&lt;=70</f>
        <v>1</v>
      </c>
      <c r="W203" s="4" t="b">
        <f>LEN(data!P203)&gt;0</f>
        <v>0</v>
      </c>
      <c r="X203" s="4" t="b">
        <f>LEN(data!P203)&lt;=140</f>
        <v>1</v>
      </c>
      <c r="Y203" s="4" t="b">
        <f>LEN(data!Q203)&gt;0</f>
        <v>0</v>
      </c>
      <c r="Z203" s="4" t="b">
        <f>LEN(data!Q203)&lt;=35</f>
        <v>1</v>
      </c>
      <c r="AA203" s="4" t="b">
        <f>LEN(data!R203)=2</f>
        <v>0</v>
      </c>
      <c r="AB203" s="4" t="b">
        <f>LEN(data!S203)&gt;0</f>
        <v>0</v>
      </c>
      <c r="AC203" s="4" t="b">
        <f>LEN(data!S203)&lt;=120</f>
        <v>1</v>
      </c>
      <c r="AD203" s="4" t="b">
        <f>LEN(data!U203)=11</f>
        <v>0</v>
      </c>
      <c r="AE203" s="4" t="b">
        <f>AND(ISERROR(MATCH(data!V203, rule_mapping!$C$2:$C$325, 0))=FALSE, LEN(data!V203) &lt;= 4)</f>
        <v>0</v>
      </c>
      <c r="AF203" s="4" t="b">
        <f>LEN(data!W203)&gt;0</f>
        <v>0</v>
      </c>
      <c r="AG203" s="4" t="b">
        <f>LEN(data!W203)&lt;=20</f>
        <v>1</v>
      </c>
      <c r="AH203" s="4" t="b">
        <f xml:space="preserve"> IFERROR(ISNUMBER(data!X203), FALSE)</f>
        <v>0</v>
      </c>
      <c r="AI203" s="4" t="b">
        <f>IF(ISERROR(MATCH(data!Y203, rule_mapping!$D$2:$D$252, 0))=FALSE,TRUE, FALSE)</f>
        <v>0</v>
      </c>
      <c r="AJ203" s="4" t="b">
        <f>IFERROR(ISNUMBER(data!Z203), FALSE)</f>
        <v>0</v>
      </c>
      <c r="AK203" s="4" t="b">
        <f>IFERROR(ISNUMBER(data!AA203), FALSE)</f>
        <v>0</v>
      </c>
      <c r="AL203" s="4" t="b">
        <f>LEN(data!AB203)&lt;=90</f>
        <v>1</v>
      </c>
      <c r="AM203" s="4" t="b">
        <f>LEN(data!AC203)&gt;0</f>
        <v>0</v>
      </c>
      <c r="AN203" s="4" t="b">
        <f>LEN(data!AC203)&lt;=2000</f>
        <v>1</v>
      </c>
      <c r="AO203" s="4" t="b">
        <f>IF(LEN(data!AD203)=0,TRUE,IF(LEN(data!AD203)=5,TRUE,FALSE))</f>
        <v>1</v>
      </c>
      <c r="AP203" s="4" t="b">
        <f>LEN(data!AE203)&gt;0</f>
        <v>0</v>
      </c>
      <c r="AQ203" s="4" t="b">
        <f>LEN(data!AE203)=5</f>
        <v>0</v>
      </c>
      <c r="AR203" s="4" t="b">
        <f>ISERROR(MATCH(data!AF203, rule_mapping!$B$2:$B$3, 0))=FALSE</f>
        <v>0</v>
      </c>
      <c r="AS203" s="4" t="b">
        <f>ISERROR(MATCH(data!AG203, rule_mapping!$A$2:$A$8, 0))=FALSE</f>
        <v>0</v>
      </c>
      <c r="AT203" s="4" t="b">
        <f>LEN(data!AH203)&lt;=4</f>
        <v>1</v>
      </c>
      <c r="AU203" s="4" t="b">
        <f>LEN(data!AI203)&lt;=10</f>
        <v>1</v>
      </c>
      <c r="AV203" s="4" t="b">
        <f>LEN(data!AJ203)&lt;=35</f>
        <v>1</v>
      </c>
      <c r="AW203" s="4" t="b">
        <f>LEN(data!AK203)&lt;=20</f>
        <v>1</v>
      </c>
      <c r="AX203"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4" spans="1:50" ht="409.5" x14ac:dyDescent="0.15">
      <c r="A204" s="4" t="b">
        <f>OR(ISBLANK(data!B204), AND(B204:AW204))</f>
        <v>1</v>
      </c>
      <c r="B204" s="4" t="b">
        <f>AND(LEFT(TRIM(data!B204), 4)="OOLU", ISNUMBER(RIGHT(TRIM(data!B204), LEN(TRIM(data!B204))-4)+0))</f>
        <v>0</v>
      </c>
      <c r="C204" s="4" t="b">
        <f>LEN(data!C204)&gt;0</f>
        <v>0</v>
      </c>
      <c r="D204" s="4" t="b">
        <f>LEN(data!C204)&lt;=70</f>
        <v>1</v>
      </c>
      <c r="E204" s="4" t="b">
        <f>LEN(data!D204)&gt;0</f>
        <v>0</v>
      </c>
      <c r="F204" s="4" t="b">
        <f>LEN(data!D204)&lt;=140</f>
        <v>1</v>
      </c>
      <c r="G204" s="4" t="b">
        <f>LEN(data!E204)&gt;0</f>
        <v>0</v>
      </c>
      <c r="H204" s="4" t="b">
        <f>LEN(data!E204)&lt;=35</f>
        <v>1</v>
      </c>
      <c r="I204" s="4" t="b">
        <f>LEN(data!F204)=2</f>
        <v>0</v>
      </c>
      <c r="J204" s="4" t="b">
        <f>LEN(data!G204)&gt;0</f>
        <v>0</v>
      </c>
      <c r="K204" s="4" t="b">
        <f>LEN(data!G204)&lt;=60</f>
        <v>1</v>
      </c>
      <c r="L204" s="4" t="b">
        <f>LEN(data!I204)&gt;0</f>
        <v>0</v>
      </c>
      <c r="M204" s="4" t="b">
        <f>LEN(data!I204)&lt;=70</f>
        <v>1</v>
      </c>
      <c r="N204" s="4" t="b">
        <f>LEN(data!J204)&gt;0</f>
        <v>0</v>
      </c>
      <c r="O204" s="4" t="b">
        <f>LEN(data!J204)&lt;=140</f>
        <v>1</v>
      </c>
      <c r="P204" s="4" t="b">
        <f>LEN(data!K204)&gt;0</f>
        <v>0</v>
      </c>
      <c r="Q204" s="4" t="b">
        <f>LEN(data!K204)&lt;=35</f>
        <v>1</v>
      </c>
      <c r="R204" s="4" t="b">
        <f>LEN(data!L204)=2</f>
        <v>0</v>
      </c>
      <c r="S204" s="4" t="b">
        <f>LEN(data!M204)&gt;0</f>
        <v>0</v>
      </c>
      <c r="T204" s="4" t="b">
        <f>LEN(data!M204)&lt;=60</f>
        <v>1</v>
      </c>
      <c r="U204" s="4" t="b">
        <f>LEN(data!O204)&gt;0</f>
        <v>0</v>
      </c>
      <c r="V204" s="4" t="b">
        <f>LEN(data!O204)&lt;=70</f>
        <v>1</v>
      </c>
      <c r="W204" s="4" t="b">
        <f>LEN(data!P204)&gt;0</f>
        <v>0</v>
      </c>
      <c r="X204" s="4" t="b">
        <f>LEN(data!P204)&lt;=140</f>
        <v>1</v>
      </c>
      <c r="Y204" s="4" t="b">
        <f>LEN(data!Q204)&gt;0</f>
        <v>0</v>
      </c>
      <c r="Z204" s="4" t="b">
        <f>LEN(data!Q204)&lt;=35</f>
        <v>1</v>
      </c>
      <c r="AA204" s="4" t="b">
        <f>LEN(data!R204)=2</f>
        <v>0</v>
      </c>
      <c r="AB204" s="4" t="b">
        <f>LEN(data!S204)&gt;0</f>
        <v>0</v>
      </c>
      <c r="AC204" s="4" t="b">
        <f>LEN(data!S204)&lt;=120</f>
        <v>1</v>
      </c>
      <c r="AD204" s="4" t="b">
        <f>LEN(data!U204)=11</f>
        <v>0</v>
      </c>
      <c r="AE204" s="4" t="b">
        <f>AND(ISERROR(MATCH(data!V204, rule_mapping!$C$2:$C$325, 0))=FALSE, LEN(data!V204) &lt;= 4)</f>
        <v>0</v>
      </c>
      <c r="AF204" s="4" t="b">
        <f>LEN(data!W204)&gt;0</f>
        <v>0</v>
      </c>
      <c r="AG204" s="4" t="b">
        <f>LEN(data!W204)&lt;=20</f>
        <v>1</v>
      </c>
      <c r="AH204" s="4" t="b">
        <f xml:space="preserve"> IFERROR(ISNUMBER(data!X204), FALSE)</f>
        <v>0</v>
      </c>
      <c r="AI204" s="4" t="b">
        <f>IF(ISERROR(MATCH(data!Y204, rule_mapping!$D$2:$D$252, 0))=FALSE,TRUE, FALSE)</f>
        <v>0</v>
      </c>
      <c r="AJ204" s="4" t="b">
        <f>IFERROR(ISNUMBER(data!Z204), FALSE)</f>
        <v>0</v>
      </c>
      <c r="AK204" s="4" t="b">
        <f>IFERROR(ISNUMBER(data!AA204), FALSE)</f>
        <v>0</v>
      </c>
      <c r="AL204" s="4" t="b">
        <f>LEN(data!AB204)&lt;=90</f>
        <v>1</v>
      </c>
      <c r="AM204" s="4" t="b">
        <f>LEN(data!AC204)&gt;0</f>
        <v>0</v>
      </c>
      <c r="AN204" s="4" t="b">
        <f>LEN(data!AC204)&lt;=2000</f>
        <v>1</v>
      </c>
      <c r="AO204" s="4" t="b">
        <f>IF(LEN(data!AD204)=0,TRUE,IF(LEN(data!AD204)=5,TRUE,FALSE))</f>
        <v>1</v>
      </c>
      <c r="AP204" s="4" t="b">
        <f>LEN(data!AE204)&gt;0</f>
        <v>0</v>
      </c>
      <c r="AQ204" s="4" t="b">
        <f>LEN(data!AE204)=5</f>
        <v>0</v>
      </c>
      <c r="AR204" s="4" t="b">
        <f>ISERROR(MATCH(data!AF204, rule_mapping!$B$2:$B$3, 0))=FALSE</f>
        <v>0</v>
      </c>
      <c r="AS204" s="4" t="b">
        <f>ISERROR(MATCH(data!AG204, rule_mapping!$A$2:$A$8, 0))=FALSE</f>
        <v>0</v>
      </c>
      <c r="AT204" s="4" t="b">
        <f>LEN(data!AH204)&lt;=4</f>
        <v>1</v>
      </c>
      <c r="AU204" s="4" t="b">
        <f>LEN(data!AI204)&lt;=10</f>
        <v>1</v>
      </c>
      <c r="AV204" s="4" t="b">
        <f>LEN(data!AJ204)&lt;=35</f>
        <v>1</v>
      </c>
      <c r="AW204" s="4" t="b">
        <f>LEN(data!AK204)&lt;=20</f>
        <v>1</v>
      </c>
      <c r="AX204"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5" spans="1:50" ht="409.5" x14ac:dyDescent="0.15">
      <c r="A205" s="4" t="b">
        <f>OR(ISBLANK(data!B205), AND(B205:AW205))</f>
        <v>1</v>
      </c>
      <c r="B205" s="4" t="b">
        <f>AND(LEFT(TRIM(data!B205), 4)="OOLU", ISNUMBER(RIGHT(TRIM(data!B205), LEN(TRIM(data!B205))-4)+0))</f>
        <v>0</v>
      </c>
      <c r="C205" s="4" t="b">
        <f>LEN(data!C205)&gt;0</f>
        <v>0</v>
      </c>
      <c r="D205" s="4" t="b">
        <f>LEN(data!C205)&lt;=70</f>
        <v>1</v>
      </c>
      <c r="E205" s="4" t="b">
        <f>LEN(data!D205)&gt;0</f>
        <v>0</v>
      </c>
      <c r="F205" s="4" t="b">
        <f>LEN(data!D205)&lt;=140</f>
        <v>1</v>
      </c>
      <c r="G205" s="4" t="b">
        <f>LEN(data!E205)&gt;0</f>
        <v>0</v>
      </c>
      <c r="H205" s="4" t="b">
        <f>LEN(data!E205)&lt;=35</f>
        <v>1</v>
      </c>
      <c r="I205" s="4" t="b">
        <f>LEN(data!F205)=2</f>
        <v>0</v>
      </c>
      <c r="J205" s="4" t="b">
        <f>LEN(data!G205)&gt;0</f>
        <v>0</v>
      </c>
      <c r="K205" s="4" t="b">
        <f>LEN(data!G205)&lt;=60</f>
        <v>1</v>
      </c>
      <c r="L205" s="4" t="b">
        <f>LEN(data!I205)&gt;0</f>
        <v>0</v>
      </c>
      <c r="M205" s="4" t="b">
        <f>LEN(data!I205)&lt;=70</f>
        <v>1</v>
      </c>
      <c r="N205" s="4" t="b">
        <f>LEN(data!J205)&gt;0</f>
        <v>0</v>
      </c>
      <c r="O205" s="4" t="b">
        <f>LEN(data!J205)&lt;=140</f>
        <v>1</v>
      </c>
      <c r="P205" s="4" t="b">
        <f>LEN(data!K205)&gt;0</f>
        <v>0</v>
      </c>
      <c r="Q205" s="4" t="b">
        <f>LEN(data!K205)&lt;=35</f>
        <v>1</v>
      </c>
      <c r="R205" s="4" t="b">
        <f>LEN(data!L205)=2</f>
        <v>0</v>
      </c>
      <c r="S205" s="4" t="b">
        <f>LEN(data!M205)&gt;0</f>
        <v>0</v>
      </c>
      <c r="T205" s="4" t="b">
        <f>LEN(data!M205)&lt;=60</f>
        <v>1</v>
      </c>
      <c r="U205" s="4" t="b">
        <f>LEN(data!O205)&gt;0</f>
        <v>0</v>
      </c>
      <c r="V205" s="4" t="b">
        <f>LEN(data!O205)&lt;=70</f>
        <v>1</v>
      </c>
      <c r="W205" s="4" t="b">
        <f>LEN(data!P205)&gt;0</f>
        <v>0</v>
      </c>
      <c r="X205" s="4" t="b">
        <f>LEN(data!P205)&lt;=140</f>
        <v>1</v>
      </c>
      <c r="Y205" s="4" t="b">
        <f>LEN(data!Q205)&gt;0</f>
        <v>0</v>
      </c>
      <c r="Z205" s="4" t="b">
        <f>LEN(data!Q205)&lt;=35</f>
        <v>1</v>
      </c>
      <c r="AA205" s="4" t="b">
        <f>LEN(data!R205)=2</f>
        <v>0</v>
      </c>
      <c r="AB205" s="4" t="b">
        <f>LEN(data!S205)&gt;0</f>
        <v>0</v>
      </c>
      <c r="AC205" s="4" t="b">
        <f>LEN(data!S205)&lt;=120</f>
        <v>1</v>
      </c>
      <c r="AD205" s="4" t="b">
        <f>LEN(data!U205)=11</f>
        <v>0</v>
      </c>
      <c r="AE205" s="4" t="b">
        <f>AND(ISERROR(MATCH(data!V205, rule_mapping!$C$2:$C$325, 0))=FALSE, LEN(data!V205) &lt;= 4)</f>
        <v>0</v>
      </c>
      <c r="AF205" s="4" t="b">
        <f>LEN(data!W205)&gt;0</f>
        <v>0</v>
      </c>
      <c r="AG205" s="4" t="b">
        <f>LEN(data!W205)&lt;=20</f>
        <v>1</v>
      </c>
      <c r="AH205" s="4" t="b">
        <f xml:space="preserve"> IFERROR(ISNUMBER(data!X205), FALSE)</f>
        <v>0</v>
      </c>
      <c r="AI205" s="4" t="b">
        <f>IF(ISERROR(MATCH(data!Y205, rule_mapping!$D$2:$D$252, 0))=FALSE,TRUE, FALSE)</f>
        <v>0</v>
      </c>
      <c r="AJ205" s="4" t="b">
        <f>IFERROR(ISNUMBER(data!Z205), FALSE)</f>
        <v>0</v>
      </c>
      <c r="AK205" s="4" t="b">
        <f>IFERROR(ISNUMBER(data!AA205), FALSE)</f>
        <v>0</v>
      </c>
      <c r="AL205" s="4" t="b">
        <f>LEN(data!AB205)&lt;=90</f>
        <v>1</v>
      </c>
      <c r="AM205" s="4" t="b">
        <f>LEN(data!AC205)&gt;0</f>
        <v>0</v>
      </c>
      <c r="AN205" s="4" t="b">
        <f>LEN(data!AC205)&lt;=2000</f>
        <v>1</v>
      </c>
      <c r="AO205" s="4" t="b">
        <f>IF(LEN(data!AD205)=0,TRUE,IF(LEN(data!AD205)=5,TRUE,FALSE))</f>
        <v>1</v>
      </c>
      <c r="AP205" s="4" t="b">
        <f>LEN(data!AE205)&gt;0</f>
        <v>0</v>
      </c>
      <c r="AQ205" s="4" t="b">
        <f>LEN(data!AE205)=5</f>
        <v>0</v>
      </c>
      <c r="AR205" s="4" t="b">
        <f>ISERROR(MATCH(data!AF205, rule_mapping!$B$2:$B$3, 0))=FALSE</f>
        <v>0</v>
      </c>
      <c r="AS205" s="4" t="b">
        <f>ISERROR(MATCH(data!AG205, rule_mapping!$A$2:$A$8, 0))=FALSE</f>
        <v>0</v>
      </c>
      <c r="AT205" s="4" t="b">
        <f>LEN(data!AH205)&lt;=4</f>
        <v>1</v>
      </c>
      <c r="AU205" s="4" t="b">
        <f>LEN(data!AI205)&lt;=10</f>
        <v>1</v>
      </c>
      <c r="AV205" s="4" t="b">
        <f>LEN(data!AJ205)&lt;=35</f>
        <v>1</v>
      </c>
      <c r="AW205" s="4" t="b">
        <f>LEN(data!AK205)&lt;=20</f>
        <v>1</v>
      </c>
      <c r="AX205"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6" spans="1:50" ht="409.5" x14ac:dyDescent="0.15">
      <c r="A206" s="4" t="b">
        <f>OR(ISBLANK(data!B206), AND(B206:AW206))</f>
        <v>1</v>
      </c>
      <c r="B206" s="4" t="b">
        <f>AND(LEFT(TRIM(data!B206), 4)="OOLU", ISNUMBER(RIGHT(TRIM(data!B206), LEN(TRIM(data!B206))-4)+0))</f>
        <v>0</v>
      </c>
      <c r="C206" s="4" t="b">
        <f>LEN(data!C206)&gt;0</f>
        <v>0</v>
      </c>
      <c r="D206" s="4" t="b">
        <f>LEN(data!C206)&lt;=70</f>
        <v>1</v>
      </c>
      <c r="E206" s="4" t="b">
        <f>LEN(data!D206)&gt;0</f>
        <v>0</v>
      </c>
      <c r="F206" s="4" t="b">
        <f>LEN(data!D206)&lt;=140</f>
        <v>1</v>
      </c>
      <c r="G206" s="4" t="b">
        <f>LEN(data!E206)&gt;0</f>
        <v>0</v>
      </c>
      <c r="H206" s="4" t="b">
        <f>LEN(data!E206)&lt;=35</f>
        <v>1</v>
      </c>
      <c r="I206" s="4" t="b">
        <f>LEN(data!F206)=2</f>
        <v>0</v>
      </c>
      <c r="J206" s="4" t="b">
        <f>LEN(data!G206)&gt;0</f>
        <v>0</v>
      </c>
      <c r="K206" s="4" t="b">
        <f>LEN(data!G206)&lt;=60</f>
        <v>1</v>
      </c>
      <c r="L206" s="4" t="b">
        <f>LEN(data!I206)&gt;0</f>
        <v>0</v>
      </c>
      <c r="M206" s="4" t="b">
        <f>LEN(data!I206)&lt;=70</f>
        <v>1</v>
      </c>
      <c r="N206" s="4" t="b">
        <f>LEN(data!J206)&gt;0</f>
        <v>0</v>
      </c>
      <c r="O206" s="4" t="b">
        <f>LEN(data!J206)&lt;=140</f>
        <v>1</v>
      </c>
      <c r="P206" s="4" t="b">
        <f>LEN(data!K206)&gt;0</f>
        <v>0</v>
      </c>
      <c r="Q206" s="4" t="b">
        <f>LEN(data!K206)&lt;=35</f>
        <v>1</v>
      </c>
      <c r="R206" s="4" t="b">
        <f>LEN(data!L206)=2</f>
        <v>0</v>
      </c>
      <c r="S206" s="4" t="b">
        <f>LEN(data!M206)&gt;0</f>
        <v>0</v>
      </c>
      <c r="T206" s="4" t="b">
        <f>LEN(data!M206)&lt;=60</f>
        <v>1</v>
      </c>
      <c r="U206" s="4" t="b">
        <f>LEN(data!O206)&gt;0</f>
        <v>0</v>
      </c>
      <c r="V206" s="4" t="b">
        <f>LEN(data!O206)&lt;=70</f>
        <v>1</v>
      </c>
      <c r="W206" s="4" t="b">
        <f>LEN(data!P206)&gt;0</f>
        <v>0</v>
      </c>
      <c r="X206" s="4" t="b">
        <f>LEN(data!P206)&lt;=140</f>
        <v>1</v>
      </c>
      <c r="Y206" s="4" t="b">
        <f>LEN(data!Q206)&gt;0</f>
        <v>0</v>
      </c>
      <c r="Z206" s="4" t="b">
        <f>LEN(data!Q206)&lt;=35</f>
        <v>1</v>
      </c>
      <c r="AA206" s="4" t="b">
        <f>LEN(data!R206)=2</f>
        <v>0</v>
      </c>
      <c r="AB206" s="4" t="b">
        <f>LEN(data!S206)&gt;0</f>
        <v>0</v>
      </c>
      <c r="AC206" s="4" t="b">
        <f>LEN(data!S206)&lt;=120</f>
        <v>1</v>
      </c>
      <c r="AD206" s="4" t="b">
        <f>LEN(data!U206)=11</f>
        <v>0</v>
      </c>
      <c r="AE206" s="4" t="b">
        <f>AND(ISERROR(MATCH(data!V206, rule_mapping!$C$2:$C$325, 0))=FALSE, LEN(data!V206) &lt;= 4)</f>
        <v>0</v>
      </c>
      <c r="AF206" s="4" t="b">
        <f>LEN(data!W206)&gt;0</f>
        <v>0</v>
      </c>
      <c r="AG206" s="4" t="b">
        <f>LEN(data!W206)&lt;=20</f>
        <v>1</v>
      </c>
      <c r="AH206" s="4" t="b">
        <f xml:space="preserve"> IFERROR(ISNUMBER(data!X206), FALSE)</f>
        <v>0</v>
      </c>
      <c r="AI206" s="4" t="b">
        <f>IF(ISERROR(MATCH(data!Y206, rule_mapping!$D$2:$D$252, 0))=FALSE,TRUE, FALSE)</f>
        <v>0</v>
      </c>
      <c r="AJ206" s="4" t="b">
        <f>IFERROR(ISNUMBER(data!Z206), FALSE)</f>
        <v>0</v>
      </c>
      <c r="AK206" s="4" t="b">
        <f>IFERROR(ISNUMBER(data!AA206), FALSE)</f>
        <v>0</v>
      </c>
      <c r="AL206" s="4" t="b">
        <f>LEN(data!AB206)&lt;=90</f>
        <v>1</v>
      </c>
      <c r="AM206" s="4" t="b">
        <f>LEN(data!AC206)&gt;0</f>
        <v>0</v>
      </c>
      <c r="AN206" s="4" t="b">
        <f>LEN(data!AC206)&lt;=2000</f>
        <v>1</v>
      </c>
      <c r="AO206" s="4" t="b">
        <f>IF(LEN(data!AD206)=0,TRUE,IF(LEN(data!AD206)=5,TRUE,FALSE))</f>
        <v>1</v>
      </c>
      <c r="AP206" s="4" t="b">
        <f>LEN(data!AE206)&gt;0</f>
        <v>0</v>
      </c>
      <c r="AQ206" s="4" t="b">
        <f>LEN(data!AE206)=5</f>
        <v>0</v>
      </c>
      <c r="AR206" s="4" t="b">
        <f>ISERROR(MATCH(data!AF206, rule_mapping!$B$2:$B$3, 0))=FALSE</f>
        <v>0</v>
      </c>
      <c r="AS206" s="4" t="b">
        <f>ISERROR(MATCH(data!AG206, rule_mapping!$A$2:$A$8, 0))=FALSE</f>
        <v>0</v>
      </c>
      <c r="AT206" s="4" t="b">
        <f>LEN(data!AH206)&lt;=4</f>
        <v>1</v>
      </c>
      <c r="AU206" s="4" t="b">
        <f>LEN(data!AI206)&lt;=10</f>
        <v>1</v>
      </c>
      <c r="AV206" s="4" t="b">
        <f>LEN(data!AJ206)&lt;=35</f>
        <v>1</v>
      </c>
      <c r="AW206" s="4" t="b">
        <f>LEN(data!AK206)&lt;=20</f>
        <v>1</v>
      </c>
      <c r="AX206"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7" spans="1:50" ht="409.5" x14ac:dyDescent="0.15">
      <c r="A207" s="4" t="b">
        <f>OR(ISBLANK(data!B207), AND(B207:AW207))</f>
        <v>1</v>
      </c>
      <c r="B207" s="4" t="b">
        <f>AND(LEFT(TRIM(data!B207), 4)="OOLU", ISNUMBER(RIGHT(TRIM(data!B207), LEN(TRIM(data!B207))-4)+0))</f>
        <v>0</v>
      </c>
      <c r="C207" s="4" t="b">
        <f>LEN(data!C207)&gt;0</f>
        <v>0</v>
      </c>
      <c r="D207" s="4" t="b">
        <f>LEN(data!C207)&lt;=70</f>
        <v>1</v>
      </c>
      <c r="E207" s="4" t="b">
        <f>LEN(data!D207)&gt;0</f>
        <v>0</v>
      </c>
      <c r="F207" s="4" t="b">
        <f>LEN(data!D207)&lt;=140</f>
        <v>1</v>
      </c>
      <c r="G207" s="4" t="b">
        <f>LEN(data!E207)&gt;0</f>
        <v>0</v>
      </c>
      <c r="H207" s="4" t="b">
        <f>LEN(data!E207)&lt;=35</f>
        <v>1</v>
      </c>
      <c r="I207" s="4" t="b">
        <f>LEN(data!F207)=2</f>
        <v>0</v>
      </c>
      <c r="J207" s="4" t="b">
        <f>LEN(data!G207)&gt;0</f>
        <v>0</v>
      </c>
      <c r="K207" s="4" t="b">
        <f>LEN(data!G207)&lt;=60</f>
        <v>1</v>
      </c>
      <c r="L207" s="4" t="b">
        <f>LEN(data!I207)&gt;0</f>
        <v>0</v>
      </c>
      <c r="M207" s="4" t="b">
        <f>LEN(data!I207)&lt;=70</f>
        <v>1</v>
      </c>
      <c r="N207" s="4" t="b">
        <f>LEN(data!J207)&gt;0</f>
        <v>0</v>
      </c>
      <c r="O207" s="4" t="b">
        <f>LEN(data!J207)&lt;=140</f>
        <v>1</v>
      </c>
      <c r="P207" s="4" t="b">
        <f>LEN(data!K207)&gt;0</f>
        <v>0</v>
      </c>
      <c r="Q207" s="4" t="b">
        <f>LEN(data!K207)&lt;=35</f>
        <v>1</v>
      </c>
      <c r="R207" s="4" t="b">
        <f>LEN(data!L207)=2</f>
        <v>0</v>
      </c>
      <c r="S207" s="4" t="b">
        <f>LEN(data!M207)&gt;0</f>
        <v>0</v>
      </c>
      <c r="T207" s="4" t="b">
        <f>LEN(data!M207)&lt;=60</f>
        <v>1</v>
      </c>
      <c r="U207" s="4" t="b">
        <f>LEN(data!O207)&gt;0</f>
        <v>0</v>
      </c>
      <c r="V207" s="4" t="b">
        <f>LEN(data!O207)&lt;=70</f>
        <v>1</v>
      </c>
      <c r="W207" s="4" t="b">
        <f>LEN(data!P207)&gt;0</f>
        <v>0</v>
      </c>
      <c r="X207" s="4" t="b">
        <f>LEN(data!P207)&lt;=140</f>
        <v>1</v>
      </c>
      <c r="Y207" s="4" t="b">
        <f>LEN(data!Q207)&gt;0</f>
        <v>0</v>
      </c>
      <c r="Z207" s="4" t="b">
        <f>LEN(data!Q207)&lt;=35</f>
        <v>1</v>
      </c>
      <c r="AA207" s="4" t="b">
        <f>LEN(data!R207)=2</f>
        <v>0</v>
      </c>
      <c r="AB207" s="4" t="b">
        <f>LEN(data!S207)&gt;0</f>
        <v>0</v>
      </c>
      <c r="AC207" s="4" t="b">
        <f>LEN(data!S207)&lt;=120</f>
        <v>1</v>
      </c>
      <c r="AD207" s="4" t="b">
        <f>LEN(data!U207)=11</f>
        <v>0</v>
      </c>
      <c r="AE207" s="4" t="b">
        <f>AND(ISERROR(MATCH(data!V207, rule_mapping!$C$2:$C$325, 0))=FALSE, LEN(data!V207) &lt;= 4)</f>
        <v>0</v>
      </c>
      <c r="AF207" s="4" t="b">
        <f>LEN(data!W207)&gt;0</f>
        <v>0</v>
      </c>
      <c r="AG207" s="4" t="b">
        <f>LEN(data!W207)&lt;=20</f>
        <v>1</v>
      </c>
      <c r="AH207" s="4" t="b">
        <f xml:space="preserve"> IFERROR(ISNUMBER(data!X207), FALSE)</f>
        <v>0</v>
      </c>
      <c r="AI207" s="4" t="b">
        <f>IF(ISERROR(MATCH(data!Y207, rule_mapping!$D$2:$D$252, 0))=FALSE,TRUE, FALSE)</f>
        <v>0</v>
      </c>
      <c r="AJ207" s="4" t="b">
        <f>IFERROR(ISNUMBER(data!Z207), FALSE)</f>
        <v>0</v>
      </c>
      <c r="AK207" s="4" t="b">
        <f>IFERROR(ISNUMBER(data!AA207), FALSE)</f>
        <v>0</v>
      </c>
      <c r="AL207" s="4" t="b">
        <f>LEN(data!AB207)&lt;=90</f>
        <v>1</v>
      </c>
      <c r="AM207" s="4" t="b">
        <f>LEN(data!AC207)&gt;0</f>
        <v>0</v>
      </c>
      <c r="AN207" s="4" t="b">
        <f>LEN(data!AC207)&lt;=2000</f>
        <v>1</v>
      </c>
      <c r="AO207" s="4" t="b">
        <f>IF(LEN(data!AD207)=0,TRUE,IF(LEN(data!AD207)=5,TRUE,FALSE))</f>
        <v>1</v>
      </c>
      <c r="AP207" s="4" t="b">
        <f>LEN(data!AE207)&gt;0</f>
        <v>0</v>
      </c>
      <c r="AQ207" s="4" t="b">
        <f>LEN(data!AE207)=5</f>
        <v>0</v>
      </c>
      <c r="AR207" s="4" t="b">
        <f>ISERROR(MATCH(data!AF207, rule_mapping!$B$2:$B$3, 0))=FALSE</f>
        <v>0</v>
      </c>
      <c r="AS207" s="4" t="b">
        <f>ISERROR(MATCH(data!AG207, rule_mapping!$A$2:$A$8, 0))=FALSE</f>
        <v>0</v>
      </c>
      <c r="AT207" s="4" t="b">
        <f>LEN(data!AH207)&lt;=4</f>
        <v>1</v>
      </c>
      <c r="AU207" s="4" t="b">
        <f>LEN(data!AI207)&lt;=10</f>
        <v>1</v>
      </c>
      <c r="AV207" s="4" t="b">
        <f>LEN(data!AJ207)&lt;=35</f>
        <v>1</v>
      </c>
      <c r="AW207" s="4" t="b">
        <f>LEN(data!AK207)&lt;=20</f>
        <v>1</v>
      </c>
      <c r="AX207"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8" spans="1:50" ht="409.5" x14ac:dyDescent="0.15">
      <c r="A208" s="4" t="b">
        <f>OR(ISBLANK(data!B208), AND(B208:AW208))</f>
        <v>1</v>
      </c>
      <c r="B208" s="4" t="b">
        <f>AND(LEFT(TRIM(data!B208), 4)="OOLU", ISNUMBER(RIGHT(TRIM(data!B208), LEN(TRIM(data!B208))-4)+0))</f>
        <v>0</v>
      </c>
      <c r="C208" s="4" t="b">
        <f>LEN(data!C208)&gt;0</f>
        <v>0</v>
      </c>
      <c r="D208" s="4" t="b">
        <f>LEN(data!C208)&lt;=70</f>
        <v>1</v>
      </c>
      <c r="E208" s="4" t="b">
        <f>LEN(data!D208)&gt;0</f>
        <v>0</v>
      </c>
      <c r="F208" s="4" t="b">
        <f>LEN(data!D208)&lt;=140</f>
        <v>1</v>
      </c>
      <c r="G208" s="4" t="b">
        <f>LEN(data!E208)&gt;0</f>
        <v>0</v>
      </c>
      <c r="H208" s="4" t="b">
        <f>LEN(data!E208)&lt;=35</f>
        <v>1</v>
      </c>
      <c r="I208" s="4" t="b">
        <f>LEN(data!F208)=2</f>
        <v>0</v>
      </c>
      <c r="J208" s="4" t="b">
        <f>LEN(data!G208)&gt;0</f>
        <v>0</v>
      </c>
      <c r="K208" s="4" t="b">
        <f>LEN(data!G208)&lt;=60</f>
        <v>1</v>
      </c>
      <c r="L208" s="4" t="b">
        <f>LEN(data!I208)&gt;0</f>
        <v>0</v>
      </c>
      <c r="M208" s="4" t="b">
        <f>LEN(data!I208)&lt;=70</f>
        <v>1</v>
      </c>
      <c r="N208" s="4" t="b">
        <f>LEN(data!J208)&gt;0</f>
        <v>0</v>
      </c>
      <c r="O208" s="4" t="b">
        <f>LEN(data!J208)&lt;=140</f>
        <v>1</v>
      </c>
      <c r="P208" s="4" t="b">
        <f>LEN(data!K208)&gt;0</f>
        <v>0</v>
      </c>
      <c r="Q208" s="4" t="b">
        <f>LEN(data!K208)&lt;=35</f>
        <v>1</v>
      </c>
      <c r="R208" s="4" t="b">
        <f>LEN(data!L208)=2</f>
        <v>0</v>
      </c>
      <c r="S208" s="4" t="b">
        <f>LEN(data!M208)&gt;0</f>
        <v>0</v>
      </c>
      <c r="T208" s="4" t="b">
        <f>LEN(data!M208)&lt;=60</f>
        <v>1</v>
      </c>
      <c r="U208" s="4" t="b">
        <f>LEN(data!O208)&gt;0</f>
        <v>0</v>
      </c>
      <c r="V208" s="4" t="b">
        <f>LEN(data!O208)&lt;=70</f>
        <v>1</v>
      </c>
      <c r="W208" s="4" t="b">
        <f>LEN(data!P208)&gt;0</f>
        <v>0</v>
      </c>
      <c r="X208" s="4" t="b">
        <f>LEN(data!P208)&lt;=140</f>
        <v>1</v>
      </c>
      <c r="Y208" s="4" t="b">
        <f>LEN(data!Q208)&gt;0</f>
        <v>0</v>
      </c>
      <c r="Z208" s="4" t="b">
        <f>LEN(data!Q208)&lt;=35</f>
        <v>1</v>
      </c>
      <c r="AA208" s="4" t="b">
        <f>LEN(data!R208)=2</f>
        <v>0</v>
      </c>
      <c r="AB208" s="4" t="b">
        <f>LEN(data!S208)&gt;0</f>
        <v>0</v>
      </c>
      <c r="AC208" s="4" t="b">
        <f>LEN(data!S208)&lt;=120</f>
        <v>1</v>
      </c>
      <c r="AD208" s="4" t="b">
        <f>LEN(data!U208)=11</f>
        <v>0</v>
      </c>
      <c r="AE208" s="4" t="b">
        <f>AND(ISERROR(MATCH(data!V208, rule_mapping!$C$2:$C$325, 0))=FALSE, LEN(data!V208) &lt;= 4)</f>
        <v>0</v>
      </c>
      <c r="AF208" s="4" t="b">
        <f>LEN(data!W208)&gt;0</f>
        <v>0</v>
      </c>
      <c r="AG208" s="4" t="b">
        <f>LEN(data!W208)&lt;=20</f>
        <v>1</v>
      </c>
      <c r="AH208" s="4" t="b">
        <f xml:space="preserve"> IFERROR(ISNUMBER(data!X208), FALSE)</f>
        <v>0</v>
      </c>
      <c r="AI208" s="4" t="b">
        <f>IF(ISERROR(MATCH(data!Y208, rule_mapping!$D$2:$D$252, 0))=FALSE,TRUE, FALSE)</f>
        <v>0</v>
      </c>
      <c r="AJ208" s="4" t="b">
        <f>IFERROR(ISNUMBER(data!Z208), FALSE)</f>
        <v>0</v>
      </c>
      <c r="AK208" s="4" t="b">
        <f>IFERROR(ISNUMBER(data!AA208), FALSE)</f>
        <v>0</v>
      </c>
      <c r="AL208" s="4" t="b">
        <f>LEN(data!AB208)&lt;=90</f>
        <v>1</v>
      </c>
      <c r="AM208" s="4" t="b">
        <f>LEN(data!AC208)&gt;0</f>
        <v>0</v>
      </c>
      <c r="AN208" s="4" t="b">
        <f>LEN(data!AC208)&lt;=2000</f>
        <v>1</v>
      </c>
      <c r="AO208" s="4" t="b">
        <f>IF(LEN(data!AD208)=0,TRUE,IF(LEN(data!AD208)=5,TRUE,FALSE))</f>
        <v>1</v>
      </c>
      <c r="AP208" s="4" t="b">
        <f>LEN(data!AE208)&gt;0</f>
        <v>0</v>
      </c>
      <c r="AQ208" s="4" t="b">
        <f>LEN(data!AE208)=5</f>
        <v>0</v>
      </c>
      <c r="AR208" s="4" t="b">
        <f>ISERROR(MATCH(data!AF208, rule_mapping!$B$2:$B$3, 0))=FALSE</f>
        <v>0</v>
      </c>
      <c r="AS208" s="4" t="b">
        <f>ISERROR(MATCH(data!AG208, rule_mapping!$A$2:$A$8, 0))=FALSE</f>
        <v>0</v>
      </c>
      <c r="AT208" s="4" t="b">
        <f>LEN(data!AH208)&lt;=4</f>
        <v>1</v>
      </c>
      <c r="AU208" s="4" t="b">
        <f>LEN(data!AI208)&lt;=10</f>
        <v>1</v>
      </c>
      <c r="AV208" s="4" t="b">
        <f>LEN(data!AJ208)&lt;=35</f>
        <v>1</v>
      </c>
      <c r="AW208" s="4" t="b">
        <f>LEN(data!AK208)&lt;=20</f>
        <v>1</v>
      </c>
      <c r="AX208"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09" spans="1:50" ht="409.5" x14ac:dyDescent="0.15">
      <c r="A209" s="4" t="b">
        <f>OR(ISBLANK(data!B209), AND(B209:AW209))</f>
        <v>1</v>
      </c>
      <c r="B209" s="4" t="b">
        <f>AND(LEFT(TRIM(data!B209), 4)="OOLU", ISNUMBER(RIGHT(TRIM(data!B209), LEN(TRIM(data!B209))-4)+0))</f>
        <v>0</v>
      </c>
      <c r="C209" s="4" t="b">
        <f>LEN(data!C209)&gt;0</f>
        <v>0</v>
      </c>
      <c r="D209" s="4" t="b">
        <f>LEN(data!C209)&lt;=70</f>
        <v>1</v>
      </c>
      <c r="E209" s="4" t="b">
        <f>LEN(data!D209)&gt;0</f>
        <v>0</v>
      </c>
      <c r="F209" s="4" t="b">
        <f>LEN(data!D209)&lt;=140</f>
        <v>1</v>
      </c>
      <c r="G209" s="4" t="b">
        <f>LEN(data!E209)&gt;0</f>
        <v>0</v>
      </c>
      <c r="H209" s="4" t="b">
        <f>LEN(data!E209)&lt;=35</f>
        <v>1</v>
      </c>
      <c r="I209" s="4" t="b">
        <f>LEN(data!F209)=2</f>
        <v>0</v>
      </c>
      <c r="J209" s="4" t="b">
        <f>LEN(data!G209)&gt;0</f>
        <v>0</v>
      </c>
      <c r="K209" s="4" t="b">
        <f>LEN(data!G209)&lt;=60</f>
        <v>1</v>
      </c>
      <c r="L209" s="4" t="b">
        <f>LEN(data!I209)&gt;0</f>
        <v>0</v>
      </c>
      <c r="M209" s="4" t="b">
        <f>LEN(data!I209)&lt;=70</f>
        <v>1</v>
      </c>
      <c r="N209" s="4" t="b">
        <f>LEN(data!J209)&gt;0</f>
        <v>0</v>
      </c>
      <c r="O209" s="4" t="b">
        <f>LEN(data!J209)&lt;=140</f>
        <v>1</v>
      </c>
      <c r="P209" s="4" t="b">
        <f>LEN(data!K209)&gt;0</f>
        <v>0</v>
      </c>
      <c r="Q209" s="4" t="b">
        <f>LEN(data!K209)&lt;=35</f>
        <v>1</v>
      </c>
      <c r="R209" s="4" t="b">
        <f>LEN(data!L209)=2</f>
        <v>0</v>
      </c>
      <c r="S209" s="4" t="b">
        <f>LEN(data!M209)&gt;0</f>
        <v>0</v>
      </c>
      <c r="T209" s="4" t="b">
        <f>LEN(data!M209)&lt;=60</f>
        <v>1</v>
      </c>
      <c r="U209" s="4" t="b">
        <f>LEN(data!O209)&gt;0</f>
        <v>0</v>
      </c>
      <c r="V209" s="4" t="b">
        <f>LEN(data!O209)&lt;=70</f>
        <v>1</v>
      </c>
      <c r="W209" s="4" t="b">
        <f>LEN(data!P209)&gt;0</f>
        <v>0</v>
      </c>
      <c r="X209" s="4" t="b">
        <f>LEN(data!P209)&lt;=140</f>
        <v>1</v>
      </c>
      <c r="Y209" s="4" t="b">
        <f>LEN(data!Q209)&gt;0</f>
        <v>0</v>
      </c>
      <c r="Z209" s="4" t="b">
        <f>LEN(data!Q209)&lt;=35</f>
        <v>1</v>
      </c>
      <c r="AA209" s="4" t="b">
        <f>LEN(data!R209)=2</f>
        <v>0</v>
      </c>
      <c r="AB209" s="4" t="b">
        <f>LEN(data!S209)&gt;0</f>
        <v>0</v>
      </c>
      <c r="AC209" s="4" t="b">
        <f>LEN(data!S209)&lt;=120</f>
        <v>1</v>
      </c>
      <c r="AD209" s="4" t="b">
        <f>LEN(data!U209)=11</f>
        <v>0</v>
      </c>
      <c r="AE209" s="4" t="b">
        <f>AND(ISERROR(MATCH(data!V209, rule_mapping!$C$2:$C$325, 0))=FALSE, LEN(data!V209) &lt;= 4)</f>
        <v>0</v>
      </c>
      <c r="AF209" s="4" t="b">
        <f>LEN(data!W209)&gt;0</f>
        <v>0</v>
      </c>
      <c r="AG209" s="4" t="b">
        <f>LEN(data!W209)&lt;=20</f>
        <v>1</v>
      </c>
      <c r="AH209" s="4" t="b">
        <f xml:space="preserve"> IFERROR(ISNUMBER(data!X209), FALSE)</f>
        <v>0</v>
      </c>
      <c r="AI209" s="4" t="b">
        <f>IF(ISERROR(MATCH(data!Y209, rule_mapping!$D$2:$D$252, 0))=FALSE,TRUE, FALSE)</f>
        <v>0</v>
      </c>
      <c r="AJ209" s="4" t="b">
        <f>IFERROR(ISNUMBER(data!Z209), FALSE)</f>
        <v>0</v>
      </c>
      <c r="AK209" s="4" t="b">
        <f>IFERROR(ISNUMBER(data!AA209), FALSE)</f>
        <v>0</v>
      </c>
      <c r="AL209" s="4" t="b">
        <f>LEN(data!AB209)&lt;=90</f>
        <v>1</v>
      </c>
      <c r="AM209" s="4" t="b">
        <f>LEN(data!AC209)&gt;0</f>
        <v>0</v>
      </c>
      <c r="AN209" s="4" t="b">
        <f>LEN(data!AC209)&lt;=2000</f>
        <v>1</v>
      </c>
      <c r="AO209" s="4" t="b">
        <f>IF(LEN(data!AD209)=0,TRUE,IF(LEN(data!AD209)=5,TRUE,FALSE))</f>
        <v>1</v>
      </c>
      <c r="AP209" s="4" t="b">
        <f>LEN(data!AE209)&gt;0</f>
        <v>0</v>
      </c>
      <c r="AQ209" s="4" t="b">
        <f>LEN(data!AE209)=5</f>
        <v>0</v>
      </c>
      <c r="AR209" s="4" t="b">
        <f>ISERROR(MATCH(data!AF209, rule_mapping!$B$2:$B$3, 0))=FALSE</f>
        <v>0</v>
      </c>
      <c r="AS209" s="4" t="b">
        <f>ISERROR(MATCH(data!AG209, rule_mapping!$A$2:$A$8, 0))=FALSE</f>
        <v>0</v>
      </c>
      <c r="AT209" s="4" t="b">
        <f>LEN(data!AH209)&lt;=4</f>
        <v>1</v>
      </c>
      <c r="AU209" s="4" t="b">
        <f>LEN(data!AI209)&lt;=10</f>
        <v>1</v>
      </c>
      <c r="AV209" s="4" t="b">
        <f>LEN(data!AJ209)&lt;=35</f>
        <v>1</v>
      </c>
      <c r="AW209" s="4" t="b">
        <f>LEN(data!AK209)&lt;=20</f>
        <v>1</v>
      </c>
      <c r="AX209"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0" spans="1:50" ht="409.5" x14ac:dyDescent="0.15">
      <c r="A210" s="4" t="b">
        <f>OR(ISBLANK(data!B210), AND(B210:AW210))</f>
        <v>1</v>
      </c>
      <c r="B210" s="4" t="b">
        <f>AND(LEFT(TRIM(data!B210), 4)="OOLU", ISNUMBER(RIGHT(TRIM(data!B210), LEN(TRIM(data!B210))-4)+0))</f>
        <v>0</v>
      </c>
      <c r="C210" s="4" t="b">
        <f>LEN(data!C210)&gt;0</f>
        <v>0</v>
      </c>
      <c r="D210" s="4" t="b">
        <f>LEN(data!C210)&lt;=70</f>
        <v>1</v>
      </c>
      <c r="E210" s="4" t="b">
        <f>LEN(data!D210)&gt;0</f>
        <v>0</v>
      </c>
      <c r="F210" s="4" t="b">
        <f>LEN(data!D210)&lt;=140</f>
        <v>1</v>
      </c>
      <c r="G210" s="4" t="b">
        <f>LEN(data!E210)&gt;0</f>
        <v>0</v>
      </c>
      <c r="H210" s="4" t="b">
        <f>LEN(data!E210)&lt;=35</f>
        <v>1</v>
      </c>
      <c r="I210" s="4" t="b">
        <f>LEN(data!F210)=2</f>
        <v>0</v>
      </c>
      <c r="J210" s="4" t="b">
        <f>LEN(data!G210)&gt;0</f>
        <v>0</v>
      </c>
      <c r="K210" s="4" t="b">
        <f>LEN(data!G210)&lt;=60</f>
        <v>1</v>
      </c>
      <c r="L210" s="4" t="b">
        <f>LEN(data!I210)&gt;0</f>
        <v>0</v>
      </c>
      <c r="M210" s="4" t="b">
        <f>LEN(data!I210)&lt;=70</f>
        <v>1</v>
      </c>
      <c r="N210" s="4" t="b">
        <f>LEN(data!J210)&gt;0</f>
        <v>0</v>
      </c>
      <c r="O210" s="4" t="b">
        <f>LEN(data!J210)&lt;=140</f>
        <v>1</v>
      </c>
      <c r="P210" s="4" t="b">
        <f>LEN(data!K210)&gt;0</f>
        <v>0</v>
      </c>
      <c r="Q210" s="4" t="b">
        <f>LEN(data!K210)&lt;=35</f>
        <v>1</v>
      </c>
      <c r="R210" s="4" t="b">
        <f>LEN(data!L210)=2</f>
        <v>0</v>
      </c>
      <c r="S210" s="4" t="b">
        <f>LEN(data!M210)&gt;0</f>
        <v>0</v>
      </c>
      <c r="T210" s="4" t="b">
        <f>LEN(data!M210)&lt;=60</f>
        <v>1</v>
      </c>
      <c r="U210" s="4" t="b">
        <f>LEN(data!O210)&gt;0</f>
        <v>0</v>
      </c>
      <c r="V210" s="4" t="b">
        <f>LEN(data!O210)&lt;=70</f>
        <v>1</v>
      </c>
      <c r="W210" s="4" t="b">
        <f>LEN(data!P210)&gt;0</f>
        <v>0</v>
      </c>
      <c r="X210" s="4" t="b">
        <f>LEN(data!P210)&lt;=140</f>
        <v>1</v>
      </c>
      <c r="Y210" s="4" t="b">
        <f>LEN(data!Q210)&gt;0</f>
        <v>0</v>
      </c>
      <c r="Z210" s="4" t="b">
        <f>LEN(data!Q210)&lt;=35</f>
        <v>1</v>
      </c>
      <c r="AA210" s="4" t="b">
        <f>LEN(data!R210)=2</f>
        <v>0</v>
      </c>
      <c r="AB210" s="4" t="b">
        <f>LEN(data!S210)&gt;0</f>
        <v>0</v>
      </c>
      <c r="AC210" s="4" t="b">
        <f>LEN(data!S210)&lt;=120</f>
        <v>1</v>
      </c>
      <c r="AD210" s="4" t="b">
        <f>LEN(data!U210)=11</f>
        <v>0</v>
      </c>
      <c r="AE210" s="4" t="b">
        <f>AND(ISERROR(MATCH(data!V210, rule_mapping!$C$2:$C$325, 0))=FALSE, LEN(data!V210) &lt;= 4)</f>
        <v>0</v>
      </c>
      <c r="AF210" s="4" t="b">
        <f>LEN(data!W210)&gt;0</f>
        <v>0</v>
      </c>
      <c r="AG210" s="4" t="b">
        <f>LEN(data!W210)&lt;=20</f>
        <v>1</v>
      </c>
      <c r="AH210" s="4" t="b">
        <f xml:space="preserve"> IFERROR(ISNUMBER(data!X210), FALSE)</f>
        <v>0</v>
      </c>
      <c r="AI210" s="4" t="b">
        <f>IF(ISERROR(MATCH(data!Y210, rule_mapping!$D$2:$D$252, 0))=FALSE,TRUE, FALSE)</f>
        <v>0</v>
      </c>
      <c r="AJ210" s="4" t="b">
        <f>IFERROR(ISNUMBER(data!Z210), FALSE)</f>
        <v>0</v>
      </c>
      <c r="AK210" s="4" t="b">
        <f>IFERROR(ISNUMBER(data!AA210), FALSE)</f>
        <v>0</v>
      </c>
      <c r="AL210" s="4" t="b">
        <f>LEN(data!AB210)&lt;=90</f>
        <v>1</v>
      </c>
      <c r="AM210" s="4" t="b">
        <f>LEN(data!AC210)&gt;0</f>
        <v>0</v>
      </c>
      <c r="AN210" s="4" t="b">
        <f>LEN(data!AC210)&lt;=2000</f>
        <v>1</v>
      </c>
      <c r="AO210" s="4" t="b">
        <f>IF(LEN(data!AD210)=0,TRUE,IF(LEN(data!AD210)=5,TRUE,FALSE))</f>
        <v>1</v>
      </c>
      <c r="AP210" s="4" t="b">
        <f>LEN(data!AE210)&gt;0</f>
        <v>0</v>
      </c>
      <c r="AQ210" s="4" t="b">
        <f>LEN(data!AE210)=5</f>
        <v>0</v>
      </c>
      <c r="AR210" s="4" t="b">
        <f>ISERROR(MATCH(data!AF210, rule_mapping!$B$2:$B$3, 0))=FALSE</f>
        <v>0</v>
      </c>
      <c r="AS210" s="4" t="b">
        <f>ISERROR(MATCH(data!AG210, rule_mapping!$A$2:$A$8, 0))=FALSE</f>
        <v>0</v>
      </c>
      <c r="AT210" s="4" t="b">
        <f>LEN(data!AH210)&lt;=4</f>
        <v>1</v>
      </c>
      <c r="AU210" s="4" t="b">
        <f>LEN(data!AI210)&lt;=10</f>
        <v>1</v>
      </c>
      <c r="AV210" s="4" t="b">
        <f>LEN(data!AJ210)&lt;=35</f>
        <v>1</v>
      </c>
      <c r="AW210" s="4" t="b">
        <f>LEN(data!AK210)&lt;=20</f>
        <v>1</v>
      </c>
      <c r="AX210"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1" spans="1:50" ht="409.5" x14ac:dyDescent="0.15">
      <c r="A211" s="4" t="b">
        <f>OR(ISBLANK(data!B211), AND(B211:AW211))</f>
        <v>1</v>
      </c>
      <c r="B211" s="4" t="b">
        <f>AND(LEFT(TRIM(data!B211), 4)="OOLU", ISNUMBER(RIGHT(TRIM(data!B211), LEN(TRIM(data!B211))-4)+0))</f>
        <v>0</v>
      </c>
      <c r="C211" s="4" t="b">
        <f>LEN(data!C211)&gt;0</f>
        <v>0</v>
      </c>
      <c r="D211" s="4" t="b">
        <f>LEN(data!C211)&lt;=70</f>
        <v>1</v>
      </c>
      <c r="E211" s="4" t="b">
        <f>LEN(data!D211)&gt;0</f>
        <v>0</v>
      </c>
      <c r="F211" s="4" t="b">
        <f>LEN(data!D211)&lt;=140</f>
        <v>1</v>
      </c>
      <c r="G211" s="4" t="b">
        <f>LEN(data!E211)&gt;0</f>
        <v>0</v>
      </c>
      <c r="H211" s="4" t="b">
        <f>LEN(data!E211)&lt;=35</f>
        <v>1</v>
      </c>
      <c r="I211" s="4" t="b">
        <f>LEN(data!F211)=2</f>
        <v>0</v>
      </c>
      <c r="J211" s="4" t="b">
        <f>LEN(data!G211)&gt;0</f>
        <v>0</v>
      </c>
      <c r="K211" s="4" t="b">
        <f>LEN(data!G211)&lt;=60</f>
        <v>1</v>
      </c>
      <c r="L211" s="4" t="b">
        <f>LEN(data!I211)&gt;0</f>
        <v>0</v>
      </c>
      <c r="M211" s="4" t="b">
        <f>LEN(data!I211)&lt;=70</f>
        <v>1</v>
      </c>
      <c r="N211" s="4" t="b">
        <f>LEN(data!J211)&gt;0</f>
        <v>0</v>
      </c>
      <c r="O211" s="4" t="b">
        <f>LEN(data!J211)&lt;=140</f>
        <v>1</v>
      </c>
      <c r="P211" s="4" t="b">
        <f>LEN(data!K211)&gt;0</f>
        <v>0</v>
      </c>
      <c r="Q211" s="4" t="b">
        <f>LEN(data!K211)&lt;=35</f>
        <v>1</v>
      </c>
      <c r="R211" s="4" t="b">
        <f>LEN(data!L211)=2</f>
        <v>0</v>
      </c>
      <c r="S211" s="4" t="b">
        <f>LEN(data!M211)&gt;0</f>
        <v>0</v>
      </c>
      <c r="T211" s="4" t="b">
        <f>LEN(data!M211)&lt;=60</f>
        <v>1</v>
      </c>
      <c r="U211" s="4" t="b">
        <f>LEN(data!O211)&gt;0</f>
        <v>0</v>
      </c>
      <c r="V211" s="4" t="b">
        <f>LEN(data!O211)&lt;=70</f>
        <v>1</v>
      </c>
      <c r="W211" s="4" t="b">
        <f>LEN(data!P211)&gt;0</f>
        <v>0</v>
      </c>
      <c r="X211" s="4" t="b">
        <f>LEN(data!P211)&lt;=140</f>
        <v>1</v>
      </c>
      <c r="Y211" s="4" t="b">
        <f>LEN(data!Q211)&gt;0</f>
        <v>0</v>
      </c>
      <c r="Z211" s="4" t="b">
        <f>LEN(data!Q211)&lt;=35</f>
        <v>1</v>
      </c>
      <c r="AA211" s="4" t="b">
        <f>LEN(data!R211)=2</f>
        <v>0</v>
      </c>
      <c r="AB211" s="4" t="b">
        <f>LEN(data!S211)&gt;0</f>
        <v>0</v>
      </c>
      <c r="AC211" s="4" t="b">
        <f>LEN(data!S211)&lt;=120</f>
        <v>1</v>
      </c>
      <c r="AD211" s="4" t="b">
        <f>LEN(data!U211)=11</f>
        <v>0</v>
      </c>
      <c r="AE211" s="4" t="b">
        <f>AND(ISERROR(MATCH(data!V211, rule_mapping!$C$2:$C$325, 0))=FALSE, LEN(data!V211) &lt;= 4)</f>
        <v>0</v>
      </c>
      <c r="AF211" s="4" t="b">
        <f>LEN(data!W211)&gt;0</f>
        <v>0</v>
      </c>
      <c r="AG211" s="4" t="b">
        <f>LEN(data!W211)&lt;=20</f>
        <v>1</v>
      </c>
      <c r="AH211" s="4" t="b">
        <f xml:space="preserve"> IFERROR(ISNUMBER(data!X211), FALSE)</f>
        <v>0</v>
      </c>
      <c r="AI211" s="4" t="b">
        <f>IF(ISERROR(MATCH(data!Y211, rule_mapping!$D$2:$D$252, 0))=FALSE,TRUE, FALSE)</f>
        <v>0</v>
      </c>
      <c r="AJ211" s="4" t="b">
        <f>IFERROR(ISNUMBER(data!Z211), FALSE)</f>
        <v>0</v>
      </c>
      <c r="AK211" s="4" t="b">
        <f>IFERROR(ISNUMBER(data!AA211), FALSE)</f>
        <v>0</v>
      </c>
      <c r="AL211" s="4" t="b">
        <f>LEN(data!AB211)&lt;=90</f>
        <v>1</v>
      </c>
      <c r="AM211" s="4" t="b">
        <f>LEN(data!AC211)&gt;0</f>
        <v>0</v>
      </c>
      <c r="AN211" s="4" t="b">
        <f>LEN(data!AC211)&lt;=2000</f>
        <v>1</v>
      </c>
      <c r="AO211" s="4" t="b">
        <f>IF(LEN(data!AD211)=0,TRUE,IF(LEN(data!AD211)=5,TRUE,FALSE))</f>
        <v>1</v>
      </c>
      <c r="AP211" s="4" t="b">
        <f>LEN(data!AE211)&gt;0</f>
        <v>0</v>
      </c>
      <c r="AQ211" s="4" t="b">
        <f>LEN(data!AE211)=5</f>
        <v>0</v>
      </c>
      <c r="AR211" s="4" t="b">
        <f>ISERROR(MATCH(data!AF211, rule_mapping!$B$2:$B$3, 0))=FALSE</f>
        <v>0</v>
      </c>
      <c r="AS211" s="4" t="b">
        <f>ISERROR(MATCH(data!AG211, rule_mapping!$A$2:$A$8, 0))=FALSE</f>
        <v>0</v>
      </c>
      <c r="AT211" s="4" t="b">
        <f>LEN(data!AH211)&lt;=4</f>
        <v>1</v>
      </c>
      <c r="AU211" s="4" t="b">
        <f>LEN(data!AI211)&lt;=10</f>
        <v>1</v>
      </c>
      <c r="AV211" s="4" t="b">
        <f>LEN(data!AJ211)&lt;=35</f>
        <v>1</v>
      </c>
      <c r="AW211" s="4" t="b">
        <f>LEN(data!AK211)&lt;=20</f>
        <v>1</v>
      </c>
      <c r="AX211"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2" spans="1:50" ht="409.5" x14ac:dyDescent="0.15">
      <c r="A212" s="4" t="b">
        <f>OR(ISBLANK(data!B212), AND(B212:AW212))</f>
        <v>1</v>
      </c>
      <c r="B212" s="4" t="b">
        <f>AND(LEFT(TRIM(data!B212), 4)="OOLU", ISNUMBER(RIGHT(TRIM(data!B212), LEN(TRIM(data!B212))-4)+0))</f>
        <v>0</v>
      </c>
      <c r="C212" s="4" t="b">
        <f>LEN(data!C212)&gt;0</f>
        <v>0</v>
      </c>
      <c r="D212" s="4" t="b">
        <f>LEN(data!C212)&lt;=70</f>
        <v>1</v>
      </c>
      <c r="E212" s="4" t="b">
        <f>LEN(data!D212)&gt;0</f>
        <v>0</v>
      </c>
      <c r="F212" s="4" t="b">
        <f>LEN(data!D212)&lt;=140</f>
        <v>1</v>
      </c>
      <c r="G212" s="4" t="b">
        <f>LEN(data!E212)&gt;0</f>
        <v>0</v>
      </c>
      <c r="H212" s="4" t="b">
        <f>LEN(data!E212)&lt;=35</f>
        <v>1</v>
      </c>
      <c r="I212" s="4" t="b">
        <f>LEN(data!F212)=2</f>
        <v>0</v>
      </c>
      <c r="J212" s="4" t="b">
        <f>LEN(data!G212)&gt;0</f>
        <v>0</v>
      </c>
      <c r="K212" s="4" t="b">
        <f>LEN(data!G212)&lt;=60</f>
        <v>1</v>
      </c>
      <c r="L212" s="4" t="b">
        <f>LEN(data!I212)&gt;0</f>
        <v>0</v>
      </c>
      <c r="M212" s="4" t="b">
        <f>LEN(data!I212)&lt;=70</f>
        <v>1</v>
      </c>
      <c r="N212" s="4" t="b">
        <f>LEN(data!J212)&gt;0</f>
        <v>0</v>
      </c>
      <c r="O212" s="4" t="b">
        <f>LEN(data!J212)&lt;=140</f>
        <v>1</v>
      </c>
      <c r="P212" s="4" t="b">
        <f>LEN(data!K212)&gt;0</f>
        <v>0</v>
      </c>
      <c r="Q212" s="4" t="b">
        <f>LEN(data!K212)&lt;=35</f>
        <v>1</v>
      </c>
      <c r="R212" s="4" t="b">
        <f>LEN(data!L212)=2</f>
        <v>0</v>
      </c>
      <c r="S212" s="4" t="b">
        <f>LEN(data!M212)&gt;0</f>
        <v>0</v>
      </c>
      <c r="T212" s="4" t="b">
        <f>LEN(data!M212)&lt;=60</f>
        <v>1</v>
      </c>
      <c r="U212" s="4" t="b">
        <f>LEN(data!O212)&gt;0</f>
        <v>0</v>
      </c>
      <c r="V212" s="4" t="b">
        <f>LEN(data!O212)&lt;=70</f>
        <v>1</v>
      </c>
      <c r="W212" s="4" t="b">
        <f>LEN(data!P212)&gt;0</f>
        <v>0</v>
      </c>
      <c r="X212" s="4" t="b">
        <f>LEN(data!P212)&lt;=140</f>
        <v>1</v>
      </c>
      <c r="Y212" s="4" t="b">
        <f>LEN(data!Q212)&gt;0</f>
        <v>0</v>
      </c>
      <c r="Z212" s="4" t="b">
        <f>LEN(data!Q212)&lt;=35</f>
        <v>1</v>
      </c>
      <c r="AA212" s="4" t="b">
        <f>LEN(data!R212)=2</f>
        <v>0</v>
      </c>
      <c r="AB212" s="4" t="b">
        <f>LEN(data!S212)&gt;0</f>
        <v>0</v>
      </c>
      <c r="AC212" s="4" t="b">
        <f>LEN(data!S212)&lt;=120</f>
        <v>1</v>
      </c>
      <c r="AD212" s="4" t="b">
        <f>LEN(data!U212)=11</f>
        <v>0</v>
      </c>
      <c r="AE212" s="4" t="b">
        <f>AND(ISERROR(MATCH(data!V212, rule_mapping!$C$2:$C$325, 0))=FALSE, LEN(data!V212) &lt;= 4)</f>
        <v>0</v>
      </c>
      <c r="AF212" s="4" t="b">
        <f>LEN(data!W212)&gt;0</f>
        <v>0</v>
      </c>
      <c r="AG212" s="4" t="b">
        <f>LEN(data!W212)&lt;=20</f>
        <v>1</v>
      </c>
      <c r="AH212" s="4" t="b">
        <f xml:space="preserve"> IFERROR(ISNUMBER(data!X212), FALSE)</f>
        <v>0</v>
      </c>
      <c r="AI212" s="4" t="b">
        <f>IF(ISERROR(MATCH(data!Y212, rule_mapping!$D$2:$D$252, 0))=FALSE,TRUE, FALSE)</f>
        <v>0</v>
      </c>
      <c r="AJ212" s="4" t="b">
        <f>IFERROR(ISNUMBER(data!Z212), FALSE)</f>
        <v>0</v>
      </c>
      <c r="AK212" s="4" t="b">
        <f>IFERROR(ISNUMBER(data!AA212), FALSE)</f>
        <v>0</v>
      </c>
      <c r="AL212" s="4" t="b">
        <f>LEN(data!AB212)&lt;=90</f>
        <v>1</v>
      </c>
      <c r="AM212" s="4" t="b">
        <f>LEN(data!AC212)&gt;0</f>
        <v>0</v>
      </c>
      <c r="AN212" s="4" t="b">
        <f>LEN(data!AC212)&lt;=2000</f>
        <v>1</v>
      </c>
      <c r="AO212" s="4" t="b">
        <f>IF(LEN(data!AD212)=0,TRUE,IF(LEN(data!AD212)=5,TRUE,FALSE))</f>
        <v>1</v>
      </c>
      <c r="AP212" s="4" t="b">
        <f>LEN(data!AE212)&gt;0</f>
        <v>0</v>
      </c>
      <c r="AQ212" s="4" t="b">
        <f>LEN(data!AE212)=5</f>
        <v>0</v>
      </c>
      <c r="AR212" s="4" t="b">
        <f>ISERROR(MATCH(data!AF212, rule_mapping!$B$2:$B$3, 0))=FALSE</f>
        <v>0</v>
      </c>
      <c r="AS212" s="4" t="b">
        <f>ISERROR(MATCH(data!AG212, rule_mapping!$A$2:$A$8, 0))=FALSE</f>
        <v>0</v>
      </c>
      <c r="AT212" s="4" t="b">
        <f>LEN(data!AH212)&lt;=4</f>
        <v>1</v>
      </c>
      <c r="AU212" s="4" t="b">
        <f>LEN(data!AI212)&lt;=10</f>
        <v>1</v>
      </c>
      <c r="AV212" s="4" t="b">
        <f>LEN(data!AJ212)&lt;=35</f>
        <v>1</v>
      </c>
      <c r="AW212" s="4" t="b">
        <f>LEN(data!AK212)&lt;=20</f>
        <v>1</v>
      </c>
      <c r="AX212"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3" spans="1:50" ht="409.5" x14ac:dyDescent="0.15">
      <c r="A213" s="4" t="b">
        <f>OR(ISBLANK(data!B213), AND(B213:AW213))</f>
        <v>1</v>
      </c>
      <c r="B213" s="4" t="b">
        <f>AND(LEFT(TRIM(data!B213), 4)="OOLU", ISNUMBER(RIGHT(TRIM(data!B213), LEN(TRIM(data!B213))-4)+0))</f>
        <v>0</v>
      </c>
      <c r="C213" s="4" t="b">
        <f>LEN(data!C213)&gt;0</f>
        <v>0</v>
      </c>
      <c r="D213" s="4" t="b">
        <f>LEN(data!C213)&lt;=70</f>
        <v>1</v>
      </c>
      <c r="E213" s="4" t="b">
        <f>LEN(data!D213)&gt;0</f>
        <v>0</v>
      </c>
      <c r="F213" s="4" t="b">
        <f>LEN(data!D213)&lt;=140</f>
        <v>1</v>
      </c>
      <c r="G213" s="4" t="b">
        <f>LEN(data!E213)&gt;0</f>
        <v>0</v>
      </c>
      <c r="H213" s="4" t="b">
        <f>LEN(data!E213)&lt;=35</f>
        <v>1</v>
      </c>
      <c r="I213" s="4" t="b">
        <f>LEN(data!F213)=2</f>
        <v>0</v>
      </c>
      <c r="J213" s="4" t="b">
        <f>LEN(data!G213)&gt;0</f>
        <v>0</v>
      </c>
      <c r="K213" s="4" t="b">
        <f>LEN(data!G213)&lt;=60</f>
        <v>1</v>
      </c>
      <c r="L213" s="4" t="b">
        <f>LEN(data!I213)&gt;0</f>
        <v>0</v>
      </c>
      <c r="M213" s="4" t="b">
        <f>LEN(data!I213)&lt;=70</f>
        <v>1</v>
      </c>
      <c r="N213" s="4" t="b">
        <f>LEN(data!J213)&gt;0</f>
        <v>0</v>
      </c>
      <c r="O213" s="4" t="b">
        <f>LEN(data!J213)&lt;=140</f>
        <v>1</v>
      </c>
      <c r="P213" s="4" t="b">
        <f>LEN(data!K213)&gt;0</f>
        <v>0</v>
      </c>
      <c r="Q213" s="4" t="b">
        <f>LEN(data!K213)&lt;=35</f>
        <v>1</v>
      </c>
      <c r="R213" s="4" t="b">
        <f>LEN(data!L213)=2</f>
        <v>0</v>
      </c>
      <c r="S213" s="4" t="b">
        <f>LEN(data!M213)&gt;0</f>
        <v>0</v>
      </c>
      <c r="T213" s="4" t="b">
        <f>LEN(data!M213)&lt;=60</f>
        <v>1</v>
      </c>
      <c r="U213" s="4" t="b">
        <f>LEN(data!O213)&gt;0</f>
        <v>0</v>
      </c>
      <c r="V213" s="4" t="b">
        <f>LEN(data!O213)&lt;=70</f>
        <v>1</v>
      </c>
      <c r="W213" s="4" t="b">
        <f>LEN(data!P213)&gt;0</f>
        <v>0</v>
      </c>
      <c r="X213" s="4" t="b">
        <f>LEN(data!P213)&lt;=140</f>
        <v>1</v>
      </c>
      <c r="Y213" s="4" t="b">
        <f>LEN(data!Q213)&gt;0</f>
        <v>0</v>
      </c>
      <c r="Z213" s="4" t="b">
        <f>LEN(data!Q213)&lt;=35</f>
        <v>1</v>
      </c>
      <c r="AA213" s="4" t="b">
        <f>LEN(data!R213)=2</f>
        <v>0</v>
      </c>
      <c r="AB213" s="4" t="b">
        <f>LEN(data!S213)&gt;0</f>
        <v>0</v>
      </c>
      <c r="AC213" s="4" t="b">
        <f>LEN(data!S213)&lt;=120</f>
        <v>1</v>
      </c>
      <c r="AD213" s="4" t="b">
        <f>LEN(data!U213)=11</f>
        <v>0</v>
      </c>
      <c r="AE213" s="4" t="b">
        <f>AND(ISERROR(MATCH(data!V213, rule_mapping!$C$2:$C$325, 0))=FALSE, LEN(data!V213) &lt;= 4)</f>
        <v>0</v>
      </c>
      <c r="AF213" s="4" t="b">
        <f>LEN(data!W213)&gt;0</f>
        <v>0</v>
      </c>
      <c r="AG213" s="4" t="b">
        <f>LEN(data!W213)&lt;=20</f>
        <v>1</v>
      </c>
      <c r="AH213" s="4" t="b">
        <f xml:space="preserve"> IFERROR(ISNUMBER(data!X213), FALSE)</f>
        <v>0</v>
      </c>
      <c r="AI213" s="4" t="b">
        <f>IF(ISERROR(MATCH(data!Y213, rule_mapping!$D$2:$D$252, 0))=FALSE,TRUE, FALSE)</f>
        <v>0</v>
      </c>
      <c r="AJ213" s="4" t="b">
        <f>IFERROR(ISNUMBER(data!Z213), FALSE)</f>
        <v>0</v>
      </c>
      <c r="AK213" s="4" t="b">
        <f>IFERROR(ISNUMBER(data!AA213), FALSE)</f>
        <v>0</v>
      </c>
      <c r="AL213" s="4" t="b">
        <f>LEN(data!AB213)&lt;=90</f>
        <v>1</v>
      </c>
      <c r="AM213" s="4" t="b">
        <f>LEN(data!AC213)&gt;0</f>
        <v>0</v>
      </c>
      <c r="AN213" s="4" t="b">
        <f>LEN(data!AC213)&lt;=2000</f>
        <v>1</v>
      </c>
      <c r="AO213" s="4" t="b">
        <f>IF(LEN(data!AD213)=0,TRUE,IF(LEN(data!AD213)=5,TRUE,FALSE))</f>
        <v>1</v>
      </c>
      <c r="AP213" s="4" t="b">
        <f>LEN(data!AE213)&gt;0</f>
        <v>0</v>
      </c>
      <c r="AQ213" s="4" t="b">
        <f>LEN(data!AE213)=5</f>
        <v>0</v>
      </c>
      <c r="AR213" s="4" t="b">
        <f>ISERROR(MATCH(data!AF213, rule_mapping!$B$2:$B$3, 0))=FALSE</f>
        <v>0</v>
      </c>
      <c r="AS213" s="4" t="b">
        <f>ISERROR(MATCH(data!AG213, rule_mapping!$A$2:$A$8, 0))=FALSE</f>
        <v>0</v>
      </c>
      <c r="AT213" s="4" t="b">
        <f>LEN(data!AH213)&lt;=4</f>
        <v>1</v>
      </c>
      <c r="AU213" s="4" t="b">
        <f>LEN(data!AI213)&lt;=10</f>
        <v>1</v>
      </c>
      <c r="AV213" s="4" t="b">
        <f>LEN(data!AJ213)&lt;=35</f>
        <v>1</v>
      </c>
      <c r="AW213" s="4" t="b">
        <f>LEN(data!AK213)&lt;=20</f>
        <v>1</v>
      </c>
      <c r="AX213"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4" spans="1:50" ht="409.5" x14ac:dyDescent="0.15">
      <c r="A214" s="4" t="b">
        <f>OR(ISBLANK(data!B214), AND(B214:AW214))</f>
        <v>1</v>
      </c>
      <c r="B214" s="4" t="b">
        <f>AND(LEFT(TRIM(data!B214), 4)="OOLU", ISNUMBER(RIGHT(TRIM(data!B214), LEN(TRIM(data!B214))-4)+0))</f>
        <v>0</v>
      </c>
      <c r="C214" s="4" t="b">
        <f>LEN(data!C214)&gt;0</f>
        <v>0</v>
      </c>
      <c r="D214" s="4" t="b">
        <f>LEN(data!C214)&lt;=70</f>
        <v>1</v>
      </c>
      <c r="E214" s="4" t="b">
        <f>LEN(data!D214)&gt;0</f>
        <v>0</v>
      </c>
      <c r="F214" s="4" t="b">
        <f>LEN(data!D214)&lt;=140</f>
        <v>1</v>
      </c>
      <c r="G214" s="4" t="b">
        <f>LEN(data!E214)&gt;0</f>
        <v>0</v>
      </c>
      <c r="H214" s="4" t="b">
        <f>LEN(data!E214)&lt;=35</f>
        <v>1</v>
      </c>
      <c r="I214" s="4" t="b">
        <f>LEN(data!F214)=2</f>
        <v>0</v>
      </c>
      <c r="J214" s="4" t="b">
        <f>LEN(data!G214)&gt;0</f>
        <v>0</v>
      </c>
      <c r="K214" s="4" t="b">
        <f>LEN(data!G214)&lt;=60</f>
        <v>1</v>
      </c>
      <c r="L214" s="4" t="b">
        <f>LEN(data!I214)&gt;0</f>
        <v>0</v>
      </c>
      <c r="M214" s="4" t="b">
        <f>LEN(data!I214)&lt;=70</f>
        <v>1</v>
      </c>
      <c r="N214" s="4" t="b">
        <f>LEN(data!J214)&gt;0</f>
        <v>0</v>
      </c>
      <c r="O214" s="4" t="b">
        <f>LEN(data!J214)&lt;=140</f>
        <v>1</v>
      </c>
      <c r="P214" s="4" t="b">
        <f>LEN(data!K214)&gt;0</f>
        <v>0</v>
      </c>
      <c r="Q214" s="4" t="b">
        <f>LEN(data!K214)&lt;=35</f>
        <v>1</v>
      </c>
      <c r="R214" s="4" t="b">
        <f>LEN(data!L214)=2</f>
        <v>0</v>
      </c>
      <c r="S214" s="4" t="b">
        <f>LEN(data!M214)&gt;0</f>
        <v>0</v>
      </c>
      <c r="T214" s="4" t="b">
        <f>LEN(data!M214)&lt;=60</f>
        <v>1</v>
      </c>
      <c r="U214" s="4" t="b">
        <f>LEN(data!O214)&gt;0</f>
        <v>0</v>
      </c>
      <c r="V214" s="4" t="b">
        <f>LEN(data!O214)&lt;=70</f>
        <v>1</v>
      </c>
      <c r="W214" s="4" t="b">
        <f>LEN(data!P214)&gt;0</f>
        <v>0</v>
      </c>
      <c r="X214" s="4" t="b">
        <f>LEN(data!P214)&lt;=140</f>
        <v>1</v>
      </c>
      <c r="Y214" s="4" t="b">
        <f>LEN(data!Q214)&gt;0</f>
        <v>0</v>
      </c>
      <c r="Z214" s="4" t="b">
        <f>LEN(data!Q214)&lt;=35</f>
        <v>1</v>
      </c>
      <c r="AA214" s="4" t="b">
        <f>LEN(data!R214)=2</f>
        <v>0</v>
      </c>
      <c r="AB214" s="4" t="b">
        <f>LEN(data!S214)&gt;0</f>
        <v>0</v>
      </c>
      <c r="AC214" s="4" t="b">
        <f>LEN(data!S214)&lt;=120</f>
        <v>1</v>
      </c>
      <c r="AD214" s="4" t="b">
        <f>LEN(data!U214)=11</f>
        <v>0</v>
      </c>
      <c r="AE214" s="4" t="b">
        <f>AND(ISERROR(MATCH(data!V214, rule_mapping!$C$2:$C$325, 0))=FALSE, LEN(data!V214) &lt;= 4)</f>
        <v>0</v>
      </c>
      <c r="AF214" s="4" t="b">
        <f>LEN(data!W214)&gt;0</f>
        <v>0</v>
      </c>
      <c r="AG214" s="4" t="b">
        <f>LEN(data!W214)&lt;=20</f>
        <v>1</v>
      </c>
      <c r="AH214" s="4" t="b">
        <f xml:space="preserve"> IFERROR(ISNUMBER(data!X214), FALSE)</f>
        <v>0</v>
      </c>
      <c r="AI214" s="4" t="b">
        <f>IF(ISERROR(MATCH(data!Y214, rule_mapping!$D$2:$D$252, 0))=FALSE,TRUE, FALSE)</f>
        <v>0</v>
      </c>
      <c r="AJ214" s="4" t="b">
        <f>IFERROR(ISNUMBER(data!Z214), FALSE)</f>
        <v>0</v>
      </c>
      <c r="AK214" s="4" t="b">
        <f>IFERROR(ISNUMBER(data!AA214), FALSE)</f>
        <v>0</v>
      </c>
      <c r="AL214" s="4" t="b">
        <f>LEN(data!AB214)&lt;=90</f>
        <v>1</v>
      </c>
      <c r="AM214" s="4" t="b">
        <f>LEN(data!AC214)&gt;0</f>
        <v>0</v>
      </c>
      <c r="AN214" s="4" t="b">
        <f>LEN(data!AC214)&lt;=2000</f>
        <v>1</v>
      </c>
      <c r="AO214" s="4" t="b">
        <f>IF(LEN(data!AD214)=0,TRUE,IF(LEN(data!AD214)=5,TRUE,FALSE))</f>
        <v>1</v>
      </c>
      <c r="AP214" s="4" t="b">
        <f>LEN(data!AE214)&gt;0</f>
        <v>0</v>
      </c>
      <c r="AQ214" s="4" t="b">
        <f>LEN(data!AE214)=5</f>
        <v>0</v>
      </c>
      <c r="AR214" s="4" t="b">
        <f>ISERROR(MATCH(data!AF214, rule_mapping!$B$2:$B$3, 0))=FALSE</f>
        <v>0</v>
      </c>
      <c r="AS214" s="4" t="b">
        <f>ISERROR(MATCH(data!AG214, rule_mapping!$A$2:$A$8, 0))=FALSE</f>
        <v>0</v>
      </c>
      <c r="AT214" s="4" t="b">
        <f>LEN(data!AH214)&lt;=4</f>
        <v>1</v>
      </c>
      <c r="AU214" s="4" t="b">
        <f>LEN(data!AI214)&lt;=10</f>
        <v>1</v>
      </c>
      <c r="AV214" s="4" t="b">
        <f>LEN(data!AJ214)&lt;=35</f>
        <v>1</v>
      </c>
      <c r="AW214" s="4" t="b">
        <f>LEN(data!AK214)&lt;=20</f>
        <v>1</v>
      </c>
      <c r="AX214"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5" spans="1:50" ht="409.5" x14ac:dyDescent="0.15">
      <c r="A215" s="4" t="b">
        <f>OR(ISBLANK(data!B215), AND(B215:AW215))</f>
        <v>1</v>
      </c>
      <c r="B215" s="4" t="b">
        <f>AND(LEFT(TRIM(data!B215), 4)="OOLU", ISNUMBER(RIGHT(TRIM(data!B215), LEN(TRIM(data!B215))-4)+0))</f>
        <v>0</v>
      </c>
      <c r="C215" s="4" t="b">
        <f>LEN(data!C215)&gt;0</f>
        <v>0</v>
      </c>
      <c r="D215" s="4" t="b">
        <f>LEN(data!C215)&lt;=70</f>
        <v>1</v>
      </c>
      <c r="E215" s="4" t="b">
        <f>LEN(data!D215)&gt;0</f>
        <v>0</v>
      </c>
      <c r="F215" s="4" t="b">
        <f>LEN(data!D215)&lt;=140</f>
        <v>1</v>
      </c>
      <c r="G215" s="4" t="b">
        <f>LEN(data!E215)&gt;0</f>
        <v>0</v>
      </c>
      <c r="H215" s="4" t="b">
        <f>LEN(data!E215)&lt;=35</f>
        <v>1</v>
      </c>
      <c r="I215" s="4" t="b">
        <f>LEN(data!F215)=2</f>
        <v>0</v>
      </c>
      <c r="J215" s="4" t="b">
        <f>LEN(data!G215)&gt;0</f>
        <v>0</v>
      </c>
      <c r="K215" s="4" t="b">
        <f>LEN(data!G215)&lt;=60</f>
        <v>1</v>
      </c>
      <c r="L215" s="4" t="b">
        <f>LEN(data!I215)&gt;0</f>
        <v>0</v>
      </c>
      <c r="M215" s="4" t="b">
        <f>LEN(data!I215)&lt;=70</f>
        <v>1</v>
      </c>
      <c r="N215" s="4" t="b">
        <f>LEN(data!J215)&gt;0</f>
        <v>0</v>
      </c>
      <c r="O215" s="4" t="b">
        <f>LEN(data!J215)&lt;=140</f>
        <v>1</v>
      </c>
      <c r="P215" s="4" t="b">
        <f>LEN(data!K215)&gt;0</f>
        <v>0</v>
      </c>
      <c r="Q215" s="4" t="b">
        <f>LEN(data!K215)&lt;=35</f>
        <v>1</v>
      </c>
      <c r="R215" s="4" t="b">
        <f>LEN(data!L215)=2</f>
        <v>0</v>
      </c>
      <c r="S215" s="4" t="b">
        <f>LEN(data!M215)&gt;0</f>
        <v>0</v>
      </c>
      <c r="T215" s="4" t="b">
        <f>LEN(data!M215)&lt;=60</f>
        <v>1</v>
      </c>
      <c r="U215" s="4" t="b">
        <f>LEN(data!O215)&gt;0</f>
        <v>0</v>
      </c>
      <c r="V215" s="4" t="b">
        <f>LEN(data!O215)&lt;=70</f>
        <v>1</v>
      </c>
      <c r="W215" s="4" t="b">
        <f>LEN(data!P215)&gt;0</f>
        <v>0</v>
      </c>
      <c r="X215" s="4" t="b">
        <f>LEN(data!P215)&lt;=140</f>
        <v>1</v>
      </c>
      <c r="Y215" s="4" t="b">
        <f>LEN(data!Q215)&gt;0</f>
        <v>0</v>
      </c>
      <c r="Z215" s="4" t="b">
        <f>LEN(data!Q215)&lt;=35</f>
        <v>1</v>
      </c>
      <c r="AA215" s="4" t="b">
        <f>LEN(data!R215)=2</f>
        <v>0</v>
      </c>
      <c r="AB215" s="4" t="b">
        <f>LEN(data!S215)&gt;0</f>
        <v>0</v>
      </c>
      <c r="AC215" s="4" t="b">
        <f>LEN(data!S215)&lt;=120</f>
        <v>1</v>
      </c>
      <c r="AD215" s="4" t="b">
        <f>LEN(data!U215)=11</f>
        <v>0</v>
      </c>
      <c r="AE215" s="4" t="b">
        <f>AND(ISERROR(MATCH(data!V215, rule_mapping!$C$2:$C$325, 0))=FALSE, LEN(data!V215) &lt;= 4)</f>
        <v>0</v>
      </c>
      <c r="AF215" s="4" t="b">
        <f>LEN(data!W215)&gt;0</f>
        <v>0</v>
      </c>
      <c r="AG215" s="4" t="b">
        <f>LEN(data!W215)&lt;=20</f>
        <v>1</v>
      </c>
      <c r="AH215" s="4" t="b">
        <f xml:space="preserve"> IFERROR(ISNUMBER(data!X215), FALSE)</f>
        <v>0</v>
      </c>
      <c r="AI215" s="4" t="b">
        <f>IF(ISERROR(MATCH(data!Y215, rule_mapping!$D$2:$D$252, 0))=FALSE,TRUE, FALSE)</f>
        <v>0</v>
      </c>
      <c r="AJ215" s="4" t="b">
        <f>IFERROR(ISNUMBER(data!Z215), FALSE)</f>
        <v>0</v>
      </c>
      <c r="AK215" s="4" t="b">
        <f>IFERROR(ISNUMBER(data!AA215), FALSE)</f>
        <v>0</v>
      </c>
      <c r="AL215" s="4" t="b">
        <f>LEN(data!AB215)&lt;=90</f>
        <v>1</v>
      </c>
      <c r="AM215" s="4" t="b">
        <f>LEN(data!AC215)&gt;0</f>
        <v>0</v>
      </c>
      <c r="AN215" s="4" t="b">
        <f>LEN(data!AC215)&lt;=2000</f>
        <v>1</v>
      </c>
      <c r="AO215" s="4" t="b">
        <f>IF(LEN(data!AD215)=0,TRUE,IF(LEN(data!AD215)=5,TRUE,FALSE))</f>
        <v>1</v>
      </c>
      <c r="AP215" s="4" t="b">
        <f>LEN(data!AE215)&gt;0</f>
        <v>0</v>
      </c>
      <c r="AQ215" s="4" t="b">
        <f>LEN(data!AE215)=5</f>
        <v>0</v>
      </c>
      <c r="AR215" s="4" t="b">
        <f>ISERROR(MATCH(data!AF215, rule_mapping!$B$2:$B$3, 0))=FALSE</f>
        <v>0</v>
      </c>
      <c r="AS215" s="4" t="b">
        <f>ISERROR(MATCH(data!AG215, rule_mapping!$A$2:$A$8, 0))=FALSE</f>
        <v>0</v>
      </c>
      <c r="AT215" s="4" t="b">
        <f>LEN(data!AH215)&lt;=4</f>
        <v>1</v>
      </c>
      <c r="AU215" s="4" t="b">
        <f>LEN(data!AI215)&lt;=10</f>
        <v>1</v>
      </c>
      <c r="AV215" s="4" t="b">
        <f>LEN(data!AJ215)&lt;=35</f>
        <v>1</v>
      </c>
      <c r="AW215" s="4" t="b">
        <f>LEN(data!AK215)&lt;=20</f>
        <v>1</v>
      </c>
      <c r="AX215"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6" spans="1:50" ht="409.5" x14ac:dyDescent="0.15">
      <c r="A216" s="4" t="b">
        <f>OR(ISBLANK(data!B216), AND(B216:AW216))</f>
        <v>1</v>
      </c>
      <c r="B216" s="4" t="b">
        <f>AND(LEFT(TRIM(data!B216), 4)="OOLU", ISNUMBER(RIGHT(TRIM(data!B216), LEN(TRIM(data!B216))-4)+0))</f>
        <v>0</v>
      </c>
      <c r="C216" s="4" t="b">
        <f>LEN(data!C216)&gt;0</f>
        <v>0</v>
      </c>
      <c r="D216" s="4" t="b">
        <f>LEN(data!C216)&lt;=70</f>
        <v>1</v>
      </c>
      <c r="E216" s="4" t="b">
        <f>LEN(data!D216)&gt;0</f>
        <v>0</v>
      </c>
      <c r="F216" s="4" t="b">
        <f>LEN(data!D216)&lt;=140</f>
        <v>1</v>
      </c>
      <c r="G216" s="4" t="b">
        <f>LEN(data!E216)&gt;0</f>
        <v>0</v>
      </c>
      <c r="H216" s="4" t="b">
        <f>LEN(data!E216)&lt;=35</f>
        <v>1</v>
      </c>
      <c r="I216" s="4" t="b">
        <f>LEN(data!F216)=2</f>
        <v>0</v>
      </c>
      <c r="J216" s="4" t="b">
        <f>LEN(data!G216)&gt;0</f>
        <v>0</v>
      </c>
      <c r="K216" s="4" t="b">
        <f>LEN(data!G216)&lt;=60</f>
        <v>1</v>
      </c>
      <c r="L216" s="4" t="b">
        <f>LEN(data!I216)&gt;0</f>
        <v>0</v>
      </c>
      <c r="M216" s="4" t="b">
        <f>LEN(data!I216)&lt;=70</f>
        <v>1</v>
      </c>
      <c r="N216" s="4" t="b">
        <f>LEN(data!J216)&gt;0</f>
        <v>0</v>
      </c>
      <c r="O216" s="4" t="b">
        <f>LEN(data!J216)&lt;=140</f>
        <v>1</v>
      </c>
      <c r="P216" s="4" t="b">
        <f>LEN(data!K216)&gt;0</f>
        <v>0</v>
      </c>
      <c r="Q216" s="4" t="b">
        <f>LEN(data!K216)&lt;=35</f>
        <v>1</v>
      </c>
      <c r="R216" s="4" t="b">
        <f>LEN(data!L216)=2</f>
        <v>0</v>
      </c>
      <c r="S216" s="4" t="b">
        <f>LEN(data!M216)&gt;0</f>
        <v>0</v>
      </c>
      <c r="T216" s="4" t="b">
        <f>LEN(data!M216)&lt;=60</f>
        <v>1</v>
      </c>
      <c r="U216" s="4" t="b">
        <f>LEN(data!O216)&gt;0</f>
        <v>0</v>
      </c>
      <c r="V216" s="4" t="b">
        <f>LEN(data!O216)&lt;=70</f>
        <v>1</v>
      </c>
      <c r="W216" s="4" t="b">
        <f>LEN(data!P216)&gt;0</f>
        <v>0</v>
      </c>
      <c r="X216" s="4" t="b">
        <f>LEN(data!P216)&lt;=140</f>
        <v>1</v>
      </c>
      <c r="Y216" s="4" t="b">
        <f>LEN(data!Q216)&gt;0</f>
        <v>0</v>
      </c>
      <c r="Z216" s="4" t="b">
        <f>LEN(data!Q216)&lt;=35</f>
        <v>1</v>
      </c>
      <c r="AA216" s="4" t="b">
        <f>LEN(data!R216)=2</f>
        <v>0</v>
      </c>
      <c r="AB216" s="4" t="b">
        <f>LEN(data!S216)&gt;0</f>
        <v>0</v>
      </c>
      <c r="AC216" s="4" t="b">
        <f>LEN(data!S216)&lt;=120</f>
        <v>1</v>
      </c>
      <c r="AD216" s="4" t="b">
        <f>LEN(data!U216)=11</f>
        <v>0</v>
      </c>
      <c r="AE216" s="4" t="b">
        <f>AND(ISERROR(MATCH(data!V216, rule_mapping!$C$2:$C$325, 0))=FALSE, LEN(data!V216) &lt;= 4)</f>
        <v>0</v>
      </c>
      <c r="AF216" s="4" t="b">
        <f>LEN(data!W216)&gt;0</f>
        <v>0</v>
      </c>
      <c r="AG216" s="4" t="b">
        <f>LEN(data!W216)&lt;=20</f>
        <v>1</v>
      </c>
      <c r="AH216" s="4" t="b">
        <f xml:space="preserve"> IFERROR(ISNUMBER(data!X216), FALSE)</f>
        <v>0</v>
      </c>
      <c r="AI216" s="4" t="b">
        <f>IF(ISERROR(MATCH(data!Y216, rule_mapping!$D$2:$D$252, 0))=FALSE,TRUE, FALSE)</f>
        <v>0</v>
      </c>
      <c r="AJ216" s="4" t="b">
        <f>IFERROR(ISNUMBER(data!Z216), FALSE)</f>
        <v>0</v>
      </c>
      <c r="AK216" s="4" t="b">
        <f>IFERROR(ISNUMBER(data!AA216), FALSE)</f>
        <v>0</v>
      </c>
      <c r="AL216" s="4" t="b">
        <f>LEN(data!AB216)&lt;=90</f>
        <v>1</v>
      </c>
      <c r="AM216" s="4" t="b">
        <f>LEN(data!AC216)&gt;0</f>
        <v>0</v>
      </c>
      <c r="AN216" s="4" t="b">
        <f>LEN(data!AC216)&lt;=2000</f>
        <v>1</v>
      </c>
      <c r="AO216" s="4" t="b">
        <f>IF(LEN(data!AD216)=0,TRUE,IF(LEN(data!AD216)=5,TRUE,FALSE))</f>
        <v>1</v>
      </c>
      <c r="AP216" s="4" t="b">
        <f>LEN(data!AE216)&gt;0</f>
        <v>0</v>
      </c>
      <c r="AQ216" s="4" t="b">
        <f>LEN(data!AE216)=5</f>
        <v>0</v>
      </c>
      <c r="AR216" s="4" t="b">
        <f>ISERROR(MATCH(data!AF216, rule_mapping!$B$2:$B$3, 0))=FALSE</f>
        <v>0</v>
      </c>
      <c r="AS216" s="4" t="b">
        <f>ISERROR(MATCH(data!AG216, rule_mapping!$A$2:$A$8, 0))=FALSE</f>
        <v>0</v>
      </c>
      <c r="AT216" s="4" t="b">
        <f>LEN(data!AH216)&lt;=4</f>
        <v>1</v>
      </c>
      <c r="AU216" s="4" t="b">
        <f>LEN(data!AI216)&lt;=10</f>
        <v>1</v>
      </c>
      <c r="AV216" s="4" t="b">
        <f>LEN(data!AJ216)&lt;=35</f>
        <v>1</v>
      </c>
      <c r="AW216" s="4" t="b">
        <f>LEN(data!AK216)&lt;=20</f>
        <v>1</v>
      </c>
      <c r="AX216"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7" spans="1:50" ht="409.5" x14ac:dyDescent="0.15">
      <c r="A217" s="4" t="b">
        <f>OR(ISBLANK(data!B217), AND(B217:AW217))</f>
        <v>1</v>
      </c>
      <c r="B217" s="4" t="b">
        <f>AND(LEFT(TRIM(data!B217), 4)="OOLU", ISNUMBER(RIGHT(TRIM(data!B217), LEN(TRIM(data!B217))-4)+0))</f>
        <v>0</v>
      </c>
      <c r="C217" s="4" t="b">
        <f>LEN(data!C217)&gt;0</f>
        <v>0</v>
      </c>
      <c r="D217" s="4" t="b">
        <f>LEN(data!C217)&lt;=70</f>
        <v>1</v>
      </c>
      <c r="E217" s="4" t="b">
        <f>LEN(data!D217)&gt;0</f>
        <v>0</v>
      </c>
      <c r="F217" s="4" t="b">
        <f>LEN(data!D217)&lt;=140</f>
        <v>1</v>
      </c>
      <c r="G217" s="4" t="b">
        <f>LEN(data!E217)&gt;0</f>
        <v>0</v>
      </c>
      <c r="H217" s="4" t="b">
        <f>LEN(data!E217)&lt;=35</f>
        <v>1</v>
      </c>
      <c r="I217" s="4" t="b">
        <f>LEN(data!F217)=2</f>
        <v>0</v>
      </c>
      <c r="J217" s="4" t="b">
        <f>LEN(data!G217)&gt;0</f>
        <v>0</v>
      </c>
      <c r="K217" s="4" t="b">
        <f>LEN(data!G217)&lt;=60</f>
        <v>1</v>
      </c>
      <c r="L217" s="4" t="b">
        <f>LEN(data!I217)&gt;0</f>
        <v>0</v>
      </c>
      <c r="M217" s="4" t="b">
        <f>LEN(data!I217)&lt;=70</f>
        <v>1</v>
      </c>
      <c r="N217" s="4" t="b">
        <f>LEN(data!J217)&gt;0</f>
        <v>0</v>
      </c>
      <c r="O217" s="4" t="b">
        <f>LEN(data!J217)&lt;=140</f>
        <v>1</v>
      </c>
      <c r="P217" s="4" t="b">
        <f>LEN(data!K217)&gt;0</f>
        <v>0</v>
      </c>
      <c r="Q217" s="4" t="b">
        <f>LEN(data!K217)&lt;=35</f>
        <v>1</v>
      </c>
      <c r="R217" s="4" t="b">
        <f>LEN(data!L217)=2</f>
        <v>0</v>
      </c>
      <c r="S217" s="4" t="b">
        <f>LEN(data!M217)&gt;0</f>
        <v>0</v>
      </c>
      <c r="T217" s="4" t="b">
        <f>LEN(data!M217)&lt;=60</f>
        <v>1</v>
      </c>
      <c r="U217" s="4" t="b">
        <f>LEN(data!O217)&gt;0</f>
        <v>0</v>
      </c>
      <c r="V217" s="4" t="b">
        <f>LEN(data!O217)&lt;=70</f>
        <v>1</v>
      </c>
      <c r="W217" s="4" t="b">
        <f>LEN(data!P217)&gt;0</f>
        <v>0</v>
      </c>
      <c r="X217" s="4" t="b">
        <f>LEN(data!P217)&lt;=140</f>
        <v>1</v>
      </c>
      <c r="Y217" s="4" t="b">
        <f>LEN(data!Q217)&gt;0</f>
        <v>0</v>
      </c>
      <c r="Z217" s="4" t="b">
        <f>LEN(data!Q217)&lt;=35</f>
        <v>1</v>
      </c>
      <c r="AA217" s="4" t="b">
        <f>LEN(data!R217)=2</f>
        <v>0</v>
      </c>
      <c r="AB217" s="4" t="b">
        <f>LEN(data!S217)&gt;0</f>
        <v>0</v>
      </c>
      <c r="AC217" s="4" t="b">
        <f>LEN(data!S217)&lt;=120</f>
        <v>1</v>
      </c>
      <c r="AD217" s="4" t="b">
        <f>LEN(data!U217)=11</f>
        <v>0</v>
      </c>
      <c r="AE217" s="4" t="b">
        <f>AND(ISERROR(MATCH(data!V217, rule_mapping!$C$2:$C$325, 0))=FALSE, LEN(data!V217) &lt;= 4)</f>
        <v>0</v>
      </c>
      <c r="AF217" s="4" t="b">
        <f>LEN(data!W217)&gt;0</f>
        <v>0</v>
      </c>
      <c r="AG217" s="4" t="b">
        <f>LEN(data!W217)&lt;=20</f>
        <v>1</v>
      </c>
      <c r="AH217" s="4" t="b">
        <f xml:space="preserve"> IFERROR(ISNUMBER(data!X217), FALSE)</f>
        <v>0</v>
      </c>
      <c r="AI217" s="4" t="b">
        <f>IF(ISERROR(MATCH(data!Y217, rule_mapping!$D$2:$D$252, 0))=FALSE,TRUE, FALSE)</f>
        <v>0</v>
      </c>
      <c r="AJ217" s="4" t="b">
        <f>IFERROR(ISNUMBER(data!Z217), FALSE)</f>
        <v>0</v>
      </c>
      <c r="AK217" s="4" t="b">
        <f>IFERROR(ISNUMBER(data!AA217), FALSE)</f>
        <v>0</v>
      </c>
      <c r="AL217" s="4" t="b">
        <f>LEN(data!AB217)&lt;=90</f>
        <v>1</v>
      </c>
      <c r="AM217" s="4" t="b">
        <f>LEN(data!AC217)&gt;0</f>
        <v>0</v>
      </c>
      <c r="AN217" s="4" t="b">
        <f>LEN(data!AC217)&lt;=2000</f>
        <v>1</v>
      </c>
      <c r="AO217" s="4" t="b">
        <f>IF(LEN(data!AD217)=0,TRUE,IF(LEN(data!AD217)=5,TRUE,FALSE))</f>
        <v>1</v>
      </c>
      <c r="AP217" s="4" t="b">
        <f>LEN(data!AE217)&gt;0</f>
        <v>0</v>
      </c>
      <c r="AQ217" s="4" t="b">
        <f>LEN(data!AE217)=5</f>
        <v>0</v>
      </c>
      <c r="AR217" s="4" t="b">
        <f>ISERROR(MATCH(data!AF217, rule_mapping!$B$2:$B$3, 0))=FALSE</f>
        <v>0</v>
      </c>
      <c r="AS217" s="4" t="b">
        <f>ISERROR(MATCH(data!AG217, rule_mapping!$A$2:$A$8, 0))=FALSE</f>
        <v>0</v>
      </c>
      <c r="AT217" s="4" t="b">
        <f>LEN(data!AH217)&lt;=4</f>
        <v>1</v>
      </c>
      <c r="AU217" s="4" t="b">
        <f>LEN(data!AI217)&lt;=10</f>
        <v>1</v>
      </c>
      <c r="AV217" s="4" t="b">
        <f>LEN(data!AJ217)&lt;=35</f>
        <v>1</v>
      </c>
      <c r="AW217" s="4" t="b">
        <f>LEN(data!AK217)&lt;=20</f>
        <v>1</v>
      </c>
      <c r="AX217"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8" spans="1:50" ht="409.5" x14ac:dyDescent="0.15">
      <c r="A218" s="4" t="b">
        <f>OR(ISBLANK(data!B218), AND(B218:AW218))</f>
        <v>1</v>
      </c>
      <c r="B218" s="4" t="b">
        <f>AND(LEFT(TRIM(data!B218), 4)="OOLU", ISNUMBER(RIGHT(TRIM(data!B218), LEN(TRIM(data!B218))-4)+0))</f>
        <v>0</v>
      </c>
      <c r="C218" s="4" t="b">
        <f>LEN(data!C218)&gt;0</f>
        <v>0</v>
      </c>
      <c r="D218" s="4" t="b">
        <f>LEN(data!C218)&lt;=70</f>
        <v>1</v>
      </c>
      <c r="E218" s="4" t="b">
        <f>LEN(data!D218)&gt;0</f>
        <v>0</v>
      </c>
      <c r="F218" s="4" t="b">
        <f>LEN(data!D218)&lt;=140</f>
        <v>1</v>
      </c>
      <c r="G218" s="4" t="b">
        <f>LEN(data!E218)&gt;0</f>
        <v>0</v>
      </c>
      <c r="H218" s="4" t="b">
        <f>LEN(data!E218)&lt;=35</f>
        <v>1</v>
      </c>
      <c r="I218" s="4" t="b">
        <f>LEN(data!F218)=2</f>
        <v>0</v>
      </c>
      <c r="J218" s="4" t="b">
        <f>LEN(data!G218)&gt;0</f>
        <v>0</v>
      </c>
      <c r="K218" s="4" t="b">
        <f>LEN(data!G218)&lt;=60</f>
        <v>1</v>
      </c>
      <c r="L218" s="4" t="b">
        <f>LEN(data!I218)&gt;0</f>
        <v>0</v>
      </c>
      <c r="M218" s="4" t="b">
        <f>LEN(data!I218)&lt;=70</f>
        <v>1</v>
      </c>
      <c r="N218" s="4" t="b">
        <f>LEN(data!J218)&gt;0</f>
        <v>0</v>
      </c>
      <c r="O218" s="4" t="b">
        <f>LEN(data!J218)&lt;=140</f>
        <v>1</v>
      </c>
      <c r="P218" s="4" t="b">
        <f>LEN(data!K218)&gt;0</f>
        <v>0</v>
      </c>
      <c r="Q218" s="4" t="b">
        <f>LEN(data!K218)&lt;=35</f>
        <v>1</v>
      </c>
      <c r="R218" s="4" t="b">
        <f>LEN(data!L218)=2</f>
        <v>0</v>
      </c>
      <c r="S218" s="4" t="b">
        <f>LEN(data!M218)&gt;0</f>
        <v>0</v>
      </c>
      <c r="T218" s="4" t="b">
        <f>LEN(data!M218)&lt;=60</f>
        <v>1</v>
      </c>
      <c r="U218" s="4" t="b">
        <f>LEN(data!O218)&gt;0</f>
        <v>0</v>
      </c>
      <c r="V218" s="4" t="b">
        <f>LEN(data!O218)&lt;=70</f>
        <v>1</v>
      </c>
      <c r="W218" s="4" t="b">
        <f>LEN(data!P218)&gt;0</f>
        <v>0</v>
      </c>
      <c r="X218" s="4" t="b">
        <f>LEN(data!P218)&lt;=140</f>
        <v>1</v>
      </c>
      <c r="Y218" s="4" t="b">
        <f>LEN(data!Q218)&gt;0</f>
        <v>0</v>
      </c>
      <c r="Z218" s="4" t="b">
        <f>LEN(data!Q218)&lt;=35</f>
        <v>1</v>
      </c>
      <c r="AA218" s="4" t="b">
        <f>LEN(data!R218)=2</f>
        <v>0</v>
      </c>
      <c r="AB218" s="4" t="b">
        <f>LEN(data!S218)&gt;0</f>
        <v>0</v>
      </c>
      <c r="AC218" s="4" t="b">
        <f>LEN(data!S218)&lt;=120</f>
        <v>1</v>
      </c>
      <c r="AD218" s="4" t="b">
        <f>LEN(data!U218)=11</f>
        <v>0</v>
      </c>
      <c r="AE218" s="4" t="b">
        <f>AND(ISERROR(MATCH(data!V218, rule_mapping!$C$2:$C$325, 0))=FALSE, LEN(data!V218) &lt;= 4)</f>
        <v>0</v>
      </c>
      <c r="AF218" s="4" t="b">
        <f>LEN(data!W218)&gt;0</f>
        <v>0</v>
      </c>
      <c r="AG218" s="4" t="b">
        <f>LEN(data!W218)&lt;=20</f>
        <v>1</v>
      </c>
      <c r="AH218" s="4" t="b">
        <f xml:space="preserve"> IFERROR(ISNUMBER(data!X218), FALSE)</f>
        <v>0</v>
      </c>
      <c r="AI218" s="4" t="b">
        <f>IF(ISERROR(MATCH(data!Y218, rule_mapping!$D$2:$D$252, 0))=FALSE,TRUE, FALSE)</f>
        <v>0</v>
      </c>
      <c r="AJ218" s="4" t="b">
        <f>IFERROR(ISNUMBER(data!Z218), FALSE)</f>
        <v>0</v>
      </c>
      <c r="AK218" s="4" t="b">
        <f>IFERROR(ISNUMBER(data!AA218), FALSE)</f>
        <v>0</v>
      </c>
      <c r="AL218" s="4" t="b">
        <f>LEN(data!AB218)&lt;=90</f>
        <v>1</v>
      </c>
      <c r="AM218" s="4" t="b">
        <f>LEN(data!AC218)&gt;0</f>
        <v>0</v>
      </c>
      <c r="AN218" s="4" t="b">
        <f>LEN(data!AC218)&lt;=2000</f>
        <v>1</v>
      </c>
      <c r="AO218" s="4" t="b">
        <f>IF(LEN(data!AD218)=0,TRUE,IF(LEN(data!AD218)=5,TRUE,FALSE))</f>
        <v>1</v>
      </c>
      <c r="AP218" s="4" t="b">
        <f>LEN(data!AE218)&gt;0</f>
        <v>0</v>
      </c>
      <c r="AQ218" s="4" t="b">
        <f>LEN(data!AE218)=5</f>
        <v>0</v>
      </c>
      <c r="AR218" s="4" t="b">
        <f>ISERROR(MATCH(data!AF218, rule_mapping!$B$2:$B$3, 0))=FALSE</f>
        <v>0</v>
      </c>
      <c r="AS218" s="4" t="b">
        <f>ISERROR(MATCH(data!AG218, rule_mapping!$A$2:$A$8, 0))=FALSE</f>
        <v>0</v>
      </c>
      <c r="AT218" s="4" t="b">
        <f>LEN(data!AH218)&lt;=4</f>
        <v>1</v>
      </c>
      <c r="AU218" s="4" t="b">
        <f>LEN(data!AI218)&lt;=10</f>
        <v>1</v>
      </c>
      <c r="AV218" s="4" t="b">
        <f>LEN(data!AJ218)&lt;=35</f>
        <v>1</v>
      </c>
      <c r="AW218" s="4" t="b">
        <f>LEN(data!AK218)&lt;=20</f>
        <v>1</v>
      </c>
      <c r="AX218"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19" spans="1:50" ht="409.5" x14ac:dyDescent="0.15">
      <c r="A219" s="4" t="b">
        <f>OR(ISBLANK(data!B219), AND(B219:AW219))</f>
        <v>1</v>
      </c>
      <c r="B219" s="4" t="b">
        <f>AND(LEFT(TRIM(data!B219), 4)="OOLU", ISNUMBER(RIGHT(TRIM(data!B219), LEN(TRIM(data!B219))-4)+0))</f>
        <v>0</v>
      </c>
      <c r="C219" s="4" t="b">
        <f>LEN(data!C219)&gt;0</f>
        <v>0</v>
      </c>
      <c r="D219" s="4" t="b">
        <f>LEN(data!C219)&lt;=70</f>
        <v>1</v>
      </c>
      <c r="E219" s="4" t="b">
        <f>LEN(data!D219)&gt;0</f>
        <v>0</v>
      </c>
      <c r="F219" s="4" t="b">
        <f>LEN(data!D219)&lt;=140</f>
        <v>1</v>
      </c>
      <c r="G219" s="4" t="b">
        <f>LEN(data!E219)&gt;0</f>
        <v>0</v>
      </c>
      <c r="H219" s="4" t="b">
        <f>LEN(data!E219)&lt;=35</f>
        <v>1</v>
      </c>
      <c r="I219" s="4" t="b">
        <f>LEN(data!F219)=2</f>
        <v>0</v>
      </c>
      <c r="J219" s="4" t="b">
        <f>LEN(data!G219)&gt;0</f>
        <v>0</v>
      </c>
      <c r="K219" s="4" t="b">
        <f>LEN(data!G219)&lt;=60</f>
        <v>1</v>
      </c>
      <c r="L219" s="4" t="b">
        <f>LEN(data!I219)&gt;0</f>
        <v>0</v>
      </c>
      <c r="M219" s="4" t="b">
        <f>LEN(data!I219)&lt;=70</f>
        <v>1</v>
      </c>
      <c r="N219" s="4" t="b">
        <f>LEN(data!J219)&gt;0</f>
        <v>0</v>
      </c>
      <c r="O219" s="4" t="b">
        <f>LEN(data!J219)&lt;=140</f>
        <v>1</v>
      </c>
      <c r="P219" s="4" t="b">
        <f>LEN(data!K219)&gt;0</f>
        <v>0</v>
      </c>
      <c r="Q219" s="4" t="b">
        <f>LEN(data!K219)&lt;=35</f>
        <v>1</v>
      </c>
      <c r="R219" s="4" t="b">
        <f>LEN(data!L219)=2</f>
        <v>0</v>
      </c>
      <c r="S219" s="4" t="b">
        <f>LEN(data!M219)&gt;0</f>
        <v>0</v>
      </c>
      <c r="T219" s="4" t="b">
        <f>LEN(data!M219)&lt;=60</f>
        <v>1</v>
      </c>
      <c r="U219" s="4" t="b">
        <f>LEN(data!O219)&gt;0</f>
        <v>0</v>
      </c>
      <c r="V219" s="4" t="b">
        <f>LEN(data!O219)&lt;=70</f>
        <v>1</v>
      </c>
      <c r="W219" s="4" t="b">
        <f>LEN(data!P219)&gt;0</f>
        <v>0</v>
      </c>
      <c r="X219" s="4" t="b">
        <f>LEN(data!P219)&lt;=140</f>
        <v>1</v>
      </c>
      <c r="Y219" s="4" t="b">
        <f>LEN(data!Q219)&gt;0</f>
        <v>0</v>
      </c>
      <c r="Z219" s="4" t="b">
        <f>LEN(data!Q219)&lt;=35</f>
        <v>1</v>
      </c>
      <c r="AA219" s="4" t="b">
        <f>LEN(data!R219)=2</f>
        <v>0</v>
      </c>
      <c r="AB219" s="4" t="b">
        <f>LEN(data!S219)&gt;0</f>
        <v>0</v>
      </c>
      <c r="AC219" s="4" t="b">
        <f>LEN(data!S219)&lt;=120</f>
        <v>1</v>
      </c>
      <c r="AD219" s="4" t="b">
        <f>LEN(data!U219)=11</f>
        <v>0</v>
      </c>
      <c r="AE219" s="4" t="b">
        <f>AND(ISERROR(MATCH(data!V219, rule_mapping!$C$2:$C$325, 0))=FALSE, LEN(data!V219) &lt;= 4)</f>
        <v>0</v>
      </c>
      <c r="AF219" s="4" t="b">
        <f>LEN(data!W219)&gt;0</f>
        <v>0</v>
      </c>
      <c r="AG219" s="4" t="b">
        <f>LEN(data!W219)&lt;=20</f>
        <v>1</v>
      </c>
      <c r="AH219" s="4" t="b">
        <f xml:space="preserve"> IFERROR(ISNUMBER(data!X219), FALSE)</f>
        <v>0</v>
      </c>
      <c r="AI219" s="4" t="b">
        <f>IF(ISERROR(MATCH(data!Y219, rule_mapping!$D$2:$D$252, 0))=FALSE,TRUE, FALSE)</f>
        <v>0</v>
      </c>
      <c r="AJ219" s="4" t="b">
        <f>IFERROR(ISNUMBER(data!Z219), FALSE)</f>
        <v>0</v>
      </c>
      <c r="AK219" s="4" t="b">
        <f>IFERROR(ISNUMBER(data!AA219), FALSE)</f>
        <v>0</v>
      </c>
      <c r="AL219" s="4" t="b">
        <f>LEN(data!AB219)&lt;=90</f>
        <v>1</v>
      </c>
      <c r="AM219" s="4" t="b">
        <f>LEN(data!AC219)&gt;0</f>
        <v>0</v>
      </c>
      <c r="AN219" s="4" t="b">
        <f>LEN(data!AC219)&lt;=2000</f>
        <v>1</v>
      </c>
      <c r="AO219" s="4" t="b">
        <f>IF(LEN(data!AD219)=0,TRUE,IF(LEN(data!AD219)=5,TRUE,FALSE))</f>
        <v>1</v>
      </c>
      <c r="AP219" s="4" t="b">
        <f>LEN(data!AE219)&gt;0</f>
        <v>0</v>
      </c>
      <c r="AQ219" s="4" t="b">
        <f>LEN(data!AE219)=5</f>
        <v>0</v>
      </c>
      <c r="AR219" s="4" t="b">
        <f>ISERROR(MATCH(data!AF219, rule_mapping!$B$2:$B$3, 0))=FALSE</f>
        <v>0</v>
      </c>
      <c r="AS219" s="4" t="b">
        <f>ISERROR(MATCH(data!AG219, rule_mapping!$A$2:$A$8, 0))=FALSE</f>
        <v>0</v>
      </c>
      <c r="AT219" s="4" t="b">
        <f>LEN(data!AH219)&lt;=4</f>
        <v>1</v>
      </c>
      <c r="AU219" s="4" t="b">
        <f>LEN(data!AI219)&lt;=10</f>
        <v>1</v>
      </c>
      <c r="AV219" s="4" t="b">
        <f>LEN(data!AJ219)&lt;=35</f>
        <v>1</v>
      </c>
      <c r="AW219" s="4" t="b">
        <f>LEN(data!AK219)&lt;=20</f>
        <v>1</v>
      </c>
      <c r="AX219"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0" spans="1:50" ht="409.5" x14ac:dyDescent="0.15">
      <c r="A220" s="4" t="b">
        <f>OR(ISBLANK(data!B220), AND(B220:AW220))</f>
        <v>1</v>
      </c>
      <c r="B220" s="4" t="b">
        <f>AND(LEFT(TRIM(data!B220), 4)="OOLU", ISNUMBER(RIGHT(TRIM(data!B220), LEN(TRIM(data!B220))-4)+0))</f>
        <v>0</v>
      </c>
      <c r="C220" s="4" t="b">
        <f>LEN(data!C220)&gt;0</f>
        <v>0</v>
      </c>
      <c r="D220" s="4" t="b">
        <f>LEN(data!C220)&lt;=70</f>
        <v>1</v>
      </c>
      <c r="E220" s="4" t="b">
        <f>LEN(data!D220)&gt;0</f>
        <v>0</v>
      </c>
      <c r="F220" s="4" t="b">
        <f>LEN(data!D220)&lt;=140</f>
        <v>1</v>
      </c>
      <c r="G220" s="4" t="b">
        <f>LEN(data!E220)&gt;0</f>
        <v>0</v>
      </c>
      <c r="H220" s="4" t="b">
        <f>LEN(data!E220)&lt;=35</f>
        <v>1</v>
      </c>
      <c r="I220" s="4" t="b">
        <f>LEN(data!F220)=2</f>
        <v>0</v>
      </c>
      <c r="J220" s="4" t="b">
        <f>LEN(data!G220)&gt;0</f>
        <v>0</v>
      </c>
      <c r="K220" s="4" t="b">
        <f>LEN(data!G220)&lt;=60</f>
        <v>1</v>
      </c>
      <c r="L220" s="4" t="b">
        <f>LEN(data!I220)&gt;0</f>
        <v>0</v>
      </c>
      <c r="M220" s="4" t="b">
        <f>LEN(data!I220)&lt;=70</f>
        <v>1</v>
      </c>
      <c r="N220" s="4" t="b">
        <f>LEN(data!J220)&gt;0</f>
        <v>0</v>
      </c>
      <c r="O220" s="4" t="b">
        <f>LEN(data!J220)&lt;=140</f>
        <v>1</v>
      </c>
      <c r="P220" s="4" t="b">
        <f>LEN(data!K220)&gt;0</f>
        <v>0</v>
      </c>
      <c r="Q220" s="4" t="b">
        <f>LEN(data!K220)&lt;=35</f>
        <v>1</v>
      </c>
      <c r="R220" s="4" t="b">
        <f>LEN(data!L220)=2</f>
        <v>0</v>
      </c>
      <c r="S220" s="4" t="b">
        <f>LEN(data!M220)&gt;0</f>
        <v>0</v>
      </c>
      <c r="T220" s="4" t="b">
        <f>LEN(data!M220)&lt;=60</f>
        <v>1</v>
      </c>
      <c r="U220" s="4" t="b">
        <f>LEN(data!O220)&gt;0</f>
        <v>0</v>
      </c>
      <c r="V220" s="4" t="b">
        <f>LEN(data!O220)&lt;=70</f>
        <v>1</v>
      </c>
      <c r="W220" s="4" t="b">
        <f>LEN(data!P220)&gt;0</f>
        <v>0</v>
      </c>
      <c r="X220" s="4" t="b">
        <f>LEN(data!P220)&lt;=140</f>
        <v>1</v>
      </c>
      <c r="Y220" s="4" t="b">
        <f>LEN(data!Q220)&gt;0</f>
        <v>0</v>
      </c>
      <c r="Z220" s="4" t="b">
        <f>LEN(data!Q220)&lt;=35</f>
        <v>1</v>
      </c>
      <c r="AA220" s="4" t="b">
        <f>LEN(data!R220)=2</f>
        <v>0</v>
      </c>
      <c r="AB220" s="4" t="b">
        <f>LEN(data!S220)&gt;0</f>
        <v>0</v>
      </c>
      <c r="AC220" s="4" t="b">
        <f>LEN(data!S220)&lt;=120</f>
        <v>1</v>
      </c>
      <c r="AD220" s="4" t="b">
        <f>LEN(data!U220)=11</f>
        <v>0</v>
      </c>
      <c r="AE220" s="4" t="b">
        <f>AND(ISERROR(MATCH(data!V220, rule_mapping!$C$2:$C$325, 0))=FALSE, LEN(data!V220) &lt;= 4)</f>
        <v>0</v>
      </c>
      <c r="AF220" s="4" t="b">
        <f>LEN(data!W220)&gt;0</f>
        <v>0</v>
      </c>
      <c r="AG220" s="4" t="b">
        <f>LEN(data!W220)&lt;=20</f>
        <v>1</v>
      </c>
      <c r="AH220" s="4" t="b">
        <f xml:space="preserve"> IFERROR(ISNUMBER(data!X220), FALSE)</f>
        <v>0</v>
      </c>
      <c r="AI220" s="4" t="b">
        <f>IF(ISERROR(MATCH(data!Y220, rule_mapping!$D$2:$D$252, 0))=FALSE,TRUE, FALSE)</f>
        <v>0</v>
      </c>
      <c r="AJ220" s="4" t="b">
        <f>IFERROR(ISNUMBER(data!Z220), FALSE)</f>
        <v>0</v>
      </c>
      <c r="AK220" s="4" t="b">
        <f>IFERROR(ISNUMBER(data!AA220), FALSE)</f>
        <v>0</v>
      </c>
      <c r="AL220" s="4" t="b">
        <f>LEN(data!AB220)&lt;=90</f>
        <v>1</v>
      </c>
      <c r="AM220" s="4" t="b">
        <f>LEN(data!AC220)&gt;0</f>
        <v>0</v>
      </c>
      <c r="AN220" s="4" t="b">
        <f>LEN(data!AC220)&lt;=2000</f>
        <v>1</v>
      </c>
      <c r="AO220" s="4" t="b">
        <f>IF(LEN(data!AD220)=0,TRUE,IF(LEN(data!AD220)=5,TRUE,FALSE))</f>
        <v>1</v>
      </c>
      <c r="AP220" s="4" t="b">
        <f>LEN(data!AE220)&gt;0</f>
        <v>0</v>
      </c>
      <c r="AQ220" s="4" t="b">
        <f>LEN(data!AE220)=5</f>
        <v>0</v>
      </c>
      <c r="AR220" s="4" t="b">
        <f>ISERROR(MATCH(data!AF220, rule_mapping!$B$2:$B$3, 0))=FALSE</f>
        <v>0</v>
      </c>
      <c r="AS220" s="4" t="b">
        <f>ISERROR(MATCH(data!AG220, rule_mapping!$A$2:$A$8, 0))=FALSE</f>
        <v>0</v>
      </c>
      <c r="AT220" s="4" t="b">
        <f>LEN(data!AH220)&lt;=4</f>
        <v>1</v>
      </c>
      <c r="AU220" s="4" t="b">
        <f>LEN(data!AI220)&lt;=10</f>
        <v>1</v>
      </c>
      <c r="AV220" s="4" t="b">
        <f>LEN(data!AJ220)&lt;=35</f>
        <v>1</v>
      </c>
      <c r="AW220" s="4" t="b">
        <f>LEN(data!AK220)&lt;=20</f>
        <v>1</v>
      </c>
      <c r="AX220"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1" spans="1:50" ht="409.5" x14ac:dyDescent="0.15">
      <c r="A221" s="4" t="b">
        <f>OR(ISBLANK(data!B221), AND(B221:AW221))</f>
        <v>1</v>
      </c>
      <c r="B221" s="4" t="b">
        <f>AND(LEFT(TRIM(data!B221), 4)="OOLU", ISNUMBER(RIGHT(TRIM(data!B221), LEN(TRIM(data!B221))-4)+0))</f>
        <v>0</v>
      </c>
      <c r="C221" s="4" t="b">
        <f>LEN(data!C221)&gt;0</f>
        <v>0</v>
      </c>
      <c r="D221" s="4" t="b">
        <f>LEN(data!C221)&lt;=70</f>
        <v>1</v>
      </c>
      <c r="E221" s="4" t="b">
        <f>LEN(data!D221)&gt;0</f>
        <v>0</v>
      </c>
      <c r="F221" s="4" t="b">
        <f>LEN(data!D221)&lt;=140</f>
        <v>1</v>
      </c>
      <c r="G221" s="4" t="b">
        <f>LEN(data!E221)&gt;0</f>
        <v>0</v>
      </c>
      <c r="H221" s="4" t="b">
        <f>LEN(data!E221)&lt;=35</f>
        <v>1</v>
      </c>
      <c r="I221" s="4" t="b">
        <f>LEN(data!F221)=2</f>
        <v>0</v>
      </c>
      <c r="J221" s="4" t="b">
        <f>LEN(data!G221)&gt;0</f>
        <v>0</v>
      </c>
      <c r="K221" s="4" t="b">
        <f>LEN(data!G221)&lt;=60</f>
        <v>1</v>
      </c>
      <c r="L221" s="4" t="b">
        <f>LEN(data!I221)&gt;0</f>
        <v>0</v>
      </c>
      <c r="M221" s="4" t="b">
        <f>LEN(data!I221)&lt;=70</f>
        <v>1</v>
      </c>
      <c r="N221" s="4" t="b">
        <f>LEN(data!J221)&gt;0</f>
        <v>0</v>
      </c>
      <c r="O221" s="4" t="b">
        <f>LEN(data!J221)&lt;=140</f>
        <v>1</v>
      </c>
      <c r="P221" s="4" t="b">
        <f>LEN(data!K221)&gt;0</f>
        <v>0</v>
      </c>
      <c r="Q221" s="4" t="b">
        <f>LEN(data!K221)&lt;=35</f>
        <v>1</v>
      </c>
      <c r="R221" s="4" t="b">
        <f>LEN(data!L221)=2</f>
        <v>0</v>
      </c>
      <c r="S221" s="4" t="b">
        <f>LEN(data!M221)&gt;0</f>
        <v>0</v>
      </c>
      <c r="T221" s="4" t="b">
        <f>LEN(data!M221)&lt;=60</f>
        <v>1</v>
      </c>
      <c r="U221" s="4" t="b">
        <f>LEN(data!O221)&gt;0</f>
        <v>0</v>
      </c>
      <c r="V221" s="4" t="b">
        <f>LEN(data!O221)&lt;=70</f>
        <v>1</v>
      </c>
      <c r="W221" s="4" t="b">
        <f>LEN(data!P221)&gt;0</f>
        <v>0</v>
      </c>
      <c r="X221" s="4" t="b">
        <f>LEN(data!P221)&lt;=140</f>
        <v>1</v>
      </c>
      <c r="Y221" s="4" t="b">
        <f>LEN(data!Q221)&gt;0</f>
        <v>0</v>
      </c>
      <c r="Z221" s="4" t="b">
        <f>LEN(data!Q221)&lt;=35</f>
        <v>1</v>
      </c>
      <c r="AA221" s="4" t="b">
        <f>LEN(data!R221)=2</f>
        <v>0</v>
      </c>
      <c r="AB221" s="4" t="b">
        <f>LEN(data!S221)&gt;0</f>
        <v>0</v>
      </c>
      <c r="AC221" s="4" t="b">
        <f>LEN(data!S221)&lt;=120</f>
        <v>1</v>
      </c>
      <c r="AD221" s="4" t="b">
        <f>LEN(data!U221)=11</f>
        <v>0</v>
      </c>
      <c r="AE221" s="4" t="b">
        <f>AND(ISERROR(MATCH(data!V221, rule_mapping!$C$2:$C$325, 0))=FALSE, LEN(data!V221) &lt;= 4)</f>
        <v>0</v>
      </c>
      <c r="AF221" s="4" t="b">
        <f>LEN(data!W221)&gt;0</f>
        <v>0</v>
      </c>
      <c r="AG221" s="4" t="b">
        <f>LEN(data!W221)&lt;=20</f>
        <v>1</v>
      </c>
      <c r="AH221" s="4" t="b">
        <f xml:space="preserve"> IFERROR(ISNUMBER(data!X221), FALSE)</f>
        <v>0</v>
      </c>
      <c r="AI221" s="4" t="b">
        <f>IF(ISERROR(MATCH(data!Y221, rule_mapping!$D$2:$D$252, 0))=FALSE,TRUE, FALSE)</f>
        <v>0</v>
      </c>
      <c r="AJ221" s="4" t="b">
        <f>IFERROR(ISNUMBER(data!Z221), FALSE)</f>
        <v>0</v>
      </c>
      <c r="AK221" s="4" t="b">
        <f>IFERROR(ISNUMBER(data!AA221), FALSE)</f>
        <v>0</v>
      </c>
      <c r="AL221" s="4" t="b">
        <f>LEN(data!AB221)&lt;=90</f>
        <v>1</v>
      </c>
      <c r="AM221" s="4" t="b">
        <f>LEN(data!AC221)&gt;0</f>
        <v>0</v>
      </c>
      <c r="AN221" s="4" t="b">
        <f>LEN(data!AC221)&lt;=2000</f>
        <v>1</v>
      </c>
      <c r="AO221" s="4" t="b">
        <f>IF(LEN(data!AD221)=0,TRUE,IF(LEN(data!AD221)=5,TRUE,FALSE))</f>
        <v>1</v>
      </c>
      <c r="AP221" s="4" t="b">
        <f>LEN(data!AE221)&gt;0</f>
        <v>0</v>
      </c>
      <c r="AQ221" s="4" t="b">
        <f>LEN(data!AE221)=5</f>
        <v>0</v>
      </c>
      <c r="AR221" s="4" t="b">
        <f>ISERROR(MATCH(data!AF221, rule_mapping!$B$2:$B$3, 0))=FALSE</f>
        <v>0</v>
      </c>
      <c r="AS221" s="4" t="b">
        <f>ISERROR(MATCH(data!AG221, rule_mapping!$A$2:$A$8, 0))=FALSE</f>
        <v>0</v>
      </c>
      <c r="AT221" s="4" t="b">
        <f>LEN(data!AH221)&lt;=4</f>
        <v>1</v>
      </c>
      <c r="AU221" s="4" t="b">
        <f>LEN(data!AI221)&lt;=10</f>
        <v>1</v>
      </c>
      <c r="AV221" s="4" t="b">
        <f>LEN(data!AJ221)&lt;=35</f>
        <v>1</v>
      </c>
      <c r="AW221" s="4" t="b">
        <f>LEN(data!AK221)&lt;=20</f>
        <v>1</v>
      </c>
      <c r="AX221"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2" spans="1:50" ht="409.5" x14ac:dyDescent="0.15">
      <c r="A222" s="4" t="b">
        <f>OR(ISBLANK(data!B222), AND(B222:AW222))</f>
        <v>1</v>
      </c>
      <c r="B222" s="4" t="b">
        <f>AND(LEFT(TRIM(data!B222), 4)="OOLU", ISNUMBER(RIGHT(TRIM(data!B222), LEN(TRIM(data!B222))-4)+0))</f>
        <v>0</v>
      </c>
      <c r="C222" s="4" t="b">
        <f>LEN(data!C222)&gt;0</f>
        <v>0</v>
      </c>
      <c r="D222" s="4" t="b">
        <f>LEN(data!C222)&lt;=70</f>
        <v>1</v>
      </c>
      <c r="E222" s="4" t="b">
        <f>LEN(data!D222)&gt;0</f>
        <v>0</v>
      </c>
      <c r="F222" s="4" t="b">
        <f>LEN(data!D222)&lt;=140</f>
        <v>1</v>
      </c>
      <c r="G222" s="4" t="b">
        <f>LEN(data!E222)&gt;0</f>
        <v>0</v>
      </c>
      <c r="H222" s="4" t="b">
        <f>LEN(data!E222)&lt;=35</f>
        <v>1</v>
      </c>
      <c r="I222" s="4" t="b">
        <f>LEN(data!F222)=2</f>
        <v>0</v>
      </c>
      <c r="J222" s="4" t="b">
        <f>LEN(data!G222)&gt;0</f>
        <v>0</v>
      </c>
      <c r="K222" s="4" t="b">
        <f>LEN(data!G222)&lt;=60</f>
        <v>1</v>
      </c>
      <c r="L222" s="4" t="b">
        <f>LEN(data!I222)&gt;0</f>
        <v>0</v>
      </c>
      <c r="M222" s="4" t="b">
        <f>LEN(data!I222)&lt;=70</f>
        <v>1</v>
      </c>
      <c r="N222" s="4" t="b">
        <f>LEN(data!J222)&gt;0</f>
        <v>0</v>
      </c>
      <c r="O222" s="4" t="b">
        <f>LEN(data!J222)&lt;=140</f>
        <v>1</v>
      </c>
      <c r="P222" s="4" t="b">
        <f>LEN(data!K222)&gt;0</f>
        <v>0</v>
      </c>
      <c r="Q222" s="4" t="b">
        <f>LEN(data!K222)&lt;=35</f>
        <v>1</v>
      </c>
      <c r="R222" s="4" t="b">
        <f>LEN(data!L222)=2</f>
        <v>0</v>
      </c>
      <c r="S222" s="4" t="b">
        <f>LEN(data!M222)&gt;0</f>
        <v>0</v>
      </c>
      <c r="T222" s="4" t="b">
        <f>LEN(data!M222)&lt;=60</f>
        <v>1</v>
      </c>
      <c r="U222" s="4" t="b">
        <f>LEN(data!O222)&gt;0</f>
        <v>0</v>
      </c>
      <c r="V222" s="4" t="b">
        <f>LEN(data!O222)&lt;=70</f>
        <v>1</v>
      </c>
      <c r="W222" s="4" t="b">
        <f>LEN(data!P222)&gt;0</f>
        <v>0</v>
      </c>
      <c r="X222" s="4" t="b">
        <f>LEN(data!P222)&lt;=140</f>
        <v>1</v>
      </c>
      <c r="Y222" s="4" t="b">
        <f>LEN(data!Q222)&gt;0</f>
        <v>0</v>
      </c>
      <c r="Z222" s="4" t="b">
        <f>LEN(data!Q222)&lt;=35</f>
        <v>1</v>
      </c>
      <c r="AA222" s="4" t="b">
        <f>LEN(data!R222)=2</f>
        <v>0</v>
      </c>
      <c r="AB222" s="4" t="b">
        <f>LEN(data!S222)&gt;0</f>
        <v>0</v>
      </c>
      <c r="AC222" s="4" t="b">
        <f>LEN(data!S222)&lt;=120</f>
        <v>1</v>
      </c>
      <c r="AD222" s="4" t="b">
        <f>LEN(data!U222)=11</f>
        <v>0</v>
      </c>
      <c r="AE222" s="4" t="b">
        <f>AND(ISERROR(MATCH(data!V222, rule_mapping!$C$2:$C$325, 0))=FALSE, LEN(data!V222) &lt;= 4)</f>
        <v>0</v>
      </c>
      <c r="AF222" s="4" t="b">
        <f>LEN(data!W222)&gt;0</f>
        <v>0</v>
      </c>
      <c r="AG222" s="4" t="b">
        <f>LEN(data!W222)&lt;=20</f>
        <v>1</v>
      </c>
      <c r="AH222" s="4" t="b">
        <f xml:space="preserve"> IFERROR(ISNUMBER(data!X222), FALSE)</f>
        <v>0</v>
      </c>
      <c r="AI222" s="4" t="b">
        <f>IF(ISERROR(MATCH(data!Y222, rule_mapping!$D$2:$D$252, 0))=FALSE,TRUE, FALSE)</f>
        <v>0</v>
      </c>
      <c r="AJ222" s="4" t="b">
        <f>IFERROR(ISNUMBER(data!Z222), FALSE)</f>
        <v>0</v>
      </c>
      <c r="AK222" s="4" t="b">
        <f>IFERROR(ISNUMBER(data!AA222), FALSE)</f>
        <v>0</v>
      </c>
      <c r="AL222" s="4" t="b">
        <f>LEN(data!AB222)&lt;=90</f>
        <v>1</v>
      </c>
      <c r="AM222" s="4" t="b">
        <f>LEN(data!AC222)&gt;0</f>
        <v>0</v>
      </c>
      <c r="AN222" s="4" t="b">
        <f>LEN(data!AC222)&lt;=2000</f>
        <v>1</v>
      </c>
      <c r="AO222" s="4" t="b">
        <f>IF(LEN(data!AD222)=0,TRUE,IF(LEN(data!AD222)=5,TRUE,FALSE))</f>
        <v>1</v>
      </c>
      <c r="AP222" s="4" t="b">
        <f>LEN(data!AE222)&gt;0</f>
        <v>0</v>
      </c>
      <c r="AQ222" s="4" t="b">
        <f>LEN(data!AE222)=5</f>
        <v>0</v>
      </c>
      <c r="AR222" s="4" t="b">
        <f>ISERROR(MATCH(data!AF222, rule_mapping!$B$2:$B$3, 0))=FALSE</f>
        <v>0</v>
      </c>
      <c r="AS222" s="4" t="b">
        <f>ISERROR(MATCH(data!AG222, rule_mapping!$A$2:$A$8, 0))=FALSE</f>
        <v>0</v>
      </c>
      <c r="AT222" s="4" t="b">
        <f>LEN(data!AH222)&lt;=4</f>
        <v>1</v>
      </c>
      <c r="AU222" s="4" t="b">
        <f>LEN(data!AI222)&lt;=10</f>
        <v>1</v>
      </c>
      <c r="AV222" s="4" t="b">
        <f>LEN(data!AJ222)&lt;=35</f>
        <v>1</v>
      </c>
      <c r="AW222" s="4" t="b">
        <f>LEN(data!AK222)&lt;=20</f>
        <v>1</v>
      </c>
      <c r="AX222"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3" spans="1:50" ht="409.5" x14ac:dyDescent="0.15">
      <c r="A223" s="4" t="b">
        <f>OR(ISBLANK(data!B223), AND(B223:AW223))</f>
        <v>1</v>
      </c>
      <c r="B223" s="4" t="b">
        <f>AND(LEFT(TRIM(data!B223), 4)="OOLU", ISNUMBER(RIGHT(TRIM(data!B223), LEN(TRIM(data!B223))-4)+0))</f>
        <v>0</v>
      </c>
      <c r="C223" s="4" t="b">
        <f>LEN(data!C223)&gt;0</f>
        <v>0</v>
      </c>
      <c r="D223" s="4" t="b">
        <f>LEN(data!C223)&lt;=70</f>
        <v>1</v>
      </c>
      <c r="E223" s="4" t="b">
        <f>LEN(data!D223)&gt;0</f>
        <v>0</v>
      </c>
      <c r="F223" s="4" t="b">
        <f>LEN(data!D223)&lt;=140</f>
        <v>1</v>
      </c>
      <c r="G223" s="4" t="b">
        <f>LEN(data!E223)&gt;0</f>
        <v>0</v>
      </c>
      <c r="H223" s="4" t="b">
        <f>LEN(data!E223)&lt;=35</f>
        <v>1</v>
      </c>
      <c r="I223" s="4" t="b">
        <f>LEN(data!F223)=2</f>
        <v>0</v>
      </c>
      <c r="J223" s="4" t="b">
        <f>LEN(data!G223)&gt;0</f>
        <v>0</v>
      </c>
      <c r="K223" s="4" t="b">
        <f>LEN(data!G223)&lt;=60</f>
        <v>1</v>
      </c>
      <c r="L223" s="4" t="b">
        <f>LEN(data!I223)&gt;0</f>
        <v>0</v>
      </c>
      <c r="M223" s="4" t="b">
        <f>LEN(data!I223)&lt;=70</f>
        <v>1</v>
      </c>
      <c r="N223" s="4" t="b">
        <f>LEN(data!J223)&gt;0</f>
        <v>0</v>
      </c>
      <c r="O223" s="4" t="b">
        <f>LEN(data!J223)&lt;=140</f>
        <v>1</v>
      </c>
      <c r="P223" s="4" t="b">
        <f>LEN(data!K223)&gt;0</f>
        <v>0</v>
      </c>
      <c r="Q223" s="4" t="b">
        <f>LEN(data!K223)&lt;=35</f>
        <v>1</v>
      </c>
      <c r="R223" s="4" t="b">
        <f>LEN(data!L223)=2</f>
        <v>0</v>
      </c>
      <c r="S223" s="4" t="b">
        <f>LEN(data!M223)&gt;0</f>
        <v>0</v>
      </c>
      <c r="T223" s="4" t="b">
        <f>LEN(data!M223)&lt;=60</f>
        <v>1</v>
      </c>
      <c r="U223" s="4" t="b">
        <f>LEN(data!O223)&gt;0</f>
        <v>0</v>
      </c>
      <c r="V223" s="4" t="b">
        <f>LEN(data!O223)&lt;=70</f>
        <v>1</v>
      </c>
      <c r="W223" s="4" t="b">
        <f>LEN(data!P223)&gt;0</f>
        <v>0</v>
      </c>
      <c r="X223" s="4" t="b">
        <f>LEN(data!P223)&lt;=140</f>
        <v>1</v>
      </c>
      <c r="Y223" s="4" t="b">
        <f>LEN(data!Q223)&gt;0</f>
        <v>0</v>
      </c>
      <c r="Z223" s="4" t="b">
        <f>LEN(data!Q223)&lt;=35</f>
        <v>1</v>
      </c>
      <c r="AA223" s="4" t="b">
        <f>LEN(data!R223)=2</f>
        <v>0</v>
      </c>
      <c r="AB223" s="4" t="b">
        <f>LEN(data!S223)&gt;0</f>
        <v>0</v>
      </c>
      <c r="AC223" s="4" t="b">
        <f>LEN(data!S223)&lt;=120</f>
        <v>1</v>
      </c>
      <c r="AD223" s="4" t="b">
        <f>LEN(data!U223)=11</f>
        <v>0</v>
      </c>
      <c r="AE223" s="4" t="b">
        <f>AND(ISERROR(MATCH(data!V223, rule_mapping!$C$2:$C$325, 0))=FALSE, LEN(data!V223) &lt;= 4)</f>
        <v>0</v>
      </c>
      <c r="AF223" s="4" t="b">
        <f>LEN(data!W223)&gt;0</f>
        <v>0</v>
      </c>
      <c r="AG223" s="4" t="b">
        <f>LEN(data!W223)&lt;=20</f>
        <v>1</v>
      </c>
      <c r="AH223" s="4" t="b">
        <f xml:space="preserve"> IFERROR(ISNUMBER(data!X223), FALSE)</f>
        <v>0</v>
      </c>
      <c r="AI223" s="4" t="b">
        <f>IF(ISERROR(MATCH(data!Y223, rule_mapping!$D$2:$D$252, 0))=FALSE,TRUE, FALSE)</f>
        <v>0</v>
      </c>
      <c r="AJ223" s="4" t="b">
        <f>IFERROR(ISNUMBER(data!Z223), FALSE)</f>
        <v>0</v>
      </c>
      <c r="AK223" s="4" t="b">
        <f>IFERROR(ISNUMBER(data!AA223), FALSE)</f>
        <v>0</v>
      </c>
      <c r="AL223" s="4" t="b">
        <f>LEN(data!AB223)&lt;=90</f>
        <v>1</v>
      </c>
      <c r="AM223" s="4" t="b">
        <f>LEN(data!AC223)&gt;0</f>
        <v>0</v>
      </c>
      <c r="AN223" s="4" t="b">
        <f>LEN(data!AC223)&lt;=2000</f>
        <v>1</v>
      </c>
      <c r="AO223" s="4" t="b">
        <f>IF(LEN(data!AD223)=0,TRUE,IF(LEN(data!AD223)=5,TRUE,FALSE))</f>
        <v>1</v>
      </c>
      <c r="AP223" s="4" t="b">
        <f>LEN(data!AE223)&gt;0</f>
        <v>0</v>
      </c>
      <c r="AQ223" s="4" t="b">
        <f>LEN(data!AE223)=5</f>
        <v>0</v>
      </c>
      <c r="AR223" s="4" t="b">
        <f>ISERROR(MATCH(data!AF223, rule_mapping!$B$2:$B$3, 0))=FALSE</f>
        <v>0</v>
      </c>
      <c r="AS223" s="4" t="b">
        <f>ISERROR(MATCH(data!AG223, rule_mapping!$A$2:$A$8, 0))=FALSE</f>
        <v>0</v>
      </c>
      <c r="AT223" s="4" t="b">
        <f>LEN(data!AH223)&lt;=4</f>
        <v>1</v>
      </c>
      <c r="AU223" s="4" t="b">
        <f>LEN(data!AI223)&lt;=10</f>
        <v>1</v>
      </c>
      <c r="AV223" s="4" t="b">
        <f>LEN(data!AJ223)&lt;=35</f>
        <v>1</v>
      </c>
      <c r="AW223" s="4" t="b">
        <f>LEN(data!AK223)&lt;=20</f>
        <v>1</v>
      </c>
      <c r="AX223"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4" spans="1:50" ht="409.5" x14ac:dyDescent="0.15">
      <c r="A224" s="4" t="b">
        <f>OR(ISBLANK(data!B224), AND(B224:AW224))</f>
        <v>1</v>
      </c>
      <c r="B224" s="4" t="b">
        <f>AND(LEFT(TRIM(data!B224), 4)="OOLU", ISNUMBER(RIGHT(TRIM(data!B224), LEN(TRIM(data!B224))-4)+0))</f>
        <v>0</v>
      </c>
      <c r="C224" s="4" t="b">
        <f>LEN(data!C224)&gt;0</f>
        <v>0</v>
      </c>
      <c r="D224" s="4" t="b">
        <f>LEN(data!C224)&lt;=70</f>
        <v>1</v>
      </c>
      <c r="E224" s="4" t="b">
        <f>LEN(data!D224)&gt;0</f>
        <v>0</v>
      </c>
      <c r="F224" s="4" t="b">
        <f>LEN(data!D224)&lt;=140</f>
        <v>1</v>
      </c>
      <c r="G224" s="4" t="b">
        <f>LEN(data!E224)&gt;0</f>
        <v>0</v>
      </c>
      <c r="H224" s="4" t="b">
        <f>LEN(data!E224)&lt;=35</f>
        <v>1</v>
      </c>
      <c r="I224" s="4" t="b">
        <f>LEN(data!F224)=2</f>
        <v>0</v>
      </c>
      <c r="J224" s="4" t="b">
        <f>LEN(data!G224)&gt;0</f>
        <v>0</v>
      </c>
      <c r="K224" s="4" t="b">
        <f>LEN(data!G224)&lt;=60</f>
        <v>1</v>
      </c>
      <c r="L224" s="4" t="b">
        <f>LEN(data!I224)&gt;0</f>
        <v>0</v>
      </c>
      <c r="M224" s="4" t="b">
        <f>LEN(data!I224)&lt;=70</f>
        <v>1</v>
      </c>
      <c r="N224" s="4" t="b">
        <f>LEN(data!J224)&gt;0</f>
        <v>0</v>
      </c>
      <c r="O224" s="4" t="b">
        <f>LEN(data!J224)&lt;=140</f>
        <v>1</v>
      </c>
      <c r="P224" s="4" t="b">
        <f>LEN(data!K224)&gt;0</f>
        <v>0</v>
      </c>
      <c r="Q224" s="4" t="b">
        <f>LEN(data!K224)&lt;=35</f>
        <v>1</v>
      </c>
      <c r="R224" s="4" t="b">
        <f>LEN(data!L224)=2</f>
        <v>0</v>
      </c>
      <c r="S224" s="4" t="b">
        <f>LEN(data!M224)&gt;0</f>
        <v>0</v>
      </c>
      <c r="T224" s="4" t="b">
        <f>LEN(data!M224)&lt;=60</f>
        <v>1</v>
      </c>
      <c r="U224" s="4" t="b">
        <f>LEN(data!O224)&gt;0</f>
        <v>0</v>
      </c>
      <c r="V224" s="4" t="b">
        <f>LEN(data!O224)&lt;=70</f>
        <v>1</v>
      </c>
      <c r="W224" s="4" t="b">
        <f>LEN(data!P224)&gt;0</f>
        <v>0</v>
      </c>
      <c r="X224" s="4" t="b">
        <f>LEN(data!P224)&lt;=140</f>
        <v>1</v>
      </c>
      <c r="Y224" s="4" t="b">
        <f>LEN(data!Q224)&gt;0</f>
        <v>0</v>
      </c>
      <c r="Z224" s="4" t="b">
        <f>LEN(data!Q224)&lt;=35</f>
        <v>1</v>
      </c>
      <c r="AA224" s="4" t="b">
        <f>LEN(data!R224)=2</f>
        <v>0</v>
      </c>
      <c r="AB224" s="4" t="b">
        <f>LEN(data!S224)&gt;0</f>
        <v>0</v>
      </c>
      <c r="AC224" s="4" t="b">
        <f>LEN(data!S224)&lt;=120</f>
        <v>1</v>
      </c>
      <c r="AD224" s="4" t="b">
        <f>LEN(data!U224)=11</f>
        <v>0</v>
      </c>
      <c r="AE224" s="4" t="b">
        <f>AND(ISERROR(MATCH(data!V224, rule_mapping!$C$2:$C$325, 0))=FALSE, LEN(data!V224) &lt;= 4)</f>
        <v>0</v>
      </c>
      <c r="AF224" s="4" t="b">
        <f>LEN(data!W224)&gt;0</f>
        <v>0</v>
      </c>
      <c r="AG224" s="4" t="b">
        <f>LEN(data!W224)&lt;=20</f>
        <v>1</v>
      </c>
      <c r="AH224" s="4" t="b">
        <f xml:space="preserve"> IFERROR(ISNUMBER(data!X224), FALSE)</f>
        <v>0</v>
      </c>
      <c r="AI224" s="4" t="b">
        <f>IF(ISERROR(MATCH(data!Y224, rule_mapping!$D$2:$D$252, 0))=FALSE,TRUE, FALSE)</f>
        <v>0</v>
      </c>
      <c r="AJ224" s="4" t="b">
        <f>IFERROR(ISNUMBER(data!Z224), FALSE)</f>
        <v>0</v>
      </c>
      <c r="AK224" s="4" t="b">
        <f>IFERROR(ISNUMBER(data!AA224), FALSE)</f>
        <v>0</v>
      </c>
      <c r="AL224" s="4" t="b">
        <f>LEN(data!AB224)&lt;=90</f>
        <v>1</v>
      </c>
      <c r="AM224" s="4" t="b">
        <f>LEN(data!AC224)&gt;0</f>
        <v>0</v>
      </c>
      <c r="AN224" s="4" t="b">
        <f>LEN(data!AC224)&lt;=2000</f>
        <v>1</v>
      </c>
      <c r="AO224" s="4" t="b">
        <f>IF(LEN(data!AD224)=0,TRUE,IF(LEN(data!AD224)=5,TRUE,FALSE))</f>
        <v>1</v>
      </c>
      <c r="AP224" s="4" t="b">
        <f>LEN(data!AE224)&gt;0</f>
        <v>0</v>
      </c>
      <c r="AQ224" s="4" t="b">
        <f>LEN(data!AE224)=5</f>
        <v>0</v>
      </c>
      <c r="AR224" s="4" t="b">
        <f>ISERROR(MATCH(data!AF224, rule_mapping!$B$2:$B$3, 0))=FALSE</f>
        <v>0</v>
      </c>
      <c r="AS224" s="4" t="b">
        <f>ISERROR(MATCH(data!AG224, rule_mapping!$A$2:$A$8, 0))=FALSE</f>
        <v>0</v>
      </c>
      <c r="AT224" s="4" t="b">
        <f>LEN(data!AH224)&lt;=4</f>
        <v>1</v>
      </c>
      <c r="AU224" s="4" t="b">
        <f>LEN(data!AI224)&lt;=10</f>
        <v>1</v>
      </c>
      <c r="AV224" s="4" t="b">
        <f>LEN(data!AJ224)&lt;=35</f>
        <v>1</v>
      </c>
      <c r="AW224" s="4" t="b">
        <f>LEN(data!AK224)&lt;=20</f>
        <v>1</v>
      </c>
      <c r="AX224"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5" spans="1:50" ht="409.5" x14ac:dyDescent="0.15">
      <c r="A225" s="4" t="b">
        <f>OR(ISBLANK(data!B225), AND(B225:AW225))</f>
        <v>1</v>
      </c>
      <c r="B225" s="4" t="b">
        <f>AND(LEFT(TRIM(data!B225), 4)="OOLU", ISNUMBER(RIGHT(TRIM(data!B225), LEN(TRIM(data!B225))-4)+0))</f>
        <v>0</v>
      </c>
      <c r="C225" s="4" t="b">
        <f>LEN(data!C225)&gt;0</f>
        <v>0</v>
      </c>
      <c r="D225" s="4" t="b">
        <f>LEN(data!C225)&lt;=70</f>
        <v>1</v>
      </c>
      <c r="E225" s="4" t="b">
        <f>LEN(data!D225)&gt;0</f>
        <v>0</v>
      </c>
      <c r="F225" s="4" t="b">
        <f>LEN(data!D225)&lt;=140</f>
        <v>1</v>
      </c>
      <c r="G225" s="4" t="b">
        <f>LEN(data!E225)&gt;0</f>
        <v>0</v>
      </c>
      <c r="H225" s="4" t="b">
        <f>LEN(data!E225)&lt;=35</f>
        <v>1</v>
      </c>
      <c r="I225" s="4" t="b">
        <f>LEN(data!F225)=2</f>
        <v>0</v>
      </c>
      <c r="J225" s="4" t="b">
        <f>LEN(data!G225)&gt;0</f>
        <v>0</v>
      </c>
      <c r="K225" s="4" t="b">
        <f>LEN(data!G225)&lt;=60</f>
        <v>1</v>
      </c>
      <c r="L225" s="4" t="b">
        <f>LEN(data!I225)&gt;0</f>
        <v>0</v>
      </c>
      <c r="M225" s="4" t="b">
        <f>LEN(data!I225)&lt;=70</f>
        <v>1</v>
      </c>
      <c r="N225" s="4" t="b">
        <f>LEN(data!J225)&gt;0</f>
        <v>0</v>
      </c>
      <c r="O225" s="4" t="b">
        <f>LEN(data!J225)&lt;=140</f>
        <v>1</v>
      </c>
      <c r="P225" s="4" t="b">
        <f>LEN(data!K225)&gt;0</f>
        <v>0</v>
      </c>
      <c r="Q225" s="4" t="b">
        <f>LEN(data!K225)&lt;=35</f>
        <v>1</v>
      </c>
      <c r="R225" s="4" t="b">
        <f>LEN(data!L225)=2</f>
        <v>0</v>
      </c>
      <c r="S225" s="4" t="b">
        <f>LEN(data!M225)&gt;0</f>
        <v>0</v>
      </c>
      <c r="T225" s="4" t="b">
        <f>LEN(data!M225)&lt;=60</f>
        <v>1</v>
      </c>
      <c r="U225" s="4" t="b">
        <f>LEN(data!O225)&gt;0</f>
        <v>0</v>
      </c>
      <c r="V225" s="4" t="b">
        <f>LEN(data!O225)&lt;=70</f>
        <v>1</v>
      </c>
      <c r="W225" s="4" t="b">
        <f>LEN(data!P225)&gt;0</f>
        <v>0</v>
      </c>
      <c r="X225" s="4" t="b">
        <f>LEN(data!P225)&lt;=140</f>
        <v>1</v>
      </c>
      <c r="Y225" s="4" t="b">
        <f>LEN(data!Q225)&gt;0</f>
        <v>0</v>
      </c>
      <c r="Z225" s="4" t="b">
        <f>LEN(data!Q225)&lt;=35</f>
        <v>1</v>
      </c>
      <c r="AA225" s="4" t="b">
        <f>LEN(data!R225)=2</f>
        <v>0</v>
      </c>
      <c r="AB225" s="4" t="b">
        <f>LEN(data!S225)&gt;0</f>
        <v>0</v>
      </c>
      <c r="AC225" s="4" t="b">
        <f>LEN(data!S225)&lt;=120</f>
        <v>1</v>
      </c>
      <c r="AD225" s="4" t="b">
        <f>LEN(data!U225)=11</f>
        <v>0</v>
      </c>
      <c r="AE225" s="4" t="b">
        <f>AND(ISERROR(MATCH(data!V225, rule_mapping!$C$2:$C$325, 0))=FALSE, LEN(data!V225) &lt;= 4)</f>
        <v>0</v>
      </c>
      <c r="AF225" s="4" t="b">
        <f>LEN(data!W225)&gt;0</f>
        <v>0</v>
      </c>
      <c r="AG225" s="4" t="b">
        <f>LEN(data!W225)&lt;=20</f>
        <v>1</v>
      </c>
      <c r="AH225" s="4" t="b">
        <f xml:space="preserve"> IFERROR(ISNUMBER(data!X225), FALSE)</f>
        <v>0</v>
      </c>
      <c r="AI225" s="4" t="b">
        <f>IF(ISERROR(MATCH(data!Y225, rule_mapping!$D$2:$D$252, 0))=FALSE,TRUE, FALSE)</f>
        <v>0</v>
      </c>
      <c r="AJ225" s="4" t="b">
        <f>IFERROR(ISNUMBER(data!Z225), FALSE)</f>
        <v>0</v>
      </c>
      <c r="AK225" s="4" t="b">
        <f>IFERROR(ISNUMBER(data!AA225), FALSE)</f>
        <v>0</v>
      </c>
      <c r="AL225" s="4" t="b">
        <f>LEN(data!AB225)&lt;=90</f>
        <v>1</v>
      </c>
      <c r="AM225" s="4" t="b">
        <f>LEN(data!AC225)&gt;0</f>
        <v>0</v>
      </c>
      <c r="AN225" s="4" t="b">
        <f>LEN(data!AC225)&lt;=2000</f>
        <v>1</v>
      </c>
      <c r="AO225" s="4" t="b">
        <f>IF(LEN(data!AD225)=0,TRUE,IF(LEN(data!AD225)=5,TRUE,FALSE))</f>
        <v>1</v>
      </c>
      <c r="AP225" s="4" t="b">
        <f>LEN(data!AE225)&gt;0</f>
        <v>0</v>
      </c>
      <c r="AQ225" s="4" t="b">
        <f>LEN(data!AE225)=5</f>
        <v>0</v>
      </c>
      <c r="AR225" s="4" t="b">
        <f>ISERROR(MATCH(data!AF225, rule_mapping!$B$2:$B$3, 0))=FALSE</f>
        <v>0</v>
      </c>
      <c r="AS225" s="4" t="b">
        <f>ISERROR(MATCH(data!AG225, rule_mapping!$A$2:$A$8, 0))=FALSE</f>
        <v>0</v>
      </c>
      <c r="AT225" s="4" t="b">
        <f>LEN(data!AH225)&lt;=4</f>
        <v>1</v>
      </c>
      <c r="AU225" s="4" t="b">
        <f>LEN(data!AI225)&lt;=10</f>
        <v>1</v>
      </c>
      <c r="AV225" s="4" t="b">
        <f>LEN(data!AJ225)&lt;=35</f>
        <v>1</v>
      </c>
      <c r="AW225" s="4" t="b">
        <f>LEN(data!AK225)&lt;=20</f>
        <v>1</v>
      </c>
      <c r="AX225"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6" spans="1:50" ht="409.5" x14ac:dyDescent="0.15">
      <c r="A226" s="4" t="b">
        <f>OR(ISBLANK(data!B226), AND(B226:AW226))</f>
        <v>1</v>
      </c>
      <c r="B226" s="4" t="b">
        <f>AND(LEFT(TRIM(data!B226), 4)="OOLU", ISNUMBER(RIGHT(TRIM(data!B226), LEN(TRIM(data!B226))-4)+0))</f>
        <v>0</v>
      </c>
      <c r="C226" s="4" t="b">
        <f>LEN(data!C226)&gt;0</f>
        <v>0</v>
      </c>
      <c r="D226" s="4" t="b">
        <f>LEN(data!C226)&lt;=70</f>
        <v>1</v>
      </c>
      <c r="E226" s="4" t="b">
        <f>LEN(data!D226)&gt;0</f>
        <v>0</v>
      </c>
      <c r="F226" s="4" t="b">
        <f>LEN(data!D226)&lt;=140</f>
        <v>1</v>
      </c>
      <c r="G226" s="4" t="b">
        <f>LEN(data!E226)&gt;0</f>
        <v>0</v>
      </c>
      <c r="H226" s="4" t="b">
        <f>LEN(data!E226)&lt;=35</f>
        <v>1</v>
      </c>
      <c r="I226" s="4" t="b">
        <f>LEN(data!F226)=2</f>
        <v>0</v>
      </c>
      <c r="J226" s="4" t="b">
        <f>LEN(data!G226)&gt;0</f>
        <v>0</v>
      </c>
      <c r="K226" s="4" t="b">
        <f>LEN(data!G226)&lt;=60</f>
        <v>1</v>
      </c>
      <c r="L226" s="4" t="b">
        <f>LEN(data!I226)&gt;0</f>
        <v>0</v>
      </c>
      <c r="M226" s="4" t="b">
        <f>LEN(data!I226)&lt;=70</f>
        <v>1</v>
      </c>
      <c r="N226" s="4" t="b">
        <f>LEN(data!J226)&gt;0</f>
        <v>0</v>
      </c>
      <c r="O226" s="4" t="b">
        <f>LEN(data!J226)&lt;=140</f>
        <v>1</v>
      </c>
      <c r="P226" s="4" t="b">
        <f>LEN(data!K226)&gt;0</f>
        <v>0</v>
      </c>
      <c r="Q226" s="4" t="b">
        <f>LEN(data!K226)&lt;=35</f>
        <v>1</v>
      </c>
      <c r="R226" s="4" t="b">
        <f>LEN(data!L226)=2</f>
        <v>0</v>
      </c>
      <c r="S226" s="4" t="b">
        <f>LEN(data!M226)&gt;0</f>
        <v>0</v>
      </c>
      <c r="T226" s="4" t="b">
        <f>LEN(data!M226)&lt;=60</f>
        <v>1</v>
      </c>
      <c r="U226" s="4" t="b">
        <f>LEN(data!O226)&gt;0</f>
        <v>0</v>
      </c>
      <c r="V226" s="4" t="b">
        <f>LEN(data!O226)&lt;=70</f>
        <v>1</v>
      </c>
      <c r="W226" s="4" t="b">
        <f>LEN(data!P226)&gt;0</f>
        <v>0</v>
      </c>
      <c r="X226" s="4" t="b">
        <f>LEN(data!P226)&lt;=140</f>
        <v>1</v>
      </c>
      <c r="Y226" s="4" t="b">
        <f>LEN(data!Q226)&gt;0</f>
        <v>0</v>
      </c>
      <c r="Z226" s="4" t="b">
        <f>LEN(data!Q226)&lt;=35</f>
        <v>1</v>
      </c>
      <c r="AA226" s="4" t="b">
        <f>LEN(data!R226)=2</f>
        <v>0</v>
      </c>
      <c r="AB226" s="4" t="b">
        <f>LEN(data!S226)&gt;0</f>
        <v>0</v>
      </c>
      <c r="AC226" s="4" t="b">
        <f>LEN(data!S226)&lt;=120</f>
        <v>1</v>
      </c>
      <c r="AD226" s="4" t="b">
        <f>LEN(data!U226)=11</f>
        <v>0</v>
      </c>
      <c r="AE226" s="4" t="b">
        <f>AND(ISERROR(MATCH(data!V226, rule_mapping!$C$2:$C$325, 0))=FALSE, LEN(data!V226) &lt;= 4)</f>
        <v>0</v>
      </c>
      <c r="AF226" s="4" t="b">
        <f>LEN(data!W226)&gt;0</f>
        <v>0</v>
      </c>
      <c r="AG226" s="4" t="b">
        <f>LEN(data!W226)&lt;=20</f>
        <v>1</v>
      </c>
      <c r="AH226" s="4" t="b">
        <f xml:space="preserve"> IFERROR(ISNUMBER(data!X226), FALSE)</f>
        <v>0</v>
      </c>
      <c r="AI226" s="4" t="b">
        <f>IF(ISERROR(MATCH(data!Y226, rule_mapping!$D$2:$D$252, 0))=FALSE,TRUE, FALSE)</f>
        <v>0</v>
      </c>
      <c r="AJ226" s="4" t="b">
        <f>IFERROR(ISNUMBER(data!Z226), FALSE)</f>
        <v>0</v>
      </c>
      <c r="AK226" s="4" t="b">
        <f>IFERROR(ISNUMBER(data!AA226), FALSE)</f>
        <v>0</v>
      </c>
      <c r="AL226" s="4" t="b">
        <f>LEN(data!AB226)&lt;=90</f>
        <v>1</v>
      </c>
      <c r="AM226" s="4" t="b">
        <f>LEN(data!AC226)&gt;0</f>
        <v>0</v>
      </c>
      <c r="AN226" s="4" t="b">
        <f>LEN(data!AC226)&lt;=2000</f>
        <v>1</v>
      </c>
      <c r="AO226" s="4" t="b">
        <f>IF(LEN(data!AD226)=0,TRUE,IF(LEN(data!AD226)=5,TRUE,FALSE))</f>
        <v>1</v>
      </c>
      <c r="AP226" s="4" t="b">
        <f>LEN(data!AE226)&gt;0</f>
        <v>0</v>
      </c>
      <c r="AQ226" s="4" t="b">
        <f>LEN(data!AE226)=5</f>
        <v>0</v>
      </c>
      <c r="AR226" s="4" t="b">
        <f>ISERROR(MATCH(data!AF226, rule_mapping!$B$2:$B$3, 0))=FALSE</f>
        <v>0</v>
      </c>
      <c r="AS226" s="4" t="b">
        <f>ISERROR(MATCH(data!AG226, rule_mapping!$A$2:$A$8, 0))=FALSE</f>
        <v>0</v>
      </c>
      <c r="AT226" s="4" t="b">
        <f>LEN(data!AH226)&lt;=4</f>
        <v>1</v>
      </c>
      <c r="AU226" s="4" t="b">
        <f>LEN(data!AI226)&lt;=10</f>
        <v>1</v>
      </c>
      <c r="AV226" s="4" t="b">
        <f>LEN(data!AJ226)&lt;=35</f>
        <v>1</v>
      </c>
      <c r="AW226" s="4" t="b">
        <f>LEN(data!AK226)&lt;=20</f>
        <v>1</v>
      </c>
      <c r="AX226"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7" spans="1:50" ht="409.5" x14ac:dyDescent="0.15">
      <c r="A227" s="4" t="b">
        <f>OR(ISBLANK(data!B227), AND(B227:AW227))</f>
        <v>1</v>
      </c>
      <c r="B227" s="4" t="b">
        <f>AND(LEFT(TRIM(data!B227), 4)="OOLU", ISNUMBER(RIGHT(TRIM(data!B227), LEN(TRIM(data!B227))-4)+0))</f>
        <v>0</v>
      </c>
      <c r="C227" s="4" t="b">
        <f>LEN(data!C227)&gt;0</f>
        <v>0</v>
      </c>
      <c r="D227" s="4" t="b">
        <f>LEN(data!C227)&lt;=70</f>
        <v>1</v>
      </c>
      <c r="E227" s="4" t="b">
        <f>LEN(data!D227)&gt;0</f>
        <v>0</v>
      </c>
      <c r="F227" s="4" t="b">
        <f>LEN(data!D227)&lt;=140</f>
        <v>1</v>
      </c>
      <c r="G227" s="4" t="b">
        <f>LEN(data!E227)&gt;0</f>
        <v>0</v>
      </c>
      <c r="H227" s="4" t="b">
        <f>LEN(data!E227)&lt;=35</f>
        <v>1</v>
      </c>
      <c r="I227" s="4" t="b">
        <f>LEN(data!F227)=2</f>
        <v>0</v>
      </c>
      <c r="J227" s="4" t="b">
        <f>LEN(data!G227)&gt;0</f>
        <v>0</v>
      </c>
      <c r="K227" s="4" t="b">
        <f>LEN(data!G227)&lt;=60</f>
        <v>1</v>
      </c>
      <c r="L227" s="4" t="b">
        <f>LEN(data!I227)&gt;0</f>
        <v>0</v>
      </c>
      <c r="M227" s="4" t="b">
        <f>LEN(data!I227)&lt;=70</f>
        <v>1</v>
      </c>
      <c r="N227" s="4" t="b">
        <f>LEN(data!J227)&gt;0</f>
        <v>0</v>
      </c>
      <c r="O227" s="4" t="b">
        <f>LEN(data!J227)&lt;=140</f>
        <v>1</v>
      </c>
      <c r="P227" s="4" t="b">
        <f>LEN(data!K227)&gt;0</f>
        <v>0</v>
      </c>
      <c r="Q227" s="4" t="b">
        <f>LEN(data!K227)&lt;=35</f>
        <v>1</v>
      </c>
      <c r="R227" s="4" t="b">
        <f>LEN(data!L227)=2</f>
        <v>0</v>
      </c>
      <c r="S227" s="4" t="b">
        <f>LEN(data!M227)&gt;0</f>
        <v>0</v>
      </c>
      <c r="T227" s="4" t="b">
        <f>LEN(data!M227)&lt;=60</f>
        <v>1</v>
      </c>
      <c r="U227" s="4" t="b">
        <f>LEN(data!O227)&gt;0</f>
        <v>0</v>
      </c>
      <c r="V227" s="4" t="b">
        <f>LEN(data!O227)&lt;=70</f>
        <v>1</v>
      </c>
      <c r="W227" s="4" t="b">
        <f>LEN(data!P227)&gt;0</f>
        <v>0</v>
      </c>
      <c r="X227" s="4" t="b">
        <f>LEN(data!P227)&lt;=140</f>
        <v>1</v>
      </c>
      <c r="Y227" s="4" t="b">
        <f>LEN(data!Q227)&gt;0</f>
        <v>0</v>
      </c>
      <c r="Z227" s="4" t="b">
        <f>LEN(data!Q227)&lt;=35</f>
        <v>1</v>
      </c>
      <c r="AA227" s="4" t="b">
        <f>LEN(data!R227)=2</f>
        <v>0</v>
      </c>
      <c r="AB227" s="4" t="b">
        <f>LEN(data!S227)&gt;0</f>
        <v>0</v>
      </c>
      <c r="AC227" s="4" t="b">
        <f>LEN(data!S227)&lt;=120</f>
        <v>1</v>
      </c>
      <c r="AD227" s="4" t="b">
        <f>LEN(data!U227)=11</f>
        <v>0</v>
      </c>
      <c r="AE227" s="4" t="b">
        <f>AND(ISERROR(MATCH(data!V227, rule_mapping!$C$2:$C$325, 0))=FALSE, LEN(data!V227) &lt;= 4)</f>
        <v>0</v>
      </c>
      <c r="AF227" s="4" t="b">
        <f>LEN(data!W227)&gt;0</f>
        <v>0</v>
      </c>
      <c r="AG227" s="4" t="b">
        <f>LEN(data!W227)&lt;=20</f>
        <v>1</v>
      </c>
      <c r="AH227" s="4" t="b">
        <f xml:space="preserve"> IFERROR(ISNUMBER(data!X227), FALSE)</f>
        <v>0</v>
      </c>
      <c r="AI227" s="4" t="b">
        <f>IF(ISERROR(MATCH(data!Y227, rule_mapping!$D$2:$D$252, 0))=FALSE,TRUE, FALSE)</f>
        <v>0</v>
      </c>
      <c r="AJ227" s="4" t="b">
        <f>IFERROR(ISNUMBER(data!Z227), FALSE)</f>
        <v>0</v>
      </c>
      <c r="AK227" s="4" t="b">
        <f>IFERROR(ISNUMBER(data!AA227), FALSE)</f>
        <v>0</v>
      </c>
      <c r="AL227" s="4" t="b">
        <f>LEN(data!AB227)&lt;=90</f>
        <v>1</v>
      </c>
      <c r="AM227" s="4" t="b">
        <f>LEN(data!AC227)&gt;0</f>
        <v>0</v>
      </c>
      <c r="AN227" s="4" t="b">
        <f>LEN(data!AC227)&lt;=2000</f>
        <v>1</v>
      </c>
      <c r="AO227" s="4" t="b">
        <f>IF(LEN(data!AD227)=0,TRUE,IF(LEN(data!AD227)=5,TRUE,FALSE))</f>
        <v>1</v>
      </c>
      <c r="AP227" s="4" t="b">
        <f>LEN(data!AE227)&gt;0</f>
        <v>0</v>
      </c>
      <c r="AQ227" s="4" t="b">
        <f>LEN(data!AE227)=5</f>
        <v>0</v>
      </c>
      <c r="AR227" s="4" t="b">
        <f>ISERROR(MATCH(data!AF227, rule_mapping!$B$2:$B$3, 0))=FALSE</f>
        <v>0</v>
      </c>
      <c r="AS227" s="4" t="b">
        <f>ISERROR(MATCH(data!AG227, rule_mapping!$A$2:$A$8, 0))=FALSE</f>
        <v>0</v>
      </c>
      <c r="AT227" s="4" t="b">
        <f>LEN(data!AH227)&lt;=4</f>
        <v>1</v>
      </c>
      <c r="AU227" s="4" t="b">
        <f>LEN(data!AI227)&lt;=10</f>
        <v>1</v>
      </c>
      <c r="AV227" s="4" t="b">
        <f>LEN(data!AJ227)&lt;=35</f>
        <v>1</v>
      </c>
      <c r="AW227" s="4" t="b">
        <f>LEN(data!AK227)&lt;=20</f>
        <v>1</v>
      </c>
      <c r="AX227"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8" spans="1:50" ht="409.5" x14ac:dyDescent="0.15">
      <c r="A228" s="4" t="b">
        <f>OR(ISBLANK(data!B228), AND(B228:AW228))</f>
        <v>1</v>
      </c>
      <c r="B228" s="4" t="b">
        <f>AND(LEFT(TRIM(data!B228), 4)="OOLU", ISNUMBER(RIGHT(TRIM(data!B228), LEN(TRIM(data!B228))-4)+0))</f>
        <v>0</v>
      </c>
      <c r="C228" s="4" t="b">
        <f>LEN(data!C228)&gt;0</f>
        <v>0</v>
      </c>
      <c r="D228" s="4" t="b">
        <f>LEN(data!C228)&lt;=70</f>
        <v>1</v>
      </c>
      <c r="E228" s="4" t="b">
        <f>LEN(data!D228)&gt;0</f>
        <v>0</v>
      </c>
      <c r="F228" s="4" t="b">
        <f>LEN(data!D228)&lt;=140</f>
        <v>1</v>
      </c>
      <c r="G228" s="4" t="b">
        <f>LEN(data!E228)&gt;0</f>
        <v>0</v>
      </c>
      <c r="H228" s="4" t="b">
        <f>LEN(data!E228)&lt;=35</f>
        <v>1</v>
      </c>
      <c r="I228" s="4" t="b">
        <f>LEN(data!F228)=2</f>
        <v>0</v>
      </c>
      <c r="J228" s="4" t="b">
        <f>LEN(data!G228)&gt;0</f>
        <v>0</v>
      </c>
      <c r="K228" s="4" t="b">
        <f>LEN(data!G228)&lt;=60</f>
        <v>1</v>
      </c>
      <c r="L228" s="4" t="b">
        <f>LEN(data!I228)&gt;0</f>
        <v>0</v>
      </c>
      <c r="M228" s="4" t="b">
        <f>LEN(data!I228)&lt;=70</f>
        <v>1</v>
      </c>
      <c r="N228" s="4" t="b">
        <f>LEN(data!J228)&gt;0</f>
        <v>0</v>
      </c>
      <c r="O228" s="4" t="b">
        <f>LEN(data!J228)&lt;=140</f>
        <v>1</v>
      </c>
      <c r="P228" s="4" t="b">
        <f>LEN(data!K228)&gt;0</f>
        <v>0</v>
      </c>
      <c r="Q228" s="4" t="b">
        <f>LEN(data!K228)&lt;=35</f>
        <v>1</v>
      </c>
      <c r="R228" s="4" t="b">
        <f>LEN(data!L228)=2</f>
        <v>0</v>
      </c>
      <c r="S228" s="4" t="b">
        <f>LEN(data!M228)&gt;0</f>
        <v>0</v>
      </c>
      <c r="T228" s="4" t="b">
        <f>LEN(data!M228)&lt;=60</f>
        <v>1</v>
      </c>
      <c r="U228" s="4" t="b">
        <f>LEN(data!O228)&gt;0</f>
        <v>0</v>
      </c>
      <c r="V228" s="4" t="b">
        <f>LEN(data!O228)&lt;=70</f>
        <v>1</v>
      </c>
      <c r="W228" s="4" t="b">
        <f>LEN(data!P228)&gt;0</f>
        <v>0</v>
      </c>
      <c r="X228" s="4" t="b">
        <f>LEN(data!P228)&lt;=140</f>
        <v>1</v>
      </c>
      <c r="Y228" s="4" t="b">
        <f>LEN(data!Q228)&gt;0</f>
        <v>0</v>
      </c>
      <c r="Z228" s="4" t="b">
        <f>LEN(data!Q228)&lt;=35</f>
        <v>1</v>
      </c>
      <c r="AA228" s="4" t="b">
        <f>LEN(data!R228)=2</f>
        <v>0</v>
      </c>
      <c r="AB228" s="4" t="b">
        <f>LEN(data!S228)&gt;0</f>
        <v>0</v>
      </c>
      <c r="AC228" s="4" t="b">
        <f>LEN(data!S228)&lt;=120</f>
        <v>1</v>
      </c>
      <c r="AD228" s="4" t="b">
        <f>LEN(data!U228)=11</f>
        <v>0</v>
      </c>
      <c r="AE228" s="4" t="b">
        <f>AND(ISERROR(MATCH(data!V228, rule_mapping!$C$2:$C$325, 0))=FALSE, LEN(data!V228) &lt;= 4)</f>
        <v>0</v>
      </c>
      <c r="AF228" s="4" t="b">
        <f>LEN(data!W228)&gt;0</f>
        <v>0</v>
      </c>
      <c r="AG228" s="4" t="b">
        <f>LEN(data!W228)&lt;=20</f>
        <v>1</v>
      </c>
      <c r="AH228" s="4" t="b">
        <f xml:space="preserve"> IFERROR(ISNUMBER(data!X228), FALSE)</f>
        <v>0</v>
      </c>
      <c r="AI228" s="4" t="b">
        <f>IF(ISERROR(MATCH(data!Y228, rule_mapping!$D$2:$D$252, 0))=FALSE,TRUE, FALSE)</f>
        <v>0</v>
      </c>
      <c r="AJ228" s="4" t="b">
        <f>IFERROR(ISNUMBER(data!Z228), FALSE)</f>
        <v>0</v>
      </c>
      <c r="AK228" s="4" t="b">
        <f>IFERROR(ISNUMBER(data!AA228), FALSE)</f>
        <v>0</v>
      </c>
      <c r="AL228" s="4" t="b">
        <f>LEN(data!AB228)&lt;=90</f>
        <v>1</v>
      </c>
      <c r="AM228" s="4" t="b">
        <f>LEN(data!AC228)&gt;0</f>
        <v>0</v>
      </c>
      <c r="AN228" s="4" t="b">
        <f>LEN(data!AC228)&lt;=2000</f>
        <v>1</v>
      </c>
      <c r="AO228" s="4" t="b">
        <f>IF(LEN(data!AD228)=0,TRUE,IF(LEN(data!AD228)=5,TRUE,FALSE))</f>
        <v>1</v>
      </c>
      <c r="AP228" s="4" t="b">
        <f>LEN(data!AE228)&gt;0</f>
        <v>0</v>
      </c>
      <c r="AQ228" s="4" t="b">
        <f>LEN(data!AE228)=5</f>
        <v>0</v>
      </c>
      <c r="AR228" s="4" t="b">
        <f>ISERROR(MATCH(data!AF228, rule_mapping!$B$2:$B$3, 0))=FALSE</f>
        <v>0</v>
      </c>
      <c r="AS228" s="4" t="b">
        <f>ISERROR(MATCH(data!AG228, rule_mapping!$A$2:$A$8, 0))=FALSE</f>
        <v>0</v>
      </c>
      <c r="AT228" s="4" t="b">
        <f>LEN(data!AH228)&lt;=4</f>
        <v>1</v>
      </c>
      <c r="AU228" s="4" t="b">
        <f>LEN(data!AI228)&lt;=10</f>
        <v>1</v>
      </c>
      <c r="AV228" s="4" t="b">
        <f>LEN(data!AJ228)&lt;=35</f>
        <v>1</v>
      </c>
      <c r="AW228" s="4" t="b">
        <f>LEN(data!AK228)&lt;=20</f>
        <v>1</v>
      </c>
      <c r="AX228"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29" spans="1:50" ht="409.5" x14ac:dyDescent="0.15">
      <c r="A229" s="4" t="b">
        <f>OR(ISBLANK(data!B229), AND(B229:AW229))</f>
        <v>1</v>
      </c>
      <c r="B229" s="4" t="b">
        <f>AND(LEFT(TRIM(data!B229), 4)="OOLU", ISNUMBER(RIGHT(TRIM(data!B229), LEN(TRIM(data!B229))-4)+0))</f>
        <v>0</v>
      </c>
      <c r="C229" s="4" t="b">
        <f>LEN(data!C229)&gt;0</f>
        <v>0</v>
      </c>
      <c r="D229" s="4" t="b">
        <f>LEN(data!C229)&lt;=70</f>
        <v>1</v>
      </c>
      <c r="E229" s="4" t="b">
        <f>LEN(data!D229)&gt;0</f>
        <v>0</v>
      </c>
      <c r="F229" s="4" t="b">
        <f>LEN(data!D229)&lt;=140</f>
        <v>1</v>
      </c>
      <c r="G229" s="4" t="b">
        <f>LEN(data!E229)&gt;0</f>
        <v>0</v>
      </c>
      <c r="H229" s="4" t="b">
        <f>LEN(data!E229)&lt;=35</f>
        <v>1</v>
      </c>
      <c r="I229" s="4" t="b">
        <f>LEN(data!F229)=2</f>
        <v>0</v>
      </c>
      <c r="J229" s="4" t="b">
        <f>LEN(data!G229)&gt;0</f>
        <v>0</v>
      </c>
      <c r="K229" s="4" t="b">
        <f>LEN(data!G229)&lt;=60</f>
        <v>1</v>
      </c>
      <c r="L229" s="4" t="b">
        <f>LEN(data!I229)&gt;0</f>
        <v>0</v>
      </c>
      <c r="M229" s="4" t="b">
        <f>LEN(data!I229)&lt;=70</f>
        <v>1</v>
      </c>
      <c r="N229" s="4" t="b">
        <f>LEN(data!J229)&gt;0</f>
        <v>0</v>
      </c>
      <c r="O229" s="4" t="b">
        <f>LEN(data!J229)&lt;=140</f>
        <v>1</v>
      </c>
      <c r="P229" s="4" t="b">
        <f>LEN(data!K229)&gt;0</f>
        <v>0</v>
      </c>
      <c r="Q229" s="4" t="b">
        <f>LEN(data!K229)&lt;=35</f>
        <v>1</v>
      </c>
      <c r="R229" s="4" t="b">
        <f>LEN(data!L229)=2</f>
        <v>0</v>
      </c>
      <c r="S229" s="4" t="b">
        <f>LEN(data!M229)&gt;0</f>
        <v>0</v>
      </c>
      <c r="T229" s="4" t="b">
        <f>LEN(data!M229)&lt;=60</f>
        <v>1</v>
      </c>
      <c r="U229" s="4" t="b">
        <f>LEN(data!O229)&gt;0</f>
        <v>0</v>
      </c>
      <c r="V229" s="4" t="b">
        <f>LEN(data!O229)&lt;=70</f>
        <v>1</v>
      </c>
      <c r="W229" s="4" t="b">
        <f>LEN(data!P229)&gt;0</f>
        <v>0</v>
      </c>
      <c r="X229" s="4" t="b">
        <f>LEN(data!P229)&lt;=140</f>
        <v>1</v>
      </c>
      <c r="Y229" s="4" t="b">
        <f>LEN(data!Q229)&gt;0</f>
        <v>0</v>
      </c>
      <c r="Z229" s="4" t="b">
        <f>LEN(data!Q229)&lt;=35</f>
        <v>1</v>
      </c>
      <c r="AA229" s="4" t="b">
        <f>LEN(data!R229)=2</f>
        <v>0</v>
      </c>
      <c r="AB229" s="4" t="b">
        <f>LEN(data!S229)&gt;0</f>
        <v>0</v>
      </c>
      <c r="AC229" s="4" t="b">
        <f>LEN(data!S229)&lt;=120</f>
        <v>1</v>
      </c>
      <c r="AD229" s="4" t="b">
        <f>LEN(data!U229)=11</f>
        <v>0</v>
      </c>
      <c r="AE229" s="4" t="b">
        <f>AND(ISERROR(MATCH(data!V229, rule_mapping!$C$2:$C$325, 0))=FALSE, LEN(data!V229) &lt;= 4)</f>
        <v>0</v>
      </c>
      <c r="AF229" s="4" t="b">
        <f>LEN(data!W229)&gt;0</f>
        <v>0</v>
      </c>
      <c r="AG229" s="4" t="b">
        <f>LEN(data!W229)&lt;=20</f>
        <v>1</v>
      </c>
      <c r="AH229" s="4" t="b">
        <f xml:space="preserve"> IFERROR(ISNUMBER(data!X229), FALSE)</f>
        <v>0</v>
      </c>
      <c r="AI229" s="4" t="b">
        <f>IF(ISERROR(MATCH(data!Y229, rule_mapping!$D$2:$D$252, 0))=FALSE,TRUE, FALSE)</f>
        <v>0</v>
      </c>
      <c r="AJ229" s="4" t="b">
        <f>IFERROR(ISNUMBER(data!Z229), FALSE)</f>
        <v>0</v>
      </c>
      <c r="AK229" s="4" t="b">
        <f>IFERROR(ISNUMBER(data!AA229), FALSE)</f>
        <v>0</v>
      </c>
      <c r="AL229" s="4" t="b">
        <f>LEN(data!AB229)&lt;=90</f>
        <v>1</v>
      </c>
      <c r="AM229" s="4" t="b">
        <f>LEN(data!AC229)&gt;0</f>
        <v>0</v>
      </c>
      <c r="AN229" s="4" t="b">
        <f>LEN(data!AC229)&lt;=2000</f>
        <v>1</v>
      </c>
      <c r="AO229" s="4" t="b">
        <f>IF(LEN(data!AD229)=0,TRUE,IF(LEN(data!AD229)=5,TRUE,FALSE))</f>
        <v>1</v>
      </c>
      <c r="AP229" s="4" t="b">
        <f>LEN(data!AE229)&gt;0</f>
        <v>0</v>
      </c>
      <c r="AQ229" s="4" t="b">
        <f>LEN(data!AE229)=5</f>
        <v>0</v>
      </c>
      <c r="AR229" s="4" t="b">
        <f>ISERROR(MATCH(data!AF229, rule_mapping!$B$2:$B$3, 0))=FALSE</f>
        <v>0</v>
      </c>
      <c r="AS229" s="4" t="b">
        <f>ISERROR(MATCH(data!AG229, rule_mapping!$A$2:$A$8, 0))=FALSE</f>
        <v>0</v>
      </c>
      <c r="AT229" s="4" t="b">
        <f>LEN(data!AH229)&lt;=4</f>
        <v>1</v>
      </c>
      <c r="AU229" s="4" t="b">
        <f>LEN(data!AI229)&lt;=10</f>
        <v>1</v>
      </c>
      <c r="AV229" s="4" t="b">
        <f>LEN(data!AJ229)&lt;=35</f>
        <v>1</v>
      </c>
      <c r="AW229" s="4" t="b">
        <f>LEN(data!AK229)&lt;=20</f>
        <v>1</v>
      </c>
      <c r="AX229"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0" spans="1:50" ht="409.5" x14ac:dyDescent="0.15">
      <c r="A230" s="4" t="b">
        <f>OR(ISBLANK(data!B230), AND(B230:AW230))</f>
        <v>1</v>
      </c>
      <c r="B230" s="4" t="b">
        <f>AND(LEFT(TRIM(data!B230), 4)="OOLU", ISNUMBER(RIGHT(TRIM(data!B230), LEN(TRIM(data!B230))-4)+0))</f>
        <v>0</v>
      </c>
      <c r="C230" s="4" t="b">
        <f>LEN(data!C230)&gt;0</f>
        <v>0</v>
      </c>
      <c r="D230" s="4" t="b">
        <f>LEN(data!C230)&lt;=70</f>
        <v>1</v>
      </c>
      <c r="E230" s="4" t="b">
        <f>LEN(data!D230)&gt;0</f>
        <v>0</v>
      </c>
      <c r="F230" s="4" t="b">
        <f>LEN(data!D230)&lt;=140</f>
        <v>1</v>
      </c>
      <c r="G230" s="4" t="b">
        <f>LEN(data!E230)&gt;0</f>
        <v>0</v>
      </c>
      <c r="H230" s="4" t="b">
        <f>LEN(data!E230)&lt;=35</f>
        <v>1</v>
      </c>
      <c r="I230" s="4" t="b">
        <f>LEN(data!F230)=2</f>
        <v>0</v>
      </c>
      <c r="J230" s="4" t="b">
        <f>LEN(data!G230)&gt;0</f>
        <v>0</v>
      </c>
      <c r="K230" s="4" t="b">
        <f>LEN(data!G230)&lt;=60</f>
        <v>1</v>
      </c>
      <c r="L230" s="4" t="b">
        <f>LEN(data!I230)&gt;0</f>
        <v>0</v>
      </c>
      <c r="M230" s="4" t="b">
        <f>LEN(data!I230)&lt;=70</f>
        <v>1</v>
      </c>
      <c r="N230" s="4" t="b">
        <f>LEN(data!J230)&gt;0</f>
        <v>0</v>
      </c>
      <c r="O230" s="4" t="b">
        <f>LEN(data!J230)&lt;=140</f>
        <v>1</v>
      </c>
      <c r="P230" s="4" t="b">
        <f>LEN(data!K230)&gt;0</f>
        <v>0</v>
      </c>
      <c r="Q230" s="4" t="b">
        <f>LEN(data!K230)&lt;=35</f>
        <v>1</v>
      </c>
      <c r="R230" s="4" t="b">
        <f>LEN(data!L230)=2</f>
        <v>0</v>
      </c>
      <c r="S230" s="4" t="b">
        <f>LEN(data!M230)&gt;0</f>
        <v>0</v>
      </c>
      <c r="T230" s="4" t="b">
        <f>LEN(data!M230)&lt;=60</f>
        <v>1</v>
      </c>
      <c r="U230" s="4" t="b">
        <f>LEN(data!O230)&gt;0</f>
        <v>0</v>
      </c>
      <c r="V230" s="4" t="b">
        <f>LEN(data!O230)&lt;=70</f>
        <v>1</v>
      </c>
      <c r="W230" s="4" t="b">
        <f>LEN(data!P230)&gt;0</f>
        <v>0</v>
      </c>
      <c r="X230" s="4" t="b">
        <f>LEN(data!P230)&lt;=140</f>
        <v>1</v>
      </c>
      <c r="Y230" s="4" t="b">
        <f>LEN(data!Q230)&gt;0</f>
        <v>0</v>
      </c>
      <c r="Z230" s="4" t="b">
        <f>LEN(data!Q230)&lt;=35</f>
        <v>1</v>
      </c>
      <c r="AA230" s="4" t="b">
        <f>LEN(data!R230)=2</f>
        <v>0</v>
      </c>
      <c r="AB230" s="4" t="b">
        <f>LEN(data!S230)&gt;0</f>
        <v>0</v>
      </c>
      <c r="AC230" s="4" t="b">
        <f>LEN(data!S230)&lt;=120</f>
        <v>1</v>
      </c>
      <c r="AD230" s="4" t="b">
        <f>LEN(data!U230)=11</f>
        <v>0</v>
      </c>
      <c r="AE230" s="4" t="b">
        <f>AND(ISERROR(MATCH(data!V230, rule_mapping!$C$2:$C$325, 0))=FALSE, LEN(data!V230) &lt;= 4)</f>
        <v>0</v>
      </c>
      <c r="AF230" s="4" t="b">
        <f>LEN(data!W230)&gt;0</f>
        <v>0</v>
      </c>
      <c r="AG230" s="4" t="b">
        <f>LEN(data!W230)&lt;=20</f>
        <v>1</v>
      </c>
      <c r="AH230" s="4" t="b">
        <f xml:space="preserve"> IFERROR(ISNUMBER(data!X230), FALSE)</f>
        <v>0</v>
      </c>
      <c r="AI230" s="4" t="b">
        <f>IF(ISERROR(MATCH(data!Y230, rule_mapping!$D$2:$D$252, 0))=FALSE,TRUE, FALSE)</f>
        <v>0</v>
      </c>
      <c r="AJ230" s="4" t="b">
        <f>IFERROR(ISNUMBER(data!Z230), FALSE)</f>
        <v>0</v>
      </c>
      <c r="AK230" s="4" t="b">
        <f>IFERROR(ISNUMBER(data!AA230), FALSE)</f>
        <v>0</v>
      </c>
      <c r="AL230" s="4" t="b">
        <f>LEN(data!AB230)&lt;=90</f>
        <v>1</v>
      </c>
      <c r="AM230" s="4" t="b">
        <f>LEN(data!AC230)&gt;0</f>
        <v>0</v>
      </c>
      <c r="AN230" s="4" t="b">
        <f>LEN(data!AC230)&lt;=2000</f>
        <v>1</v>
      </c>
      <c r="AO230" s="4" t="b">
        <f>IF(LEN(data!AD230)=0,TRUE,IF(LEN(data!AD230)=5,TRUE,FALSE))</f>
        <v>1</v>
      </c>
      <c r="AP230" s="4" t="b">
        <f>LEN(data!AE230)&gt;0</f>
        <v>0</v>
      </c>
      <c r="AQ230" s="4" t="b">
        <f>LEN(data!AE230)=5</f>
        <v>0</v>
      </c>
      <c r="AR230" s="4" t="b">
        <f>ISERROR(MATCH(data!AF230, rule_mapping!$B$2:$B$3, 0))=FALSE</f>
        <v>0</v>
      </c>
      <c r="AS230" s="4" t="b">
        <f>ISERROR(MATCH(data!AG230, rule_mapping!$A$2:$A$8, 0))=FALSE</f>
        <v>0</v>
      </c>
      <c r="AT230" s="4" t="b">
        <f>LEN(data!AH230)&lt;=4</f>
        <v>1</v>
      </c>
      <c r="AU230" s="4" t="b">
        <f>LEN(data!AI230)&lt;=10</f>
        <v>1</v>
      </c>
      <c r="AV230" s="4" t="b">
        <f>LEN(data!AJ230)&lt;=35</f>
        <v>1</v>
      </c>
      <c r="AW230" s="4" t="b">
        <f>LEN(data!AK230)&lt;=20</f>
        <v>1</v>
      </c>
      <c r="AX230"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1" spans="1:50" ht="409.5" x14ac:dyDescent="0.15">
      <c r="A231" s="4" t="b">
        <f>OR(ISBLANK(data!B231), AND(B231:AW231))</f>
        <v>1</v>
      </c>
      <c r="B231" s="4" t="b">
        <f>AND(LEFT(TRIM(data!B231), 4)="OOLU", ISNUMBER(RIGHT(TRIM(data!B231), LEN(TRIM(data!B231))-4)+0))</f>
        <v>0</v>
      </c>
      <c r="C231" s="4" t="b">
        <f>LEN(data!C231)&gt;0</f>
        <v>0</v>
      </c>
      <c r="D231" s="4" t="b">
        <f>LEN(data!C231)&lt;=70</f>
        <v>1</v>
      </c>
      <c r="E231" s="4" t="b">
        <f>LEN(data!D231)&gt;0</f>
        <v>0</v>
      </c>
      <c r="F231" s="4" t="b">
        <f>LEN(data!D231)&lt;=140</f>
        <v>1</v>
      </c>
      <c r="G231" s="4" t="b">
        <f>LEN(data!E231)&gt;0</f>
        <v>0</v>
      </c>
      <c r="H231" s="4" t="b">
        <f>LEN(data!E231)&lt;=35</f>
        <v>1</v>
      </c>
      <c r="I231" s="4" t="b">
        <f>LEN(data!F231)=2</f>
        <v>0</v>
      </c>
      <c r="J231" s="4" t="b">
        <f>LEN(data!G231)&gt;0</f>
        <v>0</v>
      </c>
      <c r="K231" s="4" t="b">
        <f>LEN(data!G231)&lt;=60</f>
        <v>1</v>
      </c>
      <c r="L231" s="4" t="b">
        <f>LEN(data!I231)&gt;0</f>
        <v>0</v>
      </c>
      <c r="M231" s="4" t="b">
        <f>LEN(data!I231)&lt;=70</f>
        <v>1</v>
      </c>
      <c r="N231" s="4" t="b">
        <f>LEN(data!J231)&gt;0</f>
        <v>0</v>
      </c>
      <c r="O231" s="4" t="b">
        <f>LEN(data!J231)&lt;=140</f>
        <v>1</v>
      </c>
      <c r="P231" s="4" t="b">
        <f>LEN(data!K231)&gt;0</f>
        <v>0</v>
      </c>
      <c r="Q231" s="4" t="b">
        <f>LEN(data!K231)&lt;=35</f>
        <v>1</v>
      </c>
      <c r="R231" s="4" t="b">
        <f>LEN(data!L231)=2</f>
        <v>0</v>
      </c>
      <c r="S231" s="4" t="b">
        <f>LEN(data!M231)&gt;0</f>
        <v>0</v>
      </c>
      <c r="T231" s="4" t="b">
        <f>LEN(data!M231)&lt;=60</f>
        <v>1</v>
      </c>
      <c r="U231" s="4" t="b">
        <f>LEN(data!O231)&gt;0</f>
        <v>0</v>
      </c>
      <c r="V231" s="4" t="b">
        <f>LEN(data!O231)&lt;=70</f>
        <v>1</v>
      </c>
      <c r="W231" s="4" t="b">
        <f>LEN(data!P231)&gt;0</f>
        <v>0</v>
      </c>
      <c r="X231" s="4" t="b">
        <f>LEN(data!P231)&lt;=140</f>
        <v>1</v>
      </c>
      <c r="Y231" s="4" t="b">
        <f>LEN(data!Q231)&gt;0</f>
        <v>0</v>
      </c>
      <c r="Z231" s="4" t="b">
        <f>LEN(data!Q231)&lt;=35</f>
        <v>1</v>
      </c>
      <c r="AA231" s="4" t="b">
        <f>LEN(data!R231)=2</f>
        <v>0</v>
      </c>
      <c r="AB231" s="4" t="b">
        <f>LEN(data!S231)&gt;0</f>
        <v>0</v>
      </c>
      <c r="AC231" s="4" t="b">
        <f>LEN(data!S231)&lt;=120</f>
        <v>1</v>
      </c>
      <c r="AD231" s="4" t="b">
        <f>LEN(data!U231)=11</f>
        <v>0</v>
      </c>
      <c r="AE231" s="4" t="b">
        <f>AND(ISERROR(MATCH(data!V231, rule_mapping!$C$2:$C$325, 0))=FALSE, LEN(data!V231) &lt;= 4)</f>
        <v>0</v>
      </c>
      <c r="AF231" s="4" t="b">
        <f>LEN(data!W231)&gt;0</f>
        <v>0</v>
      </c>
      <c r="AG231" s="4" t="b">
        <f>LEN(data!W231)&lt;=20</f>
        <v>1</v>
      </c>
      <c r="AH231" s="4" t="b">
        <f xml:space="preserve"> IFERROR(ISNUMBER(data!X231), FALSE)</f>
        <v>0</v>
      </c>
      <c r="AI231" s="4" t="b">
        <f>IF(ISERROR(MATCH(data!Y231, rule_mapping!$D$2:$D$252, 0))=FALSE,TRUE, FALSE)</f>
        <v>0</v>
      </c>
      <c r="AJ231" s="4" t="b">
        <f>IFERROR(ISNUMBER(data!Z231), FALSE)</f>
        <v>0</v>
      </c>
      <c r="AK231" s="4" t="b">
        <f>IFERROR(ISNUMBER(data!AA231), FALSE)</f>
        <v>0</v>
      </c>
      <c r="AL231" s="4" t="b">
        <f>LEN(data!AB231)&lt;=90</f>
        <v>1</v>
      </c>
      <c r="AM231" s="4" t="b">
        <f>LEN(data!AC231)&gt;0</f>
        <v>0</v>
      </c>
      <c r="AN231" s="4" t="b">
        <f>LEN(data!AC231)&lt;=2000</f>
        <v>1</v>
      </c>
      <c r="AO231" s="4" t="b">
        <f>IF(LEN(data!AD231)=0,TRUE,IF(LEN(data!AD231)=5,TRUE,FALSE))</f>
        <v>1</v>
      </c>
      <c r="AP231" s="4" t="b">
        <f>LEN(data!AE231)&gt;0</f>
        <v>0</v>
      </c>
      <c r="AQ231" s="4" t="b">
        <f>LEN(data!AE231)=5</f>
        <v>0</v>
      </c>
      <c r="AR231" s="4" t="b">
        <f>ISERROR(MATCH(data!AF231, rule_mapping!$B$2:$B$3, 0))=FALSE</f>
        <v>0</v>
      </c>
      <c r="AS231" s="4" t="b">
        <f>ISERROR(MATCH(data!AG231, rule_mapping!$A$2:$A$8, 0))=FALSE</f>
        <v>0</v>
      </c>
      <c r="AT231" s="4" t="b">
        <f>LEN(data!AH231)&lt;=4</f>
        <v>1</v>
      </c>
      <c r="AU231" s="4" t="b">
        <f>LEN(data!AI231)&lt;=10</f>
        <v>1</v>
      </c>
      <c r="AV231" s="4" t="b">
        <f>LEN(data!AJ231)&lt;=35</f>
        <v>1</v>
      </c>
      <c r="AW231" s="4" t="b">
        <f>LEN(data!AK231)&lt;=20</f>
        <v>1</v>
      </c>
      <c r="AX231"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2" spans="1:50" ht="409.5" x14ac:dyDescent="0.15">
      <c r="A232" s="4" t="b">
        <f>OR(ISBLANK(data!B232), AND(B232:AW232))</f>
        <v>1</v>
      </c>
      <c r="B232" s="4" t="b">
        <f>AND(LEFT(TRIM(data!B232), 4)="OOLU", ISNUMBER(RIGHT(TRIM(data!B232), LEN(TRIM(data!B232))-4)+0))</f>
        <v>0</v>
      </c>
      <c r="C232" s="4" t="b">
        <f>LEN(data!C232)&gt;0</f>
        <v>0</v>
      </c>
      <c r="D232" s="4" t="b">
        <f>LEN(data!C232)&lt;=70</f>
        <v>1</v>
      </c>
      <c r="E232" s="4" t="b">
        <f>LEN(data!D232)&gt;0</f>
        <v>0</v>
      </c>
      <c r="F232" s="4" t="b">
        <f>LEN(data!D232)&lt;=140</f>
        <v>1</v>
      </c>
      <c r="G232" s="4" t="b">
        <f>LEN(data!E232)&gt;0</f>
        <v>0</v>
      </c>
      <c r="H232" s="4" t="b">
        <f>LEN(data!E232)&lt;=35</f>
        <v>1</v>
      </c>
      <c r="I232" s="4" t="b">
        <f>LEN(data!F232)=2</f>
        <v>0</v>
      </c>
      <c r="J232" s="4" t="b">
        <f>LEN(data!G232)&gt;0</f>
        <v>0</v>
      </c>
      <c r="K232" s="4" t="b">
        <f>LEN(data!G232)&lt;=60</f>
        <v>1</v>
      </c>
      <c r="L232" s="4" t="b">
        <f>LEN(data!I232)&gt;0</f>
        <v>0</v>
      </c>
      <c r="M232" s="4" t="b">
        <f>LEN(data!I232)&lt;=70</f>
        <v>1</v>
      </c>
      <c r="N232" s="4" t="b">
        <f>LEN(data!J232)&gt;0</f>
        <v>0</v>
      </c>
      <c r="O232" s="4" t="b">
        <f>LEN(data!J232)&lt;=140</f>
        <v>1</v>
      </c>
      <c r="P232" s="4" t="b">
        <f>LEN(data!K232)&gt;0</f>
        <v>0</v>
      </c>
      <c r="Q232" s="4" t="b">
        <f>LEN(data!K232)&lt;=35</f>
        <v>1</v>
      </c>
      <c r="R232" s="4" t="b">
        <f>LEN(data!L232)=2</f>
        <v>0</v>
      </c>
      <c r="S232" s="4" t="b">
        <f>LEN(data!M232)&gt;0</f>
        <v>0</v>
      </c>
      <c r="T232" s="4" t="b">
        <f>LEN(data!M232)&lt;=60</f>
        <v>1</v>
      </c>
      <c r="U232" s="4" t="b">
        <f>LEN(data!O232)&gt;0</f>
        <v>0</v>
      </c>
      <c r="V232" s="4" t="b">
        <f>LEN(data!O232)&lt;=70</f>
        <v>1</v>
      </c>
      <c r="W232" s="4" t="b">
        <f>LEN(data!P232)&gt;0</f>
        <v>0</v>
      </c>
      <c r="X232" s="4" t="b">
        <f>LEN(data!P232)&lt;=140</f>
        <v>1</v>
      </c>
      <c r="Y232" s="4" t="b">
        <f>LEN(data!Q232)&gt;0</f>
        <v>0</v>
      </c>
      <c r="Z232" s="4" t="b">
        <f>LEN(data!Q232)&lt;=35</f>
        <v>1</v>
      </c>
      <c r="AA232" s="4" t="b">
        <f>LEN(data!R232)=2</f>
        <v>0</v>
      </c>
      <c r="AB232" s="4" t="b">
        <f>LEN(data!S232)&gt;0</f>
        <v>0</v>
      </c>
      <c r="AC232" s="4" t="b">
        <f>LEN(data!S232)&lt;=120</f>
        <v>1</v>
      </c>
      <c r="AD232" s="4" t="b">
        <f>LEN(data!U232)=11</f>
        <v>0</v>
      </c>
      <c r="AE232" s="4" t="b">
        <f>AND(ISERROR(MATCH(data!V232, rule_mapping!$C$2:$C$325, 0))=FALSE, LEN(data!V232) &lt;= 4)</f>
        <v>0</v>
      </c>
      <c r="AF232" s="4" t="b">
        <f>LEN(data!W232)&gt;0</f>
        <v>0</v>
      </c>
      <c r="AG232" s="4" t="b">
        <f>LEN(data!W232)&lt;=20</f>
        <v>1</v>
      </c>
      <c r="AH232" s="4" t="b">
        <f xml:space="preserve"> IFERROR(ISNUMBER(data!X232), FALSE)</f>
        <v>0</v>
      </c>
      <c r="AI232" s="4" t="b">
        <f>IF(ISERROR(MATCH(data!Y232, rule_mapping!$D$2:$D$252, 0))=FALSE,TRUE, FALSE)</f>
        <v>0</v>
      </c>
      <c r="AJ232" s="4" t="b">
        <f>IFERROR(ISNUMBER(data!Z232), FALSE)</f>
        <v>0</v>
      </c>
      <c r="AK232" s="4" t="b">
        <f>IFERROR(ISNUMBER(data!AA232), FALSE)</f>
        <v>0</v>
      </c>
      <c r="AL232" s="4" t="b">
        <f>LEN(data!AB232)&lt;=90</f>
        <v>1</v>
      </c>
      <c r="AM232" s="4" t="b">
        <f>LEN(data!AC232)&gt;0</f>
        <v>0</v>
      </c>
      <c r="AN232" s="4" t="b">
        <f>LEN(data!AC232)&lt;=2000</f>
        <v>1</v>
      </c>
      <c r="AO232" s="4" t="b">
        <f>IF(LEN(data!AD232)=0,TRUE,IF(LEN(data!AD232)=5,TRUE,FALSE))</f>
        <v>1</v>
      </c>
      <c r="AP232" s="4" t="b">
        <f>LEN(data!AE232)&gt;0</f>
        <v>0</v>
      </c>
      <c r="AQ232" s="4" t="b">
        <f>LEN(data!AE232)=5</f>
        <v>0</v>
      </c>
      <c r="AR232" s="4" t="b">
        <f>ISERROR(MATCH(data!AF232, rule_mapping!$B$2:$B$3, 0))=FALSE</f>
        <v>0</v>
      </c>
      <c r="AS232" s="4" t="b">
        <f>ISERROR(MATCH(data!AG232, rule_mapping!$A$2:$A$8, 0))=FALSE</f>
        <v>0</v>
      </c>
      <c r="AT232" s="4" t="b">
        <f>LEN(data!AH232)&lt;=4</f>
        <v>1</v>
      </c>
      <c r="AU232" s="4" t="b">
        <f>LEN(data!AI232)&lt;=10</f>
        <v>1</v>
      </c>
      <c r="AV232" s="4" t="b">
        <f>LEN(data!AJ232)&lt;=35</f>
        <v>1</v>
      </c>
      <c r="AW232" s="4" t="b">
        <f>LEN(data!AK232)&lt;=20</f>
        <v>1</v>
      </c>
      <c r="AX232"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3" spans="1:50" ht="409.5" x14ac:dyDescent="0.15">
      <c r="A233" s="4" t="b">
        <f>OR(ISBLANK(data!B233), AND(B233:AW233))</f>
        <v>1</v>
      </c>
      <c r="B233" s="4" t="b">
        <f>AND(LEFT(TRIM(data!B233), 4)="OOLU", ISNUMBER(RIGHT(TRIM(data!B233), LEN(TRIM(data!B233))-4)+0))</f>
        <v>0</v>
      </c>
      <c r="C233" s="4" t="b">
        <f>LEN(data!C233)&gt;0</f>
        <v>0</v>
      </c>
      <c r="D233" s="4" t="b">
        <f>LEN(data!C233)&lt;=70</f>
        <v>1</v>
      </c>
      <c r="E233" s="4" t="b">
        <f>LEN(data!D233)&gt;0</f>
        <v>0</v>
      </c>
      <c r="F233" s="4" t="b">
        <f>LEN(data!D233)&lt;=140</f>
        <v>1</v>
      </c>
      <c r="G233" s="4" t="b">
        <f>LEN(data!E233)&gt;0</f>
        <v>0</v>
      </c>
      <c r="H233" s="4" t="b">
        <f>LEN(data!E233)&lt;=35</f>
        <v>1</v>
      </c>
      <c r="I233" s="4" t="b">
        <f>LEN(data!F233)=2</f>
        <v>0</v>
      </c>
      <c r="J233" s="4" t="b">
        <f>LEN(data!G233)&gt;0</f>
        <v>0</v>
      </c>
      <c r="K233" s="4" t="b">
        <f>LEN(data!G233)&lt;=60</f>
        <v>1</v>
      </c>
      <c r="L233" s="4" t="b">
        <f>LEN(data!I233)&gt;0</f>
        <v>0</v>
      </c>
      <c r="M233" s="4" t="b">
        <f>LEN(data!I233)&lt;=70</f>
        <v>1</v>
      </c>
      <c r="N233" s="4" t="b">
        <f>LEN(data!J233)&gt;0</f>
        <v>0</v>
      </c>
      <c r="O233" s="4" t="b">
        <f>LEN(data!J233)&lt;=140</f>
        <v>1</v>
      </c>
      <c r="P233" s="4" t="b">
        <f>LEN(data!K233)&gt;0</f>
        <v>0</v>
      </c>
      <c r="Q233" s="4" t="b">
        <f>LEN(data!K233)&lt;=35</f>
        <v>1</v>
      </c>
      <c r="R233" s="4" t="b">
        <f>LEN(data!L233)=2</f>
        <v>0</v>
      </c>
      <c r="S233" s="4" t="b">
        <f>LEN(data!M233)&gt;0</f>
        <v>0</v>
      </c>
      <c r="T233" s="4" t="b">
        <f>LEN(data!M233)&lt;=60</f>
        <v>1</v>
      </c>
      <c r="U233" s="4" t="b">
        <f>LEN(data!O233)&gt;0</f>
        <v>0</v>
      </c>
      <c r="V233" s="4" t="b">
        <f>LEN(data!O233)&lt;=70</f>
        <v>1</v>
      </c>
      <c r="W233" s="4" t="b">
        <f>LEN(data!P233)&gt;0</f>
        <v>0</v>
      </c>
      <c r="X233" s="4" t="b">
        <f>LEN(data!P233)&lt;=140</f>
        <v>1</v>
      </c>
      <c r="Y233" s="4" t="b">
        <f>LEN(data!Q233)&gt;0</f>
        <v>0</v>
      </c>
      <c r="Z233" s="4" t="b">
        <f>LEN(data!Q233)&lt;=35</f>
        <v>1</v>
      </c>
      <c r="AA233" s="4" t="b">
        <f>LEN(data!R233)=2</f>
        <v>0</v>
      </c>
      <c r="AB233" s="4" t="b">
        <f>LEN(data!S233)&gt;0</f>
        <v>0</v>
      </c>
      <c r="AC233" s="4" t="b">
        <f>LEN(data!S233)&lt;=120</f>
        <v>1</v>
      </c>
      <c r="AD233" s="4" t="b">
        <f>LEN(data!U233)=11</f>
        <v>0</v>
      </c>
      <c r="AE233" s="4" t="b">
        <f>AND(ISERROR(MATCH(data!V233, rule_mapping!$C$2:$C$325, 0))=FALSE, LEN(data!V233) &lt;= 4)</f>
        <v>0</v>
      </c>
      <c r="AF233" s="4" t="b">
        <f>LEN(data!W233)&gt;0</f>
        <v>0</v>
      </c>
      <c r="AG233" s="4" t="b">
        <f>LEN(data!W233)&lt;=20</f>
        <v>1</v>
      </c>
      <c r="AH233" s="4" t="b">
        <f xml:space="preserve"> IFERROR(ISNUMBER(data!X233), FALSE)</f>
        <v>0</v>
      </c>
      <c r="AI233" s="4" t="b">
        <f>IF(ISERROR(MATCH(data!Y233, rule_mapping!$D$2:$D$252, 0))=FALSE,TRUE, FALSE)</f>
        <v>0</v>
      </c>
      <c r="AJ233" s="4" t="b">
        <f>IFERROR(ISNUMBER(data!Z233), FALSE)</f>
        <v>0</v>
      </c>
      <c r="AK233" s="4" t="b">
        <f>IFERROR(ISNUMBER(data!AA233), FALSE)</f>
        <v>0</v>
      </c>
      <c r="AL233" s="4" t="b">
        <f>LEN(data!AB233)&lt;=90</f>
        <v>1</v>
      </c>
      <c r="AM233" s="4" t="b">
        <f>LEN(data!AC233)&gt;0</f>
        <v>0</v>
      </c>
      <c r="AN233" s="4" t="b">
        <f>LEN(data!AC233)&lt;=2000</f>
        <v>1</v>
      </c>
      <c r="AO233" s="4" t="b">
        <f>IF(LEN(data!AD233)=0,TRUE,IF(LEN(data!AD233)=5,TRUE,FALSE))</f>
        <v>1</v>
      </c>
      <c r="AP233" s="4" t="b">
        <f>LEN(data!AE233)&gt;0</f>
        <v>0</v>
      </c>
      <c r="AQ233" s="4" t="b">
        <f>LEN(data!AE233)=5</f>
        <v>0</v>
      </c>
      <c r="AR233" s="4" t="b">
        <f>ISERROR(MATCH(data!AF233, rule_mapping!$B$2:$B$3, 0))=FALSE</f>
        <v>0</v>
      </c>
      <c r="AS233" s="4" t="b">
        <f>ISERROR(MATCH(data!AG233, rule_mapping!$A$2:$A$8, 0))=FALSE</f>
        <v>0</v>
      </c>
      <c r="AT233" s="4" t="b">
        <f>LEN(data!AH233)&lt;=4</f>
        <v>1</v>
      </c>
      <c r="AU233" s="4" t="b">
        <f>LEN(data!AI233)&lt;=10</f>
        <v>1</v>
      </c>
      <c r="AV233" s="4" t="b">
        <f>LEN(data!AJ233)&lt;=35</f>
        <v>1</v>
      </c>
      <c r="AW233" s="4" t="b">
        <f>LEN(data!AK233)&lt;=20</f>
        <v>1</v>
      </c>
      <c r="AX233"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4" spans="1:50" ht="409.5" x14ac:dyDescent="0.15">
      <c r="A234" s="4" t="b">
        <f>OR(ISBLANK(data!B234), AND(B234:AW234))</f>
        <v>1</v>
      </c>
      <c r="B234" s="4" t="b">
        <f>AND(LEFT(TRIM(data!B234), 4)="OOLU", ISNUMBER(RIGHT(TRIM(data!B234), LEN(TRIM(data!B234))-4)+0))</f>
        <v>0</v>
      </c>
      <c r="C234" s="4" t="b">
        <f>LEN(data!C234)&gt;0</f>
        <v>0</v>
      </c>
      <c r="D234" s="4" t="b">
        <f>LEN(data!C234)&lt;=70</f>
        <v>1</v>
      </c>
      <c r="E234" s="4" t="b">
        <f>LEN(data!D234)&gt;0</f>
        <v>0</v>
      </c>
      <c r="F234" s="4" t="b">
        <f>LEN(data!D234)&lt;=140</f>
        <v>1</v>
      </c>
      <c r="G234" s="4" t="b">
        <f>LEN(data!E234)&gt;0</f>
        <v>0</v>
      </c>
      <c r="H234" s="4" t="b">
        <f>LEN(data!E234)&lt;=35</f>
        <v>1</v>
      </c>
      <c r="I234" s="4" t="b">
        <f>LEN(data!F234)=2</f>
        <v>0</v>
      </c>
      <c r="J234" s="4" t="b">
        <f>LEN(data!G234)&gt;0</f>
        <v>0</v>
      </c>
      <c r="K234" s="4" t="b">
        <f>LEN(data!G234)&lt;=60</f>
        <v>1</v>
      </c>
      <c r="L234" s="4" t="b">
        <f>LEN(data!I234)&gt;0</f>
        <v>0</v>
      </c>
      <c r="M234" s="4" t="b">
        <f>LEN(data!I234)&lt;=70</f>
        <v>1</v>
      </c>
      <c r="N234" s="4" t="b">
        <f>LEN(data!J234)&gt;0</f>
        <v>0</v>
      </c>
      <c r="O234" s="4" t="b">
        <f>LEN(data!J234)&lt;=140</f>
        <v>1</v>
      </c>
      <c r="P234" s="4" t="b">
        <f>LEN(data!K234)&gt;0</f>
        <v>0</v>
      </c>
      <c r="Q234" s="4" t="b">
        <f>LEN(data!K234)&lt;=35</f>
        <v>1</v>
      </c>
      <c r="R234" s="4" t="b">
        <f>LEN(data!L234)=2</f>
        <v>0</v>
      </c>
      <c r="S234" s="4" t="b">
        <f>LEN(data!M234)&gt;0</f>
        <v>0</v>
      </c>
      <c r="T234" s="4" t="b">
        <f>LEN(data!M234)&lt;=60</f>
        <v>1</v>
      </c>
      <c r="U234" s="4" t="b">
        <f>LEN(data!O234)&gt;0</f>
        <v>0</v>
      </c>
      <c r="V234" s="4" t="b">
        <f>LEN(data!O234)&lt;=70</f>
        <v>1</v>
      </c>
      <c r="W234" s="4" t="b">
        <f>LEN(data!P234)&gt;0</f>
        <v>0</v>
      </c>
      <c r="X234" s="4" t="b">
        <f>LEN(data!P234)&lt;=140</f>
        <v>1</v>
      </c>
      <c r="Y234" s="4" t="b">
        <f>LEN(data!Q234)&gt;0</f>
        <v>0</v>
      </c>
      <c r="Z234" s="4" t="b">
        <f>LEN(data!Q234)&lt;=35</f>
        <v>1</v>
      </c>
      <c r="AA234" s="4" t="b">
        <f>LEN(data!R234)=2</f>
        <v>0</v>
      </c>
      <c r="AB234" s="4" t="b">
        <f>LEN(data!S234)&gt;0</f>
        <v>0</v>
      </c>
      <c r="AC234" s="4" t="b">
        <f>LEN(data!S234)&lt;=120</f>
        <v>1</v>
      </c>
      <c r="AD234" s="4" t="b">
        <f>LEN(data!U234)=11</f>
        <v>0</v>
      </c>
      <c r="AE234" s="4" t="b">
        <f>AND(ISERROR(MATCH(data!V234, rule_mapping!$C$2:$C$325, 0))=FALSE, LEN(data!V234) &lt;= 4)</f>
        <v>0</v>
      </c>
      <c r="AF234" s="4" t="b">
        <f>LEN(data!W234)&gt;0</f>
        <v>0</v>
      </c>
      <c r="AG234" s="4" t="b">
        <f>LEN(data!W234)&lt;=20</f>
        <v>1</v>
      </c>
      <c r="AH234" s="4" t="b">
        <f xml:space="preserve"> IFERROR(ISNUMBER(data!X234), FALSE)</f>
        <v>0</v>
      </c>
      <c r="AI234" s="4" t="b">
        <f>IF(ISERROR(MATCH(data!Y234, rule_mapping!$D$2:$D$252, 0))=FALSE,TRUE, FALSE)</f>
        <v>0</v>
      </c>
      <c r="AJ234" s="4" t="b">
        <f>IFERROR(ISNUMBER(data!Z234), FALSE)</f>
        <v>0</v>
      </c>
      <c r="AK234" s="4" t="b">
        <f>IFERROR(ISNUMBER(data!AA234), FALSE)</f>
        <v>0</v>
      </c>
      <c r="AL234" s="4" t="b">
        <f>LEN(data!AB234)&lt;=90</f>
        <v>1</v>
      </c>
      <c r="AM234" s="4" t="b">
        <f>LEN(data!AC234)&gt;0</f>
        <v>0</v>
      </c>
      <c r="AN234" s="4" t="b">
        <f>LEN(data!AC234)&lt;=2000</f>
        <v>1</v>
      </c>
      <c r="AO234" s="4" t="b">
        <f>IF(LEN(data!AD234)=0,TRUE,IF(LEN(data!AD234)=5,TRUE,FALSE))</f>
        <v>1</v>
      </c>
      <c r="AP234" s="4" t="b">
        <f>LEN(data!AE234)&gt;0</f>
        <v>0</v>
      </c>
      <c r="AQ234" s="4" t="b">
        <f>LEN(data!AE234)=5</f>
        <v>0</v>
      </c>
      <c r="AR234" s="4" t="b">
        <f>ISERROR(MATCH(data!AF234, rule_mapping!$B$2:$B$3, 0))=FALSE</f>
        <v>0</v>
      </c>
      <c r="AS234" s="4" t="b">
        <f>ISERROR(MATCH(data!AG234, rule_mapping!$A$2:$A$8, 0))=FALSE</f>
        <v>0</v>
      </c>
      <c r="AT234" s="4" t="b">
        <f>LEN(data!AH234)&lt;=4</f>
        <v>1</v>
      </c>
      <c r="AU234" s="4" t="b">
        <f>LEN(data!AI234)&lt;=10</f>
        <v>1</v>
      </c>
      <c r="AV234" s="4" t="b">
        <f>LEN(data!AJ234)&lt;=35</f>
        <v>1</v>
      </c>
      <c r="AW234" s="4" t="b">
        <f>LEN(data!AK234)&lt;=20</f>
        <v>1</v>
      </c>
      <c r="AX234"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5" spans="1:50" ht="409.5" x14ac:dyDescent="0.15">
      <c r="A235" s="4" t="b">
        <f>OR(ISBLANK(data!B235), AND(B235:AW235))</f>
        <v>1</v>
      </c>
      <c r="B235" s="4" t="b">
        <f>AND(LEFT(TRIM(data!B235), 4)="OOLU", ISNUMBER(RIGHT(TRIM(data!B235), LEN(TRIM(data!B235))-4)+0))</f>
        <v>0</v>
      </c>
      <c r="C235" s="4" t="b">
        <f>LEN(data!C235)&gt;0</f>
        <v>0</v>
      </c>
      <c r="D235" s="4" t="b">
        <f>LEN(data!C235)&lt;=70</f>
        <v>1</v>
      </c>
      <c r="E235" s="4" t="b">
        <f>LEN(data!D235)&gt;0</f>
        <v>0</v>
      </c>
      <c r="F235" s="4" t="b">
        <f>LEN(data!D235)&lt;=140</f>
        <v>1</v>
      </c>
      <c r="G235" s="4" t="b">
        <f>LEN(data!E235)&gt;0</f>
        <v>0</v>
      </c>
      <c r="H235" s="4" t="b">
        <f>LEN(data!E235)&lt;=35</f>
        <v>1</v>
      </c>
      <c r="I235" s="4" t="b">
        <f>LEN(data!F235)=2</f>
        <v>0</v>
      </c>
      <c r="J235" s="4" t="b">
        <f>LEN(data!G235)&gt;0</f>
        <v>0</v>
      </c>
      <c r="K235" s="4" t="b">
        <f>LEN(data!G235)&lt;=60</f>
        <v>1</v>
      </c>
      <c r="L235" s="4" t="b">
        <f>LEN(data!I235)&gt;0</f>
        <v>0</v>
      </c>
      <c r="M235" s="4" t="b">
        <f>LEN(data!I235)&lt;=70</f>
        <v>1</v>
      </c>
      <c r="N235" s="4" t="b">
        <f>LEN(data!J235)&gt;0</f>
        <v>0</v>
      </c>
      <c r="O235" s="4" t="b">
        <f>LEN(data!J235)&lt;=140</f>
        <v>1</v>
      </c>
      <c r="P235" s="4" t="b">
        <f>LEN(data!K235)&gt;0</f>
        <v>0</v>
      </c>
      <c r="Q235" s="4" t="b">
        <f>LEN(data!K235)&lt;=35</f>
        <v>1</v>
      </c>
      <c r="R235" s="4" t="b">
        <f>LEN(data!L235)=2</f>
        <v>0</v>
      </c>
      <c r="S235" s="4" t="b">
        <f>LEN(data!M235)&gt;0</f>
        <v>0</v>
      </c>
      <c r="T235" s="4" t="b">
        <f>LEN(data!M235)&lt;=60</f>
        <v>1</v>
      </c>
      <c r="U235" s="4" t="b">
        <f>LEN(data!O235)&gt;0</f>
        <v>0</v>
      </c>
      <c r="V235" s="4" t="b">
        <f>LEN(data!O235)&lt;=70</f>
        <v>1</v>
      </c>
      <c r="W235" s="4" t="b">
        <f>LEN(data!P235)&gt;0</f>
        <v>0</v>
      </c>
      <c r="X235" s="4" t="b">
        <f>LEN(data!P235)&lt;=140</f>
        <v>1</v>
      </c>
      <c r="Y235" s="4" t="b">
        <f>LEN(data!Q235)&gt;0</f>
        <v>0</v>
      </c>
      <c r="Z235" s="4" t="b">
        <f>LEN(data!Q235)&lt;=35</f>
        <v>1</v>
      </c>
      <c r="AA235" s="4" t="b">
        <f>LEN(data!R235)=2</f>
        <v>0</v>
      </c>
      <c r="AB235" s="4" t="b">
        <f>LEN(data!S235)&gt;0</f>
        <v>0</v>
      </c>
      <c r="AC235" s="4" t="b">
        <f>LEN(data!S235)&lt;=120</f>
        <v>1</v>
      </c>
      <c r="AD235" s="4" t="b">
        <f>LEN(data!U235)=11</f>
        <v>0</v>
      </c>
      <c r="AE235" s="4" t="b">
        <f>AND(ISERROR(MATCH(data!V235, rule_mapping!$C$2:$C$325, 0))=FALSE, LEN(data!V235) &lt;= 4)</f>
        <v>0</v>
      </c>
      <c r="AF235" s="4" t="b">
        <f>LEN(data!W235)&gt;0</f>
        <v>0</v>
      </c>
      <c r="AG235" s="4" t="b">
        <f>LEN(data!W235)&lt;=20</f>
        <v>1</v>
      </c>
      <c r="AH235" s="4" t="b">
        <f xml:space="preserve"> IFERROR(ISNUMBER(data!X235), FALSE)</f>
        <v>0</v>
      </c>
      <c r="AI235" s="4" t="b">
        <f>IF(ISERROR(MATCH(data!Y235, rule_mapping!$D$2:$D$252, 0))=FALSE,TRUE, FALSE)</f>
        <v>0</v>
      </c>
      <c r="AJ235" s="4" t="b">
        <f>IFERROR(ISNUMBER(data!Z235), FALSE)</f>
        <v>0</v>
      </c>
      <c r="AK235" s="4" t="b">
        <f>IFERROR(ISNUMBER(data!AA235), FALSE)</f>
        <v>0</v>
      </c>
      <c r="AL235" s="4" t="b">
        <f>LEN(data!AB235)&lt;=90</f>
        <v>1</v>
      </c>
      <c r="AM235" s="4" t="b">
        <f>LEN(data!AC235)&gt;0</f>
        <v>0</v>
      </c>
      <c r="AN235" s="4" t="b">
        <f>LEN(data!AC235)&lt;=2000</f>
        <v>1</v>
      </c>
      <c r="AO235" s="4" t="b">
        <f>IF(LEN(data!AD235)=0,TRUE,IF(LEN(data!AD235)=5,TRUE,FALSE))</f>
        <v>1</v>
      </c>
      <c r="AP235" s="4" t="b">
        <f>LEN(data!AE235)&gt;0</f>
        <v>0</v>
      </c>
      <c r="AQ235" s="4" t="b">
        <f>LEN(data!AE235)=5</f>
        <v>0</v>
      </c>
      <c r="AR235" s="4" t="b">
        <f>ISERROR(MATCH(data!AF235, rule_mapping!$B$2:$B$3, 0))=FALSE</f>
        <v>0</v>
      </c>
      <c r="AS235" s="4" t="b">
        <f>ISERROR(MATCH(data!AG235, rule_mapping!$A$2:$A$8, 0))=FALSE</f>
        <v>0</v>
      </c>
      <c r="AT235" s="4" t="b">
        <f>LEN(data!AH235)&lt;=4</f>
        <v>1</v>
      </c>
      <c r="AU235" s="4" t="b">
        <f>LEN(data!AI235)&lt;=10</f>
        <v>1</v>
      </c>
      <c r="AV235" s="4" t="b">
        <f>LEN(data!AJ235)&lt;=35</f>
        <v>1</v>
      </c>
      <c r="AW235" s="4" t="b">
        <f>LEN(data!AK235)&lt;=20</f>
        <v>1</v>
      </c>
      <c r="AX235"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6" spans="1:50" ht="409.5" x14ac:dyDescent="0.15">
      <c r="A236" s="4" t="b">
        <f>OR(ISBLANK(data!B236), AND(B236:AW236))</f>
        <v>1</v>
      </c>
      <c r="B236" s="4" t="b">
        <f>AND(LEFT(TRIM(data!B236), 4)="OOLU", ISNUMBER(RIGHT(TRIM(data!B236), LEN(TRIM(data!B236))-4)+0))</f>
        <v>0</v>
      </c>
      <c r="C236" s="4" t="b">
        <f>LEN(data!C236)&gt;0</f>
        <v>0</v>
      </c>
      <c r="D236" s="4" t="b">
        <f>LEN(data!C236)&lt;=70</f>
        <v>1</v>
      </c>
      <c r="E236" s="4" t="b">
        <f>LEN(data!D236)&gt;0</f>
        <v>0</v>
      </c>
      <c r="F236" s="4" t="b">
        <f>LEN(data!D236)&lt;=140</f>
        <v>1</v>
      </c>
      <c r="G236" s="4" t="b">
        <f>LEN(data!E236)&gt;0</f>
        <v>0</v>
      </c>
      <c r="H236" s="4" t="b">
        <f>LEN(data!E236)&lt;=35</f>
        <v>1</v>
      </c>
      <c r="I236" s="4" t="b">
        <f>LEN(data!F236)=2</f>
        <v>0</v>
      </c>
      <c r="J236" s="4" t="b">
        <f>LEN(data!G236)&gt;0</f>
        <v>0</v>
      </c>
      <c r="K236" s="4" t="b">
        <f>LEN(data!G236)&lt;=60</f>
        <v>1</v>
      </c>
      <c r="L236" s="4" t="b">
        <f>LEN(data!I236)&gt;0</f>
        <v>0</v>
      </c>
      <c r="M236" s="4" t="b">
        <f>LEN(data!I236)&lt;=70</f>
        <v>1</v>
      </c>
      <c r="N236" s="4" t="b">
        <f>LEN(data!J236)&gt;0</f>
        <v>0</v>
      </c>
      <c r="O236" s="4" t="b">
        <f>LEN(data!J236)&lt;=140</f>
        <v>1</v>
      </c>
      <c r="P236" s="4" t="b">
        <f>LEN(data!K236)&gt;0</f>
        <v>0</v>
      </c>
      <c r="Q236" s="4" t="b">
        <f>LEN(data!K236)&lt;=35</f>
        <v>1</v>
      </c>
      <c r="R236" s="4" t="b">
        <f>LEN(data!L236)=2</f>
        <v>0</v>
      </c>
      <c r="S236" s="4" t="b">
        <f>LEN(data!M236)&gt;0</f>
        <v>0</v>
      </c>
      <c r="T236" s="4" t="b">
        <f>LEN(data!M236)&lt;=60</f>
        <v>1</v>
      </c>
      <c r="U236" s="4" t="b">
        <f>LEN(data!O236)&gt;0</f>
        <v>0</v>
      </c>
      <c r="V236" s="4" t="b">
        <f>LEN(data!O236)&lt;=70</f>
        <v>1</v>
      </c>
      <c r="W236" s="4" t="b">
        <f>LEN(data!P236)&gt;0</f>
        <v>0</v>
      </c>
      <c r="X236" s="4" t="b">
        <f>LEN(data!P236)&lt;=140</f>
        <v>1</v>
      </c>
      <c r="Y236" s="4" t="b">
        <f>LEN(data!Q236)&gt;0</f>
        <v>0</v>
      </c>
      <c r="Z236" s="4" t="b">
        <f>LEN(data!Q236)&lt;=35</f>
        <v>1</v>
      </c>
      <c r="AA236" s="4" t="b">
        <f>LEN(data!R236)=2</f>
        <v>0</v>
      </c>
      <c r="AB236" s="4" t="b">
        <f>LEN(data!S236)&gt;0</f>
        <v>0</v>
      </c>
      <c r="AC236" s="4" t="b">
        <f>LEN(data!S236)&lt;=120</f>
        <v>1</v>
      </c>
      <c r="AD236" s="4" t="b">
        <f>LEN(data!U236)=11</f>
        <v>0</v>
      </c>
      <c r="AE236" s="4" t="b">
        <f>AND(ISERROR(MATCH(data!V236, rule_mapping!$C$2:$C$325, 0))=FALSE, LEN(data!V236) &lt;= 4)</f>
        <v>0</v>
      </c>
      <c r="AF236" s="4" t="b">
        <f>LEN(data!W236)&gt;0</f>
        <v>0</v>
      </c>
      <c r="AG236" s="4" t="b">
        <f>LEN(data!W236)&lt;=20</f>
        <v>1</v>
      </c>
      <c r="AH236" s="4" t="b">
        <f xml:space="preserve"> IFERROR(ISNUMBER(data!X236), FALSE)</f>
        <v>0</v>
      </c>
      <c r="AI236" s="4" t="b">
        <f>IF(ISERROR(MATCH(data!Y236, rule_mapping!$D$2:$D$252, 0))=FALSE,TRUE, FALSE)</f>
        <v>0</v>
      </c>
      <c r="AJ236" s="4" t="b">
        <f>IFERROR(ISNUMBER(data!Z236), FALSE)</f>
        <v>0</v>
      </c>
      <c r="AK236" s="4" t="b">
        <f>IFERROR(ISNUMBER(data!AA236), FALSE)</f>
        <v>0</v>
      </c>
      <c r="AL236" s="4" t="b">
        <f>LEN(data!AB236)&lt;=90</f>
        <v>1</v>
      </c>
      <c r="AM236" s="4" t="b">
        <f>LEN(data!AC236)&gt;0</f>
        <v>0</v>
      </c>
      <c r="AN236" s="4" t="b">
        <f>LEN(data!AC236)&lt;=2000</f>
        <v>1</v>
      </c>
      <c r="AO236" s="4" t="b">
        <f>IF(LEN(data!AD236)=0,TRUE,IF(LEN(data!AD236)=5,TRUE,FALSE))</f>
        <v>1</v>
      </c>
      <c r="AP236" s="4" t="b">
        <f>LEN(data!AE236)&gt;0</f>
        <v>0</v>
      </c>
      <c r="AQ236" s="4" t="b">
        <f>LEN(data!AE236)=5</f>
        <v>0</v>
      </c>
      <c r="AR236" s="4" t="b">
        <f>ISERROR(MATCH(data!AF236, rule_mapping!$B$2:$B$3, 0))=FALSE</f>
        <v>0</v>
      </c>
      <c r="AS236" s="4" t="b">
        <f>ISERROR(MATCH(data!AG236, rule_mapping!$A$2:$A$8, 0))=FALSE</f>
        <v>0</v>
      </c>
      <c r="AT236" s="4" t="b">
        <f>LEN(data!AH236)&lt;=4</f>
        <v>1</v>
      </c>
      <c r="AU236" s="4" t="b">
        <f>LEN(data!AI236)&lt;=10</f>
        <v>1</v>
      </c>
      <c r="AV236" s="4" t="b">
        <f>LEN(data!AJ236)&lt;=35</f>
        <v>1</v>
      </c>
      <c r="AW236" s="4" t="b">
        <f>LEN(data!AK236)&lt;=20</f>
        <v>1</v>
      </c>
      <c r="AX236"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7" spans="1:50" ht="409.5" x14ac:dyDescent="0.15">
      <c r="A237" s="4" t="b">
        <f>OR(ISBLANK(data!B237), AND(B237:AW237))</f>
        <v>1</v>
      </c>
      <c r="B237" s="4" t="b">
        <f>AND(LEFT(TRIM(data!B237), 4)="OOLU", ISNUMBER(RIGHT(TRIM(data!B237), LEN(TRIM(data!B237))-4)+0))</f>
        <v>0</v>
      </c>
      <c r="C237" s="4" t="b">
        <f>LEN(data!C237)&gt;0</f>
        <v>0</v>
      </c>
      <c r="D237" s="4" t="b">
        <f>LEN(data!C237)&lt;=70</f>
        <v>1</v>
      </c>
      <c r="E237" s="4" t="b">
        <f>LEN(data!D237)&gt;0</f>
        <v>0</v>
      </c>
      <c r="F237" s="4" t="b">
        <f>LEN(data!D237)&lt;=140</f>
        <v>1</v>
      </c>
      <c r="G237" s="4" t="b">
        <f>LEN(data!E237)&gt;0</f>
        <v>0</v>
      </c>
      <c r="H237" s="4" t="b">
        <f>LEN(data!E237)&lt;=35</f>
        <v>1</v>
      </c>
      <c r="I237" s="4" t="b">
        <f>LEN(data!F237)=2</f>
        <v>0</v>
      </c>
      <c r="J237" s="4" t="b">
        <f>LEN(data!G237)&gt;0</f>
        <v>0</v>
      </c>
      <c r="K237" s="4" t="b">
        <f>LEN(data!G237)&lt;=60</f>
        <v>1</v>
      </c>
      <c r="L237" s="4" t="b">
        <f>LEN(data!I237)&gt;0</f>
        <v>0</v>
      </c>
      <c r="M237" s="4" t="b">
        <f>LEN(data!I237)&lt;=70</f>
        <v>1</v>
      </c>
      <c r="N237" s="4" t="b">
        <f>LEN(data!J237)&gt;0</f>
        <v>0</v>
      </c>
      <c r="O237" s="4" t="b">
        <f>LEN(data!J237)&lt;=140</f>
        <v>1</v>
      </c>
      <c r="P237" s="4" t="b">
        <f>LEN(data!K237)&gt;0</f>
        <v>0</v>
      </c>
      <c r="Q237" s="4" t="b">
        <f>LEN(data!K237)&lt;=35</f>
        <v>1</v>
      </c>
      <c r="R237" s="4" t="b">
        <f>LEN(data!L237)=2</f>
        <v>0</v>
      </c>
      <c r="S237" s="4" t="b">
        <f>LEN(data!M237)&gt;0</f>
        <v>0</v>
      </c>
      <c r="T237" s="4" t="b">
        <f>LEN(data!M237)&lt;=60</f>
        <v>1</v>
      </c>
      <c r="U237" s="4" t="b">
        <f>LEN(data!O237)&gt;0</f>
        <v>0</v>
      </c>
      <c r="V237" s="4" t="b">
        <f>LEN(data!O237)&lt;=70</f>
        <v>1</v>
      </c>
      <c r="W237" s="4" t="b">
        <f>LEN(data!P237)&gt;0</f>
        <v>0</v>
      </c>
      <c r="X237" s="4" t="b">
        <f>LEN(data!P237)&lt;=140</f>
        <v>1</v>
      </c>
      <c r="Y237" s="4" t="b">
        <f>LEN(data!Q237)&gt;0</f>
        <v>0</v>
      </c>
      <c r="Z237" s="4" t="b">
        <f>LEN(data!Q237)&lt;=35</f>
        <v>1</v>
      </c>
      <c r="AA237" s="4" t="b">
        <f>LEN(data!R237)=2</f>
        <v>0</v>
      </c>
      <c r="AB237" s="4" t="b">
        <f>LEN(data!S237)&gt;0</f>
        <v>0</v>
      </c>
      <c r="AC237" s="4" t="b">
        <f>LEN(data!S237)&lt;=120</f>
        <v>1</v>
      </c>
      <c r="AD237" s="4" t="b">
        <f>LEN(data!U237)=11</f>
        <v>0</v>
      </c>
      <c r="AE237" s="4" t="b">
        <f>AND(ISERROR(MATCH(data!V237, rule_mapping!$C$2:$C$325, 0))=FALSE, LEN(data!V237) &lt;= 4)</f>
        <v>0</v>
      </c>
      <c r="AF237" s="4" t="b">
        <f>LEN(data!W237)&gt;0</f>
        <v>0</v>
      </c>
      <c r="AG237" s="4" t="b">
        <f>LEN(data!W237)&lt;=20</f>
        <v>1</v>
      </c>
      <c r="AH237" s="4" t="b">
        <f xml:space="preserve"> IFERROR(ISNUMBER(data!X237), FALSE)</f>
        <v>0</v>
      </c>
      <c r="AI237" s="4" t="b">
        <f>IF(ISERROR(MATCH(data!Y237, rule_mapping!$D$2:$D$252, 0))=FALSE,TRUE, FALSE)</f>
        <v>0</v>
      </c>
      <c r="AJ237" s="4" t="b">
        <f>IFERROR(ISNUMBER(data!Z237), FALSE)</f>
        <v>0</v>
      </c>
      <c r="AK237" s="4" t="b">
        <f>IFERROR(ISNUMBER(data!AA237), FALSE)</f>
        <v>0</v>
      </c>
      <c r="AL237" s="4" t="b">
        <f>LEN(data!AB237)&lt;=90</f>
        <v>1</v>
      </c>
      <c r="AM237" s="4" t="b">
        <f>LEN(data!AC237)&gt;0</f>
        <v>0</v>
      </c>
      <c r="AN237" s="4" t="b">
        <f>LEN(data!AC237)&lt;=2000</f>
        <v>1</v>
      </c>
      <c r="AO237" s="4" t="b">
        <f>IF(LEN(data!AD237)=0,TRUE,IF(LEN(data!AD237)=5,TRUE,FALSE))</f>
        <v>1</v>
      </c>
      <c r="AP237" s="4" t="b">
        <f>LEN(data!AE237)&gt;0</f>
        <v>0</v>
      </c>
      <c r="AQ237" s="4" t="b">
        <f>LEN(data!AE237)=5</f>
        <v>0</v>
      </c>
      <c r="AR237" s="4" t="b">
        <f>ISERROR(MATCH(data!AF237, rule_mapping!$B$2:$B$3, 0))=FALSE</f>
        <v>0</v>
      </c>
      <c r="AS237" s="4" t="b">
        <f>ISERROR(MATCH(data!AG237, rule_mapping!$A$2:$A$8, 0))=FALSE</f>
        <v>0</v>
      </c>
      <c r="AT237" s="4" t="b">
        <f>LEN(data!AH237)&lt;=4</f>
        <v>1</v>
      </c>
      <c r="AU237" s="4" t="b">
        <f>LEN(data!AI237)&lt;=10</f>
        <v>1</v>
      </c>
      <c r="AV237" s="4" t="b">
        <f>LEN(data!AJ237)&lt;=35</f>
        <v>1</v>
      </c>
      <c r="AW237" s="4" t="b">
        <f>LEN(data!AK237)&lt;=20</f>
        <v>1</v>
      </c>
      <c r="AX237"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8" spans="1:50" ht="409.5" x14ac:dyDescent="0.15">
      <c r="A238" s="4" t="b">
        <f>OR(ISBLANK(data!B238), AND(B238:AW238))</f>
        <v>1</v>
      </c>
      <c r="B238" s="4" t="b">
        <f>AND(LEFT(TRIM(data!B238), 4)="OOLU", ISNUMBER(RIGHT(TRIM(data!B238), LEN(TRIM(data!B238))-4)+0))</f>
        <v>0</v>
      </c>
      <c r="C238" s="4" t="b">
        <f>LEN(data!C238)&gt;0</f>
        <v>0</v>
      </c>
      <c r="D238" s="4" t="b">
        <f>LEN(data!C238)&lt;=70</f>
        <v>1</v>
      </c>
      <c r="E238" s="4" t="b">
        <f>LEN(data!D238)&gt;0</f>
        <v>0</v>
      </c>
      <c r="F238" s="4" t="b">
        <f>LEN(data!D238)&lt;=140</f>
        <v>1</v>
      </c>
      <c r="G238" s="4" t="b">
        <f>LEN(data!E238)&gt;0</f>
        <v>0</v>
      </c>
      <c r="H238" s="4" t="b">
        <f>LEN(data!E238)&lt;=35</f>
        <v>1</v>
      </c>
      <c r="I238" s="4" t="b">
        <f>LEN(data!F238)=2</f>
        <v>0</v>
      </c>
      <c r="J238" s="4" t="b">
        <f>LEN(data!G238)&gt;0</f>
        <v>0</v>
      </c>
      <c r="K238" s="4" t="b">
        <f>LEN(data!G238)&lt;=60</f>
        <v>1</v>
      </c>
      <c r="L238" s="4" t="b">
        <f>LEN(data!I238)&gt;0</f>
        <v>0</v>
      </c>
      <c r="M238" s="4" t="b">
        <f>LEN(data!I238)&lt;=70</f>
        <v>1</v>
      </c>
      <c r="N238" s="4" t="b">
        <f>LEN(data!J238)&gt;0</f>
        <v>0</v>
      </c>
      <c r="O238" s="4" t="b">
        <f>LEN(data!J238)&lt;=140</f>
        <v>1</v>
      </c>
      <c r="P238" s="4" t="b">
        <f>LEN(data!K238)&gt;0</f>
        <v>0</v>
      </c>
      <c r="Q238" s="4" t="b">
        <f>LEN(data!K238)&lt;=35</f>
        <v>1</v>
      </c>
      <c r="R238" s="4" t="b">
        <f>LEN(data!L238)=2</f>
        <v>0</v>
      </c>
      <c r="S238" s="4" t="b">
        <f>LEN(data!M238)&gt;0</f>
        <v>0</v>
      </c>
      <c r="T238" s="4" t="b">
        <f>LEN(data!M238)&lt;=60</f>
        <v>1</v>
      </c>
      <c r="U238" s="4" t="b">
        <f>LEN(data!O238)&gt;0</f>
        <v>0</v>
      </c>
      <c r="V238" s="4" t="b">
        <f>LEN(data!O238)&lt;=70</f>
        <v>1</v>
      </c>
      <c r="W238" s="4" t="b">
        <f>LEN(data!P238)&gt;0</f>
        <v>0</v>
      </c>
      <c r="X238" s="4" t="b">
        <f>LEN(data!P238)&lt;=140</f>
        <v>1</v>
      </c>
      <c r="Y238" s="4" t="b">
        <f>LEN(data!Q238)&gt;0</f>
        <v>0</v>
      </c>
      <c r="Z238" s="4" t="b">
        <f>LEN(data!Q238)&lt;=35</f>
        <v>1</v>
      </c>
      <c r="AA238" s="4" t="b">
        <f>LEN(data!R238)=2</f>
        <v>0</v>
      </c>
      <c r="AB238" s="4" t="b">
        <f>LEN(data!S238)&gt;0</f>
        <v>0</v>
      </c>
      <c r="AC238" s="4" t="b">
        <f>LEN(data!S238)&lt;=120</f>
        <v>1</v>
      </c>
      <c r="AD238" s="4" t="b">
        <f>LEN(data!U238)=11</f>
        <v>0</v>
      </c>
      <c r="AE238" s="4" t="b">
        <f>AND(ISERROR(MATCH(data!V238, rule_mapping!$C$2:$C$325, 0))=FALSE, LEN(data!V238) &lt;= 4)</f>
        <v>0</v>
      </c>
      <c r="AF238" s="4" t="b">
        <f>LEN(data!W238)&gt;0</f>
        <v>0</v>
      </c>
      <c r="AG238" s="4" t="b">
        <f>LEN(data!W238)&lt;=20</f>
        <v>1</v>
      </c>
      <c r="AH238" s="4" t="b">
        <f xml:space="preserve"> IFERROR(ISNUMBER(data!X238), FALSE)</f>
        <v>0</v>
      </c>
      <c r="AI238" s="4" t="b">
        <f>IF(ISERROR(MATCH(data!Y238, rule_mapping!$D$2:$D$252, 0))=FALSE,TRUE, FALSE)</f>
        <v>0</v>
      </c>
      <c r="AJ238" s="4" t="b">
        <f>IFERROR(ISNUMBER(data!Z238), FALSE)</f>
        <v>0</v>
      </c>
      <c r="AK238" s="4" t="b">
        <f>IFERROR(ISNUMBER(data!AA238), FALSE)</f>
        <v>0</v>
      </c>
      <c r="AL238" s="4" t="b">
        <f>LEN(data!AB238)&lt;=90</f>
        <v>1</v>
      </c>
      <c r="AM238" s="4" t="b">
        <f>LEN(data!AC238)&gt;0</f>
        <v>0</v>
      </c>
      <c r="AN238" s="4" t="b">
        <f>LEN(data!AC238)&lt;=2000</f>
        <v>1</v>
      </c>
      <c r="AO238" s="4" t="b">
        <f>IF(LEN(data!AD238)=0,TRUE,IF(LEN(data!AD238)=5,TRUE,FALSE))</f>
        <v>1</v>
      </c>
      <c r="AP238" s="4" t="b">
        <f>LEN(data!AE238)&gt;0</f>
        <v>0</v>
      </c>
      <c r="AQ238" s="4" t="b">
        <f>LEN(data!AE238)=5</f>
        <v>0</v>
      </c>
      <c r="AR238" s="4" t="b">
        <f>ISERROR(MATCH(data!AF238, rule_mapping!$B$2:$B$3, 0))=FALSE</f>
        <v>0</v>
      </c>
      <c r="AS238" s="4" t="b">
        <f>ISERROR(MATCH(data!AG238, rule_mapping!$A$2:$A$8, 0))=FALSE</f>
        <v>0</v>
      </c>
      <c r="AT238" s="4" t="b">
        <f>LEN(data!AH238)&lt;=4</f>
        <v>1</v>
      </c>
      <c r="AU238" s="4" t="b">
        <f>LEN(data!AI238)&lt;=10</f>
        <v>1</v>
      </c>
      <c r="AV238" s="4" t="b">
        <f>LEN(data!AJ238)&lt;=35</f>
        <v>1</v>
      </c>
      <c r="AW238" s="4" t="b">
        <f>LEN(data!AK238)&lt;=20</f>
        <v>1</v>
      </c>
      <c r="AX238"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39" spans="1:50" ht="409.5" x14ac:dyDescent="0.15">
      <c r="A239" s="4" t="b">
        <f>OR(ISBLANK(data!B239), AND(B239:AW239))</f>
        <v>1</v>
      </c>
      <c r="B239" s="4" t="b">
        <f>AND(LEFT(TRIM(data!B239), 4)="OOLU", ISNUMBER(RIGHT(TRIM(data!B239), LEN(TRIM(data!B239))-4)+0))</f>
        <v>0</v>
      </c>
      <c r="C239" s="4" t="b">
        <f>LEN(data!C239)&gt;0</f>
        <v>0</v>
      </c>
      <c r="D239" s="4" t="b">
        <f>LEN(data!C239)&lt;=70</f>
        <v>1</v>
      </c>
      <c r="E239" s="4" t="b">
        <f>LEN(data!D239)&gt;0</f>
        <v>0</v>
      </c>
      <c r="F239" s="4" t="b">
        <f>LEN(data!D239)&lt;=140</f>
        <v>1</v>
      </c>
      <c r="G239" s="4" t="b">
        <f>LEN(data!E239)&gt;0</f>
        <v>0</v>
      </c>
      <c r="H239" s="4" t="b">
        <f>LEN(data!E239)&lt;=35</f>
        <v>1</v>
      </c>
      <c r="I239" s="4" t="b">
        <f>LEN(data!F239)=2</f>
        <v>0</v>
      </c>
      <c r="J239" s="4" t="b">
        <f>LEN(data!G239)&gt;0</f>
        <v>0</v>
      </c>
      <c r="K239" s="4" t="b">
        <f>LEN(data!G239)&lt;=60</f>
        <v>1</v>
      </c>
      <c r="L239" s="4" t="b">
        <f>LEN(data!I239)&gt;0</f>
        <v>0</v>
      </c>
      <c r="M239" s="4" t="b">
        <f>LEN(data!I239)&lt;=70</f>
        <v>1</v>
      </c>
      <c r="N239" s="4" t="b">
        <f>LEN(data!J239)&gt;0</f>
        <v>0</v>
      </c>
      <c r="O239" s="4" t="b">
        <f>LEN(data!J239)&lt;=140</f>
        <v>1</v>
      </c>
      <c r="P239" s="4" t="b">
        <f>LEN(data!K239)&gt;0</f>
        <v>0</v>
      </c>
      <c r="Q239" s="4" t="b">
        <f>LEN(data!K239)&lt;=35</f>
        <v>1</v>
      </c>
      <c r="R239" s="4" t="b">
        <f>LEN(data!L239)=2</f>
        <v>0</v>
      </c>
      <c r="S239" s="4" t="b">
        <f>LEN(data!M239)&gt;0</f>
        <v>0</v>
      </c>
      <c r="T239" s="4" t="b">
        <f>LEN(data!M239)&lt;=60</f>
        <v>1</v>
      </c>
      <c r="U239" s="4" t="b">
        <f>LEN(data!O239)&gt;0</f>
        <v>0</v>
      </c>
      <c r="V239" s="4" t="b">
        <f>LEN(data!O239)&lt;=70</f>
        <v>1</v>
      </c>
      <c r="W239" s="4" t="b">
        <f>LEN(data!P239)&gt;0</f>
        <v>0</v>
      </c>
      <c r="X239" s="4" t="b">
        <f>LEN(data!P239)&lt;=140</f>
        <v>1</v>
      </c>
      <c r="Y239" s="4" t="b">
        <f>LEN(data!Q239)&gt;0</f>
        <v>0</v>
      </c>
      <c r="Z239" s="4" t="b">
        <f>LEN(data!Q239)&lt;=35</f>
        <v>1</v>
      </c>
      <c r="AA239" s="4" t="b">
        <f>LEN(data!R239)=2</f>
        <v>0</v>
      </c>
      <c r="AB239" s="4" t="b">
        <f>LEN(data!S239)&gt;0</f>
        <v>0</v>
      </c>
      <c r="AC239" s="4" t="b">
        <f>LEN(data!S239)&lt;=120</f>
        <v>1</v>
      </c>
      <c r="AD239" s="4" t="b">
        <f>LEN(data!U239)=11</f>
        <v>0</v>
      </c>
      <c r="AE239" s="4" t="b">
        <f>AND(ISERROR(MATCH(data!V239, rule_mapping!$C$2:$C$325, 0))=FALSE, LEN(data!V239) &lt;= 4)</f>
        <v>0</v>
      </c>
      <c r="AF239" s="4" t="b">
        <f>LEN(data!W239)&gt;0</f>
        <v>0</v>
      </c>
      <c r="AG239" s="4" t="b">
        <f>LEN(data!W239)&lt;=20</f>
        <v>1</v>
      </c>
      <c r="AH239" s="4" t="b">
        <f xml:space="preserve"> IFERROR(ISNUMBER(data!X239), FALSE)</f>
        <v>0</v>
      </c>
      <c r="AI239" s="4" t="b">
        <f>IF(ISERROR(MATCH(data!Y239, rule_mapping!$D$2:$D$252, 0))=FALSE,TRUE, FALSE)</f>
        <v>0</v>
      </c>
      <c r="AJ239" s="4" t="b">
        <f>IFERROR(ISNUMBER(data!Z239), FALSE)</f>
        <v>0</v>
      </c>
      <c r="AK239" s="4" t="b">
        <f>IFERROR(ISNUMBER(data!AA239), FALSE)</f>
        <v>0</v>
      </c>
      <c r="AL239" s="4" t="b">
        <f>LEN(data!AB239)&lt;=90</f>
        <v>1</v>
      </c>
      <c r="AM239" s="4" t="b">
        <f>LEN(data!AC239)&gt;0</f>
        <v>0</v>
      </c>
      <c r="AN239" s="4" t="b">
        <f>LEN(data!AC239)&lt;=2000</f>
        <v>1</v>
      </c>
      <c r="AO239" s="4" t="b">
        <f>IF(LEN(data!AD239)=0,TRUE,IF(LEN(data!AD239)=5,TRUE,FALSE))</f>
        <v>1</v>
      </c>
      <c r="AP239" s="4" t="b">
        <f>LEN(data!AE239)&gt;0</f>
        <v>0</v>
      </c>
      <c r="AQ239" s="4" t="b">
        <f>LEN(data!AE239)=5</f>
        <v>0</v>
      </c>
      <c r="AR239" s="4" t="b">
        <f>ISERROR(MATCH(data!AF239, rule_mapping!$B$2:$B$3, 0))=FALSE</f>
        <v>0</v>
      </c>
      <c r="AS239" s="4" t="b">
        <f>ISERROR(MATCH(data!AG239, rule_mapping!$A$2:$A$8, 0))=FALSE</f>
        <v>0</v>
      </c>
      <c r="AT239" s="4" t="b">
        <f>LEN(data!AH239)&lt;=4</f>
        <v>1</v>
      </c>
      <c r="AU239" s="4" t="b">
        <f>LEN(data!AI239)&lt;=10</f>
        <v>1</v>
      </c>
      <c r="AV239" s="4" t="b">
        <f>LEN(data!AJ239)&lt;=35</f>
        <v>1</v>
      </c>
      <c r="AW239" s="4" t="b">
        <f>LEN(data!AK239)&lt;=20</f>
        <v>1</v>
      </c>
      <c r="AX239"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0" spans="1:50" ht="409.5" x14ac:dyDescent="0.15">
      <c r="A240" s="4" t="b">
        <f>OR(ISBLANK(data!B240), AND(B240:AW240))</f>
        <v>1</v>
      </c>
      <c r="B240" s="4" t="b">
        <f>AND(LEFT(TRIM(data!B240), 4)="OOLU", ISNUMBER(RIGHT(TRIM(data!B240), LEN(TRIM(data!B240))-4)+0))</f>
        <v>0</v>
      </c>
      <c r="C240" s="4" t="b">
        <f>LEN(data!C240)&gt;0</f>
        <v>0</v>
      </c>
      <c r="D240" s="4" t="b">
        <f>LEN(data!C240)&lt;=70</f>
        <v>1</v>
      </c>
      <c r="E240" s="4" t="b">
        <f>LEN(data!D240)&gt;0</f>
        <v>0</v>
      </c>
      <c r="F240" s="4" t="b">
        <f>LEN(data!D240)&lt;=140</f>
        <v>1</v>
      </c>
      <c r="G240" s="4" t="b">
        <f>LEN(data!E240)&gt;0</f>
        <v>0</v>
      </c>
      <c r="H240" s="4" t="b">
        <f>LEN(data!E240)&lt;=35</f>
        <v>1</v>
      </c>
      <c r="I240" s="4" t="b">
        <f>LEN(data!F240)=2</f>
        <v>0</v>
      </c>
      <c r="J240" s="4" t="b">
        <f>LEN(data!G240)&gt;0</f>
        <v>0</v>
      </c>
      <c r="K240" s="4" t="b">
        <f>LEN(data!G240)&lt;=60</f>
        <v>1</v>
      </c>
      <c r="L240" s="4" t="b">
        <f>LEN(data!I240)&gt;0</f>
        <v>0</v>
      </c>
      <c r="M240" s="4" t="b">
        <f>LEN(data!I240)&lt;=70</f>
        <v>1</v>
      </c>
      <c r="N240" s="4" t="b">
        <f>LEN(data!J240)&gt;0</f>
        <v>0</v>
      </c>
      <c r="O240" s="4" t="b">
        <f>LEN(data!J240)&lt;=140</f>
        <v>1</v>
      </c>
      <c r="P240" s="4" t="b">
        <f>LEN(data!K240)&gt;0</f>
        <v>0</v>
      </c>
      <c r="Q240" s="4" t="b">
        <f>LEN(data!K240)&lt;=35</f>
        <v>1</v>
      </c>
      <c r="R240" s="4" t="b">
        <f>LEN(data!L240)=2</f>
        <v>0</v>
      </c>
      <c r="S240" s="4" t="b">
        <f>LEN(data!M240)&gt;0</f>
        <v>0</v>
      </c>
      <c r="T240" s="4" t="b">
        <f>LEN(data!M240)&lt;=60</f>
        <v>1</v>
      </c>
      <c r="U240" s="4" t="b">
        <f>LEN(data!O240)&gt;0</f>
        <v>0</v>
      </c>
      <c r="V240" s="4" t="b">
        <f>LEN(data!O240)&lt;=70</f>
        <v>1</v>
      </c>
      <c r="W240" s="4" t="b">
        <f>LEN(data!P240)&gt;0</f>
        <v>0</v>
      </c>
      <c r="X240" s="4" t="b">
        <f>LEN(data!P240)&lt;=140</f>
        <v>1</v>
      </c>
      <c r="Y240" s="4" t="b">
        <f>LEN(data!Q240)&gt;0</f>
        <v>0</v>
      </c>
      <c r="Z240" s="4" t="b">
        <f>LEN(data!Q240)&lt;=35</f>
        <v>1</v>
      </c>
      <c r="AA240" s="4" t="b">
        <f>LEN(data!R240)=2</f>
        <v>0</v>
      </c>
      <c r="AB240" s="4" t="b">
        <f>LEN(data!S240)&gt;0</f>
        <v>0</v>
      </c>
      <c r="AC240" s="4" t="b">
        <f>LEN(data!S240)&lt;=120</f>
        <v>1</v>
      </c>
      <c r="AD240" s="4" t="b">
        <f>LEN(data!U240)=11</f>
        <v>0</v>
      </c>
      <c r="AE240" s="4" t="b">
        <f>AND(ISERROR(MATCH(data!V240, rule_mapping!$C$2:$C$325, 0))=FALSE, LEN(data!V240) &lt;= 4)</f>
        <v>0</v>
      </c>
      <c r="AF240" s="4" t="b">
        <f>LEN(data!W240)&gt;0</f>
        <v>0</v>
      </c>
      <c r="AG240" s="4" t="b">
        <f>LEN(data!W240)&lt;=20</f>
        <v>1</v>
      </c>
      <c r="AH240" s="4" t="b">
        <f xml:space="preserve"> IFERROR(ISNUMBER(data!X240), FALSE)</f>
        <v>0</v>
      </c>
      <c r="AI240" s="4" t="b">
        <f>IF(ISERROR(MATCH(data!Y240, rule_mapping!$D$2:$D$252, 0))=FALSE,TRUE, FALSE)</f>
        <v>0</v>
      </c>
      <c r="AJ240" s="4" t="b">
        <f>IFERROR(ISNUMBER(data!Z240), FALSE)</f>
        <v>0</v>
      </c>
      <c r="AK240" s="4" t="b">
        <f>IFERROR(ISNUMBER(data!AA240), FALSE)</f>
        <v>0</v>
      </c>
      <c r="AL240" s="4" t="b">
        <f>LEN(data!AB240)&lt;=90</f>
        <v>1</v>
      </c>
      <c r="AM240" s="4" t="b">
        <f>LEN(data!AC240)&gt;0</f>
        <v>0</v>
      </c>
      <c r="AN240" s="4" t="b">
        <f>LEN(data!AC240)&lt;=2000</f>
        <v>1</v>
      </c>
      <c r="AO240" s="4" t="b">
        <f>IF(LEN(data!AD240)=0,TRUE,IF(LEN(data!AD240)=5,TRUE,FALSE))</f>
        <v>1</v>
      </c>
      <c r="AP240" s="4" t="b">
        <f>LEN(data!AE240)&gt;0</f>
        <v>0</v>
      </c>
      <c r="AQ240" s="4" t="b">
        <f>LEN(data!AE240)=5</f>
        <v>0</v>
      </c>
      <c r="AR240" s="4" t="b">
        <f>ISERROR(MATCH(data!AF240, rule_mapping!$B$2:$B$3, 0))=FALSE</f>
        <v>0</v>
      </c>
      <c r="AS240" s="4" t="b">
        <f>ISERROR(MATCH(data!AG240, rule_mapping!$A$2:$A$8, 0))=FALSE</f>
        <v>0</v>
      </c>
      <c r="AT240" s="4" t="b">
        <f>LEN(data!AH240)&lt;=4</f>
        <v>1</v>
      </c>
      <c r="AU240" s="4" t="b">
        <f>LEN(data!AI240)&lt;=10</f>
        <v>1</v>
      </c>
      <c r="AV240" s="4" t="b">
        <f>LEN(data!AJ240)&lt;=35</f>
        <v>1</v>
      </c>
      <c r="AW240" s="4" t="b">
        <f>LEN(data!AK240)&lt;=20</f>
        <v>1</v>
      </c>
      <c r="AX240"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1" spans="1:50" ht="409.5" x14ac:dyDescent="0.15">
      <c r="A241" s="4" t="b">
        <f>OR(ISBLANK(data!B241), AND(B241:AW241))</f>
        <v>1</v>
      </c>
      <c r="B241" s="4" t="b">
        <f>AND(LEFT(TRIM(data!B241), 4)="OOLU", ISNUMBER(RIGHT(TRIM(data!B241), LEN(TRIM(data!B241))-4)+0))</f>
        <v>0</v>
      </c>
      <c r="C241" s="4" t="b">
        <f>LEN(data!C241)&gt;0</f>
        <v>0</v>
      </c>
      <c r="D241" s="4" t="b">
        <f>LEN(data!C241)&lt;=70</f>
        <v>1</v>
      </c>
      <c r="E241" s="4" t="b">
        <f>LEN(data!D241)&gt;0</f>
        <v>0</v>
      </c>
      <c r="F241" s="4" t="b">
        <f>LEN(data!D241)&lt;=140</f>
        <v>1</v>
      </c>
      <c r="G241" s="4" t="b">
        <f>LEN(data!E241)&gt;0</f>
        <v>0</v>
      </c>
      <c r="H241" s="4" t="b">
        <f>LEN(data!E241)&lt;=35</f>
        <v>1</v>
      </c>
      <c r="I241" s="4" t="b">
        <f>LEN(data!F241)=2</f>
        <v>0</v>
      </c>
      <c r="J241" s="4" t="b">
        <f>LEN(data!G241)&gt;0</f>
        <v>0</v>
      </c>
      <c r="K241" s="4" t="b">
        <f>LEN(data!G241)&lt;=60</f>
        <v>1</v>
      </c>
      <c r="L241" s="4" t="b">
        <f>LEN(data!I241)&gt;0</f>
        <v>0</v>
      </c>
      <c r="M241" s="4" t="b">
        <f>LEN(data!I241)&lt;=70</f>
        <v>1</v>
      </c>
      <c r="N241" s="4" t="b">
        <f>LEN(data!J241)&gt;0</f>
        <v>0</v>
      </c>
      <c r="O241" s="4" t="b">
        <f>LEN(data!J241)&lt;=140</f>
        <v>1</v>
      </c>
      <c r="P241" s="4" t="b">
        <f>LEN(data!K241)&gt;0</f>
        <v>0</v>
      </c>
      <c r="Q241" s="4" t="b">
        <f>LEN(data!K241)&lt;=35</f>
        <v>1</v>
      </c>
      <c r="R241" s="4" t="b">
        <f>LEN(data!L241)=2</f>
        <v>0</v>
      </c>
      <c r="S241" s="4" t="b">
        <f>LEN(data!M241)&gt;0</f>
        <v>0</v>
      </c>
      <c r="T241" s="4" t="b">
        <f>LEN(data!M241)&lt;=60</f>
        <v>1</v>
      </c>
      <c r="U241" s="4" t="b">
        <f>LEN(data!O241)&gt;0</f>
        <v>0</v>
      </c>
      <c r="V241" s="4" t="b">
        <f>LEN(data!O241)&lt;=70</f>
        <v>1</v>
      </c>
      <c r="W241" s="4" t="b">
        <f>LEN(data!P241)&gt;0</f>
        <v>0</v>
      </c>
      <c r="X241" s="4" t="b">
        <f>LEN(data!P241)&lt;=140</f>
        <v>1</v>
      </c>
      <c r="Y241" s="4" t="b">
        <f>LEN(data!Q241)&gt;0</f>
        <v>0</v>
      </c>
      <c r="Z241" s="4" t="b">
        <f>LEN(data!Q241)&lt;=35</f>
        <v>1</v>
      </c>
      <c r="AA241" s="4" t="b">
        <f>LEN(data!R241)=2</f>
        <v>0</v>
      </c>
      <c r="AB241" s="4" t="b">
        <f>LEN(data!S241)&gt;0</f>
        <v>0</v>
      </c>
      <c r="AC241" s="4" t="b">
        <f>LEN(data!S241)&lt;=120</f>
        <v>1</v>
      </c>
      <c r="AD241" s="4" t="b">
        <f>LEN(data!U241)=11</f>
        <v>0</v>
      </c>
      <c r="AE241" s="4" t="b">
        <f>AND(ISERROR(MATCH(data!V241, rule_mapping!$C$2:$C$325, 0))=FALSE, LEN(data!V241) &lt;= 4)</f>
        <v>0</v>
      </c>
      <c r="AF241" s="4" t="b">
        <f>LEN(data!W241)&gt;0</f>
        <v>0</v>
      </c>
      <c r="AG241" s="4" t="b">
        <f>LEN(data!W241)&lt;=20</f>
        <v>1</v>
      </c>
      <c r="AH241" s="4" t="b">
        <f xml:space="preserve"> IFERROR(ISNUMBER(data!X241), FALSE)</f>
        <v>0</v>
      </c>
      <c r="AI241" s="4" t="b">
        <f>IF(ISERROR(MATCH(data!Y241, rule_mapping!$D$2:$D$252, 0))=FALSE,TRUE, FALSE)</f>
        <v>0</v>
      </c>
      <c r="AJ241" s="4" t="b">
        <f>IFERROR(ISNUMBER(data!Z241), FALSE)</f>
        <v>0</v>
      </c>
      <c r="AK241" s="4" t="b">
        <f>IFERROR(ISNUMBER(data!AA241), FALSE)</f>
        <v>0</v>
      </c>
      <c r="AL241" s="4" t="b">
        <f>LEN(data!AB241)&lt;=90</f>
        <v>1</v>
      </c>
      <c r="AM241" s="4" t="b">
        <f>LEN(data!AC241)&gt;0</f>
        <v>0</v>
      </c>
      <c r="AN241" s="4" t="b">
        <f>LEN(data!AC241)&lt;=2000</f>
        <v>1</v>
      </c>
      <c r="AO241" s="4" t="b">
        <f>IF(LEN(data!AD241)=0,TRUE,IF(LEN(data!AD241)=5,TRUE,FALSE))</f>
        <v>1</v>
      </c>
      <c r="AP241" s="4" t="b">
        <f>LEN(data!AE241)&gt;0</f>
        <v>0</v>
      </c>
      <c r="AQ241" s="4" t="b">
        <f>LEN(data!AE241)=5</f>
        <v>0</v>
      </c>
      <c r="AR241" s="4" t="b">
        <f>ISERROR(MATCH(data!AF241, rule_mapping!$B$2:$B$3, 0))=FALSE</f>
        <v>0</v>
      </c>
      <c r="AS241" s="4" t="b">
        <f>ISERROR(MATCH(data!AG241, rule_mapping!$A$2:$A$8, 0))=FALSE</f>
        <v>0</v>
      </c>
      <c r="AT241" s="4" t="b">
        <f>LEN(data!AH241)&lt;=4</f>
        <v>1</v>
      </c>
      <c r="AU241" s="4" t="b">
        <f>LEN(data!AI241)&lt;=10</f>
        <v>1</v>
      </c>
      <c r="AV241" s="4" t="b">
        <f>LEN(data!AJ241)&lt;=35</f>
        <v>1</v>
      </c>
      <c r="AW241" s="4" t="b">
        <f>LEN(data!AK241)&lt;=20</f>
        <v>1</v>
      </c>
      <c r="AX241"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2" spans="1:50" ht="409.5" x14ac:dyDescent="0.15">
      <c r="A242" s="4" t="b">
        <f>OR(ISBLANK(data!B242), AND(B242:AW242))</f>
        <v>1</v>
      </c>
      <c r="B242" s="4" t="b">
        <f>AND(LEFT(TRIM(data!B242), 4)="OOLU", ISNUMBER(RIGHT(TRIM(data!B242), LEN(TRIM(data!B242))-4)+0))</f>
        <v>0</v>
      </c>
      <c r="C242" s="4" t="b">
        <f>LEN(data!C242)&gt;0</f>
        <v>0</v>
      </c>
      <c r="D242" s="4" t="b">
        <f>LEN(data!C242)&lt;=70</f>
        <v>1</v>
      </c>
      <c r="E242" s="4" t="b">
        <f>LEN(data!D242)&gt;0</f>
        <v>0</v>
      </c>
      <c r="F242" s="4" t="b">
        <f>LEN(data!D242)&lt;=140</f>
        <v>1</v>
      </c>
      <c r="G242" s="4" t="b">
        <f>LEN(data!E242)&gt;0</f>
        <v>0</v>
      </c>
      <c r="H242" s="4" t="b">
        <f>LEN(data!E242)&lt;=35</f>
        <v>1</v>
      </c>
      <c r="I242" s="4" t="b">
        <f>LEN(data!F242)=2</f>
        <v>0</v>
      </c>
      <c r="J242" s="4" t="b">
        <f>LEN(data!G242)&gt;0</f>
        <v>0</v>
      </c>
      <c r="K242" s="4" t="b">
        <f>LEN(data!G242)&lt;=60</f>
        <v>1</v>
      </c>
      <c r="L242" s="4" t="b">
        <f>LEN(data!I242)&gt;0</f>
        <v>0</v>
      </c>
      <c r="M242" s="4" t="b">
        <f>LEN(data!I242)&lt;=70</f>
        <v>1</v>
      </c>
      <c r="N242" s="4" t="b">
        <f>LEN(data!J242)&gt;0</f>
        <v>0</v>
      </c>
      <c r="O242" s="4" t="b">
        <f>LEN(data!J242)&lt;=140</f>
        <v>1</v>
      </c>
      <c r="P242" s="4" t="b">
        <f>LEN(data!K242)&gt;0</f>
        <v>0</v>
      </c>
      <c r="Q242" s="4" t="b">
        <f>LEN(data!K242)&lt;=35</f>
        <v>1</v>
      </c>
      <c r="R242" s="4" t="b">
        <f>LEN(data!L242)=2</f>
        <v>0</v>
      </c>
      <c r="S242" s="4" t="b">
        <f>LEN(data!M242)&gt;0</f>
        <v>0</v>
      </c>
      <c r="T242" s="4" t="b">
        <f>LEN(data!M242)&lt;=60</f>
        <v>1</v>
      </c>
      <c r="U242" s="4" t="b">
        <f>LEN(data!O242)&gt;0</f>
        <v>0</v>
      </c>
      <c r="V242" s="4" t="b">
        <f>LEN(data!O242)&lt;=70</f>
        <v>1</v>
      </c>
      <c r="W242" s="4" t="b">
        <f>LEN(data!P242)&gt;0</f>
        <v>0</v>
      </c>
      <c r="X242" s="4" t="b">
        <f>LEN(data!P242)&lt;=140</f>
        <v>1</v>
      </c>
      <c r="Y242" s="4" t="b">
        <f>LEN(data!Q242)&gt;0</f>
        <v>0</v>
      </c>
      <c r="Z242" s="4" t="b">
        <f>LEN(data!Q242)&lt;=35</f>
        <v>1</v>
      </c>
      <c r="AA242" s="4" t="b">
        <f>LEN(data!R242)=2</f>
        <v>0</v>
      </c>
      <c r="AB242" s="4" t="b">
        <f>LEN(data!S242)&gt;0</f>
        <v>0</v>
      </c>
      <c r="AC242" s="4" t="b">
        <f>LEN(data!S242)&lt;=120</f>
        <v>1</v>
      </c>
      <c r="AD242" s="4" t="b">
        <f>LEN(data!U242)=11</f>
        <v>0</v>
      </c>
      <c r="AE242" s="4" t="b">
        <f>AND(ISERROR(MATCH(data!V242, rule_mapping!$C$2:$C$325, 0))=FALSE, LEN(data!V242) &lt;= 4)</f>
        <v>0</v>
      </c>
      <c r="AF242" s="4" t="b">
        <f>LEN(data!W242)&gt;0</f>
        <v>0</v>
      </c>
      <c r="AG242" s="4" t="b">
        <f>LEN(data!W242)&lt;=20</f>
        <v>1</v>
      </c>
      <c r="AH242" s="4" t="b">
        <f xml:space="preserve"> IFERROR(ISNUMBER(data!X242), FALSE)</f>
        <v>0</v>
      </c>
      <c r="AI242" s="4" t="b">
        <f>IF(ISERROR(MATCH(data!Y242, rule_mapping!$D$2:$D$252, 0))=FALSE,TRUE, FALSE)</f>
        <v>0</v>
      </c>
      <c r="AJ242" s="4" t="b">
        <f>IFERROR(ISNUMBER(data!Z242), FALSE)</f>
        <v>0</v>
      </c>
      <c r="AK242" s="4" t="b">
        <f>IFERROR(ISNUMBER(data!AA242), FALSE)</f>
        <v>0</v>
      </c>
      <c r="AL242" s="4" t="b">
        <f>LEN(data!AB242)&lt;=90</f>
        <v>1</v>
      </c>
      <c r="AM242" s="4" t="b">
        <f>LEN(data!AC242)&gt;0</f>
        <v>0</v>
      </c>
      <c r="AN242" s="4" t="b">
        <f>LEN(data!AC242)&lt;=2000</f>
        <v>1</v>
      </c>
      <c r="AO242" s="4" t="b">
        <f>IF(LEN(data!AD242)=0,TRUE,IF(LEN(data!AD242)=5,TRUE,FALSE))</f>
        <v>1</v>
      </c>
      <c r="AP242" s="4" t="b">
        <f>LEN(data!AE242)&gt;0</f>
        <v>0</v>
      </c>
      <c r="AQ242" s="4" t="b">
        <f>LEN(data!AE242)=5</f>
        <v>0</v>
      </c>
      <c r="AR242" s="4" t="b">
        <f>ISERROR(MATCH(data!AF242, rule_mapping!$B$2:$B$3, 0))=FALSE</f>
        <v>0</v>
      </c>
      <c r="AS242" s="4" t="b">
        <f>ISERROR(MATCH(data!AG242, rule_mapping!$A$2:$A$8, 0))=FALSE</f>
        <v>0</v>
      </c>
      <c r="AT242" s="4" t="b">
        <f>LEN(data!AH242)&lt;=4</f>
        <v>1</v>
      </c>
      <c r="AU242" s="4" t="b">
        <f>LEN(data!AI242)&lt;=10</f>
        <v>1</v>
      </c>
      <c r="AV242" s="4" t="b">
        <f>LEN(data!AJ242)&lt;=35</f>
        <v>1</v>
      </c>
      <c r="AW242" s="4" t="b">
        <f>LEN(data!AK242)&lt;=20</f>
        <v>1</v>
      </c>
      <c r="AX242"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3" spans="1:50" ht="409.5" x14ac:dyDescent="0.15">
      <c r="A243" s="4" t="b">
        <f>OR(ISBLANK(data!B243), AND(B243:AW243))</f>
        <v>1</v>
      </c>
      <c r="B243" s="4" t="b">
        <f>AND(LEFT(TRIM(data!B243), 4)="OOLU", ISNUMBER(RIGHT(TRIM(data!B243), LEN(TRIM(data!B243))-4)+0))</f>
        <v>0</v>
      </c>
      <c r="C243" s="4" t="b">
        <f>LEN(data!C243)&gt;0</f>
        <v>0</v>
      </c>
      <c r="D243" s="4" t="b">
        <f>LEN(data!C243)&lt;=70</f>
        <v>1</v>
      </c>
      <c r="E243" s="4" t="b">
        <f>LEN(data!D243)&gt;0</f>
        <v>0</v>
      </c>
      <c r="F243" s="4" t="b">
        <f>LEN(data!D243)&lt;=140</f>
        <v>1</v>
      </c>
      <c r="G243" s="4" t="b">
        <f>LEN(data!E243)&gt;0</f>
        <v>0</v>
      </c>
      <c r="H243" s="4" t="b">
        <f>LEN(data!E243)&lt;=35</f>
        <v>1</v>
      </c>
      <c r="I243" s="4" t="b">
        <f>LEN(data!F243)=2</f>
        <v>0</v>
      </c>
      <c r="J243" s="4" t="b">
        <f>LEN(data!G243)&gt;0</f>
        <v>0</v>
      </c>
      <c r="K243" s="4" t="b">
        <f>LEN(data!G243)&lt;=60</f>
        <v>1</v>
      </c>
      <c r="L243" s="4" t="b">
        <f>LEN(data!I243)&gt;0</f>
        <v>0</v>
      </c>
      <c r="M243" s="4" t="b">
        <f>LEN(data!I243)&lt;=70</f>
        <v>1</v>
      </c>
      <c r="N243" s="4" t="b">
        <f>LEN(data!J243)&gt;0</f>
        <v>0</v>
      </c>
      <c r="O243" s="4" t="b">
        <f>LEN(data!J243)&lt;=140</f>
        <v>1</v>
      </c>
      <c r="P243" s="4" t="b">
        <f>LEN(data!K243)&gt;0</f>
        <v>0</v>
      </c>
      <c r="Q243" s="4" t="b">
        <f>LEN(data!K243)&lt;=35</f>
        <v>1</v>
      </c>
      <c r="R243" s="4" t="b">
        <f>LEN(data!L243)=2</f>
        <v>0</v>
      </c>
      <c r="S243" s="4" t="b">
        <f>LEN(data!M243)&gt;0</f>
        <v>0</v>
      </c>
      <c r="T243" s="4" t="b">
        <f>LEN(data!M243)&lt;=60</f>
        <v>1</v>
      </c>
      <c r="U243" s="4" t="b">
        <f>LEN(data!O243)&gt;0</f>
        <v>0</v>
      </c>
      <c r="V243" s="4" t="b">
        <f>LEN(data!O243)&lt;=70</f>
        <v>1</v>
      </c>
      <c r="W243" s="4" t="b">
        <f>LEN(data!P243)&gt;0</f>
        <v>0</v>
      </c>
      <c r="X243" s="4" t="b">
        <f>LEN(data!P243)&lt;=140</f>
        <v>1</v>
      </c>
      <c r="Y243" s="4" t="b">
        <f>LEN(data!Q243)&gt;0</f>
        <v>0</v>
      </c>
      <c r="Z243" s="4" t="b">
        <f>LEN(data!Q243)&lt;=35</f>
        <v>1</v>
      </c>
      <c r="AA243" s="4" t="b">
        <f>LEN(data!R243)=2</f>
        <v>0</v>
      </c>
      <c r="AB243" s="4" t="b">
        <f>LEN(data!S243)&gt;0</f>
        <v>0</v>
      </c>
      <c r="AC243" s="4" t="b">
        <f>LEN(data!S243)&lt;=120</f>
        <v>1</v>
      </c>
      <c r="AD243" s="4" t="b">
        <f>LEN(data!U243)=11</f>
        <v>0</v>
      </c>
      <c r="AE243" s="4" t="b">
        <f>AND(ISERROR(MATCH(data!V243, rule_mapping!$C$2:$C$325, 0))=FALSE, LEN(data!V243) &lt;= 4)</f>
        <v>0</v>
      </c>
      <c r="AF243" s="4" t="b">
        <f>LEN(data!W243)&gt;0</f>
        <v>0</v>
      </c>
      <c r="AG243" s="4" t="b">
        <f>LEN(data!W243)&lt;=20</f>
        <v>1</v>
      </c>
      <c r="AH243" s="4" t="b">
        <f xml:space="preserve"> IFERROR(ISNUMBER(data!X243), FALSE)</f>
        <v>0</v>
      </c>
      <c r="AI243" s="4" t="b">
        <f>IF(ISERROR(MATCH(data!Y243, rule_mapping!$D$2:$D$252, 0))=FALSE,TRUE, FALSE)</f>
        <v>0</v>
      </c>
      <c r="AJ243" s="4" t="b">
        <f>IFERROR(ISNUMBER(data!Z243), FALSE)</f>
        <v>0</v>
      </c>
      <c r="AK243" s="4" t="b">
        <f>IFERROR(ISNUMBER(data!AA243), FALSE)</f>
        <v>0</v>
      </c>
      <c r="AL243" s="4" t="b">
        <f>LEN(data!AB243)&lt;=90</f>
        <v>1</v>
      </c>
      <c r="AM243" s="4" t="b">
        <f>LEN(data!AC243)&gt;0</f>
        <v>0</v>
      </c>
      <c r="AN243" s="4" t="b">
        <f>LEN(data!AC243)&lt;=2000</f>
        <v>1</v>
      </c>
      <c r="AO243" s="4" t="b">
        <f>IF(LEN(data!AD243)=0,TRUE,IF(LEN(data!AD243)=5,TRUE,FALSE))</f>
        <v>1</v>
      </c>
      <c r="AP243" s="4" t="b">
        <f>LEN(data!AE243)&gt;0</f>
        <v>0</v>
      </c>
      <c r="AQ243" s="4" t="b">
        <f>LEN(data!AE243)=5</f>
        <v>0</v>
      </c>
      <c r="AR243" s="4" t="b">
        <f>ISERROR(MATCH(data!AF243, rule_mapping!$B$2:$B$3, 0))=FALSE</f>
        <v>0</v>
      </c>
      <c r="AS243" s="4" t="b">
        <f>ISERROR(MATCH(data!AG243, rule_mapping!$A$2:$A$8, 0))=FALSE</f>
        <v>0</v>
      </c>
      <c r="AT243" s="4" t="b">
        <f>LEN(data!AH243)&lt;=4</f>
        <v>1</v>
      </c>
      <c r="AU243" s="4" t="b">
        <f>LEN(data!AI243)&lt;=10</f>
        <v>1</v>
      </c>
      <c r="AV243" s="4" t="b">
        <f>LEN(data!AJ243)&lt;=35</f>
        <v>1</v>
      </c>
      <c r="AW243" s="4" t="b">
        <f>LEN(data!AK243)&lt;=20</f>
        <v>1</v>
      </c>
      <c r="AX243"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4" spans="1:50" ht="409.5" x14ac:dyDescent="0.15">
      <c r="A244" s="4" t="b">
        <f>OR(ISBLANK(data!B244), AND(B244:AW244))</f>
        <v>1</v>
      </c>
      <c r="B244" s="4" t="b">
        <f>AND(LEFT(TRIM(data!B244), 4)="OOLU", ISNUMBER(RIGHT(TRIM(data!B244), LEN(TRIM(data!B244))-4)+0))</f>
        <v>0</v>
      </c>
      <c r="C244" s="4" t="b">
        <f>LEN(data!C244)&gt;0</f>
        <v>0</v>
      </c>
      <c r="D244" s="4" t="b">
        <f>LEN(data!C244)&lt;=70</f>
        <v>1</v>
      </c>
      <c r="E244" s="4" t="b">
        <f>LEN(data!D244)&gt;0</f>
        <v>0</v>
      </c>
      <c r="F244" s="4" t="b">
        <f>LEN(data!D244)&lt;=140</f>
        <v>1</v>
      </c>
      <c r="G244" s="4" t="b">
        <f>LEN(data!E244)&gt;0</f>
        <v>0</v>
      </c>
      <c r="H244" s="4" t="b">
        <f>LEN(data!E244)&lt;=35</f>
        <v>1</v>
      </c>
      <c r="I244" s="4" t="b">
        <f>LEN(data!F244)=2</f>
        <v>0</v>
      </c>
      <c r="J244" s="4" t="b">
        <f>LEN(data!G244)&gt;0</f>
        <v>0</v>
      </c>
      <c r="K244" s="4" t="b">
        <f>LEN(data!G244)&lt;=60</f>
        <v>1</v>
      </c>
      <c r="L244" s="4" t="b">
        <f>LEN(data!I244)&gt;0</f>
        <v>0</v>
      </c>
      <c r="M244" s="4" t="b">
        <f>LEN(data!I244)&lt;=70</f>
        <v>1</v>
      </c>
      <c r="N244" s="4" t="b">
        <f>LEN(data!J244)&gt;0</f>
        <v>0</v>
      </c>
      <c r="O244" s="4" t="b">
        <f>LEN(data!J244)&lt;=140</f>
        <v>1</v>
      </c>
      <c r="P244" s="4" t="b">
        <f>LEN(data!K244)&gt;0</f>
        <v>0</v>
      </c>
      <c r="Q244" s="4" t="b">
        <f>LEN(data!K244)&lt;=35</f>
        <v>1</v>
      </c>
      <c r="R244" s="4" t="b">
        <f>LEN(data!L244)=2</f>
        <v>0</v>
      </c>
      <c r="S244" s="4" t="b">
        <f>LEN(data!M244)&gt;0</f>
        <v>0</v>
      </c>
      <c r="T244" s="4" t="b">
        <f>LEN(data!M244)&lt;=60</f>
        <v>1</v>
      </c>
      <c r="U244" s="4" t="b">
        <f>LEN(data!O244)&gt;0</f>
        <v>0</v>
      </c>
      <c r="V244" s="4" t="b">
        <f>LEN(data!O244)&lt;=70</f>
        <v>1</v>
      </c>
      <c r="W244" s="4" t="b">
        <f>LEN(data!P244)&gt;0</f>
        <v>0</v>
      </c>
      <c r="X244" s="4" t="b">
        <f>LEN(data!P244)&lt;=140</f>
        <v>1</v>
      </c>
      <c r="Y244" s="4" t="b">
        <f>LEN(data!Q244)&gt;0</f>
        <v>0</v>
      </c>
      <c r="Z244" s="4" t="b">
        <f>LEN(data!Q244)&lt;=35</f>
        <v>1</v>
      </c>
      <c r="AA244" s="4" t="b">
        <f>LEN(data!R244)=2</f>
        <v>0</v>
      </c>
      <c r="AB244" s="4" t="b">
        <f>LEN(data!S244)&gt;0</f>
        <v>0</v>
      </c>
      <c r="AC244" s="4" t="b">
        <f>LEN(data!S244)&lt;=120</f>
        <v>1</v>
      </c>
      <c r="AD244" s="4" t="b">
        <f>LEN(data!U244)=11</f>
        <v>0</v>
      </c>
      <c r="AE244" s="4" t="b">
        <f>AND(ISERROR(MATCH(data!V244, rule_mapping!$C$2:$C$325, 0))=FALSE, LEN(data!V244) &lt;= 4)</f>
        <v>0</v>
      </c>
      <c r="AF244" s="4" t="b">
        <f>LEN(data!W244)&gt;0</f>
        <v>0</v>
      </c>
      <c r="AG244" s="4" t="b">
        <f>LEN(data!W244)&lt;=20</f>
        <v>1</v>
      </c>
      <c r="AH244" s="4" t="b">
        <f xml:space="preserve"> IFERROR(ISNUMBER(data!X244), FALSE)</f>
        <v>0</v>
      </c>
      <c r="AI244" s="4" t="b">
        <f>IF(ISERROR(MATCH(data!Y244, rule_mapping!$D$2:$D$252, 0))=FALSE,TRUE, FALSE)</f>
        <v>0</v>
      </c>
      <c r="AJ244" s="4" t="b">
        <f>IFERROR(ISNUMBER(data!Z244), FALSE)</f>
        <v>0</v>
      </c>
      <c r="AK244" s="4" t="b">
        <f>IFERROR(ISNUMBER(data!AA244), FALSE)</f>
        <v>0</v>
      </c>
      <c r="AL244" s="4" t="b">
        <f>LEN(data!AB244)&lt;=90</f>
        <v>1</v>
      </c>
      <c r="AM244" s="4" t="b">
        <f>LEN(data!AC244)&gt;0</f>
        <v>0</v>
      </c>
      <c r="AN244" s="4" t="b">
        <f>LEN(data!AC244)&lt;=2000</f>
        <v>1</v>
      </c>
      <c r="AO244" s="4" t="b">
        <f>IF(LEN(data!AD244)=0,TRUE,IF(LEN(data!AD244)=5,TRUE,FALSE))</f>
        <v>1</v>
      </c>
      <c r="AP244" s="4" t="b">
        <f>LEN(data!AE244)&gt;0</f>
        <v>0</v>
      </c>
      <c r="AQ244" s="4" t="b">
        <f>LEN(data!AE244)=5</f>
        <v>0</v>
      </c>
      <c r="AR244" s="4" t="b">
        <f>ISERROR(MATCH(data!AF244, rule_mapping!$B$2:$B$3, 0))=FALSE</f>
        <v>0</v>
      </c>
      <c r="AS244" s="4" t="b">
        <f>ISERROR(MATCH(data!AG244, rule_mapping!$A$2:$A$8, 0))=FALSE</f>
        <v>0</v>
      </c>
      <c r="AT244" s="4" t="b">
        <f>LEN(data!AH244)&lt;=4</f>
        <v>1</v>
      </c>
      <c r="AU244" s="4" t="b">
        <f>LEN(data!AI244)&lt;=10</f>
        <v>1</v>
      </c>
      <c r="AV244" s="4" t="b">
        <f>LEN(data!AJ244)&lt;=35</f>
        <v>1</v>
      </c>
      <c r="AW244" s="4" t="b">
        <f>LEN(data!AK244)&lt;=20</f>
        <v>1</v>
      </c>
      <c r="AX244"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5" spans="1:50" ht="409.5" x14ac:dyDescent="0.15">
      <c r="A245" s="4" t="b">
        <f>OR(ISBLANK(data!B245), AND(B245:AW245))</f>
        <v>1</v>
      </c>
      <c r="B245" s="4" t="b">
        <f>AND(LEFT(TRIM(data!B245), 4)="OOLU", ISNUMBER(RIGHT(TRIM(data!B245), LEN(TRIM(data!B245))-4)+0))</f>
        <v>0</v>
      </c>
      <c r="C245" s="4" t="b">
        <f>LEN(data!C245)&gt;0</f>
        <v>0</v>
      </c>
      <c r="D245" s="4" t="b">
        <f>LEN(data!C245)&lt;=70</f>
        <v>1</v>
      </c>
      <c r="E245" s="4" t="b">
        <f>LEN(data!D245)&gt;0</f>
        <v>0</v>
      </c>
      <c r="F245" s="4" t="b">
        <f>LEN(data!D245)&lt;=140</f>
        <v>1</v>
      </c>
      <c r="G245" s="4" t="b">
        <f>LEN(data!E245)&gt;0</f>
        <v>0</v>
      </c>
      <c r="H245" s="4" t="b">
        <f>LEN(data!E245)&lt;=35</f>
        <v>1</v>
      </c>
      <c r="I245" s="4" t="b">
        <f>LEN(data!F245)=2</f>
        <v>0</v>
      </c>
      <c r="J245" s="4" t="b">
        <f>LEN(data!G245)&gt;0</f>
        <v>0</v>
      </c>
      <c r="K245" s="4" t="b">
        <f>LEN(data!G245)&lt;=60</f>
        <v>1</v>
      </c>
      <c r="L245" s="4" t="b">
        <f>LEN(data!I245)&gt;0</f>
        <v>0</v>
      </c>
      <c r="M245" s="4" t="b">
        <f>LEN(data!I245)&lt;=70</f>
        <v>1</v>
      </c>
      <c r="N245" s="4" t="b">
        <f>LEN(data!J245)&gt;0</f>
        <v>0</v>
      </c>
      <c r="O245" s="4" t="b">
        <f>LEN(data!J245)&lt;=140</f>
        <v>1</v>
      </c>
      <c r="P245" s="4" t="b">
        <f>LEN(data!K245)&gt;0</f>
        <v>0</v>
      </c>
      <c r="Q245" s="4" t="b">
        <f>LEN(data!K245)&lt;=35</f>
        <v>1</v>
      </c>
      <c r="R245" s="4" t="b">
        <f>LEN(data!L245)=2</f>
        <v>0</v>
      </c>
      <c r="S245" s="4" t="b">
        <f>LEN(data!M245)&gt;0</f>
        <v>0</v>
      </c>
      <c r="T245" s="4" t="b">
        <f>LEN(data!M245)&lt;=60</f>
        <v>1</v>
      </c>
      <c r="U245" s="4" t="b">
        <f>LEN(data!O245)&gt;0</f>
        <v>0</v>
      </c>
      <c r="V245" s="4" t="b">
        <f>LEN(data!O245)&lt;=70</f>
        <v>1</v>
      </c>
      <c r="W245" s="4" t="b">
        <f>LEN(data!P245)&gt;0</f>
        <v>0</v>
      </c>
      <c r="X245" s="4" t="b">
        <f>LEN(data!P245)&lt;=140</f>
        <v>1</v>
      </c>
      <c r="Y245" s="4" t="b">
        <f>LEN(data!Q245)&gt;0</f>
        <v>0</v>
      </c>
      <c r="Z245" s="4" t="b">
        <f>LEN(data!Q245)&lt;=35</f>
        <v>1</v>
      </c>
      <c r="AA245" s="4" t="b">
        <f>LEN(data!R245)=2</f>
        <v>0</v>
      </c>
      <c r="AB245" s="4" t="b">
        <f>LEN(data!S245)&gt;0</f>
        <v>0</v>
      </c>
      <c r="AC245" s="4" t="b">
        <f>LEN(data!S245)&lt;=120</f>
        <v>1</v>
      </c>
      <c r="AD245" s="4" t="b">
        <f>LEN(data!U245)=11</f>
        <v>0</v>
      </c>
      <c r="AE245" s="4" t="b">
        <f>AND(ISERROR(MATCH(data!V245, rule_mapping!$C$2:$C$325, 0))=FALSE, LEN(data!V245) &lt;= 4)</f>
        <v>0</v>
      </c>
      <c r="AF245" s="4" t="b">
        <f>LEN(data!W245)&gt;0</f>
        <v>0</v>
      </c>
      <c r="AG245" s="4" t="b">
        <f>LEN(data!W245)&lt;=20</f>
        <v>1</v>
      </c>
      <c r="AH245" s="4" t="b">
        <f xml:space="preserve"> IFERROR(ISNUMBER(data!X245), FALSE)</f>
        <v>0</v>
      </c>
      <c r="AI245" s="4" t="b">
        <f>IF(ISERROR(MATCH(data!Y245, rule_mapping!$D$2:$D$252, 0))=FALSE,TRUE, FALSE)</f>
        <v>0</v>
      </c>
      <c r="AJ245" s="4" t="b">
        <f>IFERROR(ISNUMBER(data!Z245), FALSE)</f>
        <v>0</v>
      </c>
      <c r="AK245" s="4" t="b">
        <f>IFERROR(ISNUMBER(data!AA245), FALSE)</f>
        <v>0</v>
      </c>
      <c r="AL245" s="4" t="b">
        <f>LEN(data!AB245)&lt;=90</f>
        <v>1</v>
      </c>
      <c r="AM245" s="4" t="b">
        <f>LEN(data!AC245)&gt;0</f>
        <v>0</v>
      </c>
      <c r="AN245" s="4" t="b">
        <f>LEN(data!AC245)&lt;=2000</f>
        <v>1</v>
      </c>
      <c r="AO245" s="4" t="b">
        <f>IF(LEN(data!AD245)=0,TRUE,IF(LEN(data!AD245)=5,TRUE,FALSE))</f>
        <v>1</v>
      </c>
      <c r="AP245" s="4" t="b">
        <f>LEN(data!AE245)&gt;0</f>
        <v>0</v>
      </c>
      <c r="AQ245" s="4" t="b">
        <f>LEN(data!AE245)=5</f>
        <v>0</v>
      </c>
      <c r="AR245" s="4" t="b">
        <f>ISERROR(MATCH(data!AF245, rule_mapping!$B$2:$B$3, 0))=FALSE</f>
        <v>0</v>
      </c>
      <c r="AS245" s="4" t="b">
        <f>ISERROR(MATCH(data!AG245, rule_mapping!$A$2:$A$8, 0))=FALSE</f>
        <v>0</v>
      </c>
      <c r="AT245" s="4" t="b">
        <f>LEN(data!AH245)&lt;=4</f>
        <v>1</v>
      </c>
      <c r="AU245" s="4" t="b">
        <f>LEN(data!AI245)&lt;=10</f>
        <v>1</v>
      </c>
      <c r="AV245" s="4" t="b">
        <f>LEN(data!AJ245)&lt;=35</f>
        <v>1</v>
      </c>
      <c r="AW245" s="4" t="b">
        <f>LEN(data!AK245)&lt;=20</f>
        <v>1</v>
      </c>
      <c r="AX245"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6" spans="1:50" ht="409.5" x14ac:dyDescent="0.15">
      <c r="A246" s="4" t="b">
        <f>OR(ISBLANK(data!B246), AND(B246:AW246))</f>
        <v>1</v>
      </c>
      <c r="B246" s="4" t="b">
        <f>AND(LEFT(TRIM(data!B246), 4)="OOLU", ISNUMBER(RIGHT(TRIM(data!B246), LEN(TRIM(data!B246))-4)+0))</f>
        <v>0</v>
      </c>
      <c r="C246" s="4" t="b">
        <f>LEN(data!C246)&gt;0</f>
        <v>0</v>
      </c>
      <c r="D246" s="4" t="b">
        <f>LEN(data!C246)&lt;=70</f>
        <v>1</v>
      </c>
      <c r="E246" s="4" t="b">
        <f>LEN(data!D246)&gt;0</f>
        <v>0</v>
      </c>
      <c r="F246" s="4" t="b">
        <f>LEN(data!D246)&lt;=140</f>
        <v>1</v>
      </c>
      <c r="G246" s="4" t="b">
        <f>LEN(data!E246)&gt;0</f>
        <v>0</v>
      </c>
      <c r="H246" s="4" t="b">
        <f>LEN(data!E246)&lt;=35</f>
        <v>1</v>
      </c>
      <c r="I246" s="4" t="b">
        <f>LEN(data!F246)=2</f>
        <v>0</v>
      </c>
      <c r="J246" s="4" t="b">
        <f>LEN(data!G246)&gt;0</f>
        <v>0</v>
      </c>
      <c r="K246" s="4" t="b">
        <f>LEN(data!G246)&lt;=60</f>
        <v>1</v>
      </c>
      <c r="L246" s="4" t="b">
        <f>LEN(data!I246)&gt;0</f>
        <v>0</v>
      </c>
      <c r="M246" s="4" t="b">
        <f>LEN(data!I246)&lt;=70</f>
        <v>1</v>
      </c>
      <c r="N246" s="4" t="b">
        <f>LEN(data!J246)&gt;0</f>
        <v>0</v>
      </c>
      <c r="O246" s="4" t="b">
        <f>LEN(data!J246)&lt;=140</f>
        <v>1</v>
      </c>
      <c r="P246" s="4" t="b">
        <f>LEN(data!K246)&gt;0</f>
        <v>0</v>
      </c>
      <c r="Q246" s="4" t="b">
        <f>LEN(data!K246)&lt;=35</f>
        <v>1</v>
      </c>
      <c r="R246" s="4" t="b">
        <f>LEN(data!L246)=2</f>
        <v>0</v>
      </c>
      <c r="S246" s="4" t="b">
        <f>LEN(data!M246)&gt;0</f>
        <v>0</v>
      </c>
      <c r="T246" s="4" t="b">
        <f>LEN(data!M246)&lt;=60</f>
        <v>1</v>
      </c>
      <c r="U246" s="4" t="b">
        <f>LEN(data!O246)&gt;0</f>
        <v>0</v>
      </c>
      <c r="V246" s="4" t="b">
        <f>LEN(data!O246)&lt;=70</f>
        <v>1</v>
      </c>
      <c r="W246" s="4" t="b">
        <f>LEN(data!P246)&gt;0</f>
        <v>0</v>
      </c>
      <c r="X246" s="4" t="b">
        <f>LEN(data!P246)&lt;=140</f>
        <v>1</v>
      </c>
      <c r="Y246" s="4" t="b">
        <f>LEN(data!Q246)&gt;0</f>
        <v>0</v>
      </c>
      <c r="Z246" s="4" t="b">
        <f>LEN(data!Q246)&lt;=35</f>
        <v>1</v>
      </c>
      <c r="AA246" s="4" t="b">
        <f>LEN(data!R246)=2</f>
        <v>0</v>
      </c>
      <c r="AB246" s="4" t="b">
        <f>LEN(data!S246)&gt;0</f>
        <v>0</v>
      </c>
      <c r="AC246" s="4" t="b">
        <f>LEN(data!S246)&lt;=120</f>
        <v>1</v>
      </c>
      <c r="AD246" s="4" t="b">
        <f>LEN(data!U246)=11</f>
        <v>0</v>
      </c>
      <c r="AE246" s="4" t="b">
        <f>AND(ISERROR(MATCH(data!V246, rule_mapping!$C$2:$C$325, 0))=FALSE, LEN(data!V246) &lt;= 4)</f>
        <v>0</v>
      </c>
      <c r="AF246" s="4" t="b">
        <f>LEN(data!W246)&gt;0</f>
        <v>0</v>
      </c>
      <c r="AG246" s="4" t="b">
        <f>LEN(data!W246)&lt;=20</f>
        <v>1</v>
      </c>
      <c r="AH246" s="4" t="b">
        <f xml:space="preserve"> IFERROR(ISNUMBER(data!X246), FALSE)</f>
        <v>0</v>
      </c>
      <c r="AI246" s="4" t="b">
        <f>IF(ISERROR(MATCH(data!Y246, rule_mapping!$D$2:$D$252, 0))=FALSE,TRUE, FALSE)</f>
        <v>0</v>
      </c>
      <c r="AJ246" s="4" t="b">
        <f>IFERROR(ISNUMBER(data!Z246), FALSE)</f>
        <v>0</v>
      </c>
      <c r="AK246" s="4" t="b">
        <f>IFERROR(ISNUMBER(data!AA246), FALSE)</f>
        <v>0</v>
      </c>
      <c r="AL246" s="4" t="b">
        <f>LEN(data!AB246)&lt;=90</f>
        <v>1</v>
      </c>
      <c r="AM246" s="4" t="b">
        <f>LEN(data!AC246)&gt;0</f>
        <v>0</v>
      </c>
      <c r="AN246" s="4" t="b">
        <f>LEN(data!AC246)&lt;=2000</f>
        <v>1</v>
      </c>
      <c r="AO246" s="4" t="b">
        <f>IF(LEN(data!AD246)=0,TRUE,IF(LEN(data!AD246)=5,TRUE,FALSE))</f>
        <v>1</v>
      </c>
      <c r="AP246" s="4" t="b">
        <f>LEN(data!AE246)&gt;0</f>
        <v>0</v>
      </c>
      <c r="AQ246" s="4" t="b">
        <f>LEN(data!AE246)=5</f>
        <v>0</v>
      </c>
      <c r="AR246" s="4" t="b">
        <f>ISERROR(MATCH(data!AF246, rule_mapping!$B$2:$B$3, 0))=FALSE</f>
        <v>0</v>
      </c>
      <c r="AS246" s="4" t="b">
        <f>ISERROR(MATCH(data!AG246, rule_mapping!$A$2:$A$8, 0))=FALSE</f>
        <v>0</v>
      </c>
      <c r="AT246" s="4" t="b">
        <f>LEN(data!AH246)&lt;=4</f>
        <v>1</v>
      </c>
      <c r="AU246" s="4" t="b">
        <f>LEN(data!AI246)&lt;=10</f>
        <v>1</v>
      </c>
      <c r="AV246" s="4" t="b">
        <f>LEN(data!AJ246)&lt;=35</f>
        <v>1</v>
      </c>
      <c r="AW246" s="4" t="b">
        <f>LEN(data!AK246)&lt;=20</f>
        <v>1</v>
      </c>
      <c r="AX246"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7" spans="1:50" ht="409.5" x14ac:dyDescent="0.15">
      <c r="A247" s="4" t="b">
        <f>OR(ISBLANK(data!B247), AND(B247:AW247))</f>
        <v>1</v>
      </c>
      <c r="B247" s="4" t="b">
        <f>AND(LEFT(TRIM(data!B247), 4)="OOLU", ISNUMBER(RIGHT(TRIM(data!B247), LEN(TRIM(data!B247))-4)+0))</f>
        <v>0</v>
      </c>
      <c r="C247" s="4" t="b">
        <f>LEN(data!C247)&gt;0</f>
        <v>0</v>
      </c>
      <c r="D247" s="4" t="b">
        <f>LEN(data!C247)&lt;=70</f>
        <v>1</v>
      </c>
      <c r="E247" s="4" t="b">
        <f>LEN(data!D247)&gt;0</f>
        <v>0</v>
      </c>
      <c r="F247" s="4" t="b">
        <f>LEN(data!D247)&lt;=140</f>
        <v>1</v>
      </c>
      <c r="G247" s="4" t="b">
        <f>LEN(data!E247)&gt;0</f>
        <v>0</v>
      </c>
      <c r="H247" s="4" t="b">
        <f>LEN(data!E247)&lt;=35</f>
        <v>1</v>
      </c>
      <c r="I247" s="4" t="b">
        <f>LEN(data!F247)=2</f>
        <v>0</v>
      </c>
      <c r="J247" s="4" t="b">
        <f>LEN(data!G247)&gt;0</f>
        <v>0</v>
      </c>
      <c r="K247" s="4" t="b">
        <f>LEN(data!G247)&lt;=60</f>
        <v>1</v>
      </c>
      <c r="L247" s="4" t="b">
        <f>LEN(data!I247)&gt;0</f>
        <v>0</v>
      </c>
      <c r="M247" s="4" t="b">
        <f>LEN(data!I247)&lt;=70</f>
        <v>1</v>
      </c>
      <c r="N247" s="4" t="b">
        <f>LEN(data!J247)&gt;0</f>
        <v>0</v>
      </c>
      <c r="O247" s="4" t="b">
        <f>LEN(data!J247)&lt;=140</f>
        <v>1</v>
      </c>
      <c r="P247" s="4" t="b">
        <f>LEN(data!K247)&gt;0</f>
        <v>0</v>
      </c>
      <c r="Q247" s="4" t="b">
        <f>LEN(data!K247)&lt;=35</f>
        <v>1</v>
      </c>
      <c r="R247" s="4" t="b">
        <f>LEN(data!L247)=2</f>
        <v>0</v>
      </c>
      <c r="S247" s="4" t="b">
        <f>LEN(data!M247)&gt;0</f>
        <v>0</v>
      </c>
      <c r="T247" s="4" t="b">
        <f>LEN(data!M247)&lt;=60</f>
        <v>1</v>
      </c>
      <c r="U247" s="4" t="b">
        <f>LEN(data!O247)&gt;0</f>
        <v>0</v>
      </c>
      <c r="V247" s="4" t="b">
        <f>LEN(data!O247)&lt;=70</f>
        <v>1</v>
      </c>
      <c r="W247" s="4" t="b">
        <f>LEN(data!P247)&gt;0</f>
        <v>0</v>
      </c>
      <c r="X247" s="4" t="b">
        <f>LEN(data!P247)&lt;=140</f>
        <v>1</v>
      </c>
      <c r="Y247" s="4" t="b">
        <f>LEN(data!Q247)&gt;0</f>
        <v>0</v>
      </c>
      <c r="Z247" s="4" t="b">
        <f>LEN(data!Q247)&lt;=35</f>
        <v>1</v>
      </c>
      <c r="AA247" s="4" t="b">
        <f>LEN(data!R247)=2</f>
        <v>0</v>
      </c>
      <c r="AB247" s="4" t="b">
        <f>LEN(data!S247)&gt;0</f>
        <v>0</v>
      </c>
      <c r="AC247" s="4" t="b">
        <f>LEN(data!S247)&lt;=120</f>
        <v>1</v>
      </c>
      <c r="AD247" s="4" t="b">
        <f>LEN(data!U247)=11</f>
        <v>0</v>
      </c>
      <c r="AE247" s="4" t="b">
        <f>AND(ISERROR(MATCH(data!V247, rule_mapping!$C$2:$C$325, 0))=FALSE, LEN(data!V247) &lt;= 4)</f>
        <v>0</v>
      </c>
      <c r="AF247" s="4" t="b">
        <f>LEN(data!W247)&gt;0</f>
        <v>0</v>
      </c>
      <c r="AG247" s="4" t="b">
        <f>LEN(data!W247)&lt;=20</f>
        <v>1</v>
      </c>
      <c r="AH247" s="4" t="b">
        <f xml:space="preserve"> IFERROR(ISNUMBER(data!X247), FALSE)</f>
        <v>0</v>
      </c>
      <c r="AI247" s="4" t="b">
        <f>IF(ISERROR(MATCH(data!Y247, rule_mapping!$D$2:$D$252, 0))=FALSE,TRUE, FALSE)</f>
        <v>0</v>
      </c>
      <c r="AJ247" s="4" t="b">
        <f>IFERROR(ISNUMBER(data!Z247), FALSE)</f>
        <v>0</v>
      </c>
      <c r="AK247" s="4" t="b">
        <f>IFERROR(ISNUMBER(data!AA247), FALSE)</f>
        <v>0</v>
      </c>
      <c r="AL247" s="4" t="b">
        <f>LEN(data!AB247)&lt;=90</f>
        <v>1</v>
      </c>
      <c r="AM247" s="4" t="b">
        <f>LEN(data!AC247)&gt;0</f>
        <v>0</v>
      </c>
      <c r="AN247" s="4" t="b">
        <f>LEN(data!AC247)&lt;=2000</f>
        <v>1</v>
      </c>
      <c r="AO247" s="4" t="b">
        <f>IF(LEN(data!AD247)=0,TRUE,IF(LEN(data!AD247)=5,TRUE,FALSE))</f>
        <v>1</v>
      </c>
      <c r="AP247" s="4" t="b">
        <f>LEN(data!AE247)&gt;0</f>
        <v>0</v>
      </c>
      <c r="AQ247" s="4" t="b">
        <f>LEN(data!AE247)=5</f>
        <v>0</v>
      </c>
      <c r="AR247" s="4" t="b">
        <f>ISERROR(MATCH(data!AF247, rule_mapping!$B$2:$B$3, 0))=FALSE</f>
        <v>0</v>
      </c>
      <c r="AS247" s="4" t="b">
        <f>ISERROR(MATCH(data!AG247, rule_mapping!$A$2:$A$8, 0))=FALSE</f>
        <v>0</v>
      </c>
      <c r="AT247" s="4" t="b">
        <f>LEN(data!AH247)&lt;=4</f>
        <v>1</v>
      </c>
      <c r="AU247" s="4" t="b">
        <f>LEN(data!AI247)&lt;=10</f>
        <v>1</v>
      </c>
      <c r="AV247" s="4" t="b">
        <f>LEN(data!AJ247)&lt;=35</f>
        <v>1</v>
      </c>
      <c r="AW247" s="4" t="b">
        <f>LEN(data!AK247)&lt;=20</f>
        <v>1</v>
      </c>
      <c r="AX247"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8" spans="1:50" ht="409.5" x14ac:dyDescent="0.15">
      <c r="A248" s="4" t="b">
        <f>OR(ISBLANK(data!B248), AND(B248:AW248))</f>
        <v>1</v>
      </c>
      <c r="B248" s="4" t="b">
        <f>AND(LEFT(TRIM(data!B248), 4)="OOLU", ISNUMBER(RIGHT(TRIM(data!B248), LEN(TRIM(data!B248))-4)+0))</f>
        <v>0</v>
      </c>
      <c r="C248" s="4" t="b">
        <f>LEN(data!C248)&gt;0</f>
        <v>0</v>
      </c>
      <c r="D248" s="4" t="b">
        <f>LEN(data!C248)&lt;=70</f>
        <v>1</v>
      </c>
      <c r="E248" s="4" t="b">
        <f>LEN(data!D248)&gt;0</f>
        <v>0</v>
      </c>
      <c r="F248" s="4" t="b">
        <f>LEN(data!D248)&lt;=140</f>
        <v>1</v>
      </c>
      <c r="G248" s="4" t="b">
        <f>LEN(data!E248)&gt;0</f>
        <v>0</v>
      </c>
      <c r="H248" s="4" t="b">
        <f>LEN(data!E248)&lt;=35</f>
        <v>1</v>
      </c>
      <c r="I248" s="4" t="b">
        <f>LEN(data!F248)=2</f>
        <v>0</v>
      </c>
      <c r="J248" s="4" t="b">
        <f>LEN(data!G248)&gt;0</f>
        <v>0</v>
      </c>
      <c r="K248" s="4" t="b">
        <f>LEN(data!G248)&lt;=60</f>
        <v>1</v>
      </c>
      <c r="L248" s="4" t="b">
        <f>LEN(data!I248)&gt;0</f>
        <v>0</v>
      </c>
      <c r="M248" s="4" t="b">
        <f>LEN(data!I248)&lt;=70</f>
        <v>1</v>
      </c>
      <c r="N248" s="4" t="b">
        <f>LEN(data!J248)&gt;0</f>
        <v>0</v>
      </c>
      <c r="O248" s="4" t="b">
        <f>LEN(data!J248)&lt;=140</f>
        <v>1</v>
      </c>
      <c r="P248" s="4" t="b">
        <f>LEN(data!K248)&gt;0</f>
        <v>0</v>
      </c>
      <c r="Q248" s="4" t="b">
        <f>LEN(data!K248)&lt;=35</f>
        <v>1</v>
      </c>
      <c r="R248" s="4" t="b">
        <f>LEN(data!L248)=2</f>
        <v>0</v>
      </c>
      <c r="S248" s="4" t="b">
        <f>LEN(data!M248)&gt;0</f>
        <v>0</v>
      </c>
      <c r="T248" s="4" t="b">
        <f>LEN(data!M248)&lt;=60</f>
        <v>1</v>
      </c>
      <c r="U248" s="4" t="b">
        <f>LEN(data!O248)&gt;0</f>
        <v>0</v>
      </c>
      <c r="V248" s="4" t="b">
        <f>LEN(data!O248)&lt;=70</f>
        <v>1</v>
      </c>
      <c r="W248" s="4" t="b">
        <f>LEN(data!P248)&gt;0</f>
        <v>0</v>
      </c>
      <c r="X248" s="4" t="b">
        <f>LEN(data!P248)&lt;=140</f>
        <v>1</v>
      </c>
      <c r="Y248" s="4" t="b">
        <f>LEN(data!Q248)&gt;0</f>
        <v>0</v>
      </c>
      <c r="Z248" s="4" t="b">
        <f>LEN(data!Q248)&lt;=35</f>
        <v>1</v>
      </c>
      <c r="AA248" s="4" t="b">
        <f>LEN(data!R248)=2</f>
        <v>0</v>
      </c>
      <c r="AB248" s="4" t="b">
        <f>LEN(data!S248)&gt;0</f>
        <v>0</v>
      </c>
      <c r="AC248" s="4" t="b">
        <f>LEN(data!S248)&lt;=120</f>
        <v>1</v>
      </c>
      <c r="AD248" s="4" t="b">
        <f>LEN(data!U248)=11</f>
        <v>0</v>
      </c>
      <c r="AE248" s="4" t="b">
        <f>AND(ISERROR(MATCH(data!V248, rule_mapping!$C$2:$C$325, 0))=FALSE, LEN(data!V248) &lt;= 4)</f>
        <v>0</v>
      </c>
      <c r="AF248" s="4" t="b">
        <f>LEN(data!W248)&gt;0</f>
        <v>0</v>
      </c>
      <c r="AG248" s="4" t="b">
        <f>LEN(data!W248)&lt;=20</f>
        <v>1</v>
      </c>
      <c r="AH248" s="4" t="b">
        <f xml:space="preserve"> IFERROR(ISNUMBER(data!X248), FALSE)</f>
        <v>0</v>
      </c>
      <c r="AI248" s="4" t="b">
        <f>IF(ISERROR(MATCH(data!Y248, rule_mapping!$D$2:$D$252, 0))=FALSE,TRUE, FALSE)</f>
        <v>0</v>
      </c>
      <c r="AJ248" s="4" t="b">
        <f>IFERROR(ISNUMBER(data!Z248), FALSE)</f>
        <v>0</v>
      </c>
      <c r="AK248" s="4" t="b">
        <f>IFERROR(ISNUMBER(data!AA248), FALSE)</f>
        <v>0</v>
      </c>
      <c r="AL248" s="4" t="b">
        <f>LEN(data!AB248)&lt;=90</f>
        <v>1</v>
      </c>
      <c r="AM248" s="4" t="b">
        <f>LEN(data!AC248)&gt;0</f>
        <v>0</v>
      </c>
      <c r="AN248" s="4" t="b">
        <f>LEN(data!AC248)&lt;=2000</f>
        <v>1</v>
      </c>
      <c r="AO248" s="4" t="b">
        <f>IF(LEN(data!AD248)=0,TRUE,IF(LEN(data!AD248)=5,TRUE,FALSE))</f>
        <v>1</v>
      </c>
      <c r="AP248" s="4" t="b">
        <f>LEN(data!AE248)&gt;0</f>
        <v>0</v>
      </c>
      <c r="AQ248" s="4" t="b">
        <f>LEN(data!AE248)=5</f>
        <v>0</v>
      </c>
      <c r="AR248" s="4" t="b">
        <f>ISERROR(MATCH(data!AF248, rule_mapping!$B$2:$B$3, 0))=FALSE</f>
        <v>0</v>
      </c>
      <c r="AS248" s="4" t="b">
        <f>ISERROR(MATCH(data!AG248, rule_mapping!$A$2:$A$8, 0))=FALSE</f>
        <v>0</v>
      </c>
      <c r="AT248" s="4" t="b">
        <f>LEN(data!AH248)&lt;=4</f>
        <v>1</v>
      </c>
      <c r="AU248" s="4" t="b">
        <f>LEN(data!AI248)&lt;=10</f>
        <v>1</v>
      </c>
      <c r="AV248" s="4" t="b">
        <f>LEN(data!AJ248)&lt;=35</f>
        <v>1</v>
      </c>
      <c r="AW248" s="4" t="b">
        <f>LEN(data!AK248)&lt;=20</f>
        <v>1</v>
      </c>
      <c r="AX248"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49" spans="1:50" ht="409.5" x14ac:dyDescent="0.15">
      <c r="A249" s="4" t="b">
        <f>OR(ISBLANK(data!B249), AND(B249:AW249))</f>
        <v>1</v>
      </c>
      <c r="B249" s="4" t="b">
        <f>AND(LEFT(TRIM(data!B249), 4)="OOLU", ISNUMBER(RIGHT(TRIM(data!B249), LEN(TRIM(data!B249))-4)+0))</f>
        <v>0</v>
      </c>
      <c r="C249" s="4" t="b">
        <f>LEN(data!C249)&gt;0</f>
        <v>0</v>
      </c>
      <c r="D249" s="4" t="b">
        <f>LEN(data!C249)&lt;=70</f>
        <v>1</v>
      </c>
      <c r="E249" s="4" t="b">
        <f>LEN(data!D249)&gt;0</f>
        <v>0</v>
      </c>
      <c r="F249" s="4" t="b">
        <f>LEN(data!D249)&lt;=140</f>
        <v>1</v>
      </c>
      <c r="G249" s="4" t="b">
        <f>LEN(data!E249)&gt;0</f>
        <v>0</v>
      </c>
      <c r="H249" s="4" t="b">
        <f>LEN(data!E249)&lt;=35</f>
        <v>1</v>
      </c>
      <c r="I249" s="4" t="b">
        <f>LEN(data!F249)=2</f>
        <v>0</v>
      </c>
      <c r="J249" s="4" t="b">
        <f>LEN(data!G249)&gt;0</f>
        <v>0</v>
      </c>
      <c r="K249" s="4" t="b">
        <f>LEN(data!G249)&lt;=60</f>
        <v>1</v>
      </c>
      <c r="L249" s="4" t="b">
        <f>LEN(data!I249)&gt;0</f>
        <v>0</v>
      </c>
      <c r="M249" s="4" t="b">
        <f>LEN(data!I249)&lt;=70</f>
        <v>1</v>
      </c>
      <c r="N249" s="4" t="b">
        <f>LEN(data!J249)&gt;0</f>
        <v>0</v>
      </c>
      <c r="O249" s="4" t="b">
        <f>LEN(data!J249)&lt;=140</f>
        <v>1</v>
      </c>
      <c r="P249" s="4" t="b">
        <f>LEN(data!K249)&gt;0</f>
        <v>0</v>
      </c>
      <c r="Q249" s="4" t="b">
        <f>LEN(data!K249)&lt;=35</f>
        <v>1</v>
      </c>
      <c r="R249" s="4" t="b">
        <f>LEN(data!L249)=2</f>
        <v>0</v>
      </c>
      <c r="S249" s="4" t="b">
        <f>LEN(data!M249)&gt;0</f>
        <v>0</v>
      </c>
      <c r="T249" s="4" t="b">
        <f>LEN(data!M249)&lt;=60</f>
        <v>1</v>
      </c>
      <c r="U249" s="4" t="b">
        <f>LEN(data!O249)&gt;0</f>
        <v>0</v>
      </c>
      <c r="V249" s="4" t="b">
        <f>LEN(data!O249)&lt;=70</f>
        <v>1</v>
      </c>
      <c r="W249" s="4" t="b">
        <f>LEN(data!P249)&gt;0</f>
        <v>0</v>
      </c>
      <c r="X249" s="4" t="b">
        <f>LEN(data!P249)&lt;=140</f>
        <v>1</v>
      </c>
      <c r="Y249" s="4" t="b">
        <f>LEN(data!Q249)&gt;0</f>
        <v>0</v>
      </c>
      <c r="Z249" s="4" t="b">
        <f>LEN(data!Q249)&lt;=35</f>
        <v>1</v>
      </c>
      <c r="AA249" s="4" t="b">
        <f>LEN(data!R249)=2</f>
        <v>0</v>
      </c>
      <c r="AB249" s="4" t="b">
        <f>LEN(data!S249)&gt;0</f>
        <v>0</v>
      </c>
      <c r="AC249" s="4" t="b">
        <f>LEN(data!S249)&lt;=120</f>
        <v>1</v>
      </c>
      <c r="AD249" s="4" t="b">
        <f>LEN(data!U249)=11</f>
        <v>0</v>
      </c>
      <c r="AE249" s="4" t="b">
        <f>AND(ISERROR(MATCH(data!V249, rule_mapping!$C$2:$C$325, 0))=FALSE, LEN(data!V249) &lt;= 4)</f>
        <v>0</v>
      </c>
      <c r="AF249" s="4" t="b">
        <f>LEN(data!W249)&gt;0</f>
        <v>0</v>
      </c>
      <c r="AG249" s="4" t="b">
        <f>LEN(data!W249)&lt;=20</f>
        <v>1</v>
      </c>
      <c r="AH249" s="4" t="b">
        <f xml:space="preserve"> IFERROR(ISNUMBER(data!X249), FALSE)</f>
        <v>0</v>
      </c>
      <c r="AI249" s="4" t="b">
        <f>IF(ISERROR(MATCH(data!Y249, rule_mapping!$D$2:$D$252, 0))=FALSE,TRUE, FALSE)</f>
        <v>0</v>
      </c>
      <c r="AJ249" s="4" t="b">
        <f>IFERROR(ISNUMBER(data!Z249), FALSE)</f>
        <v>0</v>
      </c>
      <c r="AK249" s="4" t="b">
        <f>IFERROR(ISNUMBER(data!AA249), FALSE)</f>
        <v>0</v>
      </c>
      <c r="AL249" s="4" t="b">
        <f>LEN(data!AB249)&lt;=90</f>
        <v>1</v>
      </c>
      <c r="AM249" s="4" t="b">
        <f>LEN(data!AC249)&gt;0</f>
        <v>0</v>
      </c>
      <c r="AN249" s="4" t="b">
        <f>LEN(data!AC249)&lt;=2000</f>
        <v>1</v>
      </c>
      <c r="AO249" s="4" t="b">
        <f>IF(LEN(data!AD249)=0,TRUE,IF(LEN(data!AD249)=5,TRUE,FALSE))</f>
        <v>1</v>
      </c>
      <c r="AP249" s="4" t="b">
        <f>LEN(data!AE249)&gt;0</f>
        <v>0</v>
      </c>
      <c r="AQ249" s="4" t="b">
        <f>LEN(data!AE249)=5</f>
        <v>0</v>
      </c>
      <c r="AR249" s="4" t="b">
        <f>ISERROR(MATCH(data!AF249, rule_mapping!$B$2:$B$3, 0))=FALSE</f>
        <v>0</v>
      </c>
      <c r="AS249" s="4" t="b">
        <f>ISERROR(MATCH(data!AG249, rule_mapping!$A$2:$A$8, 0))=FALSE</f>
        <v>0</v>
      </c>
      <c r="AT249" s="4" t="b">
        <f>LEN(data!AH249)&lt;=4</f>
        <v>1</v>
      </c>
      <c r="AU249" s="4" t="b">
        <f>LEN(data!AI249)&lt;=10</f>
        <v>1</v>
      </c>
      <c r="AV249" s="4" t="b">
        <f>LEN(data!AJ249)&lt;=35</f>
        <v>1</v>
      </c>
      <c r="AW249" s="4" t="b">
        <f>LEN(data!AK249)&lt;=20</f>
        <v>1</v>
      </c>
      <c r="AX249"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0" spans="1:50" ht="409.5" x14ac:dyDescent="0.15">
      <c r="A250" s="4" t="b">
        <f>OR(ISBLANK(data!B250), AND(B250:AW250))</f>
        <v>1</v>
      </c>
      <c r="B250" s="4" t="b">
        <f>AND(LEFT(TRIM(data!B250), 4)="OOLU", ISNUMBER(RIGHT(TRIM(data!B250), LEN(TRIM(data!B250))-4)+0))</f>
        <v>0</v>
      </c>
      <c r="C250" s="4" t="b">
        <f>LEN(data!C250)&gt;0</f>
        <v>0</v>
      </c>
      <c r="D250" s="4" t="b">
        <f>LEN(data!C250)&lt;=70</f>
        <v>1</v>
      </c>
      <c r="E250" s="4" t="b">
        <f>LEN(data!D250)&gt;0</f>
        <v>0</v>
      </c>
      <c r="F250" s="4" t="b">
        <f>LEN(data!D250)&lt;=140</f>
        <v>1</v>
      </c>
      <c r="G250" s="4" t="b">
        <f>LEN(data!E250)&gt;0</f>
        <v>0</v>
      </c>
      <c r="H250" s="4" t="b">
        <f>LEN(data!E250)&lt;=35</f>
        <v>1</v>
      </c>
      <c r="I250" s="4" t="b">
        <f>LEN(data!F250)=2</f>
        <v>0</v>
      </c>
      <c r="J250" s="4" t="b">
        <f>LEN(data!G250)&gt;0</f>
        <v>0</v>
      </c>
      <c r="K250" s="4" t="b">
        <f>LEN(data!G250)&lt;=60</f>
        <v>1</v>
      </c>
      <c r="L250" s="4" t="b">
        <f>LEN(data!I250)&gt;0</f>
        <v>0</v>
      </c>
      <c r="M250" s="4" t="b">
        <f>LEN(data!I250)&lt;=70</f>
        <v>1</v>
      </c>
      <c r="N250" s="4" t="b">
        <f>LEN(data!J250)&gt;0</f>
        <v>0</v>
      </c>
      <c r="O250" s="4" t="b">
        <f>LEN(data!J250)&lt;=140</f>
        <v>1</v>
      </c>
      <c r="P250" s="4" t="b">
        <f>LEN(data!K250)&gt;0</f>
        <v>0</v>
      </c>
      <c r="Q250" s="4" t="b">
        <f>LEN(data!K250)&lt;=35</f>
        <v>1</v>
      </c>
      <c r="R250" s="4" t="b">
        <f>LEN(data!L250)=2</f>
        <v>0</v>
      </c>
      <c r="S250" s="4" t="b">
        <f>LEN(data!M250)&gt;0</f>
        <v>0</v>
      </c>
      <c r="T250" s="4" t="b">
        <f>LEN(data!M250)&lt;=60</f>
        <v>1</v>
      </c>
      <c r="U250" s="4" t="b">
        <f>LEN(data!O250)&gt;0</f>
        <v>0</v>
      </c>
      <c r="V250" s="4" t="b">
        <f>LEN(data!O250)&lt;=70</f>
        <v>1</v>
      </c>
      <c r="W250" s="4" t="b">
        <f>LEN(data!P250)&gt;0</f>
        <v>0</v>
      </c>
      <c r="X250" s="4" t="b">
        <f>LEN(data!P250)&lt;=140</f>
        <v>1</v>
      </c>
      <c r="Y250" s="4" t="b">
        <f>LEN(data!Q250)&gt;0</f>
        <v>0</v>
      </c>
      <c r="Z250" s="4" t="b">
        <f>LEN(data!Q250)&lt;=35</f>
        <v>1</v>
      </c>
      <c r="AA250" s="4" t="b">
        <f>LEN(data!R250)=2</f>
        <v>0</v>
      </c>
      <c r="AB250" s="4" t="b">
        <f>LEN(data!S250)&gt;0</f>
        <v>0</v>
      </c>
      <c r="AC250" s="4" t="b">
        <f>LEN(data!S250)&lt;=120</f>
        <v>1</v>
      </c>
      <c r="AD250" s="4" t="b">
        <f>LEN(data!U250)=11</f>
        <v>0</v>
      </c>
      <c r="AE250" s="4" t="b">
        <f>AND(ISERROR(MATCH(data!V250, rule_mapping!$C$2:$C$325, 0))=FALSE, LEN(data!V250) &lt;= 4)</f>
        <v>0</v>
      </c>
      <c r="AF250" s="4" t="b">
        <f>LEN(data!W250)&gt;0</f>
        <v>0</v>
      </c>
      <c r="AG250" s="4" t="b">
        <f>LEN(data!W250)&lt;=20</f>
        <v>1</v>
      </c>
      <c r="AH250" s="4" t="b">
        <f xml:space="preserve"> IFERROR(ISNUMBER(data!X250), FALSE)</f>
        <v>0</v>
      </c>
      <c r="AI250" s="4" t="b">
        <f>IF(ISERROR(MATCH(data!Y250, rule_mapping!$D$2:$D$252, 0))=FALSE,TRUE, FALSE)</f>
        <v>0</v>
      </c>
      <c r="AJ250" s="4" t="b">
        <f>IFERROR(ISNUMBER(data!Z250), FALSE)</f>
        <v>0</v>
      </c>
      <c r="AK250" s="4" t="b">
        <f>IFERROR(ISNUMBER(data!AA250), FALSE)</f>
        <v>0</v>
      </c>
      <c r="AL250" s="4" t="b">
        <f>LEN(data!AB250)&lt;=90</f>
        <v>1</v>
      </c>
      <c r="AM250" s="4" t="b">
        <f>LEN(data!AC250)&gt;0</f>
        <v>0</v>
      </c>
      <c r="AN250" s="4" t="b">
        <f>LEN(data!AC250)&lt;=2000</f>
        <v>1</v>
      </c>
      <c r="AO250" s="4" t="b">
        <f>IF(LEN(data!AD250)=0,TRUE,IF(LEN(data!AD250)=5,TRUE,FALSE))</f>
        <v>1</v>
      </c>
      <c r="AP250" s="4" t="b">
        <f>LEN(data!AE250)&gt;0</f>
        <v>0</v>
      </c>
      <c r="AQ250" s="4" t="b">
        <f>LEN(data!AE250)=5</f>
        <v>0</v>
      </c>
      <c r="AR250" s="4" t="b">
        <f>ISERROR(MATCH(data!AF250, rule_mapping!$B$2:$B$3, 0))=FALSE</f>
        <v>0</v>
      </c>
      <c r="AS250" s="4" t="b">
        <f>ISERROR(MATCH(data!AG250, rule_mapping!$A$2:$A$8, 0))=FALSE</f>
        <v>0</v>
      </c>
      <c r="AT250" s="4" t="b">
        <f>LEN(data!AH250)&lt;=4</f>
        <v>1</v>
      </c>
      <c r="AU250" s="4" t="b">
        <f>LEN(data!AI250)&lt;=10</f>
        <v>1</v>
      </c>
      <c r="AV250" s="4" t="b">
        <f>LEN(data!AJ250)&lt;=35</f>
        <v>1</v>
      </c>
      <c r="AW250" s="4" t="b">
        <f>LEN(data!AK250)&lt;=20</f>
        <v>1</v>
      </c>
      <c r="AX250"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1" spans="1:50" ht="409.5" x14ac:dyDescent="0.15">
      <c r="A251" s="4" t="b">
        <f>OR(ISBLANK(data!B251), AND(B251:AW251))</f>
        <v>1</v>
      </c>
      <c r="B251" s="4" t="b">
        <f>AND(LEFT(TRIM(data!B251), 4)="OOLU", ISNUMBER(RIGHT(TRIM(data!B251), LEN(TRIM(data!B251))-4)+0))</f>
        <v>0</v>
      </c>
      <c r="C251" s="4" t="b">
        <f>LEN(data!C251)&gt;0</f>
        <v>0</v>
      </c>
      <c r="D251" s="4" t="b">
        <f>LEN(data!C251)&lt;=70</f>
        <v>1</v>
      </c>
      <c r="E251" s="4" t="b">
        <f>LEN(data!D251)&gt;0</f>
        <v>0</v>
      </c>
      <c r="F251" s="4" t="b">
        <f>LEN(data!D251)&lt;=140</f>
        <v>1</v>
      </c>
      <c r="G251" s="4" t="b">
        <f>LEN(data!E251)&gt;0</f>
        <v>0</v>
      </c>
      <c r="H251" s="4" t="b">
        <f>LEN(data!E251)&lt;=35</f>
        <v>1</v>
      </c>
      <c r="I251" s="4" t="b">
        <f>LEN(data!F251)=2</f>
        <v>0</v>
      </c>
      <c r="J251" s="4" t="b">
        <f>LEN(data!G251)&gt;0</f>
        <v>0</v>
      </c>
      <c r="K251" s="4" t="b">
        <f>LEN(data!G251)&lt;=60</f>
        <v>1</v>
      </c>
      <c r="L251" s="4" t="b">
        <f>LEN(data!I251)&gt;0</f>
        <v>0</v>
      </c>
      <c r="M251" s="4" t="b">
        <f>LEN(data!I251)&lt;=70</f>
        <v>1</v>
      </c>
      <c r="N251" s="4" t="b">
        <f>LEN(data!J251)&gt;0</f>
        <v>0</v>
      </c>
      <c r="O251" s="4" t="b">
        <f>LEN(data!J251)&lt;=140</f>
        <v>1</v>
      </c>
      <c r="P251" s="4" t="b">
        <f>LEN(data!K251)&gt;0</f>
        <v>0</v>
      </c>
      <c r="Q251" s="4" t="b">
        <f>LEN(data!K251)&lt;=35</f>
        <v>1</v>
      </c>
      <c r="R251" s="4" t="b">
        <f>LEN(data!L251)=2</f>
        <v>0</v>
      </c>
      <c r="S251" s="4" t="b">
        <f>LEN(data!M251)&gt;0</f>
        <v>0</v>
      </c>
      <c r="T251" s="4" t="b">
        <f>LEN(data!M251)&lt;=60</f>
        <v>1</v>
      </c>
      <c r="U251" s="4" t="b">
        <f>LEN(data!O251)&gt;0</f>
        <v>0</v>
      </c>
      <c r="V251" s="4" t="b">
        <f>LEN(data!O251)&lt;=70</f>
        <v>1</v>
      </c>
      <c r="W251" s="4" t="b">
        <f>LEN(data!P251)&gt;0</f>
        <v>0</v>
      </c>
      <c r="X251" s="4" t="b">
        <f>LEN(data!P251)&lt;=140</f>
        <v>1</v>
      </c>
      <c r="Y251" s="4" t="b">
        <f>LEN(data!Q251)&gt;0</f>
        <v>0</v>
      </c>
      <c r="Z251" s="4" t="b">
        <f>LEN(data!Q251)&lt;=35</f>
        <v>1</v>
      </c>
      <c r="AA251" s="4" t="b">
        <f>LEN(data!R251)=2</f>
        <v>0</v>
      </c>
      <c r="AB251" s="4" t="b">
        <f>LEN(data!S251)&gt;0</f>
        <v>0</v>
      </c>
      <c r="AC251" s="4" t="b">
        <f>LEN(data!S251)&lt;=120</f>
        <v>1</v>
      </c>
      <c r="AD251" s="4" t="b">
        <f>LEN(data!U251)=11</f>
        <v>0</v>
      </c>
      <c r="AE251" s="4" t="b">
        <f>AND(ISERROR(MATCH(data!V251, rule_mapping!$C$2:$C$325, 0))=FALSE, LEN(data!V251) &lt;= 4)</f>
        <v>0</v>
      </c>
      <c r="AF251" s="4" t="b">
        <f>LEN(data!W251)&gt;0</f>
        <v>0</v>
      </c>
      <c r="AG251" s="4" t="b">
        <f>LEN(data!W251)&lt;=20</f>
        <v>1</v>
      </c>
      <c r="AH251" s="4" t="b">
        <f xml:space="preserve"> IFERROR(ISNUMBER(data!X251), FALSE)</f>
        <v>0</v>
      </c>
      <c r="AI251" s="4" t="b">
        <f>IF(ISERROR(MATCH(data!Y251, rule_mapping!$D$2:$D$252, 0))=FALSE,TRUE, FALSE)</f>
        <v>0</v>
      </c>
      <c r="AJ251" s="4" t="b">
        <f>IFERROR(ISNUMBER(data!Z251), FALSE)</f>
        <v>0</v>
      </c>
      <c r="AK251" s="4" t="b">
        <f>IFERROR(ISNUMBER(data!AA251), FALSE)</f>
        <v>0</v>
      </c>
      <c r="AL251" s="4" t="b">
        <f>LEN(data!AB251)&lt;=90</f>
        <v>1</v>
      </c>
      <c r="AM251" s="4" t="b">
        <f>LEN(data!AC251)&gt;0</f>
        <v>0</v>
      </c>
      <c r="AN251" s="4" t="b">
        <f>LEN(data!AC251)&lt;=2000</f>
        <v>1</v>
      </c>
      <c r="AO251" s="4" t="b">
        <f>IF(LEN(data!AD251)=0,TRUE,IF(LEN(data!AD251)=5,TRUE,FALSE))</f>
        <v>1</v>
      </c>
      <c r="AP251" s="4" t="b">
        <f>LEN(data!AE251)&gt;0</f>
        <v>0</v>
      </c>
      <c r="AQ251" s="4" t="b">
        <f>LEN(data!AE251)=5</f>
        <v>0</v>
      </c>
      <c r="AR251" s="4" t="b">
        <f>ISERROR(MATCH(data!AF251, rule_mapping!$B$2:$B$3, 0))=FALSE</f>
        <v>0</v>
      </c>
      <c r="AS251" s="4" t="b">
        <f>ISERROR(MATCH(data!AG251, rule_mapping!$A$2:$A$8, 0))=FALSE</f>
        <v>0</v>
      </c>
      <c r="AT251" s="4" t="b">
        <f>LEN(data!AH251)&lt;=4</f>
        <v>1</v>
      </c>
      <c r="AU251" s="4" t="b">
        <f>LEN(data!AI251)&lt;=10</f>
        <v>1</v>
      </c>
      <c r="AV251" s="4" t="b">
        <f>LEN(data!AJ251)&lt;=35</f>
        <v>1</v>
      </c>
      <c r="AW251" s="4" t="b">
        <f>LEN(data!AK251)&lt;=20</f>
        <v>1</v>
      </c>
      <c r="AX251"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2" spans="1:50" ht="409.5" x14ac:dyDescent="0.15">
      <c r="A252" s="4" t="b">
        <f>OR(ISBLANK(data!B252), AND(B252:AW252))</f>
        <v>1</v>
      </c>
      <c r="B252" s="4" t="b">
        <f>AND(LEFT(TRIM(data!B252), 4)="OOLU", ISNUMBER(RIGHT(TRIM(data!B252), LEN(TRIM(data!B252))-4)+0))</f>
        <v>0</v>
      </c>
      <c r="C252" s="4" t="b">
        <f>LEN(data!C252)&gt;0</f>
        <v>0</v>
      </c>
      <c r="D252" s="4" t="b">
        <f>LEN(data!C252)&lt;=70</f>
        <v>1</v>
      </c>
      <c r="E252" s="4" t="b">
        <f>LEN(data!D252)&gt;0</f>
        <v>0</v>
      </c>
      <c r="F252" s="4" t="b">
        <f>LEN(data!D252)&lt;=140</f>
        <v>1</v>
      </c>
      <c r="G252" s="4" t="b">
        <f>LEN(data!E252)&gt;0</f>
        <v>0</v>
      </c>
      <c r="H252" s="4" t="b">
        <f>LEN(data!E252)&lt;=35</f>
        <v>1</v>
      </c>
      <c r="I252" s="4" t="b">
        <f>LEN(data!F252)=2</f>
        <v>0</v>
      </c>
      <c r="J252" s="4" t="b">
        <f>LEN(data!G252)&gt;0</f>
        <v>0</v>
      </c>
      <c r="K252" s="4" t="b">
        <f>LEN(data!G252)&lt;=60</f>
        <v>1</v>
      </c>
      <c r="L252" s="4" t="b">
        <f>LEN(data!I252)&gt;0</f>
        <v>0</v>
      </c>
      <c r="M252" s="4" t="b">
        <f>LEN(data!I252)&lt;=70</f>
        <v>1</v>
      </c>
      <c r="N252" s="4" t="b">
        <f>LEN(data!J252)&gt;0</f>
        <v>0</v>
      </c>
      <c r="O252" s="4" t="b">
        <f>LEN(data!J252)&lt;=140</f>
        <v>1</v>
      </c>
      <c r="P252" s="4" t="b">
        <f>LEN(data!K252)&gt;0</f>
        <v>0</v>
      </c>
      <c r="Q252" s="4" t="b">
        <f>LEN(data!K252)&lt;=35</f>
        <v>1</v>
      </c>
      <c r="R252" s="4" t="b">
        <f>LEN(data!L252)=2</f>
        <v>0</v>
      </c>
      <c r="S252" s="4" t="b">
        <f>LEN(data!M252)&gt;0</f>
        <v>0</v>
      </c>
      <c r="T252" s="4" t="b">
        <f>LEN(data!M252)&lt;=60</f>
        <v>1</v>
      </c>
      <c r="U252" s="4" t="b">
        <f>LEN(data!O252)&gt;0</f>
        <v>0</v>
      </c>
      <c r="V252" s="4" t="b">
        <f>LEN(data!O252)&lt;=70</f>
        <v>1</v>
      </c>
      <c r="W252" s="4" t="b">
        <f>LEN(data!P252)&gt;0</f>
        <v>0</v>
      </c>
      <c r="X252" s="4" t="b">
        <f>LEN(data!P252)&lt;=140</f>
        <v>1</v>
      </c>
      <c r="Y252" s="4" t="b">
        <f>LEN(data!Q252)&gt;0</f>
        <v>0</v>
      </c>
      <c r="Z252" s="4" t="b">
        <f>LEN(data!Q252)&lt;=35</f>
        <v>1</v>
      </c>
      <c r="AA252" s="4" t="b">
        <f>LEN(data!R252)=2</f>
        <v>0</v>
      </c>
      <c r="AB252" s="4" t="b">
        <f>LEN(data!S252)&gt;0</f>
        <v>0</v>
      </c>
      <c r="AC252" s="4" t="b">
        <f>LEN(data!S252)&lt;=120</f>
        <v>1</v>
      </c>
      <c r="AD252" s="4" t="b">
        <f>LEN(data!U252)=11</f>
        <v>0</v>
      </c>
      <c r="AE252" s="4" t="b">
        <f>AND(ISERROR(MATCH(data!V252, rule_mapping!$C$2:$C$325, 0))=FALSE, LEN(data!V252) &lt;= 4)</f>
        <v>0</v>
      </c>
      <c r="AF252" s="4" t="b">
        <f>LEN(data!W252)&gt;0</f>
        <v>0</v>
      </c>
      <c r="AG252" s="4" t="b">
        <f>LEN(data!W252)&lt;=20</f>
        <v>1</v>
      </c>
      <c r="AH252" s="4" t="b">
        <f xml:space="preserve"> IFERROR(ISNUMBER(data!X252), FALSE)</f>
        <v>0</v>
      </c>
      <c r="AI252" s="4" t="b">
        <f>IF(ISERROR(MATCH(data!Y252, rule_mapping!$D$2:$D$252, 0))=FALSE,TRUE, FALSE)</f>
        <v>0</v>
      </c>
      <c r="AJ252" s="4" t="b">
        <f>IFERROR(ISNUMBER(data!Z252), FALSE)</f>
        <v>0</v>
      </c>
      <c r="AK252" s="4" t="b">
        <f>IFERROR(ISNUMBER(data!AA252), FALSE)</f>
        <v>0</v>
      </c>
      <c r="AL252" s="4" t="b">
        <f>LEN(data!AB252)&lt;=90</f>
        <v>1</v>
      </c>
      <c r="AM252" s="4" t="b">
        <f>LEN(data!AC252)&gt;0</f>
        <v>0</v>
      </c>
      <c r="AN252" s="4" t="b">
        <f>LEN(data!AC252)&lt;=2000</f>
        <v>1</v>
      </c>
      <c r="AO252" s="4" t="b">
        <f>IF(LEN(data!AD252)=0,TRUE,IF(LEN(data!AD252)=5,TRUE,FALSE))</f>
        <v>1</v>
      </c>
      <c r="AP252" s="4" t="b">
        <f>LEN(data!AE252)&gt;0</f>
        <v>0</v>
      </c>
      <c r="AQ252" s="4" t="b">
        <f>LEN(data!AE252)=5</f>
        <v>0</v>
      </c>
      <c r="AR252" s="4" t="b">
        <f>ISERROR(MATCH(data!AF252, rule_mapping!$B$2:$B$3, 0))=FALSE</f>
        <v>0</v>
      </c>
      <c r="AS252" s="4" t="b">
        <f>ISERROR(MATCH(data!AG252, rule_mapping!$A$2:$A$8, 0))=FALSE</f>
        <v>0</v>
      </c>
      <c r="AT252" s="4" t="b">
        <f>LEN(data!AH252)&lt;=4</f>
        <v>1</v>
      </c>
      <c r="AU252" s="4" t="b">
        <f>LEN(data!AI252)&lt;=10</f>
        <v>1</v>
      </c>
      <c r="AV252" s="4" t="b">
        <f>LEN(data!AJ252)&lt;=35</f>
        <v>1</v>
      </c>
      <c r="AW252" s="4" t="b">
        <f>LEN(data!AK252)&lt;=20</f>
        <v>1</v>
      </c>
      <c r="AX252"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3" spans="1:50" ht="409.5" x14ac:dyDescent="0.15">
      <c r="A253" s="4" t="b">
        <f>OR(ISBLANK(data!B253), AND(B253:AW253))</f>
        <v>1</v>
      </c>
      <c r="B253" s="4" t="b">
        <f>AND(LEFT(TRIM(data!B253), 4)="OOLU", ISNUMBER(RIGHT(TRIM(data!B253), LEN(TRIM(data!B253))-4)+0))</f>
        <v>0</v>
      </c>
      <c r="C253" s="4" t="b">
        <f>LEN(data!C253)&gt;0</f>
        <v>0</v>
      </c>
      <c r="D253" s="4" t="b">
        <f>LEN(data!C253)&lt;=70</f>
        <v>1</v>
      </c>
      <c r="E253" s="4" t="b">
        <f>LEN(data!D253)&gt;0</f>
        <v>0</v>
      </c>
      <c r="F253" s="4" t="b">
        <f>LEN(data!D253)&lt;=140</f>
        <v>1</v>
      </c>
      <c r="G253" s="4" t="b">
        <f>LEN(data!E253)&gt;0</f>
        <v>0</v>
      </c>
      <c r="H253" s="4" t="b">
        <f>LEN(data!E253)&lt;=35</f>
        <v>1</v>
      </c>
      <c r="I253" s="4" t="b">
        <f>LEN(data!F253)=2</f>
        <v>0</v>
      </c>
      <c r="J253" s="4" t="b">
        <f>LEN(data!G253)&gt;0</f>
        <v>0</v>
      </c>
      <c r="K253" s="4" t="b">
        <f>LEN(data!G253)&lt;=60</f>
        <v>1</v>
      </c>
      <c r="L253" s="4" t="b">
        <f>LEN(data!I253)&gt;0</f>
        <v>0</v>
      </c>
      <c r="M253" s="4" t="b">
        <f>LEN(data!I253)&lt;=70</f>
        <v>1</v>
      </c>
      <c r="N253" s="4" t="b">
        <f>LEN(data!J253)&gt;0</f>
        <v>0</v>
      </c>
      <c r="O253" s="4" t="b">
        <f>LEN(data!J253)&lt;=140</f>
        <v>1</v>
      </c>
      <c r="P253" s="4" t="b">
        <f>LEN(data!K253)&gt;0</f>
        <v>0</v>
      </c>
      <c r="Q253" s="4" t="b">
        <f>LEN(data!K253)&lt;=35</f>
        <v>1</v>
      </c>
      <c r="R253" s="4" t="b">
        <f>LEN(data!L253)=2</f>
        <v>0</v>
      </c>
      <c r="S253" s="4" t="b">
        <f>LEN(data!M253)&gt;0</f>
        <v>0</v>
      </c>
      <c r="T253" s="4" t="b">
        <f>LEN(data!M253)&lt;=60</f>
        <v>1</v>
      </c>
      <c r="U253" s="4" t="b">
        <f>LEN(data!O253)&gt;0</f>
        <v>0</v>
      </c>
      <c r="V253" s="4" t="b">
        <f>LEN(data!O253)&lt;=70</f>
        <v>1</v>
      </c>
      <c r="W253" s="4" t="b">
        <f>LEN(data!P253)&gt;0</f>
        <v>0</v>
      </c>
      <c r="X253" s="4" t="b">
        <f>LEN(data!P253)&lt;=140</f>
        <v>1</v>
      </c>
      <c r="Y253" s="4" t="b">
        <f>LEN(data!Q253)&gt;0</f>
        <v>0</v>
      </c>
      <c r="Z253" s="4" t="b">
        <f>LEN(data!Q253)&lt;=35</f>
        <v>1</v>
      </c>
      <c r="AA253" s="4" t="b">
        <f>LEN(data!R253)=2</f>
        <v>0</v>
      </c>
      <c r="AB253" s="4" t="b">
        <f>LEN(data!S253)&gt;0</f>
        <v>0</v>
      </c>
      <c r="AC253" s="4" t="b">
        <f>LEN(data!S253)&lt;=120</f>
        <v>1</v>
      </c>
      <c r="AD253" s="4" t="b">
        <f>LEN(data!U253)=11</f>
        <v>0</v>
      </c>
      <c r="AE253" s="4" t="b">
        <f>AND(ISERROR(MATCH(data!V253, rule_mapping!$C$2:$C$325, 0))=FALSE, LEN(data!V253) &lt;= 4)</f>
        <v>0</v>
      </c>
      <c r="AF253" s="4" t="b">
        <f>LEN(data!W253)&gt;0</f>
        <v>0</v>
      </c>
      <c r="AG253" s="4" t="b">
        <f>LEN(data!W253)&lt;=20</f>
        <v>1</v>
      </c>
      <c r="AH253" s="4" t="b">
        <f xml:space="preserve"> IFERROR(ISNUMBER(data!X253), FALSE)</f>
        <v>0</v>
      </c>
      <c r="AI253" s="4" t="b">
        <f>IF(ISERROR(MATCH(data!Y253, rule_mapping!$D$2:$D$252, 0))=FALSE,TRUE, FALSE)</f>
        <v>0</v>
      </c>
      <c r="AJ253" s="4" t="b">
        <f>IFERROR(ISNUMBER(data!Z253), FALSE)</f>
        <v>0</v>
      </c>
      <c r="AK253" s="4" t="b">
        <f>IFERROR(ISNUMBER(data!AA253), FALSE)</f>
        <v>0</v>
      </c>
      <c r="AL253" s="4" t="b">
        <f>LEN(data!AB253)&lt;=90</f>
        <v>1</v>
      </c>
      <c r="AM253" s="4" t="b">
        <f>LEN(data!AC253)&gt;0</f>
        <v>0</v>
      </c>
      <c r="AN253" s="4" t="b">
        <f>LEN(data!AC253)&lt;=2000</f>
        <v>1</v>
      </c>
      <c r="AO253" s="4" t="b">
        <f>IF(LEN(data!AD253)=0,TRUE,IF(LEN(data!AD253)=5,TRUE,FALSE))</f>
        <v>1</v>
      </c>
      <c r="AP253" s="4" t="b">
        <f>LEN(data!AE253)&gt;0</f>
        <v>0</v>
      </c>
      <c r="AQ253" s="4" t="b">
        <f>LEN(data!AE253)=5</f>
        <v>0</v>
      </c>
      <c r="AR253" s="4" t="b">
        <f>ISERROR(MATCH(data!AF253, rule_mapping!$B$2:$B$3, 0))=FALSE</f>
        <v>0</v>
      </c>
      <c r="AS253" s="4" t="b">
        <f>ISERROR(MATCH(data!AG253, rule_mapping!$A$2:$A$8, 0))=FALSE</f>
        <v>0</v>
      </c>
      <c r="AT253" s="4" t="b">
        <f>LEN(data!AH253)&lt;=4</f>
        <v>1</v>
      </c>
      <c r="AU253" s="4" t="b">
        <f>LEN(data!AI253)&lt;=10</f>
        <v>1</v>
      </c>
      <c r="AV253" s="4" t="b">
        <f>LEN(data!AJ253)&lt;=35</f>
        <v>1</v>
      </c>
      <c r="AW253" s="4" t="b">
        <f>LEN(data!AK253)&lt;=20</f>
        <v>1</v>
      </c>
      <c r="AX253"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4" spans="1:50" ht="409.5" x14ac:dyDescent="0.15">
      <c r="A254" s="4" t="b">
        <f>OR(ISBLANK(data!B254), AND(B254:AW254))</f>
        <v>1</v>
      </c>
      <c r="B254" s="4" t="b">
        <f>AND(LEFT(TRIM(data!B254), 4)="OOLU", ISNUMBER(RIGHT(TRIM(data!B254), LEN(TRIM(data!B254))-4)+0))</f>
        <v>0</v>
      </c>
      <c r="C254" s="4" t="b">
        <f>LEN(data!C254)&gt;0</f>
        <v>0</v>
      </c>
      <c r="D254" s="4" t="b">
        <f>LEN(data!C254)&lt;=70</f>
        <v>1</v>
      </c>
      <c r="E254" s="4" t="b">
        <f>LEN(data!D254)&gt;0</f>
        <v>0</v>
      </c>
      <c r="F254" s="4" t="b">
        <f>LEN(data!D254)&lt;=140</f>
        <v>1</v>
      </c>
      <c r="G254" s="4" t="b">
        <f>LEN(data!E254)&gt;0</f>
        <v>0</v>
      </c>
      <c r="H254" s="4" t="b">
        <f>LEN(data!E254)&lt;=35</f>
        <v>1</v>
      </c>
      <c r="I254" s="4" t="b">
        <f>LEN(data!F254)=2</f>
        <v>0</v>
      </c>
      <c r="J254" s="4" t="b">
        <f>LEN(data!G254)&gt;0</f>
        <v>0</v>
      </c>
      <c r="K254" s="4" t="b">
        <f>LEN(data!G254)&lt;=60</f>
        <v>1</v>
      </c>
      <c r="L254" s="4" t="b">
        <f>LEN(data!I254)&gt;0</f>
        <v>0</v>
      </c>
      <c r="M254" s="4" t="b">
        <f>LEN(data!I254)&lt;=70</f>
        <v>1</v>
      </c>
      <c r="N254" s="4" t="b">
        <f>LEN(data!J254)&gt;0</f>
        <v>0</v>
      </c>
      <c r="O254" s="4" t="b">
        <f>LEN(data!J254)&lt;=140</f>
        <v>1</v>
      </c>
      <c r="P254" s="4" t="b">
        <f>LEN(data!K254)&gt;0</f>
        <v>0</v>
      </c>
      <c r="Q254" s="4" t="b">
        <f>LEN(data!K254)&lt;=35</f>
        <v>1</v>
      </c>
      <c r="R254" s="4" t="b">
        <f>LEN(data!L254)=2</f>
        <v>0</v>
      </c>
      <c r="S254" s="4" t="b">
        <f>LEN(data!M254)&gt;0</f>
        <v>0</v>
      </c>
      <c r="T254" s="4" t="b">
        <f>LEN(data!M254)&lt;=60</f>
        <v>1</v>
      </c>
      <c r="U254" s="4" t="b">
        <f>LEN(data!O254)&gt;0</f>
        <v>0</v>
      </c>
      <c r="V254" s="4" t="b">
        <f>LEN(data!O254)&lt;=70</f>
        <v>1</v>
      </c>
      <c r="W254" s="4" t="b">
        <f>LEN(data!P254)&gt;0</f>
        <v>0</v>
      </c>
      <c r="X254" s="4" t="b">
        <f>LEN(data!P254)&lt;=140</f>
        <v>1</v>
      </c>
      <c r="Y254" s="4" t="b">
        <f>LEN(data!Q254)&gt;0</f>
        <v>0</v>
      </c>
      <c r="Z254" s="4" t="b">
        <f>LEN(data!Q254)&lt;=35</f>
        <v>1</v>
      </c>
      <c r="AA254" s="4" t="b">
        <f>LEN(data!R254)=2</f>
        <v>0</v>
      </c>
      <c r="AB254" s="4" t="b">
        <f>LEN(data!S254)&gt;0</f>
        <v>0</v>
      </c>
      <c r="AC254" s="4" t="b">
        <f>LEN(data!S254)&lt;=120</f>
        <v>1</v>
      </c>
      <c r="AD254" s="4" t="b">
        <f>LEN(data!U254)=11</f>
        <v>0</v>
      </c>
      <c r="AE254" s="4" t="b">
        <f>AND(ISERROR(MATCH(data!V254, rule_mapping!$C$2:$C$325, 0))=FALSE, LEN(data!V254) &lt;= 4)</f>
        <v>0</v>
      </c>
      <c r="AF254" s="4" t="b">
        <f>LEN(data!W254)&gt;0</f>
        <v>0</v>
      </c>
      <c r="AG254" s="4" t="b">
        <f>LEN(data!W254)&lt;=20</f>
        <v>1</v>
      </c>
      <c r="AH254" s="4" t="b">
        <f xml:space="preserve"> IFERROR(ISNUMBER(data!X254), FALSE)</f>
        <v>0</v>
      </c>
      <c r="AI254" s="4" t="b">
        <f>IF(ISERROR(MATCH(data!Y254, rule_mapping!$D$2:$D$252, 0))=FALSE,TRUE, FALSE)</f>
        <v>0</v>
      </c>
      <c r="AJ254" s="4" t="b">
        <f>IFERROR(ISNUMBER(data!Z254), FALSE)</f>
        <v>0</v>
      </c>
      <c r="AK254" s="4" t="b">
        <f>IFERROR(ISNUMBER(data!AA254), FALSE)</f>
        <v>0</v>
      </c>
      <c r="AL254" s="4" t="b">
        <f>LEN(data!AB254)&lt;=90</f>
        <v>1</v>
      </c>
      <c r="AM254" s="4" t="b">
        <f>LEN(data!AC254)&gt;0</f>
        <v>0</v>
      </c>
      <c r="AN254" s="4" t="b">
        <f>LEN(data!AC254)&lt;=2000</f>
        <v>1</v>
      </c>
      <c r="AO254" s="4" t="b">
        <f>IF(LEN(data!AD254)=0,TRUE,IF(LEN(data!AD254)=5,TRUE,FALSE))</f>
        <v>1</v>
      </c>
      <c r="AP254" s="4" t="b">
        <f>LEN(data!AE254)&gt;0</f>
        <v>0</v>
      </c>
      <c r="AQ254" s="4" t="b">
        <f>LEN(data!AE254)=5</f>
        <v>0</v>
      </c>
      <c r="AR254" s="4" t="b">
        <f>ISERROR(MATCH(data!AF254, rule_mapping!$B$2:$B$3, 0))=FALSE</f>
        <v>0</v>
      </c>
      <c r="AS254" s="4" t="b">
        <f>ISERROR(MATCH(data!AG254, rule_mapping!$A$2:$A$8, 0))=FALSE</f>
        <v>0</v>
      </c>
      <c r="AT254" s="4" t="b">
        <f>LEN(data!AH254)&lt;=4</f>
        <v>1</v>
      </c>
      <c r="AU254" s="4" t="b">
        <f>LEN(data!AI254)&lt;=10</f>
        <v>1</v>
      </c>
      <c r="AV254" s="4" t="b">
        <f>LEN(data!AJ254)&lt;=35</f>
        <v>1</v>
      </c>
      <c r="AW254" s="4" t="b">
        <f>LEN(data!AK254)&lt;=20</f>
        <v>1</v>
      </c>
      <c r="AX254"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5" spans="1:50" ht="409.5" x14ac:dyDescent="0.15">
      <c r="A255" s="4" t="b">
        <f>OR(ISBLANK(data!B255), AND(B255:AW255))</f>
        <v>1</v>
      </c>
      <c r="B255" s="4" t="b">
        <f>AND(LEFT(TRIM(data!B255), 4)="OOLU", ISNUMBER(RIGHT(TRIM(data!B255), LEN(TRIM(data!B255))-4)+0))</f>
        <v>0</v>
      </c>
      <c r="C255" s="4" t="b">
        <f>LEN(data!C255)&gt;0</f>
        <v>0</v>
      </c>
      <c r="D255" s="4" t="b">
        <f>LEN(data!C255)&lt;=70</f>
        <v>1</v>
      </c>
      <c r="E255" s="4" t="b">
        <f>LEN(data!D255)&gt;0</f>
        <v>0</v>
      </c>
      <c r="F255" s="4" t="b">
        <f>LEN(data!D255)&lt;=140</f>
        <v>1</v>
      </c>
      <c r="G255" s="4" t="b">
        <f>LEN(data!E255)&gt;0</f>
        <v>0</v>
      </c>
      <c r="H255" s="4" t="b">
        <f>LEN(data!E255)&lt;=35</f>
        <v>1</v>
      </c>
      <c r="I255" s="4" t="b">
        <f>LEN(data!F255)=2</f>
        <v>0</v>
      </c>
      <c r="J255" s="4" t="b">
        <f>LEN(data!G255)&gt;0</f>
        <v>0</v>
      </c>
      <c r="K255" s="4" t="b">
        <f>LEN(data!G255)&lt;=60</f>
        <v>1</v>
      </c>
      <c r="L255" s="4" t="b">
        <f>LEN(data!I255)&gt;0</f>
        <v>0</v>
      </c>
      <c r="M255" s="4" t="b">
        <f>LEN(data!I255)&lt;=70</f>
        <v>1</v>
      </c>
      <c r="N255" s="4" t="b">
        <f>LEN(data!J255)&gt;0</f>
        <v>0</v>
      </c>
      <c r="O255" s="4" t="b">
        <f>LEN(data!J255)&lt;=140</f>
        <v>1</v>
      </c>
      <c r="P255" s="4" t="b">
        <f>LEN(data!K255)&gt;0</f>
        <v>0</v>
      </c>
      <c r="Q255" s="4" t="b">
        <f>LEN(data!K255)&lt;=35</f>
        <v>1</v>
      </c>
      <c r="R255" s="4" t="b">
        <f>LEN(data!L255)=2</f>
        <v>0</v>
      </c>
      <c r="S255" s="4" t="b">
        <f>LEN(data!M255)&gt;0</f>
        <v>0</v>
      </c>
      <c r="T255" s="4" t="b">
        <f>LEN(data!M255)&lt;=60</f>
        <v>1</v>
      </c>
      <c r="U255" s="4" t="b">
        <f>LEN(data!O255)&gt;0</f>
        <v>0</v>
      </c>
      <c r="V255" s="4" t="b">
        <f>LEN(data!O255)&lt;=70</f>
        <v>1</v>
      </c>
      <c r="W255" s="4" t="b">
        <f>LEN(data!P255)&gt;0</f>
        <v>0</v>
      </c>
      <c r="X255" s="4" t="b">
        <f>LEN(data!P255)&lt;=140</f>
        <v>1</v>
      </c>
      <c r="Y255" s="4" t="b">
        <f>LEN(data!Q255)&gt;0</f>
        <v>0</v>
      </c>
      <c r="Z255" s="4" t="b">
        <f>LEN(data!Q255)&lt;=35</f>
        <v>1</v>
      </c>
      <c r="AA255" s="4" t="b">
        <f>LEN(data!R255)=2</f>
        <v>0</v>
      </c>
      <c r="AB255" s="4" t="b">
        <f>LEN(data!S255)&gt;0</f>
        <v>0</v>
      </c>
      <c r="AC255" s="4" t="b">
        <f>LEN(data!S255)&lt;=120</f>
        <v>1</v>
      </c>
      <c r="AD255" s="4" t="b">
        <f>LEN(data!U255)=11</f>
        <v>0</v>
      </c>
      <c r="AE255" s="4" t="b">
        <f>AND(ISERROR(MATCH(data!V255, rule_mapping!$C$2:$C$325, 0))=FALSE, LEN(data!V255) &lt;= 4)</f>
        <v>0</v>
      </c>
      <c r="AF255" s="4" t="b">
        <f>LEN(data!W255)&gt;0</f>
        <v>0</v>
      </c>
      <c r="AG255" s="4" t="b">
        <f>LEN(data!W255)&lt;=20</f>
        <v>1</v>
      </c>
      <c r="AH255" s="4" t="b">
        <f xml:space="preserve"> IFERROR(ISNUMBER(data!X255), FALSE)</f>
        <v>0</v>
      </c>
      <c r="AI255" s="4" t="b">
        <f>IF(ISERROR(MATCH(data!Y255, rule_mapping!$D$2:$D$252, 0))=FALSE,TRUE, FALSE)</f>
        <v>0</v>
      </c>
      <c r="AJ255" s="4" t="b">
        <f>IFERROR(ISNUMBER(data!Z255), FALSE)</f>
        <v>0</v>
      </c>
      <c r="AK255" s="4" t="b">
        <f>IFERROR(ISNUMBER(data!AA255), FALSE)</f>
        <v>0</v>
      </c>
      <c r="AL255" s="4" t="b">
        <f>LEN(data!AB255)&lt;=90</f>
        <v>1</v>
      </c>
      <c r="AM255" s="4" t="b">
        <f>LEN(data!AC255)&gt;0</f>
        <v>0</v>
      </c>
      <c r="AN255" s="4" t="b">
        <f>LEN(data!AC255)&lt;=2000</f>
        <v>1</v>
      </c>
      <c r="AO255" s="4" t="b">
        <f>IF(LEN(data!AD255)=0,TRUE,IF(LEN(data!AD255)=5,TRUE,FALSE))</f>
        <v>1</v>
      </c>
      <c r="AP255" s="4" t="b">
        <f>LEN(data!AE255)&gt;0</f>
        <v>0</v>
      </c>
      <c r="AQ255" s="4" t="b">
        <f>LEN(data!AE255)=5</f>
        <v>0</v>
      </c>
      <c r="AR255" s="4" t="b">
        <f>ISERROR(MATCH(data!AF255, rule_mapping!$B$2:$B$3, 0))=FALSE</f>
        <v>0</v>
      </c>
      <c r="AS255" s="4" t="b">
        <f>ISERROR(MATCH(data!AG255, rule_mapping!$A$2:$A$8, 0))=FALSE</f>
        <v>0</v>
      </c>
      <c r="AT255" s="4" t="b">
        <f>LEN(data!AH255)&lt;=4</f>
        <v>1</v>
      </c>
      <c r="AU255" s="4" t="b">
        <f>LEN(data!AI255)&lt;=10</f>
        <v>1</v>
      </c>
      <c r="AV255" s="4" t="b">
        <f>LEN(data!AJ255)&lt;=35</f>
        <v>1</v>
      </c>
      <c r="AW255" s="4" t="b">
        <f>LEN(data!AK255)&lt;=20</f>
        <v>1</v>
      </c>
      <c r="AX255"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6" spans="1:50" ht="409.5" x14ac:dyDescent="0.15">
      <c r="A256" s="4" t="b">
        <f>OR(ISBLANK(data!B256), AND(B256:AW256))</f>
        <v>1</v>
      </c>
      <c r="B256" s="4" t="b">
        <f>AND(LEFT(TRIM(data!B256), 4)="OOLU", ISNUMBER(RIGHT(TRIM(data!B256), LEN(TRIM(data!B256))-4)+0))</f>
        <v>0</v>
      </c>
      <c r="C256" s="4" t="b">
        <f>LEN(data!C256)&gt;0</f>
        <v>0</v>
      </c>
      <c r="D256" s="4" t="b">
        <f>LEN(data!C256)&lt;=70</f>
        <v>1</v>
      </c>
      <c r="E256" s="4" t="b">
        <f>LEN(data!D256)&gt;0</f>
        <v>0</v>
      </c>
      <c r="F256" s="4" t="b">
        <f>LEN(data!D256)&lt;=140</f>
        <v>1</v>
      </c>
      <c r="G256" s="4" t="b">
        <f>LEN(data!E256)&gt;0</f>
        <v>0</v>
      </c>
      <c r="H256" s="4" t="b">
        <f>LEN(data!E256)&lt;=35</f>
        <v>1</v>
      </c>
      <c r="I256" s="4" t="b">
        <f>LEN(data!F256)=2</f>
        <v>0</v>
      </c>
      <c r="J256" s="4" t="b">
        <f>LEN(data!G256)&gt;0</f>
        <v>0</v>
      </c>
      <c r="K256" s="4" t="b">
        <f>LEN(data!G256)&lt;=60</f>
        <v>1</v>
      </c>
      <c r="L256" s="4" t="b">
        <f>LEN(data!I256)&gt;0</f>
        <v>0</v>
      </c>
      <c r="M256" s="4" t="b">
        <f>LEN(data!I256)&lt;=70</f>
        <v>1</v>
      </c>
      <c r="N256" s="4" t="b">
        <f>LEN(data!J256)&gt;0</f>
        <v>0</v>
      </c>
      <c r="O256" s="4" t="b">
        <f>LEN(data!J256)&lt;=140</f>
        <v>1</v>
      </c>
      <c r="P256" s="4" t="b">
        <f>LEN(data!K256)&gt;0</f>
        <v>0</v>
      </c>
      <c r="Q256" s="4" t="b">
        <f>LEN(data!K256)&lt;=35</f>
        <v>1</v>
      </c>
      <c r="R256" s="4" t="b">
        <f>LEN(data!L256)=2</f>
        <v>0</v>
      </c>
      <c r="S256" s="4" t="b">
        <f>LEN(data!M256)&gt;0</f>
        <v>0</v>
      </c>
      <c r="T256" s="4" t="b">
        <f>LEN(data!M256)&lt;=60</f>
        <v>1</v>
      </c>
      <c r="U256" s="4" t="b">
        <f>LEN(data!O256)&gt;0</f>
        <v>0</v>
      </c>
      <c r="V256" s="4" t="b">
        <f>LEN(data!O256)&lt;=70</f>
        <v>1</v>
      </c>
      <c r="W256" s="4" t="b">
        <f>LEN(data!P256)&gt;0</f>
        <v>0</v>
      </c>
      <c r="X256" s="4" t="b">
        <f>LEN(data!P256)&lt;=140</f>
        <v>1</v>
      </c>
      <c r="Y256" s="4" t="b">
        <f>LEN(data!Q256)&gt;0</f>
        <v>0</v>
      </c>
      <c r="Z256" s="4" t="b">
        <f>LEN(data!Q256)&lt;=35</f>
        <v>1</v>
      </c>
      <c r="AA256" s="4" t="b">
        <f>LEN(data!R256)=2</f>
        <v>0</v>
      </c>
      <c r="AB256" s="4" t="b">
        <f>LEN(data!S256)&gt;0</f>
        <v>0</v>
      </c>
      <c r="AC256" s="4" t="b">
        <f>LEN(data!S256)&lt;=120</f>
        <v>1</v>
      </c>
      <c r="AD256" s="4" t="b">
        <f>LEN(data!U256)=11</f>
        <v>0</v>
      </c>
      <c r="AE256" s="4" t="b">
        <f>AND(ISERROR(MATCH(data!V256, rule_mapping!$C$2:$C$325, 0))=FALSE, LEN(data!V256) &lt;= 4)</f>
        <v>0</v>
      </c>
      <c r="AF256" s="4" t="b">
        <f>LEN(data!W256)&gt;0</f>
        <v>0</v>
      </c>
      <c r="AG256" s="4" t="b">
        <f>LEN(data!W256)&lt;=20</f>
        <v>1</v>
      </c>
      <c r="AH256" s="4" t="b">
        <f xml:space="preserve"> IFERROR(ISNUMBER(data!X256), FALSE)</f>
        <v>0</v>
      </c>
      <c r="AI256" s="4" t="b">
        <f>IF(ISERROR(MATCH(data!Y256, rule_mapping!$D$2:$D$252, 0))=FALSE,TRUE, FALSE)</f>
        <v>0</v>
      </c>
      <c r="AJ256" s="4" t="b">
        <f>IFERROR(ISNUMBER(data!Z256), FALSE)</f>
        <v>0</v>
      </c>
      <c r="AK256" s="4" t="b">
        <f>IFERROR(ISNUMBER(data!AA256), FALSE)</f>
        <v>0</v>
      </c>
      <c r="AL256" s="4" t="b">
        <f>LEN(data!AB256)&lt;=90</f>
        <v>1</v>
      </c>
      <c r="AM256" s="4" t="b">
        <f>LEN(data!AC256)&gt;0</f>
        <v>0</v>
      </c>
      <c r="AN256" s="4" t="b">
        <f>LEN(data!AC256)&lt;=2000</f>
        <v>1</v>
      </c>
      <c r="AO256" s="4" t="b">
        <f>IF(LEN(data!AD256)=0,TRUE,IF(LEN(data!AD256)=5,TRUE,FALSE))</f>
        <v>1</v>
      </c>
      <c r="AP256" s="4" t="b">
        <f>LEN(data!AE256)&gt;0</f>
        <v>0</v>
      </c>
      <c r="AQ256" s="4" t="b">
        <f>LEN(data!AE256)=5</f>
        <v>0</v>
      </c>
      <c r="AR256" s="4" t="b">
        <f>ISERROR(MATCH(data!AF256, rule_mapping!$B$2:$B$3, 0))=FALSE</f>
        <v>0</v>
      </c>
      <c r="AS256" s="4" t="b">
        <f>ISERROR(MATCH(data!AG256, rule_mapping!$A$2:$A$8, 0))=FALSE</f>
        <v>0</v>
      </c>
      <c r="AT256" s="4" t="b">
        <f>LEN(data!AH256)&lt;=4</f>
        <v>1</v>
      </c>
      <c r="AU256" s="4" t="b">
        <f>LEN(data!AI256)&lt;=10</f>
        <v>1</v>
      </c>
      <c r="AV256" s="4" t="b">
        <f>LEN(data!AJ256)&lt;=35</f>
        <v>1</v>
      </c>
      <c r="AW256" s="4" t="b">
        <f>LEN(data!AK256)&lt;=20</f>
        <v>1</v>
      </c>
      <c r="AX256"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7" spans="1:50" ht="409.5" x14ac:dyDescent="0.15">
      <c r="A257" s="4" t="b">
        <f>OR(ISBLANK(data!B257), AND(B257:AW257))</f>
        <v>1</v>
      </c>
      <c r="B257" s="4" t="b">
        <f>AND(LEFT(TRIM(data!B257), 4)="OOLU", ISNUMBER(RIGHT(TRIM(data!B257), LEN(TRIM(data!B257))-4)+0))</f>
        <v>0</v>
      </c>
      <c r="C257" s="4" t="b">
        <f>LEN(data!C257)&gt;0</f>
        <v>0</v>
      </c>
      <c r="D257" s="4" t="b">
        <f>LEN(data!C257)&lt;=70</f>
        <v>1</v>
      </c>
      <c r="E257" s="4" t="b">
        <f>LEN(data!D257)&gt;0</f>
        <v>0</v>
      </c>
      <c r="F257" s="4" t="b">
        <f>LEN(data!D257)&lt;=140</f>
        <v>1</v>
      </c>
      <c r="G257" s="4" t="b">
        <f>LEN(data!E257)&gt;0</f>
        <v>0</v>
      </c>
      <c r="H257" s="4" t="b">
        <f>LEN(data!E257)&lt;=35</f>
        <v>1</v>
      </c>
      <c r="I257" s="4" t="b">
        <f>LEN(data!F257)=2</f>
        <v>0</v>
      </c>
      <c r="J257" s="4" t="b">
        <f>LEN(data!G257)&gt;0</f>
        <v>0</v>
      </c>
      <c r="K257" s="4" t="b">
        <f>LEN(data!G257)&lt;=60</f>
        <v>1</v>
      </c>
      <c r="L257" s="4" t="b">
        <f>LEN(data!I257)&gt;0</f>
        <v>0</v>
      </c>
      <c r="M257" s="4" t="b">
        <f>LEN(data!I257)&lt;=70</f>
        <v>1</v>
      </c>
      <c r="N257" s="4" t="b">
        <f>LEN(data!J257)&gt;0</f>
        <v>0</v>
      </c>
      <c r="O257" s="4" t="b">
        <f>LEN(data!J257)&lt;=140</f>
        <v>1</v>
      </c>
      <c r="P257" s="4" t="b">
        <f>LEN(data!K257)&gt;0</f>
        <v>0</v>
      </c>
      <c r="Q257" s="4" t="b">
        <f>LEN(data!K257)&lt;=35</f>
        <v>1</v>
      </c>
      <c r="R257" s="4" t="b">
        <f>LEN(data!L257)=2</f>
        <v>0</v>
      </c>
      <c r="S257" s="4" t="b">
        <f>LEN(data!M257)&gt;0</f>
        <v>0</v>
      </c>
      <c r="T257" s="4" t="b">
        <f>LEN(data!M257)&lt;=60</f>
        <v>1</v>
      </c>
      <c r="U257" s="4" t="b">
        <f>LEN(data!O257)&gt;0</f>
        <v>0</v>
      </c>
      <c r="V257" s="4" t="b">
        <f>LEN(data!O257)&lt;=70</f>
        <v>1</v>
      </c>
      <c r="W257" s="4" t="b">
        <f>LEN(data!P257)&gt;0</f>
        <v>0</v>
      </c>
      <c r="X257" s="4" t="b">
        <f>LEN(data!P257)&lt;=140</f>
        <v>1</v>
      </c>
      <c r="Y257" s="4" t="b">
        <f>LEN(data!Q257)&gt;0</f>
        <v>0</v>
      </c>
      <c r="Z257" s="4" t="b">
        <f>LEN(data!Q257)&lt;=35</f>
        <v>1</v>
      </c>
      <c r="AA257" s="4" t="b">
        <f>LEN(data!R257)=2</f>
        <v>0</v>
      </c>
      <c r="AB257" s="4" t="b">
        <f>LEN(data!S257)&gt;0</f>
        <v>0</v>
      </c>
      <c r="AC257" s="4" t="b">
        <f>LEN(data!S257)&lt;=120</f>
        <v>1</v>
      </c>
      <c r="AD257" s="4" t="b">
        <f>LEN(data!U257)=11</f>
        <v>0</v>
      </c>
      <c r="AE257" s="4" t="b">
        <f>AND(ISERROR(MATCH(data!V257, rule_mapping!$C$2:$C$325, 0))=FALSE, LEN(data!V257) &lt;= 4)</f>
        <v>0</v>
      </c>
      <c r="AF257" s="4" t="b">
        <f>LEN(data!W257)&gt;0</f>
        <v>0</v>
      </c>
      <c r="AG257" s="4" t="b">
        <f>LEN(data!W257)&lt;=20</f>
        <v>1</v>
      </c>
      <c r="AH257" s="4" t="b">
        <f xml:space="preserve"> IFERROR(ISNUMBER(data!X257), FALSE)</f>
        <v>0</v>
      </c>
      <c r="AI257" s="4" t="b">
        <f>IF(ISERROR(MATCH(data!Y257, rule_mapping!$D$2:$D$252, 0))=FALSE,TRUE, FALSE)</f>
        <v>0</v>
      </c>
      <c r="AJ257" s="4" t="b">
        <f>IFERROR(ISNUMBER(data!Z257), FALSE)</f>
        <v>0</v>
      </c>
      <c r="AK257" s="4" t="b">
        <f>IFERROR(ISNUMBER(data!AA257), FALSE)</f>
        <v>0</v>
      </c>
      <c r="AL257" s="4" t="b">
        <f>LEN(data!AB257)&lt;=90</f>
        <v>1</v>
      </c>
      <c r="AM257" s="4" t="b">
        <f>LEN(data!AC257)&gt;0</f>
        <v>0</v>
      </c>
      <c r="AN257" s="4" t="b">
        <f>LEN(data!AC257)&lt;=2000</f>
        <v>1</v>
      </c>
      <c r="AO257" s="4" t="b">
        <f>IF(LEN(data!AD257)=0,TRUE,IF(LEN(data!AD257)=5,TRUE,FALSE))</f>
        <v>1</v>
      </c>
      <c r="AP257" s="4" t="b">
        <f>LEN(data!AE257)&gt;0</f>
        <v>0</v>
      </c>
      <c r="AQ257" s="4" t="b">
        <f>LEN(data!AE257)=5</f>
        <v>0</v>
      </c>
      <c r="AR257" s="4" t="b">
        <f>ISERROR(MATCH(data!AF257, rule_mapping!$B$2:$B$3, 0))=FALSE</f>
        <v>0</v>
      </c>
      <c r="AS257" s="4" t="b">
        <f>ISERROR(MATCH(data!AG257, rule_mapping!$A$2:$A$8, 0))=FALSE</f>
        <v>0</v>
      </c>
      <c r="AT257" s="4" t="b">
        <f>LEN(data!AH257)&lt;=4</f>
        <v>1</v>
      </c>
      <c r="AU257" s="4" t="b">
        <f>LEN(data!AI257)&lt;=10</f>
        <v>1</v>
      </c>
      <c r="AV257" s="4" t="b">
        <f>LEN(data!AJ257)&lt;=35</f>
        <v>1</v>
      </c>
      <c r="AW257" s="4" t="b">
        <f>LEN(data!AK257)&lt;=20</f>
        <v>1</v>
      </c>
      <c r="AX257"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8" spans="1:50" ht="409.5" x14ac:dyDescent="0.15">
      <c r="A258" s="4" t="b">
        <f>OR(ISBLANK(data!B258), AND(B258:AW258))</f>
        <v>1</v>
      </c>
      <c r="B258" s="4" t="b">
        <f>AND(LEFT(TRIM(data!B258), 4)="OOLU", ISNUMBER(RIGHT(TRIM(data!B258), LEN(TRIM(data!B258))-4)+0))</f>
        <v>0</v>
      </c>
      <c r="C258" s="4" t="b">
        <f>LEN(data!C258)&gt;0</f>
        <v>0</v>
      </c>
      <c r="D258" s="4" t="b">
        <f>LEN(data!C258)&lt;=70</f>
        <v>1</v>
      </c>
      <c r="E258" s="4" t="b">
        <f>LEN(data!D258)&gt;0</f>
        <v>0</v>
      </c>
      <c r="F258" s="4" t="b">
        <f>LEN(data!D258)&lt;=140</f>
        <v>1</v>
      </c>
      <c r="G258" s="4" t="b">
        <f>LEN(data!E258)&gt;0</f>
        <v>0</v>
      </c>
      <c r="H258" s="4" t="b">
        <f>LEN(data!E258)&lt;=35</f>
        <v>1</v>
      </c>
      <c r="I258" s="4" t="b">
        <f>LEN(data!F258)=2</f>
        <v>0</v>
      </c>
      <c r="J258" s="4" t="b">
        <f>LEN(data!G258)&gt;0</f>
        <v>0</v>
      </c>
      <c r="K258" s="4" t="b">
        <f>LEN(data!G258)&lt;=60</f>
        <v>1</v>
      </c>
      <c r="L258" s="4" t="b">
        <f>LEN(data!I258)&gt;0</f>
        <v>0</v>
      </c>
      <c r="M258" s="4" t="b">
        <f>LEN(data!I258)&lt;=70</f>
        <v>1</v>
      </c>
      <c r="N258" s="4" t="b">
        <f>LEN(data!J258)&gt;0</f>
        <v>0</v>
      </c>
      <c r="O258" s="4" t="b">
        <f>LEN(data!J258)&lt;=140</f>
        <v>1</v>
      </c>
      <c r="P258" s="4" t="b">
        <f>LEN(data!K258)&gt;0</f>
        <v>0</v>
      </c>
      <c r="Q258" s="4" t="b">
        <f>LEN(data!K258)&lt;=35</f>
        <v>1</v>
      </c>
      <c r="R258" s="4" t="b">
        <f>LEN(data!L258)=2</f>
        <v>0</v>
      </c>
      <c r="S258" s="4" t="b">
        <f>LEN(data!M258)&gt;0</f>
        <v>0</v>
      </c>
      <c r="T258" s="4" t="b">
        <f>LEN(data!M258)&lt;=60</f>
        <v>1</v>
      </c>
      <c r="U258" s="4" t="b">
        <f>LEN(data!O258)&gt;0</f>
        <v>0</v>
      </c>
      <c r="V258" s="4" t="b">
        <f>LEN(data!O258)&lt;=70</f>
        <v>1</v>
      </c>
      <c r="W258" s="4" t="b">
        <f>LEN(data!P258)&gt;0</f>
        <v>0</v>
      </c>
      <c r="X258" s="4" t="b">
        <f>LEN(data!P258)&lt;=140</f>
        <v>1</v>
      </c>
      <c r="Y258" s="4" t="b">
        <f>LEN(data!Q258)&gt;0</f>
        <v>0</v>
      </c>
      <c r="Z258" s="4" t="b">
        <f>LEN(data!Q258)&lt;=35</f>
        <v>1</v>
      </c>
      <c r="AA258" s="4" t="b">
        <f>LEN(data!R258)=2</f>
        <v>0</v>
      </c>
      <c r="AB258" s="4" t="b">
        <f>LEN(data!S258)&gt;0</f>
        <v>0</v>
      </c>
      <c r="AC258" s="4" t="b">
        <f>LEN(data!S258)&lt;=120</f>
        <v>1</v>
      </c>
      <c r="AD258" s="4" t="b">
        <f>LEN(data!U258)=11</f>
        <v>0</v>
      </c>
      <c r="AE258" s="4" t="b">
        <f>AND(ISERROR(MATCH(data!V258, rule_mapping!$C$2:$C$325, 0))=FALSE, LEN(data!V258) &lt;= 4)</f>
        <v>0</v>
      </c>
      <c r="AF258" s="4" t="b">
        <f>LEN(data!W258)&gt;0</f>
        <v>0</v>
      </c>
      <c r="AG258" s="4" t="b">
        <f>LEN(data!W258)&lt;=20</f>
        <v>1</v>
      </c>
      <c r="AH258" s="4" t="b">
        <f xml:space="preserve"> IFERROR(ISNUMBER(data!X258), FALSE)</f>
        <v>0</v>
      </c>
      <c r="AI258" s="4" t="b">
        <f>IF(ISERROR(MATCH(data!Y258, rule_mapping!$D$2:$D$252, 0))=FALSE,TRUE, FALSE)</f>
        <v>0</v>
      </c>
      <c r="AJ258" s="4" t="b">
        <f>IFERROR(ISNUMBER(data!Z258), FALSE)</f>
        <v>0</v>
      </c>
      <c r="AK258" s="4" t="b">
        <f>IFERROR(ISNUMBER(data!AA258), FALSE)</f>
        <v>0</v>
      </c>
      <c r="AL258" s="4" t="b">
        <f>LEN(data!AB258)&lt;=90</f>
        <v>1</v>
      </c>
      <c r="AM258" s="4" t="b">
        <f>LEN(data!AC258)&gt;0</f>
        <v>0</v>
      </c>
      <c r="AN258" s="4" t="b">
        <f>LEN(data!AC258)&lt;=2000</f>
        <v>1</v>
      </c>
      <c r="AO258" s="4" t="b">
        <f>IF(LEN(data!AD258)=0,TRUE,IF(LEN(data!AD258)=5,TRUE,FALSE))</f>
        <v>1</v>
      </c>
      <c r="AP258" s="4" t="b">
        <f>LEN(data!AE258)&gt;0</f>
        <v>0</v>
      </c>
      <c r="AQ258" s="4" t="b">
        <f>LEN(data!AE258)=5</f>
        <v>0</v>
      </c>
      <c r="AR258" s="4" t="b">
        <f>ISERROR(MATCH(data!AF258, rule_mapping!$B$2:$B$3, 0))=FALSE</f>
        <v>0</v>
      </c>
      <c r="AS258" s="4" t="b">
        <f>ISERROR(MATCH(data!AG258, rule_mapping!$A$2:$A$8, 0))=FALSE</f>
        <v>0</v>
      </c>
      <c r="AT258" s="4" t="b">
        <f>LEN(data!AH258)&lt;=4</f>
        <v>1</v>
      </c>
      <c r="AU258" s="4" t="b">
        <f>LEN(data!AI258)&lt;=10</f>
        <v>1</v>
      </c>
      <c r="AV258" s="4" t="b">
        <f>LEN(data!AJ258)&lt;=35</f>
        <v>1</v>
      </c>
      <c r="AW258" s="4" t="b">
        <f>LEN(data!AK258)&lt;=20</f>
        <v>1</v>
      </c>
      <c r="AX258" s="11" t="str">
        <f t="shared" si="3"/>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59" spans="1:50" ht="409.5" x14ac:dyDescent="0.15">
      <c r="A259" s="4" t="b">
        <f>OR(ISBLANK(data!B259), AND(B259:AW259))</f>
        <v>1</v>
      </c>
      <c r="B259" s="4" t="b">
        <f>AND(LEFT(TRIM(data!B259), 4)="OOLU", ISNUMBER(RIGHT(TRIM(data!B259), LEN(TRIM(data!B259))-4)+0))</f>
        <v>0</v>
      </c>
      <c r="C259" s="4" t="b">
        <f>LEN(data!C259)&gt;0</f>
        <v>0</v>
      </c>
      <c r="D259" s="4" t="b">
        <f>LEN(data!C259)&lt;=70</f>
        <v>1</v>
      </c>
      <c r="E259" s="4" t="b">
        <f>LEN(data!D259)&gt;0</f>
        <v>0</v>
      </c>
      <c r="F259" s="4" t="b">
        <f>LEN(data!D259)&lt;=140</f>
        <v>1</v>
      </c>
      <c r="G259" s="4" t="b">
        <f>LEN(data!E259)&gt;0</f>
        <v>0</v>
      </c>
      <c r="H259" s="4" t="b">
        <f>LEN(data!E259)&lt;=35</f>
        <v>1</v>
      </c>
      <c r="I259" s="4" t="b">
        <f>LEN(data!F259)=2</f>
        <v>0</v>
      </c>
      <c r="J259" s="4" t="b">
        <f>LEN(data!G259)&gt;0</f>
        <v>0</v>
      </c>
      <c r="K259" s="4" t="b">
        <f>LEN(data!G259)&lt;=60</f>
        <v>1</v>
      </c>
      <c r="L259" s="4" t="b">
        <f>LEN(data!I259)&gt;0</f>
        <v>0</v>
      </c>
      <c r="M259" s="4" t="b">
        <f>LEN(data!I259)&lt;=70</f>
        <v>1</v>
      </c>
      <c r="N259" s="4" t="b">
        <f>LEN(data!J259)&gt;0</f>
        <v>0</v>
      </c>
      <c r="O259" s="4" t="b">
        <f>LEN(data!J259)&lt;=140</f>
        <v>1</v>
      </c>
      <c r="P259" s="4" t="b">
        <f>LEN(data!K259)&gt;0</f>
        <v>0</v>
      </c>
      <c r="Q259" s="4" t="b">
        <f>LEN(data!K259)&lt;=35</f>
        <v>1</v>
      </c>
      <c r="R259" s="4" t="b">
        <f>LEN(data!L259)=2</f>
        <v>0</v>
      </c>
      <c r="S259" s="4" t="b">
        <f>LEN(data!M259)&gt;0</f>
        <v>0</v>
      </c>
      <c r="T259" s="4" t="b">
        <f>LEN(data!M259)&lt;=60</f>
        <v>1</v>
      </c>
      <c r="U259" s="4" t="b">
        <f>LEN(data!O259)&gt;0</f>
        <v>0</v>
      </c>
      <c r="V259" s="4" t="b">
        <f>LEN(data!O259)&lt;=70</f>
        <v>1</v>
      </c>
      <c r="W259" s="4" t="b">
        <f>LEN(data!P259)&gt;0</f>
        <v>0</v>
      </c>
      <c r="X259" s="4" t="b">
        <f>LEN(data!P259)&lt;=140</f>
        <v>1</v>
      </c>
      <c r="Y259" s="4" t="b">
        <f>LEN(data!Q259)&gt;0</f>
        <v>0</v>
      </c>
      <c r="Z259" s="4" t="b">
        <f>LEN(data!Q259)&lt;=35</f>
        <v>1</v>
      </c>
      <c r="AA259" s="4" t="b">
        <f>LEN(data!R259)=2</f>
        <v>0</v>
      </c>
      <c r="AB259" s="4" t="b">
        <f>LEN(data!S259)&gt;0</f>
        <v>0</v>
      </c>
      <c r="AC259" s="4" t="b">
        <f>LEN(data!S259)&lt;=120</f>
        <v>1</v>
      </c>
      <c r="AD259" s="4" t="b">
        <f>LEN(data!U259)=11</f>
        <v>0</v>
      </c>
      <c r="AE259" s="4" t="b">
        <f>AND(ISERROR(MATCH(data!V259, rule_mapping!$C$2:$C$325, 0))=FALSE, LEN(data!V259) &lt;= 4)</f>
        <v>0</v>
      </c>
      <c r="AF259" s="4" t="b">
        <f>LEN(data!W259)&gt;0</f>
        <v>0</v>
      </c>
      <c r="AG259" s="4" t="b">
        <f>LEN(data!W259)&lt;=20</f>
        <v>1</v>
      </c>
      <c r="AH259" s="4" t="b">
        <f xml:space="preserve"> IFERROR(ISNUMBER(data!X259), FALSE)</f>
        <v>0</v>
      </c>
      <c r="AI259" s="4" t="b">
        <f>IF(ISERROR(MATCH(data!Y259, rule_mapping!$D$2:$D$252, 0))=FALSE,TRUE, FALSE)</f>
        <v>0</v>
      </c>
      <c r="AJ259" s="4" t="b">
        <f>IFERROR(ISNUMBER(data!Z259), FALSE)</f>
        <v>0</v>
      </c>
      <c r="AK259" s="4" t="b">
        <f>IFERROR(ISNUMBER(data!AA259), FALSE)</f>
        <v>0</v>
      </c>
      <c r="AL259" s="4" t="b">
        <f>LEN(data!AB259)&lt;=90</f>
        <v>1</v>
      </c>
      <c r="AM259" s="4" t="b">
        <f>LEN(data!AC259)&gt;0</f>
        <v>0</v>
      </c>
      <c r="AN259" s="4" t="b">
        <f>LEN(data!AC259)&lt;=2000</f>
        <v>1</v>
      </c>
      <c r="AO259" s="4" t="b">
        <f>IF(LEN(data!AD259)=0,TRUE,IF(LEN(data!AD259)=5,TRUE,FALSE))</f>
        <v>1</v>
      </c>
      <c r="AP259" s="4" t="b">
        <f>LEN(data!AE259)&gt;0</f>
        <v>0</v>
      </c>
      <c r="AQ259" s="4" t="b">
        <f>LEN(data!AE259)=5</f>
        <v>0</v>
      </c>
      <c r="AR259" s="4" t="b">
        <f>ISERROR(MATCH(data!AF259, rule_mapping!$B$2:$B$3, 0))=FALSE</f>
        <v>0</v>
      </c>
      <c r="AS259" s="4" t="b">
        <f>ISERROR(MATCH(data!AG259, rule_mapping!$A$2:$A$8, 0))=FALSE</f>
        <v>0</v>
      </c>
      <c r="AT259" s="4" t="b">
        <f>LEN(data!AH259)&lt;=4</f>
        <v>1</v>
      </c>
      <c r="AU259" s="4" t="b">
        <f>LEN(data!AI259)&lt;=10</f>
        <v>1</v>
      </c>
      <c r="AV259" s="4" t="b">
        <f>LEN(data!AJ259)&lt;=35</f>
        <v>1</v>
      </c>
      <c r="AW259" s="4" t="b">
        <f>LEN(data!AK259)&lt;=20</f>
        <v>1</v>
      </c>
      <c r="AX259" s="11" t="str">
        <f t="shared" ref="AX259:AX277" si="4">CONCATENATE(IF(NOT(B259), B$1 &amp; CHAR(10), ""), IF(NOT(C259), C$1 &amp; CHAR(10), ""), IF(NOT(D259), D$1 &amp; CHAR(10), ""), IF(NOT(E259), E$1 &amp; CHAR(10), ""), IF(NOT(F259), F$1 &amp; CHAR(10), ""), IF(NOT(G259), G$1 &amp; CHAR(10), ""), IF(NOT(H259), H$1 &amp; CHAR(10), ""), IF(NOT(I259), I$1 &amp; CHAR(10), ""), IF(NOT(J259), J$1 &amp; CHAR(10), ""), IF(NOT(K259), K$1 &amp; CHAR(10), ""), IF(NOT(L259), L$1 &amp; CHAR(10), ""), IF(NOT(M259), M$1 &amp; CHAR(10), ""), IF(NOT(N259), N$1 &amp; CHAR(10), ""), IF(NOT(O259), O$1 &amp; CHAR(10), ""), IF(NOT(P259), P$1 &amp; CHAR(10), ""), IF(NOT(Q259), Q$1 &amp; CHAR(10), ""), IF(NOT(R259), R$1 &amp; CHAR(10), ""), IF(NOT(S259), S$1 &amp; CHAR(10), ""), IF(NOT(T259), T$1 &amp; CHAR(10), ""), IF(NOT(U259), U$1 &amp; CHAR(10), ""), IF(NOT(V259), V$1 &amp; CHAR(10), ""), IF(NOT(W259), W$1 &amp; CHAR(10), ""), IF(NOT(X259), X$1 &amp; CHAR(10), ""), IF(NOT(Y259), Y$1 &amp; CHAR(10), ""), IF(NOT(Z259), Z$1 &amp; CHAR(10), ""), IF(NOT(AA259), AA$1 &amp; CHAR(10), ""), IF(NOT(AB259), AB$1 &amp; CHAR(10), ""), IF(NOT(AC259), AC$1 &amp; CHAR(10), ""), IF(NOT(AD259), AD$1 &amp; CHAR(10), ""), IF(NOT(AE259), AE$1 &amp; CHAR(10), ""), IF(NOT(AF259), AF$1 &amp; CHAR(10), ""), IF(NOT(AG259), AG$1 &amp; CHAR(10), ""), IF(NOT(AH259), AH$1 &amp; CHAR(10), ""), IF(NOT(AI259), AI$1 &amp; CHAR(10), ""), IF(NOT(AJ259), AJ$1 &amp; CHAR(10), ""), IF(NOT(AK259), AK$1 &amp; CHAR(10), ""), IF(NOT(AL259), AL$1 &amp; CHAR(10), ""), IF(NOT(AM259), AM$1 &amp; CHAR(10), ""), IF(NOT(AN259), AN$1 &amp; CHAR(10), ""), IF(NOT(AO259), AO$1 &amp; CHAR(10), ""), IF(NOT(AP259), AP$1 &amp; CHAR(10), ""), IF(NOT(AQ259), AQ$1 &amp; CHAR(10), ""), IF(NOT(AR259), AR$1 &amp; CHAR(10), ""), IF(NOT(AS259), AS$1 &amp; CHAR(10), ""), IF(NOT(AT259), AT$1 &amp; CHAR(10), ""), IF(NOT(AU259), AU$1 &amp; CHAR(10), ""), IF(NOT(AV259), AV$1 &amp; CHAR(10), ""), IF(NOT(AW259), AW$1 &amp; CHAR(10), ""))</f>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0" spans="1:50" ht="409.5" x14ac:dyDescent="0.15">
      <c r="A260" s="4" t="b">
        <f>OR(ISBLANK(data!B260), AND(B260:AW260))</f>
        <v>1</v>
      </c>
      <c r="B260" s="4" t="b">
        <f>AND(LEFT(TRIM(data!B260), 4)="OOLU", ISNUMBER(RIGHT(TRIM(data!B260), LEN(TRIM(data!B260))-4)+0))</f>
        <v>0</v>
      </c>
      <c r="C260" s="4" t="b">
        <f>LEN(data!C260)&gt;0</f>
        <v>0</v>
      </c>
      <c r="D260" s="4" t="b">
        <f>LEN(data!C260)&lt;=70</f>
        <v>1</v>
      </c>
      <c r="E260" s="4" t="b">
        <f>LEN(data!D260)&gt;0</f>
        <v>0</v>
      </c>
      <c r="F260" s="4" t="b">
        <f>LEN(data!D260)&lt;=140</f>
        <v>1</v>
      </c>
      <c r="G260" s="4" t="b">
        <f>LEN(data!E260)&gt;0</f>
        <v>0</v>
      </c>
      <c r="H260" s="4" t="b">
        <f>LEN(data!E260)&lt;=35</f>
        <v>1</v>
      </c>
      <c r="I260" s="4" t="b">
        <f>LEN(data!F260)=2</f>
        <v>0</v>
      </c>
      <c r="J260" s="4" t="b">
        <f>LEN(data!G260)&gt;0</f>
        <v>0</v>
      </c>
      <c r="K260" s="4" t="b">
        <f>LEN(data!G260)&lt;=60</f>
        <v>1</v>
      </c>
      <c r="L260" s="4" t="b">
        <f>LEN(data!I260)&gt;0</f>
        <v>0</v>
      </c>
      <c r="M260" s="4" t="b">
        <f>LEN(data!I260)&lt;=70</f>
        <v>1</v>
      </c>
      <c r="N260" s="4" t="b">
        <f>LEN(data!J260)&gt;0</f>
        <v>0</v>
      </c>
      <c r="O260" s="4" t="b">
        <f>LEN(data!J260)&lt;=140</f>
        <v>1</v>
      </c>
      <c r="P260" s="4" t="b">
        <f>LEN(data!K260)&gt;0</f>
        <v>0</v>
      </c>
      <c r="Q260" s="4" t="b">
        <f>LEN(data!K260)&lt;=35</f>
        <v>1</v>
      </c>
      <c r="R260" s="4" t="b">
        <f>LEN(data!L260)=2</f>
        <v>0</v>
      </c>
      <c r="S260" s="4" t="b">
        <f>LEN(data!M260)&gt;0</f>
        <v>0</v>
      </c>
      <c r="T260" s="4" t="b">
        <f>LEN(data!M260)&lt;=60</f>
        <v>1</v>
      </c>
      <c r="U260" s="4" t="b">
        <f>LEN(data!O260)&gt;0</f>
        <v>0</v>
      </c>
      <c r="V260" s="4" t="b">
        <f>LEN(data!O260)&lt;=70</f>
        <v>1</v>
      </c>
      <c r="W260" s="4" t="b">
        <f>LEN(data!P260)&gt;0</f>
        <v>0</v>
      </c>
      <c r="X260" s="4" t="b">
        <f>LEN(data!P260)&lt;=140</f>
        <v>1</v>
      </c>
      <c r="Y260" s="4" t="b">
        <f>LEN(data!Q260)&gt;0</f>
        <v>0</v>
      </c>
      <c r="Z260" s="4" t="b">
        <f>LEN(data!Q260)&lt;=35</f>
        <v>1</v>
      </c>
      <c r="AA260" s="4" t="b">
        <f>LEN(data!R260)=2</f>
        <v>0</v>
      </c>
      <c r="AB260" s="4" t="b">
        <f>LEN(data!S260)&gt;0</f>
        <v>0</v>
      </c>
      <c r="AC260" s="4" t="b">
        <f>LEN(data!S260)&lt;=120</f>
        <v>1</v>
      </c>
      <c r="AD260" s="4" t="b">
        <f>LEN(data!U260)=11</f>
        <v>0</v>
      </c>
      <c r="AE260" s="4" t="b">
        <f>AND(ISERROR(MATCH(data!V260, rule_mapping!$C$2:$C$325, 0))=FALSE, LEN(data!V260) &lt;= 4)</f>
        <v>0</v>
      </c>
      <c r="AF260" s="4" t="b">
        <f>LEN(data!W260)&gt;0</f>
        <v>0</v>
      </c>
      <c r="AG260" s="4" t="b">
        <f>LEN(data!W260)&lt;=20</f>
        <v>1</v>
      </c>
      <c r="AH260" s="4" t="b">
        <f xml:space="preserve"> IFERROR(ISNUMBER(data!X260), FALSE)</f>
        <v>0</v>
      </c>
      <c r="AI260" s="4" t="b">
        <f>IF(ISERROR(MATCH(data!Y260, rule_mapping!$D$2:$D$252, 0))=FALSE,TRUE, FALSE)</f>
        <v>0</v>
      </c>
      <c r="AJ260" s="4" t="b">
        <f>IFERROR(ISNUMBER(data!Z260), FALSE)</f>
        <v>0</v>
      </c>
      <c r="AK260" s="4" t="b">
        <f>IFERROR(ISNUMBER(data!AA260), FALSE)</f>
        <v>0</v>
      </c>
      <c r="AL260" s="4" t="b">
        <f>LEN(data!AB260)&lt;=90</f>
        <v>1</v>
      </c>
      <c r="AM260" s="4" t="b">
        <f>LEN(data!AC260)&gt;0</f>
        <v>0</v>
      </c>
      <c r="AN260" s="4" t="b">
        <f>LEN(data!AC260)&lt;=2000</f>
        <v>1</v>
      </c>
      <c r="AO260" s="4" t="b">
        <f>IF(LEN(data!AD260)=0,TRUE,IF(LEN(data!AD260)=5,TRUE,FALSE))</f>
        <v>1</v>
      </c>
      <c r="AP260" s="4" t="b">
        <f>LEN(data!AE260)&gt;0</f>
        <v>0</v>
      </c>
      <c r="AQ260" s="4" t="b">
        <f>LEN(data!AE260)=5</f>
        <v>0</v>
      </c>
      <c r="AR260" s="4" t="b">
        <f>ISERROR(MATCH(data!AF260, rule_mapping!$B$2:$B$3, 0))=FALSE</f>
        <v>0</v>
      </c>
      <c r="AS260" s="4" t="b">
        <f>ISERROR(MATCH(data!AG260, rule_mapping!$A$2:$A$8, 0))=FALSE</f>
        <v>0</v>
      </c>
      <c r="AT260" s="4" t="b">
        <f>LEN(data!AH260)&lt;=4</f>
        <v>1</v>
      </c>
      <c r="AU260" s="4" t="b">
        <f>LEN(data!AI260)&lt;=10</f>
        <v>1</v>
      </c>
      <c r="AV260" s="4" t="b">
        <f>LEN(data!AJ260)&lt;=35</f>
        <v>1</v>
      </c>
      <c r="AW260" s="4" t="b">
        <f>LEN(data!AK260)&lt;=20</f>
        <v>1</v>
      </c>
      <c r="AX260"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1" spans="1:50" ht="409.5" x14ac:dyDescent="0.15">
      <c r="A261" s="4" t="b">
        <f>OR(ISBLANK(data!B261), AND(B261:AW261))</f>
        <v>1</v>
      </c>
      <c r="B261" s="4" t="b">
        <f>AND(LEFT(TRIM(data!B261), 4)="OOLU", ISNUMBER(RIGHT(TRIM(data!B261), LEN(TRIM(data!B261))-4)+0))</f>
        <v>0</v>
      </c>
      <c r="C261" s="4" t="b">
        <f>LEN(data!C261)&gt;0</f>
        <v>0</v>
      </c>
      <c r="D261" s="4" t="b">
        <f>LEN(data!C261)&lt;=70</f>
        <v>1</v>
      </c>
      <c r="E261" s="4" t="b">
        <f>LEN(data!D261)&gt;0</f>
        <v>0</v>
      </c>
      <c r="F261" s="4" t="b">
        <f>LEN(data!D261)&lt;=140</f>
        <v>1</v>
      </c>
      <c r="G261" s="4" t="b">
        <f>LEN(data!E261)&gt;0</f>
        <v>0</v>
      </c>
      <c r="H261" s="4" t="b">
        <f>LEN(data!E261)&lt;=35</f>
        <v>1</v>
      </c>
      <c r="I261" s="4" t="b">
        <f>LEN(data!F261)=2</f>
        <v>0</v>
      </c>
      <c r="J261" s="4" t="b">
        <f>LEN(data!G261)&gt;0</f>
        <v>0</v>
      </c>
      <c r="K261" s="4" t="b">
        <f>LEN(data!G261)&lt;=60</f>
        <v>1</v>
      </c>
      <c r="L261" s="4" t="b">
        <f>LEN(data!I261)&gt;0</f>
        <v>0</v>
      </c>
      <c r="M261" s="4" t="b">
        <f>LEN(data!I261)&lt;=70</f>
        <v>1</v>
      </c>
      <c r="N261" s="4" t="b">
        <f>LEN(data!J261)&gt;0</f>
        <v>0</v>
      </c>
      <c r="O261" s="4" t="b">
        <f>LEN(data!J261)&lt;=140</f>
        <v>1</v>
      </c>
      <c r="P261" s="4" t="b">
        <f>LEN(data!K261)&gt;0</f>
        <v>0</v>
      </c>
      <c r="Q261" s="4" t="b">
        <f>LEN(data!K261)&lt;=35</f>
        <v>1</v>
      </c>
      <c r="R261" s="4" t="b">
        <f>LEN(data!L261)=2</f>
        <v>0</v>
      </c>
      <c r="S261" s="4" t="b">
        <f>LEN(data!M261)&gt;0</f>
        <v>0</v>
      </c>
      <c r="T261" s="4" t="b">
        <f>LEN(data!M261)&lt;=60</f>
        <v>1</v>
      </c>
      <c r="U261" s="4" t="b">
        <f>LEN(data!O261)&gt;0</f>
        <v>0</v>
      </c>
      <c r="V261" s="4" t="b">
        <f>LEN(data!O261)&lt;=70</f>
        <v>1</v>
      </c>
      <c r="W261" s="4" t="b">
        <f>LEN(data!P261)&gt;0</f>
        <v>0</v>
      </c>
      <c r="X261" s="4" t="b">
        <f>LEN(data!P261)&lt;=140</f>
        <v>1</v>
      </c>
      <c r="Y261" s="4" t="b">
        <f>LEN(data!Q261)&gt;0</f>
        <v>0</v>
      </c>
      <c r="Z261" s="4" t="b">
        <f>LEN(data!Q261)&lt;=35</f>
        <v>1</v>
      </c>
      <c r="AA261" s="4" t="b">
        <f>LEN(data!R261)=2</f>
        <v>0</v>
      </c>
      <c r="AB261" s="4" t="b">
        <f>LEN(data!S261)&gt;0</f>
        <v>0</v>
      </c>
      <c r="AC261" s="4" t="b">
        <f>LEN(data!S261)&lt;=120</f>
        <v>1</v>
      </c>
      <c r="AD261" s="4" t="b">
        <f>LEN(data!U261)=11</f>
        <v>0</v>
      </c>
      <c r="AE261" s="4" t="b">
        <f>AND(ISERROR(MATCH(data!V261, rule_mapping!$C$2:$C$325, 0))=FALSE, LEN(data!V261) &lt;= 4)</f>
        <v>0</v>
      </c>
      <c r="AF261" s="4" t="b">
        <f>LEN(data!W261)&gt;0</f>
        <v>0</v>
      </c>
      <c r="AG261" s="4" t="b">
        <f>LEN(data!W261)&lt;=20</f>
        <v>1</v>
      </c>
      <c r="AH261" s="4" t="b">
        <f xml:space="preserve"> IFERROR(ISNUMBER(data!X261), FALSE)</f>
        <v>0</v>
      </c>
      <c r="AI261" s="4" t="b">
        <f>IF(ISERROR(MATCH(data!Y261, rule_mapping!$D$2:$D$252, 0))=FALSE,TRUE, FALSE)</f>
        <v>0</v>
      </c>
      <c r="AJ261" s="4" t="b">
        <f>IFERROR(ISNUMBER(data!Z261), FALSE)</f>
        <v>0</v>
      </c>
      <c r="AK261" s="4" t="b">
        <f>IFERROR(ISNUMBER(data!AA261), FALSE)</f>
        <v>0</v>
      </c>
      <c r="AL261" s="4" t="b">
        <f>LEN(data!AB261)&lt;=90</f>
        <v>1</v>
      </c>
      <c r="AM261" s="4" t="b">
        <f>LEN(data!AC261)&gt;0</f>
        <v>0</v>
      </c>
      <c r="AN261" s="4" t="b">
        <f>LEN(data!AC261)&lt;=2000</f>
        <v>1</v>
      </c>
      <c r="AO261" s="4" t="b">
        <f>IF(LEN(data!AD261)=0,TRUE,IF(LEN(data!AD261)=5,TRUE,FALSE))</f>
        <v>1</v>
      </c>
      <c r="AP261" s="4" t="b">
        <f>LEN(data!AE261)&gt;0</f>
        <v>0</v>
      </c>
      <c r="AQ261" s="4" t="b">
        <f>LEN(data!AE261)=5</f>
        <v>0</v>
      </c>
      <c r="AR261" s="4" t="b">
        <f>ISERROR(MATCH(data!AF261, rule_mapping!$B$2:$B$3, 0))=FALSE</f>
        <v>0</v>
      </c>
      <c r="AS261" s="4" t="b">
        <f>ISERROR(MATCH(data!AG261, rule_mapping!$A$2:$A$8, 0))=FALSE</f>
        <v>0</v>
      </c>
      <c r="AT261" s="4" t="b">
        <f>LEN(data!AH261)&lt;=4</f>
        <v>1</v>
      </c>
      <c r="AU261" s="4" t="b">
        <f>LEN(data!AI261)&lt;=10</f>
        <v>1</v>
      </c>
      <c r="AV261" s="4" t="b">
        <f>LEN(data!AJ261)&lt;=35</f>
        <v>1</v>
      </c>
      <c r="AW261" s="4" t="b">
        <f>LEN(data!AK261)&lt;=20</f>
        <v>1</v>
      </c>
      <c r="AX261"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2" spans="1:50" ht="409.5" x14ac:dyDescent="0.15">
      <c r="A262" s="4" t="b">
        <f>OR(ISBLANK(data!B262), AND(B262:AW262))</f>
        <v>1</v>
      </c>
      <c r="B262" s="4" t="b">
        <f>AND(LEFT(TRIM(data!B262), 4)="OOLU", ISNUMBER(RIGHT(TRIM(data!B262), LEN(TRIM(data!B262))-4)+0))</f>
        <v>0</v>
      </c>
      <c r="C262" s="4" t="b">
        <f>LEN(data!C262)&gt;0</f>
        <v>0</v>
      </c>
      <c r="D262" s="4" t="b">
        <f>LEN(data!C262)&lt;=70</f>
        <v>1</v>
      </c>
      <c r="E262" s="4" t="b">
        <f>LEN(data!D262)&gt;0</f>
        <v>0</v>
      </c>
      <c r="F262" s="4" t="b">
        <f>LEN(data!D262)&lt;=140</f>
        <v>1</v>
      </c>
      <c r="G262" s="4" t="b">
        <f>LEN(data!E262)&gt;0</f>
        <v>0</v>
      </c>
      <c r="H262" s="4" t="b">
        <f>LEN(data!E262)&lt;=35</f>
        <v>1</v>
      </c>
      <c r="I262" s="4" t="b">
        <f>LEN(data!F262)=2</f>
        <v>0</v>
      </c>
      <c r="J262" s="4" t="b">
        <f>LEN(data!G262)&gt;0</f>
        <v>0</v>
      </c>
      <c r="K262" s="4" t="b">
        <f>LEN(data!G262)&lt;=60</f>
        <v>1</v>
      </c>
      <c r="L262" s="4" t="b">
        <f>LEN(data!I262)&gt;0</f>
        <v>0</v>
      </c>
      <c r="M262" s="4" t="b">
        <f>LEN(data!I262)&lt;=70</f>
        <v>1</v>
      </c>
      <c r="N262" s="4" t="b">
        <f>LEN(data!J262)&gt;0</f>
        <v>0</v>
      </c>
      <c r="O262" s="4" t="b">
        <f>LEN(data!J262)&lt;=140</f>
        <v>1</v>
      </c>
      <c r="P262" s="4" t="b">
        <f>LEN(data!K262)&gt;0</f>
        <v>0</v>
      </c>
      <c r="Q262" s="4" t="b">
        <f>LEN(data!K262)&lt;=35</f>
        <v>1</v>
      </c>
      <c r="R262" s="4" t="b">
        <f>LEN(data!L262)=2</f>
        <v>0</v>
      </c>
      <c r="S262" s="4" t="b">
        <f>LEN(data!M262)&gt;0</f>
        <v>0</v>
      </c>
      <c r="T262" s="4" t="b">
        <f>LEN(data!M262)&lt;=60</f>
        <v>1</v>
      </c>
      <c r="U262" s="4" t="b">
        <f>LEN(data!O262)&gt;0</f>
        <v>0</v>
      </c>
      <c r="V262" s="4" t="b">
        <f>LEN(data!O262)&lt;=70</f>
        <v>1</v>
      </c>
      <c r="W262" s="4" t="b">
        <f>LEN(data!P262)&gt;0</f>
        <v>0</v>
      </c>
      <c r="X262" s="4" t="b">
        <f>LEN(data!P262)&lt;=140</f>
        <v>1</v>
      </c>
      <c r="Y262" s="4" t="b">
        <f>LEN(data!Q262)&gt;0</f>
        <v>0</v>
      </c>
      <c r="Z262" s="4" t="b">
        <f>LEN(data!Q262)&lt;=35</f>
        <v>1</v>
      </c>
      <c r="AA262" s="4" t="b">
        <f>LEN(data!R262)=2</f>
        <v>0</v>
      </c>
      <c r="AB262" s="4" t="b">
        <f>LEN(data!S262)&gt;0</f>
        <v>0</v>
      </c>
      <c r="AC262" s="4" t="b">
        <f>LEN(data!S262)&lt;=120</f>
        <v>1</v>
      </c>
      <c r="AD262" s="4" t="b">
        <f>LEN(data!U262)=11</f>
        <v>0</v>
      </c>
      <c r="AE262" s="4" t="b">
        <f>AND(ISERROR(MATCH(data!V262, rule_mapping!$C$2:$C$325, 0))=FALSE, LEN(data!V262) &lt;= 4)</f>
        <v>0</v>
      </c>
      <c r="AF262" s="4" t="b">
        <f>LEN(data!W262)&gt;0</f>
        <v>0</v>
      </c>
      <c r="AG262" s="4" t="b">
        <f>LEN(data!W262)&lt;=20</f>
        <v>1</v>
      </c>
      <c r="AH262" s="4" t="b">
        <f xml:space="preserve"> IFERROR(ISNUMBER(data!X262), FALSE)</f>
        <v>0</v>
      </c>
      <c r="AI262" s="4" t="b">
        <f>IF(ISERROR(MATCH(data!Y262, rule_mapping!$D$2:$D$252, 0))=FALSE,TRUE, FALSE)</f>
        <v>0</v>
      </c>
      <c r="AJ262" s="4" t="b">
        <f>IFERROR(ISNUMBER(data!Z262), FALSE)</f>
        <v>0</v>
      </c>
      <c r="AK262" s="4" t="b">
        <f>IFERROR(ISNUMBER(data!AA262), FALSE)</f>
        <v>0</v>
      </c>
      <c r="AL262" s="4" t="b">
        <f>LEN(data!AB262)&lt;=90</f>
        <v>1</v>
      </c>
      <c r="AM262" s="4" t="b">
        <f>LEN(data!AC262)&gt;0</f>
        <v>0</v>
      </c>
      <c r="AN262" s="4" t="b">
        <f>LEN(data!AC262)&lt;=2000</f>
        <v>1</v>
      </c>
      <c r="AO262" s="4" t="b">
        <f>IF(LEN(data!AD262)=0,TRUE,IF(LEN(data!AD262)=5,TRUE,FALSE))</f>
        <v>1</v>
      </c>
      <c r="AP262" s="4" t="b">
        <f>LEN(data!AE262)&gt;0</f>
        <v>0</v>
      </c>
      <c r="AQ262" s="4" t="b">
        <f>LEN(data!AE262)=5</f>
        <v>0</v>
      </c>
      <c r="AR262" s="4" t="b">
        <f>ISERROR(MATCH(data!AF262, rule_mapping!$B$2:$B$3, 0))=FALSE</f>
        <v>0</v>
      </c>
      <c r="AS262" s="4" t="b">
        <f>ISERROR(MATCH(data!AG262, rule_mapping!$A$2:$A$8, 0))=FALSE</f>
        <v>0</v>
      </c>
      <c r="AT262" s="4" t="b">
        <f>LEN(data!AH262)&lt;=4</f>
        <v>1</v>
      </c>
      <c r="AU262" s="4" t="b">
        <f>LEN(data!AI262)&lt;=10</f>
        <v>1</v>
      </c>
      <c r="AV262" s="4" t="b">
        <f>LEN(data!AJ262)&lt;=35</f>
        <v>1</v>
      </c>
      <c r="AW262" s="4" t="b">
        <f>LEN(data!AK262)&lt;=20</f>
        <v>1</v>
      </c>
      <c r="AX262"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3" spans="1:50" ht="409.5" x14ac:dyDescent="0.15">
      <c r="A263" s="4" t="b">
        <f>OR(ISBLANK(data!B263), AND(B263:AW263))</f>
        <v>1</v>
      </c>
      <c r="B263" s="4" t="b">
        <f>AND(LEFT(TRIM(data!B263), 4)="OOLU", ISNUMBER(RIGHT(TRIM(data!B263), LEN(TRIM(data!B263))-4)+0))</f>
        <v>0</v>
      </c>
      <c r="C263" s="4" t="b">
        <f>LEN(data!C263)&gt;0</f>
        <v>0</v>
      </c>
      <c r="D263" s="4" t="b">
        <f>LEN(data!C263)&lt;=70</f>
        <v>1</v>
      </c>
      <c r="E263" s="4" t="b">
        <f>LEN(data!D263)&gt;0</f>
        <v>0</v>
      </c>
      <c r="F263" s="4" t="b">
        <f>LEN(data!D263)&lt;=140</f>
        <v>1</v>
      </c>
      <c r="G263" s="4" t="b">
        <f>LEN(data!E263)&gt;0</f>
        <v>0</v>
      </c>
      <c r="H263" s="4" t="b">
        <f>LEN(data!E263)&lt;=35</f>
        <v>1</v>
      </c>
      <c r="I263" s="4" t="b">
        <f>LEN(data!F263)=2</f>
        <v>0</v>
      </c>
      <c r="J263" s="4" t="b">
        <f>LEN(data!G263)&gt;0</f>
        <v>0</v>
      </c>
      <c r="K263" s="4" t="b">
        <f>LEN(data!G263)&lt;=60</f>
        <v>1</v>
      </c>
      <c r="L263" s="4" t="b">
        <f>LEN(data!I263)&gt;0</f>
        <v>0</v>
      </c>
      <c r="M263" s="4" t="b">
        <f>LEN(data!I263)&lt;=70</f>
        <v>1</v>
      </c>
      <c r="N263" s="4" t="b">
        <f>LEN(data!J263)&gt;0</f>
        <v>0</v>
      </c>
      <c r="O263" s="4" t="b">
        <f>LEN(data!J263)&lt;=140</f>
        <v>1</v>
      </c>
      <c r="P263" s="4" t="b">
        <f>LEN(data!K263)&gt;0</f>
        <v>0</v>
      </c>
      <c r="Q263" s="4" t="b">
        <f>LEN(data!K263)&lt;=35</f>
        <v>1</v>
      </c>
      <c r="R263" s="4" t="b">
        <f>LEN(data!L263)=2</f>
        <v>0</v>
      </c>
      <c r="S263" s="4" t="b">
        <f>LEN(data!M263)&gt;0</f>
        <v>0</v>
      </c>
      <c r="T263" s="4" t="b">
        <f>LEN(data!M263)&lt;=60</f>
        <v>1</v>
      </c>
      <c r="U263" s="4" t="b">
        <f>LEN(data!O263)&gt;0</f>
        <v>0</v>
      </c>
      <c r="V263" s="4" t="b">
        <f>LEN(data!O263)&lt;=70</f>
        <v>1</v>
      </c>
      <c r="W263" s="4" t="b">
        <f>LEN(data!P263)&gt;0</f>
        <v>0</v>
      </c>
      <c r="X263" s="4" t="b">
        <f>LEN(data!P263)&lt;=140</f>
        <v>1</v>
      </c>
      <c r="Y263" s="4" t="b">
        <f>LEN(data!Q263)&gt;0</f>
        <v>0</v>
      </c>
      <c r="Z263" s="4" t="b">
        <f>LEN(data!Q263)&lt;=35</f>
        <v>1</v>
      </c>
      <c r="AA263" s="4" t="b">
        <f>LEN(data!R263)=2</f>
        <v>0</v>
      </c>
      <c r="AB263" s="4" t="b">
        <f>LEN(data!S263)&gt;0</f>
        <v>0</v>
      </c>
      <c r="AC263" s="4" t="b">
        <f>LEN(data!S263)&lt;=120</f>
        <v>1</v>
      </c>
      <c r="AD263" s="4" t="b">
        <f>LEN(data!U263)=11</f>
        <v>0</v>
      </c>
      <c r="AE263" s="4" t="b">
        <f>AND(ISERROR(MATCH(data!V263, rule_mapping!$C$2:$C$325, 0))=FALSE, LEN(data!V263) &lt;= 4)</f>
        <v>0</v>
      </c>
      <c r="AF263" s="4" t="b">
        <f>LEN(data!W263)&gt;0</f>
        <v>0</v>
      </c>
      <c r="AG263" s="4" t="b">
        <f>LEN(data!W263)&lt;=20</f>
        <v>1</v>
      </c>
      <c r="AH263" s="4" t="b">
        <f xml:space="preserve"> IFERROR(ISNUMBER(data!X263), FALSE)</f>
        <v>0</v>
      </c>
      <c r="AI263" s="4" t="b">
        <f>IF(ISERROR(MATCH(data!Y263, rule_mapping!$D$2:$D$252, 0))=FALSE,TRUE, FALSE)</f>
        <v>0</v>
      </c>
      <c r="AJ263" s="4" t="b">
        <f>IFERROR(ISNUMBER(data!Z263), FALSE)</f>
        <v>0</v>
      </c>
      <c r="AK263" s="4" t="b">
        <f>IFERROR(ISNUMBER(data!AA263), FALSE)</f>
        <v>0</v>
      </c>
      <c r="AL263" s="4" t="b">
        <f>LEN(data!AB263)&lt;=90</f>
        <v>1</v>
      </c>
      <c r="AM263" s="4" t="b">
        <f>LEN(data!AC263)&gt;0</f>
        <v>0</v>
      </c>
      <c r="AN263" s="4" t="b">
        <f>LEN(data!AC263)&lt;=2000</f>
        <v>1</v>
      </c>
      <c r="AO263" s="4" t="b">
        <f>IF(LEN(data!AD263)=0,TRUE,IF(LEN(data!AD263)=5,TRUE,FALSE))</f>
        <v>1</v>
      </c>
      <c r="AP263" s="4" t="b">
        <f>LEN(data!AE263)&gt;0</f>
        <v>0</v>
      </c>
      <c r="AQ263" s="4" t="b">
        <f>LEN(data!AE263)=5</f>
        <v>0</v>
      </c>
      <c r="AR263" s="4" t="b">
        <f>ISERROR(MATCH(data!AF263, rule_mapping!$B$2:$B$3, 0))=FALSE</f>
        <v>0</v>
      </c>
      <c r="AS263" s="4" t="b">
        <f>ISERROR(MATCH(data!AG263, rule_mapping!$A$2:$A$8, 0))=FALSE</f>
        <v>0</v>
      </c>
      <c r="AT263" s="4" t="b">
        <f>LEN(data!AH263)&lt;=4</f>
        <v>1</v>
      </c>
      <c r="AU263" s="4" t="b">
        <f>LEN(data!AI263)&lt;=10</f>
        <v>1</v>
      </c>
      <c r="AV263" s="4" t="b">
        <f>LEN(data!AJ263)&lt;=35</f>
        <v>1</v>
      </c>
      <c r="AW263" s="4" t="b">
        <f>LEN(data!AK263)&lt;=20</f>
        <v>1</v>
      </c>
      <c r="AX263"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4" spans="1:50" ht="409.5" x14ac:dyDescent="0.15">
      <c r="A264" s="4" t="b">
        <f>OR(ISBLANK(data!B264), AND(B264:AW264))</f>
        <v>1</v>
      </c>
      <c r="B264" s="4" t="b">
        <f>AND(LEFT(TRIM(data!B264), 4)="OOLU", ISNUMBER(RIGHT(TRIM(data!B264), LEN(TRIM(data!B264))-4)+0))</f>
        <v>0</v>
      </c>
      <c r="C264" s="4" t="b">
        <f>LEN(data!C264)&gt;0</f>
        <v>0</v>
      </c>
      <c r="D264" s="4" t="b">
        <f>LEN(data!C264)&lt;=70</f>
        <v>1</v>
      </c>
      <c r="E264" s="4" t="b">
        <f>LEN(data!D264)&gt;0</f>
        <v>0</v>
      </c>
      <c r="F264" s="4" t="b">
        <f>LEN(data!D264)&lt;=140</f>
        <v>1</v>
      </c>
      <c r="G264" s="4" t="b">
        <f>LEN(data!E264)&gt;0</f>
        <v>0</v>
      </c>
      <c r="H264" s="4" t="b">
        <f>LEN(data!E264)&lt;=35</f>
        <v>1</v>
      </c>
      <c r="I264" s="4" t="b">
        <f>LEN(data!F264)=2</f>
        <v>0</v>
      </c>
      <c r="J264" s="4" t="b">
        <f>LEN(data!G264)&gt;0</f>
        <v>0</v>
      </c>
      <c r="K264" s="4" t="b">
        <f>LEN(data!G264)&lt;=60</f>
        <v>1</v>
      </c>
      <c r="L264" s="4" t="b">
        <f>LEN(data!I264)&gt;0</f>
        <v>0</v>
      </c>
      <c r="M264" s="4" t="b">
        <f>LEN(data!I264)&lt;=70</f>
        <v>1</v>
      </c>
      <c r="N264" s="4" t="b">
        <f>LEN(data!J264)&gt;0</f>
        <v>0</v>
      </c>
      <c r="O264" s="4" t="b">
        <f>LEN(data!J264)&lt;=140</f>
        <v>1</v>
      </c>
      <c r="P264" s="4" t="b">
        <f>LEN(data!K264)&gt;0</f>
        <v>0</v>
      </c>
      <c r="Q264" s="4" t="b">
        <f>LEN(data!K264)&lt;=35</f>
        <v>1</v>
      </c>
      <c r="R264" s="4" t="b">
        <f>LEN(data!L264)=2</f>
        <v>0</v>
      </c>
      <c r="S264" s="4" t="b">
        <f>LEN(data!M264)&gt;0</f>
        <v>0</v>
      </c>
      <c r="T264" s="4" t="b">
        <f>LEN(data!M264)&lt;=60</f>
        <v>1</v>
      </c>
      <c r="U264" s="4" t="b">
        <f>LEN(data!O264)&gt;0</f>
        <v>0</v>
      </c>
      <c r="V264" s="4" t="b">
        <f>LEN(data!O264)&lt;=70</f>
        <v>1</v>
      </c>
      <c r="W264" s="4" t="b">
        <f>LEN(data!P264)&gt;0</f>
        <v>0</v>
      </c>
      <c r="X264" s="4" t="b">
        <f>LEN(data!P264)&lt;=140</f>
        <v>1</v>
      </c>
      <c r="Y264" s="4" t="b">
        <f>LEN(data!Q264)&gt;0</f>
        <v>0</v>
      </c>
      <c r="Z264" s="4" t="b">
        <f>LEN(data!Q264)&lt;=35</f>
        <v>1</v>
      </c>
      <c r="AA264" s="4" t="b">
        <f>LEN(data!R264)=2</f>
        <v>0</v>
      </c>
      <c r="AB264" s="4" t="b">
        <f>LEN(data!S264)&gt;0</f>
        <v>0</v>
      </c>
      <c r="AC264" s="4" t="b">
        <f>LEN(data!S264)&lt;=120</f>
        <v>1</v>
      </c>
      <c r="AD264" s="4" t="b">
        <f>LEN(data!U264)=11</f>
        <v>0</v>
      </c>
      <c r="AE264" s="4" t="b">
        <f>AND(ISERROR(MATCH(data!V264, rule_mapping!$C$2:$C$325, 0))=FALSE, LEN(data!V264) &lt;= 4)</f>
        <v>0</v>
      </c>
      <c r="AF264" s="4" t="b">
        <f>LEN(data!W264)&gt;0</f>
        <v>0</v>
      </c>
      <c r="AG264" s="4" t="b">
        <f>LEN(data!W264)&lt;=20</f>
        <v>1</v>
      </c>
      <c r="AH264" s="4" t="b">
        <f xml:space="preserve"> IFERROR(ISNUMBER(data!X264), FALSE)</f>
        <v>0</v>
      </c>
      <c r="AI264" s="4" t="b">
        <f>IF(ISERROR(MATCH(data!Y264, rule_mapping!$D$2:$D$252, 0))=FALSE,TRUE, FALSE)</f>
        <v>0</v>
      </c>
      <c r="AJ264" s="4" t="b">
        <f>IFERROR(ISNUMBER(data!Z264), FALSE)</f>
        <v>0</v>
      </c>
      <c r="AK264" s="4" t="b">
        <f>IFERROR(ISNUMBER(data!AA264), FALSE)</f>
        <v>0</v>
      </c>
      <c r="AL264" s="4" t="b">
        <f>LEN(data!AB264)&lt;=90</f>
        <v>1</v>
      </c>
      <c r="AM264" s="4" t="b">
        <f>LEN(data!AC264)&gt;0</f>
        <v>0</v>
      </c>
      <c r="AN264" s="4" t="b">
        <f>LEN(data!AC264)&lt;=2000</f>
        <v>1</v>
      </c>
      <c r="AO264" s="4" t="b">
        <f>IF(LEN(data!AD264)=0,TRUE,IF(LEN(data!AD264)=5,TRUE,FALSE))</f>
        <v>1</v>
      </c>
      <c r="AP264" s="4" t="b">
        <f>LEN(data!AE264)&gt;0</f>
        <v>0</v>
      </c>
      <c r="AQ264" s="4" t="b">
        <f>LEN(data!AE264)=5</f>
        <v>0</v>
      </c>
      <c r="AR264" s="4" t="b">
        <f>ISERROR(MATCH(data!AF264, rule_mapping!$B$2:$B$3, 0))=FALSE</f>
        <v>0</v>
      </c>
      <c r="AS264" s="4" t="b">
        <f>ISERROR(MATCH(data!AG264, rule_mapping!$A$2:$A$8, 0))=FALSE</f>
        <v>0</v>
      </c>
      <c r="AT264" s="4" t="b">
        <f>LEN(data!AH264)&lt;=4</f>
        <v>1</v>
      </c>
      <c r="AU264" s="4" t="b">
        <f>LEN(data!AI264)&lt;=10</f>
        <v>1</v>
      </c>
      <c r="AV264" s="4" t="b">
        <f>LEN(data!AJ264)&lt;=35</f>
        <v>1</v>
      </c>
      <c r="AW264" s="4" t="b">
        <f>LEN(data!AK264)&lt;=20</f>
        <v>1</v>
      </c>
      <c r="AX264"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5" spans="1:50" ht="409.5" x14ac:dyDescent="0.15">
      <c r="A265" s="4" t="b">
        <f>OR(ISBLANK(data!B265), AND(B265:AW265))</f>
        <v>1</v>
      </c>
      <c r="B265" s="4" t="b">
        <f>AND(LEFT(TRIM(data!B265), 4)="OOLU", ISNUMBER(RIGHT(TRIM(data!B265), LEN(TRIM(data!B265))-4)+0))</f>
        <v>0</v>
      </c>
      <c r="C265" s="4" t="b">
        <f>LEN(data!C265)&gt;0</f>
        <v>0</v>
      </c>
      <c r="D265" s="4" t="b">
        <f>LEN(data!C265)&lt;=70</f>
        <v>1</v>
      </c>
      <c r="E265" s="4" t="b">
        <f>LEN(data!D265)&gt;0</f>
        <v>0</v>
      </c>
      <c r="F265" s="4" t="b">
        <f>LEN(data!D265)&lt;=140</f>
        <v>1</v>
      </c>
      <c r="G265" s="4" t="b">
        <f>LEN(data!E265)&gt;0</f>
        <v>0</v>
      </c>
      <c r="H265" s="4" t="b">
        <f>LEN(data!E265)&lt;=35</f>
        <v>1</v>
      </c>
      <c r="I265" s="4" t="b">
        <f>LEN(data!F265)=2</f>
        <v>0</v>
      </c>
      <c r="J265" s="4" t="b">
        <f>LEN(data!G265)&gt;0</f>
        <v>0</v>
      </c>
      <c r="K265" s="4" t="b">
        <f>LEN(data!G265)&lt;=60</f>
        <v>1</v>
      </c>
      <c r="L265" s="4" t="b">
        <f>LEN(data!I265)&gt;0</f>
        <v>0</v>
      </c>
      <c r="M265" s="4" t="b">
        <f>LEN(data!I265)&lt;=70</f>
        <v>1</v>
      </c>
      <c r="N265" s="4" t="b">
        <f>LEN(data!J265)&gt;0</f>
        <v>0</v>
      </c>
      <c r="O265" s="4" t="b">
        <f>LEN(data!J265)&lt;=140</f>
        <v>1</v>
      </c>
      <c r="P265" s="4" t="b">
        <f>LEN(data!K265)&gt;0</f>
        <v>0</v>
      </c>
      <c r="Q265" s="4" t="b">
        <f>LEN(data!K265)&lt;=35</f>
        <v>1</v>
      </c>
      <c r="R265" s="4" t="b">
        <f>LEN(data!L265)=2</f>
        <v>0</v>
      </c>
      <c r="S265" s="4" t="b">
        <f>LEN(data!M265)&gt;0</f>
        <v>0</v>
      </c>
      <c r="T265" s="4" t="b">
        <f>LEN(data!M265)&lt;=60</f>
        <v>1</v>
      </c>
      <c r="U265" s="4" t="b">
        <f>LEN(data!O265)&gt;0</f>
        <v>0</v>
      </c>
      <c r="V265" s="4" t="b">
        <f>LEN(data!O265)&lt;=70</f>
        <v>1</v>
      </c>
      <c r="W265" s="4" t="b">
        <f>LEN(data!P265)&gt;0</f>
        <v>0</v>
      </c>
      <c r="X265" s="4" t="b">
        <f>LEN(data!P265)&lt;=140</f>
        <v>1</v>
      </c>
      <c r="Y265" s="4" t="b">
        <f>LEN(data!Q265)&gt;0</f>
        <v>0</v>
      </c>
      <c r="Z265" s="4" t="b">
        <f>LEN(data!Q265)&lt;=35</f>
        <v>1</v>
      </c>
      <c r="AA265" s="4" t="b">
        <f>LEN(data!R265)=2</f>
        <v>0</v>
      </c>
      <c r="AB265" s="4" t="b">
        <f>LEN(data!S265)&gt;0</f>
        <v>0</v>
      </c>
      <c r="AC265" s="4" t="b">
        <f>LEN(data!S265)&lt;=120</f>
        <v>1</v>
      </c>
      <c r="AD265" s="4" t="b">
        <f>LEN(data!U265)=11</f>
        <v>0</v>
      </c>
      <c r="AE265" s="4" t="b">
        <f>AND(ISERROR(MATCH(data!V265, rule_mapping!$C$2:$C$325, 0))=FALSE, LEN(data!V265) &lt;= 4)</f>
        <v>0</v>
      </c>
      <c r="AF265" s="4" t="b">
        <f>LEN(data!W265)&gt;0</f>
        <v>0</v>
      </c>
      <c r="AG265" s="4" t="b">
        <f>LEN(data!W265)&lt;=20</f>
        <v>1</v>
      </c>
      <c r="AH265" s="4" t="b">
        <f xml:space="preserve"> IFERROR(ISNUMBER(data!X265), FALSE)</f>
        <v>0</v>
      </c>
      <c r="AI265" s="4" t="b">
        <f>IF(ISERROR(MATCH(data!Y265, rule_mapping!$D$2:$D$252, 0))=FALSE,TRUE, FALSE)</f>
        <v>0</v>
      </c>
      <c r="AJ265" s="4" t="b">
        <f>IFERROR(ISNUMBER(data!Z265), FALSE)</f>
        <v>0</v>
      </c>
      <c r="AK265" s="4" t="b">
        <f>IFERROR(ISNUMBER(data!AA265), FALSE)</f>
        <v>0</v>
      </c>
      <c r="AL265" s="4" t="b">
        <f>LEN(data!AB265)&lt;=90</f>
        <v>1</v>
      </c>
      <c r="AM265" s="4" t="b">
        <f>LEN(data!AC265)&gt;0</f>
        <v>0</v>
      </c>
      <c r="AN265" s="4" t="b">
        <f>LEN(data!AC265)&lt;=2000</f>
        <v>1</v>
      </c>
      <c r="AO265" s="4" t="b">
        <f>IF(LEN(data!AD265)=0,TRUE,IF(LEN(data!AD265)=5,TRUE,FALSE))</f>
        <v>1</v>
      </c>
      <c r="AP265" s="4" t="b">
        <f>LEN(data!AE265)&gt;0</f>
        <v>0</v>
      </c>
      <c r="AQ265" s="4" t="b">
        <f>LEN(data!AE265)=5</f>
        <v>0</v>
      </c>
      <c r="AR265" s="4" t="b">
        <f>ISERROR(MATCH(data!AF265, rule_mapping!$B$2:$B$3, 0))=FALSE</f>
        <v>0</v>
      </c>
      <c r="AS265" s="4" t="b">
        <f>ISERROR(MATCH(data!AG265, rule_mapping!$A$2:$A$8, 0))=FALSE</f>
        <v>0</v>
      </c>
      <c r="AT265" s="4" t="b">
        <f>LEN(data!AH265)&lt;=4</f>
        <v>1</v>
      </c>
      <c r="AU265" s="4" t="b">
        <f>LEN(data!AI265)&lt;=10</f>
        <v>1</v>
      </c>
      <c r="AV265" s="4" t="b">
        <f>LEN(data!AJ265)&lt;=35</f>
        <v>1</v>
      </c>
      <c r="AW265" s="4" t="b">
        <f>LEN(data!AK265)&lt;=20</f>
        <v>1</v>
      </c>
      <c r="AX265"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6" spans="1:50" ht="409.5" x14ac:dyDescent="0.15">
      <c r="A266" s="4" t="b">
        <f>OR(ISBLANK(data!B266), AND(B266:AW266))</f>
        <v>1</v>
      </c>
      <c r="B266" s="4" t="b">
        <f>AND(LEFT(TRIM(data!B266), 4)="OOLU", ISNUMBER(RIGHT(TRIM(data!B266), LEN(TRIM(data!B266))-4)+0))</f>
        <v>0</v>
      </c>
      <c r="C266" s="4" t="b">
        <f>LEN(data!C266)&gt;0</f>
        <v>0</v>
      </c>
      <c r="D266" s="4" t="b">
        <f>LEN(data!C266)&lt;=70</f>
        <v>1</v>
      </c>
      <c r="E266" s="4" t="b">
        <f>LEN(data!D266)&gt;0</f>
        <v>0</v>
      </c>
      <c r="F266" s="4" t="b">
        <f>LEN(data!D266)&lt;=140</f>
        <v>1</v>
      </c>
      <c r="G266" s="4" t="b">
        <f>LEN(data!E266)&gt;0</f>
        <v>0</v>
      </c>
      <c r="H266" s="4" t="b">
        <f>LEN(data!E266)&lt;=35</f>
        <v>1</v>
      </c>
      <c r="I266" s="4" t="b">
        <f>LEN(data!F266)=2</f>
        <v>0</v>
      </c>
      <c r="J266" s="4" t="b">
        <f>LEN(data!G266)&gt;0</f>
        <v>0</v>
      </c>
      <c r="K266" s="4" t="b">
        <f>LEN(data!G266)&lt;=60</f>
        <v>1</v>
      </c>
      <c r="L266" s="4" t="b">
        <f>LEN(data!I266)&gt;0</f>
        <v>0</v>
      </c>
      <c r="M266" s="4" t="b">
        <f>LEN(data!I266)&lt;=70</f>
        <v>1</v>
      </c>
      <c r="N266" s="4" t="b">
        <f>LEN(data!J266)&gt;0</f>
        <v>0</v>
      </c>
      <c r="O266" s="4" t="b">
        <f>LEN(data!J266)&lt;=140</f>
        <v>1</v>
      </c>
      <c r="P266" s="4" t="b">
        <f>LEN(data!K266)&gt;0</f>
        <v>0</v>
      </c>
      <c r="Q266" s="4" t="b">
        <f>LEN(data!K266)&lt;=35</f>
        <v>1</v>
      </c>
      <c r="R266" s="4" t="b">
        <f>LEN(data!L266)=2</f>
        <v>0</v>
      </c>
      <c r="S266" s="4" t="b">
        <f>LEN(data!M266)&gt;0</f>
        <v>0</v>
      </c>
      <c r="T266" s="4" t="b">
        <f>LEN(data!M266)&lt;=60</f>
        <v>1</v>
      </c>
      <c r="U266" s="4" t="b">
        <f>LEN(data!O266)&gt;0</f>
        <v>0</v>
      </c>
      <c r="V266" s="4" t="b">
        <f>LEN(data!O266)&lt;=70</f>
        <v>1</v>
      </c>
      <c r="W266" s="4" t="b">
        <f>LEN(data!P266)&gt;0</f>
        <v>0</v>
      </c>
      <c r="X266" s="4" t="b">
        <f>LEN(data!P266)&lt;=140</f>
        <v>1</v>
      </c>
      <c r="Y266" s="4" t="b">
        <f>LEN(data!Q266)&gt;0</f>
        <v>0</v>
      </c>
      <c r="Z266" s="4" t="b">
        <f>LEN(data!Q266)&lt;=35</f>
        <v>1</v>
      </c>
      <c r="AA266" s="4" t="b">
        <f>LEN(data!R266)=2</f>
        <v>0</v>
      </c>
      <c r="AB266" s="4" t="b">
        <f>LEN(data!S266)&gt;0</f>
        <v>0</v>
      </c>
      <c r="AC266" s="4" t="b">
        <f>LEN(data!S266)&lt;=120</f>
        <v>1</v>
      </c>
      <c r="AD266" s="4" t="b">
        <f>LEN(data!U266)=11</f>
        <v>0</v>
      </c>
      <c r="AE266" s="4" t="b">
        <f>AND(ISERROR(MATCH(data!V266, rule_mapping!$C$2:$C$325, 0))=FALSE, LEN(data!V266) &lt;= 4)</f>
        <v>0</v>
      </c>
      <c r="AF266" s="4" t="b">
        <f>LEN(data!W266)&gt;0</f>
        <v>0</v>
      </c>
      <c r="AG266" s="4" t="b">
        <f>LEN(data!W266)&lt;=20</f>
        <v>1</v>
      </c>
      <c r="AH266" s="4" t="b">
        <f xml:space="preserve"> IFERROR(ISNUMBER(data!X266), FALSE)</f>
        <v>0</v>
      </c>
      <c r="AI266" s="4" t="b">
        <f>IF(ISERROR(MATCH(data!Y266, rule_mapping!$D$2:$D$252, 0))=FALSE,TRUE, FALSE)</f>
        <v>0</v>
      </c>
      <c r="AJ266" s="4" t="b">
        <f>IFERROR(ISNUMBER(data!Z266), FALSE)</f>
        <v>0</v>
      </c>
      <c r="AK266" s="4" t="b">
        <f>IFERROR(ISNUMBER(data!AA266), FALSE)</f>
        <v>0</v>
      </c>
      <c r="AL266" s="4" t="b">
        <f>LEN(data!AB266)&lt;=90</f>
        <v>1</v>
      </c>
      <c r="AM266" s="4" t="b">
        <f>LEN(data!AC266)&gt;0</f>
        <v>0</v>
      </c>
      <c r="AN266" s="4" t="b">
        <f>LEN(data!AC266)&lt;=2000</f>
        <v>1</v>
      </c>
      <c r="AO266" s="4" t="b">
        <f>IF(LEN(data!AD266)=0,TRUE,IF(LEN(data!AD266)=5,TRUE,FALSE))</f>
        <v>1</v>
      </c>
      <c r="AP266" s="4" t="b">
        <f>LEN(data!AE266)&gt;0</f>
        <v>0</v>
      </c>
      <c r="AQ266" s="4" t="b">
        <f>LEN(data!AE266)=5</f>
        <v>0</v>
      </c>
      <c r="AR266" s="4" t="b">
        <f>ISERROR(MATCH(data!AF266, rule_mapping!$B$2:$B$3, 0))=FALSE</f>
        <v>0</v>
      </c>
      <c r="AS266" s="4" t="b">
        <f>ISERROR(MATCH(data!AG266, rule_mapping!$A$2:$A$8, 0))=FALSE</f>
        <v>0</v>
      </c>
      <c r="AT266" s="4" t="b">
        <f>LEN(data!AH266)&lt;=4</f>
        <v>1</v>
      </c>
      <c r="AU266" s="4" t="b">
        <f>LEN(data!AI266)&lt;=10</f>
        <v>1</v>
      </c>
      <c r="AV266" s="4" t="b">
        <f>LEN(data!AJ266)&lt;=35</f>
        <v>1</v>
      </c>
      <c r="AW266" s="4" t="b">
        <f>LEN(data!AK266)&lt;=20</f>
        <v>1</v>
      </c>
      <c r="AX266"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7" spans="1:50" ht="409.5" x14ac:dyDescent="0.15">
      <c r="A267" s="4" t="b">
        <f>OR(ISBLANK(data!B267), AND(B267:AW267))</f>
        <v>1</v>
      </c>
      <c r="B267" s="4" t="b">
        <f>AND(LEFT(TRIM(data!B267), 4)="OOLU", ISNUMBER(RIGHT(TRIM(data!B267), LEN(TRIM(data!B267))-4)+0))</f>
        <v>0</v>
      </c>
      <c r="C267" s="4" t="b">
        <f>LEN(data!C267)&gt;0</f>
        <v>0</v>
      </c>
      <c r="D267" s="4" t="b">
        <f>LEN(data!C267)&lt;=70</f>
        <v>1</v>
      </c>
      <c r="E267" s="4" t="b">
        <f>LEN(data!D267)&gt;0</f>
        <v>0</v>
      </c>
      <c r="F267" s="4" t="b">
        <f>LEN(data!D267)&lt;=140</f>
        <v>1</v>
      </c>
      <c r="G267" s="4" t="b">
        <f>LEN(data!E267)&gt;0</f>
        <v>0</v>
      </c>
      <c r="H267" s="4" t="b">
        <f>LEN(data!E267)&lt;=35</f>
        <v>1</v>
      </c>
      <c r="I267" s="4" t="b">
        <f>LEN(data!F267)=2</f>
        <v>0</v>
      </c>
      <c r="J267" s="4" t="b">
        <f>LEN(data!G267)&gt;0</f>
        <v>0</v>
      </c>
      <c r="K267" s="4" t="b">
        <f>LEN(data!G267)&lt;=60</f>
        <v>1</v>
      </c>
      <c r="L267" s="4" t="b">
        <f>LEN(data!I267)&gt;0</f>
        <v>0</v>
      </c>
      <c r="M267" s="4" t="b">
        <f>LEN(data!I267)&lt;=70</f>
        <v>1</v>
      </c>
      <c r="N267" s="4" t="b">
        <f>LEN(data!J267)&gt;0</f>
        <v>0</v>
      </c>
      <c r="O267" s="4" t="b">
        <f>LEN(data!J267)&lt;=140</f>
        <v>1</v>
      </c>
      <c r="P267" s="4" t="b">
        <f>LEN(data!K267)&gt;0</f>
        <v>0</v>
      </c>
      <c r="Q267" s="4" t="b">
        <f>LEN(data!K267)&lt;=35</f>
        <v>1</v>
      </c>
      <c r="R267" s="4" t="b">
        <f>LEN(data!L267)=2</f>
        <v>0</v>
      </c>
      <c r="S267" s="4" t="b">
        <f>LEN(data!M267)&gt;0</f>
        <v>0</v>
      </c>
      <c r="T267" s="4" t="b">
        <f>LEN(data!M267)&lt;=60</f>
        <v>1</v>
      </c>
      <c r="U267" s="4" t="b">
        <f>LEN(data!O267)&gt;0</f>
        <v>0</v>
      </c>
      <c r="V267" s="4" t="b">
        <f>LEN(data!O267)&lt;=70</f>
        <v>1</v>
      </c>
      <c r="W267" s="4" t="b">
        <f>LEN(data!P267)&gt;0</f>
        <v>0</v>
      </c>
      <c r="X267" s="4" t="b">
        <f>LEN(data!P267)&lt;=140</f>
        <v>1</v>
      </c>
      <c r="Y267" s="4" t="b">
        <f>LEN(data!Q267)&gt;0</f>
        <v>0</v>
      </c>
      <c r="Z267" s="4" t="b">
        <f>LEN(data!Q267)&lt;=35</f>
        <v>1</v>
      </c>
      <c r="AA267" s="4" t="b">
        <f>LEN(data!R267)=2</f>
        <v>0</v>
      </c>
      <c r="AB267" s="4" t="b">
        <f>LEN(data!S267)&gt;0</f>
        <v>0</v>
      </c>
      <c r="AC267" s="4" t="b">
        <f>LEN(data!S267)&lt;=120</f>
        <v>1</v>
      </c>
      <c r="AD267" s="4" t="b">
        <f>LEN(data!U267)=11</f>
        <v>0</v>
      </c>
      <c r="AE267" s="4" t="b">
        <f>AND(ISERROR(MATCH(data!V267, rule_mapping!$C$2:$C$325, 0))=FALSE, LEN(data!V267) &lt;= 4)</f>
        <v>0</v>
      </c>
      <c r="AF267" s="4" t="b">
        <f>LEN(data!W267)&gt;0</f>
        <v>0</v>
      </c>
      <c r="AG267" s="4" t="b">
        <f>LEN(data!W267)&lt;=20</f>
        <v>1</v>
      </c>
      <c r="AH267" s="4" t="b">
        <f xml:space="preserve"> IFERROR(ISNUMBER(data!X267), FALSE)</f>
        <v>0</v>
      </c>
      <c r="AI267" s="4" t="b">
        <f>IF(ISERROR(MATCH(data!Y267, rule_mapping!$D$2:$D$252, 0))=FALSE,TRUE, FALSE)</f>
        <v>0</v>
      </c>
      <c r="AJ267" s="4" t="b">
        <f>IFERROR(ISNUMBER(data!Z267), FALSE)</f>
        <v>0</v>
      </c>
      <c r="AK267" s="4" t="b">
        <f>IFERROR(ISNUMBER(data!AA267), FALSE)</f>
        <v>0</v>
      </c>
      <c r="AL267" s="4" t="b">
        <f>LEN(data!AB267)&lt;=90</f>
        <v>1</v>
      </c>
      <c r="AM267" s="4" t="b">
        <f>LEN(data!AC267)&gt;0</f>
        <v>0</v>
      </c>
      <c r="AN267" s="4" t="b">
        <f>LEN(data!AC267)&lt;=2000</f>
        <v>1</v>
      </c>
      <c r="AO267" s="4" t="b">
        <f>IF(LEN(data!AD267)=0,TRUE,IF(LEN(data!AD267)=5,TRUE,FALSE))</f>
        <v>1</v>
      </c>
      <c r="AP267" s="4" t="b">
        <f>LEN(data!AE267)&gt;0</f>
        <v>0</v>
      </c>
      <c r="AQ267" s="4" t="b">
        <f>LEN(data!AE267)=5</f>
        <v>0</v>
      </c>
      <c r="AR267" s="4" t="b">
        <f>ISERROR(MATCH(data!AF267, rule_mapping!$B$2:$B$3, 0))=FALSE</f>
        <v>0</v>
      </c>
      <c r="AS267" s="4" t="b">
        <f>ISERROR(MATCH(data!AG267, rule_mapping!$A$2:$A$8, 0))=FALSE</f>
        <v>0</v>
      </c>
      <c r="AT267" s="4" t="b">
        <f>LEN(data!AH267)&lt;=4</f>
        <v>1</v>
      </c>
      <c r="AU267" s="4" t="b">
        <f>LEN(data!AI267)&lt;=10</f>
        <v>1</v>
      </c>
      <c r="AV267" s="4" t="b">
        <f>LEN(data!AJ267)&lt;=35</f>
        <v>1</v>
      </c>
      <c r="AW267" s="4" t="b">
        <f>LEN(data!AK267)&lt;=20</f>
        <v>1</v>
      </c>
      <c r="AX267"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8" spans="1:50" ht="409.5" x14ac:dyDescent="0.15">
      <c r="A268" s="4" t="b">
        <f>OR(ISBLANK(data!B268), AND(B268:AW268))</f>
        <v>1</v>
      </c>
      <c r="B268" s="4" t="b">
        <f>AND(LEFT(TRIM(data!B268), 4)="OOLU", ISNUMBER(RIGHT(TRIM(data!B268), LEN(TRIM(data!B268))-4)+0))</f>
        <v>0</v>
      </c>
      <c r="C268" s="4" t="b">
        <f>LEN(data!C268)&gt;0</f>
        <v>0</v>
      </c>
      <c r="D268" s="4" t="b">
        <f>LEN(data!C268)&lt;=70</f>
        <v>1</v>
      </c>
      <c r="E268" s="4" t="b">
        <f>LEN(data!D268)&gt;0</f>
        <v>0</v>
      </c>
      <c r="F268" s="4" t="b">
        <f>LEN(data!D268)&lt;=140</f>
        <v>1</v>
      </c>
      <c r="G268" s="4" t="b">
        <f>LEN(data!E268)&gt;0</f>
        <v>0</v>
      </c>
      <c r="H268" s="4" t="b">
        <f>LEN(data!E268)&lt;=35</f>
        <v>1</v>
      </c>
      <c r="I268" s="4" t="b">
        <f>LEN(data!F268)=2</f>
        <v>0</v>
      </c>
      <c r="J268" s="4" t="b">
        <f>LEN(data!G268)&gt;0</f>
        <v>0</v>
      </c>
      <c r="K268" s="4" t="b">
        <f>LEN(data!G268)&lt;=60</f>
        <v>1</v>
      </c>
      <c r="L268" s="4" t="b">
        <f>LEN(data!I268)&gt;0</f>
        <v>0</v>
      </c>
      <c r="M268" s="4" t="b">
        <f>LEN(data!I268)&lt;=70</f>
        <v>1</v>
      </c>
      <c r="N268" s="4" t="b">
        <f>LEN(data!J268)&gt;0</f>
        <v>0</v>
      </c>
      <c r="O268" s="4" t="b">
        <f>LEN(data!J268)&lt;=140</f>
        <v>1</v>
      </c>
      <c r="P268" s="4" t="b">
        <f>LEN(data!K268)&gt;0</f>
        <v>0</v>
      </c>
      <c r="Q268" s="4" t="b">
        <f>LEN(data!K268)&lt;=35</f>
        <v>1</v>
      </c>
      <c r="R268" s="4" t="b">
        <f>LEN(data!L268)=2</f>
        <v>0</v>
      </c>
      <c r="S268" s="4" t="b">
        <f>LEN(data!M268)&gt;0</f>
        <v>0</v>
      </c>
      <c r="T268" s="4" t="b">
        <f>LEN(data!M268)&lt;=60</f>
        <v>1</v>
      </c>
      <c r="U268" s="4" t="b">
        <f>LEN(data!O268)&gt;0</f>
        <v>0</v>
      </c>
      <c r="V268" s="4" t="b">
        <f>LEN(data!O268)&lt;=70</f>
        <v>1</v>
      </c>
      <c r="W268" s="4" t="b">
        <f>LEN(data!P268)&gt;0</f>
        <v>0</v>
      </c>
      <c r="X268" s="4" t="b">
        <f>LEN(data!P268)&lt;=140</f>
        <v>1</v>
      </c>
      <c r="Y268" s="4" t="b">
        <f>LEN(data!Q268)&gt;0</f>
        <v>0</v>
      </c>
      <c r="Z268" s="4" t="b">
        <f>LEN(data!Q268)&lt;=35</f>
        <v>1</v>
      </c>
      <c r="AA268" s="4" t="b">
        <f>LEN(data!R268)=2</f>
        <v>0</v>
      </c>
      <c r="AB268" s="4" t="b">
        <f>LEN(data!S268)&gt;0</f>
        <v>0</v>
      </c>
      <c r="AC268" s="4" t="b">
        <f>LEN(data!S268)&lt;=120</f>
        <v>1</v>
      </c>
      <c r="AD268" s="4" t="b">
        <f>LEN(data!U268)=11</f>
        <v>0</v>
      </c>
      <c r="AE268" s="4" t="b">
        <f>AND(ISERROR(MATCH(data!V268, rule_mapping!$C$2:$C$325, 0))=FALSE, LEN(data!V268) &lt;= 4)</f>
        <v>0</v>
      </c>
      <c r="AF268" s="4" t="b">
        <f>LEN(data!W268)&gt;0</f>
        <v>0</v>
      </c>
      <c r="AG268" s="4" t="b">
        <f>LEN(data!W268)&lt;=20</f>
        <v>1</v>
      </c>
      <c r="AH268" s="4" t="b">
        <f xml:space="preserve"> IFERROR(ISNUMBER(data!X268), FALSE)</f>
        <v>0</v>
      </c>
      <c r="AI268" s="4" t="b">
        <f>IF(ISERROR(MATCH(data!Y268, rule_mapping!$D$2:$D$252, 0))=FALSE,TRUE, FALSE)</f>
        <v>0</v>
      </c>
      <c r="AJ268" s="4" t="b">
        <f>IFERROR(ISNUMBER(data!Z268), FALSE)</f>
        <v>0</v>
      </c>
      <c r="AK268" s="4" t="b">
        <f>IFERROR(ISNUMBER(data!AA268), FALSE)</f>
        <v>0</v>
      </c>
      <c r="AL268" s="4" t="b">
        <f>LEN(data!AB268)&lt;=90</f>
        <v>1</v>
      </c>
      <c r="AM268" s="4" t="b">
        <f>LEN(data!AC268)&gt;0</f>
        <v>0</v>
      </c>
      <c r="AN268" s="4" t="b">
        <f>LEN(data!AC268)&lt;=2000</f>
        <v>1</v>
      </c>
      <c r="AO268" s="4" t="b">
        <f>IF(LEN(data!AD268)=0,TRUE,IF(LEN(data!AD268)=5,TRUE,FALSE))</f>
        <v>1</v>
      </c>
      <c r="AP268" s="4" t="b">
        <f>LEN(data!AE268)&gt;0</f>
        <v>0</v>
      </c>
      <c r="AQ268" s="4" t="b">
        <f>LEN(data!AE268)=5</f>
        <v>0</v>
      </c>
      <c r="AR268" s="4" t="b">
        <f>ISERROR(MATCH(data!AF268, rule_mapping!$B$2:$B$3, 0))=FALSE</f>
        <v>0</v>
      </c>
      <c r="AS268" s="4" t="b">
        <f>ISERROR(MATCH(data!AG268, rule_mapping!$A$2:$A$8, 0))=FALSE</f>
        <v>0</v>
      </c>
      <c r="AT268" s="4" t="b">
        <f>LEN(data!AH268)&lt;=4</f>
        <v>1</v>
      </c>
      <c r="AU268" s="4" t="b">
        <f>LEN(data!AI268)&lt;=10</f>
        <v>1</v>
      </c>
      <c r="AV268" s="4" t="b">
        <f>LEN(data!AJ268)&lt;=35</f>
        <v>1</v>
      </c>
      <c r="AW268" s="4" t="b">
        <f>LEN(data!AK268)&lt;=20</f>
        <v>1</v>
      </c>
      <c r="AX268"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69" spans="1:50" ht="409.5" x14ac:dyDescent="0.15">
      <c r="A269" s="4" t="b">
        <f>OR(ISBLANK(data!B269), AND(B269:AW269))</f>
        <v>1</v>
      </c>
      <c r="B269" s="4" t="b">
        <f>AND(LEFT(TRIM(data!B269), 4)="OOLU", ISNUMBER(RIGHT(TRIM(data!B269), LEN(TRIM(data!B269))-4)+0))</f>
        <v>0</v>
      </c>
      <c r="C269" s="4" t="b">
        <f>LEN(data!C269)&gt;0</f>
        <v>0</v>
      </c>
      <c r="D269" s="4" t="b">
        <f>LEN(data!C269)&lt;=70</f>
        <v>1</v>
      </c>
      <c r="E269" s="4" t="b">
        <f>LEN(data!D269)&gt;0</f>
        <v>0</v>
      </c>
      <c r="F269" s="4" t="b">
        <f>LEN(data!D269)&lt;=140</f>
        <v>1</v>
      </c>
      <c r="G269" s="4" t="b">
        <f>LEN(data!E269)&gt;0</f>
        <v>0</v>
      </c>
      <c r="H269" s="4" t="b">
        <f>LEN(data!E269)&lt;=35</f>
        <v>1</v>
      </c>
      <c r="I269" s="4" t="b">
        <f>LEN(data!F269)=2</f>
        <v>0</v>
      </c>
      <c r="J269" s="4" t="b">
        <f>LEN(data!G269)&gt;0</f>
        <v>0</v>
      </c>
      <c r="K269" s="4" t="b">
        <f>LEN(data!G269)&lt;=60</f>
        <v>1</v>
      </c>
      <c r="L269" s="4" t="b">
        <f>LEN(data!I269)&gt;0</f>
        <v>0</v>
      </c>
      <c r="M269" s="4" t="b">
        <f>LEN(data!I269)&lt;=70</f>
        <v>1</v>
      </c>
      <c r="N269" s="4" t="b">
        <f>LEN(data!J269)&gt;0</f>
        <v>0</v>
      </c>
      <c r="O269" s="4" t="b">
        <f>LEN(data!J269)&lt;=140</f>
        <v>1</v>
      </c>
      <c r="P269" s="4" t="b">
        <f>LEN(data!K269)&gt;0</f>
        <v>0</v>
      </c>
      <c r="Q269" s="4" t="b">
        <f>LEN(data!K269)&lt;=35</f>
        <v>1</v>
      </c>
      <c r="R269" s="4" t="b">
        <f>LEN(data!L269)=2</f>
        <v>0</v>
      </c>
      <c r="S269" s="4" t="b">
        <f>LEN(data!M269)&gt;0</f>
        <v>0</v>
      </c>
      <c r="T269" s="4" t="b">
        <f>LEN(data!M269)&lt;=60</f>
        <v>1</v>
      </c>
      <c r="U269" s="4" t="b">
        <f>LEN(data!O269)&gt;0</f>
        <v>0</v>
      </c>
      <c r="V269" s="4" t="b">
        <f>LEN(data!O269)&lt;=70</f>
        <v>1</v>
      </c>
      <c r="W269" s="4" t="b">
        <f>LEN(data!P269)&gt;0</f>
        <v>0</v>
      </c>
      <c r="X269" s="4" t="b">
        <f>LEN(data!P269)&lt;=140</f>
        <v>1</v>
      </c>
      <c r="Y269" s="4" t="b">
        <f>LEN(data!Q269)&gt;0</f>
        <v>0</v>
      </c>
      <c r="Z269" s="4" t="b">
        <f>LEN(data!Q269)&lt;=35</f>
        <v>1</v>
      </c>
      <c r="AA269" s="4" t="b">
        <f>LEN(data!R269)=2</f>
        <v>0</v>
      </c>
      <c r="AB269" s="4" t="b">
        <f>LEN(data!S269)&gt;0</f>
        <v>0</v>
      </c>
      <c r="AC269" s="4" t="b">
        <f>LEN(data!S269)&lt;=120</f>
        <v>1</v>
      </c>
      <c r="AD269" s="4" t="b">
        <f>LEN(data!U269)=11</f>
        <v>0</v>
      </c>
      <c r="AE269" s="4" t="b">
        <f>AND(ISERROR(MATCH(data!V269, rule_mapping!$C$2:$C$325, 0))=FALSE, LEN(data!V269) &lt;= 4)</f>
        <v>0</v>
      </c>
      <c r="AF269" s="4" t="b">
        <f>LEN(data!W269)&gt;0</f>
        <v>0</v>
      </c>
      <c r="AG269" s="4" t="b">
        <f>LEN(data!W269)&lt;=20</f>
        <v>1</v>
      </c>
      <c r="AH269" s="4" t="b">
        <f xml:space="preserve"> IFERROR(ISNUMBER(data!X269), FALSE)</f>
        <v>0</v>
      </c>
      <c r="AI269" s="4" t="b">
        <f>IF(ISERROR(MATCH(data!Y269, rule_mapping!$D$2:$D$252, 0))=FALSE,TRUE, FALSE)</f>
        <v>0</v>
      </c>
      <c r="AJ269" s="4" t="b">
        <f>IFERROR(ISNUMBER(data!Z269), FALSE)</f>
        <v>0</v>
      </c>
      <c r="AK269" s="4" t="b">
        <f>IFERROR(ISNUMBER(data!AA269), FALSE)</f>
        <v>0</v>
      </c>
      <c r="AL269" s="4" t="b">
        <f>LEN(data!AB269)&lt;=90</f>
        <v>1</v>
      </c>
      <c r="AM269" s="4" t="b">
        <f>LEN(data!AC269)&gt;0</f>
        <v>0</v>
      </c>
      <c r="AN269" s="4" t="b">
        <f>LEN(data!AC269)&lt;=2000</f>
        <v>1</v>
      </c>
      <c r="AO269" s="4" t="b">
        <f>IF(LEN(data!AD269)=0,TRUE,IF(LEN(data!AD269)=5,TRUE,FALSE))</f>
        <v>1</v>
      </c>
      <c r="AP269" s="4" t="b">
        <f>LEN(data!AE269)&gt;0</f>
        <v>0</v>
      </c>
      <c r="AQ269" s="4" t="b">
        <f>LEN(data!AE269)=5</f>
        <v>0</v>
      </c>
      <c r="AR269" s="4" t="b">
        <f>ISERROR(MATCH(data!AF269, rule_mapping!$B$2:$B$3, 0))=FALSE</f>
        <v>0</v>
      </c>
      <c r="AS269" s="4" t="b">
        <f>ISERROR(MATCH(data!AG269, rule_mapping!$A$2:$A$8, 0))=FALSE</f>
        <v>0</v>
      </c>
      <c r="AT269" s="4" t="b">
        <f>LEN(data!AH269)&lt;=4</f>
        <v>1</v>
      </c>
      <c r="AU269" s="4" t="b">
        <f>LEN(data!AI269)&lt;=10</f>
        <v>1</v>
      </c>
      <c r="AV269" s="4" t="b">
        <f>LEN(data!AJ269)&lt;=35</f>
        <v>1</v>
      </c>
      <c r="AW269" s="4" t="b">
        <f>LEN(data!AK269)&lt;=20</f>
        <v>1</v>
      </c>
      <c r="AX269"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0" spans="1:50" ht="409.5" x14ac:dyDescent="0.15">
      <c r="A270" s="4" t="b">
        <f>OR(ISBLANK(data!B270), AND(B270:AW270))</f>
        <v>1</v>
      </c>
      <c r="B270" s="4" t="b">
        <f>AND(LEFT(TRIM(data!B270), 4)="OOLU", ISNUMBER(RIGHT(TRIM(data!B270), LEN(TRIM(data!B270))-4)+0))</f>
        <v>0</v>
      </c>
      <c r="C270" s="4" t="b">
        <f>LEN(data!C270)&gt;0</f>
        <v>0</v>
      </c>
      <c r="D270" s="4" t="b">
        <f>LEN(data!C270)&lt;=70</f>
        <v>1</v>
      </c>
      <c r="E270" s="4" t="b">
        <f>LEN(data!D270)&gt;0</f>
        <v>0</v>
      </c>
      <c r="F270" s="4" t="b">
        <f>LEN(data!D270)&lt;=140</f>
        <v>1</v>
      </c>
      <c r="G270" s="4" t="b">
        <f>LEN(data!E270)&gt;0</f>
        <v>0</v>
      </c>
      <c r="H270" s="4" t="b">
        <f>LEN(data!E270)&lt;=35</f>
        <v>1</v>
      </c>
      <c r="I270" s="4" t="b">
        <f>LEN(data!F270)=2</f>
        <v>0</v>
      </c>
      <c r="J270" s="4" t="b">
        <f>LEN(data!G270)&gt;0</f>
        <v>0</v>
      </c>
      <c r="K270" s="4" t="b">
        <f>LEN(data!G270)&lt;=60</f>
        <v>1</v>
      </c>
      <c r="L270" s="4" t="b">
        <f>LEN(data!I270)&gt;0</f>
        <v>0</v>
      </c>
      <c r="M270" s="4" t="b">
        <f>LEN(data!I270)&lt;=70</f>
        <v>1</v>
      </c>
      <c r="N270" s="4" t="b">
        <f>LEN(data!J270)&gt;0</f>
        <v>0</v>
      </c>
      <c r="O270" s="4" t="b">
        <f>LEN(data!J270)&lt;=140</f>
        <v>1</v>
      </c>
      <c r="P270" s="4" t="b">
        <f>LEN(data!K270)&gt;0</f>
        <v>0</v>
      </c>
      <c r="Q270" s="4" t="b">
        <f>LEN(data!K270)&lt;=35</f>
        <v>1</v>
      </c>
      <c r="R270" s="4" t="b">
        <f>LEN(data!L270)=2</f>
        <v>0</v>
      </c>
      <c r="S270" s="4" t="b">
        <f>LEN(data!M270)&gt;0</f>
        <v>0</v>
      </c>
      <c r="T270" s="4" t="b">
        <f>LEN(data!M270)&lt;=60</f>
        <v>1</v>
      </c>
      <c r="U270" s="4" t="b">
        <f>LEN(data!O270)&gt;0</f>
        <v>0</v>
      </c>
      <c r="V270" s="4" t="b">
        <f>LEN(data!O270)&lt;=70</f>
        <v>1</v>
      </c>
      <c r="W270" s="4" t="b">
        <f>LEN(data!P270)&gt;0</f>
        <v>0</v>
      </c>
      <c r="X270" s="4" t="b">
        <f>LEN(data!P270)&lt;=140</f>
        <v>1</v>
      </c>
      <c r="Y270" s="4" t="b">
        <f>LEN(data!Q270)&gt;0</f>
        <v>0</v>
      </c>
      <c r="Z270" s="4" t="b">
        <f>LEN(data!Q270)&lt;=35</f>
        <v>1</v>
      </c>
      <c r="AA270" s="4" t="b">
        <f>LEN(data!R270)=2</f>
        <v>0</v>
      </c>
      <c r="AB270" s="4" t="b">
        <f>LEN(data!S270)&gt;0</f>
        <v>0</v>
      </c>
      <c r="AC270" s="4" t="b">
        <f>LEN(data!S270)&lt;=120</f>
        <v>1</v>
      </c>
      <c r="AD270" s="4" t="b">
        <f>LEN(data!U270)=11</f>
        <v>0</v>
      </c>
      <c r="AE270" s="4" t="b">
        <f>AND(ISERROR(MATCH(data!V270, rule_mapping!$C$2:$C$325, 0))=FALSE, LEN(data!V270) &lt;= 4)</f>
        <v>0</v>
      </c>
      <c r="AF270" s="4" t="b">
        <f>LEN(data!W270)&gt;0</f>
        <v>0</v>
      </c>
      <c r="AG270" s="4" t="b">
        <f>LEN(data!W270)&lt;=20</f>
        <v>1</v>
      </c>
      <c r="AH270" s="4" t="b">
        <f xml:space="preserve"> IFERROR(ISNUMBER(data!X270), FALSE)</f>
        <v>0</v>
      </c>
      <c r="AI270" s="4" t="b">
        <f>IF(ISERROR(MATCH(data!Y270, rule_mapping!$D$2:$D$252, 0))=FALSE,TRUE, FALSE)</f>
        <v>0</v>
      </c>
      <c r="AJ270" s="4" t="b">
        <f>IFERROR(ISNUMBER(data!Z270), FALSE)</f>
        <v>0</v>
      </c>
      <c r="AK270" s="4" t="b">
        <f>IFERROR(ISNUMBER(data!AA270), FALSE)</f>
        <v>0</v>
      </c>
      <c r="AL270" s="4" t="b">
        <f>LEN(data!AB270)&lt;=90</f>
        <v>1</v>
      </c>
      <c r="AM270" s="4" t="b">
        <f>LEN(data!AC270)&gt;0</f>
        <v>0</v>
      </c>
      <c r="AN270" s="4" t="b">
        <f>LEN(data!AC270)&lt;=2000</f>
        <v>1</v>
      </c>
      <c r="AO270" s="4" t="b">
        <f>IF(LEN(data!AD270)=0,TRUE,IF(LEN(data!AD270)=5,TRUE,FALSE))</f>
        <v>1</v>
      </c>
      <c r="AP270" s="4" t="b">
        <f>LEN(data!AE270)&gt;0</f>
        <v>0</v>
      </c>
      <c r="AQ270" s="4" t="b">
        <f>LEN(data!AE270)=5</f>
        <v>0</v>
      </c>
      <c r="AR270" s="4" t="b">
        <f>ISERROR(MATCH(data!AF270, rule_mapping!$B$2:$B$3, 0))=FALSE</f>
        <v>0</v>
      </c>
      <c r="AS270" s="4" t="b">
        <f>ISERROR(MATCH(data!AG270, rule_mapping!$A$2:$A$8, 0))=FALSE</f>
        <v>0</v>
      </c>
      <c r="AT270" s="4" t="b">
        <f>LEN(data!AH270)&lt;=4</f>
        <v>1</v>
      </c>
      <c r="AU270" s="4" t="b">
        <f>LEN(data!AI270)&lt;=10</f>
        <v>1</v>
      </c>
      <c r="AV270" s="4" t="b">
        <f>LEN(data!AJ270)&lt;=35</f>
        <v>1</v>
      </c>
      <c r="AW270" s="4" t="b">
        <f>LEN(data!AK270)&lt;=20</f>
        <v>1</v>
      </c>
      <c r="AX270"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1" spans="1:50" ht="409.5" x14ac:dyDescent="0.15">
      <c r="A271" s="4" t="b">
        <f>OR(ISBLANK(data!B271), AND(B271:AW271))</f>
        <v>1</v>
      </c>
      <c r="B271" s="4" t="b">
        <f>AND(LEFT(TRIM(data!B271), 4)="OOLU", ISNUMBER(RIGHT(TRIM(data!B271), LEN(TRIM(data!B271))-4)+0))</f>
        <v>0</v>
      </c>
      <c r="C271" s="4" t="b">
        <f>LEN(data!C271)&gt;0</f>
        <v>0</v>
      </c>
      <c r="D271" s="4" t="b">
        <f>LEN(data!C271)&lt;=70</f>
        <v>1</v>
      </c>
      <c r="E271" s="4" t="b">
        <f>LEN(data!D271)&gt;0</f>
        <v>0</v>
      </c>
      <c r="F271" s="4" t="b">
        <f>LEN(data!D271)&lt;=140</f>
        <v>1</v>
      </c>
      <c r="G271" s="4" t="b">
        <f>LEN(data!E271)&gt;0</f>
        <v>0</v>
      </c>
      <c r="H271" s="4" t="b">
        <f>LEN(data!E271)&lt;=35</f>
        <v>1</v>
      </c>
      <c r="I271" s="4" t="b">
        <f>LEN(data!F271)=2</f>
        <v>0</v>
      </c>
      <c r="J271" s="4" t="b">
        <f>LEN(data!G271)&gt;0</f>
        <v>0</v>
      </c>
      <c r="K271" s="4" t="b">
        <f>LEN(data!G271)&lt;=60</f>
        <v>1</v>
      </c>
      <c r="L271" s="4" t="b">
        <f>LEN(data!I271)&gt;0</f>
        <v>0</v>
      </c>
      <c r="M271" s="4" t="b">
        <f>LEN(data!I271)&lt;=70</f>
        <v>1</v>
      </c>
      <c r="N271" s="4" t="b">
        <f>LEN(data!J271)&gt;0</f>
        <v>0</v>
      </c>
      <c r="O271" s="4" t="b">
        <f>LEN(data!J271)&lt;=140</f>
        <v>1</v>
      </c>
      <c r="P271" s="4" t="b">
        <f>LEN(data!K271)&gt;0</f>
        <v>0</v>
      </c>
      <c r="Q271" s="4" t="b">
        <f>LEN(data!K271)&lt;=35</f>
        <v>1</v>
      </c>
      <c r="R271" s="4" t="b">
        <f>LEN(data!L271)=2</f>
        <v>0</v>
      </c>
      <c r="S271" s="4" t="b">
        <f>LEN(data!M271)&gt;0</f>
        <v>0</v>
      </c>
      <c r="T271" s="4" t="b">
        <f>LEN(data!M271)&lt;=60</f>
        <v>1</v>
      </c>
      <c r="U271" s="4" t="b">
        <f>LEN(data!O271)&gt;0</f>
        <v>0</v>
      </c>
      <c r="V271" s="4" t="b">
        <f>LEN(data!O271)&lt;=70</f>
        <v>1</v>
      </c>
      <c r="W271" s="4" t="b">
        <f>LEN(data!P271)&gt;0</f>
        <v>0</v>
      </c>
      <c r="X271" s="4" t="b">
        <f>LEN(data!P271)&lt;=140</f>
        <v>1</v>
      </c>
      <c r="Y271" s="4" t="b">
        <f>LEN(data!Q271)&gt;0</f>
        <v>0</v>
      </c>
      <c r="Z271" s="4" t="b">
        <f>LEN(data!Q271)&lt;=35</f>
        <v>1</v>
      </c>
      <c r="AA271" s="4" t="b">
        <f>LEN(data!R271)=2</f>
        <v>0</v>
      </c>
      <c r="AB271" s="4" t="b">
        <f>LEN(data!S271)&gt;0</f>
        <v>0</v>
      </c>
      <c r="AC271" s="4" t="b">
        <f>LEN(data!S271)&lt;=120</f>
        <v>1</v>
      </c>
      <c r="AD271" s="4" t="b">
        <f>LEN(data!U271)=11</f>
        <v>0</v>
      </c>
      <c r="AE271" s="4" t="b">
        <f>AND(ISERROR(MATCH(data!V271, rule_mapping!$C$2:$C$325, 0))=FALSE, LEN(data!V271) &lt;= 4)</f>
        <v>0</v>
      </c>
      <c r="AF271" s="4" t="b">
        <f>LEN(data!W271)&gt;0</f>
        <v>0</v>
      </c>
      <c r="AG271" s="4" t="b">
        <f>LEN(data!W271)&lt;=20</f>
        <v>1</v>
      </c>
      <c r="AH271" s="4" t="b">
        <f xml:space="preserve"> IFERROR(ISNUMBER(data!X271), FALSE)</f>
        <v>0</v>
      </c>
      <c r="AI271" s="4" t="b">
        <f>IF(ISERROR(MATCH(data!Y271, rule_mapping!$D$2:$D$252, 0))=FALSE,TRUE, FALSE)</f>
        <v>0</v>
      </c>
      <c r="AJ271" s="4" t="b">
        <f>IFERROR(ISNUMBER(data!Z271), FALSE)</f>
        <v>0</v>
      </c>
      <c r="AK271" s="4" t="b">
        <f>IFERROR(ISNUMBER(data!AA271), FALSE)</f>
        <v>0</v>
      </c>
      <c r="AL271" s="4" t="b">
        <f>LEN(data!AB271)&lt;=90</f>
        <v>1</v>
      </c>
      <c r="AM271" s="4" t="b">
        <f>LEN(data!AC271)&gt;0</f>
        <v>0</v>
      </c>
      <c r="AN271" s="4" t="b">
        <f>LEN(data!AC271)&lt;=2000</f>
        <v>1</v>
      </c>
      <c r="AO271" s="4" t="b">
        <f>IF(LEN(data!AD271)=0,TRUE,IF(LEN(data!AD271)=5,TRUE,FALSE))</f>
        <v>1</v>
      </c>
      <c r="AP271" s="4" t="b">
        <f>LEN(data!AE271)&gt;0</f>
        <v>0</v>
      </c>
      <c r="AQ271" s="4" t="b">
        <f>LEN(data!AE271)=5</f>
        <v>0</v>
      </c>
      <c r="AR271" s="4" t="b">
        <f>ISERROR(MATCH(data!AF271, rule_mapping!$B$2:$B$3, 0))=FALSE</f>
        <v>0</v>
      </c>
      <c r="AS271" s="4" t="b">
        <f>ISERROR(MATCH(data!AG271, rule_mapping!$A$2:$A$8, 0))=FALSE</f>
        <v>0</v>
      </c>
      <c r="AT271" s="4" t="b">
        <f>LEN(data!AH271)&lt;=4</f>
        <v>1</v>
      </c>
      <c r="AU271" s="4" t="b">
        <f>LEN(data!AI271)&lt;=10</f>
        <v>1</v>
      </c>
      <c r="AV271" s="4" t="b">
        <f>LEN(data!AJ271)&lt;=35</f>
        <v>1</v>
      </c>
      <c r="AW271" s="4" t="b">
        <f>LEN(data!AK271)&lt;=20</f>
        <v>1</v>
      </c>
      <c r="AX271"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2" spans="1:50" ht="409.5" x14ac:dyDescent="0.15">
      <c r="A272" s="4" t="b">
        <f>OR(ISBLANK(data!B272), AND(B272:AW272))</f>
        <v>1</v>
      </c>
      <c r="B272" s="4" t="b">
        <f>AND(LEFT(TRIM(data!B272), 4)="OOLU", ISNUMBER(RIGHT(TRIM(data!B272), LEN(TRIM(data!B272))-4)+0))</f>
        <v>0</v>
      </c>
      <c r="C272" s="4" t="b">
        <f>LEN(data!C272)&gt;0</f>
        <v>0</v>
      </c>
      <c r="D272" s="4" t="b">
        <f>LEN(data!C272)&lt;=70</f>
        <v>1</v>
      </c>
      <c r="E272" s="4" t="b">
        <f>LEN(data!D272)&gt;0</f>
        <v>0</v>
      </c>
      <c r="F272" s="4" t="b">
        <f>LEN(data!D272)&lt;=140</f>
        <v>1</v>
      </c>
      <c r="G272" s="4" t="b">
        <f>LEN(data!E272)&gt;0</f>
        <v>0</v>
      </c>
      <c r="H272" s="4" t="b">
        <f>LEN(data!E272)&lt;=35</f>
        <v>1</v>
      </c>
      <c r="I272" s="4" t="b">
        <f>LEN(data!F272)=2</f>
        <v>0</v>
      </c>
      <c r="J272" s="4" t="b">
        <f>LEN(data!G272)&gt;0</f>
        <v>0</v>
      </c>
      <c r="K272" s="4" t="b">
        <f>LEN(data!G272)&lt;=60</f>
        <v>1</v>
      </c>
      <c r="L272" s="4" t="b">
        <f>LEN(data!I272)&gt;0</f>
        <v>0</v>
      </c>
      <c r="M272" s="4" t="b">
        <f>LEN(data!I272)&lt;=70</f>
        <v>1</v>
      </c>
      <c r="N272" s="4" t="b">
        <f>LEN(data!J272)&gt;0</f>
        <v>0</v>
      </c>
      <c r="O272" s="4" t="b">
        <f>LEN(data!J272)&lt;=140</f>
        <v>1</v>
      </c>
      <c r="P272" s="4" t="b">
        <f>LEN(data!K272)&gt;0</f>
        <v>0</v>
      </c>
      <c r="Q272" s="4" t="b">
        <f>LEN(data!K272)&lt;=35</f>
        <v>1</v>
      </c>
      <c r="R272" s="4" t="b">
        <f>LEN(data!L272)=2</f>
        <v>0</v>
      </c>
      <c r="S272" s="4" t="b">
        <f>LEN(data!M272)&gt;0</f>
        <v>0</v>
      </c>
      <c r="T272" s="4" t="b">
        <f>LEN(data!M272)&lt;=60</f>
        <v>1</v>
      </c>
      <c r="U272" s="4" t="b">
        <f>LEN(data!O272)&gt;0</f>
        <v>0</v>
      </c>
      <c r="V272" s="4" t="b">
        <f>LEN(data!O272)&lt;=70</f>
        <v>1</v>
      </c>
      <c r="W272" s="4" t="b">
        <f>LEN(data!P272)&gt;0</f>
        <v>0</v>
      </c>
      <c r="X272" s="4" t="b">
        <f>LEN(data!P272)&lt;=140</f>
        <v>1</v>
      </c>
      <c r="Y272" s="4" t="b">
        <f>LEN(data!Q272)&gt;0</f>
        <v>0</v>
      </c>
      <c r="Z272" s="4" t="b">
        <f>LEN(data!Q272)&lt;=35</f>
        <v>1</v>
      </c>
      <c r="AA272" s="4" t="b">
        <f>LEN(data!R272)=2</f>
        <v>0</v>
      </c>
      <c r="AB272" s="4" t="b">
        <f>LEN(data!S272)&gt;0</f>
        <v>0</v>
      </c>
      <c r="AC272" s="4" t="b">
        <f>LEN(data!S272)&lt;=120</f>
        <v>1</v>
      </c>
      <c r="AD272" s="4" t="b">
        <f>LEN(data!U272)=11</f>
        <v>0</v>
      </c>
      <c r="AE272" s="4" t="b">
        <f>AND(ISERROR(MATCH(data!V272, rule_mapping!$C$2:$C$325, 0))=FALSE, LEN(data!V272) &lt;= 4)</f>
        <v>0</v>
      </c>
      <c r="AF272" s="4" t="b">
        <f>LEN(data!W272)&gt;0</f>
        <v>0</v>
      </c>
      <c r="AG272" s="4" t="b">
        <f>LEN(data!W272)&lt;=20</f>
        <v>1</v>
      </c>
      <c r="AH272" s="4" t="b">
        <f xml:space="preserve"> IFERROR(ISNUMBER(data!X272), FALSE)</f>
        <v>0</v>
      </c>
      <c r="AI272" s="4" t="b">
        <f>IF(ISERROR(MATCH(data!Y272, rule_mapping!$D$2:$D$252, 0))=FALSE,TRUE, FALSE)</f>
        <v>0</v>
      </c>
      <c r="AJ272" s="4" t="b">
        <f>IFERROR(ISNUMBER(data!Z272), FALSE)</f>
        <v>0</v>
      </c>
      <c r="AK272" s="4" t="b">
        <f>IFERROR(ISNUMBER(data!AA272), FALSE)</f>
        <v>0</v>
      </c>
      <c r="AL272" s="4" t="b">
        <f>LEN(data!AB272)&lt;=90</f>
        <v>1</v>
      </c>
      <c r="AM272" s="4" t="b">
        <f>LEN(data!AC272)&gt;0</f>
        <v>0</v>
      </c>
      <c r="AN272" s="4" t="b">
        <f>LEN(data!AC272)&lt;=2000</f>
        <v>1</v>
      </c>
      <c r="AO272" s="4" t="b">
        <f>IF(LEN(data!AD272)=0,TRUE,IF(LEN(data!AD272)=5,TRUE,FALSE))</f>
        <v>1</v>
      </c>
      <c r="AP272" s="4" t="b">
        <f>LEN(data!AE272)&gt;0</f>
        <v>0</v>
      </c>
      <c r="AQ272" s="4" t="b">
        <f>LEN(data!AE272)=5</f>
        <v>0</v>
      </c>
      <c r="AR272" s="4" t="b">
        <f>ISERROR(MATCH(data!AF272, rule_mapping!$B$2:$B$3, 0))=FALSE</f>
        <v>0</v>
      </c>
      <c r="AS272" s="4" t="b">
        <f>ISERROR(MATCH(data!AG272, rule_mapping!$A$2:$A$8, 0))=FALSE</f>
        <v>0</v>
      </c>
      <c r="AT272" s="4" t="b">
        <f>LEN(data!AH272)&lt;=4</f>
        <v>1</v>
      </c>
      <c r="AU272" s="4" t="b">
        <f>LEN(data!AI272)&lt;=10</f>
        <v>1</v>
      </c>
      <c r="AV272" s="4" t="b">
        <f>LEN(data!AJ272)&lt;=35</f>
        <v>1</v>
      </c>
      <c r="AW272" s="4" t="b">
        <f>LEN(data!AK272)&lt;=20</f>
        <v>1</v>
      </c>
      <c r="AX272"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3" spans="1:50" ht="409.5" x14ac:dyDescent="0.15">
      <c r="A273" s="4" t="b">
        <f>OR(ISBLANK(data!B273), AND(B273:AW273))</f>
        <v>1</v>
      </c>
      <c r="B273" s="4" t="b">
        <f>AND(LEFT(TRIM(data!B273), 4)="OOLU", ISNUMBER(RIGHT(TRIM(data!B273), LEN(TRIM(data!B273))-4)+0))</f>
        <v>0</v>
      </c>
      <c r="C273" s="4" t="b">
        <f>LEN(data!C273)&gt;0</f>
        <v>0</v>
      </c>
      <c r="D273" s="4" t="b">
        <f>LEN(data!C273)&lt;=70</f>
        <v>1</v>
      </c>
      <c r="E273" s="4" t="b">
        <f>LEN(data!D273)&gt;0</f>
        <v>0</v>
      </c>
      <c r="F273" s="4" t="b">
        <f>LEN(data!D273)&lt;=140</f>
        <v>1</v>
      </c>
      <c r="G273" s="4" t="b">
        <f>LEN(data!E273)&gt;0</f>
        <v>0</v>
      </c>
      <c r="H273" s="4" t="b">
        <f>LEN(data!E273)&lt;=35</f>
        <v>1</v>
      </c>
      <c r="I273" s="4" t="b">
        <f>LEN(data!F273)=2</f>
        <v>0</v>
      </c>
      <c r="J273" s="4" t="b">
        <f>LEN(data!G273)&gt;0</f>
        <v>0</v>
      </c>
      <c r="K273" s="4" t="b">
        <f>LEN(data!G273)&lt;=60</f>
        <v>1</v>
      </c>
      <c r="L273" s="4" t="b">
        <f>LEN(data!I273)&gt;0</f>
        <v>0</v>
      </c>
      <c r="M273" s="4" t="b">
        <f>LEN(data!I273)&lt;=70</f>
        <v>1</v>
      </c>
      <c r="N273" s="4" t="b">
        <f>LEN(data!J273)&gt;0</f>
        <v>0</v>
      </c>
      <c r="O273" s="4" t="b">
        <f>LEN(data!J273)&lt;=140</f>
        <v>1</v>
      </c>
      <c r="P273" s="4" t="b">
        <f>LEN(data!K273)&gt;0</f>
        <v>0</v>
      </c>
      <c r="Q273" s="4" t="b">
        <f>LEN(data!K273)&lt;=35</f>
        <v>1</v>
      </c>
      <c r="R273" s="4" t="b">
        <f>LEN(data!L273)=2</f>
        <v>0</v>
      </c>
      <c r="S273" s="4" t="b">
        <f>LEN(data!M273)&gt;0</f>
        <v>0</v>
      </c>
      <c r="T273" s="4" t="b">
        <f>LEN(data!M273)&lt;=60</f>
        <v>1</v>
      </c>
      <c r="U273" s="4" t="b">
        <f>LEN(data!O273)&gt;0</f>
        <v>0</v>
      </c>
      <c r="V273" s="4" t="b">
        <f>LEN(data!O273)&lt;=70</f>
        <v>1</v>
      </c>
      <c r="W273" s="4" t="b">
        <f>LEN(data!P273)&gt;0</f>
        <v>0</v>
      </c>
      <c r="X273" s="4" t="b">
        <f>LEN(data!P273)&lt;=140</f>
        <v>1</v>
      </c>
      <c r="Y273" s="4" t="b">
        <f>LEN(data!Q273)&gt;0</f>
        <v>0</v>
      </c>
      <c r="Z273" s="4" t="b">
        <f>LEN(data!Q273)&lt;=35</f>
        <v>1</v>
      </c>
      <c r="AA273" s="4" t="b">
        <f>LEN(data!R273)=2</f>
        <v>0</v>
      </c>
      <c r="AB273" s="4" t="b">
        <f>LEN(data!S273)&gt;0</f>
        <v>0</v>
      </c>
      <c r="AC273" s="4" t="b">
        <f>LEN(data!S273)&lt;=120</f>
        <v>1</v>
      </c>
      <c r="AD273" s="4" t="b">
        <f>LEN(data!U273)=11</f>
        <v>0</v>
      </c>
      <c r="AE273" s="4" t="b">
        <f>AND(ISERROR(MATCH(data!V273, rule_mapping!$C$2:$C$325, 0))=FALSE, LEN(data!V273) &lt;= 4)</f>
        <v>0</v>
      </c>
      <c r="AF273" s="4" t="b">
        <f>LEN(data!W273)&gt;0</f>
        <v>0</v>
      </c>
      <c r="AG273" s="4" t="b">
        <f>LEN(data!W273)&lt;=20</f>
        <v>1</v>
      </c>
      <c r="AH273" s="4" t="b">
        <f xml:space="preserve"> IFERROR(ISNUMBER(data!X273), FALSE)</f>
        <v>0</v>
      </c>
      <c r="AI273" s="4" t="b">
        <f>IF(ISERROR(MATCH(data!Y273, rule_mapping!$D$2:$D$252, 0))=FALSE,TRUE, FALSE)</f>
        <v>0</v>
      </c>
      <c r="AJ273" s="4" t="b">
        <f>IFERROR(ISNUMBER(data!Z273), FALSE)</f>
        <v>0</v>
      </c>
      <c r="AK273" s="4" t="b">
        <f>IFERROR(ISNUMBER(data!AA273), FALSE)</f>
        <v>0</v>
      </c>
      <c r="AL273" s="4" t="b">
        <f>LEN(data!AB273)&lt;=90</f>
        <v>1</v>
      </c>
      <c r="AM273" s="4" t="b">
        <f>LEN(data!AC273)&gt;0</f>
        <v>0</v>
      </c>
      <c r="AN273" s="4" t="b">
        <f>LEN(data!AC273)&lt;=2000</f>
        <v>1</v>
      </c>
      <c r="AO273" s="4" t="b">
        <f>IF(LEN(data!AD273)=0,TRUE,IF(LEN(data!AD273)=5,TRUE,FALSE))</f>
        <v>1</v>
      </c>
      <c r="AP273" s="4" t="b">
        <f>LEN(data!AE273)&gt;0</f>
        <v>0</v>
      </c>
      <c r="AQ273" s="4" t="b">
        <f>LEN(data!AE273)=5</f>
        <v>0</v>
      </c>
      <c r="AR273" s="4" t="b">
        <f>ISERROR(MATCH(data!AF273, rule_mapping!$B$2:$B$3, 0))=FALSE</f>
        <v>0</v>
      </c>
      <c r="AS273" s="4" t="b">
        <f>ISERROR(MATCH(data!AG273, rule_mapping!$A$2:$A$8, 0))=FALSE</f>
        <v>0</v>
      </c>
      <c r="AT273" s="4" t="b">
        <f>LEN(data!AH273)&lt;=4</f>
        <v>1</v>
      </c>
      <c r="AU273" s="4" t="b">
        <f>LEN(data!AI273)&lt;=10</f>
        <v>1</v>
      </c>
      <c r="AV273" s="4" t="b">
        <f>LEN(data!AJ273)&lt;=35</f>
        <v>1</v>
      </c>
      <c r="AW273" s="4" t="b">
        <f>LEN(data!AK273)&lt;=20</f>
        <v>1</v>
      </c>
      <c r="AX273"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4" spans="1:50" ht="409.5" x14ac:dyDescent="0.15">
      <c r="A274" s="4" t="b">
        <f>OR(ISBLANK(data!B274), AND(B274:AW274))</f>
        <v>1</v>
      </c>
      <c r="B274" s="4" t="b">
        <f>AND(LEFT(TRIM(data!B274), 4)="OOLU", ISNUMBER(RIGHT(TRIM(data!B274), LEN(TRIM(data!B274))-4)+0))</f>
        <v>0</v>
      </c>
      <c r="C274" s="4" t="b">
        <f>LEN(data!C274)&gt;0</f>
        <v>0</v>
      </c>
      <c r="D274" s="4" t="b">
        <f>LEN(data!C274)&lt;=70</f>
        <v>1</v>
      </c>
      <c r="E274" s="4" t="b">
        <f>LEN(data!D274)&gt;0</f>
        <v>0</v>
      </c>
      <c r="F274" s="4" t="b">
        <f>LEN(data!D274)&lt;=140</f>
        <v>1</v>
      </c>
      <c r="G274" s="4" t="b">
        <f>LEN(data!E274)&gt;0</f>
        <v>0</v>
      </c>
      <c r="H274" s="4" t="b">
        <f>LEN(data!E274)&lt;=35</f>
        <v>1</v>
      </c>
      <c r="I274" s="4" t="b">
        <f>LEN(data!F274)=2</f>
        <v>0</v>
      </c>
      <c r="J274" s="4" t="b">
        <f>LEN(data!G274)&gt;0</f>
        <v>0</v>
      </c>
      <c r="K274" s="4" t="b">
        <f>LEN(data!G274)&lt;=60</f>
        <v>1</v>
      </c>
      <c r="L274" s="4" t="b">
        <f>LEN(data!I274)&gt;0</f>
        <v>0</v>
      </c>
      <c r="M274" s="4" t="b">
        <f>LEN(data!I274)&lt;=70</f>
        <v>1</v>
      </c>
      <c r="N274" s="4" t="b">
        <f>LEN(data!J274)&gt;0</f>
        <v>0</v>
      </c>
      <c r="O274" s="4" t="b">
        <f>LEN(data!J274)&lt;=140</f>
        <v>1</v>
      </c>
      <c r="P274" s="4" t="b">
        <f>LEN(data!K274)&gt;0</f>
        <v>0</v>
      </c>
      <c r="Q274" s="4" t="b">
        <f>LEN(data!K274)&lt;=35</f>
        <v>1</v>
      </c>
      <c r="R274" s="4" t="b">
        <f>LEN(data!L274)=2</f>
        <v>0</v>
      </c>
      <c r="S274" s="4" t="b">
        <f>LEN(data!M274)&gt;0</f>
        <v>0</v>
      </c>
      <c r="T274" s="4" t="b">
        <f>LEN(data!M274)&lt;=60</f>
        <v>1</v>
      </c>
      <c r="U274" s="4" t="b">
        <f>LEN(data!O274)&gt;0</f>
        <v>0</v>
      </c>
      <c r="V274" s="4" t="b">
        <f>LEN(data!O274)&lt;=70</f>
        <v>1</v>
      </c>
      <c r="W274" s="4" t="b">
        <f>LEN(data!P274)&gt;0</f>
        <v>0</v>
      </c>
      <c r="X274" s="4" t="b">
        <f>LEN(data!P274)&lt;=140</f>
        <v>1</v>
      </c>
      <c r="Y274" s="4" t="b">
        <f>LEN(data!Q274)&gt;0</f>
        <v>0</v>
      </c>
      <c r="Z274" s="4" t="b">
        <f>LEN(data!Q274)&lt;=35</f>
        <v>1</v>
      </c>
      <c r="AA274" s="4" t="b">
        <f>LEN(data!R274)=2</f>
        <v>0</v>
      </c>
      <c r="AB274" s="4" t="b">
        <f>LEN(data!S274)&gt;0</f>
        <v>0</v>
      </c>
      <c r="AC274" s="4" t="b">
        <f>LEN(data!S274)&lt;=120</f>
        <v>1</v>
      </c>
      <c r="AD274" s="4" t="b">
        <f>LEN(data!U274)=11</f>
        <v>0</v>
      </c>
      <c r="AE274" s="4" t="b">
        <f>AND(ISERROR(MATCH(data!V274, rule_mapping!$C$2:$C$325, 0))=FALSE, LEN(data!V274) &lt;= 4)</f>
        <v>0</v>
      </c>
      <c r="AF274" s="4" t="b">
        <f>LEN(data!W274)&gt;0</f>
        <v>0</v>
      </c>
      <c r="AG274" s="4" t="b">
        <f>LEN(data!W274)&lt;=20</f>
        <v>1</v>
      </c>
      <c r="AH274" s="4" t="b">
        <f xml:space="preserve"> IFERROR(ISNUMBER(data!X274), FALSE)</f>
        <v>0</v>
      </c>
      <c r="AI274" s="4" t="b">
        <f>IF(ISERROR(MATCH(data!Y274, rule_mapping!$D$2:$D$252, 0))=FALSE,TRUE, FALSE)</f>
        <v>0</v>
      </c>
      <c r="AJ274" s="4" t="b">
        <f>IFERROR(ISNUMBER(data!Z274), FALSE)</f>
        <v>0</v>
      </c>
      <c r="AK274" s="4" t="b">
        <f>IFERROR(ISNUMBER(data!AA274), FALSE)</f>
        <v>0</v>
      </c>
      <c r="AL274" s="4" t="b">
        <f>LEN(data!AB274)&lt;=90</f>
        <v>1</v>
      </c>
      <c r="AM274" s="4" t="b">
        <f>LEN(data!AC274)&gt;0</f>
        <v>0</v>
      </c>
      <c r="AN274" s="4" t="b">
        <f>LEN(data!AC274)&lt;=2000</f>
        <v>1</v>
      </c>
      <c r="AO274" s="4" t="b">
        <f>IF(LEN(data!AD274)=0,TRUE,IF(LEN(data!AD274)=5,TRUE,FALSE))</f>
        <v>1</v>
      </c>
      <c r="AP274" s="4" t="b">
        <f>LEN(data!AE274)&gt;0</f>
        <v>0</v>
      </c>
      <c r="AQ274" s="4" t="b">
        <f>LEN(data!AE274)=5</f>
        <v>0</v>
      </c>
      <c r="AR274" s="4" t="b">
        <f>ISERROR(MATCH(data!AF274, rule_mapping!$B$2:$B$3, 0))=FALSE</f>
        <v>0</v>
      </c>
      <c r="AS274" s="4" t="b">
        <f>ISERROR(MATCH(data!AG274, rule_mapping!$A$2:$A$8, 0))=FALSE</f>
        <v>0</v>
      </c>
      <c r="AT274" s="4" t="b">
        <f>LEN(data!AH274)&lt;=4</f>
        <v>1</v>
      </c>
      <c r="AU274" s="4" t="b">
        <f>LEN(data!AI274)&lt;=10</f>
        <v>1</v>
      </c>
      <c r="AV274" s="4" t="b">
        <f>LEN(data!AJ274)&lt;=35</f>
        <v>1</v>
      </c>
      <c r="AW274" s="4" t="b">
        <f>LEN(data!AK274)&lt;=20</f>
        <v>1</v>
      </c>
      <c r="AX274"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5" spans="1:50" ht="409.5" x14ac:dyDescent="0.15">
      <c r="A275" s="4" t="b">
        <f>OR(ISBLANK(data!B275), AND(B275:AW275))</f>
        <v>1</v>
      </c>
      <c r="B275" s="4" t="b">
        <f>AND(LEFT(TRIM(data!B275), 4)="OOLU", ISNUMBER(RIGHT(TRIM(data!B275), LEN(TRIM(data!B275))-4)+0))</f>
        <v>0</v>
      </c>
      <c r="C275" s="4" t="b">
        <f>LEN(data!C275)&gt;0</f>
        <v>0</v>
      </c>
      <c r="D275" s="4" t="b">
        <f>LEN(data!C275)&lt;=70</f>
        <v>1</v>
      </c>
      <c r="E275" s="4" t="b">
        <f>LEN(data!D275)&gt;0</f>
        <v>0</v>
      </c>
      <c r="F275" s="4" t="b">
        <f>LEN(data!D275)&lt;=140</f>
        <v>1</v>
      </c>
      <c r="G275" s="4" t="b">
        <f>LEN(data!E275)&gt;0</f>
        <v>0</v>
      </c>
      <c r="H275" s="4" t="b">
        <f>LEN(data!E275)&lt;=35</f>
        <v>1</v>
      </c>
      <c r="I275" s="4" t="b">
        <f>LEN(data!F275)=2</f>
        <v>0</v>
      </c>
      <c r="J275" s="4" t="b">
        <f>LEN(data!G275)&gt;0</f>
        <v>0</v>
      </c>
      <c r="K275" s="4" t="b">
        <f>LEN(data!G275)&lt;=60</f>
        <v>1</v>
      </c>
      <c r="L275" s="4" t="b">
        <f>LEN(data!I275)&gt;0</f>
        <v>0</v>
      </c>
      <c r="M275" s="4" t="b">
        <f>LEN(data!I275)&lt;=70</f>
        <v>1</v>
      </c>
      <c r="N275" s="4" t="b">
        <f>LEN(data!J275)&gt;0</f>
        <v>0</v>
      </c>
      <c r="O275" s="4" t="b">
        <f>LEN(data!J275)&lt;=140</f>
        <v>1</v>
      </c>
      <c r="P275" s="4" t="b">
        <f>LEN(data!K275)&gt;0</f>
        <v>0</v>
      </c>
      <c r="Q275" s="4" t="b">
        <f>LEN(data!K275)&lt;=35</f>
        <v>1</v>
      </c>
      <c r="R275" s="4" t="b">
        <f>LEN(data!L275)=2</f>
        <v>0</v>
      </c>
      <c r="S275" s="4" t="b">
        <f>LEN(data!M275)&gt;0</f>
        <v>0</v>
      </c>
      <c r="T275" s="4" t="b">
        <f>LEN(data!M275)&lt;=60</f>
        <v>1</v>
      </c>
      <c r="U275" s="4" t="b">
        <f>LEN(data!O275)&gt;0</f>
        <v>0</v>
      </c>
      <c r="V275" s="4" t="b">
        <f>LEN(data!O275)&lt;=70</f>
        <v>1</v>
      </c>
      <c r="W275" s="4" t="b">
        <f>LEN(data!P275)&gt;0</f>
        <v>0</v>
      </c>
      <c r="X275" s="4" t="b">
        <f>LEN(data!P275)&lt;=140</f>
        <v>1</v>
      </c>
      <c r="Y275" s="4" t="b">
        <f>LEN(data!Q275)&gt;0</f>
        <v>0</v>
      </c>
      <c r="Z275" s="4" t="b">
        <f>LEN(data!Q275)&lt;=35</f>
        <v>1</v>
      </c>
      <c r="AA275" s="4" t="b">
        <f>LEN(data!R275)=2</f>
        <v>0</v>
      </c>
      <c r="AB275" s="4" t="b">
        <f>LEN(data!S275)&gt;0</f>
        <v>0</v>
      </c>
      <c r="AC275" s="4" t="b">
        <f>LEN(data!S275)&lt;=120</f>
        <v>1</v>
      </c>
      <c r="AD275" s="4" t="b">
        <f>LEN(data!U275)=11</f>
        <v>0</v>
      </c>
      <c r="AE275" s="4" t="b">
        <f>AND(ISERROR(MATCH(data!V275, rule_mapping!$C$2:$C$325, 0))=FALSE, LEN(data!V275) &lt;= 4)</f>
        <v>0</v>
      </c>
      <c r="AF275" s="4" t="b">
        <f>LEN(data!W275)&gt;0</f>
        <v>0</v>
      </c>
      <c r="AG275" s="4" t="b">
        <f>LEN(data!W275)&lt;=20</f>
        <v>1</v>
      </c>
      <c r="AH275" s="4" t="b">
        <f xml:space="preserve"> IFERROR(ISNUMBER(data!X275), FALSE)</f>
        <v>0</v>
      </c>
      <c r="AI275" s="4" t="b">
        <f>IF(ISERROR(MATCH(data!Y275, rule_mapping!$D$2:$D$252, 0))=FALSE,TRUE, FALSE)</f>
        <v>0</v>
      </c>
      <c r="AJ275" s="4" t="b">
        <f>IFERROR(ISNUMBER(data!Z275), FALSE)</f>
        <v>0</v>
      </c>
      <c r="AK275" s="4" t="b">
        <f>IFERROR(ISNUMBER(data!AA275), FALSE)</f>
        <v>0</v>
      </c>
      <c r="AL275" s="4" t="b">
        <f>LEN(data!AB275)&lt;=90</f>
        <v>1</v>
      </c>
      <c r="AM275" s="4" t="b">
        <f>LEN(data!AC275)&gt;0</f>
        <v>0</v>
      </c>
      <c r="AN275" s="4" t="b">
        <f>LEN(data!AC275)&lt;=2000</f>
        <v>1</v>
      </c>
      <c r="AO275" s="4" t="b">
        <f>IF(LEN(data!AD275)=0,TRUE,IF(LEN(data!AD275)=5,TRUE,FALSE))</f>
        <v>1</v>
      </c>
      <c r="AP275" s="4" t="b">
        <f>LEN(data!AE275)&gt;0</f>
        <v>0</v>
      </c>
      <c r="AQ275" s="4" t="b">
        <f>LEN(data!AE275)=5</f>
        <v>0</v>
      </c>
      <c r="AR275" s="4" t="b">
        <f>ISERROR(MATCH(data!AF275, rule_mapping!$B$2:$B$3, 0))=FALSE</f>
        <v>0</v>
      </c>
      <c r="AS275" s="4" t="b">
        <f>ISERROR(MATCH(data!AG275, rule_mapping!$A$2:$A$8, 0))=FALSE</f>
        <v>0</v>
      </c>
      <c r="AT275" s="4" t="b">
        <f>LEN(data!AH275)&lt;=4</f>
        <v>1</v>
      </c>
      <c r="AU275" s="4" t="b">
        <f>LEN(data!AI275)&lt;=10</f>
        <v>1</v>
      </c>
      <c r="AV275" s="4" t="b">
        <f>LEN(data!AJ275)&lt;=35</f>
        <v>1</v>
      </c>
      <c r="AW275" s="4" t="b">
        <f>LEN(data!AK275)&lt;=20</f>
        <v>1</v>
      </c>
      <c r="AX275"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6" spans="1:50" ht="409.5" x14ac:dyDescent="0.15">
      <c r="A276" s="4" t="b">
        <f>OR(ISBLANK(data!B276), AND(B276:AW276))</f>
        <v>1</v>
      </c>
      <c r="B276" s="4" t="b">
        <f>AND(LEFT(TRIM(data!B276), 4)="OOLU", ISNUMBER(RIGHT(TRIM(data!B276), LEN(TRIM(data!B276))-4)+0))</f>
        <v>0</v>
      </c>
      <c r="C276" s="4" t="b">
        <f>LEN(data!C276)&gt;0</f>
        <v>0</v>
      </c>
      <c r="D276" s="4" t="b">
        <f>LEN(data!C276)&lt;=70</f>
        <v>1</v>
      </c>
      <c r="E276" s="4" t="b">
        <f>LEN(data!D276)&gt;0</f>
        <v>0</v>
      </c>
      <c r="F276" s="4" t="b">
        <f>LEN(data!D276)&lt;=140</f>
        <v>1</v>
      </c>
      <c r="G276" s="4" t="b">
        <f>LEN(data!E276)&gt;0</f>
        <v>0</v>
      </c>
      <c r="H276" s="4" t="b">
        <f>LEN(data!E276)&lt;=35</f>
        <v>1</v>
      </c>
      <c r="I276" s="4" t="b">
        <f>LEN(data!F276)=2</f>
        <v>0</v>
      </c>
      <c r="J276" s="4" t="b">
        <f>LEN(data!G276)&gt;0</f>
        <v>0</v>
      </c>
      <c r="K276" s="4" t="b">
        <f>LEN(data!G276)&lt;=60</f>
        <v>1</v>
      </c>
      <c r="L276" s="4" t="b">
        <f>LEN(data!I276)&gt;0</f>
        <v>0</v>
      </c>
      <c r="M276" s="4" t="b">
        <f>LEN(data!I276)&lt;=70</f>
        <v>1</v>
      </c>
      <c r="N276" s="4" t="b">
        <f>LEN(data!J276)&gt;0</f>
        <v>0</v>
      </c>
      <c r="O276" s="4" t="b">
        <f>LEN(data!J276)&lt;=140</f>
        <v>1</v>
      </c>
      <c r="P276" s="4" t="b">
        <f>LEN(data!K276)&gt;0</f>
        <v>0</v>
      </c>
      <c r="Q276" s="4" t="b">
        <f>LEN(data!K276)&lt;=35</f>
        <v>1</v>
      </c>
      <c r="R276" s="4" t="b">
        <f>LEN(data!L276)=2</f>
        <v>0</v>
      </c>
      <c r="S276" s="4" t="b">
        <f>LEN(data!M276)&gt;0</f>
        <v>0</v>
      </c>
      <c r="T276" s="4" t="b">
        <f>LEN(data!M276)&lt;=60</f>
        <v>1</v>
      </c>
      <c r="U276" s="4" t="b">
        <f>LEN(data!O276)&gt;0</f>
        <v>0</v>
      </c>
      <c r="V276" s="4" t="b">
        <f>LEN(data!O276)&lt;=70</f>
        <v>1</v>
      </c>
      <c r="W276" s="4" t="b">
        <f>LEN(data!P276)&gt;0</f>
        <v>0</v>
      </c>
      <c r="X276" s="4" t="b">
        <f>LEN(data!P276)&lt;=140</f>
        <v>1</v>
      </c>
      <c r="Y276" s="4" t="b">
        <f>LEN(data!Q276)&gt;0</f>
        <v>0</v>
      </c>
      <c r="Z276" s="4" t="b">
        <f>LEN(data!Q276)&lt;=35</f>
        <v>1</v>
      </c>
      <c r="AA276" s="4" t="b">
        <f>LEN(data!R276)=2</f>
        <v>0</v>
      </c>
      <c r="AB276" s="4" t="b">
        <f>LEN(data!S276)&gt;0</f>
        <v>0</v>
      </c>
      <c r="AC276" s="4" t="b">
        <f>LEN(data!S276)&lt;=120</f>
        <v>1</v>
      </c>
      <c r="AD276" s="4" t="b">
        <f>LEN(data!U276)=11</f>
        <v>0</v>
      </c>
      <c r="AE276" s="4" t="b">
        <f>AND(ISERROR(MATCH(data!V276, rule_mapping!$C$2:$C$325, 0))=FALSE, LEN(data!V276) &lt;= 4)</f>
        <v>0</v>
      </c>
      <c r="AF276" s="4" t="b">
        <f>LEN(data!W276)&gt;0</f>
        <v>0</v>
      </c>
      <c r="AG276" s="4" t="b">
        <f>LEN(data!W276)&lt;=20</f>
        <v>1</v>
      </c>
      <c r="AH276" s="4" t="b">
        <f xml:space="preserve"> IFERROR(ISNUMBER(data!X276), FALSE)</f>
        <v>0</v>
      </c>
      <c r="AI276" s="4" t="b">
        <f>IF(ISERROR(MATCH(data!Y276, rule_mapping!$D$2:$D$252, 0))=FALSE,TRUE, FALSE)</f>
        <v>0</v>
      </c>
      <c r="AJ276" s="4" t="b">
        <f>IFERROR(ISNUMBER(data!Z276), FALSE)</f>
        <v>0</v>
      </c>
      <c r="AK276" s="4" t="b">
        <f>IFERROR(ISNUMBER(data!AA276), FALSE)</f>
        <v>0</v>
      </c>
      <c r="AL276" s="4" t="b">
        <f>LEN(data!AB276)&lt;=90</f>
        <v>1</v>
      </c>
      <c r="AM276" s="4" t="b">
        <f>LEN(data!AC276)&gt;0</f>
        <v>0</v>
      </c>
      <c r="AN276" s="4" t="b">
        <f>LEN(data!AC276)&lt;=2000</f>
        <v>1</v>
      </c>
      <c r="AO276" s="4" t="b">
        <f>IF(LEN(data!AD276)=0,TRUE,IF(LEN(data!AD276)=5,TRUE,FALSE))</f>
        <v>1</v>
      </c>
      <c r="AP276" s="4" t="b">
        <f>LEN(data!AE276)&gt;0</f>
        <v>0</v>
      </c>
      <c r="AQ276" s="4" t="b">
        <f>LEN(data!AE276)=5</f>
        <v>0</v>
      </c>
      <c r="AR276" s="4" t="b">
        <f>ISERROR(MATCH(data!AF276, rule_mapping!$B$2:$B$3, 0))=FALSE</f>
        <v>0</v>
      </c>
      <c r="AS276" s="4" t="b">
        <f>ISERROR(MATCH(data!AG276, rule_mapping!$A$2:$A$8, 0))=FALSE</f>
        <v>0</v>
      </c>
      <c r="AT276" s="4" t="b">
        <f>LEN(data!AH276)&lt;=4</f>
        <v>1</v>
      </c>
      <c r="AU276" s="4" t="b">
        <f>LEN(data!AI276)&lt;=10</f>
        <v>1</v>
      </c>
      <c r="AV276" s="4" t="b">
        <f>LEN(data!AJ276)&lt;=35</f>
        <v>1</v>
      </c>
      <c r="AW276" s="4" t="b">
        <f>LEN(data!AK276)&lt;=20</f>
        <v>1</v>
      </c>
      <c r="AX276"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row r="277" spans="1:50" ht="409.5" x14ac:dyDescent="0.15">
      <c r="A277" s="4" t="b">
        <f>OR(ISBLANK(data!B277), AND(B277:AW277))</f>
        <v>1</v>
      </c>
      <c r="B277" s="4" t="b">
        <f>AND(LEFT(TRIM(data!B277), 4)="OOLU", ISNUMBER(RIGHT(TRIM(data!B277), LEN(TRIM(data!B277))-4)+0))</f>
        <v>0</v>
      </c>
      <c r="C277" s="4" t="b">
        <f>LEN(data!C277)&gt;0</f>
        <v>0</v>
      </c>
      <c r="D277" s="4" t="b">
        <f>LEN(data!C277)&lt;=70</f>
        <v>1</v>
      </c>
      <c r="E277" s="4" t="b">
        <f>LEN(data!D277)&gt;0</f>
        <v>0</v>
      </c>
      <c r="F277" s="4" t="b">
        <f>LEN(data!D277)&lt;=140</f>
        <v>1</v>
      </c>
      <c r="G277" s="4" t="b">
        <f>LEN(data!E277)&gt;0</f>
        <v>0</v>
      </c>
      <c r="H277" s="4" t="b">
        <f>LEN(data!E277)&lt;=35</f>
        <v>1</v>
      </c>
      <c r="I277" s="4" t="b">
        <f>LEN(data!F277)=2</f>
        <v>0</v>
      </c>
      <c r="J277" s="4" t="b">
        <f>LEN(data!G277)&gt;0</f>
        <v>0</v>
      </c>
      <c r="K277" s="4" t="b">
        <f>LEN(data!G277)&lt;=60</f>
        <v>1</v>
      </c>
      <c r="L277" s="4" t="b">
        <f>LEN(data!I277)&gt;0</f>
        <v>0</v>
      </c>
      <c r="M277" s="4" t="b">
        <f>LEN(data!I277)&lt;=70</f>
        <v>1</v>
      </c>
      <c r="N277" s="4" t="b">
        <f>LEN(data!J277)&gt;0</f>
        <v>0</v>
      </c>
      <c r="O277" s="4" t="b">
        <f>LEN(data!J277)&lt;=140</f>
        <v>1</v>
      </c>
      <c r="P277" s="4" t="b">
        <f>LEN(data!K277)&gt;0</f>
        <v>0</v>
      </c>
      <c r="Q277" s="4" t="b">
        <f>LEN(data!K277)&lt;=35</f>
        <v>1</v>
      </c>
      <c r="R277" s="4" t="b">
        <f>LEN(data!L277)=2</f>
        <v>0</v>
      </c>
      <c r="S277" s="4" t="b">
        <f>LEN(data!M277)&gt;0</f>
        <v>0</v>
      </c>
      <c r="T277" s="4" t="b">
        <f>LEN(data!M277)&lt;=60</f>
        <v>1</v>
      </c>
      <c r="U277" s="4" t="b">
        <f>LEN(data!O277)&gt;0</f>
        <v>0</v>
      </c>
      <c r="V277" s="4" t="b">
        <f>LEN(data!O277)&lt;=70</f>
        <v>1</v>
      </c>
      <c r="W277" s="4" t="b">
        <f>LEN(data!P277)&gt;0</f>
        <v>0</v>
      </c>
      <c r="X277" s="4" t="b">
        <f>LEN(data!P277)&lt;=140</f>
        <v>1</v>
      </c>
      <c r="Y277" s="4" t="b">
        <f>LEN(data!Q277)&gt;0</f>
        <v>0</v>
      </c>
      <c r="Z277" s="4" t="b">
        <f>LEN(data!Q277)&lt;=35</f>
        <v>1</v>
      </c>
      <c r="AA277" s="4" t="b">
        <f>LEN(data!R277)=2</f>
        <v>0</v>
      </c>
      <c r="AB277" s="4" t="b">
        <f>LEN(data!S277)&gt;0</f>
        <v>0</v>
      </c>
      <c r="AC277" s="4" t="b">
        <f>LEN(data!S277)&lt;=120</f>
        <v>1</v>
      </c>
      <c r="AD277" s="4" t="b">
        <f>LEN(data!U277)=11</f>
        <v>0</v>
      </c>
      <c r="AE277" s="4" t="b">
        <f>AND(ISERROR(MATCH(data!V277, rule_mapping!$C$2:$C$325, 0))=FALSE, LEN(data!V277) &lt;= 4)</f>
        <v>0</v>
      </c>
      <c r="AF277" s="4" t="b">
        <f>LEN(data!W277)&gt;0</f>
        <v>0</v>
      </c>
      <c r="AG277" s="4" t="b">
        <f>LEN(data!W277)&lt;=20</f>
        <v>1</v>
      </c>
      <c r="AH277" s="4" t="b">
        <f xml:space="preserve"> IFERROR(ISNUMBER(data!X277), FALSE)</f>
        <v>0</v>
      </c>
      <c r="AI277" s="4" t="b">
        <f>IF(ISERROR(MATCH(data!Y277, rule_mapping!$D$2:$D$252, 0))=FALSE,TRUE, FALSE)</f>
        <v>0</v>
      </c>
      <c r="AJ277" s="4" t="b">
        <f>IFERROR(ISNUMBER(data!Z277), FALSE)</f>
        <v>0</v>
      </c>
      <c r="AK277" s="4" t="b">
        <f>IFERROR(ISNUMBER(data!AA277), FALSE)</f>
        <v>0</v>
      </c>
      <c r="AL277" s="4" t="b">
        <f>LEN(data!AB277)&lt;=90</f>
        <v>1</v>
      </c>
      <c r="AM277" s="4" t="b">
        <f>LEN(data!AC277)&gt;0</f>
        <v>0</v>
      </c>
      <c r="AN277" s="4" t="b">
        <f>LEN(data!AC277)&lt;=2000</f>
        <v>1</v>
      </c>
      <c r="AO277" s="4" t="b">
        <f>IF(LEN(data!AD277)=0,TRUE,IF(LEN(data!AD277)=5,TRUE,FALSE))</f>
        <v>1</v>
      </c>
      <c r="AP277" s="4" t="b">
        <f>LEN(data!AE277)&gt;0</f>
        <v>0</v>
      </c>
      <c r="AQ277" s="4" t="b">
        <f>LEN(data!AE277)=5</f>
        <v>0</v>
      </c>
      <c r="AR277" s="4" t="b">
        <f>ISERROR(MATCH(data!AF277, rule_mapping!$B$2:$B$3, 0))=FALSE</f>
        <v>0</v>
      </c>
      <c r="AS277" s="4" t="b">
        <f>ISERROR(MATCH(data!AG277, rule_mapping!$A$2:$A$8, 0))=FALSE</f>
        <v>0</v>
      </c>
      <c r="AT277" s="4" t="b">
        <f>LEN(data!AH277)&lt;=4</f>
        <v>1</v>
      </c>
      <c r="AU277" s="4" t="b">
        <f>LEN(data!AI277)&lt;=10</f>
        <v>1</v>
      </c>
      <c r="AV277" s="4" t="b">
        <f>LEN(data!AJ277)&lt;=35</f>
        <v>1</v>
      </c>
      <c r="AW277" s="4" t="b">
        <f>LEN(data!AK277)&lt;=20</f>
        <v>1</v>
      </c>
      <c r="AX277" s="11" t="str">
        <f t="shared" si="4"/>
        <v xml:space="preserve">关单号 应以OOLU开头
缺少 发货人名称 
缺少 发货人地址
缺少 发货人城市
发货人国家编码 应为2个字符
缺少 发货人联系电话
缺少 收货人名称
缺少 收货人地址
缺少 收货人城市
收货人国家编码 应为2个字符
缺少 收货人联系电话
缺少 通知人名称
缺少 通知人地址
缺少 通知人城市
通知人国家编码 应为2个字符
缺少 通知人联系电话
箱号 应为11个字符
尺寸箱型 错误 （请参照“箱型尺寸 ” 页）
缺少 铅封号
件数 应为数字
包装代码 错误（请参照“包装代码”页）
货物毛重(kg) 应为数字
体积 (m3) 应为数字
缺少 品名
缺少 目的港
目的港 应为5个字符
付费方式代码 错误 （请参照“付款方式代码”页）
运输条款代码 错误（请参照“运输条款”页）
</v>
      </c>
    </row>
  </sheetData>
  <phoneticPr fontId="7" type="noConversion"/>
  <conditionalFormatting sqref="A2:AW277">
    <cfRule type="cellIs" dxfId="0" priority="1" operator="equal">
      <formula>FALSE</formula>
    </cfRule>
  </conditionalFormatting>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1032229"/>
  <sheetViews>
    <sheetView topLeftCell="A4" workbookViewId="0">
      <selection activeCell="D12" sqref="D12"/>
    </sheetView>
  </sheetViews>
  <sheetFormatPr defaultRowHeight="13.5" x14ac:dyDescent="0.15"/>
  <cols>
    <col min="1" max="1" width="30.375" bestFit="1" customWidth="1"/>
    <col min="2" max="2" width="16.875" bestFit="1" customWidth="1"/>
    <col min="3" max="3" width="14.125" customWidth="1"/>
    <col min="4" max="4" width="66.375" customWidth="1"/>
  </cols>
  <sheetData>
    <row r="1" spans="1:4" x14ac:dyDescent="0.15">
      <c r="B1" t="s">
        <v>1402</v>
      </c>
      <c r="C1" t="s">
        <v>1403</v>
      </c>
      <c r="D1" t="s">
        <v>1404</v>
      </c>
    </row>
    <row r="2" spans="1:4" x14ac:dyDescent="0.15">
      <c r="A2" t="s">
        <v>958</v>
      </c>
      <c r="B2" t="s">
        <v>1405</v>
      </c>
      <c r="D2" t="s">
        <v>1410</v>
      </c>
    </row>
    <row r="3" spans="1:4" x14ac:dyDescent="0.15">
      <c r="A3" t="s">
        <v>1400</v>
      </c>
      <c r="B3" t="s">
        <v>1405</v>
      </c>
      <c r="C3">
        <v>70</v>
      </c>
    </row>
    <row r="4" spans="1:4" x14ac:dyDescent="0.15">
      <c r="A4" t="s">
        <v>1401</v>
      </c>
      <c r="B4" t="s">
        <v>1405</v>
      </c>
      <c r="C4">
        <v>140</v>
      </c>
    </row>
    <row r="5" spans="1:4" x14ac:dyDescent="0.15">
      <c r="A5" t="s">
        <v>422</v>
      </c>
      <c r="B5" t="s">
        <v>1405</v>
      </c>
      <c r="C5">
        <v>35</v>
      </c>
    </row>
    <row r="6" spans="1:4" x14ac:dyDescent="0.15">
      <c r="A6" s="2" t="s">
        <v>1468</v>
      </c>
      <c r="B6" t="s">
        <v>1405</v>
      </c>
      <c r="C6">
        <v>2</v>
      </c>
    </row>
    <row r="7" spans="1:4" x14ac:dyDescent="0.15">
      <c r="A7" t="s">
        <v>1391</v>
      </c>
      <c r="B7" t="s">
        <v>1405</v>
      </c>
      <c r="C7">
        <v>60</v>
      </c>
    </row>
    <row r="8" spans="1:4" x14ac:dyDescent="0.15">
      <c r="A8" t="s">
        <v>1392</v>
      </c>
      <c r="B8" t="s">
        <v>1405</v>
      </c>
      <c r="C8">
        <v>120</v>
      </c>
    </row>
    <row r="9" spans="1:4" x14ac:dyDescent="0.15">
      <c r="A9" t="s">
        <v>407</v>
      </c>
      <c r="B9" t="s">
        <v>1405</v>
      </c>
      <c r="C9">
        <v>70</v>
      </c>
    </row>
    <row r="10" spans="1:4" x14ac:dyDescent="0.15">
      <c r="A10" t="s">
        <v>408</v>
      </c>
      <c r="B10" t="s">
        <v>1405</v>
      </c>
      <c r="C10">
        <v>140</v>
      </c>
    </row>
    <row r="11" spans="1:4" x14ac:dyDescent="0.15">
      <c r="A11" t="s">
        <v>423</v>
      </c>
      <c r="B11" t="s">
        <v>1405</v>
      </c>
      <c r="C11">
        <v>35</v>
      </c>
    </row>
    <row r="12" spans="1:4" x14ac:dyDescent="0.15">
      <c r="A12" s="2" t="s">
        <v>1467</v>
      </c>
      <c r="B12" t="s">
        <v>1405</v>
      </c>
      <c r="C12">
        <v>2</v>
      </c>
    </row>
    <row r="13" spans="1:4" x14ac:dyDescent="0.15">
      <c r="A13" t="s">
        <v>1393</v>
      </c>
      <c r="B13" t="s">
        <v>1405</v>
      </c>
      <c r="C13">
        <v>60</v>
      </c>
    </row>
    <row r="14" spans="1:4" x14ac:dyDescent="0.15">
      <c r="A14" t="s">
        <v>1396</v>
      </c>
      <c r="B14" t="s">
        <v>1405</v>
      </c>
      <c r="C14">
        <v>120</v>
      </c>
    </row>
    <row r="15" spans="1:4" x14ac:dyDescent="0.15">
      <c r="A15" t="s">
        <v>409</v>
      </c>
      <c r="B15" t="s">
        <v>1405</v>
      </c>
      <c r="C15">
        <v>70</v>
      </c>
    </row>
    <row r="16" spans="1:4" x14ac:dyDescent="0.15">
      <c r="A16" t="s">
        <v>410</v>
      </c>
      <c r="B16" t="s">
        <v>1405</v>
      </c>
      <c r="C16">
        <v>140</v>
      </c>
    </row>
    <row r="17" spans="1:4" x14ac:dyDescent="0.15">
      <c r="A17" t="s">
        <v>424</v>
      </c>
      <c r="B17" t="s">
        <v>1405</v>
      </c>
      <c r="C17">
        <v>35</v>
      </c>
    </row>
    <row r="18" spans="1:4" x14ac:dyDescent="0.15">
      <c r="A18" s="2" t="s">
        <v>1469</v>
      </c>
      <c r="B18" t="s">
        <v>1405</v>
      </c>
      <c r="C18">
        <v>2</v>
      </c>
    </row>
    <row r="19" spans="1:4" x14ac:dyDescent="0.15">
      <c r="A19" t="s">
        <v>957</v>
      </c>
      <c r="B19" t="s">
        <v>1405</v>
      </c>
      <c r="C19">
        <v>60</v>
      </c>
    </row>
    <row r="20" spans="1:4" x14ac:dyDescent="0.15">
      <c r="A20" t="s">
        <v>1398</v>
      </c>
      <c r="B20" t="s">
        <v>1405</v>
      </c>
      <c r="C20">
        <v>120</v>
      </c>
    </row>
    <row r="21" spans="1:4" x14ac:dyDescent="0.15">
      <c r="A21" t="s">
        <v>411</v>
      </c>
      <c r="B21" t="s">
        <v>1405</v>
      </c>
      <c r="C21">
        <v>11</v>
      </c>
    </row>
    <row r="22" spans="1:4" x14ac:dyDescent="0.15">
      <c r="A22" t="s">
        <v>412</v>
      </c>
      <c r="B22" t="s">
        <v>1405</v>
      </c>
      <c r="C22">
        <v>4</v>
      </c>
      <c r="D22" t="s">
        <v>1439</v>
      </c>
    </row>
    <row r="23" spans="1:4" x14ac:dyDescent="0.15">
      <c r="A23" t="s">
        <v>413</v>
      </c>
      <c r="B23" t="s">
        <v>1405</v>
      </c>
      <c r="C23">
        <v>20</v>
      </c>
    </row>
    <row r="24" spans="1:4" x14ac:dyDescent="0.15">
      <c r="A24" t="s">
        <v>414</v>
      </c>
      <c r="B24" t="s">
        <v>1405</v>
      </c>
      <c r="D24" t="s">
        <v>1432</v>
      </c>
    </row>
    <row r="25" spans="1:4" x14ac:dyDescent="0.15">
      <c r="A25" t="s">
        <v>415</v>
      </c>
      <c r="B25" t="s">
        <v>1405</v>
      </c>
      <c r="C25">
        <v>2</v>
      </c>
      <c r="D25" t="s">
        <v>1440</v>
      </c>
    </row>
    <row r="26" spans="1:4" x14ac:dyDescent="0.15">
      <c r="A26" t="s">
        <v>421</v>
      </c>
      <c r="B26" t="s">
        <v>1405</v>
      </c>
      <c r="D26" t="s">
        <v>1432</v>
      </c>
    </row>
    <row r="27" spans="1:4" ht="15.75" x14ac:dyDescent="0.15">
      <c r="A27" t="s">
        <v>1399</v>
      </c>
      <c r="B27" t="s">
        <v>1405</v>
      </c>
      <c r="D27" t="s">
        <v>1432</v>
      </c>
    </row>
    <row r="28" spans="1:4" x14ac:dyDescent="0.15">
      <c r="A28" t="s">
        <v>416</v>
      </c>
      <c r="B28" t="s">
        <v>1405</v>
      </c>
      <c r="D28" t="s">
        <v>1433</v>
      </c>
    </row>
    <row r="29" spans="1:4" x14ac:dyDescent="0.15">
      <c r="A29" t="s">
        <v>417</v>
      </c>
      <c r="B29" t="s">
        <v>1405</v>
      </c>
      <c r="C29">
        <v>2000</v>
      </c>
    </row>
    <row r="30" spans="1:4" x14ac:dyDescent="0.15">
      <c r="A30" t="s">
        <v>418</v>
      </c>
      <c r="B30" t="s">
        <v>1443</v>
      </c>
      <c r="C30">
        <v>5</v>
      </c>
      <c r="D30" t="s">
        <v>1441</v>
      </c>
    </row>
    <row r="31" spans="1:4" x14ac:dyDescent="0.15">
      <c r="A31" t="s">
        <v>419</v>
      </c>
      <c r="B31" t="s">
        <v>1405</v>
      </c>
      <c r="C31">
        <v>5</v>
      </c>
      <c r="D31" t="s">
        <v>1441</v>
      </c>
    </row>
    <row r="32" spans="1:4" x14ac:dyDescent="0.15">
      <c r="A32" t="s">
        <v>420</v>
      </c>
      <c r="B32" t="s">
        <v>1405</v>
      </c>
      <c r="C32">
        <v>2</v>
      </c>
      <c r="D32" t="s">
        <v>1442</v>
      </c>
    </row>
    <row r="33" spans="1:4" x14ac:dyDescent="0.15">
      <c r="A33" t="s">
        <v>822</v>
      </c>
      <c r="B33" t="s">
        <v>1405</v>
      </c>
      <c r="D33" t="s">
        <v>1447</v>
      </c>
    </row>
    <row r="34" spans="1:4" x14ac:dyDescent="0.15">
      <c r="A34" t="s">
        <v>1387</v>
      </c>
      <c r="B34" t="s">
        <v>1443</v>
      </c>
      <c r="C34">
        <v>4</v>
      </c>
    </row>
    <row r="35" spans="1:4" x14ac:dyDescent="0.15">
      <c r="A35" t="s">
        <v>1388</v>
      </c>
      <c r="B35" t="s">
        <v>1443</v>
      </c>
      <c r="C35">
        <v>10</v>
      </c>
    </row>
    <row r="36" spans="1:4" x14ac:dyDescent="0.15">
      <c r="A36" t="s">
        <v>820</v>
      </c>
      <c r="B36" t="s">
        <v>1443</v>
      </c>
      <c r="C36">
        <v>35</v>
      </c>
    </row>
    <row r="37" spans="1:4" x14ac:dyDescent="0.15">
      <c r="A37" t="s">
        <v>821</v>
      </c>
      <c r="B37" t="s">
        <v>1443</v>
      </c>
      <c r="C37">
        <v>20</v>
      </c>
    </row>
    <row r="16386" spans="1:1" x14ac:dyDescent="0.15">
      <c r="A16386" t="s">
        <v>958</v>
      </c>
    </row>
    <row r="16387" spans="1:1" x14ac:dyDescent="0.15">
      <c r="A16387" t="s">
        <v>405</v>
      </c>
    </row>
    <row r="16388" spans="1:1" x14ac:dyDescent="0.15">
      <c r="A16388" t="s">
        <v>406</v>
      </c>
    </row>
    <row r="16389" spans="1:1" x14ac:dyDescent="0.15">
      <c r="A16389" t="s">
        <v>422</v>
      </c>
    </row>
    <row r="16390" spans="1:1" x14ac:dyDescent="0.15">
      <c r="A16390" t="s">
        <v>1394</v>
      </c>
    </row>
    <row r="16391" spans="1:1" x14ac:dyDescent="0.15">
      <c r="A16391" t="s">
        <v>1391</v>
      </c>
    </row>
    <row r="16392" spans="1:1" x14ac:dyDescent="0.15">
      <c r="A16392" t="s">
        <v>1392</v>
      </c>
    </row>
    <row r="16393" spans="1:1" x14ac:dyDescent="0.15">
      <c r="A16393" t="s">
        <v>407</v>
      </c>
    </row>
    <row r="16394" spans="1:1" x14ac:dyDescent="0.15">
      <c r="A16394" t="s">
        <v>408</v>
      </c>
    </row>
    <row r="16395" spans="1:1" x14ac:dyDescent="0.15">
      <c r="A16395" t="s">
        <v>423</v>
      </c>
    </row>
    <row r="16396" spans="1:1" x14ac:dyDescent="0.15">
      <c r="A16396" t="s">
        <v>1395</v>
      </c>
    </row>
    <row r="16397" spans="1:1" x14ac:dyDescent="0.15">
      <c r="A16397" t="s">
        <v>1393</v>
      </c>
    </row>
    <row r="16398" spans="1:1" x14ac:dyDescent="0.15">
      <c r="A16398" t="s">
        <v>1396</v>
      </c>
    </row>
    <row r="16399" spans="1:1" x14ac:dyDescent="0.15">
      <c r="A16399" t="s">
        <v>409</v>
      </c>
    </row>
    <row r="16400" spans="1:1" x14ac:dyDescent="0.15">
      <c r="A16400" t="s">
        <v>410</v>
      </c>
    </row>
    <row r="16401" spans="1:1" x14ac:dyDescent="0.15">
      <c r="A16401" t="s">
        <v>424</v>
      </c>
    </row>
    <row r="16402" spans="1:1" x14ac:dyDescent="0.15">
      <c r="A16402" t="s">
        <v>425</v>
      </c>
    </row>
    <row r="16403" spans="1:1" x14ac:dyDescent="0.15">
      <c r="A16403" t="s">
        <v>1397</v>
      </c>
    </row>
    <row r="16404" spans="1:1" x14ac:dyDescent="0.15">
      <c r="A16404" t="s">
        <v>1398</v>
      </c>
    </row>
    <row r="16405" spans="1:1" x14ac:dyDescent="0.15">
      <c r="A16405" t="s">
        <v>411</v>
      </c>
    </row>
    <row r="16406" spans="1:1" x14ac:dyDescent="0.15">
      <c r="A16406" t="s">
        <v>412</v>
      </c>
    </row>
    <row r="16407" spans="1:1" x14ac:dyDescent="0.15">
      <c r="A16407" t="s">
        <v>413</v>
      </c>
    </row>
    <row r="16408" spans="1:1" x14ac:dyDescent="0.15">
      <c r="A16408" t="s">
        <v>414</v>
      </c>
    </row>
    <row r="16409" spans="1:1" x14ac:dyDescent="0.15">
      <c r="A16409" t="s">
        <v>415</v>
      </c>
    </row>
    <row r="16410" spans="1:1" x14ac:dyDescent="0.15">
      <c r="A16410" t="s">
        <v>421</v>
      </c>
    </row>
    <row r="16411" spans="1:1" ht="15.75" x14ac:dyDescent="0.15">
      <c r="A16411" t="s">
        <v>1399</v>
      </c>
    </row>
    <row r="16412" spans="1:1" x14ac:dyDescent="0.15">
      <c r="A16412" t="s">
        <v>416</v>
      </c>
    </row>
    <row r="16413" spans="1:1" x14ac:dyDescent="0.15">
      <c r="A16413" t="s">
        <v>417</v>
      </c>
    </row>
    <row r="16414" spans="1:1" x14ac:dyDescent="0.15">
      <c r="A16414" t="s">
        <v>418</v>
      </c>
    </row>
    <row r="16415" spans="1:1" x14ac:dyDescent="0.15">
      <c r="A16415" t="s">
        <v>419</v>
      </c>
    </row>
    <row r="16416" spans="1:1" x14ac:dyDescent="0.15">
      <c r="A16416" t="s">
        <v>420</v>
      </c>
    </row>
    <row r="16417" spans="1:1" x14ac:dyDescent="0.15">
      <c r="A16417" t="s">
        <v>822</v>
      </c>
    </row>
    <row r="16418" spans="1:1" x14ac:dyDescent="0.15">
      <c r="A16418" t="s">
        <v>1387</v>
      </c>
    </row>
    <row r="16419" spans="1:1" x14ac:dyDescent="0.15">
      <c r="A16419" t="s">
        <v>1388</v>
      </c>
    </row>
    <row r="16420" spans="1:1" x14ac:dyDescent="0.15">
      <c r="A16420" t="s">
        <v>820</v>
      </c>
    </row>
    <row r="16421" spans="1:1" x14ac:dyDescent="0.15">
      <c r="A16421" t="s">
        <v>821</v>
      </c>
    </row>
    <row r="32770" spans="1:1" x14ac:dyDescent="0.15">
      <c r="A32770" t="s">
        <v>958</v>
      </c>
    </row>
    <row r="32771" spans="1:1" x14ac:dyDescent="0.15">
      <c r="A32771" t="s">
        <v>405</v>
      </c>
    </row>
    <row r="32772" spans="1:1" x14ac:dyDescent="0.15">
      <c r="A32772" t="s">
        <v>406</v>
      </c>
    </row>
    <row r="32773" spans="1:1" x14ac:dyDescent="0.15">
      <c r="A32773" t="s">
        <v>422</v>
      </c>
    </row>
    <row r="32774" spans="1:1" x14ac:dyDescent="0.15">
      <c r="A32774" t="s">
        <v>1394</v>
      </c>
    </row>
    <row r="32775" spans="1:1" x14ac:dyDescent="0.15">
      <c r="A32775" t="s">
        <v>1391</v>
      </c>
    </row>
    <row r="32776" spans="1:1" x14ac:dyDescent="0.15">
      <c r="A32776" t="s">
        <v>1392</v>
      </c>
    </row>
    <row r="32777" spans="1:1" x14ac:dyDescent="0.15">
      <c r="A32777" t="s">
        <v>407</v>
      </c>
    </row>
    <row r="32778" spans="1:1" x14ac:dyDescent="0.15">
      <c r="A32778" t="s">
        <v>408</v>
      </c>
    </row>
    <row r="32779" spans="1:1" x14ac:dyDescent="0.15">
      <c r="A32779" t="s">
        <v>423</v>
      </c>
    </row>
    <row r="32780" spans="1:1" x14ac:dyDescent="0.15">
      <c r="A32780" t="s">
        <v>1395</v>
      </c>
    </row>
    <row r="32781" spans="1:1" x14ac:dyDescent="0.15">
      <c r="A32781" t="s">
        <v>1393</v>
      </c>
    </row>
    <row r="32782" spans="1:1" x14ac:dyDescent="0.15">
      <c r="A32782" t="s">
        <v>1396</v>
      </c>
    </row>
    <row r="32783" spans="1:1" x14ac:dyDescent="0.15">
      <c r="A32783" t="s">
        <v>409</v>
      </c>
    </row>
    <row r="32784" spans="1:1" x14ac:dyDescent="0.15">
      <c r="A32784" t="s">
        <v>410</v>
      </c>
    </row>
    <row r="32785" spans="1:1" x14ac:dyDescent="0.15">
      <c r="A32785" t="s">
        <v>424</v>
      </c>
    </row>
    <row r="32786" spans="1:1" x14ac:dyDescent="0.15">
      <c r="A32786" t="s">
        <v>425</v>
      </c>
    </row>
    <row r="32787" spans="1:1" x14ac:dyDescent="0.15">
      <c r="A32787" t="s">
        <v>1397</v>
      </c>
    </row>
    <row r="32788" spans="1:1" x14ac:dyDescent="0.15">
      <c r="A32788" t="s">
        <v>1398</v>
      </c>
    </row>
    <row r="32789" spans="1:1" x14ac:dyDescent="0.15">
      <c r="A32789" t="s">
        <v>411</v>
      </c>
    </row>
    <row r="32790" spans="1:1" x14ac:dyDescent="0.15">
      <c r="A32790" t="s">
        <v>412</v>
      </c>
    </row>
    <row r="32791" spans="1:1" x14ac:dyDescent="0.15">
      <c r="A32791" t="s">
        <v>413</v>
      </c>
    </row>
    <row r="32792" spans="1:1" x14ac:dyDescent="0.15">
      <c r="A32792" t="s">
        <v>414</v>
      </c>
    </row>
    <row r="32793" spans="1:1" x14ac:dyDescent="0.15">
      <c r="A32793" t="s">
        <v>415</v>
      </c>
    </row>
    <row r="32794" spans="1:1" x14ac:dyDescent="0.15">
      <c r="A32794" t="s">
        <v>421</v>
      </c>
    </row>
    <row r="32795" spans="1:1" ht="15.75" x14ac:dyDescent="0.15">
      <c r="A32795" t="s">
        <v>1399</v>
      </c>
    </row>
    <row r="32796" spans="1:1" x14ac:dyDescent="0.15">
      <c r="A32796" t="s">
        <v>416</v>
      </c>
    </row>
    <row r="32797" spans="1:1" x14ac:dyDescent="0.15">
      <c r="A32797" t="s">
        <v>417</v>
      </c>
    </row>
    <row r="32798" spans="1:1" x14ac:dyDescent="0.15">
      <c r="A32798" t="s">
        <v>418</v>
      </c>
    </row>
    <row r="32799" spans="1:1" x14ac:dyDescent="0.15">
      <c r="A32799" t="s">
        <v>419</v>
      </c>
    </row>
    <row r="32800" spans="1:1" x14ac:dyDescent="0.15">
      <c r="A32800" t="s">
        <v>420</v>
      </c>
    </row>
    <row r="32801" spans="1:1" x14ac:dyDescent="0.15">
      <c r="A32801" t="s">
        <v>822</v>
      </c>
    </row>
    <row r="32802" spans="1:1" x14ac:dyDescent="0.15">
      <c r="A32802" t="s">
        <v>1387</v>
      </c>
    </row>
    <row r="32803" spans="1:1" x14ac:dyDescent="0.15">
      <c r="A32803" t="s">
        <v>1388</v>
      </c>
    </row>
    <row r="32804" spans="1:1" x14ac:dyDescent="0.15">
      <c r="A32804" t="s">
        <v>820</v>
      </c>
    </row>
    <row r="32805" spans="1:1" x14ac:dyDescent="0.15">
      <c r="A32805" t="s">
        <v>821</v>
      </c>
    </row>
    <row r="49154" spans="1:1" x14ac:dyDescent="0.15">
      <c r="A49154" t="s">
        <v>958</v>
      </c>
    </row>
    <row r="49155" spans="1:1" x14ac:dyDescent="0.15">
      <c r="A49155" t="s">
        <v>405</v>
      </c>
    </row>
    <row r="49156" spans="1:1" x14ac:dyDescent="0.15">
      <c r="A49156" t="s">
        <v>406</v>
      </c>
    </row>
    <row r="49157" spans="1:1" x14ac:dyDescent="0.15">
      <c r="A49157" t="s">
        <v>422</v>
      </c>
    </row>
    <row r="49158" spans="1:1" x14ac:dyDescent="0.15">
      <c r="A49158" t="s">
        <v>1394</v>
      </c>
    </row>
    <row r="49159" spans="1:1" x14ac:dyDescent="0.15">
      <c r="A49159" t="s">
        <v>1391</v>
      </c>
    </row>
    <row r="49160" spans="1:1" x14ac:dyDescent="0.15">
      <c r="A49160" t="s">
        <v>1392</v>
      </c>
    </row>
    <row r="49161" spans="1:1" x14ac:dyDescent="0.15">
      <c r="A49161" t="s">
        <v>407</v>
      </c>
    </row>
    <row r="49162" spans="1:1" x14ac:dyDescent="0.15">
      <c r="A49162" t="s">
        <v>408</v>
      </c>
    </row>
    <row r="49163" spans="1:1" x14ac:dyDescent="0.15">
      <c r="A49163" t="s">
        <v>423</v>
      </c>
    </row>
    <row r="49164" spans="1:1" x14ac:dyDescent="0.15">
      <c r="A49164" t="s">
        <v>1395</v>
      </c>
    </row>
    <row r="49165" spans="1:1" x14ac:dyDescent="0.15">
      <c r="A49165" t="s">
        <v>1393</v>
      </c>
    </row>
    <row r="49166" spans="1:1" x14ac:dyDescent="0.15">
      <c r="A49166" t="s">
        <v>1396</v>
      </c>
    </row>
    <row r="49167" spans="1:1" x14ac:dyDescent="0.15">
      <c r="A49167" t="s">
        <v>409</v>
      </c>
    </row>
    <row r="49168" spans="1:1" x14ac:dyDescent="0.15">
      <c r="A49168" t="s">
        <v>410</v>
      </c>
    </row>
    <row r="49169" spans="1:1" x14ac:dyDescent="0.15">
      <c r="A49169" t="s">
        <v>424</v>
      </c>
    </row>
    <row r="49170" spans="1:1" x14ac:dyDescent="0.15">
      <c r="A49170" t="s">
        <v>425</v>
      </c>
    </row>
    <row r="49171" spans="1:1" x14ac:dyDescent="0.15">
      <c r="A49171" t="s">
        <v>1397</v>
      </c>
    </row>
    <row r="49172" spans="1:1" x14ac:dyDescent="0.15">
      <c r="A49172" t="s">
        <v>1398</v>
      </c>
    </row>
    <row r="49173" spans="1:1" x14ac:dyDescent="0.15">
      <c r="A49173" t="s">
        <v>411</v>
      </c>
    </row>
    <row r="49174" spans="1:1" x14ac:dyDescent="0.15">
      <c r="A49174" t="s">
        <v>412</v>
      </c>
    </row>
    <row r="49175" spans="1:1" x14ac:dyDescent="0.15">
      <c r="A49175" t="s">
        <v>413</v>
      </c>
    </row>
    <row r="49176" spans="1:1" x14ac:dyDescent="0.15">
      <c r="A49176" t="s">
        <v>414</v>
      </c>
    </row>
    <row r="49177" spans="1:1" x14ac:dyDescent="0.15">
      <c r="A49177" t="s">
        <v>415</v>
      </c>
    </row>
    <row r="49178" spans="1:1" x14ac:dyDescent="0.15">
      <c r="A49178" t="s">
        <v>421</v>
      </c>
    </row>
    <row r="49179" spans="1:1" ht="15.75" x14ac:dyDescent="0.15">
      <c r="A49179" t="s">
        <v>1399</v>
      </c>
    </row>
    <row r="49180" spans="1:1" x14ac:dyDescent="0.15">
      <c r="A49180" t="s">
        <v>416</v>
      </c>
    </row>
    <row r="49181" spans="1:1" x14ac:dyDescent="0.15">
      <c r="A49181" t="s">
        <v>417</v>
      </c>
    </row>
    <row r="49182" spans="1:1" x14ac:dyDescent="0.15">
      <c r="A49182" t="s">
        <v>418</v>
      </c>
    </row>
    <row r="49183" spans="1:1" x14ac:dyDescent="0.15">
      <c r="A49183" t="s">
        <v>419</v>
      </c>
    </row>
    <row r="49184" spans="1:1" x14ac:dyDescent="0.15">
      <c r="A49184" t="s">
        <v>420</v>
      </c>
    </row>
    <row r="49185" spans="1:1" x14ac:dyDescent="0.15">
      <c r="A49185" t="s">
        <v>822</v>
      </c>
    </row>
    <row r="49186" spans="1:1" x14ac:dyDescent="0.15">
      <c r="A49186" t="s">
        <v>1387</v>
      </c>
    </row>
    <row r="49187" spans="1:1" x14ac:dyDescent="0.15">
      <c r="A49187" t="s">
        <v>1388</v>
      </c>
    </row>
    <row r="49188" spans="1:1" x14ac:dyDescent="0.15">
      <c r="A49188" t="s">
        <v>820</v>
      </c>
    </row>
    <row r="49189" spans="1:1" x14ac:dyDescent="0.15">
      <c r="A49189" t="s">
        <v>821</v>
      </c>
    </row>
    <row r="65538" spans="1:1" x14ac:dyDescent="0.15">
      <c r="A65538" t="s">
        <v>958</v>
      </c>
    </row>
    <row r="65539" spans="1:1" x14ac:dyDescent="0.15">
      <c r="A65539" t="s">
        <v>405</v>
      </c>
    </row>
    <row r="65540" spans="1:1" x14ac:dyDescent="0.15">
      <c r="A65540" t="s">
        <v>406</v>
      </c>
    </row>
    <row r="65541" spans="1:1" x14ac:dyDescent="0.15">
      <c r="A65541" t="s">
        <v>422</v>
      </c>
    </row>
    <row r="65542" spans="1:1" x14ac:dyDescent="0.15">
      <c r="A65542" t="s">
        <v>1394</v>
      </c>
    </row>
    <row r="65543" spans="1:1" x14ac:dyDescent="0.15">
      <c r="A65543" t="s">
        <v>1391</v>
      </c>
    </row>
    <row r="65544" spans="1:1" x14ac:dyDescent="0.15">
      <c r="A65544" t="s">
        <v>1392</v>
      </c>
    </row>
    <row r="65545" spans="1:1" x14ac:dyDescent="0.15">
      <c r="A65545" t="s">
        <v>407</v>
      </c>
    </row>
    <row r="65546" spans="1:1" x14ac:dyDescent="0.15">
      <c r="A65546" t="s">
        <v>408</v>
      </c>
    </row>
    <row r="65547" spans="1:1" x14ac:dyDescent="0.15">
      <c r="A65547" t="s">
        <v>423</v>
      </c>
    </row>
    <row r="65548" spans="1:1" x14ac:dyDescent="0.15">
      <c r="A65548" t="s">
        <v>1395</v>
      </c>
    </row>
    <row r="65549" spans="1:1" x14ac:dyDescent="0.15">
      <c r="A65549" t="s">
        <v>1393</v>
      </c>
    </row>
    <row r="65550" spans="1:1" x14ac:dyDescent="0.15">
      <c r="A65550" t="s">
        <v>1396</v>
      </c>
    </row>
    <row r="65551" spans="1:1" x14ac:dyDescent="0.15">
      <c r="A65551" t="s">
        <v>409</v>
      </c>
    </row>
    <row r="65552" spans="1:1" x14ac:dyDescent="0.15">
      <c r="A65552" t="s">
        <v>410</v>
      </c>
    </row>
    <row r="65553" spans="1:1" x14ac:dyDescent="0.15">
      <c r="A65553" t="s">
        <v>424</v>
      </c>
    </row>
    <row r="65554" spans="1:1" x14ac:dyDescent="0.15">
      <c r="A65554" t="s">
        <v>425</v>
      </c>
    </row>
    <row r="65555" spans="1:1" x14ac:dyDescent="0.15">
      <c r="A65555" t="s">
        <v>1397</v>
      </c>
    </row>
    <row r="65556" spans="1:1" x14ac:dyDescent="0.15">
      <c r="A65556" t="s">
        <v>1398</v>
      </c>
    </row>
    <row r="65557" spans="1:1" x14ac:dyDescent="0.15">
      <c r="A65557" t="s">
        <v>411</v>
      </c>
    </row>
    <row r="65558" spans="1:1" x14ac:dyDescent="0.15">
      <c r="A65558" t="s">
        <v>412</v>
      </c>
    </row>
    <row r="65559" spans="1:1" x14ac:dyDescent="0.15">
      <c r="A65559" t="s">
        <v>413</v>
      </c>
    </row>
    <row r="65560" spans="1:1" x14ac:dyDescent="0.15">
      <c r="A65560" t="s">
        <v>414</v>
      </c>
    </row>
    <row r="65561" spans="1:1" x14ac:dyDescent="0.15">
      <c r="A65561" t="s">
        <v>415</v>
      </c>
    </row>
    <row r="65562" spans="1:1" x14ac:dyDescent="0.15">
      <c r="A65562" t="s">
        <v>421</v>
      </c>
    </row>
    <row r="65563" spans="1:1" ht="15.75" x14ac:dyDescent="0.15">
      <c r="A65563" t="s">
        <v>1399</v>
      </c>
    </row>
    <row r="65564" spans="1:1" x14ac:dyDescent="0.15">
      <c r="A65564" t="s">
        <v>416</v>
      </c>
    </row>
    <row r="65565" spans="1:1" x14ac:dyDescent="0.15">
      <c r="A65565" t="s">
        <v>417</v>
      </c>
    </row>
    <row r="65566" spans="1:1" x14ac:dyDescent="0.15">
      <c r="A65566" t="s">
        <v>418</v>
      </c>
    </row>
    <row r="65567" spans="1:1" x14ac:dyDescent="0.15">
      <c r="A65567" t="s">
        <v>419</v>
      </c>
    </row>
    <row r="65568" spans="1:1" x14ac:dyDescent="0.15">
      <c r="A65568" t="s">
        <v>420</v>
      </c>
    </row>
    <row r="65569" spans="1:1" x14ac:dyDescent="0.15">
      <c r="A65569" t="s">
        <v>822</v>
      </c>
    </row>
    <row r="65570" spans="1:1" x14ac:dyDescent="0.15">
      <c r="A65570" t="s">
        <v>1387</v>
      </c>
    </row>
    <row r="65571" spans="1:1" x14ac:dyDescent="0.15">
      <c r="A65571" t="s">
        <v>1388</v>
      </c>
    </row>
    <row r="65572" spans="1:1" x14ac:dyDescent="0.15">
      <c r="A65572" t="s">
        <v>820</v>
      </c>
    </row>
    <row r="65573" spans="1:1" x14ac:dyDescent="0.15">
      <c r="A65573" t="s">
        <v>821</v>
      </c>
    </row>
    <row r="81922" spans="1:1" x14ac:dyDescent="0.15">
      <c r="A81922" t="s">
        <v>958</v>
      </c>
    </row>
    <row r="81923" spans="1:1" x14ac:dyDescent="0.15">
      <c r="A81923" t="s">
        <v>405</v>
      </c>
    </row>
    <row r="81924" spans="1:1" x14ac:dyDescent="0.15">
      <c r="A81924" t="s">
        <v>406</v>
      </c>
    </row>
    <row r="81925" spans="1:1" x14ac:dyDescent="0.15">
      <c r="A81925" t="s">
        <v>422</v>
      </c>
    </row>
    <row r="81926" spans="1:1" x14ac:dyDescent="0.15">
      <c r="A81926" t="s">
        <v>1394</v>
      </c>
    </row>
    <row r="81927" spans="1:1" x14ac:dyDescent="0.15">
      <c r="A81927" t="s">
        <v>1391</v>
      </c>
    </row>
    <row r="81928" spans="1:1" x14ac:dyDescent="0.15">
      <c r="A81928" t="s">
        <v>1392</v>
      </c>
    </row>
    <row r="81929" spans="1:1" x14ac:dyDescent="0.15">
      <c r="A81929" t="s">
        <v>407</v>
      </c>
    </row>
    <row r="81930" spans="1:1" x14ac:dyDescent="0.15">
      <c r="A81930" t="s">
        <v>408</v>
      </c>
    </row>
    <row r="81931" spans="1:1" x14ac:dyDescent="0.15">
      <c r="A81931" t="s">
        <v>423</v>
      </c>
    </row>
    <row r="81932" spans="1:1" x14ac:dyDescent="0.15">
      <c r="A81932" t="s">
        <v>1395</v>
      </c>
    </row>
    <row r="81933" spans="1:1" x14ac:dyDescent="0.15">
      <c r="A81933" t="s">
        <v>1393</v>
      </c>
    </row>
    <row r="81934" spans="1:1" x14ac:dyDescent="0.15">
      <c r="A81934" t="s">
        <v>1396</v>
      </c>
    </row>
    <row r="81935" spans="1:1" x14ac:dyDescent="0.15">
      <c r="A81935" t="s">
        <v>409</v>
      </c>
    </row>
    <row r="81936" spans="1:1" x14ac:dyDescent="0.15">
      <c r="A81936" t="s">
        <v>410</v>
      </c>
    </row>
    <row r="81937" spans="1:1" x14ac:dyDescent="0.15">
      <c r="A81937" t="s">
        <v>424</v>
      </c>
    </row>
    <row r="81938" spans="1:1" x14ac:dyDescent="0.15">
      <c r="A81938" t="s">
        <v>425</v>
      </c>
    </row>
    <row r="81939" spans="1:1" x14ac:dyDescent="0.15">
      <c r="A81939" t="s">
        <v>1397</v>
      </c>
    </row>
    <row r="81940" spans="1:1" x14ac:dyDescent="0.15">
      <c r="A81940" t="s">
        <v>1398</v>
      </c>
    </row>
    <row r="81941" spans="1:1" x14ac:dyDescent="0.15">
      <c r="A81941" t="s">
        <v>411</v>
      </c>
    </row>
    <row r="81942" spans="1:1" x14ac:dyDescent="0.15">
      <c r="A81942" t="s">
        <v>412</v>
      </c>
    </row>
    <row r="81943" spans="1:1" x14ac:dyDescent="0.15">
      <c r="A81943" t="s">
        <v>413</v>
      </c>
    </row>
    <row r="81944" spans="1:1" x14ac:dyDescent="0.15">
      <c r="A81944" t="s">
        <v>414</v>
      </c>
    </row>
    <row r="81945" spans="1:1" x14ac:dyDescent="0.15">
      <c r="A81945" t="s">
        <v>415</v>
      </c>
    </row>
    <row r="81946" spans="1:1" x14ac:dyDescent="0.15">
      <c r="A81946" t="s">
        <v>421</v>
      </c>
    </row>
    <row r="81947" spans="1:1" ht="15.75" x14ac:dyDescent="0.15">
      <c r="A81947" t="s">
        <v>1399</v>
      </c>
    </row>
    <row r="81948" spans="1:1" x14ac:dyDescent="0.15">
      <c r="A81948" t="s">
        <v>416</v>
      </c>
    </row>
    <row r="81949" spans="1:1" x14ac:dyDescent="0.15">
      <c r="A81949" t="s">
        <v>417</v>
      </c>
    </row>
    <row r="81950" spans="1:1" x14ac:dyDescent="0.15">
      <c r="A81950" t="s">
        <v>418</v>
      </c>
    </row>
    <row r="81951" spans="1:1" x14ac:dyDescent="0.15">
      <c r="A81951" t="s">
        <v>419</v>
      </c>
    </row>
    <row r="81952" spans="1:1" x14ac:dyDescent="0.15">
      <c r="A81952" t="s">
        <v>420</v>
      </c>
    </row>
    <row r="81953" spans="1:1" x14ac:dyDescent="0.15">
      <c r="A81953" t="s">
        <v>822</v>
      </c>
    </row>
    <row r="81954" spans="1:1" x14ac:dyDescent="0.15">
      <c r="A81954" t="s">
        <v>1387</v>
      </c>
    </row>
    <row r="81955" spans="1:1" x14ac:dyDescent="0.15">
      <c r="A81955" t="s">
        <v>1388</v>
      </c>
    </row>
    <row r="81956" spans="1:1" x14ac:dyDescent="0.15">
      <c r="A81956" t="s">
        <v>820</v>
      </c>
    </row>
    <row r="81957" spans="1:1" x14ac:dyDescent="0.15">
      <c r="A81957" t="s">
        <v>821</v>
      </c>
    </row>
    <row r="98306" spans="1:1" x14ac:dyDescent="0.15">
      <c r="A98306" t="s">
        <v>958</v>
      </c>
    </row>
    <row r="98307" spans="1:1" x14ac:dyDescent="0.15">
      <c r="A98307" t="s">
        <v>405</v>
      </c>
    </row>
    <row r="98308" spans="1:1" x14ac:dyDescent="0.15">
      <c r="A98308" t="s">
        <v>406</v>
      </c>
    </row>
    <row r="98309" spans="1:1" x14ac:dyDescent="0.15">
      <c r="A98309" t="s">
        <v>422</v>
      </c>
    </row>
    <row r="98310" spans="1:1" x14ac:dyDescent="0.15">
      <c r="A98310" t="s">
        <v>1394</v>
      </c>
    </row>
    <row r="98311" spans="1:1" x14ac:dyDescent="0.15">
      <c r="A98311" t="s">
        <v>1391</v>
      </c>
    </row>
    <row r="98312" spans="1:1" x14ac:dyDescent="0.15">
      <c r="A98312" t="s">
        <v>1392</v>
      </c>
    </row>
    <row r="98313" spans="1:1" x14ac:dyDescent="0.15">
      <c r="A98313" t="s">
        <v>407</v>
      </c>
    </row>
    <row r="98314" spans="1:1" x14ac:dyDescent="0.15">
      <c r="A98314" t="s">
        <v>408</v>
      </c>
    </row>
    <row r="98315" spans="1:1" x14ac:dyDescent="0.15">
      <c r="A98315" t="s">
        <v>423</v>
      </c>
    </row>
    <row r="98316" spans="1:1" x14ac:dyDescent="0.15">
      <c r="A98316" t="s">
        <v>1395</v>
      </c>
    </row>
    <row r="98317" spans="1:1" x14ac:dyDescent="0.15">
      <c r="A98317" t="s">
        <v>1393</v>
      </c>
    </row>
    <row r="98318" spans="1:1" x14ac:dyDescent="0.15">
      <c r="A98318" t="s">
        <v>1396</v>
      </c>
    </row>
    <row r="98319" spans="1:1" x14ac:dyDescent="0.15">
      <c r="A98319" t="s">
        <v>409</v>
      </c>
    </row>
    <row r="98320" spans="1:1" x14ac:dyDescent="0.15">
      <c r="A98320" t="s">
        <v>410</v>
      </c>
    </row>
    <row r="98321" spans="1:1" x14ac:dyDescent="0.15">
      <c r="A98321" t="s">
        <v>424</v>
      </c>
    </row>
    <row r="98322" spans="1:1" x14ac:dyDescent="0.15">
      <c r="A98322" t="s">
        <v>425</v>
      </c>
    </row>
    <row r="98323" spans="1:1" x14ac:dyDescent="0.15">
      <c r="A98323" t="s">
        <v>1397</v>
      </c>
    </row>
    <row r="98324" spans="1:1" x14ac:dyDescent="0.15">
      <c r="A98324" t="s">
        <v>1398</v>
      </c>
    </row>
    <row r="98325" spans="1:1" x14ac:dyDescent="0.15">
      <c r="A98325" t="s">
        <v>411</v>
      </c>
    </row>
    <row r="98326" spans="1:1" x14ac:dyDescent="0.15">
      <c r="A98326" t="s">
        <v>412</v>
      </c>
    </row>
    <row r="98327" spans="1:1" x14ac:dyDescent="0.15">
      <c r="A98327" t="s">
        <v>413</v>
      </c>
    </row>
    <row r="98328" spans="1:1" x14ac:dyDescent="0.15">
      <c r="A98328" t="s">
        <v>414</v>
      </c>
    </row>
    <row r="98329" spans="1:1" x14ac:dyDescent="0.15">
      <c r="A98329" t="s">
        <v>415</v>
      </c>
    </row>
    <row r="98330" spans="1:1" x14ac:dyDescent="0.15">
      <c r="A98330" t="s">
        <v>421</v>
      </c>
    </row>
    <row r="98331" spans="1:1" ht="15.75" x14ac:dyDescent="0.15">
      <c r="A98331" t="s">
        <v>1399</v>
      </c>
    </row>
    <row r="98332" spans="1:1" x14ac:dyDescent="0.15">
      <c r="A98332" t="s">
        <v>416</v>
      </c>
    </row>
    <row r="98333" spans="1:1" x14ac:dyDescent="0.15">
      <c r="A98333" t="s">
        <v>417</v>
      </c>
    </row>
    <row r="98334" spans="1:1" x14ac:dyDescent="0.15">
      <c r="A98334" t="s">
        <v>418</v>
      </c>
    </row>
    <row r="98335" spans="1:1" x14ac:dyDescent="0.15">
      <c r="A98335" t="s">
        <v>419</v>
      </c>
    </row>
    <row r="98336" spans="1:1" x14ac:dyDescent="0.15">
      <c r="A98336" t="s">
        <v>420</v>
      </c>
    </row>
    <row r="98337" spans="1:1" x14ac:dyDescent="0.15">
      <c r="A98337" t="s">
        <v>822</v>
      </c>
    </row>
    <row r="98338" spans="1:1" x14ac:dyDescent="0.15">
      <c r="A98338" t="s">
        <v>1387</v>
      </c>
    </row>
    <row r="98339" spans="1:1" x14ac:dyDescent="0.15">
      <c r="A98339" t="s">
        <v>1388</v>
      </c>
    </row>
    <row r="98340" spans="1:1" x14ac:dyDescent="0.15">
      <c r="A98340" t="s">
        <v>820</v>
      </c>
    </row>
    <row r="98341" spans="1:1" x14ac:dyDescent="0.15">
      <c r="A98341" t="s">
        <v>821</v>
      </c>
    </row>
    <row r="114690" spans="1:1" x14ac:dyDescent="0.15">
      <c r="A114690" t="s">
        <v>958</v>
      </c>
    </row>
    <row r="114691" spans="1:1" x14ac:dyDescent="0.15">
      <c r="A114691" t="s">
        <v>405</v>
      </c>
    </row>
    <row r="114692" spans="1:1" x14ac:dyDescent="0.15">
      <c r="A114692" t="s">
        <v>406</v>
      </c>
    </row>
    <row r="114693" spans="1:1" x14ac:dyDescent="0.15">
      <c r="A114693" t="s">
        <v>422</v>
      </c>
    </row>
    <row r="114694" spans="1:1" x14ac:dyDescent="0.15">
      <c r="A114694" t="s">
        <v>1394</v>
      </c>
    </row>
    <row r="114695" spans="1:1" x14ac:dyDescent="0.15">
      <c r="A114695" t="s">
        <v>1391</v>
      </c>
    </row>
    <row r="114696" spans="1:1" x14ac:dyDescent="0.15">
      <c r="A114696" t="s">
        <v>1392</v>
      </c>
    </row>
    <row r="114697" spans="1:1" x14ac:dyDescent="0.15">
      <c r="A114697" t="s">
        <v>407</v>
      </c>
    </row>
    <row r="114698" spans="1:1" x14ac:dyDescent="0.15">
      <c r="A114698" t="s">
        <v>408</v>
      </c>
    </row>
    <row r="114699" spans="1:1" x14ac:dyDescent="0.15">
      <c r="A114699" t="s">
        <v>423</v>
      </c>
    </row>
    <row r="114700" spans="1:1" x14ac:dyDescent="0.15">
      <c r="A114700" t="s">
        <v>1395</v>
      </c>
    </row>
    <row r="114701" spans="1:1" x14ac:dyDescent="0.15">
      <c r="A114701" t="s">
        <v>1393</v>
      </c>
    </row>
    <row r="114702" spans="1:1" x14ac:dyDescent="0.15">
      <c r="A114702" t="s">
        <v>1396</v>
      </c>
    </row>
    <row r="114703" spans="1:1" x14ac:dyDescent="0.15">
      <c r="A114703" t="s">
        <v>409</v>
      </c>
    </row>
    <row r="114704" spans="1:1" x14ac:dyDescent="0.15">
      <c r="A114704" t="s">
        <v>410</v>
      </c>
    </row>
    <row r="114705" spans="1:1" x14ac:dyDescent="0.15">
      <c r="A114705" t="s">
        <v>424</v>
      </c>
    </row>
    <row r="114706" spans="1:1" x14ac:dyDescent="0.15">
      <c r="A114706" t="s">
        <v>425</v>
      </c>
    </row>
    <row r="114707" spans="1:1" x14ac:dyDescent="0.15">
      <c r="A114707" t="s">
        <v>1397</v>
      </c>
    </row>
    <row r="114708" spans="1:1" x14ac:dyDescent="0.15">
      <c r="A114708" t="s">
        <v>1398</v>
      </c>
    </row>
    <row r="114709" spans="1:1" x14ac:dyDescent="0.15">
      <c r="A114709" t="s">
        <v>411</v>
      </c>
    </row>
    <row r="114710" spans="1:1" x14ac:dyDescent="0.15">
      <c r="A114710" t="s">
        <v>412</v>
      </c>
    </row>
    <row r="114711" spans="1:1" x14ac:dyDescent="0.15">
      <c r="A114711" t="s">
        <v>413</v>
      </c>
    </row>
    <row r="114712" spans="1:1" x14ac:dyDescent="0.15">
      <c r="A114712" t="s">
        <v>414</v>
      </c>
    </row>
    <row r="114713" spans="1:1" x14ac:dyDescent="0.15">
      <c r="A114713" t="s">
        <v>415</v>
      </c>
    </row>
    <row r="114714" spans="1:1" x14ac:dyDescent="0.15">
      <c r="A114714" t="s">
        <v>421</v>
      </c>
    </row>
    <row r="114715" spans="1:1" ht="15.75" x14ac:dyDescent="0.15">
      <c r="A114715" t="s">
        <v>1399</v>
      </c>
    </row>
    <row r="114716" spans="1:1" x14ac:dyDescent="0.15">
      <c r="A114716" t="s">
        <v>416</v>
      </c>
    </row>
    <row r="114717" spans="1:1" x14ac:dyDescent="0.15">
      <c r="A114717" t="s">
        <v>417</v>
      </c>
    </row>
    <row r="114718" spans="1:1" x14ac:dyDescent="0.15">
      <c r="A114718" t="s">
        <v>418</v>
      </c>
    </row>
    <row r="114719" spans="1:1" x14ac:dyDescent="0.15">
      <c r="A114719" t="s">
        <v>419</v>
      </c>
    </row>
    <row r="114720" spans="1:1" x14ac:dyDescent="0.15">
      <c r="A114720" t="s">
        <v>420</v>
      </c>
    </row>
    <row r="114721" spans="1:1" x14ac:dyDescent="0.15">
      <c r="A114721" t="s">
        <v>822</v>
      </c>
    </row>
    <row r="114722" spans="1:1" x14ac:dyDescent="0.15">
      <c r="A114722" t="s">
        <v>1387</v>
      </c>
    </row>
    <row r="114723" spans="1:1" x14ac:dyDescent="0.15">
      <c r="A114723" t="s">
        <v>1388</v>
      </c>
    </row>
    <row r="114724" spans="1:1" x14ac:dyDescent="0.15">
      <c r="A114724" t="s">
        <v>820</v>
      </c>
    </row>
    <row r="114725" spans="1:1" x14ac:dyDescent="0.15">
      <c r="A114725" t="s">
        <v>821</v>
      </c>
    </row>
    <row r="131074" spans="1:1" x14ac:dyDescent="0.15">
      <c r="A131074" t="s">
        <v>958</v>
      </c>
    </row>
    <row r="131075" spans="1:1" x14ac:dyDescent="0.15">
      <c r="A131075" t="s">
        <v>405</v>
      </c>
    </row>
    <row r="131076" spans="1:1" x14ac:dyDescent="0.15">
      <c r="A131076" t="s">
        <v>406</v>
      </c>
    </row>
    <row r="131077" spans="1:1" x14ac:dyDescent="0.15">
      <c r="A131077" t="s">
        <v>422</v>
      </c>
    </row>
    <row r="131078" spans="1:1" x14ac:dyDescent="0.15">
      <c r="A131078" t="s">
        <v>1394</v>
      </c>
    </row>
    <row r="131079" spans="1:1" x14ac:dyDescent="0.15">
      <c r="A131079" t="s">
        <v>1391</v>
      </c>
    </row>
    <row r="131080" spans="1:1" x14ac:dyDescent="0.15">
      <c r="A131080" t="s">
        <v>1392</v>
      </c>
    </row>
    <row r="131081" spans="1:1" x14ac:dyDescent="0.15">
      <c r="A131081" t="s">
        <v>407</v>
      </c>
    </row>
    <row r="131082" spans="1:1" x14ac:dyDescent="0.15">
      <c r="A131082" t="s">
        <v>408</v>
      </c>
    </row>
    <row r="131083" spans="1:1" x14ac:dyDescent="0.15">
      <c r="A131083" t="s">
        <v>423</v>
      </c>
    </row>
    <row r="131084" spans="1:1" x14ac:dyDescent="0.15">
      <c r="A131084" t="s">
        <v>1395</v>
      </c>
    </row>
    <row r="131085" spans="1:1" x14ac:dyDescent="0.15">
      <c r="A131085" t="s">
        <v>1393</v>
      </c>
    </row>
    <row r="131086" spans="1:1" x14ac:dyDescent="0.15">
      <c r="A131086" t="s">
        <v>1396</v>
      </c>
    </row>
    <row r="131087" spans="1:1" x14ac:dyDescent="0.15">
      <c r="A131087" t="s">
        <v>409</v>
      </c>
    </row>
    <row r="131088" spans="1:1" x14ac:dyDescent="0.15">
      <c r="A131088" t="s">
        <v>410</v>
      </c>
    </row>
    <row r="131089" spans="1:1" x14ac:dyDescent="0.15">
      <c r="A131089" t="s">
        <v>424</v>
      </c>
    </row>
    <row r="131090" spans="1:1" x14ac:dyDescent="0.15">
      <c r="A131090" t="s">
        <v>425</v>
      </c>
    </row>
    <row r="131091" spans="1:1" x14ac:dyDescent="0.15">
      <c r="A131091" t="s">
        <v>1397</v>
      </c>
    </row>
    <row r="131092" spans="1:1" x14ac:dyDescent="0.15">
      <c r="A131092" t="s">
        <v>1398</v>
      </c>
    </row>
    <row r="131093" spans="1:1" x14ac:dyDescent="0.15">
      <c r="A131093" t="s">
        <v>411</v>
      </c>
    </row>
    <row r="131094" spans="1:1" x14ac:dyDescent="0.15">
      <c r="A131094" t="s">
        <v>412</v>
      </c>
    </row>
    <row r="131095" spans="1:1" x14ac:dyDescent="0.15">
      <c r="A131095" t="s">
        <v>413</v>
      </c>
    </row>
    <row r="131096" spans="1:1" x14ac:dyDescent="0.15">
      <c r="A131096" t="s">
        <v>414</v>
      </c>
    </row>
    <row r="131097" spans="1:1" x14ac:dyDescent="0.15">
      <c r="A131097" t="s">
        <v>415</v>
      </c>
    </row>
    <row r="131098" spans="1:1" x14ac:dyDescent="0.15">
      <c r="A131098" t="s">
        <v>421</v>
      </c>
    </row>
    <row r="131099" spans="1:1" ht="15.75" x14ac:dyDescent="0.15">
      <c r="A131099" t="s">
        <v>1399</v>
      </c>
    </row>
    <row r="131100" spans="1:1" x14ac:dyDescent="0.15">
      <c r="A131100" t="s">
        <v>416</v>
      </c>
    </row>
    <row r="131101" spans="1:1" x14ac:dyDescent="0.15">
      <c r="A131101" t="s">
        <v>417</v>
      </c>
    </row>
    <row r="131102" spans="1:1" x14ac:dyDescent="0.15">
      <c r="A131102" t="s">
        <v>418</v>
      </c>
    </row>
    <row r="131103" spans="1:1" x14ac:dyDescent="0.15">
      <c r="A131103" t="s">
        <v>419</v>
      </c>
    </row>
    <row r="131104" spans="1:1" x14ac:dyDescent="0.15">
      <c r="A131104" t="s">
        <v>420</v>
      </c>
    </row>
    <row r="131105" spans="1:1" x14ac:dyDescent="0.15">
      <c r="A131105" t="s">
        <v>822</v>
      </c>
    </row>
    <row r="131106" spans="1:1" x14ac:dyDescent="0.15">
      <c r="A131106" t="s">
        <v>1387</v>
      </c>
    </row>
    <row r="131107" spans="1:1" x14ac:dyDescent="0.15">
      <c r="A131107" t="s">
        <v>1388</v>
      </c>
    </row>
    <row r="131108" spans="1:1" x14ac:dyDescent="0.15">
      <c r="A131108" t="s">
        <v>820</v>
      </c>
    </row>
    <row r="131109" spans="1:1" x14ac:dyDescent="0.15">
      <c r="A131109" t="s">
        <v>821</v>
      </c>
    </row>
    <row r="147458" spans="1:1" x14ac:dyDescent="0.15">
      <c r="A147458" t="s">
        <v>958</v>
      </c>
    </row>
    <row r="147459" spans="1:1" x14ac:dyDescent="0.15">
      <c r="A147459" t="s">
        <v>405</v>
      </c>
    </row>
    <row r="147460" spans="1:1" x14ac:dyDescent="0.15">
      <c r="A147460" t="s">
        <v>406</v>
      </c>
    </row>
    <row r="147461" spans="1:1" x14ac:dyDescent="0.15">
      <c r="A147461" t="s">
        <v>422</v>
      </c>
    </row>
    <row r="147462" spans="1:1" x14ac:dyDescent="0.15">
      <c r="A147462" t="s">
        <v>1394</v>
      </c>
    </row>
    <row r="147463" spans="1:1" x14ac:dyDescent="0.15">
      <c r="A147463" t="s">
        <v>1391</v>
      </c>
    </row>
    <row r="147464" spans="1:1" x14ac:dyDescent="0.15">
      <c r="A147464" t="s">
        <v>1392</v>
      </c>
    </row>
    <row r="147465" spans="1:1" x14ac:dyDescent="0.15">
      <c r="A147465" t="s">
        <v>407</v>
      </c>
    </row>
    <row r="147466" spans="1:1" x14ac:dyDescent="0.15">
      <c r="A147466" t="s">
        <v>408</v>
      </c>
    </row>
    <row r="147467" spans="1:1" x14ac:dyDescent="0.15">
      <c r="A147467" t="s">
        <v>423</v>
      </c>
    </row>
    <row r="147468" spans="1:1" x14ac:dyDescent="0.15">
      <c r="A147468" t="s">
        <v>1395</v>
      </c>
    </row>
    <row r="147469" spans="1:1" x14ac:dyDescent="0.15">
      <c r="A147469" t="s">
        <v>1393</v>
      </c>
    </row>
    <row r="147470" spans="1:1" x14ac:dyDescent="0.15">
      <c r="A147470" t="s">
        <v>1396</v>
      </c>
    </row>
    <row r="147471" spans="1:1" x14ac:dyDescent="0.15">
      <c r="A147471" t="s">
        <v>409</v>
      </c>
    </row>
    <row r="147472" spans="1:1" x14ac:dyDescent="0.15">
      <c r="A147472" t="s">
        <v>410</v>
      </c>
    </row>
    <row r="147473" spans="1:1" x14ac:dyDescent="0.15">
      <c r="A147473" t="s">
        <v>424</v>
      </c>
    </row>
    <row r="147474" spans="1:1" x14ac:dyDescent="0.15">
      <c r="A147474" t="s">
        <v>425</v>
      </c>
    </row>
    <row r="147475" spans="1:1" x14ac:dyDescent="0.15">
      <c r="A147475" t="s">
        <v>1397</v>
      </c>
    </row>
    <row r="147476" spans="1:1" x14ac:dyDescent="0.15">
      <c r="A147476" t="s">
        <v>1398</v>
      </c>
    </row>
    <row r="147477" spans="1:1" x14ac:dyDescent="0.15">
      <c r="A147477" t="s">
        <v>411</v>
      </c>
    </row>
    <row r="147478" spans="1:1" x14ac:dyDescent="0.15">
      <c r="A147478" t="s">
        <v>412</v>
      </c>
    </row>
    <row r="147479" spans="1:1" x14ac:dyDescent="0.15">
      <c r="A147479" t="s">
        <v>413</v>
      </c>
    </row>
    <row r="147480" spans="1:1" x14ac:dyDescent="0.15">
      <c r="A147480" t="s">
        <v>414</v>
      </c>
    </row>
    <row r="147481" spans="1:1" x14ac:dyDescent="0.15">
      <c r="A147481" t="s">
        <v>415</v>
      </c>
    </row>
    <row r="147482" spans="1:1" x14ac:dyDescent="0.15">
      <c r="A147482" t="s">
        <v>421</v>
      </c>
    </row>
    <row r="147483" spans="1:1" ht="15.75" x14ac:dyDescent="0.15">
      <c r="A147483" t="s">
        <v>1399</v>
      </c>
    </row>
    <row r="147484" spans="1:1" x14ac:dyDescent="0.15">
      <c r="A147484" t="s">
        <v>416</v>
      </c>
    </row>
    <row r="147485" spans="1:1" x14ac:dyDescent="0.15">
      <c r="A147485" t="s">
        <v>417</v>
      </c>
    </row>
    <row r="147486" spans="1:1" x14ac:dyDescent="0.15">
      <c r="A147486" t="s">
        <v>418</v>
      </c>
    </row>
    <row r="147487" spans="1:1" x14ac:dyDescent="0.15">
      <c r="A147487" t="s">
        <v>419</v>
      </c>
    </row>
    <row r="147488" spans="1:1" x14ac:dyDescent="0.15">
      <c r="A147488" t="s">
        <v>420</v>
      </c>
    </row>
    <row r="147489" spans="1:1" x14ac:dyDescent="0.15">
      <c r="A147489" t="s">
        <v>822</v>
      </c>
    </row>
    <row r="147490" spans="1:1" x14ac:dyDescent="0.15">
      <c r="A147490" t="s">
        <v>1387</v>
      </c>
    </row>
    <row r="147491" spans="1:1" x14ac:dyDescent="0.15">
      <c r="A147491" t="s">
        <v>1388</v>
      </c>
    </row>
    <row r="147492" spans="1:1" x14ac:dyDescent="0.15">
      <c r="A147492" t="s">
        <v>820</v>
      </c>
    </row>
    <row r="147493" spans="1:1" x14ac:dyDescent="0.15">
      <c r="A147493" t="s">
        <v>821</v>
      </c>
    </row>
    <row r="163842" spans="1:1" x14ac:dyDescent="0.15">
      <c r="A163842" t="s">
        <v>958</v>
      </c>
    </row>
    <row r="163843" spans="1:1" x14ac:dyDescent="0.15">
      <c r="A163843" t="s">
        <v>405</v>
      </c>
    </row>
    <row r="163844" spans="1:1" x14ac:dyDescent="0.15">
      <c r="A163844" t="s">
        <v>406</v>
      </c>
    </row>
    <row r="163845" spans="1:1" x14ac:dyDescent="0.15">
      <c r="A163845" t="s">
        <v>422</v>
      </c>
    </row>
    <row r="163846" spans="1:1" x14ac:dyDescent="0.15">
      <c r="A163846" t="s">
        <v>1394</v>
      </c>
    </row>
    <row r="163847" spans="1:1" x14ac:dyDescent="0.15">
      <c r="A163847" t="s">
        <v>1391</v>
      </c>
    </row>
    <row r="163848" spans="1:1" x14ac:dyDescent="0.15">
      <c r="A163848" t="s">
        <v>1392</v>
      </c>
    </row>
    <row r="163849" spans="1:1" x14ac:dyDescent="0.15">
      <c r="A163849" t="s">
        <v>407</v>
      </c>
    </row>
    <row r="163850" spans="1:1" x14ac:dyDescent="0.15">
      <c r="A163850" t="s">
        <v>408</v>
      </c>
    </row>
    <row r="163851" spans="1:1" x14ac:dyDescent="0.15">
      <c r="A163851" t="s">
        <v>423</v>
      </c>
    </row>
    <row r="163852" spans="1:1" x14ac:dyDescent="0.15">
      <c r="A163852" t="s">
        <v>1395</v>
      </c>
    </row>
    <row r="163853" spans="1:1" x14ac:dyDescent="0.15">
      <c r="A163853" t="s">
        <v>1393</v>
      </c>
    </row>
    <row r="163854" spans="1:1" x14ac:dyDescent="0.15">
      <c r="A163854" t="s">
        <v>1396</v>
      </c>
    </row>
    <row r="163855" spans="1:1" x14ac:dyDescent="0.15">
      <c r="A163855" t="s">
        <v>409</v>
      </c>
    </row>
    <row r="163856" spans="1:1" x14ac:dyDescent="0.15">
      <c r="A163856" t="s">
        <v>410</v>
      </c>
    </row>
    <row r="163857" spans="1:1" x14ac:dyDescent="0.15">
      <c r="A163857" t="s">
        <v>424</v>
      </c>
    </row>
    <row r="163858" spans="1:1" x14ac:dyDescent="0.15">
      <c r="A163858" t="s">
        <v>425</v>
      </c>
    </row>
    <row r="163859" spans="1:1" x14ac:dyDescent="0.15">
      <c r="A163859" t="s">
        <v>1397</v>
      </c>
    </row>
    <row r="163860" spans="1:1" x14ac:dyDescent="0.15">
      <c r="A163860" t="s">
        <v>1398</v>
      </c>
    </row>
    <row r="163861" spans="1:1" x14ac:dyDescent="0.15">
      <c r="A163861" t="s">
        <v>411</v>
      </c>
    </row>
    <row r="163862" spans="1:1" x14ac:dyDescent="0.15">
      <c r="A163862" t="s">
        <v>412</v>
      </c>
    </row>
    <row r="163863" spans="1:1" x14ac:dyDescent="0.15">
      <c r="A163863" t="s">
        <v>413</v>
      </c>
    </row>
    <row r="163864" spans="1:1" x14ac:dyDescent="0.15">
      <c r="A163864" t="s">
        <v>414</v>
      </c>
    </row>
    <row r="163865" spans="1:1" x14ac:dyDescent="0.15">
      <c r="A163865" t="s">
        <v>415</v>
      </c>
    </row>
    <row r="163866" spans="1:1" x14ac:dyDescent="0.15">
      <c r="A163866" t="s">
        <v>421</v>
      </c>
    </row>
    <row r="163867" spans="1:1" ht="15.75" x14ac:dyDescent="0.15">
      <c r="A163867" t="s">
        <v>1399</v>
      </c>
    </row>
    <row r="163868" spans="1:1" x14ac:dyDescent="0.15">
      <c r="A163868" t="s">
        <v>416</v>
      </c>
    </row>
    <row r="163869" spans="1:1" x14ac:dyDescent="0.15">
      <c r="A163869" t="s">
        <v>417</v>
      </c>
    </row>
    <row r="163870" spans="1:1" x14ac:dyDescent="0.15">
      <c r="A163870" t="s">
        <v>418</v>
      </c>
    </row>
    <row r="163871" spans="1:1" x14ac:dyDescent="0.15">
      <c r="A163871" t="s">
        <v>419</v>
      </c>
    </row>
    <row r="163872" spans="1:1" x14ac:dyDescent="0.15">
      <c r="A163872" t="s">
        <v>420</v>
      </c>
    </row>
    <row r="163873" spans="1:1" x14ac:dyDescent="0.15">
      <c r="A163873" t="s">
        <v>822</v>
      </c>
    </row>
    <row r="163874" spans="1:1" x14ac:dyDescent="0.15">
      <c r="A163874" t="s">
        <v>1387</v>
      </c>
    </row>
    <row r="163875" spans="1:1" x14ac:dyDescent="0.15">
      <c r="A163875" t="s">
        <v>1388</v>
      </c>
    </row>
    <row r="163876" spans="1:1" x14ac:dyDescent="0.15">
      <c r="A163876" t="s">
        <v>820</v>
      </c>
    </row>
    <row r="163877" spans="1:1" x14ac:dyDescent="0.15">
      <c r="A163877" t="s">
        <v>821</v>
      </c>
    </row>
    <row r="180226" spans="1:1" x14ac:dyDescent="0.15">
      <c r="A180226" t="s">
        <v>958</v>
      </c>
    </row>
    <row r="180227" spans="1:1" x14ac:dyDescent="0.15">
      <c r="A180227" t="s">
        <v>405</v>
      </c>
    </row>
    <row r="180228" spans="1:1" x14ac:dyDescent="0.15">
      <c r="A180228" t="s">
        <v>406</v>
      </c>
    </row>
    <row r="180229" spans="1:1" x14ac:dyDescent="0.15">
      <c r="A180229" t="s">
        <v>422</v>
      </c>
    </row>
    <row r="180230" spans="1:1" x14ac:dyDescent="0.15">
      <c r="A180230" t="s">
        <v>1394</v>
      </c>
    </row>
    <row r="180231" spans="1:1" x14ac:dyDescent="0.15">
      <c r="A180231" t="s">
        <v>1391</v>
      </c>
    </row>
    <row r="180232" spans="1:1" x14ac:dyDescent="0.15">
      <c r="A180232" t="s">
        <v>1392</v>
      </c>
    </row>
    <row r="180233" spans="1:1" x14ac:dyDescent="0.15">
      <c r="A180233" t="s">
        <v>407</v>
      </c>
    </row>
    <row r="180234" spans="1:1" x14ac:dyDescent="0.15">
      <c r="A180234" t="s">
        <v>408</v>
      </c>
    </row>
    <row r="180235" spans="1:1" x14ac:dyDescent="0.15">
      <c r="A180235" t="s">
        <v>423</v>
      </c>
    </row>
    <row r="180236" spans="1:1" x14ac:dyDescent="0.15">
      <c r="A180236" t="s">
        <v>1395</v>
      </c>
    </row>
    <row r="180237" spans="1:1" x14ac:dyDescent="0.15">
      <c r="A180237" t="s">
        <v>1393</v>
      </c>
    </row>
    <row r="180238" spans="1:1" x14ac:dyDescent="0.15">
      <c r="A180238" t="s">
        <v>1396</v>
      </c>
    </row>
    <row r="180239" spans="1:1" x14ac:dyDescent="0.15">
      <c r="A180239" t="s">
        <v>409</v>
      </c>
    </row>
    <row r="180240" spans="1:1" x14ac:dyDescent="0.15">
      <c r="A180240" t="s">
        <v>410</v>
      </c>
    </row>
    <row r="180241" spans="1:1" x14ac:dyDescent="0.15">
      <c r="A180241" t="s">
        <v>424</v>
      </c>
    </row>
    <row r="180242" spans="1:1" x14ac:dyDescent="0.15">
      <c r="A180242" t="s">
        <v>425</v>
      </c>
    </row>
    <row r="180243" spans="1:1" x14ac:dyDescent="0.15">
      <c r="A180243" t="s">
        <v>1397</v>
      </c>
    </row>
    <row r="180244" spans="1:1" x14ac:dyDescent="0.15">
      <c r="A180244" t="s">
        <v>1398</v>
      </c>
    </row>
    <row r="180245" spans="1:1" x14ac:dyDescent="0.15">
      <c r="A180245" t="s">
        <v>411</v>
      </c>
    </row>
    <row r="180246" spans="1:1" x14ac:dyDescent="0.15">
      <c r="A180246" t="s">
        <v>412</v>
      </c>
    </row>
    <row r="180247" spans="1:1" x14ac:dyDescent="0.15">
      <c r="A180247" t="s">
        <v>413</v>
      </c>
    </row>
    <row r="180248" spans="1:1" x14ac:dyDescent="0.15">
      <c r="A180248" t="s">
        <v>414</v>
      </c>
    </row>
    <row r="180249" spans="1:1" x14ac:dyDescent="0.15">
      <c r="A180249" t="s">
        <v>415</v>
      </c>
    </row>
    <row r="180250" spans="1:1" x14ac:dyDescent="0.15">
      <c r="A180250" t="s">
        <v>421</v>
      </c>
    </row>
    <row r="180251" spans="1:1" ht="15.75" x14ac:dyDescent="0.15">
      <c r="A180251" t="s">
        <v>1399</v>
      </c>
    </row>
    <row r="180252" spans="1:1" x14ac:dyDescent="0.15">
      <c r="A180252" t="s">
        <v>416</v>
      </c>
    </row>
    <row r="180253" spans="1:1" x14ac:dyDescent="0.15">
      <c r="A180253" t="s">
        <v>417</v>
      </c>
    </row>
    <row r="180254" spans="1:1" x14ac:dyDescent="0.15">
      <c r="A180254" t="s">
        <v>418</v>
      </c>
    </row>
    <row r="180255" spans="1:1" x14ac:dyDescent="0.15">
      <c r="A180255" t="s">
        <v>419</v>
      </c>
    </row>
    <row r="180256" spans="1:1" x14ac:dyDescent="0.15">
      <c r="A180256" t="s">
        <v>420</v>
      </c>
    </row>
    <row r="180257" spans="1:1" x14ac:dyDescent="0.15">
      <c r="A180257" t="s">
        <v>822</v>
      </c>
    </row>
    <row r="180258" spans="1:1" x14ac:dyDescent="0.15">
      <c r="A180258" t="s">
        <v>1387</v>
      </c>
    </row>
    <row r="180259" spans="1:1" x14ac:dyDescent="0.15">
      <c r="A180259" t="s">
        <v>1388</v>
      </c>
    </row>
    <row r="180260" spans="1:1" x14ac:dyDescent="0.15">
      <c r="A180260" t="s">
        <v>820</v>
      </c>
    </row>
    <row r="180261" spans="1:1" x14ac:dyDescent="0.15">
      <c r="A180261" t="s">
        <v>821</v>
      </c>
    </row>
    <row r="196610" spans="1:1" x14ac:dyDescent="0.15">
      <c r="A196610" t="s">
        <v>958</v>
      </c>
    </row>
    <row r="196611" spans="1:1" x14ac:dyDescent="0.15">
      <c r="A196611" t="s">
        <v>405</v>
      </c>
    </row>
    <row r="196612" spans="1:1" x14ac:dyDescent="0.15">
      <c r="A196612" t="s">
        <v>406</v>
      </c>
    </row>
    <row r="196613" spans="1:1" x14ac:dyDescent="0.15">
      <c r="A196613" t="s">
        <v>422</v>
      </c>
    </row>
    <row r="196614" spans="1:1" x14ac:dyDescent="0.15">
      <c r="A196614" t="s">
        <v>1394</v>
      </c>
    </row>
    <row r="196615" spans="1:1" x14ac:dyDescent="0.15">
      <c r="A196615" t="s">
        <v>1391</v>
      </c>
    </row>
    <row r="196616" spans="1:1" x14ac:dyDescent="0.15">
      <c r="A196616" t="s">
        <v>1392</v>
      </c>
    </row>
    <row r="196617" spans="1:1" x14ac:dyDescent="0.15">
      <c r="A196617" t="s">
        <v>407</v>
      </c>
    </row>
    <row r="196618" spans="1:1" x14ac:dyDescent="0.15">
      <c r="A196618" t="s">
        <v>408</v>
      </c>
    </row>
    <row r="196619" spans="1:1" x14ac:dyDescent="0.15">
      <c r="A196619" t="s">
        <v>423</v>
      </c>
    </row>
    <row r="196620" spans="1:1" x14ac:dyDescent="0.15">
      <c r="A196620" t="s">
        <v>1395</v>
      </c>
    </row>
    <row r="196621" spans="1:1" x14ac:dyDescent="0.15">
      <c r="A196621" t="s">
        <v>1393</v>
      </c>
    </row>
    <row r="196622" spans="1:1" x14ac:dyDescent="0.15">
      <c r="A196622" t="s">
        <v>1396</v>
      </c>
    </row>
    <row r="196623" spans="1:1" x14ac:dyDescent="0.15">
      <c r="A196623" t="s">
        <v>409</v>
      </c>
    </row>
    <row r="196624" spans="1:1" x14ac:dyDescent="0.15">
      <c r="A196624" t="s">
        <v>410</v>
      </c>
    </row>
    <row r="196625" spans="1:1" x14ac:dyDescent="0.15">
      <c r="A196625" t="s">
        <v>424</v>
      </c>
    </row>
    <row r="196626" spans="1:1" x14ac:dyDescent="0.15">
      <c r="A196626" t="s">
        <v>425</v>
      </c>
    </row>
    <row r="196627" spans="1:1" x14ac:dyDescent="0.15">
      <c r="A196627" t="s">
        <v>1397</v>
      </c>
    </row>
    <row r="196628" spans="1:1" x14ac:dyDescent="0.15">
      <c r="A196628" t="s">
        <v>1398</v>
      </c>
    </row>
    <row r="196629" spans="1:1" x14ac:dyDescent="0.15">
      <c r="A196629" t="s">
        <v>411</v>
      </c>
    </row>
    <row r="196630" spans="1:1" x14ac:dyDescent="0.15">
      <c r="A196630" t="s">
        <v>412</v>
      </c>
    </row>
    <row r="196631" spans="1:1" x14ac:dyDescent="0.15">
      <c r="A196631" t="s">
        <v>413</v>
      </c>
    </row>
    <row r="196632" spans="1:1" x14ac:dyDescent="0.15">
      <c r="A196632" t="s">
        <v>414</v>
      </c>
    </row>
    <row r="196633" spans="1:1" x14ac:dyDescent="0.15">
      <c r="A196633" t="s">
        <v>415</v>
      </c>
    </row>
    <row r="196634" spans="1:1" x14ac:dyDescent="0.15">
      <c r="A196634" t="s">
        <v>421</v>
      </c>
    </row>
    <row r="196635" spans="1:1" ht="15.75" x14ac:dyDescent="0.15">
      <c r="A196635" t="s">
        <v>1399</v>
      </c>
    </row>
    <row r="196636" spans="1:1" x14ac:dyDescent="0.15">
      <c r="A196636" t="s">
        <v>416</v>
      </c>
    </row>
    <row r="196637" spans="1:1" x14ac:dyDescent="0.15">
      <c r="A196637" t="s">
        <v>417</v>
      </c>
    </row>
    <row r="196638" spans="1:1" x14ac:dyDescent="0.15">
      <c r="A196638" t="s">
        <v>418</v>
      </c>
    </row>
    <row r="196639" spans="1:1" x14ac:dyDescent="0.15">
      <c r="A196639" t="s">
        <v>419</v>
      </c>
    </row>
    <row r="196640" spans="1:1" x14ac:dyDescent="0.15">
      <c r="A196640" t="s">
        <v>420</v>
      </c>
    </row>
    <row r="196641" spans="1:1" x14ac:dyDescent="0.15">
      <c r="A196641" t="s">
        <v>822</v>
      </c>
    </row>
    <row r="196642" spans="1:1" x14ac:dyDescent="0.15">
      <c r="A196642" t="s">
        <v>1387</v>
      </c>
    </row>
    <row r="196643" spans="1:1" x14ac:dyDescent="0.15">
      <c r="A196643" t="s">
        <v>1388</v>
      </c>
    </row>
    <row r="196644" spans="1:1" x14ac:dyDescent="0.15">
      <c r="A196644" t="s">
        <v>820</v>
      </c>
    </row>
    <row r="196645" spans="1:1" x14ac:dyDescent="0.15">
      <c r="A196645" t="s">
        <v>821</v>
      </c>
    </row>
    <row r="212994" spans="1:1" x14ac:dyDescent="0.15">
      <c r="A212994" t="s">
        <v>958</v>
      </c>
    </row>
    <row r="212995" spans="1:1" x14ac:dyDescent="0.15">
      <c r="A212995" t="s">
        <v>405</v>
      </c>
    </row>
    <row r="212996" spans="1:1" x14ac:dyDescent="0.15">
      <c r="A212996" t="s">
        <v>406</v>
      </c>
    </row>
    <row r="212997" spans="1:1" x14ac:dyDescent="0.15">
      <c r="A212997" t="s">
        <v>422</v>
      </c>
    </row>
    <row r="212998" spans="1:1" x14ac:dyDescent="0.15">
      <c r="A212998" t="s">
        <v>1394</v>
      </c>
    </row>
    <row r="212999" spans="1:1" x14ac:dyDescent="0.15">
      <c r="A212999" t="s">
        <v>1391</v>
      </c>
    </row>
    <row r="213000" spans="1:1" x14ac:dyDescent="0.15">
      <c r="A213000" t="s">
        <v>1392</v>
      </c>
    </row>
    <row r="213001" spans="1:1" x14ac:dyDescent="0.15">
      <c r="A213001" t="s">
        <v>407</v>
      </c>
    </row>
    <row r="213002" spans="1:1" x14ac:dyDescent="0.15">
      <c r="A213002" t="s">
        <v>408</v>
      </c>
    </row>
    <row r="213003" spans="1:1" x14ac:dyDescent="0.15">
      <c r="A213003" t="s">
        <v>423</v>
      </c>
    </row>
    <row r="213004" spans="1:1" x14ac:dyDescent="0.15">
      <c r="A213004" t="s">
        <v>1395</v>
      </c>
    </row>
    <row r="213005" spans="1:1" x14ac:dyDescent="0.15">
      <c r="A213005" t="s">
        <v>1393</v>
      </c>
    </row>
    <row r="213006" spans="1:1" x14ac:dyDescent="0.15">
      <c r="A213006" t="s">
        <v>1396</v>
      </c>
    </row>
    <row r="213007" spans="1:1" x14ac:dyDescent="0.15">
      <c r="A213007" t="s">
        <v>409</v>
      </c>
    </row>
    <row r="213008" spans="1:1" x14ac:dyDescent="0.15">
      <c r="A213008" t="s">
        <v>410</v>
      </c>
    </row>
    <row r="213009" spans="1:1" x14ac:dyDescent="0.15">
      <c r="A213009" t="s">
        <v>424</v>
      </c>
    </row>
    <row r="213010" spans="1:1" x14ac:dyDescent="0.15">
      <c r="A213010" t="s">
        <v>425</v>
      </c>
    </row>
    <row r="213011" spans="1:1" x14ac:dyDescent="0.15">
      <c r="A213011" t="s">
        <v>1397</v>
      </c>
    </row>
    <row r="213012" spans="1:1" x14ac:dyDescent="0.15">
      <c r="A213012" t="s">
        <v>1398</v>
      </c>
    </row>
    <row r="213013" spans="1:1" x14ac:dyDescent="0.15">
      <c r="A213013" t="s">
        <v>411</v>
      </c>
    </row>
    <row r="213014" spans="1:1" x14ac:dyDescent="0.15">
      <c r="A213014" t="s">
        <v>412</v>
      </c>
    </row>
    <row r="213015" spans="1:1" x14ac:dyDescent="0.15">
      <c r="A213015" t="s">
        <v>413</v>
      </c>
    </row>
    <row r="213016" spans="1:1" x14ac:dyDescent="0.15">
      <c r="A213016" t="s">
        <v>414</v>
      </c>
    </row>
    <row r="213017" spans="1:1" x14ac:dyDescent="0.15">
      <c r="A213017" t="s">
        <v>415</v>
      </c>
    </row>
    <row r="213018" spans="1:1" x14ac:dyDescent="0.15">
      <c r="A213018" t="s">
        <v>421</v>
      </c>
    </row>
    <row r="213019" spans="1:1" ht="15.75" x14ac:dyDescent="0.15">
      <c r="A213019" t="s">
        <v>1399</v>
      </c>
    </row>
    <row r="213020" spans="1:1" x14ac:dyDescent="0.15">
      <c r="A213020" t="s">
        <v>416</v>
      </c>
    </row>
    <row r="213021" spans="1:1" x14ac:dyDescent="0.15">
      <c r="A213021" t="s">
        <v>417</v>
      </c>
    </row>
    <row r="213022" spans="1:1" x14ac:dyDescent="0.15">
      <c r="A213022" t="s">
        <v>418</v>
      </c>
    </row>
    <row r="213023" spans="1:1" x14ac:dyDescent="0.15">
      <c r="A213023" t="s">
        <v>419</v>
      </c>
    </row>
    <row r="213024" spans="1:1" x14ac:dyDescent="0.15">
      <c r="A213024" t="s">
        <v>420</v>
      </c>
    </row>
    <row r="213025" spans="1:1" x14ac:dyDescent="0.15">
      <c r="A213025" t="s">
        <v>822</v>
      </c>
    </row>
    <row r="213026" spans="1:1" x14ac:dyDescent="0.15">
      <c r="A213026" t="s">
        <v>1387</v>
      </c>
    </row>
    <row r="213027" spans="1:1" x14ac:dyDescent="0.15">
      <c r="A213027" t="s">
        <v>1388</v>
      </c>
    </row>
    <row r="213028" spans="1:1" x14ac:dyDescent="0.15">
      <c r="A213028" t="s">
        <v>820</v>
      </c>
    </row>
    <row r="213029" spans="1:1" x14ac:dyDescent="0.15">
      <c r="A213029" t="s">
        <v>821</v>
      </c>
    </row>
    <row r="229378" spans="1:1" x14ac:dyDescent="0.15">
      <c r="A229378" t="s">
        <v>958</v>
      </c>
    </row>
    <row r="229379" spans="1:1" x14ac:dyDescent="0.15">
      <c r="A229379" t="s">
        <v>405</v>
      </c>
    </row>
    <row r="229380" spans="1:1" x14ac:dyDescent="0.15">
      <c r="A229380" t="s">
        <v>406</v>
      </c>
    </row>
    <row r="229381" spans="1:1" x14ac:dyDescent="0.15">
      <c r="A229381" t="s">
        <v>422</v>
      </c>
    </row>
    <row r="229382" spans="1:1" x14ac:dyDescent="0.15">
      <c r="A229382" t="s">
        <v>1394</v>
      </c>
    </row>
    <row r="229383" spans="1:1" x14ac:dyDescent="0.15">
      <c r="A229383" t="s">
        <v>1391</v>
      </c>
    </row>
    <row r="229384" spans="1:1" x14ac:dyDescent="0.15">
      <c r="A229384" t="s">
        <v>1392</v>
      </c>
    </row>
    <row r="229385" spans="1:1" x14ac:dyDescent="0.15">
      <c r="A229385" t="s">
        <v>407</v>
      </c>
    </row>
    <row r="229386" spans="1:1" x14ac:dyDescent="0.15">
      <c r="A229386" t="s">
        <v>408</v>
      </c>
    </row>
    <row r="229387" spans="1:1" x14ac:dyDescent="0.15">
      <c r="A229387" t="s">
        <v>423</v>
      </c>
    </row>
    <row r="229388" spans="1:1" x14ac:dyDescent="0.15">
      <c r="A229388" t="s">
        <v>1395</v>
      </c>
    </row>
    <row r="229389" spans="1:1" x14ac:dyDescent="0.15">
      <c r="A229389" t="s">
        <v>1393</v>
      </c>
    </row>
    <row r="229390" spans="1:1" x14ac:dyDescent="0.15">
      <c r="A229390" t="s">
        <v>1396</v>
      </c>
    </row>
    <row r="229391" spans="1:1" x14ac:dyDescent="0.15">
      <c r="A229391" t="s">
        <v>409</v>
      </c>
    </row>
    <row r="229392" spans="1:1" x14ac:dyDescent="0.15">
      <c r="A229392" t="s">
        <v>410</v>
      </c>
    </row>
    <row r="229393" spans="1:1" x14ac:dyDescent="0.15">
      <c r="A229393" t="s">
        <v>424</v>
      </c>
    </row>
    <row r="229394" spans="1:1" x14ac:dyDescent="0.15">
      <c r="A229394" t="s">
        <v>425</v>
      </c>
    </row>
    <row r="229395" spans="1:1" x14ac:dyDescent="0.15">
      <c r="A229395" t="s">
        <v>1397</v>
      </c>
    </row>
    <row r="229396" spans="1:1" x14ac:dyDescent="0.15">
      <c r="A229396" t="s">
        <v>1398</v>
      </c>
    </row>
    <row r="229397" spans="1:1" x14ac:dyDescent="0.15">
      <c r="A229397" t="s">
        <v>411</v>
      </c>
    </row>
    <row r="229398" spans="1:1" x14ac:dyDescent="0.15">
      <c r="A229398" t="s">
        <v>412</v>
      </c>
    </row>
    <row r="229399" spans="1:1" x14ac:dyDescent="0.15">
      <c r="A229399" t="s">
        <v>413</v>
      </c>
    </row>
    <row r="229400" spans="1:1" x14ac:dyDescent="0.15">
      <c r="A229400" t="s">
        <v>414</v>
      </c>
    </row>
    <row r="229401" spans="1:1" x14ac:dyDescent="0.15">
      <c r="A229401" t="s">
        <v>415</v>
      </c>
    </row>
    <row r="229402" spans="1:1" x14ac:dyDescent="0.15">
      <c r="A229402" t="s">
        <v>421</v>
      </c>
    </row>
    <row r="229403" spans="1:1" ht="15.75" x14ac:dyDescent="0.15">
      <c r="A229403" t="s">
        <v>1399</v>
      </c>
    </row>
    <row r="229404" spans="1:1" x14ac:dyDescent="0.15">
      <c r="A229404" t="s">
        <v>416</v>
      </c>
    </row>
    <row r="229405" spans="1:1" x14ac:dyDescent="0.15">
      <c r="A229405" t="s">
        <v>417</v>
      </c>
    </row>
    <row r="229406" spans="1:1" x14ac:dyDescent="0.15">
      <c r="A229406" t="s">
        <v>418</v>
      </c>
    </row>
    <row r="229407" spans="1:1" x14ac:dyDescent="0.15">
      <c r="A229407" t="s">
        <v>419</v>
      </c>
    </row>
    <row r="229408" spans="1:1" x14ac:dyDescent="0.15">
      <c r="A229408" t="s">
        <v>420</v>
      </c>
    </row>
    <row r="229409" spans="1:1" x14ac:dyDescent="0.15">
      <c r="A229409" t="s">
        <v>822</v>
      </c>
    </row>
    <row r="229410" spans="1:1" x14ac:dyDescent="0.15">
      <c r="A229410" t="s">
        <v>1387</v>
      </c>
    </row>
    <row r="229411" spans="1:1" x14ac:dyDescent="0.15">
      <c r="A229411" t="s">
        <v>1388</v>
      </c>
    </row>
    <row r="229412" spans="1:1" x14ac:dyDescent="0.15">
      <c r="A229412" t="s">
        <v>820</v>
      </c>
    </row>
    <row r="229413" spans="1:1" x14ac:dyDescent="0.15">
      <c r="A229413" t="s">
        <v>821</v>
      </c>
    </row>
    <row r="245762" spans="1:1" x14ac:dyDescent="0.15">
      <c r="A245762" t="s">
        <v>958</v>
      </c>
    </row>
    <row r="245763" spans="1:1" x14ac:dyDescent="0.15">
      <c r="A245763" t="s">
        <v>405</v>
      </c>
    </row>
    <row r="245764" spans="1:1" x14ac:dyDescent="0.15">
      <c r="A245764" t="s">
        <v>406</v>
      </c>
    </row>
    <row r="245765" spans="1:1" x14ac:dyDescent="0.15">
      <c r="A245765" t="s">
        <v>422</v>
      </c>
    </row>
    <row r="245766" spans="1:1" x14ac:dyDescent="0.15">
      <c r="A245766" t="s">
        <v>1394</v>
      </c>
    </row>
    <row r="245767" spans="1:1" x14ac:dyDescent="0.15">
      <c r="A245767" t="s">
        <v>1391</v>
      </c>
    </row>
    <row r="245768" spans="1:1" x14ac:dyDescent="0.15">
      <c r="A245768" t="s">
        <v>1392</v>
      </c>
    </row>
    <row r="245769" spans="1:1" x14ac:dyDescent="0.15">
      <c r="A245769" t="s">
        <v>407</v>
      </c>
    </row>
    <row r="245770" spans="1:1" x14ac:dyDescent="0.15">
      <c r="A245770" t="s">
        <v>408</v>
      </c>
    </row>
    <row r="245771" spans="1:1" x14ac:dyDescent="0.15">
      <c r="A245771" t="s">
        <v>423</v>
      </c>
    </row>
    <row r="245772" spans="1:1" x14ac:dyDescent="0.15">
      <c r="A245772" t="s">
        <v>1395</v>
      </c>
    </row>
    <row r="245773" spans="1:1" x14ac:dyDescent="0.15">
      <c r="A245773" t="s">
        <v>1393</v>
      </c>
    </row>
    <row r="245774" spans="1:1" x14ac:dyDescent="0.15">
      <c r="A245774" t="s">
        <v>1396</v>
      </c>
    </row>
    <row r="245775" spans="1:1" x14ac:dyDescent="0.15">
      <c r="A245775" t="s">
        <v>409</v>
      </c>
    </row>
    <row r="245776" spans="1:1" x14ac:dyDescent="0.15">
      <c r="A245776" t="s">
        <v>410</v>
      </c>
    </row>
    <row r="245777" spans="1:1" x14ac:dyDescent="0.15">
      <c r="A245777" t="s">
        <v>424</v>
      </c>
    </row>
    <row r="245778" spans="1:1" x14ac:dyDescent="0.15">
      <c r="A245778" t="s">
        <v>425</v>
      </c>
    </row>
    <row r="245779" spans="1:1" x14ac:dyDescent="0.15">
      <c r="A245779" t="s">
        <v>1397</v>
      </c>
    </row>
    <row r="245780" spans="1:1" x14ac:dyDescent="0.15">
      <c r="A245780" t="s">
        <v>1398</v>
      </c>
    </row>
    <row r="245781" spans="1:1" x14ac:dyDescent="0.15">
      <c r="A245781" t="s">
        <v>411</v>
      </c>
    </row>
    <row r="245782" spans="1:1" x14ac:dyDescent="0.15">
      <c r="A245782" t="s">
        <v>412</v>
      </c>
    </row>
    <row r="245783" spans="1:1" x14ac:dyDescent="0.15">
      <c r="A245783" t="s">
        <v>413</v>
      </c>
    </row>
    <row r="245784" spans="1:1" x14ac:dyDescent="0.15">
      <c r="A245784" t="s">
        <v>414</v>
      </c>
    </row>
    <row r="245785" spans="1:1" x14ac:dyDescent="0.15">
      <c r="A245785" t="s">
        <v>415</v>
      </c>
    </row>
    <row r="245786" spans="1:1" x14ac:dyDescent="0.15">
      <c r="A245786" t="s">
        <v>421</v>
      </c>
    </row>
    <row r="245787" spans="1:1" ht="15.75" x14ac:dyDescent="0.15">
      <c r="A245787" t="s">
        <v>1399</v>
      </c>
    </row>
    <row r="245788" spans="1:1" x14ac:dyDescent="0.15">
      <c r="A245788" t="s">
        <v>416</v>
      </c>
    </row>
    <row r="245789" spans="1:1" x14ac:dyDescent="0.15">
      <c r="A245789" t="s">
        <v>417</v>
      </c>
    </row>
    <row r="245790" spans="1:1" x14ac:dyDescent="0.15">
      <c r="A245790" t="s">
        <v>418</v>
      </c>
    </row>
    <row r="245791" spans="1:1" x14ac:dyDescent="0.15">
      <c r="A245791" t="s">
        <v>419</v>
      </c>
    </row>
    <row r="245792" spans="1:1" x14ac:dyDescent="0.15">
      <c r="A245792" t="s">
        <v>420</v>
      </c>
    </row>
    <row r="245793" spans="1:1" x14ac:dyDescent="0.15">
      <c r="A245793" t="s">
        <v>822</v>
      </c>
    </row>
    <row r="245794" spans="1:1" x14ac:dyDescent="0.15">
      <c r="A245794" t="s">
        <v>1387</v>
      </c>
    </row>
    <row r="245795" spans="1:1" x14ac:dyDescent="0.15">
      <c r="A245795" t="s">
        <v>1388</v>
      </c>
    </row>
    <row r="245796" spans="1:1" x14ac:dyDescent="0.15">
      <c r="A245796" t="s">
        <v>820</v>
      </c>
    </row>
    <row r="245797" spans="1:1" x14ac:dyDescent="0.15">
      <c r="A245797" t="s">
        <v>821</v>
      </c>
    </row>
    <row r="262146" spans="1:1" x14ac:dyDescent="0.15">
      <c r="A262146" t="s">
        <v>958</v>
      </c>
    </row>
    <row r="262147" spans="1:1" x14ac:dyDescent="0.15">
      <c r="A262147" t="s">
        <v>405</v>
      </c>
    </row>
    <row r="262148" spans="1:1" x14ac:dyDescent="0.15">
      <c r="A262148" t="s">
        <v>406</v>
      </c>
    </row>
    <row r="262149" spans="1:1" x14ac:dyDescent="0.15">
      <c r="A262149" t="s">
        <v>422</v>
      </c>
    </row>
    <row r="262150" spans="1:1" x14ac:dyDescent="0.15">
      <c r="A262150" t="s">
        <v>1394</v>
      </c>
    </row>
    <row r="262151" spans="1:1" x14ac:dyDescent="0.15">
      <c r="A262151" t="s">
        <v>1391</v>
      </c>
    </row>
    <row r="262152" spans="1:1" x14ac:dyDescent="0.15">
      <c r="A262152" t="s">
        <v>1392</v>
      </c>
    </row>
    <row r="262153" spans="1:1" x14ac:dyDescent="0.15">
      <c r="A262153" t="s">
        <v>407</v>
      </c>
    </row>
    <row r="262154" spans="1:1" x14ac:dyDescent="0.15">
      <c r="A262154" t="s">
        <v>408</v>
      </c>
    </row>
    <row r="262155" spans="1:1" x14ac:dyDescent="0.15">
      <c r="A262155" t="s">
        <v>423</v>
      </c>
    </row>
    <row r="262156" spans="1:1" x14ac:dyDescent="0.15">
      <c r="A262156" t="s">
        <v>1395</v>
      </c>
    </row>
    <row r="262157" spans="1:1" x14ac:dyDescent="0.15">
      <c r="A262157" t="s">
        <v>1393</v>
      </c>
    </row>
    <row r="262158" spans="1:1" x14ac:dyDescent="0.15">
      <c r="A262158" t="s">
        <v>1396</v>
      </c>
    </row>
    <row r="262159" spans="1:1" x14ac:dyDescent="0.15">
      <c r="A262159" t="s">
        <v>409</v>
      </c>
    </row>
    <row r="262160" spans="1:1" x14ac:dyDescent="0.15">
      <c r="A262160" t="s">
        <v>410</v>
      </c>
    </row>
    <row r="262161" spans="1:1" x14ac:dyDescent="0.15">
      <c r="A262161" t="s">
        <v>424</v>
      </c>
    </row>
    <row r="262162" spans="1:1" x14ac:dyDescent="0.15">
      <c r="A262162" t="s">
        <v>425</v>
      </c>
    </row>
    <row r="262163" spans="1:1" x14ac:dyDescent="0.15">
      <c r="A262163" t="s">
        <v>1397</v>
      </c>
    </row>
    <row r="262164" spans="1:1" x14ac:dyDescent="0.15">
      <c r="A262164" t="s">
        <v>1398</v>
      </c>
    </row>
    <row r="262165" spans="1:1" x14ac:dyDescent="0.15">
      <c r="A262165" t="s">
        <v>411</v>
      </c>
    </row>
    <row r="262166" spans="1:1" x14ac:dyDescent="0.15">
      <c r="A262166" t="s">
        <v>412</v>
      </c>
    </row>
    <row r="262167" spans="1:1" x14ac:dyDescent="0.15">
      <c r="A262167" t="s">
        <v>413</v>
      </c>
    </row>
    <row r="262168" spans="1:1" x14ac:dyDescent="0.15">
      <c r="A262168" t="s">
        <v>414</v>
      </c>
    </row>
    <row r="262169" spans="1:1" x14ac:dyDescent="0.15">
      <c r="A262169" t="s">
        <v>415</v>
      </c>
    </row>
    <row r="262170" spans="1:1" x14ac:dyDescent="0.15">
      <c r="A262170" t="s">
        <v>421</v>
      </c>
    </row>
    <row r="262171" spans="1:1" ht="15.75" x14ac:dyDescent="0.15">
      <c r="A262171" t="s">
        <v>1399</v>
      </c>
    </row>
    <row r="262172" spans="1:1" x14ac:dyDescent="0.15">
      <c r="A262172" t="s">
        <v>416</v>
      </c>
    </row>
    <row r="262173" spans="1:1" x14ac:dyDescent="0.15">
      <c r="A262173" t="s">
        <v>417</v>
      </c>
    </row>
    <row r="262174" spans="1:1" x14ac:dyDescent="0.15">
      <c r="A262174" t="s">
        <v>418</v>
      </c>
    </row>
    <row r="262175" spans="1:1" x14ac:dyDescent="0.15">
      <c r="A262175" t="s">
        <v>419</v>
      </c>
    </row>
    <row r="262176" spans="1:1" x14ac:dyDescent="0.15">
      <c r="A262176" t="s">
        <v>420</v>
      </c>
    </row>
    <row r="262177" spans="1:1" x14ac:dyDescent="0.15">
      <c r="A262177" t="s">
        <v>822</v>
      </c>
    </row>
    <row r="262178" spans="1:1" x14ac:dyDescent="0.15">
      <c r="A262178" t="s">
        <v>1387</v>
      </c>
    </row>
    <row r="262179" spans="1:1" x14ac:dyDescent="0.15">
      <c r="A262179" t="s">
        <v>1388</v>
      </c>
    </row>
    <row r="262180" spans="1:1" x14ac:dyDescent="0.15">
      <c r="A262180" t="s">
        <v>820</v>
      </c>
    </row>
    <row r="262181" spans="1:1" x14ac:dyDescent="0.15">
      <c r="A262181" t="s">
        <v>821</v>
      </c>
    </row>
    <row r="278530" spans="1:1" x14ac:dyDescent="0.15">
      <c r="A278530" t="s">
        <v>958</v>
      </c>
    </row>
    <row r="278531" spans="1:1" x14ac:dyDescent="0.15">
      <c r="A278531" t="s">
        <v>405</v>
      </c>
    </row>
    <row r="278532" spans="1:1" x14ac:dyDescent="0.15">
      <c r="A278532" t="s">
        <v>406</v>
      </c>
    </row>
    <row r="278533" spans="1:1" x14ac:dyDescent="0.15">
      <c r="A278533" t="s">
        <v>422</v>
      </c>
    </row>
    <row r="278534" spans="1:1" x14ac:dyDescent="0.15">
      <c r="A278534" t="s">
        <v>1394</v>
      </c>
    </row>
    <row r="278535" spans="1:1" x14ac:dyDescent="0.15">
      <c r="A278535" t="s">
        <v>1391</v>
      </c>
    </row>
    <row r="278536" spans="1:1" x14ac:dyDescent="0.15">
      <c r="A278536" t="s">
        <v>1392</v>
      </c>
    </row>
    <row r="278537" spans="1:1" x14ac:dyDescent="0.15">
      <c r="A278537" t="s">
        <v>407</v>
      </c>
    </row>
    <row r="278538" spans="1:1" x14ac:dyDescent="0.15">
      <c r="A278538" t="s">
        <v>408</v>
      </c>
    </row>
    <row r="278539" spans="1:1" x14ac:dyDescent="0.15">
      <c r="A278539" t="s">
        <v>423</v>
      </c>
    </row>
    <row r="278540" spans="1:1" x14ac:dyDescent="0.15">
      <c r="A278540" t="s">
        <v>1395</v>
      </c>
    </row>
    <row r="278541" spans="1:1" x14ac:dyDescent="0.15">
      <c r="A278541" t="s">
        <v>1393</v>
      </c>
    </row>
    <row r="278542" spans="1:1" x14ac:dyDescent="0.15">
      <c r="A278542" t="s">
        <v>1396</v>
      </c>
    </row>
    <row r="278543" spans="1:1" x14ac:dyDescent="0.15">
      <c r="A278543" t="s">
        <v>409</v>
      </c>
    </row>
    <row r="278544" spans="1:1" x14ac:dyDescent="0.15">
      <c r="A278544" t="s">
        <v>410</v>
      </c>
    </row>
    <row r="278545" spans="1:1" x14ac:dyDescent="0.15">
      <c r="A278545" t="s">
        <v>424</v>
      </c>
    </row>
    <row r="278546" spans="1:1" x14ac:dyDescent="0.15">
      <c r="A278546" t="s">
        <v>425</v>
      </c>
    </row>
    <row r="278547" spans="1:1" x14ac:dyDescent="0.15">
      <c r="A278547" t="s">
        <v>1397</v>
      </c>
    </row>
    <row r="278548" spans="1:1" x14ac:dyDescent="0.15">
      <c r="A278548" t="s">
        <v>1398</v>
      </c>
    </row>
    <row r="278549" spans="1:1" x14ac:dyDescent="0.15">
      <c r="A278549" t="s">
        <v>411</v>
      </c>
    </row>
    <row r="278550" spans="1:1" x14ac:dyDescent="0.15">
      <c r="A278550" t="s">
        <v>412</v>
      </c>
    </row>
    <row r="278551" spans="1:1" x14ac:dyDescent="0.15">
      <c r="A278551" t="s">
        <v>413</v>
      </c>
    </row>
    <row r="278552" spans="1:1" x14ac:dyDescent="0.15">
      <c r="A278552" t="s">
        <v>414</v>
      </c>
    </row>
    <row r="278553" spans="1:1" x14ac:dyDescent="0.15">
      <c r="A278553" t="s">
        <v>415</v>
      </c>
    </row>
    <row r="278554" spans="1:1" x14ac:dyDescent="0.15">
      <c r="A278554" t="s">
        <v>421</v>
      </c>
    </row>
    <row r="278555" spans="1:1" ht="15.75" x14ac:dyDescent="0.15">
      <c r="A278555" t="s">
        <v>1399</v>
      </c>
    </row>
    <row r="278556" spans="1:1" x14ac:dyDescent="0.15">
      <c r="A278556" t="s">
        <v>416</v>
      </c>
    </row>
    <row r="278557" spans="1:1" x14ac:dyDescent="0.15">
      <c r="A278557" t="s">
        <v>417</v>
      </c>
    </row>
    <row r="278558" spans="1:1" x14ac:dyDescent="0.15">
      <c r="A278558" t="s">
        <v>418</v>
      </c>
    </row>
    <row r="278559" spans="1:1" x14ac:dyDescent="0.15">
      <c r="A278559" t="s">
        <v>419</v>
      </c>
    </row>
    <row r="278560" spans="1:1" x14ac:dyDescent="0.15">
      <c r="A278560" t="s">
        <v>420</v>
      </c>
    </row>
    <row r="278561" spans="1:1" x14ac:dyDescent="0.15">
      <c r="A278561" t="s">
        <v>822</v>
      </c>
    </row>
    <row r="278562" spans="1:1" x14ac:dyDescent="0.15">
      <c r="A278562" t="s">
        <v>1387</v>
      </c>
    </row>
    <row r="278563" spans="1:1" x14ac:dyDescent="0.15">
      <c r="A278563" t="s">
        <v>1388</v>
      </c>
    </row>
    <row r="278564" spans="1:1" x14ac:dyDescent="0.15">
      <c r="A278564" t="s">
        <v>820</v>
      </c>
    </row>
    <row r="278565" spans="1:1" x14ac:dyDescent="0.15">
      <c r="A278565" t="s">
        <v>821</v>
      </c>
    </row>
    <row r="294914" spans="1:1" x14ac:dyDescent="0.15">
      <c r="A294914" t="s">
        <v>958</v>
      </c>
    </row>
    <row r="294915" spans="1:1" x14ac:dyDescent="0.15">
      <c r="A294915" t="s">
        <v>405</v>
      </c>
    </row>
    <row r="294916" spans="1:1" x14ac:dyDescent="0.15">
      <c r="A294916" t="s">
        <v>406</v>
      </c>
    </row>
    <row r="294917" spans="1:1" x14ac:dyDescent="0.15">
      <c r="A294917" t="s">
        <v>422</v>
      </c>
    </row>
    <row r="294918" spans="1:1" x14ac:dyDescent="0.15">
      <c r="A294918" t="s">
        <v>1394</v>
      </c>
    </row>
    <row r="294919" spans="1:1" x14ac:dyDescent="0.15">
      <c r="A294919" t="s">
        <v>1391</v>
      </c>
    </row>
    <row r="294920" spans="1:1" x14ac:dyDescent="0.15">
      <c r="A294920" t="s">
        <v>1392</v>
      </c>
    </row>
    <row r="294921" spans="1:1" x14ac:dyDescent="0.15">
      <c r="A294921" t="s">
        <v>407</v>
      </c>
    </row>
    <row r="294922" spans="1:1" x14ac:dyDescent="0.15">
      <c r="A294922" t="s">
        <v>408</v>
      </c>
    </row>
    <row r="294923" spans="1:1" x14ac:dyDescent="0.15">
      <c r="A294923" t="s">
        <v>423</v>
      </c>
    </row>
    <row r="294924" spans="1:1" x14ac:dyDescent="0.15">
      <c r="A294924" t="s">
        <v>1395</v>
      </c>
    </row>
    <row r="294925" spans="1:1" x14ac:dyDescent="0.15">
      <c r="A294925" t="s">
        <v>1393</v>
      </c>
    </row>
    <row r="294926" spans="1:1" x14ac:dyDescent="0.15">
      <c r="A294926" t="s">
        <v>1396</v>
      </c>
    </row>
    <row r="294927" spans="1:1" x14ac:dyDescent="0.15">
      <c r="A294927" t="s">
        <v>409</v>
      </c>
    </row>
    <row r="294928" spans="1:1" x14ac:dyDescent="0.15">
      <c r="A294928" t="s">
        <v>410</v>
      </c>
    </row>
    <row r="294929" spans="1:1" x14ac:dyDescent="0.15">
      <c r="A294929" t="s">
        <v>424</v>
      </c>
    </row>
    <row r="294930" spans="1:1" x14ac:dyDescent="0.15">
      <c r="A294930" t="s">
        <v>425</v>
      </c>
    </row>
    <row r="294931" spans="1:1" x14ac:dyDescent="0.15">
      <c r="A294931" t="s">
        <v>1397</v>
      </c>
    </row>
    <row r="294932" spans="1:1" x14ac:dyDescent="0.15">
      <c r="A294932" t="s">
        <v>1398</v>
      </c>
    </row>
    <row r="294933" spans="1:1" x14ac:dyDescent="0.15">
      <c r="A294933" t="s">
        <v>411</v>
      </c>
    </row>
    <row r="294934" spans="1:1" x14ac:dyDescent="0.15">
      <c r="A294934" t="s">
        <v>412</v>
      </c>
    </row>
    <row r="294935" spans="1:1" x14ac:dyDescent="0.15">
      <c r="A294935" t="s">
        <v>413</v>
      </c>
    </row>
    <row r="294936" spans="1:1" x14ac:dyDescent="0.15">
      <c r="A294936" t="s">
        <v>414</v>
      </c>
    </row>
    <row r="294937" spans="1:1" x14ac:dyDescent="0.15">
      <c r="A294937" t="s">
        <v>415</v>
      </c>
    </row>
    <row r="294938" spans="1:1" x14ac:dyDescent="0.15">
      <c r="A294938" t="s">
        <v>421</v>
      </c>
    </row>
    <row r="294939" spans="1:1" ht="15.75" x14ac:dyDescent="0.15">
      <c r="A294939" t="s">
        <v>1399</v>
      </c>
    </row>
    <row r="294940" spans="1:1" x14ac:dyDescent="0.15">
      <c r="A294940" t="s">
        <v>416</v>
      </c>
    </row>
    <row r="294941" spans="1:1" x14ac:dyDescent="0.15">
      <c r="A294941" t="s">
        <v>417</v>
      </c>
    </row>
    <row r="294942" spans="1:1" x14ac:dyDescent="0.15">
      <c r="A294942" t="s">
        <v>418</v>
      </c>
    </row>
    <row r="294943" spans="1:1" x14ac:dyDescent="0.15">
      <c r="A294943" t="s">
        <v>419</v>
      </c>
    </row>
    <row r="294944" spans="1:1" x14ac:dyDescent="0.15">
      <c r="A294944" t="s">
        <v>420</v>
      </c>
    </row>
    <row r="294945" spans="1:1" x14ac:dyDescent="0.15">
      <c r="A294945" t="s">
        <v>822</v>
      </c>
    </row>
    <row r="294946" spans="1:1" x14ac:dyDescent="0.15">
      <c r="A294946" t="s">
        <v>1387</v>
      </c>
    </row>
    <row r="294947" spans="1:1" x14ac:dyDescent="0.15">
      <c r="A294947" t="s">
        <v>1388</v>
      </c>
    </row>
    <row r="294948" spans="1:1" x14ac:dyDescent="0.15">
      <c r="A294948" t="s">
        <v>820</v>
      </c>
    </row>
    <row r="294949" spans="1:1" x14ac:dyDescent="0.15">
      <c r="A294949" t="s">
        <v>821</v>
      </c>
    </row>
    <row r="311298" spans="1:1" x14ac:dyDescent="0.15">
      <c r="A311298" t="s">
        <v>958</v>
      </c>
    </row>
    <row r="311299" spans="1:1" x14ac:dyDescent="0.15">
      <c r="A311299" t="s">
        <v>405</v>
      </c>
    </row>
    <row r="311300" spans="1:1" x14ac:dyDescent="0.15">
      <c r="A311300" t="s">
        <v>406</v>
      </c>
    </row>
    <row r="311301" spans="1:1" x14ac:dyDescent="0.15">
      <c r="A311301" t="s">
        <v>422</v>
      </c>
    </row>
    <row r="311302" spans="1:1" x14ac:dyDescent="0.15">
      <c r="A311302" t="s">
        <v>1394</v>
      </c>
    </row>
    <row r="311303" spans="1:1" x14ac:dyDescent="0.15">
      <c r="A311303" t="s">
        <v>1391</v>
      </c>
    </row>
    <row r="311304" spans="1:1" x14ac:dyDescent="0.15">
      <c r="A311304" t="s">
        <v>1392</v>
      </c>
    </row>
    <row r="311305" spans="1:1" x14ac:dyDescent="0.15">
      <c r="A311305" t="s">
        <v>407</v>
      </c>
    </row>
    <row r="311306" spans="1:1" x14ac:dyDescent="0.15">
      <c r="A311306" t="s">
        <v>408</v>
      </c>
    </row>
    <row r="311307" spans="1:1" x14ac:dyDescent="0.15">
      <c r="A311307" t="s">
        <v>423</v>
      </c>
    </row>
    <row r="311308" spans="1:1" x14ac:dyDescent="0.15">
      <c r="A311308" t="s">
        <v>1395</v>
      </c>
    </row>
    <row r="311309" spans="1:1" x14ac:dyDescent="0.15">
      <c r="A311309" t="s">
        <v>1393</v>
      </c>
    </row>
    <row r="311310" spans="1:1" x14ac:dyDescent="0.15">
      <c r="A311310" t="s">
        <v>1396</v>
      </c>
    </row>
    <row r="311311" spans="1:1" x14ac:dyDescent="0.15">
      <c r="A311311" t="s">
        <v>409</v>
      </c>
    </row>
    <row r="311312" spans="1:1" x14ac:dyDescent="0.15">
      <c r="A311312" t="s">
        <v>410</v>
      </c>
    </row>
    <row r="311313" spans="1:1" x14ac:dyDescent="0.15">
      <c r="A311313" t="s">
        <v>424</v>
      </c>
    </row>
    <row r="311314" spans="1:1" x14ac:dyDescent="0.15">
      <c r="A311314" t="s">
        <v>425</v>
      </c>
    </row>
    <row r="311315" spans="1:1" x14ac:dyDescent="0.15">
      <c r="A311315" t="s">
        <v>1397</v>
      </c>
    </row>
    <row r="311316" spans="1:1" x14ac:dyDescent="0.15">
      <c r="A311316" t="s">
        <v>1398</v>
      </c>
    </row>
    <row r="311317" spans="1:1" x14ac:dyDescent="0.15">
      <c r="A311317" t="s">
        <v>411</v>
      </c>
    </row>
    <row r="311318" spans="1:1" x14ac:dyDescent="0.15">
      <c r="A311318" t="s">
        <v>412</v>
      </c>
    </row>
    <row r="311319" spans="1:1" x14ac:dyDescent="0.15">
      <c r="A311319" t="s">
        <v>413</v>
      </c>
    </row>
    <row r="311320" spans="1:1" x14ac:dyDescent="0.15">
      <c r="A311320" t="s">
        <v>414</v>
      </c>
    </row>
    <row r="311321" spans="1:1" x14ac:dyDescent="0.15">
      <c r="A311321" t="s">
        <v>415</v>
      </c>
    </row>
    <row r="311322" spans="1:1" x14ac:dyDescent="0.15">
      <c r="A311322" t="s">
        <v>421</v>
      </c>
    </row>
    <row r="311323" spans="1:1" ht="15.75" x14ac:dyDescent="0.15">
      <c r="A311323" t="s">
        <v>1399</v>
      </c>
    </row>
    <row r="311324" spans="1:1" x14ac:dyDescent="0.15">
      <c r="A311324" t="s">
        <v>416</v>
      </c>
    </row>
    <row r="311325" spans="1:1" x14ac:dyDescent="0.15">
      <c r="A311325" t="s">
        <v>417</v>
      </c>
    </row>
    <row r="311326" spans="1:1" x14ac:dyDescent="0.15">
      <c r="A311326" t="s">
        <v>418</v>
      </c>
    </row>
    <row r="311327" spans="1:1" x14ac:dyDescent="0.15">
      <c r="A311327" t="s">
        <v>419</v>
      </c>
    </row>
    <row r="311328" spans="1:1" x14ac:dyDescent="0.15">
      <c r="A311328" t="s">
        <v>420</v>
      </c>
    </row>
    <row r="311329" spans="1:1" x14ac:dyDescent="0.15">
      <c r="A311329" t="s">
        <v>822</v>
      </c>
    </row>
    <row r="311330" spans="1:1" x14ac:dyDescent="0.15">
      <c r="A311330" t="s">
        <v>1387</v>
      </c>
    </row>
    <row r="311331" spans="1:1" x14ac:dyDescent="0.15">
      <c r="A311331" t="s">
        <v>1388</v>
      </c>
    </row>
    <row r="311332" spans="1:1" x14ac:dyDescent="0.15">
      <c r="A311332" t="s">
        <v>820</v>
      </c>
    </row>
    <row r="311333" spans="1:1" x14ac:dyDescent="0.15">
      <c r="A311333" t="s">
        <v>821</v>
      </c>
    </row>
    <row r="327682" spans="1:1" x14ac:dyDescent="0.15">
      <c r="A327682" t="s">
        <v>958</v>
      </c>
    </row>
    <row r="327683" spans="1:1" x14ac:dyDescent="0.15">
      <c r="A327683" t="s">
        <v>405</v>
      </c>
    </row>
    <row r="327684" spans="1:1" x14ac:dyDescent="0.15">
      <c r="A327684" t="s">
        <v>406</v>
      </c>
    </row>
    <row r="327685" spans="1:1" x14ac:dyDescent="0.15">
      <c r="A327685" t="s">
        <v>422</v>
      </c>
    </row>
    <row r="327686" spans="1:1" x14ac:dyDescent="0.15">
      <c r="A327686" t="s">
        <v>1394</v>
      </c>
    </row>
    <row r="327687" spans="1:1" x14ac:dyDescent="0.15">
      <c r="A327687" t="s">
        <v>1391</v>
      </c>
    </row>
    <row r="327688" spans="1:1" x14ac:dyDescent="0.15">
      <c r="A327688" t="s">
        <v>1392</v>
      </c>
    </row>
    <row r="327689" spans="1:1" x14ac:dyDescent="0.15">
      <c r="A327689" t="s">
        <v>407</v>
      </c>
    </row>
    <row r="327690" spans="1:1" x14ac:dyDescent="0.15">
      <c r="A327690" t="s">
        <v>408</v>
      </c>
    </row>
    <row r="327691" spans="1:1" x14ac:dyDescent="0.15">
      <c r="A327691" t="s">
        <v>423</v>
      </c>
    </row>
    <row r="327692" spans="1:1" x14ac:dyDescent="0.15">
      <c r="A327692" t="s">
        <v>1395</v>
      </c>
    </row>
    <row r="327693" spans="1:1" x14ac:dyDescent="0.15">
      <c r="A327693" t="s">
        <v>1393</v>
      </c>
    </row>
    <row r="327694" spans="1:1" x14ac:dyDescent="0.15">
      <c r="A327694" t="s">
        <v>1396</v>
      </c>
    </row>
    <row r="327695" spans="1:1" x14ac:dyDescent="0.15">
      <c r="A327695" t="s">
        <v>409</v>
      </c>
    </row>
    <row r="327696" spans="1:1" x14ac:dyDescent="0.15">
      <c r="A327696" t="s">
        <v>410</v>
      </c>
    </row>
    <row r="327697" spans="1:1" x14ac:dyDescent="0.15">
      <c r="A327697" t="s">
        <v>424</v>
      </c>
    </row>
    <row r="327698" spans="1:1" x14ac:dyDescent="0.15">
      <c r="A327698" t="s">
        <v>425</v>
      </c>
    </row>
    <row r="327699" spans="1:1" x14ac:dyDescent="0.15">
      <c r="A327699" t="s">
        <v>1397</v>
      </c>
    </row>
    <row r="327700" spans="1:1" x14ac:dyDescent="0.15">
      <c r="A327700" t="s">
        <v>1398</v>
      </c>
    </row>
    <row r="327701" spans="1:1" x14ac:dyDescent="0.15">
      <c r="A327701" t="s">
        <v>411</v>
      </c>
    </row>
    <row r="327702" spans="1:1" x14ac:dyDescent="0.15">
      <c r="A327702" t="s">
        <v>412</v>
      </c>
    </row>
    <row r="327703" spans="1:1" x14ac:dyDescent="0.15">
      <c r="A327703" t="s">
        <v>413</v>
      </c>
    </row>
    <row r="327704" spans="1:1" x14ac:dyDescent="0.15">
      <c r="A327704" t="s">
        <v>414</v>
      </c>
    </row>
    <row r="327705" spans="1:1" x14ac:dyDescent="0.15">
      <c r="A327705" t="s">
        <v>415</v>
      </c>
    </row>
    <row r="327706" spans="1:1" x14ac:dyDescent="0.15">
      <c r="A327706" t="s">
        <v>421</v>
      </c>
    </row>
    <row r="327707" spans="1:1" ht="15.75" x14ac:dyDescent="0.15">
      <c r="A327707" t="s">
        <v>1399</v>
      </c>
    </row>
    <row r="327708" spans="1:1" x14ac:dyDescent="0.15">
      <c r="A327708" t="s">
        <v>416</v>
      </c>
    </row>
    <row r="327709" spans="1:1" x14ac:dyDescent="0.15">
      <c r="A327709" t="s">
        <v>417</v>
      </c>
    </row>
    <row r="327710" spans="1:1" x14ac:dyDescent="0.15">
      <c r="A327710" t="s">
        <v>418</v>
      </c>
    </row>
    <row r="327711" spans="1:1" x14ac:dyDescent="0.15">
      <c r="A327711" t="s">
        <v>419</v>
      </c>
    </row>
    <row r="327712" spans="1:1" x14ac:dyDescent="0.15">
      <c r="A327712" t="s">
        <v>420</v>
      </c>
    </row>
    <row r="327713" spans="1:1" x14ac:dyDescent="0.15">
      <c r="A327713" t="s">
        <v>822</v>
      </c>
    </row>
    <row r="327714" spans="1:1" x14ac:dyDescent="0.15">
      <c r="A327714" t="s">
        <v>1387</v>
      </c>
    </row>
    <row r="327715" spans="1:1" x14ac:dyDescent="0.15">
      <c r="A327715" t="s">
        <v>1388</v>
      </c>
    </row>
    <row r="327716" spans="1:1" x14ac:dyDescent="0.15">
      <c r="A327716" t="s">
        <v>820</v>
      </c>
    </row>
    <row r="327717" spans="1:1" x14ac:dyDescent="0.15">
      <c r="A327717" t="s">
        <v>821</v>
      </c>
    </row>
    <row r="344066" spans="1:1" x14ac:dyDescent="0.15">
      <c r="A344066" t="s">
        <v>958</v>
      </c>
    </row>
    <row r="344067" spans="1:1" x14ac:dyDescent="0.15">
      <c r="A344067" t="s">
        <v>405</v>
      </c>
    </row>
    <row r="344068" spans="1:1" x14ac:dyDescent="0.15">
      <c r="A344068" t="s">
        <v>406</v>
      </c>
    </row>
    <row r="344069" spans="1:1" x14ac:dyDescent="0.15">
      <c r="A344069" t="s">
        <v>422</v>
      </c>
    </row>
    <row r="344070" spans="1:1" x14ac:dyDescent="0.15">
      <c r="A344070" t="s">
        <v>1394</v>
      </c>
    </row>
    <row r="344071" spans="1:1" x14ac:dyDescent="0.15">
      <c r="A344071" t="s">
        <v>1391</v>
      </c>
    </row>
    <row r="344072" spans="1:1" x14ac:dyDescent="0.15">
      <c r="A344072" t="s">
        <v>1392</v>
      </c>
    </row>
    <row r="344073" spans="1:1" x14ac:dyDescent="0.15">
      <c r="A344073" t="s">
        <v>407</v>
      </c>
    </row>
    <row r="344074" spans="1:1" x14ac:dyDescent="0.15">
      <c r="A344074" t="s">
        <v>408</v>
      </c>
    </row>
    <row r="344075" spans="1:1" x14ac:dyDescent="0.15">
      <c r="A344075" t="s">
        <v>423</v>
      </c>
    </row>
    <row r="344076" spans="1:1" x14ac:dyDescent="0.15">
      <c r="A344076" t="s">
        <v>1395</v>
      </c>
    </row>
    <row r="344077" spans="1:1" x14ac:dyDescent="0.15">
      <c r="A344077" t="s">
        <v>1393</v>
      </c>
    </row>
    <row r="344078" spans="1:1" x14ac:dyDescent="0.15">
      <c r="A344078" t="s">
        <v>1396</v>
      </c>
    </row>
    <row r="344079" spans="1:1" x14ac:dyDescent="0.15">
      <c r="A344079" t="s">
        <v>409</v>
      </c>
    </row>
    <row r="344080" spans="1:1" x14ac:dyDescent="0.15">
      <c r="A344080" t="s">
        <v>410</v>
      </c>
    </row>
    <row r="344081" spans="1:1" x14ac:dyDescent="0.15">
      <c r="A344081" t="s">
        <v>424</v>
      </c>
    </row>
    <row r="344082" spans="1:1" x14ac:dyDescent="0.15">
      <c r="A344082" t="s">
        <v>425</v>
      </c>
    </row>
    <row r="344083" spans="1:1" x14ac:dyDescent="0.15">
      <c r="A344083" t="s">
        <v>1397</v>
      </c>
    </row>
    <row r="344084" spans="1:1" x14ac:dyDescent="0.15">
      <c r="A344084" t="s">
        <v>1398</v>
      </c>
    </row>
    <row r="344085" spans="1:1" x14ac:dyDescent="0.15">
      <c r="A344085" t="s">
        <v>411</v>
      </c>
    </row>
    <row r="344086" spans="1:1" x14ac:dyDescent="0.15">
      <c r="A344086" t="s">
        <v>412</v>
      </c>
    </row>
    <row r="344087" spans="1:1" x14ac:dyDescent="0.15">
      <c r="A344087" t="s">
        <v>413</v>
      </c>
    </row>
    <row r="344088" spans="1:1" x14ac:dyDescent="0.15">
      <c r="A344088" t="s">
        <v>414</v>
      </c>
    </row>
    <row r="344089" spans="1:1" x14ac:dyDescent="0.15">
      <c r="A344089" t="s">
        <v>415</v>
      </c>
    </row>
    <row r="344090" spans="1:1" x14ac:dyDescent="0.15">
      <c r="A344090" t="s">
        <v>421</v>
      </c>
    </row>
    <row r="344091" spans="1:1" ht="15.75" x14ac:dyDescent="0.15">
      <c r="A344091" t="s">
        <v>1399</v>
      </c>
    </row>
    <row r="344092" spans="1:1" x14ac:dyDescent="0.15">
      <c r="A344092" t="s">
        <v>416</v>
      </c>
    </row>
    <row r="344093" spans="1:1" x14ac:dyDescent="0.15">
      <c r="A344093" t="s">
        <v>417</v>
      </c>
    </row>
    <row r="344094" spans="1:1" x14ac:dyDescent="0.15">
      <c r="A344094" t="s">
        <v>418</v>
      </c>
    </row>
    <row r="344095" spans="1:1" x14ac:dyDescent="0.15">
      <c r="A344095" t="s">
        <v>419</v>
      </c>
    </row>
    <row r="344096" spans="1:1" x14ac:dyDescent="0.15">
      <c r="A344096" t="s">
        <v>420</v>
      </c>
    </row>
    <row r="344097" spans="1:1" x14ac:dyDescent="0.15">
      <c r="A344097" t="s">
        <v>822</v>
      </c>
    </row>
    <row r="344098" spans="1:1" x14ac:dyDescent="0.15">
      <c r="A344098" t="s">
        <v>1387</v>
      </c>
    </row>
    <row r="344099" spans="1:1" x14ac:dyDescent="0.15">
      <c r="A344099" t="s">
        <v>1388</v>
      </c>
    </row>
    <row r="344100" spans="1:1" x14ac:dyDescent="0.15">
      <c r="A344100" t="s">
        <v>820</v>
      </c>
    </row>
    <row r="344101" spans="1:1" x14ac:dyDescent="0.15">
      <c r="A344101" t="s">
        <v>821</v>
      </c>
    </row>
    <row r="360450" spans="1:1" x14ac:dyDescent="0.15">
      <c r="A360450" t="s">
        <v>958</v>
      </c>
    </row>
    <row r="360451" spans="1:1" x14ac:dyDescent="0.15">
      <c r="A360451" t="s">
        <v>405</v>
      </c>
    </row>
    <row r="360452" spans="1:1" x14ac:dyDescent="0.15">
      <c r="A360452" t="s">
        <v>406</v>
      </c>
    </row>
    <row r="360453" spans="1:1" x14ac:dyDescent="0.15">
      <c r="A360453" t="s">
        <v>422</v>
      </c>
    </row>
    <row r="360454" spans="1:1" x14ac:dyDescent="0.15">
      <c r="A360454" t="s">
        <v>1394</v>
      </c>
    </row>
    <row r="360455" spans="1:1" x14ac:dyDescent="0.15">
      <c r="A360455" t="s">
        <v>1391</v>
      </c>
    </row>
    <row r="360456" spans="1:1" x14ac:dyDescent="0.15">
      <c r="A360456" t="s">
        <v>1392</v>
      </c>
    </row>
    <row r="360457" spans="1:1" x14ac:dyDescent="0.15">
      <c r="A360457" t="s">
        <v>407</v>
      </c>
    </row>
    <row r="360458" spans="1:1" x14ac:dyDescent="0.15">
      <c r="A360458" t="s">
        <v>408</v>
      </c>
    </row>
    <row r="360459" spans="1:1" x14ac:dyDescent="0.15">
      <c r="A360459" t="s">
        <v>423</v>
      </c>
    </row>
    <row r="360460" spans="1:1" x14ac:dyDescent="0.15">
      <c r="A360460" t="s">
        <v>1395</v>
      </c>
    </row>
    <row r="360461" spans="1:1" x14ac:dyDescent="0.15">
      <c r="A360461" t="s">
        <v>1393</v>
      </c>
    </row>
    <row r="360462" spans="1:1" x14ac:dyDescent="0.15">
      <c r="A360462" t="s">
        <v>1396</v>
      </c>
    </row>
    <row r="360463" spans="1:1" x14ac:dyDescent="0.15">
      <c r="A360463" t="s">
        <v>409</v>
      </c>
    </row>
    <row r="360464" spans="1:1" x14ac:dyDescent="0.15">
      <c r="A360464" t="s">
        <v>410</v>
      </c>
    </row>
    <row r="360465" spans="1:1" x14ac:dyDescent="0.15">
      <c r="A360465" t="s">
        <v>424</v>
      </c>
    </row>
    <row r="360466" spans="1:1" x14ac:dyDescent="0.15">
      <c r="A360466" t="s">
        <v>425</v>
      </c>
    </row>
    <row r="360467" spans="1:1" x14ac:dyDescent="0.15">
      <c r="A360467" t="s">
        <v>1397</v>
      </c>
    </row>
    <row r="360468" spans="1:1" x14ac:dyDescent="0.15">
      <c r="A360468" t="s">
        <v>1398</v>
      </c>
    </row>
    <row r="360469" spans="1:1" x14ac:dyDescent="0.15">
      <c r="A360469" t="s">
        <v>411</v>
      </c>
    </row>
    <row r="360470" spans="1:1" x14ac:dyDescent="0.15">
      <c r="A360470" t="s">
        <v>412</v>
      </c>
    </row>
    <row r="360471" spans="1:1" x14ac:dyDescent="0.15">
      <c r="A360471" t="s">
        <v>413</v>
      </c>
    </row>
    <row r="360472" spans="1:1" x14ac:dyDescent="0.15">
      <c r="A360472" t="s">
        <v>414</v>
      </c>
    </row>
    <row r="360473" spans="1:1" x14ac:dyDescent="0.15">
      <c r="A360473" t="s">
        <v>415</v>
      </c>
    </row>
    <row r="360474" spans="1:1" x14ac:dyDescent="0.15">
      <c r="A360474" t="s">
        <v>421</v>
      </c>
    </row>
    <row r="360475" spans="1:1" ht="15.75" x14ac:dyDescent="0.15">
      <c r="A360475" t="s">
        <v>1399</v>
      </c>
    </row>
    <row r="360476" spans="1:1" x14ac:dyDescent="0.15">
      <c r="A360476" t="s">
        <v>416</v>
      </c>
    </row>
    <row r="360477" spans="1:1" x14ac:dyDescent="0.15">
      <c r="A360477" t="s">
        <v>417</v>
      </c>
    </row>
    <row r="360478" spans="1:1" x14ac:dyDescent="0.15">
      <c r="A360478" t="s">
        <v>418</v>
      </c>
    </row>
    <row r="360479" spans="1:1" x14ac:dyDescent="0.15">
      <c r="A360479" t="s">
        <v>419</v>
      </c>
    </row>
    <row r="360480" spans="1:1" x14ac:dyDescent="0.15">
      <c r="A360480" t="s">
        <v>420</v>
      </c>
    </row>
    <row r="360481" spans="1:1" x14ac:dyDescent="0.15">
      <c r="A360481" t="s">
        <v>822</v>
      </c>
    </row>
    <row r="360482" spans="1:1" x14ac:dyDescent="0.15">
      <c r="A360482" t="s">
        <v>1387</v>
      </c>
    </row>
    <row r="360483" spans="1:1" x14ac:dyDescent="0.15">
      <c r="A360483" t="s">
        <v>1388</v>
      </c>
    </row>
    <row r="360484" spans="1:1" x14ac:dyDescent="0.15">
      <c r="A360484" t="s">
        <v>820</v>
      </c>
    </row>
    <row r="360485" spans="1:1" x14ac:dyDescent="0.15">
      <c r="A360485" t="s">
        <v>821</v>
      </c>
    </row>
    <row r="376834" spans="1:1" x14ac:dyDescent="0.15">
      <c r="A376834" t="s">
        <v>958</v>
      </c>
    </row>
    <row r="376835" spans="1:1" x14ac:dyDescent="0.15">
      <c r="A376835" t="s">
        <v>405</v>
      </c>
    </row>
    <row r="376836" spans="1:1" x14ac:dyDescent="0.15">
      <c r="A376836" t="s">
        <v>406</v>
      </c>
    </row>
    <row r="376837" spans="1:1" x14ac:dyDescent="0.15">
      <c r="A376837" t="s">
        <v>422</v>
      </c>
    </row>
    <row r="376838" spans="1:1" x14ac:dyDescent="0.15">
      <c r="A376838" t="s">
        <v>1394</v>
      </c>
    </row>
    <row r="376839" spans="1:1" x14ac:dyDescent="0.15">
      <c r="A376839" t="s">
        <v>1391</v>
      </c>
    </row>
    <row r="376840" spans="1:1" x14ac:dyDescent="0.15">
      <c r="A376840" t="s">
        <v>1392</v>
      </c>
    </row>
    <row r="376841" spans="1:1" x14ac:dyDescent="0.15">
      <c r="A376841" t="s">
        <v>407</v>
      </c>
    </row>
    <row r="376842" spans="1:1" x14ac:dyDescent="0.15">
      <c r="A376842" t="s">
        <v>408</v>
      </c>
    </row>
    <row r="376843" spans="1:1" x14ac:dyDescent="0.15">
      <c r="A376843" t="s">
        <v>423</v>
      </c>
    </row>
    <row r="376844" spans="1:1" x14ac:dyDescent="0.15">
      <c r="A376844" t="s">
        <v>1395</v>
      </c>
    </row>
    <row r="376845" spans="1:1" x14ac:dyDescent="0.15">
      <c r="A376845" t="s">
        <v>1393</v>
      </c>
    </row>
    <row r="376846" spans="1:1" x14ac:dyDescent="0.15">
      <c r="A376846" t="s">
        <v>1396</v>
      </c>
    </row>
    <row r="376847" spans="1:1" x14ac:dyDescent="0.15">
      <c r="A376847" t="s">
        <v>409</v>
      </c>
    </row>
    <row r="376848" spans="1:1" x14ac:dyDescent="0.15">
      <c r="A376848" t="s">
        <v>410</v>
      </c>
    </row>
    <row r="376849" spans="1:1" x14ac:dyDescent="0.15">
      <c r="A376849" t="s">
        <v>424</v>
      </c>
    </row>
    <row r="376850" spans="1:1" x14ac:dyDescent="0.15">
      <c r="A376850" t="s">
        <v>425</v>
      </c>
    </row>
    <row r="376851" spans="1:1" x14ac:dyDescent="0.15">
      <c r="A376851" t="s">
        <v>1397</v>
      </c>
    </row>
    <row r="376852" spans="1:1" x14ac:dyDescent="0.15">
      <c r="A376852" t="s">
        <v>1398</v>
      </c>
    </row>
    <row r="376853" spans="1:1" x14ac:dyDescent="0.15">
      <c r="A376853" t="s">
        <v>411</v>
      </c>
    </row>
    <row r="376854" spans="1:1" x14ac:dyDescent="0.15">
      <c r="A376854" t="s">
        <v>412</v>
      </c>
    </row>
    <row r="376855" spans="1:1" x14ac:dyDescent="0.15">
      <c r="A376855" t="s">
        <v>413</v>
      </c>
    </row>
    <row r="376856" spans="1:1" x14ac:dyDescent="0.15">
      <c r="A376856" t="s">
        <v>414</v>
      </c>
    </row>
    <row r="376857" spans="1:1" x14ac:dyDescent="0.15">
      <c r="A376857" t="s">
        <v>415</v>
      </c>
    </row>
    <row r="376858" spans="1:1" x14ac:dyDescent="0.15">
      <c r="A376858" t="s">
        <v>421</v>
      </c>
    </row>
    <row r="376859" spans="1:1" ht="15.75" x14ac:dyDescent="0.15">
      <c r="A376859" t="s">
        <v>1399</v>
      </c>
    </row>
    <row r="376860" spans="1:1" x14ac:dyDescent="0.15">
      <c r="A376860" t="s">
        <v>416</v>
      </c>
    </row>
    <row r="376861" spans="1:1" x14ac:dyDescent="0.15">
      <c r="A376861" t="s">
        <v>417</v>
      </c>
    </row>
    <row r="376862" spans="1:1" x14ac:dyDescent="0.15">
      <c r="A376862" t="s">
        <v>418</v>
      </c>
    </row>
    <row r="376863" spans="1:1" x14ac:dyDescent="0.15">
      <c r="A376863" t="s">
        <v>419</v>
      </c>
    </row>
    <row r="376864" spans="1:1" x14ac:dyDescent="0.15">
      <c r="A376864" t="s">
        <v>420</v>
      </c>
    </row>
    <row r="376865" spans="1:1" x14ac:dyDescent="0.15">
      <c r="A376865" t="s">
        <v>822</v>
      </c>
    </row>
    <row r="376866" spans="1:1" x14ac:dyDescent="0.15">
      <c r="A376866" t="s">
        <v>1387</v>
      </c>
    </row>
    <row r="376867" spans="1:1" x14ac:dyDescent="0.15">
      <c r="A376867" t="s">
        <v>1388</v>
      </c>
    </row>
    <row r="376868" spans="1:1" x14ac:dyDescent="0.15">
      <c r="A376868" t="s">
        <v>820</v>
      </c>
    </row>
    <row r="376869" spans="1:1" x14ac:dyDescent="0.15">
      <c r="A376869" t="s">
        <v>821</v>
      </c>
    </row>
    <row r="393218" spans="1:1" x14ac:dyDescent="0.15">
      <c r="A393218" t="s">
        <v>958</v>
      </c>
    </row>
    <row r="393219" spans="1:1" x14ac:dyDescent="0.15">
      <c r="A393219" t="s">
        <v>405</v>
      </c>
    </row>
    <row r="393220" spans="1:1" x14ac:dyDescent="0.15">
      <c r="A393220" t="s">
        <v>406</v>
      </c>
    </row>
    <row r="393221" spans="1:1" x14ac:dyDescent="0.15">
      <c r="A393221" t="s">
        <v>422</v>
      </c>
    </row>
    <row r="393222" spans="1:1" x14ac:dyDescent="0.15">
      <c r="A393222" t="s">
        <v>1394</v>
      </c>
    </row>
    <row r="393223" spans="1:1" x14ac:dyDescent="0.15">
      <c r="A393223" t="s">
        <v>1391</v>
      </c>
    </row>
    <row r="393224" spans="1:1" x14ac:dyDescent="0.15">
      <c r="A393224" t="s">
        <v>1392</v>
      </c>
    </row>
    <row r="393225" spans="1:1" x14ac:dyDescent="0.15">
      <c r="A393225" t="s">
        <v>407</v>
      </c>
    </row>
    <row r="393226" spans="1:1" x14ac:dyDescent="0.15">
      <c r="A393226" t="s">
        <v>408</v>
      </c>
    </row>
    <row r="393227" spans="1:1" x14ac:dyDescent="0.15">
      <c r="A393227" t="s">
        <v>423</v>
      </c>
    </row>
    <row r="393228" spans="1:1" x14ac:dyDescent="0.15">
      <c r="A393228" t="s">
        <v>1395</v>
      </c>
    </row>
    <row r="393229" spans="1:1" x14ac:dyDescent="0.15">
      <c r="A393229" t="s">
        <v>1393</v>
      </c>
    </row>
    <row r="393230" spans="1:1" x14ac:dyDescent="0.15">
      <c r="A393230" t="s">
        <v>1396</v>
      </c>
    </row>
    <row r="393231" spans="1:1" x14ac:dyDescent="0.15">
      <c r="A393231" t="s">
        <v>409</v>
      </c>
    </row>
    <row r="393232" spans="1:1" x14ac:dyDescent="0.15">
      <c r="A393232" t="s">
        <v>410</v>
      </c>
    </row>
    <row r="393233" spans="1:1" x14ac:dyDescent="0.15">
      <c r="A393233" t="s">
        <v>424</v>
      </c>
    </row>
    <row r="393234" spans="1:1" x14ac:dyDescent="0.15">
      <c r="A393234" t="s">
        <v>425</v>
      </c>
    </row>
    <row r="393235" spans="1:1" x14ac:dyDescent="0.15">
      <c r="A393235" t="s">
        <v>1397</v>
      </c>
    </row>
    <row r="393236" spans="1:1" x14ac:dyDescent="0.15">
      <c r="A393236" t="s">
        <v>1398</v>
      </c>
    </row>
    <row r="393237" spans="1:1" x14ac:dyDescent="0.15">
      <c r="A393237" t="s">
        <v>411</v>
      </c>
    </row>
    <row r="393238" spans="1:1" x14ac:dyDescent="0.15">
      <c r="A393238" t="s">
        <v>412</v>
      </c>
    </row>
    <row r="393239" spans="1:1" x14ac:dyDescent="0.15">
      <c r="A393239" t="s">
        <v>413</v>
      </c>
    </row>
    <row r="393240" spans="1:1" x14ac:dyDescent="0.15">
      <c r="A393240" t="s">
        <v>414</v>
      </c>
    </row>
    <row r="393241" spans="1:1" x14ac:dyDescent="0.15">
      <c r="A393241" t="s">
        <v>415</v>
      </c>
    </row>
    <row r="393242" spans="1:1" x14ac:dyDescent="0.15">
      <c r="A393242" t="s">
        <v>421</v>
      </c>
    </row>
    <row r="393243" spans="1:1" ht="15.75" x14ac:dyDescent="0.15">
      <c r="A393243" t="s">
        <v>1399</v>
      </c>
    </row>
    <row r="393244" spans="1:1" x14ac:dyDescent="0.15">
      <c r="A393244" t="s">
        <v>416</v>
      </c>
    </row>
    <row r="393245" spans="1:1" x14ac:dyDescent="0.15">
      <c r="A393245" t="s">
        <v>417</v>
      </c>
    </row>
    <row r="393246" spans="1:1" x14ac:dyDescent="0.15">
      <c r="A393246" t="s">
        <v>418</v>
      </c>
    </row>
    <row r="393247" spans="1:1" x14ac:dyDescent="0.15">
      <c r="A393247" t="s">
        <v>419</v>
      </c>
    </row>
    <row r="393248" spans="1:1" x14ac:dyDescent="0.15">
      <c r="A393248" t="s">
        <v>420</v>
      </c>
    </row>
    <row r="393249" spans="1:1" x14ac:dyDescent="0.15">
      <c r="A393249" t="s">
        <v>822</v>
      </c>
    </row>
    <row r="393250" spans="1:1" x14ac:dyDescent="0.15">
      <c r="A393250" t="s">
        <v>1387</v>
      </c>
    </row>
    <row r="393251" spans="1:1" x14ac:dyDescent="0.15">
      <c r="A393251" t="s">
        <v>1388</v>
      </c>
    </row>
    <row r="393252" spans="1:1" x14ac:dyDescent="0.15">
      <c r="A393252" t="s">
        <v>820</v>
      </c>
    </row>
    <row r="393253" spans="1:1" x14ac:dyDescent="0.15">
      <c r="A393253" t="s">
        <v>821</v>
      </c>
    </row>
    <row r="409602" spans="1:1" x14ac:dyDescent="0.15">
      <c r="A409602" t="s">
        <v>958</v>
      </c>
    </row>
    <row r="409603" spans="1:1" x14ac:dyDescent="0.15">
      <c r="A409603" t="s">
        <v>405</v>
      </c>
    </row>
    <row r="409604" spans="1:1" x14ac:dyDescent="0.15">
      <c r="A409604" t="s">
        <v>406</v>
      </c>
    </row>
    <row r="409605" spans="1:1" x14ac:dyDescent="0.15">
      <c r="A409605" t="s">
        <v>422</v>
      </c>
    </row>
    <row r="409606" spans="1:1" x14ac:dyDescent="0.15">
      <c r="A409606" t="s">
        <v>1394</v>
      </c>
    </row>
    <row r="409607" spans="1:1" x14ac:dyDescent="0.15">
      <c r="A409607" t="s">
        <v>1391</v>
      </c>
    </row>
    <row r="409608" spans="1:1" x14ac:dyDescent="0.15">
      <c r="A409608" t="s">
        <v>1392</v>
      </c>
    </row>
    <row r="409609" spans="1:1" x14ac:dyDescent="0.15">
      <c r="A409609" t="s">
        <v>407</v>
      </c>
    </row>
    <row r="409610" spans="1:1" x14ac:dyDescent="0.15">
      <c r="A409610" t="s">
        <v>408</v>
      </c>
    </row>
    <row r="409611" spans="1:1" x14ac:dyDescent="0.15">
      <c r="A409611" t="s">
        <v>423</v>
      </c>
    </row>
    <row r="409612" spans="1:1" x14ac:dyDescent="0.15">
      <c r="A409612" t="s">
        <v>1395</v>
      </c>
    </row>
    <row r="409613" spans="1:1" x14ac:dyDescent="0.15">
      <c r="A409613" t="s">
        <v>1393</v>
      </c>
    </row>
    <row r="409614" spans="1:1" x14ac:dyDescent="0.15">
      <c r="A409614" t="s">
        <v>1396</v>
      </c>
    </row>
    <row r="409615" spans="1:1" x14ac:dyDescent="0.15">
      <c r="A409615" t="s">
        <v>409</v>
      </c>
    </row>
    <row r="409616" spans="1:1" x14ac:dyDescent="0.15">
      <c r="A409616" t="s">
        <v>410</v>
      </c>
    </row>
    <row r="409617" spans="1:1" x14ac:dyDescent="0.15">
      <c r="A409617" t="s">
        <v>424</v>
      </c>
    </row>
    <row r="409618" spans="1:1" x14ac:dyDescent="0.15">
      <c r="A409618" t="s">
        <v>425</v>
      </c>
    </row>
    <row r="409619" spans="1:1" x14ac:dyDescent="0.15">
      <c r="A409619" t="s">
        <v>1397</v>
      </c>
    </row>
    <row r="409620" spans="1:1" x14ac:dyDescent="0.15">
      <c r="A409620" t="s">
        <v>1398</v>
      </c>
    </row>
    <row r="409621" spans="1:1" x14ac:dyDescent="0.15">
      <c r="A409621" t="s">
        <v>411</v>
      </c>
    </row>
    <row r="409622" spans="1:1" x14ac:dyDescent="0.15">
      <c r="A409622" t="s">
        <v>412</v>
      </c>
    </row>
    <row r="409623" spans="1:1" x14ac:dyDescent="0.15">
      <c r="A409623" t="s">
        <v>413</v>
      </c>
    </row>
    <row r="409624" spans="1:1" x14ac:dyDescent="0.15">
      <c r="A409624" t="s">
        <v>414</v>
      </c>
    </row>
    <row r="409625" spans="1:1" x14ac:dyDescent="0.15">
      <c r="A409625" t="s">
        <v>415</v>
      </c>
    </row>
    <row r="409626" spans="1:1" x14ac:dyDescent="0.15">
      <c r="A409626" t="s">
        <v>421</v>
      </c>
    </row>
    <row r="409627" spans="1:1" ht="15.75" x14ac:dyDescent="0.15">
      <c r="A409627" t="s">
        <v>1399</v>
      </c>
    </row>
    <row r="409628" spans="1:1" x14ac:dyDescent="0.15">
      <c r="A409628" t="s">
        <v>416</v>
      </c>
    </row>
    <row r="409629" spans="1:1" x14ac:dyDescent="0.15">
      <c r="A409629" t="s">
        <v>417</v>
      </c>
    </row>
    <row r="409630" spans="1:1" x14ac:dyDescent="0.15">
      <c r="A409630" t="s">
        <v>418</v>
      </c>
    </row>
    <row r="409631" spans="1:1" x14ac:dyDescent="0.15">
      <c r="A409631" t="s">
        <v>419</v>
      </c>
    </row>
    <row r="409632" spans="1:1" x14ac:dyDescent="0.15">
      <c r="A409632" t="s">
        <v>420</v>
      </c>
    </row>
    <row r="409633" spans="1:1" x14ac:dyDescent="0.15">
      <c r="A409633" t="s">
        <v>822</v>
      </c>
    </row>
    <row r="409634" spans="1:1" x14ac:dyDescent="0.15">
      <c r="A409634" t="s">
        <v>1387</v>
      </c>
    </row>
    <row r="409635" spans="1:1" x14ac:dyDescent="0.15">
      <c r="A409635" t="s">
        <v>1388</v>
      </c>
    </row>
    <row r="409636" spans="1:1" x14ac:dyDescent="0.15">
      <c r="A409636" t="s">
        <v>820</v>
      </c>
    </row>
    <row r="409637" spans="1:1" x14ac:dyDescent="0.15">
      <c r="A409637" t="s">
        <v>821</v>
      </c>
    </row>
    <row r="425986" spans="1:1" x14ac:dyDescent="0.15">
      <c r="A425986" t="s">
        <v>958</v>
      </c>
    </row>
    <row r="425987" spans="1:1" x14ac:dyDescent="0.15">
      <c r="A425987" t="s">
        <v>405</v>
      </c>
    </row>
    <row r="425988" spans="1:1" x14ac:dyDescent="0.15">
      <c r="A425988" t="s">
        <v>406</v>
      </c>
    </row>
    <row r="425989" spans="1:1" x14ac:dyDescent="0.15">
      <c r="A425989" t="s">
        <v>422</v>
      </c>
    </row>
    <row r="425990" spans="1:1" x14ac:dyDescent="0.15">
      <c r="A425990" t="s">
        <v>1394</v>
      </c>
    </row>
    <row r="425991" spans="1:1" x14ac:dyDescent="0.15">
      <c r="A425991" t="s">
        <v>1391</v>
      </c>
    </row>
    <row r="425992" spans="1:1" x14ac:dyDescent="0.15">
      <c r="A425992" t="s">
        <v>1392</v>
      </c>
    </row>
    <row r="425993" spans="1:1" x14ac:dyDescent="0.15">
      <c r="A425993" t="s">
        <v>407</v>
      </c>
    </row>
    <row r="425994" spans="1:1" x14ac:dyDescent="0.15">
      <c r="A425994" t="s">
        <v>408</v>
      </c>
    </row>
    <row r="425995" spans="1:1" x14ac:dyDescent="0.15">
      <c r="A425995" t="s">
        <v>423</v>
      </c>
    </row>
    <row r="425996" spans="1:1" x14ac:dyDescent="0.15">
      <c r="A425996" t="s">
        <v>1395</v>
      </c>
    </row>
    <row r="425997" spans="1:1" x14ac:dyDescent="0.15">
      <c r="A425997" t="s">
        <v>1393</v>
      </c>
    </row>
    <row r="425998" spans="1:1" x14ac:dyDescent="0.15">
      <c r="A425998" t="s">
        <v>1396</v>
      </c>
    </row>
    <row r="425999" spans="1:1" x14ac:dyDescent="0.15">
      <c r="A425999" t="s">
        <v>409</v>
      </c>
    </row>
    <row r="426000" spans="1:1" x14ac:dyDescent="0.15">
      <c r="A426000" t="s">
        <v>410</v>
      </c>
    </row>
    <row r="426001" spans="1:1" x14ac:dyDescent="0.15">
      <c r="A426001" t="s">
        <v>424</v>
      </c>
    </row>
    <row r="426002" spans="1:1" x14ac:dyDescent="0.15">
      <c r="A426002" t="s">
        <v>425</v>
      </c>
    </row>
    <row r="426003" spans="1:1" x14ac:dyDescent="0.15">
      <c r="A426003" t="s">
        <v>1397</v>
      </c>
    </row>
    <row r="426004" spans="1:1" x14ac:dyDescent="0.15">
      <c r="A426004" t="s">
        <v>1398</v>
      </c>
    </row>
    <row r="426005" spans="1:1" x14ac:dyDescent="0.15">
      <c r="A426005" t="s">
        <v>411</v>
      </c>
    </row>
    <row r="426006" spans="1:1" x14ac:dyDescent="0.15">
      <c r="A426006" t="s">
        <v>412</v>
      </c>
    </row>
    <row r="426007" spans="1:1" x14ac:dyDescent="0.15">
      <c r="A426007" t="s">
        <v>413</v>
      </c>
    </row>
    <row r="426008" spans="1:1" x14ac:dyDescent="0.15">
      <c r="A426008" t="s">
        <v>414</v>
      </c>
    </row>
    <row r="426009" spans="1:1" x14ac:dyDescent="0.15">
      <c r="A426009" t="s">
        <v>415</v>
      </c>
    </row>
    <row r="426010" spans="1:1" x14ac:dyDescent="0.15">
      <c r="A426010" t="s">
        <v>421</v>
      </c>
    </row>
    <row r="426011" spans="1:1" ht="15.75" x14ac:dyDescent="0.15">
      <c r="A426011" t="s">
        <v>1399</v>
      </c>
    </row>
    <row r="426012" spans="1:1" x14ac:dyDescent="0.15">
      <c r="A426012" t="s">
        <v>416</v>
      </c>
    </row>
    <row r="426013" spans="1:1" x14ac:dyDescent="0.15">
      <c r="A426013" t="s">
        <v>417</v>
      </c>
    </row>
    <row r="426014" spans="1:1" x14ac:dyDescent="0.15">
      <c r="A426014" t="s">
        <v>418</v>
      </c>
    </row>
    <row r="426015" spans="1:1" x14ac:dyDescent="0.15">
      <c r="A426015" t="s">
        <v>419</v>
      </c>
    </row>
    <row r="426016" spans="1:1" x14ac:dyDescent="0.15">
      <c r="A426016" t="s">
        <v>420</v>
      </c>
    </row>
    <row r="426017" spans="1:1" x14ac:dyDescent="0.15">
      <c r="A426017" t="s">
        <v>822</v>
      </c>
    </row>
    <row r="426018" spans="1:1" x14ac:dyDescent="0.15">
      <c r="A426018" t="s">
        <v>1387</v>
      </c>
    </row>
    <row r="426019" spans="1:1" x14ac:dyDescent="0.15">
      <c r="A426019" t="s">
        <v>1388</v>
      </c>
    </row>
    <row r="426020" spans="1:1" x14ac:dyDescent="0.15">
      <c r="A426020" t="s">
        <v>820</v>
      </c>
    </row>
    <row r="426021" spans="1:1" x14ac:dyDescent="0.15">
      <c r="A426021" t="s">
        <v>821</v>
      </c>
    </row>
    <row r="442370" spans="1:1" x14ac:dyDescent="0.15">
      <c r="A442370" t="s">
        <v>958</v>
      </c>
    </row>
    <row r="442371" spans="1:1" x14ac:dyDescent="0.15">
      <c r="A442371" t="s">
        <v>405</v>
      </c>
    </row>
    <row r="442372" spans="1:1" x14ac:dyDescent="0.15">
      <c r="A442372" t="s">
        <v>406</v>
      </c>
    </row>
    <row r="442373" spans="1:1" x14ac:dyDescent="0.15">
      <c r="A442373" t="s">
        <v>422</v>
      </c>
    </row>
    <row r="442374" spans="1:1" x14ac:dyDescent="0.15">
      <c r="A442374" t="s">
        <v>1394</v>
      </c>
    </row>
    <row r="442375" spans="1:1" x14ac:dyDescent="0.15">
      <c r="A442375" t="s">
        <v>1391</v>
      </c>
    </row>
    <row r="442376" spans="1:1" x14ac:dyDescent="0.15">
      <c r="A442376" t="s">
        <v>1392</v>
      </c>
    </row>
    <row r="442377" spans="1:1" x14ac:dyDescent="0.15">
      <c r="A442377" t="s">
        <v>407</v>
      </c>
    </row>
    <row r="442378" spans="1:1" x14ac:dyDescent="0.15">
      <c r="A442378" t="s">
        <v>408</v>
      </c>
    </row>
    <row r="442379" spans="1:1" x14ac:dyDescent="0.15">
      <c r="A442379" t="s">
        <v>423</v>
      </c>
    </row>
    <row r="442380" spans="1:1" x14ac:dyDescent="0.15">
      <c r="A442380" t="s">
        <v>1395</v>
      </c>
    </row>
    <row r="442381" spans="1:1" x14ac:dyDescent="0.15">
      <c r="A442381" t="s">
        <v>1393</v>
      </c>
    </row>
    <row r="442382" spans="1:1" x14ac:dyDescent="0.15">
      <c r="A442382" t="s">
        <v>1396</v>
      </c>
    </row>
    <row r="442383" spans="1:1" x14ac:dyDescent="0.15">
      <c r="A442383" t="s">
        <v>409</v>
      </c>
    </row>
    <row r="442384" spans="1:1" x14ac:dyDescent="0.15">
      <c r="A442384" t="s">
        <v>410</v>
      </c>
    </row>
    <row r="442385" spans="1:1" x14ac:dyDescent="0.15">
      <c r="A442385" t="s">
        <v>424</v>
      </c>
    </row>
    <row r="442386" spans="1:1" x14ac:dyDescent="0.15">
      <c r="A442386" t="s">
        <v>425</v>
      </c>
    </row>
    <row r="442387" spans="1:1" x14ac:dyDescent="0.15">
      <c r="A442387" t="s">
        <v>1397</v>
      </c>
    </row>
    <row r="442388" spans="1:1" x14ac:dyDescent="0.15">
      <c r="A442388" t="s">
        <v>1398</v>
      </c>
    </row>
    <row r="442389" spans="1:1" x14ac:dyDescent="0.15">
      <c r="A442389" t="s">
        <v>411</v>
      </c>
    </row>
    <row r="442390" spans="1:1" x14ac:dyDescent="0.15">
      <c r="A442390" t="s">
        <v>412</v>
      </c>
    </row>
    <row r="442391" spans="1:1" x14ac:dyDescent="0.15">
      <c r="A442391" t="s">
        <v>413</v>
      </c>
    </row>
    <row r="442392" spans="1:1" x14ac:dyDescent="0.15">
      <c r="A442392" t="s">
        <v>414</v>
      </c>
    </row>
    <row r="442393" spans="1:1" x14ac:dyDescent="0.15">
      <c r="A442393" t="s">
        <v>415</v>
      </c>
    </row>
    <row r="442394" spans="1:1" x14ac:dyDescent="0.15">
      <c r="A442394" t="s">
        <v>421</v>
      </c>
    </row>
    <row r="442395" spans="1:1" ht="15.75" x14ac:dyDescent="0.15">
      <c r="A442395" t="s">
        <v>1399</v>
      </c>
    </row>
    <row r="442396" spans="1:1" x14ac:dyDescent="0.15">
      <c r="A442396" t="s">
        <v>416</v>
      </c>
    </row>
    <row r="442397" spans="1:1" x14ac:dyDescent="0.15">
      <c r="A442397" t="s">
        <v>417</v>
      </c>
    </row>
    <row r="442398" spans="1:1" x14ac:dyDescent="0.15">
      <c r="A442398" t="s">
        <v>418</v>
      </c>
    </row>
    <row r="442399" spans="1:1" x14ac:dyDescent="0.15">
      <c r="A442399" t="s">
        <v>419</v>
      </c>
    </row>
    <row r="442400" spans="1:1" x14ac:dyDescent="0.15">
      <c r="A442400" t="s">
        <v>420</v>
      </c>
    </row>
    <row r="442401" spans="1:1" x14ac:dyDescent="0.15">
      <c r="A442401" t="s">
        <v>822</v>
      </c>
    </row>
    <row r="442402" spans="1:1" x14ac:dyDescent="0.15">
      <c r="A442402" t="s">
        <v>1387</v>
      </c>
    </row>
    <row r="442403" spans="1:1" x14ac:dyDescent="0.15">
      <c r="A442403" t="s">
        <v>1388</v>
      </c>
    </row>
    <row r="442404" spans="1:1" x14ac:dyDescent="0.15">
      <c r="A442404" t="s">
        <v>820</v>
      </c>
    </row>
    <row r="442405" spans="1:1" x14ac:dyDescent="0.15">
      <c r="A442405" t="s">
        <v>821</v>
      </c>
    </row>
    <row r="458754" spans="1:1" x14ac:dyDescent="0.15">
      <c r="A458754" t="s">
        <v>958</v>
      </c>
    </row>
    <row r="458755" spans="1:1" x14ac:dyDescent="0.15">
      <c r="A458755" t="s">
        <v>405</v>
      </c>
    </row>
    <row r="458756" spans="1:1" x14ac:dyDescent="0.15">
      <c r="A458756" t="s">
        <v>406</v>
      </c>
    </row>
    <row r="458757" spans="1:1" x14ac:dyDescent="0.15">
      <c r="A458757" t="s">
        <v>422</v>
      </c>
    </row>
    <row r="458758" spans="1:1" x14ac:dyDescent="0.15">
      <c r="A458758" t="s">
        <v>1394</v>
      </c>
    </row>
    <row r="458759" spans="1:1" x14ac:dyDescent="0.15">
      <c r="A458759" t="s">
        <v>1391</v>
      </c>
    </row>
    <row r="458760" spans="1:1" x14ac:dyDescent="0.15">
      <c r="A458760" t="s">
        <v>1392</v>
      </c>
    </row>
    <row r="458761" spans="1:1" x14ac:dyDescent="0.15">
      <c r="A458761" t="s">
        <v>407</v>
      </c>
    </row>
    <row r="458762" spans="1:1" x14ac:dyDescent="0.15">
      <c r="A458762" t="s">
        <v>408</v>
      </c>
    </row>
    <row r="458763" spans="1:1" x14ac:dyDescent="0.15">
      <c r="A458763" t="s">
        <v>423</v>
      </c>
    </row>
    <row r="458764" spans="1:1" x14ac:dyDescent="0.15">
      <c r="A458764" t="s">
        <v>1395</v>
      </c>
    </row>
    <row r="458765" spans="1:1" x14ac:dyDescent="0.15">
      <c r="A458765" t="s">
        <v>1393</v>
      </c>
    </row>
    <row r="458766" spans="1:1" x14ac:dyDescent="0.15">
      <c r="A458766" t="s">
        <v>1396</v>
      </c>
    </row>
    <row r="458767" spans="1:1" x14ac:dyDescent="0.15">
      <c r="A458767" t="s">
        <v>409</v>
      </c>
    </row>
    <row r="458768" spans="1:1" x14ac:dyDescent="0.15">
      <c r="A458768" t="s">
        <v>410</v>
      </c>
    </row>
    <row r="458769" spans="1:1" x14ac:dyDescent="0.15">
      <c r="A458769" t="s">
        <v>424</v>
      </c>
    </row>
    <row r="458770" spans="1:1" x14ac:dyDescent="0.15">
      <c r="A458770" t="s">
        <v>425</v>
      </c>
    </row>
    <row r="458771" spans="1:1" x14ac:dyDescent="0.15">
      <c r="A458771" t="s">
        <v>1397</v>
      </c>
    </row>
    <row r="458772" spans="1:1" x14ac:dyDescent="0.15">
      <c r="A458772" t="s">
        <v>1398</v>
      </c>
    </row>
    <row r="458773" spans="1:1" x14ac:dyDescent="0.15">
      <c r="A458773" t="s">
        <v>411</v>
      </c>
    </row>
    <row r="458774" spans="1:1" x14ac:dyDescent="0.15">
      <c r="A458774" t="s">
        <v>412</v>
      </c>
    </row>
    <row r="458775" spans="1:1" x14ac:dyDescent="0.15">
      <c r="A458775" t="s">
        <v>413</v>
      </c>
    </row>
    <row r="458776" spans="1:1" x14ac:dyDescent="0.15">
      <c r="A458776" t="s">
        <v>414</v>
      </c>
    </row>
    <row r="458777" spans="1:1" x14ac:dyDescent="0.15">
      <c r="A458777" t="s">
        <v>415</v>
      </c>
    </row>
    <row r="458778" spans="1:1" x14ac:dyDescent="0.15">
      <c r="A458778" t="s">
        <v>421</v>
      </c>
    </row>
    <row r="458779" spans="1:1" ht="15.75" x14ac:dyDescent="0.15">
      <c r="A458779" t="s">
        <v>1399</v>
      </c>
    </row>
    <row r="458780" spans="1:1" x14ac:dyDescent="0.15">
      <c r="A458780" t="s">
        <v>416</v>
      </c>
    </row>
    <row r="458781" spans="1:1" x14ac:dyDescent="0.15">
      <c r="A458781" t="s">
        <v>417</v>
      </c>
    </row>
    <row r="458782" spans="1:1" x14ac:dyDescent="0.15">
      <c r="A458782" t="s">
        <v>418</v>
      </c>
    </row>
    <row r="458783" spans="1:1" x14ac:dyDescent="0.15">
      <c r="A458783" t="s">
        <v>419</v>
      </c>
    </row>
    <row r="458784" spans="1:1" x14ac:dyDescent="0.15">
      <c r="A458784" t="s">
        <v>420</v>
      </c>
    </row>
    <row r="458785" spans="1:1" x14ac:dyDescent="0.15">
      <c r="A458785" t="s">
        <v>822</v>
      </c>
    </row>
    <row r="458786" spans="1:1" x14ac:dyDescent="0.15">
      <c r="A458786" t="s">
        <v>1387</v>
      </c>
    </row>
    <row r="458787" spans="1:1" x14ac:dyDescent="0.15">
      <c r="A458787" t="s">
        <v>1388</v>
      </c>
    </row>
    <row r="458788" spans="1:1" x14ac:dyDescent="0.15">
      <c r="A458788" t="s">
        <v>820</v>
      </c>
    </row>
    <row r="458789" spans="1:1" x14ac:dyDescent="0.15">
      <c r="A458789" t="s">
        <v>821</v>
      </c>
    </row>
    <row r="475138" spans="1:1" x14ac:dyDescent="0.15">
      <c r="A475138" t="s">
        <v>958</v>
      </c>
    </row>
    <row r="475139" spans="1:1" x14ac:dyDescent="0.15">
      <c r="A475139" t="s">
        <v>405</v>
      </c>
    </row>
    <row r="475140" spans="1:1" x14ac:dyDescent="0.15">
      <c r="A475140" t="s">
        <v>406</v>
      </c>
    </row>
    <row r="475141" spans="1:1" x14ac:dyDescent="0.15">
      <c r="A475141" t="s">
        <v>422</v>
      </c>
    </row>
    <row r="475142" spans="1:1" x14ac:dyDescent="0.15">
      <c r="A475142" t="s">
        <v>1394</v>
      </c>
    </row>
    <row r="475143" spans="1:1" x14ac:dyDescent="0.15">
      <c r="A475143" t="s">
        <v>1391</v>
      </c>
    </row>
    <row r="475144" spans="1:1" x14ac:dyDescent="0.15">
      <c r="A475144" t="s">
        <v>1392</v>
      </c>
    </row>
    <row r="475145" spans="1:1" x14ac:dyDescent="0.15">
      <c r="A475145" t="s">
        <v>407</v>
      </c>
    </row>
    <row r="475146" spans="1:1" x14ac:dyDescent="0.15">
      <c r="A475146" t="s">
        <v>408</v>
      </c>
    </row>
    <row r="475147" spans="1:1" x14ac:dyDescent="0.15">
      <c r="A475147" t="s">
        <v>423</v>
      </c>
    </row>
    <row r="475148" spans="1:1" x14ac:dyDescent="0.15">
      <c r="A475148" t="s">
        <v>1395</v>
      </c>
    </row>
    <row r="475149" spans="1:1" x14ac:dyDescent="0.15">
      <c r="A475149" t="s">
        <v>1393</v>
      </c>
    </row>
    <row r="475150" spans="1:1" x14ac:dyDescent="0.15">
      <c r="A475150" t="s">
        <v>1396</v>
      </c>
    </row>
    <row r="475151" spans="1:1" x14ac:dyDescent="0.15">
      <c r="A475151" t="s">
        <v>409</v>
      </c>
    </row>
    <row r="475152" spans="1:1" x14ac:dyDescent="0.15">
      <c r="A475152" t="s">
        <v>410</v>
      </c>
    </row>
    <row r="475153" spans="1:1" x14ac:dyDescent="0.15">
      <c r="A475153" t="s">
        <v>424</v>
      </c>
    </row>
    <row r="475154" spans="1:1" x14ac:dyDescent="0.15">
      <c r="A475154" t="s">
        <v>425</v>
      </c>
    </row>
    <row r="475155" spans="1:1" x14ac:dyDescent="0.15">
      <c r="A475155" t="s">
        <v>1397</v>
      </c>
    </row>
    <row r="475156" spans="1:1" x14ac:dyDescent="0.15">
      <c r="A475156" t="s">
        <v>1398</v>
      </c>
    </row>
    <row r="475157" spans="1:1" x14ac:dyDescent="0.15">
      <c r="A475157" t="s">
        <v>411</v>
      </c>
    </row>
    <row r="475158" spans="1:1" x14ac:dyDescent="0.15">
      <c r="A475158" t="s">
        <v>412</v>
      </c>
    </row>
    <row r="475159" spans="1:1" x14ac:dyDescent="0.15">
      <c r="A475159" t="s">
        <v>413</v>
      </c>
    </row>
    <row r="475160" spans="1:1" x14ac:dyDescent="0.15">
      <c r="A475160" t="s">
        <v>414</v>
      </c>
    </row>
    <row r="475161" spans="1:1" x14ac:dyDescent="0.15">
      <c r="A475161" t="s">
        <v>415</v>
      </c>
    </row>
    <row r="475162" spans="1:1" x14ac:dyDescent="0.15">
      <c r="A475162" t="s">
        <v>421</v>
      </c>
    </row>
    <row r="475163" spans="1:1" ht="15.75" x14ac:dyDescent="0.15">
      <c r="A475163" t="s">
        <v>1399</v>
      </c>
    </row>
    <row r="475164" spans="1:1" x14ac:dyDescent="0.15">
      <c r="A475164" t="s">
        <v>416</v>
      </c>
    </row>
    <row r="475165" spans="1:1" x14ac:dyDescent="0.15">
      <c r="A475165" t="s">
        <v>417</v>
      </c>
    </row>
    <row r="475166" spans="1:1" x14ac:dyDescent="0.15">
      <c r="A475166" t="s">
        <v>418</v>
      </c>
    </row>
    <row r="475167" spans="1:1" x14ac:dyDescent="0.15">
      <c r="A475167" t="s">
        <v>419</v>
      </c>
    </row>
    <row r="475168" spans="1:1" x14ac:dyDescent="0.15">
      <c r="A475168" t="s">
        <v>420</v>
      </c>
    </row>
    <row r="475169" spans="1:1" x14ac:dyDescent="0.15">
      <c r="A475169" t="s">
        <v>822</v>
      </c>
    </row>
    <row r="475170" spans="1:1" x14ac:dyDescent="0.15">
      <c r="A475170" t="s">
        <v>1387</v>
      </c>
    </row>
    <row r="475171" spans="1:1" x14ac:dyDescent="0.15">
      <c r="A475171" t="s">
        <v>1388</v>
      </c>
    </row>
    <row r="475172" spans="1:1" x14ac:dyDescent="0.15">
      <c r="A475172" t="s">
        <v>820</v>
      </c>
    </row>
    <row r="475173" spans="1:1" x14ac:dyDescent="0.15">
      <c r="A475173" t="s">
        <v>821</v>
      </c>
    </row>
    <row r="491522" spans="1:1" x14ac:dyDescent="0.15">
      <c r="A491522" t="s">
        <v>958</v>
      </c>
    </row>
    <row r="491523" spans="1:1" x14ac:dyDescent="0.15">
      <c r="A491523" t="s">
        <v>405</v>
      </c>
    </row>
    <row r="491524" spans="1:1" x14ac:dyDescent="0.15">
      <c r="A491524" t="s">
        <v>406</v>
      </c>
    </row>
    <row r="491525" spans="1:1" x14ac:dyDescent="0.15">
      <c r="A491525" t="s">
        <v>422</v>
      </c>
    </row>
    <row r="491526" spans="1:1" x14ac:dyDescent="0.15">
      <c r="A491526" t="s">
        <v>1394</v>
      </c>
    </row>
    <row r="491527" spans="1:1" x14ac:dyDescent="0.15">
      <c r="A491527" t="s">
        <v>1391</v>
      </c>
    </row>
    <row r="491528" spans="1:1" x14ac:dyDescent="0.15">
      <c r="A491528" t="s">
        <v>1392</v>
      </c>
    </row>
    <row r="491529" spans="1:1" x14ac:dyDescent="0.15">
      <c r="A491529" t="s">
        <v>407</v>
      </c>
    </row>
    <row r="491530" spans="1:1" x14ac:dyDescent="0.15">
      <c r="A491530" t="s">
        <v>408</v>
      </c>
    </row>
    <row r="491531" spans="1:1" x14ac:dyDescent="0.15">
      <c r="A491531" t="s">
        <v>423</v>
      </c>
    </row>
    <row r="491532" spans="1:1" x14ac:dyDescent="0.15">
      <c r="A491532" t="s">
        <v>1395</v>
      </c>
    </row>
    <row r="491533" spans="1:1" x14ac:dyDescent="0.15">
      <c r="A491533" t="s">
        <v>1393</v>
      </c>
    </row>
    <row r="491534" spans="1:1" x14ac:dyDescent="0.15">
      <c r="A491534" t="s">
        <v>1396</v>
      </c>
    </row>
    <row r="491535" spans="1:1" x14ac:dyDescent="0.15">
      <c r="A491535" t="s">
        <v>409</v>
      </c>
    </row>
    <row r="491536" spans="1:1" x14ac:dyDescent="0.15">
      <c r="A491536" t="s">
        <v>410</v>
      </c>
    </row>
    <row r="491537" spans="1:1" x14ac:dyDescent="0.15">
      <c r="A491537" t="s">
        <v>424</v>
      </c>
    </row>
    <row r="491538" spans="1:1" x14ac:dyDescent="0.15">
      <c r="A491538" t="s">
        <v>425</v>
      </c>
    </row>
    <row r="491539" spans="1:1" x14ac:dyDescent="0.15">
      <c r="A491539" t="s">
        <v>1397</v>
      </c>
    </row>
    <row r="491540" spans="1:1" x14ac:dyDescent="0.15">
      <c r="A491540" t="s">
        <v>1398</v>
      </c>
    </row>
    <row r="491541" spans="1:1" x14ac:dyDescent="0.15">
      <c r="A491541" t="s">
        <v>411</v>
      </c>
    </row>
    <row r="491542" spans="1:1" x14ac:dyDescent="0.15">
      <c r="A491542" t="s">
        <v>412</v>
      </c>
    </row>
    <row r="491543" spans="1:1" x14ac:dyDescent="0.15">
      <c r="A491543" t="s">
        <v>413</v>
      </c>
    </row>
    <row r="491544" spans="1:1" x14ac:dyDescent="0.15">
      <c r="A491544" t="s">
        <v>414</v>
      </c>
    </row>
    <row r="491545" spans="1:1" x14ac:dyDescent="0.15">
      <c r="A491545" t="s">
        <v>415</v>
      </c>
    </row>
    <row r="491546" spans="1:1" x14ac:dyDescent="0.15">
      <c r="A491546" t="s">
        <v>421</v>
      </c>
    </row>
    <row r="491547" spans="1:1" ht="15.75" x14ac:dyDescent="0.15">
      <c r="A491547" t="s">
        <v>1399</v>
      </c>
    </row>
    <row r="491548" spans="1:1" x14ac:dyDescent="0.15">
      <c r="A491548" t="s">
        <v>416</v>
      </c>
    </row>
    <row r="491549" spans="1:1" x14ac:dyDescent="0.15">
      <c r="A491549" t="s">
        <v>417</v>
      </c>
    </row>
    <row r="491550" spans="1:1" x14ac:dyDescent="0.15">
      <c r="A491550" t="s">
        <v>418</v>
      </c>
    </row>
    <row r="491551" spans="1:1" x14ac:dyDescent="0.15">
      <c r="A491551" t="s">
        <v>419</v>
      </c>
    </row>
    <row r="491552" spans="1:1" x14ac:dyDescent="0.15">
      <c r="A491552" t="s">
        <v>420</v>
      </c>
    </row>
    <row r="491553" spans="1:1" x14ac:dyDescent="0.15">
      <c r="A491553" t="s">
        <v>822</v>
      </c>
    </row>
    <row r="491554" spans="1:1" x14ac:dyDescent="0.15">
      <c r="A491554" t="s">
        <v>1387</v>
      </c>
    </row>
    <row r="491555" spans="1:1" x14ac:dyDescent="0.15">
      <c r="A491555" t="s">
        <v>1388</v>
      </c>
    </row>
    <row r="491556" spans="1:1" x14ac:dyDescent="0.15">
      <c r="A491556" t="s">
        <v>820</v>
      </c>
    </row>
    <row r="491557" spans="1:1" x14ac:dyDescent="0.15">
      <c r="A491557" t="s">
        <v>821</v>
      </c>
    </row>
    <row r="507906" spans="1:1" x14ac:dyDescent="0.15">
      <c r="A507906" t="s">
        <v>958</v>
      </c>
    </row>
    <row r="507907" spans="1:1" x14ac:dyDescent="0.15">
      <c r="A507907" t="s">
        <v>405</v>
      </c>
    </row>
    <row r="507908" spans="1:1" x14ac:dyDescent="0.15">
      <c r="A507908" t="s">
        <v>406</v>
      </c>
    </row>
    <row r="507909" spans="1:1" x14ac:dyDescent="0.15">
      <c r="A507909" t="s">
        <v>422</v>
      </c>
    </row>
    <row r="507910" spans="1:1" x14ac:dyDescent="0.15">
      <c r="A507910" t="s">
        <v>1394</v>
      </c>
    </row>
    <row r="507911" spans="1:1" x14ac:dyDescent="0.15">
      <c r="A507911" t="s">
        <v>1391</v>
      </c>
    </row>
    <row r="507912" spans="1:1" x14ac:dyDescent="0.15">
      <c r="A507912" t="s">
        <v>1392</v>
      </c>
    </row>
    <row r="507913" spans="1:1" x14ac:dyDescent="0.15">
      <c r="A507913" t="s">
        <v>407</v>
      </c>
    </row>
    <row r="507914" spans="1:1" x14ac:dyDescent="0.15">
      <c r="A507914" t="s">
        <v>408</v>
      </c>
    </row>
    <row r="507915" spans="1:1" x14ac:dyDescent="0.15">
      <c r="A507915" t="s">
        <v>423</v>
      </c>
    </row>
    <row r="507916" spans="1:1" x14ac:dyDescent="0.15">
      <c r="A507916" t="s">
        <v>1395</v>
      </c>
    </row>
    <row r="507917" spans="1:1" x14ac:dyDescent="0.15">
      <c r="A507917" t="s">
        <v>1393</v>
      </c>
    </row>
    <row r="507918" spans="1:1" x14ac:dyDescent="0.15">
      <c r="A507918" t="s">
        <v>1396</v>
      </c>
    </row>
    <row r="507919" spans="1:1" x14ac:dyDescent="0.15">
      <c r="A507919" t="s">
        <v>409</v>
      </c>
    </row>
    <row r="507920" spans="1:1" x14ac:dyDescent="0.15">
      <c r="A507920" t="s">
        <v>410</v>
      </c>
    </row>
    <row r="507921" spans="1:1" x14ac:dyDescent="0.15">
      <c r="A507921" t="s">
        <v>424</v>
      </c>
    </row>
    <row r="507922" spans="1:1" x14ac:dyDescent="0.15">
      <c r="A507922" t="s">
        <v>425</v>
      </c>
    </row>
    <row r="507923" spans="1:1" x14ac:dyDescent="0.15">
      <c r="A507923" t="s">
        <v>1397</v>
      </c>
    </row>
    <row r="507924" spans="1:1" x14ac:dyDescent="0.15">
      <c r="A507924" t="s">
        <v>1398</v>
      </c>
    </row>
    <row r="507925" spans="1:1" x14ac:dyDescent="0.15">
      <c r="A507925" t="s">
        <v>411</v>
      </c>
    </row>
    <row r="507926" spans="1:1" x14ac:dyDescent="0.15">
      <c r="A507926" t="s">
        <v>412</v>
      </c>
    </row>
    <row r="507927" spans="1:1" x14ac:dyDescent="0.15">
      <c r="A507927" t="s">
        <v>413</v>
      </c>
    </row>
    <row r="507928" spans="1:1" x14ac:dyDescent="0.15">
      <c r="A507928" t="s">
        <v>414</v>
      </c>
    </row>
    <row r="507929" spans="1:1" x14ac:dyDescent="0.15">
      <c r="A507929" t="s">
        <v>415</v>
      </c>
    </row>
    <row r="507930" spans="1:1" x14ac:dyDescent="0.15">
      <c r="A507930" t="s">
        <v>421</v>
      </c>
    </row>
    <row r="507931" spans="1:1" ht="15.75" x14ac:dyDescent="0.15">
      <c r="A507931" t="s">
        <v>1399</v>
      </c>
    </row>
    <row r="507932" spans="1:1" x14ac:dyDescent="0.15">
      <c r="A507932" t="s">
        <v>416</v>
      </c>
    </row>
    <row r="507933" spans="1:1" x14ac:dyDescent="0.15">
      <c r="A507933" t="s">
        <v>417</v>
      </c>
    </row>
    <row r="507934" spans="1:1" x14ac:dyDescent="0.15">
      <c r="A507934" t="s">
        <v>418</v>
      </c>
    </row>
    <row r="507935" spans="1:1" x14ac:dyDescent="0.15">
      <c r="A507935" t="s">
        <v>419</v>
      </c>
    </row>
    <row r="507936" spans="1:1" x14ac:dyDescent="0.15">
      <c r="A507936" t="s">
        <v>420</v>
      </c>
    </row>
    <row r="507937" spans="1:1" x14ac:dyDescent="0.15">
      <c r="A507937" t="s">
        <v>822</v>
      </c>
    </row>
    <row r="507938" spans="1:1" x14ac:dyDescent="0.15">
      <c r="A507938" t="s">
        <v>1387</v>
      </c>
    </row>
    <row r="507939" spans="1:1" x14ac:dyDescent="0.15">
      <c r="A507939" t="s">
        <v>1388</v>
      </c>
    </row>
    <row r="507940" spans="1:1" x14ac:dyDescent="0.15">
      <c r="A507940" t="s">
        <v>820</v>
      </c>
    </row>
    <row r="507941" spans="1:1" x14ac:dyDescent="0.15">
      <c r="A507941" t="s">
        <v>821</v>
      </c>
    </row>
    <row r="524290" spans="1:1" x14ac:dyDescent="0.15">
      <c r="A524290" t="s">
        <v>958</v>
      </c>
    </row>
    <row r="524291" spans="1:1" x14ac:dyDescent="0.15">
      <c r="A524291" t="s">
        <v>405</v>
      </c>
    </row>
    <row r="524292" spans="1:1" x14ac:dyDescent="0.15">
      <c r="A524292" t="s">
        <v>406</v>
      </c>
    </row>
    <row r="524293" spans="1:1" x14ac:dyDescent="0.15">
      <c r="A524293" t="s">
        <v>422</v>
      </c>
    </row>
    <row r="524294" spans="1:1" x14ac:dyDescent="0.15">
      <c r="A524294" t="s">
        <v>1394</v>
      </c>
    </row>
    <row r="524295" spans="1:1" x14ac:dyDescent="0.15">
      <c r="A524295" t="s">
        <v>1391</v>
      </c>
    </row>
    <row r="524296" spans="1:1" x14ac:dyDescent="0.15">
      <c r="A524296" t="s">
        <v>1392</v>
      </c>
    </row>
    <row r="524297" spans="1:1" x14ac:dyDescent="0.15">
      <c r="A524297" t="s">
        <v>407</v>
      </c>
    </row>
    <row r="524298" spans="1:1" x14ac:dyDescent="0.15">
      <c r="A524298" t="s">
        <v>408</v>
      </c>
    </row>
    <row r="524299" spans="1:1" x14ac:dyDescent="0.15">
      <c r="A524299" t="s">
        <v>423</v>
      </c>
    </row>
    <row r="524300" spans="1:1" x14ac:dyDescent="0.15">
      <c r="A524300" t="s">
        <v>1395</v>
      </c>
    </row>
    <row r="524301" spans="1:1" x14ac:dyDescent="0.15">
      <c r="A524301" t="s">
        <v>1393</v>
      </c>
    </row>
    <row r="524302" spans="1:1" x14ac:dyDescent="0.15">
      <c r="A524302" t="s">
        <v>1396</v>
      </c>
    </row>
    <row r="524303" spans="1:1" x14ac:dyDescent="0.15">
      <c r="A524303" t="s">
        <v>409</v>
      </c>
    </row>
    <row r="524304" spans="1:1" x14ac:dyDescent="0.15">
      <c r="A524304" t="s">
        <v>410</v>
      </c>
    </row>
    <row r="524305" spans="1:1" x14ac:dyDescent="0.15">
      <c r="A524305" t="s">
        <v>424</v>
      </c>
    </row>
    <row r="524306" spans="1:1" x14ac:dyDescent="0.15">
      <c r="A524306" t="s">
        <v>425</v>
      </c>
    </row>
    <row r="524307" spans="1:1" x14ac:dyDescent="0.15">
      <c r="A524307" t="s">
        <v>1397</v>
      </c>
    </row>
    <row r="524308" spans="1:1" x14ac:dyDescent="0.15">
      <c r="A524308" t="s">
        <v>1398</v>
      </c>
    </row>
    <row r="524309" spans="1:1" x14ac:dyDescent="0.15">
      <c r="A524309" t="s">
        <v>411</v>
      </c>
    </row>
    <row r="524310" spans="1:1" x14ac:dyDescent="0.15">
      <c r="A524310" t="s">
        <v>412</v>
      </c>
    </row>
    <row r="524311" spans="1:1" x14ac:dyDescent="0.15">
      <c r="A524311" t="s">
        <v>413</v>
      </c>
    </row>
    <row r="524312" spans="1:1" x14ac:dyDescent="0.15">
      <c r="A524312" t="s">
        <v>414</v>
      </c>
    </row>
    <row r="524313" spans="1:1" x14ac:dyDescent="0.15">
      <c r="A524313" t="s">
        <v>415</v>
      </c>
    </row>
    <row r="524314" spans="1:1" x14ac:dyDescent="0.15">
      <c r="A524314" t="s">
        <v>421</v>
      </c>
    </row>
    <row r="524315" spans="1:1" ht="15.75" x14ac:dyDescent="0.15">
      <c r="A524315" t="s">
        <v>1399</v>
      </c>
    </row>
    <row r="524316" spans="1:1" x14ac:dyDescent="0.15">
      <c r="A524316" t="s">
        <v>416</v>
      </c>
    </row>
    <row r="524317" spans="1:1" x14ac:dyDescent="0.15">
      <c r="A524317" t="s">
        <v>417</v>
      </c>
    </row>
    <row r="524318" spans="1:1" x14ac:dyDescent="0.15">
      <c r="A524318" t="s">
        <v>418</v>
      </c>
    </row>
    <row r="524319" spans="1:1" x14ac:dyDescent="0.15">
      <c r="A524319" t="s">
        <v>419</v>
      </c>
    </row>
    <row r="524320" spans="1:1" x14ac:dyDescent="0.15">
      <c r="A524320" t="s">
        <v>420</v>
      </c>
    </row>
    <row r="524321" spans="1:1" x14ac:dyDescent="0.15">
      <c r="A524321" t="s">
        <v>822</v>
      </c>
    </row>
    <row r="524322" spans="1:1" x14ac:dyDescent="0.15">
      <c r="A524322" t="s">
        <v>1387</v>
      </c>
    </row>
    <row r="524323" spans="1:1" x14ac:dyDescent="0.15">
      <c r="A524323" t="s">
        <v>1388</v>
      </c>
    </row>
    <row r="524324" spans="1:1" x14ac:dyDescent="0.15">
      <c r="A524324" t="s">
        <v>820</v>
      </c>
    </row>
    <row r="524325" spans="1:1" x14ac:dyDescent="0.15">
      <c r="A524325" t="s">
        <v>821</v>
      </c>
    </row>
    <row r="540674" spans="1:1" x14ac:dyDescent="0.15">
      <c r="A540674" t="s">
        <v>958</v>
      </c>
    </row>
    <row r="540675" spans="1:1" x14ac:dyDescent="0.15">
      <c r="A540675" t="s">
        <v>405</v>
      </c>
    </row>
    <row r="540676" spans="1:1" x14ac:dyDescent="0.15">
      <c r="A540676" t="s">
        <v>406</v>
      </c>
    </row>
    <row r="540677" spans="1:1" x14ac:dyDescent="0.15">
      <c r="A540677" t="s">
        <v>422</v>
      </c>
    </row>
    <row r="540678" spans="1:1" x14ac:dyDescent="0.15">
      <c r="A540678" t="s">
        <v>1394</v>
      </c>
    </row>
    <row r="540679" spans="1:1" x14ac:dyDescent="0.15">
      <c r="A540679" t="s">
        <v>1391</v>
      </c>
    </row>
    <row r="540680" spans="1:1" x14ac:dyDescent="0.15">
      <c r="A540680" t="s">
        <v>1392</v>
      </c>
    </row>
    <row r="540681" spans="1:1" x14ac:dyDescent="0.15">
      <c r="A540681" t="s">
        <v>407</v>
      </c>
    </row>
    <row r="540682" spans="1:1" x14ac:dyDescent="0.15">
      <c r="A540682" t="s">
        <v>408</v>
      </c>
    </row>
    <row r="540683" spans="1:1" x14ac:dyDescent="0.15">
      <c r="A540683" t="s">
        <v>423</v>
      </c>
    </row>
    <row r="540684" spans="1:1" x14ac:dyDescent="0.15">
      <c r="A540684" t="s">
        <v>1395</v>
      </c>
    </row>
    <row r="540685" spans="1:1" x14ac:dyDescent="0.15">
      <c r="A540685" t="s">
        <v>1393</v>
      </c>
    </row>
    <row r="540686" spans="1:1" x14ac:dyDescent="0.15">
      <c r="A540686" t="s">
        <v>1396</v>
      </c>
    </row>
    <row r="540687" spans="1:1" x14ac:dyDescent="0.15">
      <c r="A540687" t="s">
        <v>409</v>
      </c>
    </row>
    <row r="540688" spans="1:1" x14ac:dyDescent="0.15">
      <c r="A540688" t="s">
        <v>410</v>
      </c>
    </row>
    <row r="540689" spans="1:1" x14ac:dyDescent="0.15">
      <c r="A540689" t="s">
        <v>424</v>
      </c>
    </row>
    <row r="540690" spans="1:1" x14ac:dyDescent="0.15">
      <c r="A540690" t="s">
        <v>425</v>
      </c>
    </row>
    <row r="540691" spans="1:1" x14ac:dyDescent="0.15">
      <c r="A540691" t="s">
        <v>1397</v>
      </c>
    </row>
    <row r="540692" spans="1:1" x14ac:dyDescent="0.15">
      <c r="A540692" t="s">
        <v>1398</v>
      </c>
    </row>
    <row r="540693" spans="1:1" x14ac:dyDescent="0.15">
      <c r="A540693" t="s">
        <v>411</v>
      </c>
    </row>
    <row r="540694" spans="1:1" x14ac:dyDescent="0.15">
      <c r="A540694" t="s">
        <v>412</v>
      </c>
    </row>
    <row r="540695" spans="1:1" x14ac:dyDescent="0.15">
      <c r="A540695" t="s">
        <v>413</v>
      </c>
    </row>
    <row r="540696" spans="1:1" x14ac:dyDescent="0.15">
      <c r="A540696" t="s">
        <v>414</v>
      </c>
    </row>
    <row r="540697" spans="1:1" x14ac:dyDescent="0.15">
      <c r="A540697" t="s">
        <v>415</v>
      </c>
    </row>
    <row r="540698" spans="1:1" x14ac:dyDescent="0.15">
      <c r="A540698" t="s">
        <v>421</v>
      </c>
    </row>
    <row r="540699" spans="1:1" ht="15.75" x14ac:dyDescent="0.15">
      <c r="A540699" t="s">
        <v>1399</v>
      </c>
    </row>
    <row r="540700" spans="1:1" x14ac:dyDescent="0.15">
      <c r="A540700" t="s">
        <v>416</v>
      </c>
    </row>
    <row r="540701" spans="1:1" x14ac:dyDescent="0.15">
      <c r="A540701" t="s">
        <v>417</v>
      </c>
    </row>
    <row r="540702" spans="1:1" x14ac:dyDescent="0.15">
      <c r="A540702" t="s">
        <v>418</v>
      </c>
    </row>
    <row r="540703" spans="1:1" x14ac:dyDescent="0.15">
      <c r="A540703" t="s">
        <v>419</v>
      </c>
    </row>
    <row r="540704" spans="1:1" x14ac:dyDescent="0.15">
      <c r="A540704" t="s">
        <v>420</v>
      </c>
    </row>
    <row r="540705" spans="1:1" x14ac:dyDescent="0.15">
      <c r="A540705" t="s">
        <v>822</v>
      </c>
    </row>
    <row r="540706" spans="1:1" x14ac:dyDescent="0.15">
      <c r="A540706" t="s">
        <v>1387</v>
      </c>
    </row>
    <row r="540707" spans="1:1" x14ac:dyDescent="0.15">
      <c r="A540707" t="s">
        <v>1388</v>
      </c>
    </row>
    <row r="540708" spans="1:1" x14ac:dyDescent="0.15">
      <c r="A540708" t="s">
        <v>820</v>
      </c>
    </row>
    <row r="540709" spans="1:1" x14ac:dyDescent="0.15">
      <c r="A540709" t="s">
        <v>821</v>
      </c>
    </row>
    <row r="557058" spans="1:1" x14ac:dyDescent="0.15">
      <c r="A557058" t="s">
        <v>958</v>
      </c>
    </row>
    <row r="557059" spans="1:1" x14ac:dyDescent="0.15">
      <c r="A557059" t="s">
        <v>405</v>
      </c>
    </row>
    <row r="557060" spans="1:1" x14ac:dyDescent="0.15">
      <c r="A557060" t="s">
        <v>406</v>
      </c>
    </row>
    <row r="557061" spans="1:1" x14ac:dyDescent="0.15">
      <c r="A557061" t="s">
        <v>422</v>
      </c>
    </row>
    <row r="557062" spans="1:1" x14ac:dyDescent="0.15">
      <c r="A557062" t="s">
        <v>1394</v>
      </c>
    </row>
    <row r="557063" spans="1:1" x14ac:dyDescent="0.15">
      <c r="A557063" t="s">
        <v>1391</v>
      </c>
    </row>
    <row r="557064" spans="1:1" x14ac:dyDescent="0.15">
      <c r="A557064" t="s">
        <v>1392</v>
      </c>
    </row>
    <row r="557065" spans="1:1" x14ac:dyDescent="0.15">
      <c r="A557065" t="s">
        <v>407</v>
      </c>
    </row>
    <row r="557066" spans="1:1" x14ac:dyDescent="0.15">
      <c r="A557066" t="s">
        <v>408</v>
      </c>
    </row>
    <row r="557067" spans="1:1" x14ac:dyDescent="0.15">
      <c r="A557067" t="s">
        <v>423</v>
      </c>
    </row>
    <row r="557068" spans="1:1" x14ac:dyDescent="0.15">
      <c r="A557068" t="s">
        <v>1395</v>
      </c>
    </row>
    <row r="557069" spans="1:1" x14ac:dyDescent="0.15">
      <c r="A557069" t="s">
        <v>1393</v>
      </c>
    </row>
    <row r="557070" spans="1:1" x14ac:dyDescent="0.15">
      <c r="A557070" t="s">
        <v>1396</v>
      </c>
    </row>
    <row r="557071" spans="1:1" x14ac:dyDescent="0.15">
      <c r="A557071" t="s">
        <v>409</v>
      </c>
    </row>
    <row r="557072" spans="1:1" x14ac:dyDescent="0.15">
      <c r="A557072" t="s">
        <v>410</v>
      </c>
    </row>
    <row r="557073" spans="1:1" x14ac:dyDescent="0.15">
      <c r="A557073" t="s">
        <v>424</v>
      </c>
    </row>
    <row r="557074" spans="1:1" x14ac:dyDescent="0.15">
      <c r="A557074" t="s">
        <v>425</v>
      </c>
    </row>
    <row r="557075" spans="1:1" x14ac:dyDescent="0.15">
      <c r="A557075" t="s">
        <v>1397</v>
      </c>
    </row>
    <row r="557076" spans="1:1" x14ac:dyDescent="0.15">
      <c r="A557076" t="s">
        <v>1398</v>
      </c>
    </row>
    <row r="557077" spans="1:1" x14ac:dyDescent="0.15">
      <c r="A557077" t="s">
        <v>411</v>
      </c>
    </row>
    <row r="557078" spans="1:1" x14ac:dyDescent="0.15">
      <c r="A557078" t="s">
        <v>412</v>
      </c>
    </row>
    <row r="557079" spans="1:1" x14ac:dyDescent="0.15">
      <c r="A557079" t="s">
        <v>413</v>
      </c>
    </row>
    <row r="557080" spans="1:1" x14ac:dyDescent="0.15">
      <c r="A557080" t="s">
        <v>414</v>
      </c>
    </row>
    <row r="557081" spans="1:1" x14ac:dyDescent="0.15">
      <c r="A557081" t="s">
        <v>415</v>
      </c>
    </row>
    <row r="557082" spans="1:1" x14ac:dyDescent="0.15">
      <c r="A557082" t="s">
        <v>421</v>
      </c>
    </row>
    <row r="557083" spans="1:1" ht="15.75" x14ac:dyDescent="0.15">
      <c r="A557083" t="s">
        <v>1399</v>
      </c>
    </row>
    <row r="557084" spans="1:1" x14ac:dyDescent="0.15">
      <c r="A557084" t="s">
        <v>416</v>
      </c>
    </row>
    <row r="557085" spans="1:1" x14ac:dyDescent="0.15">
      <c r="A557085" t="s">
        <v>417</v>
      </c>
    </row>
    <row r="557086" spans="1:1" x14ac:dyDescent="0.15">
      <c r="A557086" t="s">
        <v>418</v>
      </c>
    </row>
    <row r="557087" spans="1:1" x14ac:dyDescent="0.15">
      <c r="A557087" t="s">
        <v>419</v>
      </c>
    </row>
    <row r="557088" spans="1:1" x14ac:dyDescent="0.15">
      <c r="A557088" t="s">
        <v>420</v>
      </c>
    </row>
    <row r="557089" spans="1:1" x14ac:dyDescent="0.15">
      <c r="A557089" t="s">
        <v>822</v>
      </c>
    </row>
    <row r="557090" spans="1:1" x14ac:dyDescent="0.15">
      <c r="A557090" t="s">
        <v>1387</v>
      </c>
    </row>
    <row r="557091" spans="1:1" x14ac:dyDescent="0.15">
      <c r="A557091" t="s">
        <v>1388</v>
      </c>
    </row>
    <row r="557092" spans="1:1" x14ac:dyDescent="0.15">
      <c r="A557092" t="s">
        <v>820</v>
      </c>
    </row>
    <row r="557093" spans="1:1" x14ac:dyDescent="0.15">
      <c r="A557093" t="s">
        <v>821</v>
      </c>
    </row>
    <row r="573442" spans="1:1" x14ac:dyDescent="0.15">
      <c r="A573442" t="s">
        <v>958</v>
      </c>
    </row>
    <row r="573443" spans="1:1" x14ac:dyDescent="0.15">
      <c r="A573443" t="s">
        <v>405</v>
      </c>
    </row>
    <row r="573444" spans="1:1" x14ac:dyDescent="0.15">
      <c r="A573444" t="s">
        <v>406</v>
      </c>
    </row>
    <row r="573445" spans="1:1" x14ac:dyDescent="0.15">
      <c r="A573445" t="s">
        <v>422</v>
      </c>
    </row>
    <row r="573446" spans="1:1" x14ac:dyDescent="0.15">
      <c r="A573446" t="s">
        <v>1394</v>
      </c>
    </row>
    <row r="573447" spans="1:1" x14ac:dyDescent="0.15">
      <c r="A573447" t="s">
        <v>1391</v>
      </c>
    </row>
    <row r="573448" spans="1:1" x14ac:dyDescent="0.15">
      <c r="A573448" t="s">
        <v>1392</v>
      </c>
    </row>
    <row r="573449" spans="1:1" x14ac:dyDescent="0.15">
      <c r="A573449" t="s">
        <v>407</v>
      </c>
    </row>
    <row r="573450" spans="1:1" x14ac:dyDescent="0.15">
      <c r="A573450" t="s">
        <v>408</v>
      </c>
    </row>
    <row r="573451" spans="1:1" x14ac:dyDescent="0.15">
      <c r="A573451" t="s">
        <v>423</v>
      </c>
    </row>
    <row r="573452" spans="1:1" x14ac:dyDescent="0.15">
      <c r="A573452" t="s">
        <v>1395</v>
      </c>
    </row>
    <row r="573453" spans="1:1" x14ac:dyDescent="0.15">
      <c r="A573453" t="s">
        <v>1393</v>
      </c>
    </row>
    <row r="573454" spans="1:1" x14ac:dyDescent="0.15">
      <c r="A573454" t="s">
        <v>1396</v>
      </c>
    </row>
    <row r="573455" spans="1:1" x14ac:dyDescent="0.15">
      <c r="A573455" t="s">
        <v>409</v>
      </c>
    </row>
    <row r="573456" spans="1:1" x14ac:dyDescent="0.15">
      <c r="A573456" t="s">
        <v>410</v>
      </c>
    </row>
    <row r="573457" spans="1:1" x14ac:dyDescent="0.15">
      <c r="A573457" t="s">
        <v>424</v>
      </c>
    </row>
    <row r="573458" spans="1:1" x14ac:dyDescent="0.15">
      <c r="A573458" t="s">
        <v>425</v>
      </c>
    </row>
    <row r="573459" spans="1:1" x14ac:dyDescent="0.15">
      <c r="A573459" t="s">
        <v>1397</v>
      </c>
    </row>
    <row r="573460" spans="1:1" x14ac:dyDescent="0.15">
      <c r="A573460" t="s">
        <v>1398</v>
      </c>
    </row>
    <row r="573461" spans="1:1" x14ac:dyDescent="0.15">
      <c r="A573461" t="s">
        <v>411</v>
      </c>
    </row>
    <row r="573462" spans="1:1" x14ac:dyDescent="0.15">
      <c r="A573462" t="s">
        <v>412</v>
      </c>
    </row>
    <row r="573463" spans="1:1" x14ac:dyDescent="0.15">
      <c r="A573463" t="s">
        <v>413</v>
      </c>
    </row>
    <row r="573464" spans="1:1" x14ac:dyDescent="0.15">
      <c r="A573464" t="s">
        <v>414</v>
      </c>
    </row>
    <row r="573465" spans="1:1" x14ac:dyDescent="0.15">
      <c r="A573465" t="s">
        <v>415</v>
      </c>
    </row>
    <row r="573466" spans="1:1" x14ac:dyDescent="0.15">
      <c r="A573466" t="s">
        <v>421</v>
      </c>
    </row>
    <row r="573467" spans="1:1" ht="15.75" x14ac:dyDescent="0.15">
      <c r="A573467" t="s">
        <v>1399</v>
      </c>
    </row>
    <row r="573468" spans="1:1" x14ac:dyDescent="0.15">
      <c r="A573468" t="s">
        <v>416</v>
      </c>
    </row>
    <row r="573469" spans="1:1" x14ac:dyDescent="0.15">
      <c r="A573469" t="s">
        <v>417</v>
      </c>
    </row>
    <row r="573470" spans="1:1" x14ac:dyDescent="0.15">
      <c r="A573470" t="s">
        <v>418</v>
      </c>
    </row>
    <row r="573471" spans="1:1" x14ac:dyDescent="0.15">
      <c r="A573471" t="s">
        <v>419</v>
      </c>
    </row>
    <row r="573472" spans="1:1" x14ac:dyDescent="0.15">
      <c r="A573472" t="s">
        <v>420</v>
      </c>
    </row>
    <row r="573473" spans="1:1" x14ac:dyDescent="0.15">
      <c r="A573473" t="s">
        <v>822</v>
      </c>
    </row>
    <row r="573474" spans="1:1" x14ac:dyDescent="0.15">
      <c r="A573474" t="s">
        <v>1387</v>
      </c>
    </row>
    <row r="573475" spans="1:1" x14ac:dyDescent="0.15">
      <c r="A573475" t="s">
        <v>1388</v>
      </c>
    </row>
    <row r="573476" spans="1:1" x14ac:dyDescent="0.15">
      <c r="A573476" t="s">
        <v>820</v>
      </c>
    </row>
    <row r="573477" spans="1:1" x14ac:dyDescent="0.15">
      <c r="A573477" t="s">
        <v>821</v>
      </c>
    </row>
    <row r="589826" spans="1:1" x14ac:dyDescent="0.15">
      <c r="A589826" t="s">
        <v>958</v>
      </c>
    </row>
    <row r="589827" spans="1:1" x14ac:dyDescent="0.15">
      <c r="A589827" t="s">
        <v>405</v>
      </c>
    </row>
    <row r="589828" spans="1:1" x14ac:dyDescent="0.15">
      <c r="A589828" t="s">
        <v>406</v>
      </c>
    </row>
    <row r="589829" spans="1:1" x14ac:dyDescent="0.15">
      <c r="A589829" t="s">
        <v>422</v>
      </c>
    </row>
    <row r="589830" spans="1:1" x14ac:dyDescent="0.15">
      <c r="A589830" t="s">
        <v>1394</v>
      </c>
    </row>
    <row r="589831" spans="1:1" x14ac:dyDescent="0.15">
      <c r="A589831" t="s">
        <v>1391</v>
      </c>
    </row>
    <row r="589832" spans="1:1" x14ac:dyDescent="0.15">
      <c r="A589832" t="s">
        <v>1392</v>
      </c>
    </row>
    <row r="589833" spans="1:1" x14ac:dyDescent="0.15">
      <c r="A589833" t="s">
        <v>407</v>
      </c>
    </row>
    <row r="589834" spans="1:1" x14ac:dyDescent="0.15">
      <c r="A589834" t="s">
        <v>408</v>
      </c>
    </row>
    <row r="589835" spans="1:1" x14ac:dyDescent="0.15">
      <c r="A589835" t="s">
        <v>423</v>
      </c>
    </row>
    <row r="589836" spans="1:1" x14ac:dyDescent="0.15">
      <c r="A589836" t="s">
        <v>1395</v>
      </c>
    </row>
    <row r="589837" spans="1:1" x14ac:dyDescent="0.15">
      <c r="A589837" t="s">
        <v>1393</v>
      </c>
    </row>
    <row r="589838" spans="1:1" x14ac:dyDescent="0.15">
      <c r="A589838" t="s">
        <v>1396</v>
      </c>
    </row>
    <row r="589839" spans="1:1" x14ac:dyDescent="0.15">
      <c r="A589839" t="s">
        <v>409</v>
      </c>
    </row>
    <row r="589840" spans="1:1" x14ac:dyDescent="0.15">
      <c r="A589840" t="s">
        <v>410</v>
      </c>
    </row>
    <row r="589841" spans="1:1" x14ac:dyDescent="0.15">
      <c r="A589841" t="s">
        <v>424</v>
      </c>
    </row>
    <row r="589842" spans="1:1" x14ac:dyDescent="0.15">
      <c r="A589842" t="s">
        <v>425</v>
      </c>
    </row>
    <row r="589843" spans="1:1" x14ac:dyDescent="0.15">
      <c r="A589843" t="s">
        <v>1397</v>
      </c>
    </row>
    <row r="589844" spans="1:1" x14ac:dyDescent="0.15">
      <c r="A589844" t="s">
        <v>1398</v>
      </c>
    </row>
    <row r="589845" spans="1:1" x14ac:dyDescent="0.15">
      <c r="A589845" t="s">
        <v>411</v>
      </c>
    </row>
    <row r="589846" spans="1:1" x14ac:dyDescent="0.15">
      <c r="A589846" t="s">
        <v>412</v>
      </c>
    </row>
    <row r="589847" spans="1:1" x14ac:dyDescent="0.15">
      <c r="A589847" t="s">
        <v>413</v>
      </c>
    </row>
    <row r="589848" spans="1:1" x14ac:dyDescent="0.15">
      <c r="A589848" t="s">
        <v>414</v>
      </c>
    </row>
    <row r="589849" spans="1:1" x14ac:dyDescent="0.15">
      <c r="A589849" t="s">
        <v>415</v>
      </c>
    </row>
    <row r="589850" spans="1:1" x14ac:dyDescent="0.15">
      <c r="A589850" t="s">
        <v>421</v>
      </c>
    </row>
    <row r="589851" spans="1:1" ht="15.75" x14ac:dyDescent="0.15">
      <c r="A589851" t="s">
        <v>1399</v>
      </c>
    </row>
    <row r="589852" spans="1:1" x14ac:dyDescent="0.15">
      <c r="A589852" t="s">
        <v>416</v>
      </c>
    </row>
    <row r="589853" spans="1:1" x14ac:dyDescent="0.15">
      <c r="A589853" t="s">
        <v>417</v>
      </c>
    </row>
    <row r="589854" spans="1:1" x14ac:dyDescent="0.15">
      <c r="A589854" t="s">
        <v>418</v>
      </c>
    </row>
    <row r="589855" spans="1:1" x14ac:dyDescent="0.15">
      <c r="A589855" t="s">
        <v>419</v>
      </c>
    </row>
    <row r="589856" spans="1:1" x14ac:dyDescent="0.15">
      <c r="A589856" t="s">
        <v>420</v>
      </c>
    </row>
    <row r="589857" spans="1:1" x14ac:dyDescent="0.15">
      <c r="A589857" t="s">
        <v>822</v>
      </c>
    </row>
    <row r="589858" spans="1:1" x14ac:dyDescent="0.15">
      <c r="A589858" t="s">
        <v>1387</v>
      </c>
    </row>
    <row r="589859" spans="1:1" x14ac:dyDescent="0.15">
      <c r="A589859" t="s">
        <v>1388</v>
      </c>
    </row>
    <row r="589860" spans="1:1" x14ac:dyDescent="0.15">
      <c r="A589860" t="s">
        <v>820</v>
      </c>
    </row>
    <row r="589861" spans="1:1" x14ac:dyDescent="0.15">
      <c r="A589861" t="s">
        <v>821</v>
      </c>
    </row>
    <row r="606210" spans="1:1" x14ac:dyDescent="0.15">
      <c r="A606210" t="s">
        <v>958</v>
      </c>
    </row>
    <row r="606211" spans="1:1" x14ac:dyDescent="0.15">
      <c r="A606211" t="s">
        <v>405</v>
      </c>
    </row>
    <row r="606212" spans="1:1" x14ac:dyDescent="0.15">
      <c r="A606212" t="s">
        <v>406</v>
      </c>
    </row>
    <row r="606213" spans="1:1" x14ac:dyDescent="0.15">
      <c r="A606213" t="s">
        <v>422</v>
      </c>
    </row>
    <row r="606214" spans="1:1" x14ac:dyDescent="0.15">
      <c r="A606214" t="s">
        <v>1394</v>
      </c>
    </row>
    <row r="606215" spans="1:1" x14ac:dyDescent="0.15">
      <c r="A606215" t="s">
        <v>1391</v>
      </c>
    </row>
    <row r="606216" spans="1:1" x14ac:dyDescent="0.15">
      <c r="A606216" t="s">
        <v>1392</v>
      </c>
    </row>
    <row r="606217" spans="1:1" x14ac:dyDescent="0.15">
      <c r="A606217" t="s">
        <v>407</v>
      </c>
    </row>
    <row r="606218" spans="1:1" x14ac:dyDescent="0.15">
      <c r="A606218" t="s">
        <v>408</v>
      </c>
    </row>
    <row r="606219" spans="1:1" x14ac:dyDescent="0.15">
      <c r="A606219" t="s">
        <v>423</v>
      </c>
    </row>
    <row r="606220" spans="1:1" x14ac:dyDescent="0.15">
      <c r="A606220" t="s">
        <v>1395</v>
      </c>
    </row>
    <row r="606221" spans="1:1" x14ac:dyDescent="0.15">
      <c r="A606221" t="s">
        <v>1393</v>
      </c>
    </row>
    <row r="606222" spans="1:1" x14ac:dyDescent="0.15">
      <c r="A606222" t="s">
        <v>1396</v>
      </c>
    </row>
    <row r="606223" spans="1:1" x14ac:dyDescent="0.15">
      <c r="A606223" t="s">
        <v>409</v>
      </c>
    </row>
    <row r="606224" spans="1:1" x14ac:dyDescent="0.15">
      <c r="A606224" t="s">
        <v>410</v>
      </c>
    </row>
    <row r="606225" spans="1:1" x14ac:dyDescent="0.15">
      <c r="A606225" t="s">
        <v>424</v>
      </c>
    </row>
    <row r="606226" spans="1:1" x14ac:dyDescent="0.15">
      <c r="A606226" t="s">
        <v>425</v>
      </c>
    </row>
    <row r="606227" spans="1:1" x14ac:dyDescent="0.15">
      <c r="A606227" t="s">
        <v>1397</v>
      </c>
    </row>
    <row r="606228" spans="1:1" x14ac:dyDescent="0.15">
      <c r="A606228" t="s">
        <v>1398</v>
      </c>
    </row>
    <row r="606229" spans="1:1" x14ac:dyDescent="0.15">
      <c r="A606229" t="s">
        <v>411</v>
      </c>
    </row>
    <row r="606230" spans="1:1" x14ac:dyDescent="0.15">
      <c r="A606230" t="s">
        <v>412</v>
      </c>
    </row>
    <row r="606231" spans="1:1" x14ac:dyDescent="0.15">
      <c r="A606231" t="s">
        <v>413</v>
      </c>
    </row>
    <row r="606232" spans="1:1" x14ac:dyDescent="0.15">
      <c r="A606232" t="s">
        <v>414</v>
      </c>
    </row>
    <row r="606233" spans="1:1" x14ac:dyDescent="0.15">
      <c r="A606233" t="s">
        <v>415</v>
      </c>
    </row>
    <row r="606234" spans="1:1" x14ac:dyDescent="0.15">
      <c r="A606234" t="s">
        <v>421</v>
      </c>
    </row>
    <row r="606235" spans="1:1" ht="15.75" x14ac:dyDescent="0.15">
      <c r="A606235" t="s">
        <v>1399</v>
      </c>
    </row>
    <row r="606236" spans="1:1" x14ac:dyDescent="0.15">
      <c r="A606236" t="s">
        <v>416</v>
      </c>
    </row>
    <row r="606237" spans="1:1" x14ac:dyDescent="0.15">
      <c r="A606237" t="s">
        <v>417</v>
      </c>
    </row>
    <row r="606238" spans="1:1" x14ac:dyDescent="0.15">
      <c r="A606238" t="s">
        <v>418</v>
      </c>
    </row>
    <row r="606239" spans="1:1" x14ac:dyDescent="0.15">
      <c r="A606239" t="s">
        <v>419</v>
      </c>
    </row>
    <row r="606240" spans="1:1" x14ac:dyDescent="0.15">
      <c r="A606240" t="s">
        <v>420</v>
      </c>
    </row>
    <row r="606241" spans="1:1" x14ac:dyDescent="0.15">
      <c r="A606241" t="s">
        <v>822</v>
      </c>
    </row>
    <row r="606242" spans="1:1" x14ac:dyDescent="0.15">
      <c r="A606242" t="s">
        <v>1387</v>
      </c>
    </row>
    <row r="606243" spans="1:1" x14ac:dyDescent="0.15">
      <c r="A606243" t="s">
        <v>1388</v>
      </c>
    </row>
    <row r="606244" spans="1:1" x14ac:dyDescent="0.15">
      <c r="A606244" t="s">
        <v>820</v>
      </c>
    </row>
    <row r="606245" spans="1:1" x14ac:dyDescent="0.15">
      <c r="A606245" t="s">
        <v>821</v>
      </c>
    </row>
    <row r="622594" spans="1:1" x14ac:dyDescent="0.15">
      <c r="A622594" t="s">
        <v>958</v>
      </c>
    </row>
    <row r="622595" spans="1:1" x14ac:dyDescent="0.15">
      <c r="A622595" t="s">
        <v>405</v>
      </c>
    </row>
    <row r="622596" spans="1:1" x14ac:dyDescent="0.15">
      <c r="A622596" t="s">
        <v>406</v>
      </c>
    </row>
    <row r="622597" spans="1:1" x14ac:dyDescent="0.15">
      <c r="A622597" t="s">
        <v>422</v>
      </c>
    </row>
    <row r="622598" spans="1:1" x14ac:dyDescent="0.15">
      <c r="A622598" t="s">
        <v>1394</v>
      </c>
    </row>
    <row r="622599" spans="1:1" x14ac:dyDescent="0.15">
      <c r="A622599" t="s">
        <v>1391</v>
      </c>
    </row>
    <row r="622600" spans="1:1" x14ac:dyDescent="0.15">
      <c r="A622600" t="s">
        <v>1392</v>
      </c>
    </row>
    <row r="622601" spans="1:1" x14ac:dyDescent="0.15">
      <c r="A622601" t="s">
        <v>407</v>
      </c>
    </row>
    <row r="622602" spans="1:1" x14ac:dyDescent="0.15">
      <c r="A622602" t="s">
        <v>408</v>
      </c>
    </row>
    <row r="622603" spans="1:1" x14ac:dyDescent="0.15">
      <c r="A622603" t="s">
        <v>423</v>
      </c>
    </row>
    <row r="622604" spans="1:1" x14ac:dyDescent="0.15">
      <c r="A622604" t="s">
        <v>1395</v>
      </c>
    </row>
    <row r="622605" spans="1:1" x14ac:dyDescent="0.15">
      <c r="A622605" t="s">
        <v>1393</v>
      </c>
    </row>
    <row r="622606" spans="1:1" x14ac:dyDescent="0.15">
      <c r="A622606" t="s">
        <v>1396</v>
      </c>
    </row>
    <row r="622607" spans="1:1" x14ac:dyDescent="0.15">
      <c r="A622607" t="s">
        <v>409</v>
      </c>
    </row>
    <row r="622608" spans="1:1" x14ac:dyDescent="0.15">
      <c r="A622608" t="s">
        <v>410</v>
      </c>
    </row>
    <row r="622609" spans="1:1" x14ac:dyDescent="0.15">
      <c r="A622609" t="s">
        <v>424</v>
      </c>
    </row>
    <row r="622610" spans="1:1" x14ac:dyDescent="0.15">
      <c r="A622610" t="s">
        <v>425</v>
      </c>
    </row>
    <row r="622611" spans="1:1" x14ac:dyDescent="0.15">
      <c r="A622611" t="s">
        <v>1397</v>
      </c>
    </row>
    <row r="622612" spans="1:1" x14ac:dyDescent="0.15">
      <c r="A622612" t="s">
        <v>1398</v>
      </c>
    </row>
    <row r="622613" spans="1:1" x14ac:dyDescent="0.15">
      <c r="A622613" t="s">
        <v>411</v>
      </c>
    </row>
    <row r="622614" spans="1:1" x14ac:dyDescent="0.15">
      <c r="A622614" t="s">
        <v>412</v>
      </c>
    </row>
    <row r="622615" spans="1:1" x14ac:dyDescent="0.15">
      <c r="A622615" t="s">
        <v>413</v>
      </c>
    </row>
    <row r="622616" spans="1:1" x14ac:dyDescent="0.15">
      <c r="A622616" t="s">
        <v>414</v>
      </c>
    </row>
    <row r="622617" spans="1:1" x14ac:dyDescent="0.15">
      <c r="A622617" t="s">
        <v>415</v>
      </c>
    </row>
    <row r="622618" spans="1:1" x14ac:dyDescent="0.15">
      <c r="A622618" t="s">
        <v>421</v>
      </c>
    </row>
    <row r="622619" spans="1:1" ht="15.75" x14ac:dyDescent="0.15">
      <c r="A622619" t="s">
        <v>1399</v>
      </c>
    </row>
    <row r="622620" spans="1:1" x14ac:dyDescent="0.15">
      <c r="A622620" t="s">
        <v>416</v>
      </c>
    </row>
    <row r="622621" spans="1:1" x14ac:dyDescent="0.15">
      <c r="A622621" t="s">
        <v>417</v>
      </c>
    </row>
    <row r="622622" spans="1:1" x14ac:dyDescent="0.15">
      <c r="A622622" t="s">
        <v>418</v>
      </c>
    </row>
    <row r="622623" spans="1:1" x14ac:dyDescent="0.15">
      <c r="A622623" t="s">
        <v>419</v>
      </c>
    </row>
    <row r="622624" spans="1:1" x14ac:dyDescent="0.15">
      <c r="A622624" t="s">
        <v>420</v>
      </c>
    </row>
    <row r="622625" spans="1:1" x14ac:dyDescent="0.15">
      <c r="A622625" t="s">
        <v>822</v>
      </c>
    </row>
    <row r="622626" spans="1:1" x14ac:dyDescent="0.15">
      <c r="A622626" t="s">
        <v>1387</v>
      </c>
    </row>
    <row r="622627" spans="1:1" x14ac:dyDescent="0.15">
      <c r="A622627" t="s">
        <v>1388</v>
      </c>
    </row>
    <row r="622628" spans="1:1" x14ac:dyDescent="0.15">
      <c r="A622628" t="s">
        <v>820</v>
      </c>
    </row>
    <row r="622629" spans="1:1" x14ac:dyDescent="0.15">
      <c r="A622629" t="s">
        <v>821</v>
      </c>
    </row>
    <row r="638978" spans="1:1" x14ac:dyDescent="0.15">
      <c r="A638978" t="s">
        <v>958</v>
      </c>
    </row>
    <row r="638979" spans="1:1" x14ac:dyDescent="0.15">
      <c r="A638979" t="s">
        <v>405</v>
      </c>
    </row>
    <row r="638980" spans="1:1" x14ac:dyDescent="0.15">
      <c r="A638980" t="s">
        <v>406</v>
      </c>
    </row>
    <row r="638981" spans="1:1" x14ac:dyDescent="0.15">
      <c r="A638981" t="s">
        <v>422</v>
      </c>
    </row>
    <row r="638982" spans="1:1" x14ac:dyDescent="0.15">
      <c r="A638982" t="s">
        <v>1394</v>
      </c>
    </row>
    <row r="638983" spans="1:1" x14ac:dyDescent="0.15">
      <c r="A638983" t="s">
        <v>1391</v>
      </c>
    </row>
    <row r="638984" spans="1:1" x14ac:dyDescent="0.15">
      <c r="A638984" t="s">
        <v>1392</v>
      </c>
    </row>
    <row r="638985" spans="1:1" x14ac:dyDescent="0.15">
      <c r="A638985" t="s">
        <v>407</v>
      </c>
    </row>
    <row r="638986" spans="1:1" x14ac:dyDescent="0.15">
      <c r="A638986" t="s">
        <v>408</v>
      </c>
    </row>
    <row r="638987" spans="1:1" x14ac:dyDescent="0.15">
      <c r="A638987" t="s">
        <v>423</v>
      </c>
    </row>
    <row r="638988" spans="1:1" x14ac:dyDescent="0.15">
      <c r="A638988" t="s">
        <v>1395</v>
      </c>
    </row>
    <row r="638989" spans="1:1" x14ac:dyDescent="0.15">
      <c r="A638989" t="s">
        <v>1393</v>
      </c>
    </row>
    <row r="638990" spans="1:1" x14ac:dyDescent="0.15">
      <c r="A638990" t="s">
        <v>1396</v>
      </c>
    </row>
    <row r="638991" spans="1:1" x14ac:dyDescent="0.15">
      <c r="A638991" t="s">
        <v>409</v>
      </c>
    </row>
    <row r="638992" spans="1:1" x14ac:dyDescent="0.15">
      <c r="A638992" t="s">
        <v>410</v>
      </c>
    </row>
    <row r="638993" spans="1:1" x14ac:dyDescent="0.15">
      <c r="A638993" t="s">
        <v>424</v>
      </c>
    </row>
    <row r="638994" spans="1:1" x14ac:dyDescent="0.15">
      <c r="A638994" t="s">
        <v>425</v>
      </c>
    </row>
    <row r="638995" spans="1:1" x14ac:dyDescent="0.15">
      <c r="A638995" t="s">
        <v>1397</v>
      </c>
    </row>
    <row r="638996" spans="1:1" x14ac:dyDescent="0.15">
      <c r="A638996" t="s">
        <v>1398</v>
      </c>
    </row>
    <row r="638997" spans="1:1" x14ac:dyDescent="0.15">
      <c r="A638997" t="s">
        <v>411</v>
      </c>
    </row>
    <row r="638998" spans="1:1" x14ac:dyDescent="0.15">
      <c r="A638998" t="s">
        <v>412</v>
      </c>
    </row>
    <row r="638999" spans="1:1" x14ac:dyDescent="0.15">
      <c r="A638999" t="s">
        <v>413</v>
      </c>
    </row>
    <row r="639000" spans="1:1" x14ac:dyDescent="0.15">
      <c r="A639000" t="s">
        <v>414</v>
      </c>
    </row>
    <row r="639001" spans="1:1" x14ac:dyDescent="0.15">
      <c r="A639001" t="s">
        <v>415</v>
      </c>
    </row>
    <row r="639002" spans="1:1" x14ac:dyDescent="0.15">
      <c r="A639002" t="s">
        <v>421</v>
      </c>
    </row>
    <row r="639003" spans="1:1" ht="15.75" x14ac:dyDescent="0.15">
      <c r="A639003" t="s">
        <v>1399</v>
      </c>
    </row>
    <row r="639004" spans="1:1" x14ac:dyDescent="0.15">
      <c r="A639004" t="s">
        <v>416</v>
      </c>
    </row>
    <row r="639005" spans="1:1" x14ac:dyDescent="0.15">
      <c r="A639005" t="s">
        <v>417</v>
      </c>
    </row>
    <row r="639006" spans="1:1" x14ac:dyDescent="0.15">
      <c r="A639006" t="s">
        <v>418</v>
      </c>
    </row>
    <row r="639007" spans="1:1" x14ac:dyDescent="0.15">
      <c r="A639007" t="s">
        <v>419</v>
      </c>
    </row>
    <row r="639008" spans="1:1" x14ac:dyDescent="0.15">
      <c r="A639008" t="s">
        <v>420</v>
      </c>
    </row>
    <row r="639009" spans="1:1" x14ac:dyDescent="0.15">
      <c r="A639009" t="s">
        <v>822</v>
      </c>
    </row>
    <row r="639010" spans="1:1" x14ac:dyDescent="0.15">
      <c r="A639010" t="s">
        <v>1387</v>
      </c>
    </row>
    <row r="639011" spans="1:1" x14ac:dyDescent="0.15">
      <c r="A639011" t="s">
        <v>1388</v>
      </c>
    </row>
    <row r="639012" spans="1:1" x14ac:dyDescent="0.15">
      <c r="A639012" t="s">
        <v>820</v>
      </c>
    </row>
    <row r="639013" spans="1:1" x14ac:dyDescent="0.15">
      <c r="A639013" t="s">
        <v>821</v>
      </c>
    </row>
    <row r="655362" spans="1:1" x14ac:dyDescent="0.15">
      <c r="A655362" t="s">
        <v>958</v>
      </c>
    </row>
    <row r="655363" spans="1:1" x14ac:dyDescent="0.15">
      <c r="A655363" t="s">
        <v>405</v>
      </c>
    </row>
    <row r="655364" spans="1:1" x14ac:dyDescent="0.15">
      <c r="A655364" t="s">
        <v>406</v>
      </c>
    </row>
    <row r="655365" spans="1:1" x14ac:dyDescent="0.15">
      <c r="A655365" t="s">
        <v>422</v>
      </c>
    </row>
    <row r="655366" spans="1:1" x14ac:dyDescent="0.15">
      <c r="A655366" t="s">
        <v>1394</v>
      </c>
    </row>
    <row r="655367" spans="1:1" x14ac:dyDescent="0.15">
      <c r="A655367" t="s">
        <v>1391</v>
      </c>
    </row>
    <row r="655368" spans="1:1" x14ac:dyDescent="0.15">
      <c r="A655368" t="s">
        <v>1392</v>
      </c>
    </row>
    <row r="655369" spans="1:1" x14ac:dyDescent="0.15">
      <c r="A655369" t="s">
        <v>407</v>
      </c>
    </row>
    <row r="655370" spans="1:1" x14ac:dyDescent="0.15">
      <c r="A655370" t="s">
        <v>408</v>
      </c>
    </row>
    <row r="655371" spans="1:1" x14ac:dyDescent="0.15">
      <c r="A655371" t="s">
        <v>423</v>
      </c>
    </row>
    <row r="655372" spans="1:1" x14ac:dyDescent="0.15">
      <c r="A655372" t="s">
        <v>1395</v>
      </c>
    </row>
    <row r="655373" spans="1:1" x14ac:dyDescent="0.15">
      <c r="A655373" t="s">
        <v>1393</v>
      </c>
    </row>
    <row r="655374" spans="1:1" x14ac:dyDescent="0.15">
      <c r="A655374" t="s">
        <v>1396</v>
      </c>
    </row>
    <row r="655375" spans="1:1" x14ac:dyDescent="0.15">
      <c r="A655375" t="s">
        <v>409</v>
      </c>
    </row>
    <row r="655376" spans="1:1" x14ac:dyDescent="0.15">
      <c r="A655376" t="s">
        <v>410</v>
      </c>
    </row>
    <row r="655377" spans="1:1" x14ac:dyDescent="0.15">
      <c r="A655377" t="s">
        <v>424</v>
      </c>
    </row>
    <row r="655378" spans="1:1" x14ac:dyDescent="0.15">
      <c r="A655378" t="s">
        <v>425</v>
      </c>
    </row>
    <row r="655379" spans="1:1" x14ac:dyDescent="0.15">
      <c r="A655379" t="s">
        <v>1397</v>
      </c>
    </row>
    <row r="655380" spans="1:1" x14ac:dyDescent="0.15">
      <c r="A655380" t="s">
        <v>1398</v>
      </c>
    </row>
    <row r="655381" spans="1:1" x14ac:dyDescent="0.15">
      <c r="A655381" t="s">
        <v>411</v>
      </c>
    </row>
    <row r="655382" spans="1:1" x14ac:dyDescent="0.15">
      <c r="A655382" t="s">
        <v>412</v>
      </c>
    </row>
    <row r="655383" spans="1:1" x14ac:dyDescent="0.15">
      <c r="A655383" t="s">
        <v>413</v>
      </c>
    </row>
    <row r="655384" spans="1:1" x14ac:dyDescent="0.15">
      <c r="A655384" t="s">
        <v>414</v>
      </c>
    </row>
    <row r="655385" spans="1:1" x14ac:dyDescent="0.15">
      <c r="A655385" t="s">
        <v>415</v>
      </c>
    </row>
    <row r="655386" spans="1:1" x14ac:dyDescent="0.15">
      <c r="A655386" t="s">
        <v>421</v>
      </c>
    </row>
    <row r="655387" spans="1:1" ht="15.75" x14ac:dyDescent="0.15">
      <c r="A655387" t="s">
        <v>1399</v>
      </c>
    </row>
    <row r="655388" spans="1:1" x14ac:dyDescent="0.15">
      <c r="A655388" t="s">
        <v>416</v>
      </c>
    </row>
    <row r="655389" spans="1:1" x14ac:dyDescent="0.15">
      <c r="A655389" t="s">
        <v>417</v>
      </c>
    </row>
    <row r="655390" spans="1:1" x14ac:dyDescent="0.15">
      <c r="A655390" t="s">
        <v>418</v>
      </c>
    </row>
    <row r="655391" spans="1:1" x14ac:dyDescent="0.15">
      <c r="A655391" t="s">
        <v>419</v>
      </c>
    </row>
    <row r="655392" spans="1:1" x14ac:dyDescent="0.15">
      <c r="A655392" t="s">
        <v>420</v>
      </c>
    </row>
    <row r="655393" spans="1:1" x14ac:dyDescent="0.15">
      <c r="A655393" t="s">
        <v>822</v>
      </c>
    </row>
    <row r="655394" spans="1:1" x14ac:dyDescent="0.15">
      <c r="A655394" t="s">
        <v>1387</v>
      </c>
    </row>
    <row r="655395" spans="1:1" x14ac:dyDescent="0.15">
      <c r="A655395" t="s">
        <v>1388</v>
      </c>
    </row>
    <row r="655396" spans="1:1" x14ac:dyDescent="0.15">
      <c r="A655396" t="s">
        <v>820</v>
      </c>
    </row>
    <row r="655397" spans="1:1" x14ac:dyDescent="0.15">
      <c r="A655397" t="s">
        <v>821</v>
      </c>
    </row>
    <row r="671746" spans="1:1" x14ac:dyDescent="0.15">
      <c r="A671746" t="s">
        <v>958</v>
      </c>
    </row>
    <row r="671747" spans="1:1" x14ac:dyDescent="0.15">
      <c r="A671747" t="s">
        <v>405</v>
      </c>
    </row>
    <row r="671748" spans="1:1" x14ac:dyDescent="0.15">
      <c r="A671748" t="s">
        <v>406</v>
      </c>
    </row>
    <row r="671749" spans="1:1" x14ac:dyDescent="0.15">
      <c r="A671749" t="s">
        <v>422</v>
      </c>
    </row>
    <row r="671750" spans="1:1" x14ac:dyDescent="0.15">
      <c r="A671750" t="s">
        <v>1394</v>
      </c>
    </row>
    <row r="671751" spans="1:1" x14ac:dyDescent="0.15">
      <c r="A671751" t="s">
        <v>1391</v>
      </c>
    </row>
    <row r="671752" spans="1:1" x14ac:dyDescent="0.15">
      <c r="A671752" t="s">
        <v>1392</v>
      </c>
    </row>
    <row r="671753" spans="1:1" x14ac:dyDescent="0.15">
      <c r="A671753" t="s">
        <v>407</v>
      </c>
    </row>
    <row r="671754" spans="1:1" x14ac:dyDescent="0.15">
      <c r="A671754" t="s">
        <v>408</v>
      </c>
    </row>
    <row r="671755" spans="1:1" x14ac:dyDescent="0.15">
      <c r="A671755" t="s">
        <v>423</v>
      </c>
    </row>
    <row r="671756" spans="1:1" x14ac:dyDescent="0.15">
      <c r="A671756" t="s">
        <v>1395</v>
      </c>
    </row>
    <row r="671757" spans="1:1" x14ac:dyDescent="0.15">
      <c r="A671757" t="s">
        <v>1393</v>
      </c>
    </row>
    <row r="671758" spans="1:1" x14ac:dyDescent="0.15">
      <c r="A671758" t="s">
        <v>1396</v>
      </c>
    </row>
    <row r="671759" spans="1:1" x14ac:dyDescent="0.15">
      <c r="A671759" t="s">
        <v>409</v>
      </c>
    </row>
    <row r="671760" spans="1:1" x14ac:dyDescent="0.15">
      <c r="A671760" t="s">
        <v>410</v>
      </c>
    </row>
    <row r="671761" spans="1:1" x14ac:dyDescent="0.15">
      <c r="A671761" t="s">
        <v>424</v>
      </c>
    </row>
    <row r="671762" spans="1:1" x14ac:dyDescent="0.15">
      <c r="A671762" t="s">
        <v>425</v>
      </c>
    </row>
    <row r="671763" spans="1:1" x14ac:dyDescent="0.15">
      <c r="A671763" t="s">
        <v>1397</v>
      </c>
    </row>
    <row r="671764" spans="1:1" x14ac:dyDescent="0.15">
      <c r="A671764" t="s">
        <v>1398</v>
      </c>
    </row>
    <row r="671765" spans="1:1" x14ac:dyDescent="0.15">
      <c r="A671765" t="s">
        <v>411</v>
      </c>
    </row>
    <row r="671766" spans="1:1" x14ac:dyDescent="0.15">
      <c r="A671766" t="s">
        <v>412</v>
      </c>
    </row>
    <row r="671767" spans="1:1" x14ac:dyDescent="0.15">
      <c r="A671767" t="s">
        <v>413</v>
      </c>
    </row>
    <row r="671768" spans="1:1" x14ac:dyDescent="0.15">
      <c r="A671768" t="s">
        <v>414</v>
      </c>
    </row>
    <row r="671769" spans="1:1" x14ac:dyDescent="0.15">
      <c r="A671769" t="s">
        <v>415</v>
      </c>
    </row>
    <row r="671770" spans="1:1" x14ac:dyDescent="0.15">
      <c r="A671770" t="s">
        <v>421</v>
      </c>
    </row>
    <row r="671771" spans="1:1" ht="15.75" x14ac:dyDescent="0.15">
      <c r="A671771" t="s">
        <v>1399</v>
      </c>
    </row>
    <row r="671772" spans="1:1" x14ac:dyDescent="0.15">
      <c r="A671772" t="s">
        <v>416</v>
      </c>
    </row>
    <row r="671773" spans="1:1" x14ac:dyDescent="0.15">
      <c r="A671773" t="s">
        <v>417</v>
      </c>
    </row>
    <row r="671774" spans="1:1" x14ac:dyDescent="0.15">
      <c r="A671774" t="s">
        <v>418</v>
      </c>
    </row>
    <row r="671775" spans="1:1" x14ac:dyDescent="0.15">
      <c r="A671775" t="s">
        <v>419</v>
      </c>
    </row>
    <row r="671776" spans="1:1" x14ac:dyDescent="0.15">
      <c r="A671776" t="s">
        <v>420</v>
      </c>
    </row>
    <row r="671777" spans="1:1" x14ac:dyDescent="0.15">
      <c r="A671777" t="s">
        <v>822</v>
      </c>
    </row>
    <row r="671778" spans="1:1" x14ac:dyDescent="0.15">
      <c r="A671778" t="s">
        <v>1387</v>
      </c>
    </row>
    <row r="671779" spans="1:1" x14ac:dyDescent="0.15">
      <c r="A671779" t="s">
        <v>1388</v>
      </c>
    </row>
    <row r="671780" spans="1:1" x14ac:dyDescent="0.15">
      <c r="A671780" t="s">
        <v>820</v>
      </c>
    </row>
    <row r="671781" spans="1:1" x14ac:dyDescent="0.15">
      <c r="A671781" t="s">
        <v>821</v>
      </c>
    </row>
    <row r="688130" spans="1:1" x14ac:dyDescent="0.15">
      <c r="A688130" t="s">
        <v>958</v>
      </c>
    </row>
    <row r="688131" spans="1:1" x14ac:dyDescent="0.15">
      <c r="A688131" t="s">
        <v>405</v>
      </c>
    </row>
    <row r="688132" spans="1:1" x14ac:dyDescent="0.15">
      <c r="A688132" t="s">
        <v>406</v>
      </c>
    </row>
    <row r="688133" spans="1:1" x14ac:dyDescent="0.15">
      <c r="A688133" t="s">
        <v>422</v>
      </c>
    </row>
    <row r="688134" spans="1:1" x14ac:dyDescent="0.15">
      <c r="A688134" t="s">
        <v>1394</v>
      </c>
    </row>
    <row r="688135" spans="1:1" x14ac:dyDescent="0.15">
      <c r="A688135" t="s">
        <v>1391</v>
      </c>
    </row>
    <row r="688136" spans="1:1" x14ac:dyDescent="0.15">
      <c r="A688136" t="s">
        <v>1392</v>
      </c>
    </row>
    <row r="688137" spans="1:1" x14ac:dyDescent="0.15">
      <c r="A688137" t="s">
        <v>407</v>
      </c>
    </row>
    <row r="688138" spans="1:1" x14ac:dyDescent="0.15">
      <c r="A688138" t="s">
        <v>408</v>
      </c>
    </row>
    <row r="688139" spans="1:1" x14ac:dyDescent="0.15">
      <c r="A688139" t="s">
        <v>423</v>
      </c>
    </row>
    <row r="688140" spans="1:1" x14ac:dyDescent="0.15">
      <c r="A688140" t="s">
        <v>1395</v>
      </c>
    </row>
    <row r="688141" spans="1:1" x14ac:dyDescent="0.15">
      <c r="A688141" t="s">
        <v>1393</v>
      </c>
    </row>
    <row r="688142" spans="1:1" x14ac:dyDescent="0.15">
      <c r="A688142" t="s">
        <v>1396</v>
      </c>
    </row>
    <row r="688143" spans="1:1" x14ac:dyDescent="0.15">
      <c r="A688143" t="s">
        <v>409</v>
      </c>
    </row>
    <row r="688144" spans="1:1" x14ac:dyDescent="0.15">
      <c r="A688144" t="s">
        <v>410</v>
      </c>
    </row>
    <row r="688145" spans="1:1" x14ac:dyDescent="0.15">
      <c r="A688145" t="s">
        <v>424</v>
      </c>
    </row>
    <row r="688146" spans="1:1" x14ac:dyDescent="0.15">
      <c r="A688146" t="s">
        <v>425</v>
      </c>
    </row>
    <row r="688147" spans="1:1" x14ac:dyDescent="0.15">
      <c r="A688147" t="s">
        <v>1397</v>
      </c>
    </row>
    <row r="688148" spans="1:1" x14ac:dyDescent="0.15">
      <c r="A688148" t="s">
        <v>1398</v>
      </c>
    </row>
    <row r="688149" spans="1:1" x14ac:dyDescent="0.15">
      <c r="A688149" t="s">
        <v>411</v>
      </c>
    </row>
    <row r="688150" spans="1:1" x14ac:dyDescent="0.15">
      <c r="A688150" t="s">
        <v>412</v>
      </c>
    </row>
    <row r="688151" spans="1:1" x14ac:dyDescent="0.15">
      <c r="A688151" t="s">
        <v>413</v>
      </c>
    </row>
    <row r="688152" spans="1:1" x14ac:dyDescent="0.15">
      <c r="A688152" t="s">
        <v>414</v>
      </c>
    </row>
    <row r="688153" spans="1:1" x14ac:dyDescent="0.15">
      <c r="A688153" t="s">
        <v>415</v>
      </c>
    </row>
    <row r="688154" spans="1:1" x14ac:dyDescent="0.15">
      <c r="A688154" t="s">
        <v>421</v>
      </c>
    </row>
    <row r="688155" spans="1:1" ht="15.75" x14ac:dyDescent="0.15">
      <c r="A688155" t="s">
        <v>1399</v>
      </c>
    </row>
    <row r="688156" spans="1:1" x14ac:dyDescent="0.15">
      <c r="A688156" t="s">
        <v>416</v>
      </c>
    </row>
    <row r="688157" spans="1:1" x14ac:dyDescent="0.15">
      <c r="A688157" t="s">
        <v>417</v>
      </c>
    </row>
    <row r="688158" spans="1:1" x14ac:dyDescent="0.15">
      <c r="A688158" t="s">
        <v>418</v>
      </c>
    </row>
    <row r="688159" spans="1:1" x14ac:dyDescent="0.15">
      <c r="A688159" t="s">
        <v>419</v>
      </c>
    </row>
    <row r="688160" spans="1:1" x14ac:dyDescent="0.15">
      <c r="A688160" t="s">
        <v>420</v>
      </c>
    </row>
    <row r="688161" spans="1:1" x14ac:dyDescent="0.15">
      <c r="A688161" t="s">
        <v>822</v>
      </c>
    </row>
    <row r="688162" spans="1:1" x14ac:dyDescent="0.15">
      <c r="A688162" t="s">
        <v>1387</v>
      </c>
    </row>
    <row r="688163" spans="1:1" x14ac:dyDescent="0.15">
      <c r="A688163" t="s">
        <v>1388</v>
      </c>
    </row>
    <row r="688164" spans="1:1" x14ac:dyDescent="0.15">
      <c r="A688164" t="s">
        <v>820</v>
      </c>
    </row>
    <row r="688165" spans="1:1" x14ac:dyDescent="0.15">
      <c r="A688165" t="s">
        <v>821</v>
      </c>
    </row>
    <row r="704514" spans="1:1" x14ac:dyDescent="0.15">
      <c r="A704514" t="s">
        <v>958</v>
      </c>
    </row>
    <row r="704515" spans="1:1" x14ac:dyDescent="0.15">
      <c r="A704515" t="s">
        <v>405</v>
      </c>
    </row>
    <row r="704516" spans="1:1" x14ac:dyDescent="0.15">
      <c r="A704516" t="s">
        <v>406</v>
      </c>
    </row>
    <row r="704517" spans="1:1" x14ac:dyDescent="0.15">
      <c r="A704517" t="s">
        <v>422</v>
      </c>
    </row>
    <row r="704518" spans="1:1" x14ac:dyDescent="0.15">
      <c r="A704518" t="s">
        <v>1394</v>
      </c>
    </row>
    <row r="704519" spans="1:1" x14ac:dyDescent="0.15">
      <c r="A704519" t="s">
        <v>1391</v>
      </c>
    </row>
    <row r="704520" spans="1:1" x14ac:dyDescent="0.15">
      <c r="A704520" t="s">
        <v>1392</v>
      </c>
    </row>
    <row r="704521" spans="1:1" x14ac:dyDescent="0.15">
      <c r="A704521" t="s">
        <v>407</v>
      </c>
    </row>
    <row r="704522" spans="1:1" x14ac:dyDescent="0.15">
      <c r="A704522" t="s">
        <v>408</v>
      </c>
    </row>
    <row r="704523" spans="1:1" x14ac:dyDescent="0.15">
      <c r="A704523" t="s">
        <v>423</v>
      </c>
    </row>
    <row r="704524" spans="1:1" x14ac:dyDescent="0.15">
      <c r="A704524" t="s">
        <v>1395</v>
      </c>
    </row>
    <row r="704525" spans="1:1" x14ac:dyDescent="0.15">
      <c r="A704525" t="s">
        <v>1393</v>
      </c>
    </row>
    <row r="704526" spans="1:1" x14ac:dyDescent="0.15">
      <c r="A704526" t="s">
        <v>1396</v>
      </c>
    </row>
    <row r="704527" spans="1:1" x14ac:dyDescent="0.15">
      <c r="A704527" t="s">
        <v>409</v>
      </c>
    </row>
    <row r="704528" spans="1:1" x14ac:dyDescent="0.15">
      <c r="A704528" t="s">
        <v>410</v>
      </c>
    </row>
    <row r="704529" spans="1:1" x14ac:dyDescent="0.15">
      <c r="A704529" t="s">
        <v>424</v>
      </c>
    </row>
    <row r="704530" spans="1:1" x14ac:dyDescent="0.15">
      <c r="A704530" t="s">
        <v>425</v>
      </c>
    </row>
    <row r="704531" spans="1:1" x14ac:dyDescent="0.15">
      <c r="A704531" t="s">
        <v>1397</v>
      </c>
    </row>
    <row r="704532" spans="1:1" x14ac:dyDescent="0.15">
      <c r="A704532" t="s">
        <v>1398</v>
      </c>
    </row>
    <row r="704533" spans="1:1" x14ac:dyDescent="0.15">
      <c r="A704533" t="s">
        <v>411</v>
      </c>
    </row>
    <row r="704534" spans="1:1" x14ac:dyDescent="0.15">
      <c r="A704534" t="s">
        <v>412</v>
      </c>
    </row>
    <row r="704535" spans="1:1" x14ac:dyDescent="0.15">
      <c r="A704535" t="s">
        <v>413</v>
      </c>
    </row>
    <row r="704536" spans="1:1" x14ac:dyDescent="0.15">
      <c r="A704536" t="s">
        <v>414</v>
      </c>
    </row>
    <row r="704537" spans="1:1" x14ac:dyDescent="0.15">
      <c r="A704537" t="s">
        <v>415</v>
      </c>
    </row>
    <row r="704538" spans="1:1" x14ac:dyDescent="0.15">
      <c r="A704538" t="s">
        <v>421</v>
      </c>
    </row>
    <row r="704539" spans="1:1" ht="15.75" x14ac:dyDescent="0.15">
      <c r="A704539" t="s">
        <v>1399</v>
      </c>
    </row>
    <row r="704540" spans="1:1" x14ac:dyDescent="0.15">
      <c r="A704540" t="s">
        <v>416</v>
      </c>
    </row>
    <row r="704541" spans="1:1" x14ac:dyDescent="0.15">
      <c r="A704541" t="s">
        <v>417</v>
      </c>
    </row>
    <row r="704542" spans="1:1" x14ac:dyDescent="0.15">
      <c r="A704542" t="s">
        <v>418</v>
      </c>
    </row>
    <row r="704543" spans="1:1" x14ac:dyDescent="0.15">
      <c r="A704543" t="s">
        <v>419</v>
      </c>
    </row>
    <row r="704544" spans="1:1" x14ac:dyDescent="0.15">
      <c r="A704544" t="s">
        <v>420</v>
      </c>
    </row>
    <row r="704545" spans="1:1" x14ac:dyDescent="0.15">
      <c r="A704545" t="s">
        <v>822</v>
      </c>
    </row>
    <row r="704546" spans="1:1" x14ac:dyDescent="0.15">
      <c r="A704546" t="s">
        <v>1387</v>
      </c>
    </row>
    <row r="704547" spans="1:1" x14ac:dyDescent="0.15">
      <c r="A704547" t="s">
        <v>1388</v>
      </c>
    </row>
    <row r="704548" spans="1:1" x14ac:dyDescent="0.15">
      <c r="A704548" t="s">
        <v>820</v>
      </c>
    </row>
    <row r="704549" spans="1:1" x14ac:dyDescent="0.15">
      <c r="A704549" t="s">
        <v>821</v>
      </c>
    </row>
    <row r="720898" spans="1:1" x14ac:dyDescent="0.15">
      <c r="A720898" t="s">
        <v>958</v>
      </c>
    </row>
    <row r="720899" spans="1:1" x14ac:dyDescent="0.15">
      <c r="A720899" t="s">
        <v>405</v>
      </c>
    </row>
    <row r="720900" spans="1:1" x14ac:dyDescent="0.15">
      <c r="A720900" t="s">
        <v>406</v>
      </c>
    </row>
    <row r="720901" spans="1:1" x14ac:dyDescent="0.15">
      <c r="A720901" t="s">
        <v>422</v>
      </c>
    </row>
    <row r="720902" spans="1:1" x14ac:dyDescent="0.15">
      <c r="A720902" t="s">
        <v>1394</v>
      </c>
    </row>
    <row r="720903" spans="1:1" x14ac:dyDescent="0.15">
      <c r="A720903" t="s">
        <v>1391</v>
      </c>
    </row>
    <row r="720904" spans="1:1" x14ac:dyDescent="0.15">
      <c r="A720904" t="s">
        <v>1392</v>
      </c>
    </row>
    <row r="720905" spans="1:1" x14ac:dyDescent="0.15">
      <c r="A720905" t="s">
        <v>407</v>
      </c>
    </row>
    <row r="720906" spans="1:1" x14ac:dyDescent="0.15">
      <c r="A720906" t="s">
        <v>408</v>
      </c>
    </row>
    <row r="720907" spans="1:1" x14ac:dyDescent="0.15">
      <c r="A720907" t="s">
        <v>423</v>
      </c>
    </row>
    <row r="720908" spans="1:1" x14ac:dyDescent="0.15">
      <c r="A720908" t="s">
        <v>1395</v>
      </c>
    </row>
    <row r="720909" spans="1:1" x14ac:dyDescent="0.15">
      <c r="A720909" t="s">
        <v>1393</v>
      </c>
    </row>
    <row r="720910" spans="1:1" x14ac:dyDescent="0.15">
      <c r="A720910" t="s">
        <v>1396</v>
      </c>
    </row>
    <row r="720911" spans="1:1" x14ac:dyDescent="0.15">
      <c r="A720911" t="s">
        <v>409</v>
      </c>
    </row>
    <row r="720912" spans="1:1" x14ac:dyDescent="0.15">
      <c r="A720912" t="s">
        <v>410</v>
      </c>
    </row>
    <row r="720913" spans="1:1" x14ac:dyDescent="0.15">
      <c r="A720913" t="s">
        <v>424</v>
      </c>
    </row>
    <row r="720914" spans="1:1" x14ac:dyDescent="0.15">
      <c r="A720914" t="s">
        <v>425</v>
      </c>
    </row>
    <row r="720915" spans="1:1" x14ac:dyDescent="0.15">
      <c r="A720915" t="s">
        <v>1397</v>
      </c>
    </row>
    <row r="720916" spans="1:1" x14ac:dyDescent="0.15">
      <c r="A720916" t="s">
        <v>1398</v>
      </c>
    </row>
    <row r="720917" spans="1:1" x14ac:dyDescent="0.15">
      <c r="A720917" t="s">
        <v>411</v>
      </c>
    </row>
    <row r="720918" spans="1:1" x14ac:dyDescent="0.15">
      <c r="A720918" t="s">
        <v>412</v>
      </c>
    </row>
    <row r="720919" spans="1:1" x14ac:dyDescent="0.15">
      <c r="A720919" t="s">
        <v>413</v>
      </c>
    </row>
    <row r="720920" spans="1:1" x14ac:dyDescent="0.15">
      <c r="A720920" t="s">
        <v>414</v>
      </c>
    </row>
    <row r="720921" spans="1:1" x14ac:dyDescent="0.15">
      <c r="A720921" t="s">
        <v>415</v>
      </c>
    </row>
    <row r="720922" spans="1:1" x14ac:dyDescent="0.15">
      <c r="A720922" t="s">
        <v>421</v>
      </c>
    </row>
    <row r="720923" spans="1:1" ht="15.75" x14ac:dyDescent="0.15">
      <c r="A720923" t="s">
        <v>1399</v>
      </c>
    </row>
    <row r="720924" spans="1:1" x14ac:dyDescent="0.15">
      <c r="A720924" t="s">
        <v>416</v>
      </c>
    </row>
    <row r="720925" spans="1:1" x14ac:dyDescent="0.15">
      <c r="A720925" t="s">
        <v>417</v>
      </c>
    </row>
    <row r="720926" spans="1:1" x14ac:dyDescent="0.15">
      <c r="A720926" t="s">
        <v>418</v>
      </c>
    </row>
    <row r="720927" spans="1:1" x14ac:dyDescent="0.15">
      <c r="A720927" t="s">
        <v>419</v>
      </c>
    </row>
    <row r="720928" spans="1:1" x14ac:dyDescent="0.15">
      <c r="A720928" t="s">
        <v>420</v>
      </c>
    </row>
    <row r="720929" spans="1:1" x14ac:dyDescent="0.15">
      <c r="A720929" t="s">
        <v>822</v>
      </c>
    </row>
    <row r="720930" spans="1:1" x14ac:dyDescent="0.15">
      <c r="A720930" t="s">
        <v>1387</v>
      </c>
    </row>
    <row r="720931" spans="1:1" x14ac:dyDescent="0.15">
      <c r="A720931" t="s">
        <v>1388</v>
      </c>
    </row>
    <row r="720932" spans="1:1" x14ac:dyDescent="0.15">
      <c r="A720932" t="s">
        <v>820</v>
      </c>
    </row>
    <row r="720933" spans="1:1" x14ac:dyDescent="0.15">
      <c r="A720933" t="s">
        <v>821</v>
      </c>
    </row>
    <row r="737282" spans="1:1" x14ac:dyDescent="0.15">
      <c r="A737282" t="s">
        <v>958</v>
      </c>
    </row>
    <row r="737283" spans="1:1" x14ac:dyDescent="0.15">
      <c r="A737283" t="s">
        <v>405</v>
      </c>
    </row>
    <row r="737284" spans="1:1" x14ac:dyDescent="0.15">
      <c r="A737284" t="s">
        <v>406</v>
      </c>
    </row>
    <row r="737285" spans="1:1" x14ac:dyDescent="0.15">
      <c r="A737285" t="s">
        <v>422</v>
      </c>
    </row>
    <row r="737286" spans="1:1" x14ac:dyDescent="0.15">
      <c r="A737286" t="s">
        <v>1394</v>
      </c>
    </row>
    <row r="737287" spans="1:1" x14ac:dyDescent="0.15">
      <c r="A737287" t="s">
        <v>1391</v>
      </c>
    </row>
    <row r="737288" spans="1:1" x14ac:dyDescent="0.15">
      <c r="A737288" t="s">
        <v>1392</v>
      </c>
    </row>
    <row r="737289" spans="1:1" x14ac:dyDescent="0.15">
      <c r="A737289" t="s">
        <v>407</v>
      </c>
    </row>
    <row r="737290" spans="1:1" x14ac:dyDescent="0.15">
      <c r="A737290" t="s">
        <v>408</v>
      </c>
    </row>
    <row r="737291" spans="1:1" x14ac:dyDescent="0.15">
      <c r="A737291" t="s">
        <v>423</v>
      </c>
    </row>
    <row r="737292" spans="1:1" x14ac:dyDescent="0.15">
      <c r="A737292" t="s">
        <v>1395</v>
      </c>
    </row>
    <row r="737293" spans="1:1" x14ac:dyDescent="0.15">
      <c r="A737293" t="s">
        <v>1393</v>
      </c>
    </row>
    <row r="737294" spans="1:1" x14ac:dyDescent="0.15">
      <c r="A737294" t="s">
        <v>1396</v>
      </c>
    </row>
    <row r="737295" spans="1:1" x14ac:dyDescent="0.15">
      <c r="A737295" t="s">
        <v>409</v>
      </c>
    </row>
    <row r="737296" spans="1:1" x14ac:dyDescent="0.15">
      <c r="A737296" t="s">
        <v>410</v>
      </c>
    </row>
    <row r="737297" spans="1:1" x14ac:dyDescent="0.15">
      <c r="A737297" t="s">
        <v>424</v>
      </c>
    </row>
    <row r="737298" spans="1:1" x14ac:dyDescent="0.15">
      <c r="A737298" t="s">
        <v>425</v>
      </c>
    </row>
    <row r="737299" spans="1:1" x14ac:dyDescent="0.15">
      <c r="A737299" t="s">
        <v>1397</v>
      </c>
    </row>
    <row r="737300" spans="1:1" x14ac:dyDescent="0.15">
      <c r="A737300" t="s">
        <v>1398</v>
      </c>
    </row>
    <row r="737301" spans="1:1" x14ac:dyDescent="0.15">
      <c r="A737301" t="s">
        <v>411</v>
      </c>
    </row>
    <row r="737302" spans="1:1" x14ac:dyDescent="0.15">
      <c r="A737302" t="s">
        <v>412</v>
      </c>
    </row>
    <row r="737303" spans="1:1" x14ac:dyDescent="0.15">
      <c r="A737303" t="s">
        <v>413</v>
      </c>
    </row>
    <row r="737304" spans="1:1" x14ac:dyDescent="0.15">
      <c r="A737304" t="s">
        <v>414</v>
      </c>
    </row>
    <row r="737305" spans="1:1" x14ac:dyDescent="0.15">
      <c r="A737305" t="s">
        <v>415</v>
      </c>
    </row>
    <row r="737306" spans="1:1" x14ac:dyDescent="0.15">
      <c r="A737306" t="s">
        <v>421</v>
      </c>
    </row>
    <row r="737307" spans="1:1" ht="15.75" x14ac:dyDescent="0.15">
      <c r="A737307" t="s">
        <v>1399</v>
      </c>
    </row>
    <row r="737308" spans="1:1" x14ac:dyDescent="0.15">
      <c r="A737308" t="s">
        <v>416</v>
      </c>
    </row>
    <row r="737309" spans="1:1" x14ac:dyDescent="0.15">
      <c r="A737309" t="s">
        <v>417</v>
      </c>
    </row>
    <row r="737310" spans="1:1" x14ac:dyDescent="0.15">
      <c r="A737310" t="s">
        <v>418</v>
      </c>
    </row>
    <row r="737311" spans="1:1" x14ac:dyDescent="0.15">
      <c r="A737311" t="s">
        <v>419</v>
      </c>
    </row>
    <row r="737312" spans="1:1" x14ac:dyDescent="0.15">
      <c r="A737312" t="s">
        <v>420</v>
      </c>
    </row>
    <row r="737313" spans="1:1" x14ac:dyDescent="0.15">
      <c r="A737313" t="s">
        <v>822</v>
      </c>
    </row>
    <row r="737314" spans="1:1" x14ac:dyDescent="0.15">
      <c r="A737314" t="s">
        <v>1387</v>
      </c>
    </row>
    <row r="737315" spans="1:1" x14ac:dyDescent="0.15">
      <c r="A737315" t="s">
        <v>1388</v>
      </c>
    </row>
    <row r="737316" spans="1:1" x14ac:dyDescent="0.15">
      <c r="A737316" t="s">
        <v>820</v>
      </c>
    </row>
    <row r="737317" spans="1:1" x14ac:dyDescent="0.15">
      <c r="A737317" t="s">
        <v>821</v>
      </c>
    </row>
    <row r="753666" spans="1:1" x14ac:dyDescent="0.15">
      <c r="A753666" t="s">
        <v>958</v>
      </c>
    </row>
    <row r="753667" spans="1:1" x14ac:dyDescent="0.15">
      <c r="A753667" t="s">
        <v>405</v>
      </c>
    </row>
    <row r="753668" spans="1:1" x14ac:dyDescent="0.15">
      <c r="A753668" t="s">
        <v>406</v>
      </c>
    </row>
    <row r="753669" spans="1:1" x14ac:dyDescent="0.15">
      <c r="A753669" t="s">
        <v>422</v>
      </c>
    </row>
    <row r="753670" spans="1:1" x14ac:dyDescent="0.15">
      <c r="A753670" t="s">
        <v>1394</v>
      </c>
    </row>
    <row r="753671" spans="1:1" x14ac:dyDescent="0.15">
      <c r="A753671" t="s">
        <v>1391</v>
      </c>
    </row>
    <row r="753672" spans="1:1" x14ac:dyDescent="0.15">
      <c r="A753672" t="s">
        <v>1392</v>
      </c>
    </row>
    <row r="753673" spans="1:1" x14ac:dyDescent="0.15">
      <c r="A753673" t="s">
        <v>407</v>
      </c>
    </row>
    <row r="753674" spans="1:1" x14ac:dyDescent="0.15">
      <c r="A753674" t="s">
        <v>408</v>
      </c>
    </row>
    <row r="753675" spans="1:1" x14ac:dyDescent="0.15">
      <c r="A753675" t="s">
        <v>423</v>
      </c>
    </row>
    <row r="753676" spans="1:1" x14ac:dyDescent="0.15">
      <c r="A753676" t="s">
        <v>1395</v>
      </c>
    </row>
    <row r="753677" spans="1:1" x14ac:dyDescent="0.15">
      <c r="A753677" t="s">
        <v>1393</v>
      </c>
    </row>
    <row r="753678" spans="1:1" x14ac:dyDescent="0.15">
      <c r="A753678" t="s">
        <v>1396</v>
      </c>
    </row>
    <row r="753679" spans="1:1" x14ac:dyDescent="0.15">
      <c r="A753679" t="s">
        <v>409</v>
      </c>
    </row>
    <row r="753680" spans="1:1" x14ac:dyDescent="0.15">
      <c r="A753680" t="s">
        <v>410</v>
      </c>
    </row>
    <row r="753681" spans="1:1" x14ac:dyDescent="0.15">
      <c r="A753681" t="s">
        <v>424</v>
      </c>
    </row>
    <row r="753682" spans="1:1" x14ac:dyDescent="0.15">
      <c r="A753682" t="s">
        <v>425</v>
      </c>
    </row>
    <row r="753683" spans="1:1" x14ac:dyDescent="0.15">
      <c r="A753683" t="s">
        <v>1397</v>
      </c>
    </row>
    <row r="753684" spans="1:1" x14ac:dyDescent="0.15">
      <c r="A753684" t="s">
        <v>1398</v>
      </c>
    </row>
    <row r="753685" spans="1:1" x14ac:dyDescent="0.15">
      <c r="A753685" t="s">
        <v>411</v>
      </c>
    </row>
    <row r="753686" spans="1:1" x14ac:dyDescent="0.15">
      <c r="A753686" t="s">
        <v>412</v>
      </c>
    </row>
    <row r="753687" spans="1:1" x14ac:dyDescent="0.15">
      <c r="A753687" t="s">
        <v>413</v>
      </c>
    </row>
    <row r="753688" spans="1:1" x14ac:dyDescent="0.15">
      <c r="A753688" t="s">
        <v>414</v>
      </c>
    </row>
    <row r="753689" spans="1:1" x14ac:dyDescent="0.15">
      <c r="A753689" t="s">
        <v>415</v>
      </c>
    </row>
    <row r="753690" spans="1:1" x14ac:dyDescent="0.15">
      <c r="A753690" t="s">
        <v>421</v>
      </c>
    </row>
    <row r="753691" spans="1:1" ht="15.75" x14ac:dyDescent="0.15">
      <c r="A753691" t="s">
        <v>1399</v>
      </c>
    </row>
    <row r="753692" spans="1:1" x14ac:dyDescent="0.15">
      <c r="A753692" t="s">
        <v>416</v>
      </c>
    </row>
    <row r="753693" spans="1:1" x14ac:dyDescent="0.15">
      <c r="A753693" t="s">
        <v>417</v>
      </c>
    </row>
    <row r="753694" spans="1:1" x14ac:dyDescent="0.15">
      <c r="A753694" t="s">
        <v>418</v>
      </c>
    </row>
    <row r="753695" spans="1:1" x14ac:dyDescent="0.15">
      <c r="A753695" t="s">
        <v>419</v>
      </c>
    </row>
    <row r="753696" spans="1:1" x14ac:dyDescent="0.15">
      <c r="A753696" t="s">
        <v>420</v>
      </c>
    </row>
    <row r="753697" spans="1:1" x14ac:dyDescent="0.15">
      <c r="A753697" t="s">
        <v>822</v>
      </c>
    </row>
    <row r="753698" spans="1:1" x14ac:dyDescent="0.15">
      <c r="A753698" t="s">
        <v>1387</v>
      </c>
    </row>
    <row r="753699" spans="1:1" x14ac:dyDescent="0.15">
      <c r="A753699" t="s">
        <v>1388</v>
      </c>
    </row>
    <row r="753700" spans="1:1" x14ac:dyDescent="0.15">
      <c r="A753700" t="s">
        <v>820</v>
      </c>
    </row>
    <row r="753701" spans="1:1" x14ac:dyDescent="0.15">
      <c r="A753701" t="s">
        <v>821</v>
      </c>
    </row>
    <row r="770050" spans="1:1" x14ac:dyDescent="0.15">
      <c r="A770050" t="s">
        <v>958</v>
      </c>
    </row>
    <row r="770051" spans="1:1" x14ac:dyDescent="0.15">
      <c r="A770051" t="s">
        <v>405</v>
      </c>
    </row>
    <row r="770052" spans="1:1" x14ac:dyDescent="0.15">
      <c r="A770052" t="s">
        <v>406</v>
      </c>
    </row>
    <row r="770053" spans="1:1" x14ac:dyDescent="0.15">
      <c r="A770053" t="s">
        <v>422</v>
      </c>
    </row>
    <row r="770054" spans="1:1" x14ac:dyDescent="0.15">
      <c r="A770054" t="s">
        <v>1394</v>
      </c>
    </row>
    <row r="770055" spans="1:1" x14ac:dyDescent="0.15">
      <c r="A770055" t="s">
        <v>1391</v>
      </c>
    </row>
    <row r="770056" spans="1:1" x14ac:dyDescent="0.15">
      <c r="A770056" t="s">
        <v>1392</v>
      </c>
    </row>
    <row r="770057" spans="1:1" x14ac:dyDescent="0.15">
      <c r="A770057" t="s">
        <v>407</v>
      </c>
    </row>
    <row r="770058" spans="1:1" x14ac:dyDescent="0.15">
      <c r="A770058" t="s">
        <v>408</v>
      </c>
    </row>
    <row r="770059" spans="1:1" x14ac:dyDescent="0.15">
      <c r="A770059" t="s">
        <v>423</v>
      </c>
    </row>
    <row r="770060" spans="1:1" x14ac:dyDescent="0.15">
      <c r="A770060" t="s">
        <v>1395</v>
      </c>
    </row>
    <row r="770061" spans="1:1" x14ac:dyDescent="0.15">
      <c r="A770061" t="s">
        <v>1393</v>
      </c>
    </row>
    <row r="770062" spans="1:1" x14ac:dyDescent="0.15">
      <c r="A770062" t="s">
        <v>1396</v>
      </c>
    </row>
    <row r="770063" spans="1:1" x14ac:dyDescent="0.15">
      <c r="A770063" t="s">
        <v>409</v>
      </c>
    </row>
    <row r="770064" spans="1:1" x14ac:dyDescent="0.15">
      <c r="A770064" t="s">
        <v>410</v>
      </c>
    </row>
    <row r="770065" spans="1:1" x14ac:dyDescent="0.15">
      <c r="A770065" t="s">
        <v>424</v>
      </c>
    </row>
    <row r="770066" spans="1:1" x14ac:dyDescent="0.15">
      <c r="A770066" t="s">
        <v>425</v>
      </c>
    </row>
    <row r="770067" spans="1:1" x14ac:dyDescent="0.15">
      <c r="A770067" t="s">
        <v>1397</v>
      </c>
    </row>
    <row r="770068" spans="1:1" x14ac:dyDescent="0.15">
      <c r="A770068" t="s">
        <v>1398</v>
      </c>
    </row>
    <row r="770069" spans="1:1" x14ac:dyDescent="0.15">
      <c r="A770069" t="s">
        <v>411</v>
      </c>
    </row>
    <row r="770070" spans="1:1" x14ac:dyDescent="0.15">
      <c r="A770070" t="s">
        <v>412</v>
      </c>
    </row>
    <row r="770071" spans="1:1" x14ac:dyDescent="0.15">
      <c r="A770071" t="s">
        <v>413</v>
      </c>
    </row>
    <row r="770072" spans="1:1" x14ac:dyDescent="0.15">
      <c r="A770072" t="s">
        <v>414</v>
      </c>
    </row>
    <row r="770073" spans="1:1" x14ac:dyDescent="0.15">
      <c r="A770073" t="s">
        <v>415</v>
      </c>
    </row>
    <row r="770074" spans="1:1" x14ac:dyDescent="0.15">
      <c r="A770074" t="s">
        <v>421</v>
      </c>
    </row>
    <row r="770075" spans="1:1" ht="15.75" x14ac:dyDescent="0.15">
      <c r="A770075" t="s">
        <v>1399</v>
      </c>
    </row>
    <row r="770076" spans="1:1" x14ac:dyDescent="0.15">
      <c r="A770076" t="s">
        <v>416</v>
      </c>
    </row>
    <row r="770077" spans="1:1" x14ac:dyDescent="0.15">
      <c r="A770077" t="s">
        <v>417</v>
      </c>
    </row>
    <row r="770078" spans="1:1" x14ac:dyDescent="0.15">
      <c r="A770078" t="s">
        <v>418</v>
      </c>
    </row>
    <row r="770079" spans="1:1" x14ac:dyDescent="0.15">
      <c r="A770079" t="s">
        <v>419</v>
      </c>
    </row>
    <row r="770080" spans="1:1" x14ac:dyDescent="0.15">
      <c r="A770080" t="s">
        <v>420</v>
      </c>
    </row>
    <row r="770081" spans="1:1" x14ac:dyDescent="0.15">
      <c r="A770081" t="s">
        <v>822</v>
      </c>
    </row>
    <row r="770082" spans="1:1" x14ac:dyDescent="0.15">
      <c r="A770082" t="s">
        <v>1387</v>
      </c>
    </row>
    <row r="770083" spans="1:1" x14ac:dyDescent="0.15">
      <c r="A770083" t="s">
        <v>1388</v>
      </c>
    </row>
    <row r="770084" spans="1:1" x14ac:dyDescent="0.15">
      <c r="A770084" t="s">
        <v>820</v>
      </c>
    </row>
    <row r="770085" spans="1:1" x14ac:dyDescent="0.15">
      <c r="A770085" t="s">
        <v>821</v>
      </c>
    </row>
    <row r="786434" spans="1:1" x14ac:dyDescent="0.15">
      <c r="A786434" t="s">
        <v>958</v>
      </c>
    </row>
    <row r="786435" spans="1:1" x14ac:dyDescent="0.15">
      <c r="A786435" t="s">
        <v>405</v>
      </c>
    </row>
    <row r="786436" spans="1:1" x14ac:dyDescent="0.15">
      <c r="A786436" t="s">
        <v>406</v>
      </c>
    </row>
    <row r="786437" spans="1:1" x14ac:dyDescent="0.15">
      <c r="A786437" t="s">
        <v>422</v>
      </c>
    </row>
    <row r="786438" spans="1:1" x14ac:dyDescent="0.15">
      <c r="A786438" t="s">
        <v>1394</v>
      </c>
    </row>
    <row r="786439" spans="1:1" x14ac:dyDescent="0.15">
      <c r="A786439" t="s">
        <v>1391</v>
      </c>
    </row>
    <row r="786440" spans="1:1" x14ac:dyDescent="0.15">
      <c r="A786440" t="s">
        <v>1392</v>
      </c>
    </row>
    <row r="786441" spans="1:1" x14ac:dyDescent="0.15">
      <c r="A786441" t="s">
        <v>407</v>
      </c>
    </row>
    <row r="786442" spans="1:1" x14ac:dyDescent="0.15">
      <c r="A786442" t="s">
        <v>408</v>
      </c>
    </row>
    <row r="786443" spans="1:1" x14ac:dyDescent="0.15">
      <c r="A786443" t="s">
        <v>423</v>
      </c>
    </row>
    <row r="786444" spans="1:1" x14ac:dyDescent="0.15">
      <c r="A786444" t="s">
        <v>1395</v>
      </c>
    </row>
    <row r="786445" spans="1:1" x14ac:dyDescent="0.15">
      <c r="A786445" t="s">
        <v>1393</v>
      </c>
    </row>
    <row r="786446" spans="1:1" x14ac:dyDescent="0.15">
      <c r="A786446" t="s">
        <v>1396</v>
      </c>
    </row>
    <row r="786447" spans="1:1" x14ac:dyDescent="0.15">
      <c r="A786447" t="s">
        <v>409</v>
      </c>
    </row>
    <row r="786448" spans="1:1" x14ac:dyDescent="0.15">
      <c r="A786448" t="s">
        <v>410</v>
      </c>
    </row>
    <row r="786449" spans="1:1" x14ac:dyDescent="0.15">
      <c r="A786449" t="s">
        <v>424</v>
      </c>
    </row>
    <row r="786450" spans="1:1" x14ac:dyDescent="0.15">
      <c r="A786450" t="s">
        <v>425</v>
      </c>
    </row>
    <row r="786451" spans="1:1" x14ac:dyDescent="0.15">
      <c r="A786451" t="s">
        <v>1397</v>
      </c>
    </row>
    <row r="786452" spans="1:1" x14ac:dyDescent="0.15">
      <c r="A786452" t="s">
        <v>1398</v>
      </c>
    </row>
    <row r="786453" spans="1:1" x14ac:dyDescent="0.15">
      <c r="A786453" t="s">
        <v>411</v>
      </c>
    </row>
    <row r="786454" spans="1:1" x14ac:dyDescent="0.15">
      <c r="A786454" t="s">
        <v>412</v>
      </c>
    </row>
    <row r="786455" spans="1:1" x14ac:dyDescent="0.15">
      <c r="A786455" t="s">
        <v>413</v>
      </c>
    </row>
    <row r="786456" spans="1:1" x14ac:dyDescent="0.15">
      <c r="A786456" t="s">
        <v>414</v>
      </c>
    </row>
    <row r="786457" spans="1:1" x14ac:dyDescent="0.15">
      <c r="A786457" t="s">
        <v>415</v>
      </c>
    </row>
    <row r="786458" spans="1:1" x14ac:dyDescent="0.15">
      <c r="A786458" t="s">
        <v>421</v>
      </c>
    </row>
    <row r="786459" spans="1:1" ht="15.75" x14ac:dyDescent="0.15">
      <c r="A786459" t="s">
        <v>1399</v>
      </c>
    </row>
    <row r="786460" spans="1:1" x14ac:dyDescent="0.15">
      <c r="A786460" t="s">
        <v>416</v>
      </c>
    </row>
    <row r="786461" spans="1:1" x14ac:dyDescent="0.15">
      <c r="A786461" t="s">
        <v>417</v>
      </c>
    </row>
    <row r="786462" spans="1:1" x14ac:dyDescent="0.15">
      <c r="A786462" t="s">
        <v>418</v>
      </c>
    </row>
    <row r="786463" spans="1:1" x14ac:dyDescent="0.15">
      <c r="A786463" t="s">
        <v>419</v>
      </c>
    </row>
    <row r="786464" spans="1:1" x14ac:dyDescent="0.15">
      <c r="A786464" t="s">
        <v>420</v>
      </c>
    </row>
    <row r="786465" spans="1:1" x14ac:dyDescent="0.15">
      <c r="A786465" t="s">
        <v>822</v>
      </c>
    </row>
    <row r="786466" spans="1:1" x14ac:dyDescent="0.15">
      <c r="A786466" t="s">
        <v>1387</v>
      </c>
    </row>
    <row r="786467" spans="1:1" x14ac:dyDescent="0.15">
      <c r="A786467" t="s">
        <v>1388</v>
      </c>
    </row>
    <row r="786468" spans="1:1" x14ac:dyDescent="0.15">
      <c r="A786468" t="s">
        <v>820</v>
      </c>
    </row>
    <row r="786469" spans="1:1" x14ac:dyDescent="0.15">
      <c r="A786469" t="s">
        <v>821</v>
      </c>
    </row>
    <row r="802818" spans="1:1" x14ac:dyDescent="0.15">
      <c r="A802818" t="s">
        <v>958</v>
      </c>
    </row>
    <row r="802819" spans="1:1" x14ac:dyDescent="0.15">
      <c r="A802819" t="s">
        <v>405</v>
      </c>
    </row>
    <row r="802820" spans="1:1" x14ac:dyDescent="0.15">
      <c r="A802820" t="s">
        <v>406</v>
      </c>
    </row>
    <row r="802821" spans="1:1" x14ac:dyDescent="0.15">
      <c r="A802821" t="s">
        <v>422</v>
      </c>
    </row>
    <row r="802822" spans="1:1" x14ac:dyDescent="0.15">
      <c r="A802822" t="s">
        <v>1394</v>
      </c>
    </row>
    <row r="802823" spans="1:1" x14ac:dyDescent="0.15">
      <c r="A802823" t="s">
        <v>1391</v>
      </c>
    </row>
    <row r="802824" spans="1:1" x14ac:dyDescent="0.15">
      <c r="A802824" t="s">
        <v>1392</v>
      </c>
    </row>
    <row r="802825" spans="1:1" x14ac:dyDescent="0.15">
      <c r="A802825" t="s">
        <v>407</v>
      </c>
    </row>
    <row r="802826" spans="1:1" x14ac:dyDescent="0.15">
      <c r="A802826" t="s">
        <v>408</v>
      </c>
    </row>
    <row r="802827" spans="1:1" x14ac:dyDescent="0.15">
      <c r="A802827" t="s">
        <v>423</v>
      </c>
    </row>
    <row r="802828" spans="1:1" x14ac:dyDescent="0.15">
      <c r="A802828" t="s">
        <v>1395</v>
      </c>
    </row>
    <row r="802829" spans="1:1" x14ac:dyDescent="0.15">
      <c r="A802829" t="s">
        <v>1393</v>
      </c>
    </row>
    <row r="802830" spans="1:1" x14ac:dyDescent="0.15">
      <c r="A802830" t="s">
        <v>1396</v>
      </c>
    </row>
    <row r="802831" spans="1:1" x14ac:dyDescent="0.15">
      <c r="A802831" t="s">
        <v>409</v>
      </c>
    </row>
    <row r="802832" spans="1:1" x14ac:dyDescent="0.15">
      <c r="A802832" t="s">
        <v>410</v>
      </c>
    </row>
    <row r="802833" spans="1:1" x14ac:dyDescent="0.15">
      <c r="A802833" t="s">
        <v>424</v>
      </c>
    </row>
    <row r="802834" spans="1:1" x14ac:dyDescent="0.15">
      <c r="A802834" t="s">
        <v>425</v>
      </c>
    </row>
    <row r="802835" spans="1:1" x14ac:dyDescent="0.15">
      <c r="A802835" t="s">
        <v>1397</v>
      </c>
    </row>
    <row r="802836" spans="1:1" x14ac:dyDescent="0.15">
      <c r="A802836" t="s">
        <v>1398</v>
      </c>
    </row>
    <row r="802837" spans="1:1" x14ac:dyDescent="0.15">
      <c r="A802837" t="s">
        <v>411</v>
      </c>
    </row>
    <row r="802838" spans="1:1" x14ac:dyDescent="0.15">
      <c r="A802838" t="s">
        <v>412</v>
      </c>
    </row>
    <row r="802839" spans="1:1" x14ac:dyDescent="0.15">
      <c r="A802839" t="s">
        <v>413</v>
      </c>
    </row>
    <row r="802840" spans="1:1" x14ac:dyDescent="0.15">
      <c r="A802840" t="s">
        <v>414</v>
      </c>
    </row>
    <row r="802841" spans="1:1" x14ac:dyDescent="0.15">
      <c r="A802841" t="s">
        <v>415</v>
      </c>
    </row>
    <row r="802842" spans="1:1" x14ac:dyDescent="0.15">
      <c r="A802842" t="s">
        <v>421</v>
      </c>
    </row>
    <row r="802843" spans="1:1" ht="15.75" x14ac:dyDescent="0.15">
      <c r="A802843" t="s">
        <v>1399</v>
      </c>
    </row>
    <row r="802844" spans="1:1" x14ac:dyDescent="0.15">
      <c r="A802844" t="s">
        <v>416</v>
      </c>
    </row>
    <row r="802845" spans="1:1" x14ac:dyDescent="0.15">
      <c r="A802845" t="s">
        <v>417</v>
      </c>
    </row>
    <row r="802846" spans="1:1" x14ac:dyDescent="0.15">
      <c r="A802846" t="s">
        <v>418</v>
      </c>
    </row>
    <row r="802847" spans="1:1" x14ac:dyDescent="0.15">
      <c r="A802847" t="s">
        <v>419</v>
      </c>
    </row>
    <row r="802848" spans="1:1" x14ac:dyDescent="0.15">
      <c r="A802848" t="s">
        <v>420</v>
      </c>
    </row>
    <row r="802849" spans="1:1" x14ac:dyDescent="0.15">
      <c r="A802849" t="s">
        <v>822</v>
      </c>
    </row>
    <row r="802850" spans="1:1" x14ac:dyDescent="0.15">
      <c r="A802850" t="s">
        <v>1387</v>
      </c>
    </row>
    <row r="802851" spans="1:1" x14ac:dyDescent="0.15">
      <c r="A802851" t="s">
        <v>1388</v>
      </c>
    </row>
    <row r="802852" spans="1:1" x14ac:dyDescent="0.15">
      <c r="A802852" t="s">
        <v>820</v>
      </c>
    </row>
    <row r="802853" spans="1:1" x14ac:dyDescent="0.15">
      <c r="A802853" t="s">
        <v>821</v>
      </c>
    </row>
    <row r="819202" spans="1:1" x14ac:dyDescent="0.15">
      <c r="A819202" t="s">
        <v>958</v>
      </c>
    </row>
    <row r="819203" spans="1:1" x14ac:dyDescent="0.15">
      <c r="A819203" t="s">
        <v>405</v>
      </c>
    </row>
    <row r="819204" spans="1:1" x14ac:dyDescent="0.15">
      <c r="A819204" t="s">
        <v>406</v>
      </c>
    </row>
    <row r="819205" spans="1:1" x14ac:dyDescent="0.15">
      <c r="A819205" t="s">
        <v>422</v>
      </c>
    </row>
    <row r="819206" spans="1:1" x14ac:dyDescent="0.15">
      <c r="A819206" t="s">
        <v>1394</v>
      </c>
    </row>
    <row r="819207" spans="1:1" x14ac:dyDescent="0.15">
      <c r="A819207" t="s">
        <v>1391</v>
      </c>
    </row>
    <row r="819208" spans="1:1" x14ac:dyDescent="0.15">
      <c r="A819208" t="s">
        <v>1392</v>
      </c>
    </row>
    <row r="819209" spans="1:1" x14ac:dyDescent="0.15">
      <c r="A819209" t="s">
        <v>407</v>
      </c>
    </row>
    <row r="819210" spans="1:1" x14ac:dyDescent="0.15">
      <c r="A819210" t="s">
        <v>408</v>
      </c>
    </row>
    <row r="819211" spans="1:1" x14ac:dyDescent="0.15">
      <c r="A819211" t="s">
        <v>423</v>
      </c>
    </row>
    <row r="819212" spans="1:1" x14ac:dyDescent="0.15">
      <c r="A819212" t="s">
        <v>1395</v>
      </c>
    </row>
    <row r="819213" spans="1:1" x14ac:dyDescent="0.15">
      <c r="A819213" t="s">
        <v>1393</v>
      </c>
    </row>
    <row r="819214" spans="1:1" x14ac:dyDescent="0.15">
      <c r="A819214" t="s">
        <v>1396</v>
      </c>
    </row>
    <row r="819215" spans="1:1" x14ac:dyDescent="0.15">
      <c r="A819215" t="s">
        <v>409</v>
      </c>
    </row>
    <row r="819216" spans="1:1" x14ac:dyDescent="0.15">
      <c r="A819216" t="s">
        <v>410</v>
      </c>
    </row>
    <row r="819217" spans="1:1" x14ac:dyDescent="0.15">
      <c r="A819217" t="s">
        <v>424</v>
      </c>
    </row>
    <row r="819218" spans="1:1" x14ac:dyDescent="0.15">
      <c r="A819218" t="s">
        <v>425</v>
      </c>
    </row>
    <row r="819219" spans="1:1" x14ac:dyDescent="0.15">
      <c r="A819219" t="s">
        <v>1397</v>
      </c>
    </row>
    <row r="819220" spans="1:1" x14ac:dyDescent="0.15">
      <c r="A819220" t="s">
        <v>1398</v>
      </c>
    </row>
    <row r="819221" spans="1:1" x14ac:dyDescent="0.15">
      <c r="A819221" t="s">
        <v>411</v>
      </c>
    </row>
    <row r="819222" spans="1:1" x14ac:dyDescent="0.15">
      <c r="A819222" t="s">
        <v>412</v>
      </c>
    </row>
    <row r="819223" spans="1:1" x14ac:dyDescent="0.15">
      <c r="A819223" t="s">
        <v>413</v>
      </c>
    </row>
    <row r="819224" spans="1:1" x14ac:dyDescent="0.15">
      <c r="A819224" t="s">
        <v>414</v>
      </c>
    </row>
    <row r="819225" spans="1:1" x14ac:dyDescent="0.15">
      <c r="A819225" t="s">
        <v>415</v>
      </c>
    </row>
    <row r="819226" spans="1:1" x14ac:dyDescent="0.15">
      <c r="A819226" t="s">
        <v>421</v>
      </c>
    </row>
    <row r="819227" spans="1:1" ht="15.75" x14ac:dyDescent="0.15">
      <c r="A819227" t="s">
        <v>1399</v>
      </c>
    </row>
    <row r="819228" spans="1:1" x14ac:dyDescent="0.15">
      <c r="A819228" t="s">
        <v>416</v>
      </c>
    </row>
    <row r="819229" spans="1:1" x14ac:dyDescent="0.15">
      <c r="A819229" t="s">
        <v>417</v>
      </c>
    </row>
    <row r="819230" spans="1:1" x14ac:dyDescent="0.15">
      <c r="A819230" t="s">
        <v>418</v>
      </c>
    </row>
    <row r="819231" spans="1:1" x14ac:dyDescent="0.15">
      <c r="A819231" t="s">
        <v>419</v>
      </c>
    </row>
    <row r="819232" spans="1:1" x14ac:dyDescent="0.15">
      <c r="A819232" t="s">
        <v>420</v>
      </c>
    </row>
    <row r="819233" spans="1:1" x14ac:dyDescent="0.15">
      <c r="A819233" t="s">
        <v>822</v>
      </c>
    </row>
    <row r="819234" spans="1:1" x14ac:dyDescent="0.15">
      <c r="A819234" t="s">
        <v>1387</v>
      </c>
    </row>
    <row r="819235" spans="1:1" x14ac:dyDescent="0.15">
      <c r="A819235" t="s">
        <v>1388</v>
      </c>
    </row>
    <row r="819236" spans="1:1" x14ac:dyDescent="0.15">
      <c r="A819236" t="s">
        <v>820</v>
      </c>
    </row>
    <row r="819237" spans="1:1" x14ac:dyDescent="0.15">
      <c r="A819237" t="s">
        <v>821</v>
      </c>
    </row>
    <row r="835586" spans="1:1" x14ac:dyDescent="0.15">
      <c r="A835586" t="s">
        <v>958</v>
      </c>
    </row>
    <row r="835587" spans="1:1" x14ac:dyDescent="0.15">
      <c r="A835587" t="s">
        <v>405</v>
      </c>
    </row>
    <row r="835588" spans="1:1" x14ac:dyDescent="0.15">
      <c r="A835588" t="s">
        <v>406</v>
      </c>
    </row>
    <row r="835589" spans="1:1" x14ac:dyDescent="0.15">
      <c r="A835589" t="s">
        <v>422</v>
      </c>
    </row>
    <row r="835590" spans="1:1" x14ac:dyDescent="0.15">
      <c r="A835590" t="s">
        <v>1394</v>
      </c>
    </row>
    <row r="835591" spans="1:1" x14ac:dyDescent="0.15">
      <c r="A835591" t="s">
        <v>1391</v>
      </c>
    </row>
    <row r="835592" spans="1:1" x14ac:dyDescent="0.15">
      <c r="A835592" t="s">
        <v>1392</v>
      </c>
    </row>
    <row r="835593" spans="1:1" x14ac:dyDescent="0.15">
      <c r="A835593" t="s">
        <v>407</v>
      </c>
    </row>
    <row r="835594" spans="1:1" x14ac:dyDescent="0.15">
      <c r="A835594" t="s">
        <v>408</v>
      </c>
    </row>
    <row r="835595" spans="1:1" x14ac:dyDescent="0.15">
      <c r="A835595" t="s">
        <v>423</v>
      </c>
    </row>
    <row r="835596" spans="1:1" x14ac:dyDescent="0.15">
      <c r="A835596" t="s">
        <v>1395</v>
      </c>
    </row>
    <row r="835597" spans="1:1" x14ac:dyDescent="0.15">
      <c r="A835597" t="s">
        <v>1393</v>
      </c>
    </row>
    <row r="835598" spans="1:1" x14ac:dyDescent="0.15">
      <c r="A835598" t="s">
        <v>1396</v>
      </c>
    </row>
    <row r="835599" spans="1:1" x14ac:dyDescent="0.15">
      <c r="A835599" t="s">
        <v>409</v>
      </c>
    </row>
    <row r="835600" spans="1:1" x14ac:dyDescent="0.15">
      <c r="A835600" t="s">
        <v>410</v>
      </c>
    </row>
    <row r="835601" spans="1:1" x14ac:dyDescent="0.15">
      <c r="A835601" t="s">
        <v>424</v>
      </c>
    </row>
    <row r="835602" spans="1:1" x14ac:dyDescent="0.15">
      <c r="A835602" t="s">
        <v>425</v>
      </c>
    </row>
    <row r="835603" spans="1:1" x14ac:dyDescent="0.15">
      <c r="A835603" t="s">
        <v>1397</v>
      </c>
    </row>
    <row r="835604" spans="1:1" x14ac:dyDescent="0.15">
      <c r="A835604" t="s">
        <v>1398</v>
      </c>
    </row>
    <row r="835605" spans="1:1" x14ac:dyDescent="0.15">
      <c r="A835605" t="s">
        <v>411</v>
      </c>
    </row>
    <row r="835606" spans="1:1" x14ac:dyDescent="0.15">
      <c r="A835606" t="s">
        <v>412</v>
      </c>
    </row>
    <row r="835607" spans="1:1" x14ac:dyDescent="0.15">
      <c r="A835607" t="s">
        <v>413</v>
      </c>
    </row>
    <row r="835608" spans="1:1" x14ac:dyDescent="0.15">
      <c r="A835608" t="s">
        <v>414</v>
      </c>
    </row>
    <row r="835609" spans="1:1" x14ac:dyDescent="0.15">
      <c r="A835609" t="s">
        <v>415</v>
      </c>
    </row>
    <row r="835610" spans="1:1" x14ac:dyDescent="0.15">
      <c r="A835610" t="s">
        <v>421</v>
      </c>
    </row>
    <row r="835611" spans="1:1" ht="15.75" x14ac:dyDescent="0.15">
      <c r="A835611" t="s">
        <v>1399</v>
      </c>
    </row>
    <row r="835612" spans="1:1" x14ac:dyDescent="0.15">
      <c r="A835612" t="s">
        <v>416</v>
      </c>
    </row>
    <row r="835613" spans="1:1" x14ac:dyDescent="0.15">
      <c r="A835613" t="s">
        <v>417</v>
      </c>
    </row>
    <row r="835614" spans="1:1" x14ac:dyDescent="0.15">
      <c r="A835614" t="s">
        <v>418</v>
      </c>
    </row>
    <row r="835615" spans="1:1" x14ac:dyDescent="0.15">
      <c r="A835615" t="s">
        <v>419</v>
      </c>
    </row>
    <row r="835616" spans="1:1" x14ac:dyDescent="0.15">
      <c r="A835616" t="s">
        <v>420</v>
      </c>
    </row>
    <row r="835617" spans="1:1" x14ac:dyDescent="0.15">
      <c r="A835617" t="s">
        <v>822</v>
      </c>
    </row>
    <row r="835618" spans="1:1" x14ac:dyDescent="0.15">
      <c r="A835618" t="s">
        <v>1387</v>
      </c>
    </row>
    <row r="835619" spans="1:1" x14ac:dyDescent="0.15">
      <c r="A835619" t="s">
        <v>1388</v>
      </c>
    </row>
    <row r="835620" spans="1:1" x14ac:dyDescent="0.15">
      <c r="A835620" t="s">
        <v>820</v>
      </c>
    </row>
    <row r="835621" spans="1:1" x14ac:dyDescent="0.15">
      <c r="A835621" t="s">
        <v>821</v>
      </c>
    </row>
    <row r="851970" spans="1:1" x14ac:dyDescent="0.15">
      <c r="A851970" t="s">
        <v>958</v>
      </c>
    </row>
    <row r="851971" spans="1:1" x14ac:dyDescent="0.15">
      <c r="A851971" t="s">
        <v>405</v>
      </c>
    </row>
    <row r="851972" spans="1:1" x14ac:dyDescent="0.15">
      <c r="A851972" t="s">
        <v>406</v>
      </c>
    </row>
    <row r="851973" spans="1:1" x14ac:dyDescent="0.15">
      <c r="A851973" t="s">
        <v>422</v>
      </c>
    </row>
    <row r="851974" spans="1:1" x14ac:dyDescent="0.15">
      <c r="A851974" t="s">
        <v>1394</v>
      </c>
    </row>
    <row r="851975" spans="1:1" x14ac:dyDescent="0.15">
      <c r="A851975" t="s">
        <v>1391</v>
      </c>
    </row>
    <row r="851976" spans="1:1" x14ac:dyDescent="0.15">
      <c r="A851976" t="s">
        <v>1392</v>
      </c>
    </row>
    <row r="851977" spans="1:1" x14ac:dyDescent="0.15">
      <c r="A851977" t="s">
        <v>407</v>
      </c>
    </row>
    <row r="851978" spans="1:1" x14ac:dyDescent="0.15">
      <c r="A851978" t="s">
        <v>408</v>
      </c>
    </row>
    <row r="851979" spans="1:1" x14ac:dyDescent="0.15">
      <c r="A851979" t="s">
        <v>423</v>
      </c>
    </row>
    <row r="851980" spans="1:1" x14ac:dyDescent="0.15">
      <c r="A851980" t="s">
        <v>1395</v>
      </c>
    </row>
    <row r="851981" spans="1:1" x14ac:dyDescent="0.15">
      <c r="A851981" t="s">
        <v>1393</v>
      </c>
    </row>
    <row r="851982" spans="1:1" x14ac:dyDescent="0.15">
      <c r="A851982" t="s">
        <v>1396</v>
      </c>
    </row>
    <row r="851983" spans="1:1" x14ac:dyDescent="0.15">
      <c r="A851983" t="s">
        <v>409</v>
      </c>
    </row>
    <row r="851984" spans="1:1" x14ac:dyDescent="0.15">
      <c r="A851984" t="s">
        <v>410</v>
      </c>
    </row>
    <row r="851985" spans="1:1" x14ac:dyDescent="0.15">
      <c r="A851985" t="s">
        <v>424</v>
      </c>
    </row>
    <row r="851986" spans="1:1" x14ac:dyDescent="0.15">
      <c r="A851986" t="s">
        <v>425</v>
      </c>
    </row>
    <row r="851987" spans="1:1" x14ac:dyDescent="0.15">
      <c r="A851987" t="s">
        <v>1397</v>
      </c>
    </row>
    <row r="851988" spans="1:1" x14ac:dyDescent="0.15">
      <c r="A851988" t="s">
        <v>1398</v>
      </c>
    </row>
    <row r="851989" spans="1:1" x14ac:dyDescent="0.15">
      <c r="A851989" t="s">
        <v>411</v>
      </c>
    </row>
    <row r="851990" spans="1:1" x14ac:dyDescent="0.15">
      <c r="A851990" t="s">
        <v>412</v>
      </c>
    </row>
    <row r="851991" spans="1:1" x14ac:dyDescent="0.15">
      <c r="A851991" t="s">
        <v>413</v>
      </c>
    </row>
    <row r="851992" spans="1:1" x14ac:dyDescent="0.15">
      <c r="A851992" t="s">
        <v>414</v>
      </c>
    </row>
    <row r="851993" spans="1:1" x14ac:dyDescent="0.15">
      <c r="A851993" t="s">
        <v>415</v>
      </c>
    </row>
    <row r="851994" spans="1:1" x14ac:dyDescent="0.15">
      <c r="A851994" t="s">
        <v>421</v>
      </c>
    </row>
    <row r="851995" spans="1:1" ht="15.75" x14ac:dyDescent="0.15">
      <c r="A851995" t="s">
        <v>1399</v>
      </c>
    </row>
    <row r="851996" spans="1:1" x14ac:dyDescent="0.15">
      <c r="A851996" t="s">
        <v>416</v>
      </c>
    </row>
    <row r="851997" spans="1:1" x14ac:dyDescent="0.15">
      <c r="A851997" t="s">
        <v>417</v>
      </c>
    </row>
    <row r="851998" spans="1:1" x14ac:dyDescent="0.15">
      <c r="A851998" t="s">
        <v>418</v>
      </c>
    </row>
    <row r="851999" spans="1:1" x14ac:dyDescent="0.15">
      <c r="A851999" t="s">
        <v>419</v>
      </c>
    </row>
    <row r="852000" spans="1:1" x14ac:dyDescent="0.15">
      <c r="A852000" t="s">
        <v>420</v>
      </c>
    </row>
    <row r="852001" spans="1:1" x14ac:dyDescent="0.15">
      <c r="A852001" t="s">
        <v>822</v>
      </c>
    </row>
    <row r="852002" spans="1:1" x14ac:dyDescent="0.15">
      <c r="A852002" t="s">
        <v>1387</v>
      </c>
    </row>
    <row r="852003" spans="1:1" x14ac:dyDescent="0.15">
      <c r="A852003" t="s">
        <v>1388</v>
      </c>
    </row>
    <row r="852004" spans="1:1" x14ac:dyDescent="0.15">
      <c r="A852004" t="s">
        <v>820</v>
      </c>
    </row>
    <row r="852005" spans="1:1" x14ac:dyDescent="0.15">
      <c r="A852005" t="s">
        <v>821</v>
      </c>
    </row>
    <row r="868354" spans="1:1" x14ac:dyDescent="0.15">
      <c r="A868354" t="s">
        <v>958</v>
      </c>
    </row>
    <row r="868355" spans="1:1" x14ac:dyDescent="0.15">
      <c r="A868355" t="s">
        <v>405</v>
      </c>
    </row>
    <row r="868356" spans="1:1" x14ac:dyDescent="0.15">
      <c r="A868356" t="s">
        <v>406</v>
      </c>
    </row>
    <row r="868357" spans="1:1" x14ac:dyDescent="0.15">
      <c r="A868357" t="s">
        <v>422</v>
      </c>
    </row>
    <row r="868358" spans="1:1" x14ac:dyDescent="0.15">
      <c r="A868358" t="s">
        <v>1394</v>
      </c>
    </row>
    <row r="868359" spans="1:1" x14ac:dyDescent="0.15">
      <c r="A868359" t="s">
        <v>1391</v>
      </c>
    </row>
    <row r="868360" spans="1:1" x14ac:dyDescent="0.15">
      <c r="A868360" t="s">
        <v>1392</v>
      </c>
    </row>
    <row r="868361" spans="1:1" x14ac:dyDescent="0.15">
      <c r="A868361" t="s">
        <v>407</v>
      </c>
    </row>
    <row r="868362" spans="1:1" x14ac:dyDescent="0.15">
      <c r="A868362" t="s">
        <v>408</v>
      </c>
    </row>
    <row r="868363" spans="1:1" x14ac:dyDescent="0.15">
      <c r="A868363" t="s">
        <v>423</v>
      </c>
    </row>
    <row r="868364" spans="1:1" x14ac:dyDescent="0.15">
      <c r="A868364" t="s">
        <v>1395</v>
      </c>
    </row>
    <row r="868365" spans="1:1" x14ac:dyDescent="0.15">
      <c r="A868365" t="s">
        <v>1393</v>
      </c>
    </row>
    <row r="868366" spans="1:1" x14ac:dyDescent="0.15">
      <c r="A868366" t="s">
        <v>1396</v>
      </c>
    </row>
    <row r="868367" spans="1:1" x14ac:dyDescent="0.15">
      <c r="A868367" t="s">
        <v>409</v>
      </c>
    </row>
    <row r="868368" spans="1:1" x14ac:dyDescent="0.15">
      <c r="A868368" t="s">
        <v>410</v>
      </c>
    </row>
    <row r="868369" spans="1:1" x14ac:dyDescent="0.15">
      <c r="A868369" t="s">
        <v>424</v>
      </c>
    </row>
    <row r="868370" spans="1:1" x14ac:dyDescent="0.15">
      <c r="A868370" t="s">
        <v>425</v>
      </c>
    </row>
    <row r="868371" spans="1:1" x14ac:dyDescent="0.15">
      <c r="A868371" t="s">
        <v>1397</v>
      </c>
    </row>
    <row r="868372" spans="1:1" x14ac:dyDescent="0.15">
      <c r="A868372" t="s">
        <v>1398</v>
      </c>
    </row>
    <row r="868373" spans="1:1" x14ac:dyDescent="0.15">
      <c r="A868373" t="s">
        <v>411</v>
      </c>
    </row>
    <row r="868374" spans="1:1" x14ac:dyDescent="0.15">
      <c r="A868374" t="s">
        <v>412</v>
      </c>
    </row>
    <row r="868375" spans="1:1" x14ac:dyDescent="0.15">
      <c r="A868375" t="s">
        <v>413</v>
      </c>
    </row>
    <row r="868376" spans="1:1" x14ac:dyDescent="0.15">
      <c r="A868376" t="s">
        <v>414</v>
      </c>
    </row>
    <row r="868377" spans="1:1" x14ac:dyDescent="0.15">
      <c r="A868377" t="s">
        <v>415</v>
      </c>
    </row>
    <row r="868378" spans="1:1" x14ac:dyDescent="0.15">
      <c r="A868378" t="s">
        <v>421</v>
      </c>
    </row>
    <row r="868379" spans="1:1" ht="15.75" x14ac:dyDescent="0.15">
      <c r="A868379" t="s">
        <v>1399</v>
      </c>
    </row>
    <row r="868380" spans="1:1" x14ac:dyDescent="0.15">
      <c r="A868380" t="s">
        <v>416</v>
      </c>
    </row>
    <row r="868381" spans="1:1" x14ac:dyDescent="0.15">
      <c r="A868381" t="s">
        <v>417</v>
      </c>
    </row>
    <row r="868382" spans="1:1" x14ac:dyDescent="0.15">
      <c r="A868382" t="s">
        <v>418</v>
      </c>
    </row>
    <row r="868383" spans="1:1" x14ac:dyDescent="0.15">
      <c r="A868383" t="s">
        <v>419</v>
      </c>
    </row>
    <row r="868384" spans="1:1" x14ac:dyDescent="0.15">
      <c r="A868384" t="s">
        <v>420</v>
      </c>
    </row>
    <row r="868385" spans="1:1" x14ac:dyDescent="0.15">
      <c r="A868385" t="s">
        <v>822</v>
      </c>
    </row>
    <row r="868386" spans="1:1" x14ac:dyDescent="0.15">
      <c r="A868386" t="s">
        <v>1387</v>
      </c>
    </row>
    <row r="868387" spans="1:1" x14ac:dyDescent="0.15">
      <c r="A868387" t="s">
        <v>1388</v>
      </c>
    </row>
    <row r="868388" spans="1:1" x14ac:dyDescent="0.15">
      <c r="A868388" t="s">
        <v>820</v>
      </c>
    </row>
    <row r="868389" spans="1:1" x14ac:dyDescent="0.15">
      <c r="A868389" t="s">
        <v>821</v>
      </c>
    </row>
    <row r="884738" spans="1:1" x14ac:dyDescent="0.15">
      <c r="A884738" t="s">
        <v>958</v>
      </c>
    </row>
    <row r="884739" spans="1:1" x14ac:dyDescent="0.15">
      <c r="A884739" t="s">
        <v>405</v>
      </c>
    </row>
    <row r="884740" spans="1:1" x14ac:dyDescent="0.15">
      <c r="A884740" t="s">
        <v>406</v>
      </c>
    </row>
    <row r="884741" spans="1:1" x14ac:dyDescent="0.15">
      <c r="A884741" t="s">
        <v>422</v>
      </c>
    </row>
    <row r="884742" spans="1:1" x14ac:dyDescent="0.15">
      <c r="A884742" t="s">
        <v>1394</v>
      </c>
    </row>
    <row r="884743" spans="1:1" x14ac:dyDescent="0.15">
      <c r="A884743" t="s">
        <v>1391</v>
      </c>
    </row>
    <row r="884744" spans="1:1" x14ac:dyDescent="0.15">
      <c r="A884744" t="s">
        <v>1392</v>
      </c>
    </row>
    <row r="884745" spans="1:1" x14ac:dyDescent="0.15">
      <c r="A884745" t="s">
        <v>407</v>
      </c>
    </row>
    <row r="884746" spans="1:1" x14ac:dyDescent="0.15">
      <c r="A884746" t="s">
        <v>408</v>
      </c>
    </row>
    <row r="884747" spans="1:1" x14ac:dyDescent="0.15">
      <c r="A884747" t="s">
        <v>423</v>
      </c>
    </row>
    <row r="884748" spans="1:1" x14ac:dyDescent="0.15">
      <c r="A884748" t="s">
        <v>1395</v>
      </c>
    </row>
    <row r="884749" spans="1:1" x14ac:dyDescent="0.15">
      <c r="A884749" t="s">
        <v>1393</v>
      </c>
    </row>
    <row r="884750" spans="1:1" x14ac:dyDescent="0.15">
      <c r="A884750" t="s">
        <v>1396</v>
      </c>
    </row>
    <row r="884751" spans="1:1" x14ac:dyDescent="0.15">
      <c r="A884751" t="s">
        <v>409</v>
      </c>
    </row>
    <row r="884752" spans="1:1" x14ac:dyDescent="0.15">
      <c r="A884752" t="s">
        <v>410</v>
      </c>
    </row>
    <row r="884753" spans="1:1" x14ac:dyDescent="0.15">
      <c r="A884753" t="s">
        <v>424</v>
      </c>
    </row>
    <row r="884754" spans="1:1" x14ac:dyDescent="0.15">
      <c r="A884754" t="s">
        <v>425</v>
      </c>
    </row>
    <row r="884755" spans="1:1" x14ac:dyDescent="0.15">
      <c r="A884755" t="s">
        <v>1397</v>
      </c>
    </row>
    <row r="884756" spans="1:1" x14ac:dyDescent="0.15">
      <c r="A884756" t="s">
        <v>1398</v>
      </c>
    </row>
    <row r="884757" spans="1:1" x14ac:dyDescent="0.15">
      <c r="A884757" t="s">
        <v>411</v>
      </c>
    </row>
    <row r="884758" spans="1:1" x14ac:dyDescent="0.15">
      <c r="A884758" t="s">
        <v>412</v>
      </c>
    </row>
    <row r="884759" spans="1:1" x14ac:dyDescent="0.15">
      <c r="A884759" t="s">
        <v>413</v>
      </c>
    </row>
    <row r="884760" spans="1:1" x14ac:dyDescent="0.15">
      <c r="A884760" t="s">
        <v>414</v>
      </c>
    </row>
    <row r="884761" spans="1:1" x14ac:dyDescent="0.15">
      <c r="A884761" t="s">
        <v>415</v>
      </c>
    </row>
    <row r="884762" spans="1:1" x14ac:dyDescent="0.15">
      <c r="A884762" t="s">
        <v>421</v>
      </c>
    </row>
    <row r="884763" spans="1:1" ht="15.75" x14ac:dyDescent="0.15">
      <c r="A884763" t="s">
        <v>1399</v>
      </c>
    </row>
    <row r="884764" spans="1:1" x14ac:dyDescent="0.15">
      <c r="A884764" t="s">
        <v>416</v>
      </c>
    </row>
    <row r="884765" spans="1:1" x14ac:dyDescent="0.15">
      <c r="A884765" t="s">
        <v>417</v>
      </c>
    </row>
    <row r="884766" spans="1:1" x14ac:dyDescent="0.15">
      <c r="A884766" t="s">
        <v>418</v>
      </c>
    </row>
    <row r="884767" spans="1:1" x14ac:dyDescent="0.15">
      <c r="A884767" t="s">
        <v>419</v>
      </c>
    </row>
    <row r="884768" spans="1:1" x14ac:dyDescent="0.15">
      <c r="A884768" t="s">
        <v>420</v>
      </c>
    </row>
    <row r="884769" spans="1:1" x14ac:dyDescent="0.15">
      <c r="A884769" t="s">
        <v>822</v>
      </c>
    </row>
    <row r="884770" spans="1:1" x14ac:dyDescent="0.15">
      <c r="A884770" t="s">
        <v>1387</v>
      </c>
    </row>
    <row r="884771" spans="1:1" x14ac:dyDescent="0.15">
      <c r="A884771" t="s">
        <v>1388</v>
      </c>
    </row>
    <row r="884772" spans="1:1" x14ac:dyDescent="0.15">
      <c r="A884772" t="s">
        <v>820</v>
      </c>
    </row>
    <row r="884773" spans="1:1" x14ac:dyDescent="0.15">
      <c r="A884773" t="s">
        <v>821</v>
      </c>
    </row>
    <row r="901122" spans="1:1" x14ac:dyDescent="0.15">
      <c r="A901122" t="s">
        <v>958</v>
      </c>
    </row>
    <row r="901123" spans="1:1" x14ac:dyDescent="0.15">
      <c r="A901123" t="s">
        <v>405</v>
      </c>
    </row>
    <row r="901124" spans="1:1" x14ac:dyDescent="0.15">
      <c r="A901124" t="s">
        <v>406</v>
      </c>
    </row>
    <row r="901125" spans="1:1" x14ac:dyDescent="0.15">
      <c r="A901125" t="s">
        <v>422</v>
      </c>
    </row>
    <row r="901126" spans="1:1" x14ac:dyDescent="0.15">
      <c r="A901126" t="s">
        <v>1394</v>
      </c>
    </row>
    <row r="901127" spans="1:1" x14ac:dyDescent="0.15">
      <c r="A901127" t="s">
        <v>1391</v>
      </c>
    </row>
    <row r="901128" spans="1:1" x14ac:dyDescent="0.15">
      <c r="A901128" t="s">
        <v>1392</v>
      </c>
    </row>
    <row r="901129" spans="1:1" x14ac:dyDescent="0.15">
      <c r="A901129" t="s">
        <v>407</v>
      </c>
    </row>
    <row r="901130" spans="1:1" x14ac:dyDescent="0.15">
      <c r="A901130" t="s">
        <v>408</v>
      </c>
    </row>
    <row r="901131" spans="1:1" x14ac:dyDescent="0.15">
      <c r="A901131" t="s">
        <v>423</v>
      </c>
    </row>
    <row r="901132" spans="1:1" x14ac:dyDescent="0.15">
      <c r="A901132" t="s">
        <v>1395</v>
      </c>
    </row>
    <row r="901133" spans="1:1" x14ac:dyDescent="0.15">
      <c r="A901133" t="s">
        <v>1393</v>
      </c>
    </row>
    <row r="901134" spans="1:1" x14ac:dyDescent="0.15">
      <c r="A901134" t="s">
        <v>1396</v>
      </c>
    </row>
    <row r="901135" spans="1:1" x14ac:dyDescent="0.15">
      <c r="A901135" t="s">
        <v>409</v>
      </c>
    </row>
    <row r="901136" spans="1:1" x14ac:dyDescent="0.15">
      <c r="A901136" t="s">
        <v>410</v>
      </c>
    </row>
    <row r="901137" spans="1:1" x14ac:dyDescent="0.15">
      <c r="A901137" t="s">
        <v>424</v>
      </c>
    </row>
    <row r="901138" spans="1:1" x14ac:dyDescent="0.15">
      <c r="A901138" t="s">
        <v>425</v>
      </c>
    </row>
    <row r="901139" spans="1:1" x14ac:dyDescent="0.15">
      <c r="A901139" t="s">
        <v>1397</v>
      </c>
    </row>
    <row r="901140" spans="1:1" x14ac:dyDescent="0.15">
      <c r="A901140" t="s">
        <v>1398</v>
      </c>
    </row>
    <row r="901141" spans="1:1" x14ac:dyDescent="0.15">
      <c r="A901141" t="s">
        <v>411</v>
      </c>
    </row>
    <row r="901142" spans="1:1" x14ac:dyDescent="0.15">
      <c r="A901142" t="s">
        <v>412</v>
      </c>
    </row>
    <row r="901143" spans="1:1" x14ac:dyDescent="0.15">
      <c r="A901143" t="s">
        <v>413</v>
      </c>
    </row>
    <row r="901144" spans="1:1" x14ac:dyDescent="0.15">
      <c r="A901144" t="s">
        <v>414</v>
      </c>
    </row>
    <row r="901145" spans="1:1" x14ac:dyDescent="0.15">
      <c r="A901145" t="s">
        <v>415</v>
      </c>
    </row>
    <row r="901146" spans="1:1" x14ac:dyDescent="0.15">
      <c r="A901146" t="s">
        <v>421</v>
      </c>
    </row>
    <row r="901147" spans="1:1" ht="15.75" x14ac:dyDescent="0.15">
      <c r="A901147" t="s">
        <v>1399</v>
      </c>
    </row>
    <row r="901148" spans="1:1" x14ac:dyDescent="0.15">
      <c r="A901148" t="s">
        <v>416</v>
      </c>
    </row>
    <row r="901149" spans="1:1" x14ac:dyDescent="0.15">
      <c r="A901149" t="s">
        <v>417</v>
      </c>
    </row>
    <row r="901150" spans="1:1" x14ac:dyDescent="0.15">
      <c r="A901150" t="s">
        <v>418</v>
      </c>
    </row>
    <row r="901151" spans="1:1" x14ac:dyDescent="0.15">
      <c r="A901151" t="s">
        <v>419</v>
      </c>
    </row>
    <row r="901152" spans="1:1" x14ac:dyDescent="0.15">
      <c r="A901152" t="s">
        <v>420</v>
      </c>
    </row>
    <row r="901153" spans="1:1" x14ac:dyDescent="0.15">
      <c r="A901153" t="s">
        <v>822</v>
      </c>
    </row>
    <row r="901154" spans="1:1" x14ac:dyDescent="0.15">
      <c r="A901154" t="s">
        <v>1387</v>
      </c>
    </row>
    <row r="901155" spans="1:1" x14ac:dyDescent="0.15">
      <c r="A901155" t="s">
        <v>1388</v>
      </c>
    </row>
    <row r="901156" spans="1:1" x14ac:dyDescent="0.15">
      <c r="A901156" t="s">
        <v>820</v>
      </c>
    </row>
    <row r="901157" spans="1:1" x14ac:dyDescent="0.15">
      <c r="A901157" t="s">
        <v>821</v>
      </c>
    </row>
    <row r="917506" spans="1:1" x14ac:dyDescent="0.15">
      <c r="A917506" t="s">
        <v>958</v>
      </c>
    </row>
    <row r="917507" spans="1:1" x14ac:dyDescent="0.15">
      <c r="A917507" t="s">
        <v>405</v>
      </c>
    </row>
    <row r="917508" spans="1:1" x14ac:dyDescent="0.15">
      <c r="A917508" t="s">
        <v>406</v>
      </c>
    </row>
    <row r="917509" spans="1:1" x14ac:dyDescent="0.15">
      <c r="A917509" t="s">
        <v>422</v>
      </c>
    </row>
    <row r="917510" spans="1:1" x14ac:dyDescent="0.15">
      <c r="A917510" t="s">
        <v>1394</v>
      </c>
    </row>
    <row r="917511" spans="1:1" x14ac:dyDescent="0.15">
      <c r="A917511" t="s">
        <v>1391</v>
      </c>
    </row>
    <row r="917512" spans="1:1" x14ac:dyDescent="0.15">
      <c r="A917512" t="s">
        <v>1392</v>
      </c>
    </row>
    <row r="917513" spans="1:1" x14ac:dyDescent="0.15">
      <c r="A917513" t="s">
        <v>407</v>
      </c>
    </row>
    <row r="917514" spans="1:1" x14ac:dyDescent="0.15">
      <c r="A917514" t="s">
        <v>408</v>
      </c>
    </row>
    <row r="917515" spans="1:1" x14ac:dyDescent="0.15">
      <c r="A917515" t="s">
        <v>423</v>
      </c>
    </row>
    <row r="917516" spans="1:1" x14ac:dyDescent="0.15">
      <c r="A917516" t="s">
        <v>1395</v>
      </c>
    </row>
    <row r="917517" spans="1:1" x14ac:dyDescent="0.15">
      <c r="A917517" t="s">
        <v>1393</v>
      </c>
    </row>
    <row r="917518" spans="1:1" x14ac:dyDescent="0.15">
      <c r="A917518" t="s">
        <v>1396</v>
      </c>
    </row>
    <row r="917519" spans="1:1" x14ac:dyDescent="0.15">
      <c r="A917519" t="s">
        <v>409</v>
      </c>
    </row>
    <row r="917520" spans="1:1" x14ac:dyDescent="0.15">
      <c r="A917520" t="s">
        <v>410</v>
      </c>
    </row>
    <row r="917521" spans="1:1" x14ac:dyDescent="0.15">
      <c r="A917521" t="s">
        <v>424</v>
      </c>
    </row>
    <row r="917522" spans="1:1" x14ac:dyDescent="0.15">
      <c r="A917522" t="s">
        <v>425</v>
      </c>
    </row>
    <row r="917523" spans="1:1" x14ac:dyDescent="0.15">
      <c r="A917523" t="s">
        <v>1397</v>
      </c>
    </row>
    <row r="917524" spans="1:1" x14ac:dyDescent="0.15">
      <c r="A917524" t="s">
        <v>1398</v>
      </c>
    </row>
    <row r="917525" spans="1:1" x14ac:dyDescent="0.15">
      <c r="A917525" t="s">
        <v>411</v>
      </c>
    </row>
    <row r="917526" spans="1:1" x14ac:dyDescent="0.15">
      <c r="A917526" t="s">
        <v>412</v>
      </c>
    </row>
    <row r="917527" spans="1:1" x14ac:dyDescent="0.15">
      <c r="A917527" t="s">
        <v>413</v>
      </c>
    </row>
    <row r="917528" spans="1:1" x14ac:dyDescent="0.15">
      <c r="A917528" t="s">
        <v>414</v>
      </c>
    </row>
    <row r="917529" spans="1:1" x14ac:dyDescent="0.15">
      <c r="A917529" t="s">
        <v>415</v>
      </c>
    </row>
    <row r="917530" spans="1:1" x14ac:dyDescent="0.15">
      <c r="A917530" t="s">
        <v>421</v>
      </c>
    </row>
    <row r="917531" spans="1:1" ht="15.75" x14ac:dyDescent="0.15">
      <c r="A917531" t="s">
        <v>1399</v>
      </c>
    </row>
    <row r="917532" spans="1:1" x14ac:dyDescent="0.15">
      <c r="A917532" t="s">
        <v>416</v>
      </c>
    </row>
    <row r="917533" spans="1:1" x14ac:dyDescent="0.15">
      <c r="A917533" t="s">
        <v>417</v>
      </c>
    </row>
    <row r="917534" spans="1:1" x14ac:dyDescent="0.15">
      <c r="A917534" t="s">
        <v>418</v>
      </c>
    </row>
    <row r="917535" spans="1:1" x14ac:dyDescent="0.15">
      <c r="A917535" t="s">
        <v>419</v>
      </c>
    </row>
    <row r="917536" spans="1:1" x14ac:dyDescent="0.15">
      <c r="A917536" t="s">
        <v>420</v>
      </c>
    </row>
    <row r="917537" spans="1:1" x14ac:dyDescent="0.15">
      <c r="A917537" t="s">
        <v>822</v>
      </c>
    </row>
    <row r="917538" spans="1:1" x14ac:dyDescent="0.15">
      <c r="A917538" t="s">
        <v>1387</v>
      </c>
    </row>
    <row r="917539" spans="1:1" x14ac:dyDescent="0.15">
      <c r="A917539" t="s">
        <v>1388</v>
      </c>
    </row>
    <row r="917540" spans="1:1" x14ac:dyDescent="0.15">
      <c r="A917540" t="s">
        <v>820</v>
      </c>
    </row>
    <row r="917541" spans="1:1" x14ac:dyDescent="0.15">
      <c r="A917541" t="s">
        <v>821</v>
      </c>
    </row>
    <row r="933890" spans="1:1" x14ac:dyDescent="0.15">
      <c r="A933890" t="s">
        <v>958</v>
      </c>
    </row>
    <row r="933891" spans="1:1" x14ac:dyDescent="0.15">
      <c r="A933891" t="s">
        <v>405</v>
      </c>
    </row>
    <row r="933892" spans="1:1" x14ac:dyDescent="0.15">
      <c r="A933892" t="s">
        <v>406</v>
      </c>
    </row>
    <row r="933893" spans="1:1" x14ac:dyDescent="0.15">
      <c r="A933893" t="s">
        <v>422</v>
      </c>
    </row>
    <row r="933894" spans="1:1" x14ac:dyDescent="0.15">
      <c r="A933894" t="s">
        <v>1394</v>
      </c>
    </row>
    <row r="933895" spans="1:1" x14ac:dyDescent="0.15">
      <c r="A933895" t="s">
        <v>1391</v>
      </c>
    </row>
    <row r="933896" spans="1:1" x14ac:dyDescent="0.15">
      <c r="A933896" t="s">
        <v>1392</v>
      </c>
    </row>
    <row r="933897" spans="1:1" x14ac:dyDescent="0.15">
      <c r="A933897" t="s">
        <v>407</v>
      </c>
    </row>
    <row r="933898" spans="1:1" x14ac:dyDescent="0.15">
      <c r="A933898" t="s">
        <v>408</v>
      </c>
    </row>
    <row r="933899" spans="1:1" x14ac:dyDescent="0.15">
      <c r="A933899" t="s">
        <v>423</v>
      </c>
    </row>
    <row r="933900" spans="1:1" x14ac:dyDescent="0.15">
      <c r="A933900" t="s">
        <v>1395</v>
      </c>
    </row>
    <row r="933901" spans="1:1" x14ac:dyDescent="0.15">
      <c r="A933901" t="s">
        <v>1393</v>
      </c>
    </row>
    <row r="933902" spans="1:1" x14ac:dyDescent="0.15">
      <c r="A933902" t="s">
        <v>1396</v>
      </c>
    </row>
    <row r="933903" spans="1:1" x14ac:dyDescent="0.15">
      <c r="A933903" t="s">
        <v>409</v>
      </c>
    </row>
    <row r="933904" spans="1:1" x14ac:dyDescent="0.15">
      <c r="A933904" t="s">
        <v>410</v>
      </c>
    </row>
    <row r="933905" spans="1:1" x14ac:dyDescent="0.15">
      <c r="A933905" t="s">
        <v>424</v>
      </c>
    </row>
    <row r="933906" spans="1:1" x14ac:dyDescent="0.15">
      <c r="A933906" t="s">
        <v>425</v>
      </c>
    </row>
    <row r="933907" spans="1:1" x14ac:dyDescent="0.15">
      <c r="A933907" t="s">
        <v>1397</v>
      </c>
    </row>
    <row r="933908" spans="1:1" x14ac:dyDescent="0.15">
      <c r="A933908" t="s">
        <v>1398</v>
      </c>
    </row>
    <row r="933909" spans="1:1" x14ac:dyDescent="0.15">
      <c r="A933909" t="s">
        <v>411</v>
      </c>
    </row>
    <row r="933910" spans="1:1" x14ac:dyDescent="0.15">
      <c r="A933910" t="s">
        <v>412</v>
      </c>
    </row>
    <row r="933911" spans="1:1" x14ac:dyDescent="0.15">
      <c r="A933911" t="s">
        <v>413</v>
      </c>
    </row>
    <row r="933912" spans="1:1" x14ac:dyDescent="0.15">
      <c r="A933912" t="s">
        <v>414</v>
      </c>
    </row>
    <row r="933913" spans="1:1" x14ac:dyDescent="0.15">
      <c r="A933913" t="s">
        <v>415</v>
      </c>
    </row>
    <row r="933914" spans="1:1" x14ac:dyDescent="0.15">
      <c r="A933914" t="s">
        <v>421</v>
      </c>
    </row>
    <row r="933915" spans="1:1" ht="15.75" x14ac:dyDescent="0.15">
      <c r="A933915" t="s">
        <v>1399</v>
      </c>
    </row>
    <row r="933916" spans="1:1" x14ac:dyDescent="0.15">
      <c r="A933916" t="s">
        <v>416</v>
      </c>
    </row>
    <row r="933917" spans="1:1" x14ac:dyDescent="0.15">
      <c r="A933917" t="s">
        <v>417</v>
      </c>
    </row>
    <row r="933918" spans="1:1" x14ac:dyDescent="0.15">
      <c r="A933918" t="s">
        <v>418</v>
      </c>
    </row>
    <row r="933919" spans="1:1" x14ac:dyDescent="0.15">
      <c r="A933919" t="s">
        <v>419</v>
      </c>
    </row>
    <row r="933920" spans="1:1" x14ac:dyDescent="0.15">
      <c r="A933920" t="s">
        <v>420</v>
      </c>
    </row>
    <row r="933921" spans="1:1" x14ac:dyDescent="0.15">
      <c r="A933921" t="s">
        <v>822</v>
      </c>
    </row>
    <row r="933922" spans="1:1" x14ac:dyDescent="0.15">
      <c r="A933922" t="s">
        <v>1387</v>
      </c>
    </row>
    <row r="933923" spans="1:1" x14ac:dyDescent="0.15">
      <c r="A933923" t="s">
        <v>1388</v>
      </c>
    </row>
    <row r="933924" spans="1:1" x14ac:dyDescent="0.15">
      <c r="A933924" t="s">
        <v>820</v>
      </c>
    </row>
    <row r="933925" spans="1:1" x14ac:dyDescent="0.15">
      <c r="A933925" t="s">
        <v>821</v>
      </c>
    </row>
    <row r="950274" spans="1:1" x14ac:dyDescent="0.15">
      <c r="A950274" t="s">
        <v>958</v>
      </c>
    </row>
    <row r="950275" spans="1:1" x14ac:dyDescent="0.15">
      <c r="A950275" t="s">
        <v>405</v>
      </c>
    </row>
    <row r="950276" spans="1:1" x14ac:dyDescent="0.15">
      <c r="A950276" t="s">
        <v>406</v>
      </c>
    </row>
    <row r="950277" spans="1:1" x14ac:dyDescent="0.15">
      <c r="A950277" t="s">
        <v>422</v>
      </c>
    </row>
    <row r="950278" spans="1:1" x14ac:dyDescent="0.15">
      <c r="A950278" t="s">
        <v>1394</v>
      </c>
    </row>
    <row r="950279" spans="1:1" x14ac:dyDescent="0.15">
      <c r="A950279" t="s">
        <v>1391</v>
      </c>
    </row>
    <row r="950280" spans="1:1" x14ac:dyDescent="0.15">
      <c r="A950280" t="s">
        <v>1392</v>
      </c>
    </row>
    <row r="950281" spans="1:1" x14ac:dyDescent="0.15">
      <c r="A950281" t="s">
        <v>407</v>
      </c>
    </row>
    <row r="950282" spans="1:1" x14ac:dyDescent="0.15">
      <c r="A950282" t="s">
        <v>408</v>
      </c>
    </row>
    <row r="950283" spans="1:1" x14ac:dyDescent="0.15">
      <c r="A950283" t="s">
        <v>423</v>
      </c>
    </row>
    <row r="950284" spans="1:1" x14ac:dyDescent="0.15">
      <c r="A950284" t="s">
        <v>1395</v>
      </c>
    </row>
    <row r="950285" spans="1:1" x14ac:dyDescent="0.15">
      <c r="A950285" t="s">
        <v>1393</v>
      </c>
    </row>
    <row r="950286" spans="1:1" x14ac:dyDescent="0.15">
      <c r="A950286" t="s">
        <v>1396</v>
      </c>
    </row>
    <row r="950287" spans="1:1" x14ac:dyDescent="0.15">
      <c r="A950287" t="s">
        <v>409</v>
      </c>
    </row>
    <row r="950288" spans="1:1" x14ac:dyDescent="0.15">
      <c r="A950288" t="s">
        <v>410</v>
      </c>
    </row>
    <row r="950289" spans="1:1" x14ac:dyDescent="0.15">
      <c r="A950289" t="s">
        <v>424</v>
      </c>
    </row>
    <row r="950290" spans="1:1" x14ac:dyDescent="0.15">
      <c r="A950290" t="s">
        <v>425</v>
      </c>
    </row>
    <row r="950291" spans="1:1" x14ac:dyDescent="0.15">
      <c r="A950291" t="s">
        <v>1397</v>
      </c>
    </row>
    <row r="950292" spans="1:1" x14ac:dyDescent="0.15">
      <c r="A950292" t="s">
        <v>1398</v>
      </c>
    </row>
    <row r="950293" spans="1:1" x14ac:dyDescent="0.15">
      <c r="A950293" t="s">
        <v>411</v>
      </c>
    </row>
    <row r="950294" spans="1:1" x14ac:dyDescent="0.15">
      <c r="A950294" t="s">
        <v>412</v>
      </c>
    </row>
    <row r="950295" spans="1:1" x14ac:dyDescent="0.15">
      <c r="A950295" t="s">
        <v>413</v>
      </c>
    </row>
    <row r="950296" spans="1:1" x14ac:dyDescent="0.15">
      <c r="A950296" t="s">
        <v>414</v>
      </c>
    </row>
    <row r="950297" spans="1:1" x14ac:dyDescent="0.15">
      <c r="A950297" t="s">
        <v>415</v>
      </c>
    </row>
    <row r="950298" spans="1:1" x14ac:dyDescent="0.15">
      <c r="A950298" t="s">
        <v>421</v>
      </c>
    </row>
    <row r="950299" spans="1:1" ht="15.75" x14ac:dyDescent="0.15">
      <c r="A950299" t="s">
        <v>1399</v>
      </c>
    </row>
    <row r="950300" spans="1:1" x14ac:dyDescent="0.15">
      <c r="A950300" t="s">
        <v>416</v>
      </c>
    </row>
    <row r="950301" spans="1:1" x14ac:dyDescent="0.15">
      <c r="A950301" t="s">
        <v>417</v>
      </c>
    </row>
    <row r="950302" spans="1:1" x14ac:dyDescent="0.15">
      <c r="A950302" t="s">
        <v>418</v>
      </c>
    </row>
    <row r="950303" spans="1:1" x14ac:dyDescent="0.15">
      <c r="A950303" t="s">
        <v>419</v>
      </c>
    </row>
    <row r="950304" spans="1:1" x14ac:dyDescent="0.15">
      <c r="A950304" t="s">
        <v>420</v>
      </c>
    </row>
    <row r="950305" spans="1:1" x14ac:dyDescent="0.15">
      <c r="A950305" t="s">
        <v>822</v>
      </c>
    </row>
    <row r="950306" spans="1:1" x14ac:dyDescent="0.15">
      <c r="A950306" t="s">
        <v>1387</v>
      </c>
    </row>
    <row r="950307" spans="1:1" x14ac:dyDescent="0.15">
      <c r="A950307" t="s">
        <v>1388</v>
      </c>
    </row>
    <row r="950308" spans="1:1" x14ac:dyDescent="0.15">
      <c r="A950308" t="s">
        <v>820</v>
      </c>
    </row>
    <row r="950309" spans="1:1" x14ac:dyDescent="0.15">
      <c r="A950309" t="s">
        <v>821</v>
      </c>
    </row>
    <row r="966658" spans="1:1" x14ac:dyDescent="0.15">
      <c r="A966658" t="s">
        <v>958</v>
      </c>
    </row>
    <row r="966659" spans="1:1" x14ac:dyDescent="0.15">
      <c r="A966659" t="s">
        <v>405</v>
      </c>
    </row>
    <row r="966660" spans="1:1" x14ac:dyDescent="0.15">
      <c r="A966660" t="s">
        <v>406</v>
      </c>
    </row>
    <row r="966661" spans="1:1" x14ac:dyDescent="0.15">
      <c r="A966661" t="s">
        <v>422</v>
      </c>
    </row>
    <row r="966662" spans="1:1" x14ac:dyDescent="0.15">
      <c r="A966662" t="s">
        <v>1394</v>
      </c>
    </row>
    <row r="966663" spans="1:1" x14ac:dyDescent="0.15">
      <c r="A966663" t="s">
        <v>1391</v>
      </c>
    </row>
    <row r="966664" spans="1:1" x14ac:dyDescent="0.15">
      <c r="A966664" t="s">
        <v>1392</v>
      </c>
    </row>
    <row r="966665" spans="1:1" x14ac:dyDescent="0.15">
      <c r="A966665" t="s">
        <v>407</v>
      </c>
    </row>
    <row r="966666" spans="1:1" x14ac:dyDescent="0.15">
      <c r="A966666" t="s">
        <v>408</v>
      </c>
    </row>
    <row r="966667" spans="1:1" x14ac:dyDescent="0.15">
      <c r="A966667" t="s">
        <v>423</v>
      </c>
    </row>
    <row r="966668" spans="1:1" x14ac:dyDescent="0.15">
      <c r="A966668" t="s">
        <v>1395</v>
      </c>
    </row>
    <row r="966669" spans="1:1" x14ac:dyDescent="0.15">
      <c r="A966669" t="s">
        <v>1393</v>
      </c>
    </row>
    <row r="966670" spans="1:1" x14ac:dyDescent="0.15">
      <c r="A966670" t="s">
        <v>1396</v>
      </c>
    </row>
    <row r="966671" spans="1:1" x14ac:dyDescent="0.15">
      <c r="A966671" t="s">
        <v>409</v>
      </c>
    </row>
    <row r="966672" spans="1:1" x14ac:dyDescent="0.15">
      <c r="A966672" t="s">
        <v>410</v>
      </c>
    </row>
    <row r="966673" spans="1:1" x14ac:dyDescent="0.15">
      <c r="A966673" t="s">
        <v>424</v>
      </c>
    </row>
    <row r="966674" spans="1:1" x14ac:dyDescent="0.15">
      <c r="A966674" t="s">
        <v>425</v>
      </c>
    </row>
    <row r="966675" spans="1:1" x14ac:dyDescent="0.15">
      <c r="A966675" t="s">
        <v>1397</v>
      </c>
    </row>
    <row r="966676" spans="1:1" x14ac:dyDescent="0.15">
      <c r="A966676" t="s">
        <v>1398</v>
      </c>
    </row>
    <row r="966677" spans="1:1" x14ac:dyDescent="0.15">
      <c r="A966677" t="s">
        <v>411</v>
      </c>
    </row>
    <row r="966678" spans="1:1" x14ac:dyDescent="0.15">
      <c r="A966678" t="s">
        <v>412</v>
      </c>
    </row>
    <row r="966679" spans="1:1" x14ac:dyDescent="0.15">
      <c r="A966679" t="s">
        <v>413</v>
      </c>
    </row>
    <row r="966680" spans="1:1" x14ac:dyDescent="0.15">
      <c r="A966680" t="s">
        <v>414</v>
      </c>
    </row>
    <row r="966681" spans="1:1" x14ac:dyDescent="0.15">
      <c r="A966681" t="s">
        <v>415</v>
      </c>
    </row>
    <row r="966682" spans="1:1" x14ac:dyDescent="0.15">
      <c r="A966682" t="s">
        <v>421</v>
      </c>
    </row>
    <row r="966683" spans="1:1" ht="15.75" x14ac:dyDescent="0.15">
      <c r="A966683" t="s">
        <v>1399</v>
      </c>
    </row>
    <row r="966684" spans="1:1" x14ac:dyDescent="0.15">
      <c r="A966684" t="s">
        <v>416</v>
      </c>
    </row>
    <row r="966685" spans="1:1" x14ac:dyDescent="0.15">
      <c r="A966685" t="s">
        <v>417</v>
      </c>
    </row>
    <row r="966686" spans="1:1" x14ac:dyDescent="0.15">
      <c r="A966686" t="s">
        <v>418</v>
      </c>
    </row>
    <row r="966687" spans="1:1" x14ac:dyDescent="0.15">
      <c r="A966687" t="s">
        <v>419</v>
      </c>
    </row>
    <row r="966688" spans="1:1" x14ac:dyDescent="0.15">
      <c r="A966688" t="s">
        <v>420</v>
      </c>
    </row>
    <row r="966689" spans="1:1" x14ac:dyDescent="0.15">
      <c r="A966689" t="s">
        <v>822</v>
      </c>
    </row>
    <row r="966690" spans="1:1" x14ac:dyDescent="0.15">
      <c r="A966690" t="s">
        <v>1387</v>
      </c>
    </row>
    <row r="966691" spans="1:1" x14ac:dyDescent="0.15">
      <c r="A966691" t="s">
        <v>1388</v>
      </c>
    </row>
    <row r="966692" spans="1:1" x14ac:dyDescent="0.15">
      <c r="A966692" t="s">
        <v>820</v>
      </c>
    </row>
    <row r="966693" spans="1:1" x14ac:dyDescent="0.15">
      <c r="A966693" t="s">
        <v>821</v>
      </c>
    </row>
    <row r="983042" spans="1:1" x14ac:dyDescent="0.15">
      <c r="A983042" t="s">
        <v>958</v>
      </c>
    </row>
    <row r="983043" spans="1:1" x14ac:dyDescent="0.15">
      <c r="A983043" t="s">
        <v>405</v>
      </c>
    </row>
    <row r="983044" spans="1:1" x14ac:dyDescent="0.15">
      <c r="A983044" t="s">
        <v>406</v>
      </c>
    </row>
    <row r="983045" spans="1:1" x14ac:dyDescent="0.15">
      <c r="A983045" t="s">
        <v>422</v>
      </c>
    </row>
    <row r="983046" spans="1:1" x14ac:dyDescent="0.15">
      <c r="A983046" t="s">
        <v>1394</v>
      </c>
    </row>
    <row r="983047" spans="1:1" x14ac:dyDescent="0.15">
      <c r="A983047" t="s">
        <v>1391</v>
      </c>
    </row>
    <row r="983048" spans="1:1" x14ac:dyDescent="0.15">
      <c r="A983048" t="s">
        <v>1392</v>
      </c>
    </row>
    <row r="983049" spans="1:1" x14ac:dyDescent="0.15">
      <c r="A983049" t="s">
        <v>407</v>
      </c>
    </row>
    <row r="983050" spans="1:1" x14ac:dyDescent="0.15">
      <c r="A983050" t="s">
        <v>408</v>
      </c>
    </row>
    <row r="983051" spans="1:1" x14ac:dyDescent="0.15">
      <c r="A983051" t="s">
        <v>423</v>
      </c>
    </row>
    <row r="983052" spans="1:1" x14ac:dyDescent="0.15">
      <c r="A983052" t="s">
        <v>1395</v>
      </c>
    </row>
    <row r="983053" spans="1:1" x14ac:dyDescent="0.15">
      <c r="A983053" t="s">
        <v>1393</v>
      </c>
    </row>
    <row r="983054" spans="1:1" x14ac:dyDescent="0.15">
      <c r="A983054" t="s">
        <v>1396</v>
      </c>
    </row>
    <row r="983055" spans="1:1" x14ac:dyDescent="0.15">
      <c r="A983055" t="s">
        <v>409</v>
      </c>
    </row>
    <row r="983056" spans="1:1" x14ac:dyDescent="0.15">
      <c r="A983056" t="s">
        <v>410</v>
      </c>
    </row>
    <row r="983057" spans="1:1" x14ac:dyDescent="0.15">
      <c r="A983057" t="s">
        <v>424</v>
      </c>
    </row>
    <row r="983058" spans="1:1" x14ac:dyDescent="0.15">
      <c r="A983058" t="s">
        <v>425</v>
      </c>
    </row>
    <row r="983059" spans="1:1" x14ac:dyDescent="0.15">
      <c r="A983059" t="s">
        <v>1397</v>
      </c>
    </row>
    <row r="983060" spans="1:1" x14ac:dyDescent="0.15">
      <c r="A983060" t="s">
        <v>1398</v>
      </c>
    </row>
    <row r="983061" spans="1:1" x14ac:dyDescent="0.15">
      <c r="A983061" t="s">
        <v>411</v>
      </c>
    </row>
    <row r="983062" spans="1:1" x14ac:dyDescent="0.15">
      <c r="A983062" t="s">
        <v>412</v>
      </c>
    </row>
    <row r="983063" spans="1:1" x14ac:dyDescent="0.15">
      <c r="A983063" t="s">
        <v>413</v>
      </c>
    </row>
    <row r="983064" spans="1:1" x14ac:dyDescent="0.15">
      <c r="A983064" t="s">
        <v>414</v>
      </c>
    </row>
    <row r="983065" spans="1:1" x14ac:dyDescent="0.15">
      <c r="A983065" t="s">
        <v>415</v>
      </c>
    </row>
    <row r="983066" spans="1:1" x14ac:dyDescent="0.15">
      <c r="A983066" t="s">
        <v>421</v>
      </c>
    </row>
    <row r="983067" spans="1:1" ht="15.75" x14ac:dyDescent="0.15">
      <c r="A983067" t="s">
        <v>1399</v>
      </c>
    </row>
    <row r="983068" spans="1:1" x14ac:dyDescent="0.15">
      <c r="A983068" t="s">
        <v>416</v>
      </c>
    </row>
    <row r="983069" spans="1:1" x14ac:dyDescent="0.15">
      <c r="A983069" t="s">
        <v>417</v>
      </c>
    </row>
    <row r="983070" spans="1:1" x14ac:dyDescent="0.15">
      <c r="A983070" t="s">
        <v>418</v>
      </c>
    </row>
    <row r="983071" spans="1:1" x14ac:dyDescent="0.15">
      <c r="A983071" t="s">
        <v>419</v>
      </c>
    </row>
    <row r="983072" spans="1:1" x14ac:dyDescent="0.15">
      <c r="A983072" t="s">
        <v>420</v>
      </c>
    </row>
    <row r="983073" spans="1:1" x14ac:dyDescent="0.15">
      <c r="A983073" t="s">
        <v>822</v>
      </c>
    </row>
    <row r="983074" spans="1:1" x14ac:dyDescent="0.15">
      <c r="A983074" t="s">
        <v>1387</v>
      </c>
    </row>
    <row r="983075" spans="1:1" x14ac:dyDescent="0.15">
      <c r="A983075" t="s">
        <v>1388</v>
      </c>
    </row>
    <row r="983076" spans="1:1" x14ac:dyDescent="0.15">
      <c r="A983076" t="s">
        <v>820</v>
      </c>
    </row>
    <row r="983077" spans="1:1" x14ac:dyDescent="0.15">
      <c r="A983077" t="s">
        <v>821</v>
      </c>
    </row>
    <row r="999426" spans="1:1" x14ac:dyDescent="0.15">
      <c r="A999426" t="s">
        <v>958</v>
      </c>
    </row>
    <row r="999427" spans="1:1" x14ac:dyDescent="0.15">
      <c r="A999427" t="s">
        <v>405</v>
      </c>
    </row>
    <row r="999428" spans="1:1" x14ac:dyDescent="0.15">
      <c r="A999428" t="s">
        <v>406</v>
      </c>
    </row>
    <row r="999429" spans="1:1" x14ac:dyDescent="0.15">
      <c r="A999429" t="s">
        <v>422</v>
      </c>
    </row>
    <row r="999430" spans="1:1" x14ac:dyDescent="0.15">
      <c r="A999430" t="s">
        <v>1394</v>
      </c>
    </row>
    <row r="999431" spans="1:1" x14ac:dyDescent="0.15">
      <c r="A999431" t="s">
        <v>1391</v>
      </c>
    </row>
    <row r="999432" spans="1:1" x14ac:dyDescent="0.15">
      <c r="A999432" t="s">
        <v>1392</v>
      </c>
    </row>
    <row r="999433" spans="1:1" x14ac:dyDescent="0.15">
      <c r="A999433" t="s">
        <v>407</v>
      </c>
    </row>
    <row r="999434" spans="1:1" x14ac:dyDescent="0.15">
      <c r="A999434" t="s">
        <v>408</v>
      </c>
    </row>
    <row r="999435" spans="1:1" x14ac:dyDescent="0.15">
      <c r="A999435" t="s">
        <v>423</v>
      </c>
    </row>
    <row r="999436" spans="1:1" x14ac:dyDescent="0.15">
      <c r="A999436" t="s">
        <v>1395</v>
      </c>
    </row>
    <row r="999437" spans="1:1" x14ac:dyDescent="0.15">
      <c r="A999437" t="s">
        <v>1393</v>
      </c>
    </row>
    <row r="999438" spans="1:1" x14ac:dyDescent="0.15">
      <c r="A999438" t="s">
        <v>1396</v>
      </c>
    </row>
    <row r="999439" spans="1:1" x14ac:dyDescent="0.15">
      <c r="A999439" t="s">
        <v>409</v>
      </c>
    </row>
    <row r="999440" spans="1:1" x14ac:dyDescent="0.15">
      <c r="A999440" t="s">
        <v>410</v>
      </c>
    </row>
    <row r="999441" spans="1:1" x14ac:dyDescent="0.15">
      <c r="A999441" t="s">
        <v>424</v>
      </c>
    </row>
    <row r="999442" spans="1:1" x14ac:dyDescent="0.15">
      <c r="A999442" t="s">
        <v>425</v>
      </c>
    </row>
    <row r="999443" spans="1:1" x14ac:dyDescent="0.15">
      <c r="A999443" t="s">
        <v>1397</v>
      </c>
    </row>
    <row r="999444" spans="1:1" x14ac:dyDescent="0.15">
      <c r="A999444" t="s">
        <v>1398</v>
      </c>
    </row>
    <row r="999445" spans="1:1" x14ac:dyDescent="0.15">
      <c r="A999445" t="s">
        <v>411</v>
      </c>
    </row>
    <row r="999446" spans="1:1" x14ac:dyDescent="0.15">
      <c r="A999446" t="s">
        <v>412</v>
      </c>
    </row>
    <row r="999447" spans="1:1" x14ac:dyDescent="0.15">
      <c r="A999447" t="s">
        <v>413</v>
      </c>
    </row>
    <row r="999448" spans="1:1" x14ac:dyDescent="0.15">
      <c r="A999448" t="s">
        <v>414</v>
      </c>
    </row>
    <row r="999449" spans="1:1" x14ac:dyDescent="0.15">
      <c r="A999449" t="s">
        <v>415</v>
      </c>
    </row>
    <row r="999450" spans="1:1" x14ac:dyDescent="0.15">
      <c r="A999450" t="s">
        <v>421</v>
      </c>
    </row>
    <row r="999451" spans="1:1" ht="15.75" x14ac:dyDescent="0.15">
      <c r="A999451" t="s">
        <v>1399</v>
      </c>
    </row>
    <row r="999452" spans="1:1" x14ac:dyDescent="0.15">
      <c r="A999452" t="s">
        <v>416</v>
      </c>
    </row>
    <row r="999453" spans="1:1" x14ac:dyDescent="0.15">
      <c r="A999453" t="s">
        <v>417</v>
      </c>
    </row>
    <row r="999454" spans="1:1" x14ac:dyDescent="0.15">
      <c r="A999454" t="s">
        <v>418</v>
      </c>
    </row>
    <row r="999455" spans="1:1" x14ac:dyDescent="0.15">
      <c r="A999455" t="s">
        <v>419</v>
      </c>
    </row>
    <row r="999456" spans="1:1" x14ac:dyDescent="0.15">
      <c r="A999456" t="s">
        <v>420</v>
      </c>
    </row>
    <row r="999457" spans="1:1" x14ac:dyDescent="0.15">
      <c r="A999457" t="s">
        <v>822</v>
      </c>
    </row>
    <row r="999458" spans="1:1" x14ac:dyDescent="0.15">
      <c r="A999458" t="s">
        <v>1387</v>
      </c>
    </row>
    <row r="999459" spans="1:1" x14ac:dyDescent="0.15">
      <c r="A999459" t="s">
        <v>1388</v>
      </c>
    </row>
    <row r="999460" spans="1:1" x14ac:dyDescent="0.15">
      <c r="A999460" t="s">
        <v>820</v>
      </c>
    </row>
    <row r="999461" spans="1:1" x14ac:dyDescent="0.15">
      <c r="A999461" t="s">
        <v>821</v>
      </c>
    </row>
    <row r="1015810" spans="1:1" x14ac:dyDescent="0.15">
      <c r="A1015810" t="s">
        <v>958</v>
      </c>
    </row>
    <row r="1015811" spans="1:1" x14ac:dyDescent="0.15">
      <c r="A1015811" t="s">
        <v>405</v>
      </c>
    </row>
    <row r="1015812" spans="1:1" x14ac:dyDescent="0.15">
      <c r="A1015812" t="s">
        <v>406</v>
      </c>
    </row>
    <row r="1015813" spans="1:1" x14ac:dyDescent="0.15">
      <c r="A1015813" t="s">
        <v>422</v>
      </c>
    </row>
    <row r="1015814" spans="1:1" x14ac:dyDescent="0.15">
      <c r="A1015814" t="s">
        <v>1394</v>
      </c>
    </row>
    <row r="1015815" spans="1:1" x14ac:dyDescent="0.15">
      <c r="A1015815" t="s">
        <v>1391</v>
      </c>
    </row>
    <row r="1015816" spans="1:1" x14ac:dyDescent="0.15">
      <c r="A1015816" t="s">
        <v>1392</v>
      </c>
    </row>
    <row r="1015817" spans="1:1" x14ac:dyDescent="0.15">
      <c r="A1015817" t="s">
        <v>407</v>
      </c>
    </row>
    <row r="1015818" spans="1:1" x14ac:dyDescent="0.15">
      <c r="A1015818" t="s">
        <v>408</v>
      </c>
    </row>
    <row r="1015819" spans="1:1" x14ac:dyDescent="0.15">
      <c r="A1015819" t="s">
        <v>423</v>
      </c>
    </row>
    <row r="1015820" spans="1:1" x14ac:dyDescent="0.15">
      <c r="A1015820" t="s">
        <v>1395</v>
      </c>
    </row>
    <row r="1015821" spans="1:1" x14ac:dyDescent="0.15">
      <c r="A1015821" t="s">
        <v>1393</v>
      </c>
    </row>
    <row r="1015822" spans="1:1" x14ac:dyDescent="0.15">
      <c r="A1015822" t="s">
        <v>1396</v>
      </c>
    </row>
    <row r="1015823" spans="1:1" x14ac:dyDescent="0.15">
      <c r="A1015823" t="s">
        <v>409</v>
      </c>
    </row>
    <row r="1015824" spans="1:1" x14ac:dyDescent="0.15">
      <c r="A1015824" t="s">
        <v>410</v>
      </c>
    </row>
    <row r="1015825" spans="1:1" x14ac:dyDescent="0.15">
      <c r="A1015825" t="s">
        <v>424</v>
      </c>
    </row>
    <row r="1015826" spans="1:1" x14ac:dyDescent="0.15">
      <c r="A1015826" t="s">
        <v>425</v>
      </c>
    </row>
    <row r="1015827" spans="1:1" x14ac:dyDescent="0.15">
      <c r="A1015827" t="s">
        <v>1397</v>
      </c>
    </row>
    <row r="1015828" spans="1:1" x14ac:dyDescent="0.15">
      <c r="A1015828" t="s">
        <v>1398</v>
      </c>
    </row>
    <row r="1015829" spans="1:1" x14ac:dyDescent="0.15">
      <c r="A1015829" t="s">
        <v>411</v>
      </c>
    </row>
    <row r="1015830" spans="1:1" x14ac:dyDescent="0.15">
      <c r="A1015830" t="s">
        <v>412</v>
      </c>
    </row>
    <row r="1015831" spans="1:1" x14ac:dyDescent="0.15">
      <c r="A1015831" t="s">
        <v>413</v>
      </c>
    </row>
    <row r="1015832" spans="1:1" x14ac:dyDescent="0.15">
      <c r="A1015832" t="s">
        <v>414</v>
      </c>
    </row>
    <row r="1015833" spans="1:1" x14ac:dyDescent="0.15">
      <c r="A1015833" t="s">
        <v>415</v>
      </c>
    </row>
    <row r="1015834" spans="1:1" x14ac:dyDescent="0.15">
      <c r="A1015834" t="s">
        <v>421</v>
      </c>
    </row>
    <row r="1015835" spans="1:1" ht="15.75" x14ac:dyDescent="0.15">
      <c r="A1015835" t="s">
        <v>1399</v>
      </c>
    </row>
    <row r="1015836" spans="1:1" x14ac:dyDescent="0.15">
      <c r="A1015836" t="s">
        <v>416</v>
      </c>
    </row>
    <row r="1015837" spans="1:1" x14ac:dyDescent="0.15">
      <c r="A1015837" t="s">
        <v>417</v>
      </c>
    </row>
    <row r="1015838" spans="1:1" x14ac:dyDescent="0.15">
      <c r="A1015838" t="s">
        <v>418</v>
      </c>
    </row>
    <row r="1015839" spans="1:1" x14ac:dyDescent="0.15">
      <c r="A1015839" t="s">
        <v>419</v>
      </c>
    </row>
    <row r="1015840" spans="1:1" x14ac:dyDescent="0.15">
      <c r="A1015840" t="s">
        <v>420</v>
      </c>
    </row>
    <row r="1015841" spans="1:1" x14ac:dyDescent="0.15">
      <c r="A1015841" t="s">
        <v>822</v>
      </c>
    </row>
    <row r="1015842" spans="1:1" x14ac:dyDescent="0.15">
      <c r="A1015842" t="s">
        <v>1387</v>
      </c>
    </row>
    <row r="1015843" spans="1:1" x14ac:dyDescent="0.15">
      <c r="A1015843" t="s">
        <v>1388</v>
      </c>
    </row>
    <row r="1015844" spans="1:1" x14ac:dyDescent="0.15">
      <c r="A1015844" t="s">
        <v>820</v>
      </c>
    </row>
    <row r="1015845" spans="1:1" x14ac:dyDescent="0.15">
      <c r="A1015845" t="s">
        <v>821</v>
      </c>
    </row>
    <row r="1032194" spans="1:1" x14ac:dyDescent="0.15">
      <c r="A1032194" t="s">
        <v>958</v>
      </c>
    </row>
    <row r="1032195" spans="1:1" x14ac:dyDescent="0.15">
      <c r="A1032195" t="s">
        <v>405</v>
      </c>
    </row>
    <row r="1032196" spans="1:1" x14ac:dyDescent="0.15">
      <c r="A1032196" t="s">
        <v>406</v>
      </c>
    </row>
    <row r="1032197" spans="1:1" x14ac:dyDescent="0.15">
      <c r="A1032197" t="s">
        <v>422</v>
      </c>
    </row>
    <row r="1032198" spans="1:1" x14ac:dyDescent="0.15">
      <c r="A1032198" t="s">
        <v>1394</v>
      </c>
    </row>
    <row r="1032199" spans="1:1" x14ac:dyDescent="0.15">
      <c r="A1032199" t="s">
        <v>1391</v>
      </c>
    </row>
    <row r="1032200" spans="1:1" x14ac:dyDescent="0.15">
      <c r="A1032200" t="s">
        <v>1392</v>
      </c>
    </row>
    <row r="1032201" spans="1:1" x14ac:dyDescent="0.15">
      <c r="A1032201" t="s">
        <v>407</v>
      </c>
    </row>
    <row r="1032202" spans="1:1" x14ac:dyDescent="0.15">
      <c r="A1032202" t="s">
        <v>408</v>
      </c>
    </row>
    <row r="1032203" spans="1:1" x14ac:dyDescent="0.15">
      <c r="A1032203" t="s">
        <v>423</v>
      </c>
    </row>
    <row r="1032204" spans="1:1" x14ac:dyDescent="0.15">
      <c r="A1032204" t="s">
        <v>1395</v>
      </c>
    </row>
    <row r="1032205" spans="1:1" x14ac:dyDescent="0.15">
      <c r="A1032205" t="s">
        <v>1393</v>
      </c>
    </row>
    <row r="1032206" spans="1:1" x14ac:dyDescent="0.15">
      <c r="A1032206" t="s">
        <v>1396</v>
      </c>
    </row>
    <row r="1032207" spans="1:1" x14ac:dyDescent="0.15">
      <c r="A1032207" t="s">
        <v>409</v>
      </c>
    </row>
    <row r="1032208" spans="1:1" x14ac:dyDescent="0.15">
      <c r="A1032208" t="s">
        <v>410</v>
      </c>
    </row>
    <row r="1032209" spans="1:1" x14ac:dyDescent="0.15">
      <c r="A1032209" t="s">
        <v>424</v>
      </c>
    </row>
    <row r="1032210" spans="1:1" x14ac:dyDescent="0.15">
      <c r="A1032210" t="s">
        <v>425</v>
      </c>
    </row>
    <row r="1032211" spans="1:1" x14ac:dyDescent="0.15">
      <c r="A1032211" t="s">
        <v>1397</v>
      </c>
    </row>
    <row r="1032212" spans="1:1" x14ac:dyDescent="0.15">
      <c r="A1032212" t="s">
        <v>1398</v>
      </c>
    </row>
    <row r="1032213" spans="1:1" x14ac:dyDescent="0.15">
      <c r="A1032213" t="s">
        <v>411</v>
      </c>
    </row>
    <row r="1032214" spans="1:1" x14ac:dyDescent="0.15">
      <c r="A1032214" t="s">
        <v>412</v>
      </c>
    </row>
    <row r="1032215" spans="1:1" x14ac:dyDescent="0.15">
      <c r="A1032215" t="s">
        <v>413</v>
      </c>
    </row>
    <row r="1032216" spans="1:1" x14ac:dyDescent="0.15">
      <c r="A1032216" t="s">
        <v>414</v>
      </c>
    </row>
    <row r="1032217" spans="1:1" x14ac:dyDescent="0.15">
      <c r="A1032217" t="s">
        <v>415</v>
      </c>
    </row>
    <row r="1032218" spans="1:1" x14ac:dyDescent="0.15">
      <c r="A1032218" t="s">
        <v>421</v>
      </c>
    </row>
    <row r="1032219" spans="1:1" ht="15.75" x14ac:dyDescent="0.15">
      <c r="A1032219" t="s">
        <v>1399</v>
      </c>
    </row>
    <row r="1032220" spans="1:1" x14ac:dyDescent="0.15">
      <c r="A1032220" t="s">
        <v>416</v>
      </c>
    </row>
    <row r="1032221" spans="1:1" x14ac:dyDescent="0.15">
      <c r="A1032221" t="s">
        <v>417</v>
      </c>
    </row>
    <row r="1032222" spans="1:1" x14ac:dyDescent="0.15">
      <c r="A1032222" t="s">
        <v>418</v>
      </c>
    </row>
    <row r="1032223" spans="1:1" x14ac:dyDescent="0.15">
      <c r="A1032223" t="s">
        <v>419</v>
      </c>
    </row>
    <row r="1032224" spans="1:1" x14ac:dyDescent="0.15">
      <c r="A1032224" t="s">
        <v>420</v>
      </c>
    </row>
    <row r="1032225" spans="1:1" x14ac:dyDescent="0.15">
      <c r="A1032225" t="s">
        <v>822</v>
      </c>
    </row>
    <row r="1032226" spans="1:1" x14ac:dyDescent="0.15">
      <c r="A1032226" t="s">
        <v>1387</v>
      </c>
    </row>
    <row r="1032227" spans="1:1" x14ac:dyDescent="0.15">
      <c r="A1032227" t="s">
        <v>1388</v>
      </c>
    </row>
    <row r="1032228" spans="1:1" x14ac:dyDescent="0.15">
      <c r="A1032228" t="s">
        <v>820</v>
      </c>
    </row>
    <row r="1032229" spans="1:1" x14ac:dyDescent="0.15">
      <c r="A1032229" t="s">
        <v>821</v>
      </c>
    </row>
  </sheetData>
  <phoneticPr fontId="7"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
  <sheetViews>
    <sheetView workbookViewId="0"/>
  </sheetViews>
  <sheetFormatPr defaultRowHeight="13.5" x14ac:dyDescent="0.15"/>
  <cols>
    <col min="1" max="1" width="14.125" bestFit="1" customWidth="1"/>
  </cols>
  <sheetData>
    <row r="1" spans="1:1" x14ac:dyDescent="0.15">
      <c r="A1" t="s">
        <v>1461</v>
      </c>
    </row>
  </sheetData>
  <phoneticPr fontId="7" type="noConversion"/>
  <pageMargins left="0.7" right="0.7" top="0.75" bottom="0.75" header="0.3" footer="0.3"/>
  <pageSetup orientation="portrait" r:id="rId1"/>
</worksheet>
</file>

<file path=docMetadata/LabelInfo.xml><?xml version="1.0" encoding="utf-8"?>
<clbl:labelList xmlns:clbl="http://schemas.microsoft.com/office/2020/mipLabelMetadata">
  <clbl:label id="{417c030e-3084-44b4-9da9-df8ba1254a7e}" enabled="1" method="Standard" siteId="{d441ad83-6235-46d6-ab1a-89744a91b1d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data</vt:lpstr>
      <vt:lpstr>箱型尺寸</vt:lpstr>
      <vt:lpstr>包装代码</vt:lpstr>
      <vt:lpstr>付款方式</vt:lpstr>
      <vt:lpstr>地区编码</vt:lpstr>
      <vt:lpstr>运输条款</vt:lpstr>
      <vt:lpstr>港口代码</vt:lpstr>
      <vt:lpstr>rule_mapping</vt:lpstr>
      <vt:lpstr>checking</vt:lpstr>
      <vt:lpstr>数据规范</vt:lpstr>
      <vt:lpstr>version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YANGRE</dc:creator>
  <cp:lastModifiedBy>lu@sudelan.cn</cp:lastModifiedBy>
  <dcterms:created xsi:type="dcterms:W3CDTF">2015-11-20T06:47:16Z</dcterms:created>
  <dcterms:modified xsi:type="dcterms:W3CDTF">2025-09-25T02:18:53Z</dcterms:modified>
</cp:coreProperties>
</file>