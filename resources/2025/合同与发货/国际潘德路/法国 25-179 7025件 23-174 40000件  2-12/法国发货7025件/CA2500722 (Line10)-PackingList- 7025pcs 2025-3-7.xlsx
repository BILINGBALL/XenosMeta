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u\Desktop\法国发货7025件\"/>
    </mc:Choice>
  </mc:AlternateContent>
  <xr:revisionPtr revIDLastSave="0" documentId="13_ncr:1_{CFA0DF6F-E3AA-4936-BF1F-4B2E50AC9B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K6" i="1"/>
  <c r="O4" i="1"/>
  <c r="M4" i="1"/>
  <c r="P4" i="1" s="1"/>
  <c r="Q3" i="1"/>
  <c r="Q6" i="1" s="1"/>
  <c r="O3" i="1"/>
  <c r="M3" i="1"/>
  <c r="P3" i="1" s="1"/>
  <c r="J3" i="1"/>
  <c r="F3" i="1" s="1"/>
  <c r="F6" i="1" s="1"/>
  <c r="H3" i="1"/>
  <c r="H6" i="1"/>
  <c r="O6" i="1" l="1"/>
  <c r="P6" i="1"/>
</calcChain>
</file>

<file path=xl/sharedStrings.xml><?xml version="1.0" encoding="utf-8"?>
<sst xmlns="http://schemas.openxmlformats.org/spreadsheetml/2006/main" count="31" uniqueCount="27">
  <si>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</si>
  <si>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No.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</si>
  <si>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</si>
  <si>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</si>
  <si>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</si>
  <si>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</si>
  <si>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</si>
  <si>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</si>
  <si>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</si>
  <si>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</si>
  <si>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</si>
  <si>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</si>
  <si>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</si>
  <si>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</si>
  <si>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</si>
  <si>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</si>
  <si>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</si>
  <si>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</si>
  <si>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</si>
  <si>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</si>
  <si>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</si>
  <si>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25*179</t>
    <phoneticPr fontId="12" type="noConversion"/>
  </si>
  <si>
    <t xml:space="preserve"> CA2500722</t>
    <phoneticPr fontId="12" type="noConversion"/>
  </si>
  <si>
    <t>1200*800*550
0.53</t>
    <phoneticPr fontId="12" type="noConversion"/>
  </si>
  <si>
    <t>The pieces are packed in a bag : 30(5) pieces per bag and 35(25) bags per case so1050(725)pieces per case</t>
    <phoneticPr fontId="12" type="noConversion"/>
  </si>
  <si>
    <t>1/7~6/7</t>
    <phoneticPr fontId="12" type="noConversion"/>
  </si>
  <si>
    <t>7/7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</si>
</sst>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4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8"/>
  <sheetViews>
    <sheetView tabSelected="1" workbookViewId="0">
      <selection activeCell="F8" sqref="F8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66.9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39.950000000000003" customHeight="1">
      <c r="A3" s="8">
        <v>1</v>
      </c>
      <c r="B3" s="5" t="s">
        <v>18</v>
      </c>
      <c r="C3" s="6" t="s">
        <v>21</v>
      </c>
      <c r="D3" s="6" t="s">
        <v>22</v>
      </c>
      <c r="E3" s="7" t="s">
        <v>25</v>
      </c>
      <c r="F3" s="8">
        <f>J3*K3</f>
        <v>6300</v>
      </c>
      <c r="G3" s="4">
        <v>30</v>
      </c>
      <c r="H3" s="4">
        <f>K3*I3</f>
        <v>210</v>
      </c>
      <c r="I3" s="4">
        <v>35</v>
      </c>
      <c r="J3" s="8">
        <f>G3*I3</f>
        <v>1050</v>
      </c>
      <c r="K3" s="8">
        <v>6</v>
      </c>
      <c r="L3" s="8">
        <v>735</v>
      </c>
      <c r="M3" s="8">
        <f>L3+42</f>
        <v>777</v>
      </c>
      <c r="N3" s="18" t="s">
        <v>23</v>
      </c>
      <c r="O3" s="16">
        <f>L3*K3</f>
        <v>4410</v>
      </c>
      <c r="P3" s="16">
        <f>M3*K3</f>
        <v>4662</v>
      </c>
      <c r="Q3" s="16">
        <f>0.53*K3</f>
        <v>3.18</v>
      </c>
    </row>
    <row r="4" spans="1:17" ht="39.950000000000003" customHeight="1">
      <c r="A4" s="19">
        <v>2</v>
      </c>
      <c r="B4" s="26" t="s">
        <v>18</v>
      </c>
      <c r="C4" s="28" t="s">
        <v>21</v>
      </c>
      <c r="D4" s="28" t="s">
        <v>22</v>
      </c>
      <c r="E4" s="35" t="s">
        <v>26</v>
      </c>
      <c r="F4" s="8">
        <v>720</v>
      </c>
      <c r="G4" s="4">
        <v>30</v>
      </c>
      <c r="H4" s="4">
        <v>24</v>
      </c>
      <c r="I4" s="19">
        <v>25</v>
      </c>
      <c r="J4" s="19">
        <v>725</v>
      </c>
      <c r="K4" s="19">
        <v>1</v>
      </c>
      <c r="L4" s="19">
        <v>508</v>
      </c>
      <c r="M4" s="19">
        <f>L4+42</f>
        <v>550</v>
      </c>
      <c r="N4" s="30" t="s">
        <v>23</v>
      </c>
      <c r="O4" s="32">
        <f>L4*K4</f>
        <v>508</v>
      </c>
      <c r="P4" s="32">
        <f>M4*K4</f>
        <v>550</v>
      </c>
      <c r="Q4" s="32">
        <f>0.53*K4</f>
        <v>0.53</v>
      </c>
    </row>
    <row r="5" spans="1:17" ht="35.1" customHeight="1">
      <c r="A5" s="20"/>
      <c r="B5" s="27"/>
      <c r="C5" s="29"/>
      <c r="D5" s="29"/>
      <c r="E5" s="34"/>
      <c r="F5" s="8">
        <v>5</v>
      </c>
      <c r="G5" s="4">
        <v>5</v>
      </c>
      <c r="H5" s="4">
        <v>1</v>
      </c>
      <c r="I5" s="20"/>
      <c r="J5" s="20"/>
      <c r="K5" s="20"/>
      <c r="L5" s="20"/>
      <c r="M5" s="20"/>
      <c r="N5" s="31"/>
      <c r="O5" s="33"/>
      <c r="P5" s="33"/>
      <c r="Q5" s="33"/>
    </row>
    <row r="6" spans="1:17" ht="35.25" customHeight="1">
      <c r="A6" s="23" t="s">
        <v>19</v>
      </c>
      <c r="B6" s="23"/>
      <c r="C6" s="23"/>
      <c r="D6" s="9"/>
      <c r="E6" s="4"/>
      <c r="F6" s="4">
        <f>SUM(F3:F5)</f>
        <v>7025</v>
      </c>
      <c r="G6" s="4"/>
      <c r="H6" s="4">
        <f>SUM(H3:H5)</f>
        <v>235</v>
      </c>
      <c r="I6" s="4"/>
      <c r="J6" s="4"/>
      <c r="K6" s="4">
        <f>SUM(K3:K4)</f>
        <v>7</v>
      </c>
      <c r="L6" s="4"/>
      <c r="M6" s="4"/>
      <c r="N6" s="17"/>
      <c r="O6" s="4">
        <f>SUM(O3:O4)</f>
        <v>4918</v>
      </c>
      <c r="P6" s="4">
        <f>SUM(P3:P4)</f>
        <v>5212</v>
      </c>
      <c r="Q6" s="4">
        <f>SUM(Q3:Q4)</f>
        <v>3.71</v>
      </c>
    </row>
    <row r="7" spans="1:17" ht="14.45" customHeight="1">
      <c r="A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ht="21" customHeight="1">
      <c r="A8" s="10"/>
      <c r="B8" s="11" t="s">
        <v>20</v>
      </c>
      <c r="C8" s="12" t="s">
        <v>24</v>
      </c>
      <c r="N8" s="10"/>
      <c r="O8" s="10"/>
      <c r="P8" s="10"/>
      <c r="Q8" s="10"/>
    </row>
    <row r="9" spans="1:17" ht="21" customHeight="1">
      <c r="A9" s="10"/>
      <c r="B9" s="13"/>
      <c r="C9" s="14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ht="18.75">
      <c r="A10" s="10"/>
      <c r="B10" s="10"/>
      <c r="C10" s="14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24">
        <v>45723</v>
      </c>
      <c r="O10" s="24"/>
      <c r="P10" s="24"/>
      <c r="Q10" s="24"/>
    </row>
    <row r="11" spans="1:17" ht="18.75">
      <c r="A11" s="10"/>
      <c r="B11" s="10"/>
      <c r="C11" s="14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25"/>
      <c r="O11" s="25"/>
      <c r="P11" s="25"/>
      <c r="Q11" s="25"/>
    </row>
    <row r="12" spans="1:17">
      <c r="A12" s="15"/>
      <c r="B12" s="15"/>
      <c r="C12" s="14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>
      <c r="A13" s="15"/>
      <c r="B13" s="15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>
      <c r="A14" s="15"/>
      <c r="B14" s="15"/>
      <c r="C14" s="14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</sheetData>
  <mergeCells count="18">
    <mergeCell ref="N11:Q11"/>
    <mergeCell ref="A4:A5"/>
    <mergeCell ref="B4:B5"/>
    <mergeCell ref="C4:C5"/>
    <mergeCell ref="D4:D5"/>
    <mergeCell ref="L4:L5"/>
    <mergeCell ref="M4:M5"/>
    <mergeCell ref="N4:N5"/>
    <mergeCell ref="O4:O5"/>
    <mergeCell ref="P4:P5"/>
    <mergeCell ref="Q4:Q5"/>
    <mergeCell ref="K4:K5"/>
    <mergeCell ref="E4:E5"/>
    <mergeCell ref="I4:I5"/>
    <mergeCell ref="J4:J5"/>
    <mergeCell ref="A1:Q1"/>
    <mergeCell ref="A6:C6"/>
    <mergeCell ref="N10:Q10"/>
  </mergeCells>
  <phoneticPr fontId="12" type="noConversion"/>
  <pageMargins left="0.511811023622047" right="0.511811023622047" top="0.196850393700787" bottom="0.74803149606299202" header="0.31496062992126" footer="0.31496062992126"/>
  <pageSetup paperSize="9" scale="9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2025-03-17T03:17:00Z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2B455B5BDD5842FCB06B47B10219E44B_13</vt:lpwstr>
  </property>
  <property fmtid="{D5CDD505-2E9C-101B-9397-08002B2CF9AE}" pid="4" name="KSOProductBuildVer">
    <vt:lpwstr>2052-12.1.0.18608</vt:lpwstr>
  </property>
</Properties>
</file>