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国际潘德路\"/>
    </mc:Choice>
  </mc:AlternateContent>
  <xr:revisionPtr revIDLastSave="0" documentId="13_ncr:1_{91B6B2C6-43A0-44EA-AE6A-209AC60A22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</calcChain>
</file>

<file path=xl/sharedStrings.xml><?xml version="1.0" encoding="utf-8"?>
<sst xmlns="http://schemas.openxmlformats.org/spreadsheetml/2006/main" count="21" uniqueCount="20">
  <si>
    <t>Statement of Pandrol (India)</t>
  </si>
  <si>
    <t>Lead Time</t>
  </si>
  <si>
    <t>Contract</t>
  </si>
  <si>
    <t>Product</t>
  </si>
  <si>
    <t>Spec.</t>
  </si>
  <si>
    <t>Quantity
Delivered</t>
  </si>
  <si>
    <t>Unit Price
(USD)</t>
  </si>
  <si>
    <t>Amount
(USD)</t>
  </si>
  <si>
    <t>Payment 
Schedule
by Pandrol</t>
  </si>
  <si>
    <t>Note</t>
  </si>
  <si>
    <t>screw spike</t>
  </si>
  <si>
    <t>24*142</t>
  </si>
  <si>
    <t>TOTAL(USD):</t>
  </si>
  <si>
    <t>苏州苏德兰铁路配件有限公司</t>
  </si>
  <si>
    <t>Suzhou Sudelan Railway Parts Co., Ltd.</t>
  </si>
  <si>
    <t>PO001040</t>
    <phoneticPr fontId="4" type="noConversion"/>
  </si>
  <si>
    <t>PO000341</t>
    <phoneticPr fontId="4" type="noConversion"/>
  </si>
  <si>
    <t xml:space="preserve">Screw spike </t>
  </si>
  <si>
    <t>Spring washer</t>
    <phoneticPr fontId="6" type="noConversion"/>
  </si>
  <si>
    <t>φ26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</si>
</sst>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b/>
      <sz val="12"/>
      <color theme="1"/>
      <name val="Times New Roman"/>
      <family val="1"/>
    </font>
    <font>
      <sz val="9"/>
      <name val="宋体"/>
      <family val="2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2" workbookViewId="0">
      <selection activeCell="H15" sqref="H15"/>
    </sheetView>
  </sheetViews>
  <sheetFormatPr defaultColWidth="9" defaultRowHeight="13.5" x14ac:dyDescent="0.15"/>
  <cols>
    <col min="1" max="1" width="11.75" customWidth="1"/>
    <col min="2" max="2" width="9.75" customWidth="1"/>
    <col min="3" max="3" width="15.25" customWidth="1"/>
    <col min="4" max="4" width="10.25" customWidth="1"/>
    <col min="5" max="5" width="13.875" customWidth="1"/>
    <col min="6" max="6" width="12.5" customWidth="1"/>
    <col min="7" max="7" width="10.875" customWidth="1"/>
    <col min="8" max="8" width="11.625" customWidth="1"/>
    <col min="9" max="9" width="11.5" customWidth="1"/>
  </cols>
  <sheetData>
    <row r="1" spans="1:9" ht="36" customHeight="1" x14ac:dyDescent="0.15"/>
    <row r="2" spans="1:9" ht="41.1" customHeight="1" x14ac:dyDescent="0.15">
      <c r="A2" s="9" t="s">
        <v>0</v>
      </c>
      <c r="B2" s="9"/>
      <c r="C2" s="9"/>
      <c r="D2" s="9"/>
      <c r="E2" s="9"/>
      <c r="F2" s="9"/>
      <c r="G2" s="9"/>
      <c r="H2" s="9"/>
      <c r="I2" s="9"/>
    </row>
    <row r="3" spans="1:9" ht="45" x14ac:dyDescent="0.15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ht="21" customHeight="1" x14ac:dyDescent="0.15">
      <c r="A4" s="3">
        <v>45494</v>
      </c>
      <c r="B4" s="4" t="s">
        <v>16</v>
      </c>
      <c r="C4" s="4" t="s">
        <v>10</v>
      </c>
      <c r="D4" s="4" t="s">
        <v>11</v>
      </c>
      <c r="E4" s="4">
        <v>45000</v>
      </c>
      <c r="F4" s="4">
        <v>0.83</v>
      </c>
      <c r="G4" s="4">
        <f>E4*F4</f>
        <v>37350</v>
      </c>
      <c r="H4" s="4"/>
      <c r="I4" s="5"/>
    </row>
    <row r="5" spans="1:9" ht="21" customHeight="1" x14ac:dyDescent="0.15">
      <c r="A5" s="14">
        <v>45747</v>
      </c>
      <c r="B5" s="16" t="s">
        <v>15</v>
      </c>
      <c r="C5" s="7" t="s">
        <v>17</v>
      </c>
      <c r="D5" s="4" t="s">
        <v>11</v>
      </c>
      <c r="E5" s="6">
        <v>32000</v>
      </c>
      <c r="F5" s="4">
        <v>0.83</v>
      </c>
      <c r="G5" s="4">
        <f>E5*F5</f>
        <v>26560</v>
      </c>
      <c r="H5" s="4"/>
      <c r="I5" s="5"/>
    </row>
    <row r="6" spans="1:9" ht="21" customHeight="1" x14ac:dyDescent="0.15">
      <c r="A6" s="15"/>
      <c r="B6" s="17"/>
      <c r="C6" s="7" t="s">
        <v>18</v>
      </c>
      <c r="D6" s="8" t="s">
        <v>19</v>
      </c>
      <c r="E6" s="6">
        <v>17000</v>
      </c>
      <c r="F6" s="4">
        <v>0.3</v>
      </c>
      <c r="G6" s="4">
        <f>E6*F6</f>
        <v>5100</v>
      </c>
      <c r="H6" s="4"/>
      <c r="I6" s="5"/>
    </row>
    <row r="7" spans="1:9" ht="27" customHeight="1" x14ac:dyDescent="0.15">
      <c r="A7" s="10" t="s">
        <v>12</v>
      </c>
      <c r="B7" s="10"/>
      <c r="C7" s="11"/>
      <c r="D7" s="11"/>
      <c r="E7" s="10"/>
      <c r="F7" s="10"/>
      <c r="G7" s="4">
        <f>SUM(G4:G6)</f>
        <v>69010</v>
      </c>
      <c r="H7" s="4"/>
      <c r="I7" s="5"/>
    </row>
    <row r="8" spans="1:9" ht="18.95" customHeight="1" x14ac:dyDescent="0.15"/>
    <row r="9" spans="1:9" ht="18.95" customHeight="1" x14ac:dyDescent="0.15">
      <c r="D9" s="12" t="s">
        <v>13</v>
      </c>
      <c r="E9" s="12"/>
      <c r="F9" s="12"/>
      <c r="G9" s="12"/>
      <c r="H9" s="12"/>
      <c r="I9" s="12"/>
    </row>
    <row r="10" spans="1:9" ht="18.95" customHeight="1" x14ac:dyDescent="0.15">
      <c r="D10" s="12" t="s">
        <v>14</v>
      </c>
      <c r="E10" s="12"/>
      <c r="F10" s="12"/>
      <c r="G10" s="12"/>
      <c r="H10" s="12"/>
      <c r="I10" s="12"/>
    </row>
    <row r="11" spans="1:9" ht="18.95" customHeight="1" x14ac:dyDescent="0.15">
      <c r="D11" s="13">
        <v>45895</v>
      </c>
      <c r="E11" s="13"/>
      <c r="F11" s="13"/>
      <c r="G11" s="13"/>
      <c r="H11" s="13"/>
      <c r="I11" s="13"/>
    </row>
  </sheetData>
  <mergeCells count="7">
    <mergeCell ref="A2:I2"/>
    <mergeCell ref="A7:F7"/>
    <mergeCell ref="D9:I9"/>
    <mergeCell ref="D10:I10"/>
    <mergeCell ref="D11:I11"/>
    <mergeCell ref="A5:A6"/>
    <mergeCell ref="B5:B6"/>
  </mergeCells>
  <phoneticPr fontId="4" type="noConversion"/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2023-05-12T11:15:00Z</dcterms:created>
  <dcterms:modified xsi:type="dcterms:W3CDTF">2025-08-26T05:48:01Z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439B46056E454B3CA9863A0E35C60B2E_12</vt:lpwstr>
  </property>
</Properties>
</file>