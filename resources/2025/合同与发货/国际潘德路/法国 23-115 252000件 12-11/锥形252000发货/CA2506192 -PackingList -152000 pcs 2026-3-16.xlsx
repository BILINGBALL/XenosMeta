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锥形252000发货\"/>
    </mc:Choice>
  </mc:AlternateContent>
  <xr:revisionPtr revIDLastSave="0" documentId="13_ncr:1_{A00D3623-DFD5-47B5-BE7C-52D5308C64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2" l="1"/>
  <c r="P7" i="2" s="1"/>
  <c r="Q7" i="2"/>
  <c r="O7" i="2"/>
  <c r="K8" i="2"/>
  <c r="Q6" i="2"/>
  <c r="P6" i="2"/>
  <c r="O6" i="2"/>
  <c r="J6" i="2"/>
  <c r="F6" i="2" s="1"/>
  <c r="H6" i="2"/>
  <c r="Q5" i="2"/>
  <c r="P5" i="2"/>
  <c r="O5" i="2"/>
  <c r="J5" i="2"/>
  <c r="F5" i="2" s="1"/>
  <c r="H5" i="2"/>
  <c r="Q4" i="2"/>
  <c r="P4" i="2"/>
  <c r="O4" i="2"/>
  <c r="J4" i="2"/>
  <c r="F4" i="2" s="1"/>
  <c r="H4" i="2"/>
  <c r="J7" i="2"/>
  <c r="F7" i="2" s="1"/>
  <c r="H7" i="2"/>
  <c r="Q3" i="2" l="1"/>
  <c r="O3" i="2"/>
  <c r="P3" i="2"/>
  <c r="J3" i="2"/>
  <c r="F3" i="2" s="1"/>
  <c r="H3" i="2"/>
  <c r="H8" i="2" l="1"/>
  <c r="O8" i="2"/>
  <c r="Q8" i="2"/>
  <c r="F8" i="2"/>
  <c r="P8" i="2"/>
</calcChain>
</file>

<file path=xl/sharedStrings.xml><?xml version="1.0" encoding="utf-8"?>
<sst xmlns="http://schemas.openxmlformats.org/spreadsheetml/2006/main" count="43" uniqueCount="31">
  <si>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</si>
  <si>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</si>
  <si>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</si>
  <si>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</si>
  <si>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</si>
  <si>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</si>
  <si>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</si>
  <si>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</si>
  <si>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</si>
  <si>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</si>
  <si>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</si>
  <si>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</si>
  <si>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</si>
  <si>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</si>
  <si>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</si>
  <si>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</si>
  <si>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</si>
  <si>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</si>
  <si>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</si>
  <si>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</si>
  <si>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</si>
  <si>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1200*800*550
0.53</t>
    <phoneticPr fontId="13" type="noConversion"/>
  </si>
  <si>
    <t>CA2506192</t>
    <phoneticPr fontId="13" type="noConversion"/>
  </si>
  <si>
    <t>23*115</t>
    <phoneticPr fontId="13" type="noConversion"/>
  </si>
  <si>
    <t>Container NO.</t>
    <phoneticPr fontId="13" type="noConversion"/>
  </si>
  <si>
    <t>1/109-34/109</t>
    <phoneticPr fontId="13" type="noConversion"/>
  </si>
  <si>
    <t>35/109-68/109</t>
    <phoneticPr fontId="13" type="noConversion"/>
  </si>
  <si>
    <t>69/109-102/109</t>
    <phoneticPr fontId="13" type="noConversion"/>
  </si>
  <si>
    <t>103/109-108/109</t>
    <phoneticPr fontId="13" type="noConversion"/>
  </si>
  <si>
    <t>109/109</t>
    <phoneticPr fontId="13" type="noConversion"/>
  </si>
  <si>
    <t>The pieces are packed in a bag : 40 pieces per bag and 35(20)bags per case so 1400(800) pieces per case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</si>
</sst>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7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topLeftCell="A2" workbookViewId="0">
      <selection activeCell="Q7" sqref="Q7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6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1.125" customWidth="1"/>
  </cols>
  <sheetData>
    <row r="1" spans="1:18" ht="59.1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8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  <c r="R2" s="21" t="s">
        <v>24</v>
      </c>
    </row>
    <row r="3" spans="1:18" ht="43.5" customHeight="1">
      <c r="A3" s="4">
        <v>1</v>
      </c>
      <c r="B3" s="14" t="s">
        <v>18</v>
      </c>
      <c r="C3" s="15" t="s">
        <v>23</v>
      </c>
      <c r="D3" s="26" t="s">
        <v>22</v>
      </c>
      <c r="E3" s="12" t="s">
        <v>25</v>
      </c>
      <c r="F3" s="4">
        <f>J3*K3</f>
        <v>47600</v>
      </c>
      <c r="G3" s="4">
        <v>40</v>
      </c>
      <c r="H3" s="4">
        <f>K3*I3</f>
        <v>1190</v>
      </c>
      <c r="I3" s="4">
        <v>35</v>
      </c>
      <c r="J3" s="4">
        <f>G3*I3</f>
        <v>1400</v>
      </c>
      <c r="K3" s="4">
        <v>34</v>
      </c>
      <c r="L3" s="4">
        <v>679</v>
      </c>
      <c r="M3" s="4">
        <v>720</v>
      </c>
      <c r="N3" s="13" t="s">
        <v>21</v>
      </c>
      <c r="O3" s="4">
        <f>L3*K3</f>
        <v>23086</v>
      </c>
      <c r="P3" s="4">
        <f>M3*K3</f>
        <v>24480</v>
      </c>
      <c r="Q3" s="4">
        <f>0.53*K3</f>
        <v>18.02</v>
      </c>
      <c r="R3" s="20">
        <v>1</v>
      </c>
    </row>
    <row r="4" spans="1:18" ht="43.5" customHeight="1">
      <c r="A4" s="4">
        <v>2</v>
      </c>
      <c r="B4" s="14" t="s">
        <v>18</v>
      </c>
      <c r="C4" s="15" t="s">
        <v>23</v>
      </c>
      <c r="D4" s="26"/>
      <c r="E4" s="12" t="s">
        <v>26</v>
      </c>
      <c r="F4" s="4">
        <f>J4*K4</f>
        <v>47600</v>
      </c>
      <c r="G4" s="4">
        <v>40</v>
      </c>
      <c r="H4" s="4">
        <f>K4*I4</f>
        <v>1190</v>
      </c>
      <c r="I4" s="4">
        <v>35</v>
      </c>
      <c r="J4" s="4">
        <f>G4*I4</f>
        <v>1400</v>
      </c>
      <c r="K4" s="4">
        <v>34</v>
      </c>
      <c r="L4" s="4">
        <v>679</v>
      </c>
      <c r="M4" s="4">
        <v>720</v>
      </c>
      <c r="N4" s="13" t="s">
        <v>21</v>
      </c>
      <c r="O4" s="4">
        <f>L4*K4</f>
        <v>23086</v>
      </c>
      <c r="P4" s="4">
        <f>M4*K4</f>
        <v>24480</v>
      </c>
      <c r="Q4" s="4">
        <f>0.53*K4</f>
        <v>18.02</v>
      </c>
      <c r="R4" s="20">
        <v>2</v>
      </c>
    </row>
    <row r="5" spans="1:18" ht="43.5" customHeight="1">
      <c r="A5" s="4">
        <v>3</v>
      </c>
      <c r="B5" s="14" t="s">
        <v>18</v>
      </c>
      <c r="C5" s="15" t="s">
        <v>23</v>
      </c>
      <c r="D5" s="26"/>
      <c r="E5" s="12" t="s">
        <v>27</v>
      </c>
      <c r="F5" s="4">
        <f>J5*K5</f>
        <v>47600</v>
      </c>
      <c r="G5" s="4">
        <v>40</v>
      </c>
      <c r="H5" s="4">
        <f>K5*I5</f>
        <v>1190</v>
      </c>
      <c r="I5" s="4">
        <v>35</v>
      </c>
      <c r="J5" s="4">
        <f>G5*I5</f>
        <v>1400</v>
      </c>
      <c r="K5" s="4">
        <v>34</v>
      </c>
      <c r="L5" s="4">
        <v>679</v>
      </c>
      <c r="M5" s="4">
        <v>720</v>
      </c>
      <c r="N5" s="13" t="s">
        <v>21</v>
      </c>
      <c r="O5" s="4">
        <f>L5*K5</f>
        <v>23086</v>
      </c>
      <c r="P5" s="4">
        <f>M5*K5</f>
        <v>24480</v>
      </c>
      <c r="Q5" s="4">
        <f>0.53*K5</f>
        <v>18.02</v>
      </c>
      <c r="R5" s="20">
        <v>3</v>
      </c>
    </row>
    <row r="6" spans="1:18" ht="43.5" customHeight="1">
      <c r="A6" s="4">
        <v>4</v>
      </c>
      <c r="B6" s="14" t="s">
        <v>18</v>
      </c>
      <c r="C6" s="15" t="s">
        <v>23</v>
      </c>
      <c r="D6" s="26"/>
      <c r="E6" s="12" t="s">
        <v>28</v>
      </c>
      <c r="F6" s="4">
        <f>J6*K6</f>
        <v>8400</v>
      </c>
      <c r="G6" s="4">
        <v>40</v>
      </c>
      <c r="H6" s="4">
        <f>K6*I6</f>
        <v>210</v>
      </c>
      <c r="I6" s="4">
        <v>35</v>
      </c>
      <c r="J6" s="4">
        <f>G6*I6</f>
        <v>1400</v>
      </c>
      <c r="K6" s="4">
        <v>6</v>
      </c>
      <c r="L6" s="4">
        <v>679</v>
      </c>
      <c r="M6" s="4">
        <v>720</v>
      </c>
      <c r="N6" s="13" t="s">
        <v>21</v>
      </c>
      <c r="O6" s="4">
        <f>L6*K6</f>
        <v>4074</v>
      </c>
      <c r="P6" s="4">
        <f>M6*K6</f>
        <v>4320</v>
      </c>
      <c r="Q6" s="4">
        <f>0.53*K6</f>
        <v>3.18</v>
      </c>
      <c r="R6" s="27">
        <v>4</v>
      </c>
    </row>
    <row r="7" spans="1:18" ht="42" customHeight="1">
      <c r="A7" s="4">
        <v>5</v>
      </c>
      <c r="B7" s="14" t="s">
        <v>18</v>
      </c>
      <c r="C7" s="15" t="s">
        <v>23</v>
      </c>
      <c r="D7" s="26"/>
      <c r="E7" s="19" t="s">
        <v>29</v>
      </c>
      <c r="F7" s="4">
        <f>J7*K7</f>
        <v>800</v>
      </c>
      <c r="G7" s="4">
        <v>40</v>
      </c>
      <c r="H7" s="4">
        <f>K7*I7</f>
        <v>20</v>
      </c>
      <c r="I7" s="4">
        <v>20</v>
      </c>
      <c r="J7" s="4">
        <f>G7*I7</f>
        <v>800</v>
      </c>
      <c r="K7" s="4">
        <v>1</v>
      </c>
      <c r="L7" s="4">
        <v>388</v>
      </c>
      <c r="M7" s="4">
        <f>L7+42</f>
        <v>430</v>
      </c>
      <c r="N7" s="13" t="s">
        <v>21</v>
      </c>
      <c r="O7" s="4">
        <f>L7*K7</f>
        <v>388</v>
      </c>
      <c r="P7" s="4">
        <f>M7*K7</f>
        <v>430</v>
      </c>
      <c r="Q7" s="4">
        <f>0.53*K7</f>
        <v>0.53</v>
      </c>
      <c r="R7" s="27"/>
    </row>
    <row r="8" spans="1:18" ht="35.25" customHeight="1">
      <c r="A8" s="25" t="s">
        <v>19</v>
      </c>
      <c r="B8" s="25"/>
      <c r="C8" s="25"/>
      <c r="D8" s="16"/>
      <c r="E8" s="4"/>
      <c r="F8" s="4">
        <f>SUM(F3:F7)</f>
        <v>152000</v>
      </c>
      <c r="G8" s="4"/>
      <c r="H8" s="4">
        <f>SUM(H3:H7)</f>
        <v>3800</v>
      </c>
      <c r="I8" s="4"/>
      <c r="J8" s="4"/>
      <c r="K8" s="4">
        <f>SUM(K3:K7)</f>
        <v>109</v>
      </c>
      <c r="L8" s="4"/>
      <c r="M8" s="4"/>
      <c r="N8" s="17"/>
      <c r="O8" s="4">
        <f>SUM(O3:O7)</f>
        <v>73720</v>
      </c>
      <c r="P8" s="4">
        <f>SUM(P3:P7)</f>
        <v>78190</v>
      </c>
      <c r="Q8" s="18">
        <f>SUM(Q3:Q7)</f>
        <v>57.77</v>
      </c>
    </row>
    <row r="9" spans="1:18" ht="14.45" customHeight="1">
      <c r="A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8" ht="21" customHeight="1">
      <c r="A10" s="8"/>
      <c r="B10" s="9" t="s">
        <v>20</v>
      </c>
      <c r="C10" s="11" t="s">
        <v>30</v>
      </c>
      <c r="N10" s="8"/>
      <c r="O10" s="8"/>
      <c r="P10" s="8"/>
      <c r="Q10" s="8"/>
    </row>
    <row r="11" spans="1:18" ht="21" customHeight="1">
      <c r="A11" s="8"/>
      <c r="B11" s="10"/>
      <c r="C11" s="6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8" ht="18.75">
      <c r="A12" s="8"/>
      <c r="B12" s="8"/>
      <c r="C12" s="6"/>
      <c r="D12" s="8"/>
      <c r="E12" s="8"/>
      <c r="F12" s="8"/>
      <c r="G12" s="8"/>
      <c r="H12" s="8"/>
      <c r="I12" s="8"/>
      <c r="J12" s="8"/>
      <c r="K12" s="8"/>
      <c r="L12" s="8"/>
      <c r="M12" s="8"/>
      <c r="N12" s="22">
        <v>46097</v>
      </c>
      <c r="O12" s="22"/>
      <c r="P12" s="22"/>
      <c r="Q12" s="22"/>
    </row>
    <row r="13" spans="1:18">
      <c r="A13" s="7"/>
      <c r="B13" s="7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8">
      <c r="A14" s="7"/>
      <c r="B14" s="7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8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8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</sheetData>
  <mergeCells count="5">
    <mergeCell ref="N12:Q12"/>
    <mergeCell ref="A1:Q1"/>
    <mergeCell ref="A8:C8"/>
    <mergeCell ref="D3:D7"/>
    <mergeCell ref="R6:R7"/>
  </mergeCells>
  <phoneticPr fontId="13" type="noConversion"/>
  <pageMargins left="0.196527777777778" right="0.196527777777778" top="0.43263888888888902" bottom="0.70833333333333304" header="0.5" footer="0.5"/>
  <pageSetup paperSize="9" scale="8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2026-03-16T05:50:08Z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