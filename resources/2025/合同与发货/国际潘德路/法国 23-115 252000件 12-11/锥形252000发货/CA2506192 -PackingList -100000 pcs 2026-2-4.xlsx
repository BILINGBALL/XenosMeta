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u\Desktop\锥形252000发货\"/>
    </mc:Choice>
  </mc:AlternateContent>
  <xr:revisionPtr revIDLastSave="0" documentId="13_ncr:1_{55D2DDB0-143F-4C4E-A5BC-3D4A921360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P4" i="2" s="1"/>
  <c r="J4" i="2"/>
  <c r="F4" i="2" s="1"/>
  <c r="H4" i="2"/>
  <c r="Q4" i="2"/>
  <c r="O4" i="2"/>
  <c r="K5" i="2" l="1"/>
  <c r="Q3" i="2"/>
  <c r="O3" i="2"/>
  <c r="P3" i="2"/>
  <c r="J3" i="2"/>
  <c r="F3" i="2" s="1"/>
  <c r="H3" i="2"/>
  <c r="H5" i="2" l="1"/>
  <c r="O5" i="2"/>
  <c r="Q5" i="2"/>
  <c r="F5" i="2"/>
  <c r="P5" i="2"/>
</calcChain>
</file>

<file path=xl/sharedStrings.xml><?xml version="1.0" encoding="utf-8"?>
<sst xmlns="http://schemas.openxmlformats.org/spreadsheetml/2006/main" count="30" uniqueCount="28">
  <si>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</si>
  <si>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</si>
  <si>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</si>
  <si>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</si>
  <si>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</si>
  <si>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</si>
  <si>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</si>
  <si>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</si>
  <si>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</si>
  <si>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</si>
  <si>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</si>
  <si>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</si>
  <si>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</si>
  <si>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</si>
  <si>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</si>
  <si>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</si>
  <si>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</si>
  <si>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</si>
  <si>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</si>
  <si>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</si>
  <si>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</si>
  <si>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1200*800*550
0.53</t>
    <phoneticPr fontId="13" type="noConversion"/>
  </si>
  <si>
    <t>1200*800*350
0.34</t>
    <phoneticPr fontId="13" type="noConversion"/>
  </si>
  <si>
    <t>CA2506192</t>
    <phoneticPr fontId="13" type="noConversion"/>
  </si>
  <si>
    <t>23*115</t>
    <phoneticPr fontId="13" type="noConversion"/>
  </si>
  <si>
    <t>The pieces are packed in a bag : 40 pieces per bag and 35(15)bags per case so 1400(600) pieces per case</t>
    <phoneticPr fontId="13" type="noConversion"/>
  </si>
  <si>
    <t>1/72-71/72</t>
    <phoneticPr fontId="13" type="noConversion"/>
  </si>
  <si>
    <t>72/72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</si>
</sst>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5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topLeftCell="A2" workbookViewId="0">
      <selection activeCell="M9" sqref="M9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6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7" ht="59.1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43.5" customHeight="1">
      <c r="A3" s="4">
        <v>1</v>
      </c>
      <c r="B3" s="14" t="s">
        <v>18</v>
      </c>
      <c r="C3" s="15" t="s">
        <v>24</v>
      </c>
      <c r="D3" s="23" t="s">
        <v>23</v>
      </c>
      <c r="E3" s="12" t="s">
        <v>26</v>
      </c>
      <c r="F3" s="4">
        <f>J3*K3</f>
        <v>99400</v>
      </c>
      <c r="G3" s="4">
        <v>40</v>
      </c>
      <c r="H3" s="4">
        <f>K3*I3</f>
        <v>2485</v>
      </c>
      <c r="I3" s="4">
        <v>35</v>
      </c>
      <c r="J3" s="4">
        <f>G3*I3</f>
        <v>1400</v>
      </c>
      <c r="K3" s="4">
        <v>71</v>
      </c>
      <c r="L3" s="4">
        <v>679</v>
      </c>
      <c r="M3" s="4">
        <v>720</v>
      </c>
      <c r="N3" s="13" t="s">
        <v>21</v>
      </c>
      <c r="O3" s="4">
        <f>L3*K3</f>
        <v>48209</v>
      </c>
      <c r="P3" s="4">
        <f>M3*K3</f>
        <v>51120</v>
      </c>
      <c r="Q3" s="4">
        <f>0.53*K3</f>
        <v>37.630000000000003</v>
      </c>
    </row>
    <row r="4" spans="1:17" ht="42" customHeight="1">
      <c r="A4" s="4"/>
      <c r="B4" s="14" t="s">
        <v>18</v>
      </c>
      <c r="C4" s="15" t="s">
        <v>24</v>
      </c>
      <c r="D4" s="23"/>
      <c r="E4" s="24" t="s">
        <v>27</v>
      </c>
      <c r="F4" s="4">
        <f>J4*K4</f>
        <v>600</v>
      </c>
      <c r="G4" s="4">
        <v>40</v>
      </c>
      <c r="H4" s="4">
        <f>K4*I4</f>
        <v>15</v>
      </c>
      <c r="I4" s="4">
        <v>15</v>
      </c>
      <c r="J4" s="4">
        <f>G4*I4</f>
        <v>600</v>
      </c>
      <c r="K4" s="4">
        <v>1</v>
      </c>
      <c r="L4" s="4">
        <v>290</v>
      </c>
      <c r="M4" s="4">
        <f>L4+30</f>
        <v>320</v>
      </c>
      <c r="N4" s="13" t="s">
        <v>22</v>
      </c>
      <c r="O4" s="4">
        <f>L4*K4</f>
        <v>290</v>
      </c>
      <c r="P4" s="4">
        <f>M4*K4</f>
        <v>320</v>
      </c>
      <c r="Q4" s="4">
        <f>0.34*K4</f>
        <v>0.34</v>
      </c>
    </row>
    <row r="5" spans="1:17" ht="35.25" customHeight="1">
      <c r="A5" s="19" t="s">
        <v>19</v>
      </c>
      <c r="B5" s="19"/>
      <c r="C5" s="19"/>
      <c r="D5" s="16"/>
      <c r="E5" s="4"/>
      <c r="F5" s="4">
        <f>SUM(F3:F4)</f>
        <v>100000</v>
      </c>
      <c r="G5" s="4"/>
      <c r="H5" s="4">
        <f>SUM(H3:H4)</f>
        <v>2500</v>
      </c>
      <c r="I5" s="4"/>
      <c r="J5" s="4"/>
      <c r="K5" s="4">
        <f>SUM(K3:K4)</f>
        <v>72</v>
      </c>
      <c r="L5" s="4"/>
      <c r="M5" s="4"/>
      <c r="N5" s="17"/>
      <c r="O5" s="4">
        <f>SUM(O3:O4)</f>
        <v>48499</v>
      </c>
      <c r="P5" s="4">
        <f>SUM(P3:P4)</f>
        <v>51440</v>
      </c>
      <c r="Q5" s="18">
        <f>SUM(Q3:Q4)</f>
        <v>37.970000000000006</v>
      </c>
    </row>
    <row r="6" spans="1:17" ht="14.45" customHeight="1">
      <c r="A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ht="21" customHeight="1">
      <c r="A7" s="8"/>
      <c r="B7" s="9" t="s">
        <v>20</v>
      </c>
      <c r="C7" s="11" t="s">
        <v>25</v>
      </c>
      <c r="N7" s="8"/>
      <c r="O7" s="8"/>
      <c r="P7" s="8"/>
      <c r="Q7" s="8"/>
    </row>
    <row r="8" spans="1:17" ht="21" customHeight="1">
      <c r="A8" s="8"/>
      <c r="B8" s="10"/>
      <c r="C8" s="6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ht="18.75">
      <c r="A9" s="8"/>
      <c r="B9" s="8"/>
      <c r="C9" s="6"/>
      <c r="D9" s="8"/>
      <c r="E9" s="8"/>
      <c r="F9" s="8"/>
      <c r="G9" s="8"/>
      <c r="H9" s="8"/>
      <c r="I9" s="8"/>
      <c r="J9" s="8"/>
      <c r="K9" s="8"/>
      <c r="L9" s="8"/>
      <c r="M9" s="8"/>
      <c r="N9" s="20">
        <v>46057</v>
      </c>
      <c r="O9" s="20"/>
      <c r="P9" s="20"/>
      <c r="Q9" s="20"/>
    </row>
    <row r="10" spans="1:17">
      <c r="A10" s="7"/>
      <c r="B10" s="7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>
      <c r="A11" s="7"/>
      <c r="B11" s="7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</sheetData>
  <mergeCells count="4">
    <mergeCell ref="N9:Q9"/>
    <mergeCell ref="A1:Q1"/>
    <mergeCell ref="A5:C5"/>
    <mergeCell ref="D3:D4"/>
  </mergeCells>
  <phoneticPr fontId="13" type="noConversion"/>
  <pageMargins left="0.196527777777778" right="0.196527777777778" top="0.43263888888888902" bottom="0.70833333333333304" header="0.5" footer="0.5"/>
  <pageSetup paperSize="9" scale="82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2026-02-04T06:05:52Z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