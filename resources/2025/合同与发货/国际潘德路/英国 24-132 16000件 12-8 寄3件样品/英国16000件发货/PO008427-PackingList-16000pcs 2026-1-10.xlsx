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英国16000件发货\"/>
    </mc:Choice>
  </mc:AlternateContent>
  <xr:revisionPtr revIDLastSave="0" documentId="13_ncr:1_{B8FDB373-8AF1-4EAD-B5B9-4450BE6292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Q4" i="1"/>
  <c r="P4" i="1"/>
  <c r="O4" i="1"/>
  <c r="M4" i="1"/>
  <c r="J4" i="1"/>
  <c r="F4" i="1" s="1"/>
  <c r="F5" i="1" s="1"/>
  <c r="H4" i="1"/>
  <c r="Q3" i="1"/>
  <c r="Q5" i="1" s="1"/>
  <c r="P3" i="1"/>
  <c r="O3" i="1"/>
  <c r="M3" i="1"/>
  <c r="J3" i="1"/>
  <c r="H3" i="1"/>
  <c r="F3" i="1"/>
  <c r="O5" i="1" l="1"/>
  <c r="P5" i="1"/>
  <c r="H5" i="1"/>
</calcChain>
</file>

<file path=xl/sharedStrings.xml><?xml version="1.0" encoding="utf-8"?>
<sst xmlns="http://schemas.openxmlformats.org/spreadsheetml/2006/main" count="31" uniqueCount="27">
  <si>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</si>
  <si>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</si>
  <si>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</si>
  <si>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
型号</t>
  </si>
  <si>
    <t xml:space="preserve">
PO
合同号</t>
  </si>
  <si>
    <t xml:space="preserve">
Case No.
箱号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</si>
  <si>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
数量</t>
    </r>
  </si>
  <si>
    <t xml:space="preserve">
Pieces
/bag     (*)
件/袋</t>
  </si>
  <si>
    <t xml:space="preserve">
Bags
袋</t>
  </si>
  <si>
    <t xml:space="preserve">
Bags
/case
袋/箱</t>
  </si>
  <si>
    <t>Pieces
/case
件/箱</t>
  </si>
  <si>
    <t xml:space="preserve">
CASE
箱</t>
  </si>
  <si>
    <t>Net weight
NW/CASE
（KG）
净重</t>
  </si>
  <si>
    <t>Gross weight
GW/CASE
（KG）
毛重</t>
  </si>
  <si>
    <t>Dimensions (mm) and volume (m3) / case
体积</t>
  </si>
  <si>
    <t>Total Net weight
NW
（KG）
总净重</t>
  </si>
  <si>
    <t>Total Gross weight
GW
(KG）
总毛重</t>
  </si>
  <si>
    <t xml:space="preserve">
Volume M³
总体积</t>
  </si>
  <si>
    <t>Coachscrew
螺纹道钉</t>
  </si>
  <si>
    <t>24*132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</si>
  <si>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</si>
  <si>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</si>
  <si>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</si>
  <si>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PO008427</t>
    <phoneticPr fontId="17" type="noConversion"/>
  </si>
  <si>
    <t>1/13~12/13</t>
    <phoneticPr fontId="17" type="noConversion"/>
  </si>
  <si>
    <t>13/13</t>
    <phoneticPr fontId="17" type="noConversion"/>
  </si>
  <si>
    <t>The pieces are packed in a bag : 40 pieces per bag and 1280（640） pieces in total in this case.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</si>
</sst>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9">
    <font>
      <sz val="11"/>
      <color theme="1"/>
      <name val="宋体"/>
      <charset val="134"/>
      <scheme val="minor"/>
    </font>
    <font>
      <b/>
      <sz val="22"/>
      <color rgb="FFFFC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0" fontId="0" fillId="0" borderId="2" xfId="0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L4" sqref="L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87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2" customHeight="1">
      <c r="A3" s="4">
        <v>1</v>
      </c>
      <c r="B3" s="5" t="s">
        <v>18</v>
      </c>
      <c r="C3" s="6" t="s">
        <v>19</v>
      </c>
      <c r="D3" s="18" t="s">
        <v>23</v>
      </c>
      <c r="E3" s="19" t="s">
        <v>24</v>
      </c>
      <c r="F3" s="7">
        <f>J3*K3</f>
        <v>15360</v>
      </c>
      <c r="G3" s="4">
        <v>40</v>
      </c>
      <c r="H3" s="4">
        <f>K3*I3</f>
        <v>384</v>
      </c>
      <c r="I3" s="7">
        <v>32</v>
      </c>
      <c r="J3" s="7">
        <f>I3*G3</f>
        <v>1280</v>
      </c>
      <c r="K3" s="7">
        <v>12</v>
      </c>
      <c r="L3" s="14">
        <v>662</v>
      </c>
      <c r="M3" s="14">
        <f>L3+40</f>
        <v>702</v>
      </c>
      <c r="N3" s="15" t="s">
        <v>20</v>
      </c>
      <c r="O3" s="7">
        <f>L3*K3</f>
        <v>7944</v>
      </c>
      <c r="P3" s="16">
        <f>M3*K3</f>
        <v>8424</v>
      </c>
      <c r="Q3" s="16">
        <f>0.53*K3</f>
        <v>6.36</v>
      </c>
    </row>
    <row r="4" spans="1:17" ht="44.1" customHeight="1">
      <c r="A4" s="4">
        <v>2</v>
      </c>
      <c r="B4" s="5" t="s">
        <v>18</v>
      </c>
      <c r="C4" s="6" t="s">
        <v>19</v>
      </c>
      <c r="D4" s="18" t="s">
        <v>23</v>
      </c>
      <c r="E4" s="19" t="s">
        <v>25</v>
      </c>
      <c r="F4" s="7">
        <f>J4*K4</f>
        <v>640</v>
      </c>
      <c r="G4" s="4">
        <v>40</v>
      </c>
      <c r="H4" s="4">
        <f>K4*I4</f>
        <v>16</v>
      </c>
      <c r="I4" s="7">
        <v>16</v>
      </c>
      <c r="J4" s="7">
        <f>I4*G4</f>
        <v>640</v>
      </c>
      <c r="K4" s="7">
        <v>1</v>
      </c>
      <c r="L4" s="14">
        <v>331</v>
      </c>
      <c r="M4" s="14">
        <f>L4+40</f>
        <v>371</v>
      </c>
      <c r="N4" s="26" t="s">
        <v>20</v>
      </c>
      <c r="O4" s="7">
        <f>L4*K4</f>
        <v>331</v>
      </c>
      <c r="P4" s="16">
        <f>M4*K4</f>
        <v>371</v>
      </c>
      <c r="Q4" s="16">
        <f>0.53*K4</f>
        <v>0.53</v>
      </c>
    </row>
    <row r="5" spans="1:17" ht="35.25" customHeight="1">
      <c r="A5" s="23" t="s">
        <v>21</v>
      </c>
      <c r="B5" s="23"/>
      <c r="C5" s="23"/>
      <c r="D5" s="8"/>
      <c r="E5" s="4"/>
      <c r="F5" s="4">
        <f>SUM(F3:F4)</f>
        <v>16000</v>
      </c>
      <c r="G5" s="4"/>
      <c r="H5" s="4">
        <f>SUM(H3:H4)</f>
        <v>400</v>
      </c>
      <c r="I5" s="4"/>
      <c r="J5" s="4"/>
      <c r="K5" s="17">
        <f>SUM(K3:K4)</f>
        <v>13</v>
      </c>
      <c r="L5" s="4"/>
      <c r="M5" s="4"/>
      <c r="N5" s="17"/>
      <c r="O5" s="17">
        <f>SUM(O3:O4)</f>
        <v>8275</v>
      </c>
      <c r="P5" s="17">
        <f>SUM(P3:P4)</f>
        <v>8795</v>
      </c>
      <c r="Q5" s="17">
        <f>SUM(Q3:Q4)</f>
        <v>6.8900000000000006</v>
      </c>
    </row>
    <row r="6" spans="1:17" ht="14.45" customHeight="1">
      <c r="A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21" customHeight="1">
      <c r="A7" s="9"/>
      <c r="B7" s="10" t="s">
        <v>22</v>
      </c>
      <c r="C7" s="20" t="s">
        <v>26</v>
      </c>
      <c r="N7" s="9"/>
      <c r="O7" s="9"/>
      <c r="P7" s="9"/>
      <c r="Q7" s="9"/>
    </row>
    <row r="8" spans="1:17" ht="21" customHeight="1">
      <c r="A8" s="9"/>
      <c r="B8" s="11"/>
      <c r="C8" s="12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8.75">
      <c r="A9" s="9"/>
      <c r="B9" s="9"/>
      <c r="C9" s="12"/>
      <c r="D9" s="9"/>
      <c r="E9" s="9"/>
      <c r="F9" s="9"/>
      <c r="G9" s="9"/>
      <c r="H9" s="9"/>
      <c r="I9" s="9"/>
      <c r="J9" s="9"/>
      <c r="K9" s="9"/>
      <c r="L9" s="9"/>
      <c r="M9" s="9"/>
      <c r="N9" s="24">
        <v>46032</v>
      </c>
      <c r="O9" s="24"/>
      <c r="P9" s="24"/>
      <c r="Q9" s="24"/>
    </row>
    <row r="10" spans="1:17" ht="18.75">
      <c r="A10" s="9"/>
      <c r="B10" s="9"/>
      <c r="C10" s="12"/>
      <c r="D10" s="9"/>
      <c r="E10" s="9"/>
      <c r="F10" s="9"/>
      <c r="G10" s="9"/>
      <c r="H10" s="9"/>
      <c r="I10" s="9"/>
      <c r="J10" s="9"/>
      <c r="K10" s="9"/>
      <c r="L10" s="9"/>
      <c r="M10" s="9"/>
      <c r="N10" s="25"/>
      <c r="O10" s="25"/>
      <c r="P10" s="25"/>
      <c r="Q10" s="25"/>
    </row>
    <row r="11" spans="1:17">
      <c r="A11" s="13"/>
      <c r="B11" s="13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3"/>
      <c r="B12" s="13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"/>
      <c r="B13" s="13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</sheetData>
  <mergeCells count="4">
    <mergeCell ref="A1:Q1"/>
    <mergeCell ref="A5:C5"/>
    <mergeCell ref="N9:Q9"/>
    <mergeCell ref="N10:Q10"/>
  </mergeCells>
  <phoneticPr fontId="17" type="noConversion"/>
  <pageMargins left="0.511811023622047" right="0.511811023622047" top="0.196850393700787" bottom="0.74803149606299202" header="0.31496062992126" footer="0.31496062992126"/>
  <pageSetup paperSize="9" scale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2026-01-12T02:36:59Z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2F531F88BF9244829FD1C1635B20B9F7_13</vt:lpwstr>
  </property>
  <property fmtid="{D5CDD505-2E9C-101B-9397-08002B2CF9AE}" pid="4" name="KSOProductBuildVer">
    <vt:lpwstr>2052-12.1.0.18608</vt:lpwstr>
  </property>
</Properties>
</file>