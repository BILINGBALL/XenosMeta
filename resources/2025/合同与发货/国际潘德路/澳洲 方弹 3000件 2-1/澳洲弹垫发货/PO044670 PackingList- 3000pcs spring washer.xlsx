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8F01A208-0EED-4048-B7EF-73A2364F37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O3" i="1" l="1"/>
  <c r="P3" i="1"/>
  <c r="J3" i="1"/>
  <c r="F3" i="1" s="1"/>
  <c r="H4" i="1"/>
  <c r="Q4" i="1"/>
  <c r="K4" i="1"/>
  <c r="P4" i="1" l="1"/>
  <c r="O4" i="1"/>
  <c r="F4" i="1"/>
</calcChain>
</file>

<file path=xl/sharedStrings.xml><?xml version="1.0" encoding="utf-8"?>
<sst xmlns="http://schemas.openxmlformats.org/spreadsheetml/2006/main" count="26" uniqueCount="26">
  <si>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</si>
  <si>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</si>
  <si>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</si>
  <si>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</si>
  <si>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</si>
  <si>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</si>
  <si>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</si>
  <si>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</si>
  <si>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</si>
  <si>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</si>
  <si>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</si>
  <si>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</si>
  <si>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</si>
  <si>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</si>
  <si>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</si>
  <si>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Pieces
/case</t>
  </si>
  <si>
    <t xml:space="preserve">
Bags
/case</t>
  </si>
  <si>
    <t xml:space="preserve">
Bags</t>
  </si>
  <si>
    <t xml:space="preserve">
Pieces
/bag     (*)</t>
  </si>
  <si>
    <t>SPRING WASHER</t>
    <phoneticPr fontId="1" type="noConversion"/>
  </si>
  <si>
    <t>M22</t>
    <phoneticPr fontId="1" type="noConversion"/>
  </si>
  <si>
    <t>1/1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</si>
  <si>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</si>
  <si>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PO044670</t>
    <phoneticPr fontId="1" type="noConversion"/>
  </si>
  <si>
    <t>The pieces are packed in a bag : 500 pieces per bag and 6 bags per case so 3000 pieces per case</t>
    <phoneticPr fontId="1" type="noConversion"/>
  </si>
  <si>
    <t>700*500*350
0.12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</si>
</sst>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topLeftCell="A2" workbookViewId="0">
      <selection activeCell="Q4" sqref="Q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8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.45" customHeight="1">
      <c r="A2" s="7" t="s">
        <v>0</v>
      </c>
      <c r="B2" s="7" t="s">
        <v>1</v>
      </c>
      <c r="C2" s="7" t="s">
        <v>2</v>
      </c>
      <c r="D2" s="8" t="s">
        <v>3</v>
      </c>
      <c r="E2" s="8" t="s">
        <v>4</v>
      </c>
      <c r="F2" s="9" t="s">
        <v>12</v>
      </c>
      <c r="G2" s="8" t="s">
        <v>18</v>
      </c>
      <c r="H2" s="8" t="s">
        <v>17</v>
      </c>
      <c r="I2" s="8" t="s">
        <v>16</v>
      </c>
      <c r="J2" s="8" t="s">
        <v>15</v>
      </c>
      <c r="K2" s="8" t="s">
        <v>5</v>
      </c>
      <c r="L2" s="8" t="s">
        <v>10</v>
      </c>
      <c r="M2" s="8" t="s">
        <v>11</v>
      </c>
      <c r="N2" s="8" t="s">
        <v>7</v>
      </c>
      <c r="O2" s="7" t="s">
        <v>8</v>
      </c>
      <c r="P2" s="7" t="s">
        <v>9</v>
      </c>
      <c r="Q2" s="7" t="s">
        <v>6</v>
      </c>
    </row>
    <row r="3" spans="1:17" ht="76.5" customHeight="1">
      <c r="A3" s="13">
        <v>1</v>
      </c>
      <c r="B3" s="16" t="s">
        <v>19</v>
      </c>
      <c r="C3" s="15" t="s">
        <v>20</v>
      </c>
      <c r="D3" s="15" t="s">
        <v>23</v>
      </c>
      <c r="E3" s="17" t="s">
        <v>21</v>
      </c>
      <c r="F3" s="13">
        <f>J3*K3</f>
        <v>3000</v>
      </c>
      <c r="G3" s="3">
        <v>500</v>
      </c>
      <c r="H3" s="3">
        <v>6</v>
      </c>
      <c r="I3" s="3">
        <v>6</v>
      </c>
      <c r="J3" s="13">
        <f>G3*I3</f>
        <v>3000</v>
      </c>
      <c r="K3" s="13">
        <v>1</v>
      </c>
      <c r="L3" s="13">
        <v>120</v>
      </c>
      <c r="M3" s="24">
        <v>134</v>
      </c>
      <c r="N3" s="25" t="s">
        <v>25</v>
      </c>
      <c r="O3" s="24">
        <f>L3*K3</f>
        <v>120</v>
      </c>
      <c r="P3" s="24">
        <f>M3*K3</f>
        <v>134</v>
      </c>
      <c r="Q3" s="14">
        <f>0.12*K3</f>
        <v>0.12</v>
      </c>
    </row>
    <row r="4" spans="1:17" ht="35.25" customHeight="1">
      <c r="A4" s="22" t="s">
        <v>13</v>
      </c>
      <c r="B4" s="23"/>
      <c r="C4" s="23"/>
      <c r="D4" s="6"/>
      <c r="E4" s="3"/>
      <c r="F4" s="3">
        <f>SUM(F3:F3)</f>
        <v>3000</v>
      </c>
      <c r="G4" s="3"/>
      <c r="H4" s="3">
        <f>SUM(H3:H3)</f>
        <v>6</v>
      </c>
      <c r="I4" s="3"/>
      <c r="J4" s="3"/>
      <c r="K4" s="12">
        <f>SUM(K3:K3)</f>
        <v>1</v>
      </c>
      <c r="L4" s="3"/>
      <c r="M4" s="3"/>
      <c r="N4" s="12"/>
      <c r="O4" s="12">
        <f>SUM(O3:O3)</f>
        <v>120</v>
      </c>
      <c r="P4" s="12">
        <f>SUM(P3:P3)</f>
        <v>134</v>
      </c>
      <c r="Q4" s="12">
        <f>SUM(Q3:Q3)</f>
        <v>0.12</v>
      </c>
    </row>
    <row r="5" spans="1:17" ht="14.45" customHeight="1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1" customHeight="1">
      <c r="A6" s="2"/>
      <c r="B6" s="10" t="s">
        <v>14</v>
      </c>
      <c r="C6" s="11" t="s">
        <v>24</v>
      </c>
      <c r="N6" s="2"/>
      <c r="O6" s="2"/>
      <c r="P6" s="2"/>
      <c r="Q6" s="2"/>
    </row>
    <row r="7" spans="1:17" ht="21" customHeight="1">
      <c r="A7" s="2"/>
      <c r="B7" s="4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8.75">
      <c r="A8" s="2"/>
      <c r="B8" s="2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0">
        <v>45719</v>
      </c>
      <c r="O8" s="20"/>
      <c r="P8" s="20"/>
      <c r="Q8" s="20"/>
    </row>
    <row r="9" spans="1:17" ht="18.75">
      <c r="A9" s="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1"/>
      <c r="O9" s="21"/>
      <c r="P9" s="21"/>
      <c r="Q9" s="21"/>
    </row>
    <row r="10" spans="1:17">
      <c r="A10" s="1"/>
      <c r="B10" s="1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mergeCells count="4">
    <mergeCell ref="A1:Q1"/>
    <mergeCell ref="N8:Q8"/>
    <mergeCell ref="N9:Q9"/>
    <mergeCell ref="A4:C4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2025-03-03T07:32:59Z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