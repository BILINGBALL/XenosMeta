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u\Desktop\23-154 100000件\"/>
    </mc:Choice>
  </mc:AlternateContent>
  <xr:revisionPtr revIDLastSave="0" documentId="13_ncr:1_{C187F3B9-2F3B-4F87-AE31-94CFCAB391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整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2" l="1"/>
  <c r="J4" i="2"/>
  <c r="F4" i="2" s="1"/>
  <c r="O4" i="2"/>
  <c r="M4" i="2"/>
  <c r="P4" i="2" s="1"/>
  <c r="K5" i="2"/>
  <c r="Q3" i="2"/>
  <c r="O3" i="2"/>
  <c r="M3" i="2"/>
  <c r="P3" i="2" s="1"/>
  <c r="J3" i="2"/>
  <c r="F3" i="2" s="1"/>
  <c r="H3" i="2"/>
  <c r="H5" i="2" l="1"/>
  <c r="O5" i="2"/>
  <c r="Q5" i="2"/>
  <c r="F5" i="2"/>
  <c r="P5" i="2"/>
</calcChain>
</file>

<file path=xl/sharedStrings.xml><?xml version="1.0" encoding="utf-8"?>
<sst xmlns="http://schemas.openxmlformats.org/spreadsheetml/2006/main" count="31" uniqueCount="29">
  <si>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</si>
  <si>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</si>
  <si>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</si>
  <si>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</si>
  <si>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</si>
  <si>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</si>
  <si>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</si>
  <si>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</si>
  <si>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</si>
  <si>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</si>
  <si>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</si>
  <si>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</si>
  <si>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</si>
  <si>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</si>
  <si>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</si>
  <si>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</si>
  <si>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</si>
  <si>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</si>
  <si>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</si>
  <si>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</si>
  <si>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</si>
  <si>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t>1200*800*550
0.53</t>
    <phoneticPr fontId="13" type="noConversion"/>
  </si>
  <si>
    <t>23*154</t>
    <phoneticPr fontId="13" type="noConversion"/>
  </si>
  <si>
    <t>CA2505838</t>
    <phoneticPr fontId="13" type="noConversion"/>
  </si>
  <si>
    <t xml:space="preserve">CA2505838  </t>
    <phoneticPr fontId="13" type="noConversion"/>
  </si>
  <si>
    <t>1200*800*350
0.34</t>
    <phoneticPr fontId="13" type="noConversion"/>
  </si>
  <si>
    <t>1/84-83/84</t>
    <phoneticPr fontId="13" type="noConversion"/>
  </si>
  <si>
    <t>84/84</t>
    <phoneticPr fontId="13" type="noConversion"/>
  </si>
  <si>
    <t>The pieces are packed in a bag : 40 pieces per bag and 30（10） bags per case so 1200（400）pieces per case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</si>
</sst>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5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tabSelected="1" workbookViewId="0">
      <selection activeCell="L4" sqref="L4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4.87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  <col min="18" max="18" width="14.75" customWidth="1"/>
  </cols>
  <sheetData>
    <row r="1" spans="1:17" ht="59.1" customHeight="1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ht="68.4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43.5" customHeight="1">
      <c r="A3" s="15">
        <v>1</v>
      </c>
      <c r="B3" s="3" t="s">
        <v>18</v>
      </c>
      <c r="C3" s="16" t="s">
        <v>22</v>
      </c>
      <c r="D3" s="16" t="s">
        <v>23</v>
      </c>
      <c r="E3" s="18" t="s">
        <v>26</v>
      </c>
      <c r="F3" s="4">
        <f>J3*K3</f>
        <v>99600</v>
      </c>
      <c r="G3" s="4">
        <v>40</v>
      </c>
      <c r="H3" s="4">
        <f>K3*I3</f>
        <v>2490</v>
      </c>
      <c r="I3" s="4">
        <v>30</v>
      </c>
      <c r="J3" s="4">
        <f>G3*I3</f>
        <v>1200</v>
      </c>
      <c r="K3" s="4">
        <v>83</v>
      </c>
      <c r="L3" s="4">
        <v>652</v>
      </c>
      <c r="M3" s="4">
        <f>L3+42</f>
        <v>694</v>
      </c>
      <c r="N3" s="19" t="s">
        <v>21</v>
      </c>
      <c r="O3" s="4">
        <f>L3*K3</f>
        <v>54116</v>
      </c>
      <c r="P3" s="4">
        <f>M3*K3</f>
        <v>57602</v>
      </c>
      <c r="Q3" s="4">
        <f>0.53*K3</f>
        <v>43.99</v>
      </c>
    </row>
    <row r="4" spans="1:17" ht="48" customHeight="1">
      <c r="A4" s="4">
        <v>2</v>
      </c>
      <c r="B4" s="20" t="s">
        <v>18</v>
      </c>
      <c r="C4" s="21" t="s">
        <v>22</v>
      </c>
      <c r="D4" s="21" t="s">
        <v>24</v>
      </c>
      <c r="E4" s="22" t="s">
        <v>27</v>
      </c>
      <c r="F4" s="4">
        <f>J4*K4</f>
        <v>400</v>
      </c>
      <c r="G4" s="4">
        <v>40</v>
      </c>
      <c r="H4" s="4">
        <v>10</v>
      </c>
      <c r="I4" s="4">
        <v>10</v>
      </c>
      <c r="J4" s="4">
        <f>G4*I4</f>
        <v>400</v>
      </c>
      <c r="K4" s="4">
        <v>1</v>
      </c>
      <c r="L4" s="4">
        <v>217</v>
      </c>
      <c r="M4" s="4">
        <f>L4+30</f>
        <v>247</v>
      </c>
      <c r="N4" s="19" t="s">
        <v>25</v>
      </c>
      <c r="O4" s="4">
        <f>L4*K4</f>
        <v>217</v>
      </c>
      <c r="P4" s="4">
        <f>M4*K4</f>
        <v>247</v>
      </c>
      <c r="Q4" s="4">
        <f>0.34*K4</f>
        <v>0.34</v>
      </c>
    </row>
    <row r="5" spans="1:17" ht="35.25" customHeight="1">
      <c r="A5" s="26" t="s">
        <v>19</v>
      </c>
      <c r="B5" s="26"/>
      <c r="C5" s="26"/>
      <c r="D5" s="6"/>
      <c r="E5" s="5"/>
      <c r="F5" s="5">
        <f>SUM(F3:F4)</f>
        <v>100000</v>
      </c>
      <c r="G5" s="5"/>
      <c r="H5" s="5">
        <f>SUM(H3:H4)</f>
        <v>2500</v>
      </c>
      <c r="I5" s="5"/>
      <c r="J5" s="5"/>
      <c r="K5" s="5">
        <f>SUM(K3:K4)</f>
        <v>84</v>
      </c>
      <c r="L5" s="5"/>
      <c r="M5" s="5"/>
      <c r="N5" s="10"/>
      <c r="O5" s="5">
        <f>SUM(O3:O4)</f>
        <v>54333</v>
      </c>
      <c r="P5" s="5">
        <f>SUM(P3:P4)</f>
        <v>57849</v>
      </c>
      <c r="Q5" s="11">
        <f>SUM(Q3:Q4)</f>
        <v>44.330000000000005</v>
      </c>
    </row>
    <row r="6" spans="1:17" ht="14.45" customHeight="1">
      <c r="A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ht="21" customHeight="1">
      <c r="A7" s="12"/>
      <c r="B7" s="13" t="s">
        <v>20</v>
      </c>
      <c r="C7" s="17" t="s">
        <v>28</v>
      </c>
      <c r="N7" s="12"/>
      <c r="O7" s="12"/>
      <c r="P7" s="12"/>
      <c r="Q7" s="12"/>
    </row>
    <row r="8" spans="1:17" ht="21" customHeight="1">
      <c r="A8" s="12"/>
      <c r="B8" s="14"/>
      <c r="C8" s="8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</row>
    <row r="9" spans="1:17" ht="18.75">
      <c r="A9" s="12"/>
      <c r="B9" s="12"/>
      <c r="C9" s="8"/>
      <c r="D9" s="12"/>
      <c r="E9" s="12"/>
      <c r="F9" s="12"/>
      <c r="G9" s="12"/>
      <c r="H9" s="12"/>
      <c r="I9" s="12"/>
      <c r="J9" s="12"/>
      <c r="K9" s="12"/>
      <c r="L9" s="12"/>
      <c r="M9" s="12"/>
      <c r="N9" s="23">
        <v>45979</v>
      </c>
      <c r="O9" s="23"/>
      <c r="P9" s="23"/>
      <c r="Q9" s="23"/>
    </row>
    <row r="10" spans="1:17">
      <c r="A10" s="9"/>
      <c r="B10" s="9"/>
      <c r="C10" s="8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>
      <c r="A11" s="9"/>
      <c r="B11" s="9"/>
      <c r="C11" s="8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</sheetData>
  <mergeCells count="3">
    <mergeCell ref="N9:Q9"/>
    <mergeCell ref="A1:Q1"/>
    <mergeCell ref="A5:C5"/>
  </mergeCells>
  <phoneticPr fontId="13" type="noConversion"/>
  <pageMargins left="0.196527777777778" right="0.196527777777778" top="0.43263888888888902" bottom="0.70833333333333304" header="0.5" footer="0.5"/>
  <pageSetup paperSize="9" scale="82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8A6DA2-9912-4902-93FB-649328AF6ADB}">
  <ds:schemaRefs/>
</ds:datastoreItem>
</file>

<file path=customXml/itemProps2.xml><?xml version="1.0" encoding="utf-8"?>
<ds:datastoreItem xmlns:ds="http://schemas.openxmlformats.org/officeDocument/2006/customXml" ds:itemID="{1FD0F0C3-FD85-4F4A-B3C7-C631F71BA556}">
  <ds:schemaRefs/>
</ds:datastoreItem>
</file>

<file path=customXml/itemProps3.xml><?xml version="1.0" encoding="utf-8"?>
<ds:datastoreItem xmlns:ds="http://schemas.openxmlformats.org/officeDocument/2006/customXml" ds:itemID="{12532537-10CC-40F5-A17B-2B64C178E5C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2025-11-18T07:58:39Z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