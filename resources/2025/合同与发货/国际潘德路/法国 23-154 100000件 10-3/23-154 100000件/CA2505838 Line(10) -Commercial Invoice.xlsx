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54 100000件\"/>
    </mc:Choice>
  </mc:AlternateContent>
  <xr:revisionPtr revIDLastSave="0" documentId="13_ncr:1_{252086E1-234A-4DFD-A930-B6E19FA047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<sst xmlns="http://schemas.openxmlformats.org/spreadsheetml/2006/main" count="38" uniqueCount="37">
  <si>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</si>
  <si>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</si>
  <si>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</si>
  <si>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</si>
  <si>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</si>
  <si>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</si>
  <si>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</si>
  <si>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</si>
  <si>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</si>
  <si>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</si>
  <si>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</si>
  <si>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</si>
  <si>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</si>
  <si>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</si>
  <si>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</si>
  <si>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</si>
  <si>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</si>
  <si>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</si>
  <si>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</si>
  <si>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</si>
  <si>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</si>
  <si>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</si>
  <si>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</si>
  <si>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</si>
  <si>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</si>
  <si>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</si>
  <si>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</si>
  <si>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</si>
  <si>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</si>
  <si>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</si>
  <si>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</si>
  <si>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 xml:space="preserve">205 RUE DE SIN LE NOBLE 59504 DOUAI CEDDEX, FRANCE
Consigee: Mathieu Lajonie
T:  +33 6.52.82.95.61 </t>
    <phoneticPr fontId="11" type="noConversion"/>
  </si>
  <si>
    <t>251201-PANDROL</t>
    <phoneticPr fontId="11" type="noConversion"/>
  </si>
  <si>
    <t>SEA</t>
    <phoneticPr fontId="11" type="noConversion"/>
  </si>
  <si>
    <t>CHINA</t>
    <phoneticPr fontId="11" type="noConversion"/>
  </si>
  <si>
    <t xml:space="preserve">CA2505838 </t>
    <phoneticPr fontId="11" type="noConversion"/>
  </si>
  <si>
    <t>GS54-B6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</si>
</sst>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F23" sqref="F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31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51" t="s">
        <v>11</v>
      </c>
      <c r="B12" s="52"/>
      <c r="C12" s="58" t="s">
        <v>32</v>
      </c>
      <c r="D12" s="59"/>
      <c r="E12" s="60">
        <v>45992</v>
      </c>
      <c r="F12" s="61"/>
      <c r="G12" s="6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29.1" customHeight="1" x14ac:dyDescent="0.15">
      <c r="A14" s="51" t="s">
        <v>15</v>
      </c>
      <c r="B14" s="52"/>
      <c r="C14" s="7" t="s">
        <v>35</v>
      </c>
      <c r="D14" s="8"/>
      <c r="E14" s="51"/>
      <c r="F14" s="53"/>
      <c r="G14" s="52"/>
    </row>
    <row r="15" spans="1:7" ht="15" customHeight="1" x14ac:dyDescent="0.15">
      <c r="A15" s="54" t="s">
        <v>16</v>
      </c>
      <c r="B15" s="55"/>
      <c r="C15" s="35" t="s">
        <v>17</v>
      </c>
      <c r="D15" s="37"/>
      <c r="E15" s="37"/>
      <c r="F15" s="37"/>
      <c r="G15" s="36"/>
    </row>
    <row r="16" spans="1:7" ht="15" customHeight="1" x14ac:dyDescent="0.15">
      <c r="A16" s="56" t="s">
        <v>33</v>
      </c>
      <c r="B16" s="57"/>
      <c r="C16" s="51" t="s">
        <v>34</v>
      </c>
      <c r="D16" s="53"/>
      <c r="E16" s="53"/>
      <c r="F16" s="53"/>
      <c r="G16" s="52"/>
    </row>
    <row r="17" spans="1:7" ht="15" customHeight="1" x14ac:dyDescent="0.15">
      <c r="A17" s="35" t="s">
        <v>18</v>
      </c>
      <c r="B17" s="36"/>
      <c r="C17" s="35" t="s">
        <v>19</v>
      </c>
      <c r="D17" s="37"/>
      <c r="E17" s="37"/>
      <c r="F17" s="37"/>
      <c r="G17" s="36"/>
    </row>
    <row r="18" spans="1:7" ht="15" customHeight="1" x14ac:dyDescent="0.15">
      <c r="A18" s="49" t="s">
        <v>20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21</v>
      </c>
      <c r="B20" s="47" t="s">
        <v>22</v>
      </c>
      <c r="C20" s="47" t="s">
        <v>23</v>
      </c>
      <c r="D20" s="41" t="s">
        <v>24</v>
      </c>
      <c r="E20" s="42"/>
      <c r="F20" s="9" t="s">
        <v>25</v>
      </c>
      <c r="G20" s="9" t="s">
        <v>26</v>
      </c>
    </row>
    <row r="21" spans="1:7" ht="15" customHeight="1" x14ac:dyDescent="0.15">
      <c r="A21" s="46"/>
      <c r="B21" s="48"/>
      <c r="C21" s="48"/>
      <c r="D21" s="43" t="s">
        <v>27</v>
      </c>
      <c r="E21" s="44"/>
      <c r="F21" s="10" t="s">
        <v>28</v>
      </c>
      <c r="G21" s="10" t="s">
        <v>28</v>
      </c>
    </row>
    <row r="22" spans="1:7" ht="27" customHeight="1" x14ac:dyDescent="0.15">
      <c r="A22" s="11">
        <v>1</v>
      </c>
      <c r="B22" s="12" t="s">
        <v>29</v>
      </c>
      <c r="C22" s="14" t="s">
        <v>36</v>
      </c>
      <c r="D22" s="20">
        <v>100000</v>
      </c>
      <c r="E22" s="32"/>
      <c r="F22" s="14">
        <v>0.74</v>
      </c>
      <c r="G22" s="13">
        <f>D22*F22</f>
        <v>74000</v>
      </c>
    </row>
    <row r="23" spans="1:7" ht="27" customHeight="1" x14ac:dyDescent="0.15">
      <c r="A23" s="11">
        <v>2</v>
      </c>
      <c r="B23" s="12"/>
      <c r="C23" s="14"/>
      <c r="D23" s="20"/>
      <c r="E23" s="32"/>
      <c r="F23" s="14"/>
      <c r="G23" s="13"/>
    </row>
    <row r="24" spans="1:7" ht="27" customHeight="1" x14ac:dyDescent="0.15">
      <c r="A24" s="15">
        <v>3</v>
      </c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30</v>
      </c>
      <c r="B28" s="23"/>
      <c r="C28" s="17"/>
      <c r="D28" s="24">
        <f>SUM(D22:E27)</f>
        <v>100000</v>
      </c>
      <c r="E28" s="25"/>
      <c r="F28" s="18"/>
      <c r="G28" s="19">
        <f>SUM(G22:G27)</f>
        <v>74000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2025-12-01T04:36:56Z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