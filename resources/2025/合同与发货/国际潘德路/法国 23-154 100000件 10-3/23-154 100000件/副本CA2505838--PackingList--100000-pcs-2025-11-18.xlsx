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D3F157E6-AA82-4C64-B34A-D61B3C8AAE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O4" i="2"/>
  <c r="M4" i="2"/>
  <c r="P4" i="2" s="1"/>
  <c r="J4" i="2"/>
  <c r="H4" i="2"/>
  <c r="F4" i="2"/>
  <c r="Q5" i="2"/>
  <c r="O5" i="2"/>
  <c r="M5" i="2"/>
  <c r="P5" i="2" s="1"/>
  <c r="J5" i="2"/>
  <c r="F5" i="2" s="1"/>
  <c r="H5" i="2"/>
  <c r="Q6" i="2"/>
  <c r="J6" i="2"/>
  <c r="F6" i="2" s="1"/>
  <c r="O6" i="2"/>
  <c r="M6" i="2"/>
  <c r="P6" i="2" s="1"/>
  <c r="K7" i="2"/>
  <c r="Q3" i="2"/>
  <c r="O3" i="2"/>
  <c r="M3" i="2"/>
  <c r="P3" i="2" s="1"/>
  <c r="J3" i="2"/>
  <c r="F3" i="2" s="1"/>
  <c r="H3" i="2"/>
  <c r="H7" i="2" l="1"/>
  <c r="O7" i="2"/>
  <c r="Q7" i="2"/>
  <c r="F7" i="2"/>
  <c r="P7" i="2"/>
</calcChain>
</file>

<file path=xl/sharedStrings.xml><?xml version="1.0" encoding="utf-8"?>
<sst xmlns="http://schemas.openxmlformats.org/spreadsheetml/2006/main" count="44" uniqueCount="34">
  <si>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</si>
  <si>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</si>
  <si>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</si>
  <si>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</si>
  <si>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</si>
  <si>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</si>
  <si>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</si>
  <si>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</si>
  <si>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</si>
  <si>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</si>
  <si>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</si>
  <si>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</si>
  <si>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</si>
  <si>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</si>
  <si>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</si>
  <si>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</si>
  <si>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</si>
  <si>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</si>
  <si>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</si>
  <si>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</si>
  <si>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</si>
  <si>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</si>
  <si>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23*154</t>
    <phoneticPr fontId="13" type="noConversion"/>
  </si>
  <si>
    <t>CA2505838</t>
    <phoneticPr fontId="13" type="noConversion"/>
  </si>
  <si>
    <t xml:space="preserve">CA2505838  </t>
    <phoneticPr fontId="13" type="noConversion"/>
  </si>
  <si>
    <t>1200*800*350
0.34</t>
    <phoneticPr fontId="13" type="noConversion"/>
  </si>
  <si>
    <t>84/84</t>
    <phoneticPr fontId="13" type="noConversion"/>
  </si>
  <si>
    <t>The pieces are packed in a bag : 40 pieces per bag and 30（10） bags per case so 1200（400）pieces per case</t>
    <phoneticPr fontId="13" type="noConversion"/>
  </si>
  <si>
    <t>1/84-34/84</t>
    <phoneticPr fontId="13" type="noConversion"/>
  </si>
  <si>
    <t>35/84-68/84</t>
    <phoneticPr fontId="13" type="noConversion"/>
  </si>
  <si>
    <t>69/84-83/84</t>
    <phoneticPr fontId="13" type="noConversion"/>
  </si>
  <si>
    <t>第一柜</t>
    <phoneticPr fontId="13" type="noConversion"/>
  </si>
  <si>
    <t>第二柜</t>
    <phoneticPr fontId="13" type="noConversion"/>
  </si>
  <si>
    <t>第三柜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</si>
</sst>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A2" workbookViewId="0">
      <selection activeCell="M6" sqref="M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8" ht="59.1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8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8" ht="43.5" customHeight="1">
      <c r="A3" s="15">
        <v>1</v>
      </c>
      <c r="B3" s="3" t="s">
        <v>18</v>
      </c>
      <c r="C3" s="16" t="s">
        <v>22</v>
      </c>
      <c r="D3" s="16" t="s">
        <v>23</v>
      </c>
      <c r="E3" s="18" t="s">
        <v>28</v>
      </c>
      <c r="F3" s="4">
        <f>J3*K3</f>
        <v>40800</v>
      </c>
      <c r="G3" s="4">
        <v>40</v>
      </c>
      <c r="H3" s="4">
        <f>K3*I3</f>
        <v>1020</v>
      </c>
      <c r="I3" s="4">
        <v>30</v>
      </c>
      <c r="J3" s="4">
        <f>G3*I3</f>
        <v>1200</v>
      </c>
      <c r="K3" s="4">
        <v>34</v>
      </c>
      <c r="L3" s="4">
        <v>652</v>
      </c>
      <c r="M3" s="4">
        <f>L3+42</f>
        <v>694</v>
      </c>
      <c r="N3" s="19" t="s">
        <v>21</v>
      </c>
      <c r="O3" s="4">
        <f>L3*K3</f>
        <v>22168</v>
      </c>
      <c r="P3" s="4">
        <f>M3*K3</f>
        <v>23596</v>
      </c>
      <c r="Q3" s="4">
        <f>0.53*K3</f>
        <v>18.02</v>
      </c>
      <c r="R3" s="27" t="s">
        <v>31</v>
      </c>
    </row>
    <row r="4" spans="1:18" ht="43.5" customHeight="1">
      <c r="A4" s="15">
        <v>2</v>
      </c>
      <c r="B4" s="3" t="s">
        <v>18</v>
      </c>
      <c r="C4" s="16" t="s">
        <v>22</v>
      </c>
      <c r="D4" s="16" t="s">
        <v>23</v>
      </c>
      <c r="E4" s="18" t="s">
        <v>29</v>
      </c>
      <c r="F4" s="4">
        <f>J4*K4</f>
        <v>40800</v>
      </c>
      <c r="G4" s="4">
        <v>40</v>
      </c>
      <c r="H4" s="4">
        <f>K4*I4</f>
        <v>1020</v>
      </c>
      <c r="I4" s="4">
        <v>30</v>
      </c>
      <c r="J4" s="4">
        <f>G4*I4</f>
        <v>1200</v>
      </c>
      <c r="K4" s="4">
        <v>34</v>
      </c>
      <c r="L4" s="4">
        <v>652</v>
      </c>
      <c r="M4" s="4">
        <f>L4+42</f>
        <v>694</v>
      </c>
      <c r="N4" s="19" t="s">
        <v>21</v>
      </c>
      <c r="O4" s="4">
        <f>L4*K4</f>
        <v>22168</v>
      </c>
      <c r="P4" s="4">
        <f>M4*K4</f>
        <v>23596</v>
      </c>
      <c r="Q4" s="4">
        <f>0.53*K4</f>
        <v>18.02</v>
      </c>
      <c r="R4" s="27" t="s">
        <v>32</v>
      </c>
    </row>
    <row r="5" spans="1:18" ht="43.5" customHeight="1">
      <c r="A5" s="15">
        <v>3</v>
      </c>
      <c r="B5" s="3" t="s">
        <v>18</v>
      </c>
      <c r="C5" s="16" t="s">
        <v>22</v>
      </c>
      <c r="D5" s="16" t="s">
        <v>23</v>
      </c>
      <c r="E5" s="18" t="s">
        <v>30</v>
      </c>
      <c r="F5" s="4">
        <f>J5*K5</f>
        <v>18000</v>
      </c>
      <c r="G5" s="4">
        <v>40</v>
      </c>
      <c r="H5" s="4">
        <f>K5*I5</f>
        <v>450</v>
      </c>
      <c r="I5" s="4">
        <v>30</v>
      </c>
      <c r="J5" s="4">
        <f>G5*I5</f>
        <v>1200</v>
      </c>
      <c r="K5" s="4">
        <v>15</v>
      </c>
      <c r="L5" s="4">
        <v>652</v>
      </c>
      <c r="M5" s="4">
        <f>L5+42</f>
        <v>694</v>
      </c>
      <c r="N5" s="19" t="s">
        <v>21</v>
      </c>
      <c r="O5" s="4">
        <f>L5*K5</f>
        <v>9780</v>
      </c>
      <c r="P5" s="4">
        <f>M5*K5</f>
        <v>10410</v>
      </c>
      <c r="Q5" s="4">
        <f>0.53*K5</f>
        <v>7.95</v>
      </c>
      <c r="R5" s="28" t="s">
        <v>33</v>
      </c>
    </row>
    <row r="6" spans="1:18" ht="48" customHeight="1">
      <c r="A6" s="4">
        <v>4</v>
      </c>
      <c r="B6" s="20" t="s">
        <v>18</v>
      </c>
      <c r="C6" s="21" t="s">
        <v>22</v>
      </c>
      <c r="D6" s="21" t="s">
        <v>24</v>
      </c>
      <c r="E6" s="22" t="s">
        <v>26</v>
      </c>
      <c r="F6" s="4">
        <f>J6*K6</f>
        <v>400</v>
      </c>
      <c r="G6" s="4">
        <v>40</v>
      </c>
      <c r="H6" s="4">
        <v>10</v>
      </c>
      <c r="I6" s="4">
        <v>10</v>
      </c>
      <c r="J6" s="4">
        <f>G6*I6</f>
        <v>400</v>
      </c>
      <c r="K6" s="4">
        <v>1</v>
      </c>
      <c r="L6" s="4">
        <v>217</v>
      </c>
      <c r="M6" s="4">
        <f>L6+30</f>
        <v>247</v>
      </c>
      <c r="N6" s="19" t="s">
        <v>25</v>
      </c>
      <c r="O6" s="4">
        <f>L6*K6</f>
        <v>217</v>
      </c>
      <c r="P6" s="4">
        <f>M6*K6</f>
        <v>247</v>
      </c>
      <c r="Q6" s="4">
        <f>0.34*K6</f>
        <v>0.34</v>
      </c>
      <c r="R6" s="28"/>
    </row>
    <row r="7" spans="1:18" ht="35.25" customHeight="1">
      <c r="A7" s="26" t="s">
        <v>19</v>
      </c>
      <c r="B7" s="26"/>
      <c r="C7" s="26"/>
      <c r="D7" s="6"/>
      <c r="E7" s="5"/>
      <c r="F7" s="5">
        <f>SUM(F3:F6)</f>
        <v>100000</v>
      </c>
      <c r="G7" s="5"/>
      <c r="H7" s="5">
        <f>SUM(H3:H6)</f>
        <v>2500</v>
      </c>
      <c r="I7" s="5"/>
      <c r="J7" s="5"/>
      <c r="K7" s="5">
        <f>SUM(K3:K6)</f>
        <v>84</v>
      </c>
      <c r="L7" s="5"/>
      <c r="M7" s="5"/>
      <c r="N7" s="10"/>
      <c r="O7" s="5">
        <f>SUM(O3:O6)</f>
        <v>54333</v>
      </c>
      <c r="P7" s="5">
        <f>SUM(P3:P6)</f>
        <v>57849</v>
      </c>
      <c r="Q7" s="11">
        <f>SUM(Q3:Q6)</f>
        <v>44.330000000000005</v>
      </c>
    </row>
    <row r="8" spans="1:18" ht="14.45" customHeight="1">
      <c r="A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8" ht="21" customHeight="1">
      <c r="A9" s="12"/>
      <c r="B9" s="13" t="s">
        <v>20</v>
      </c>
      <c r="C9" s="17" t="s">
        <v>27</v>
      </c>
      <c r="N9" s="12"/>
      <c r="O9" s="12"/>
      <c r="P9" s="12"/>
      <c r="Q9" s="12"/>
    </row>
    <row r="10" spans="1:18" ht="21" customHeight="1">
      <c r="A10" s="12"/>
      <c r="B10" s="14"/>
      <c r="C10" s="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8" ht="18.75">
      <c r="A11" s="12"/>
      <c r="B11" s="12"/>
      <c r="C11" s="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3">
        <v>45979</v>
      </c>
      <c r="O11" s="23"/>
      <c r="P11" s="23"/>
      <c r="Q11" s="23"/>
    </row>
    <row r="12" spans="1:18">
      <c r="A12" s="9"/>
      <c r="B12" s="9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8">
      <c r="A13" s="9"/>
      <c r="B13" s="9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</sheetData>
  <mergeCells count="4">
    <mergeCell ref="N11:Q11"/>
    <mergeCell ref="A1:Q1"/>
    <mergeCell ref="A7:C7"/>
    <mergeCell ref="R5:R6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ce8e1-e61e-4f10-ada2-68c6c500bded" xsi:nil="true"/>
    <lcf76f155ced4ddcb4097134ff3c332f xmlns="bbf2d0ee-83cb-4e18-b698-24213899dd0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BC9A1DBEA3F41BF126104538CF2F4" ma:contentTypeVersion="18" ma:contentTypeDescription="Create a new document." ma:contentTypeScope="" ma:versionID="c99ed97b58115115e8dd99b5d1a0ee99">
  <xsd:schema xmlns:xsd="http://www.w3.org/2001/XMLSchema" xmlns:xs="http://www.w3.org/2001/XMLSchema" xmlns:p="http://schemas.microsoft.com/office/2006/metadata/properties" xmlns:ns2="ad4ce8e1-e61e-4f10-ada2-68c6c500bded" xmlns:ns3="bbf2d0ee-83cb-4e18-b698-24213899dd0a" targetNamespace="http://schemas.microsoft.com/office/2006/metadata/properties" ma:root="true" ma:fieldsID="181706b7ff84828604574f884f1a034d" ns2:_="" ns3:_="">
    <xsd:import namespace="ad4ce8e1-e61e-4f10-ada2-68c6c500bded"/>
    <xsd:import namespace="bbf2d0ee-83cb-4e18-b698-24213899dd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ce8e1-e61e-4f10-ada2-68c6c500bd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67e836a-ee1c-4046-88d4-36156c3b16d2}" ma:internalName="TaxCatchAll" ma:showField="CatchAllData" ma:web="ad4ce8e1-e61e-4f10-ada2-68c6c500bd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2d0ee-83cb-4e18-b698-24213899d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015f81-0a24-41cb-a26e-9f91238b9d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05A698F0-D682-42BE-8944-674934EF0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ce8e1-e61e-4f10-ada2-68c6c500bded"/>
    <ds:schemaRef ds:uri="bbf2d0ee-83cb-4e18-b698-24213899d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2025-12-01T02:35:51Z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0x0101007E6BC9A1DBEA3F41BF126104538CF2F4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