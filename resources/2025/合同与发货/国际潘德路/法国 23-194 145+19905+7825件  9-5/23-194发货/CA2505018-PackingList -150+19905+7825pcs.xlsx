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3-194发货\"/>
    </mc:Choice>
  </mc:AlternateContent>
  <xr:revisionPtr revIDLastSave="0" documentId="13_ncr:1_{1ECBC460-81FE-4B78-A105-3C8E4B0F1E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K14" i="2"/>
  <c r="R8" i="2"/>
  <c r="K9" i="2"/>
  <c r="K8" i="2"/>
  <c r="L10" i="2"/>
  <c r="P8" i="2"/>
  <c r="N8" i="2"/>
  <c r="Q8" i="2" s="1"/>
  <c r="R7" i="2"/>
  <c r="P7" i="2"/>
  <c r="P10" i="2" s="1"/>
  <c r="N7" i="2"/>
  <c r="Q7" i="2" s="1"/>
  <c r="K7" i="2"/>
  <c r="I7" i="2"/>
  <c r="I10" i="2" s="1"/>
  <c r="G7" i="2"/>
  <c r="G10" i="2" s="1"/>
  <c r="R3" i="2"/>
  <c r="N3" i="2"/>
  <c r="R10" i="2" l="1"/>
  <c r="Q10" i="2"/>
  <c r="L16" i="2"/>
  <c r="R14" i="2"/>
  <c r="P14" i="2"/>
  <c r="N14" i="2"/>
  <c r="Q14" i="2" s="1"/>
  <c r="R13" i="2"/>
  <c r="P13" i="2"/>
  <c r="N13" i="2"/>
  <c r="Q13" i="2" s="1"/>
  <c r="K13" i="2"/>
  <c r="G13" i="2" s="1"/>
  <c r="G16" i="2" s="1"/>
  <c r="I13" i="2"/>
  <c r="I16" i="2" s="1"/>
  <c r="L4" i="2"/>
  <c r="R4" i="2"/>
  <c r="P3" i="2"/>
  <c r="Q3" i="2"/>
  <c r="K3" i="2"/>
  <c r="G3" i="2" s="1"/>
  <c r="G4" i="2" s="1"/>
  <c r="I3" i="2"/>
  <c r="I4" i="2" s="1"/>
  <c r="P16" i="2" l="1"/>
  <c r="R16" i="2"/>
  <c r="Q16" i="2"/>
  <c r="Q4" i="2"/>
  <c r="P4" i="2"/>
</calcChain>
</file>

<file path=xl/sharedStrings.xml><?xml version="1.0" encoding="utf-8"?>
<sst xmlns="http://schemas.openxmlformats.org/spreadsheetml/2006/main" count="79" uniqueCount="27">
  <si>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</si>
  <si>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</si>
  <si>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</si>
  <si>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</si>
  <si>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</si>
  <si>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</si>
  <si>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</si>
  <si>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</si>
  <si>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</si>
  <si>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</si>
  <si>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</si>
  <si>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</si>
  <si>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</si>
  <si>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</si>
  <si>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</si>
  <si>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</si>
  <si>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</si>
  <si>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</si>
  <si>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</si>
  <si>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</si>
  <si>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</si>
  <si>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1200*800*350
0.34</t>
    <phoneticPr fontId="13" type="noConversion"/>
  </si>
  <si>
    <t>Line NO.</t>
    <phoneticPr fontId="13" type="noConversion"/>
  </si>
  <si>
    <t>The cases are all stackable.</t>
    <phoneticPr fontId="13" type="noConversion"/>
  </si>
  <si>
    <t>23*194</t>
  </si>
  <si>
    <t>23*194</t>
    <phoneticPr fontId="13" type="noConversion"/>
  </si>
  <si>
    <t>CA2505018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</si>
</sst>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5"/>
  <sheetViews>
    <sheetView tabSelected="1" topLeftCell="A4" workbookViewId="0">
      <selection activeCell="E8" sqref="E8:E9"/>
    </sheetView>
  </sheetViews>
  <sheetFormatPr defaultColWidth="8.75" defaultRowHeight="13.5"/>
  <cols>
    <col min="1" max="1" width="4.625" customWidth="1"/>
    <col min="2" max="2" width="8.625" customWidth="1"/>
    <col min="3" max="4" width="9.375" customWidth="1"/>
    <col min="5" max="5" width="11.375" customWidth="1"/>
    <col min="6" max="6" width="14.875" customWidth="1"/>
    <col min="7" max="7" width="7.75" customWidth="1"/>
    <col min="8" max="8" width="5.75" customWidth="1"/>
    <col min="9" max="9" width="6.625" customWidth="1"/>
    <col min="10" max="10" width="6.875" customWidth="1"/>
    <col min="11" max="11" width="6.25" customWidth="1"/>
    <col min="12" max="12" width="5.375" customWidth="1"/>
    <col min="13" max="13" width="8.125" customWidth="1"/>
    <col min="14" max="14" width="8.375" customWidth="1"/>
    <col min="15" max="15" width="13.5" customWidth="1"/>
    <col min="19" max="19" width="14.75" customWidth="1"/>
  </cols>
  <sheetData>
    <row r="1" spans="1:18" ht="59.1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68.45" customHeight="1">
      <c r="A2" s="1" t="s">
        <v>1</v>
      </c>
      <c r="B2" s="1" t="s">
        <v>2</v>
      </c>
      <c r="C2" s="1" t="s">
        <v>3</v>
      </c>
      <c r="D2" s="18" t="s">
        <v>22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  <c r="Q2" s="1" t="s">
        <v>16</v>
      </c>
      <c r="R2" s="1" t="s">
        <v>17</v>
      </c>
    </row>
    <row r="3" spans="1:18" ht="43.5" customHeight="1">
      <c r="A3" s="4">
        <v>1</v>
      </c>
      <c r="B3" s="20" t="s">
        <v>18</v>
      </c>
      <c r="C3" s="21" t="s">
        <v>25</v>
      </c>
      <c r="D3" s="22">
        <v>10</v>
      </c>
      <c r="E3" s="21" t="s">
        <v>26</v>
      </c>
      <c r="F3" s="16"/>
      <c r="G3" s="4">
        <f>K3*L3</f>
        <v>150</v>
      </c>
      <c r="H3" s="4">
        <v>30</v>
      </c>
      <c r="I3" s="4">
        <f>L3*J3</f>
        <v>5</v>
      </c>
      <c r="J3" s="4">
        <v>5</v>
      </c>
      <c r="K3" s="4">
        <f>H3*J3</f>
        <v>150</v>
      </c>
      <c r="L3" s="4">
        <v>1</v>
      </c>
      <c r="M3" s="4">
        <v>98</v>
      </c>
      <c r="N3" s="4">
        <f>M3+30</f>
        <v>128</v>
      </c>
      <c r="O3" s="17" t="s">
        <v>21</v>
      </c>
      <c r="P3" s="4">
        <f>M3*L3</f>
        <v>98</v>
      </c>
      <c r="Q3" s="4">
        <f>N3*L3</f>
        <v>128</v>
      </c>
      <c r="R3" s="4">
        <f>0.34*L3</f>
        <v>0.34</v>
      </c>
    </row>
    <row r="4" spans="1:18" ht="35.25" customHeight="1">
      <c r="A4" s="26" t="s">
        <v>19</v>
      </c>
      <c r="B4" s="26"/>
      <c r="C4" s="26"/>
      <c r="D4" s="5"/>
      <c r="E4" s="6"/>
      <c r="F4" s="5"/>
      <c r="G4" s="5">
        <f>SUM(G3:G3)</f>
        <v>150</v>
      </c>
      <c r="H4" s="5"/>
      <c r="I4" s="5">
        <f>SUM(I3:I3)</f>
        <v>5</v>
      </c>
      <c r="J4" s="5"/>
      <c r="K4" s="5"/>
      <c r="L4" s="5">
        <f>SUM(L3:L3)</f>
        <v>1</v>
      </c>
      <c r="M4" s="5"/>
      <c r="N4" s="5"/>
      <c r="O4" s="10"/>
      <c r="P4" s="5">
        <f>SUM(P3:P3)</f>
        <v>98</v>
      </c>
      <c r="Q4" s="5">
        <f>SUM(Q3:Q3)</f>
        <v>128</v>
      </c>
      <c r="R4" s="5">
        <f>SUM(R3:R3)</f>
        <v>0.34</v>
      </c>
    </row>
    <row r="5" spans="1:18" ht="14.45" customHeight="1">
      <c r="A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68.45" customHeight="1">
      <c r="A6" s="1" t="s">
        <v>1</v>
      </c>
      <c r="B6" s="1" t="s">
        <v>2</v>
      </c>
      <c r="C6" s="1" t="s">
        <v>3</v>
      </c>
      <c r="D6" s="18" t="s">
        <v>22</v>
      </c>
      <c r="E6" s="2" t="s">
        <v>4</v>
      </c>
      <c r="F6" s="2" t="s">
        <v>5</v>
      </c>
      <c r="G6" s="3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1" t="s">
        <v>15</v>
      </c>
      <c r="Q6" s="1" t="s">
        <v>16</v>
      </c>
      <c r="R6" s="1" t="s">
        <v>17</v>
      </c>
    </row>
    <row r="7" spans="1:18" ht="48" customHeight="1">
      <c r="A7" s="4">
        <v>1</v>
      </c>
      <c r="B7" s="3" t="s">
        <v>18</v>
      </c>
      <c r="C7" s="21" t="s">
        <v>25</v>
      </c>
      <c r="D7" s="34">
        <v>20</v>
      </c>
      <c r="E7" s="14" t="s">
        <v>26</v>
      </c>
      <c r="F7" s="16"/>
      <c r="G7" s="4">
        <f>K7*L7</f>
        <v>18900</v>
      </c>
      <c r="H7" s="4">
        <v>30</v>
      </c>
      <c r="I7" s="4">
        <f>L7*J7</f>
        <v>630</v>
      </c>
      <c r="J7" s="4">
        <v>35</v>
      </c>
      <c r="K7" s="4">
        <f>H7*J7</f>
        <v>1050</v>
      </c>
      <c r="L7" s="4">
        <v>18</v>
      </c>
      <c r="M7" s="4">
        <v>684</v>
      </c>
      <c r="N7" s="4">
        <f>M7+42</f>
        <v>726</v>
      </c>
      <c r="O7" s="17" t="s">
        <v>20</v>
      </c>
      <c r="P7" s="4">
        <f>M7*L7</f>
        <v>12312</v>
      </c>
      <c r="Q7" s="4">
        <f>N7*L7</f>
        <v>13068</v>
      </c>
      <c r="R7" s="4">
        <f>0.53*L7</f>
        <v>9.5400000000000009</v>
      </c>
    </row>
    <row r="8" spans="1:18" ht="37.5" customHeight="1">
      <c r="A8" s="31">
        <v>2</v>
      </c>
      <c r="B8" s="27" t="s">
        <v>18</v>
      </c>
      <c r="C8" s="29" t="s">
        <v>24</v>
      </c>
      <c r="D8" s="35"/>
      <c r="E8" s="29" t="s">
        <v>26</v>
      </c>
      <c r="F8" s="37"/>
      <c r="G8" s="31">
        <v>1005</v>
      </c>
      <c r="H8" s="4">
        <v>30</v>
      </c>
      <c r="I8" s="4">
        <v>33</v>
      </c>
      <c r="J8" s="31">
        <v>34</v>
      </c>
      <c r="K8" s="4">
        <f>H8*I8</f>
        <v>990</v>
      </c>
      <c r="L8" s="31">
        <v>1</v>
      </c>
      <c r="M8" s="31">
        <v>654</v>
      </c>
      <c r="N8" s="31">
        <f>M8+30</f>
        <v>684</v>
      </c>
      <c r="O8" s="32" t="s">
        <v>20</v>
      </c>
      <c r="P8" s="31">
        <f>M8*L8</f>
        <v>654</v>
      </c>
      <c r="Q8" s="31">
        <f>N8*L8</f>
        <v>684</v>
      </c>
      <c r="R8" s="31">
        <f>0.53*L8</f>
        <v>0.53</v>
      </c>
    </row>
    <row r="9" spans="1:18" ht="37.5" customHeight="1">
      <c r="A9" s="26"/>
      <c r="B9" s="28"/>
      <c r="C9" s="30"/>
      <c r="D9" s="36"/>
      <c r="E9" s="30"/>
      <c r="F9" s="38"/>
      <c r="G9" s="26"/>
      <c r="H9" s="4">
        <v>15</v>
      </c>
      <c r="I9" s="4">
        <v>1</v>
      </c>
      <c r="J9" s="26"/>
      <c r="K9" s="4">
        <f>H9*I9</f>
        <v>15</v>
      </c>
      <c r="L9" s="26"/>
      <c r="M9" s="26"/>
      <c r="N9" s="26"/>
      <c r="O9" s="33"/>
      <c r="P9" s="26"/>
      <c r="Q9" s="26"/>
      <c r="R9" s="26"/>
    </row>
    <row r="10" spans="1:18" ht="35.25" customHeight="1">
      <c r="A10" s="26" t="s">
        <v>19</v>
      </c>
      <c r="B10" s="26"/>
      <c r="C10" s="26"/>
      <c r="D10" s="5"/>
      <c r="E10" s="6"/>
      <c r="F10" s="5"/>
      <c r="G10" s="5">
        <f>SUM(G7:G9)</f>
        <v>19905</v>
      </c>
      <c r="H10" s="5"/>
      <c r="I10" s="5">
        <f>SUM(I7:I9)</f>
        <v>664</v>
      </c>
      <c r="J10" s="5"/>
      <c r="K10" s="5"/>
      <c r="L10" s="5">
        <f>SUM(L7:L9)</f>
        <v>19</v>
      </c>
      <c r="M10" s="5"/>
      <c r="N10" s="5"/>
      <c r="O10" s="10"/>
      <c r="P10" s="5">
        <f>SUM(P7:P9)</f>
        <v>12966</v>
      </c>
      <c r="Q10" s="5">
        <f>SUM(Q7:Q9)</f>
        <v>13752</v>
      </c>
      <c r="R10" s="5">
        <f>SUM(R7:R9)</f>
        <v>10.07</v>
      </c>
    </row>
    <row r="11" spans="1:18" ht="14.45" customHeight="1">
      <c r="A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68.45" customHeight="1">
      <c r="A12" s="1" t="s">
        <v>1</v>
      </c>
      <c r="B12" s="1" t="s">
        <v>2</v>
      </c>
      <c r="C12" s="1" t="s">
        <v>3</v>
      </c>
      <c r="D12" s="18" t="s">
        <v>22</v>
      </c>
      <c r="E12" s="2" t="s">
        <v>4</v>
      </c>
      <c r="F12" s="2" t="s">
        <v>5</v>
      </c>
      <c r="G12" s="3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1" t="s">
        <v>15</v>
      </c>
      <c r="Q12" s="1" t="s">
        <v>16</v>
      </c>
      <c r="R12" s="1" t="s">
        <v>17</v>
      </c>
    </row>
    <row r="13" spans="1:18" ht="48" customHeight="1">
      <c r="A13" s="4">
        <v>1</v>
      </c>
      <c r="B13" s="3" t="s">
        <v>18</v>
      </c>
      <c r="C13" s="21" t="s">
        <v>25</v>
      </c>
      <c r="D13" s="34">
        <v>30</v>
      </c>
      <c r="E13" s="14" t="s">
        <v>26</v>
      </c>
      <c r="F13" s="16"/>
      <c r="G13" s="4">
        <f>K13*L13</f>
        <v>7350</v>
      </c>
      <c r="H13" s="4">
        <v>30</v>
      </c>
      <c r="I13" s="4">
        <f>L13*J13</f>
        <v>245</v>
      </c>
      <c r="J13" s="4">
        <v>35</v>
      </c>
      <c r="K13" s="4">
        <f>H13*J13</f>
        <v>1050</v>
      </c>
      <c r="L13" s="4">
        <v>7</v>
      </c>
      <c r="M13" s="4">
        <v>684</v>
      </c>
      <c r="N13" s="4">
        <f>M13+42</f>
        <v>726</v>
      </c>
      <c r="O13" s="17" t="s">
        <v>20</v>
      </c>
      <c r="P13" s="4">
        <f>M13*L13</f>
        <v>4788</v>
      </c>
      <c r="Q13" s="4">
        <f>N13*L13</f>
        <v>5082</v>
      </c>
      <c r="R13" s="4">
        <f>0.53*L13</f>
        <v>3.71</v>
      </c>
    </row>
    <row r="14" spans="1:18" ht="37.5" customHeight="1">
      <c r="A14" s="31">
        <v>2</v>
      </c>
      <c r="B14" s="27" t="s">
        <v>18</v>
      </c>
      <c r="C14" s="29" t="s">
        <v>24</v>
      </c>
      <c r="D14" s="35"/>
      <c r="E14" s="29" t="s">
        <v>26</v>
      </c>
      <c r="F14" s="37"/>
      <c r="G14" s="31">
        <v>475</v>
      </c>
      <c r="H14" s="4">
        <v>30</v>
      </c>
      <c r="I14" s="4">
        <v>15</v>
      </c>
      <c r="J14" s="31">
        <v>16</v>
      </c>
      <c r="K14" s="4">
        <f>H14*I14</f>
        <v>450</v>
      </c>
      <c r="L14" s="31">
        <v>1</v>
      </c>
      <c r="M14" s="31">
        <v>309</v>
      </c>
      <c r="N14" s="31">
        <f>M14+30</f>
        <v>339</v>
      </c>
      <c r="O14" s="32" t="s">
        <v>21</v>
      </c>
      <c r="P14" s="31">
        <f>M14*L14</f>
        <v>309</v>
      </c>
      <c r="Q14" s="31">
        <f>N14*L14</f>
        <v>339</v>
      </c>
      <c r="R14" s="31">
        <f>0.34*L14</f>
        <v>0.34</v>
      </c>
    </row>
    <row r="15" spans="1:18" ht="37.5" customHeight="1">
      <c r="A15" s="26"/>
      <c r="B15" s="28"/>
      <c r="C15" s="30"/>
      <c r="D15" s="36"/>
      <c r="E15" s="30"/>
      <c r="F15" s="38"/>
      <c r="G15" s="26"/>
      <c r="H15" s="4">
        <v>25</v>
      </c>
      <c r="I15" s="4">
        <v>1</v>
      </c>
      <c r="J15" s="26"/>
      <c r="K15" s="4">
        <f>H15*I15</f>
        <v>25</v>
      </c>
      <c r="L15" s="26"/>
      <c r="M15" s="26"/>
      <c r="N15" s="26"/>
      <c r="O15" s="33"/>
      <c r="P15" s="26"/>
      <c r="Q15" s="26"/>
      <c r="R15" s="26"/>
    </row>
    <row r="16" spans="1:18" ht="35.25" customHeight="1">
      <c r="A16" s="26" t="s">
        <v>19</v>
      </c>
      <c r="B16" s="26"/>
      <c r="C16" s="26"/>
      <c r="D16" s="5"/>
      <c r="E16" s="6"/>
      <c r="F16" s="5"/>
      <c r="G16" s="5">
        <f>SUM(G13:G15)</f>
        <v>7825</v>
      </c>
      <c r="H16" s="5"/>
      <c r="I16" s="5">
        <f>SUM(I13:I15)</f>
        <v>261</v>
      </c>
      <c r="J16" s="5"/>
      <c r="K16" s="5"/>
      <c r="L16" s="5">
        <f>SUM(L13:L15)</f>
        <v>8</v>
      </c>
      <c r="M16" s="5"/>
      <c r="N16" s="5"/>
      <c r="O16" s="10"/>
      <c r="P16" s="5">
        <f>SUM(P13:P15)</f>
        <v>5097</v>
      </c>
      <c r="Q16" s="5">
        <f>SUM(Q13:Q15)</f>
        <v>5421</v>
      </c>
      <c r="R16" s="5">
        <f>SUM(R13:R15)</f>
        <v>4.05</v>
      </c>
    </row>
    <row r="17" spans="1:18" ht="21" customHeight="1">
      <c r="A17" s="19" t="s">
        <v>23</v>
      </c>
      <c r="B17" s="12"/>
      <c r="C17" s="15"/>
      <c r="D17" s="15"/>
      <c r="O17" s="11"/>
      <c r="P17" s="11"/>
      <c r="Q17" s="11"/>
      <c r="R17" s="11"/>
    </row>
    <row r="18" spans="1:18" ht="21" customHeight="1">
      <c r="A18" s="11"/>
      <c r="B18" s="13"/>
      <c r="C18" s="8"/>
      <c r="D18" s="8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18.75">
      <c r="A19" s="11"/>
      <c r="B19" s="11"/>
      <c r="C19" s="8"/>
      <c r="D19" s="8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23">
        <v>45965</v>
      </c>
      <c r="P19" s="23"/>
      <c r="Q19" s="23"/>
      <c r="R19" s="23"/>
    </row>
    <row r="20" spans="1:18">
      <c r="A20" s="9"/>
      <c r="B20" s="9"/>
      <c r="C20" s="8"/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>
      <c r="A21" s="9"/>
      <c r="B21" s="9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</sheetData>
  <mergeCells count="35">
    <mergeCell ref="Q8:Q9"/>
    <mergeCell ref="R8:R9"/>
    <mergeCell ref="A10:C10"/>
    <mergeCell ref="L8:L9"/>
    <mergeCell ref="M8:M9"/>
    <mergeCell ref="N8:N9"/>
    <mergeCell ref="O8:O9"/>
    <mergeCell ref="P8:P9"/>
    <mergeCell ref="A16:C16"/>
    <mergeCell ref="N14:N15"/>
    <mergeCell ref="O14:O15"/>
    <mergeCell ref="P14:P15"/>
    <mergeCell ref="Q14:Q15"/>
    <mergeCell ref="R14:R15"/>
    <mergeCell ref="F14:F15"/>
    <mergeCell ref="G14:G15"/>
    <mergeCell ref="J14:J15"/>
    <mergeCell ref="L14:L15"/>
    <mergeCell ref="M14:M15"/>
    <mergeCell ref="A14:A15"/>
    <mergeCell ref="B14:B15"/>
    <mergeCell ref="C14:C15"/>
    <mergeCell ref="E14:E15"/>
    <mergeCell ref="D7:D9"/>
    <mergeCell ref="A8:A9"/>
    <mergeCell ref="B8:B9"/>
    <mergeCell ref="C8:C9"/>
    <mergeCell ref="E8:E9"/>
    <mergeCell ref="F8:F9"/>
    <mergeCell ref="G8:G9"/>
    <mergeCell ref="J8:J9"/>
    <mergeCell ref="O19:R19"/>
    <mergeCell ref="A1:R1"/>
    <mergeCell ref="A4:C4"/>
    <mergeCell ref="D13:D15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2025-10-21T05:07:17Z</cp:lastPrinted>
  <dcterms:created xsi:type="dcterms:W3CDTF">2006-09-13T11:21:00Z</dcterms:created>
  <dcterms:modified xsi:type="dcterms:W3CDTF">2025-11-04T08:24:27Z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