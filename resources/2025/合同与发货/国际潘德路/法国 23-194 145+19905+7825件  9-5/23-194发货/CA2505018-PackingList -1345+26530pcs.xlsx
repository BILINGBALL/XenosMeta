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lu\Desktop\23-194发货\"/>
    </mc:Choice>
  </mc:AlternateContent>
  <xr:revisionPtr revIDLastSave="0" documentId="13_ncr:1_{CAFEFBBD-6CEF-4415-8BCB-F3BCEB86D3F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整柜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" i="2" l="1"/>
  <c r="K11" i="2"/>
  <c r="K10" i="2"/>
  <c r="K5" i="2"/>
  <c r="K4" i="2"/>
  <c r="L6" i="2"/>
  <c r="P4" i="2"/>
  <c r="N4" i="2"/>
  <c r="Q4" i="2" s="1"/>
  <c r="R3" i="2"/>
  <c r="P3" i="2"/>
  <c r="N3" i="2"/>
  <c r="Q3" i="2" s="1"/>
  <c r="K3" i="2"/>
  <c r="I3" i="2"/>
  <c r="I6" i="2" s="1"/>
  <c r="G3" i="2"/>
  <c r="G6" i="2" s="1"/>
  <c r="P6" i="2" l="1"/>
  <c r="R6" i="2"/>
  <c r="Q6" i="2"/>
  <c r="L12" i="2"/>
  <c r="R10" i="2"/>
  <c r="P10" i="2"/>
  <c r="N10" i="2"/>
  <c r="Q10" i="2" s="1"/>
  <c r="R9" i="2"/>
  <c r="P9" i="2"/>
  <c r="N9" i="2"/>
  <c r="Q9" i="2" s="1"/>
  <c r="K9" i="2"/>
  <c r="G9" i="2" s="1"/>
  <c r="G12" i="2" s="1"/>
  <c r="I9" i="2"/>
  <c r="I12" i="2" s="1"/>
  <c r="P12" i="2" l="1"/>
  <c r="R12" i="2"/>
  <c r="Q12" i="2"/>
</calcChain>
</file>

<file path=xl/sharedStrings.xml><?xml version="1.0" encoding="utf-8"?>
<sst xmlns="http://schemas.openxmlformats.org/spreadsheetml/2006/main" count="56" uniqueCount="27">
  <si>
    <r>
      <rPr>
        <b/>
        <sz val="22"/>
        <color rgb="FFFFC000"/>
        <rFont val="宋体"/>
        <family val="3"/>
        <charset val="134"/>
        <scheme val="minor"/>
      </rPr>
      <t>PANDROL</t>
    </r>
    <r>
      <rPr>
        <b/>
        <sz val="16"/>
        <color theme="1"/>
        <rFont val="宋体"/>
        <family val="3"/>
        <charset val="134"/>
        <scheme val="minor"/>
      </rPr>
      <t xml:space="preserve">
PACKING DETAILS
</t>
    </r>
  </si>
  <si>
    <t xml:space="preserve">
No</t>
  </si>
  <si>
    <t xml:space="preserve">
Name</t>
  </si>
  <si>
    <t xml:space="preserve">
Spec.</t>
  </si>
  <si>
    <t xml:space="preserve">
PO</t>
  </si>
  <si>
    <t xml:space="preserve">
Case No.</t>
  </si>
  <si>
    <r>
      <rPr>
        <sz val="9"/>
        <color theme="1"/>
        <rFont val="宋体"/>
        <family val="3"/>
        <charset val="134"/>
        <scheme val="minor"/>
      </rPr>
      <t xml:space="preserve">
</t>
    </r>
    <r>
      <rPr>
        <b/>
        <sz val="9"/>
        <color theme="1"/>
        <rFont val="宋体"/>
        <family val="3"/>
        <charset val="134"/>
        <scheme val="minor"/>
      </rPr>
      <t>Quantity</t>
    </r>
  </si>
  <si>
    <t xml:space="preserve">
Pieces
/bag     (*)</t>
  </si>
  <si>
    <t xml:space="preserve">
Bags</t>
  </si>
  <si>
    <t xml:space="preserve">
Bags
/case</t>
  </si>
  <si>
    <t>Pieces
/case</t>
  </si>
  <si>
    <t xml:space="preserve">
CASE</t>
  </si>
  <si>
    <t>Net weight
NW/CASE
（KG）</t>
  </si>
  <si>
    <t>Gross weight
GW/CASE
（KG）</t>
  </si>
  <si>
    <t>Dimensions (mm) and volume (m3) / case</t>
  </si>
  <si>
    <t>Total Net weight
NW
（KG）</t>
  </si>
  <si>
    <t>Total Gross weight
GW
(KG）</t>
  </si>
  <si>
    <t xml:space="preserve">
Volume M³</t>
  </si>
  <si>
    <t>Coachscrew</t>
  </si>
  <si>
    <r>
      <rPr>
        <b/>
        <sz val="11"/>
        <color theme="1"/>
        <rFont val="宋体"/>
        <family val="3"/>
        <charset val="134"/>
        <scheme val="minor"/>
      </rPr>
      <t>Total</t>
    </r>
    <r>
      <rPr>
        <sz val="10"/>
        <color theme="1"/>
        <rFont val="宋体"/>
        <family val="3"/>
        <charset val="134"/>
        <scheme val="minor"/>
      </rPr>
      <t>：</t>
    </r>
  </si>
  <si>
    <t>1200*800*550
0.53</t>
    <phoneticPr fontId="13" type="noConversion"/>
  </si>
  <si>
    <t>1200*800*350
0.34</t>
    <phoneticPr fontId="13" type="noConversion"/>
  </si>
  <si>
    <t>Line NO.</t>
    <phoneticPr fontId="13" type="noConversion"/>
  </si>
  <si>
    <t>The cases are all stackable.</t>
    <phoneticPr fontId="13" type="noConversion"/>
  </si>
  <si>
    <t>23*194</t>
  </si>
  <si>
    <t>23*194</t>
    <phoneticPr fontId="13" type="noConversion"/>
  </si>
  <si>
    <t>CA2505018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</si>
</sst>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宋体"/>
      <charset val="134"/>
      <scheme val="minor"/>
    </font>
    <font>
      <b/>
      <sz val="22"/>
      <color rgb="FFFFC000"/>
      <name val="宋体"/>
      <family val="3"/>
      <charset val="134"/>
      <scheme val="minor"/>
    </font>
    <font>
      <b/>
      <sz val="16"/>
      <color theme="1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b/>
      <sz val="9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10"/>
      <name val="宋体"/>
      <family val="3"/>
      <charset val="134"/>
      <scheme val="minor"/>
    </font>
    <font>
      <sz val="10"/>
      <color theme="1"/>
      <name val="Arial Unicode MS"/>
      <family val="2"/>
    </font>
    <font>
      <sz val="14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b/>
      <sz val="10"/>
      <color rgb="FFFF0000"/>
      <name val="宋体"/>
      <family val="3"/>
      <charset val="134"/>
      <scheme val="minor"/>
    </font>
    <font>
      <b/>
      <sz val="18"/>
      <color rgb="FFFF0000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37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vertical="center" wrapText="1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right" vertical="center"/>
    </xf>
    <xf numFmtId="0" fontId="14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0" xfId="0" applyFont="1">
      <alignment vertical="center"/>
    </xf>
    <xf numFmtId="0" fontId="7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left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7" fillId="0" borderId="1" xfId="0" quotePrefix="1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14" fontId="9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colors>
    <mruColors>
      <color rgb="FFD521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21"/>
  <sheetViews>
    <sheetView tabSelected="1" topLeftCell="A5" workbookViewId="0">
      <selection activeCell="J12" sqref="J12"/>
    </sheetView>
  </sheetViews>
  <sheetFormatPr defaultColWidth="8.75" defaultRowHeight="13.5"/>
  <cols>
    <col min="1" max="1" width="4.625" customWidth="1"/>
    <col min="2" max="2" width="8.625" customWidth="1"/>
    <col min="3" max="4" width="9.375" customWidth="1"/>
    <col min="5" max="5" width="11.375" customWidth="1"/>
    <col min="6" max="6" width="14.875" customWidth="1"/>
    <col min="7" max="7" width="7.75" customWidth="1"/>
    <col min="8" max="8" width="5.75" customWidth="1"/>
    <col min="9" max="9" width="6.625" customWidth="1"/>
    <col min="10" max="10" width="6.875" customWidth="1"/>
    <col min="11" max="11" width="6.25" customWidth="1"/>
    <col min="12" max="12" width="5.375" customWidth="1"/>
    <col min="13" max="13" width="8.125" customWidth="1"/>
    <col min="14" max="14" width="8.375" customWidth="1"/>
    <col min="15" max="15" width="13.5" customWidth="1"/>
    <col min="19" max="19" width="14.75" customWidth="1"/>
  </cols>
  <sheetData>
    <row r="1" spans="1:18" ht="59.1" customHeight="1">
      <c r="A1" s="35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</row>
    <row r="2" spans="1:18" ht="68.45" customHeight="1">
      <c r="A2" s="1" t="s">
        <v>1</v>
      </c>
      <c r="B2" s="1" t="s">
        <v>2</v>
      </c>
      <c r="C2" s="1" t="s">
        <v>3</v>
      </c>
      <c r="D2" s="18" t="s">
        <v>22</v>
      </c>
      <c r="E2" s="2" t="s">
        <v>4</v>
      </c>
      <c r="F2" s="2" t="s">
        <v>5</v>
      </c>
      <c r="G2" s="3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1" t="s">
        <v>15</v>
      </c>
      <c r="Q2" s="1" t="s">
        <v>16</v>
      </c>
      <c r="R2" s="1" t="s">
        <v>17</v>
      </c>
    </row>
    <row r="3" spans="1:18" ht="48" customHeight="1">
      <c r="A3" s="4">
        <v>1</v>
      </c>
      <c r="B3" s="3" t="s">
        <v>18</v>
      </c>
      <c r="C3" s="20" t="s">
        <v>25</v>
      </c>
      <c r="D3" s="27">
        <v>10</v>
      </c>
      <c r="E3" s="14" t="s">
        <v>26</v>
      </c>
      <c r="F3" s="16"/>
      <c r="G3" s="4">
        <f>K3*L3</f>
        <v>1050</v>
      </c>
      <c r="H3" s="4">
        <v>30</v>
      </c>
      <c r="I3" s="4">
        <f>L3*J3</f>
        <v>35</v>
      </c>
      <c r="J3" s="4">
        <v>35</v>
      </c>
      <c r="K3" s="4">
        <f>H3*J3</f>
        <v>1050</v>
      </c>
      <c r="L3" s="4">
        <v>1</v>
      </c>
      <c r="M3" s="4">
        <v>684</v>
      </c>
      <c r="N3" s="4">
        <f>M3+42</f>
        <v>726</v>
      </c>
      <c r="O3" s="17" t="s">
        <v>20</v>
      </c>
      <c r="P3" s="4">
        <f>M3*L3</f>
        <v>684</v>
      </c>
      <c r="Q3" s="4">
        <f>N3*L3</f>
        <v>726</v>
      </c>
      <c r="R3" s="4">
        <f>0.53*L3</f>
        <v>0.53</v>
      </c>
    </row>
    <row r="4" spans="1:18" ht="37.5" customHeight="1">
      <c r="A4" s="21">
        <v>2</v>
      </c>
      <c r="B4" s="30" t="s">
        <v>18</v>
      </c>
      <c r="C4" s="23" t="s">
        <v>24</v>
      </c>
      <c r="D4" s="28"/>
      <c r="E4" s="23" t="s">
        <v>26</v>
      </c>
      <c r="F4" s="32"/>
      <c r="G4" s="21">
        <v>295</v>
      </c>
      <c r="H4" s="4">
        <v>30</v>
      </c>
      <c r="I4" s="4">
        <v>9</v>
      </c>
      <c r="J4" s="21">
        <v>10</v>
      </c>
      <c r="K4" s="4">
        <f>H4*I4</f>
        <v>270</v>
      </c>
      <c r="L4" s="21">
        <v>1</v>
      </c>
      <c r="M4" s="21">
        <v>192</v>
      </c>
      <c r="N4" s="21">
        <f>M4+30</f>
        <v>222</v>
      </c>
      <c r="O4" s="25" t="s">
        <v>21</v>
      </c>
      <c r="P4" s="21">
        <f>M4*L4</f>
        <v>192</v>
      </c>
      <c r="Q4" s="21">
        <f>N4*L4</f>
        <v>222</v>
      </c>
      <c r="R4" s="21">
        <f>0.34*L4</f>
        <v>0.34</v>
      </c>
    </row>
    <row r="5" spans="1:18" ht="37.5" customHeight="1">
      <c r="A5" s="22"/>
      <c r="B5" s="31"/>
      <c r="C5" s="24"/>
      <c r="D5" s="29"/>
      <c r="E5" s="24"/>
      <c r="F5" s="33"/>
      <c r="G5" s="22"/>
      <c r="H5" s="4">
        <v>25</v>
      </c>
      <c r="I5" s="4">
        <v>1</v>
      </c>
      <c r="J5" s="22"/>
      <c r="K5" s="4">
        <f>H5*I5</f>
        <v>25</v>
      </c>
      <c r="L5" s="22"/>
      <c r="M5" s="22"/>
      <c r="N5" s="22"/>
      <c r="O5" s="26"/>
      <c r="P5" s="22"/>
      <c r="Q5" s="22"/>
      <c r="R5" s="22"/>
    </row>
    <row r="6" spans="1:18" ht="35.25" customHeight="1">
      <c r="A6" s="22" t="s">
        <v>19</v>
      </c>
      <c r="B6" s="22"/>
      <c r="C6" s="22"/>
      <c r="D6" s="5"/>
      <c r="E6" s="6"/>
      <c r="F6" s="5"/>
      <c r="G6" s="5">
        <f>SUM(G3:G5)</f>
        <v>1345</v>
      </c>
      <c r="H6" s="5"/>
      <c r="I6" s="5">
        <f>SUM(I3:I5)</f>
        <v>45</v>
      </c>
      <c r="J6" s="5"/>
      <c r="K6" s="5"/>
      <c r="L6" s="5">
        <f>SUM(L3:L5)</f>
        <v>2</v>
      </c>
      <c r="M6" s="5"/>
      <c r="N6" s="5"/>
      <c r="O6" s="10"/>
      <c r="P6" s="5">
        <f>SUM(P3:P5)</f>
        <v>876</v>
      </c>
      <c r="Q6" s="5">
        <f>SUM(Q3:Q5)</f>
        <v>948</v>
      </c>
      <c r="R6" s="5">
        <f>SUM(R3:R5)</f>
        <v>0.87000000000000011</v>
      </c>
    </row>
    <row r="7" spans="1:18" ht="14.45" customHeight="1">
      <c r="A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</row>
    <row r="8" spans="1:18" ht="68.45" customHeight="1">
      <c r="A8" s="1" t="s">
        <v>1</v>
      </c>
      <c r="B8" s="1" t="s">
        <v>2</v>
      </c>
      <c r="C8" s="1" t="s">
        <v>3</v>
      </c>
      <c r="D8" s="18" t="s">
        <v>22</v>
      </c>
      <c r="E8" s="2" t="s">
        <v>4</v>
      </c>
      <c r="F8" s="2" t="s">
        <v>5</v>
      </c>
      <c r="G8" s="3" t="s">
        <v>6</v>
      </c>
      <c r="H8" s="2" t="s">
        <v>7</v>
      </c>
      <c r="I8" s="2" t="s">
        <v>8</v>
      </c>
      <c r="J8" s="2" t="s">
        <v>9</v>
      </c>
      <c r="K8" s="2" t="s">
        <v>10</v>
      </c>
      <c r="L8" s="2" t="s">
        <v>11</v>
      </c>
      <c r="M8" s="2" t="s">
        <v>12</v>
      </c>
      <c r="N8" s="2" t="s">
        <v>13</v>
      </c>
      <c r="O8" s="2" t="s">
        <v>14</v>
      </c>
      <c r="P8" s="1" t="s">
        <v>15</v>
      </c>
      <c r="Q8" s="1" t="s">
        <v>16</v>
      </c>
      <c r="R8" s="1" t="s">
        <v>17</v>
      </c>
    </row>
    <row r="9" spans="1:18" ht="48" customHeight="1">
      <c r="A9" s="4">
        <v>1</v>
      </c>
      <c r="B9" s="3" t="s">
        <v>18</v>
      </c>
      <c r="C9" s="20" t="s">
        <v>25</v>
      </c>
      <c r="D9" s="27">
        <v>20</v>
      </c>
      <c r="E9" s="14" t="s">
        <v>26</v>
      </c>
      <c r="F9" s="16"/>
      <c r="G9" s="4">
        <f>K9*L9</f>
        <v>26250</v>
      </c>
      <c r="H9" s="4">
        <v>30</v>
      </c>
      <c r="I9" s="4">
        <f>L9*J9</f>
        <v>875</v>
      </c>
      <c r="J9" s="4">
        <v>35</v>
      </c>
      <c r="K9" s="4">
        <f>H9*J9</f>
        <v>1050</v>
      </c>
      <c r="L9" s="4">
        <v>25</v>
      </c>
      <c r="M9" s="4">
        <v>684</v>
      </c>
      <c r="N9" s="4">
        <f>M9+42</f>
        <v>726</v>
      </c>
      <c r="O9" s="17" t="s">
        <v>20</v>
      </c>
      <c r="P9" s="4">
        <f>M9*L9</f>
        <v>17100</v>
      </c>
      <c r="Q9" s="4">
        <f>N9*L9</f>
        <v>18150</v>
      </c>
      <c r="R9" s="4">
        <f>0.53*L9</f>
        <v>13.25</v>
      </c>
    </row>
    <row r="10" spans="1:18" ht="37.5" customHeight="1">
      <c r="A10" s="21">
        <v>2</v>
      </c>
      <c r="B10" s="30" t="s">
        <v>18</v>
      </c>
      <c r="C10" s="23" t="s">
        <v>24</v>
      </c>
      <c r="D10" s="28"/>
      <c r="E10" s="23" t="s">
        <v>26</v>
      </c>
      <c r="F10" s="32"/>
      <c r="G10" s="21">
        <v>280</v>
      </c>
      <c r="H10" s="4">
        <v>30</v>
      </c>
      <c r="I10" s="4">
        <v>9</v>
      </c>
      <c r="J10" s="21">
        <v>10</v>
      </c>
      <c r="K10" s="4">
        <f>H10*I10</f>
        <v>270</v>
      </c>
      <c r="L10" s="21">
        <v>1</v>
      </c>
      <c r="M10" s="21">
        <v>182</v>
      </c>
      <c r="N10" s="21">
        <f>M10+30</f>
        <v>212</v>
      </c>
      <c r="O10" s="25" t="s">
        <v>21</v>
      </c>
      <c r="P10" s="21">
        <f>M10*L10</f>
        <v>182</v>
      </c>
      <c r="Q10" s="21">
        <f>N10*L10</f>
        <v>212</v>
      </c>
      <c r="R10" s="21">
        <f>0.34*L10</f>
        <v>0.34</v>
      </c>
    </row>
    <row r="11" spans="1:18" ht="37.5" customHeight="1">
      <c r="A11" s="22"/>
      <c r="B11" s="31"/>
      <c r="C11" s="24"/>
      <c r="D11" s="29"/>
      <c r="E11" s="24"/>
      <c r="F11" s="33"/>
      <c r="G11" s="22"/>
      <c r="H11" s="4">
        <v>10</v>
      </c>
      <c r="I11" s="4">
        <v>1</v>
      </c>
      <c r="J11" s="22"/>
      <c r="K11" s="4">
        <f>H11*I11</f>
        <v>10</v>
      </c>
      <c r="L11" s="22"/>
      <c r="M11" s="22"/>
      <c r="N11" s="22"/>
      <c r="O11" s="26"/>
      <c r="P11" s="22"/>
      <c r="Q11" s="22"/>
      <c r="R11" s="22"/>
    </row>
    <row r="12" spans="1:18" ht="35.25" customHeight="1">
      <c r="A12" s="22" t="s">
        <v>19</v>
      </c>
      <c r="B12" s="22"/>
      <c r="C12" s="22"/>
      <c r="D12" s="5"/>
      <c r="E12" s="6"/>
      <c r="F12" s="5"/>
      <c r="G12" s="5">
        <f>SUM(G9:G11)</f>
        <v>26530</v>
      </c>
      <c r="H12" s="5"/>
      <c r="I12" s="5">
        <f>SUM(I9:I11)</f>
        <v>885</v>
      </c>
      <c r="J12" s="5"/>
      <c r="K12" s="5"/>
      <c r="L12" s="5">
        <f>SUM(L9:L11)</f>
        <v>26</v>
      </c>
      <c r="M12" s="5"/>
      <c r="N12" s="5"/>
      <c r="O12" s="10"/>
      <c r="P12" s="5">
        <f>SUM(P9:P11)</f>
        <v>17282</v>
      </c>
      <c r="Q12" s="5">
        <f>SUM(Q9:Q11)</f>
        <v>18362</v>
      </c>
      <c r="R12" s="5">
        <f>SUM(R9:R11)</f>
        <v>13.59</v>
      </c>
    </row>
    <row r="13" spans="1:18" ht="21" customHeight="1">
      <c r="A13" s="19" t="s">
        <v>23</v>
      </c>
      <c r="B13" s="12"/>
      <c r="C13" s="15"/>
      <c r="D13" s="15"/>
      <c r="O13" s="11"/>
      <c r="P13" s="11"/>
      <c r="Q13" s="11"/>
      <c r="R13" s="11"/>
    </row>
    <row r="14" spans="1:18" ht="21" customHeight="1">
      <c r="A14" s="11"/>
      <c r="B14" s="13"/>
      <c r="C14" s="8"/>
      <c r="D14" s="8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</row>
    <row r="15" spans="1:18" ht="18.75">
      <c r="A15" s="11"/>
      <c r="B15" s="11"/>
      <c r="C15" s="8"/>
      <c r="D15" s="8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34">
        <v>45966</v>
      </c>
      <c r="P15" s="34"/>
      <c r="Q15" s="34"/>
      <c r="R15" s="34"/>
    </row>
    <row r="16" spans="1:18">
      <c r="A16" s="9"/>
      <c r="B16" s="9"/>
      <c r="C16" s="8"/>
      <c r="D16" s="8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</row>
    <row r="17" spans="1:18">
      <c r="A17" s="9"/>
      <c r="B17" s="9"/>
      <c r="C17" s="8"/>
      <c r="D17" s="8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</row>
    <row r="18" spans="1:18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</row>
    <row r="19" spans="1:18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</row>
    <row r="20" spans="1:18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</row>
    <row r="21" spans="1:18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</row>
  </sheetData>
  <mergeCells count="34">
    <mergeCell ref="O15:R15"/>
    <mergeCell ref="A1:R1"/>
    <mergeCell ref="D9:D11"/>
    <mergeCell ref="R10:R11"/>
    <mergeCell ref="F10:F11"/>
    <mergeCell ref="G10:G11"/>
    <mergeCell ref="J10:J11"/>
    <mergeCell ref="L10:L11"/>
    <mergeCell ref="M10:M11"/>
    <mergeCell ref="A12:C12"/>
    <mergeCell ref="N10:N11"/>
    <mergeCell ref="O10:O11"/>
    <mergeCell ref="P10:P11"/>
    <mergeCell ref="Q10:Q11"/>
    <mergeCell ref="A10:A11"/>
    <mergeCell ref="B10:B11"/>
    <mergeCell ref="R4:R5"/>
    <mergeCell ref="A6:C6"/>
    <mergeCell ref="L4:L5"/>
    <mergeCell ref="M4:M5"/>
    <mergeCell ref="N4:N5"/>
    <mergeCell ref="O4:O5"/>
    <mergeCell ref="P4:P5"/>
    <mergeCell ref="D3:D5"/>
    <mergeCell ref="A4:A5"/>
    <mergeCell ref="B4:B5"/>
    <mergeCell ref="C4:C5"/>
    <mergeCell ref="E4:E5"/>
    <mergeCell ref="F4:F5"/>
    <mergeCell ref="G4:G5"/>
    <mergeCell ref="J4:J5"/>
    <mergeCell ref="C10:C11"/>
    <mergeCell ref="E10:E11"/>
    <mergeCell ref="Q4:Q5"/>
  </mergeCells>
  <phoneticPr fontId="13" type="noConversion"/>
  <pageMargins left="0.196527777777778" right="0.196527777777778" top="0.43263888888888902" bottom="0.70833333333333304" header="0.5" footer="0.5"/>
  <pageSetup paperSize="9" scale="67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01FF72671DA647AA020B76642CAC9C" ma:contentTypeVersion="13" ma:contentTypeDescription="Create a new document." ma:contentTypeScope="" ma:versionID="a4fd34fbe28c8dd547947a8496e0f73c">
  <xsd:schema xmlns:xsd="http://www.w3.org/2001/XMLSchema" xmlns:xs="http://www.w3.org/2001/XMLSchema" xmlns:p="http://schemas.microsoft.com/office/2006/metadata/properties" xmlns:ns2="2e6e8895-a1a3-471c-8d53-a32df94e8e84" xmlns:ns3="78763921-75a2-4c66-8344-28a70ab3a1e1" targetNamespace="http://schemas.microsoft.com/office/2006/metadata/properties" ma:root="true" ma:fieldsID="939ad6d0b49507b7e5b97f0ca8411715" ns2:_="" ns3:_="">
    <xsd:import namespace="2e6e8895-a1a3-471c-8d53-a32df94e8e84"/>
    <xsd:import namespace="78763921-75a2-4c66-8344-28a70ab3a1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6e8895-a1a3-471c-8d53-a32df94e8e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763921-75a2-4c66-8344-28a70ab3a1e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2532537-10CC-40F5-A17B-2B64C178E5CF}">
  <ds:schemaRefs/>
</ds:datastoreItem>
</file>

<file path=customXml/itemProps2.xml><?xml version="1.0" encoding="utf-8"?>
<ds:datastoreItem xmlns:ds="http://schemas.openxmlformats.org/officeDocument/2006/customXml" ds:itemID="{1FD0F0C3-FD85-4F4A-B3C7-C631F71BA556}">
  <ds:schemaRefs/>
</ds:datastoreItem>
</file>

<file path=customXml/itemProps3.xml><?xml version="1.0" encoding="utf-8"?>
<ds:datastoreItem xmlns:ds="http://schemas.openxmlformats.org/officeDocument/2006/customXml" ds:itemID="{938A6DA2-9912-4902-93FB-649328AF6AD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整柜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cp:lastPrinted>2025-10-21T05:07:17Z</cp:lastPrinted>
  <dcterms:created xsi:type="dcterms:W3CDTF">2006-09-13T11:21:00Z</dcterms:created>
  <dcterms:modified xsi:type="dcterms:W3CDTF">2025-11-21T01:41:14Z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0x0101002101FF72671DA647AA020B76642CAC9C</vt:lpwstr>
  </property>
  <property fmtid="{D5CDD505-2E9C-101B-9397-08002B2CF9AE}" pid="3" name="ICV">
    <vt:lpwstr>CDC96FE78F22440AAE707D4ED438F417_13</vt:lpwstr>
  </property>
  <property fmtid="{D5CDD505-2E9C-101B-9397-08002B2CF9AE}" pid="4" name="KSOProductBuildVer">
    <vt:lpwstr>2052-12.1.0.15374</vt:lpwstr>
  </property>
</Properties>
</file>