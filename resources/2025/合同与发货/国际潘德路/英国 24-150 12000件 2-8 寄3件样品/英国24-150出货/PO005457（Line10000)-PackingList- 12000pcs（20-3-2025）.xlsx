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8_{3A4BCA51-D9D7-4ABE-8B8C-8AF467AF0D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P4" i="1" s="1"/>
  <c r="M3" i="1"/>
  <c r="P3" i="1" s="1"/>
  <c r="Q4" i="1"/>
  <c r="J4" i="1"/>
  <c r="H4" i="1"/>
  <c r="O4" i="1"/>
  <c r="K5" i="1"/>
  <c r="F4" i="1"/>
  <c r="Q3" i="1"/>
  <c r="Q5" i="1" s="1"/>
  <c r="O3" i="1"/>
  <c r="J3" i="1"/>
  <c r="F3" i="1" s="1"/>
  <c r="F5" i="1" s="1"/>
  <c r="H3" i="1"/>
  <c r="H5" i="1" s="1"/>
  <c r="O5" i="1" l="1"/>
  <c r="P5" i="1"/>
</calcChain>
</file>

<file path=xl/sharedStrings.xml><?xml version="1.0" encoding="utf-8"?>
<sst xmlns="http://schemas.openxmlformats.org/spreadsheetml/2006/main" count="30" uniqueCount="28">
  <si>
    <t xml:space="preserve">
Name</t>
  </si>
  <si>
    <t xml:space="preserve">
Spec.</t>
  </si>
  <si>
    <t xml:space="preserve">
PO</t>
  </si>
  <si>
    <t xml:space="preserve">
Case No.</t>
  </si>
  <si>
    <t xml:space="preserve">
CASE</t>
  </si>
  <si>
    <t>Dimensions (mm) and volume (m3) / case</t>
  </si>
  <si>
    <t>Gross weight
GW/CASE
（KG）</t>
  </si>
  <si>
    <r>
      <t xml:space="preserve">
</t>
    </r>
    <r>
      <rPr>
        <b/>
        <sz val="9"/>
        <color theme="1"/>
        <rFont val="宋体"/>
        <family val="2"/>
        <scheme val="minor"/>
      </rPr>
      <t>Quantity</t>
    </r>
  </si>
  <si>
    <r>
      <rPr>
        <b/>
        <sz val="11"/>
        <color theme="1"/>
        <rFont val="宋体"/>
        <family val="2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</si>
  <si>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</si>
  <si>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Pieces
/case</t>
  </si>
  <si>
    <t xml:space="preserve">
Bags
/case</t>
  </si>
  <si>
    <t xml:space="preserve">
Pieces
/bag     (*)</t>
  </si>
  <si>
    <r>
      <rPr>
        <b/>
        <sz val="22"/>
        <color rgb="FFFFC000"/>
        <rFont val="宋体"/>
        <family val="2"/>
        <scheme val="minor"/>
      </rPr>
      <t>PANDROL</t>
    </r>
    <r>
      <rPr>
        <b/>
        <sz val="16"/>
        <color theme="1"/>
        <rFont val="宋体"/>
        <family val="2"/>
        <scheme val="minor"/>
      </rPr>
      <t xml:space="preserve">
PACKING DETAILS
</t>
    </r>
  </si>
  <si>
    <t>24*150</t>
    <phoneticPr fontId="1" type="noConversion"/>
  </si>
  <si>
    <t xml:space="preserve">
No</t>
  </si>
  <si>
    <t xml:space="preserve">
Bags</t>
  </si>
  <si>
    <t>Net weight
NW/CASE
（KG）</t>
  </si>
  <si>
    <t>Total Net weight
NW
（KG）</t>
  </si>
  <si>
    <t>Total Gross weight
GW
(KG）</t>
  </si>
  <si>
    <t xml:space="preserve">
Volume M³</t>
  </si>
  <si>
    <t>Coachscrew</t>
    <phoneticPr fontId="1" type="noConversion"/>
  </si>
  <si>
    <t>1200*800*550
0.53</t>
    <phoneticPr fontId="1" type="noConversion"/>
  </si>
  <si>
    <t>10/10</t>
    <phoneticPr fontId="1" type="noConversion"/>
  </si>
  <si>
    <t>1/10-9/10</t>
    <phoneticPr fontId="1" type="noConversion"/>
  </si>
  <si>
    <t>The pieces are packed in a bag : 40 pieces per bag and 32（12） bags per case so 1280（480） pieces per case</t>
    <phoneticPr fontId="1" type="noConversion"/>
  </si>
  <si>
    <t>1200*800*350
0.34</t>
    <phoneticPr fontId="1" type="noConversion"/>
  </si>
  <si>
    <t>PO005457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</si>
</sst>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b/>
      <sz val="22"/>
      <color rgb="FFFFC000"/>
      <name val="宋体"/>
      <family val="2"/>
      <scheme val="minor"/>
    </font>
    <font>
      <sz val="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7</xdr:row>
      <xdr:rowOff>133350</xdr:rowOff>
    </xdr:from>
    <xdr:to>
      <xdr:col>14</xdr:col>
      <xdr:colOff>571500</xdr:colOff>
      <xdr:row>9</xdr:row>
      <xdr:rowOff>161925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229350" y="5829300"/>
          <a:ext cx="28003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workbookViewId="0">
      <selection activeCell="D10" sqref="D10"/>
    </sheetView>
  </sheetViews>
  <sheetFormatPr defaultColWidth="8.75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</cols>
  <sheetData>
    <row r="1" spans="1:17" ht="80.45" customHeight="1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68.45" customHeight="1">
      <c r="A2" s="6" t="s">
        <v>15</v>
      </c>
      <c r="B2" s="6" t="s">
        <v>0</v>
      </c>
      <c r="C2" s="6" t="s">
        <v>1</v>
      </c>
      <c r="D2" s="7" t="s">
        <v>2</v>
      </c>
      <c r="E2" s="7" t="s">
        <v>3</v>
      </c>
      <c r="F2" s="8" t="s">
        <v>7</v>
      </c>
      <c r="G2" s="7" t="s">
        <v>12</v>
      </c>
      <c r="H2" s="7" t="s">
        <v>16</v>
      </c>
      <c r="I2" s="7" t="s">
        <v>11</v>
      </c>
      <c r="J2" s="7" t="s">
        <v>10</v>
      </c>
      <c r="K2" s="7" t="s">
        <v>4</v>
      </c>
      <c r="L2" s="7" t="s">
        <v>17</v>
      </c>
      <c r="M2" s="7" t="s">
        <v>6</v>
      </c>
      <c r="N2" s="7" t="s">
        <v>5</v>
      </c>
      <c r="O2" s="6" t="s">
        <v>18</v>
      </c>
      <c r="P2" s="6" t="s">
        <v>19</v>
      </c>
      <c r="Q2" s="6" t="s">
        <v>20</v>
      </c>
    </row>
    <row r="3" spans="1:17" ht="47.25" customHeight="1">
      <c r="A3" s="11">
        <v>1</v>
      </c>
      <c r="B3" s="13" t="s">
        <v>21</v>
      </c>
      <c r="C3" s="14" t="s">
        <v>14</v>
      </c>
      <c r="D3" s="23" t="s">
        <v>27</v>
      </c>
      <c r="E3" s="11" t="s">
        <v>24</v>
      </c>
      <c r="F3" s="11">
        <f>J3*K3</f>
        <v>11520</v>
      </c>
      <c r="G3" s="12">
        <v>40</v>
      </c>
      <c r="H3" s="12">
        <f>I3*K3</f>
        <v>288</v>
      </c>
      <c r="I3" s="12">
        <v>32</v>
      </c>
      <c r="J3" s="11">
        <f>G3*I3</f>
        <v>1280</v>
      </c>
      <c r="K3" s="11">
        <v>9</v>
      </c>
      <c r="L3" s="11">
        <v>697</v>
      </c>
      <c r="M3" s="11">
        <f>L3+42</f>
        <v>739</v>
      </c>
      <c r="N3" s="16" t="s">
        <v>22</v>
      </c>
      <c r="O3" s="11">
        <f>L3*K3</f>
        <v>6273</v>
      </c>
      <c r="P3" s="11">
        <f>M3*K3</f>
        <v>6651</v>
      </c>
      <c r="Q3" s="11">
        <f>0.53*K3</f>
        <v>4.7700000000000005</v>
      </c>
    </row>
    <row r="4" spans="1:17" ht="47.25" customHeight="1">
      <c r="A4" s="11">
        <v>2</v>
      </c>
      <c r="B4" s="13" t="s">
        <v>21</v>
      </c>
      <c r="C4" s="14" t="s">
        <v>14</v>
      </c>
      <c r="D4" s="24"/>
      <c r="E4" s="15" t="s">
        <v>23</v>
      </c>
      <c r="F4" s="11">
        <f>J4*K4</f>
        <v>480</v>
      </c>
      <c r="G4" s="12">
        <v>40</v>
      </c>
      <c r="H4" s="12">
        <f>I4*K4</f>
        <v>12</v>
      </c>
      <c r="I4" s="11">
        <v>12</v>
      </c>
      <c r="J4" s="11">
        <f>G4*I4</f>
        <v>480</v>
      </c>
      <c r="K4" s="11">
        <v>1</v>
      </c>
      <c r="L4" s="11">
        <v>261</v>
      </c>
      <c r="M4" s="11">
        <f>L4+30</f>
        <v>291</v>
      </c>
      <c r="N4" s="16" t="s">
        <v>26</v>
      </c>
      <c r="O4" s="11">
        <f>L4*K4</f>
        <v>261</v>
      </c>
      <c r="P4" s="11">
        <f>M4*K4</f>
        <v>291</v>
      </c>
      <c r="Q4" s="11">
        <f>0.34*K4</f>
        <v>0.34</v>
      </c>
    </row>
    <row r="5" spans="1:17" ht="35.25" customHeight="1">
      <c r="A5" s="18" t="s">
        <v>8</v>
      </c>
      <c r="B5" s="19"/>
      <c r="C5" s="19"/>
      <c r="D5" s="5"/>
      <c r="E5" s="12"/>
      <c r="F5" s="12">
        <f>SUM(F3:F4)</f>
        <v>12000</v>
      </c>
      <c r="G5" s="12"/>
      <c r="H5" s="12">
        <f>SUM(H3:H4)</f>
        <v>300</v>
      </c>
      <c r="I5" s="12"/>
      <c r="J5" s="12"/>
      <c r="K5" s="12">
        <f>SUM(K3:K4)</f>
        <v>10</v>
      </c>
      <c r="L5" s="12"/>
      <c r="M5" s="12"/>
      <c r="N5" s="12"/>
      <c r="O5" s="12">
        <f>SUM(O3:O4)</f>
        <v>6534</v>
      </c>
      <c r="P5" s="12">
        <f>SUM(P3:P4)</f>
        <v>6942</v>
      </c>
      <c r="Q5" s="12">
        <f>SUM(Q3:Q4)</f>
        <v>5.1100000000000003</v>
      </c>
    </row>
    <row r="6" spans="1:17" ht="14.45" customHeight="1">
      <c r="A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21" customHeight="1">
      <c r="A7" s="2"/>
      <c r="B7" s="9" t="s">
        <v>9</v>
      </c>
      <c r="C7" s="10" t="s">
        <v>25</v>
      </c>
      <c r="N7" s="2"/>
      <c r="O7" s="2"/>
      <c r="P7" s="2"/>
      <c r="Q7" s="2"/>
    </row>
    <row r="8" spans="1:17" ht="21" customHeight="1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8.75">
      <c r="A9" s="2"/>
      <c r="B9" s="2"/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0">
        <v>45736</v>
      </c>
      <c r="O9" s="20"/>
      <c r="P9" s="20"/>
      <c r="Q9" s="20"/>
    </row>
    <row r="10" spans="1:17" ht="18.75">
      <c r="A10" s="2"/>
      <c r="B10" s="2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17"/>
      <c r="O10" s="17"/>
      <c r="P10" s="17"/>
      <c r="Q10" s="17"/>
    </row>
    <row r="11" spans="1:17">
      <c r="A11" s="1"/>
      <c r="B11" s="1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</sheetData>
  <mergeCells count="5">
    <mergeCell ref="N10:Q10"/>
    <mergeCell ref="A5:C5"/>
    <mergeCell ref="N9:Q9"/>
    <mergeCell ref="A1:Q1"/>
    <mergeCell ref="D3:D4"/>
  </mergeCells>
  <phoneticPr fontId="1" type="noConversion"/>
  <pageMargins left="0.9055118110236221" right="0.51181102362204722" top="0.19685039370078741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2025-03-20T07:38:27Z</dcterms:modified>
</cp:coreProperties>
</file>