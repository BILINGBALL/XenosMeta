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elachauxgroup.sharepoint.com/sites/PANDROL/EMEAFS/Shared Documents/SITES/DOUAI/Achats/Cdes HA RTI/SUIVI DES COMMANDES/CA25xxxx/CA2504xxx/CA25042xx/CA2504223 SUDELAN/"/>
    </mc:Choice>
  </mc:AlternateContent>
  <xr:revisionPtr revIDLastSave="0" documentId="8_{15DE6900-E43F-4B14-A4BB-A218DC8908ED}" xr6:coauthVersionLast="47" xr6:coauthVersionMax="47" xr10:uidLastSave="{00000000-0000-0000-0000-000000000000}"/>
  <bookViews>
    <workbookView xWindow="28680" yWindow="1620" windowWidth="29040" windowHeight="15720" xr2:uid="{2AE105E6-0AB1-434F-9E40-6FE01073822F}"/>
  </bookViews>
  <sheets>
    <sheet name="copie" sheetId="1" r:id="rId1"/>
  </sheets>
  <definedNames>
    <definedName name="_xlnm._FilterDatabase" localSheetId="0" hidden="1">copie!$A$2:$S$13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3" i="1" s="1"/>
  <c r="R10" i="1"/>
  <c r="M10" i="1"/>
  <c r="P10" i="1" s="1"/>
  <c r="P12" i="1" s="1"/>
  <c r="R9" i="1"/>
  <c r="R12" i="1" s="1"/>
  <c r="P9" i="1"/>
  <c r="N9" i="1"/>
  <c r="Q9" i="1" s="1"/>
  <c r="K9" i="1"/>
  <c r="I9" i="1"/>
  <c r="G9" i="1"/>
  <c r="G12" i="1" s="1"/>
  <c r="G13" i="1" s="1"/>
  <c r="R8" i="1"/>
  <c r="L8" i="1"/>
  <c r="G8" i="1"/>
  <c r="R7" i="1"/>
  <c r="P7" i="1"/>
  <c r="P8" i="1" s="1"/>
  <c r="N7" i="1"/>
  <c r="Q7" i="1" s="1"/>
  <c r="Q8" i="1" s="1"/>
  <c r="K7" i="1"/>
  <c r="I7" i="1"/>
  <c r="G7" i="1"/>
  <c r="R4" i="1"/>
  <c r="R6" i="1" s="1"/>
  <c r="P4" i="1"/>
  <c r="P6" i="1" s="1"/>
  <c r="N4" i="1"/>
  <c r="Q4" i="1" s="1"/>
  <c r="Q6" i="1" s="1"/>
  <c r="K4" i="1"/>
  <c r="J4" i="1"/>
  <c r="R3" i="1"/>
  <c r="R13" i="1" s="1"/>
  <c r="P3" i="1"/>
  <c r="N3" i="1"/>
  <c r="Q3" i="1" s="1"/>
  <c r="K3" i="1"/>
  <c r="I3" i="1"/>
  <c r="G3" i="1"/>
  <c r="G6" i="1" s="1"/>
  <c r="Q13" i="1" l="1"/>
  <c r="P13" i="1"/>
  <c r="N10" i="1"/>
  <c r="Q10" i="1" s="1"/>
  <c r="Q12" i="1" s="1"/>
</calcChain>
</file>

<file path=xl/sharedStrings.xml><?xml version="1.0" encoding="utf-8"?>
<sst xmlns="http://schemas.openxmlformats.org/spreadsheetml/2006/main" count="50" uniqueCount="33">
  <si>
    <r>
      <rPr>
        <b/>
        <sz val="22"/>
        <color rgb="FFFFC000"/>
        <rFont val="Calibri"/>
        <family val="3"/>
        <charset val="134"/>
        <scheme val="minor"/>
      </rPr>
      <t>PANDROL</t>
    </r>
    <r>
      <rPr>
        <b/>
        <sz val="16"/>
        <color theme="1"/>
        <rFont val="Calibri"/>
        <family val="3"/>
        <charset val="134"/>
        <scheme val="minor"/>
      </rPr>
      <t xml:space="preserve">
PACKING DETAILS
</t>
    </r>
  </si>
  <si>
    <t>Lot</t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</si>
  <si>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</si>
  <si>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</si>
  <si>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</si>
  <si>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</si>
  <si>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</si>
  <si>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Calibri"/>
        <family val="3"/>
        <charset val="134"/>
        <scheme val="minor"/>
      </rPr>
      <t xml:space="preserve">
</t>
    </r>
    <r>
      <rPr>
        <b/>
        <sz val="9"/>
        <color theme="1"/>
        <rFont val="Calibri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</si>
  <si>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</si>
  <si>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</si>
  <si>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</si>
  <si>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</si>
  <si>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</si>
  <si>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</si>
  <si>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</si>
  <si>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</si>
  <si>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</si>
  <si>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</si>
  <si>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</si>
  <si>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lot#1 sea</t>
  </si>
  <si>
    <t>Coachscrew</t>
  </si>
  <si>
    <t>25*219</t>
    <phoneticPr fontId="0" type="noConversion"/>
  </si>
  <si>
    <t>CA2504223</t>
    <phoneticPr fontId="0" type="noConversion"/>
  </si>
  <si>
    <t>1200*800*550
0.53</t>
    <phoneticPr fontId="0" type="noConversion"/>
  </si>
  <si>
    <t>1200*800*350
0.34</t>
    <phoneticPr fontId="0" type="noConversion"/>
  </si>
  <si>
    <t>SOUS TOTAL LOT#1 BY SEA</t>
  </si>
  <si>
    <t>LOT#2 TRAIN</t>
  </si>
  <si>
    <t>SOUS TOTAL LOT#2 BY TRAIN</t>
  </si>
  <si>
    <t>lot#3 a definir</t>
  </si>
  <si>
    <t>SOUS TOTAL LOT#3 TO BE CONFIRMED</t>
  </si>
  <si>
    <r>
      <rPr>
        <b/>
        <sz val="11"/>
        <color theme="1"/>
        <rFont val="Calibri"/>
        <family val="3"/>
        <charset val="134"/>
        <scheme val="minor"/>
      </rPr>
      <t>Total COMMANDE</t>
    </r>
    <r>
      <rPr>
        <sz val="10"/>
        <color theme="1"/>
        <rFont val="Calibri"/>
        <family val="3"/>
        <charset val="134"/>
        <scheme val="minor"/>
      </rPr>
      <t>：</t>
    </r>
  </si>
  <si>
    <t>(*)</t>
  </si>
  <si>
    <t>The pieces are packed in a bag : 20(19)(5) pieces per bag and 40(12)(14) bags per case so 800(239)(265) pieces per case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</si>
</sst>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C000"/>
      <name val="Calibri"/>
      <family val="3"/>
      <charset val="134"/>
      <scheme val="minor"/>
    </font>
    <font>
      <b/>
      <sz val="16"/>
      <color theme="1"/>
      <name val="Calibri"/>
      <family val="3"/>
      <charset val="134"/>
      <scheme val="minor"/>
    </font>
    <font>
      <b/>
      <sz val="10"/>
      <color theme="1"/>
      <name val="Calibri"/>
      <family val="3"/>
      <charset val="134"/>
      <scheme val="minor"/>
    </font>
    <font>
      <b/>
      <sz val="9"/>
      <color theme="1"/>
      <name val="Calibri"/>
      <family val="3"/>
      <charset val="134"/>
      <scheme val="minor"/>
    </font>
    <font>
      <sz val="9"/>
      <color theme="1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b/>
      <sz val="10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2"/>
      <color theme="1"/>
      <name val="Calibri"/>
      <family val="3"/>
      <charset val="134"/>
      <scheme val="minor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1AA4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1922-2F30-4EBC-87D8-8F49032F94E2}">
  <dimension ref="A1:Y16"/>
  <sheetViews>
    <sheetView tabSelected="1" workbookViewId="0">
      <selection activeCell="A17" sqref="A17:W65"/>
    </sheetView>
  </sheetViews>
  <sheetFormatPr baseColWidth="10" defaultColWidth="8.7265625" defaultRowHeight="14.5"/>
  <cols>
    <col min="1" max="1" width="14.6328125" customWidth="1"/>
    <col min="2" max="2" width="4.6328125" customWidth="1"/>
    <col min="3" max="3" width="9.7265625" customWidth="1"/>
    <col min="4" max="4" width="9.36328125" customWidth="1"/>
    <col min="5" max="5" width="11.36328125" customWidth="1"/>
    <col min="6" max="6" width="14.90625" customWidth="1"/>
    <col min="7" max="7" width="7.7265625" customWidth="1"/>
    <col min="8" max="8" width="5.7265625" customWidth="1"/>
    <col min="9" max="9" width="6.6328125" customWidth="1"/>
    <col min="10" max="10" width="6.90625" customWidth="1"/>
    <col min="11" max="11" width="6.26953125" customWidth="1"/>
    <col min="12" max="12" width="5.36328125" customWidth="1"/>
    <col min="13" max="13" width="8.08984375" customWidth="1"/>
    <col min="14" max="14" width="8.36328125" customWidth="1"/>
    <col min="15" max="15" width="13.453125" customWidth="1"/>
    <col min="19" max="19" width="14.7265625" customWidth="1"/>
    <col min="23" max="23" width="9.26953125" bestFit="1" customWidth="1"/>
  </cols>
  <sheetData>
    <row r="1" spans="1:25" ht="59.1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5" ht="68.5" customHeight="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5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3" t="s">
        <v>16</v>
      </c>
      <c r="Q2" s="3" t="s">
        <v>17</v>
      </c>
      <c r="R2" s="3" t="s">
        <v>18</v>
      </c>
    </row>
    <row r="3" spans="1:25" ht="43.5" customHeight="1">
      <c r="A3" s="6" t="s">
        <v>19</v>
      </c>
      <c r="B3" s="7">
        <v>1</v>
      </c>
      <c r="C3" s="8" t="s">
        <v>20</v>
      </c>
      <c r="D3" s="9" t="s">
        <v>21</v>
      </c>
      <c r="E3" s="9" t="s">
        <v>22</v>
      </c>
      <c r="F3" s="10"/>
      <c r="G3" s="11">
        <f>K3*L3</f>
        <v>9600</v>
      </c>
      <c r="H3" s="11">
        <v>20</v>
      </c>
      <c r="I3" s="11">
        <f>L3*J3</f>
        <v>480</v>
      </c>
      <c r="J3" s="11">
        <v>40</v>
      </c>
      <c r="K3" s="11">
        <f>H3*J3</f>
        <v>800</v>
      </c>
      <c r="L3" s="11">
        <v>12</v>
      </c>
      <c r="M3" s="11">
        <v>722</v>
      </c>
      <c r="N3" s="11">
        <f>M3+42</f>
        <v>764</v>
      </c>
      <c r="O3" s="12" t="s">
        <v>23</v>
      </c>
      <c r="P3" s="11">
        <f>M3*L3</f>
        <v>8664</v>
      </c>
      <c r="Q3" s="11">
        <f>N3*L3</f>
        <v>9168</v>
      </c>
      <c r="R3" s="11">
        <f>0.53*L3</f>
        <v>6.36</v>
      </c>
    </row>
    <row r="4" spans="1:25" ht="43.5" customHeight="1">
      <c r="A4" s="13" t="s">
        <v>19</v>
      </c>
      <c r="B4" s="14">
        <v>2</v>
      </c>
      <c r="C4" s="15" t="s">
        <v>20</v>
      </c>
      <c r="D4" s="16" t="s">
        <v>21</v>
      </c>
      <c r="E4" s="16" t="s">
        <v>22</v>
      </c>
      <c r="F4" s="17"/>
      <c r="G4" s="14">
        <v>425</v>
      </c>
      <c r="H4" s="11">
        <v>20</v>
      </c>
      <c r="I4" s="11">
        <v>21</v>
      </c>
      <c r="J4" s="14">
        <f>H4+1</f>
        <v>21</v>
      </c>
      <c r="K4" s="11">
        <f>H4*I4</f>
        <v>420</v>
      </c>
      <c r="L4" s="14">
        <v>1</v>
      </c>
      <c r="M4" s="14">
        <v>383</v>
      </c>
      <c r="N4" s="14">
        <f>M4+30</f>
        <v>413</v>
      </c>
      <c r="O4" s="18" t="s">
        <v>24</v>
      </c>
      <c r="P4" s="14">
        <f>M4*L4</f>
        <v>383</v>
      </c>
      <c r="Q4" s="14">
        <f>N4*L4</f>
        <v>413</v>
      </c>
      <c r="R4" s="14">
        <f>0.34*L4</f>
        <v>0.34</v>
      </c>
    </row>
    <row r="5" spans="1:25" ht="43.5" customHeight="1">
      <c r="A5" s="13"/>
      <c r="B5" s="19"/>
      <c r="C5" s="20"/>
      <c r="D5" s="21"/>
      <c r="E5" s="21"/>
      <c r="F5" s="22"/>
      <c r="G5" s="19"/>
      <c r="H5" s="11">
        <v>1</v>
      </c>
      <c r="I5" s="11">
        <v>5</v>
      </c>
      <c r="J5" s="19"/>
      <c r="K5" s="11">
        <v>4</v>
      </c>
      <c r="L5" s="19"/>
      <c r="M5" s="19"/>
      <c r="N5" s="19"/>
      <c r="O5" s="23"/>
      <c r="P5" s="19"/>
      <c r="Q5" s="19"/>
      <c r="R5" s="19"/>
      <c r="W5" s="24"/>
    </row>
    <row r="6" spans="1:25" ht="43.5" customHeight="1">
      <c r="A6" s="25" t="s">
        <v>25</v>
      </c>
      <c r="B6" s="26"/>
      <c r="C6" s="27"/>
      <c r="D6" s="28"/>
      <c r="E6" s="28"/>
      <c r="F6" s="29"/>
      <c r="G6" s="26">
        <f>G3+G4</f>
        <v>10025</v>
      </c>
      <c r="H6" s="30"/>
      <c r="I6" s="30"/>
      <c r="J6" s="26"/>
      <c r="K6" s="30"/>
      <c r="L6" s="26">
        <v>13</v>
      </c>
      <c r="M6" s="26"/>
      <c r="N6" s="26"/>
      <c r="O6" s="31"/>
      <c r="P6" s="26">
        <f>P4+P3</f>
        <v>9047</v>
      </c>
      <c r="Q6" s="26">
        <f>Q4+Q3</f>
        <v>9581</v>
      </c>
      <c r="R6" s="26">
        <f>R3+R4</f>
        <v>6.7</v>
      </c>
      <c r="W6" s="24"/>
    </row>
    <row r="7" spans="1:25" ht="48" customHeight="1">
      <c r="A7" s="32" t="s">
        <v>26</v>
      </c>
      <c r="B7" s="33">
        <v>3</v>
      </c>
      <c r="C7" s="34" t="s">
        <v>20</v>
      </c>
      <c r="D7" s="35" t="s">
        <v>21</v>
      </c>
      <c r="E7" s="35" t="s">
        <v>22</v>
      </c>
      <c r="F7" s="36"/>
      <c r="G7" s="33">
        <f>K7*L7</f>
        <v>10400</v>
      </c>
      <c r="H7" s="33">
        <v>20</v>
      </c>
      <c r="I7" s="33">
        <f>L7*J7</f>
        <v>520</v>
      </c>
      <c r="J7" s="33">
        <v>40</v>
      </c>
      <c r="K7" s="33">
        <f>H7*J7</f>
        <v>800</v>
      </c>
      <c r="L7" s="33">
        <v>13</v>
      </c>
      <c r="M7" s="33">
        <v>722</v>
      </c>
      <c r="N7" s="33">
        <f>M7+42</f>
        <v>764</v>
      </c>
      <c r="O7" s="37" t="s">
        <v>23</v>
      </c>
      <c r="P7" s="33">
        <f>M7*L7</f>
        <v>9386</v>
      </c>
      <c r="Q7" s="33">
        <f>N7*L7</f>
        <v>9932</v>
      </c>
      <c r="R7" s="33">
        <f>0.53*L7</f>
        <v>6.8900000000000006</v>
      </c>
      <c r="W7" s="24"/>
      <c r="Y7" s="24"/>
    </row>
    <row r="8" spans="1:25" ht="48" customHeight="1">
      <c r="A8" s="38" t="s">
        <v>27</v>
      </c>
      <c r="B8" s="39"/>
      <c r="C8" s="40"/>
      <c r="D8" s="41"/>
      <c r="E8" s="41"/>
      <c r="F8" s="42"/>
      <c r="G8" s="39">
        <f>G7</f>
        <v>10400</v>
      </c>
      <c r="H8" s="39"/>
      <c r="I8" s="39"/>
      <c r="J8" s="39"/>
      <c r="K8" s="39"/>
      <c r="L8" s="39">
        <f>L7</f>
        <v>13</v>
      </c>
      <c r="M8" s="39"/>
      <c r="N8" s="39"/>
      <c r="O8" s="38"/>
      <c r="P8" s="39">
        <f>P7</f>
        <v>9386</v>
      </c>
      <c r="Q8" s="39">
        <f>Q7</f>
        <v>9932</v>
      </c>
      <c r="R8" s="39">
        <f>R7</f>
        <v>6.8900000000000006</v>
      </c>
      <c r="W8" s="24"/>
      <c r="Y8" s="24"/>
    </row>
    <row r="9" spans="1:25" ht="48" customHeight="1">
      <c r="A9" s="43" t="s">
        <v>28</v>
      </c>
      <c r="B9" s="44">
        <v>3</v>
      </c>
      <c r="C9" s="45" t="s">
        <v>20</v>
      </c>
      <c r="D9" s="46" t="s">
        <v>21</v>
      </c>
      <c r="E9" s="46" t="s">
        <v>22</v>
      </c>
      <c r="F9" s="47"/>
      <c r="G9" s="44">
        <f>K9*L9</f>
        <v>25600</v>
      </c>
      <c r="H9" s="44">
        <v>20</v>
      </c>
      <c r="I9" s="44">
        <f>L9*J9</f>
        <v>1280</v>
      </c>
      <c r="J9" s="44">
        <v>40</v>
      </c>
      <c r="K9" s="44">
        <f>H9*J9</f>
        <v>800</v>
      </c>
      <c r="L9" s="44">
        <v>32</v>
      </c>
      <c r="M9" s="44">
        <v>722</v>
      </c>
      <c r="N9" s="44">
        <f>M9+42</f>
        <v>764</v>
      </c>
      <c r="O9" s="48" t="s">
        <v>23</v>
      </c>
      <c r="P9" s="44">
        <f>M9*L9</f>
        <v>23104</v>
      </c>
      <c r="Q9" s="44">
        <f>N9*L9</f>
        <v>24448</v>
      </c>
      <c r="R9" s="44">
        <f>0.53*L9</f>
        <v>16.96</v>
      </c>
      <c r="Y9" s="24"/>
    </row>
    <row r="10" spans="1:25" ht="48" customHeight="1">
      <c r="A10" s="49" t="s">
        <v>28</v>
      </c>
      <c r="B10" s="50">
        <v>4</v>
      </c>
      <c r="C10" s="51" t="s">
        <v>20</v>
      </c>
      <c r="D10" s="52" t="s">
        <v>21</v>
      </c>
      <c r="E10" s="52" t="s">
        <v>22</v>
      </c>
      <c r="F10" s="53"/>
      <c r="G10" s="50">
        <v>264</v>
      </c>
      <c r="H10" s="44">
        <v>20</v>
      </c>
      <c r="I10" s="44">
        <v>13</v>
      </c>
      <c r="J10" s="50">
        <v>14</v>
      </c>
      <c r="K10" s="44">
        <v>260</v>
      </c>
      <c r="L10" s="50">
        <v>1</v>
      </c>
      <c r="M10" s="50">
        <f>0.9025*264</f>
        <v>238.26</v>
      </c>
      <c r="N10" s="50">
        <f>M10+30</f>
        <v>268.26</v>
      </c>
      <c r="O10" s="54" t="s">
        <v>24</v>
      </c>
      <c r="P10" s="50">
        <f>M10*L10</f>
        <v>238.26</v>
      </c>
      <c r="Q10" s="50">
        <f>N10*L10</f>
        <v>268.26</v>
      </c>
      <c r="R10" s="50">
        <f>0.34*L10</f>
        <v>0.34</v>
      </c>
    </row>
    <row r="11" spans="1:25" ht="48" customHeight="1">
      <c r="A11" s="49"/>
      <c r="B11" s="55"/>
      <c r="C11" s="56"/>
      <c r="D11" s="57"/>
      <c r="E11" s="57"/>
      <c r="F11" s="58"/>
      <c r="G11" s="55"/>
      <c r="H11" s="44">
        <v>4</v>
      </c>
      <c r="I11" s="44">
        <v>1</v>
      </c>
      <c r="J11" s="55"/>
      <c r="K11" s="44">
        <v>4</v>
      </c>
      <c r="L11" s="55"/>
      <c r="M11" s="55"/>
      <c r="N11" s="55"/>
      <c r="O11" s="59"/>
      <c r="P11" s="55"/>
      <c r="Q11" s="55"/>
      <c r="R11" s="55"/>
    </row>
    <row r="12" spans="1:25" ht="48" customHeight="1">
      <c r="A12" s="60" t="s">
        <v>29</v>
      </c>
      <c r="B12" s="61"/>
      <c r="C12" s="62"/>
      <c r="D12" s="63"/>
      <c r="E12" s="63"/>
      <c r="F12" s="64"/>
      <c r="G12" s="61">
        <f>G9+G10</f>
        <v>25864</v>
      </c>
      <c r="H12" s="61"/>
      <c r="I12" s="61"/>
      <c r="J12" s="61"/>
      <c r="K12" s="61"/>
      <c r="L12" s="61">
        <f>L10+L9</f>
        <v>33</v>
      </c>
      <c r="M12" s="61"/>
      <c r="N12" s="61"/>
      <c r="O12" s="65"/>
      <c r="P12" s="61">
        <f>P9+P10</f>
        <v>23342.26</v>
      </c>
      <c r="Q12" s="61">
        <f>Q9+Q10</f>
        <v>24716.26</v>
      </c>
      <c r="R12" s="61">
        <f>R9+R10</f>
        <v>17.3</v>
      </c>
    </row>
    <row r="13" spans="1:25" ht="35.25" customHeight="1">
      <c r="B13" s="66" t="s">
        <v>30</v>
      </c>
      <c r="C13" s="66"/>
      <c r="D13" s="66"/>
      <c r="E13" s="67"/>
      <c r="F13" s="68"/>
      <c r="G13" s="68">
        <f>G12+G8+G6</f>
        <v>46289</v>
      </c>
      <c r="H13" s="68"/>
      <c r="I13" s="68"/>
      <c r="J13" s="68"/>
      <c r="K13" s="68"/>
      <c r="L13" s="68">
        <f>L12+L8+L6</f>
        <v>59</v>
      </c>
      <c r="M13" s="68"/>
      <c r="N13" s="68"/>
      <c r="O13" s="69"/>
      <c r="P13" s="68">
        <f>SUM(P3:P7)</f>
        <v>27480</v>
      </c>
      <c r="Q13" s="68">
        <f>SUM(Q3:Q7)</f>
        <v>29094</v>
      </c>
      <c r="R13" s="68">
        <f>SUM(R3:R7)</f>
        <v>20.29</v>
      </c>
    </row>
    <row r="14" spans="1:25" ht="14.5" customHeight="1">
      <c r="B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</row>
    <row r="15" spans="1:25" ht="21" customHeight="1">
      <c r="B15" s="70"/>
      <c r="C15" s="71" t="s">
        <v>31</v>
      </c>
      <c r="D15" s="72" t="s">
        <v>32</v>
      </c>
      <c r="O15" s="70"/>
      <c r="P15" s="70"/>
      <c r="Q15" s="70"/>
      <c r="R15" s="70"/>
    </row>
    <row r="16" spans="1:25" ht="21" customHeight="1">
      <c r="B16" s="70"/>
      <c r="C16" s="73"/>
      <c r="D16" s="74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</row>
  </sheetData>
  <autoFilter ref="A2:S13" xr:uid="{EE39B77F-CF13-4758-95B7-D595CF82FBD9}"/>
  <mergeCells count="32">
    <mergeCell ref="P10:P11"/>
    <mergeCell ref="Q10:Q11"/>
    <mergeCell ref="R10:R11"/>
    <mergeCell ref="B13:D13"/>
    <mergeCell ref="G10:G11"/>
    <mergeCell ref="J10:J11"/>
    <mergeCell ref="L10:L11"/>
    <mergeCell ref="M10:M11"/>
    <mergeCell ref="N10:N11"/>
    <mergeCell ref="O10:O11"/>
    <mergeCell ref="A10:A11"/>
    <mergeCell ref="B10:B11"/>
    <mergeCell ref="C10:C11"/>
    <mergeCell ref="D10:D11"/>
    <mergeCell ref="E10:E11"/>
    <mergeCell ref="F10:F11"/>
    <mergeCell ref="M4:M5"/>
    <mergeCell ref="N4:N5"/>
    <mergeCell ref="O4:O5"/>
    <mergeCell ref="P4:P5"/>
    <mergeCell ref="Q4:Q5"/>
    <mergeCell ref="R4:R5"/>
    <mergeCell ref="B1:R1"/>
    <mergeCell ref="A4:A5"/>
    <mergeCell ref="B4:B5"/>
    <mergeCell ref="C4:C5"/>
    <mergeCell ref="D4:D5"/>
    <mergeCell ref="E4:E5"/>
    <mergeCell ref="F4:F5"/>
    <mergeCell ref="G4:G5"/>
    <mergeCell ref="J4:J5"/>
    <mergeCell ref="L4:L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6BC9A1DBEA3F41BF126104538CF2F4" ma:contentTypeVersion="18" ma:contentTypeDescription="Create a new document." ma:contentTypeScope="" ma:versionID="e07f268e493d4023498cc0a747bb2c9e">
  <xsd:schema xmlns:xsd="http://www.w3.org/2001/XMLSchema" xmlns:xs="http://www.w3.org/2001/XMLSchema" xmlns:p="http://schemas.microsoft.com/office/2006/metadata/properties" xmlns:ns2="ad4ce8e1-e61e-4f10-ada2-68c6c500bded" xmlns:ns3="bbf2d0ee-83cb-4e18-b698-24213899dd0a" targetNamespace="http://schemas.microsoft.com/office/2006/metadata/properties" ma:root="true" ma:fieldsID="903c3bdafd57c3e92037930261546fa3" ns2:_="" ns3:_="">
    <xsd:import namespace="ad4ce8e1-e61e-4f10-ada2-68c6c500bded"/>
    <xsd:import namespace="bbf2d0ee-83cb-4e18-b698-24213899dd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ce8e1-e61e-4f10-ada2-68c6c500bd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67e836a-ee1c-4046-88d4-36156c3b16d2}" ma:internalName="TaxCatchAll" ma:showField="CatchAllData" ma:web="ad4ce8e1-e61e-4f10-ada2-68c6c500bd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f2d0ee-83cb-4e18-b698-24213899d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015f81-0a24-41cb-a26e-9f91238b9d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4ce8e1-e61e-4f10-ada2-68c6c500bded" xsi:nil="true"/>
    <lcf76f155ced4ddcb4097134ff3c332f xmlns="bbf2d0ee-83cb-4e18-b698-24213899dd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751088-A071-44A5-8A8C-956E1814C4D9}"/>
</file>

<file path=customXml/itemProps2.xml><?xml version="1.0" encoding="utf-8"?>
<ds:datastoreItem xmlns:ds="http://schemas.openxmlformats.org/officeDocument/2006/customXml" ds:itemID="{DDD7F900-71FE-4893-9EFD-74B956114D4D}"/>
</file>

<file path=customXml/itemProps3.xml><?xml version="1.0" encoding="utf-8"?>
<ds:datastoreItem xmlns:ds="http://schemas.openxmlformats.org/officeDocument/2006/customXml" ds:itemID="{928EC592-5AFC-49D8-8C44-273E60B60E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copie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Marion Giampaoli</dc:creator>
  <cp:lastModifiedBy>Marion Giampaoli</cp:lastModifiedBy>
  <dcterms:created xsi:type="dcterms:W3CDTF">2025-10-20T11:05:12Z</dcterms:created>
  <dcterms:modified xsi:type="dcterms:W3CDTF">2025-10-20T11:05:48Z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0x0101007E6BC9A1DBEA3F41BF126104538CF2F4</vt:lpwstr>
  </property>
</Properties>
</file>