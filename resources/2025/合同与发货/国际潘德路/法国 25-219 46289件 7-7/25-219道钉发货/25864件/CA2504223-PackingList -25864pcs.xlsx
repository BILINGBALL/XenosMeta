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u\Desktop\25-219道钉发货\25864件\"/>
    </mc:Choice>
  </mc:AlternateContent>
  <xr:revisionPtr revIDLastSave="0" documentId="8_{799390E0-E996-4E81-BE5D-C9347C9FF58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R4" i="2"/>
  <c r="P4" i="2"/>
  <c r="N4" i="2"/>
  <c r="Q4" i="2" s="1"/>
  <c r="R3" i="2"/>
  <c r="P3" i="2"/>
  <c r="N3" i="2"/>
  <c r="Q3" i="2" s="1"/>
  <c r="K3" i="2"/>
  <c r="G3" i="2" s="1"/>
  <c r="G6" i="2" s="1"/>
  <c r="I3" i="2"/>
  <c r="I6" i="2" s="1"/>
  <c r="P6" i="2" l="1"/>
  <c r="R6" i="2"/>
  <c r="Q6" i="2"/>
</calcChain>
</file>

<file path=xl/sharedStrings.xml><?xml version="1.0" encoding="utf-8"?>
<sst xmlns="http://schemas.openxmlformats.org/spreadsheetml/2006/main" count="31" uniqueCount="28">
  <si>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</si>
  <si>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</si>
  <si>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</si>
  <si>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</si>
  <si>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</si>
  <si>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</si>
  <si>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</si>
  <si>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</si>
  <si>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</si>
  <si>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</si>
  <si>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</si>
  <si>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</si>
  <si>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</si>
  <si>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</si>
  <si>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</si>
  <si>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</si>
  <si>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</si>
  <si>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</si>
  <si>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</si>
  <si>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</si>
  <si>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</si>
  <si>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25*219</t>
    <phoneticPr fontId="13" type="noConversion"/>
  </si>
  <si>
    <t>CA2504223</t>
    <phoneticPr fontId="13" type="noConversion"/>
  </si>
  <si>
    <t>1200*800*350
0.34</t>
    <phoneticPr fontId="13" type="noConversion"/>
  </si>
  <si>
    <t>1/33-32/33</t>
    <phoneticPr fontId="13" type="noConversion"/>
  </si>
  <si>
    <t>33/33</t>
    <phoneticPr fontId="13" type="noConversion"/>
  </si>
  <si>
    <t>Line NO.</t>
    <phoneticPr fontId="13" type="noConversion"/>
  </si>
  <si>
    <t>The cases are all stackable.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</si>
</sst>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5"/>
  <sheetViews>
    <sheetView tabSelected="1" topLeftCell="A2" workbookViewId="0">
      <selection activeCell="D3" sqref="D3:D5"/>
    </sheetView>
  </sheetViews>
  <sheetFormatPr defaultColWidth="8.75" defaultRowHeight="13.5"/>
  <cols>
    <col min="1" max="1" width="4.625" customWidth="1"/>
    <col min="2" max="2" width="8.625" customWidth="1"/>
    <col min="3" max="4" width="9.375" customWidth="1"/>
    <col min="5" max="5" width="11.375" customWidth="1"/>
    <col min="6" max="6" width="14.875" customWidth="1"/>
    <col min="7" max="7" width="7.75" customWidth="1"/>
    <col min="8" max="8" width="5.75" customWidth="1"/>
    <col min="9" max="9" width="6.625" customWidth="1"/>
    <col min="10" max="10" width="6.875" customWidth="1"/>
    <col min="11" max="11" width="6.25" customWidth="1"/>
    <col min="12" max="12" width="5.375" customWidth="1"/>
    <col min="13" max="13" width="8.125" customWidth="1"/>
    <col min="14" max="14" width="8.375" customWidth="1"/>
    <col min="15" max="15" width="13.5" customWidth="1"/>
    <col min="19" max="19" width="14.75" customWidth="1"/>
  </cols>
  <sheetData>
    <row r="1" spans="1:18" ht="59.1" customHeight="1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68.45" customHeight="1">
      <c r="A2" s="1" t="s">
        <v>1</v>
      </c>
      <c r="B2" s="1" t="s">
        <v>2</v>
      </c>
      <c r="C2" s="1" t="s">
        <v>3</v>
      </c>
      <c r="D2" s="17" t="s">
        <v>26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1" t="s">
        <v>15</v>
      </c>
      <c r="Q2" s="1" t="s">
        <v>16</v>
      </c>
      <c r="R2" s="1" t="s">
        <v>17</v>
      </c>
    </row>
    <row r="3" spans="1:18" ht="48" customHeight="1">
      <c r="A3" s="4">
        <v>1</v>
      </c>
      <c r="B3" s="3" t="s">
        <v>18</v>
      </c>
      <c r="C3" s="13" t="s">
        <v>21</v>
      </c>
      <c r="D3" s="30">
        <v>30</v>
      </c>
      <c r="E3" s="13" t="s">
        <v>22</v>
      </c>
      <c r="F3" s="15" t="s">
        <v>24</v>
      </c>
      <c r="G3" s="4">
        <f>K3*L3</f>
        <v>25600</v>
      </c>
      <c r="H3" s="4">
        <v>20</v>
      </c>
      <c r="I3" s="4">
        <f>L3*J3</f>
        <v>1280</v>
      </c>
      <c r="J3" s="4">
        <v>40</v>
      </c>
      <c r="K3" s="4">
        <f>H3*J3</f>
        <v>800</v>
      </c>
      <c r="L3" s="4">
        <v>32</v>
      </c>
      <c r="M3" s="4">
        <v>722</v>
      </c>
      <c r="N3" s="4">
        <f>M3+42</f>
        <v>764</v>
      </c>
      <c r="O3" s="16" t="s">
        <v>20</v>
      </c>
      <c r="P3" s="4">
        <f>M3*L3</f>
        <v>23104</v>
      </c>
      <c r="Q3" s="4">
        <f>N3*L3</f>
        <v>24448</v>
      </c>
      <c r="R3" s="4">
        <f>0.53*L3</f>
        <v>16.96</v>
      </c>
    </row>
    <row r="4" spans="1:18" ht="37.5" customHeight="1">
      <c r="A4" s="27">
        <v>2</v>
      </c>
      <c r="B4" s="23" t="s">
        <v>18</v>
      </c>
      <c r="C4" s="25" t="s">
        <v>21</v>
      </c>
      <c r="D4" s="31"/>
      <c r="E4" s="25" t="s">
        <v>22</v>
      </c>
      <c r="F4" s="33" t="s">
        <v>25</v>
      </c>
      <c r="G4" s="27">
        <v>264</v>
      </c>
      <c r="H4" s="4">
        <v>20</v>
      </c>
      <c r="I4" s="4">
        <v>13</v>
      </c>
      <c r="J4" s="27">
        <v>14</v>
      </c>
      <c r="K4" s="4">
        <v>260</v>
      </c>
      <c r="L4" s="27">
        <v>1</v>
      </c>
      <c r="M4" s="27">
        <v>238</v>
      </c>
      <c r="N4" s="27">
        <f>M4+30</f>
        <v>268</v>
      </c>
      <c r="O4" s="28" t="s">
        <v>23</v>
      </c>
      <c r="P4" s="27">
        <f>M4*L4</f>
        <v>238</v>
      </c>
      <c r="Q4" s="27">
        <f>N4*L4</f>
        <v>268</v>
      </c>
      <c r="R4" s="27">
        <f>0.34*L4</f>
        <v>0.34</v>
      </c>
    </row>
    <row r="5" spans="1:18" ht="37.5" customHeight="1">
      <c r="A5" s="22"/>
      <c r="B5" s="24"/>
      <c r="C5" s="26"/>
      <c r="D5" s="32"/>
      <c r="E5" s="26"/>
      <c r="F5" s="34"/>
      <c r="G5" s="22"/>
      <c r="H5" s="4">
        <v>4</v>
      </c>
      <c r="I5" s="4">
        <v>1</v>
      </c>
      <c r="J5" s="22"/>
      <c r="K5" s="4">
        <v>4</v>
      </c>
      <c r="L5" s="22"/>
      <c r="M5" s="22"/>
      <c r="N5" s="22"/>
      <c r="O5" s="29"/>
      <c r="P5" s="22"/>
      <c r="Q5" s="22"/>
      <c r="R5" s="22"/>
    </row>
    <row r="6" spans="1:18" ht="35.25" customHeight="1">
      <c r="A6" s="22" t="s">
        <v>19</v>
      </c>
      <c r="B6" s="22"/>
      <c r="C6" s="22"/>
      <c r="D6" s="5"/>
      <c r="E6" s="6"/>
      <c r="F6" s="5"/>
      <c r="G6" s="5">
        <f>SUM(G3:G5)</f>
        <v>25864</v>
      </c>
      <c r="H6" s="5"/>
      <c r="I6" s="5">
        <f>SUM(I3:I5)</f>
        <v>1294</v>
      </c>
      <c r="J6" s="5"/>
      <c r="K6" s="5"/>
      <c r="L6" s="5">
        <f>SUM(L3:L5)</f>
        <v>33</v>
      </c>
      <c r="M6" s="5"/>
      <c r="N6" s="5"/>
      <c r="O6" s="9"/>
      <c r="P6" s="5">
        <f>SUM(P3:P5)</f>
        <v>23342</v>
      </c>
      <c r="Q6" s="5">
        <f>SUM(Q3:Q5)</f>
        <v>24716</v>
      </c>
      <c r="R6" s="5">
        <f>SUM(R3:R5)</f>
        <v>17.3</v>
      </c>
    </row>
    <row r="7" spans="1:18" ht="21" customHeight="1">
      <c r="A7" s="18" t="s">
        <v>27</v>
      </c>
      <c r="B7" s="11"/>
      <c r="C7" s="14"/>
      <c r="D7" s="14"/>
      <c r="O7" s="10"/>
      <c r="P7" s="10"/>
      <c r="Q7" s="10"/>
      <c r="R7" s="10"/>
    </row>
    <row r="8" spans="1:18" ht="21" customHeight="1">
      <c r="A8" s="10"/>
      <c r="B8" s="12"/>
      <c r="C8" s="7"/>
      <c r="D8" s="7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8.75">
      <c r="A9" s="10"/>
      <c r="B9" s="10"/>
      <c r="C9" s="7"/>
      <c r="D9" s="7"/>
      <c r="E9" s="10"/>
      <c r="F9" s="10"/>
      <c r="G9" s="10"/>
      <c r="H9" s="10"/>
      <c r="I9" s="10"/>
      <c r="J9" s="10"/>
      <c r="K9" s="10"/>
      <c r="L9" s="10"/>
      <c r="M9" s="10"/>
      <c r="N9" s="10"/>
      <c r="O9" s="19">
        <v>45951</v>
      </c>
      <c r="P9" s="19"/>
      <c r="Q9" s="19"/>
      <c r="R9" s="19"/>
    </row>
    <row r="10" spans="1:18">
      <c r="A10" s="8"/>
      <c r="B10" s="8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>
      <c r="A11" s="8"/>
      <c r="B11" s="8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</sheetData>
  <mergeCells count="18">
    <mergeCell ref="A6:C6"/>
    <mergeCell ref="N4:N5"/>
    <mergeCell ref="O4:O5"/>
    <mergeCell ref="P4:P5"/>
    <mergeCell ref="Q4:Q5"/>
    <mergeCell ref="R4:R5"/>
    <mergeCell ref="F4:F5"/>
    <mergeCell ref="G4:G5"/>
    <mergeCell ref="J4:J5"/>
    <mergeCell ref="L4:L5"/>
    <mergeCell ref="M4:M5"/>
    <mergeCell ref="A4:A5"/>
    <mergeCell ref="B4:B5"/>
    <mergeCell ref="C4:C5"/>
    <mergeCell ref="E4:E5"/>
    <mergeCell ref="O9:R9"/>
    <mergeCell ref="A1:R1"/>
    <mergeCell ref="D3:D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2025-11-21T05:34:03Z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