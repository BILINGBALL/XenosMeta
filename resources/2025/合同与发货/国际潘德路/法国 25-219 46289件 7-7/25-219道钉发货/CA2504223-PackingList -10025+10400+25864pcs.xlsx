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"/>
    </mc:Choice>
  </mc:AlternateContent>
  <xr:revisionPtr revIDLastSave="0" documentId="13_ncr:1_{ED918F2E-6A13-47C4-9CA6-8F590B66DA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R14" i="2"/>
  <c r="P14" i="2"/>
  <c r="N14" i="2"/>
  <c r="Q14" i="2" s="1"/>
  <c r="R13" i="2"/>
  <c r="P13" i="2"/>
  <c r="P16" i="2" s="1"/>
  <c r="N13" i="2"/>
  <c r="Q13" i="2" s="1"/>
  <c r="K13" i="2"/>
  <c r="G13" i="2" s="1"/>
  <c r="G16" i="2" s="1"/>
  <c r="I13" i="2"/>
  <c r="I16" i="2" s="1"/>
  <c r="L10" i="2"/>
  <c r="R9" i="2"/>
  <c r="R10" i="2" s="1"/>
  <c r="P9" i="2"/>
  <c r="P10" i="2" s="1"/>
  <c r="N9" i="2"/>
  <c r="Q9" i="2" s="1"/>
  <c r="Q10" i="2" s="1"/>
  <c r="K9" i="2"/>
  <c r="G9" i="2" s="1"/>
  <c r="G10" i="2" s="1"/>
  <c r="I9" i="2"/>
  <c r="I10" i="2" s="1"/>
  <c r="L6" i="2"/>
  <c r="R4" i="2"/>
  <c r="N4" i="2"/>
  <c r="Q4" i="2" s="1"/>
  <c r="P4" i="2"/>
  <c r="R3" i="2"/>
  <c r="R6" i="2" s="1"/>
  <c r="P3" i="2"/>
  <c r="N3" i="2"/>
  <c r="Q3" i="2" s="1"/>
  <c r="K3" i="2"/>
  <c r="G3" i="2" s="1"/>
  <c r="G6" i="2" s="1"/>
  <c r="I3" i="2"/>
  <c r="I6" i="2" s="1"/>
  <c r="R16" i="2" l="1"/>
  <c r="Q16" i="2"/>
  <c r="Q6" i="2"/>
  <c r="P6" i="2"/>
</calcChain>
</file>

<file path=xl/sharedStrings.xml><?xml version="1.0" encoding="utf-8"?>
<sst xmlns="http://schemas.openxmlformats.org/spreadsheetml/2006/main" count="84" uniqueCount="31">
  <si>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</si>
  <si>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</si>
  <si>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</si>
  <si>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</si>
  <si>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</si>
  <si>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</si>
  <si>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</si>
  <si>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</si>
  <si>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</si>
  <si>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</si>
  <si>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</si>
  <si>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</si>
  <si>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</si>
  <si>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</si>
  <si>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</si>
  <si>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</si>
  <si>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</si>
  <si>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</si>
  <si>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</si>
  <si>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</si>
  <si>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</si>
  <si>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25*219</t>
    <phoneticPr fontId="13" type="noConversion"/>
  </si>
  <si>
    <t>CA2504223</t>
    <phoneticPr fontId="13" type="noConversion"/>
  </si>
  <si>
    <t>1200*800*350
0.34</t>
    <phoneticPr fontId="13" type="noConversion"/>
  </si>
  <si>
    <t>1/13-12/13</t>
    <phoneticPr fontId="13" type="noConversion"/>
  </si>
  <si>
    <t>13/13</t>
    <phoneticPr fontId="13" type="noConversion"/>
  </si>
  <si>
    <t>1/13-13/13</t>
    <phoneticPr fontId="13" type="noConversion"/>
  </si>
  <si>
    <t>1/33-32/33</t>
    <phoneticPr fontId="13" type="noConversion"/>
  </si>
  <si>
    <t>33/33</t>
    <phoneticPr fontId="13" type="noConversion"/>
  </si>
  <si>
    <t>Line NO.</t>
    <phoneticPr fontId="13" type="noConversion"/>
  </si>
  <si>
    <t>The cases are all stackable.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</si>
</sst>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topLeftCell="A3" workbookViewId="0">
      <selection activeCell="E4" sqref="E4:E5"/>
    </sheetView>
  </sheetViews>
  <sheetFormatPr defaultColWidth="8.75" defaultRowHeight="13.5"/>
  <cols>
    <col min="1" max="1" width="4.625" customWidth="1"/>
    <col min="2" max="2" width="8.625" customWidth="1"/>
    <col min="3" max="4" width="9.375" customWidth="1"/>
    <col min="5" max="5" width="11.375" customWidth="1"/>
    <col min="6" max="6" width="14.87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  <col min="19" max="19" width="14.75" customWidth="1"/>
  </cols>
  <sheetData>
    <row r="1" spans="1:18" ht="59.1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68.45" customHeight="1">
      <c r="A2" s="1" t="s">
        <v>1</v>
      </c>
      <c r="B2" s="1" t="s">
        <v>2</v>
      </c>
      <c r="C2" s="1" t="s">
        <v>3</v>
      </c>
      <c r="D2" s="19" t="s">
        <v>29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</row>
    <row r="3" spans="1:18" ht="43.5" customHeight="1">
      <c r="A3" s="14">
        <v>1</v>
      </c>
      <c r="B3" s="3" t="s">
        <v>18</v>
      </c>
      <c r="C3" s="15" t="s">
        <v>21</v>
      </c>
      <c r="D3" s="34">
        <v>10</v>
      </c>
      <c r="E3" s="15" t="s">
        <v>22</v>
      </c>
      <c r="F3" s="17" t="s">
        <v>24</v>
      </c>
      <c r="G3" s="4">
        <f>K3*L3</f>
        <v>9600</v>
      </c>
      <c r="H3" s="4">
        <v>20</v>
      </c>
      <c r="I3" s="4">
        <f>L3*J3</f>
        <v>480</v>
      </c>
      <c r="J3" s="4">
        <v>40</v>
      </c>
      <c r="K3" s="4">
        <f>H3*J3</f>
        <v>800</v>
      </c>
      <c r="L3" s="4">
        <v>12</v>
      </c>
      <c r="M3" s="4">
        <v>722</v>
      </c>
      <c r="N3" s="4">
        <f>M3+42</f>
        <v>764</v>
      </c>
      <c r="O3" s="18" t="s">
        <v>20</v>
      </c>
      <c r="P3" s="4">
        <f>M3*L3</f>
        <v>8664</v>
      </c>
      <c r="Q3" s="4">
        <f>N3*L3</f>
        <v>9168</v>
      </c>
      <c r="R3" s="4">
        <f>0.53*L3</f>
        <v>6.36</v>
      </c>
    </row>
    <row r="4" spans="1:18" ht="43.5" customHeight="1">
      <c r="A4" s="22">
        <v>2</v>
      </c>
      <c r="B4" s="27" t="s">
        <v>18</v>
      </c>
      <c r="C4" s="29" t="s">
        <v>21</v>
      </c>
      <c r="D4" s="35"/>
      <c r="E4" s="29" t="s">
        <v>22</v>
      </c>
      <c r="F4" s="25" t="s">
        <v>25</v>
      </c>
      <c r="G4" s="22">
        <v>425</v>
      </c>
      <c r="H4" s="4">
        <v>20</v>
      </c>
      <c r="I4" s="4">
        <v>21</v>
      </c>
      <c r="J4" s="22">
        <v>22</v>
      </c>
      <c r="K4" s="4">
        <v>420</v>
      </c>
      <c r="L4" s="22">
        <v>1</v>
      </c>
      <c r="M4" s="22">
        <v>383</v>
      </c>
      <c r="N4" s="22">
        <f>M4+30</f>
        <v>413</v>
      </c>
      <c r="O4" s="23" t="s">
        <v>23</v>
      </c>
      <c r="P4" s="22">
        <f>M4*L4</f>
        <v>383</v>
      </c>
      <c r="Q4" s="22">
        <f>N4*L4</f>
        <v>413</v>
      </c>
      <c r="R4" s="22">
        <f>0.34*L4</f>
        <v>0.34</v>
      </c>
    </row>
    <row r="5" spans="1:18" ht="43.5" customHeight="1">
      <c r="A5" s="21"/>
      <c r="B5" s="28"/>
      <c r="C5" s="30"/>
      <c r="D5" s="36"/>
      <c r="E5" s="30"/>
      <c r="F5" s="26"/>
      <c r="G5" s="21"/>
      <c r="H5" s="4">
        <v>5</v>
      </c>
      <c r="I5" s="4">
        <v>1</v>
      </c>
      <c r="J5" s="21"/>
      <c r="K5" s="4">
        <v>5</v>
      </c>
      <c r="L5" s="21"/>
      <c r="M5" s="21"/>
      <c r="N5" s="21"/>
      <c r="O5" s="24"/>
      <c r="P5" s="21"/>
      <c r="Q5" s="21"/>
      <c r="R5" s="21"/>
    </row>
    <row r="6" spans="1:18" ht="35.25" customHeight="1">
      <c r="A6" s="21" t="s">
        <v>19</v>
      </c>
      <c r="B6" s="21"/>
      <c r="C6" s="21"/>
      <c r="D6" s="5"/>
      <c r="E6" s="6"/>
      <c r="F6" s="5"/>
      <c r="G6" s="5">
        <f>SUM(G3:G5)</f>
        <v>10025</v>
      </c>
      <c r="H6" s="5"/>
      <c r="I6" s="5">
        <f>SUM(I3:I5)</f>
        <v>502</v>
      </c>
      <c r="J6" s="5"/>
      <c r="K6" s="5"/>
      <c r="L6" s="5">
        <f>SUM(L3:L5)</f>
        <v>13</v>
      </c>
      <c r="M6" s="5"/>
      <c r="N6" s="5"/>
      <c r="O6" s="10"/>
      <c r="P6" s="5">
        <f>SUM(P3:P5)</f>
        <v>9047</v>
      </c>
      <c r="Q6" s="5">
        <f>SUM(Q3:Q5)</f>
        <v>9581</v>
      </c>
      <c r="R6" s="5">
        <f>SUM(R3:R5)</f>
        <v>6.7</v>
      </c>
    </row>
    <row r="7" spans="1:18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68.45" customHeight="1">
      <c r="A8" s="1" t="s">
        <v>1</v>
      </c>
      <c r="B8" s="1" t="s">
        <v>2</v>
      </c>
      <c r="C8" s="1" t="s">
        <v>3</v>
      </c>
      <c r="D8" s="19" t="s">
        <v>29</v>
      </c>
      <c r="E8" s="2" t="s">
        <v>4</v>
      </c>
      <c r="F8" s="2" t="s">
        <v>5</v>
      </c>
      <c r="G8" s="3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1" t="s">
        <v>15</v>
      </c>
      <c r="Q8" s="1" t="s">
        <v>16</v>
      </c>
      <c r="R8" s="1" t="s">
        <v>17</v>
      </c>
    </row>
    <row r="9" spans="1:18" ht="43.5" customHeight="1">
      <c r="A9" s="4">
        <v>1</v>
      </c>
      <c r="B9" s="37" t="s">
        <v>18</v>
      </c>
      <c r="C9" s="38" t="s">
        <v>21</v>
      </c>
      <c r="D9" s="39">
        <v>20</v>
      </c>
      <c r="E9" s="38" t="s">
        <v>22</v>
      </c>
      <c r="F9" s="17" t="s">
        <v>26</v>
      </c>
      <c r="G9" s="4">
        <f>K9*L9</f>
        <v>10400</v>
      </c>
      <c r="H9" s="4">
        <v>20</v>
      </c>
      <c r="I9" s="4">
        <f>L9*J9</f>
        <v>520</v>
      </c>
      <c r="J9" s="4">
        <v>40</v>
      </c>
      <c r="K9" s="4">
        <f>H9*J9</f>
        <v>800</v>
      </c>
      <c r="L9" s="4">
        <v>13</v>
      </c>
      <c r="M9" s="4">
        <v>722</v>
      </c>
      <c r="N9" s="4">
        <f>M9+42</f>
        <v>764</v>
      </c>
      <c r="O9" s="18" t="s">
        <v>20</v>
      </c>
      <c r="P9" s="4">
        <f>M9*L9</f>
        <v>9386</v>
      </c>
      <c r="Q9" s="4">
        <f>N9*L9</f>
        <v>9932</v>
      </c>
      <c r="R9" s="4">
        <f>0.53*L9</f>
        <v>6.8900000000000006</v>
      </c>
    </row>
    <row r="10" spans="1:18" ht="35.25" customHeight="1">
      <c r="A10" s="21" t="s">
        <v>19</v>
      </c>
      <c r="B10" s="21"/>
      <c r="C10" s="21"/>
      <c r="D10" s="5"/>
      <c r="E10" s="6"/>
      <c r="F10" s="5"/>
      <c r="G10" s="5">
        <f>SUM(G9:G9)</f>
        <v>10400</v>
      </c>
      <c r="H10" s="5"/>
      <c r="I10" s="5">
        <f>SUM(I9:I9)</f>
        <v>520</v>
      </c>
      <c r="J10" s="5"/>
      <c r="K10" s="5"/>
      <c r="L10" s="5">
        <f>SUM(L9:L9)</f>
        <v>13</v>
      </c>
      <c r="M10" s="5"/>
      <c r="N10" s="5"/>
      <c r="O10" s="10"/>
      <c r="P10" s="5">
        <f>SUM(P9:P9)</f>
        <v>9386</v>
      </c>
      <c r="Q10" s="5">
        <f>SUM(Q9:Q9)</f>
        <v>9932</v>
      </c>
      <c r="R10" s="5">
        <f>SUM(R9:R9)</f>
        <v>6.8900000000000006</v>
      </c>
    </row>
    <row r="11" spans="1:18" ht="14.45" customHeight="1">
      <c r="A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68.45" customHeight="1">
      <c r="A12" s="1" t="s">
        <v>1</v>
      </c>
      <c r="B12" s="1" t="s">
        <v>2</v>
      </c>
      <c r="C12" s="1" t="s">
        <v>3</v>
      </c>
      <c r="D12" s="19" t="s">
        <v>29</v>
      </c>
      <c r="E12" s="2" t="s">
        <v>4</v>
      </c>
      <c r="F12" s="2" t="s">
        <v>5</v>
      </c>
      <c r="G12" s="3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1" t="s">
        <v>15</v>
      </c>
      <c r="Q12" s="1" t="s">
        <v>16</v>
      </c>
      <c r="R12" s="1" t="s">
        <v>17</v>
      </c>
    </row>
    <row r="13" spans="1:18" ht="48" customHeight="1">
      <c r="A13" s="4">
        <v>1</v>
      </c>
      <c r="B13" s="3" t="s">
        <v>18</v>
      </c>
      <c r="C13" s="15" t="s">
        <v>21</v>
      </c>
      <c r="D13" s="34">
        <v>30</v>
      </c>
      <c r="E13" s="15" t="s">
        <v>22</v>
      </c>
      <c r="F13" s="17" t="s">
        <v>27</v>
      </c>
      <c r="G13" s="4">
        <f>K13*L13</f>
        <v>25600</v>
      </c>
      <c r="H13" s="4">
        <v>20</v>
      </c>
      <c r="I13" s="4">
        <f>L13*J13</f>
        <v>1280</v>
      </c>
      <c r="J13" s="4">
        <v>40</v>
      </c>
      <c r="K13" s="4">
        <f>H13*J13</f>
        <v>800</v>
      </c>
      <c r="L13" s="4">
        <v>32</v>
      </c>
      <c r="M13" s="4">
        <v>722</v>
      </c>
      <c r="N13" s="4">
        <f>M13+42</f>
        <v>764</v>
      </c>
      <c r="O13" s="18" t="s">
        <v>20</v>
      </c>
      <c r="P13" s="4">
        <f>M13*L13</f>
        <v>23104</v>
      </c>
      <c r="Q13" s="4">
        <f>N13*L13</f>
        <v>24448</v>
      </c>
      <c r="R13" s="4">
        <f>0.53*L13</f>
        <v>16.96</v>
      </c>
    </row>
    <row r="14" spans="1:18" ht="37.5" customHeight="1">
      <c r="A14" s="22">
        <v>2</v>
      </c>
      <c r="B14" s="27" t="s">
        <v>18</v>
      </c>
      <c r="C14" s="29" t="s">
        <v>21</v>
      </c>
      <c r="D14" s="35"/>
      <c r="E14" s="29" t="s">
        <v>22</v>
      </c>
      <c r="F14" s="25" t="s">
        <v>28</v>
      </c>
      <c r="G14" s="22">
        <v>264</v>
      </c>
      <c r="H14" s="4">
        <v>20</v>
      </c>
      <c r="I14" s="4">
        <v>13</v>
      </c>
      <c r="J14" s="22">
        <v>14</v>
      </c>
      <c r="K14" s="4">
        <v>260</v>
      </c>
      <c r="L14" s="22">
        <v>1</v>
      </c>
      <c r="M14" s="22">
        <v>238</v>
      </c>
      <c r="N14" s="22">
        <f>M14+30</f>
        <v>268</v>
      </c>
      <c r="O14" s="23" t="s">
        <v>23</v>
      </c>
      <c r="P14" s="22">
        <f>M14*L14</f>
        <v>238</v>
      </c>
      <c r="Q14" s="22">
        <f>N14*L14</f>
        <v>268</v>
      </c>
      <c r="R14" s="22">
        <f>0.34*L14</f>
        <v>0.34</v>
      </c>
    </row>
    <row r="15" spans="1:18" ht="37.5" customHeight="1">
      <c r="A15" s="21"/>
      <c r="B15" s="28"/>
      <c r="C15" s="30"/>
      <c r="D15" s="36"/>
      <c r="E15" s="30"/>
      <c r="F15" s="26"/>
      <c r="G15" s="21"/>
      <c r="H15" s="4">
        <v>4</v>
      </c>
      <c r="I15" s="4">
        <v>1</v>
      </c>
      <c r="J15" s="21"/>
      <c r="K15" s="4">
        <v>4</v>
      </c>
      <c r="L15" s="21"/>
      <c r="M15" s="21"/>
      <c r="N15" s="21"/>
      <c r="O15" s="24"/>
      <c r="P15" s="21"/>
      <c r="Q15" s="21"/>
      <c r="R15" s="21"/>
    </row>
    <row r="16" spans="1:18" ht="35.25" customHeight="1">
      <c r="A16" s="21" t="s">
        <v>19</v>
      </c>
      <c r="B16" s="21"/>
      <c r="C16" s="21"/>
      <c r="D16" s="5"/>
      <c r="E16" s="6"/>
      <c r="F16" s="5"/>
      <c r="G16" s="5">
        <f>SUM(G13:G15)</f>
        <v>25864</v>
      </c>
      <c r="H16" s="5"/>
      <c r="I16" s="5">
        <f>SUM(I13:I15)</f>
        <v>1294</v>
      </c>
      <c r="J16" s="5"/>
      <c r="K16" s="5"/>
      <c r="L16" s="5">
        <f>SUM(L13:L15)</f>
        <v>33</v>
      </c>
      <c r="M16" s="5"/>
      <c r="N16" s="5"/>
      <c r="O16" s="10"/>
      <c r="P16" s="5">
        <f>SUM(P13:P15)</f>
        <v>23342</v>
      </c>
      <c r="Q16" s="5">
        <f>SUM(Q13:Q15)</f>
        <v>24716</v>
      </c>
      <c r="R16" s="5">
        <f>SUM(R13:R15)</f>
        <v>17.3</v>
      </c>
    </row>
    <row r="17" spans="1:18" ht="21" customHeight="1">
      <c r="A17" s="20" t="s">
        <v>30</v>
      </c>
      <c r="B17" s="12"/>
      <c r="C17" s="16"/>
      <c r="D17" s="16"/>
      <c r="O17" s="11"/>
      <c r="P17" s="11"/>
      <c r="Q17" s="11"/>
      <c r="R17" s="11"/>
    </row>
    <row r="18" spans="1:18" ht="21" customHeight="1">
      <c r="A18" s="11"/>
      <c r="B18" s="13"/>
      <c r="C18" s="8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18.75">
      <c r="A19" s="11"/>
      <c r="B19" s="11"/>
      <c r="C19" s="8"/>
      <c r="D19" s="8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31">
        <v>45951</v>
      </c>
      <c r="P19" s="31"/>
      <c r="Q19" s="31"/>
      <c r="R19" s="31"/>
    </row>
    <row r="20" spans="1:18">
      <c r="A20" s="9"/>
      <c r="B20" s="9"/>
      <c r="C20" s="8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9"/>
      <c r="B21" s="9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</sheetData>
  <mergeCells count="35">
    <mergeCell ref="O19:R19"/>
    <mergeCell ref="A1:R1"/>
    <mergeCell ref="A6:C6"/>
    <mergeCell ref="B4:B5"/>
    <mergeCell ref="C4:C5"/>
    <mergeCell ref="E4:E5"/>
    <mergeCell ref="G4:G5"/>
    <mergeCell ref="L4:L5"/>
    <mergeCell ref="M4:M5"/>
    <mergeCell ref="N4:N5"/>
    <mergeCell ref="O4:O5"/>
    <mergeCell ref="P4:P5"/>
    <mergeCell ref="Q4:Q5"/>
    <mergeCell ref="R4:R5"/>
    <mergeCell ref="D3:D5"/>
    <mergeCell ref="D13:D15"/>
    <mergeCell ref="J4:J5"/>
    <mergeCell ref="A10:C10"/>
    <mergeCell ref="A14:A15"/>
    <mergeCell ref="B14:B15"/>
    <mergeCell ref="C14:C15"/>
    <mergeCell ref="E14:E15"/>
    <mergeCell ref="F4:F5"/>
    <mergeCell ref="A4:A5"/>
    <mergeCell ref="R14:R15"/>
    <mergeCell ref="F14:F15"/>
    <mergeCell ref="G14:G15"/>
    <mergeCell ref="J14:J15"/>
    <mergeCell ref="L14:L15"/>
    <mergeCell ref="M14:M15"/>
    <mergeCell ref="A16:C16"/>
    <mergeCell ref="N14:N15"/>
    <mergeCell ref="O14:O15"/>
    <mergeCell ref="P14:P15"/>
    <mergeCell ref="Q14:Q1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2025-10-21T05:07:17Z</cp:lastPrinted>
  <dcterms:created xsi:type="dcterms:W3CDTF">2006-09-13T11:21:00Z</dcterms:created>
  <dcterms:modified xsi:type="dcterms:W3CDTF">2025-10-21T06:39:47Z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