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10025件空运\"/>
    </mc:Choice>
  </mc:AlternateContent>
  <xr:revisionPtr revIDLastSave="0" documentId="13_ncr:1_{3A7B9F9F-B14A-465E-A35E-D59166E6B3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F6" i="2"/>
  <c r="Q4" i="2"/>
  <c r="M4" i="2"/>
  <c r="P4" i="2" s="1"/>
  <c r="O4" i="2"/>
  <c r="Q3" i="2"/>
  <c r="Q6" i="2" s="1"/>
  <c r="O3" i="2"/>
  <c r="M3" i="2"/>
  <c r="P3" i="2" s="1"/>
  <c r="J3" i="2"/>
  <c r="F3" i="2" s="1"/>
  <c r="H3" i="2"/>
  <c r="H6" i="2" s="1"/>
  <c r="P6" i="2" l="1"/>
  <c r="O6" i="2"/>
</calcChain>
</file>

<file path=xl/sharedStrings.xml><?xml version="1.0" encoding="utf-8"?>
<sst xmlns="http://schemas.openxmlformats.org/spreadsheetml/2006/main" count="31" uniqueCount="28">
  <si>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</si>
  <si>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</si>
  <si>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</si>
  <si>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</si>
  <si>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</si>
  <si>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</si>
  <si>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</si>
  <si>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</si>
  <si>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</si>
  <si>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</si>
  <si>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</si>
  <si>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</si>
  <si>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</si>
  <si>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</si>
  <si>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</si>
  <si>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</si>
  <si>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</si>
  <si>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</si>
  <si>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</si>
  <si>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</si>
  <si>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</si>
  <si>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</si>
  <si>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25*219</t>
    <phoneticPr fontId="13" type="noConversion"/>
  </si>
  <si>
    <t>CA2504223</t>
    <phoneticPr fontId="13" type="noConversion"/>
  </si>
  <si>
    <t>1200*800*350
0.34</t>
    <phoneticPr fontId="13" type="noConversion"/>
  </si>
  <si>
    <t>The pieces are packed in a bag : 20(5) pieces per bag and 40(22) bags per case so 800(425) pieces per case</t>
    <phoneticPr fontId="13" type="noConversion"/>
  </si>
  <si>
    <t>1/13-12/13</t>
    <phoneticPr fontId="13" type="noConversion"/>
  </si>
  <si>
    <t>13/13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</si>
</sst>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F4" sqref="F4:F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14">
        <v>1</v>
      </c>
      <c r="B3" s="3" t="s">
        <v>18</v>
      </c>
      <c r="C3" s="15" t="s">
        <v>22</v>
      </c>
      <c r="D3" s="15" t="s">
        <v>23</v>
      </c>
      <c r="E3" s="17" t="s">
        <v>26</v>
      </c>
      <c r="F3" s="4">
        <f>J3*K3</f>
        <v>9600</v>
      </c>
      <c r="G3" s="4">
        <v>20</v>
      </c>
      <c r="H3" s="4">
        <f>K3*I3</f>
        <v>480</v>
      </c>
      <c r="I3" s="4">
        <v>40</v>
      </c>
      <c r="J3" s="4">
        <f>G3*I3</f>
        <v>800</v>
      </c>
      <c r="K3" s="4">
        <v>12</v>
      </c>
      <c r="L3" s="4">
        <v>722</v>
      </c>
      <c r="M3" s="4">
        <f>L3+42</f>
        <v>764</v>
      </c>
      <c r="N3" s="18" t="s">
        <v>21</v>
      </c>
      <c r="O3" s="4">
        <f>L3*K3</f>
        <v>8664</v>
      </c>
      <c r="P3" s="4">
        <f>M3*K3</f>
        <v>9168</v>
      </c>
      <c r="Q3" s="4">
        <f>0.53*K3</f>
        <v>6.36</v>
      </c>
    </row>
    <row r="4" spans="1:17" ht="43.5" customHeight="1">
      <c r="A4" s="19">
        <v>2</v>
      </c>
      <c r="B4" s="24" t="s">
        <v>18</v>
      </c>
      <c r="C4" s="26" t="s">
        <v>22</v>
      </c>
      <c r="D4" s="26" t="s">
        <v>23</v>
      </c>
      <c r="E4" s="31" t="s">
        <v>27</v>
      </c>
      <c r="F4" s="19">
        <v>425</v>
      </c>
      <c r="G4" s="4">
        <v>20</v>
      </c>
      <c r="H4" s="4">
        <v>21</v>
      </c>
      <c r="I4" s="19">
        <v>22</v>
      </c>
      <c r="J4" s="4">
        <v>420</v>
      </c>
      <c r="K4" s="19">
        <v>1</v>
      </c>
      <c r="L4" s="19">
        <v>383</v>
      </c>
      <c r="M4" s="19">
        <f>L4+30</f>
        <v>413</v>
      </c>
      <c r="N4" s="21" t="s">
        <v>24</v>
      </c>
      <c r="O4" s="19">
        <f>L4*K4</f>
        <v>383</v>
      </c>
      <c r="P4" s="19">
        <f>M4*K4</f>
        <v>413</v>
      </c>
      <c r="Q4" s="19">
        <f>0.34*K4</f>
        <v>0.34</v>
      </c>
    </row>
    <row r="5" spans="1:17" ht="43.5" customHeight="1">
      <c r="A5" s="20"/>
      <c r="B5" s="25"/>
      <c r="C5" s="27"/>
      <c r="D5" s="27"/>
      <c r="E5" s="23"/>
      <c r="F5" s="20"/>
      <c r="G5" s="4">
        <v>5</v>
      </c>
      <c r="H5" s="4">
        <v>1</v>
      </c>
      <c r="I5" s="20"/>
      <c r="J5" s="4">
        <v>5</v>
      </c>
      <c r="K5" s="20"/>
      <c r="L5" s="20"/>
      <c r="M5" s="20"/>
      <c r="N5" s="22"/>
      <c r="O5" s="20"/>
      <c r="P5" s="20"/>
      <c r="Q5" s="20"/>
    </row>
    <row r="6" spans="1:17" ht="35.25" customHeight="1">
      <c r="A6" s="20" t="s">
        <v>19</v>
      </c>
      <c r="B6" s="20"/>
      <c r="C6" s="20"/>
      <c r="D6" s="6"/>
      <c r="E6" s="5"/>
      <c r="F6" s="5">
        <f>SUM(F3:F5)</f>
        <v>10025</v>
      </c>
      <c r="G6" s="5"/>
      <c r="H6" s="5">
        <f>SUM(H3:H5)</f>
        <v>502</v>
      </c>
      <c r="I6" s="5"/>
      <c r="J6" s="5"/>
      <c r="K6" s="5">
        <f>SUM(K3:K5)</f>
        <v>13</v>
      </c>
      <c r="L6" s="5"/>
      <c r="M6" s="5"/>
      <c r="N6" s="10"/>
      <c r="O6" s="5">
        <f>SUM(O3:O5)</f>
        <v>9047</v>
      </c>
      <c r="P6" s="5">
        <f>SUM(P3:P5)</f>
        <v>9581</v>
      </c>
      <c r="Q6" s="5">
        <f>SUM(Q3:Q5)</f>
        <v>6.7</v>
      </c>
    </row>
    <row r="7" spans="1:17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" customHeight="1">
      <c r="A8" s="11"/>
      <c r="B8" s="12" t="s">
        <v>20</v>
      </c>
      <c r="C8" s="16" t="s">
        <v>25</v>
      </c>
      <c r="N8" s="11"/>
      <c r="O8" s="11"/>
      <c r="P8" s="11"/>
      <c r="Q8" s="11"/>
    </row>
    <row r="9" spans="1:17" ht="21" customHeight="1">
      <c r="A9" s="11"/>
      <c r="B9" s="13"/>
      <c r="C9" s="8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ht="18.75">
      <c r="A10" s="11"/>
      <c r="B10" s="11"/>
      <c r="C10" s="8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8">
        <v>45944</v>
      </c>
      <c r="O10" s="28"/>
      <c r="P10" s="28"/>
      <c r="Q10" s="28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</sheetData>
  <mergeCells count="17">
    <mergeCell ref="N10:Q10"/>
    <mergeCell ref="A1:Q1"/>
    <mergeCell ref="A6:C6"/>
    <mergeCell ref="B4:B5"/>
    <mergeCell ref="C4:C5"/>
    <mergeCell ref="D4:D5"/>
    <mergeCell ref="F4:F5"/>
    <mergeCell ref="K4:K5"/>
    <mergeCell ref="L4:L5"/>
    <mergeCell ref="M4:M5"/>
    <mergeCell ref="N4:N5"/>
    <mergeCell ref="O4:O5"/>
    <mergeCell ref="P4:P5"/>
    <mergeCell ref="Q4:Q5"/>
    <mergeCell ref="I4:I5"/>
    <mergeCell ref="E4:E5"/>
    <mergeCell ref="A4:A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2025-10-14T03:49:21Z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