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D6C5B64C-5310-44CB-BB5B-BD797F1C2A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H5" i="2"/>
  <c r="F5" i="2"/>
  <c r="Q3" i="2"/>
  <c r="Q5" i="2" s="1"/>
  <c r="O3" i="2"/>
  <c r="O5" i="2" s="1"/>
  <c r="M3" i="2"/>
  <c r="P3" i="2" s="1"/>
  <c r="P5" i="2" s="1"/>
  <c r="K17" i="2"/>
  <c r="Q15" i="2"/>
  <c r="O15" i="2"/>
  <c r="M15" i="2"/>
  <c r="P15" i="2" s="1"/>
  <c r="Q14" i="2"/>
  <c r="O14" i="2"/>
  <c r="M14" i="2"/>
  <c r="P14" i="2" s="1"/>
  <c r="J14" i="2"/>
  <c r="F14" i="2" s="1"/>
  <c r="H14" i="2"/>
  <c r="H17" i="2" s="1"/>
  <c r="K11" i="2"/>
  <c r="Q9" i="2"/>
  <c r="M9" i="2"/>
  <c r="P9" i="2" s="1"/>
  <c r="O9" i="2"/>
  <c r="Q8" i="2"/>
  <c r="O8" i="2"/>
  <c r="M8" i="2"/>
  <c r="P8" i="2" s="1"/>
  <c r="P11" i="2" s="1"/>
  <c r="J8" i="2"/>
  <c r="F8" i="2" s="1"/>
  <c r="F11" i="2" s="1"/>
  <c r="H8" i="2"/>
  <c r="H11" i="2" s="1"/>
  <c r="O11" i="2" l="1"/>
  <c r="F17" i="2"/>
  <c r="Q11" i="2"/>
  <c r="Q17" i="2"/>
  <c r="O17" i="2"/>
  <c r="P17" i="2"/>
</calcChain>
</file>

<file path=xl/sharedStrings.xml><?xml version="1.0" encoding="utf-8"?>
<sst xmlns="http://schemas.openxmlformats.org/spreadsheetml/2006/main" count="75" uniqueCount="24">
  <si>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</si>
  <si>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</si>
  <si>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</si>
  <si>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</si>
  <si>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</si>
  <si>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</si>
  <si>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</si>
  <si>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</si>
  <si>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</si>
  <si>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</si>
  <si>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</si>
  <si>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</si>
  <si>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</si>
  <si>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</si>
  <si>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</si>
  <si>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</si>
  <si>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</si>
  <si>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</si>
  <si>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</si>
  <si>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</si>
  <si>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3" type="noConversion"/>
  </si>
  <si>
    <t>25*219</t>
    <phoneticPr fontId="13" type="noConversion"/>
  </si>
  <si>
    <t>CA2504223</t>
    <phoneticPr fontId="13" type="noConversion"/>
  </si>
  <si>
    <t>1200*800*350
0.34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</si>
</sst>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topLeftCell="A14" workbookViewId="0">
      <selection activeCell="A17" sqref="A17:C17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4.8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48" customHeight="1">
      <c r="A3" s="17">
        <v>1</v>
      </c>
      <c r="B3" s="23" t="s">
        <v>18</v>
      </c>
      <c r="C3" s="25" t="s">
        <v>21</v>
      </c>
      <c r="D3" s="25" t="s">
        <v>22</v>
      </c>
      <c r="E3" s="21"/>
      <c r="F3" s="17">
        <v>185</v>
      </c>
      <c r="G3" s="4">
        <v>20</v>
      </c>
      <c r="H3" s="4">
        <v>9</v>
      </c>
      <c r="I3" s="17">
        <v>10</v>
      </c>
      <c r="J3" s="4">
        <v>180</v>
      </c>
      <c r="K3" s="17">
        <v>1</v>
      </c>
      <c r="L3" s="17">
        <v>167</v>
      </c>
      <c r="M3" s="30">
        <f>L3+30</f>
        <v>197</v>
      </c>
      <c r="N3" s="31" t="s">
        <v>23</v>
      </c>
      <c r="O3" s="17">
        <f>L3*K3</f>
        <v>167</v>
      </c>
      <c r="P3" s="17">
        <f>M3*K3</f>
        <v>197</v>
      </c>
      <c r="Q3" s="30">
        <f>0.34*K3</f>
        <v>0.34</v>
      </c>
    </row>
    <row r="4" spans="1:17" ht="48" customHeight="1">
      <c r="A4" s="18"/>
      <c r="B4" s="24"/>
      <c r="C4" s="26"/>
      <c r="D4" s="26"/>
      <c r="E4" s="22"/>
      <c r="F4" s="18"/>
      <c r="G4" s="4">
        <v>5</v>
      </c>
      <c r="H4" s="4">
        <v>1</v>
      </c>
      <c r="I4" s="18"/>
      <c r="J4" s="4">
        <v>5</v>
      </c>
      <c r="K4" s="18"/>
      <c r="L4" s="18"/>
      <c r="M4" s="32"/>
      <c r="N4" s="33"/>
      <c r="O4" s="18"/>
      <c r="P4" s="18"/>
      <c r="Q4" s="32"/>
    </row>
    <row r="5" spans="1:17" ht="35.25" customHeight="1">
      <c r="A5" s="18" t="s">
        <v>19</v>
      </c>
      <c r="B5" s="18"/>
      <c r="C5" s="18"/>
      <c r="D5" s="6"/>
      <c r="E5" s="5"/>
      <c r="F5" s="5">
        <f>SUM(F3:F4)</f>
        <v>185</v>
      </c>
      <c r="G5" s="5"/>
      <c r="H5" s="5">
        <f>SUM(H3:H4)</f>
        <v>10</v>
      </c>
      <c r="I5" s="5"/>
      <c r="J5" s="5"/>
      <c r="K5" s="5">
        <f>SUM(K3:K4)</f>
        <v>1</v>
      </c>
      <c r="L5" s="5"/>
      <c r="M5" s="5"/>
      <c r="N5" s="10"/>
      <c r="O5" s="5">
        <f>SUM(O3:O4)</f>
        <v>167</v>
      </c>
      <c r="P5" s="5">
        <f>SUM(P3:P4)</f>
        <v>197</v>
      </c>
      <c r="Q5" s="5">
        <f>SUM(Q3:Q4)</f>
        <v>0.34</v>
      </c>
    </row>
    <row r="6" spans="1:17" ht="14.45" customHeight="1">
      <c r="A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68.45" customHeight="1">
      <c r="A7" s="1" t="s">
        <v>1</v>
      </c>
      <c r="B7" s="1" t="s">
        <v>2</v>
      </c>
      <c r="C7" s="1" t="s">
        <v>3</v>
      </c>
      <c r="D7" s="2" t="s">
        <v>4</v>
      </c>
      <c r="E7" s="2" t="s">
        <v>5</v>
      </c>
      <c r="F7" s="3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1" t="s">
        <v>15</v>
      </c>
      <c r="P7" s="1" t="s">
        <v>16</v>
      </c>
      <c r="Q7" s="1" t="s">
        <v>17</v>
      </c>
    </row>
    <row r="8" spans="1:17" ht="43.5" customHeight="1">
      <c r="A8" s="13">
        <v>1</v>
      </c>
      <c r="B8" s="3" t="s">
        <v>18</v>
      </c>
      <c r="C8" s="14" t="s">
        <v>21</v>
      </c>
      <c r="D8" s="14" t="s">
        <v>22</v>
      </c>
      <c r="E8" s="15"/>
      <c r="F8" s="4">
        <f>J8*K8</f>
        <v>36800</v>
      </c>
      <c r="G8" s="4">
        <v>20</v>
      </c>
      <c r="H8" s="4">
        <f>K8*I8</f>
        <v>1840</v>
      </c>
      <c r="I8" s="4">
        <v>40</v>
      </c>
      <c r="J8" s="4">
        <f>G8*I8</f>
        <v>800</v>
      </c>
      <c r="K8" s="4">
        <v>46</v>
      </c>
      <c r="L8" s="4">
        <v>722</v>
      </c>
      <c r="M8" s="4">
        <f>L8+42</f>
        <v>764</v>
      </c>
      <c r="N8" s="16" t="s">
        <v>20</v>
      </c>
      <c r="O8" s="4">
        <f>L8*K8</f>
        <v>33212</v>
      </c>
      <c r="P8" s="4">
        <f>M8*K8</f>
        <v>35144</v>
      </c>
      <c r="Q8" s="4">
        <f>0.53*K8</f>
        <v>24.380000000000003</v>
      </c>
    </row>
    <row r="9" spans="1:17" ht="32.25" customHeight="1">
      <c r="A9" s="17">
        <v>2</v>
      </c>
      <c r="B9" s="23" t="s">
        <v>18</v>
      </c>
      <c r="C9" s="25" t="s">
        <v>21</v>
      </c>
      <c r="D9" s="25" t="s">
        <v>22</v>
      </c>
      <c r="E9" s="21"/>
      <c r="F9" s="17">
        <v>239</v>
      </c>
      <c r="G9" s="4">
        <v>20</v>
      </c>
      <c r="H9" s="4">
        <v>11</v>
      </c>
      <c r="I9" s="17">
        <v>12</v>
      </c>
      <c r="J9" s="4">
        <v>220</v>
      </c>
      <c r="K9" s="17">
        <v>1</v>
      </c>
      <c r="L9" s="17">
        <v>216</v>
      </c>
      <c r="M9" s="17">
        <f>L9+30</f>
        <v>246</v>
      </c>
      <c r="N9" s="19" t="s">
        <v>23</v>
      </c>
      <c r="O9" s="17">
        <f>L9*K9</f>
        <v>216</v>
      </c>
      <c r="P9" s="17">
        <f>M9*K9</f>
        <v>246</v>
      </c>
      <c r="Q9" s="17">
        <f>0.34*K9</f>
        <v>0.34</v>
      </c>
    </row>
    <row r="10" spans="1:17" ht="32.25" customHeight="1">
      <c r="A10" s="18"/>
      <c r="B10" s="24"/>
      <c r="C10" s="26"/>
      <c r="D10" s="26"/>
      <c r="E10" s="22"/>
      <c r="F10" s="18"/>
      <c r="G10" s="4">
        <v>19</v>
      </c>
      <c r="H10" s="4">
        <v>1</v>
      </c>
      <c r="I10" s="18"/>
      <c r="J10" s="4">
        <v>19</v>
      </c>
      <c r="K10" s="18"/>
      <c r="L10" s="18"/>
      <c r="M10" s="18"/>
      <c r="N10" s="20"/>
      <c r="O10" s="18"/>
      <c r="P10" s="18"/>
      <c r="Q10" s="18"/>
    </row>
    <row r="11" spans="1:17" ht="35.25" customHeight="1">
      <c r="A11" s="18" t="s">
        <v>19</v>
      </c>
      <c r="B11" s="18"/>
      <c r="C11" s="18"/>
      <c r="D11" s="6"/>
      <c r="E11" s="5"/>
      <c r="F11" s="5">
        <f>SUM(F8:F10)</f>
        <v>37039</v>
      </c>
      <c r="G11" s="5"/>
      <c r="H11" s="5">
        <f>SUM(H8:H10)</f>
        <v>1852</v>
      </c>
      <c r="I11" s="5"/>
      <c r="J11" s="5"/>
      <c r="K11" s="5">
        <f>SUM(K8:K10)</f>
        <v>47</v>
      </c>
      <c r="L11" s="5"/>
      <c r="M11" s="5"/>
      <c r="N11" s="10"/>
      <c r="O11" s="5">
        <f>SUM(O8:O10)</f>
        <v>33428</v>
      </c>
      <c r="P11" s="5">
        <f>SUM(P8:P10)</f>
        <v>35390</v>
      </c>
      <c r="Q11" s="5">
        <f>SUM(Q8:Q10)</f>
        <v>24.720000000000002</v>
      </c>
    </row>
    <row r="12" spans="1:17" ht="14.45" customHeight="1">
      <c r="A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ht="68.45" customHeight="1">
      <c r="A13" s="1" t="s">
        <v>1</v>
      </c>
      <c r="B13" s="1" t="s">
        <v>2</v>
      </c>
      <c r="C13" s="1" t="s">
        <v>3</v>
      </c>
      <c r="D13" s="2" t="s">
        <v>4</v>
      </c>
      <c r="E13" s="2" t="s">
        <v>5</v>
      </c>
      <c r="F13" s="3" t="s">
        <v>6</v>
      </c>
      <c r="G13" s="2" t="s">
        <v>7</v>
      </c>
      <c r="H13" s="2" t="s">
        <v>8</v>
      </c>
      <c r="I13" s="2" t="s">
        <v>9</v>
      </c>
      <c r="J13" s="2" t="s">
        <v>10</v>
      </c>
      <c r="K13" s="2" t="s">
        <v>11</v>
      </c>
      <c r="L13" s="2" t="s">
        <v>12</v>
      </c>
      <c r="M13" s="2" t="s">
        <v>13</v>
      </c>
      <c r="N13" s="2" t="s">
        <v>14</v>
      </c>
      <c r="O13" s="1" t="s">
        <v>15</v>
      </c>
      <c r="P13" s="1" t="s">
        <v>16</v>
      </c>
      <c r="Q13" s="1" t="s">
        <v>17</v>
      </c>
    </row>
    <row r="14" spans="1:17" ht="48" customHeight="1">
      <c r="A14" s="4">
        <v>1</v>
      </c>
      <c r="B14" s="3" t="s">
        <v>18</v>
      </c>
      <c r="C14" s="14" t="s">
        <v>21</v>
      </c>
      <c r="D14" s="14" t="s">
        <v>22</v>
      </c>
      <c r="E14" s="15"/>
      <c r="F14" s="4">
        <f>J14*K14</f>
        <v>8800</v>
      </c>
      <c r="G14" s="4">
        <v>20</v>
      </c>
      <c r="H14" s="4">
        <f>K14*I14</f>
        <v>440</v>
      </c>
      <c r="I14" s="4">
        <v>40</v>
      </c>
      <c r="J14" s="4">
        <f>G14*I14</f>
        <v>800</v>
      </c>
      <c r="K14" s="4">
        <v>11</v>
      </c>
      <c r="L14" s="4">
        <v>722</v>
      </c>
      <c r="M14" s="4">
        <f>L14+42</f>
        <v>764</v>
      </c>
      <c r="N14" s="16" t="s">
        <v>20</v>
      </c>
      <c r="O14" s="4">
        <f>L14*K14</f>
        <v>7942</v>
      </c>
      <c r="P14" s="4">
        <f>M14*K14</f>
        <v>8404</v>
      </c>
      <c r="Q14" s="4">
        <f>0.53*K14</f>
        <v>5.83</v>
      </c>
    </row>
    <row r="15" spans="1:17" ht="37.5" customHeight="1">
      <c r="A15" s="17">
        <v>2</v>
      </c>
      <c r="B15" s="23" t="s">
        <v>18</v>
      </c>
      <c r="C15" s="25" t="s">
        <v>21</v>
      </c>
      <c r="D15" s="25" t="s">
        <v>22</v>
      </c>
      <c r="E15" s="21"/>
      <c r="F15" s="17">
        <v>265</v>
      </c>
      <c r="G15" s="4">
        <v>20</v>
      </c>
      <c r="H15" s="4">
        <v>13</v>
      </c>
      <c r="I15" s="17">
        <v>14</v>
      </c>
      <c r="J15" s="4">
        <v>260</v>
      </c>
      <c r="K15" s="17">
        <v>1</v>
      </c>
      <c r="L15" s="17">
        <v>240</v>
      </c>
      <c r="M15" s="17">
        <f>L15+30</f>
        <v>270</v>
      </c>
      <c r="N15" s="19" t="s">
        <v>23</v>
      </c>
      <c r="O15" s="17">
        <f>L15*K15</f>
        <v>240</v>
      </c>
      <c r="P15" s="17">
        <f>M15*K15</f>
        <v>270</v>
      </c>
      <c r="Q15" s="17">
        <f>0.34*K15</f>
        <v>0.34</v>
      </c>
    </row>
    <row r="16" spans="1:17" ht="37.5" customHeight="1">
      <c r="A16" s="18"/>
      <c r="B16" s="24"/>
      <c r="C16" s="26"/>
      <c r="D16" s="26"/>
      <c r="E16" s="22"/>
      <c r="F16" s="18"/>
      <c r="G16" s="4">
        <v>5</v>
      </c>
      <c r="H16" s="4">
        <v>1</v>
      </c>
      <c r="I16" s="18"/>
      <c r="J16" s="4">
        <v>5</v>
      </c>
      <c r="K16" s="18"/>
      <c r="L16" s="18"/>
      <c r="M16" s="18"/>
      <c r="N16" s="20"/>
      <c r="O16" s="18"/>
      <c r="P16" s="18"/>
      <c r="Q16" s="18"/>
    </row>
    <row r="17" spans="1:17" ht="35.25" customHeight="1">
      <c r="A17" s="18" t="s">
        <v>19</v>
      </c>
      <c r="B17" s="18"/>
      <c r="C17" s="18"/>
      <c r="D17" s="6"/>
      <c r="E17" s="5"/>
      <c r="F17" s="5">
        <f>SUM(F14:F16)</f>
        <v>9065</v>
      </c>
      <c r="G17" s="5"/>
      <c r="H17" s="5">
        <f>SUM(H14:H16)</f>
        <v>454</v>
      </c>
      <c r="I17" s="5"/>
      <c r="J17" s="5"/>
      <c r="K17" s="5">
        <f>SUM(K14:K16)</f>
        <v>12</v>
      </c>
      <c r="L17" s="5"/>
      <c r="M17" s="5"/>
      <c r="N17" s="10"/>
      <c r="O17" s="5">
        <f>SUM(O14:O16)</f>
        <v>8182</v>
      </c>
      <c r="P17" s="5">
        <f>SUM(P14:P16)</f>
        <v>8674</v>
      </c>
      <c r="Q17" s="5">
        <f>SUM(Q14:Q16)</f>
        <v>6.17</v>
      </c>
    </row>
    <row r="18" spans="1:17" ht="21" customHeight="1">
      <c r="A18" s="11"/>
      <c r="B18" s="12"/>
      <c r="C18" s="8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17" ht="18.75">
      <c r="A19" s="11"/>
      <c r="B19" s="11"/>
      <c r="C19" s="8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27">
        <v>45909</v>
      </c>
      <c r="O19" s="27"/>
      <c r="P19" s="27"/>
      <c r="Q19" s="27"/>
    </row>
    <row r="20" spans="1:17">
      <c r="A20" s="9"/>
      <c r="B20" s="9"/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</sheetData>
  <mergeCells count="47">
    <mergeCell ref="Q3:Q4"/>
    <mergeCell ref="A5:C5"/>
    <mergeCell ref="P15:P16"/>
    <mergeCell ref="Q15:Q16"/>
    <mergeCell ref="A17:C17"/>
    <mergeCell ref="A3:A4"/>
    <mergeCell ref="B3:B4"/>
    <mergeCell ref="C3:C4"/>
    <mergeCell ref="D3:D4"/>
    <mergeCell ref="E3:E4"/>
    <mergeCell ref="F3:F4"/>
    <mergeCell ref="I3:I4"/>
    <mergeCell ref="K3:K4"/>
    <mergeCell ref="L3:L4"/>
    <mergeCell ref="M3:M4"/>
    <mergeCell ref="N3:N4"/>
    <mergeCell ref="O3:O4"/>
    <mergeCell ref="P3:P4"/>
    <mergeCell ref="A15:A16"/>
    <mergeCell ref="B15:B16"/>
    <mergeCell ref="C15:C16"/>
    <mergeCell ref="D15:D16"/>
    <mergeCell ref="E15:E16"/>
    <mergeCell ref="F15:F16"/>
    <mergeCell ref="I15:I16"/>
    <mergeCell ref="K15:K16"/>
    <mergeCell ref="L15:L16"/>
    <mergeCell ref="M15:M16"/>
    <mergeCell ref="N15:N16"/>
    <mergeCell ref="O15:O16"/>
    <mergeCell ref="N19:Q19"/>
    <mergeCell ref="A1:Q1"/>
    <mergeCell ref="A11:C11"/>
    <mergeCell ref="B9:B10"/>
    <mergeCell ref="C9:C10"/>
    <mergeCell ref="D9:D10"/>
    <mergeCell ref="F9:F10"/>
    <mergeCell ref="K9:K10"/>
    <mergeCell ref="L9:L10"/>
    <mergeCell ref="M9:M10"/>
    <mergeCell ref="N9:N10"/>
    <mergeCell ref="O9:O10"/>
    <mergeCell ref="P9:P10"/>
    <mergeCell ref="Q9:Q10"/>
    <mergeCell ref="I9:I10"/>
    <mergeCell ref="E9:E10"/>
    <mergeCell ref="A9:A10"/>
  </mergeCells>
  <phoneticPr fontId="13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8A6DA2-9912-4902-93FB-649328AF6ADB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2025-09-09T04:07:55Z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