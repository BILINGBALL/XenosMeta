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F3E1E4E-D062-4E40-AC89-656F8D4859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A8" i="1"/>
  <c r="A9" i="1"/>
  <c r="A10" i="1"/>
  <c r="A11" i="1"/>
  <c r="A7" i="1"/>
  <c r="P8" i="1"/>
  <c r="P9" i="1"/>
  <c r="P10" i="1"/>
  <c r="P11" i="1"/>
  <c r="L12" i="1"/>
  <c r="I12" i="1"/>
  <c r="H12" i="1"/>
  <c r="F12" i="1"/>
  <c r="E12" i="1"/>
</calcChain>
</file>

<file path=xl/sharedStrings.xml><?xml version="1.0" encoding="utf-8"?>
<sst xmlns="http://schemas.openxmlformats.org/spreadsheetml/2006/main" count="33" uniqueCount="33">
  <si>
    <t>Date: 
日期
Дата:</t>
  </si>
  <si>
    <t>Contract No.:
合同号：
Договор №：</t>
  </si>
  <si>
    <r>
      <rPr>
        <b/>
        <sz val="7"/>
        <color indexed="8"/>
        <rFont val="微软雅黑"/>
        <family val="2"/>
        <charset val="134"/>
      </rPr>
      <t xml:space="preserve">Date: 
</t>
    </r>
    <r>
      <rPr>
        <b/>
        <sz val="7"/>
        <color rgb="FF000000"/>
        <rFont val="微软雅黑"/>
        <family val="2"/>
        <charset val="134"/>
      </rPr>
      <t>合同签订日期</t>
    </r>
    <r>
      <rPr>
        <b/>
        <sz val="7"/>
        <color indexed="8"/>
        <rFont val="微软雅黑"/>
        <family val="2"/>
        <charset val="134"/>
      </rPr>
      <t xml:space="preserve">
Дата:</t>
    </r>
  </si>
  <si>
    <t xml:space="preserve">Container  箱号
Контейнер </t>
  </si>
  <si>
    <t>No.</t>
  </si>
  <si>
    <t>HS Code / 
Код ТН ВЭД ТС</t>
  </si>
  <si>
    <r>
      <rPr>
        <b/>
        <sz val="8"/>
        <color indexed="8"/>
        <rFont val="微软雅黑"/>
        <family val="2"/>
        <charset val="134"/>
      </rPr>
      <t xml:space="preserve">Описание товаров/description of goods in English
</t>
    </r>
    <r>
      <rPr>
        <b/>
        <sz val="8"/>
        <color rgb="FF000000"/>
        <rFont val="微软雅黑"/>
        <family val="2"/>
        <charset val="134"/>
      </rPr>
      <t>英文货物描述</t>
    </r>
  </si>
  <si>
    <t>Описание товаров/description of goods in CN
中文货物描述</t>
  </si>
  <si>
    <t>Total</t>
  </si>
  <si>
    <t>ПЕЧАТЬ/stamp</t>
  </si>
  <si>
    <t>Packing List&amp;Invoice ---Упаковочный лист&amp;Инвойс</t>
    <phoneticPr fontId="19" type="noConversion"/>
  </si>
  <si>
    <r>
      <t xml:space="preserve">Terms of delivery 
</t>
    </r>
    <r>
      <rPr>
        <b/>
        <sz val="8"/>
        <color rgb="FF000000"/>
        <rFont val="微软雅黑"/>
        <family val="2"/>
        <charset val="134"/>
      </rPr>
      <t xml:space="preserve">运输条款
</t>
    </r>
    <r>
      <rPr>
        <b/>
        <sz val="8"/>
        <color indexed="8"/>
        <rFont val="微软雅黑"/>
        <family val="2"/>
        <charset val="134"/>
      </rPr>
      <t>Условия поставки:</t>
    </r>
    <phoneticPr fontId="19" type="noConversion"/>
  </si>
  <si>
    <t xml:space="preserve">Invoice No.
发票号  
Инвойс №: </t>
    <phoneticPr fontId="19" type="noConversion"/>
  </si>
  <si>
    <t>No. of packages/Кол-во мест, коробов 大包装件数</t>
    <phoneticPr fontId="19" type="noConversion"/>
  </si>
  <si>
    <t>Type of package/Вид упаковки b包装种类</t>
    <phoneticPr fontId="19" type="noConversion"/>
  </si>
  <si>
    <t>Net weight kg / Вес нетто кг 净重</t>
    <phoneticPr fontId="19" type="noConversion"/>
  </si>
  <si>
    <t>Gross weight kg / Вес брутто кг毛重</t>
    <phoneticPr fontId="19" type="noConversion"/>
  </si>
  <si>
    <t>Unit price / Цена за шт 单价</t>
    <phoneticPr fontId="19" type="noConversion"/>
  </si>
  <si>
    <t>Quantities/
 Кол-во шт 小件数</t>
    <phoneticPr fontId="19" type="noConversion"/>
  </si>
  <si>
    <t xml:space="preserve">Consignee </t>
    <phoneticPr fontId="19" type="noConversion"/>
  </si>
  <si>
    <t>Shipper</t>
    <phoneticPr fontId="19" type="noConversion"/>
  </si>
  <si>
    <r>
      <t xml:space="preserve">Amount / Общая стоимость 总金额
</t>
    </r>
    <r>
      <rPr>
        <b/>
        <sz val="8"/>
        <color rgb="FFFF0000"/>
        <rFont val="微软雅黑"/>
        <family val="2"/>
        <charset val="134"/>
      </rPr>
      <t>仅限欧元,如非欧元,需要换算成欧元后再填写</t>
    </r>
    <phoneticPr fontId="19" type="noConversion"/>
  </si>
  <si>
    <t>CFS-CFS</t>
    <phoneticPr fontId="19" type="noConversion"/>
  </si>
  <si>
    <t>Ceva 会加上</t>
    <phoneticPr fontId="19" type="noConversion"/>
  </si>
  <si>
    <t>Currency
Валют
币制
EUR</t>
    <phoneticPr fontId="19" type="noConversion"/>
  </si>
  <si>
    <r>
      <t>必须有公司名+地址+</t>
    </r>
    <r>
      <rPr>
        <b/>
        <sz val="9"/>
        <color rgb="FFFF0000"/>
        <rFont val="微软雅黑"/>
        <family val="2"/>
        <charset val="134"/>
      </rPr>
      <t>纳税人识别号</t>
    </r>
    <r>
      <rPr>
        <b/>
        <sz val="9"/>
        <rFont val="微软雅黑"/>
        <family val="2"/>
        <charset val="134"/>
      </rPr>
      <t>+联系方式（邮箱和电话）
中英文填写
SUZHOU SUDELAN RAILWAY PARTS CO.,LTD.
NO.112 XINJIANG RD,FUQIAO TOWN,TAICANG CITY,JIANGSU PROVINCE,P R CHINA.
Ms.Lu  0086-18012719858  lu@sudelan.cn
苏州苏德兰铁路配件有限公司
太仓市浮桥镇信江路112号
91320585570348375D</t>
    </r>
    <phoneticPr fontId="19" type="noConversion"/>
  </si>
  <si>
    <r>
      <t>必须有公司名+地址+</t>
    </r>
    <r>
      <rPr>
        <b/>
        <sz val="9"/>
        <color rgb="FFFF0000"/>
        <rFont val="微软雅黑"/>
        <family val="2"/>
        <charset val="134"/>
      </rPr>
      <t>EORI Number</t>
    </r>
    <r>
      <rPr>
        <b/>
        <sz val="9"/>
        <rFont val="微软雅黑"/>
        <family val="2"/>
        <charset val="134"/>
      </rPr>
      <t>+联系方式（邮箱和电话）
PANDROL SAS- Usine de DOUAI
205 Rue de Sin-le-Noble - 59504 DOUAI Cedex
Consigee: Marion Giampaoli
T: +33 (0)7 64 82 18
marion.giampaoli@pandrol.com
EORI:FR38967014200030</t>
    </r>
    <phoneticPr fontId="19" type="noConversion"/>
  </si>
  <si>
    <t>251022-PANDROL</t>
    <phoneticPr fontId="19" type="noConversion"/>
  </si>
  <si>
    <t xml:space="preserve">CA2504223 </t>
    <phoneticPr fontId="19" type="noConversion"/>
  </si>
  <si>
    <t xml:space="preserve"> Coach screw</t>
    <phoneticPr fontId="19" type="noConversion"/>
  </si>
  <si>
    <t>螺纹道钉</t>
    <phoneticPr fontId="19" type="noConversion"/>
  </si>
  <si>
    <t>PLT</t>
    <phoneticPr fontId="19" type="noConversion"/>
  </si>
  <si>
    <t>单价1.34美元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</si>
</sst>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等线"/>
      <charset val="134"/>
      <scheme val="minor"/>
    </font>
    <font>
      <b/>
      <sz val="22"/>
      <name val="Times New Roman"/>
      <family val="1"/>
    </font>
    <font>
      <b/>
      <sz val="7"/>
      <color indexed="8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8"/>
      <color indexed="8"/>
      <name val="微软雅黑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rgb="FF000000"/>
      <name val="Arial"/>
      <family val="2"/>
    </font>
    <font>
      <b/>
      <sz val="7"/>
      <color rgb="FF000000"/>
      <name val="微软雅黑"/>
      <family val="2"/>
      <charset val="134"/>
    </font>
    <font>
      <sz val="11"/>
      <color theme="1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sz val="10"/>
      <name val="Arial Tur"/>
      <charset val="162"/>
    </font>
    <font>
      <sz val="12"/>
      <name val="Times New Roman"/>
      <family val="1"/>
    </font>
    <font>
      <sz val="10"/>
      <name val="Helv"/>
      <family val="2"/>
    </font>
    <font>
      <b/>
      <sz val="8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b/>
      <sz val="9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6" fillId="0" borderId="0"/>
    <xf numFmtId="0" fontId="14" fillId="0" borderId="0">
      <alignment vertical="center"/>
    </xf>
    <xf numFmtId="0" fontId="12" fillId="0" borderId="0"/>
    <xf numFmtId="0" fontId="17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4" fontId="6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" fontId="6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0" fontId="25" fillId="0" borderId="0" xfId="0" applyFont="1">
      <alignment vertical="center"/>
    </xf>
    <xf numFmtId="0" fontId="20" fillId="0" borderId="1" xfId="4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29" fillId="0" borderId="2" xfId="4" applyFont="1" applyBorder="1" applyAlignment="1">
      <alignment horizontal="left" vertical="center" wrapText="1"/>
    </xf>
    <xf numFmtId="0" fontId="5" fillId="0" borderId="3" xfId="4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2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58" fontId="11" fillId="0" borderId="2" xfId="0" applyNumberFormat="1" applyFont="1" applyBorder="1" applyAlignment="1">
      <alignment horizontal="left" vertical="center" wrapText="1"/>
    </xf>
    <xf numFmtId="58" fontId="2" fillId="0" borderId="2" xfId="0" applyNumberFormat="1" applyFont="1" applyBorder="1" applyAlignment="1">
      <alignment horizontal="left" vertical="center" wrapText="1"/>
    </xf>
    <xf numFmtId="0" fontId="30" fillId="0" borderId="0" xfId="0" applyFont="1">
      <alignment vertical="center"/>
    </xf>
  </cellXfs>
  <cellStyles count="7">
    <cellStyle name="Обычный 2" xfId="4" xr:uid="{00000000-0005-0000-0000-000000000000}"/>
    <cellStyle name="Обычный 2 2 3" xfId="5" xr:uid="{00000000-0005-0000-0000-000001000000}"/>
    <cellStyle name="Обычный 2_ИНВ_ПАК_СПЕЦ_MARINECHOICE" xfId="2" xr:uid="{00000000-0005-0000-0000-000002000000}"/>
    <cellStyle name="Обычный_KUAIXIAN-6服装" xfId="6" xr:uid="{00000000-0005-0000-0000-000003000000}"/>
    <cellStyle name="Обычный_упак.лист_2" xfId="1" xr:uid="{00000000-0005-0000-0000-000004000000}"/>
    <cellStyle name="Обычный_ШАБЛОН РАСЧЕТА" xfId="3" xr:uid="{00000000-0005-0000-0000-000005000000}"/>
    <cellStyle name="常规" xfId="0" builtinId="0"/>
  </cellStyles>
  <dxfs count="3"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topLeftCell="A2" zoomScaleNormal="100" workbookViewId="0">
      <selection activeCell="J13" sqref="J13"/>
    </sheetView>
  </sheetViews>
  <sheetFormatPr defaultColWidth="9" defaultRowHeight="14.25"/>
  <cols>
    <col min="1" max="1" width="11" customWidth="1"/>
    <col min="2" max="2" width="13.25" customWidth="1"/>
    <col min="3" max="3" width="22.375" customWidth="1"/>
    <col min="4" max="4" width="19.625" customWidth="1"/>
    <col min="5" max="5" width="14.75" customWidth="1"/>
    <col min="6" max="6" width="12.5" customWidth="1"/>
    <col min="7" max="7" width="12.25" customWidth="1"/>
    <col min="8" max="8" width="10.625" customWidth="1"/>
    <col min="9" max="9" width="12.125" customWidth="1"/>
    <col min="10" max="10" width="9.125" customWidth="1"/>
    <col min="11" max="11" width="11.625" customWidth="1"/>
    <col min="12" max="12" width="12.125" customWidth="1"/>
    <col min="13" max="15" width="6.5" customWidth="1"/>
    <col min="16" max="16" width="9" style="27" customWidth="1"/>
  </cols>
  <sheetData>
    <row r="1" spans="1:16" ht="27">
      <c r="A1" s="40" t="s">
        <v>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6" ht="45.75" customHeight="1">
      <c r="A2" s="44" t="s">
        <v>20</v>
      </c>
      <c r="B2" s="45" t="s">
        <v>25</v>
      </c>
      <c r="C2" s="46"/>
      <c r="D2" s="46"/>
      <c r="E2" s="25" t="s">
        <v>12</v>
      </c>
      <c r="F2" s="41" t="s">
        <v>27</v>
      </c>
      <c r="G2" s="42"/>
      <c r="H2" s="43"/>
      <c r="I2" s="13" t="s">
        <v>0</v>
      </c>
      <c r="J2" s="47">
        <v>45952</v>
      </c>
      <c r="K2" s="34"/>
      <c r="L2" s="35"/>
    </row>
    <row r="3" spans="1:16" ht="85.5" customHeight="1">
      <c r="A3" s="44"/>
      <c r="B3" s="46"/>
      <c r="C3" s="46"/>
      <c r="D3" s="46"/>
      <c r="E3" s="25" t="s">
        <v>1</v>
      </c>
      <c r="F3" s="41" t="s">
        <v>28</v>
      </c>
      <c r="G3" s="42"/>
      <c r="H3" s="43"/>
      <c r="I3" s="1" t="s">
        <v>2</v>
      </c>
      <c r="J3" s="48">
        <v>45867</v>
      </c>
      <c r="K3" s="32"/>
      <c r="L3" s="33"/>
    </row>
    <row r="4" spans="1:16" ht="48.75" customHeight="1">
      <c r="A4" s="44" t="s">
        <v>19</v>
      </c>
      <c r="B4" s="45" t="s">
        <v>26</v>
      </c>
      <c r="C4" s="46"/>
      <c r="D4" s="46"/>
      <c r="E4" s="26" t="s">
        <v>11</v>
      </c>
      <c r="F4" s="39" t="s">
        <v>22</v>
      </c>
      <c r="G4" s="39"/>
      <c r="H4" s="39"/>
      <c r="I4" s="39"/>
      <c r="J4" s="39"/>
      <c r="K4" s="39"/>
      <c r="L4" s="39"/>
    </row>
    <row r="5" spans="1:16" ht="61.5" customHeight="1">
      <c r="A5" s="44"/>
      <c r="B5" s="46"/>
      <c r="C5" s="46"/>
      <c r="D5" s="46"/>
      <c r="E5" s="24" t="s">
        <v>3</v>
      </c>
      <c r="F5" s="36" t="s">
        <v>23</v>
      </c>
      <c r="G5" s="37"/>
      <c r="H5" s="37"/>
      <c r="I5" s="37"/>
      <c r="J5" s="37"/>
      <c r="K5" s="37"/>
      <c r="L5" s="38"/>
    </row>
    <row r="6" spans="1:16" ht="8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18</v>
      </c>
      <c r="F6" s="2" t="s">
        <v>13</v>
      </c>
      <c r="G6" s="2" t="s">
        <v>14</v>
      </c>
      <c r="H6" s="2" t="s">
        <v>15</v>
      </c>
      <c r="I6" s="8" t="s">
        <v>16</v>
      </c>
      <c r="J6" s="8" t="s">
        <v>24</v>
      </c>
      <c r="K6" s="14" t="s">
        <v>17</v>
      </c>
      <c r="L6" s="14" t="s">
        <v>21</v>
      </c>
    </row>
    <row r="7" spans="1:16" ht="30" customHeight="1">
      <c r="A7" s="3">
        <f>ROW()-6</f>
        <v>1</v>
      </c>
      <c r="B7" s="3">
        <v>7318159001</v>
      </c>
      <c r="C7" s="4" t="s">
        <v>29</v>
      </c>
      <c r="D7" s="4" t="s">
        <v>30</v>
      </c>
      <c r="E7" s="5">
        <v>10400</v>
      </c>
      <c r="F7" s="6">
        <v>13</v>
      </c>
      <c r="G7" s="6" t="s">
        <v>31</v>
      </c>
      <c r="H7" s="7">
        <v>9386</v>
      </c>
      <c r="I7" s="7">
        <v>9932</v>
      </c>
      <c r="J7" s="7"/>
      <c r="K7" s="15"/>
      <c r="L7" s="15"/>
      <c r="M7" s="49" t="s">
        <v>32</v>
      </c>
      <c r="P7" s="28" t="str">
        <f>IF(H7&lt;I7,"√","×")</f>
        <v>√</v>
      </c>
    </row>
    <row r="8" spans="1:16" ht="30" customHeight="1">
      <c r="A8" s="3">
        <f t="shared" ref="A8:A11" si="0">ROW()-6</f>
        <v>2</v>
      </c>
      <c r="B8" s="3"/>
      <c r="C8" s="4"/>
      <c r="D8" s="4"/>
      <c r="E8" s="5"/>
      <c r="F8" s="6"/>
      <c r="G8" s="6"/>
      <c r="H8" s="7"/>
      <c r="I8" s="7"/>
      <c r="J8" s="7"/>
      <c r="K8" s="15"/>
      <c r="L8" s="15"/>
      <c r="P8" s="28" t="str">
        <f t="shared" ref="P8:P11" si="1">IF(H8&lt;I8,"√","×")</f>
        <v>×</v>
      </c>
    </row>
    <row r="9" spans="1:16" ht="30" customHeight="1">
      <c r="A9" s="3">
        <f t="shared" si="0"/>
        <v>3</v>
      </c>
      <c r="B9" s="3"/>
      <c r="C9" s="4"/>
      <c r="D9" s="4"/>
      <c r="E9" s="5"/>
      <c r="F9" s="6"/>
      <c r="G9" s="6"/>
      <c r="H9" s="7"/>
      <c r="I9" s="7"/>
      <c r="J9" s="7"/>
      <c r="K9" s="15"/>
      <c r="L9" s="15"/>
      <c r="P9" s="28" t="str">
        <f t="shared" si="1"/>
        <v>×</v>
      </c>
    </row>
    <row r="10" spans="1:16" ht="30" customHeight="1">
      <c r="A10" s="3">
        <f t="shared" si="0"/>
        <v>4</v>
      </c>
      <c r="B10" s="3"/>
      <c r="C10" s="4"/>
      <c r="D10" s="4"/>
      <c r="E10" s="5"/>
      <c r="F10" s="6"/>
      <c r="G10" s="6"/>
      <c r="H10" s="7"/>
      <c r="I10" s="7"/>
      <c r="J10" s="7"/>
      <c r="K10" s="15"/>
      <c r="L10" s="15"/>
      <c r="P10" s="28" t="str">
        <f t="shared" si="1"/>
        <v>×</v>
      </c>
    </row>
    <row r="11" spans="1:16" ht="30" customHeight="1">
      <c r="A11" s="3">
        <f t="shared" si="0"/>
        <v>5</v>
      </c>
      <c r="B11" s="3"/>
      <c r="C11" s="4"/>
      <c r="D11" s="4"/>
      <c r="E11" s="5"/>
      <c r="F11" s="6"/>
      <c r="G11" s="6"/>
      <c r="H11" s="7"/>
      <c r="I11" s="7"/>
      <c r="J11" s="7"/>
      <c r="K11" s="15"/>
      <c r="L11" s="15"/>
      <c r="P11" s="28" t="str">
        <f t="shared" si="1"/>
        <v>×</v>
      </c>
    </row>
    <row r="12" spans="1:16" s="23" customFormat="1" ht="24.95" customHeight="1">
      <c r="A12" s="16"/>
      <c r="B12" s="30" t="s">
        <v>8</v>
      </c>
      <c r="C12" s="30"/>
      <c r="D12" s="17"/>
      <c r="E12" s="18">
        <f>SUM(E6:E11)</f>
        <v>10400</v>
      </c>
      <c r="F12" s="19">
        <f>SUM(F6:F7)</f>
        <v>13</v>
      </c>
      <c r="G12" s="19"/>
      <c r="H12" s="20">
        <f>SUM(H7:H11)</f>
        <v>9386</v>
      </c>
      <c r="I12" s="20">
        <f>SUM(I7:I11)</f>
        <v>9932</v>
      </c>
      <c r="J12" s="21"/>
      <c r="K12" s="22"/>
      <c r="L12" s="22">
        <f>SUM(L7:L11)</f>
        <v>0</v>
      </c>
      <c r="P12" s="29"/>
    </row>
    <row r="13" spans="1:16">
      <c r="A13" s="9"/>
      <c r="B13" s="9"/>
      <c r="C13" s="10"/>
      <c r="D13" s="11"/>
      <c r="E13" s="11"/>
      <c r="F13" s="10"/>
      <c r="G13" s="9"/>
      <c r="L13" s="9"/>
    </row>
    <row r="14" spans="1:16">
      <c r="A14" s="9"/>
      <c r="B14" s="9"/>
      <c r="C14" s="10"/>
      <c r="D14" s="11"/>
      <c r="E14" s="31" t="s">
        <v>9</v>
      </c>
      <c r="F14" s="31"/>
      <c r="G14" s="9"/>
      <c r="L14" s="9"/>
    </row>
    <row r="15" spans="1:16" ht="30" customHeight="1">
      <c r="A15" s="9"/>
      <c r="B15" s="9"/>
      <c r="C15" s="10"/>
      <c r="D15" s="12"/>
      <c r="E15" s="31"/>
      <c r="F15" s="31"/>
      <c r="G15" s="9"/>
      <c r="H15" s="9"/>
      <c r="I15" s="9"/>
      <c r="J15" s="9"/>
      <c r="K15" s="9"/>
      <c r="L15" s="9"/>
    </row>
  </sheetData>
  <mergeCells count="13">
    <mergeCell ref="A1:L1"/>
    <mergeCell ref="F2:H2"/>
    <mergeCell ref="F3:H3"/>
    <mergeCell ref="A2:A3"/>
    <mergeCell ref="A4:A5"/>
    <mergeCell ref="B4:D5"/>
    <mergeCell ref="B2:D3"/>
    <mergeCell ref="B12:C12"/>
    <mergeCell ref="E14:F15"/>
    <mergeCell ref="J3:L3"/>
    <mergeCell ref="J2:L2"/>
    <mergeCell ref="F5:L5"/>
    <mergeCell ref="F4:L4"/>
  </mergeCells>
  <phoneticPr fontId="19" type="noConversion"/>
  <conditionalFormatting sqref="B7:L11">
    <cfRule type="containsBlanks" dxfId="2" priority="3">
      <formula>LEN(TRIM(B7))=0</formula>
    </cfRule>
  </conditionalFormatting>
  <conditionalFormatting sqref="F2:H3 J2:L3 F4:L5">
    <cfRule type="containsBlanks" dxfId="1" priority="1">
      <formula>LEN(TRIM(F2))=0</formula>
    </cfRule>
  </conditionalFormatting>
  <conditionalFormatting sqref="H12">
    <cfRule type="expression" dxfId="0" priority="2">
      <formula>$H$12&gt;$I$12</formula>
    </cfRule>
  </conditionalFormatting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Yin</dc:creator>
  <cp:lastModifiedBy>lu@sudelan.cn</cp:lastModifiedBy>
  <cp:lastPrinted>2020-12-22T03:28:00Z</cp:lastPrinted>
  <dcterms:created xsi:type="dcterms:W3CDTF">2020-12-22T02:57:00Z</dcterms:created>
  <dcterms:modified xsi:type="dcterms:W3CDTF">2025-10-27T04:47:40Z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