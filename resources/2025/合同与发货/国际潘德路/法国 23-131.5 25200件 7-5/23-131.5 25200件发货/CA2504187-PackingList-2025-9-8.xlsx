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3-131.5 25200件发货\"/>
    </mc:Choice>
  </mc:AlternateContent>
  <xr:revisionPtr revIDLastSave="0" documentId="13_ncr:1_{F2FCFEB0-13B3-4E77-BA5D-7302BC6522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K4" i="1"/>
  <c r="H3" i="1"/>
  <c r="O4" i="1"/>
  <c r="Q3" i="1"/>
  <c r="Q4" i="1" s="1"/>
  <c r="O3" i="1"/>
  <c r="M3" i="1"/>
  <c r="P3" i="1" s="1"/>
  <c r="J3" i="1"/>
  <c r="F3" i="1" s="1"/>
  <c r="F4" i="1" l="1"/>
  <c r="P4" i="1"/>
</calcChain>
</file>

<file path=xl/sharedStrings.xml><?xml version="1.0" encoding="utf-8"?>
<sst xmlns="http://schemas.openxmlformats.org/spreadsheetml/2006/main" count="26" uniqueCount="26">
  <si>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</si>
  <si>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</si>
  <si>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</si>
  <si>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</si>
  <si>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</si>
  <si>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</si>
  <si>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</si>
  <si>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</si>
  <si>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</si>
  <si>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</si>
  <si>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</si>
  <si>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</si>
  <si>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</si>
  <si>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</si>
  <si>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</si>
  <si>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</si>
  <si>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</si>
  <si>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</si>
  <si>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</si>
  <si>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</si>
  <si>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</si>
  <si>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Bolt</t>
    <phoneticPr fontId="13" type="noConversion"/>
  </si>
  <si>
    <t>23*131.5</t>
    <phoneticPr fontId="13" type="noConversion"/>
  </si>
  <si>
    <t>CA2504187</t>
    <phoneticPr fontId="13" type="noConversion"/>
  </si>
  <si>
    <t>The pieces are packed in a bag : 40 pieces per bag and 30 bags per case so 1200 pieces per case</t>
    <phoneticPr fontId="13" type="noConversion"/>
  </si>
  <si>
    <t>1/21-21/21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</si>
</sst>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topLeftCell="A2" zoomScale="130" zoomScaleNormal="130" workbookViewId="0">
      <selection activeCell="K4" sqref="K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0.25" customHeight="1">
      <c r="A3" s="4">
        <v>1</v>
      </c>
      <c r="B3" s="17" t="s">
        <v>21</v>
      </c>
      <c r="C3" s="16" t="s">
        <v>22</v>
      </c>
      <c r="D3" s="5" t="s">
        <v>23</v>
      </c>
      <c r="E3" s="18" t="s">
        <v>25</v>
      </c>
      <c r="F3" s="4">
        <f>J3*K3</f>
        <v>25200</v>
      </c>
      <c r="G3" s="6">
        <v>40</v>
      </c>
      <c r="H3" s="6">
        <f>I3*K3</f>
        <v>630</v>
      </c>
      <c r="I3" s="6">
        <v>30</v>
      </c>
      <c r="J3" s="4">
        <f>G3*I3</f>
        <v>1200</v>
      </c>
      <c r="K3" s="4">
        <v>21</v>
      </c>
      <c r="L3" s="4">
        <v>650</v>
      </c>
      <c r="M3" s="4">
        <f>L3+42</f>
        <v>692</v>
      </c>
      <c r="N3" s="13" t="s">
        <v>18</v>
      </c>
      <c r="O3" s="14">
        <f>L3*K3</f>
        <v>13650</v>
      </c>
      <c r="P3" s="14">
        <f>M3*K3</f>
        <v>14532</v>
      </c>
      <c r="Q3" s="14">
        <f>0.53*K3</f>
        <v>11.13</v>
      </c>
    </row>
    <row r="4" spans="1:17" ht="35.25" customHeight="1">
      <c r="A4" s="22" t="s">
        <v>19</v>
      </c>
      <c r="B4" s="22"/>
      <c r="C4" s="22"/>
      <c r="D4" s="7"/>
      <c r="E4" s="6"/>
      <c r="F4" s="6">
        <f>SUM(F3:F3)</f>
        <v>25200</v>
      </c>
      <c r="G4" s="6"/>
      <c r="H4" s="6">
        <f>SUM(H3:H3)</f>
        <v>630</v>
      </c>
      <c r="I4" s="6"/>
      <c r="J4" s="6"/>
      <c r="K4" s="6">
        <f>SUM(K3:K3)</f>
        <v>21</v>
      </c>
      <c r="L4" s="6"/>
      <c r="M4" s="6"/>
      <c r="N4" s="15"/>
      <c r="O4" s="6">
        <f>SUM(O3:O3)</f>
        <v>13650</v>
      </c>
      <c r="P4" s="6">
        <f>SUM(P3:P3)</f>
        <v>14532</v>
      </c>
      <c r="Q4" s="6">
        <f>SUM(Q3:Q3)</f>
        <v>11.13</v>
      </c>
    </row>
    <row r="5" spans="1:17" ht="14.45" customHeight="1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21" customHeight="1">
      <c r="A6" s="8"/>
      <c r="B6" s="9" t="s">
        <v>20</v>
      </c>
      <c r="C6" s="19" t="s">
        <v>24</v>
      </c>
      <c r="N6" s="8"/>
      <c r="O6" s="8"/>
      <c r="P6" s="8"/>
      <c r="Q6" s="8"/>
    </row>
    <row r="7" spans="1:17" ht="21" customHeight="1">
      <c r="A7" s="8"/>
      <c r="B7" s="10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8.75">
      <c r="A8" s="8"/>
      <c r="B8" s="8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23">
        <v>45908</v>
      </c>
      <c r="O8" s="23"/>
      <c r="P8" s="23"/>
      <c r="Q8" s="23"/>
    </row>
    <row r="9" spans="1:17" ht="18.75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24"/>
      <c r="O9" s="24"/>
      <c r="P9" s="24"/>
      <c r="Q9" s="24"/>
    </row>
    <row r="10" spans="1:17">
      <c r="A10" s="12"/>
      <c r="B10" s="12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</sheetData>
  <mergeCells count="4">
    <mergeCell ref="A1:Q1"/>
    <mergeCell ref="A4:C4"/>
    <mergeCell ref="N8:Q8"/>
    <mergeCell ref="N9:Q9"/>
  </mergeCells>
  <phoneticPr fontId="13" type="noConversion"/>
  <pageMargins left="0.511811023622047" right="0.511811023622047" top="0.196850393700787" bottom="0.74803149606299202" header="0.31496062992126" footer="0.31496062992126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2025-08-05T06:40:15Z</cp:lastPrinted>
  <dcterms:created xsi:type="dcterms:W3CDTF">2006-09-13T11:21:00Z</dcterms:created>
  <dcterms:modified xsi:type="dcterms:W3CDTF">2025-09-25T01:26:13Z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2EA902F646AD42268A4466775E912432_12</vt:lpwstr>
  </property>
  <property fmtid="{D5CDD505-2E9C-101B-9397-08002B2CF9AE}" pid="4" name="KSOProductBuildVer">
    <vt:lpwstr>2052-11.1.0.14309</vt:lpwstr>
  </property>
</Properties>
</file>