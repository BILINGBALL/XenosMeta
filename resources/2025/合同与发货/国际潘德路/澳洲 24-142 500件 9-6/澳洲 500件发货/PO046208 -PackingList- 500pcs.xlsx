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u\Desktop\澳洲 500件发货\"/>
    </mc:Choice>
  </mc:AlternateContent>
  <xr:revisionPtr revIDLastSave="0" documentId="13_ncr:1_{0DB55751-08A6-4F83-9846-2960045495A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5" i="1" s="1"/>
  <c r="J3" i="1"/>
  <c r="F3" i="1" s="1"/>
  <c r="F5" i="1" s="1"/>
  <c r="P3" i="1"/>
  <c r="P5" i="1" s="1"/>
  <c r="K5" i="1"/>
  <c r="H5" i="1"/>
  <c r="O3" i="1"/>
  <c r="O5" i="1" s="1"/>
  <c r="I3" i="1"/>
</calcChain>
</file>

<file path=xl/sharedStrings.xml><?xml version="1.0" encoding="utf-8"?>
<sst xmlns="http://schemas.openxmlformats.org/spreadsheetml/2006/main" count="28" uniqueCount="26">
  <si>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</si>
  <si>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</si>
  <si>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</si>
  <si>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</si>
  <si>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</si>
  <si>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</si>
  <si>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</si>
  <si>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</si>
  <si>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</si>
  <si>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</si>
  <si>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</si>
  <si>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</si>
  <si>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</si>
  <si>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</si>
  <si>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</si>
  <si>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</si>
  <si>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</si>
  <si>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</si>
  <si>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</si>
  <si>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t>24*142</t>
  </si>
  <si>
    <t>1/1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</si>
  <si>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</si>
  <si>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</si>
  <si>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The pieces are packed in a bag : 35（10） pieces per bag and 15 bags per case so 500 pieces per case</t>
    <phoneticPr fontId="15" type="noConversion"/>
  </si>
  <si>
    <t>PO046208</t>
    <phoneticPr fontId="15" type="noConversion"/>
  </si>
  <si>
    <t>1200*800*350
0.34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</si>
</sst>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6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sz val="14"/>
      <color theme="1"/>
      <name val="Arial Unicode MS"/>
      <family val="2"/>
    </font>
    <font>
      <sz val="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9" fillId="0" borderId="0" xfId="0" applyNumberFormat="1" applyFont="1">
      <alignment vertical="center"/>
    </xf>
    <xf numFmtId="0" fontId="14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quotePrefix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7"/>
  <sheetViews>
    <sheetView tabSelected="1" topLeftCell="A2" zoomScale="115" zoomScaleNormal="115" workbookViewId="0">
      <selection activeCell="F5" sqref="F5"/>
    </sheetView>
  </sheetViews>
  <sheetFormatPr defaultColWidth="8.75" defaultRowHeight="13.5"/>
  <cols>
    <col min="1" max="1" width="4.625" customWidth="1"/>
    <col min="2" max="2" width="8.625" customWidth="1"/>
    <col min="3" max="3" width="9.5" customWidth="1"/>
    <col min="4" max="4" width="11.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</cols>
  <sheetData>
    <row r="1" spans="1:17" ht="80.45" customHeight="1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68.4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41.25" customHeight="1">
      <c r="A3" s="4">
        <v>1</v>
      </c>
      <c r="B3" s="5" t="s">
        <v>18</v>
      </c>
      <c r="C3" s="6" t="s">
        <v>19</v>
      </c>
      <c r="D3" s="23" t="s">
        <v>24</v>
      </c>
      <c r="E3" s="25" t="s">
        <v>20</v>
      </c>
      <c r="F3" s="27">
        <f>J3*K3</f>
        <v>500</v>
      </c>
      <c r="G3" s="7">
        <v>40</v>
      </c>
      <c r="H3" s="7">
        <v>12</v>
      </c>
      <c r="I3" s="27">
        <f>H3+H4</f>
        <v>13</v>
      </c>
      <c r="J3" s="27">
        <f>G3*H3+G4*H4</f>
        <v>500</v>
      </c>
      <c r="K3" s="27">
        <v>1</v>
      </c>
      <c r="L3" s="28">
        <v>273</v>
      </c>
      <c r="M3" s="28">
        <v>310</v>
      </c>
      <c r="N3" s="30" t="s">
        <v>25</v>
      </c>
      <c r="O3" s="28">
        <f>L3*K3</f>
        <v>273</v>
      </c>
      <c r="P3" s="28">
        <f>M3*K3</f>
        <v>310</v>
      </c>
      <c r="Q3" s="28">
        <f>0.34*K3</f>
        <v>0.34</v>
      </c>
    </row>
    <row r="4" spans="1:17" ht="41.25" customHeight="1">
      <c r="A4" s="4">
        <v>2</v>
      </c>
      <c r="B4" s="5" t="s">
        <v>18</v>
      </c>
      <c r="C4" s="6" t="s">
        <v>19</v>
      </c>
      <c r="D4" s="24"/>
      <c r="E4" s="26"/>
      <c r="F4" s="26"/>
      <c r="G4" s="7">
        <v>20</v>
      </c>
      <c r="H4" s="7">
        <v>1</v>
      </c>
      <c r="I4" s="26"/>
      <c r="J4" s="26"/>
      <c r="K4" s="26"/>
      <c r="L4" s="29"/>
      <c r="M4" s="29"/>
      <c r="N4" s="31"/>
      <c r="O4" s="29"/>
      <c r="P4" s="29"/>
      <c r="Q4" s="29"/>
    </row>
    <row r="5" spans="1:17" ht="35.25" customHeight="1">
      <c r="A5" s="20" t="s">
        <v>21</v>
      </c>
      <c r="B5" s="21"/>
      <c r="C5" s="21"/>
      <c r="D5" s="8"/>
      <c r="E5" s="7"/>
      <c r="F5" s="7">
        <f>SUM(F3:F3)</f>
        <v>500</v>
      </c>
      <c r="G5" s="7"/>
      <c r="H5" s="7">
        <f>SUM(H3:H4)</f>
        <v>13</v>
      </c>
      <c r="I5" s="7"/>
      <c r="J5" s="7"/>
      <c r="K5" s="7">
        <f>SUM(K3:K3)</f>
        <v>1</v>
      </c>
      <c r="L5" s="7"/>
      <c r="M5" s="7"/>
      <c r="N5" s="7"/>
      <c r="O5" s="7">
        <f>SUM(O3:O3)</f>
        <v>273</v>
      </c>
      <c r="P5" s="7">
        <f>SUM(P3:P3)</f>
        <v>310</v>
      </c>
      <c r="Q5" s="7">
        <f>SUM(Q3:Q3)</f>
        <v>0.34</v>
      </c>
    </row>
    <row r="6" spans="1:17" ht="14.45" customHeight="1">
      <c r="A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 ht="21" customHeight="1">
      <c r="A7" s="9"/>
      <c r="B7" s="10" t="s">
        <v>22</v>
      </c>
      <c r="C7" s="17" t="s">
        <v>23</v>
      </c>
      <c r="N7" s="9"/>
      <c r="O7" s="9"/>
      <c r="P7" s="9"/>
      <c r="Q7" s="9"/>
    </row>
    <row r="8" spans="1:17" ht="21" customHeight="1">
      <c r="A8" s="9"/>
      <c r="C8" s="11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ht="18.75">
      <c r="A9" s="9"/>
      <c r="B9" s="12"/>
      <c r="C9" s="13"/>
      <c r="D9" s="14"/>
      <c r="E9" s="14"/>
      <c r="F9" s="14"/>
      <c r="G9" s="14"/>
      <c r="H9" s="14"/>
      <c r="I9" s="14"/>
      <c r="J9" s="14"/>
      <c r="K9" s="14"/>
      <c r="L9" s="14"/>
      <c r="M9" s="14"/>
      <c r="N9" s="22">
        <v>46042</v>
      </c>
      <c r="O9" s="22"/>
      <c r="P9" s="22"/>
      <c r="Q9" s="22"/>
    </row>
    <row r="10" spans="1:17" ht="18.75">
      <c r="A10" s="9"/>
      <c r="B10" s="12"/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6"/>
      <c r="O10" s="16"/>
      <c r="P10" s="16"/>
      <c r="Q10" s="16"/>
    </row>
    <row r="11" spans="1:17">
      <c r="A11" s="15"/>
      <c r="B11" s="15"/>
      <c r="C11" s="11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7">
      <c r="A12" s="15"/>
      <c r="B12" s="15"/>
      <c r="C12" s="11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7">
      <c r="A13" s="15"/>
      <c r="B13" s="15"/>
      <c r="C13" s="11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7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7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7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7" spans="1: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</sheetData>
  <mergeCells count="15">
    <mergeCell ref="A1:Q1"/>
    <mergeCell ref="A5:C5"/>
    <mergeCell ref="N9:Q9"/>
    <mergeCell ref="D3:D4"/>
    <mergeCell ref="E3:E4"/>
    <mergeCell ref="F3:F4"/>
    <mergeCell ref="I3:I4"/>
    <mergeCell ref="J3:J4"/>
    <mergeCell ref="K3:K4"/>
    <mergeCell ref="L3:L4"/>
    <mergeCell ref="M3:M4"/>
    <mergeCell ref="N3:N4"/>
    <mergeCell ref="O3:O4"/>
    <mergeCell ref="P3:P4"/>
    <mergeCell ref="Q3:Q4"/>
  </mergeCells>
  <phoneticPr fontId="15" type="noConversion"/>
  <pageMargins left="0.511811023622047" right="0.511811023622047" top="0.196850393700787" bottom="0.74803149606299202" header="0.31496062992126" footer="0.31496062992126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2026-03-11T09:10:58Z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B62F7A5C00D04218AFDA2DDEBEDB145C_12</vt:lpwstr>
  </property>
  <property fmtid="{D5CDD505-2E9C-101B-9397-08002B2CF9AE}" pid="3" name="KSOProductBuildVer">
    <vt:lpwstr>2052-12.1.0.15374</vt:lpwstr>
  </property>
</Properties>
</file>