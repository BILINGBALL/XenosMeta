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法国18-134 32000件 23-131.5 20000件\"/>
    </mc:Choice>
  </mc:AlternateContent>
  <xr:revisionPtr revIDLastSave="0" documentId="13_ncr:1_{949AE3BF-33C5-4F67-9C9F-31E9FCB369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P7" i="1"/>
  <c r="O7" i="1"/>
  <c r="Q8" i="1"/>
  <c r="H8" i="1"/>
  <c r="K8" i="1"/>
  <c r="H6" i="1"/>
  <c r="F3" i="1"/>
  <c r="H3" i="1"/>
  <c r="J7" i="1"/>
  <c r="F7" i="1" s="1"/>
  <c r="F8" i="1" s="1"/>
  <c r="Q4" i="1"/>
  <c r="O4" i="1"/>
  <c r="M4" i="1"/>
  <c r="P4" i="1" s="1"/>
  <c r="J4" i="1"/>
  <c r="F4" i="1" s="1"/>
  <c r="Q3" i="1"/>
  <c r="P3" i="1"/>
  <c r="O3" i="1"/>
  <c r="M3" i="1"/>
  <c r="J3" i="1"/>
  <c r="O8" i="1"/>
  <c r="M7" i="1"/>
  <c r="Q6" i="1"/>
  <c r="O6" i="1"/>
  <c r="M6" i="1"/>
  <c r="P6" i="1" s="1"/>
  <c r="J6" i="1"/>
  <c r="F6" i="1" s="1"/>
  <c r="P8" i="1" l="1"/>
</calcChain>
</file>

<file path=xl/sharedStrings.xml><?xml version="1.0" encoding="utf-8"?>
<sst xmlns="http://schemas.openxmlformats.org/spreadsheetml/2006/main" count="44" uniqueCount="33">
  <si>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</si>
  <si>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</si>
  <si>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</si>
  <si>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</si>
  <si>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</si>
  <si>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</si>
  <si>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</si>
  <si>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</si>
  <si>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</si>
  <si>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</si>
  <si>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</si>
  <si>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</si>
  <si>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</si>
  <si>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</si>
  <si>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</si>
  <si>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</si>
  <si>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</si>
  <si>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</si>
  <si>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T bolt</t>
  </si>
  <si>
    <t>18*134</t>
  </si>
  <si>
    <t>1200*800*550
0.53</t>
  </si>
  <si>
    <t>1200*800*350
0.34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</si>
  <si>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</si>
  <si>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</si>
  <si>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CA2502994</t>
    <phoneticPr fontId="15" type="noConversion"/>
  </si>
  <si>
    <t>Bolt</t>
    <phoneticPr fontId="15" type="noConversion"/>
  </si>
  <si>
    <t>23*131.5</t>
    <phoneticPr fontId="15" type="noConversion"/>
  </si>
  <si>
    <t>1200*800*550
0.53</t>
    <phoneticPr fontId="15" type="noConversion"/>
  </si>
  <si>
    <t>31/31</t>
    <phoneticPr fontId="15" type="noConversion"/>
  </si>
  <si>
    <t>15/31-30/31</t>
    <phoneticPr fontId="15" type="noConversion"/>
  </si>
  <si>
    <t>14/31</t>
    <phoneticPr fontId="15" type="noConversion"/>
  </si>
  <si>
    <t>1/31-13/31</t>
    <phoneticPr fontId="15" type="noConversion"/>
  </si>
  <si>
    <t>The pieces are packed in a bag : 60(20) (40)pieces per bag and 40(14)(30)(20) bags per case so 2400(800)(1200) pieces per case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</si>
</sst>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7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quotePrefix="1" applyFont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6" fillId="0" borderId="2" xfId="0" quotePrefix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"/>
  <sheetViews>
    <sheetView tabSelected="1" topLeftCell="D9" zoomScale="130" zoomScaleNormal="130" workbookViewId="0">
      <selection activeCell="N13" sqref="N13:Q13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8.25" customHeight="1">
      <c r="A3" s="4">
        <v>1</v>
      </c>
      <c r="B3" s="5" t="s">
        <v>18</v>
      </c>
      <c r="C3" s="6" t="s">
        <v>19</v>
      </c>
      <c r="D3" s="18" t="s">
        <v>24</v>
      </c>
      <c r="E3" s="21" t="s">
        <v>31</v>
      </c>
      <c r="F3" s="4">
        <f>J3*K3</f>
        <v>31200</v>
      </c>
      <c r="G3" s="8">
        <v>60</v>
      </c>
      <c r="H3" s="8">
        <f>I3*K3</f>
        <v>520</v>
      </c>
      <c r="I3" s="8">
        <v>40</v>
      </c>
      <c r="J3" s="4">
        <f>G3*I3</f>
        <v>2400</v>
      </c>
      <c r="K3" s="4">
        <v>13</v>
      </c>
      <c r="L3" s="4">
        <v>737</v>
      </c>
      <c r="M3" s="4">
        <f>L3+42</f>
        <v>779</v>
      </c>
      <c r="N3" s="20" t="s">
        <v>27</v>
      </c>
      <c r="O3" s="16">
        <f>L3*K3</f>
        <v>9581</v>
      </c>
      <c r="P3" s="16">
        <f>M3*K3</f>
        <v>10127</v>
      </c>
      <c r="Q3" s="16">
        <f>0.53*K3</f>
        <v>6.8900000000000006</v>
      </c>
    </row>
    <row r="4" spans="1:17" ht="38.25" customHeight="1">
      <c r="A4" s="29">
        <v>2</v>
      </c>
      <c r="B4" s="5" t="s">
        <v>18</v>
      </c>
      <c r="C4" s="6" t="s">
        <v>19</v>
      </c>
      <c r="D4" s="18" t="s">
        <v>24</v>
      </c>
      <c r="E4" s="31" t="s">
        <v>30</v>
      </c>
      <c r="F4" s="33">
        <f>J4</f>
        <v>800</v>
      </c>
      <c r="G4" s="8">
        <v>60</v>
      </c>
      <c r="H4" s="8">
        <v>13</v>
      </c>
      <c r="I4" s="33">
        <v>14</v>
      </c>
      <c r="J4" s="33">
        <f>G4*H4+G5*H5</f>
        <v>800</v>
      </c>
      <c r="K4" s="33">
        <v>1</v>
      </c>
      <c r="L4" s="36">
        <v>245</v>
      </c>
      <c r="M4" s="36">
        <f>L4+30</f>
        <v>275</v>
      </c>
      <c r="N4" s="37" t="s">
        <v>21</v>
      </c>
      <c r="O4" s="34">
        <f>L4*K4</f>
        <v>245</v>
      </c>
      <c r="P4" s="34">
        <f>M4*K4</f>
        <v>275</v>
      </c>
      <c r="Q4" s="34">
        <f>0.34*K4</f>
        <v>0.34</v>
      </c>
    </row>
    <row r="5" spans="1:17" ht="38.25" customHeight="1">
      <c r="A5" s="30"/>
      <c r="B5" s="5" t="s">
        <v>18</v>
      </c>
      <c r="C5" s="6" t="s">
        <v>19</v>
      </c>
      <c r="D5" s="18" t="s">
        <v>24</v>
      </c>
      <c r="E5" s="32"/>
      <c r="F5" s="30"/>
      <c r="G5" s="8">
        <v>20</v>
      </c>
      <c r="H5" s="8">
        <v>1</v>
      </c>
      <c r="I5" s="30"/>
      <c r="J5" s="30"/>
      <c r="K5" s="30"/>
      <c r="L5" s="32"/>
      <c r="M5" s="32"/>
      <c r="N5" s="38"/>
      <c r="O5" s="35"/>
      <c r="P5" s="35"/>
      <c r="Q5" s="35"/>
    </row>
    <row r="6" spans="1:17" ht="38.25" customHeight="1">
      <c r="A6" s="4">
        <v>3</v>
      </c>
      <c r="B6" s="19" t="s">
        <v>25</v>
      </c>
      <c r="C6" s="18" t="s">
        <v>26</v>
      </c>
      <c r="D6" s="18" t="s">
        <v>24</v>
      </c>
      <c r="E6" s="21" t="s">
        <v>29</v>
      </c>
      <c r="F6" s="4">
        <f>J6*K6</f>
        <v>19200</v>
      </c>
      <c r="G6" s="8">
        <v>40</v>
      </c>
      <c r="H6" s="8">
        <f>I6*K6</f>
        <v>480</v>
      </c>
      <c r="I6" s="8">
        <v>30</v>
      </c>
      <c r="J6" s="4">
        <f>G6*I6</f>
        <v>1200</v>
      </c>
      <c r="K6" s="4">
        <v>16</v>
      </c>
      <c r="L6" s="4">
        <v>650</v>
      </c>
      <c r="M6" s="4">
        <f>L6+42</f>
        <v>692</v>
      </c>
      <c r="N6" s="15" t="s">
        <v>20</v>
      </c>
      <c r="O6" s="16">
        <f>L6*K6</f>
        <v>10400</v>
      </c>
      <c r="P6" s="16">
        <f>M6*K6</f>
        <v>11072</v>
      </c>
      <c r="Q6" s="16">
        <f>0.53*K6</f>
        <v>8.48</v>
      </c>
    </row>
    <row r="7" spans="1:17" ht="38.25" customHeight="1">
      <c r="A7" s="8">
        <v>4</v>
      </c>
      <c r="B7" s="19" t="s">
        <v>25</v>
      </c>
      <c r="C7" s="18" t="s">
        <v>26</v>
      </c>
      <c r="D7" s="18" t="s">
        <v>24</v>
      </c>
      <c r="E7" s="22" t="s">
        <v>28</v>
      </c>
      <c r="F7" s="4">
        <f>J7*K7</f>
        <v>800</v>
      </c>
      <c r="G7" s="8">
        <v>40</v>
      </c>
      <c r="H7" s="8">
        <v>20</v>
      </c>
      <c r="I7" s="4">
        <v>20</v>
      </c>
      <c r="J7" s="4">
        <f>G7*I7</f>
        <v>800</v>
      </c>
      <c r="K7" s="4">
        <v>1</v>
      </c>
      <c r="L7" s="7">
        <v>433</v>
      </c>
      <c r="M7" s="7">
        <f>L7+30</f>
        <v>463</v>
      </c>
      <c r="N7" s="15" t="s">
        <v>20</v>
      </c>
      <c r="O7" s="16">
        <f>L7*K7</f>
        <v>433</v>
      </c>
      <c r="P7" s="16">
        <f>M7*K7</f>
        <v>463</v>
      </c>
      <c r="Q7" s="16">
        <f>0.53*K7</f>
        <v>0.53</v>
      </c>
    </row>
    <row r="8" spans="1:17" ht="35.25" customHeight="1">
      <c r="A8" s="26" t="s">
        <v>22</v>
      </c>
      <c r="B8" s="26"/>
      <c r="C8" s="26"/>
      <c r="D8" s="9"/>
      <c r="E8" s="8"/>
      <c r="F8" s="8">
        <f>SUM(F3:F7)</f>
        <v>52000</v>
      </c>
      <c r="G8" s="8"/>
      <c r="H8" s="8">
        <f>SUM(H3:H7)</f>
        <v>1034</v>
      </c>
      <c r="I8" s="8"/>
      <c r="J8" s="8"/>
      <c r="K8" s="8">
        <f>SUM(K3:K7)</f>
        <v>31</v>
      </c>
      <c r="L8" s="8"/>
      <c r="M8" s="8"/>
      <c r="N8" s="17"/>
      <c r="O8" s="8">
        <f>SUM(O3:O7)</f>
        <v>20659</v>
      </c>
      <c r="P8" s="8">
        <f>SUM(P3:P7)</f>
        <v>21937</v>
      </c>
      <c r="Q8" s="8">
        <f>SUM(Q3:Q7)</f>
        <v>16.240000000000002</v>
      </c>
    </row>
    <row r="9" spans="1:17" ht="14.45" customHeight="1">
      <c r="A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21" customHeight="1">
      <c r="A10" s="10"/>
      <c r="B10" s="11" t="s">
        <v>23</v>
      </c>
      <c r="C10" s="23" t="s">
        <v>32</v>
      </c>
      <c r="N10" s="10"/>
      <c r="O10" s="10"/>
      <c r="P10" s="10"/>
      <c r="Q10" s="10"/>
    </row>
    <row r="11" spans="1:17" ht="21" customHeight="1">
      <c r="A11" s="10"/>
      <c r="B11" s="12"/>
      <c r="C11" s="13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8.75">
      <c r="A12" s="10"/>
      <c r="B12" s="10"/>
      <c r="C12" s="13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27">
        <v>45874</v>
      </c>
      <c r="O12" s="27"/>
      <c r="P12" s="27"/>
      <c r="Q12" s="27"/>
    </row>
    <row r="13" spans="1:17" ht="18.75">
      <c r="A13" s="10"/>
      <c r="B13" s="10"/>
      <c r="C13" s="13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28"/>
      <c r="O13" s="28"/>
      <c r="P13" s="28"/>
      <c r="Q13" s="28"/>
    </row>
    <row r="14" spans="1:17">
      <c r="A14" s="14"/>
      <c r="B14" s="14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1:17">
      <c r="A15" s="14"/>
      <c r="B15" s="14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 spans="1:17">
      <c r="A16" s="14"/>
      <c r="B16" s="14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 spans="1: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16">
    <mergeCell ref="A1:Q1"/>
    <mergeCell ref="A8:C8"/>
    <mergeCell ref="N12:Q12"/>
    <mergeCell ref="N13:Q13"/>
    <mergeCell ref="A4:A5"/>
    <mergeCell ref="E4:E5"/>
    <mergeCell ref="F4:F5"/>
    <mergeCell ref="I4:I5"/>
    <mergeCell ref="J4:J5"/>
    <mergeCell ref="P4:P5"/>
    <mergeCell ref="Q4:Q5"/>
    <mergeCell ref="K4:K5"/>
    <mergeCell ref="L4:L5"/>
    <mergeCell ref="M4:M5"/>
    <mergeCell ref="N4:N5"/>
    <mergeCell ref="O4:O5"/>
  </mergeCells>
  <phoneticPr fontId="15" type="noConversion"/>
  <pageMargins left="0.511811023622047" right="0.511811023622047" top="0.196850393700787" bottom="0.74803149606299202" header="0.31496062992126" footer="0.31496062992126"/>
  <pageSetup paperSize="9" scale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2025-08-05T06:40:15Z</cp:lastPrinted>
  <dcterms:created xsi:type="dcterms:W3CDTF">2006-09-13T11:21:00Z</dcterms:created>
  <dcterms:modified xsi:type="dcterms:W3CDTF">2025-08-05T07:41:59Z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2EA902F646AD42268A4466775E912432_12</vt:lpwstr>
  </property>
  <property fmtid="{D5CDD505-2E9C-101B-9397-08002B2CF9AE}" pid="4" name="KSOProductBuildVer">
    <vt:lpwstr>2052-11.1.0.14309</vt:lpwstr>
  </property>
</Properties>
</file>