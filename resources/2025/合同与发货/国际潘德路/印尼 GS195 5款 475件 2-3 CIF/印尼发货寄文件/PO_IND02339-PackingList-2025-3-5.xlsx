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印尼发货\"/>
    </mc:Choice>
  </mc:AlternateContent>
  <xr:revisionPtr revIDLastSave="0" documentId="13_ncr:1_{F1F1102B-D0A5-4910-AA3B-0F96CC84B6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P7" i="1"/>
  <c r="J7" i="1"/>
  <c r="F7" i="1" s="1"/>
  <c r="J6" i="1"/>
  <c r="F6" i="1"/>
  <c r="J5" i="1"/>
  <c r="F5" i="1" s="1"/>
  <c r="J4" i="1"/>
  <c r="F4" i="1"/>
  <c r="P4" i="1"/>
  <c r="P5" i="1"/>
  <c r="P6" i="1"/>
  <c r="P3" i="1"/>
  <c r="Q4" i="1"/>
  <c r="Q5" i="1"/>
  <c r="Q6" i="1"/>
  <c r="Q7" i="1"/>
  <c r="Q3" i="1"/>
  <c r="K8" i="1"/>
  <c r="O3" i="1"/>
  <c r="J3" i="1"/>
  <c r="F3" i="1" s="1"/>
  <c r="F8" i="1" s="1"/>
  <c r="H8" i="1"/>
  <c r="Q8" i="1" l="1"/>
  <c r="O8" i="1"/>
  <c r="P8" i="1"/>
</calcChain>
</file>

<file path=xl/sharedStrings.xml><?xml version="1.0" encoding="utf-8"?>
<sst xmlns="http://schemas.openxmlformats.org/spreadsheetml/2006/main" count="42" uniqueCount="38">
  <si>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</si>
  <si>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</si>
  <si>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</si>
  <si>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</si>
  <si>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</si>
  <si>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</si>
  <si>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</si>
  <si>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</si>
  <si>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</si>
  <si>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</si>
  <si>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</si>
  <si>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</si>
  <si>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</si>
  <si>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</si>
  <si>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</si>
  <si>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</si>
  <si>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</si>
  <si>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</si>
  <si>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</si>
  <si>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5" type="noConversion"/>
  </si>
  <si>
    <t>25X189</t>
    <phoneticPr fontId="18" type="noConversion"/>
  </si>
  <si>
    <t>25X194</t>
    <phoneticPr fontId="18" type="noConversion"/>
  </si>
  <si>
    <t>25X199</t>
    <phoneticPr fontId="18" type="noConversion"/>
  </si>
  <si>
    <t>25X204</t>
    <phoneticPr fontId="18" type="noConversion"/>
  </si>
  <si>
    <t>25X209</t>
    <phoneticPr fontId="18" type="noConversion"/>
  </si>
  <si>
    <t>PO_IND02339</t>
    <phoneticPr fontId="15" type="noConversion"/>
  </si>
  <si>
    <t>1100*800*350
0.31</t>
    <phoneticPr fontId="15" type="noConversion"/>
  </si>
  <si>
    <t>1/5</t>
    <phoneticPr fontId="15" type="noConversion"/>
  </si>
  <si>
    <t>2/5</t>
    <phoneticPr fontId="15" type="noConversion"/>
  </si>
  <si>
    <t>3/5</t>
    <phoneticPr fontId="15" type="noConversion"/>
  </si>
  <si>
    <t>4/5</t>
    <phoneticPr fontId="15" type="noConversion"/>
  </si>
  <si>
    <t>5/5</t>
    <phoneticPr fontId="15" type="noConversion"/>
  </si>
  <si>
    <t>The pieces are packed in a bag : 25 pieces per bag and 19 bags per case so 475 pieces per case</t>
    <phoneticPr fontId="15" type="noConversion"/>
  </si>
  <si>
    <t>GS195 COACHSCREW C225/195 Ø25 Hexagon Head Type J - No. 13 Class 5.6 Hot Dip Galvanise</t>
    <phoneticPr fontId="20" type="noConversion"/>
  </si>
  <si>
    <t>GS195 COACHSCREW C225/195 Hexagonal Head Type J - No. 14 Class 5.6</t>
    <phoneticPr fontId="20" type="noConversion"/>
  </si>
  <si>
    <t>GS195 COACHSCREW C225/195 Ø25 Hexagon Head Type J - No. 15 Class 5.6 Hot Dip Galvanise</t>
    <phoneticPr fontId="20" type="noConversion"/>
  </si>
  <si>
    <t>GS195 COACHSCREW C225/195 Hexagonal Head Type J - No. 16 Class 5.6 (HDG) Hot Dip Galvanised</t>
    <phoneticPr fontId="20" type="noConversion"/>
  </si>
  <si>
    <t>GS195 COACHSCREW C225/195 Ø25 Hexagon Head Type J - No. 17 Class 5.6 Hot Dip Galvanise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</si>
</sst>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name val="宋体"/>
      <family val="2"/>
      <scheme val="minor"/>
    </font>
    <font>
      <sz val="12"/>
      <color theme="1"/>
      <name val="宋体"/>
      <family val="2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topLeftCell="B1" zoomScaleNormal="100" workbookViewId="0">
      <selection activeCell="E6" sqref="E6"/>
    </sheetView>
  </sheetViews>
  <sheetFormatPr defaultColWidth="8.75" defaultRowHeight="13.5"/>
  <cols>
    <col min="1" max="1" width="4.625" customWidth="1"/>
    <col min="2" max="2" width="50.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9" customHeight="1">
      <c r="A3" s="4">
        <v>1</v>
      </c>
      <c r="B3" s="18" t="s">
        <v>33</v>
      </c>
      <c r="C3" s="15" t="s">
        <v>20</v>
      </c>
      <c r="D3" s="25" t="s">
        <v>25</v>
      </c>
      <c r="E3" s="17" t="s">
        <v>27</v>
      </c>
      <c r="F3" s="4">
        <f>J3*K3</f>
        <v>475</v>
      </c>
      <c r="G3" s="5">
        <v>25</v>
      </c>
      <c r="H3" s="5">
        <v>19</v>
      </c>
      <c r="I3" s="4">
        <v>19</v>
      </c>
      <c r="J3" s="4">
        <f>G3*I3</f>
        <v>475</v>
      </c>
      <c r="K3" s="4">
        <v>1</v>
      </c>
      <c r="L3" s="4">
        <v>349</v>
      </c>
      <c r="M3" s="4">
        <v>378</v>
      </c>
      <c r="N3" s="16" t="s">
        <v>26</v>
      </c>
      <c r="O3" s="13">
        <f>L3*K3</f>
        <v>349</v>
      </c>
      <c r="P3" s="13">
        <f>M3*K3</f>
        <v>378</v>
      </c>
      <c r="Q3" s="13">
        <f>0.31*K3</f>
        <v>0.31</v>
      </c>
    </row>
    <row r="4" spans="1:17" ht="39" customHeight="1">
      <c r="A4" s="4">
        <v>2</v>
      </c>
      <c r="B4" s="18" t="s">
        <v>34</v>
      </c>
      <c r="C4" s="15" t="s">
        <v>21</v>
      </c>
      <c r="D4" s="26"/>
      <c r="E4" s="17" t="s">
        <v>28</v>
      </c>
      <c r="F4" s="4">
        <f t="shared" ref="F4:F7" si="0">J4*K4</f>
        <v>475</v>
      </c>
      <c r="G4" s="5">
        <v>25</v>
      </c>
      <c r="H4" s="5">
        <v>19</v>
      </c>
      <c r="I4" s="4">
        <v>19</v>
      </c>
      <c r="J4" s="4">
        <f t="shared" ref="J4:J7" si="1">G4*I4</f>
        <v>475</v>
      </c>
      <c r="K4" s="4">
        <v>1</v>
      </c>
      <c r="L4" s="4">
        <v>356</v>
      </c>
      <c r="M4" s="4">
        <v>386</v>
      </c>
      <c r="N4" s="16" t="s">
        <v>26</v>
      </c>
      <c r="O4" s="13">
        <f t="shared" ref="O4:O7" si="2">L4*K4</f>
        <v>356</v>
      </c>
      <c r="P4" s="13">
        <f t="shared" ref="P4:P7" si="3">M4*K4</f>
        <v>386</v>
      </c>
      <c r="Q4" s="13">
        <f t="shared" ref="Q4:Q7" si="4">0.31*K4</f>
        <v>0.31</v>
      </c>
    </row>
    <row r="5" spans="1:17" ht="39" customHeight="1">
      <c r="A5" s="4">
        <v>3</v>
      </c>
      <c r="B5" s="18" t="s">
        <v>35</v>
      </c>
      <c r="C5" s="15" t="s">
        <v>22</v>
      </c>
      <c r="D5" s="26"/>
      <c r="E5" s="17" t="s">
        <v>29</v>
      </c>
      <c r="F5" s="4">
        <f t="shared" si="0"/>
        <v>475</v>
      </c>
      <c r="G5" s="5">
        <v>25</v>
      </c>
      <c r="H5" s="5">
        <v>19</v>
      </c>
      <c r="I5" s="4">
        <v>19</v>
      </c>
      <c r="J5" s="4">
        <f t="shared" si="1"/>
        <v>475</v>
      </c>
      <c r="K5" s="4">
        <v>1</v>
      </c>
      <c r="L5" s="4">
        <v>365</v>
      </c>
      <c r="M5" s="4">
        <v>394</v>
      </c>
      <c r="N5" s="16" t="s">
        <v>26</v>
      </c>
      <c r="O5" s="13">
        <f t="shared" si="2"/>
        <v>365</v>
      </c>
      <c r="P5" s="13">
        <f t="shared" si="3"/>
        <v>394</v>
      </c>
      <c r="Q5" s="13">
        <f t="shared" si="4"/>
        <v>0.31</v>
      </c>
    </row>
    <row r="6" spans="1:17" ht="39" customHeight="1">
      <c r="A6" s="4">
        <v>4</v>
      </c>
      <c r="B6" s="18" t="s">
        <v>36</v>
      </c>
      <c r="C6" s="15" t="s">
        <v>23</v>
      </c>
      <c r="D6" s="26"/>
      <c r="E6" s="17" t="s">
        <v>30</v>
      </c>
      <c r="F6" s="4">
        <f t="shared" si="0"/>
        <v>475</v>
      </c>
      <c r="G6" s="5">
        <v>25</v>
      </c>
      <c r="H6" s="5">
        <v>19</v>
      </c>
      <c r="I6" s="4">
        <v>19</v>
      </c>
      <c r="J6" s="4">
        <f t="shared" si="1"/>
        <v>475</v>
      </c>
      <c r="K6" s="4">
        <v>1</v>
      </c>
      <c r="L6" s="4">
        <v>376</v>
      </c>
      <c r="M6" s="4">
        <v>404</v>
      </c>
      <c r="N6" s="16" t="s">
        <v>26</v>
      </c>
      <c r="O6" s="13">
        <f t="shared" si="2"/>
        <v>376</v>
      </c>
      <c r="P6" s="13">
        <f t="shared" si="3"/>
        <v>404</v>
      </c>
      <c r="Q6" s="13">
        <f t="shared" si="4"/>
        <v>0.31</v>
      </c>
    </row>
    <row r="7" spans="1:17" ht="39" customHeight="1">
      <c r="A7" s="4">
        <v>5</v>
      </c>
      <c r="B7" s="18" t="s">
        <v>37</v>
      </c>
      <c r="C7" s="15" t="s">
        <v>24</v>
      </c>
      <c r="D7" s="26"/>
      <c r="E7" s="17" t="s">
        <v>31</v>
      </c>
      <c r="F7" s="4">
        <f t="shared" si="0"/>
        <v>475</v>
      </c>
      <c r="G7" s="5">
        <v>25</v>
      </c>
      <c r="H7" s="5">
        <v>19</v>
      </c>
      <c r="I7" s="4">
        <v>19</v>
      </c>
      <c r="J7" s="4">
        <f t="shared" si="1"/>
        <v>475</v>
      </c>
      <c r="K7" s="4">
        <v>1</v>
      </c>
      <c r="L7" s="4">
        <v>384</v>
      </c>
      <c r="M7" s="4">
        <v>414</v>
      </c>
      <c r="N7" s="16" t="s">
        <v>26</v>
      </c>
      <c r="O7" s="13">
        <f t="shared" si="2"/>
        <v>384</v>
      </c>
      <c r="P7" s="13">
        <f t="shared" si="3"/>
        <v>414</v>
      </c>
      <c r="Q7" s="13">
        <f t="shared" si="4"/>
        <v>0.31</v>
      </c>
    </row>
    <row r="8" spans="1:17" ht="35.25" customHeight="1">
      <c r="A8" s="21" t="s">
        <v>17</v>
      </c>
      <c r="B8" s="22"/>
      <c r="C8" s="21"/>
      <c r="D8" s="6"/>
      <c r="E8" s="5"/>
      <c r="F8" s="5">
        <f>SUM(F3:F7)</f>
        <v>2375</v>
      </c>
      <c r="G8" s="5"/>
      <c r="H8" s="5">
        <f>SUM(H3:H7)</f>
        <v>95</v>
      </c>
      <c r="I8" s="5"/>
      <c r="J8" s="5"/>
      <c r="K8" s="5">
        <f>SUM(K3:K7)</f>
        <v>5</v>
      </c>
      <c r="L8" s="5"/>
      <c r="M8" s="5"/>
      <c r="N8" s="14"/>
      <c r="O8" s="5">
        <f>SUM(O3:O7)</f>
        <v>1830</v>
      </c>
      <c r="P8" s="5">
        <f>SUM(P3:P7)</f>
        <v>1976</v>
      </c>
      <c r="Q8" s="5">
        <f>SUM(Q3:Q7)</f>
        <v>1.55</v>
      </c>
    </row>
    <row r="9" spans="1:17" ht="21" customHeight="1">
      <c r="A9" s="7"/>
      <c r="B9" s="8" t="s">
        <v>18</v>
      </c>
      <c r="C9" s="9" t="s">
        <v>32</v>
      </c>
      <c r="N9" s="7"/>
      <c r="O9" s="7"/>
      <c r="P9" s="7"/>
      <c r="Q9" s="7"/>
    </row>
    <row r="10" spans="1:17" ht="21" customHeight="1">
      <c r="A10" s="7"/>
      <c r="B10" s="10"/>
      <c r="C10" s="1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8.75">
      <c r="A11" s="7"/>
      <c r="B11" s="7"/>
      <c r="C11" s="11"/>
      <c r="D11" s="7"/>
      <c r="E11" s="7"/>
      <c r="F11" s="7"/>
      <c r="G11" s="7"/>
      <c r="H11" s="7"/>
      <c r="I11" s="7"/>
      <c r="J11" s="7"/>
      <c r="K11" s="7"/>
      <c r="L11" s="7"/>
      <c r="M11" s="7"/>
      <c r="N11" s="23">
        <v>45722</v>
      </c>
      <c r="O11" s="23"/>
      <c r="P11" s="23"/>
      <c r="Q11" s="23"/>
    </row>
    <row r="12" spans="1:17" ht="18.75">
      <c r="A12" s="7"/>
      <c r="B12" s="7"/>
      <c r="C12" s="11"/>
      <c r="D12" s="7"/>
      <c r="E12" s="7"/>
      <c r="F12" s="7"/>
      <c r="G12" s="7"/>
      <c r="H12" s="7"/>
      <c r="I12" s="7"/>
      <c r="J12" s="7"/>
      <c r="K12" s="7"/>
      <c r="L12" s="7"/>
      <c r="M12" s="7"/>
      <c r="N12" s="24"/>
      <c r="O12" s="24"/>
      <c r="P12" s="24"/>
      <c r="Q12" s="24"/>
    </row>
    <row r="13" spans="1:17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</sheetData>
  <mergeCells count="5">
    <mergeCell ref="A1:Q1"/>
    <mergeCell ref="A8:C8"/>
    <mergeCell ref="N11:Q11"/>
    <mergeCell ref="N12:Q12"/>
    <mergeCell ref="D3:D7"/>
  </mergeCells>
  <phoneticPr fontId="15" type="noConversion"/>
  <pageMargins left="0.511811023622047" right="0.511811023622047" top="0.196850393700787" bottom="0.74803149606299202" header="0.31496062992126" footer="0.31496062992126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C9A1DBEA3F41BF126104538CF2F4" ma:contentTypeVersion="18" ma:contentTypeDescription="Create a new document." ma:contentTypeScope="" ma:versionID="e07f268e493d4023498cc0a747bb2c9e">
  <xsd:schema xmlns:xsd="http://www.w3.org/2001/XMLSchema" xmlns:xs="http://www.w3.org/2001/XMLSchema" xmlns:p="http://schemas.microsoft.com/office/2006/metadata/properties" xmlns:ns2="ad4ce8e1-e61e-4f10-ada2-68c6c500bded" xmlns:ns3="bbf2d0ee-83cb-4e18-b698-24213899dd0a" targetNamespace="http://schemas.microsoft.com/office/2006/metadata/properties" ma:root="true" ma:fieldsID="903c3bdafd57c3e92037930261546fa3" ns2:_="" ns3:_="">
    <xsd:import namespace="ad4ce8e1-e61e-4f10-ada2-68c6c500bded"/>
    <xsd:import namespace="bbf2d0ee-83cb-4e18-b698-24213899d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e8e1-e61e-4f10-ada2-68c6c500bd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e836a-ee1c-4046-88d4-36156c3b16d2}" ma:internalName="TaxCatchAll" ma:showField="CatchAllData" ma:web="ad4ce8e1-e61e-4f10-ada2-68c6c500b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d0ee-83cb-4e18-b698-24213899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015f81-0a24-41cb-a26e-9f91238b9d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ce8e1-e61e-4f10-ada2-68c6c500bded" xsi:nil="true"/>
    <lcf76f155ced4ddcb4097134ff3c332f xmlns="bbf2d0ee-83cb-4e18-b698-24213899dd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F01EB-CA78-423E-834D-5A59EE371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ce8e1-e61e-4f10-ada2-68c6c500bded"/>
    <ds:schemaRef ds:uri="bbf2d0ee-83cb-4e18-b698-24213899d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2025-03-03T08:44:12Z</cp:lastPrinted>
  <dcterms:created xsi:type="dcterms:W3CDTF">2006-09-13T11:21:00Z</dcterms:created>
  <dcterms:modified xsi:type="dcterms:W3CDTF">2025-03-07T03:58:08Z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0x0101007E6BC9A1DBEA3F41BF126104538CF2F4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