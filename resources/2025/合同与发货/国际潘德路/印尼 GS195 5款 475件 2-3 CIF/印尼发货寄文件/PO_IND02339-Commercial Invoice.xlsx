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\Desktop\印尼发货寄文件\"/>
    </mc:Choice>
  </mc:AlternateContent>
  <xr:revisionPtr revIDLastSave="0" documentId="13_ncr:1_{07E6B70F-18E9-4922-AABF-54982FED7A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2" l="1"/>
  <c r="G25" i="2"/>
  <c r="G26" i="2"/>
  <c r="G27" i="2"/>
  <c r="G23" i="2"/>
  <c r="D29" i="2"/>
  <c r="G29" i="2" l="1"/>
</calcChain>
</file>

<file path=xl/sharedStrings.xml><?xml version="1.0" encoding="utf-8"?>
<sst xmlns="http://schemas.openxmlformats.org/spreadsheetml/2006/main" count="48" uniqueCount="47">
  <si>
    <t>ITEM</t>
  </si>
  <si>
    <t>PRODUCT</t>
  </si>
  <si>
    <t>PART  NO</t>
  </si>
  <si>
    <t>QUANTITY</t>
  </si>
  <si>
    <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</si>
  <si>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r>
      <t>Importer</t>
    </r>
    <r>
      <rPr>
        <b/>
        <sz val="12"/>
        <color theme="1"/>
        <rFont val="Times New Roman"/>
        <family val="1"/>
      </rPr>
      <t>:</t>
    </r>
  </si>
  <si>
    <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</si>
  <si>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</si>
  <si>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r>
      <t>Terms of Delivery</t>
    </r>
    <r>
      <rPr>
        <sz val="10.5"/>
        <color theme="1"/>
        <rFont val="宋体"/>
        <family val="3"/>
        <charset val="134"/>
      </rPr>
      <t>：</t>
    </r>
  </si>
  <si>
    <t>Exporter Order No:</t>
  </si>
  <si>
    <t>CHINA</t>
  </si>
  <si>
    <t>Payment:</t>
  </si>
  <si>
    <t>Country of Destination of Goods:</t>
  </si>
  <si>
    <t xml:space="preserve">(PCS) </t>
  </si>
  <si>
    <t>UNIT  PRICE</t>
  </si>
  <si>
    <t>AMOUNT</t>
  </si>
  <si>
    <t>Issued by (bank and branch):</t>
    <phoneticPr fontId="5" type="noConversion"/>
  </si>
  <si>
    <t>(USD)</t>
    <phoneticPr fontId="5" type="noConversion"/>
  </si>
  <si>
    <t>T  O  T  A  L</t>
    <phoneticPr fontId="5" type="noConversion"/>
  </si>
  <si>
    <t>Exporter:</t>
    <phoneticPr fontId="5" type="noConversion"/>
  </si>
  <si>
    <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  <phoneticPr fontId="5" type="noConversion"/>
  </si>
  <si>
    <t>TEL: 0086-51253703217</t>
    <phoneticPr fontId="5" type="noConversion"/>
  </si>
  <si>
    <t>FAX: 0086-51253703212</t>
    <phoneticPr fontId="5" type="noConversion"/>
  </si>
  <si>
    <r>
      <t>T/T</t>
    </r>
    <r>
      <rPr>
        <b/>
        <sz val="10.5"/>
        <color rgb="FFFF0000"/>
        <rFont val="宋体"/>
        <family val="3"/>
        <charset val="134"/>
      </rPr>
      <t/>
    </r>
    <phoneticPr fontId="5" type="noConversion"/>
  </si>
  <si>
    <t>BANK</t>
    <phoneticPr fontId="5" type="noConversion"/>
  </si>
  <si>
    <t>Importer Order No:</t>
    <phoneticPr fontId="5" type="noConversion"/>
  </si>
  <si>
    <t>CIF</t>
    <phoneticPr fontId="5" type="noConversion"/>
  </si>
  <si>
    <t>Vessel/Aircraft etc:</t>
    <phoneticPr fontId="5" type="noConversion"/>
  </si>
  <si>
    <t>Country of Origin of Goods:</t>
    <phoneticPr fontId="5" type="noConversion"/>
  </si>
  <si>
    <t>SEA</t>
    <phoneticPr fontId="5" type="noConversion"/>
  </si>
  <si>
    <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PT. Pandrol Indonesia</t>
    </r>
    <phoneticPr fontId="5" type="noConversion"/>
  </si>
  <si>
    <t>T:  +62 21 2902 6925  F: +62 21 2902 6926</t>
    <phoneticPr fontId="5" type="noConversion"/>
  </si>
  <si>
    <t>Indonesia</t>
    <phoneticPr fontId="5" type="noConversion"/>
  </si>
  <si>
    <t>Add: NO.112 XINJIANG RD,FUQIAO TOWN,TAICANG CITY,JIANGSU PROVINCE,P R CHINA.</t>
    <phoneticPr fontId="5" type="noConversion"/>
  </si>
  <si>
    <t>Add:K-Link Tower Lt. 27 Suite D
Jl. Gatot Subroto No. 59 A
Jakarta Selatan 12950
Indonesia</t>
    <phoneticPr fontId="5" type="noConversion"/>
  </si>
  <si>
    <t>250304-PANDROL</t>
    <phoneticPr fontId="5" type="noConversion"/>
  </si>
  <si>
    <t>PO_IND02339</t>
    <phoneticPr fontId="5" type="noConversion"/>
  </si>
  <si>
    <t xml:space="preserve"> COACHSCREW 
25 x 189</t>
    <phoneticPr fontId="5" type="noConversion"/>
  </si>
  <si>
    <t xml:space="preserve"> COACHSCREW 
25 x 194</t>
    <phoneticPr fontId="5" type="noConversion"/>
  </si>
  <si>
    <t xml:space="preserve"> COACHSCREW 
25 x 199</t>
    <phoneticPr fontId="5" type="noConversion"/>
  </si>
  <si>
    <t xml:space="preserve"> COACHSCREW 
25 x 204</t>
    <phoneticPr fontId="5" type="noConversion"/>
  </si>
  <si>
    <t xml:space="preserve"> COACHSCREW 
25 x 209</t>
    <phoneticPr fontId="5" type="noConversion"/>
  </si>
  <si>
    <t>GS195-J13</t>
    <phoneticPr fontId="5" type="noConversion"/>
  </si>
  <si>
    <t>GS195-J14</t>
  </si>
  <si>
    <t>GS195-J15</t>
  </si>
  <si>
    <t>GS195-J16</t>
  </si>
  <si>
    <t>GS195-J17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</si>
</sst>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_ "/>
  </numFmts>
  <fonts count="14" x14ac:knownFonts="1">
    <font>
      <sz val="11"/>
      <color theme="1"/>
      <name val="宋体"/>
      <family val="2"/>
      <charset val="134"/>
      <scheme val="minor"/>
    </font>
    <font>
      <sz val="10.5"/>
      <color theme="1"/>
      <name val="Times New Roman"/>
      <family val="1"/>
    </font>
    <font>
      <b/>
      <sz val="10.5"/>
      <color theme="1"/>
      <name val="Times New Roman"/>
      <family val="1"/>
    </font>
    <font>
      <b/>
      <sz val="10.5"/>
      <color rgb="FFFF0000"/>
      <name val="Times New Roman"/>
      <family val="1"/>
    </font>
    <font>
      <b/>
      <sz val="12"/>
      <color theme="1"/>
      <name val="Times New Roman"/>
      <family val="1"/>
    </font>
    <font>
      <sz val="9"/>
      <name val="宋体"/>
      <family val="2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sz val="10.5"/>
      <color theme="1"/>
      <name val="宋体"/>
      <family val="3"/>
      <charset val="134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宋体"/>
      <family val="3"/>
      <charset val="134"/>
    </font>
    <font>
      <b/>
      <sz val="10.5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justify" vertical="top" wrapText="1"/>
    </xf>
    <xf numFmtId="0" fontId="4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justify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176" fontId="9" fillId="0" borderId="4" xfId="0" applyNumberFormat="1" applyFont="1" applyBorder="1" applyAlignment="1">
      <alignment horizontal="center" vertical="top" wrapText="1"/>
    </xf>
    <xf numFmtId="177" fontId="4" fillId="0" borderId="4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2" fillId="0" borderId="6" xfId="0" applyFont="1" applyBorder="1" applyAlignment="1">
      <alignment vertical="top" wrapText="1"/>
    </xf>
    <xf numFmtId="0" fontId="2" fillId="0" borderId="11" xfId="0" applyFont="1" applyBorder="1" applyAlignment="1">
      <alignment horizontal="justify" vertical="top" wrapText="1"/>
    </xf>
    <xf numFmtId="0" fontId="2" fillId="0" borderId="0" xfId="0" applyFont="1" applyAlignment="1">
      <alignment horizontal="justify" vertical="top" wrapText="1"/>
    </xf>
    <xf numFmtId="0" fontId="2" fillId="0" borderId="5" xfId="0" applyFont="1" applyBorder="1" applyAlignment="1">
      <alignment horizontal="justify" vertical="top" wrapText="1"/>
    </xf>
    <xf numFmtId="0" fontId="13" fillId="0" borderId="4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justify" vertical="top" wrapText="1"/>
    </xf>
    <xf numFmtId="0" fontId="7" fillId="0" borderId="14" xfId="0" applyFont="1" applyBorder="1" applyAlignment="1">
      <alignment horizontal="justify" vertical="top" wrapText="1"/>
    </xf>
    <xf numFmtId="0" fontId="7" fillId="0" borderId="13" xfId="0" applyFont="1" applyBorder="1" applyAlignment="1">
      <alignment horizontal="justify" vertical="top" wrapText="1"/>
    </xf>
    <xf numFmtId="0" fontId="6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justify" vertical="top" wrapText="1"/>
    </xf>
    <xf numFmtId="0" fontId="4" fillId="0" borderId="13" xfId="0" applyFont="1" applyBorder="1" applyAlignment="1">
      <alignment horizontal="justify" vertical="top" wrapText="1"/>
    </xf>
    <xf numFmtId="0" fontId="9" fillId="0" borderId="12" xfId="0" applyFont="1" applyBorder="1" applyAlignment="1">
      <alignment horizontal="center" vertical="top" wrapText="1"/>
    </xf>
    <xf numFmtId="0" fontId="9" fillId="0" borderId="13" xfId="0" applyFont="1" applyBorder="1" applyAlignment="1">
      <alignment horizontal="center" vertical="top" wrapText="1"/>
    </xf>
    <xf numFmtId="0" fontId="7" fillId="0" borderId="12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justify" vertical="top" wrapText="1"/>
    </xf>
    <xf numFmtId="0" fontId="1" fillId="0" borderId="9" xfId="0" applyFont="1" applyBorder="1" applyAlignment="1">
      <alignment horizontal="justify" vertical="top" wrapText="1"/>
    </xf>
    <xf numFmtId="0" fontId="1" fillId="0" borderId="3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0" fontId="7" fillId="0" borderId="9" xfId="0" applyFont="1" applyBorder="1" applyAlignment="1">
      <alignment horizontal="justify" vertical="top" wrapText="1"/>
    </xf>
    <xf numFmtId="0" fontId="7" fillId="0" borderId="3" xfId="0" applyFont="1" applyBorder="1" applyAlignment="1">
      <alignment horizontal="justify" vertical="top" wrapText="1"/>
    </xf>
    <xf numFmtId="14" fontId="12" fillId="0" borderId="6" xfId="0" applyNumberFormat="1" applyFont="1" applyBorder="1" applyAlignment="1">
      <alignment horizontal="justify" vertical="top" wrapText="1"/>
    </xf>
    <xf numFmtId="14" fontId="12" fillId="0" borderId="7" xfId="0" applyNumberFormat="1" applyFont="1" applyBorder="1" applyAlignment="1">
      <alignment horizontal="justify" vertical="top" wrapText="1"/>
    </xf>
    <xf numFmtId="14" fontId="12" fillId="0" borderId="4" xfId="0" applyNumberFormat="1" applyFont="1" applyBorder="1" applyAlignment="1">
      <alignment horizontal="justify" vertical="top" wrapText="1"/>
    </xf>
    <xf numFmtId="0" fontId="2" fillId="0" borderId="6" xfId="0" applyFont="1" applyBorder="1" applyAlignment="1">
      <alignment horizontal="justify" vertical="top" wrapText="1"/>
    </xf>
    <xf numFmtId="0" fontId="2" fillId="0" borderId="4" xfId="0" applyFont="1" applyBorder="1" applyAlignment="1">
      <alignment horizontal="justify" vertical="top" wrapText="1"/>
    </xf>
    <xf numFmtId="0" fontId="2" fillId="0" borderId="7" xfId="0" applyFont="1" applyBorder="1" applyAlignment="1">
      <alignment horizontal="justify" vertical="top" wrapText="1"/>
    </xf>
    <xf numFmtId="49" fontId="12" fillId="0" borderId="6" xfId="0" applyNumberFormat="1" applyFont="1" applyBorder="1" applyAlignment="1">
      <alignment horizontal="justify" vertical="top" wrapText="1"/>
    </xf>
    <xf numFmtId="49" fontId="12" fillId="0" borderId="4" xfId="0" applyNumberFormat="1" applyFont="1" applyBorder="1" applyAlignment="1">
      <alignment horizontal="justify" vertical="top" wrapText="1"/>
    </xf>
    <xf numFmtId="0" fontId="2" fillId="0" borderId="11" xfId="0" applyFont="1" applyBorder="1" applyAlignment="1">
      <alignment horizontal="justify" vertical="top" wrapText="1"/>
    </xf>
    <xf numFmtId="0" fontId="2" fillId="0" borderId="0" xfId="0" applyFont="1" applyAlignment="1">
      <alignment horizontal="justify" vertical="top" wrapText="1"/>
    </xf>
    <xf numFmtId="0" fontId="2" fillId="0" borderId="5" xfId="0" applyFont="1" applyBorder="1" applyAlignment="1">
      <alignment horizontal="justify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justify" vertical="top" wrapText="1"/>
    </xf>
    <xf numFmtId="0" fontId="7" fillId="0" borderId="2" xfId="0" applyFont="1" applyBorder="1" applyAlignment="1">
      <alignment horizontal="justify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228600</xdr:colOff>
      <xdr:row>29</xdr:row>
      <xdr:rowOff>28575</xdr:rowOff>
    </xdr:from>
    <xdr:to>
      <xdr:col>6</xdr:col>
      <xdr:colOff>638175</xdr:colOff>
      <xdr:row>30</xdr:row>
      <xdr:rowOff>295275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771900" y="7762875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A22" workbookViewId="0">
      <selection activeCell="F26" sqref="F26"/>
    </sheetView>
  </sheetViews>
  <sheetFormatPr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25" t="s">
        <v>4</v>
      </c>
      <c r="B1" s="25"/>
      <c r="C1" s="25"/>
      <c r="D1" s="25"/>
      <c r="E1" s="25"/>
      <c r="F1" s="25"/>
      <c r="G1" s="25"/>
    </row>
    <row r="2" spans="1:7" ht="16.5" thickBot="1" x14ac:dyDescent="0.2">
      <c r="A2" s="5"/>
    </row>
    <row r="3" spans="1:7" ht="15" customHeight="1" x14ac:dyDescent="0.15">
      <c r="A3" s="40" t="s">
        <v>19</v>
      </c>
      <c r="B3" s="41"/>
      <c r="C3" s="41"/>
      <c r="D3" s="41"/>
      <c r="E3" s="41"/>
      <c r="F3" s="41"/>
      <c r="G3" s="42"/>
    </row>
    <row r="4" spans="1:7" ht="15" customHeight="1" x14ac:dyDescent="0.15">
      <c r="A4" s="51" t="s">
        <v>20</v>
      </c>
      <c r="B4" s="52"/>
      <c r="C4" s="52"/>
      <c r="D4" s="52"/>
      <c r="E4" s="52"/>
      <c r="F4" s="52"/>
      <c r="G4" s="53"/>
    </row>
    <row r="5" spans="1:7" ht="15" customHeight="1" x14ac:dyDescent="0.15">
      <c r="A5" s="51" t="s">
        <v>33</v>
      </c>
      <c r="B5" s="52"/>
      <c r="C5" s="52"/>
      <c r="D5" s="52"/>
      <c r="E5" s="52"/>
      <c r="F5" s="52"/>
      <c r="G5" s="53"/>
    </row>
    <row r="6" spans="1:7" ht="15" customHeight="1" x14ac:dyDescent="0.15">
      <c r="A6" s="51" t="s">
        <v>21</v>
      </c>
      <c r="B6" s="52"/>
      <c r="C6" s="52"/>
      <c r="D6" s="52"/>
      <c r="E6" s="52"/>
      <c r="F6" s="52"/>
      <c r="G6" s="53"/>
    </row>
    <row r="7" spans="1:7" ht="15" customHeight="1" thickBot="1" x14ac:dyDescent="0.2">
      <c r="A7" s="46" t="s">
        <v>22</v>
      </c>
      <c r="B7" s="48"/>
      <c r="C7" s="48"/>
      <c r="D7" s="48"/>
      <c r="E7" s="48"/>
      <c r="F7" s="48"/>
      <c r="G7" s="47"/>
    </row>
    <row r="8" spans="1:7" ht="15" customHeight="1" x14ac:dyDescent="0.15">
      <c r="A8" s="40" t="s">
        <v>5</v>
      </c>
      <c r="B8" s="41"/>
      <c r="C8" s="41"/>
      <c r="D8" s="41"/>
      <c r="E8" s="41"/>
      <c r="F8" s="41"/>
      <c r="G8" s="42"/>
    </row>
    <row r="9" spans="1:7" ht="15" customHeight="1" x14ac:dyDescent="0.15">
      <c r="A9" s="54" t="s">
        <v>30</v>
      </c>
      <c r="B9" s="55"/>
      <c r="C9" s="55"/>
      <c r="D9" s="55"/>
      <c r="E9" s="55"/>
      <c r="F9" s="55"/>
      <c r="G9" s="56"/>
    </row>
    <row r="10" spans="1:7" ht="67.5" customHeight="1" x14ac:dyDescent="0.15">
      <c r="A10" s="54" t="s">
        <v>34</v>
      </c>
      <c r="B10" s="55"/>
      <c r="C10" s="55"/>
      <c r="D10" s="55"/>
      <c r="E10" s="55"/>
      <c r="F10" s="55"/>
      <c r="G10" s="56"/>
    </row>
    <row r="11" spans="1:7" ht="15" customHeight="1" thickBot="1" x14ac:dyDescent="0.2">
      <c r="A11" s="54" t="s">
        <v>31</v>
      </c>
      <c r="B11" s="55"/>
      <c r="C11" s="55"/>
      <c r="D11" s="55"/>
      <c r="E11" s="55"/>
      <c r="F11" s="55"/>
      <c r="G11" s="56"/>
    </row>
    <row r="12" spans="1:7" ht="15" customHeight="1" x14ac:dyDescent="0.15">
      <c r="A12" s="37" t="s">
        <v>16</v>
      </c>
      <c r="B12" s="39"/>
      <c r="C12" s="37" t="s">
        <v>6</v>
      </c>
      <c r="D12" s="39"/>
      <c r="E12" s="37" t="s">
        <v>7</v>
      </c>
      <c r="F12" s="38"/>
      <c r="G12" s="39"/>
    </row>
    <row r="13" spans="1:7" ht="15" customHeight="1" thickBot="1" x14ac:dyDescent="0.2">
      <c r="A13" s="46" t="s">
        <v>24</v>
      </c>
      <c r="B13" s="47"/>
      <c r="C13" s="49" t="s">
        <v>35</v>
      </c>
      <c r="D13" s="50"/>
      <c r="E13" s="43">
        <v>45720</v>
      </c>
      <c r="F13" s="44"/>
      <c r="G13" s="45"/>
    </row>
    <row r="14" spans="1:7" ht="15" customHeight="1" x14ac:dyDescent="0.15">
      <c r="A14" s="37" t="s">
        <v>8</v>
      </c>
      <c r="B14" s="39"/>
      <c r="C14" s="12" t="s">
        <v>25</v>
      </c>
      <c r="D14" s="13"/>
      <c r="E14" s="37" t="s">
        <v>9</v>
      </c>
      <c r="F14" s="38"/>
      <c r="G14" s="39"/>
    </row>
    <row r="15" spans="1:7" ht="18.75" customHeight="1" thickBot="1" x14ac:dyDescent="0.2">
      <c r="A15" s="46" t="s">
        <v>26</v>
      </c>
      <c r="B15" s="47"/>
      <c r="C15" s="17" t="s">
        <v>36</v>
      </c>
      <c r="D15" s="14"/>
      <c r="E15" s="46"/>
      <c r="F15" s="48"/>
      <c r="G15" s="47"/>
    </row>
    <row r="16" spans="1:7" ht="15" customHeight="1" x14ac:dyDescent="0.15">
      <c r="A16" s="64" t="s">
        <v>27</v>
      </c>
      <c r="B16" s="65"/>
      <c r="C16" s="37" t="s">
        <v>28</v>
      </c>
      <c r="D16" s="38"/>
      <c r="E16" s="38"/>
      <c r="F16" s="38"/>
      <c r="G16" s="39"/>
    </row>
    <row r="17" spans="1:7" ht="15" customHeight="1" thickBot="1" x14ac:dyDescent="0.2">
      <c r="A17" s="66" t="s">
        <v>29</v>
      </c>
      <c r="B17" s="67"/>
      <c r="C17" s="46" t="s">
        <v>10</v>
      </c>
      <c r="D17" s="48"/>
      <c r="E17" s="48"/>
      <c r="F17" s="48"/>
      <c r="G17" s="47"/>
    </row>
    <row r="18" spans="1:7" ht="15" customHeight="1" x14ac:dyDescent="0.15">
      <c r="A18" s="37" t="s">
        <v>11</v>
      </c>
      <c r="B18" s="39"/>
      <c r="C18" s="37" t="s">
        <v>12</v>
      </c>
      <c r="D18" s="38"/>
      <c r="E18" s="38"/>
      <c r="F18" s="38"/>
      <c r="G18" s="39"/>
    </row>
    <row r="19" spans="1:7" ht="15" customHeight="1" x14ac:dyDescent="0.15">
      <c r="A19" s="54" t="s">
        <v>23</v>
      </c>
      <c r="B19" s="56"/>
      <c r="C19" s="51" t="s">
        <v>32</v>
      </c>
      <c r="D19" s="52"/>
      <c r="E19" s="52"/>
      <c r="F19" s="52"/>
      <c r="G19" s="53"/>
    </row>
    <row r="20" spans="1:7" ht="15" customHeight="1" thickBot="1" x14ac:dyDescent="0.2">
      <c r="A20" s="54"/>
      <c r="B20" s="56"/>
      <c r="C20" s="18"/>
      <c r="D20" s="19"/>
      <c r="E20" s="19"/>
      <c r="F20" s="19"/>
      <c r="G20" s="20"/>
    </row>
    <row r="21" spans="1:7" ht="15" customHeight="1" x14ac:dyDescent="0.15">
      <c r="A21" s="62" t="s">
        <v>0</v>
      </c>
      <c r="B21" s="57" t="s">
        <v>1</v>
      </c>
      <c r="C21" s="57" t="s">
        <v>2</v>
      </c>
      <c r="D21" s="68" t="s">
        <v>3</v>
      </c>
      <c r="E21" s="69"/>
      <c r="F21" s="15" t="s">
        <v>14</v>
      </c>
      <c r="G21" s="15" t="s">
        <v>15</v>
      </c>
    </row>
    <row r="22" spans="1:7" ht="15" customHeight="1" thickBot="1" x14ac:dyDescent="0.2">
      <c r="A22" s="63"/>
      <c r="B22" s="58"/>
      <c r="C22" s="58"/>
      <c r="D22" s="60" t="s">
        <v>13</v>
      </c>
      <c r="E22" s="61"/>
      <c r="F22" s="16" t="s">
        <v>17</v>
      </c>
      <c r="G22" s="16" t="s">
        <v>17</v>
      </c>
    </row>
    <row r="23" spans="1:7" ht="31.5" customHeight="1" thickBot="1" x14ac:dyDescent="0.2">
      <c r="A23" s="8">
        <v>1</v>
      </c>
      <c r="B23" s="4" t="s">
        <v>37</v>
      </c>
      <c r="C23" s="21" t="s">
        <v>42</v>
      </c>
      <c r="D23" s="33">
        <v>475</v>
      </c>
      <c r="E23" s="34"/>
      <c r="F23" s="11">
        <v>1.72</v>
      </c>
      <c r="G23" s="9">
        <f>D23*F23</f>
        <v>817</v>
      </c>
    </row>
    <row r="24" spans="1:7" ht="31.5" customHeight="1" thickBot="1" x14ac:dyDescent="0.2">
      <c r="A24" s="8">
        <v>2</v>
      </c>
      <c r="B24" s="4" t="s">
        <v>38</v>
      </c>
      <c r="C24" s="21" t="s">
        <v>43</v>
      </c>
      <c r="D24" s="35">
        <v>475</v>
      </c>
      <c r="E24" s="36"/>
      <c r="F24" s="2">
        <v>1.77</v>
      </c>
      <c r="G24" s="9">
        <f t="shared" ref="G24:G27" si="0">D24*F24</f>
        <v>840.75</v>
      </c>
    </row>
    <row r="25" spans="1:7" ht="31.5" customHeight="1" thickBot="1" x14ac:dyDescent="0.2">
      <c r="A25" s="8">
        <v>3</v>
      </c>
      <c r="B25" s="4" t="s">
        <v>39</v>
      </c>
      <c r="C25" s="21" t="s">
        <v>44</v>
      </c>
      <c r="D25" s="35">
        <v>475</v>
      </c>
      <c r="E25" s="36"/>
      <c r="F25" s="2">
        <v>1.82</v>
      </c>
      <c r="G25" s="9">
        <f t="shared" si="0"/>
        <v>864.5</v>
      </c>
    </row>
    <row r="26" spans="1:7" ht="31.5" customHeight="1" thickBot="1" x14ac:dyDescent="0.2">
      <c r="A26" s="8">
        <v>4</v>
      </c>
      <c r="B26" s="4" t="s">
        <v>40</v>
      </c>
      <c r="C26" s="21" t="s">
        <v>45</v>
      </c>
      <c r="D26" s="35">
        <v>475</v>
      </c>
      <c r="E26" s="36"/>
      <c r="F26" s="7">
        <v>1.86</v>
      </c>
      <c r="G26" s="9">
        <f t="shared" si="0"/>
        <v>883.5</v>
      </c>
    </row>
    <row r="27" spans="1:7" ht="31.5" customHeight="1" thickBot="1" x14ac:dyDescent="0.2">
      <c r="A27" s="8">
        <v>5</v>
      </c>
      <c r="B27" s="4" t="s">
        <v>41</v>
      </c>
      <c r="C27" s="21" t="s">
        <v>46</v>
      </c>
      <c r="D27" s="35">
        <v>475</v>
      </c>
      <c r="E27" s="36"/>
      <c r="F27" s="1">
        <v>1.91</v>
      </c>
      <c r="G27" s="9">
        <f t="shared" si="0"/>
        <v>907.25</v>
      </c>
    </row>
    <row r="28" spans="1:7" ht="27" customHeight="1" thickBot="1" x14ac:dyDescent="0.2">
      <c r="A28" s="1"/>
      <c r="B28" s="2"/>
      <c r="C28" s="2"/>
      <c r="D28" s="35"/>
      <c r="E28" s="59"/>
      <c r="F28" s="1"/>
      <c r="G28" s="2"/>
    </row>
    <row r="29" spans="1:7" ht="24.95" customHeight="1" thickBot="1" x14ac:dyDescent="0.2">
      <c r="A29" s="26" t="s">
        <v>18</v>
      </c>
      <c r="B29" s="27"/>
      <c r="C29" s="3"/>
      <c r="D29" s="28">
        <f>SUM(D23:E28)</f>
        <v>2375</v>
      </c>
      <c r="E29" s="29"/>
      <c r="F29" s="6"/>
      <c r="G29" s="10">
        <f>SUM(G23:G28)</f>
        <v>4313</v>
      </c>
    </row>
    <row r="30" spans="1:7" ht="36.75" customHeight="1" thickBot="1" x14ac:dyDescent="0.2">
      <c r="A30" s="30"/>
      <c r="B30" s="31"/>
      <c r="C30" s="31"/>
      <c r="D30" s="31"/>
      <c r="E30" s="31"/>
      <c r="F30" s="31"/>
      <c r="G30" s="32"/>
    </row>
    <row r="31" spans="1:7" ht="24.95" customHeight="1" thickBot="1" x14ac:dyDescent="0.2">
      <c r="A31" s="22"/>
      <c r="B31" s="23"/>
      <c r="C31" s="23"/>
      <c r="D31" s="23"/>
      <c r="E31" s="23"/>
      <c r="F31" s="23"/>
      <c r="G31" s="24"/>
    </row>
  </sheetData>
  <mergeCells count="43">
    <mergeCell ref="C21:C22"/>
    <mergeCell ref="A13:B13"/>
    <mergeCell ref="D26:E26"/>
    <mergeCell ref="D27:E27"/>
    <mergeCell ref="D28:E28"/>
    <mergeCell ref="D22:E22"/>
    <mergeCell ref="C16:G16"/>
    <mergeCell ref="C17:G17"/>
    <mergeCell ref="A18:B18"/>
    <mergeCell ref="A21:A22"/>
    <mergeCell ref="B21:B22"/>
    <mergeCell ref="C19:G19"/>
    <mergeCell ref="A16:B16"/>
    <mergeCell ref="A17:B17"/>
    <mergeCell ref="A19:B20"/>
    <mergeCell ref="D21:E21"/>
    <mergeCell ref="C13:D13"/>
    <mergeCell ref="A3:G3"/>
    <mergeCell ref="A4:G4"/>
    <mergeCell ref="A5:G5"/>
    <mergeCell ref="A6:G6"/>
    <mergeCell ref="A7:G7"/>
    <mergeCell ref="A9:G9"/>
    <mergeCell ref="A10:G10"/>
    <mergeCell ref="A11:G11"/>
    <mergeCell ref="A12:B12"/>
    <mergeCell ref="C12:D12"/>
    <mergeCell ref="A31:G31"/>
    <mergeCell ref="A1:G1"/>
    <mergeCell ref="A29:B29"/>
    <mergeCell ref="D29:E29"/>
    <mergeCell ref="A30:G30"/>
    <mergeCell ref="D23:E23"/>
    <mergeCell ref="D24:E24"/>
    <mergeCell ref="D25:E25"/>
    <mergeCell ref="C18:G18"/>
    <mergeCell ref="A8:G8"/>
    <mergeCell ref="E12:G12"/>
    <mergeCell ref="E13:G13"/>
    <mergeCell ref="A14:B14"/>
    <mergeCell ref="A15:B15"/>
    <mergeCell ref="E14:G14"/>
    <mergeCell ref="E15:G15"/>
  </mergeCells>
  <phoneticPr fontId="5" type="noConversion"/>
  <pageMargins left="0.31496062992125984" right="0.31496062992125984" top="0.74803149606299213" bottom="0.74803149606299213" header="0.31496062992125984" footer="0.31496062992125984"/>
  <pageSetup paperSize="9" orientation="portrait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2020-03-06T01:09:29Z</cp:lastPrinted>
  <dcterms:created xsi:type="dcterms:W3CDTF">2012-11-24T00:54:09Z</dcterms:created>
  <dcterms:modified xsi:type="dcterms:W3CDTF">2025-04-08T01:51:50Z</dcterms:modified>
</cp:coreProperties>
</file>