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ED5673D-9299-4AC4-A62B-97D1BEDF3C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P5" i="1" s="1"/>
  <c r="Q4" i="1"/>
  <c r="M4" i="1"/>
  <c r="M3" i="1"/>
  <c r="P3" i="1" s="1"/>
  <c r="Q6" i="1"/>
  <c r="P6" i="1"/>
  <c r="O6" i="1"/>
  <c r="J6" i="1"/>
  <c r="F6" i="1" s="1"/>
  <c r="Q5" i="1"/>
  <c r="O5" i="1"/>
  <c r="J5" i="1"/>
  <c r="F5" i="1" s="1"/>
  <c r="K8" i="1"/>
  <c r="P4" i="1"/>
  <c r="O4" i="1"/>
  <c r="J4" i="1"/>
  <c r="F4" i="1" s="1"/>
  <c r="J7" i="1"/>
  <c r="Q3" i="1"/>
  <c r="O3" i="1"/>
  <c r="J3" i="1"/>
  <c r="F3" i="1" s="1"/>
  <c r="H3" i="1"/>
  <c r="H8" i="1" s="1"/>
  <c r="O8" i="1" l="1"/>
  <c r="P8" i="1"/>
  <c r="Q8" i="1"/>
  <c r="F8" i="1"/>
</calcChain>
</file>

<file path=xl/sharedStrings.xml><?xml version="1.0" encoding="utf-8"?>
<sst xmlns="http://schemas.openxmlformats.org/spreadsheetml/2006/main" count="31" uniqueCount="29">
  <si>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</si>
  <si>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</si>
  <si>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
品名</t>
  </si>
  <si>
    <t xml:space="preserve">
Spec.</t>
  </si>
  <si>
    <t xml:space="preserve">
PO
合同</t>
  </si>
  <si>
    <t xml:space="preserve">
Case No.
箱号</t>
  </si>
  <si>
    <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</si>
  <si>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</si>
  <si>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</si>
  <si>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/case
袋/箱</t>
  </si>
  <si>
    <t>Pieces
/case
件/箱</t>
  </si>
  <si>
    <t xml:space="preserve">
CASE
箱</t>
  </si>
  <si>
    <t>Net weight
NW/CASE
（KG）
净重</t>
  </si>
  <si>
    <t>Gross weight
GW/CASE
（KG）
总重</t>
  </si>
  <si>
    <t>Dimensions (mm) and volume (m3) / case
箱子尺寸</t>
  </si>
  <si>
    <t>Total Net weight
NW
（KG）
总净重</t>
  </si>
  <si>
    <t>Total Gross weight
GW
(KG）
总毛重</t>
  </si>
  <si>
    <t xml:space="preserve">
Volume M³
总体积</t>
  </si>
  <si>
    <t>螺纹道钉
Coachscrew</t>
  </si>
  <si>
    <t>24*142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</si>
  <si>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</si>
  <si>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</si>
  <si>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</si>
  <si>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PORT OF LOADING: SHANGHAI</t>
  </si>
  <si>
    <t>SPRING WASHER</t>
  </si>
  <si>
    <t>φ26</t>
  </si>
  <si>
    <t>1100*800*550
0.53</t>
  </si>
  <si>
    <t>1200*800*350
0.34</t>
    <phoneticPr fontId="14" type="noConversion"/>
  </si>
  <si>
    <t>The pieces are packed in a bag : 40（200,  100） pieces per bag and 32（25，  18） bags per case so 1280（320，  5000，  3500） pieces per case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</si>
</sst>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"/>
  <sheetViews>
    <sheetView tabSelected="1" topLeftCell="A3" workbookViewId="0">
      <selection activeCell="E6" sqref="E6:E7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84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60.75" customHeight="1">
      <c r="A3" s="24">
        <v>1</v>
      </c>
      <c r="B3" s="26" t="s">
        <v>18</v>
      </c>
      <c r="C3" s="22" t="s">
        <v>19</v>
      </c>
      <c r="D3" s="22"/>
      <c r="E3" s="4"/>
      <c r="F3" s="4">
        <f>J3*K3</f>
        <v>39680</v>
      </c>
      <c r="G3" s="5">
        <v>40</v>
      </c>
      <c r="H3" s="5">
        <f>I3*K3</f>
        <v>992</v>
      </c>
      <c r="I3" s="5">
        <v>32</v>
      </c>
      <c r="J3" s="4">
        <f>G3*I3</f>
        <v>1280</v>
      </c>
      <c r="K3" s="4">
        <v>31</v>
      </c>
      <c r="L3" s="4">
        <v>702</v>
      </c>
      <c r="M3" s="4">
        <f>L3+40</f>
        <v>742</v>
      </c>
      <c r="N3" s="11" t="s">
        <v>20</v>
      </c>
      <c r="O3" s="4">
        <f>L3*K3</f>
        <v>21762</v>
      </c>
      <c r="P3" s="4">
        <f>M3*K3</f>
        <v>23002</v>
      </c>
      <c r="Q3" s="4">
        <f>0.53*K3</f>
        <v>16.43</v>
      </c>
    </row>
    <row r="4" spans="1:17" ht="60.75" customHeight="1">
      <c r="A4" s="25"/>
      <c r="B4" s="27"/>
      <c r="C4" s="28"/>
      <c r="D4" s="23"/>
      <c r="E4" s="13"/>
      <c r="F4" s="12">
        <f>J4*K4</f>
        <v>320</v>
      </c>
      <c r="G4" s="14">
        <v>40</v>
      </c>
      <c r="H4" s="14">
        <v>8</v>
      </c>
      <c r="I4" s="14">
        <v>8</v>
      </c>
      <c r="J4" s="12">
        <f>G4*I4</f>
        <v>320</v>
      </c>
      <c r="K4" s="12">
        <v>1</v>
      </c>
      <c r="L4" s="12">
        <v>176</v>
      </c>
      <c r="M4" s="4">
        <f>L4+30</f>
        <v>206</v>
      </c>
      <c r="N4" s="11" t="s">
        <v>27</v>
      </c>
      <c r="O4" s="16">
        <f>L4*K4</f>
        <v>176</v>
      </c>
      <c r="P4" s="16">
        <f>M4*K4</f>
        <v>206</v>
      </c>
      <c r="Q4" s="16">
        <f>0.34*K4</f>
        <v>0.34</v>
      </c>
    </row>
    <row r="5" spans="1:17" ht="48" customHeight="1">
      <c r="A5" s="29">
        <v>2</v>
      </c>
      <c r="B5" s="31" t="s">
        <v>24</v>
      </c>
      <c r="C5" s="33" t="s">
        <v>25</v>
      </c>
      <c r="D5" s="44"/>
      <c r="E5" s="13"/>
      <c r="F5" s="12">
        <f>J5*K5</f>
        <v>20000</v>
      </c>
      <c r="G5" s="14">
        <v>200</v>
      </c>
      <c r="H5" s="14">
        <v>25</v>
      </c>
      <c r="I5" s="14">
        <v>25</v>
      </c>
      <c r="J5" s="12">
        <f>G5*I5</f>
        <v>5000</v>
      </c>
      <c r="K5" s="12">
        <v>4</v>
      </c>
      <c r="L5" s="12">
        <v>450</v>
      </c>
      <c r="M5" s="4">
        <f>L5+40</f>
        <v>490</v>
      </c>
      <c r="N5" s="15" t="s">
        <v>26</v>
      </c>
      <c r="O5" s="16">
        <f>L5*K5</f>
        <v>1800</v>
      </c>
      <c r="P5" s="16">
        <f>M5*K5</f>
        <v>1960</v>
      </c>
      <c r="Q5" s="16">
        <f>0.53*K5</f>
        <v>2.12</v>
      </c>
    </row>
    <row r="6" spans="1:17" ht="48" customHeight="1">
      <c r="A6" s="35"/>
      <c r="B6" s="36"/>
      <c r="C6" s="37"/>
      <c r="D6" s="44"/>
      <c r="E6" s="38"/>
      <c r="F6" s="12">
        <f>J6*K6</f>
        <v>3400</v>
      </c>
      <c r="G6" s="14">
        <v>200</v>
      </c>
      <c r="H6" s="14">
        <v>17</v>
      </c>
      <c r="I6" s="14">
        <v>17</v>
      </c>
      <c r="J6" s="12">
        <f>G6*I6</f>
        <v>3400</v>
      </c>
      <c r="K6" s="29">
        <v>1</v>
      </c>
      <c r="L6" s="29">
        <v>315</v>
      </c>
      <c r="M6" s="29">
        <f>L6+40</f>
        <v>355</v>
      </c>
      <c r="N6" s="40" t="s">
        <v>26</v>
      </c>
      <c r="O6" s="42">
        <f>L6*K6</f>
        <v>315</v>
      </c>
      <c r="P6" s="42">
        <f>M6*K6</f>
        <v>355</v>
      </c>
      <c r="Q6" s="42">
        <f>0.53*K6</f>
        <v>0.53</v>
      </c>
    </row>
    <row r="7" spans="1:17" ht="48" customHeight="1">
      <c r="A7" s="30"/>
      <c r="B7" s="32"/>
      <c r="C7" s="34"/>
      <c r="D7" s="44"/>
      <c r="E7" s="39"/>
      <c r="F7" s="12">
        <v>100</v>
      </c>
      <c r="G7" s="14">
        <v>100</v>
      </c>
      <c r="H7" s="14">
        <v>1</v>
      </c>
      <c r="I7" s="14">
        <v>1</v>
      </c>
      <c r="J7" s="12">
        <f>G7*I7</f>
        <v>100</v>
      </c>
      <c r="K7" s="30"/>
      <c r="L7" s="30"/>
      <c r="M7" s="30"/>
      <c r="N7" s="41"/>
      <c r="O7" s="43"/>
      <c r="P7" s="43"/>
      <c r="Q7" s="43"/>
    </row>
    <row r="8" spans="1:17" ht="35.25" customHeight="1">
      <c r="A8" s="19" t="s">
        <v>21</v>
      </c>
      <c r="B8" s="19"/>
      <c r="C8" s="19"/>
      <c r="D8" s="6"/>
      <c r="E8" s="5"/>
      <c r="F8" s="5">
        <f>SUM(F3:F7)</f>
        <v>63500</v>
      </c>
      <c r="G8" s="5"/>
      <c r="H8" s="5">
        <f>SUM(H3:H7)</f>
        <v>1043</v>
      </c>
      <c r="I8" s="5"/>
      <c r="J8" s="5"/>
      <c r="K8" s="5">
        <f>SUM(K3:K7)</f>
        <v>37</v>
      </c>
      <c r="L8" s="5"/>
      <c r="M8" s="5"/>
      <c r="N8" s="5"/>
      <c r="O8" s="5">
        <f>SUM(O3:O7)</f>
        <v>24053</v>
      </c>
      <c r="P8" s="5">
        <f>SUM(P3:P7)</f>
        <v>25523</v>
      </c>
      <c r="Q8" s="5">
        <f>SUM(Q3:Q7)</f>
        <v>19.420000000000002</v>
      </c>
    </row>
    <row r="9" spans="1:17" ht="14.45" customHeight="1">
      <c r="A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1" customHeight="1">
      <c r="A10" s="7"/>
      <c r="B10" s="8" t="s">
        <v>22</v>
      </c>
      <c r="C10" s="45" t="s">
        <v>28</v>
      </c>
      <c r="N10" s="7"/>
      <c r="O10" s="7"/>
      <c r="P10" s="7"/>
      <c r="Q10" s="7"/>
    </row>
    <row r="11" spans="1:17" ht="21" customHeight="1">
      <c r="A11" s="7"/>
      <c r="B11" s="8" t="s">
        <v>22</v>
      </c>
      <c r="C11" s="9" t="s">
        <v>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8.75">
      <c r="A12" s="7"/>
      <c r="B12" s="7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20">
        <v>45657</v>
      </c>
      <c r="O12" s="20"/>
      <c r="P12" s="20"/>
      <c r="Q12" s="20"/>
    </row>
    <row r="13" spans="1:17" ht="18.75">
      <c r="A13" s="7"/>
      <c r="B13" s="7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21"/>
      <c r="O13" s="21"/>
      <c r="P13" s="21"/>
      <c r="Q13" s="21"/>
    </row>
    <row r="14" spans="1:17">
      <c r="A14" s="10"/>
      <c r="B14" s="10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10"/>
      <c r="B15" s="10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>
      <c r="A16" s="10"/>
      <c r="B16" s="10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</sheetData>
  <mergeCells count="20">
    <mergeCell ref="O6:O7"/>
    <mergeCell ref="P6:P7"/>
    <mergeCell ref="Q6:Q7"/>
    <mergeCell ref="D5:D7"/>
    <mergeCell ref="A1:Q1"/>
    <mergeCell ref="A8:C8"/>
    <mergeCell ref="N12:Q12"/>
    <mergeCell ref="N13:Q13"/>
    <mergeCell ref="D3:D4"/>
    <mergeCell ref="A3:A4"/>
    <mergeCell ref="B3:B4"/>
    <mergeCell ref="C3:C4"/>
    <mergeCell ref="A5:A7"/>
    <mergeCell ref="B5:B7"/>
    <mergeCell ref="C5:C7"/>
    <mergeCell ref="E6:E7"/>
    <mergeCell ref="K6:K7"/>
    <mergeCell ref="L6:L7"/>
    <mergeCell ref="M6:M7"/>
    <mergeCell ref="N6:N7"/>
  </mergeCells>
  <phoneticPr fontId="14" type="noConversion"/>
  <pageMargins left="0.90551181102362199" right="0.511811023622047" top="0.196850393700787" bottom="0.74803149606299202" header="0.31496062992126" footer="0.31496062992126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2024-12-31T09:08:30Z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2052-12.1.0.16729</vt:lpwstr>
  </property>
</Properties>
</file>