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印度发货\"/>
    </mc:Choice>
  </mc:AlternateContent>
  <xr:revisionPtr revIDLastSave="0" documentId="13_ncr:1_{D6B54A33-2787-43B7-BD8E-28C5B74DD1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H4" i="1"/>
  <c r="H5" i="1"/>
  <c r="H3" i="1"/>
  <c r="H6" i="1"/>
  <c r="M5" i="1"/>
  <c r="Q6" i="1"/>
  <c r="K6" i="1"/>
  <c r="F6" i="1"/>
  <c r="Q4" i="1"/>
  <c r="O4" i="1"/>
  <c r="P4" i="1"/>
  <c r="J4" i="1"/>
  <c r="F4" i="1"/>
  <c r="Q5" i="1" l="1"/>
  <c r="P5" i="1"/>
  <c r="P6" i="1" s="1"/>
  <c r="O5" i="1"/>
  <c r="O6" i="1" s="1"/>
  <c r="J5" i="1"/>
  <c r="F5" i="1" s="1"/>
  <c r="Q3" i="1"/>
  <c r="P3" i="1"/>
  <c r="O3" i="1"/>
  <c r="J3" i="1"/>
  <c r="F3" i="1" s="1"/>
</calcChain>
</file>

<file path=xl/sharedStrings.xml><?xml version="1.0" encoding="utf-8"?>
<sst xmlns="http://schemas.openxmlformats.org/spreadsheetml/2006/main" count="36" uniqueCount="33">
  <si>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</si>
  <si>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</si>
  <si>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</si>
  <si>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</si>
  <si>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</si>
  <si>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</si>
  <si>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t xml:space="preserve">
Bags</t>
  </si>
  <si>
    <t xml:space="preserve">
Bags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</si>
  <si>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</si>
  <si>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</si>
  <si>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</si>
  <si>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</si>
  <si>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</si>
  <si>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</si>
  <si>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</si>
  <si>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</si>
  <si>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t>24*142</t>
  </si>
  <si>
    <t>1200*800*550
0.53</t>
  </si>
  <si>
    <t>1200*800*350
0.34</t>
  </si>
  <si>
    <t>(*)</t>
  </si>
  <si>
    <t>PORT OF LOADING: SHANGHAI</t>
  </si>
  <si>
    <t>SPRING WASHER</t>
    <phoneticPr fontId="11" type="noConversion"/>
  </si>
  <si>
    <t>φ26</t>
    <phoneticPr fontId="11" type="noConversion"/>
  </si>
  <si>
    <r>
      <t xml:space="preserve">
</t>
    </r>
    <r>
      <rPr>
        <b/>
        <sz val="11"/>
        <color theme="1"/>
        <rFont val="宋体"/>
        <family val="3"/>
        <charset val="134"/>
        <scheme val="minor"/>
      </rPr>
      <t>Quantity</t>
    </r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</si>
  <si>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1"/>
        <color theme="1"/>
        <rFont val="宋体"/>
        <family val="3"/>
        <charset val="134"/>
        <scheme val="minor"/>
      </rPr>
      <t>：</t>
    </r>
  </si>
  <si>
    <t xml:space="preserve">
Pcs
/bag     (*)</t>
    <phoneticPr fontId="10" type="noConversion"/>
  </si>
  <si>
    <t>Pcs
/case</t>
    <phoneticPr fontId="10" type="noConversion"/>
  </si>
  <si>
    <t>PO001040</t>
    <phoneticPr fontId="10" type="noConversion"/>
  </si>
  <si>
    <t>The pieces are packed in a bag : 40(200) pieces per bag and 32（25）(10) bags per case so 1280（5000）(2000) pieces per case</t>
    <phoneticPr fontId="10" type="noConversion"/>
  </si>
  <si>
    <t>1/29-25/29</t>
    <phoneticPr fontId="10" type="noConversion"/>
  </si>
  <si>
    <t>29/29</t>
    <phoneticPr fontId="10" type="noConversion"/>
  </si>
  <si>
    <t>26/29-28/29</t>
    <phoneticPr fontId="10" type="noConversion"/>
  </si>
  <si>
    <t>1200*800*550
0.53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</si>
</sst>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9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8"/>
  <sheetViews>
    <sheetView tabSelected="1" workbookViewId="0">
      <selection activeCell="N2" sqref="N2"/>
    </sheetView>
  </sheetViews>
  <sheetFormatPr defaultColWidth="8.75" defaultRowHeight="13.5"/>
  <cols>
    <col min="1" max="1" width="4.625" customWidth="1"/>
    <col min="2" max="2" width="13.75" customWidth="1"/>
    <col min="3" max="3" width="9.5" customWidth="1"/>
    <col min="4" max="4" width="11.5" customWidth="1"/>
    <col min="5" max="5" width="13" customWidth="1"/>
    <col min="6" max="6" width="7.75" customWidth="1"/>
    <col min="7" max="7" width="7.375" customWidth="1"/>
    <col min="8" max="8" width="6.625" customWidth="1"/>
    <col min="9" max="9" width="6.875" customWidth="1"/>
    <col min="10" max="10" width="7.25" customWidth="1"/>
    <col min="11" max="11" width="6.75" customWidth="1"/>
    <col min="12" max="13" width="9.75" customWidth="1"/>
    <col min="14" max="14" width="14.5" customWidth="1"/>
  </cols>
  <sheetData>
    <row r="1" spans="1:17" ht="80.45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68.4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23</v>
      </c>
      <c r="G2" s="6" t="s">
        <v>25</v>
      </c>
      <c r="H2" s="6" t="s">
        <v>6</v>
      </c>
      <c r="I2" s="6" t="s">
        <v>7</v>
      </c>
      <c r="J2" s="6" t="s">
        <v>26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14</v>
      </c>
    </row>
    <row r="3" spans="1:17" ht="42.75" customHeight="1">
      <c r="A3" s="8">
        <v>1</v>
      </c>
      <c r="B3" s="9" t="s">
        <v>15</v>
      </c>
      <c r="C3" s="9" t="s">
        <v>16</v>
      </c>
      <c r="D3" s="20" t="s">
        <v>27</v>
      </c>
      <c r="E3" s="8" t="s">
        <v>29</v>
      </c>
      <c r="F3" s="8">
        <f>J3*K3</f>
        <v>32000</v>
      </c>
      <c r="G3" s="10">
        <v>40</v>
      </c>
      <c r="H3" s="10">
        <f>I3*K3</f>
        <v>800</v>
      </c>
      <c r="I3" s="10">
        <v>32</v>
      </c>
      <c r="J3" s="8">
        <f>G3*I3</f>
        <v>1280</v>
      </c>
      <c r="K3" s="8">
        <v>25</v>
      </c>
      <c r="L3" s="8">
        <v>702</v>
      </c>
      <c r="M3" s="8">
        <f>L3+40</f>
        <v>742</v>
      </c>
      <c r="N3" s="9" t="s">
        <v>17</v>
      </c>
      <c r="O3" s="8">
        <f>L3*K3</f>
        <v>17550</v>
      </c>
      <c r="P3" s="8">
        <f>M3*K3</f>
        <v>18550</v>
      </c>
      <c r="Q3" s="8">
        <f>0.53*K3</f>
        <v>13.25</v>
      </c>
    </row>
    <row r="4" spans="1:17" ht="42.75" customHeight="1">
      <c r="A4" s="8">
        <v>2</v>
      </c>
      <c r="B4" s="9" t="s">
        <v>21</v>
      </c>
      <c r="C4" s="9" t="s">
        <v>22</v>
      </c>
      <c r="D4" s="21"/>
      <c r="E4" s="8" t="s">
        <v>31</v>
      </c>
      <c r="F4" s="8">
        <f>J4*K4</f>
        <v>15000</v>
      </c>
      <c r="G4" s="10">
        <v>200</v>
      </c>
      <c r="H4" s="10">
        <f t="shared" ref="H4:H5" si="0">I4*K4</f>
        <v>75</v>
      </c>
      <c r="I4" s="10">
        <v>25</v>
      </c>
      <c r="J4" s="8">
        <f>G4*I4</f>
        <v>5000</v>
      </c>
      <c r="K4" s="8">
        <v>3</v>
      </c>
      <c r="L4" s="8">
        <v>450</v>
      </c>
      <c r="M4" s="8">
        <f>L4+40</f>
        <v>490</v>
      </c>
      <c r="N4" s="5" t="s">
        <v>32</v>
      </c>
      <c r="O4" s="12">
        <f>L4*K4</f>
        <v>1350</v>
      </c>
      <c r="P4" s="12">
        <f>M4*K4</f>
        <v>1470</v>
      </c>
      <c r="Q4" s="12">
        <f>0.53*K4</f>
        <v>1.59</v>
      </c>
    </row>
    <row r="5" spans="1:17" ht="42.75" customHeight="1">
      <c r="A5" s="8">
        <v>3</v>
      </c>
      <c r="B5" s="9" t="s">
        <v>21</v>
      </c>
      <c r="C5" s="9" t="s">
        <v>22</v>
      </c>
      <c r="D5" s="22"/>
      <c r="E5" s="11" t="s">
        <v>30</v>
      </c>
      <c r="F5" s="8">
        <f>J5*K5</f>
        <v>2000</v>
      </c>
      <c r="G5" s="10">
        <v>200</v>
      </c>
      <c r="H5" s="10">
        <f t="shared" si="0"/>
        <v>10</v>
      </c>
      <c r="I5" s="8">
        <v>10</v>
      </c>
      <c r="J5" s="8">
        <f>G5*I5</f>
        <v>2000</v>
      </c>
      <c r="K5" s="8">
        <v>1</v>
      </c>
      <c r="L5" s="8">
        <v>180</v>
      </c>
      <c r="M5" s="8">
        <f>L5+30</f>
        <v>210</v>
      </c>
      <c r="N5" s="9" t="s">
        <v>18</v>
      </c>
      <c r="O5" s="8">
        <f>L5*K5</f>
        <v>180</v>
      </c>
      <c r="P5" s="8">
        <f>M5*K5</f>
        <v>210</v>
      </c>
      <c r="Q5" s="8">
        <f>0.34*K5</f>
        <v>0.34</v>
      </c>
    </row>
    <row r="6" spans="1:17" ht="35.25" customHeight="1">
      <c r="A6" s="17" t="s">
        <v>24</v>
      </c>
      <c r="B6" s="17"/>
      <c r="C6" s="17"/>
      <c r="D6" s="13"/>
      <c r="E6" s="10"/>
      <c r="F6" s="10">
        <f>SUM(F3:F5)</f>
        <v>49000</v>
      </c>
      <c r="G6" s="10"/>
      <c r="H6" s="10">
        <f>SUM(H3:H5)</f>
        <v>885</v>
      </c>
      <c r="I6" s="10"/>
      <c r="J6" s="10"/>
      <c r="K6" s="10">
        <f>SUM(K3:K5)</f>
        <v>29</v>
      </c>
      <c r="L6" s="10"/>
      <c r="M6" s="10"/>
      <c r="N6" s="10"/>
      <c r="O6" s="10">
        <f>SUM(O3:O5)</f>
        <v>19080</v>
      </c>
      <c r="P6" s="10">
        <f>SUM(P3:P5)</f>
        <v>20230</v>
      </c>
      <c r="Q6" s="10">
        <f>SUM(Q3:Q5)</f>
        <v>15.18</v>
      </c>
    </row>
    <row r="7" spans="1:17" ht="14.45" customHeight="1">
      <c r="A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1" customHeight="1">
      <c r="A8" s="1"/>
      <c r="B8" s="2" t="s">
        <v>19</v>
      </c>
      <c r="C8" s="14" t="s">
        <v>28</v>
      </c>
      <c r="N8" s="1"/>
      <c r="O8" s="1"/>
      <c r="P8" s="1"/>
      <c r="Q8" s="1"/>
    </row>
    <row r="9" spans="1:17" ht="21" customHeight="1">
      <c r="A9" s="1"/>
      <c r="B9" s="2" t="s">
        <v>19</v>
      </c>
      <c r="C9" s="3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8.75">
      <c r="A10" s="1"/>
      <c r="B10" s="1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8">
        <v>45747</v>
      </c>
      <c r="O10" s="18"/>
      <c r="P10" s="18"/>
      <c r="Q10" s="18"/>
    </row>
    <row r="11" spans="1:17" ht="18.75">
      <c r="A11" s="1"/>
      <c r="B11" s="1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9"/>
      <c r="O11" s="19"/>
      <c r="P11" s="19"/>
      <c r="Q11" s="19"/>
    </row>
    <row r="12" spans="1:17">
      <c r="A12" s="4"/>
      <c r="B12" s="4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>
      <c r="A13" s="4"/>
      <c r="B13" s="4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>
      <c r="A14" s="4"/>
      <c r="B14" s="4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</sheetData>
  <mergeCells count="5">
    <mergeCell ref="A1:Q1"/>
    <mergeCell ref="A6:C6"/>
    <mergeCell ref="N10:Q10"/>
    <mergeCell ref="N11:Q11"/>
    <mergeCell ref="D3:D5"/>
  </mergeCells>
  <phoneticPr fontId="10" type="noConversion"/>
  <pageMargins left="0.90551181102362199" right="0.511811023622047" top="0.196850393700787" bottom="0.74803149606299202" header="0.31496062992126" footer="0.31496062992126"/>
  <pageSetup paperSize="9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2025-03-31T06:33:44Z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B2BADA30BFA84D8E9E0840C12BEFC0B4_12</vt:lpwstr>
  </property>
  <property fmtid="{D5CDD505-2E9C-101B-9397-08002B2CF9AE}" pid="3" name="KSOProductBuildVer">
    <vt:lpwstr>2052-12.1.0.15712</vt:lpwstr>
  </property>
</Properties>
</file>