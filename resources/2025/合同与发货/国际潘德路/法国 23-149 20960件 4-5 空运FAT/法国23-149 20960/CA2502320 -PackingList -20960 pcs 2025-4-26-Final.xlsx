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u\Desktop\法国23-149 20960空运\"/>
    </mc:Choice>
  </mc:AlternateContent>
  <xr:revisionPtr revIDLastSave="0" documentId="13_ncr:1_{CBEC4A25-9361-4193-904F-7DFF763202B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整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2" l="1"/>
  <c r="O4" i="2"/>
  <c r="P4" i="2"/>
  <c r="M4" i="2"/>
  <c r="K6" i="2"/>
  <c r="Q3" i="2"/>
  <c r="O3" i="2"/>
  <c r="M3" i="2"/>
  <c r="P3" i="2" s="1"/>
  <c r="J3" i="2"/>
  <c r="F3" i="2" s="1"/>
  <c r="H3" i="2"/>
  <c r="H6" i="2" l="1"/>
  <c r="O6" i="2"/>
  <c r="Q6" i="2"/>
  <c r="F6" i="2"/>
  <c r="P6" i="2"/>
</calcChain>
</file>

<file path=xl/sharedStrings.xml><?xml version="1.0" encoding="utf-8"?>
<sst xmlns="http://schemas.openxmlformats.org/spreadsheetml/2006/main" count="31" uniqueCount="27">
  <si>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</si>
  <si>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</si>
  <si>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</si>
  <si>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</si>
  <si>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</si>
  <si>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</si>
  <si>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</si>
  <si>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</si>
  <si>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</si>
  <si>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</si>
  <si>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</si>
  <si>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</si>
  <si>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</si>
  <si>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</si>
  <si>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</si>
  <si>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</si>
  <si>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</si>
  <si>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</si>
  <si>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</si>
  <si>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t>23*149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</si>
  <si>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</si>
  <si>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(*)</t>
  </si>
  <si>
    <t xml:space="preserve">CA2502320 </t>
    <phoneticPr fontId="13" type="noConversion"/>
  </si>
  <si>
    <t>1200*800*550
0.53</t>
    <phoneticPr fontId="13" type="noConversion"/>
  </si>
  <si>
    <t>17/17</t>
    <phoneticPr fontId="13" type="noConversion"/>
  </si>
  <si>
    <t>1/17-16/17</t>
    <phoneticPr fontId="13" type="noConversion"/>
  </si>
  <si>
    <t>The pieces are packed in a bag : 35（30） pieces per bag and 35（39） bags per case so 1225（1360）pieces per case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</si>
</sst>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5">
    <font>
      <sz val="11"/>
      <color theme="1"/>
      <name val="宋体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7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4" fontId="9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/>
    </xf>
    <xf numFmtId="0" fontId="7" fillId="0" borderId="3" xfId="0" quotePrefix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52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>
      <selection activeCell="J9" sqref="J9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4.87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  <col min="18" max="18" width="14.75" customWidth="1"/>
  </cols>
  <sheetData>
    <row r="1" spans="1:17" ht="59.1" customHeight="1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ht="68.4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</row>
    <row r="3" spans="1:17" ht="38.25" customHeight="1">
      <c r="A3" s="15">
        <v>1</v>
      </c>
      <c r="B3" s="3" t="s">
        <v>18</v>
      </c>
      <c r="C3" s="16" t="s">
        <v>19</v>
      </c>
      <c r="D3" s="16" t="s">
        <v>22</v>
      </c>
      <c r="E3" s="18" t="s">
        <v>25</v>
      </c>
      <c r="F3" s="4">
        <f>J3*K3</f>
        <v>19600</v>
      </c>
      <c r="G3" s="4">
        <v>35</v>
      </c>
      <c r="H3" s="4">
        <f>K3*I3</f>
        <v>560</v>
      </c>
      <c r="I3" s="4">
        <v>35</v>
      </c>
      <c r="J3" s="4">
        <f>G3*I3</f>
        <v>1225</v>
      </c>
      <c r="K3" s="4">
        <v>16</v>
      </c>
      <c r="L3" s="4">
        <v>654</v>
      </c>
      <c r="M3" s="4">
        <f>L3+42</f>
        <v>696</v>
      </c>
      <c r="N3" s="19" t="s">
        <v>23</v>
      </c>
      <c r="O3" s="4">
        <f>L3*K3</f>
        <v>10464</v>
      </c>
      <c r="P3" s="4">
        <f>M3*K3</f>
        <v>11136</v>
      </c>
      <c r="Q3" s="4">
        <f>0.53*K3</f>
        <v>8.48</v>
      </c>
    </row>
    <row r="4" spans="1:17" ht="29.25" customHeight="1">
      <c r="A4" s="20">
        <v>2</v>
      </c>
      <c r="B4" s="25" t="s">
        <v>18</v>
      </c>
      <c r="C4" s="27" t="s">
        <v>19</v>
      </c>
      <c r="D4" s="27" t="s">
        <v>22</v>
      </c>
      <c r="E4" s="29" t="s">
        <v>24</v>
      </c>
      <c r="F4" s="4">
        <v>1330</v>
      </c>
      <c r="G4" s="4">
        <v>35</v>
      </c>
      <c r="H4" s="20">
        <v>39</v>
      </c>
      <c r="I4" s="4">
        <v>38</v>
      </c>
      <c r="J4" s="20">
        <v>135</v>
      </c>
      <c r="K4" s="20">
        <v>1</v>
      </c>
      <c r="L4" s="20">
        <v>726</v>
      </c>
      <c r="M4" s="20">
        <f>L4+30</f>
        <v>756</v>
      </c>
      <c r="N4" s="31" t="s">
        <v>23</v>
      </c>
      <c r="O4" s="20">
        <f>L4*K4</f>
        <v>726</v>
      </c>
      <c r="P4" s="20">
        <f>M4*K4</f>
        <v>756</v>
      </c>
      <c r="Q4" s="20">
        <f>0.53*K4</f>
        <v>0.53</v>
      </c>
    </row>
    <row r="5" spans="1:17" ht="29.25" customHeight="1">
      <c r="A5" s="21"/>
      <c r="B5" s="26"/>
      <c r="C5" s="28"/>
      <c r="D5" s="28"/>
      <c r="E5" s="30"/>
      <c r="F5" s="4">
        <v>30</v>
      </c>
      <c r="G5" s="4">
        <v>30</v>
      </c>
      <c r="H5" s="21"/>
      <c r="I5" s="4">
        <v>1</v>
      </c>
      <c r="J5" s="21"/>
      <c r="K5" s="21"/>
      <c r="L5" s="21"/>
      <c r="M5" s="21"/>
      <c r="N5" s="32"/>
      <c r="O5" s="21"/>
      <c r="P5" s="21"/>
      <c r="Q5" s="21"/>
    </row>
    <row r="6" spans="1:17" ht="35.25" customHeight="1">
      <c r="A6" s="21" t="s">
        <v>20</v>
      </c>
      <c r="B6" s="21"/>
      <c r="C6" s="21"/>
      <c r="D6" s="6"/>
      <c r="E6" s="5"/>
      <c r="F6" s="5">
        <f>SUM(F3:F5)</f>
        <v>20960</v>
      </c>
      <c r="G6" s="5"/>
      <c r="H6" s="5">
        <f>SUM(H3:H5)</f>
        <v>599</v>
      </c>
      <c r="I6" s="5"/>
      <c r="J6" s="5"/>
      <c r="K6" s="5">
        <f>SUM(K3:K5)</f>
        <v>17</v>
      </c>
      <c r="L6" s="5"/>
      <c r="M6" s="5"/>
      <c r="N6" s="10"/>
      <c r="O6" s="5">
        <f>SUM(O3:O5)</f>
        <v>11190</v>
      </c>
      <c r="P6" s="5">
        <f>SUM(P3:P5)</f>
        <v>11892</v>
      </c>
      <c r="Q6" s="11">
        <f>SUM(Q3:Q5)</f>
        <v>9.01</v>
      </c>
    </row>
    <row r="7" spans="1:17" ht="14.45" customHeight="1">
      <c r="A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ht="21" customHeight="1">
      <c r="A8" s="12"/>
      <c r="B8" s="13" t="s">
        <v>21</v>
      </c>
      <c r="C8" s="17" t="s">
        <v>26</v>
      </c>
      <c r="N8" s="12"/>
      <c r="O8" s="12"/>
      <c r="P8" s="12"/>
      <c r="Q8" s="12"/>
    </row>
    <row r="9" spans="1:17" ht="21" customHeight="1">
      <c r="A9" s="12"/>
      <c r="B9" s="14"/>
      <c r="C9" s="8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</row>
    <row r="10" spans="1:17" ht="18.75">
      <c r="A10" s="12"/>
      <c r="B10" s="12"/>
      <c r="C10" s="8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22">
        <v>45773</v>
      </c>
      <c r="O10" s="22"/>
      <c r="P10" s="22"/>
      <c r="Q10" s="22"/>
    </row>
    <row r="11" spans="1:17">
      <c r="A11" s="9"/>
      <c r="B11" s="9"/>
      <c r="C11" s="8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7">
      <c r="A12" s="9"/>
      <c r="B12" s="9"/>
      <c r="C12" s="8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7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7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7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</sheetData>
  <mergeCells count="17">
    <mergeCell ref="O4:O5"/>
    <mergeCell ref="P4:P5"/>
    <mergeCell ref="Q4:Q5"/>
    <mergeCell ref="N10:Q10"/>
    <mergeCell ref="A1:Q1"/>
    <mergeCell ref="A6:C6"/>
    <mergeCell ref="A4:A5"/>
    <mergeCell ref="B4:B5"/>
    <mergeCell ref="C4:C5"/>
    <mergeCell ref="D4:D5"/>
    <mergeCell ref="K4:K5"/>
    <mergeCell ref="E4:E5"/>
    <mergeCell ref="L4:L5"/>
    <mergeCell ref="M4:M5"/>
    <mergeCell ref="H4:H5"/>
    <mergeCell ref="J4:J5"/>
    <mergeCell ref="N4:N5"/>
  </mergeCells>
  <phoneticPr fontId="13" type="noConversion"/>
  <pageMargins left="0.196527777777778" right="0.196527777777778" top="0.43263888888888902" bottom="0.70833333333333304" header="0.5" footer="0.5"/>
  <pageSetup paperSize="9" scale="82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D0F0C3-FD85-4F4A-B3C7-C631F71BA556}">
  <ds:schemaRefs/>
</ds:datastoreItem>
</file>

<file path=customXml/itemProps2.xml><?xml version="1.0" encoding="utf-8"?>
<ds:datastoreItem xmlns:ds="http://schemas.openxmlformats.org/officeDocument/2006/customXml" ds:itemID="{12532537-10CC-40F5-A17B-2B64C178E5CF}">
  <ds:schemaRefs/>
</ds:datastoreItem>
</file>

<file path=customXml/itemProps3.xml><?xml version="1.0" encoding="utf-8"?>
<ds:datastoreItem xmlns:ds="http://schemas.openxmlformats.org/officeDocument/2006/customXml" ds:itemID="{938A6DA2-9912-4902-93FB-649328AF6AD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2025-04-27T06:25:40Z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CDC96FE78F22440AAE707D4ED438F417_13</vt:lpwstr>
  </property>
  <property fmtid="{D5CDD505-2E9C-101B-9397-08002B2CF9AE}" pid="4" name="KSOProductBuildVer">
    <vt:lpwstr>2052-12.1.0.15374</vt:lpwstr>
  </property>
</Properties>
</file>