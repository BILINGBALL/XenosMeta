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A2E66445-C2B0-4F1B-9B24-603DB61490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L3" i="1"/>
  <c r="P4" i="1" l="1"/>
  <c r="J4" i="1"/>
  <c r="N3" i="1"/>
  <c r="O3" i="1"/>
  <c r="I3" i="1"/>
  <c r="F3" i="1" s="1"/>
  <c r="F4" i="1" s="1"/>
  <c r="O4" i="1" l="1"/>
  <c r="N4" i="1"/>
</calcChain>
</file>

<file path=xl/sharedStrings.xml><?xml version="1.0" encoding="utf-8"?>
<sst xmlns="http://schemas.openxmlformats.org/spreadsheetml/2006/main" count="23" uniqueCount="23">
  <si>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</si>
  <si>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</si>
  <si>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</si>
  <si>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</si>
  <si>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</si>
  <si>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</si>
  <si>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</si>
  <si>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</si>
  <si>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</si>
  <si>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</si>
  <si>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</si>
  <si>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</si>
  <si>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</si>
  <si>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</si>
  <si>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</si>
  <si>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</si>
  <si>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</si>
  <si>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苏州苏德兰铁路配套有限公司</t>
  </si>
  <si>
    <t>包  装  明  细  表</t>
    <phoneticPr fontId="6" type="noConversion"/>
  </si>
  <si>
    <t>SDL20251105-B</t>
    <phoneticPr fontId="6" type="noConversion"/>
  </si>
  <si>
    <t>T型螺栓</t>
    <phoneticPr fontId="6" type="noConversion"/>
  </si>
  <si>
    <t>24*82</t>
    <phoneticPr fontId="6" type="noConversion"/>
  </si>
  <si>
    <t>950*950*400
0.36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</si>
</sst>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11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3"/>
  <sheetViews>
    <sheetView tabSelected="1" workbookViewId="0">
      <selection activeCell="E3" sqref="E3"/>
    </sheetView>
  </sheetViews>
  <sheetFormatPr defaultColWidth="9" defaultRowHeight="13.5" x14ac:dyDescent="0.15"/>
  <cols>
    <col min="1" max="1" width="4.625" customWidth="1"/>
    <col min="2" max="2" width="13.75" customWidth="1"/>
    <col min="3" max="3" width="9.125" customWidth="1"/>
    <col min="4" max="4" width="14.7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30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2" t="s">
        <v>13</v>
      </c>
      <c r="O2" s="2" t="s">
        <v>14</v>
      </c>
      <c r="P2" s="2" t="s">
        <v>15</v>
      </c>
    </row>
    <row r="3" spans="1:16" ht="56.25" customHeight="1" x14ac:dyDescent="0.15">
      <c r="A3" s="1">
        <v>1</v>
      </c>
      <c r="B3" s="14" t="s">
        <v>20</v>
      </c>
      <c r="C3" s="11" t="s">
        <v>21</v>
      </c>
      <c r="D3" s="11" t="s">
        <v>19</v>
      </c>
      <c r="E3" s="3"/>
      <c r="F3" s="1">
        <f>I3*J3</f>
        <v>1000</v>
      </c>
      <c r="G3" s="1">
        <v>50</v>
      </c>
      <c r="H3" s="1">
        <v>20</v>
      </c>
      <c r="I3" s="1">
        <f>G3*H3</f>
        <v>1000</v>
      </c>
      <c r="J3" s="1">
        <v>1</v>
      </c>
      <c r="K3" s="1">
        <v>388</v>
      </c>
      <c r="L3" s="1">
        <f>K3+20</f>
        <v>408</v>
      </c>
      <c r="M3" s="12" t="s">
        <v>22</v>
      </c>
      <c r="N3" s="1">
        <f>K3*J3</f>
        <v>388</v>
      </c>
      <c r="O3" s="1">
        <f>L3*J3</f>
        <v>408</v>
      </c>
      <c r="P3" s="13">
        <f>0.36*J3</f>
        <v>0.36</v>
      </c>
    </row>
    <row r="4" spans="1:16" ht="24" customHeight="1" x14ac:dyDescent="0.15">
      <c r="A4" s="17" t="s">
        <v>16</v>
      </c>
      <c r="B4" s="18"/>
      <c r="C4" s="19"/>
      <c r="D4" s="4"/>
      <c r="E4" s="5"/>
      <c r="F4" s="4">
        <f>SUM(F3:F3)</f>
        <v>1000</v>
      </c>
      <c r="G4" s="4"/>
      <c r="H4" s="4"/>
      <c r="I4" s="4"/>
      <c r="J4" s="4">
        <f>SUM(J3:J3)</f>
        <v>1</v>
      </c>
      <c r="K4" s="4"/>
      <c r="L4" s="4"/>
      <c r="M4" s="4"/>
      <c r="N4" s="4">
        <f>SUM(N3:N3)</f>
        <v>388</v>
      </c>
      <c r="O4" s="4">
        <f>SUM(O3:O3)</f>
        <v>408</v>
      </c>
      <c r="P4" s="4">
        <f>SUM(P3:P3)</f>
        <v>0.36</v>
      </c>
    </row>
    <row r="5" spans="1:16" ht="21" customHeight="1" x14ac:dyDescent="0.15">
      <c r="A5" s="6"/>
      <c r="B5" s="10"/>
      <c r="C5" s="7"/>
      <c r="D5" s="8"/>
      <c r="E5" s="8"/>
      <c r="F5" s="8"/>
      <c r="G5" s="8"/>
      <c r="H5" s="8"/>
      <c r="I5" s="8"/>
      <c r="J5" s="8"/>
      <c r="K5" s="8"/>
      <c r="L5" s="8"/>
      <c r="M5" s="6"/>
      <c r="N5" s="6"/>
      <c r="O5" s="6"/>
      <c r="P5" s="6"/>
    </row>
    <row r="6" spans="1:16" ht="14.25" x14ac:dyDescent="0.15">
      <c r="A6" s="6"/>
      <c r="B6" s="6"/>
      <c r="C6" s="7"/>
      <c r="D6" s="8"/>
      <c r="E6" s="8"/>
      <c r="F6" s="8"/>
      <c r="G6" s="8"/>
      <c r="H6" s="8"/>
      <c r="I6" s="8"/>
      <c r="J6" s="8"/>
      <c r="K6" s="8"/>
      <c r="L6" s="8"/>
      <c r="M6" s="20" t="s">
        <v>17</v>
      </c>
      <c r="N6" s="20"/>
      <c r="O6" s="20"/>
      <c r="P6" s="20"/>
    </row>
    <row r="7" spans="1:16" ht="14.25" x14ac:dyDescent="0.15">
      <c r="A7" s="6"/>
      <c r="B7" s="6"/>
      <c r="C7" s="7"/>
      <c r="D7" s="8"/>
      <c r="E7" s="8"/>
      <c r="F7" s="8"/>
      <c r="G7" s="8"/>
      <c r="H7" s="8"/>
      <c r="I7" s="8"/>
      <c r="J7" s="8"/>
      <c r="K7" s="8"/>
      <c r="L7" s="8"/>
      <c r="M7" s="21">
        <v>45999</v>
      </c>
      <c r="N7" s="21"/>
      <c r="O7" s="21"/>
      <c r="P7" s="21"/>
    </row>
    <row r="8" spans="1:16" x14ac:dyDescent="0.15">
      <c r="A8" s="9"/>
      <c r="B8" s="9"/>
      <c r="C8" s="7"/>
      <c r="D8" s="8"/>
      <c r="E8" s="8"/>
      <c r="F8" s="8"/>
      <c r="G8" s="8"/>
      <c r="H8" s="8"/>
      <c r="I8" s="8"/>
      <c r="J8" s="8"/>
      <c r="K8" s="8"/>
      <c r="L8" s="8"/>
      <c r="M8" s="9"/>
      <c r="N8" s="9"/>
      <c r="O8" s="9"/>
      <c r="P8" s="9"/>
    </row>
    <row r="9" spans="1:16" x14ac:dyDescent="0.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1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</sheetData>
  <mergeCells count="4">
    <mergeCell ref="A1:P1"/>
    <mergeCell ref="A4:C4"/>
    <mergeCell ref="M6:P6"/>
    <mergeCell ref="M7:P7"/>
  </mergeCells>
  <phoneticPr fontId="6" type="noConversion"/>
  <pageMargins left="0" right="0" top="0" bottom="0" header="0.29861111111111099" footer="0.29861111111111099"/>
  <pageSetup paperSize="9" scale="9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2024-12-20T05:28:13Z</cp:lastPrinted>
  <dcterms:created xsi:type="dcterms:W3CDTF">2006-09-13T11:21:00Z</dcterms:created>
  <dcterms:modified xsi:type="dcterms:W3CDTF">2025-12-08T06:33:29Z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E77F645FB20E462CAD819DF92C09D3B0_13</vt:lpwstr>
  </property>
  <property fmtid="{D5CDD505-2E9C-101B-9397-08002B2CF9AE}" pid="3" name="KSOProductBuildVer">
    <vt:lpwstr>2052-12.1.0.18276</vt:lpwstr>
  </property>
</Properties>
</file>