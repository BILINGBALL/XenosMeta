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OR0411-Acosta\"/>
    </mc:Choice>
  </mc:AlternateContent>
  <xr:revisionPtr revIDLastSave="0" documentId="13_ncr:1_{2E055B45-2352-4B18-ACA6-57144AD25F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ipping Schedule Summary " sheetId="51" r:id="rId1"/>
    <sheet name="TMT Schedule" sheetId="52" r:id="rId2"/>
    <sheet name="Container Config" sheetId="53" r:id="rId3"/>
    <sheet name="Sheet2" sheetId="55" r:id="rId4"/>
  </sheets>
  <definedNames>
    <definedName name="_xlnm._FilterDatabase" localSheetId="0" hidden="1">'Shipping Schedule Summary '!$C$4:$AC$19</definedName>
    <definedName name="_xlnm.Print_Area" localSheetId="0">'Shipping Schedule Summary '!$A$4:$Z$15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7" i="53" l="1"/>
  <c r="M56" i="53"/>
  <c r="O56" i="53" s="1"/>
  <c r="K56" i="53"/>
  <c r="M55" i="53"/>
  <c r="O55" i="53" s="1"/>
  <c r="K55" i="53"/>
  <c r="M54" i="53"/>
  <c r="O54" i="53" s="1"/>
  <c r="K54" i="53"/>
  <c r="M53" i="53"/>
  <c r="O53" i="53" s="1"/>
  <c r="K53" i="53"/>
  <c r="O52" i="53"/>
  <c r="N52" i="53"/>
  <c r="M52" i="53"/>
  <c r="K52" i="53"/>
  <c r="M51" i="53"/>
  <c r="O51" i="53" s="1"/>
  <c r="K51" i="53"/>
  <c r="M50" i="53"/>
  <c r="O50" i="53" s="1"/>
  <c r="K50" i="53"/>
  <c r="M49" i="53"/>
  <c r="M57" i="53" s="1"/>
  <c r="K49" i="53"/>
  <c r="N53" i="53" l="1"/>
  <c r="N54" i="53"/>
  <c r="N49" i="53"/>
  <c r="O49" i="53"/>
  <c r="O57" i="53" s="1"/>
  <c r="N55" i="53"/>
  <c r="N50" i="53"/>
  <c r="N56" i="53"/>
  <c r="N51" i="53"/>
  <c r="N57" i="53" l="1"/>
  <c r="M10" i="53" l="1"/>
  <c r="K10" i="53"/>
  <c r="M9" i="53"/>
  <c r="K9" i="53"/>
  <c r="M8" i="53"/>
  <c r="K8" i="53"/>
  <c r="M7" i="53"/>
  <c r="K7" i="53"/>
  <c r="O7" i="53" l="1"/>
  <c r="O8" i="53"/>
  <c r="O9" i="53"/>
  <c r="O10" i="53"/>
  <c r="N8" i="53"/>
  <c r="N10" i="53"/>
  <c r="N7" i="53"/>
  <c r="N9" i="53"/>
  <c r="D11" i="51" l="1"/>
  <c r="E11" i="51" s="1"/>
  <c r="G11" i="51" s="1"/>
  <c r="Y9" i="51"/>
  <c r="Y13" i="51"/>
  <c r="D13" i="51"/>
  <c r="E13" i="51" s="1"/>
  <c r="G13" i="51" s="1"/>
  <c r="L27" i="53"/>
  <c r="M27" i="53" s="1"/>
  <c r="L26" i="53"/>
  <c r="L25" i="53"/>
  <c r="L24" i="53"/>
  <c r="M24" i="53"/>
  <c r="L29" i="53"/>
  <c r="M29" i="53" s="1"/>
  <c r="N29" i="53" s="1"/>
  <c r="L30" i="53"/>
  <c r="M30" i="53" s="1"/>
  <c r="N30" i="53" s="1"/>
  <c r="L31" i="53"/>
  <c r="L32" i="53"/>
  <c r="L33" i="53"/>
  <c r="L34" i="53"/>
  <c r="L35" i="53"/>
  <c r="M35" i="53" s="1"/>
  <c r="L36" i="53"/>
  <c r="M36" i="53" s="1"/>
  <c r="L38" i="53"/>
  <c r="M38" i="53" s="1"/>
  <c r="L39" i="53"/>
  <c r="L23" i="53"/>
  <c r="M23" i="53" s="1"/>
  <c r="L22" i="53"/>
  <c r="L21" i="53"/>
  <c r="G39" i="53"/>
  <c r="K38" i="53"/>
  <c r="G38" i="53"/>
  <c r="E38" i="53" s="1"/>
  <c r="L37" i="53"/>
  <c r="M37" i="53" s="1"/>
  <c r="K37" i="53"/>
  <c r="K36" i="53"/>
  <c r="G36" i="53"/>
  <c r="E36" i="53"/>
  <c r="K35" i="53"/>
  <c r="G35" i="53"/>
  <c r="E35" i="53"/>
  <c r="G34" i="53"/>
  <c r="G33" i="53"/>
  <c r="M32" i="53"/>
  <c r="K32" i="53"/>
  <c r="G32" i="53"/>
  <c r="E32" i="53"/>
  <c r="M31" i="53"/>
  <c r="K31" i="53"/>
  <c r="G31" i="53"/>
  <c r="E31" i="53" s="1"/>
  <c r="K30" i="53"/>
  <c r="G30" i="53"/>
  <c r="E30" i="53"/>
  <c r="K29" i="53"/>
  <c r="G29" i="53"/>
  <c r="M28" i="53"/>
  <c r="K28" i="53"/>
  <c r="G28" i="53"/>
  <c r="E28" i="53" s="1"/>
  <c r="K27" i="53"/>
  <c r="G26" i="53"/>
  <c r="G25" i="53"/>
  <c r="K24" i="53"/>
  <c r="G24" i="53"/>
  <c r="E24" i="53"/>
  <c r="K23" i="53"/>
  <c r="G23" i="53"/>
  <c r="E23" i="53" s="1"/>
  <c r="K22" i="53"/>
  <c r="G22" i="53"/>
  <c r="E22" i="53" s="1"/>
  <c r="M21" i="53"/>
  <c r="N21" i="53" s="1"/>
  <c r="K21" i="53"/>
  <c r="G21" i="53"/>
  <c r="M20" i="53"/>
  <c r="K20" i="53"/>
  <c r="E20" i="53"/>
  <c r="D12" i="51"/>
  <c r="E12" i="51" s="1"/>
  <c r="G12" i="51" s="1"/>
  <c r="M6" i="53"/>
  <c r="K6" i="53"/>
  <c r="M5" i="53"/>
  <c r="K5" i="53"/>
  <c r="M4" i="53"/>
  <c r="N4" i="53" s="1"/>
  <c r="K4" i="53"/>
  <c r="M3" i="53"/>
  <c r="K3" i="53"/>
  <c r="O21" i="53" l="1"/>
  <c r="O27" i="53"/>
  <c r="N31" i="53"/>
  <c r="O6" i="53"/>
  <c r="O23" i="53"/>
  <c r="O28" i="53"/>
  <c r="O29" i="53"/>
  <c r="O30" i="53"/>
  <c r="N23" i="53"/>
  <c r="O24" i="53"/>
  <c r="N24" i="53"/>
  <c r="L40" i="53"/>
  <c r="N38" i="53"/>
  <c r="O38" i="53"/>
  <c r="O31" i="53"/>
  <c r="O32" i="53"/>
  <c r="L11" i="53"/>
  <c r="M22" i="53"/>
  <c r="M40" i="53"/>
  <c r="N35" i="53"/>
  <c r="O35" i="53"/>
  <c r="N36" i="53"/>
  <c r="O36" i="53"/>
  <c r="N37" i="53"/>
  <c r="O37" i="53"/>
  <c r="N32" i="53"/>
  <c r="N28" i="53"/>
  <c r="N20" i="53"/>
  <c r="O20" i="53"/>
  <c r="N27" i="53"/>
  <c r="M11" i="53"/>
  <c r="O4" i="53"/>
  <c r="O5" i="53"/>
  <c r="N6" i="53"/>
  <c r="N3" i="53"/>
  <c r="O3" i="53"/>
  <c r="N5" i="53"/>
  <c r="O11" i="53" l="1"/>
  <c r="N22" i="53"/>
  <c r="N40" i="53" s="1"/>
  <c r="O22" i="53"/>
  <c r="O40" i="53" s="1"/>
  <c r="N11" i="53"/>
  <c r="Y15" i="51" l="1"/>
  <c r="Y11" i="51"/>
  <c r="Y12" i="51"/>
  <c r="Y10" i="51"/>
  <c r="Y8" i="51"/>
  <c r="Y7" i="51"/>
  <c r="Y6" i="51"/>
  <c r="Y5" i="51"/>
  <c r="C6" i="51"/>
  <c r="C7" i="51" s="1"/>
  <c r="D7" i="51" s="1"/>
  <c r="E7" i="51" s="1"/>
  <c r="G7" i="51" s="1"/>
  <c r="N55" i="52"/>
  <c r="M55" i="52"/>
  <c r="I55" i="52"/>
  <c r="E55" i="52"/>
  <c r="D55" i="52"/>
  <c r="L24" i="52"/>
  <c r="L25" i="52" s="1"/>
  <c r="L26" i="52" s="1"/>
  <c r="L27" i="52" s="1"/>
  <c r="L28" i="52" s="1"/>
  <c r="L29" i="52" s="1"/>
  <c r="L30" i="52" s="1"/>
  <c r="H9" i="52"/>
  <c r="H10" i="52" s="1"/>
  <c r="H11" i="52" s="1"/>
  <c r="H12" i="52" s="1"/>
  <c r="H8" i="52"/>
  <c r="C4" i="52"/>
  <c r="C5" i="52" s="1"/>
  <c r="C6" i="52" s="1"/>
  <c r="D6" i="51" l="1"/>
  <c r="E6" i="51" s="1"/>
  <c r="G6" i="51" s="1"/>
  <c r="C7" i="52"/>
  <c r="C8" i="52" s="1"/>
  <c r="C9" i="52" s="1"/>
  <c r="C10" i="52" s="1"/>
  <c r="C11" i="52" s="1"/>
  <c r="C12" i="52" s="1"/>
  <c r="C13" i="52" s="1"/>
  <c r="C14" i="52" s="1"/>
  <c r="C15" i="52" s="1"/>
  <c r="C16" i="52" s="1"/>
  <c r="C17" i="52" s="1"/>
  <c r="C18" i="52" s="1"/>
  <c r="C19" i="52" s="1"/>
  <c r="C20" i="52" s="1"/>
  <c r="C21" i="52" s="1"/>
  <c r="C22" i="52" s="1"/>
  <c r="C23" i="52" s="1"/>
  <c r="C24" i="52" s="1"/>
  <c r="C25" i="52" s="1"/>
  <c r="C26" i="52" s="1"/>
  <c r="C27" i="52" s="1"/>
  <c r="C28" i="52" s="1"/>
  <c r="C29" i="52" s="1"/>
  <c r="C30" i="52" s="1"/>
  <c r="C31" i="52" s="1"/>
  <c r="C32" i="52" s="1"/>
  <c r="C33" i="52" s="1"/>
  <c r="C34" i="52" s="1"/>
  <c r="C35" i="52" s="1"/>
  <c r="C36" i="52" s="1"/>
  <c r="C37" i="52" s="1"/>
  <c r="C38" i="52" s="1"/>
  <c r="C39" i="52" s="1"/>
  <c r="C40" i="52" s="1"/>
  <c r="C41" i="52" s="1"/>
  <c r="C42" i="52" s="1"/>
  <c r="C43" i="52" s="1"/>
  <c r="C44" i="52" s="1"/>
  <c r="C45" i="52" s="1"/>
  <c r="C46" i="52" s="1"/>
  <c r="C47" i="52" s="1"/>
  <c r="C48" i="52" s="1"/>
  <c r="C49" i="52" s="1"/>
  <c r="C50" i="52" s="1"/>
  <c r="C51" i="52" s="1"/>
  <c r="C52" i="52" s="1"/>
  <c r="C53" i="52" s="1"/>
  <c r="C54" i="52" s="1"/>
  <c r="F6" i="52"/>
  <c r="F9" i="52" s="1"/>
  <c r="F11" i="52" s="1"/>
  <c r="F15" i="52" s="1"/>
  <c r="F17" i="52" s="1"/>
  <c r="F21" i="52" s="1"/>
  <c r="F23" i="52" s="1"/>
  <c r="F26" i="52" s="1"/>
  <c r="F30" i="52" s="1"/>
  <c r="F32" i="52" s="1"/>
  <c r="F36" i="52" s="1"/>
  <c r="F38" i="52" s="1"/>
  <c r="F42" i="52" s="1"/>
  <c r="F46" i="52" s="1"/>
  <c r="F49" i="52" s="1"/>
  <c r="F53" i="52" s="1"/>
  <c r="F54" i="52" s="1"/>
  <c r="J12" i="52"/>
  <c r="J17" i="52" s="1"/>
  <c r="J23" i="52" s="1"/>
  <c r="H13" i="52"/>
  <c r="H14" i="52" s="1"/>
  <c r="H15" i="52" s="1"/>
  <c r="H16" i="52" s="1"/>
  <c r="H17" i="52" s="1"/>
  <c r="H18" i="52" s="1"/>
  <c r="H19" i="52" s="1"/>
  <c r="H20" i="52" s="1"/>
  <c r="H21" i="52" s="1"/>
  <c r="H22" i="52" s="1"/>
  <c r="L31" i="52"/>
  <c r="O30" i="52"/>
  <c r="O31" i="52" s="1"/>
  <c r="D8" i="51" l="1"/>
  <c r="E8" i="51" s="1"/>
  <c r="G8" i="51" s="1"/>
  <c r="D9" i="51"/>
  <c r="E9" i="51" s="1"/>
  <c r="G9" i="51" s="1"/>
  <c r="X14" i="51" l="1"/>
  <c r="W14" i="51"/>
  <c r="V14" i="51"/>
  <c r="U14" i="51"/>
  <c r="T14" i="51"/>
  <c r="S14" i="51"/>
  <c r="R14" i="51"/>
  <c r="Q14" i="51"/>
  <c r="P14" i="51"/>
  <c r="O14" i="51"/>
  <c r="D10" i="51"/>
  <c r="E10" i="51" s="1"/>
  <c r="G10" i="51" s="1"/>
  <c r="D5" i="51"/>
  <c r="E5" i="51" s="1"/>
  <c r="G5" i="51" s="1"/>
  <c r="Y14" i="51" l="1"/>
</calcChain>
</file>

<file path=xl/sharedStrings.xml><?xml version="1.0" encoding="utf-8"?>
<sst xmlns="http://schemas.openxmlformats.org/spreadsheetml/2006/main" count="200" uniqueCount="78">
  <si>
    <t>EXW</t>
  </si>
  <si>
    <t>To Port</t>
  </si>
  <si>
    <t>ETD</t>
  </si>
  <si>
    <t>Port</t>
  </si>
  <si>
    <t>ETA</t>
  </si>
  <si>
    <t>SHIP OWNER</t>
  </si>
  <si>
    <t>VESSEL</t>
  </si>
  <si>
    <t>Nº CONTAINER</t>
  </si>
  <si>
    <t>BILL LANDING</t>
  </si>
  <si>
    <t>EGGX8 Insert</t>
  </si>
  <si>
    <t>PORT</t>
  </si>
  <si>
    <t>Nº DELIVERY NOTE</t>
  </si>
  <si>
    <t>INVOICE</t>
  </si>
  <si>
    <t>Shenzhen</t>
  </si>
  <si>
    <t>Container Qty</t>
  </si>
  <si>
    <t>Barcelona</t>
  </si>
  <si>
    <t>Shanghai</t>
  </si>
  <si>
    <t>X8 Check Rail
Insert</t>
  </si>
  <si>
    <t>Assembly or Not</t>
  </si>
  <si>
    <t>Assembly</t>
  </si>
  <si>
    <t>Non-Assembly</t>
  </si>
  <si>
    <t>Line</t>
  </si>
  <si>
    <t>Lot</t>
  </si>
  <si>
    <t>L6</t>
  </si>
  <si>
    <t>Lot2</t>
  </si>
  <si>
    <t>`</t>
  </si>
  <si>
    <t>X8
Thread Rod</t>
  </si>
  <si>
    <t>ALT1 RF425 
Thread Rod</t>
  </si>
  <si>
    <t>X8 Check Rail
Thread Rod</t>
  </si>
  <si>
    <t>Shipment#</t>
  </si>
  <si>
    <t>TMT Delivery Date to Lynn</t>
  </si>
  <si>
    <t>EGGX8-02</t>
  </si>
  <si>
    <t>ALT425</t>
  </si>
  <si>
    <t>EGGX8-04</t>
  </si>
  <si>
    <t>日产能</t>
  </si>
  <si>
    <t>累积量</t>
  </si>
  <si>
    <t>assembly</t>
  </si>
  <si>
    <t>Non Assembly</t>
  </si>
  <si>
    <t>balance</t>
  </si>
  <si>
    <t>Metro Madrid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</si>
  <si>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</si>
  <si>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</si>
  <si>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</si>
  <si>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</si>
  <si>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</si>
  <si>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</si>
  <si>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</si>
  <si>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</si>
  <si>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</si>
  <si>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</si>
  <si>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</si>
  <si>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</si>
  <si>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</si>
  <si>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</si>
  <si>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TMT</t>
  </si>
  <si>
    <t>EGGX8</t>
  </si>
  <si>
    <t>EGGX8x4</t>
  </si>
  <si>
    <t>609+96</t>
  </si>
  <si>
    <t>EGGX8 Guardrail</t>
  </si>
  <si>
    <t>Fosco</t>
  </si>
  <si>
    <t>SKL12 clip RC13-01</t>
  </si>
  <si>
    <t>Rail pad RP404</t>
  </si>
  <si>
    <t>Base pad BP7500*10mm</t>
  </si>
  <si>
    <t>T-bolt TB22-55</t>
  </si>
  <si>
    <t>M22 Flat washer W6</t>
  </si>
  <si>
    <t>Nut M22</t>
  </si>
  <si>
    <t>Nut M24</t>
  </si>
  <si>
    <t>Hex Head Screw 24X110</t>
  </si>
  <si>
    <t>Sudelan</t>
  </si>
  <si>
    <t>Threaded Rod Assembly</t>
  </si>
  <si>
    <t>Spring Washer</t>
  </si>
  <si>
    <t xml:space="preserve">M24 Plain washer </t>
  </si>
  <si>
    <t>Unit Net Weight</t>
  </si>
  <si>
    <t>CONTRACT QTY</t>
  </si>
  <si>
    <t>EGGx8</t>
  </si>
  <si>
    <t>Base pad BP426*10mm</t>
  </si>
  <si>
    <t>Flat washer W6 M22</t>
  </si>
  <si>
    <t>Left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</si>
</sst>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-C09]dd\-mmm\-yy;@"/>
    <numFmt numFmtId="165" formatCode="_-* #,##0_-;\-* #,##0_-;_-* &quot;-&quot;??_-;_-@_-"/>
    <numFmt numFmtId="166" formatCode="d/mm/yyyy;@"/>
    <numFmt numFmtId="167" formatCode="0.00_ ;[Red]\-0.00\ "/>
    <numFmt numFmtId="168" formatCode="0_ "/>
    <numFmt numFmtId="169" formatCode="0.00_ 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2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206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/>
      <bottom style="dotted">
        <color auto="1"/>
      </bottom>
      <diagonal/>
    </border>
    <border>
      <left/>
      <right style="medium">
        <color indexed="64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dotted">
        <color auto="1"/>
      </top>
      <bottom/>
      <diagonal/>
    </border>
    <border>
      <left/>
      <right style="medium">
        <color indexed="64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164" fontId="10" fillId="0" borderId="0"/>
    <xf numFmtId="0" fontId="11" fillId="0" borderId="0">
      <alignment vertical="center"/>
    </xf>
  </cellStyleXfs>
  <cellXfs count="125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6" fontId="7" fillId="0" borderId="5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5" fontId="7" fillId="0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8" fillId="0" borderId="0" xfId="1" applyNumberFormat="1" applyFont="1" applyFill="1" applyAlignment="1">
      <alignment horizontal="center" vertical="center"/>
    </xf>
    <xf numFmtId="3" fontId="8" fillId="3" borderId="7" xfId="1" applyNumberFormat="1" applyFont="1" applyFill="1" applyBorder="1" applyAlignment="1">
      <alignment horizontal="center" vertical="center"/>
    </xf>
    <xf numFmtId="3" fontId="8" fillId="0" borderId="7" xfId="1" applyNumberFormat="1" applyFont="1" applyFill="1" applyBorder="1" applyAlignment="1">
      <alignment horizontal="center" vertical="center"/>
    </xf>
    <xf numFmtId="14" fontId="8" fillId="0" borderId="8" xfId="1" applyNumberFormat="1" applyFont="1" applyFill="1" applyBorder="1" applyAlignment="1">
      <alignment horizontal="center" vertical="center"/>
    </xf>
    <xf numFmtId="1" fontId="8" fillId="0" borderId="10" xfId="1" applyNumberFormat="1" applyFont="1" applyFill="1" applyBorder="1" applyAlignment="1">
      <alignment horizontal="center" vertical="center"/>
    </xf>
    <xf numFmtId="1" fontId="8" fillId="0" borderId="11" xfId="1" applyNumberFormat="1" applyFont="1" applyFill="1" applyBorder="1" applyAlignment="1">
      <alignment horizontal="center" vertical="center"/>
    </xf>
    <xf numFmtId="1" fontId="8" fillId="0" borderId="8" xfId="1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5" fontId="7" fillId="0" borderId="8" xfId="0" applyNumberFormat="1" applyFont="1" applyBorder="1" applyAlignment="1">
      <alignment horizontal="center" vertical="center"/>
    </xf>
    <xf numFmtId="165" fontId="7" fillId="0" borderId="12" xfId="1" applyNumberFormat="1" applyFont="1" applyFill="1" applyBorder="1" applyAlignment="1">
      <alignment horizontal="center" vertical="center"/>
    </xf>
    <xf numFmtId="166" fontId="7" fillId="0" borderId="12" xfId="1" applyNumberFormat="1" applyFont="1" applyFill="1" applyBorder="1" applyAlignment="1">
      <alignment horizontal="center" vertical="center"/>
    </xf>
    <xf numFmtId="14" fontId="8" fillId="0" borderId="12" xfId="1" applyNumberFormat="1" applyFont="1" applyFill="1" applyBorder="1" applyAlignment="1">
      <alignment horizontal="center" vertical="center"/>
    </xf>
    <xf numFmtId="14" fontId="8" fillId="0" borderId="13" xfId="1" applyNumberFormat="1" applyFont="1" applyFill="1" applyBorder="1" applyAlignment="1">
      <alignment horizontal="center" vertical="center"/>
    </xf>
    <xf numFmtId="1" fontId="8" fillId="0" borderId="14" xfId="1" applyNumberFormat="1" applyFont="1" applyFill="1" applyBorder="1" applyAlignment="1">
      <alignment horizontal="center" vertical="center"/>
    </xf>
    <xf numFmtId="1" fontId="8" fillId="0" borderId="15" xfId="1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5" fontId="7" fillId="0" borderId="12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" fontId="8" fillId="0" borderId="18" xfId="1" applyNumberFormat="1" applyFont="1" applyFill="1" applyBorder="1" applyAlignment="1">
      <alignment horizontal="center" vertical="center"/>
    </xf>
    <xf numFmtId="1" fontId="8" fillId="0" borderId="19" xfId="1" applyNumberFormat="1" applyFont="1" applyFill="1" applyBorder="1" applyAlignment="1">
      <alignment horizontal="center" vertical="center"/>
    </xf>
    <xf numFmtId="1" fontId="8" fillId="0" borderId="4" xfId="1" applyNumberFormat="1" applyFont="1" applyFill="1" applyBorder="1" applyAlignment="1">
      <alignment horizontal="center" vertical="center"/>
    </xf>
    <xf numFmtId="1" fontId="8" fillId="0" borderId="1" xfId="1" applyNumberFormat="1" applyFont="1" applyFill="1" applyBorder="1" applyAlignment="1">
      <alignment horizontal="center" vertical="center"/>
    </xf>
    <xf numFmtId="1" fontId="8" fillId="7" borderId="10" xfId="1" applyNumberFormat="1" applyFont="1" applyFill="1" applyBorder="1" applyAlignment="1">
      <alignment horizontal="center" vertical="center"/>
    </xf>
    <xf numFmtId="1" fontId="8" fillId="6" borderId="14" xfId="1" applyNumberFormat="1" applyFont="1" applyFill="1" applyBorder="1" applyAlignment="1">
      <alignment horizontal="center" vertical="center"/>
    </xf>
    <xf numFmtId="1" fontId="8" fillId="10" borderId="18" xfId="1" applyNumberFormat="1" applyFont="1" applyFill="1" applyBorder="1" applyAlignment="1">
      <alignment horizontal="center" vertical="center"/>
    </xf>
    <xf numFmtId="1" fontId="8" fillId="10" borderId="1" xfId="1" applyNumberFormat="1" applyFont="1" applyFill="1" applyBorder="1" applyAlignment="1">
      <alignment horizontal="center" vertical="center"/>
    </xf>
    <xf numFmtId="1" fontId="8" fillId="6" borderId="8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0" borderId="6" xfId="0" applyFont="1" applyBorder="1" applyAlignment="1">
      <alignment horizontal="right" vertical="center" wrapText="1"/>
    </xf>
    <xf numFmtId="165" fontId="7" fillId="0" borderId="0" xfId="1" applyNumberFormat="1" applyFont="1" applyFill="1" applyAlignment="1">
      <alignment horizontal="right" vertical="center"/>
    </xf>
    <xf numFmtId="1" fontId="8" fillId="10" borderId="10" xfId="1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5" fontId="7" fillId="0" borderId="16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0" fillId="10" borderId="0" xfId="0" applyFill="1" applyAlignment="1">
      <alignment vertical="center"/>
    </xf>
    <xf numFmtId="165" fontId="7" fillId="0" borderId="8" xfId="1" applyNumberFormat="1" applyFont="1" applyFill="1" applyBorder="1" applyAlignment="1">
      <alignment horizontal="right" vertical="center"/>
    </xf>
    <xf numFmtId="166" fontId="7" fillId="0" borderId="8" xfId="1" applyNumberFormat="1" applyFont="1" applyFill="1" applyBorder="1" applyAlignment="1">
      <alignment horizontal="center" vertical="center"/>
    </xf>
    <xf numFmtId="14" fontId="8" fillId="0" borderId="9" xfId="1" applyNumberFormat="1" applyFont="1" applyFill="1" applyBorder="1" applyAlignment="1">
      <alignment horizontal="center" vertical="center"/>
    </xf>
    <xf numFmtId="165" fontId="7" fillId="0" borderId="16" xfId="1" applyNumberFormat="1" applyFont="1" applyFill="1" applyBorder="1" applyAlignment="1">
      <alignment vertical="center"/>
    </xf>
    <xf numFmtId="165" fontId="7" fillId="0" borderId="12" xfId="1" applyNumberFormat="1" applyFont="1" applyFill="1" applyBorder="1" applyAlignment="1">
      <alignment horizontal="right" vertical="center"/>
    </xf>
    <xf numFmtId="165" fontId="7" fillId="0" borderId="17" xfId="1" applyNumberFormat="1" applyFont="1" applyFill="1" applyBorder="1" applyAlignment="1">
      <alignment horizontal="right" vertical="center"/>
    </xf>
    <xf numFmtId="0" fontId="0" fillId="11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9" borderId="0" xfId="0" applyFill="1" applyAlignment="1">
      <alignment vertical="center"/>
    </xf>
    <xf numFmtId="1" fontId="8" fillId="9" borderId="6" xfId="1" applyNumberFormat="1" applyFont="1" applyFill="1" applyBorder="1" applyAlignment="1">
      <alignment horizontal="center" vertical="center"/>
    </xf>
    <xf numFmtId="0" fontId="2" fillId="2" borderId="0" xfId="0" applyFont="1" applyFill="1"/>
    <xf numFmtId="49" fontId="14" fillId="12" borderId="20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167" fontId="10" fillId="0" borderId="20" xfId="2" applyNumberFormat="1" applyBorder="1" applyAlignment="1">
      <alignment horizontal="center" vertical="center"/>
    </xf>
    <xf numFmtId="1" fontId="0" fillId="2" borderId="20" xfId="0" applyNumberFormat="1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1" fontId="0" fillId="0" borderId="0" xfId="0" applyNumberFormat="1"/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" fontId="13" fillId="0" borderId="20" xfId="0" applyNumberFormat="1" applyFont="1" applyBorder="1" applyAlignment="1">
      <alignment horizontal="center" vertical="center"/>
    </xf>
    <xf numFmtId="167" fontId="13" fillId="0" borderId="20" xfId="0" applyNumberFormat="1" applyFont="1" applyBorder="1" applyAlignment="1">
      <alignment horizontal="center"/>
    </xf>
    <xf numFmtId="2" fontId="13" fillId="0" borderId="20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0" xfId="0" applyBorder="1" applyAlignment="1">
      <alignment vertical="center"/>
    </xf>
    <xf numFmtId="0" fontId="0" fillId="2" borderId="20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8" fontId="0" fillId="0" borderId="20" xfId="0" applyNumberFormat="1" applyBorder="1" applyAlignment="1">
      <alignment horizontal="center" vertical="center"/>
    </xf>
    <xf numFmtId="167" fontId="0" fillId="0" borderId="20" xfId="0" applyNumberFormat="1" applyBorder="1" applyAlignment="1">
      <alignment horizontal="center"/>
    </xf>
    <xf numFmtId="169" fontId="0" fillId="0" borderId="20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2" fontId="0" fillId="0" borderId="20" xfId="0" applyNumberFormat="1" applyBorder="1" applyAlignment="1">
      <alignment vertical="center"/>
    </xf>
    <xf numFmtId="0" fontId="13" fillId="2" borderId="20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 shrinkToFit="1"/>
    </xf>
    <xf numFmtId="168" fontId="0" fillId="0" borderId="20" xfId="0" applyNumberFormat="1" applyBorder="1" applyAlignment="1">
      <alignment vertical="center"/>
    </xf>
    <xf numFmtId="0" fontId="0" fillId="2" borderId="20" xfId="0" applyFill="1" applyBorder="1" applyAlignment="1">
      <alignment horizontal="center" vertical="center" shrinkToFit="1"/>
    </xf>
    <xf numFmtId="0" fontId="0" fillId="2" borderId="20" xfId="0" applyFill="1" applyBorder="1" applyAlignment="1">
      <alignment horizontal="left" vertical="center"/>
    </xf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6" borderId="0" xfId="0" applyNumberFormat="1" applyFill="1"/>
    <xf numFmtId="1" fontId="14" fillId="12" borderId="20" xfId="0" applyNumberFormat="1" applyFont="1" applyFill="1" applyBorder="1" applyAlignment="1">
      <alignment horizontal="center" vertical="center" wrapText="1"/>
    </xf>
    <xf numFmtId="49" fontId="14" fillId="12" borderId="20" xfId="0" applyNumberFormat="1" applyFont="1" applyFill="1" applyBorder="1" applyAlignment="1">
      <alignment vertical="center" wrapText="1"/>
    </xf>
    <xf numFmtId="2" fontId="0" fillId="0" borderId="20" xfId="0" applyNumberFormat="1" applyBorder="1" applyAlignment="1">
      <alignment horizontal="center"/>
    </xf>
    <xf numFmtId="1" fontId="8" fillId="6" borderId="18" xfId="1" applyNumberFormat="1" applyFont="1" applyFill="1" applyBorder="1" applyAlignment="1">
      <alignment horizontal="center" vertical="center"/>
    </xf>
    <xf numFmtId="1" fontId="8" fillId="6" borderId="1" xfId="1" applyNumberFormat="1" applyFont="1" applyFill="1" applyBorder="1" applyAlignment="1">
      <alignment horizontal="center" vertical="center"/>
    </xf>
    <xf numFmtId="1" fontId="8" fillId="8" borderId="6" xfId="1" applyNumberFormat="1" applyFont="1" applyFill="1" applyBorder="1" applyAlignment="1">
      <alignment horizontal="center" vertical="center"/>
    </xf>
    <xf numFmtId="0" fontId="1" fillId="10" borderId="0" xfId="0" applyFont="1" applyFill="1"/>
    <xf numFmtId="165" fontId="7" fillId="0" borderId="17" xfId="1" applyNumberFormat="1" applyFont="1" applyFill="1" applyBorder="1" applyAlignment="1">
      <alignment horizontal="center" vertical="center"/>
    </xf>
    <xf numFmtId="165" fontId="7" fillId="0" borderId="8" xfId="1" applyNumberFormat="1" applyFont="1" applyFill="1" applyBorder="1" applyAlignment="1">
      <alignment horizontal="center" vertical="center"/>
    </xf>
    <xf numFmtId="165" fontId="7" fillId="0" borderId="16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3" fontId="8" fillId="3" borderId="3" xfId="1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5" fontId="7" fillId="0" borderId="16" xfId="0" applyNumberFormat="1" applyFont="1" applyBorder="1" applyAlignment="1">
      <alignment horizontal="center" vertical="center"/>
    </xf>
    <xf numFmtId="15" fontId="7" fillId="0" borderId="17" xfId="0" applyNumberFormat="1" applyFont="1" applyBorder="1" applyAlignment="1">
      <alignment horizontal="center" vertical="center"/>
    </xf>
    <xf numFmtId="15" fontId="7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8" fontId="0" fillId="0" borderId="20" xfId="0" applyNumberFormat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0" xfId="0" applyNumberFormat="1" applyBorder="1" applyAlignment="1">
      <alignment vertical="center"/>
    </xf>
  </cellXfs>
  <cellStyles count="4">
    <cellStyle name="Comma" xfId="1" builtinId="3"/>
    <cellStyle name="Normal" xfId="0" builtinId="0"/>
    <cellStyle name="Normal 2" xfId="3" xr:uid="{00000000-0005-0000-0000-00002B000000}"/>
    <cellStyle name="Normal 3 2" xfId="2" xr:uid="{00000000-0005-0000-0000-000023000000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1CF2-4C9E-4CA3-B1A9-D538D88EACC2}">
  <sheetPr>
    <pageSetUpPr fitToPage="1"/>
  </sheetPr>
  <dimension ref="A1:BZ753"/>
  <sheetViews>
    <sheetView tabSelected="1" topLeftCell="A2" zoomScale="55" zoomScaleNormal="55" workbookViewId="0">
      <selection activeCell="N23" sqref="N23"/>
    </sheetView>
  </sheetViews>
  <sheetFormatPr defaultColWidth="8.88671875" defaultRowHeight="14.4"/>
  <cols>
    <col min="1" max="1" width="17.44140625" style="45" customWidth="1"/>
    <col min="2" max="2" width="17.44140625" style="1" customWidth="1"/>
    <col min="3" max="3" width="16.6640625" customWidth="1"/>
    <col min="4" max="6" width="16.6640625" style="1" customWidth="1"/>
    <col min="7" max="7" width="18.44140625" style="9" customWidth="1"/>
    <col min="8" max="8" width="10.33203125" style="9" hidden="1" customWidth="1"/>
    <col min="9" max="9" width="11.88671875" style="9" hidden="1" customWidth="1"/>
    <col min="10" max="10" width="7.88671875" style="9" hidden="1" customWidth="1"/>
    <col min="11" max="11" width="10.44140625" style="9" hidden="1" customWidth="1"/>
    <col min="12" max="12" width="31.109375" style="9" customWidth="1"/>
    <col min="13" max="14" width="23" style="9" customWidth="1"/>
    <col min="15" max="16" width="15.6640625" style="9" customWidth="1"/>
    <col min="17" max="17" width="13.88671875" style="32" customWidth="1"/>
    <col min="18" max="18" width="13.88671875" style="9" customWidth="1"/>
    <col min="19" max="25" width="15.6640625" style="9" customWidth="1"/>
    <col min="26" max="26" width="20.33203125" style="9" customWidth="1"/>
    <col min="27" max="28" width="26.6640625" style="1" customWidth="1"/>
  </cols>
  <sheetData>
    <row r="1" spans="1:78" ht="15" hidden="1" customHeight="1">
      <c r="A1" s="45" t="s">
        <v>25</v>
      </c>
    </row>
    <row r="2" spans="1:78" ht="36.6"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</row>
    <row r="3" spans="1:78" ht="24" thickBot="1">
      <c r="G3" s="1"/>
      <c r="H3" s="1"/>
      <c r="I3" s="1"/>
      <c r="J3" s="1"/>
      <c r="K3" s="1"/>
      <c r="L3" s="1"/>
      <c r="M3" s="1"/>
      <c r="N3" s="1"/>
      <c r="O3" s="1">
        <v>850</v>
      </c>
      <c r="P3" s="1"/>
      <c r="Q3" s="33">
        <v>720</v>
      </c>
      <c r="R3" s="1"/>
      <c r="S3" s="1">
        <v>540</v>
      </c>
      <c r="T3" s="1"/>
      <c r="U3" s="1">
        <v>540</v>
      </c>
      <c r="V3" s="1"/>
      <c r="W3" s="1">
        <v>320</v>
      </c>
      <c r="X3" s="1"/>
      <c r="Y3" s="1"/>
      <c r="Z3" s="1"/>
      <c r="AA3" s="31"/>
      <c r="AB3" s="31"/>
    </row>
    <row r="4" spans="1:78" s="8" customFormat="1" ht="47.25" customHeight="1" thickBot="1">
      <c r="A4" s="46" t="s">
        <v>29</v>
      </c>
      <c r="B4" s="27" t="s">
        <v>30</v>
      </c>
      <c r="C4" s="27" t="s">
        <v>0</v>
      </c>
      <c r="D4" s="27" t="s">
        <v>1</v>
      </c>
      <c r="E4" s="27" t="s">
        <v>2</v>
      </c>
      <c r="F4" s="27" t="s">
        <v>3</v>
      </c>
      <c r="G4" s="28" t="s">
        <v>4</v>
      </c>
      <c r="H4" s="6" t="s">
        <v>5</v>
      </c>
      <c r="I4" s="6" t="s">
        <v>6</v>
      </c>
      <c r="J4" s="6" t="s">
        <v>7</v>
      </c>
      <c r="K4" s="6" t="s">
        <v>8</v>
      </c>
      <c r="L4" s="28" t="s">
        <v>18</v>
      </c>
      <c r="M4" s="28" t="s">
        <v>21</v>
      </c>
      <c r="N4" s="28" t="s">
        <v>22</v>
      </c>
      <c r="O4" s="29" t="s">
        <v>26</v>
      </c>
      <c r="P4" s="30" t="s">
        <v>14</v>
      </c>
      <c r="Q4" s="29" t="s">
        <v>9</v>
      </c>
      <c r="R4" s="30" t="s">
        <v>14</v>
      </c>
      <c r="S4" s="29" t="s">
        <v>27</v>
      </c>
      <c r="T4" s="30" t="s">
        <v>14</v>
      </c>
      <c r="U4" s="29" t="s">
        <v>28</v>
      </c>
      <c r="V4" s="30" t="s">
        <v>14</v>
      </c>
      <c r="W4" s="29" t="s">
        <v>17</v>
      </c>
      <c r="X4" s="30" t="s">
        <v>14</v>
      </c>
      <c r="Y4" s="28" t="s">
        <v>14</v>
      </c>
      <c r="Z4" s="28" t="s">
        <v>10</v>
      </c>
      <c r="AA4" s="27" t="s">
        <v>11</v>
      </c>
      <c r="AB4" s="27" t="s">
        <v>12</v>
      </c>
    </row>
    <row r="5" spans="1:78" s="5" customFormat="1" ht="18">
      <c r="A5" s="55">
        <v>1</v>
      </c>
      <c r="B5" s="56">
        <v>45748</v>
      </c>
      <c r="C5" s="56">
        <v>45767</v>
      </c>
      <c r="D5" s="56">
        <f>C5+4</f>
        <v>45771</v>
      </c>
      <c r="E5" s="56">
        <f t="shared" ref="E5:E13" si="0">D5+3</f>
        <v>45774</v>
      </c>
      <c r="F5" s="56" t="s">
        <v>13</v>
      </c>
      <c r="G5" s="13">
        <f t="shared" ref="G5:G13" si="1">E5+40</f>
        <v>45814</v>
      </c>
      <c r="H5" s="57"/>
      <c r="I5" s="57"/>
      <c r="J5" s="57"/>
      <c r="K5" s="57"/>
      <c r="L5" s="13" t="s">
        <v>19</v>
      </c>
      <c r="M5" s="13" t="s">
        <v>23</v>
      </c>
      <c r="N5" s="13"/>
      <c r="O5" s="14"/>
      <c r="P5" s="15"/>
      <c r="Q5" s="48">
        <v>2880</v>
      </c>
      <c r="R5" s="15">
        <v>4</v>
      </c>
      <c r="S5" s="14"/>
      <c r="T5" s="15"/>
      <c r="U5" s="14"/>
      <c r="V5" s="15"/>
      <c r="W5" s="14"/>
      <c r="X5" s="15"/>
      <c r="Y5" s="16">
        <f>SUM(P5+R5+T5+V5+X5)</f>
        <v>4</v>
      </c>
      <c r="Z5" s="13" t="s">
        <v>15</v>
      </c>
      <c r="AA5" s="17"/>
      <c r="AB5" s="18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s="5" customFormat="1" ht="17.25" customHeight="1">
      <c r="A6" s="58">
        <v>2</v>
      </c>
      <c r="B6" s="56">
        <v>45759</v>
      </c>
      <c r="C6" s="20">
        <f>C5+14</f>
        <v>45781</v>
      </c>
      <c r="D6" s="56">
        <f>C6+4</f>
        <v>45785</v>
      </c>
      <c r="E6" s="56">
        <f t="shared" si="0"/>
        <v>45788</v>
      </c>
      <c r="F6" s="56" t="s">
        <v>13</v>
      </c>
      <c r="G6" s="13">
        <f t="shared" si="1"/>
        <v>45828</v>
      </c>
      <c r="H6" s="22"/>
      <c r="I6" s="22"/>
      <c r="J6" s="22"/>
      <c r="K6" s="22"/>
      <c r="L6" s="21" t="s">
        <v>19</v>
      </c>
      <c r="M6" s="13" t="s">
        <v>23</v>
      </c>
      <c r="N6" s="21"/>
      <c r="O6" s="23"/>
      <c r="P6" s="24"/>
      <c r="Q6" s="48">
        <v>2880</v>
      </c>
      <c r="R6" s="15">
        <v>4</v>
      </c>
      <c r="S6" s="23"/>
      <c r="T6" s="24"/>
      <c r="U6" s="23"/>
      <c r="V6" s="24"/>
      <c r="W6" s="23"/>
      <c r="X6" s="24"/>
      <c r="Y6" s="16">
        <f t="shared" ref="Y6:Y15" si="2">SUM(P6+R6+T6+V6+X6)</f>
        <v>4</v>
      </c>
      <c r="Z6" s="21" t="s">
        <v>15</v>
      </c>
      <c r="AA6" s="109"/>
      <c r="AB6" s="11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s="5" customFormat="1" ht="18.600000000000001" thickBot="1">
      <c r="A7" s="104">
        <v>3</v>
      </c>
      <c r="B7" s="56">
        <v>45769</v>
      </c>
      <c r="C7" s="20">
        <f>C6+14</f>
        <v>45795</v>
      </c>
      <c r="D7" s="56">
        <f>C7+4</f>
        <v>45799</v>
      </c>
      <c r="E7" s="56">
        <f t="shared" si="0"/>
        <v>45802</v>
      </c>
      <c r="F7" s="56" t="s">
        <v>13</v>
      </c>
      <c r="G7" s="13">
        <f t="shared" si="1"/>
        <v>45842</v>
      </c>
      <c r="H7" s="22"/>
      <c r="I7" s="22"/>
      <c r="J7" s="22"/>
      <c r="K7" s="22"/>
      <c r="L7" s="21" t="s">
        <v>19</v>
      </c>
      <c r="M7" s="13" t="s">
        <v>23</v>
      </c>
      <c r="N7" s="21"/>
      <c r="O7" s="36"/>
      <c r="P7" s="37"/>
      <c r="Q7" s="42">
        <v>1440</v>
      </c>
      <c r="R7" s="37">
        <v>2</v>
      </c>
      <c r="S7" s="36"/>
      <c r="T7" s="37"/>
      <c r="U7" s="36"/>
      <c r="V7" s="37"/>
      <c r="W7" s="36"/>
      <c r="X7" s="24"/>
      <c r="Y7" s="16">
        <f t="shared" si="2"/>
        <v>2</v>
      </c>
      <c r="Z7" s="21" t="s">
        <v>15</v>
      </c>
      <c r="AA7" s="110"/>
      <c r="AB7" s="113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s="5" customFormat="1" ht="17.399999999999999" customHeight="1" thickBot="1">
      <c r="A8" s="104"/>
      <c r="B8" s="56">
        <v>45769</v>
      </c>
      <c r="C8" s="20">
        <v>45795</v>
      </c>
      <c r="D8" s="56">
        <f>C8+4</f>
        <v>45799</v>
      </c>
      <c r="E8" s="56">
        <f t="shared" si="0"/>
        <v>45802</v>
      </c>
      <c r="F8" s="56" t="s">
        <v>13</v>
      </c>
      <c r="G8" s="13">
        <f t="shared" si="1"/>
        <v>45842</v>
      </c>
      <c r="H8" s="22"/>
      <c r="I8" s="22"/>
      <c r="J8" s="22"/>
      <c r="K8" s="22"/>
      <c r="L8" s="21" t="s">
        <v>19</v>
      </c>
      <c r="M8" s="13" t="s">
        <v>23</v>
      </c>
      <c r="N8" s="21"/>
      <c r="O8" s="36"/>
      <c r="P8" s="37"/>
      <c r="Q8" s="43">
        <v>609</v>
      </c>
      <c r="R8" s="38"/>
      <c r="S8" s="39"/>
      <c r="T8" s="38"/>
      <c r="U8" s="39"/>
      <c r="V8" s="38"/>
      <c r="W8" s="102">
        <v>96</v>
      </c>
      <c r="X8" s="24">
        <v>1</v>
      </c>
      <c r="Y8" s="44">
        <f t="shared" si="2"/>
        <v>1</v>
      </c>
      <c r="Z8" s="21" t="s">
        <v>15</v>
      </c>
      <c r="AA8" s="111"/>
      <c r="AB8" s="114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s="5" customFormat="1" ht="18">
      <c r="A9" s="105"/>
      <c r="B9" s="56">
        <v>45769</v>
      </c>
      <c r="C9" s="20">
        <v>45795</v>
      </c>
      <c r="D9" s="56">
        <f>C9+4</f>
        <v>45799</v>
      </c>
      <c r="E9" s="56">
        <f t="shared" si="0"/>
        <v>45802</v>
      </c>
      <c r="F9" s="56" t="s">
        <v>13</v>
      </c>
      <c r="G9" s="13">
        <f t="shared" si="1"/>
        <v>45842</v>
      </c>
      <c r="H9" s="22"/>
      <c r="I9" s="22"/>
      <c r="J9" s="22"/>
      <c r="K9" s="22"/>
      <c r="L9" s="21" t="s">
        <v>19</v>
      </c>
      <c r="M9" s="13" t="s">
        <v>23</v>
      </c>
      <c r="N9" s="21"/>
      <c r="O9" s="36"/>
      <c r="P9" s="37"/>
      <c r="Q9" s="14"/>
      <c r="R9" s="15"/>
      <c r="S9" s="14"/>
      <c r="T9" s="15"/>
      <c r="U9" s="14"/>
      <c r="V9" s="15"/>
      <c r="W9" s="23"/>
      <c r="X9" s="24"/>
      <c r="Y9" s="16">
        <f t="shared" ref="Y9" si="3">SUM(P9+R9+T9+V9+X9)</f>
        <v>0</v>
      </c>
      <c r="Z9" s="21" t="s">
        <v>15</v>
      </c>
      <c r="AA9" s="17"/>
      <c r="AB9" s="18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s="5" customFormat="1" ht="16.8" customHeight="1">
      <c r="A10" s="59">
        <v>4</v>
      </c>
      <c r="B10" s="19"/>
      <c r="C10" s="20">
        <v>45756</v>
      </c>
      <c r="D10" s="20">
        <f t="shared" ref="D10" si="4">C10+4</f>
        <v>45760</v>
      </c>
      <c r="E10" s="56">
        <f t="shared" si="0"/>
        <v>45763</v>
      </c>
      <c r="F10" s="20" t="s">
        <v>16</v>
      </c>
      <c r="G10" s="13">
        <f t="shared" si="1"/>
        <v>45803</v>
      </c>
      <c r="H10" s="22"/>
      <c r="I10" s="22"/>
      <c r="J10" s="22"/>
      <c r="K10" s="22"/>
      <c r="L10" s="21" t="s">
        <v>20</v>
      </c>
      <c r="M10" s="21" t="s">
        <v>39</v>
      </c>
      <c r="N10" s="21" t="s">
        <v>24</v>
      </c>
      <c r="O10" s="14"/>
      <c r="P10" s="15"/>
      <c r="Q10" s="14"/>
      <c r="R10" s="15"/>
      <c r="S10" s="40">
        <v>1600</v>
      </c>
      <c r="T10" s="15">
        <v>3</v>
      </c>
      <c r="U10" s="14"/>
      <c r="V10" s="24"/>
      <c r="W10" s="23"/>
      <c r="X10" s="24"/>
      <c r="Y10" s="16">
        <f t="shared" si="2"/>
        <v>3</v>
      </c>
      <c r="Z10" s="21" t="s">
        <v>15</v>
      </c>
      <c r="AA10" s="25"/>
      <c r="AB10" s="26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s="5" customFormat="1" ht="17.25" customHeight="1">
      <c r="A11" s="60">
        <v>5</v>
      </c>
      <c r="B11" s="19"/>
      <c r="C11" s="20">
        <v>45783</v>
      </c>
      <c r="D11" s="56">
        <f>C11+4</f>
        <v>45787</v>
      </c>
      <c r="E11" s="56">
        <f t="shared" si="0"/>
        <v>45790</v>
      </c>
      <c r="F11" s="20" t="s">
        <v>16</v>
      </c>
      <c r="G11" s="13">
        <f t="shared" si="1"/>
        <v>45830</v>
      </c>
      <c r="H11" s="22"/>
      <c r="I11" s="22"/>
      <c r="J11" s="22"/>
      <c r="K11" s="22"/>
      <c r="L11" s="21" t="s">
        <v>20</v>
      </c>
      <c r="M11" s="13" t="s">
        <v>23</v>
      </c>
      <c r="N11" s="21"/>
      <c r="O11" s="41">
        <v>2550</v>
      </c>
      <c r="P11" s="15">
        <v>3</v>
      </c>
      <c r="Q11" s="14"/>
      <c r="R11" s="15"/>
      <c r="S11" s="14"/>
      <c r="T11" s="15"/>
      <c r="U11" s="14"/>
      <c r="V11" s="24"/>
      <c r="W11" s="23"/>
      <c r="X11" s="24"/>
      <c r="Y11" s="16">
        <f>SUM(P11+R11+T11+V11+X11)</f>
        <v>3</v>
      </c>
      <c r="Z11" s="21" t="s">
        <v>15</v>
      </c>
      <c r="AA11" s="49"/>
      <c r="AB11" s="50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s="5" customFormat="1" ht="16.8" customHeight="1" thickBot="1">
      <c r="A12" s="106">
        <v>6</v>
      </c>
      <c r="B12" s="19"/>
      <c r="C12" s="20">
        <v>45791</v>
      </c>
      <c r="D12" s="56">
        <f>C12+4</f>
        <v>45795</v>
      </c>
      <c r="E12" s="56">
        <f t="shared" si="0"/>
        <v>45798</v>
      </c>
      <c r="F12" s="20" t="s">
        <v>16</v>
      </c>
      <c r="G12" s="13">
        <f t="shared" si="1"/>
        <v>45838</v>
      </c>
      <c r="H12" s="22"/>
      <c r="I12" s="22"/>
      <c r="J12" s="22"/>
      <c r="K12" s="22"/>
      <c r="L12" s="21" t="s">
        <v>20</v>
      </c>
      <c r="M12" s="13" t="s">
        <v>23</v>
      </c>
      <c r="N12" s="21"/>
      <c r="O12" s="100">
        <v>1700</v>
      </c>
      <c r="P12" s="37">
        <v>2</v>
      </c>
      <c r="Q12" s="36"/>
      <c r="R12" s="37"/>
      <c r="S12" s="36"/>
      <c r="T12" s="37"/>
      <c r="U12" s="36"/>
      <c r="V12" s="24"/>
      <c r="W12" s="23"/>
      <c r="X12" s="24"/>
      <c r="Y12" s="16">
        <f t="shared" si="2"/>
        <v>2</v>
      </c>
      <c r="Z12" s="21" t="s">
        <v>15</v>
      </c>
      <c r="AA12" s="25"/>
      <c r="AB12" s="26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s="5" customFormat="1" ht="18" customHeight="1" thickBot="1">
      <c r="A13" s="105"/>
      <c r="B13" s="19"/>
      <c r="C13" s="20">
        <v>45791</v>
      </c>
      <c r="D13" s="56">
        <f>C13+4</f>
        <v>45795</v>
      </c>
      <c r="E13" s="56">
        <f t="shared" si="0"/>
        <v>45798</v>
      </c>
      <c r="F13" s="20" t="s">
        <v>16</v>
      </c>
      <c r="G13" s="13">
        <f t="shared" si="1"/>
        <v>45838</v>
      </c>
      <c r="H13" s="22"/>
      <c r="I13" s="22"/>
      <c r="J13" s="22"/>
      <c r="K13" s="22"/>
      <c r="L13" s="21" t="s">
        <v>20</v>
      </c>
      <c r="M13" s="13" t="s">
        <v>23</v>
      </c>
      <c r="N13" s="21"/>
      <c r="O13" s="101">
        <v>403</v>
      </c>
      <c r="P13" s="38"/>
      <c r="Q13" s="39"/>
      <c r="R13" s="38"/>
      <c r="S13" s="39"/>
      <c r="T13" s="38"/>
      <c r="U13" s="64">
        <v>323</v>
      </c>
      <c r="V13" s="24"/>
      <c r="W13" s="23"/>
      <c r="X13" s="24"/>
      <c r="Y13" s="44">
        <f t="shared" ref="Y13" si="5">SUM(P13+R13+T13+V13+X13)</f>
        <v>0</v>
      </c>
      <c r="Z13" s="21" t="s">
        <v>15</v>
      </c>
      <c r="AA13" s="25"/>
      <c r="AB13" s="26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s="3" customFormat="1" ht="18.600000000000001" thickBot="1">
      <c r="A14" s="47"/>
      <c r="B14" s="7"/>
      <c r="C14" s="4"/>
      <c r="D14" s="7"/>
      <c r="E14" s="7"/>
      <c r="F14" s="7"/>
      <c r="G14" s="10"/>
      <c r="H14" s="10"/>
      <c r="I14" s="10"/>
      <c r="J14" s="10"/>
      <c r="K14" s="10"/>
      <c r="L14" s="10"/>
      <c r="M14" s="10"/>
      <c r="N14" s="10"/>
      <c r="O14" s="11">
        <f t="shared" ref="O14:X14" si="6">SUM(O5:O13)</f>
        <v>4653</v>
      </c>
      <c r="P14" s="12">
        <f t="shared" si="6"/>
        <v>5</v>
      </c>
      <c r="Q14" s="11">
        <f t="shared" si="6"/>
        <v>7809</v>
      </c>
      <c r="R14" s="12">
        <f t="shared" si="6"/>
        <v>10</v>
      </c>
      <c r="S14" s="11">
        <f t="shared" si="6"/>
        <v>1600</v>
      </c>
      <c r="T14" s="12">
        <f t="shared" si="6"/>
        <v>3</v>
      </c>
      <c r="U14" s="11">
        <f t="shared" si="6"/>
        <v>323</v>
      </c>
      <c r="V14" s="12">
        <f t="shared" si="6"/>
        <v>0</v>
      </c>
      <c r="W14" s="11">
        <f t="shared" si="6"/>
        <v>96</v>
      </c>
      <c r="X14" s="12">
        <f t="shared" si="6"/>
        <v>1</v>
      </c>
      <c r="Y14" s="16">
        <f t="shared" si="2"/>
        <v>19</v>
      </c>
      <c r="Z14" s="10"/>
      <c r="AA14" s="34"/>
      <c r="AB14" s="34"/>
    </row>
    <row r="15" spans="1:78" ht="31.2" customHeight="1"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6">
        <f t="shared" si="2"/>
        <v>0</v>
      </c>
    </row>
    <row r="16" spans="1:78" ht="31.2" customHeight="1">
      <c r="Q16" s="35"/>
    </row>
    <row r="17" spans="17:17">
      <c r="Q17" s="35"/>
    </row>
    <row r="18" spans="17:17">
      <c r="Q18" s="35"/>
    </row>
    <row r="19" spans="17:17">
      <c r="Q19" s="35"/>
    </row>
    <row r="20" spans="17:17">
      <c r="Q20" s="35"/>
    </row>
    <row r="21" spans="17:17">
      <c r="Q21" s="35"/>
    </row>
    <row r="22" spans="17:17">
      <c r="Q22" s="35"/>
    </row>
    <row r="23" spans="17:17">
      <c r="Q23" s="35"/>
    </row>
    <row r="24" spans="17:17">
      <c r="Q24" s="35"/>
    </row>
    <row r="25" spans="17:17">
      <c r="Q25" s="35"/>
    </row>
    <row r="26" spans="17:17">
      <c r="Q26" s="35"/>
    </row>
    <row r="27" spans="17:17">
      <c r="Q27" s="35"/>
    </row>
    <row r="28" spans="17:17">
      <c r="Q28" s="35"/>
    </row>
    <row r="29" spans="17:17">
      <c r="Q29" s="35"/>
    </row>
    <row r="30" spans="17:17">
      <c r="Q30" s="35"/>
    </row>
    <row r="31" spans="17:17">
      <c r="Q31" s="35"/>
    </row>
    <row r="32" spans="17:17">
      <c r="Q32" s="35"/>
    </row>
    <row r="33" spans="17:17">
      <c r="Q33" s="35"/>
    </row>
    <row r="34" spans="17:17">
      <c r="Q34" s="35"/>
    </row>
    <row r="35" spans="17:17">
      <c r="Q35" s="35"/>
    </row>
    <row r="36" spans="17:17">
      <c r="Q36" s="35"/>
    </row>
    <row r="37" spans="17:17">
      <c r="Q37" s="35"/>
    </row>
    <row r="38" spans="17:17">
      <c r="Q38" s="35"/>
    </row>
    <row r="39" spans="17:17">
      <c r="Q39" s="35"/>
    </row>
    <row r="40" spans="17:17">
      <c r="Q40" s="35"/>
    </row>
    <row r="41" spans="17:17">
      <c r="Q41" s="35"/>
    </row>
    <row r="42" spans="17:17">
      <c r="Q42" s="35"/>
    </row>
    <row r="43" spans="17:17">
      <c r="Q43" s="35"/>
    </row>
    <row r="44" spans="17:17">
      <c r="Q44" s="35"/>
    </row>
    <row r="45" spans="17:17">
      <c r="Q45" s="35"/>
    </row>
    <row r="46" spans="17:17">
      <c r="Q46" s="35"/>
    </row>
    <row r="47" spans="17:17">
      <c r="Q47" s="35"/>
    </row>
    <row r="48" spans="17:17">
      <c r="Q48" s="35"/>
    </row>
    <row r="49" spans="17:17">
      <c r="Q49" s="35"/>
    </row>
    <row r="50" spans="17:17">
      <c r="Q50" s="35"/>
    </row>
    <row r="51" spans="17:17">
      <c r="Q51" s="35"/>
    </row>
    <row r="52" spans="17:17">
      <c r="Q52" s="35"/>
    </row>
    <row r="53" spans="17:17">
      <c r="Q53" s="35"/>
    </row>
    <row r="54" spans="17:17">
      <c r="Q54" s="35"/>
    </row>
    <row r="55" spans="17:17">
      <c r="Q55" s="35"/>
    </row>
    <row r="56" spans="17:17">
      <c r="Q56" s="35"/>
    </row>
    <row r="57" spans="17:17">
      <c r="Q57" s="35"/>
    </row>
    <row r="58" spans="17:17">
      <c r="Q58" s="35"/>
    </row>
    <row r="59" spans="17:17">
      <c r="Q59" s="35"/>
    </row>
    <row r="60" spans="17:17">
      <c r="Q60" s="35"/>
    </row>
    <row r="61" spans="17:17">
      <c r="Q61" s="35"/>
    </row>
    <row r="62" spans="17:17">
      <c r="Q62" s="35"/>
    </row>
    <row r="63" spans="17:17">
      <c r="Q63" s="35"/>
    </row>
    <row r="64" spans="17:17">
      <c r="Q64" s="35"/>
    </row>
    <row r="65" spans="17:17">
      <c r="Q65" s="35"/>
    </row>
    <row r="66" spans="17:17">
      <c r="Q66" s="35"/>
    </row>
    <row r="67" spans="17:17">
      <c r="Q67" s="35"/>
    </row>
    <row r="68" spans="17:17">
      <c r="Q68" s="35"/>
    </row>
    <row r="69" spans="17:17">
      <c r="Q69" s="35"/>
    </row>
    <row r="70" spans="17:17">
      <c r="Q70" s="35"/>
    </row>
    <row r="71" spans="17:17">
      <c r="Q71" s="35"/>
    </row>
    <row r="72" spans="17:17">
      <c r="Q72" s="35"/>
    </row>
    <row r="73" spans="17:17">
      <c r="Q73" s="35"/>
    </row>
    <row r="74" spans="17:17">
      <c r="Q74" s="35"/>
    </row>
    <row r="75" spans="17:17">
      <c r="Q75" s="35"/>
    </row>
    <row r="76" spans="17:17">
      <c r="Q76" s="35"/>
    </row>
    <row r="77" spans="17:17">
      <c r="Q77" s="35"/>
    </row>
    <row r="78" spans="17:17">
      <c r="Q78" s="35"/>
    </row>
    <row r="79" spans="17:17">
      <c r="Q79" s="35"/>
    </row>
    <row r="80" spans="17:17">
      <c r="Q80" s="35"/>
    </row>
    <row r="81" spans="17:17">
      <c r="Q81" s="35"/>
    </row>
    <row r="82" spans="17:17">
      <c r="Q82" s="35"/>
    </row>
    <row r="83" spans="17:17">
      <c r="Q83" s="35"/>
    </row>
    <row r="84" spans="17:17">
      <c r="Q84" s="35"/>
    </row>
    <row r="85" spans="17:17">
      <c r="Q85" s="35"/>
    </row>
    <row r="86" spans="17:17">
      <c r="Q86" s="35"/>
    </row>
    <row r="87" spans="17:17">
      <c r="Q87" s="35"/>
    </row>
    <row r="88" spans="17:17">
      <c r="Q88" s="35"/>
    </row>
    <row r="89" spans="17:17">
      <c r="Q89" s="35"/>
    </row>
    <row r="90" spans="17:17">
      <c r="Q90" s="35"/>
    </row>
    <row r="91" spans="17:17">
      <c r="Q91" s="35"/>
    </row>
    <row r="92" spans="17:17">
      <c r="Q92" s="35"/>
    </row>
    <row r="93" spans="17:17">
      <c r="Q93" s="35"/>
    </row>
    <row r="94" spans="17:17">
      <c r="Q94" s="35"/>
    </row>
    <row r="95" spans="17:17">
      <c r="Q95" s="35"/>
    </row>
    <row r="96" spans="17:17">
      <c r="Q96" s="35"/>
    </row>
    <row r="97" spans="17:17">
      <c r="Q97" s="35"/>
    </row>
    <row r="98" spans="17:17">
      <c r="Q98" s="35"/>
    </row>
    <row r="99" spans="17:17">
      <c r="Q99" s="35"/>
    </row>
    <row r="100" spans="17:17">
      <c r="Q100" s="35"/>
    </row>
    <row r="101" spans="17:17">
      <c r="Q101" s="35"/>
    </row>
    <row r="102" spans="17:17">
      <c r="Q102" s="35"/>
    </row>
    <row r="103" spans="17:17">
      <c r="Q103" s="35"/>
    </row>
    <row r="104" spans="17:17">
      <c r="Q104" s="35"/>
    </row>
    <row r="105" spans="17:17">
      <c r="Q105" s="35"/>
    </row>
    <row r="106" spans="17:17">
      <c r="Q106" s="35"/>
    </row>
    <row r="107" spans="17:17">
      <c r="Q107" s="35"/>
    </row>
    <row r="108" spans="17:17">
      <c r="Q108" s="35"/>
    </row>
    <row r="109" spans="17:17">
      <c r="Q109" s="35"/>
    </row>
    <row r="110" spans="17:17">
      <c r="Q110" s="35"/>
    </row>
    <row r="111" spans="17:17">
      <c r="Q111" s="35"/>
    </row>
    <row r="112" spans="17:17">
      <c r="Q112" s="35"/>
    </row>
    <row r="113" spans="17:17">
      <c r="Q113" s="35"/>
    </row>
    <row r="114" spans="17:17">
      <c r="Q114" s="35"/>
    </row>
    <row r="115" spans="17:17">
      <c r="Q115" s="35"/>
    </row>
    <row r="116" spans="17:17">
      <c r="Q116" s="35"/>
    </row>
    <row r="117" spans="17:17">
      <c r="Q117" s="35"/>
    </row>
    <row r="118" spans="17:17">
      <c r="Q118" s="35"/>
    </row>
    <row r="119" spans="17:17">
      <c r="Q119" s="35"/>
    </row>
    <row r="120" spans="17:17">
      <c r="Q120" s="35"/>
    </row>
    <row r="121" spans="17:17">
      <c r="Q121" s="35"/>
    </row>
    <row r="122" spans="17:17">
      <c r="Q122" s="35"/>
    </row>
    <row r="123" spans="17:17">
      <c r="Q123" s="35"/>
    </row>
    <row r="124" spans="17:17">
      <c r="Q124" s="35"/>
    </row>
    <row r="125" spans="17:17">
      <c r="Q125" s="35"/>
    </row>
    <row r="126" spans="17:17">
      <c r="Q126" s="35"/>
    </row>
    <row r="127" spans="17:17">
      <c r="Q127" s="35"/>
    </row>
    <row r="128" spans="17:17">
      <c r="Q128" s="35"/>
    </row>
    <row r="129" spans="17:17">
      <c r="Q129" s="35"/>
    </row>
    <row r="130" spans="17:17">
      <c r="Q130" s="35"/>
    </row>
    <row r="131" spans="17:17">
      <c r="Q131" s="35"/>
    </row>
    <row r="132" spans="17:17">
      <c r="Q132" s="35"/>
    </row>
    <row r="133" spans="17:17">
      <c r="Q133" s="35"/>
    </row>
    <row r="134" spans="17:17">
      <c r="Q134" s="35"/>
    </row>
    <row r="135" spans="17:17">
      <c r="Q135" s="35"/>
    </row>
    <row r="136" spans="17:17">
      <c r="Q136" s="35"/>
    </row>
    <row r="137" spans="17:17">
      <c r="Q137" s="35"/>
    </row>
    <row r="138" spans="17:17">
      <c r="Q138" s="35"/>
    </row>
    <row r="139" spans="17:17">
      <c r="Q139" s="35"/>
    </row>
    <row r="140" spans="17:17">
      <c r="Q140" s="35"/>
    </row>
    <row r="141" spans="17:17">
      <c r="Q141" s="35"/>
    </row>
    <row r="142" spans="17:17">
      <c r="Q142" s="35"/>
    </row>
    <row r="143" spans="17:17">
      <c r="Q143" s="35"/>
    </row>
    <row r="144" spans="17:17">
      <c r="Q144" s="35"/>
    </row>
    <row r="145" spans="17:17">
      <c r="Q145" s="35"/>
    </row>
    <row r="146" spans="17:17">
      <c r="Q146" s="35"/>
    </row>
    <row r="147" spans="17:17">
      <c r="Q147" s="35"/>
    </row>
    <row r="148" spans="17:17">
      <c r="Q148" s="35"/>
    </row>
    <row r="149" spans="17:17">
      <c r="Q149" s="35"/>
    </row>
    <row r="150" spans="17:17">
      <c r="Q150" s="35"/>
    </row>
    <row r="151" spans="17:17">
      <c r="Q151" s="35"/>
    </row>
    <row r="152" spans="17:17">
      <c r="Q152" s="35"/>
    </row>
    <row r="153" spans="17:17">
      <c r="Q153" s="35"/>
    </row>
    <row r="154" spans="17:17">
      <c r="Q154" s="35"/>
    </row>
    <row r="155" spans="17:17">
      <c r="Q155" s="35"/>
    </row>
    <row r="156" spans="17:17">
      <c r="Q156" s="35"/>
    </row>
    <row r="157" spans="17:17">
      <c r="Q157" s="35"/>
    </row>
    <row r="158" spans="17:17">
      <c r="Q158" s="35"/>
    </row>
    <row r="159" spans="17:17">
      <c r="Q159" s="35"/>
    </row>
    <row r="160" spans="17:17">
      <c r="Q160" s="35"/>
    </row>
    <row r="161" spans="17:17">
      <c r="Q161" s="35"/>
    </row>
    <row r="162" spans="17:17">
      <c r="Q162" s="35"/>
    </row>
    <row r="163" spans="17:17">
      <c r="Q163" s="35"/>
    </row>
    <row r="164" spans="17:17">
      <c r="Q164" s="35"/>
    </row>
    <row r="165" spans="17:17">
      <c r="Q165" s="35"/>
    </row>
    <row r="166" spans="17:17">
      <c r="Q166" s="35"/>
    </row>
    <row r="167" spans="17:17">
      <c r="Q167" s="35"/>
    </row>
    <row r="168" spans="17:17">
      <c r="Q168" s="35"/>
    </row>
    <row r="169" spans="17:17">
      <c r="Q169" s="35"/>
    </row>
    <row r="170" spans="17:17">
      <c r="Q170" s="35"/>
    </row>
    <row r="171" spans="17:17">
      <c r="Q171" s="35"/>
    </row>
    <row r="172" spans="17:17">
      <c r="Q172" s="35"/>
    </row>
    <row r="173" spans="17:17">
      <c r="Q173" s="35"/>
    </row>
    <row r="174" spans="17:17">
      <c r="Q174" s="35"/>
    </row>
    <row r="175" spans="17:17">
      <c r="Q175" s="35"/>
    </row>
    <row r="176" spans="17:17">
      <c r="Q176" s="35"/>
    </row>
    <row r="177" spans="17:17">
      <c r="Q177" s="35"/>
    </row>
    <row r="178" spans="17:17">
      <c r="Q178" s="35"/>
    </row>
    <row r="179" spans="17:17">
      <c r="Q179" s="35"/>
    </row>
    <row r="180" spans="17:17">
      <c r="Q180" s="35"/>
    </row>
    <row r="181" spans="17:17">
      <c r="Q181" s="35"/>
    </row>
    <row r="182" spans="17:17">
      <c r="Q182" s="35"/>
    </row>
    <row r="183" spans="17:17">
      <c r="Q183" s="35"/>
    </row>
    <row r="184" spans="17:17">
      <c r="Q184" s="35"/>
    </row>
    <row r="185" spans="17:17">
      <c r="Q185" s="35"/>
    </row>
    <row r="186" spans="17:17">
      <c r="Q186" s="35"/>
    </row>
    <row r="187" spans="17:17">
      <c r="Q187" s="35"/>
    </row>
    <row r="188" spans="17:17">
      <c r="Q188" s="35"/>
    </row>
    <row r="189" spans="17:17">
      <c r="Q189" s="35"/>
    </row>
    <row r="190" spans="17:17">
      <c r="Q190" s="35"/>
    </row>
    <row r="191" spans="17:17">
      <c r="Q191" s="35"/>
    </row>
    <row r="192" spans="17:17">
      <c r="Q192" s="35"/>
    </row>
    <row r="193" spans="17:17">
      <c r="Q193" s="35"/>
    </row>
    <row r="194" spans="17:17">
      <c r="Q194" s="35"/>
    </row>
    <row r="195" spans="17:17">
      <c r="Q195" s="35"/>
    </row>
    <row r="196" spans="17:17">
      <c r="Q196" s="35"/>
    </row>
    <row r="197" spans="17:17">
      <c r="Q197" s="35"/>
    </row>
    <row r="198" spans="17:17">
      <c r="Q198" s="35"/>
    </row>
    <row r="199" spans="17:17">
      <c r="Q199" s="35"/>
    </row>
    <row r="200" spans="17:17">
      <c r="Q200" s="35"/>
    </row>
    <row r="201" spans="17:17">
      <c r="Q201" s="35"/>
    </row>
    <row r="202" spans="17:17">
      <c r="Q202" s="35"/>
    </row>
    <row r="203" spans="17:17">
      <c r="Q203" s="35"/>
    </row>
    <row r="204" spans="17:17">
      <c r="Q204" s="35"/>
    </row>
    <row r="205" spans="17:17">
      <c r="Q205" s="35"/>
    </row>
    <row r="206" spans="17:17">
      <c r="Q206" s="35"/>
    </row>
    <row r="207" spans="17:17">
      <c r="Q207" s="35"/>
    </row>
    <row r="208" spans="17:17">
      <c r="Q208" s="35"/>
    </row>
    <row r="209" spans="17:17">
      <c r="Q209" s="35"/>
    </row>
    <row r="210" spans="17:17">
      <c r="Q210" s="35"/>
    </row>
    <row r="211" spans="17:17">
      <c r="Q211" s="35"/>
    </row>
    <row r="212" spans="17:17">
      <c r="Q212" s="35"/>
    </row>
    <row r="213" spans="17:17">
      <c r="Q213" s="35"/>
    </row>
    <row r="214" spans="17:17">
      <c r="Q214" s="35"/>
    </row>
    <row r="215" spans="17:17">
      <c r="Q215" s="35"/>
    </row>
    <row r="216" spans="17:17">
      <c r="Q216" s="35"/>
    </row>
    <row r="217" spans="17:17">
      <c r="Q217" s="35"/>
    </row>
    <row r="218" spans="17:17">
      <c r="Q218" s="35"/>
    </row>
    <row r="219" spans="17:17">
      <c r="Q219" s="35"/>
    </row>
    <row r="220" spans="17:17">
      <c r="Q220" s="35"/>
    </row>
    <row r="221" spans="17:17">
      <c r="Q221" s="35"/>
    </row>
    <row r="222" spans="17:17">
      <c r="Q222" s="35"/>
    </row>
    <row r="223" spans="17:17">
      <c r="Q223" s="35"/>
    </row>
    <row r="224" spans="17:17">
      <c r="Q224" s="35"/>
    </row>
    <row r="225" spans="17:17">
      <c r="Q225" s="35"/>
    </row>
    <row r="226" spans="17:17">
      <c r="Q226" s="35"/>
    </row>
    <row r="227" spans="17:17">
      <c r="Q227" s="35"/>
    </row>
    <row r="228" spans="17:17">
      <c r="Q228" s="35"/>
    </row>
    <row r="229" spans="17:17">
      <c r="Q229" s="35"/>
    </row>
    <row r="230" spans="17:17">
      <c r="Q230" s="35"/>
    </row>
    <row r="231" spans="17:17">
      <c r="Q231" s="35"/>
    </row>
    <row r="232" spans="17:17">
      <c r="Q232" s="35"/>
    </row>
    <row r="233" spans="17:17">
      <c r="Q233" s="35"/>
    </row>
    <row r="234" spans="17:17">
      <c r="Q234" s="35"/>
    </row>
    <row r="235" spans="17:17">
      <c r="Q235" s="35"/>
    </row>
    <row r="236" spans="17:17">
      <c r="Q236" s="35"/>
    </row>
    <row r="237" spans="17:17">
      <c r="Q237" s="35"/>
    </row>
    <row r="238" spans="17:17">
      <c r="Q238" s="35"/>
    </row>
    <row r="239" spans="17:17">
      <c r="Q239" s="35"/>
    </row>
    <row r="240" spans="17:17">
      <c r="Q240" s="35"/>
    </row>
    <row r="241" spans="17:17">
      <c r="Q241" s="35"/>
    </row>
    <row r="242" spans="17:17">
      <c r="Q242" s="35"/>
    </row>
    <row r="243" spans="17:17">
      <c r="Q243" s="35"/>
    </row>
    <row r="244" spans="17:17">
      <c r="Q244" s="35"/>
    </row>
    <row r="245" spans="17:17">
      <c r="Q245" s="35"/>
    </row>
    <row r="246" spans="17:17">
      <c r="Q246" s="35"/>
    </row>
    <row r="247" spans="17:17">
      <c r="Q247" s="35"/>
    </row>
    <row r="248" spans="17:17">
      <c r="Q248" s="35"/>
    </row>
    <row r="249" spans="17:17">
      <c r="Q249" s="35"/>
    </row>
    <row r="250" spans="17:17">
      <c r="Q250" s="35"/>
    </row>
    <row r="251" spans="17:17">
      <c r="Q251" s="35"/>
    </row>
    <row r="252" spans="17:17">
      <c r="Q252" s="35"/>
    </row>
    <row r="253" spans="17:17">
      <c r="Q253" s="35"/>
    </row>
    <row r="254" spans="17:17">
      <c r="Q254" s="35"/>
    </row>
    <row r="255" spans="17:17">
      <c r="Q255" s="35"/>
    </row>
    <row r="256" spans="17:17">
      <c r="Q256" s="35"/>
    </row>
    <row r="257" spans="17:17">
      <c r="Q257" s="35"/>
    </row>
    <row r="258" spans="17:17">
      <c r="Q258" s="35"/>
    </row>
    <row r="259" spans="17:17">
      <c r="Q259" s="35"/>
    </row>
    <row r="260" spans="17:17">
      <c r="Q260" s="35"/>
    </row>
    <row r="261" spans="17:17">
      <c r="Q261" s="35"/>
    </row>
    <row r="262" spans="17:17">
      <c r="Q262" s="35"/>
    </row>
    <row r="263" spans="17:17">
      <c r="Q263" s="35"/>
    </row>
    <row r="264" spans="17:17">
      <c r="Q264" s="35"/>
    </row>
    <row r="265" spans="17:17">
      <c r="Q265" s="35"/>
    </row>
    <row r="266" spans="17:17">
      <c r="Q266" s="35"/>
    </row>
    <row r="267" spans="17:17">
      <c r="Q267" s="35"/>
    </row>
    <row r="268" spans="17:17">
      <c r="Q268" s="35"/>
    </row>
    <row r="269" spans="17:17">
      <c r="Q269" s="35"/>
    </row>
    <row r="270" spans="17:17">
      <c r="Q270" s="35"/>
    </row>
    <row r="271" spans="17:17">
      <c r="Q271" s="35"/>
    </row>
    <row r="272" spans="17:17">
      <c r="Q272" s="35"/>
    </row>
    <row r="273" spans="17:17">
      <c r="Q273" s="35"/>
    </row>
    <row r="274" spans="17:17">
      <c r="Q274" s="35"/>
    </row>
    <row r="275" spans="17:17">
      <c r="Q275" s="35"/>
    </row>
    <row r="276" spans="17:17">
      <c r="Q276" s="35"/>
    </row>
    <row r="277" spans="17:17">
      <c r="Q277" s="35"/>
    </row>
    <row r="278" spans="17:17">
      <c r="Q278" s="35"/>
    </row>
    <row r="279" spans="17:17">
      <c r="Q279" s="35"/>
    </row>
    <row r="280" spans="17:17">
      <c r="Q280" s="35"/>
    </row>
    <row r="281" spans="17:17">
      <c r="Q281" s="35"/>
    </row>
    <row r="282" spans="17:17">
      <c r="Q282" s="35"/>
    </row>
    <row r="283" spans="17:17">
      <c r="Q283" s="35"/>
    </row>
    <row r="284" spans="17:17">
      <c r="Q284" s="35"/>
    </row>
    <row r="285" spans="17:17">
      <c r="Q285" s="35"/>
    </row>
    <row r="286" spans="17:17">
      <c r="Q286" s="35"/>
    </row>
    <row r="287" spans="17:17">
      <c r="Q287" s="35"/>
    </row>
    <row r="288" spans="17:17">
      <c r="Q288" s="35"/>
    </row>
    <row r="289" spans="17:17">
      <c r="Q289" s="35"/>
    </row>
    <row r="290" spans="17:17">
      <c r="Q290" s="35"/>
    </row>
    <row r="291" spans="17:17">
      <c r="Q291" s="35"/>
    </row>
    <row r="292" spans="17:17">
      <c r="Q292" s="35"/>
    </row>
    <row r="293" spans="17:17">
      <c r="Q293" s="35"/>
    </row>
    <row r="294" spans="17:17">
      <c r="Q294" s="35"/>
    </row>
    <row r="295" spans="17:17">
      <c r="Q295" s="35"/>
    </row>
    <row r="296" spans="17:17">
      <c r="Q296" s="35"/>
    </row>
    <row r="297" spans="17:17">
      <c r="Q297" s="35"/>
    </row>
    <row r="298" spans="17:17">
      <c r="Q298" s="35"/>
    </row>
    <row r="299" spans="17:17">
      <c r="Q299" s="35"/>
    </row>
    <row r="300" spans="17:17">
      <c r="Q300" s="35"/>
    </row>
    <row r="301" spans="17:17">
      <c r="Q301" s="35"/>
    </row>
    <row r="302" spans="17:17">
      <c r="Q302" s="35"/>
    </row>
    <row r="303" spans="17:17">
      <c r="Q303" s="35"/>
    </row>
    <row r="304" spans="17:17">
      <c r="Q304" s="35"/>
    </row>
    <row r="305" spans="17:17">
      <c r="Q305" s="35"/>
    </row>
    <row r="306" spans="17:17">
      <c r="Q306" s="35"/>
    </row>
    <row r="307" spans="17:17">
      <c r="Q307" s="35"/>
    </row>
    <row r="308" spans="17:17">
      <c r="Q308" s="35"/>
    </row>
    <row r="309" spans="17:17">
      <c r="Q309" s="35"/>
    </row>
    <row r="310" spans="17:17">
      <c r="Q310" s="35"/>
    </row>
    <row r="311" spans="17:17">
      <c r="Q311" s="35"/>
    </row>
    <row r="312" spans="17:17">
      <c r="Q312" s="35"/>
    </row>
    <row r="313" spans="17:17">
      <c r="Q313" s="35"/>
    </row>
    <row r="314" spans="17:17">
      <c r="Q314" s="35"/>
    </row>
    <row r="315" spans="17:17">
      <c r="Q315" s="35"/>
    </row>
    <row r="316" spans="17:17">
      <c r="Q316" s="35"/>
    </row>
    <row r="317" spans="17:17">
      <c r="Q317" s="35"/>
    </row>
    <row r="318" spans="17:17">
      <c r="Q318" s="35"/>
    </row>
    <row r="319" spans="17:17">
      <c r="Q319" s="35"/>
    </row>
    <row r="320" spans="17:17">
      <c r="Q320" s="35"/>
    </row>
    <row r="321" spans="17:17">
      <c r="Q321" s="35"/>
    </row>
    <row r="322" spans="17:17">
      <c r="Q322" s="35"/>
    </row>
    <row r="323" spans="17:17">
      <c r="Q323" s="35"/>
    </row>
    <row r="324" spans="17:17">
      <c r="Q324" s="35"/>
    </row>
    <row r="325" spans="17:17">
      <c r="Q325" s="35"/>
    </row>
    <row r="326" spans="17:17">
      <c r="Q326" s="35"/>
    </row>
    <row r="327" spans="17:17">
      <c r="Q327" s="35"/>
    </row>
    <row r="328" spans="17:17">
      <c r="Q328" s="35"/>
    </row>
    <row r="329" spans="17:17">
      <c r="Q329" s="35"/>
    </row>
    <row r="330" spans="17:17">
      <c r="Q330" s="35"/>
    </row>
    <row r="331" spans="17:17">
      <c r="Q331" s="35"/>
    </row>
    <row r="332" spans="17:17">
      <c r="Q332" s="35"/>
    </row>
    <row r="333" spans="17:17">
      <c r="Q333" s="35"/>
    </row>
    <row r="334" spans="17:17">
      <c r="Q334" s="35"/>
    </row>
    <row r="335" spans="17:17">
      <c r="Q335" s="35"/>
    </row>
    <row r="336" spans="17:17">
      <c r="Q336" s="35"/>
    </row>
    <row r="337" spans="17:17">
      <c r="Q337" s="35"/>
    </row>
    <row r="338" spans="17:17">
      <c r="Q338" s="35"/>
    </row>
    <row r="339" spans="17:17">
      <c r="Q339" s="35"/>
    </row>
    <row r="340" spans="17:17">
      <c r="Q340" s="35"/>
    </row>
    <row r="341" spans="17:17">
      <c r="Q341" s="35"/>
    </row>
    <row r="342" spans="17:17">
      <c r="Q342" s="35"/>
    </row>
    <row r="343" spans="17:17">
      <c r="Q343" s="35"/>
    </row>
    <row r="344" spans="17:17">
      <c r="Q344" s="35"/>
    </row>
    <row r="345" spans="17:17">
      <c r="Q345" s="35"/>
    </row>
    <row r="346" spans="17:17">
      <c r="Q346" s="35"/>
    </row>
    <row r="347" spans="17:17">
      <c r="Q347" s="35"/>
    </row>
    <row r="348" spans="17:17">
      <c r="Q348" s="35"/>
    </row>
    <row r="349" spans="17:17">
      <c r="Q349" s="35"/>
    </row>
    <row r="350" spans="17:17">
      <c r="Q350" s="35"/>
    </row>
    <row r="351" spans="17:17">
      <c r="Q351" s="35"/>
    </row>
    <row r="352" spans="17:17">
      <c r="Q352" s="35"/>
    </row>
    <row r="353" spans="17:17">
      <c r="Q353" s="35"/>
    </row>
    <row r="354" spans="17:17">
      <c r="Q354" s="35"/>
    </row>
    <row r="355" spans="17:17">
      <c r="Q355" s="35"/>
    </row>
    <row r="356" spans="17:17">
      <c r="Q356" s="35"/>
    </row>
    <row r="357" spans="17:17">
      <c r="Q357" s="35"/>
    </row>
    <row r="358" spans="17:17">
      <c r="Q358" s="35"/>
    </row>
    <row r="359" spans="17:17">
      <c r="Q359" s="35"/>
    </row>
    <row r="360" spans="17:17">
      <c r="Q360" s="35"/>
    </row>
    <row r="361" spans="17:17">
      <c r="Q361" s="35"/>
    </row>
    <row r="362" spans="17:17">
      <c r="Q362" s="35"/>
    </row>
    <row r="363" spans="17:17">
      <c r="Q363" s="35"/>
    </row>
    <row r="364" spans="17:17">
      <c r="Q364" s="35"/>
    </row>
    <row r="365" spans="17:17">
      <c r="Q365" s="35"/>
    </row>
    <row r="366" spans="17:17">
      <c r="Q366" s="35"/>
    </row>
    <row r="367" spans="17:17">
      <c r="Q367" s="35"/>
    </row>
    <row r="368" spans="17:17">
      <c r="Q368" s="35"/>
    </row>
    <row r="369" spans="17:17">
      <c r="Q369" s="35"/>
    </row>
    <row r="370" spans="17:17">
      <c r="Q370" s="35"/>
    </row>
    <row r="371" spans="17:17">
      <c r="Q371" s="35"/>
    </row>
    <row r="372" spans="17:17">
      <c r="Q372" s="35"/>
    </row>
    <row r="373" spans="17:17">
      <c r="Q373" s="35"/>
    </row>
    <row r="374" spans="17:17">
      <c r="Q374" s="35"/>
    </row>
    <row r="375" spans="17:17">
      <c r="Q375" s="35"/>
    </row>
    <row r="376" spans="17:17">
      <c r="Q376" s="35"/>
    </row>
    <row r="377" spans="17:17">
      <c r="Q377" s="35"/>
    </row>
    <row r="378" spans="17:17">
      <c r="Q378" s="35"/>
    </row>
    <row r="379" spans="17:17">
      <c r="Q379" s="35"/>
    </row>
    <row r="380" spans="17:17">
      <c r="Q380" s="35"/>
    </row>
    <row r="381" spans="17:17">
      <c r="Q381" s="35"/>
    </row>
    <row r="382" spans="17:17">
      <c r="Q382" s="35"/>
    </row>
    <row r="383" spans="17:17">
      <c r="Q383" s="35"/>
    </row>
    <row r="384" spans="17:17">
      <c r="Q384" s="35"/>
    </row>
    <row r="385" spans="17:17">
      <c r="Q385" s="35"/>
    </row>
    <row r="386" spans="17:17">
      <c r="Q386" s="35"/>
    </row>
    <row r="387" spans="17:17">
      <c r="Q387" s="35"/>
    </row>
    <row r="388" spans="17:17">
      <c r="Q388" s="35"/>
    </row>
    <row r="389" spans="17:17">
      <c r="Q389" s="35"/>
    </row>
    <row r="390" spans="17:17">
      <c r="Q390" s="35"/>
    </row>
    <row r="391" spans="17:17">
      <c r="Q391" s="35"/>
    </row>
    <row r="392" spans="17:17">
      <c r="Q392" s="35"/>
    </row>
    <row r="393" spans="17:17">
      <c r="Q393" s="35"/>
    </row>
    <row r="394" spans="17:17">
      <c r="Q394" s="35"/>
    </row>
    <row r="395" spans="17:17">
      <c r="Q395" s="35"/>
    </row>
    <row r="396" spans="17:17">
      <c r="Q396" s="35"/>
    </row>
    <row r="397" spans="17:17">
      <c r="Q397" s="35"/>
    </row>
    <row r="398" spans="17:17">
      <c r="Q398" s="35"/>
    </row>
    <row r="399" spans="17:17">
      <c r="Q399" s="35"/>
    </row>
    <row r="400" spans="17:17">
      <c r="Q400" s="35"/>
    </row>
    <row r="401" spans="17:17">
      <c r="Q401" s="35"/>
    </row>
    <row r="402" spans="17:17">
      <c r="Q402" s="35"/>
    </row>
    <row r="403" spans="17:17">
      <c r="Q403" s="35"/>
    </row>
    <row r="404" spans="17:17">
      <c r="Q404" s="35"/>
    </row>
    <row r="405" spans="17:17">
      <c r="Q405" s="35"/>
    </row>
    <row r="406" spans="17:17">
      <c r="Q406" s="35"/>
    </row>
    <row r="407" spans="17:17">
      <c r="Q407" s="35"/>
    </row>
    <row r="408" spans="17:17">
      <c r="Q408" s="35"/>
    </row>
    <row r="409" spans="17:17">
      <c r="Q409" s="35"/>
    </row>
    <row r="410" spans="17:17">
      <c r="Q410" s="35"/>
    </row>
    <row r="411" spans="17:17">
      <c r="Q411" s="35"/>
    </row>
    <row r="412" spans="17:17">
      <c r="Q412" s="35"/>
    </row>
    <row r="413" spans="17:17">
      <c r="Q413" s="35"/>
    </row>
    <row r="414" spans="17:17">
      <c r="Q414" s="35"/>
    </row>
    <row r="415" spans="17:17">
      <c r="Q415" s="35"/>
    </row>
    <row r="416" spans="17:17">
      <c r="Q416" s="35"/>
    </row>
    <row r="417" spans="17:17">
      <c r="Q417" s="35"/>
    </row>
    <row r="418" spans="17:17">
      <c r="Q418" s="35"/>
    </row>
    <row r="419" spans="17:17">
      <c r="Q419" s="35"/>
    </row>
    <row r="420" spans="17:17">
      <c r="Q420" s="35"/>
    </row>
    <row r="421" spans="17:17">
      <c r="Q421" s="35"/>
    </row>
    <row r="422" spans="17:17">
      <c r="Q422" s="35"/>
    </row>
    <row r="423" spans="17:17">
      <c r="Q423" s="35"/>
    </row>
    <row r="424" spans="17:17">
      <c r="Q424" s="35"/>
    </row>
    <row r="425" spans="17:17">
      <c r="Q425" s="35"/>
    </row>
    <row r="426" spans="17:17">
      <c r="Q426" s="35"/>
    </row>
    <row r="427" spans="17:17">
      <c r="Q427" s="35"/>
    </row>
    <row r="428" spans="17:17">
      <c r="Q428" s="35"/>
    </row>
    <row r="429" spans="17:17">
      <c r="Q429" s="35"/>
    </row>
    <row r="430" spans="17:17">
      <c r="Q430" s="35"/>
    </row>
    <row r="431" spans="17:17">
      <c r="Q431" s="35"/>
    </row>
    <row r="432" spans="17:17">
      <c r="Q432" s="35"/>
    </row>
    <row r="433" spans="17:17">
      <c r="Q433" s="35"/>
    </row>
    <row r="434" spans="17:17">
      <c r="Q434" s="35"/>
    </row>
    <row r="435" spans="17:17">
      <c r="Q435" s="35"/>
    </row>
    <row r="436" spans="17:17">
      <c r="Q436" s="35"/>
    </row>
    <row r="437" spans="17:17">
      <c r="Q437" s="35"/>
    </row>
    <row r="438" spans="17:17">
      <c r="Q438" s="35"/>
    </row>
    <row r="439" spans="17:17">
      <c r="Q439" s="35"/>
    </row>
    <row r="440" spans="17:17">
      <c r="Q440" s="35"/>
    </row>
    <row r="441" spans="17:17">
      <c r="Q441" s="35"/>
    </row>
    <row r="442" spans="17:17">
      <c r="Q442" s="35"/>
    </row>
    <row r="443" spans="17:17">
      <c r="Q443" s="35"/>
    </row>
    <row r="444" spans="17:17">
      <c r="Q444" s="35"/>
    </row>
    <row r="445" spans="17:17">
      <c r="Q445" s="35"/>
    </row>
    <row r="446" spans="17:17">
      <c r="Q446" s="35"/>
    </row>
    <row r="447" spans="17:17">
      <c r="Q447" s="35"/>
    </row>
    <row r="448" spans="17:17">
      <c r="Q448" s="35"/>
    </row>
    <row r="449" spans="17:17">
      <c r="Q449" s="35"/>
    </row>
    <row r="450" spans="17:17">
      <c r="Q450" s="35"/>
    </row>
    <row r="451" spans="17:17">
      <c r="Q451" s="35"/>
    </row>
    <row r="452" spans="17:17">
      <c r="Q452" s="35"/>
    </row>
    <row r="453" spans="17:17">
      <c r="Q453" s="35"/>
    </row>
    <row r="454" spans="17:17">
      <c r="Q454" s="35"/>
    </row>
    <row r="455" spans="17:17">
      <c r="Q455" s="35"/>
    </row>
    <row r="456" spans="17:17">
      <c r="Q456" s="35"/>
    </row>
    <row r="457" spans="17:17">
      <c r="Q457" s="35"/>
    </row>
    <row r="458" spans="17:17">
      <c r="Q458" s="35"/>
    </row>
    <row r="459" spans="17:17">
      <c r="Q459" s="35"/>
    </row>
    <row r="460" spans="17:17">
      <c r="Q460" s="35"/>
    </row>
    <row r="461" spans="17:17">
      <c r="Q461" s="35"/>
    </row>
    <row r="462" spans="17:17">
      <c r="Q462" s="35"/>
    </row>
    <row r="463" spans="17:17">
      <c r="Q463" s="35"/>
    </row>
    <row r="464" spans="17:17">
      <c r="Q464" s="35"/>
    </row>
    <row r="465" spans="17:17">
      <c r="Q465" s="35"/>
    </row>
    <row r="466" spans="17:17">
      <c r="Q466" s="35"/>
    </row>
    <row r="467" spans="17:17">
      <c r="Q467" s="35"/>
    </row>
    <row r="468" spans="17:17">
      <c r="Q468" s="35"/>
    </row>
    <row r="469" spans="17:17">
      <c r="Q469" s="35"/>
    </row>
    <row r="470" spans="17:17">
      <c r="Q470" s="35"/>
    </row>
    <row r="471" spans="17:17">
      <c r="Q471" s="35"/>
    </row>
    <row r="472" spans="17:17">
      <c r="Q472" s="35"/>
    </row>
    <row r="473" spans="17:17">
      <c r="Q473" s="35"/>
    </row>
    <row r="474" spans="17:17">
      <c r="Q474" s="35"/>
    </row>
    <row r="475" spans="17:17">
      <c r="Q475" s="35"/>
    </row>
    <row r="476" spans="17:17">
      <c r="Q476" s="35"/>
    </row>
    <row r="477" spans="17:17">
      <c r="Q477" s="35"/>
    </row>
    <row r="478" spans="17:17">
      <c r="Q478" s="35"/>
    </row>
    <row r="479" spans="17:17">
      <c r="Q479" s="35"/>
    </row>
    <row r="480" spans="17:17">
      <c r="Q480" s="35"/>
    </row>
    <row r="481" spans="17:17">
      <c r="Q481" s="35"/>
    </row>
    <row r="482" spans="17:17">
      <c r="Q482" s="35"/>
    </row>
    <row r="483" spans="17:17">
      <c r="Q483" s="35"/>
    </row>
    <row r="484" spans="17:17">
      <c r="Q484" s="35"/>
    </row>
    <row r="485" spans="17:17">
      <c r="Q485" s="35"/>
    </row>
    <row r="486" spans="17:17">
      <c r="Q486" s="35"/>
    </row>
    <row r="487" spans="17:17">
      <c r="Q487" s="35"/>
    </row>
    <row r="488" spans="17:17">
      <c r="Q488" s="35"/>
    </row>
    <row r="489" spans="17:17">
      <c r="Q489" s="35"/>
    </row>
    <row r="490" spans="17:17">
      <c r="Q490" s="35"/>
    </row>
    <row r="491" spans="17:17">
      <c r="Q491" s="35"/>
    </row>
    <row r="492" spans="17:17">
      <c r="Q492" s="35"/>
    </row>
    <row r="493" spans="17:17">
      <c r="Q493" s="35"/>
    </row>
    <row r="494" spans="17:17">
      <c r="Q494" s="35"/>
    </row>
    <row r="495" spans="17:17">
      <c r="Q495" s="35"/>
    </row>
    <row r="496" spans="17:17">
      <c r="Q496" s="35"/>
    </row>
    <row r="497" spans="17:17">
      <c r="Q497" s="35"/>
    </row>
    <row r="498" spans="17:17">
      <c r="Q498" s="35"/>
    </row>
    <row r="499" spans="17:17">
      <c r="Q499" s="35"/>
    </row>
    <row r="500" spans="17:17">
      <c r="Q500" s="35"/>
    </row>
    <row r="501" spans="17:17">
      <c r="Q501" s="35"/>
    </row>
    <row r="502" spans="17:17">
      <c r="Q502" s="35"/>
    </row>
    <row r="503" spans="17:17">
      <c r="Q503" s="35"/>
    </row>
    <row r="504" spans="17:17">
      <c r="Q504" s="35"/>
    </row>
    <row r="505" spans="17:17">
      <c r="Q505" s="35"/>
    </row>
    <row r="506" spans="17:17">
      <c r="Q506" s="35"/>
    </row>
    <row r="507" spans="17:17">
      <c r="Q507" s="35"/>
    </row>
    <row r="508" spans="17:17">
      <c r="Q508" s="35"/>
    </row>
    <row r="509" spans="17:17">
      <c r="Q509" s="35"/>
    </row>
    <row r="510" spans="17:17">
      <c r="Q510" s="35"/>
    </row>
    <row r="511" spans="17:17">
      <c r="Q511" s="35"/>
    </row>
    <row r="512" spans="17:17">
      <c r="Q512" s="35"/>
    </row>
    <row r="513" spans="17:17">
      <c r="Q513" s="35"/>
    </row>
    <row r="514" spans="17:17">
      <c r="Q514" s="35"/>
    </row>
    <row r="515" spans="17:17">
      <c r="Q515" s="35"/>
    </row>
    <row r="516" spans="17:17">
      <c r="Q516" s="35"/>
    </row>
    <row r="517" spans="17:17">
      <c r="Q517" s="35"/>
    </row>
    <row r="518" spans="17:17">
      <c r="Q518" s="35"/>
    </row>
    <row r="519" spans="17:17">
      <c r="Q519" s="35"/>
    </row>
    <row r="520" spans="17:17">
      <c r="Q520" s="35"/>
    </row>
    <row r="521" spans="17:17">
      <c r="Q521" s="35"/>
    </row>
    <row r="522" spans="17:17">
      <c r="Q522" s="35"/>
    </row>
    <row r="523" spans="17:17">
      <c r="Q523" s="35"/>
    </row>
    <row r="524" spans="17:17">
      <c r="Q524" s="35"/>
    </row>
    <row r="525" spans="17:17">
      <c r="Q525" s="35"/>
    </row>
    <row r="526" spans="17:17">
      <c r="Q526" s="35"/>
    </row>
    <row r="527" spans="17:17">
      <c r="Q527" s="35"/>
    </row>
    <row r="528" spans="17:17">
      <c r="Q528" s="35"/>
    </row>
    <row r="529" spans="17:17">
      <c r="Q529" s="35"/>
    </row>
    <row r="530" spans="17:17">
      <c r="Q530" s="35"/>
    </row>
    <row r="531" spans="17:17">
      <c r="Q531" s="35"/>
    </row>
    <row r="532" spans="17:17">
      <c r="Q532" s="35"/>
    </row>
    <row r="533" spans="17:17">
      <c r="Q533" s="35"/>
    </row>
    <row r="534" spans="17:17">
      <c r="Q534" s="35"/>
    </row>
    <row r="535" spans="17:17">
      <c r="Q535" s="35"/>
    </row>
    <row r="536" spans="17:17">
      <c r="Q536" s="35"/>
    </row>
    <row r="537" spans="17:17">
      <c r="Q537" s="35"/>
    </row>
    <row r="538" spans="17:17">
      <c r="Q538" s="35"/>
    </row>
    <row r="539" spans="17:17">
      <c r="Q539" s="35"/>
    </row>
    <row r="540" spans="17:17">
      <c r="Q540" s="35"/>
    </row>
    <row r="541" spans="17:17">
      <c r="Q541" s="35"/>
    </row>
    <row r="542" spans="17:17">
      <c r="Q542" s="35"/>
    </row>
    <row r="543" spans="17:17">
      <c r="Q543" s="35"/>
    </row>
    <row r="544" spans="17:17">
      <c r="Q544" s="35"/>
    </row>
    <row r="545" spans="17:17">
      <c r="Q545" s="35"/>
    </row>
    <row r="546" spans="17:17">
      <c r="Q546" s="35"/>
    </row>
    <row r="547" spans="17:17">
      <c r="Q547" s="35"/>
    </row>
    <row r="548" spans="17:17">
      <c r="Q548" s="35"/>
    </row>
    <row r="549" spans="17:17">
      <c r="Q549" s="35"/>
    </row>
    <row r="550" spans="17:17">
      <c r="Q550" s="35"/>
    </row>
    <row r="551" spans="17:17">
      <c r="Q551" s="35"/>
    </row>
    <row r="552" spans="17:17">
      <c r="Q552" s="35"/>
    </row>
    <row r="553" spans="17:17">
      <c r="Q553" s="35"/>
    </row>
    <row r="554" spans="17:17">
      <c r="Q554" s="35"/>
    </row>
    <row r="555" spans="17:17">
      <c r="Q555" s="35"/>
    </row>
    <row r="556" spans="17:17">
      <c r="Q556" s="35"/>
    </row>
    <row r="557" spans="17:17">
      <c r="Q557" s="35"/>
    </row>
    <row r="558" spans="17:17">
      <c r="Q558" s="35"/>
    </row>
    <row r="559" spans="17:17">
      <c r="Q559" s="35"/>
    </row>
    <row r="560" spans="17:17">
      <c r="Q560" s="35"/>
    </row>
    <row r="561" spans="17:17">
      <c r="Q561" s="35"/>
    </row>
    <row r="562" spans="17:17">
      <c r="Q562" s="35"/>
    </row>
    <row r="563" spans="17:17">
      <c r="Q563" s="35"/>
    </row>
    <row r="564" spans="17:17">
      <c r="Q564" s="35"/>
    </row>
    <row r="565" spans="17:17">
      <c r="Q565" s="35"/>
    </row>
    <row r="566" spans="17:17">
      <c r="Q566" s="35"/>
    </row>
    <row r="567" spans="17:17">
      <c r="Q567" s="35"/>
    </row>
    <row r="568" spans="17:17">
      <c r="Q568" s="35"/>
    </row>
    <row r="569" spans="17:17">
      <c r="Q569" s="35"/>
    </row>
    <row r="570" spans="17:17">
      <c r="Q570" s="35"/>
    </row>
    <row r="571" spans="17:17">
      <c r="Q571" s="35"/>
    </row>
    <row r="572" spans="17:17">
      <c r="Q572" s="35"/>
    </row>
    <row r="573" spans="17:17">
      <c r="Q573" s="35"/>
    </row>
    <row r="574" spans="17:17">
      <c r="Q574" s="35"/>
    </row>
    <row r="575" spans="17:17">
      <c r="Q575" s="35"/>
    </row>
    <row r="576" spans="17:17">
      <c r="Q576" s="35"/>
    </row>
    <row r="577" spans="17:17">
      <c r="Q577" s="35"/>
    </row>
    <row r="578" spans="17:17">
      <c r="Q578" s="35"/>
    </row>
    <row r="579" spans="17:17">
      <c r="Q579" s="35"/>
    </row>
    <row r="580" spans="17:17">
      <c r="Q580" s="35"/>
    </row>
    <row r="581" spans="17:17">
      <c r="Q581" s="35"/>
    </row>
    <row r="582" spans="17:17">
      <c r="Q582" s="35"/>
    </row>
    <row r="583" spans="17:17">
      <c r="Q583" s="35"/>
    </row>
    <row r="584" spans="17:17">
      <c r="Q584" s="35"/>
    </row>
    <row r="585" spans="17:17">
      <c r="Q585" s="35"/>
    </row>
    <row r="586" spans="17:17">
      <c r="Q586" s="35"/>
    </row>
    <row r="587" spans="17:17">
      <c r="Q587" s="35"/>
    </row>
    <row r="588" spans="17:17">
      <c r="Q588" s="35"/>
    </row>
    <row r="589" spans="17:17">
      <c r="Q589" s="35"/>
    </row>
    <row r="590" spans="17:17">
      <c r="Q590" s="35"/>
    </row>
    <row r="591" spans="17:17">
      <c r="Q591" s="35"/>
    </row>
    <row r="592" spans="17:17">
      <c r="Q592" s="35"/>
    </row>
    <row r="593" spans="17:17">
      <c r="Q593" s="35"/>
    </row>
    <row r="594" spans="17:17">
      <c r="Q594" s="35"/>
    </row>
    <row r="595" spans="17:17">
      <c r="Q595" s="35"/>
    </row>
    <row r="596" spans="17:17">
      <c r="Q596" s="35"/>
    </row>
    <row r="597" spans="17:17">
      <c r="Q597" s="35"/>
    </row>
    <row r="598" spans="17:17">
      <c r="Q598" s="35"/>
    </row>
    <row r="599" spans="17:17">
      <c r="Q599" s="35"/>
    </row>
    <row r="600" spans="17:17">
      <c r="Q600" s="35"/>
    </row>
    <row r="601" spans="17:17">
      <c r="Q601" s="35"/>
    </row>
    <row r="602" spans="17:17">
      <c r="Q602" s="35"/>
    </row>
    <row r="603" spans="17:17">
      <c r="Q603" s="35"/>
    </row>
    <row r="604" spans="17:17">
      <c r="Q604" s="35"/>
    </row>
    <row r="605" spans="17:17">
      <c r="Q605" s="35"/>
    </row>
    <row r="606" spans="17:17">
      <c r="Q606" s="35"/>
    </row>
    <row r="607" spans="17:17">
      <c r="Q607" s="35"/>
    </row>
    <row r="608" spans="17:17">
      <c r="Q608" s="35"/>
    </row>
    <row r="609" spans="17:17">
      <c r="Q609" s="35"/>
    </row>
    <row r="610" spans="17:17">
      <c r="Q610" s="35"/>
    </row>
    <row r="611" spans="17:17">
      <c r="Q611" s="35"/>
    </row>
    <row r="612" spans="17:17">
      <c r="Q612" s="35"/>
    </row>
    <row r="613" spans="17:17">
      <c r="Q613" s="35"/>
    </row>
    <row r="614" spans="17:17">
      <c r="Q614" s="35"/>
    </row>
    <row r="615" spans="17:17">
      <c r="Q615" s="35"/>
    </row>
    <row r="616" spans="17:17">
      <c r="Q616" s="35"/>
    </row>
    <row r="617" spans="17:17">
      <c r="Q617" s="35"/>
    </row>
    <row r="618" spans="17:17">
      <c r="Q618" s="35"/>
    </row>
    <row r="619" spans="17:17">
      <c r="Q619" s="35"/>
    </row>
    <row r="620" spans="17:17">
      <c r="Q620" s="35"/>
    </row>
    <row r="621" spans="17:17">
      <c r="Q621" s="35"/>
    </row>
    <row r="622" spans="17:17">
      <c r="Q622" s="35"/>
    </row>
    <row r="623" spans="17:17">
      <c r="Q623" s="35"/>
    </row>
    <row r="624" spans="17:17">
      <c r="Q624" s="35"/>
    </row>
    <row r="625" spans="17:17">
      <c r="Q625" s="35"/>
    </row>
    <row r="626" spans="17:17">
      <c r="Q626" s="35"/>
    </row>
    <row r="627" spans="17:17">
      <c r="Q627" s="35"/>
    </row>
    <row r="628" spans="17:17">
      <c r="Q628" s="35"/>
    </row>
    <row r="629" spans="17:17">
      <c r="Q629" s="35"/>
    </row>
    <row r="630" spans="17:17">
      <c r="Q630" s="35"/>
    </row>
    <row r="631" spans="17:17">
      <c r="Q631" s="35"/>
    </row>
    <row r="632" spans="17:17">
      <c r="Q632" s="35"/>
    </row>
    <row r="633" spans="17:17">
      <c r="Q633" s="35"/>
    </row>
    <row r="634" spans="17:17">
      <c r="Q634" s="35"/>
    </row>
    <row r="635" spans="17:17">
      <c r="Q635" s="35"/>
    </row>
    <row r="636" spans="17:17">
      <c r="Q636" s="35"/>
    </row>
    <row r="637" spans="17:17">
      <c r="Q637" s="35"/>
    </row>
    <row r="638" spans="17:17">
      <c r="Q638" s="35"/>
    </row>
    <row r="639" spans="17:17">
      <c r="Q639" s="35"/>
    </row>
    <row r="640" spans="17:17">
      <c r="Q640" s="35"/>
    </row>
    <row r="641" spans="17:17">
      <c r="Q641" s="35"/>
    </row>
    <row r="642" spans="17:17">
      <c r="Q642" s="35"/>
    </row>
    <row r="643" spans="17:17">
      <c r="Q643" s="35"/>
    </row>
    <row r="644" spans="17:17">
      <c r="Q644" s="35"/>
    </row>
    <row r="645" spans="17:17">
      <c r="Q645" s="35"/>
    </row>
    <row r="646" spans="17:17">
      <c r="Q646" s="35"/>
    </row>
    <row r="647" spans="17:17">
      <c r="Q647" s="35"/>
    </row>
    <row r="648" spans="17:17">
      <c r="Q648" s="35"/>
    </row>
    <row r="649" spans="17:17">
      <c r="Q649" s="35"/>
    </row>
    <row r="650" spans="17:17">
      <c r="Q650" s="35"/>
    </row>
    <row r="651" spans="17:17">
      <c r="Q651" s="35"/>
    </row>
    <row r="652" spans="17:17">
      <c r="Q652" s="35"/>
    </row>
    <row r="653" spans="17:17">
      <c r="Q653" s="35"/>
    </row>
    <row r="654" spans="17:17">
      <c r="Q654" s="35"/>
    </row>
    <row r="655" spans="17:17">
      <c r="Q655" s="35"/>
    </row>
    <row r="656" spans="17:17">
      <c r="Q656" s="35"/>
    </row>
    <row r="657" spans="17:17">
      <c r="Q657" s="35"/>
    </row>
    <row r="658" spans="17:17">
      <c r="Q658" s="35"/>
    </row>
    <row r="659" spans="17:17">
      <c r="Q659" s="35"/>
    </row>
    <row r="660" spans="17:17">
      <c r="Q660" s="35"/>
    </row>
    <row r="661" spans="17:17">
      <c r="Q661" s="35"/>
    </row>
    <row r="662" spans="17:17">
      <c r="Q662" s="35"/>
    </row>
    <row r="663" spans="17:17">
      <c r="Q663" s="35"/>
    </row>
    <row r="664" spans="17:17">
      <c r="Q664" s="35"/>
    </row>
    <row r="665" spans="17:17">
      <c r="Q665" s="35"/>
    </row>
    <row r="666" spans="17:17">
      <c r="Q666" s="35"/>
    </row>
    <row r="667" spans="17:17">
      <c r="Q667" s="35"/>
    </row>
    <row r="668" spans="17:17">
      <c r="Q668" s="35"/>
    </row>
    <row r="669" spans="17:17">
      <c r="Q669" s="35"/>
    </row>
    <row r="670" spans="17:17">
      <c r="Q670" s="35"/>
    </row>
    <row r="671" spans="17:17">
      <c r="Q671" s="35"/>
    </row>
    <row r="672" spans="17:17">
      <c r="Q672" s="35"/>
    </row>
    <row r="673" spans="17:17">
      <c r="Q673" s="35"/>
    </row>
    <row r="674" spans="17:17">
      <c r="Q674" s="35"/>
    </row>
    <row r="675" spans="17:17">
      <c r="Q675" s="35"/>
    </row>
    <row r="676" spans="17:17">
      <c r="Q676" s="35"/>
    </row>
    <row r="677" spans="17:17">
      <c r="Q677" s="35"/>
    </row>
    <row r="678" spans="17:17">
      <c r="Q678" s="35"/>
    </row>
    <row r="679" spans="17:17">
      <c r="Q679" s="35"/>
    </row>
    <row r="680" spans="17:17">
      <c r="Q680" s="35"/>
    </row>
    <row r="681" spans="17:17">
      <c r="Q681" s="35"/>
    </row>
    <row r="682" spans="17:17">
      <c r="Q682" s="35"/>
    </row>
    <row r="683" spans="17:17">
      <c r="Q683" s="35"/>
    </row>
    <row r="684" spans="17:17">
      <c r="Q684" s="35"/>
    </row>
    <row r="685" spans="17:17">
      <c r="Q685" s="35"/>
    </row>
    <row r="686" spans="17:17">
      <c r="Q686" s="35"/>
    </row>
    <row r="687" spans="17:17">
      <c r="Q687" s="35"/>
    </row>
    <row r="688" spans="17:17">
      <c r="Q688" s="35"/>
    </row>
    <row r="689" spans="17:17">
      <c r="Q689" s="35"/>
    </row>
    <row r="690" spans="17:17">
      <c r="Q690" s="35"/>
    </row>
    <row r="691" spans="17:17">
      <c r="Q691" s="35"/>
    </row>
    <row r="692" spans="17:17">
      <c r="Q692" s="35"/>
    </row>
    <row r="693" spans="17:17">
      <c r="Q693" s="35"/>
    </row>
    <row r="694" spans="17:17">
      <c r="Q694" s="35"/>
    </row>
    <row r="695" spans="17:17">
      <c r="Q695" s="35"/>
    </row>
    <row r="696" spans="17:17">
      <c r="Q696" s="35"/>
    </row>
    <row r="697" spans="17:17">
      <c r="Q697" s="35"/>
    </row>
    <row r="698" spans="17:17">
      <c r="Q698" s="35"/>
    </row>
    <row r="699" spans="17:17">
      <c r="Q699" s="35"/>
    </row>
    <row r="700" spans="17:17">
      <c r="Q700" s="35"/>
    </row>
    <row r="701" spans="17:17">
      <c r="Q701" s="35"/>
    </row>
    <row r="702" spans="17:17">
      <c r="Q702" s="35"/>
    </row>
    <row r="703" spans="17:17">
      <c r="Q703" s="35"/>
    </row>
    <row r="704" spans="17:17">
      <c r="Q704" s="35"/>
    </row>
    <row r="705" spans="17:17">
      <c r="Q705" s="35"/>
    </row>
    <row r="706" spans="17:17">
      <c r="Q706" s="35"/>
    </row>
    <row r="707" spans="17:17">
      <c r="Q707" s="35"/>
    </row>
    <row r="708" spans="17:17">
      <c r="Q708" s="35"/>
    </row>
    <row r="709" spans="17:17">
      <c r="Q709" s="35"/>
    </row>
    <row r="710" spans="17:17">
      <c r="Q710" s="35"/>
    </row>
    <row r="711" spans="17:17">
      <c r="Q711" s="35"/>
    </row>
    <row r="712" spans="17:17">
      <c r="Q712" s="35"/>
    </row>
    <row r="713" spans="17:17">
      <c r="Q713" s="35"/>
    </row>
    <row r="714" spans="17:17">
      <c r="Q714" s="35"/>
    </row>
    <row r="715" spans="17:17">
      <c r="Q715" s="35"/>
    </row>
    <row r="716" spans="17:17">
      <c r="Q716" s="35"/>
    </row>
    <row r="717" spans="17:17">
      <c r="Q717" s="35"/>
    </row>
    <row r="718" spans="17:17">
      <c r="Q718" s="35"/>
    </row>
    <row r="719" spans="17:17">
      <c r="Q719" s="35"/>
    </row>
    <row r="720" spans="17:17">
      <c r="Q720" s="35"/>
    </row>
    <row r="721" spans="17:17">
      <c r="Q721" s="35"/>
    </row>
    <row r="722" spans="17:17">
      <c r="Q722" s="35"/>
    </row>
    <row r="723" spans="17:17">
      <c r="Q723" s="35"/>
    </row>
    <row r="724" spans="17:17">
      <c r="Q724" s="35"/>
    </row>
    <row r="725" spans="17:17">
      <c r="Q725" s="35"/>
    </row>
    <row r="726" spans="17:17">
      <c r="Q726" s="35"/>
    </row>
    <row r="727" spans="17:17">
      <c r="Q727" s="35"/>
    </row>
    <row r="728" spans="17:17">
      <c r="Q728" s="35"/>
    </row>
    <row r="729" spans="17:17">
      <c r="Q729" s="35"/>
    </row>
    <row r="730" spans="17:17">
      <c r="Q730" s="35"/>
    </row>
    <row r="731" spans="17:17">
      <c r="Q731" s="35"/>
    </row>
    <row r="732" spans="17:17">
      <c r="Q732" s="35"/>
    </row>
    <row r="733" spans="17:17">
      <c r="Q733" s="35"/>
    </row>
    <row r="734" spans="17:17">
      <c r="Q734" s="35"/>
    </row>
    <row r="735" spans="17:17">
      <c r="Q735" s="35"/>
    </row>
    <row r="736" spans="17:17">
      <c r="Q736" s="35"/>
    </row>
    <row r="737" spans="17:17">
      <c r="Q737" s="35"/>
    </row>
    <row r="738" spans="17:17">
      <c r="Q738" s="35"/>
    </row>
    <row r="739" spans="17:17">
      <c r="Q739" s="35"/>
    </row>
    <row r="740" spans="17:17">
      <c r="Q740" s="35"/>
    </row>
    <row r="741" spans="17:17">
      <c r="Q741" s="35"/>
    </row>
    <row r="742" spans="17:17">
      <c r="Q742" s="35"/>
    </row>
    <row r="743" spans="17:17">
      <c r="Q743" s="35"/>
    </row>
    <row r="744" spans="17:17">
      <c r="Q744" s="35"/>
    </row>
    <row r="745" spans="17:17">
      <c r="Q745" s="35"/>
    </row>
    <row r="746" spans="17:17">
      <c r="Q746" s="35"/>
    </row>
    <row r="747" spans="17:17">
      <c r="Q747" s="35"/>
    </row>
    <row r="748" spans="17:17">
      <c r="Q748" s="35"/>
    </row>
    <row r="749" spans="17:17">
      <c r="Q749" s="35"/>
    </row>
    <row r="750" spans="17:17">
      <c r="Q750" s="35"/>
    </row>
    <row r="751" spans="17:17">
      <c r="Q751" s="35"/>
    </row>
    <row r="752" spans="17:17">
      <c r="Q752" s="35"/>
    </row>
    <row r="753" spans="17:17">
      <c r="Q753" s="35"/>
    </row>
  </sheetData>
  <autoFilter ref="C4:AC19" xr:uid="{2EFB1CF2-4C9E-4CA3-B1A9-D538D88EACC2}"/>
  <mergeCells count="6">
    <mergeCell ref="A7:A9"/>
    <mergeCell ref="A12:A13"/>
    <mergeCell ref="B2:AB2"/>
    <mergeCell ref="O15:X15"/>
    <mergeCell ref="AA6:AA8"/>
    <mergeCell ref="AB6:AB8"/>
  </mergeCells>
  <pageMargins left="0.23622047244094491" right="0.23622047244094491" top="0.74803149606299213" bottom="0.74803149606299213" header="0.31496062992125984" footer="0.31496062992125984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A0D8-EAB5-4E29-8F23-8DD996A022C8}">
  <sheetPr>
    <pageSetUpPr fitToPage="1"/>
  </sheetPr>
  <dimension ref="A1:O66"/>
  <sheetViews>
    <sheetView topLeftCell="A7" workbookViewId="0">
      <selection activeCell="N34" sqref="N34"/>
    </sheetView>
  </sheetViews>
  <sheetFormatPr defaultColWidth="8.77734375" defaultRowHeight="14.4"/>
  <cols>
    <col min="1" max="1" width="10.5546875" style="51" bestFit="1" customWidth="1"/>
    <col min="2" max="4" width="8.77734375" style="51"/>
    <col min="5" max="5" width="13.109375" style="51" customWidth="1"/>
    <col min="6" max="6" width="10.21875" style="51" customWidth="1"/>
    <col min="7" max="13" width="8.77734375" style="51"/>
    <col min="14" max="14" width="12.44140625" style="51" bestFit="1" customWidth="1"/>
    <col min="15" max="16384" width="8.77734375" style="51"/>
  </cols>
  <sheetData>
    <row r="1" spans="1:15">
      <c r="B1" s="115" t="s">
        <v>31</v>
      </c>
      <c r="C1" s="115"/>
      <c r="G1" s="115" t="s">
        <v>32</v>
      </c>
      <c r="H1" s="115"/>
      <c r="K1" s="115" t="s">
        <v>33</v>
      </c>
      <c r="L1" s="115"/>
    </row>
    <row r="2" spans="1:15">
      <c r="B2" s="51" t="s">
        <v>34</v>
      </c>
      <c r="C2" s="51" t="s">
        <v>35</v>
      </c>
      <c r="D2" s="51" t="s">
        <v>36</v>
      </c>
      <c r="E2" s="51" t="s">
        <v>37</v>
      </c>
      <c r="F2" s="51" t="s">
        <v>38</v>
      </c>
      <c r="G2" s="51" t="s">
        <v>34</v>
      </c>
      <c r="H2" s="51" t="s">
        <v>35</v>
      </c>
      <c r="I2" s="51" t="s">
        <v>37</v>
      </c>
      <c r="J2" s="51" t="s">
        <v>38</v>
      </c>
      <c r="K2" s="51" t="s">
        <v>34</v>
      </c>
      <c r="L2" s="51" t="s">
        <v>35</v>
      </c>
      <c r="M2" s="51" t="s">
        <v>36</v>
      </c>
      <c r="N2" s="51" t="s">
        <v>37</v>
      </c>
      <c r="O2" s="51" t="s">
        <v>38</v>
      </c>
    </row>
    <row r="3" spans="1:15">
      <c r="A3" s="52">
        <v>45736</v>
      </c>
      <c r="B3" s="51">
        <v>280</v>
      </c>
      <c r="C3" s="51">
        <v>280</v>
      </c>
    </row>
    <row r="4" spans="1:15">
      <c r="A4" s="52">
        <v>45737</v>
      </c>
      <c r="B4" s="51">
        <v>280</v>
      </c>
      <c r="C4" s="51">
        <f t="shared" ref="C4:C54" si="0">B4+C3</f>
        <v>560</v>
      </c>
    </row>
    <row r="5" spans="1:15">
      <c r="A5" s="52">
        <v>45738</v>
      </c>
      <c r="B5" s="51">
        <v>280</v>
      </c>
      <c r="C5" s="51">
        <f t="shared" si="0"/>
        <v>840</v>
      </c>
    </row>
    <row r="6" spans="1:15">
      <c r="A6" s="52">
        <v>45739</v>
      </c>
      <c r="B6" s="51">
        <v>0</v>
      </c>
      <c r="C6" s="51">
        <f t="shared" si="0"/>
        <v>840</v>
      </c>
      <c r="D6" s="54">
        <v>720</v>
      </c>
      <c r="E6" s="51">
        <v>0</v>
      </c>
      <c r="F6" s="51">
        <f>C6-D6-E6</f>
        <v>120</v>
      </c>
    </row>
    <row r="7" spans="1:15">
      <c r="A7" s="52">
        <v>45740</v>
      </c>
      <c r="B7" s="51">
        <v>280</v>
      </c>
      <c r="C7" s="51">
        <f t="shared" si="0"/>
        <v>1120</v>
      </c>
      <c r="D7" s="54"/>
    </row>
    <row r="8" spans="1:15">
      <c r="A8" s="52">
        <v>45741</v>
      </c>
      <c r="B8" s="51">
        <v>280</v>
      </c>
      <c r="C8" s="51">
        <f t="shared" si="0"/>
        <v>1400</v>
      </c>
      <c r="D8" s="54"/>
      <c r="G8" s="51">
        <v>120</v>
      </c>
      <c r="H8" s="51">
        <f t="shared" ref="H8:H22" si="1">G8+H7</f>
        <v>120</v>
      </c>
    </row>
    <row r="9" spans="1:15">
      <c r="A9" s="52">
        <v>45742</v>
      </c>
      <c r="B9" s="51">
        <v>280</v>
      </c>
      <c r="C9" s="51">
        <f t="shared" si="0"/>
        <v>1680</v>
      </c>
      <c r="D9" s="54">
        <v>720</v>
      </c>
      <c r="E9" s="51">
        <v>0</v>
      </c>
      <c r="F9" s="51">
        <f>F6+B7+B8+B9-D9-E9</f>
        <v>240</v>
      </c>
      <c r="G9" s="51">
        <v>120</v>
      </c>
      <c r="H9" s="51">
        <f t="shared" si="1"/>
        <v>240</v>
      </c>
    </row>
    <row r="10" spans="1:15">
      <c r="A10" s="52">
        <v>45743</v>
      </c>
      <c r="B10" s="51">
        <v>280</v>
      </c>
      <c r="C10" s="51">
        <f t="shared" si="0"/>
        <v>1960</v>
      </c>
      <c r="D10" s="54"/>
      <c r="G10" s="51">
        <v>120</v>
      </c>
      <c r="H10" s="51">
        <f t="shared" si="1"/>
        <v>360</v>
      </c>
    </row>
    <row r="11" spans="1:15">
      <c r="A11" s="52">
        <v>45744</v>
      </c>
      <c r="B11" s="51">
        <v>280</v>
      </c>
      <c r="C11" s="51">
        <f t="shared" si="0"/>
        <v>2240</v>
      </c>
      <c r="D11" s="54">
        <v>720</v>
      </c>
      <c r="E11" s="51">
        <v>0</v>
      </c>
      <c r="F11" s="51">
        <f>F9+B10+B11-D11-E11</f>
        <v>80</v>
      </c>
      <c r="G11" s="51">
        <v>120</v>
      </c>
      <c r="H11" s="51">
        <f t="shared" si="1"/>
        <v>480</v>
      </c>
    </row>
    <row r="12" spans="1:15">
      <c r="A12" s="52">
        <v>45745</v>
      </c>
      <c r="B12" s="51">
        <v>280</v>
      </c>
      <c r="C12" s="51">
        <f t="shared" si="0"/>
        <v>2520</v>
      </c>
      <c r="D12" s="54"/>
      <c r="G12" s="51">
        <v>120</v>
      </c>
      <c r="H12" s="51">
        <f t="shared" si="1"/>
        <v>600</v>
      </c>
      <c r="I12" s="61">
        <v>540</v>
      </c>
      <c r="J12" s="51">
        <f>H12-I12</f>
        <v>60</v>
      </c>
    </row>
    <row r="13" spans="1:15">
      <c r="A13" s="52">
        <v>45746</v>
      </c>
      <c r="B13" s="51">
        <v>0</v>
      </c>
      <c r="C13" s="51">
        <f t="shared" si="0"/>
        <v>2520</v>
      </c>
      <c r="D13" s="54"/>
      <c r="G13" s="51">
        <v>0</v>
      </c>
      <c r="H13" s="51">
        <f t="shared" si="1"/>
        <v>600</v>
      </c>
      <c r="I13" s="61"/>
    </row>
    <row r="14" spans="1:15">
      <c r="A14" s="52">
        <v>45747</v>
      </c>
      <c r="B14" s="51">
        <v>280</v>
      </c>
      <c r="C14" s="51">
        <f t="shared" si="0"/>
        <v>2800</v>
      </c>
      <c r="D14" s="54"/>
      <c r="G14" s="51">
        <v>120</v>
      </c>
      <c r="H14" s="51">
        <f t="shared" si="1"/>
        <v>720</v>
      </c>
      <c r="I14" s="61"/>
    </row>
    <row r="15" spans="1:15">
      <c r="A15" s="52">
        <v>45748</v>
      </c>
      <c r="B15" s="51">
        <v>280</v>
      </c>
      <c r="C15" s="51">
        <f t="shared" si="0"/>
        <v>3080</v>
      </c>
      <c r="D15" s="54">
        <v>720</v>
      </c>
      <c r="E15" s="51">
        <v>0</v>
      </c>
      <c r="F15" s="51">
        <f>F11+B12+B13+B14+B15-D15-E15</f>
        <v>200</v>
      </c>
      <c r="G15" s="51">
        <v>120</v>
      </c>
      <c r="H15" s="51">
        <f t="shared" si="1"/>
        <v>840</v>
      </c>
      <c r="I15" s="61"/>
    </row>
    <row r="16" spans="1:15">
      <c r="A16" s="52">
        <v>45749</v>
      </c>
      <c r="B16" s="51">
        <v>280</v>
      </c>
      <c r="C16" s="51">
        <f t="shared" si="0"/>
        <v>3360</v>
      </c>
      <c r="G16" s="51">
        <v>120</v>
      </c>
      <c r="H16" s="51">
        <f t="shared" si="1"/>
        <v>960</v>
      </c>
      <c r="I16" s="61"/>
    </row>
    <row r="17" spans="1:15">
      <c r="A17" s="52">
        <v>45750</v>
      </c>
      <c r="B17" s="51">
        <v>280</v>
      </c>
      <c r="C17" s="51">
        <f t="shared" si="0"/>
        <v>3640</v>
      </c>
      <c r="D17" s="54">
        <v>720</v>
      </c>
      <c r="E17" s="51">
        <v>0</v>
      </c>
      <c r="F17" s="51">
        <f>F15++B16+B17-D17-E17</f>
        <v>40</v>
      </c>
      <c r="G17" s="51">
        <v>120</v>
      </c>
      <c r="H17" s="51">
        <f t="shared" si="1"/>
        <v>1080</v>
      </c>
      <c r="I17" s="61">
        <v>540</v>
      </c>
      <c r="J17" s="51">
        <f>J12+G13+G14+G15+G16+G17-I17</f>
        <v>0</v>
      </c>
    </row>
    <row r="18" spans="1:15">
      <c r="A18" s="52">
        <v>45751</v>
      </c>
      <c r="B18" s="51">
        <v>280</v>
      </c>
      <c r="C18" s="51">
        <f t="shared" si="0"/>
        <v>3920</v>
      </c>
      <c r="D18" s="54"/>
      <c r="G18" s="51">
        <v>120</v>
      </c>
      <c r="H18" s="51">
        <f t="shared" si="1"/>
        <v>1200</v>
      </c>
      <c r="I18" s="61"/>
    </row>
    <row r="19" spans="1:15">
      <c r="A19" s="52">
        <v>45752</v>
      </c>
      <c r="B19" s="51">
        <v>280</v>
      </c>
      <c r="C19" s="51">
        <f t="shared" si="0"/>
        <v>4200</v>
      </c>
      <c r="D19" s="54"/>
      <c r="G19" s="51">
        <v>120</v>
      </c>
      <c r="H19" s="51">
        <f t="shared" si="1"/>
        <v>1320</v>
      </c>
      <c r="I19" s="61"/>
    </row>
    <row r="20" spans="1:15">
      <c r="A20" s="52">
        <v>45753</v>
      </c>
      <c r="B20" s="51">
        <v>0</v>
      </c>
      <c r="C20" s="51">
        <f t="shared" si="0"/>
        <v>4200</v>
      </c>
      <c r="D20" s="54"/>
      <c r="G20" s="51">
        <v>0</v>
      </c>
      <c r="H20" s="51">
        <f t="shared" si="1"/>
        <v>1320</v>
      </c>
      <c r="I20" s="61"/>
    </row>
    <row r="21" spans="1:15">
      <c r="A21" s="52">
        <v>45754</v>
      </c>
      <c r="B21" s="51">
        <v>280</v>
      </c>
      <c r="C21" s="51">
        <f t="shared" si="0"/>
        <v>4480</v>
      </c>
      <c r="D21" s="54">
        <v>720</v>
      </c>
      <c r="E21" s="51">
        <v>0</v>
      </c>
      <c r="F21" s="51">
        <f>F17+B18+B19+B20+B21-D21-E21</f>
        <v>160</v>
      </c>
      <c r="G21" s="51">
        <v>120</v>
      </c>
      <c r="H21" s="51">
        <f t="shared" si="1"/>
        <v>1440</v>
      </c>
      <c r="I21" s="61"/>
    </row>
    <row r="22" spans="1:15">
      <c r="A22" s="52">
        <v>45755</v>
      </c>
      <c r="B22" s="51">
        <v>280</v>
      </c>
      <c r="C22" s="51">
        <f t="shared" si="0"/>
        <v>4760</v>
      </c>
      <c r="D22" s="54"/>
      <c r="G22" s="51">
        <v>120</v>
      </c>
      <c r="H22" s="51">
        <f t="shared" si="1"/>
        <v>1560</v>
      </c>
      <c r="I22" s="61"/>
    </row>
    <row r="23" spans="1:15">
      <c r="A23" s="52">
        <v>45756</v>
      </c>
      <c r="B23" s="51">
        <v>280</v>
      </c>
      <c r="C23" s="51">
        <f t="shared" si="0"/>
        <v>5040</v>
      </c>
      <c r="D23" s="54">
        <v>720</v>
      </c>
      <c r="E23" s="51">
        <v>0</v>
      </c>
      <c r="F23" s="51">
        <f>F21+B22+B23-D23-E23</f>
        <v>0</v>
      </c>
      <c r="G23" s="51">
        <v>40</v>
      </c>
      <c r="H23" s="51">
        <v>1600</v>
      </c>
      <c r="I23" s="61">
        <v>520</v>
      </c>
      <c r="J23" s="51">
        <f>J17+G18+G19+G20+G21+G22+G23-I23</f>
        <v>0</v>
      </c>
    </row>
    <row r="24" spans="1:15">
      <c r="A24" s="52">
        <v>45757</v>
      </c>
      <c r="B24" s="51">
        <v>280</v>
      </c>
      <c r="C24" s="51">
        <f t="shared" si="0"/>
        <v>5320</v>
      </c>
      <c r="D24" s="54"/>
      <c r="K24" s="51">
        <v>60</v>
      </c>
      <c r="L24" s="51">
        <f>K24+L23</f>
        <v>60</v>
      </c>
    </row>
    <row r="25" spans="1:15">
      <c r="A25" s="52">
        <v>45758</v>
      </c>
      <c r="B25" s="51">
        <v>280</v>
      </c>
      <c r="C25" s="51">
        <f t="shared" si="0"/>
        <v>5600</v>
      </c>
      <c r="D25" s="54"/>
      <c r="K25" s="51">
        <v>60</v>
      </c>
      <c r="L25" s="51">
        <f t="shared" ref="L25:L31" si="2">K25+L24</f>
        <v>120</v>
      </c>
    </row>
    <row r="26" spans="1:15">
      <c r="A26" s="52">
        <v>45759</v>
      </c>
      <c r="B26" s="51">
        <v>280</v>
      </c>
      <c r="C26" s="51">
        <f t="shared" si="0"/>
        <v>5880</v>
      </c>
      <c r="D26" s="54">
        <v>720</v>
      </c>
      <c r="E26" s="51">
        <v>0</v>
      </c>
      <c r="F26" s="51">
        <f>F23+B24+B25+B26-D26-E26</f>
        <v>120</v>
      </c>
      <c r="K26" s="51">
        <v>60</v>
      </c>
      <c r="L26" s="51">
        <f t="shared" si="2"/>
        <v>180</v>
      </c>
    </row>
    <row r="27" spans="1:15">
      <c r="A27" s="52">
        <v>45760</v>
      </c>
      <c r="B27" s="51">
        <v>0</v>
      </c>
      <c r="C27" s="51">
        <f t="shared" si="0"/>
        <v>5880</v>
      </c>
      <c r="K27" s="51">
        <v>0</v>
      </c>
      <c r="L27" s="51">
        <f t="shared" si="2"/>
        <v>180</v>
      </c>
    </row>
    <row r="28" spans="1:15">
      <c r="A28" s="52">
        <v>45761</v>
      </c>
      <c r="B28" s="51">
        <v>280</v>
      </c>
      <c r="C28" s="51">
        <f t="shared" si="0"/>
        <v>6160</v>
      </c>
      <c r="K28" s="51">
        <v>60</v>
      </c>
      <c r="L28" s="51">
        <f t="shared" si="2"/>
        <v>240</v>
      </c>
    </row>
    <row r="29" spans="1:15">
      <c r="A29" s="52">
        <v>45762</v>
      </c>
      <c r="B29" s="51">
        <v>280</v>
      </c>
      <c r="C29" s="51">
        <f t="shared" si="0"/>
        <v>6440</v>
      </c>
      <c r="K29" s="51">
        <v>60</v>
      </c>
      <c r="L29" s="51">
        <f t="shared" si="2"/>
        <v>300</v>
      </c>
    </row>
    <row r="30" spans="1:15">
      <c r="A30" s="52">
        <v>45763</v>
      </c>
      <c r="B30" s="51">
        <v>280</v>
      </c>
      <c r="C30" s="51">
        <f t="shared" si="0"/>
        <v>6720</v>
      </c>
      <c r="D30" s="54">
        <v>720</v>
      </c>
      <c r="E30" s="51">
        <v>0</v>
      </c>
      <c r="F30" s="51">
        <f>F26+B27+B28+B29+B30-D30-E30</f>
        <v>240</v>
      </c>
      <c r="K30" s="51">
        <v>60</v>
      </c>
      <c r="L30" s="51">
        <f t="shared" si="2"/>
        <v>360</v>
      </c>
      <c r="M30" s="54">
        <v>96</v>
      </c>
      <c r="N30" s="51">
        <v>0</v>
      </c>
      <c r="O30" s="51">
        <f>L30-M30-N30</f>
        <v>264</v>
      </c>
    </row>
    <row r="31" spans="1:15" ht="13.8" customHeight="1">
      <c r="A31" s="52">
        <v>45764</v>
      </c>
      <c r="B31" s="51">
        <v>280</v>
      </c>
      <c r="C31" s="51">
        <f t="shared" si="0"/>
        <v>7000</v>
      </c>
      <c r="D31" s="54"/>
      <c r="K31" s="51">
        <v>59</v>
      </c>
      <c r="L31" s="51">
        <f t="shared" si="2"/>
        <v>419</v>
      </c>
      <c r="M31" s="51">
        <v>0</v>
      </c>
      <c r="N31" s="63">
        <v>323</v>
      </c>
      <c r="O31" s="51">
        <f>O30+K31-M31-N31</f>
        <v>0</v>
      </c>
    </row>
    <row r="32" spans="1:15">
      <c r="A32" s="52">
        <v>45765</v>
      </c>
      <c r="B32" s="51">
        <v>280</v>
      </c>
      <c r="C32" s="51">
        <f t="shared" si="0"/>
        <v>7280</v>
      </c>
      <c r="D32" s="54">
        <v>720</v>
      </c>
      <c r="E32" s="53">
        <v>0</v>
      </c>
      <c r="F32" s="51">
        <f>F30+B31+B32-D32-E32</f>
        <v>80</v>
      </c>
    </row>
    <row r="33" spans="1:6">
      <c r="A33" s="52">
        <v>45766</v>
      </c>
      <c r="B33" s="51">
        <v>280</v>
      </c>
      <c r="C33" s="51">
        <f t="shared" si="0"/>
        <v>7560</v>
      </c>
      <c r="D33" s="54"/>
    </row>
    <row r="34" spans="1:6">
      <c r="A34" s="52">
        <v>45767</v>
      </c>
      <c r="B34" s="51">
        <v>0</v>
      </c>
      <c r="C34" s="51">
        <f t="shared" si="0"/>
        <v>7560</v>
      </c>
      <c r="D34" s="54"/>
    </row>
    <row r="35" spans="1:6">
      <c r="A35" s="52">
        <v>45768</v>
      </c>
      <c r="B35" s="51">
        <v>280</v>
      </c>
      <c r="C35" s="51">
        <f t="shared" si="0"/>
        <v>7840</v>
      </c>
      <c r="D35" s="54"/>
    </row>
    <row r="36" spans="1:6">
      <c r="A36" s="52">
        <v>45769</v>
      </c>
      <c r="B36" s="51">
        <v>280</v>
      </c>
      <c r="C36" s="51">
        <f t="shared" si="0"/>
        <v>8120</v>
      </c>
      <c r="D36" s="54">
        <v>609</v>
      </c>
      <c r="E36" s="51">
        <v>0</v>
      </c>
      <c r="F36" s="51">
        <f>F32+B33+B34+B35+B36-D36-E36</f>
        <v>311</v>
      </c>
    </row>
    <row r="37" spans="1:6">
      <c r="A37" s="52">
        <v>45770</v>
      </c>
      <c r="B37" s="51">
        <v>280</v>
      </c>
      <c r="C37" s="51">
        <f t="shared" si="0"/>
        <v>8400</v>
      </c>
    </row>
    <row r="38" spans="1:6">
      <c r="A38" s="52">
        <v>45771</v>
      </c>
      <c r="B38" s="51">
        <v>280</v>
      </c>
      <c r="C38" s="51">
        <f t="shared" si="0"/>
        <v>8680</v>
      </c>
      <c r="D38" s="51">
        <v>0</v>
      </c>
      <c r="E38" s="62">
        <v>850</v>
      </c>
      <c r="F38" s="51">
        <f>F36++B37+B38-D38-E38</f>
        <v>21</v>
      </c>
    </row>
    <row r="39" spans="1:6">
      <c r="A39" s="52">
        <v>45772</v>
      </c>
      <c r="B39" s="51">
        <v>280</v>
      </c>
      <c r="C39" s="51">
        <f t="shared" si="0"/>
        <v>8960</v>
      </c>
      <c r="E39" s="62"/>
    </row>
    <row r="40" spans="1:6">
      <c r="A40" s="52">
        <v>45773</v>
      </c>
      <c r="B40" s="51">
        <v>280</v>
      </c>
      <c r="C40" s="51">
        <f t="shared" si="0"/>
        <v>9240</v>
      </c>
      <c r="E40" s="62"/>
    </row>
    <row r="41" spans="1:6">
      <c r="A41" s="52">
        <v>45774</v>
      </c>
      <c r="B41" s="51">
        <v>0</v>
      </c>
      <c r="C41" s="51">
        <f t="shared" si="0"/>
        <v>9240</v>
      </c>
      <c r="E41" s="62"/>
    </row>
    <row r="42" spans="1:6">
      <c r="A42" s="52">
        <v>45775</v>
      </c>
      <c r="B42" s="51">
        <v>280</v>
      </c>
      <c r="C42" s="51">
        <f t="shared" si="0"/>
        <v>9520</v>
      </c>
      <c r="D42" s="51">
        <v>0</v>
      </c>
      <c r="E42" s="62">
        <v>850</v>
      </c>
      <c r="F42" s="51">
        <f>F38+B39+B40+B41+B42-D42-E42</f>
        <v>11</v>
      </c>
    </row>
    <row r="43" spans="1:6">
      <c r="A43" s="52">
        <v>45776</v>
      </c>
      <c r="B43" s="51">
        <v>280</v>
      </c>
      <c r="C43" s="51">
        <f t="shared" si="0"/>
        <v>9800</v>
      </c>
      <c r="E43" s="62"/>
    </row>
    <row r="44" spans="1:6">
      <c r="A44" s="52">
        <v>45777</v>
      </c>
      <c r="B44" s="51">
        <v>142</v>
      </c>
      <c r="C44" s="51">
        <f t="shared" si="0"/>
        <v>9942</v>
      </c>
      <c r="E44" s="62"/>
    </row>
    <row r="45" spans="1:6">
      <c r="A45" s="52">
        <v>45782</v>
      </c>
      <c r="B45" s="51">
        <v>280</v>
      </c>
      <c r="C45" s="51">
        <f t="shared" si="0"/>
        <v>10222</v>
      </c>
      <c r="E45" s="62"/>
    </row>
    <row r="46" spans="1:6">
      <c r="A46" s="52">
        <v>45783</v>
      </c>
      <c r="B46" s="51">
        <v>280</v>
      </c>
      <c r="C46" s="51">
        <f t="shared" si="0"/>
        <v>10502</v>
      </c>
      <c r="D46" s="51">
        <v>0</v>
      </c>
      <c r="E46" s="62">
        <v>403</v>
      </c>
      <c r="F46" s="51">
        <f>F42+B43+B44+B45+B46-D46-E46</f>
        <v>590</v>
      </c>
    </row>
    <row r="47" spans="1:6">
      <c r="A47" s="52">
        <v>45784</v>
      </c>
      <c r="B47" s="51">
        <v>280</v>
      </c>
      <c r="C47" s="51">
        <f t="shared" si="0"/>
        <v>10782</v>
      </c>
    </row>
    <row r="48" spans="1:6">
      <c r="A48" s="52">
        <v>45785</v>
      </c>
      <c r="B48" s="51">
        <v>280</v>
      </c>
      <c r="C48" s="51">
        <f t="shared" si="0"/>
        <v>11062</v>
      </c>
    </row>
    <row r="49" spans="1:14">
      <c r="A49" s="52">
        <v>45786</v>
      </c>
      <c r="B49" s="51">
        <v>280</v>
      </c>
      <c r="C49" s="51">
        <f t="shared" si="0"/>
        <v>11342</v>
      </c>
      <c r="D49" s="51">
        <v>0</v>
      </c>
      <c r="E49" s="62">
        <v>850</v>
      </c>
      <c r="F49" s="51">
        <f>F46+B47+B48+B49-D49-E49</f>
        <v>580</v>
      </c>
    </row>
    <row r="50" spans="1:14">
      <c r="A50" s="52">
        <v>45787</v>
      </c>
      <c r="B50" s="51">
        <v>280</v>
      </c>
      <c r="C50" s="51">
        <f t="shared" si="0"/>
        <v>11622</v>
      </c>
      <c r="E50" s="62"/>
    </row>
    <row r="51" spans="1:14">
      <c r="A51" s="52">
        <v>45788</v>
      </c>
      <c r="B51" s="51">
        <v>0</v>
      </c>
      <c r="C51" s="51">
        <f t="shared" si="0"/>
        <v>11622</v>
      </c>
      <c r="E51" s="62"/>
    </row>
    <row r="52" spans="1:14">
      <c r="A52" s="52">
        <v>45789</v>
      </c>
      <c r="B52" s="51">
        <v>280</v>
      </c>
      <c r="C52" s="51">
        <f t="shared" si="0"/>
        <v>11902</v>
      </c>
      <c r="E52" s="62"/>
    </row>
    <row r="53" spans="1:14">
      <c r="A53" s="52">
        <v>45790</v>
      </c>
      <c r="B53" s="51">
        <v>280</v>
      </c>
      <c r="C53" s="51">
        <f t="shared" si="0"/>
        <v>12182</v>
      </c>
      <c r="D53" s="51">
        <v>0</v>
      </c>
      <c r="E53" s="62">
        <v>850</v>
      </c>
      <c r="F53" s="51">
        <f>F49+B50+B51+B52+B53-D53-E53</f>
        <v>570</v>
      </c>
    </row>
    <row r="54" spans="1:14">
      <c r="A54" s="52">
        <v>45791</v>
      </c>
      <c r="B54" s="51">
        <v>280</v>
      </c>
      <c r="C54" s="51">
        <f t="shared" si="0"/>
        <v>12462</v>
      </c>
      <c r="D54" s="51">
        <v>0</v>
      </c>
      <c r="E54" s="62">
        <v>850</v>
      </c>
      <c r="F54" s="51">
        <f>F53+B54-D54-E54</f>
        <v>0</v>
      </c>
    </row>
    <row r="55" spans="1:14">
      <c r="A55" s="52"/>
      <c r="D55" s="51">
        <f>SUM(D3:D54)</f>
        <v>7809</v>
      </c>
      <c r="E55" s="51">
        <f>SUM(E3:E54)</f>
        <v>4653</v>
      </c>
      <c r="I55" s="51">
        <f>SUM(I3:I54)</f>
        <v>1600</v>
      </c>
      <c r="M55" s="51">
        <f>SUM(M3:M54)</f>
        <v>96</v>
      </c>
      <c r="N55" s="51">
        <f>SUM(N3:N54)</f>
        <v>323</v>
      </c>
    </row>
    <row r="56" spans="1:14">
      <c r="A56" s="52"/>
    </row>
    <row r="57" spans="1:14">
      <c r="A57" s="52"/>
    </row>
    <row r="58" spans="1:14">
      <c r="A58" s="52"/>
    </row>
    <row r="59" spans="1:14">
      <c r="A59" s="52"/>
    </row>
    <row r="60" spans="1:14">
      <c r="A60" s="52"/>
    </row>
    <row r="61" spans="1:14">
      <c r="A61" s="52"/>
    </row>
    <row r="62" spans="1:14">
      <c r="A62" s="52"/>
    </row>
    <row r="63" spans="1:14">
      <c r="A63" s="52"/>
    </row>
    <row r="64" spans="1:14">
      <c r="A64" s="52"/>
    </row>
    <row r="65" spans="1:1">
      <c r="A65" s="52"/>
    </row>
    <row r="66" spans="1:1">
      <c r="A66" s="52"/>
    </row>
  </sheetData>
  <mergeCells count="3">
    <mergeCell ref="B1:C1"/>
    <mergeCell ref="G1:H1"/>
    <mergeCell ref="K1:L1"/>
  </mergeCells>
  <pageMargins left="0.70866141732283472" right="0.70866141732283472" top="0.74803149606299213" bottom="0.74803149606299213" header="0.31496062992125984" footer="0.31496062992125984"/>
  <pageSetup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1BE2-946B-45DD-9ABA-7A07C2E4BB46}">
  <sheetPr>
    <pageSetUpPr fitToPage="1"/>
  </sheetPr>
  <dimension ref="A1:O57"/>
  <sheetViews>
    <sheetView topLeftCell="A21" workbookViewId="0">
      <selection activeCell="I12" sqref="I12"/>
    </sheetView>
  </sheetViews>
  <sheetFormatPr defaultRowHeight="14.4"/>
  <cols>
    <col min="2" max="2" width="20.77734375" bestFit="1" customWidth="1"/>
  </cols>
  <sheetData>
    <row r="1" spans="1:15">
      <c r="A1" s="65" t="s">
        <v>57</v>
      </c>
      <c r="M1" s="1"/>
    </row>
    <row r="2" spans="1:15" ht="41.4">
      <c r="A2" s="66" t="s">
        <v>40</v>
      </c>
      <c r="B2" s="66" t="s">
        <v>41</v>
      </c>
      <c r="C2" s="66" t="s">
        <v>42</v>
      </c>
      <c r="D2" s="66"/>
      <c r="E2" s="66" t="s">
        <v>43</v>
      </c>
      <c r="F2" s="66" t="s">
        <v>44</v>
      </c>
      <c r="G2" s="66" t="s">
        <v>45</v>
      </c>
      <c r="H2" s="66" t="s">
        <v>46</v>
      </c>
      <c r="I2" s="66" t="s">
        <v>47</v>
      </c>
      <c r="J2" s="66" t="s">
        <v>48</v>
      </c>
      <c r="K2" s="66" t="s">
        <v>49</v>
      </c>
      <c r="L2" s="66" t="s">
        <v>50</v>
      </c>
      <c r="M2" s="66" t="s">
        <v>51</v>
      </c>
      <c r="N2" s="66" t="s">
        <v>52</v>
      </c>
      <c r="O2" s="66" t="s">
        <v>53</v>
      </c>
    </row>
    <row r="3" spans="1:15">
      <c r="A3" s="67" t="s">
        <v>54</v>
      </c>
      <c r="B3" s="67" t="s">
        <v>55</v>
      </c>
      <c r="C3" s="67">
        <v>36</v>
      </c>
      <c r="D3" s="67">
        <v>24.1</v>
      </c>
      <c r="E3" s="67">
        <v>1065.5999999999999</v>
      </c>
      <c r="F3" s="67">
        <v>72</v>
      </c>
      <c r="G3" s="67">
        <v>900</v>
      </c>
      <c r="H3" s="67">
        <v>1.165</v>
      </c>
      <c r="I3" s="67">
        <v>1.01</v>
      </c>
      <c r="J3" s="67">
        <v>1.125</v>
      </c>
      <c r="K3" s="68">
        <f t="shared" ref="K3:K6" si="0">H3*I3*J3</f>
        <v>1.32373125</v>
      </c>
      <c r="L3" s="69">
        <v>609</v>
      </c>
      <c r="M3" s="70">
        <f>L3/C3</f>
        <v>16.916666666666668</v>
      </c>
      <c r="N3" s="71">
        <f>M3*E3</f>
        <v>18026.400000000001</v>
      </c>
      <c r="O3" s="71">
        <f>M3*K3</f>
        <v>22.393120312500002</v>
      </c>
    </row>
    <row r="4" spans="1:15">
      <c r="A4" s="67" t="s">
        <v>54</v>
      </c>
      <c r="B4" s="67" t="s">
        <v>55</v>
      </c>
      <c r="C4" s="67">
        <v>24</v>
      </c>
      <c r="D4" s="67"/>
      <c r="E4" s="67">
        <v>817.2</v>
      </c>
      <c r="F4" s="67">
        <v>72</v>
      </c>
      <c r="G4" s="67">
        <v>675</v>
      </c>
      <c r="H4" s="67">
        <v>1.165</v>
      </c>
      <c r="I4" s="67">
        <v>1.01</v>
      </c>
      <c r="J4" s="67">
        <v>0.8</v>
      </c>
      <c r="K4" s="68">
        <f t="shared" si="0"/>
        <v>0.94132000000000005</v>
      </c>
      <c r="L4" s="69">
        <v>0</v>
      </c>
      <c r="M4" s="70">
        <f>L4/C4</f>
        <v>0</v>
      </c>
      <c r="N4" s="71">
        <f>M4*E4</f>
        <v>0</v>
      </c>
      <c r="O4" s="71">
        <f>M4*K4</f>
        <v>0</v>
      </c>
    </row>
    <row r="5" spans="1:15">
      <c r="A5" s="67" t="s">
        <v>54</v>
      </c>
      <c r="B5" s="67" t="s">
        <v>55</v>
      </c>
      <c r="C5" s="67">
        <v>18</v>
      </c>
      <c r="D5" s="67"/>
      <c r="E5" s="67">
        <v>536.79999999999995</v>
      </c>
      <c r="F5" s="67">
        <v>40</v>
      </c>
      <c r="G5" s="67">
        <v>450</v>
      </c>
      <c r="H5" s="67">
        <v>1.01</v>
      </c>
      <c r="I5" s="67">
        <v>1.01</v>
      </c>
      <c r="J5" s="67">
        <v>1.125</v>
      </c>
      <c r="K5" s="68">
        <f t="shared" si="0"/>
        <v>1.1476124999999999</v>
      </c>
      <c r="L5" s="69">
        <v>0</v>
      </c>
      <c r="M5" s="70">
        <f t="shared" ref="M5:M6" si="1">L5/C5</f>
        <v>0</v>
      </c>
      <c r="N5" s="71">
        <f t="shared" ref="N5:N6" si="2">M5*E5</f>
        <v>0</v>
      </c>
      <c r="O5" s="71">
        <f t="shared" ref="O5:O6" si="3">M5*K5</f>
        <v>0</v>
      </c>
    </row>
    <row r="6" spans="1:15">
      <c r="A6" s="67" t="s">
        <v>54</v>
      </c>
      <c r="B6" s="67" t="s">
        <v>55</v>
      </c>
      <c r="C6" s="67">
        <v>12</v>
      </c>
      <c r="D6" s="67"/>
      <c r="E6" s="67">
        <v>412.6</v>
      </c>
      <c r="F6" s="67">
        <v>40</v>
      </c>
      <c r="G6" s="67">
        <v>337.5</v>
      </c>
      <c r="H6" s="67">
        <v>1.01</v>
      </c>
      <c r="I6" s="67">
        <v>1.01</v>
      </c>
      <c r="J6" s="67">
        <v>0.8</v>
      </c>
      <c r="K6" s="68">
        <f t="shared" si="0"/>
        <v>0.81608000000000003</v>
      </c>
      <c r="L6" s="69">
        <v>0</v>
      </c>
      <c r="M6" s="70">
        <f t="shared" si="1"/>
        <v>0</v>
      </c>
      <c r="N6" s="71">
        <f t="shared" si="2"/>
        <v>0</v>
      </c>
      <c r="O6" s="71">
        <f t="shared" si="3"/>
        <v>0</v>
      </c>
    </row>
    <row r="7" spans="1:15">
      <c r="A7" s="67" t="s">
        <v>54</v>
      </c>
      <c r="B7" s="67" t="s">
        <v>56</v>
      </c>
      <c r="C7" s="67">
        <v>16</v>
      </c>
      <c r="D7" s="67">
        <v>48.2</v>
      </c>
      <c r="E7" s="67">
        <v>1065.5999999999999</v>
      </c>
      <c r="F7" s="67">
        <v>72</v>
      </c>
      <c r="G7" s="67">
        <v>900</v>
      </c>
      <c r="H7" s="67">
        <v>1.165</v>
      </c>
      <c r="I7" s="67">
        <v>1.01</v>
      </c>
      <c r="J7" s="67">
        <v>1.08</v>
      </c>
      <c r="K7" s="68">
        <f t="shared" ref="K7:K10" si="4">H7*I7*J7</f>
        <v>1.2707820000000001</v>
      </c>
      <c r="L7" s="69">
        <v>48</v>
      </c>
      <c r="M7" s="70">
        <f>L7/C7</f>
        <v>3</v>
      </c>
      <c r="N7" s="71">
        <f>M7*E7</f>
        <v>3196.7999999999997</v>
      </c>
      <c r="O7" s="71">
        <f>M7*K7</f>
        <v>3.8123460000000002</v>
      </c>
    </row>
    <row r="8" spans="1:15">
      <c r="A8" s="67" t="s">
        <v>54</v>
      </c>
      <c r="B8" s="67" t="s">
        <v>56</v>
      </c>
      <c r="C8" s="67">
        <v>24</v>
      </c>
      <c r="D8" s="67"/>
      <c r="E8" s="67">
        <v>817.2</v>
      </c>
      <c r="F8" s="67">
        <v>72</v>
      </c>
      <c r="G8" s="67">
        <v>675</v>
      </c>
      <c r="H8" s="67">
        <v>1.165</v>
      </c>
      <c r="I8" s="67">
        <v>1.01</v>
      </c>
      <c r="J8" s="67">
        <v>0.8</v>
      </c>
      <c r="K8" s="68">
        <f t="shared" si="4"/>
        <v>0.94132000000000005</v>
      </c>
      <c r="L8" s="69">
        <v>0</v>
      </c>
      <c r="M8" s="70">
        <f>L8/C8</f>
        <v>0</v>
      </c>
      <c r="N8" s="71">
        <f>M8*E8</f>
        <v>0</v>
      </c>
      <c r="O8" s="71">
        <f>M8*K8</f>
        <v>0</v>
      </c>
    </row>
    <row r="9" spans="1:15">
      <c r="A9" s="67" t="s">
        <v>54</v>
      </c>
      <c r="B9" s="67" t="s">
        <v>56</v>
      </c>
      <c r="C9" s="67">
        <v>18</v>
      </c>
      <c r="D9" s="67"/>
      <c r="E9" s="67">
        <v>536.79999999999995</v>
      </c>
      <c r="F9" s="67">
        <v>40</v>
      </c>
      <c r="G9" s="67">
        <v>450</v>
      </c>
      <c r="H9" s="67">
        <v>1.01</v>
      </c>
      <c r="I9" s="67">
        <v>1.01</v>
      </c>
      <c r="J9" s="67">
        <v>1.125</v>
      </c>
      <c r="K9" s="68">
        <f t="shared" si="4"/>
        <v>1.1476124999999999</v>
      </c>
      <c r="L9" s="69">
        <v>0</v>
      </c>
      <c r="M9" s="70">
        <f t="shared" ref="M9:M10" si="5">L9/C9</f>
        <v>0</v>
      </c>
      <c r="N9" s="71">
        <f t="shared" ref="N9:N10" si="6">M9*E9</f>
        <v>0</v>
      </c>
      <c r="O9" s="71">
        <f t="shared" ref="O9:O10" si="7">M9*K9</f>
        <v>0</v>
      </c>
    </row>
    <row r="10" spans="1:15">
      <c r="A10" s="67" t="s">
        <v>54</v>
      </c>
      <c r="B10" s="67" t="s">
        <v>56</v>
      </c>
      <c r="C10" s="67">
        <v>12</v>
      </c>
      <c r="D10" s="67"/>
      <c r="E10" s="67">
        <v>412.6</v>
      </c>
      <c r="F10" s="67">
        <v>40</v>
      </c>
      <c r="G10" s="67">
        <v>337.5</v>
      </c>
      <c r="H10" s="67">
        <v>1.01</v>
      </c>
      <c r="I10" s="67">
        <v>1.01</v>
      </c>
      <c r="J10" s="67">
        <v>0.8</v>
      </c>
      <c r="K10" s="68">
        <f t="shared" si="4"/>
        <v>0.81608000000000003</v>
      </c>
      <c r="L10" s="69">
        <v>0</v>
      </c>
      <c r="M10" s="70">
        <f t="shared" si="5"/>
        <v>0</v>
      </c>
      <c r="N10" s="71">
        <f t="shared" si="6"/>
        <v>0</v>
      </c>
      <c r="O10" s="71">
        <f t="shared" si="7"/>
        <v>0</v>
      </c>
    </row>
    <row r="11" spans="1:15">
      <c r="L11" s="72">
        <f>SUM(L3:L10)</f>
        <v>657</v>
      </c>
      <c r="M11" s="72">
        <f>SUM(M3:M10)</f>
        <v>19.916666666666668</v>
      </c>
      <c r="N11" s="72">
        <f>SUM(N3:N10)</f>
        <v>21223.200000000001</v>
      </c>
      <c r="O11" s="96">
        <f>SUM(O3:O10)</f>
        <v>26.205466312500004</v>
      </c>
    </row>
    <row r="19" spans="1:15" ht="41.4">
      <c r="A19" s="66" t="s">
        <v>40</v>
      </c>
      <c r="B19" s="66" t="s">
        <v>41</v>
      </c>
      <c r="C19" s="66" t="s">
        <v>72</v>
      </c>
      <c r="D19" s="97" t="s">
        <v>42</v>
      </c>
      <c r="E19" s="66" t="s">
        <v>43</v>
      </c>
      <c r="F19" s="66" t="s">
        <v>44</v>
      </c>
      <c r="G19" s="66" t="s">
        <v>45</v>
      </c>
      <c r="H19" s="66" t="s">
        <v>46</v>
      </c>
      <c r="I19" s="66" t="s">
        <v>47</v>
      </c>
      <c r="J19" s="66" t="s">
        <v>48</v>
      </c>
      <c r="K19" s="66" t="s">
        <v>49</v>
      </c>
      <c r="L19" s="66" t="s">
        <v>73</v>
      </c>
      <c r="M19" s="66" t="s">
        <v>51</v>
      </c>
      <c r="N19" s="98" t="s">
        <v>52</v>
      </c>
      <c r="O19" s="66" t="s">
        <v>53</v>
      </c>
    </row>
    <row r="20" spans="1:15">
      <c r="A20" s="74" t="s">
        <v>54</v>
      </c>
      <c r="B20" s="74" t="s">
        <v>74</v>
      </c>
      <c r="C20" s="74">
        <v>16.8</v>
      </c>
      <c r="D20" s="86">
        <v>36</v>
      </c>
      <c r="E20" s="84">
        <f>G20+F20</f>
        <v>609</v>
      </c>
      <c r="F20" s="84">
        <v>33</v>
      </c>
      <c r="G20" s="84">
        <v>576</v>
      </c>
      <c r="H20" s="84">
        <v>0.99</v>
      </c>
      <c r="I20" s="84">
        <v>0.85</v>
      </c>
      <c r="J20" s="84">
        <v>0.71</v>
      </c>
      <c r="K20" s="99">
        <f t="shared" ref="K20:K24" si="8">H20*I20*J20</f>
        <v>0.59746500000000002</v>
      </c>
      <c r="L20" s="79">
        <v>403</v>
      </c>
      <c r="M20" s="74">
        <f>L20/D20</f>
        <v>11.194444444444445</v>
      </c>
      <c r="N20" s="80">
        <f t="shared" ref="N20" si="9">M20*E20</f>
        <v>6817.416666666667</v>
      </c>
      <c r="O20" s="73">
        <f>M20*K20</f>
        <v>6.6882887500000008</v>
      </c>
    </row>
    <row r="21" spans="1:15">
      <c r="A21" s="74" t="s">
        <v>59</v>
      </c>
      <c r="B21" s="81" t="s">
        <v>60</v>
      </c>
      <c r="C21" s="82">
        <v>0.52</v>
      </c>
      <c r="D21" s="74">
        <v>1200</v>
      </c>
      <c r="E21" s="83">
        <v>659</v>
      </c>
      <c r="F21" s="74">
        <v>35</v>
      </c>
      <c r="G21" s="84">
        <f>D21*C21</f>
        <v>624</v>
      </c>
      <c r="H21" s="74">
        <v>1</v>
      </c>
      <c r="I21" s="74">
        <v>0.9</v>
      </c>
      <c r="J21" s="74">
        <v>0.72</v>
      </c>
      <c r="K21" s="85">
        <f t="shared" si="8"/>
        <v>0.64800000000000002</v>
      </c>
      <c r="L21" s="86">
        <f>L20*2</f>
        <v>806</v>
      </c>
      <c r="M21" s="74">
        <f>L21/D21</f>
        <v>0.67166666666666663</v>
      </c>
      <c r="N21" s="87">
        <f>M21*E21</f>
        <v>442.62833333333333</v>
      </c>
      <c r="O21" s="70">
        <f t="shared" ref="O21:O24" si="10">K21*M21</f>
        <v>0.43524000000000002</v>
      </c>
    </row>
    <row r="22" spans="1:15">
      <c r="A22" s="74" t="s">
        <v>59</v>
      </c>
      <c r="B22" s="81" t="s">
        <v>61</v>
      </c>
      <c r="C22" s="82">
        <v>0.11</v>
      </c>
      <c r="D22" s="74">
        <v>2100</v>
      </c>
      <c r="E22" s="83">
        <f>G22+F22</f>
        <v>271</v>
      </c>
      <c r="F22" s="74">
        <v>40</v>
      </c>
      <c r="G22" s="84">
        <f t="shared" ref="G22:G26" si="11">C22*D22</f>
        <v>231</v>
      </c>
      <c r="H22" s="74">
        <v>1.1000000000000001</v>
      </c>
      <c r="I22" s="74">
        <v>0.9</v>
      </c>
      <c r="J22" s="75">
        <v>0.35</v>
      </c>
      <c r="K22" s="85">
        <f t="shared" si="8"/>
        <v>0.34650000000000003</v>
      </c>
      <c r="L22" s="86">
        <f>L20</f>
        <v>403</v>
      </c>
      <c r="M22" s="74">
        <f>L22/D22</f>
        <v>0.19190476190476191</v>
      </c>
      <c r="N22" s="87">
        <f>M22*E22</f>
        <v>52.006190476190476</v>
      </c>
      <c r="O22" s="70">
        <f t="shared" si="10"/>
        <v>6.6495000000000012E-2</v>
      </c>
    </row>
    <row r="23" spans="1:15">
      <c r="A23" s="74" t="s">
        <v>59</v>
      </c>
      <c r="B23" s="81" t="s">
        <v>75</v>
      </c>
      <c r="C23" s="82">
        <v>1.44</v>
      </c>
      <c r="D23" s="74">
        <v>480</v>
      </c>
      <c r="E23" s="83">
        <f>G23+F23</f>
        <v>751.19999999999993</v>
      </c>
      <c r="F23" s="74">
        <v>60</v>
      </c>
      <c r="G23" s="84">
        <f t="shared" si="11"/>
        <v>691.19999999999993</v>
      </c>
      <c r="H23" s="74">
        <v>1.05</v>
      </c>
      <c r="I23" s="74">
        <v>0.96</v>
      </c>
      <c r="J23" s="74">
        <v>0.95</v>
      </c>
      <c r="K23" s="85">
        <f t="shared" si="8"/>
        <v>0.95760000000000001</v>
      </c>
      <c r="L23" s="86">
        <f>L20</f>
        <v>403</v>
      </c>
      <c r="M23" s="74">
        <f>L23/D23</f>
        <v>0.83958333333333335</v>
      </c>
      <c r="N23" s="87">
        <f t="shared" ref="N23:N24" si="12">E23*M23</f>
        <v>630.69499999999994</v>
      </c>
      <c r="O23" s="70">
        <f t="shared" si="10"/>
        <v>0.80398500000000006</v>
      </c>
    </row>
    <row r="24" spans="1:15">
      <c r="A24" s="74" t="s">
        <v>59</v>
      </c>
      <c r="B24" s="81" t="s">
        <v>63</v>
      </c>
      <c r="C24" s="82">
        <v>0.39</v>
      </c>
      <c r="D24" s="74">
        <v>1200</v>
      </c>
      <c r="E24" s="121">
        <f>F24+G24+G25+G26</f>
        <v>693.8</v>
      </c>
      <c r="F24" s="120">
        <v>65</v>
      </c>
      <c r="G24" s="84">
        <f t="shared" si="11"/>
        <v>468</v>
      </c>
      <c r="H24" s="120">
        <v>0.93</v>
      </c>
      <c r="I24" s="120">
        <v>0.88</v>
      </c>
      <c r="J24" s="120">
        <v>0.79</v>
      </c>
      <c r="K24" s="116">
        <f t="shared" si="8"/>
        <v>0.646536</v>
      </c>
      <c r="L24" s="86">
        <f>$L$20*2</f>
        <v>806</v>
      </c>
      <c r="M24" s="117">
        <f>L24/D24</f>
        <v>0.67166666666666663</v>
      </c>
      <c r="N24" s="124">
        <f t="shared" si="12"/>
        <v>466.0023333333333</v>
      </c>
      <c r="O24" s="123">
        <f t="shared" si="10"/>
        <v>0.43425668000000001</v>
      </c>
    </row>
    <row r="25" spans="1:15">
      <c r="A25" s="74" t="s">
        <v>59</v>
      </c>
      <c r="B25" s="81" t="s">
        <v>76</v>
      </c>
      <c r="C25" s="82">
        <v>0.05</v>
      </c>
      <c r="D25" s="74">
        <v>1200</v>
      </c>
      <c r="E25" s="121"/>
      <c r="F25" s="120"/>
      <c r="G25" s="84">
        <f t="shared" si="11"/>
        <v>60</v>
      </c>
      <c r="H25" s="120"/>
      <c r="I25" s="120"/>
      <c r="J25" s="120"/>
      <c r="K25" s="116"/>
      <c r="L25" s="86">
        <f t="shared" ref="L25:L27" si="13">$L$20*2</f>
        <v>806</v>
      </c>
      <c r="M25" s="118"/>
      <c r="N25" s="124"/>
      <c r="O25" s="123"/>
    </row>
    <row r="26" spans="1:15">
      <c r="A26" s="74" t="s">
        <v>59</v>
      </c>
      <c r="B26" s="81" t="s">
        <v>65</v>
      </c>
      <c r="C26" s="82">
        <v>8.4000000000000005E-2</v>
      </c>
      <c r="D26" s="74">
        <v>1200</v>
      </c>
      <c r="E26" s="121"/>
      <c r="F26" s="120"/>
      <c r="G26" s="84">
        <f t="shared" si="11"/>
        <v>100.80000000000001</v>
      </c>
      <c r="H26" s="120"/>
      <c r="I26" s="120"/>
      <c r="J26" s="120"/>
      <c r="K26" s="116"/>
      <c r="L26" s="86">
        <f t="shared" si="13"/>
        <v>806</v>
      </c>
      <c r="M26" s="119"/>
      <c r="N26" s="124"/>
      <c r="O26" s="123"/>
    </row>
    <row r="27" spans="1:15">
      <c r="A27" t="s">
        <v>68</v>
      </c>
      <c r="B27" s="93" t="s">
        <v>69</v>
      </c>
      <c r="C27" s="90"/>
      <c r="D27" s="74">
        <v>600</v>
      </c>
      <c r="E27" s="94">
        <v>720</v>
      </c>
      <c r="F27" s="74">
        <v>68</v>
      </c>
      <c r="G27" s="94">
        <v>680</v>
      </c>
      <c r="H27" s="74">
        <v>1.1000000000000001</v>
      </c>
      <c r="I27" s="74">
        <v>0.8</v>
      </c>
      <c r="J27" s="74">
        <v>0.55000000000000004</v>
      </c>
      <c r="K27" s="95">
        <f t="shared" ref="K27:K32" si="14">H27*I27*J27</f>
        <v>0.4840000000000001</v>
      </c>
      <c r="L27" s="86">
        <f t="shared" si="13"/>
        <v>806</v>
      </c>
      <c r="M27" s="74">
        <f t="shared" ref="M27" si="15">L27/D27</f>
        <v>1.3433333333333333</v>
      </c>
      <c r="N27" s="91">
        <f t="shared" ref="N27:N28" si="16">M27*E27</f>
        <v>967.19999999999993</v>
      </c>
      <c r="O27" s="70">
        <f t="shared" ref="O27" si="17">M27*K27</f>
        <v>0.65017333333333338</v>
      </c>
    </row>
    <row r="28" spans="1:15" ht="21" customHeight="1">
      <c r="A28" s="74" t="s">
        <v>54</v>
      </c>
      <c r="B28" s="74" t="s">
        <v>58</v>
      </c>
      <c r="C28" s="75">
        <v>32.4</v>
      </c>
      <c r="D28" s="76">
        <v>20</v>
      </c>
      <c r="E28" s="77">
        <f>G28+F28</f>
        <v>729</v>
      </c>
      <c r="F28" s="77">
        <v>81</v>
      </c>
      <c r="G28" s="77">
        <f>C28*D28</f>
        <v>648</v>
      </c>
      <c r="H28" s="77">
        <v>1.08</v>
      </c>
      <c r="I28" s="77">
        <v>0.9</v>
      </c>
      <c r="J28" s="77">
        <v>0.7</v>
      </c>
      <c r="K28" s="78">
        <f t="shared" si="14"/>
        <v>0.6804</v>
      </c>
      <c r="L28" s="79">
        <v>323</v>
      </c>
      <c r="M28" s="74">
        <f>L28/D28</f>
        <v>16.149999999999999</v>
      </c>
      <c r="N28" s="80">
        <f t="shared" si="16"/>
        <v>11773.349999999999</v>
      </c>
      <c r="O28" s="73">
        <f>M28*K28</f>
        <v>10.98846</v>
      </c>
    </row>
    <row r="29" spans="1:15">
      <c r="A29" s="74" t="s">
        <v>59</v>
      </c>
      <c r="B29" s="81" t="s">
        <v>60</v>
      </c>
      <c r="C29" s="82">
        <v>0.52</v>
      </c>
      <c r="D29" s="74">
        <v>1200</v>
      </c>
      <c r="E29" s="83">
        <v>659</v>
      </c>
      <c r="F29" s="74">
        <v>35</v>
      </c>
      <c r="G29" s="84">
        <f>D29*C29</f>
        <v>624</v>
      </c>
      <c r="H29" s="74">
        <v>1</v>
      </c>
      <c r="I29" s="74">
        <v>0.9</v>
      </c>
      <c r="J29" s="74">
        <v>0.72</v>
      </c>
      <c r="K29" s="85">
        <f t="shared" si="14"/>
        <v>0.64800000000000002</v>
      </c>
      <c r="L29" s="86">
        <f>L28*2</f>
        <v>646</v>
      </c>
      <c r="M29" s="74">
        <f>L29/D29</f>
        <v>0.53833333333333333</v>
      </c>
      <c r="N29" s="87">
        <f>M29*E29</f>
        <v>354.76166666666666</v>
      </c>
      <c r="O29" s="70">
        <f t="shared" ref="O29:O32" si="18">K29*M29</f>
        <v>0.34883999999999998</v>
      </c>
    </row>
    <row r="30" spans="1:15">
      <c r="A30" s="74" t="s">
        <v>59</v>
      </c>
      <c r="B30" s="81" t="s">
        <v>61</v>
      </c>
      <c r="C30" s="82">
        <v>0.11</v>
      </c>
      <c r="D30" s="74">
        <v>2100</v>
      </c>
      <c r="E30" s="83">
        <f>F30+G30</f>
        <v>271</v>
      </c>
      <c r="F30" s="74">
        <v>40</v>
      </c>
      <c r="G30" s="84">
        <f t="shared" ref="G30:G36" si="19">C30*D30</f>
        <v>231</v>
      </c>
      <c r="H30" s="74">
        <v>1.1000000000000001</v>
      </c>
      <c r="I30" s="74">
        <v>0.9</v>
      </c>
      <c r="J30" s="88">
        <v>0.35</v>
      </c>
      <c r="K30" s="85">
        <f t="shared" si="14"/>
        <v>0.34650000000000003</v>
      </c>
      <c r="L30" s="86">
        <f>L28</f>
        <v>323</v>
      </c>
      <c r="M30" s="74">
        <f>L30/D30</f>
        <v>0.15380952380952381</v>
      </c>
      <c r="N30" s="87">
        <f>M30*E30</f>
        <v>41.682380952380953</v>
      </c>
      <c r="O30" s="70">
        <f t="shared" si="18"/>
        <v>5.3295000000000009E-2</v>
      </c>
    </row>
    <row r="31" spans="1:15" ht="28.8">
      <c r="A31" s="74" t="s">
        <v>59</v>
      </c>
      <c r="B31" s="81" t="s">
        <v>62</v>
      </c>
      <c r="C31" s="82">
        <v>2.0499999999999998</v>
      </c>
      <c r="D31" s="74">
        <v>400</v>
      </c>
      <c r="E31" s="83">
        <f>F31+G31</f>
        <v>879.99999999999989</v>
      </c>
      <c r="F31" s="74">
        <v>60</v>
      </c>
      <c r="G31" s="84">
        <f t="shared" si="19"/>
        <v>819.99999999999989</v>
      </c>
      <c r="H31" s="74">
        <v>1.1000000000000001</v>
      </c>
      <c r="I31" s="74">
        <v>0.95</v>
      </c>
      <c r="J31" s="89">
        <v>0.95</v>
      </c>
      <c r="K31" s="85">
        <f t="shared" si="14"/>
        <v>0.99274999999999991</v>
      </c>
      <c r="L31" s="86">
        <f>L28</f>
        <v>323</v>
      </c>
      <c r="M31" s="74">
        <f>L31/D31</f>
        <v>0.8075</v>
      </c>
      <c r="N31" s="87">
        <f t="shared" ref="N31:N32" si="20">E31*M31</f>
        <v>710.59999999999991</v>
      </c>
      <c r="O31" s="70">
        <f t="shared" si="18"/>
        <v>0.80164562499999992</v>
      </c>
    </row>
    <row r="32" spans="1:15">
      <c r="A32" s="74" t="s">
        <v>59</v>
      </c>
      <c r="B32" s="81" t="s">
        <v>63</v>
      </c>
      <c r="C32" s="82">
        <v>0.39</v>
      </c>
      <c r="D32" s="74">
        <v>1200</v>
      </c>
      <c r="E32" s="121">
        <f>F32+G32+G33+G34</f>
        <v>693.8</v>
      </c>
      <c r="F32" s="120">
        <v>65</v>
      </c>
      <c r="G32" s="84">
        <f t="shared" si="19"/>
        <v>468</v>
      </c>
      <c r="H32" s="120">
        <v>0.93</v>
      </c>
      <c r="I32" s="120">
        <v>0.88</v>
      </c>
      <c r="J32" s="122">
        <v>0.79</v>
      </c>
      <c r="K32" s="116">
        <f t="shared" si="14"/>
        <v>0.646536</v>
      </c>
      <c r="L32" s="86">
        <f>L28*2</f>
        <v>646</v>
      </c>
      <c r="M32" s="117">
        <f>L32/D32</f>
        <v>0.53833333333333333</v>
      </c>
      <c r="N32" s="124">
        <f t="shared" si="20"/>
        <v>373.49566666666664</v>
      </c>
      <c r="O32" s="123">
        <f t="shared" si="18"/>
        <v>0.34805187999999998</v>
      </c>
    </row>
    <row r="33" spans="1:15">
      <c r="A33" s="74" t="s">
        <v>59</v>
      </c>
      <c r="B33" s="81" t="s">
        <v>64</v>
      </c>
      <c r="C33" s="82">
        <v>0.05</v>
      </c>
      <c r="D33" s="74">
        <v>1200</v>
      </c>
      <c r="E33" s="121"/>
      <c r="F33" s="120"/>
      <c r="G33" s="84">
        <f t="shared" si="19"/>
        <v>60</v>
      </c>
      <c r="H33" s="120"/>
      <c r="I33" s="120"/>
      <c r="J33" s="122"/>
      <c r="K33" s="116"/>
      <c r="L33" s="86">
        <f>L28*2</f>
        <v>646</v>
      </c>
      <c r="M33" s="118"/>
      <c r="N33" s="124"/>
      <c r="O33" s="123"/>
    </row>
    <row r="34" spans="1:15">
      <c r="A34" s="74" t="s">
        <v>59</v>
      </c>
      <c r="B34" s="81" t="s">
        <v>65</v>
      </c>
      <c r="C34" s="82">
        <v>8.4000000000000005E-2</v>
      </c>
      <c r="D34" s="74">
        <v>1200</v>
      </c>
      <c r="E34" s="121"/>
      <c r="F34" s="120"/>
      <c r="G34" s="84">
        <f t="shared" si="19"/>
        <v>100.80000000000001</v>
      </c>
      <c r="H34" s="120"/>
      <c r="I34" s="120"/>
      <c r="J34" s="122"/>
      <c r="K34" s="116"/>
      <c r="L34" s="86">
        <f>L28*2</f>
        <v>646</v>
      </c>
      <c r="M34" s="119"/>
      <c r="N34" s="124"/>
      <c r="O34" s="123"/>
    </row>
    <row r="35" spans="1:15">
      <c r="A35" s="74" t="s">
        <v>59</v>
      </c>
      <c r="B35" s="81" t="s">
        <v>66</v>
      </c>
      <c r="C35" s="90">
        <v>0.1</v>
      </c>
      <c r="D35" s="74">
        <v>1200</v>
      </c>
      <c r="E35" s="83">
        <f>F35+G35</f>
        <v>150</v>
      </c>
      <c r="F35" s="74">
        <v>30</v>
      </c>
      <c r="G35" s="84">
        <f t="shared" si="19"/>
        <v>120</v>
      </c>
      <c r="H35" s="74">
        <v>0.9</v>
      </c>
      <c r="I35" s="74">
        <v>0.8</v>
      </c>
      <c r="J35" s="89">
        <v>0.35</v>
      </c>
      <c r="K35" s="85">
        <f t="shared" ref="K35:K38" si="21">H35*I35*J35</f>
        <v>0.252</v>
      </c>
      <c r="L35" s="86">
        <f>L28</f>
        <v>323</v>
      </c>
      <c r="M35" s="74">
        <f t="shared" ref="M35:M37" si="22">L35/D35</f>
        <v>0.26916666666666667</v>
      </c>
      <c r="N35" s="91">
        <f t="shared" ref="N35:N37" si="23">M35*E35</f>
        <v>40.375</v>
      </c>
      <c r="O35" s="70">
        <f t="shared" ref="O35:O37" si="24">M35*K35</f>
        <v>6.7830000000000001E-2</v>
      </c>
    </row>
    <row r="36" spans="1:15">
      <c r="A36" s="74" t="s">
        <v>59</v>
      </c>
      <c r="B36" s="92" t="s">
        <v>67</v>
      </c>
      <c r="C36" s="82">
        <v>0.53900000000000003</v>
      </c>
      <c r="D36" s="74">
        <v>1200</v>
      </c>
      <c r="E36" s="83">
        <f t="shared" ref="E36" si="25">G36+F36</f>
        <v>686.80000000000007</v>
      </c>
      <c r="F36" s="74">
        <v>40</v>
      </c>
      <c r="G36" s="84">
        <f t="shared" si="19"/>
        <v>646.80000000000007</v>
      </c>
      <c r="H36" s="74">
        <v>0.96</v>
      </c>
      <c r="I36" s="74">
        <v>0.84</v>
      </c>
      <c r="J36" s="74">
        <v>0.65</v>
      </c>
      <c r="K36" s="85">
        <f t="shared" si="21"/>
        <v>0.52415999999999996</v>
      </c>
      <c r="L36" s="86">
        <f>L28</f>
        <v>323</v>
      </c>
      <c r="M36" s="74">
        <f t="shared" si="22"/>
        <v>0.26916666666666667</v>
      </c>
      <c r="N36" s="91">
        <f t="shared" si="23"/>
        <v>184.86366666666669</v>
      </c>
      <c r="O36" s="70">
        <f t="shared" si="24"/>
        <v>0.1410864</v>
      </c>
    </row>
    <row r="37" spans="1:15">
      <c r="A37" t="s">
        <v>68</v>
      </c>
      <c r="B37" s="93" t="s">
        <v>69</v>
      </c>
      <c r="C37" s="90"/>
      <c r="D37" s="74">
        <v>600</v>
      </c>
      <c r="E37" s="94">
        <v>720</v>
      </c>
      <c r="F37" s="74">
        <v>68</v>
      </c>
      <c r="G37" s="94">
        <v>680</v>
      </c>
      <c r="H37" s="74">
        <v>1.1000000000000001</v>
      </c>
      <c r="I37" s="74">
        <v>0.8</v>
      </c>
      <c r="J37" s="74">
        <v>0.55000000000000004</v>
      </c>
      <c r="K37" s="95">
        <f t="shared" si="21"/>
        <v>0.4840000000000001</v>
      </c>
      <c r="L37" s="86">
        <f>L28*2</f>
        <v>646</v>
      </c>
      <c r="M37" s="74">
        <f t="shared" si="22"/>
        <v>1.0766666666666667</v>
      </c>
      <c r="N37" s="91">
        <f t="shared" si="23"/>
        <v>775.2</v>
      </c>
      <c r="O37" s="70">
        <f t="shared" si="24"/>
        <v>0.52110666666666672</v>
      </c>
    </row>
    <row r="38" spans="1:15">
      <c r="A38" s="74" t="s">
        <v>59</v>
      </c>
      <c r="B38" s="81" t="s">
        <v>70</v>
      </c>
      <c r="C38" s="82">
        <v>4.4999999999999998E-2</v>
      </c>
      <c r="D38" s="74">
        <v>4200</v>
      </c>
      <c r="E38" s="121">
        <f>F38+G38+G39</f>
        <v>363.4</v>
      </c>
      <c r="F38" s="120">
        <v>40</v>
      </c>
      <c r="G38" s="84">
        <f t="shared" ref="G38:G39" si="26">C38*D38</f>
        <v>189</v>
      </c>
      <c r="H38" s="120">
        <v>1.04</v>
      </c>
      <c r="I38" s="120">
        <v>0.84</v>
      </c>
      <c r="J38" s="120">
        <v>0.64</v>
      </c>
      <c r="K38" s="116">
        <f t="shared" si="21"/>
        <v>0.55910400000000005</v>
      </c>
      <c r="L38" s="86">
        <f>L28</f>
        <v>323</v>
      </c>
      <c r="M38" s="120">
        <f>L38/D38</f>
        <v>7.6904761904761906E-2</v>
      </c>
      <c r="N38" s="124">
        <f>E38*M38</f>
        <v>27.947190476190475</v>
      </c>
      <c r="O38" s="123">
        <f>K38*M38</f>
        <v>4.2997760000000003E-2</v>
      </c>
    </row>
    <row r="39" spans="1:15">
      <c r="A39" s="74" t="s">
        <v>59</v>
      </c>
      <c r="B39" s="81" t="s">
        <v>71</v>
      </c>
      <c r="C39" s="82">
        <v>3.2000000000000001E-2</v>
      </c>
      <c r="D39" s="74">
        <v>4200</v>
      </c>
      <c r="E39" s="121"/>
      <c r="F39" s="120"/>
      <c r="G39" s="84">
        <f t="shared" si="26"/>
        <v>134.4</v>
      </c>
      <c r="H39" s="120"/>
      <c r="I39" s="120"/>
      <c r="J39" s="120"/>
      <c r="K39" s="116"/>
      <c r="L39" s="86">
        <f>L28</f>
        <v>323</v>
      </c>
      <c r="M39" s="120"/>
      <c r="N39" s="124"/>
      <c r="O39" s="123"/>
    </row>
    <row r="40" spans="1:15">
      <c r="L40" s="72">
        <f>SUM(L20:L39)</f>
        <v>10730</v>
      </c>
      <c r="M40" s="72">
        <f t="shared" ref="M40:O40" si="27">SUM(M20:M39)</f>
        <v>34.792480158730157</v>
      </c>
      <c r="N40" s="72">
        <f t="shared" si="27"/>
        <v>23658.224095238093</v>
      </c>
      <c r="O40" s="96">
        <f t="shared" si="27"/>
        <v>22.391752094999998</v>
      </c>
    </row>
    <row r="47" spans="1:15">
      <c r="A47" s="103" t="s">
        <v>77</v>
      </c>
      <c r="M47" s="1"/>
    </row>
    <row r="48" spans="1:15" ht="41.4">
      <c r="A48" s="66" t="s">
        <v>40</v>
      </c>
      <c r="B48" s="66" t="s">
        <v>41</v>
      </c>
      <c r="C48" s="66" t="s">
        <v>42</v>
      </c>
      <c r="D48" s="66"/>
      <c r="E48" s="66" t="s">
        <v>43</v>
      </c>
      <c r="F48" s="66" t="s">
        <v>44</v>
      </c>
      <c r="G48" s="66" t="s">
        <v>45</v>
      </c>
      <c r="H48" s="66" t="s">
        <v>46</v>
      </c>
      <c r="I48" s="66" t="s">
        <v>47</v>
      </c>
      <c r="J48" s="66" t="s">
        <v>48</v>
      </c>
      <c r="K48" s="66" t="s">
        <v>49</v>
      </c>
      <c r="L48" s="66" t="s">
        <v>50</v>
      </c>
      <c r="M48" s="66" t="s">
        <v>51</v>
      </c>
      <c r="N48" s="66" t="s">
        <v>52</v>
      </c>
      <c r="O48" s="66" t="s">
        <v>53</v>
      </c>
    </row>
    <row r="49" spans="1:15">
      <c r="A49" s="67" t="s">
        <v>54</v>
      </c>
      <c r="B49" s="67" t="s">
        <v>55</v>
      </c>
      <c r="C49" s="67">
        <v>36</v>
      </c>
      <c r="D49" s="67">
        <v>24.1</v>
      </c>
      <c r="E49" s="67">
        <v>1065.5999999999999</v>
      </c>
      <c r="F49" s="67">
        <v>72</v>
      </c>
      <c r="G49" s="67">
        <v>900</v>
      </c>
      <c r="H49" s="67">
        <v>1.165</v>
      </c>
      <c r="I49" s="67">
        <v>1.01</v>
      </c>
      <c r="J49" s="67">
        <v>1.125</v>
      </c>
      <c r="K49" s="68">
        <f t="shared" ref="K49:K56" si="28">H49*I49*J49</f>
        <v>1.32373125</v>
      </c>
      <c r="L49" s="69">
        <v>0</v>
      </c>
      <c r="M49" s="70">
        <f>L49/C49</f>
        <v>0</v>
      </c>
      <c r="N49" s="71">
        <f>M49*E49</f>
        <v>0</v>
      </c>
      <c r="O49" s="71">
        <f>M49*K49</f>
        <v>0</v>
      </c>
    </row>
    <row r="50" spans="1:15">
      <c r="A50" s="67" t="s">
        <v>54</v>
      </c>
      <c r="B50" s="67" t="s">
        <v>55</v>
      </c>
      <c r="C50" s="67">
        <v>24</v>
      </c>
      <c r="D50" s="67"/>
      <c r="E50" s="67">
        <v>817.2</v>
      </c>
      <c r="F50" s="67">
        <v>72</v>
      </c>
      <c r="G50" s="67">
        <v>675</v>
      </c>
      <c r="H50" s="67">
        <v>1.165</v>
      </c>
      <c r="I50" s="67">
        <v>1.01</v>
      </c>
      <c r="J50" s="67">
        <v>0.8</v>
      </c>
      <c r="K50" s="68">
        <f t="shared" si="28"/>
        <v>0.94132000000000005</v>
      </c>
      <c r="L50" s="69">
        <v>0</v>
      </c>
      <c r="M50" s="70">
        <f>L50/C50</f>
        <v>0</v>
      </c>
      <c r="N50" s="71">
        <f>M50*E50</f>
        <v>0</v>
      </c>
      <c r="O50" s="71">
        <f>M50*K50</f>
        <v>0</v>
      </c>
    </row>
    <row r="51" spans="1:15">
      <c r="A51" s="67" t="s">
        <v>54</v>
      </c>
      <c r="B51" s="67" t="s">
        <v>55</v>
      </c>
      <c r="C51" s="67">
        <v>18</v>
      </c>
      <c r="D51" s="67"/>
      <c r="E51" s="67">
        <v>536.79999999999995</v>
      </c>
      <c r="F51" s="67">
        <v>40</v>
      </c>
      <c r="G51" s="67">
        <v>450</v>
      </c>
      <c r="H51" s="67">
        <v>1.01</v>
      </c>
      <c r="I51" s="67">
        <v>1.01</v>
      </c>
      <c r="J51" s="67">
        <v>1.125</v>
      </c>
      <c r="K51" s="68">
        <f t="shared" si="28"/>
        <v>1.1476124999999999</v>
      </c>
      <c r="L51" s="69">
        <v>0</v>
      </c>
      <c r="M51" s="70">
        <f t="shared" ref="M51:M52" si="29">L51/C51</f>
        <v>0</v>
      </c>
      <c r="N51" s="71">
        <f t="shared" ref="N51:N52" si="30">M51*E51</f>
        <v>0</v>
      </c>
      <c r="O51" s="71">
        <f t="shared" ref="O51:O52" si="31">M51*K51</f>
        <v>0</v>
      </c>
    </row>
    <row r="52" spans="1:15">
      <c r="A52" s="67" t="s">
        <v>54</v>
      </c>
      <c r="B52" s="67" t="s">
        <v>55</v>
      </c>
      <c r="C52" s="67">
        <v>12</v>
      </c>
      <c r="D52" s="67"/>
      <c r="E52" s="67">
        <v>412.6</v>
      </c>
      <c r="F52" s="67">
        <v>40</v>
      </c>
      <c r="G52" s="67">
        <v>337.5</v>
      </c>
      <c r="H52" s="67">
        <v>1.01</v>
      </c>
      <c r="I52" s="67">
        <v>1.01</v>
      </c>
      <c r="J52" s="67">
        <v>0.8</v>
      </c>
      <c r="K52" s="68">
        <f t="shared" si="28"/>
        <v>0.81608000000000003</v>
      </c>
      <c r="L52" s="69">
        <v>0</v>
      </c>
      <c r="M52" s="70">
        <f t="shared" si="29"/>
        <v>0</v>
      </c>
      <c r="N52" s="71">
        <f t="shared" si="30"/>
        <v>0</v>
      </c>
      <c r="O52" s="71">
        <f t="shared" si="31"/>
        <v>0</v>
      </c>
    </row>
    <row r="53" spans="1:15">
      <c r="A53" s="67" t="s">
        <v>54</v>
      </c>
      <c r="B53" s="67" t="s">
        <v>56</v>
      </c>
      <c r="C53" s="67">
        <v>16</v>
      </c>
      <c r="D53" s="67">
        <v>48.2</v>
      </c>
      <c r="E53" s="67">
        <v>1065.5999999999999</v>
      </c>
      <c r="F53" s="67">
        <v>72</v>
      </c>
      <c r="G53" s="67">
        <v>900</v>
      </c>
      <c r="H53" s="67">
        <v>1.165</v>
      </c>
      <c r="I53" s="67">
        <v>1.01</v>
      </c>
      <c r="J53" s="67">
        <v>1.08</v>
      </c>
      <c r="K53" s="68">
        <f t="shared" si="28"/>
        <v>1.2707820000000001</v>
      </c>
      <c r="L53" s="69">
        <v>48</v>
      </c>
      <c r="M53" s="70">
        <f>L53/C53</f>
        <v>3</v>
      </c>
      <c r="N53" s="71">
        <f>M53*E53</f>
        <v>3196.7999999999997</v>
      </c>
      <c r="O53" s="71">
        <f>M53*K53</f>
        <v>3.8123460000000002</v>
      </c>
    </row>
    <row r="54" spans="1:15">
      <c r="A54" s="67" t="s">
        <v>54</v>
      </c>
      <c r="B54" s="67" t="s">
        <v>56</v>
      </c>
      <c r="C54" s="67">
        <v>24</v>
      </c>
      <c r="D54" s="67"/>
      <c r="E54" s="67">
        <v>817.2</v>
      </c>
      <c r="F54" s="67">
        <v>72</v>
      </c>
      <c r="G54" s="67">
        <v>675</v>
      </c>
      <c r="H54" s="67">
        <v>1.165</v>
      </c>
      <c r="I54" s="67">
        <v>1.01</v>
      </c>
      <c r="J54" s="67">
        <v>0.8</v>
      </c>
      <c r="K54" s="68">
        <f t="shared" si="28"/>
        <v>0.94132000000000005</v>
      </c>
      <c r="L54" s="69">
        <v>0</v>
      </c>
      <c r="M54" s="70">
        <f>L54/C54</f>
        <v>0</v>
      </c>
      <c r="N54" s="71">
        <f>M54*E54</f>
        <v>0</v>
      </c>
      <c r="O54" s="71">
        <f>M54*K54</f>
        <v>0</v>
      </c>
    </row>
    <row r="55" spans="1:15">
      <c r="A55" s="67" t="s">
        <v>54</v>
      </c>
      <c r="B55" s="67" t="s">
        <v>56</v>
      </c>
      <c r="C55" s="67">
        <v>18</v>
      </c>
      <c r="D55" s="67"/>
      <c r="E55" s="67">
        <v>536.79999999999995</v>
      </c>
      <c r="F55" s="67">
        <v>40</v>
      </c>
      <c r="G55" s="67">
        <v>450</v>
      </c>
      <c r="H55" s="67">
        <v>1.01</v>
      </c>
      <c r="I55" s="67">
        <v>1.01</v>
      </c>
      <c r="J55" s="67">
        <v>1.125</v>
      </c>
      <c r="K55" s="68">
        <f t="shared" si="28"/>
        <v>1.1476124999999999</v>
      </c>
      <c r="L55" s="69">
        <v>0</v>
      </c>
      <c r="M55" s="70">
        <f t="shared" ref="M55:M56" si="32">L55/C55</f>
        <v>0</v>
      </c>
      <c r="N55" s="71">
        <f t="shared" ref="N55:N56" si="33">M55*E55</f>
        <v>0</v>
      </c>
      <c r="O55" s="71">
        <f t="shared" ref="O55:O56" si="34">M55*K55</f>
        <v>0</v>
      </c>
    </row>
    <row r="56" spans="1:15">
      <c r="A56" s="67" t="s">
        <v>54</v>
      </c>
      <c r="B56" s="67" t="s">
        <v>56</v>
      </c>
      <c r="C56" s="67">
        <v>12</v>
      </c>
      <c r="D56" s="67"/>
      <c r="E56" s="67">
        <v>412.6</v>
      </c>
      <c r="F56" s="67">
        <v>40</v>
      </c>
      <c r="G56" s="67">
        <v>337.5</v>
      </c>
      <c r="H56" s="67">
        <v>1.01</v>
      </c>
      <c r="I56" s="67">
        <v>1.01</v>
      </c>
      <c r="J56" s="67">
        <v>0.8</v>
      </c>
      <c r="K56" s="68">
        <f t="shared" si="28"/>
        <v>0.81608000000000003</v>
      </c>
      <c r="L56" s="69">
        <v>0</v>
      </c>
      <c r="M56" s="70">
        <f t="shared" si="32"/>
        <v>0</v>
      </c>
      <c r="N56" s="71">
        <f t="shared" si="33"/>
        <v>0</v>
      </c>
      <c r="O56" s="71">
        <f t="shared" si="34"/>
        <v>0</v>
      </c>
    </row>
    <row r="57" spans="1:15">
      <c r="L57" s="72">
        <f>SUM(L49:L56)</f>
        <v>48</v>
      </c>
      <c r="M57" s="72">
        <f>SUM(M49:M56)</f>
        <v>3</v>
      </c>
      <c r="N57" s="72">
        <f>SUM(N49:N56)</f>
        <v>3196.7999999999997</v>
      </c>
      <c r="O57" s="96">
        <f>SUM(O49:O56)</f>
        <v>3.8123460000000002</v>
      </c>
    </row>
  </sheetData>
  <mergeCells count="27">
    <mergeCell ref="O38:O39"/>
    <mergeCell ref="E24:E26"/>
    <mergeCell ref="H24:H26"/>
    <mergeCell ref="M24:M26"/>
    <mergeCell ref="N32:N34"/>
    <mergeCell ref="O32:O34"/>
    <mergeCell ref="E38:E39"/>
    <mergeCell ref="F38:F39"/>
    <mergeCell ref="H38:H39"/>
    <mergeCell ref="I38:I39"/>
    <mergeCell ref="J38:J39"/>
    <mergeCell ref="K38:K39"/>
    <mergeCell ref="M38:M39"/>
    <mergeCell ref="N38:N39"/>
    <mergeCell ref="N24:N26"/>
    <mergeCell ref="O24:O26"/>
    <mergeCell ref="E32:E34"/>
    <mergeCell ref="F32:F34"/>
    <mergeCell ref="H32:H34"/>
    <mergeCell ref="I32:I34"/>
    <mergeCell ref="J32:J34"/>
    <mergeCell ref="K32:K34"/>
    <mergeCell ref="M32:M34"/>
    <mergeCell ref="F24:F26"/>
    <mergeCell ref="I24:I26"/>
    <mergeCell ref="J24:J26"/>
    <mergeCell ref="K24:K26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75EA-1B5C-4F2F-B3AE-4ED1D171E872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Shipping Schedule Summary </vt:lpstr>
      <vt:lpstr>TMT Schedule</vt:lpstr>
      <vt:lpstr>Container Config</vt:lpstr>
      <vt:lpstr>Sheet2</vt:lpstr>
      <vt:lpstr>'Shipping Schedule Summary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cp:lastPrinted>2025-02-21T05:35:07Z</cp:lastPrinted>
  <dcterms:created xsi:type="dcterms:W3CDTF">2015-06-05T18:17:00Z</dcterms:created>
  <dcterms:modified xsi:type="dcterms:W3CDTF">2025-03-12T00:12:07Z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0C7022505C524D0EA440EBBE40455052_13</vt:lpwstr>
  </property>
  <property fmtid="{D5CDD505-2E9C-101B-9397-08002B2CF9AE}" pid="3" name="KSOProductBuildVer">
    <vt:lpwstr>2052-11.1.0.15319</vt:lpwstr>
  </property>
</Properties>
</file>