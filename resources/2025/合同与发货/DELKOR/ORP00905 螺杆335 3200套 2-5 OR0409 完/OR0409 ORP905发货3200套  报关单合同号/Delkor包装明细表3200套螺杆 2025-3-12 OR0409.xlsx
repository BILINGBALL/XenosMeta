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OR0409 ORP905发货3200套\"/>
    </mc:Choice>
  </mc:AlternateContent>
  <xr:revisionPtr revIDLastSave="0" documentId="13_ncr:1_{AE80DCBC-7023-4C7B-BA69-2F557791BB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O6" i="1"/>
  <c r="M6" i="1"/>
  <c r="P6" i="1" s="1"/>
  <c r="J6" i="1"/>
  <c r="F6" i="1"/>
  <c r="Q5" i="1"/>
  <c r="O5" i="1"/>
  <c r="M5" i="1"/>
  <c r="P5" i="1" s="1"/>
  <c r="J5" i="1"/>
  <c r="H5" i="1"/>
  <c r="F5" i="1" s="1"/>
  <c r="J8" i="1"/>
  <c r="Q8" i="1"/>
  <c r="O8" i="1"/>
  <c r="M8" i="1"/>
  <c r="P8" i="1" s="1"/>
  <c r="J9" i="1"/>
  <c r="Q4" i="1"/>
  <c r="O4" i="1"/>
  <c r="M4" i="1"/>
  <c r="P4" i="1" s="1"/>
  <c r="J4" i="1"/>
  <c r="F4" i="1"/>
  <c r="Q3" i="1"/>
  <c r="O3" i="1"/>
  <c r="M3" i="1"/>
  <c r="P3" i="1" s="1"/>
  <c r="J3" i="1"/>
  <c r="H3" i="1"/>
  <c r="F3" i="1" s="1"/>
  <c r="Q7" i="1"/>
  <c r="O7" i="1"/>
  <c r="M7" i="1"/>
  <c r="P7" i="1" s="1"/>
  <c r="J7" i="1"/>
  <c r="H7" i="1"/>
  <c r="F7" i="1" s="1"/>
  <c r="K10" i="1"/>
  <c r="O10" i="1" l="1"/>
  <c r="H10" i="1"/>
  <c r="Q10" i="1"/>
  <c r="P10" i="1"/>
  <c r="F10" i="1"/>
</calcChain>
</file>

<file path=xl/sharedStrings.xml><?xml version="1.0" encoding="utf-8"?>
<sst xmlns="http://schemas.openxmlformats.org/spreadsheetml/2006/main" count="55" uniqueCount="33">
  <si>
    <t>序号
No</t>
  </si>
  <si>
    <t>产品名称
Name</t>
  </si>
  <si>
    <t>型号及规格
Spec.</t>
  </si>
  <si>
    <t>合同号
PO</t>
  </si>
  <si>
    <t>箱号
Case No.</t>
  </si>
  <si>
    <t>套
Quan.</t>
  </si>
  <si>
    <t>套/袋
pcs
/bag</t>
  </si>
  <si>
    <t>袋
bags</t>
  </si>
  <si>
    <t>袋/箱
bag
/case</t>
  </si>
  <si>
    <t>套/箱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</si>
  <si>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</si>
  <si>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</si>
  <si>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</si>
  <si>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</si>
  <si>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</si>
  <si>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</si>
  <si>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</si>
  <si>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0.49</t>
    </r>
  </si>
  <si>
    <t>合计</t>
  </si>
  <si>
    <t>备注：</t>
  </si>
  <si>
    <t>Delker</t>
  </si>
  <si>
    <t>苏州苏德兰铁路配件有限公司</t>
  </si>
  <si>
    <t>M24X335</t>
    <phoneticPr fontId="9" type="noConversion"/>
  </si>
  <si>
    <t>螺杆配双螺母配平垫弹垫
Thread Rod Assembly</t>
    <phoneticPr fontId="9" type="noConversion"/>
  </si>
  <si>
    <t>1套报关资料</t>
    <phoneticPr fontId="9" type="noConversion"/>
  </si>
  <si>
    <t xml:space="preserve"> 包  装  明  细  表OR0409                           </t>
    <phoneticPr fontId="9" type="noConversion"/>
  </si>
  <si>
    <t>1 de 6</t>
  </si>
  <si>
    <t>2 de 6</t>
  </si>
  <si>
    <t>3 de 6</t>
  </si>
  <si>
    <t>4 de 6</t>
    <phoneticPr fontId="9" type="noConversion"/>
  </si>
  <si>
    <t>5 de 6</t>
    <phoneticPr fontId="9" type="noConversion"/>
  </si>
  <si>
    <t>6 de 6</t>
    <phoneticPr fontId="9" type="noConversion"/>
  </si>
  <si>
    <t>ORP00905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</si>
</sst>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1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1">
    <xf numFmtId="176" fontId="0" fillId="0" borderId="0">
      <alignment vertical="center"/>
    </xf>
  </cellStyleXfs>
  <cellXfs count="52">
    <xf numFmtId="176" fontId="0" fillId="0" borderId="0" xfId="0">
      <alignment vertical="center"/>
    </xf>
    <xf numFmtId="176" fontId="2" fillId="0" borderId="1" xfId="0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5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 wrapText="1"/>
    </xf>
    <xf numFmtId="178" fontId="10" fillId="0" borderId="5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178" fontId="2" fillId="0" borderId="9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6" fontId="7" fillId="0" borderId="0" xfId="0" applyFont="1" applyAlignment="1">
      <alignment horizontal="right" vertical="center"/>
    </xf>
    <xf numFmtId="176" fontId="8" fillId="0" borderId="2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12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 wrapText="1"/>
    </xf>
    <xf numFmtId="177" fontId="2" fillId="0" borderId="10" xfId="0" applyNumberFormat="1" applyFont="1" applyBorder="1" applyAlignment="1">
      <alignment horizontal="center" vertical="center" wrapText="1"/>
    </xf>
    <xf numFmtId="177" fontId="10" fillId="0" borderId="14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8" fontId="6" fillId="0" borderId="12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177" fontId="4" fillId="0" borderId="16" xfId="0" applyNumberFormat="1" applyFont="1" applyBorder="1" applyAlignment="1">
      <alignment horizontal="center" vertical="center"/>
    </xf>
    <xf numFmtId="176" fontId="8" fillId="0" borderId="1" xfId="0" applyFont="1" applyBorder="1" applyAlignment="1">
      <alignment horizontal="center" vertical="center"/>
    </xf>
    <xf numFmtId="176" fontId="8" fillId="0" borderId="3" xfId="0" applyFont="1" applyBorder="1" applyAlignment="1">
      <alignment horizontal="center" vertical="center"/>
    </xf>
    <xf numFmtId="176" fontId="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"/>
  <sheetViews>
    <sheetView tabSelected="1" topLeftCell="A4" workbookViewId="0">
      <selection activeCell="K8" sqref="K8:K9"/>
    </sheetView>
  </sheetViews>
  <sheetFormatPr defaultColWidth="9" defaultRowHeight="13.5" x14ac:dyDescent="0.15"/>
  <cols>
    <col min="1" max="1" width="4.625" customWidth="1"/>
    <col min="2" max="2" width="8.25" customWidth="1"/>
    <col min="3" max="3" width="9.5" customWidth="1"/>
    <col min="4" max="4" width="9.625" customWidth="1"/>
    <col min="5" max="5" width="12.75" customWidth="1"/>
    <col min="6" max="6" width="7.37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  <col min="18" max="18" width="15.625" customWidth="1"/>
  </cols>
  <sheetData>
    <row r="1" spans="1:18" ht="36.950000000000003" customHeight="1" x14ac:dyDescent="0.15">
      <c r="A1" s="47" t="s">
        <v>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8" ht="45.95" customHeight="1" thickBo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8" ht="68.099999999999994" customHeight="1" x14ac:dyDescent="0.15">
      <c r="A3" s="13">
        <v>1</v>
      </c>
      <c r="B3" s="14" t="s">
        <v>23</v>
      </c>
      <c r="C3" s="15" t="s">
        <v>22</v>
      </c>
      <c r="D3" s="26" t="s">
        <v>32</v>
      </c>
      <c r="E3" s="22" t="s">
        <v>26</v>
      </c>
      <c r="F3" s="16">
        <f>G3*H3</f>
        <v>600</v>
      </c>
      <c r="G3" s="17">
        <v>15</v>
      </c>
      <c r="H3" s="17">
        <f>I3*K3</f>
        <v>40</v>
      </c>
      <c r="I3" s="17">
        <v>40</v>
      </c>
      <c r="J3" s="17">
        <f>G3*I3</f>
        <v>600</v>
      </c>
      <c r="K3" s="17">
        <v>1</v>
      </c>
      <c r="L3" s="17">
        <v>680</v>
      </c>
      <c r="M3" s="17">
        <f>L3+42</f>
        <v>722</v>
      </c>
      <c r="N3" s="18" t="s">
        <v>17</v>
      </c>
      <c r="O3" s="17">
        <f>L3*K3</f>
        <v>680</v>
      </c>
      <c r="P3" s="17">
        <f>M3*K3</f>
        <v>722</v>
      </c>
      <c r="Q3" s="23">
        <f>0.49*K3</f>
        <v>0.49</v>
      </c>
      <c r="R3" s="29" t="s">
        <v>24</v>
      </c>
    </row>
    <row r="4" spans="1:18" ht="59.25" customHeight="1" thickBot="1" x14ac:dyDescent="0.2">
      <c r="A4" s="19">
        <v>2</v>
      </c>
      <c r="B4" s="10" t="s">
        <v>23</v>
      </c>
      <c r="C4" s="11" t="s">
        <v>22</v>
      </c>
      <c r="D4" s="27" t="s">
        <v>32</v>
      </c>
      <c r="E4" s="21" t="s">
        <v>27</v>
      </c>
      <c r="F4" s="3">
        <f t="shared" ref="F4" si="0">G4*H4</f>
        <v>480</v>
      </c>
      <c r="G4" s="2">
        <v>15</v>
      </c>
      <c r="H4" s="2">
        <v>32</v>
      </c>
      <c r="I4" s="2">
        <v>32</v>
      </c>
      <c r="J4" s="2">
        <f t="shared" ref="J4" si="1">G4*I4</f>
        <v>480</v>
      </c>
      <c r="K4" s="9">
        <v>1</v>
      </c>
      <c r="L4" s="9">
        <v>544</v>
      </c>
      <c r="M4" s="9">
        <f t="shared" ref="M4" si="2">L4+42</f>
        <v>586</v>
      </c>
      <c r="N4" s="12" t="s">
        <v>17</v>
      </c>
      <c r="O4" s="9">
        <f t="shared" ref="O4" si="3">L4*K4</f>
        <v>544</v>
      </c>
      <c r="P4" s="9">
        <f t="shared" ref="P4" si="4">M4*K4</f>
        <v>586</v>
      </c>
      <c r="Q4" s="24">
        <f t="shared" ref="Q4" si="5">0.49*K4</f>
        <v>0.49</v>
      </c>
      <c r="R4" s="29"/>
    </row>
    <row r="5" spans="1:18" ht="68.099999999999994" customHeight="1" x14ac:dyDescent="0.15">
      <c r="A5" s="13">
        <v>3</v>
      </c>
      <c r="B5" s="14" t="s">
        <v>23</v>
      </c>
      <c r="C5" s="15" t="s">
        <v>22</v>
      </c>
      <c r="D5" s="26" t="s">
        <v>32</v>
      </c>
      <c r="E5" s="22" t="s">
        <v>28</v>
      </c>
      <c r="F5" s="16">
        <f>G5*H5</f>
        <v>600</v>
      </c>
      <c r="G5" s="17">
        <v>15</v>
      </c>
      <c r="H5" s="17">
        <f>I5*K5</f>
        <v>40</v>
      </c>
      <c r="I5" s="17">
        <v>40</v>
      </c>
      <c r="J5" s="17">
        <f>G5*I5</f>
        <v>600</v>
      </c>
      <c r="K5" s="17">
        <v>1</v>
      </c>
      <c r="L5" s="17">
        <v>680</v>
      </c>
      <c r="M5" s="17">
        <f>L5+42</f>
        <v>722</v>
      </c>
      <c r="N5" s="18" t="s">
        <v>17</v>
      </c>
      <c r="O5" s="17">
        <f>L5*K5</f>
        <v>680</v>
      </c>
      <c r="P5" s="17">
        <f>M5*K5</f>
        <v>722</v>
      </c>
      <c r="Q5" s="23">
        <f>0.49*K5</f>
        <v>0.49</v>
      </c>
      <c r="R5" s="45" t="s">
        <v>24</v>
      </c>
    </row>
    <row r="6" spans="1:18" ht="59.25" customHeight="1" thickBot="1" x14ac:dyDescent="0.2">
      <c r="A6" s="19">
        <v>4</v>
      </c>
      <c r="B6" s="10" t="s">
        <v>23</v>
      </c>
      <c r="C6" s="11" t="s">
        <v>22</v>
      </c>
      <c r="D6" s="27" t="s">
        <v>32</v>
      </c>
      <c r="E6" s="21" t="s">
        <v>29</v>
      </c>
      <c r="F6" s="3">
        <f t="shared" ref="F6" si="6">G6*H6</f>
        <v>480</v>
      </c>
      <c r="G6" s="2">
        <v>15</v>
      </c>
      <c r="H6" s="2">
        <v>32</v>
      </c>
      <c r="I6" s="2">
        <v>32</v>
      </c>
      <c r="J6" s="2">
        <f t="shared" ref="J6" si="7">G6*I6</f>
        <v>480</v>
      </c>
      <c r="K6" s="9">
        <v>1</v>
      </c>
      <c r="L6" s="9">
        <v>544</v>
      </c>
      <c r="M6" s="9">
        <f t="shared" ref="M6" si="8">L6+42</f>
        <v>586</v>
      </c>
      <c r="N6" s="12" t="s">
        <v>17</v>
      </c>
      <c r="O6" s="9">
        <f t="shared" ref="O6" si="9">L6*K6</f>
        <v>544</v>
      </c>
      <c r="P6" s="9">
        <f t="shared" ref="P6" si="10">M6*K6</f>
        <v>586</v>
      </c>
      <c r="Q6" s="24">
        <f t="shared" ref="Q6" si="11">0.49*K6</f>
        <v>0.49</v>
      </c>
      <c r="R6" s="46"/>
    </row>
    <row r="7" spans="1:18" ht="68.099999999999994" customHeight="1" thickBot="1" x14ac:dyDescent="0.2">
      <c r="A7" s="13">
        <v>5</v>
      </c>
      <c r="B7" s="14" t="s">
        <v>23</v>
      </c>
      <c r="C7" s="15" t="s">
        <v>22</v>
      </c>
      <c r="D7" s="26" t="s">
        <v>32</v>
      </c>
      <c r="E7" s="22" t="s">
        <v>30</v>
      </c>
      <c r="F7" s="16">
        <f>G7*H7</f>
        <v>600</v>
      </c>
      <c r="G7" s="17">
        <v>15</v>
      </c>
      <c r="H7" s="17">
        <f>I7*K7</f>
        <v>40</v>
      </c>
      <c r="I7" s="17">
        <v>40</v>
      </c>
      <c r="J7" s="17">
        <f>G7*I7</f>
        <v>600</v>
      </c>
      <c r="K7" s="17">
        <v>1</v>
      </c>
      <c r="L7" s="17">
        <v>680</v>
      </c>
      <c r="M7" s="17">
        <f>L7+42</f>
        <v>722</v>
      </c>
      <c r="N7" s="18" t="s">
        <v>17</v>
      </c>
      <c r="O7" s="17">
        <f>L7*K7</f>
        <v>680</v>
      </c>
      <c r="P7" s="17">
        <f>M7*K7</f>
        <v>722</v>
      </c>
      <c r="Q7" s="23">
        <f>0.49*K7</f>
        <v>0.49</v>
      </c>
      <c r="R7" s="29" t="s">
        <v>24</v>
      </c>
    </row>
    <row r="8" spans="1:18" ht="37.5" customHeight="1" x14ac:dyDescent="0.15">
      <c r="A8" s="50">
        <v>6</v>
      </c>
      <c r="B8" s="30" t="s">
        <v>23</v>
      </c>
      <c r="C8" s="32" t="s">
        <v>22</v>
      </c>
      <c r="D8" s="34" t="s">
        <v>32</v>
      </c>
      <c r="E8" s="36" t="s">
        <v>31</v>
      </c>
      <c r="F8" s="43">
        <v>440</v>
      </c>
      <c r="G8" s="25">
        <v>15</v>
      </c>
      <c r="H8" s="25">
        <v>29</v>
      </c>
      <c r="I8" s="25">
        <v>29</v>
      </c>
      <c r="J8" s="17">
        <f>G8*I8</f>
        <v>435</v>
      </c>
      <c r="K8" s="39">
        <v>1</v>
      </c>
      <c r="L8" s="39">
        <v>497</v>
      </c>
      <c r="M8" s="39">
        <f>L8+42</f>
        <v>539</v>
      </c>
      <c r="N8" s="37" t="s">
        <v>17</v>
      </c>
      <c r="O8" s="39">
        <f>L8*K8</f>
        <v>497</v>
      </c>
      <c r="P8" s="39">
        <f>M8*K8</f>
        <v>539</v>
      </c>
      <c r="Q8" s="41">
        <f>0.49*K8</f>
        <v>0.49</v>
      </c>
      <c r="R8" s="29"/>
    </row>
    <row r="9" spans="1:18" ht="37.5" customHeight="1" thickBot="1" x14ac:dyDescent="0.2">
      <c r="A9" s="51"/>
      <c r="B9" s="31"/>
      <c r="C9" s="33"/>
      <c r="D9" s="35"/>
      <c r="E9" s="36"/>
      <c r="F9" s="44"/>
      <c r="G9" s="20">
        <v>5</v>
      </c>
      <c r="H9" s="20">
        <v>1</v>
      </c>
      <c r="I9" s="20">
        <v>1</v>
      </c>
      <c r="J9" s="20">
        <f t="shared" ref="J9" si="12">G9*I9</f>
        <v>5</v>
      </c>
      <c r="K9" s="40"/>
      <c r="L9" s="40"/>
      <c r="M9" s="40"/>
      <c r="N9" s="38"/>
      <c r="O9" s="40"/>
      <c r="P9" s="40"/>
      <c r="Q9" s="42"/>
      <c r="R9" s="29"/>
    </row>
    <row r="10" spans="1:18" ht="41.1" customHeight="1" x14ac:dyDescent="0.15">
      <c r="A10" s="49" t="s">
        <v>18</v>
      </c>
      <c r="B10" s="49"/>
      <c r="C10" s="49"/>
      <c r="D10" s="5"/>
      <c r="E10" s="4"/>
      <c r="F10" s="5">
        <f>SUM(F3:F8)</f>
        <v>3200</v>
      </c>
      <c r="G10" s="5"/>
      <c r="H10" s="5">
        <f>SUM(H3:H9)</f>
        <v>214</v>
      </c>
      <c r="I10" s="5"/>
      <c r="J10" s="5"/>
      <c r="K10" s="5">
        <f>SUM(K3:K8)</f>
        <v>6</v>
      </c>
      <c r="L10" s="5"/>
      <c r="M10" s="5"/>
      <c r="N10" s="5"/>
      <c r="O10" s="5">
        <f>SUM(O3:O8)</f>
        <v>3625</v>
      </c>
      <c r="P10" s="5">
        <f>SUM(P3:P8)</f>
        <v>3877</v>
      </c>
      <c r="Q10" s="4">
        <f>SUM(Q3:Q8)</f>
        <v>2.9400000000000004</v>
      </c>
    </row>
    <row r="11" spans="1:18" ht="21" customHeight="1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8" ht="21" customHeight="1" x14ac:dyDescent="0.15">
      <c r="A12" s="6"/>
      <c r="B12" s="7" t="s">
        <v>19</v>
      </c>
      <c r="C12" s="6" t="s">
        <v>20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8" ht="18.75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8" t="s">
        <v>21</v>
      </c>
      <c r="O13" s="28"/>
      <c r="P13" s="28"/>
      <c r="Q13" s="28"/>
    </row>
    <row r="14" spans="1:18" ht="18.75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8">
        <v>45763</v>
      </c>
      <c r="O14" s="28"/>
      <c r="P14" s="28"/>
      <c r="Q14" s="28"/>
    </row>
    <row r="15" spans="1:18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8" x14ac:dyDescent="0.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</sheetData>
  <mergeCells count="20">
    <mergeCell ref="A1:Q1"/>
    <mergeCell ref="A10:C10"/>
    <mergeCell ref="A8:A9"/>
    <mergeCell ref="K8:K9"/>
    <mergeCell ref="N13:Q13"/>
    <mergeCell ref="N14:Q14"/>
    <mergeCell ref="R7:R9"/>
    <mergeCell ref="R3:R4"/>
    <mergeCell ref="B8:B9"/>
    <mergeCell ref="C8:C9"/>
    <mergeCell ref="D8:D9"/>
    <mergeCell ref="E8:E9"/>
    <mergeCell ref="N8:N9"/>
    <mergeCell ref="O8:O9"/>
    <mergeCell ref="P8:P9"/>
    <mergeCell ref="Q8:Q9"/>
    <mergeCell ref="M8:M9"/>
    <mergeCell ref="L8:L9"/>
    <mergeCell ref="F8:F9"/>
    <mergeCell ref="R5:R6"/>
  </mergeCells>
  <phoneticPr fontId="9" type="noConversion"/>
  <pageMargins left="0.7" right="0.7" top="0.75" bottom="0.75" header="0.3" footer="0.3"/>
  <pageSetup paperSize="9" scale="8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2025-04-16T05:56:36Z</cp:lastPrinted>
  <dcterms:created xsi:type="dcterms:W3CDTF">2006-09-13T11:21:00Z</dcterms:created>
  <dcterms:modified xsi:type="dcterms:W3CDTF">2025-04-16T07:34:03Z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F788CE42AB4E457986BB9E7F48EE1CD4_13</vt:lpwstr>
  </property>
  <property fmtid="{D5CDD505-2E9C-101B-9397-08002B2CF9AE}" pid="3" name="KSOProductBuildVer">
    <vt:lpwstr>2052-12.1.0.16729</vt:lpwstr>
  </property>
</Properties>
</file>