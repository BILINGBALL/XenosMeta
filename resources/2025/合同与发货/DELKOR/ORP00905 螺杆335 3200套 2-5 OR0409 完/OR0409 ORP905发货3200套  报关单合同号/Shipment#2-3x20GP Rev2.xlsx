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R:\Accounts\Kai's worksheet\Kai Shipping\OR0411-Acosta\Shipment#2\"/>
    </mc:Choice>
  </mc:AlternateContent>
  <xr:revisionPtr revIDLastSave="0" documentId="8_{0CA54A69-A5B6-4769-8B1E-FE20D624DF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8" i="1" l="1"/>
  <c r="N88" i="1"/>
  <c r="M88" i="1"/>
  <c r="L88" i="1"/>
  <c r="M87" i="1"/>
  <c r="N87" i="1" s="1"/>
  <c r="K87" i="1"/>
  <c r="L86" i="1"/>
  <c r="L85" i="1"/>
  <c r="L84" i="1"/>
  <c r="L83" i="1"/>
  <c r="L82" i="1"/>
  <c r="L81" i="1"/>
  <c r="L80" i="1"/>
  <c r="L79" i="1"/>
  <c r="L78" i="1"/>
  <c r="L77" i="1"/>
  <c r="L76" i="1"/>
  <c r="I102" i="1"/>
  <c r="I91" i="1"/>
  <c r="I65" i="1"/>
  <c r="I54" i="1"/>
  <c r="L52" i="1"/>
  <c r="M51" i="1"/>
  <c r="K51" i="1"/>
  <c r="L16" i="1"/>
  <c r="M15" i="1"/>
  <c r="K15" i="1"/>
  <c r="O87" i="1" l="1"/>
  <c r="O15" i="1"/>
  <c r="O51" i="1"/>
  <c r="N15" i="1"/>
  <c r="N51" i="1"/>
  <c r="M86" i="1" l="1"/>
  <c r="O86" i="1" s="1"/>
  <c r="K86" i="1"/>
  <c r="G85" i="1"/>
  <c r="K84" i="1"/>
  <c r="O84" i="1" s="1"/>
  <c r="G84" i="1"/>
  <c r="E84" i="1"/>
  <c r="N84" i="1" s="1"/>
  <c r="G83" i="1"/>
  <c r="G82" i="1"/>
  <c r="G81" i="1"/>
  <c r="K80" i="1"/>
  <c r="O80" i="1" s="1"/>
  <c r="G80" i="1"/>
  <c r="G79" i="1"/>
  <c r="G78" i="1"/>
  <c r="G77" i="1"/>
  <c r="K76" i="1"/>
  <c r="O76" i="1" s="1"/>
  <c r="G76" i="1"/>
  <c r="M75" i="1"/>
  <c r="K75" i="1"/>
  <c r="G75" i="1"/>
  <c r="E75" i="1"/>
  <c r="M50" i="1"/>
  <c r="K50" i="1"/>
  <c r="G49" i="1"/>
  <c r="K48" i="1"/>
  <c r="O48" i="1" s="1"/>
  <c r="G48" i="1"/>
  <c r="G47" i="1"/>
  <c r="G46" i="1"/>
  <c r="G45" i="1"/>
  <c r="K44" i="1"/>
  <c r="O44" i="1" s="1"/>
  <c r="G44" i="1"/>
  <c r="G43" i="1"/>
  <c r="G42" i="1"/>
  <c r="G41" i="1"/>
  <c r="K40" i="1"/>
  <c r="O40" i="1" s="1"/>
  <c r="G40" i="1"/>
  <c r="M39" i="1"/>
  <c r="M52" i="1" s="1"/>
  <c r="K39" i="1"/>
  <c r="G39" i="1"/>
  <c r="E39" i="1" s="1"/>
  <c r="I30" i="1"/>
  <c r="I19" i="1"/>
  <c r="M14" i="1"/>
  <c r="K14" i="1"/>
  <c r="G13" i="1"/>
  <c r="K12" i="1"/>
  <c r="O12" i="1" s="1"/>
  <c r="G12" i="1"/>
  <c r="G11" i="1"/>
  <c r="G10" i="1"/>
  <c r="G9" i="1"/>
  <c r="K8" i="1"/>
  <c r="O8" i="1" s="1"/>
  <c r="G8" i="1"/>
  <c r="E8" i="1" s="1"/>
  <c r="N8" i="1" s="1"/>
  <c r="G7" i="1"/>
  <c r="G6" i="1"/>
  <c r="G5" i="1"/>
  <c r="K4" i="1"/>
  <c r="O4" i="1" s="1"/>
  <c r="G4" i="1"/>
  <c r="M3" i="1"/>
  <c r="K3" i="1"/>
  <c r="G3" i="1"/>
  <c r="E3" i="1" s="1"/>
  <c r="E76" i="1" l="1"/>
  <c r="N76" i="1" s="1"/>
  <c r="E80" i="1"/>
  <c r="N80" i="1" s="1"/>
  <c r="N86" i="1"/>
  <c r="N75" i="1"/>
  <c r="O75" i="1"/>
  <c r="E40" i="1"/>
  <c r="N40" i="1" s="1"/>
  <c r="E4" i="1"/>
  <c r="N4" i="1" s="1"/>
  <c r="E12" i="1"/>
  <c r="N12" i="1" s="1"/>
  <c r="E48" i="1"/>
  <c r="N48" i="1" s="1"/>
  <c r="O3" i="1"/>
  <c r="O50" i="1"/>
  <c r="O14" i="1"/>
  <c r="O16" i="1"/>
  <c r="E44" i="1"/>
  <c r="N44" i="1" s="1"/>
  <c r="N39" i="1"/>
  <c r="N52" i="1" s="1"/>
  <c r="N50" i="1"/>
  <c r="O39" i="1"/>
  <c r="O52" i="1" s="1"/>
  <c r="M16" i="1"/>
  <c r="N3" i="1"/>
  <c r="N14" i="1"/>
  <c r="N16" i="1" l="1"/>
</calcChain>
</file>

<file path=xl/sharedStrings.xml><?xml version="1.0" encoding="utf-8"?>
<sst xmlns="http://schemas.openxmlformats.org/spreadsheetml/2006/main" count="162" uniqueCount="40">
  <si>
    <t>PO</t>
  </si>
  <si>
    <t>Description</t>
  </si>
  <si>
    <t>Unit Net Weight</t>
  </si>
  <si>
    <t>Qty / Package</t>
  </si>
  <si>
    <t>G.W. Kg</t>
  </si>
  <si>
    <t>Pack Weight</t>
  </si>
  <si>
    <t>N.W. Kg</t>
  </si>
  <si>
    <t>L (m)</t>
  </si>
  <si>
    <t>W (m)</t>
  </si>
  <si>
    <t>H (m)</t>
  </si>
  <si>
    <t>Volume Cbm</t>
  </si>
  <si>
    <t>CONTRACT QTY</t>
  </si>
  <si>
    <t>Est. Packages</t>
  </si>
  <si>
    <t>Est. Weight</t>
  </si>
  <si>
    <t>Est CBM</t>
  </si>
  <si>
    <t>Threaded Rod Assembly</t>
  </si>
  <si>
    <t>#1</t>
  </si>
  <si>
    <t>#2</t>
  </si>
  <si>
    <t>ORP867R1</t>
  </si>
  <si>
    <t>ORP00868</t>
  </si>
  <si>
    <t>RF425 Guardrail</t>
  </si>
  <si>
    <r>
      <rPr>
        <sz val="11"/>
        <color theme="1"/>
        <rFont val="Times New Roman"/>
        <family val="1"/>
      </rPr>
      <t>SKL12</t>
    </r>
    <r>
      <rPr>
        <sz val="11"/>
        <color theme="1"/>
        <rFont val="宋体"/>
        <charset val="134"/>
      </rPr>
      <t>弹条</t>
    </r>
  </si>
  <si>
    <r>
      <rPr>
        <sz val="11"/>
        <color theme="1"/>
        <rFont val="宋体"/>
        <charset val="134"/>
      </rPr>
      <t>平垫圈</t>
    </r>
    <r>
      <rPr>
        <sz val="11"/>
        <color theme="1"/>
        <rFont val="Times New Roman"/>
        <family val="1"/>
      </rPr>
      <t>W6</t>
    </r>
  </si>
  <si>
    <r>
      <rPr>
        <sz val="11"/>
        <color theme="1"/>
        <rFont val="宋体"/>
        <charset val="134"/>
      </rPr>
      <t>螺母</t>
    </r>
    <r>
      <rPr>
        <sz val="11"/>
        <color theme="1"/>
        <rFont val="Times New Roman"/>
        <family val="1"/>
      </rPr>
      <t>M22</t>
    </r>
  </si>
  <si>
    <t>螺母M24</t>
  </si>
  <si>
    <r>
      <rPr>
        <sz val="11"/>
        <color theme="1"/>
        <rFont val="Times New Roman"/>
        <family val="1"/>
      </rPr>
      <t>T</t>
    </r>
    <r>
      <rPr>
        <sz val="11"/>
        <color theme="1"/>
        <rFont val="宋体"/>
        <charset val="134"/>
      </rPr>
      <t>型螺栓（</t>
    </r>
    <r>
      <rPr>
        <sz val="11"/>
        <color theme="1"/>
        <rFont val="Times New Roman"/>
        <family val="1"/>
      </rPr>
      <t>55</t>
    </r>
    <r>
      <rPr>
        <sz val="11"/>
        <color theme="1"/>
        <rFont val="宋体"/>
        <charset val="134"/>
      </rPr>
      <t>）</t>
    </r>
  </si>
  <si>
    <t>M24 平垫圈</t>
  </si>
  <si>
    <r>
      <rPr>
        <sz val="11"/>
        <color theme="1"/>
        <rFont val="Times New Roman"/>
        <family val="1"/>
      </rPr>
      <t xml:space="preserve">M24 </t>
    </r>
    <r>
      <rPr>
        <sz val="11"/>
        <color theme="1"/>
        <rFont val="宋体"/>
        <charset val="134"/>
      </rPr>
      <t>弹簧垫圈</t>
    </r>
  </si>
  <si>
    <r>
      <rPr>
        <sz val="11"/>
        <color theme="1"/>
        <rFont val="Times New Roman"/>
        <family val="1"/>
      </rPr>
      <t xml:space="preserve">M24*110 </t>
    </r>
    <r>
      <rPr>
        <sz val="11"/>
        <color theme="1"/>
        <rFont val="宋体"/>
        <charset val="134"/>
      </rPr>
      <t>螺栓</t>
    </r>
  </si>
  <si>
    <t>BasePad BP7500*10mm</t>
  </si>
  <si>
    <t>Rail Pad RP404</t>
  </si>
  <si>
    <t>425x3</t>
  </si>
  <si>
    <t>#3</t>
  </si>
  <si>
    <t>x1+1.18x1</t>
  </si>
  <si>
    <t>x2+0.8x1</t>
  </si>
  <si>
    <t>x1 Serrated Washer</t>
  </si>
  <si>
    <t>Replacement</t>
  </si>
  <si>
    <t>Serrated Washer</t>
  </si>
  <si>
    <t>x1</t>
  </si>
  <si>
    <t>425x2+Serrated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</si>
</sst>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 ;[Red]\-0.00\ "/>
    <numFmt numFmtId="165" formatCode="0_ "/>
    <numFmt numFmtId="166" formatCode="0.00_ "/>
    <numFmt numFmtId="167" formatCode="[$-C09]dd\-mmm\-yy;@"/>
  </numFmts>
  <fonts count="6"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1"/>
      <color theme="1"/>
      <name val="Times New Roman"/>
      <family val="1"/>
    </font>
    <font>
      <sz val="11"/>
      <color theme="1"/>
      <name val="宋体"/>
      <charset val="134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7" fontId="4" fillId="0" borderId="0"/>
  </cellStyleXfs>
  <cellXfs count="41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3" borderId="0" xfId="0" applyFill="1"/>
    <xf numFmtId="0" fontId="2" fillId="3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0" fillId="3" borderId="1" xfId="0" applyFill="1" applyBorder="1" applyAlignment="1">
      <alignment horizontal="center" vertical="center" shrinkToFit="1"/>
    </xf>
    <xf numFmtId="164" fontId="0" fillId="3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shrinkToFit="1"/>
    </xf>
    <xf numFmtId="2" fontId="5" fillId="0" borderId="1" xfId="1" applyNumberFormat="1" applyFon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166" fontId="2" fillId="3" borderId="2" xfId="0" applyNumberFormat="1" applyFont="1" applyFill="1" applyBorder="1" applyAlignment="1">
      <alignment horizontal="center" vertical="center"/>
    </xf>
    <xf numFmtId="166" fontId="2" fillId="3" borderId="4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6" fontId="2" fillId="3" borderId="3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3 2" xfId="1" xr:uid="{FE975F15-C274-485D-B225-E757ADE4E296}"/>
  </cellStyles>
  <dxfs count="0"/>
  <tableStyles count="0" defaultTableStyle="TableStyleMedium2" defaultPivotStyle="PivotStyleLight16"/>
  <colors>
    <mruColors>
      <color rgb="FF9D0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3"/>
  <sheetViews>
    <sheetView tabSelected="1" topLeftCell="A45" workbookViewId="0">
      <selection activeCell="I55" sqref="I55:I64"/>
    </sheetView>
  </sheetViews>
  <sheetFormatPr defaultRowHeight="14.4"/>
  <cols>
    <col min="1" max="1" width="11" bestFit="1" customWidth="1"/>
    <col min="2" max="2" width="21.5546875" bestFit="1" customWidth="1"/>
    <col min="3" max="3" width="22.6640625" bestFit="1" customWidth="1"/>
  </cols>
  <sheetData>
    <row r="1" spans="1:15">
      <c r="A1" t="s">
        <v>16</v>
      </c>
    </row>
    <row r="2" spans="1:15" ht="41.4">
      <c r="A2" s="1" t="s">
        <v>0</v>
      </c>
      <c r="B2" s="2" t="s">
        <v>1</v>
      </c>
      <c r="C2" s="2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spans="1:15" s="9" customFormat="1">
      <c r="A3" s="4" t="s">
        <v>18</v>
      </c>
      <c r="B3" s="5" t="s">
        <v>20</v>
      </c>
      <c r="C3" s="5">
        <v>32.4</v>
      </c>
      <c r="D3" s="6">
        <v>20</v>
      </c>
      <c r="E3" s="7">
        <f>G3+F3</f>
        <v>727</v>
      </c>
      <c r="F3" s="7">
        <v>79</v>
      </c>
      <c r="G3" s="7">
        <f>C3*D3</f>
        <v>648</v>
      </c>
      <c r="H3" s="7">
        <v>1.08</v>
      </c>
      <c r="I3" s="7">
        <v>0.91</v>
      </c>
      <c r="J3" s="7">
        <v>0.73</v>
      </c>
      <c r="K3" s="8">
        <f t="shared" ref="K3" si="0">H3*I3*J3</f>
        <v>0.71744400000000008</v>
      </c>
      <c r="L3" s="6">
        <v>540</v>
      </c>
      <c r="M3" s="5">
        <f>L3/D3</f>
        <v>27</v>
      </c>
      <c r="N3" s="5">
        <f t="shared" ref="N3" si="1">M3*E3</f>
        <v>19629</v>
      </c>
      <c r="O3" s="5">
        <f>M3*K3</f>
        <v>19.370988000000001</v>
      </c>
    </row>
    <row r="4" spans="1:15" s="9" customFormat="1">
      <c r="A4" s="4" t="s">
        <v>18</v>
      </c>
      <c r="B4" s="10" t="s">
        <v>21</v>
      </c>
      <c r="C4" s="10">
        <v>0.52</v>
      </c>
      <c r="D4" s="10">
        <v>1080</v>
      </c>
      <c r="E4" s="31">
        <f>F4+G4+G5+G6+G7</f>
        <v>941</v>
      </c>
      <c r="F4" s="33">
        <v>50</v>
      </c>
      <c r="G4" s="11">
        <f t="shared" ref="G4:G13" si="2">C4*D4</f>
        <v>561.6</v>
      </c>
      <c r="H4" s="33">
        <v>1.18</v>
      </c>
      <c r="I4" s="33">
        <v>1.1499999999999999</v>
      </c>
      <c r="J4" s="33">
        <v>0.74</v>
      </c>
      <c r="K4" s="31">
        <f>H4*I4*J4</f>
        <v>1.0041799999999999</v>
      </c>
      <c r="L4" s="10">
        <v>1080</v>
      </c>
      <c r="M4" s="33">
        <v>1</v>
      </c>
      <c r="N4" s="36">
        <f>M4*E4</f>
        <v>941</v>
      </c>
      <c r="O4" s="31">
        <f>M4*K4</f>
        <v>1.0041799999999999</v>
      </c>
    </row>
    <row r="5" spans="1:15" s="9" customFormat="1" ht="28.5" customHeight="1">
      <c r="A5" s="4" t="s">
        <v>18</v>
      </c>
      <c r="B5" s="12" t="s">
        <v>22</v>
      </c>
      <c r="C5" s="10">
        <v>0.05</v>
      </c>
      <c r="D5" s="10">
        <v>1080</v>
      </c>
      <c r="E5" s="35"/>
      <c r="F5" s="39"/>
      <c r="G5" s="11">
        <f t="shared" si="2"/>
        <v>54</v>
      </c>
      <c r="H5" s="39"/>
      <c r="I5" s="39"/>
      <c r="J5" s="39"/>
      <c r="K5" s="35"/>
      <c r="L5" s="10">
        <v>1080</v>
      </c>
      <c r="M5" s="39"/>
      <c r="N5" s="37"/>
      <c r="O5" s="35"/>
    </row>
    <row r="6" spans="1:15" s="9" customFormat="1">
      <c r="A6" s="4" t="s">
        <v>18</v>
      </c>
      <c r="B6" s="12" t="s">
        <v>23</v>
      </c>
      <c r="C6" s="10">
        <v>0.17</v>
      </c>
      <c r="D6" s="10">
        <v>1080</v>
      </c>
      <c r="E6" s="35"/>
      <c r="F6" s="39"/>
      <c r="G6" s="11">
        <f t="shared" si="2"/>
        <v>183.60000000000002</v>
      </c>
      <c r="H6" s="39"/>
      <c r="I6" s="39"/>
      <c r="J6" s="39"/>
      <c r="K6" s="35"/>
      <c r="L6" s="10">
        <v>1080</v>
      </c>
      <c r="M6" s="39"/>
      <c r="N6" s="37"/>
      <c r="O6" s="35"/>
    </row>
    <row r="7" spans="1:15" s="9" customFormat="1">
      <c r="A7" s="4" t="s">
        <v>18</v>
      </c>
      <c r="B7" s="12" t="s">
        <v>24</v>
      </c>
      <c r="C7" s="10">
        <v>0.17</v>
      </c>
      <c r="D7" s="10">
        <v>540</v>
      </c>
      <c r="E7" s="32"/>
      <c r="F7" s="34"/>
      <c r="G7" s="11">
        <f t="shared" si="2"/>
        <v>91.800000000000011</v>
      </c>
      <c r="H7" s="34"/>
      <c r="I7" s="34"/>
      <c r="J7" s="34"/>
      <c r="K7" s="32"/>
      <c r="L7" s="10">
        <v>540</v>
      </c>
      <c r="M7" s="34"/>
      <c r="N7" s="38"/>
      <c r="O7" s="32"/>
    </row>
    <row r="8" spans="1:15" s="9" customFormat="1" ht="30" customHeight="1">
      <c r="A8" s="4" t="s">
        <v>18</v>
      </c>
      <c r="B8" s="13" t="s">
        <v>25</v>
      </c>
      <c r="C8" s="10">
        <v>0.31</v>
      </c>
      <c r="D8" s="10">
        <v>1080</v>
      </c>
      <c r="E8" s="31">
        <f>F8+G8+G9+G10+G11</f>
        <v>702.57999999999993</v>
      </c>
      <c r="F8" s="36">
        <v>40</v>
      </c>
      <c r="G8" s="11">
        <f t="shared" si="2"/>
        <v>334.8</v>
      </c>
      <c r="H8" s="33">
        <v>0.8</v>
      </c>
      <c r="I8" s="33">
        <v>0.8</v>
      </c>
      <c r="J8" s="33">
        <v>0.7</v>
      </c>
      <c r="K8" s="31">
        <f>H8*I8*J8</f>
        <v>0.44800000000000006</v>
      </c>
      <c r="L8" s="10">
        <v>1080</v>
      </c>
      <c r="M8" s="33">
        <v>1</v>
      </c>
      <c r="N8" s="36">
        <f>M8*E8</f>
        <v>702.57999999999993</v>
      </c>
      <c r="O8" s="31">
        <f>M8*K8</f>
        <v>0.44800000000000006</v>
      </c>
    </row>
    <row r="9" spans="1:15" s="9" customFormat="1" ht="30" customHeight="1">
      <c r="A9" s="4" t="s">
        <v>18</v>
      </c>
      <c r="B9" s="13" t="s">
        <v>26</v>
      </c>
      <c r="C9" s="10">
        <v>4.4999999999999998E-2</v>
      </c>
      <c r="D9" s="10">
        <v>540</v>
      </c>
      <c r="E9" s="35"/>
      <c r="F9" s="37"/>
      <c r="G9" s="11">
        <f t="shared" si="2"/>
        <v>24.3</v>
      </c>
      <c r="H9" s="39"/>
      <c r="I9" s="39"/>
      <c r="J9" s="39"/>
      <c r="K9" s="35"/>
      <c r="L9" s="10">
        <v>540</v>
      </c>
      <c r="M9" s="39"/>
      <c r="N9" s="37"/>
      <c r="O9" s="35"/>
    </row>
    <row r="10" spans="1:15" s="9" customFormat="1" ht="42" customHeight="1">
      <c r="A10" s="4" t="s">
        <v>18</v>
      </c>
      <c r="B10" s="13" t="s">
        <v>27</v>
      </c>
      <c r="C10" s="10">
        <v>3.2000000000000001E-2</v>
      </c>
      <c r="D10" s="10">
        <v>540</v>
      </c>
      <c r="E10" s="35"/>
      <c r="F10" s="37"/>
      <c r="G10" s="11">
        <f t="shared" si="2"/>
        <v>17.28</v>
      </c>
      <c r="H10" s="39"/>
      <c r="I10" s="39"/>
      <c r="J10" s="39"/>
      <c r="K10" s="35"/>
      <c r="L10" s="10">
        <v>540</v>
      </c>
      <c r="M10" s="39"/>
      <c r="N10" s="37"/>
      <c r="O10" s="35"/>
    </row>
    <row r="11" spans="1:15" s="9" customFormat="1" ht="28.5" customHeight="1">
      <c r="A11" s="4" t="s">
        <v>18</v>
      </c>
      <c r="B11" s="13" t="s">
        <v>28</v>
      </c>
      <c r="C11" s="10">
        <v>0.53</v>
      </c>
      <c r="D11" s="10">
        <v>540</v>
      </c>
      <c r="E11" s="32"/>
      <c r="F11" s="38"/>
      <c r="G11" s="11">
        <f t="shared" si="2"/>
        <v>286.2</v>
      </c>
      <c r="H11" s="34"/>
      <c r="I11" s="34"/>
      <c r="J11" s="34"/>
      <c r="K11" s="32"/>
      <c r="L11" s="10">
        <v>540</v>
      </c>
      <c r="M11" s="34"/>
      <c r="N11" s="38"/>
      <c r="O11" s="32"/>
    </row>
    <row r="12" spans="1:15" s="9" customFormat="1">
      <c r="A12" s="4" t="s">
        <v>18</v>
      </c>
      <c r="B12" s="10" t="s">
        <v>29</v>
      </c>
      <c r="C12" s="10">
        <v>1.8</v>
      </c>
      <c r="D12" s="10">
        <v>540</v>
      </c>
      <c r="E12" s="31">
        <f>F12+G12+G13</f>
        <v>1063.3</v>
      </c>
      <c r="F12" s="33">
        <v>40</v>
      </c>
      <c r="G12" s="11">
        <f t="shared" si="2"/>
        <v>972</v>
      </c>
      <c r="H12" s="33">
        <v>1.34</v>
      </c>
      <c r="I12" s="33">
        <v>0.98</v>
      </c>
      <c r="J12" s="33">
        <v>1.17</v>
      </c>
      <c r="K12" s="31">
        <f>H12*I12*J12</f>
        <v>1.5364440000000001</v>
      </c>
      <c r="L12" s="10">
        <v>540</v>
      </c>
      <c r="M12" s="33">
        <v>1</v>
      </c>
      <c r="N12" s="33">
        <f>M12*E12</f>
        <v>1063.3</v>
      </c>
      <c r="O12" s="31">
        <f>M12*K12</f>
        <v>1.5364440000000001</v>
      </c>
    </row>
    <row r="13" spans="1:15" s="9" customFormat="1">
      <c r="A13" s="4" t="s">
        <v>18</v>
      </c>
      <c r="B13" s="10" t="s">
        <v>30</v>
      </c>
      <c r="C13" s="10">
        <v>9.5000000000000001E-2</v>
      </c>
      <c r="D13" s="10">
        <v>540</v>
      </c>
      <c r="E13" s="32"/>
      <c r="F13" s="34"/>
      <c r="G13" s="11">
        <f t="shared" si="2"/>
        <v>51.3</v>
      </c>
      <c r="H13" s="34"/>
      <c r="I13" s="34"/>
      <c r="J13" s="34"/>
      <c r="K13" s="32"/>
      <c r="L13" s="10">
        <v>540</v>
      </c>
      <c r="M13" s="34"/>
      <c r="N13" s="34"/>
      <c r="O13" s="32"/>
    </row>
    <row r="14" spans="1:15" s="9" customFormat="1">
      <c r="A14" s="4" t="s">
        <v>19</v>
      </c>
      <c r="B14" s="5" t="s">
        <v>15</v>
      </c>
      <c r="C14" s="15"/>
      <c r="D14" s="5">
        <v>800</v>
      </c>
      <c r="E14" s="7">
        <v>826</v>
      </c>
      <c r="F14" s="5">
        <v>40</v>
      </c>
      <c r="G14" s="7">
        <v>786</v>
      </c>
      <c r="H14" s="5">
        <v>1.1000000000000001</v>
      </c>
      <c r="I14" s="5">
        <v>0.8</v>
      </c>
      <c r="J14" s="5">
        <v>0.55000000000000004</v>
      </c>
      <c r="K14" s="8">
        <f>H14*I14*J14</f>
        <v>0.4840000000000001</v>
      </c>
      <c r="L14" s="6">
        <v>1080</v>
      </c>
      <c r="M14" s="5">
        <f>L14/D14</f>
        <v>1.35</v>
      </c>
      <c r="N14" s="18">
        <f>M14*E14</f>
        <v>1115.1000000000001</v>
      </c>
      <c r="O14" s="8">
        <f>M14*K14</f>
        <v>0.6534000000000002</v>
      </c>
    </row>
    <row r="15" spans="1:15">
      <c r="A15" s="24" t="s">
        <v>36</v>
      </c>
      <c r="B15" s="20" t="s">
        <v>37</v>
      </c>
      <c r="C15" s="25"/>
      <c r="D15" s="26">
        <v>5000</v>
      </c>
      <c r="E15" s="27">
        <v>500</v>
      </c>
      <c r="F15" s="27">
        <v>40</v>
      </c>
      <c r="G15" s="27">
        <v>460</v>
      </c>
      <c r="H15" s="27">
        <v>1.1200000000000001</v>
      </c>
      <c r="I15" s="27">
        <v>1</v>
      </c>
      <c r="J15" s="27">
        <v>0.75</v>
      </c>
      <c r="K15" s="22">
        <f t="shared" ref="K15" si="3">H15*I15*J15</f>
        <v>0.84000000000000008</v>
      </c>
      <c r="L15" s="28">
        <v>0</v>
      </c>
      <c r="M15" s="20">
        <f>L15/D15</f>
        <v>0</v>
      </c>
      <c r="N15" s="21">
        <f>M15*E15</f>
        <v>0</v>
      </c>
      <c r="O15" s="22">
        <f>M15*K15</f>
        <v>0</v>
      </c>
    </row>
    <row r="16" spans="1: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23">
        <f>SUM(L3:L15)</f>
        <v>9180</v>
      </c>
      <c r="M16" s="23">
        <f t="shared" ref="M16:O16" si="4">SUM(M3:M14)</f>
        <v>31.35</v>
      </c>
      <c r="N16" s="23">
        <f t="shared" si="4"/>
        <v>23450.98</v>
      </c>
      <c r="O16" s="23">
        <f t="shared" si="4"/>
        <v>23.013012000000003</v>
      </c>
    </row>
    <row r="19" spans="2:14">
      <c r="B19" s="3"/>
      <c r="C19" s="3"/>
      <c r="D19" s="3"/>
      <c r="I19" s="29">
        <f>SUM(I20:N20)</f>
        <v>5.78</v>
      </c>
      <c r="J19" s="29"/>
      <c r="K19" s="29"/>
      <c r="L19" s="29"/>
      <c r="M19" s="29"/>
      <c r="N19" s="29"/>
    </row>
    <row r="20" spans="2:14">
      <c r="B20" s="3"/>
      <c r="C20" s="3"/>
      <c r="D20" s="3"/>
      <c r="I20">
        <v>1.34</v>
      </c>
      <c r="J20">
        <v>0.8</v>
      </c>
      <c r="K20">
        <v>0.91</v>
      </c>
      <c r="L20">
        <v>0.91</v>
      </c>
      <c r="M20">
        <v>0.91</v>
      </c>
      <c r="N20">
        <v>0.91</v>
      </c>
    </row>
    <row r="21" spans="2:14" ht="14.4" customHeight="1">
      <c r="B21" s="3"/>
      <c r="C21" s="3"/>
      <c r="D21" s="3"/>
      <c r="I21" s="30" t="s">
        <v>38</v>
      </c>
      <c r="J21" s="30" t="s">
        <v>34</v>
      </c>
      <c r="K21" s="30" t="s">
        <v>31</v>
      </c>
      <c r="L21" s="30" t="s">
        <v>31</v>
      </c>
      <c r="M21" s="30" t="s">
        <v>31</v>
      </c>
      <c r="N21" s="30" t="s">
        <v>31</v>
      </c>
    </row>
    <row r="22" spans="2:14">
      <c r="B22" s="3"/>
      <c r="C22" s="3"/>
      <c r="D22" s="3"/>
      <c r="I22" s="30"/>
      <c r="J22" s="30"/>
      <c r="K22" s="30"/>
      <c r="L22" s="30"/>
      <c r="M22" s="30"/>
      <c r="N22" s="30"/>
    </row>
    <row r="23" spans="2:14">
      <c r="B23" s="3"/>
      <c r="C23" s="3"/>
      <c r="D23" s="3"/>
      <c r="I23" s="30"/>
      <c r="J23" s="30"/>
      <c r="K23" s="30"/>
      <c r="L23" s="30"/>
      <c r="M23" s="30"/>
      <c r="N23" s="30"/>
    </row>
    <row r="24" spans="2:14">
      <c r="B24" s="3"/>
      <c r="C24" s="3"/>
      <c r="D24" s="3"/>
      <c r="I24" s="30"/>
      <c r="J24" s="30"/>
      <c r="K24" s="30"/>
      <c r="L24" s="30"/>
      <c r="M24" s="30"/>
      <c r="N24" s="30"/>
    </row>
    <row r="25" spans="2:14" ht="15" customHeight="1">
      <c r="B25" s="3"/>
      <c r="C25" s="3"/>
      <c r="D25" s="3"/>
      <c r="I25" s="30" t="s">
        <v>38</v>
      </c>
      <c r="J25" s="30" t="s">
        <v>31</v>
      </c>
      <c r="K25" s="30" t="s">
        <v>31</v>
      </c>
      <c r="L25" s="30" t="s">
        <v>31</v>
      </c>
      <c r="M25" s="30" t="s">
        <v>31</v>
      </c>
      <c r="N25" s="30" t="s">
        <v>31</v>
      </c>
    </row>
    <row r="26" spans="2:14" ht="15" customHeight="1">
      <c r="B26" s="3"/>
      <c r="C26" s="3"/>
      <c r="D26" s="3"/>
      <c r="I26" s="30"/>
      <c r="J26" s="30"/>
      <c r="K26" s="30"/>
      <c r="L26" s="30"/>
      <c r="M26" s="30"/>
      <c r="N26" s="30"/>
    </row>
    <row r="27" spans="2:14">
      <c r="B27" s="3"/>
      <c r="C27" s="3"/>
      <c r="D27" s="3"/>
      <c r="I27" s="30"/>
      <c r="J27" s="30"/>
      <c r="K27" s="30"/>
      <c r="L27" s="30"/>
      <c r="M27" s="30"/>
      <c r="N27" s="30"/>
    </row>
    <row r="28" spans="2:14">
      <c r="B28" s="3"/>
      <c r="C28" s="3"/>
      <c r="D28" s="3"/>
      <c r="I28" s="30"/>
      <c r="J28" s="30"/>
      <c r="K28" s="30"/>
      <c r="L28" s="30"/>
      <c r="M28" s="30"/>
      <c r="N28" s="30"/>
    </row>
    <row r="29" spans="2:14">
      <c r="B29" s="3"/>
      <c r="C29" s="3"/>
      <c r="D29" s="3"/>
      <c r="I29">
        <v>1.18</v>
      </c>
      <c r="J29">
        <v>0.91</v>
      </c>
      <c r="K29">
        <v>0.91</v>
      </c>
      <c r="L29">
        <v>0.91</v>
      </c>
      <c r="M29">
        <v>0.91</v>
      </c>
      <c r="N29">
        <v>0.91</v>
      </c>
    </row>
    <row r="30" spans="2:14">
      <c r="B30" s="3"/>
      <c r="C30" s="3"/>
      <c r="D30" s="3"/>
      <c r="I30" s="29">
        <f>SUM(I29:N29)</f>
        <v>5.73</v>
      </c>
      <c r="J30" s="29"/>
      <c r="K30" s="29"/>
      <c r="L30" s="29"/>
      <c r="M30" s="29"/>
      <c r="N30" s="29"/>
    </row>
    <row r="31" spans="2:14">
      <c r="B31" s="3"/>
      <c r="C31" s="3"/>
      <c r="D31" s="3"/>
    </row>
    <row r="37" spans="1:15">
      <c r="A37" t="s">
        <v>17</v>
      </c>
    </row>
    <row r="38" spans="1:15" ht="41.4">
      <c r="A38" s="1" t="s">
        <v>0</v>
      </c>
      <c r="B38" s="2" t="s">
        <v>1</v>
      </c>
      <c r="C38" s="2" t="s">
        <v>2</v>
      </c>
      <c r="D38" s="1" t="s">
        <v>3</v>
      </c>
      <c r="E38" s="2" t="s">
        <v>4</v>
      </c>
      <c r="F38" s="2" t="s">
        <v>5</v>
      </c>
      <c r="G38" s="2" t="s">
        <v>6</v>
      </c>
      <c r="H38" s="2" t="s">
        <v>7</v>
      </c>
      <c r="I38" s="2" t="s">
        <v>8</v>
      </c>
      <c r="J38" s="2" t="s">
        <v>9</v>
      </c>
      <c r="K38" s="2" t="s">
        <v>10</v>
      </c>
      <c r="L38" s="2" t="s">
        <v>11</v>
      </c>
      <c r="M38" s="2" t="s">
        <v>12</v>
      </c>
      <c r="N38" s="2" t="s">
        <v>13</v>
      </c>
      <c r="O38" s="2" t="s">
        <v>14</v>
      </c>
    </row>
    <row r="39" spans="1:15" s="9" customFormat="1">
      <c r="A39" s="4" t="s">
        <v>18</v>
      </c>
      <c r="B39" s="5" t="s">
        <v>20</v>
      </c>
      <c r="C39" s="5">
        <v>32.4</v>
      </c>
      <c r="D39" s="6">
        <v>20</v>
      </c>
      <c r="E39" s="7">
        <f>G39+F39</f>
        <v>727</v>
      </c>
      <c r="F39" s="7">
        <v>79</v>
      </c>
      <c r="G39" s="7">
        <f>C39*D39</f>
        <v>648</v>
      </c>
      <c r="H39" s="7">
        <v>1.08</v>
      </c>
      <c r="I39" s="7">
        <v>0.91</v>
      </c>
      <c r="J39" s="7">
        <v>0.73</v>
      </c>
      <c r="K39" s="8">
        <f t="shared" ref="K39" si="5">H39*I39*J39</f>
        <v>0.71744400000000008</v>
      </c>
      <c r="L39" s="6">
        <v>540</v>
      </c>
      <c r="M39" s="5">
        <f>L39/D39</f>
        <v>27</v>
      </c>
      <c r="N39" s="5">
        <f t="shared" ref="N39" si="6">M39*E39</f>
        <v>19629</v>
      </c>
      <c r="O39" s="5">
        <f>M39*K39</f>
        <v>19.370988000000001</v>
      </c>
    </row>
    <row r="40" spans="1:15" s="9" customFormat="1">
      <c r="A40" s="4" t="s">
        <v>18</v>
      </c>
      <c r="B40" s="10" t="s">
        <v>21</v>
      </c>
      <c r="C40" s="10">
        <v>0.52</v>
      </c>
      <c r="D40" s="10">
        <v>1080</v>
      </c>
      <c r="E40" s="31">
        <f>F40+G40+G41+G42+G43</f>
        <v>941</v>
      </c>
      <c r="F40" s="33">
        <v>50</v>
      </c>
      <c r="G40" s="11">
        <f t="shared" ref="G40:G49" si="7">C40*D40</f>
        <v>561.6</v>
      </c>
      <c r="H40" s="33">
        <v>1.18</v>
      </c>
      <c r="I40" s="33">
        <v>1.1499999999999999</v>
      </c>
      <c r="J40" s="33">
        <v>0.74</v>
      </c>
      <c r="K40" s="31">
        <f>H40*I40*J40</f>
        <v>1.0041799999999999</v>
      </c>
      <c r="L40" s="10">
        <v>1080</v>
      </c>
      <c r="M40" s="33">
        <v>1</v>
      </c>
      <c r="N40" s="36">
        <f>M40*E40</f>
        <v>941</v>
      </c>
      <c r="O40" s="31">
        <f>M40*K40</f>
        <v>1.0041799999999999</v>
      </c>
    </row>
    <row r="41" spans="1:15" s="9" customFormat="1" ht="28.5" customHeight="1">
      <c r="A41" s="4" t="s">
        <v>18</v>
      </c>
      <c r="B41" s="12" t="s">
        <v>22</v>
      </c>
      <c r="C41" s="10">
        <v>0.05</v>
      </c>
      <c r="D41" s="10">
        <v>1080</v>
      </c>
      <c r="E41" s="35"/>
      <c r="F41" s="39"/>
      <c r="G41" s="11">
        <f t="shared" si="7"/>
        <v>54</v>
      </c>
      <c r="H41" s="39"/>
      <c r="I41" s="39"/>
      <c r="J41" s="39"/>
      <c r="K41" s="35"/>
      <c r="L41" s="10">
        <v>1080</v>
      </c>
      <c r="M41" s="39"/>
      <c r="N41" s="37"/>
      <c r="O41" s="35"/>
    </row>
    <row r="42" spans="1:15" s="9" customFormat="1">
      <c r="A42" s="4" t="s">
        <v>18</v>
      </c>
      <c r="B42" s="12" t="s">
        <v>23</v>
      </c>
      <c r="C42" s="10">
        <v>0.17</v>
      </c>
      <c r="D42" s="10">
        <v>1080</v>
      </c>
      <c r="E42" s="35"/>
      <c r="F42" s="39"/>
      <c r="G42" s="11">
        <f t="shared" si="7"/>
        <v>183.60000000000002</v>
      </c>
      <c r="H42" s="39"/>
      <c r="I42" s="39"/>
      <c r="J42" s="39"/>
      <c r="K42" s="35"/>
      <c r="L42" s="10">
        <v>1080</v>
      </c>
      <c r="M42" s="39"/>
      <c r="N42" s="37"/>
      <c r="O42" s="35"/>
    </row>
    <row r="43" spans="1:15" s="9" customFormat="1">
      <c r="A43" s="4" t="s">
        <v>18</v>
      </c>
      <c r="B43" s="12" t="s">
        <v>24</v>
      </c>
      <c r="C43" s="10">
        <v>0.17</v>
      </c>
      <c r="D43" s="10">
        <v>540</v>
      </c>
      <c r="E43" s="32"/>
      <c r="F43" s="34"/>
      <c r="G43" s="11">
        <f t="shared" si="7"/>
        <v>91.800000000000011</v>
      </c>
      <c r="H43" s="34"/>
      <c r="I43" s="34"/>
      <c r="J43" s="34"/>
      <c r="K43" s="32"/>
      <c r="L43" s="10">
        <v>540</v>
      </c>
      <c r="M43" s="34"/>
      <c r="N43" s="38"/>
      <c r="O43" s="32"/>
    </row>
    <row r="44" spans="1:15" s="9" customFormat="1" ht="30" customHeight="1">
      <c r="A44" s="4" t="s">
        <v>18</v>
      </c>
      <c r="B44" s="13" t="s">
        <v>25</v>
      </c>
      <c r="C44" s="10">
        <v>0.31</v>
      </c>
      <c r="D44" s="10">
        <v>1080</v>
      </c>
      <c r="E44" s="31">
        <f>F44+G44+G45+G46+G47</f>
        <v>702.57999999999993</v>
      </c>
      <c r="F44" s="36">
        <v>40</v>
      </c>
      <c r="G44" s="11">
        <f t="shared" si="7"/>
        <v>334.8</v>
      </c>
      <c r="H44" s="33">
        <v>0.8</v>
      </c>
      <c r="I44" s="33">
        <v>0.8</v>
      </c>
      <c r="J44" s="33">
        <v>0.7</v>
      </c>
      <c r="K44" s="31">
        <f>H44*I44*J44</f>
        <v>0.44800000000000006</v>
      </c>
      <c r="L44" s="10">
        <v>1080</v>
      </c>
      <c r="M44" s="33">
        <v>1</v>
      </c>
      <c r="N44" s="36">
        <f>M44*E44</f>
        <v>702.57999999999993</v>
      </c>
      <c r="O44" s="31">
        <f>M44*K44</f>
        <v>0.44800000000000006</v>
      </c>
    </row>
    <row r="45" spans="1:15" s="9" customFormat="1" ht="30" customHeight="1">
      <c r="A45" s="4" t="s">
        <v>18</v>
      </c>
      <c r="B45" s="13" t="s">
        <v>26</v>
      </c>
      <c r="C45" s="10">
        <v>4.4999999999999998E-2</v>
      </c>
      <c r="D45" s="10">
        <v>540</v>
      </c>
      <c r="E45" s="35"/>
      <c r="F45" s="37"/>
      <c r="G45" s="11">
        <f t="shared" si="7"/>
        <v>24.3</v>
      </c>
      <c r="H45" s="39"/>
      <c r="I45" s="39"/>
      <c r="J45" s="39"/>
      <c r="K45" s="35"/>
      <c r="L45" s="10">
        <v>540</v>
      </c>
      <c r="M45" s="39"/>
      <c r="N45" s="37"/>
      <c r="O45" s="35"/>
    </row>
    <row r="46" spans="1:15" s="9" customFormat="1" ht="42" customHeight="1">
      <c r="A46" s="4" t="s">
        <v>18</v>
      </c>
      <c r="B46" s="13" t="s">
        <v>27</v>
      </c>
      <c r="C46" s="10">
        <v>3.2000000000000001E-2</v>
      </c>
      <c r="D46" s="10">
        <v>540</v>
      </c>
      <c r="E46" s="35"/>
      <c r="F46" s="37"/>
      <c r="G46" s="11">
        <f t="shared" si="7"/>
        <v>17.28</v>
      </c>
      <c r="H46" s="39"/>
      <c r="I46" s="39"/>
      <c r="J46" s="39"/>
      <c r="K46" s="35"/>
      <c r="L46" s="10">
        <v>540</v>
      </c>
      <c r="M46" s="39"/>
      <c r="N46" s="37"/>
      <c r="O46" s="35"/>
    </row>
    <row r="47" spans="1:15" s="9" customFormat="1" ht="28.5" customHeight="1">
      <c r="A47" s="4" t="s">
        <v>18</v>
      </c>
      <c r="B47" s="13" t="s">
        <v>28</v>
      </c>
      <c r="C47" s="10">
        <v>0.53</v>
      </c>
      <c r="D47" s="10">
        <v>540</v>
      </c>
      <c r="E47" s="32"/>
      <c r="F47" s="38"/>
      <c r="G47" s="11">
        <f t="shared" si="7"/>
        <v>286.2</v>
      </c>
      <c r="H47" s="34"/>
      <c r="I47" s="34"/>
      <c r="J47" s="34"/>
      <c r="K47" s="32"/>
      <c r="L47" s="10">
        <v>540</v>
      </c>
      <c r="M47" s="34"/>
      <c r="N47" s="38"/>
      <c r="O47" s="32"/>
    </row>
    <row r="48" spans="1:15" s="9" customFormat="1">
      <c r="A48" s="4" t="s">
        <v>18</v>
      </c>
      <c r="B48" s="10" t="s">
        <v>29</v>
      </c>
      <c r="C48" s="10">
        <v>1.8</v>
      </c>
      <c r="D48" s="10">
        <v>540</v>
      </c>
      <c r="E48" s="31">
        <f>F48+G48+G49</f>
        <v>1063.3</v>
      </c>
      <c r="F48" s="33">
        <v>40</v>
      </c>
      <c r="G48" s="11">
        <f t="shared" si="7"/>
        <v>972</v>
      </c>
      <c r="H48" s="33">
        <v>1.34</v>
      </c>
      <c r="I48" s="33">
        <v>0.98</v>
      </c>
      <c r="J48" s="33">
        <v>1.17</v>
      </c>
      <c r="K48" s="31">
        <f>H48*I48*J48</f>
        <v>1.5364440000000001</v>
      </c>
      <c r="L48" s="10">
        <v>540</v>
      </c>
      <c r="M48" s="33">
        <v>1</v>
      </c>
      <c r="N48" s="33">
        <f>M48*E48</f>
        <v>1063.3</v>
      </c>
      <c r="O48" s="31">
        <f>M48*K48</f>
        <v>1.5364440000000001</v>
      </c>
    </row>
    <row r="49" spans="1:15" s="9" customFormat="1">
      <c r="A49" s="4" t="s">
        <v>18</v>
      </c>
      <c r="B49" s="10" t="s">
        <v>30</v>
      </c>
      <c r="C49" s="10">
        <v>9.5000000000000001E-2</v>
      </c>
      <c r="D49" s="10">
        <v>540</v>
      </c>
      <c r="E49" s="32"/>
      <c r="F49" s="34"/>
      <c r="G49" s="11">
        <f t="shared" si="7"/>
        <v>51.3</v>
      </c>
      <c r="H49" s="34"/>
      <c r="I49" s="34"/>
      <c r="J49" s="34"/>
      <c r="K49" s="32"/>
      <c r="L49" s="10">
        <v>540</v>
      </c>
      <c r="M49" s="34"/>
      <c r="N49" s="34"/>
      <c r="O49" s="32"/>
    </row>
    <row r="50" spans="1:15" s="9" customFormat="1">
      <c r="A50" s="14" t="s">
        <v>19</v>
      </c>
      <c r="B50" s="5" t="s">
        <v>15</v>
      </c>
      <c r="C50" s="15"/>
      <c r="D50" s="5">
        <v>800</v>
      </c>
      <c r="E50" s="16">
        <v>826</v>
      </c>
      <c r="F50" s="5">
        <v>40</v>
      </c>
      <c r="G50" s="16">
        <v>786</v>
      </c>
      <c r="H50" s="5">
        <v>1.1000000000000001</v>
      </c>
      <c r="I50" s="5">
        <v>0.8</v>
      </c>
      <c r="J50" s="5">
        <v>0.55000000000000004</v>
      </c>
      <c r="K50" s="17">
        <f>H50*I50*J50</f>
        <v>0.4840000000000001</v>
      </c>
      <c r="L50" s="6">
        <v>1080</v>
      </c>
      <c r="M50" s="5">
        <f>L50/D50</f>
        <v>1.35</v>
      </c>
      <c r="N50" s="18">
        <f>M50*E50</f>
        <v>1115.1000000000001</v>
      </c>
      <c r="O50" s="8">
        <f>M50*K50</f>
        <v>0.6534000000000002</v>
      </c>
    </row>
    <row r="51" spans="1:15">
      <c r="A51" s="24" t="s">
        <v>36</v>
      </c>
      <c r="B51" s="20" t="s">
        <v>37</v>
      </c>
      <c r="C51" s="25"/>
      <c r="D51" s="26">
        <v>5000</v>
      </c>
      <c r="E51" s="27">
        <v>500</v>
      </c>
      <c r="F51" s="27">
        <v>40</v>
      </c>
      <c r="G51" s="27">
        <v>460</v>
      </c>
      <c r="H51" s="27">
        <v>1.1200000000000001</v>
      </c>
      <c r="I51" s="27">
        <v>1</v>
      </c>
      <c r="J51" s="27">
        <v>0.75</v>
      </c>
      <c r="K51" s="22">
        <f t="shared" ref="K51" si="8">H51*I51*J51</f>
        <v>0.84000000000000008</v>
      </c>
      <c r="L51" s="28">
        <v>0</v>
      </c>
      <c r="M51" s="20">
        <f>L51/D51</f>
        <v>0</v>
      </c>
      <c r="N51" s="21">
        <f>M51*E51</f>
        <v>0</v>
      </c>
      <c r="O51" s="22">
        <f>M51*K51</f>
        <v>0</v>
      </c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23">
        <f>SUM(L39:L51)</f>
        <v>9180</v>
      </c>
      <c r="M52" s="23">
        <f t="shared" ref="M52:O52" si="9">SUM(M39:M50)</f>
        <v>31.35</v>
      </c>
      <c r="N52" s="23">
        <f t="shared" si="9"/>
        <v>23450.98</v>
      </c>
      <c r="O52" s="23">
        <f t="shared" si="9"/>
        <v>23.013012000000003</v>
      </c>
    </row>
    <row r="54" spans="1:15">
      <c r="B54" s="3"/>
      <c r="C54" s="3"/>
      <c r="D54" s="3"/>
      <c r="I54" s="29">
        <f>SUM(I55:N55)</f>
        <v>5.78</v>
      </c>
      <c r="J54" s="29"/>
      <c r="K54" s="29"/>
      <c r="L54" s="29"/>
      <c r="M54" s="29"/>
      <c r="N54" s="29"/>
    </row>
    <row r="55" spans="1:15">
      <c r="B55" s="3"/>
      <c r="C55" s="3"/>
      <c r="D55" s="3"/>
      <c r="I55">
        <v>1.34</v>
      </c>
      <c r="J55">
        <v>0.8</v>
      </c>
      <c r="K55">
        <v>0.91</v>
      </c>
      <c r="L55">
        <v>0.91</v>
      </c>
      <c r="M55">
        <v>0.91</v>
      </c>
      <c r="N55">
        <v>0.91</v>
      </c>
    </row>
    <row r="56" spans="1:15" ht="14.4" customHeight="1">
      <c r="B56" s="3"/>
      <c r="C56" s="3"/>
      <c r="D56" s="3"/>
      <c r="I56" s="30" t="s">
        <v>38</v>
      </c>
      <c r="J56" s="30" t="s">
        <v>34</v>
      </c>
      <c r="K56" s="30" t="s">
        <v>31</v>
      </c>
      <c r="L56" s="30" t="s">
        <v>31</v>
      </c>
      <c r="M56" s="30" t="s">
        <v>31</v>
      </c>
      <c r="N56" s="30" t="s">
        <v>31</v>
      </c>
    </row>
    <row r="57" spans="1:15">
      <c r="B57" s="3"/>
      <c r="C57" s="3"/>
      <c r="D57" s="3"/>
      <c r="I57" s="30"/>
      <c r="J57" s="30"/>
      <c r="K57" s="30"/>
      <c r="L57" s="30"/>
      <c r="M57" s="30"/>
      <c r="N57" s="30"/>
    </row>
    <row r="58" spans="1:15">
      <c r="B58" s="3"/>
      <c r="C58" s="3"/>
      <c r="D58" s="3"/>
      <c r="I58" s="30"/>
      <c r="J58" s="30"/>
      <c r="K58" s="30"/>
      <c r="L58" s="30"/>
      <c r="M58" s="30"/>
      <c r="N58" s="30"/>
    </row>
    <row r="59" spans="1:15">
      <c r="B59" s="3"/>
      <c r="C59" s="3"/>
      <c r="D59" s="3"/>
      <c r="I59" s="30"/>
      <c r="J59" s="30"/>
      <c r="K59" s="30"/>
      <c r="L59" s="30"/>
      <c r="M59" s="30"/>
      <c r="N59" s="30"/>
    </row>
    <row r="60" spans="1:15" ht="15" customHeight="1">
      <c r="B60" s="3"/>
      <c r="C60" s="3"/>
      <c r="D60" s="3"/>
      <c r="I60" s="30" t="s">
        <v>38</v>
      </c>
      <c r="J60" s="30" t="s">
        <v>31</v>
      </c>
      <c r="K60" s="30" t="s">
        <v>31</v>
      </c>
      <c r="L60" s="30" t="s">
        <v>31</v>
      </c>
      <c r="M60" s="30" t="s">
        <v>31</v>
      </c>
      <c r="N60" s="30" t="s">
        <v>31</v>
      </c>
    </row>
    <row r="61" spans="1:15" ht="15" customHeight="1">
      <c r="B61" s="3"/>
      <c r="C61" s="3"/>
      <c r="D61" s="3"/>
      <c r="I61" s="30"/>
      <c r="J61" s="30"/>
      <c r="K61" s="30"/>
      <c r="L61" s="30"/>
      <c r="M61" s="30"/>
      <c r="N61" s="30"/>
    </row>
    <row r="62" spans="1:15">
      <c r="B62" s="3"/>
      <c r="C62" s="3"/>
      <c r="D62" s="3"/>
      <c r="I62" s="30"/>
      <c r="J62" s="30"/>
      <c r="K62" s="30"/>
      <c r="L62" s="30"/>
      <c r="M62" s="30"/>
      <c r="N62" s="30"/>
    </row>
    <row r="63" spans="1:15">
      <c r="B63" s="3"/>
      <c r="C63" s="3"/>
      <c r="D63" s="3"/>
      <c r="I63" s="30"/>
      <c r="J63" s="30"/>
      <c r="K63" s="30"/>
      <c r="L63" s="30"/>
      <c r="M63" s="30"/>
      <c r="N63" s="30"/>
    </row>
    <row r="64" spans="1:15">
      <c r="B64" s="3"/>
      <c r="C64" s="3"/>
      <c r="D64" s="3"/>
      <c r="I64">
        <v>1.18</v>
      </c>
      <c r="J64">
        <v>0.91</v>
      </c>
      <c r="K64">
        <v>0.91</v>
      </c>
      <c r="L64">
        <v>0.91</v>
      </c>
      <c r="M64">
        <v>0.91</v>
      </c>
      <c r="N64">
        <v>0.91</v>
      </c>
    </row>
    <row r="65" spans="1:15">
      <c r="B65" s="3"/>
      <c r="C65" s="3"/>
      <c r="D65" s="3"/>
      <c r="I65" s="29">
        <f>SUM(I64:N64)</f>
        <v>5.73</v>
      </c>
      <c r="J65" s="29"/>
      <c r="K65" s="29"/>
      <c r="L65" s="29"/>
      <c r="M65" s="29"/>
      <c r="N65" s="29"/>
    </row>
    <row r="66" spans="1:15">
      <c r="B66" s="3"/>
      <c r="C66" s="3"/>
      <c r="D66" s="3"/>
    </row>
    <row r="73" spans="1:15">
      <c r="A73" t="s">
        <v>32</v>
      </c>
    </row>
    <row r="74" spans="1:15" ht="41.4">
      <c r="A74" s="1" t="s">
        <v>0</v>
      </c>
      <c r="B74" s="2" t="s">
        <v>1</v>
      </c>
      <c r="C74" s="2" t="s">
        <v>2</v>
      </c>
      <c r="D74" s="1" t="s">
        <v>3</v>
      </c>
      <c r="E74" s="2" t="s">
        <v>4</v>
      </c>
      <c r="F74" s="2" t="s">
        <v>5</v>
      </c>
      <c r="G74" s="2" t="s">
        <v>6</v>
      </c>
      <c r="H74" s="2" t="s">
        <v>7</v>
      </c>
      <c r="I74" s="2" t="s">
        <v>8</v>
      </c>
      <c r="J74" s="2" t="s">
        <v>9</v>
      </c>
      <c r="K74" s="2" t="s">
        <v>10</v>
      </c>
      <c r="L74" s="2" t="s">
        <v>11</v>
      </c>
      <c r="M74" s="2" t="s">
        <v>12</v>
      </c>
      <c r="N74" s="2" t="s">
        <v>13</v>
      </c>
      <c r="O74" s="2" t="s">
        <v>14</v>
      </c>
    </row>
    <row r="75" spans="1:15" s="9" customFormat="1">
      <c r="A75" s="4" t="s">
        <v>18</v>
      </c>
      <c r="B75" s="5" t="s">
        <v>20</v>
      </c>
      <c r="C75" s="5">
        <v>32.4</v>
      </c>
      <c r="D75" s="6">
        <v>20</v>
      </c>
      <c r="E75" s="7">
        <f>G75+F75</f>
        <v>727</v>
      </c>
      <c r="F75" s="7">
        <v>79</v>
      </c>
      <c r="G75" s="7">
        <f>C75*D75</f>
        <v>648</v>
      </c>
      <c r="H75" s="7">
        <v>1.08</v>
      </c>
      <c r="I75" s="7">
        <v>0.91</v>
      </c>
      <c r="J75" s="7">
        <v>0.73</v>
      </c>
      <c r="K75" s="8">
        <f t="shared" ref="K75" si="10">H75*I75*J75</f>
        <v>0.71744400000000008</v>
      </c>
      <c r="L75" s="6">
        <v>520</v>
      </c>
      <c r="M75" s="5">
        <f>L75/D75</f>
        <v>26</v>
      </c>
      <c r="N75" s="5">
        <f t="shared" ref="N75" si="11">M75*E75</f>
        <v>18902</v>
      </c>
      <c r="O75" s="5">
        <f>M75*K75</f>
        <v>18.653544000000004</v>
      </c>
    </row>
    <row r="76" spans="1:15" s="9" customFormat="1">
      <c r="A76" s="4" t="s">
        <v>18</v>
      </c>
      <c r="B76" s="10" t="s">
        <v>21</v>
      </c>
      <c r="C76" s="10">
        <v>0.52</v>
      </c>
      <c r="D76" s="10">
        <v>1080</v>
      </c>
      <c r="E76" s="31">
        <f>F76+G76+G77+G78+G79</f>
        <v>941</v>
      </c>
      <c r="F76" s="33">
        <v>50</v>
      </c>
      <c r="G76" s="11">
        <f t="shared" ref="G76:G85" si="12">C76*D76</f>
        <v>561.6</v>
      </c>
      <c r="H76" s="33">
        <v>1.18</v>
      </c>
      <c r="I76" s="33">
        <v>1.1499999999999999</v>
      </c>
      <c r="J76" s="33">
        <v>0.74</v>
      </c>
      <c r="K76" s="31">
        <f>H76*I76*J76</f>
        <v>1.0041799999999999</v>
      </c>
      <c r="L76" s="10">
        <f>L75*2</f>
        <v>1040</v>
      </c>
      <c r="M76" s="33">
        <v>1</v>
      </c>
      <c r="N76" s="36">
        <f>M76*E76</f>
        <v>941</v>
      </c>
      <c r="O76" s="31">
        <f>M76*K76</f>
        <v>1.0041799999999999</v>
      </c>
    </row>
    <row r="77" spans="1:15" s="9" customFormat="1" ht="28.5" customHeight="1">
      <c r="A77" s="4" t="s">
        <v>18</v>
      </c>
      <c r="B77" s="12" t="s">
        <v>22</v>
      </c>
      <c r="C77" s="10">
        <v>0.05</v>
      </c>
      <c r="D77" s="10">
        <v>1080</v>
      </c>
      <c r="E77" s="35"/>
      <c r="F77" s="39"/>
      <c r="G77" s="11">
        <f t="shared" si="12"/>
        <v>54</v>
      </c>
      <c r="H77" s="39"/>
      <c r="I77" s="39"/>
      <c r="J77" s="39"/>
      <c r="K77" s="35"/>
      <c r="L77" s="10">
        <f>L75*2</f>
        <v>1040</v>
      </c>
      <c r="M77" s="39"/>
      <c r="N77" s="37"/>
      <c r="O77" s="35"/>
    </row>
    <row r="78" spans="1:15" s="9" customFormat="1">
      <c r="A78" s="4" t="s">
        <v>18</v>
      </c>
      <c r="B78" s="12" t="s">
        <v>23</v>
      </c>
      <c r="C78" s="10">
        <v>0.17</v>
      </c>
      <c r="D78" s="10">
        <v>1080</v>
      </c>
      <c r="E78" s="35"/>
      <c r="F78" s="39"/>
      <c r="G78" s="11">
        <f t="shared" si="12"/>
        <v>183.60000000000002</v>
      </c>
      <c r="H78" s="39"/>
      <c r="I78" s="39"/>
      <c r="J78" s="39"/>
      <c r="K78" s="35"/>
      <c r="L78" s="10">
        <f>L75*2</f>
        <v>1040</v>
      </c>
      <c r="M78" s="39"/>
      <c r="N78" s="37"/>
      <c r="O78" s="35"/>
    </row>
    <row r="79" spans="1:15" s="9" customFormat="1">
      <c r="A79" s="4" t="s">
        <v>18</v>
      </c>
      <c r="B79" s="12" t="s">
        <v>24</v>
      </c>
      <c r="C79" s="10">
        <v>0.17</v>
      </c>
      <c r="D79" s="10">
        <v>540</v>
      </c>
      <c r="E79" s="32"/>
      <c r="F79" s="34"/>
      <c r="G79" s="11">
        <f t="shared" si="12"/>
        <v>91.800000000000011</v>
      </c>
      <c r="H79" s="34"/>
      <c r="I79" s="34"/>
      <c r="J79" s="34"/>
      <c r="K79" s="32"/>
      <c r="L79" s="40">
        <f>L75</f>
        <v>520</v>
      </c>
      <c r="M79" s="34"/>
      <c r="N79" s="38"/>
      <c r="O79" s="32"/>
    </row>
    <row r="80" spans="1:15" s="9" customFormat="1" ht="30" customHeight="1">
      <c r="A80" s="4" t="s">
        <v>18</v>
      </c>
      <c r="B80" s="13" t="s">
        <v>25</v>
      </c>
      <c r="C80" s="10">
        <v>0.31</v>
      </c>
      <c r="D80" s="10">
        <v>1080</v>
      </c>
      <c r="E80" s="31">
        <f>F80+G80+G81+G82+G83</f>
        <v>702.57999999999993</v>
      </c>
      <c r="F80" s="36">
        <v>40</v>
      </c>
      <c r="G80" s="11">
        <f t="shared" si="12"/>
        <v>334.8</v>
      </c>
      <c r="H80" s="33">
        <v>0.8</v>
      </c>
      <c r="I80" s="33">
        <v>0.8</v>
      </c>
      <c r="J80" s="33">
        <v>0.7</v>
      </c>
      <c r="K80" s="31">
        <f>H80*I80*J80</f>
        <v>0.44800000000000006</v>
      </c>
      <c r="L80" s="10">
        <f>L75*2</f>
        <v>1040</v>
      </c>
      <c r="M80" s="33">
        <v>1</v>
      </c>
      <c r="N80" s="36">
        <f>M80*E80</f>
        <v>702.57999999999993</v>
      </c>
      <c r="O80" s="31">
        <f>M80*K80</f>
        <v>0.44800000000000006</v>
      </c>
    </row>
    <row r="81" spans="1:15" s="9" customFormat="1" ht="30" customHeight="1">
      <c r="A81" s="4" t="s">
        <v>18</v>
      </c>
      <c r="B81" s="13" t="s">
        <v>26</v>
      </c>
      <c r="C81" s="10">
        <v>4.4999999999999998E-2</v>
      </c>
      <c r="D81" s="10">
        <v>540</v>
      </c>
      <c r="E81" s="35"/>
      <c r="F81" s="37"/>
      <c r="G81" s="11">
        <f t="shared" si="12"/>
        <v>24.3</v>
      </c>
      <c r="H81" s="39"/>
      <c r="I81" s="39"/>
      <c r="J81" s="39"/>
      <c r="K81" s="35"/>
      <c r="L81" s="40">
        <f>L75</f>
        <v>520</v>
      </c>
      <c r="M81" s="39"/>
      <c r="N81" s="37"/>
      <c r="O81" s="35"/>
    </row>
    <row r="82" spans="1:15" s="9" customFormat="1" ht="42" customHeight="1">
      <c r="A82" s="4" t="s">
        <v>18</v>
      </c>
      <c r="B82" s="13" t="s">
        <v>27</v>
      </c>
      <c r="C82" s="10">
        <v>3.2000000000000001E-2</v>
      </c>
      <c r="D82" s="10">
        <v>540</v>
      </c>
      <c r="E82" s="35"/>
      <c r="F82" s="37"/>
      <c r="G82" s="11">
        <f t="shared" si="12"/>
        <v>17.28</v>
      </c>
      <c r="H82" s="39"/>
      <c r="I82" s="39"/>
      <c r="J82" s="39"/>
      <c r="K82" s="35"/>
      <c r="L82" s="40">
        <f>L75</f>
        <v>520</v>
      </c>
      <c r="M82" s="39"/>
      <c r="N82" s="37"/>
      <c r="O82" s="35"/>
    </row>
    <row r="83" spans="1:15" s="9" customFormat="1" ht="28.5" customHeight="1">
      <c r="A83" s="4" t="s">
        <v>18</v>
      </c>
      <c r="B83" s="13" t="s">
        <v>28</v>
      </c>
      <c r="C83" s="10">
        <v>0.53</v>
      </c>
      <c r="D83" s="10">
        <v>540</v>
      </c>
      <c r="E83" s="32"/>
      <c r="F83" s="38"/>
      <c r="G83" s="11">
        <f t="shared" si="12"/>
        <v>286.2</v>
      </c>
      <c r="H83" s="34"/>
      <c r="I83" s="34"/>
      <c r="J83" s="34"/>
      <c r="K83" s="32"/>
      <c r="L83" s="40">
        <f>L75</f>
        <v>520</v>
      </c>
      <c r="M83" s="34"/>
      <c r="N83" s="38"/>
      <c r="O83" s="32"/>
    </row>
    <row r="84" spans="1:15" s="9" customFormat="1">
      <c r="A84" s="4" t="s">
        <v>18</v>
      </c>
      <c r="B84" s="10" t="s">
        <v>29</v>
      </c>
      <c r="C84" s="10">
        <v>1.8</v>
      </c>
      <c r="D84" s="10">
        <v>540</v>
      </c>
      <c r="E84" s="31">
        <f>F84+G84+G85</f>
        <v>1063.3</v>
      </c>
      <c r="F84" s="33">
        <v>40</v>
      </c>
      <c r="G84" s="11">
        <f t="shared" si="12"/>
        <v>972</v>
      </c>
      <c r="H84" s="33">
        <v>1.34</v>
      </c>
      <c r="I84" s="33">
        <v>0.98</v>
      </c>
      <c r="J84" s="33">
        <v>1.17</v>
      </c>
      <c r="K84" s="31">
        <f>H84*I84*J84</f>
        <v>1.5364440000000001</v>
      </c>
      <c r="L84" s="40">
        <f>L75</f>
        <v>520</v>
      </c>
      <c r="M84" s="33">
        <v>1</v>
      </c>
      <c r="N84" s="33">
        <f>M84*E84</f>
        <v>1063.3</v>
      </c>
      <c r="O84" s="31">
        <f>M84*K84</f>
        <v>1.5364440000000001</v>
      </c>
    </row>
    <row r="85" spans="1:15" s="9" customFormat="1">
      <c r="A85" s="4" t="s">
        <v>18</v>
      </c>
      <c r="B85" s="10" t="s">
        <v>30</v>
      </c>
      <c r="C85" s="10">
        <v>9.5000000000000001E-2</v>
      </c>
      <c r="D85" s="10">
        <v>540</v>
      </c>
      <c r="E85" s="32"/>
      <c r="F85" s="34"/>
      <c r="G85" s="11">
        <f t="shared" si="12"/>
        <v>51.3</v>
      </c>
      <c r="H85" s="34"/>
      <c r="I85" s="34"/>
      <c r="J85" s="34"/>
      <c r="K85" s="32"/>
      <c r="L85" s="40">
        <f>L75</f>
        <v>520</v>
      </c>
      <c r="M85" s="34"/>
      <c r="N85" s="34"/>
      <c r="O85" s="32"/>
    </row>
    <row r="86" spans="1:15" s="9" customFormat="1">
      <c r="A86" s="14" t="s">
        <v>19</v>
      </c>
      <c r="B86" s="5" t="s">
        <v>15</v>
      </c>
      <c r="C86" s="15"/>
      <c r="D86" s="5">
        <v>800</v>
      </c>
      <c r="E86" s="16">
        <v>826</v>
      </c>
      <c r="F86" s="5">
        <v>40</v>
      </c>
      <c r="G86" s="16">
        <v>786</v>
      </c>
      <c r="H86" s="5">
        <v>1.1000000000000001</v>
      </c>
      <c r="I86" s="5">
        <v>0.8</v>
      </c>
      <c r="J86" s="5">
        <v>0.55000000000000004</v>
      </c>
      <c r="K86" s="17">
        <f>H86*I86*J86</f>
        <v>0.4840000000000001</v>
      </c>
      <c r="L86" s="6">
        <f>L75*2</f>
        <v>1040</v>
      </c>
      <c r="M86" s="5">
        <f>L86/D86</f>
        <v>1.3</v>
      </c>
      <c r="N86" s="18">
        <f>M86*E86</f>
        <v>1073.8</v>
      </c>
      <c r="O86" s="8">
        <f>M86*K86</f>
        <v>0.62920000000000009</v>
      </c>
    </row>
    <row r="87" spans="1:15">
      <c r="A87" s="24" t="s">
        <v>36</v>
      </c>
      <c r="B87" s="20" t="s">
        <v>37</v>
      </c>
      <c r="C87" s="25"/>
      <c r="D87" s="26">
        <v>5000</v>
      </c>
      <c r="E87" s="27">
        <v>500</v>
      </c>
      <c r="F87" s="27">
        <v>40</v>
      </c>
      <c r="G87" s="27">
        <v>460</v>
      </c>
      <c r="H87" s="27">
        <v>1.1200000000000001</v>
      </c>
      <c r="I87" s="27">
        <v>1</v>
      </c>
      <c r="J87" s="27">
        <v>0.75</v>
      </c>
      <c r="K87" s="22">
        <f t="shared" ref="K87" si="13">H87*I87*J87</f>
        <v>0.84000000000000008</v>
      </c>
      <c r="L87" s="28">
        <v>10000</v>
      </c>
      <c r="M87" s="20">
        <f>L87/D87</f>
        <v>2</v>
      </c>
      <c r="N87" s="21">
        <f>M87*E87</f>
        <v>1000</v>
      </c>
      <c r="O87" s="22">
        <f>M87*K87</f>
        <v>1.6800000000000002</v>
      </c>
    </row>
    <row r="88" spans="1: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19">
        <f>SUM(L75:L87)</f>
        <v>18840</v>
      </c>
      <c r="M88" s="19">
        <f t="shared" ref="M88:O88" si="14">SUM(M75:M87)</f>
        <v>32.299999999999997</v>
      </c>
      <c r="N88" s="19">
        <f t="shared" si="14"/>
        <v>23682.68</v>
      </c>
      <c r="O88" s="19">
        <f t="shared" si="14"/>
        <v>23.951368000000002</v>
      </c>
    </row>
    <row r="91" spans="1:15">
      <c r="B91" s="3"/>
      <c r="C91" s="3"/>
      <c r="D91" s="3"/>
      <c r="I91" s="29">
        <f>SUM(I92:N92)</f>
        <v>5.78</v>
      </c>
      <c r="J91" s="29"/>
      <c r="K91" s="29"/>
      <c r="L91" s="29"/>
      <c r="M91" s="29"/>
      <c r="N91" s="29"/>
    </row>
    <row r="92" spans="1:15">
      <c r="B92" s="3"/>
      <c r="C92" s="3"/>
      <c r="D92" s="3"/>
      <c r="I92">
        <v>1.34</v>
      </c>
      <c r="J92">
        <v>0.8</v>
      </c>
      <c r="K92">
        <v>0.91</v>
      </c>
      <c r="L92">
        <v>0.91</v>
      </c>
      <c r="M92">
        <v>0.91</v>
      </c>
      <c r="N92">
        <v>0.91</v>
      </c>
    </row>
    <row r="93" spans="1:15">
      <c r="B93" s="3"/>
      <c r="C93" s="3"/>
      <c r="D93" s="3"/>
      <c r="I93" s="30" t="s">
        <v>33</v>
      </c>
      <c r="J93" s="30" t="s">
        <v>34</v>
      </c>
      <c r="K93" s="30" t="s">
        <v>31</v>
      </c>
      <c r="L93" s="30" t="s">
        <v>31</v>
      </c>
      <c r="M93" s="30" t="s">
        <v>31</v>
      </c>
      <c r="N93" s="30" t="s">
        <v>31</v>
      </c>
    </row>
    <row r="94" spans="1:15">
      <c r="B94" s="3"/>
      <c r="C94" s="3"/>
      <c r="D94" s="3"/>
      <c r="I94" s="30"/>
      <c r="J94" s="30"/>
      <c r="K94" s="30"/>
      <c r="L94" s="30"/>
      <c r="M94" s="30"/>
      <c r="N94" s="30"/>
    </row>
    <row r="95" spans="1:15">
      <c r="B95" s="3"/>
      <c r="C95" s="3"/>
      <c r="D95" s="3"/>
      <c r="I95" s="30"/>
      <c r="J95" s="30"/>
      <c r="K95" s="30"/>
      <c r="L95" s="30"/>
      <c r="M95" s="30"/>
      <c r="N95" s="30"/>
    </row>
    <row r="96" spans="1:15">
      <c r="B96" s="3"/>
      <c r="C96" s="3"/>
      <c r="D96" s="3"/>
      <c r="I96" s="30"/>
      <c r="J96" s="30"/>
      <c r="K96" s="30"/>
      <c r="L96" s="30"/>
      <c r="M96" s="30"/>
      <c r="N96" s="30"/>
    </row>
    <row r="97" spans="2:14" ht="15" customHeight="1">
      <c r="B97" s="3"/>
      <c r="C97" s="3"/>
      <c r="D97" s="3"/>
      <c r="I97" s="30" t="s">
        <v>35</v>
      </c>
      <c r="J97" s="30" t="s">
        <v>39</v>
      </c>
      <c r="K97" s="30" t="s">
        <v>31</v>
      </c>
      <c r="L97" s="30" t="s">
        <v>31</v>
      </c>
      <c r="M97" s="30" t="s">
        <v>31</v>
      </c>
      <c r="N97" s="30" t="s">
        <v>31</v>
      </c>
    </row>
    <row r="98" spans="2:14" ht="15" customHeight="1">
      <c r="B98" s="3"/>
      <c r="C98" s="3"/>
      <c r="D98" s="3"/>
      <c r="I98" s="30"/>
      <c r="J98" s="30"/>
      <c r="K98" s="30"/>
      <c r="L98" s="30"/>
      <c r="M98" s="30"/>
      <c r="N98" s="30"/>
    </row>
    <row r="99" spans="2:14">
      <c r="B99" s="3"/>
      <c r="C99" s="3"/>
      <c r="D99" s="3"/>
      <c r="I99" s="30"/>
      <c r="J99" s="30"/>
      <c r="K99" s="30"/>
      <c r="L99" s="30"/>
      <c r="M99" s="30"/>
      <c r="N99" s="30"/>
    </row>
    <row r="100" spans="2:14">
      <c r="B100" s="3"/>
      <c r="C100" s="3"/>
      <c r="D100" s="3"/>
      <c r="I100" s="30"/>
      <c r="J100" s="30"/>
      <c r="K100" s="30"/>
      <c r="L100" s="30"/>
      <c r="M100" s="30"/>
      <c r="N100" s="30"/>
    </row>
    <row r="101" spans="2:14">
      <c r="B101" s="3"/>
      <c r="C101" s="3"/>
      <c r="D101" s="3"/>
      <c r="I101">
        <v>1.1200000000000001</v>
      </c>
      <c r="J101">
        <v>1</v>
      </c>
      <c r="K101">
        <v>0.91</v>
      </c>
      <c r="L101">
        <v>0.91</v>
      </c>
      <c r="M101">
        <v>0.91</v>
      </c>
      <c r="N101">
        <v>0.91</v>
      </c>
    </row>
    <row r="102" spans="2:14">
      <c r="B102" s="3"/>
      <c r="C102" s="3"/>
      <c r="D102" s="3"/>
      <c r="I102" s="29">
        <f>SUM(I101:N101)</f>
        <v>5.7600000000000007</v>
      </c>
      <c r="J102" s="29"/>
      <c r="K102" s="29"/>
      <c r="L102" s="29"/>
      <c r="M102" s="29"/>
      <c r="N102" s="29"/>
    </row>
    <row r="103" spans="2:14">
      <c r="B103" s="3"/>
      <c r="C103" s="3"/>
      <c r="D103" s="3"/>
    </row>
  </sheetData>
  <mergeCells count="123">
    <mergeCell ref="L25:L28"/>
    <mergeCell ref="M25:M28"/>
    <mergeCell ref="O4:O7"/>
    <mergeCell ref="I21:I24"/>
    <mergeCell ref="J21:J24"/>
    <mergeCell ref="K21:K24"/>
    <mergeCell ref="L21:L24"/>
    <mergeCell ref="M21:M24"/>
    <mergeCell ref="N21:N24"/>
    <mergeCell ref="I19:N19"/>
    <mergeCell ref="N8:N11"/>
    <mergeCell ref="O8:O11"/>
    <mergeCell ref="K12:K13"/>
    <mergeCell ref="M12:M13"/>
    <mergeCell ref="N12:N13"/>
    <mergeCell ref="O12:O13"/>
    <mergeCell ref="E12:E13"/>
    <mergeCell ref="F12:F13"/>
    <mergeCell ref="H12:H13"/>
    <mergeCell ref="I12:I13"/>
    <mergeCell ref="J12:J13"/>
    <mergeCell ref="N25:N28"/>
    <mergeCell ref="E4:E7"/>
    <mergeCell ref="F4:F7"/>
    <mergeCell ref="H4:H7"/>
    <mergeCell ref="I4:I7"/>
    <mergeCell ref="J4:J7"/>
    <mergeCell ref="K4:K7"/>
    <mergeCell ref="M4:M7"/>
    <mergeCell ref="N4:N7"/>
    <mergeCell ref="E8:E11"/>
    <mergeCell ref="F8:F11"/>
    <mergeCell ref="H8:H11"/>
    <mergeCell ref="I8:I11"/>
    <mergeCell ref="J8:J11"/>
    <mergeCell ref="K8:K11"/>
    <mergeCell ref="M8:M11"/>
    <mergeCell ref="I25:I28"/>
    <mergeCell ref="J25:J28"/>
    <mergeCell ref="K25:K28"/>
    <mergeCell ref="I30:N30"/>
    <mergeCell ref="E40:E43"/>
    <mergeCell ref="F40:F43"/>
    <mergeCell ref="H40:H43"/>
    <mergeCell ref="I40:I43"/>
    <mergeCell ref="J40:J43"/>
    <mergeCell ref="K40:K43"/>
    <mergeCell ref="M40:M43"/>
    <mergeCell ref="N40:N43"/>
    <mergeCell ref="O40:O43"/>
    <mergeCell ref="E44:E47"/>
    <mergeCell ref="F44:F47"/>
    <mergeCell ref="H44:H47"/>
    <mergeCell ref="I44:I47"/>
    <mergeCell ref="J44:J47"/>
    <mergeCell ref="K44:K47"/>
    <mergeCell ref="M44:M47"/>
    <mergeCell ref="N44:N47"/>
    <mergeCell ref="O44:O47"/>
    <mergeCell ref="K48:K49"/>
    <mergeCell ref="M48:M49"/>
    <mergeCell ref="N48:N49"/>
    <mergeCell ref="O48:O49"/>
    <mergeCell ref="I54:N54"/>
    <mergeCell ref="E48:E49"/>
    <mergeCell ref="F48:F49"/>
    <mergeCell ref="H48:H49"/>
    <mergeCell ref="I48:I49"/>
    <mergeCell ref="J48:J49"/>
    <mergeCell ref="N56:N59"/>
    <mergeCell ref="I60:I63"/>
    <mergeCell ref="J60:J63"/>
    <mergeCell ref="K60:K63"/>
    <mergeCell ref="L60:L63"/>
    <mergeCell ref="M60:M63"/>
    <mergeCell ref="N60:N63"/>
    <mergeCell ref="I56:I59"/>
    <mergeCell ref="J56:J59"/>
    <mergeCell ref="K56:K59"/>
    <mergeCell ref="L56:L59"/>
    <mergeCell ref="M56:M59"/>
    <mergeCell ref="I65:N65"/>
    <mergeCell ref="E76:E79"/>
    <mergeCell ref="F76:F79"/>
    <mergeCell ref="H76:H79"/>
    <mergeCell ref="I76:I79"/>
    <mergeCell ref="J76:J79"/>
    <mergeCell ref="K76:K79"/>
    <mergeCell ref="M76:M79"/>
    <mergeCell ref="N76:N79"/>
    <mergeCell ref="O76:O79"/>
    <mergeCell ref="E80:E83"/>
    <mergeCell ref="F80:F83"/>
    <mergeCell ref="H80:H83"/>
    <mergeCell ref="I80:I83"/>
    <mergeCell ref="J80:J83"/>
    <mergeCell ref="K80:K83"/>
    <mergeCell ref="M80:M83"/>
    <mergeCell ref="N80:N83"/>
    <mergeCell ref="O80:O83"/>
    <mergeCell ref="K84:K85"/>
    <mergeCell ref="M84:M85"/>
    <mergeCell ref="N84:N85"/>
    <mergeCell ref="O84:O85"/>
    <mergeCell ref="I91:N91"/>
    <mergeCell ref="E84:E85"/>
    <mergeCell ref="F84:F85"/>
    <mergeCell ref="H84:H85"/>
    <mergeCell ref="I84:I85"/>
    <mergeCell ref="J84:J85"/>
    <mergeCell ref="I102:N102"/>
    <mergeCell ref="N93:N96"/>
    <mergeCell ref="I97:I100"/>
    <mergeCell ref="J97:J100"/>
    <mergeCell ref="K97:K100"/>
    <mergeCell ref="L97:L100"/>
    <mergeCell ref="M97:M100"/>
    <mergeCell ref="N97:N100"/>
    <mergeCell ref="I93:I96"/>
    <mergeCell ref="J93:J96"/>
    <mergeCell ref="K93:K96"/>
    <mergeCell ref="L93:L96"/>
    <mergeCell ref="M93:M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Kai Zhu</cp:lastModifiedBy>
  <dcterms:created xsi:type="dcterms:W3CDTF">2015-06-05T18:17:20Z</dcterms:created>
  <dcterms:modified xsi:type="dcterms:W3CDTF">2025-04-15T23:13:44Z</dcterms:modified>
</cp:coreProperties>
</file>