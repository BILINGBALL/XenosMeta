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2-2026-TMT\"/>
    </mc:Choice>
  </mc:AlternateContent>
  <xr:revisionPtr revIDLastSave="0" documentId="13_ncr:1_{9DC434F8-A1E6-49D6-B48D-C5CC67BE4B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Sheet1!$B$1:$P$2</definedName>
    <definedName name="_xlnm.Print_Area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40" i="1"/>
  <c r="M39" i="1"/>
  <c r="K39" i="1"/>
  <c r="M38" i="1"/>
  <c r="N38" i="1" s="1"/>
  <c r="K38" i="1"/>
  <c r="F38" i="1"/>
  <c r="M36" i="1"/>
  <c r="O36" i="1" s="1"/>
  <c r="K36" i="1"/>
  <c r="F36" i="1"/>
  <c r="M34" i="1"/>
  <c r="O34" i="1" s="1"/>
  <c r="K34" i="1"/>
  <c r="F34" i="1"/>
  <c r="M33" i="1"/>
  <c r="N33" i="1" s="1"/>
  <c r="K33" i="1"/>
  <c r="F33" i="1"/>
  <c r="M32" i="1"/>
  <c r="K32" i="1"/>
  <c r="M31" i="1"/>
  <c r="K31" i="1"/>
  <c r="F31" i="1"/>
  <c r="M30" i="1"/>
  <c r="N30" i="1" s="1"/>
  <c r="K30" i="1"/>
  <c r="F30" i="1"/>
  <c r="M29" i="1"/>
  <c r="K29" i="1"/>
  <c r="F29" i="1"/>
  <c r="M28" i="1"/>
  <c r="K28" i="1"/>
  <c r="F28" i="1"/>
  <c r="L24" i="1"/>
  <c r="M23" i="1"/>
  <c r="N23" i="1" s="1"/>
  <c r="K23" i="1"/>
  <c r="F23" i="1"/>
  <c r="M22" i="1"/>
  <c r="K22" i="1"/>
  <c r="F22" i="1"/>
  <c r="M21" i="1"/>
  <c r="K21" i="1"/>
  <c r="F21" i="1"/>
  <c r="M20" i="1"/>
  <c r="K20" i="1"/>
  <c r="F20" i="1"/>
  <c r="M19" i="1"/>
  <c r="K19" i="1"/>
  <c r="F19" i="1"/>
  <c r="M18" i="1"/>
  <c r="N18" i="1" s="1"/>
  <c r="K18" i="1"/>
  <c r="F18" i="1"/>
  <c r="M17" i="1"/>
  <c r="N17" i="1" s="1"/>
  <c r="K17" i="1"/>
  <c r="F17" i="1"/>
  <c r="K12" i="1"/>
  <c r="O12" i="1" s="1"/>
  <c r="E12" i="1"/>
  <c r="N12" i="1" s="1"/>
  <c r="M11" i="1"/>
  <c r="K11" i="1"/>
  <c r="E11" i="1"/>
  <c r="M10" i="1"/>
  <c r="K10" i="1"/>
  <c r="E10" i="1"/>
  <c r="M9" i="1"/>
  <c r="K9" i="1"/>
  <c r="E9" i="1"/>
  <c r="M8" i="1"/>
  <c r="K8" i="1"/>
  <c r="E8" i="1"/>
  <c r="N8" i="1" s="1"/>
  <c r="M7" i="1"/>
  <c r="O7" i="1" s="1"/>
  <c r="M6" i="1"/>
  <c r="O6" i="1" s="1"/>
  <c r="M5" i="1"/>
  <c r="N5" i="1" s="1"/>
  <c r="M4" i="1"/>
  <c r="N4" i="1" s="1"/>
  <c r="K4" i="1"/>
  <c r="O4" i="1" s="1"/>
  <c r="F4" i="1"/>
  <c r="M3" i="1"/>
  <c r="N3" i="1" s="1"/>
  <c r="K3" i="1"/>
  <c r="O38" i="1" l="1"/>
  <c r="O33" i="1"/>
  <c r="O39" i="1"/>
  <c r="O10" i="1"/>
  <c r="O30" i="1"/>
  <c r="O11" i="1"/>
  <c r="O29" i="1"/>
  <c r="O20" i="1"/>
  <c r="O28" i="1"/>
  <c r="O32" i="1"/>
  <c r="O22" i="1"/>
  <c r="O21" i="1"/>
  <c r="O8" i="1"/>
  <c r="O18" i="1"/>
  <c r="M24" i="1"/>
  <c r="O23" i="1"/>
  <c r="M40" i="1"/>
  <c r="O31" i="1"/>
  <c r="N31" i="1"/>
  <c r="N9" i="1"/>
  <c r="O9" i="1"/>
  <c r="N19" i="1"/>
  <c r="O19" i="1"/>
  <c r="O17" i="1"/>
  <c r="N34" i="1"/>
  <c r="N10" i="1"/>
  <c r="O3" i="1"/>
  <c r="N11" i="1"/>
  <c r="N7" i="1"/>
  <c r="N20" i="1"/>
  <c r="O5" i="1"/>
  <c r="N32" i="1"/>
  <c r="N28" i="1"/>
  <c r="N36" i="1"/>
  <c r="N21" i="1"/>
  <c r="N29" i="1"/>
  <c r="N22" i="1"/>
  <c r="N6" i="1"/>
  <c r="N39" i="1"/>
  <c r="O24" i="1" l="1"/>
  <c r="O40" i="1"/>
  <c r="N40" i="1"/>
  <c r="N24" i="1"/>
</calcChain>
</file>

<file path=xl/sharedStrings.xml><?xml version="1.0" encoding="utf-8"?>
<sst xmlns="http://schemas.openxmlformats.org/spreadsheetml/2006/main" count="115" uniqueCount="60">
  <si>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</si>
  <si>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</si>
  <si>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</si>
  <si>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</si>
  <si>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</si>
  <si>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</si>
  <si>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</si>
  <si>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</si>
  <si>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</si>
  <si>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</si>
  <si>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</si>
  <si>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</si>
  <si>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</si>
  <si>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</si>
  <si>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</si>
  <si>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</si>
  <si>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TMT</t>
  </si>
  <si>
    <t>MSP801R2</t>
  </si>
  <si>
    <t>Primary Spring (WGT, SGT &amp; 4GT / MC)</t>
  </si>
  <si>
    <t>MSP804R6</t>
  </si>
  <si>
    <t>Air Bellow (MS9007TMT)</t>
  </si>
  <si>
    <t>MSP00871</t>
  </si>
  <si>
    <t>Air Bellows</t>
  </si>
  <si>
    <t>MSP00886</t>
  </si>
  <si>
    <t>Conical Spring Trailer Tangara</t>
  </si>
  <si>
    <t>20GP</t>
  </si>
  <si>
    <t>STD ALT1 End Hole 130 - 1IN20 Baseplates No Serrated Washer</t>
  </si>
  <si>
    <t>RF152 Zero Cant</t>
  </si>
  <si>
    <t>Delkor Egg for Turnout Type I</t>
  </si>
  <si>
    <t>Delkor Egg for Turnout Type II</t>
  </si>
  <si>
    <t>Delkor Egg for Turnout Type III</t>
  </si>
  <si>
    <t>MSP00894</t>
  </si>
  <si>
    <t>Railteco</t>
  </si>
  <si>
    <t>Axle Box Casting to Drawing # P230-01488</t>
  </si>
  <si>
    <t>Tie Bar Casting Detail to Drawing # P230-01496</t>
  </si>
  <si>
    <t>Tie Bar Casting OH to Drawing # P230-01515</t>
  </si>
  <si>
    <t>Lower Spring Seat to Drawing # P230-01561</t>
  </si>
  <si>
    <t>Upper Spring Seat to Drawing # P230-01562</t>
  </si>
  <si>
    <t>MSP00892</t>
  </si>
  <si>
    <t>Single Guide Link Assembly</t>
  </si>
  <si>
    <t xml:space="preserve">Double Guide Link Assembly </t>
  </si>
  <si>
    <t>Traction Cap Casting Detail</t>
  </si>
  <si>
    <t>Traction Centre</t>
  </si>
  <si>
    <t>Middle Guide Link Bracket Casting</t>
  </si>
  <si>
    <t>Guide Link Bracket</t>
  </si>
  <si>
    <t>Sudelan</t>
  </si>
  <si>
    <t>Ss8 GAL SCREWSPIKES 24 DIA X 165. 5.6</t>
  </si>
  <si>
    <t>Fe6 Spring Wahser</t>
  </si>
  <si>
    <t>26 Dia x190 Long Hex Heads 8.8 G Screwspike</t>
  </si>
  <si>
    <t>EGG152-0cant</t>
  </si>
  <si>
    <t>EGG152-1:30</t>
  </si>
  <si>
    <t>EGG152-1:40</t>
  </si>
  <si>
    <t>EGG152-1:80</t>
  </si>
  <si>
    <t>Type 1</t>
  </si>
  <si>
    <t>Type 2</t>
  </si>
  <si>
    <t>Type 3</t>
  </si>
  <si>
    <t>Type 4</t>
  </si>
  <si>
    <t>Type 5</t>
  </si>
  <si>
    <t>Std Alt 1 RF192 CUG Baseplate no serrated washer</t>
  </si>
  <si>
    <t>40GP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</si>
</sst>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;[Red]\-0.00\ "/>
    <numFmt numFmtId="165" formatCode="[$-C09]dd\-mmm\-yy;@"/>
    <numFmt numFmtId="166" formatCode="0.00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165" fontId="1" fillId="0" borderId="0"/>
    <xf numFmtId="0" fontId="1" fillId="0" borderId="0">
      <alignment vertical="center"/>
    </xf>
    <xf numFmtId="165" fontId="1" fillId="0" borderId="0"/>
  </cellStyleXfs>
  <cellXfs count="73">
    <xf numFmtId="0" fontId="0" fillId="0" borderId="0" xfId="0"/>
    <xf numFmtId="14" fontId="0" fillId="0" borderId="0" xfId="0" applyNumberFormat="1"/>
    <xf numFmtId="1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3" xfId="1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3" xfId="2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/>
    <xf numFmtId="165" fontId="0" fillId="0" borderId="3" xfId="2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164" fontId="7" fillId="0" borderId="3" xfId="4" applyNumberFormat="1" applyFon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 applyAlignment="1">
      <alignment horizontal="center"/>
    </xf>
    <xf numFmtId="14" fontId="0" fillId="0" borderId="3" xfId="0" applyNumberFormat="1" applyBorder="1"/>
    <xf numFmtId="2" fontId="0" fillId="0" borderId="3" xfId="0" applyNumberFormat="1" applyBorder="1"/>
    <xf numFmtId="165" fontId="0" fillId="0" borderId="3" xfId="2" applyFont="1" applyBorder="1" applyAlignment="1">
      <alignment horizontal="left" vertical="center"/>
    </xf>
    <xf numFmtId="0" fontId="0" fillId="0" borderId="0" xfId="0" applyAlignment="1">
      <alignment horizontal="center"/>
    </xf>
    <xf numFmtId="2" fontId="0" fillId="4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4" borderId="0" xfId="0" applyNumberFormat="1" applyFill="1"/>
    <xf numFmtId="2" fontId="1" fillId="0" borderId="3" xfId="2" applyNumberForma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8" fillId="0" borderId="3" xfId="2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left" vertical="center" shrinkToFit="1"/>
    </xf>
    <xf numFmtId="2" fontId="8" fillId="4" borderId="3" xfId="2" applyNumberFormat="1" applyFont="1" applyFill="1" applyBorder="1" applyAlignment="1">
      <alignment horizontal="center" vertical="center"/>
    </xf>
    <xf numFmtId="2" fontId="0" fillId="4" borderId="3" xfId="2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166" fontId="9" fillId="0" borderId="6" xfId="0" applyNumberFormat="1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6" fontId="9" fillId="0" borderId="8" xfId="0" applyNumberFormat="1" applyFont="1" applyBorder="1" applyAlignment="1">
      <alignment horizontal="center" vertical="center" wrapText="1"/>
    </xf>
    <xf numFmtId="166" fontId="9" fillId="0" borderId="7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6" fontId="9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4" borderId="0" xfId="0" applyFill="1"/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2" fontId="0" fillId="4" borderId="3" xfId="0" applyNumberFormat="1" applyFill="1" applyBorder="1" applyAlignment="1">
      <alignment horizontal="center"/>
    </xf>
    <xf numFmtId="14" fontId="0" fillId="4" borderId="3" xfId="0" applyNumberFormat="1" applyFill="1" applyBorder="1"/>
    <xf numFmtId="0" fontId="3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165" fontId="8" fillId="0" borderId="3" xfId="0" applyNumberFormat="1" applyFont="1" applyBorder="1" applyAlignment="1">
      <alignment horizontal="left" vertical="center"/>
    </xf>
    <xf numFmtId="0" fontId="1" fillId="4" borderId="3" xfId="0" applyFont="1" applyFill="1" applyBorder="1"/>
    <xf numFmtId="0" fontId="4" fillId="4" borderId="3" xfId="0" applyFont="1" applyFill="1" applyBorder="1" applyAlignment="1">
      <alignment vertical="center"/>
    </xf>
  </cellXfs>
  <cellStyles count="5">
    <cellStyle name="Good" xfId="1" builtinId="26"/>
    <cellStyle name="Normal" xfId="0" builtinId="0"/>
    <cellStyle name="Normal 10" xfId="3" xr:uid="{50FF310B-2AAF-4951-BFE3-23218B6F8AD8}"/>
    <cellStyle name="Normal 3 2" xfId="2" xr:uid="{7DB4E7C6-F33C-4E05-96C7-C8892D99EE37}"/>
    <cellStyle name="Normal 3 2 3" xfId="4" xr:uid="{44A0C322-F465-4279-9865-53C81F9EF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0"/>
  <sheetViews>
    <sheetView tabSelected="1" topLeftCell="A2" workbookViewId="0">
      <selection activeCell="M45" sqref="M45"/>
    </sheetView>
  </sheetViews>
  <sheetFormatPr defaultRowHeight="14.4"/>
  <cols>
    <col min="1" max="2" width="10.5546875" bestFit="1" customWidth="1"/>
    <col min="3" max="3" width="53.33203125" bestFit="1" customWidth="1"/>
    <col min="4" max="4" width="12" customWidth="1"/>
    <col min="16" max="16" width="10.5546875" bestFit="1" customWidth="1"/>
    <col min="17" max="17" width="12.88671875" bestFit="1" customWidth="1"/>
    <col min="18" max="19" width="9.5546875" bestFit="1" customWidth="1"/>
  </cols>
  <sheetData>
    <row r="1" spans="1:16">
      <c r="A1" s="1">
        <v>46052</v>
      </c>
      <c r="C1" t="s">
        <v>25</v>
      </c>
    </row>
    <row r="2" spans="1:16" ht="41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>
      <c r="A3" s="7">
        <v>9427</v>
      </c>
      <c r="B3" s="10" t="s">
        <v>16</v>
      </c>
      <c r="C3" s="9" t="s">
        <v>26</v>
      </c>
      <c r="D3" s="8">
        <v>48</v>
      </c>
      <c r="E3" s="8">
        <v>885</v>
      </c>
      <c r="F3" s="31">
        <v>69</v>
      </c>
      <c r="G3" s="8">
        <v>816</v>
      </c>
      <c r="H3" s="8">
        <v>1.1599999999999999</v>
      </c>
      <c r="I3" s="8">
        <v>0.84</v>
      </c>
      <c r="J3" s="8">
        <v>0.72</v>
      </c>
      <c r="K3" s="8">
        <f>H3*I3*J3</f>
        <v>0.70156799999999997</v>
      </c>
      <c r="L3" s="32">
        <v>500</v>
      </c>
      <c r="M3" s="8">
        <f t="shared" ref="M3:M17" si="0">L3/D3</f>
        <v>10.416666666666666</v>
      </c>
      <c r="N3" s="8">
        <f>M3*E3</f>
        <v>9218.75</v>
      </c>
      <c r="O3" s="8">
        <f t="shared" ref="O3" si="1">M3*K3</f>
        <v>7.3079999999999989</v>
      </c>
      <c r="P3" s="11">
        <v>45884</v>
      </c>
    </row>
    <row r="4" spans="1:16">
      <c r="A4" s="28">
        <v>9474</v>
      </c>
      <c r="B4" s="10" t="s">
        <v>16</v>
      </c>
      <c r="C4" s="29" t="s">
        <v>27</v>
      </c>
      <c r="D4" s="41">
        <v>30</v>
      </c>
      <c r="E4" s="42">
        <v>664</v>
      </c>
      <c r="F4" s="42">
        <f>E4-G4</f>
        <v>51</v>
      </c>
      <c r="G4" s="42">
        <v>613</v>
      </c>
      <c r="H4" s="42">
        <v>0.98</v>
      </c>
      <c r="I4" s="42">
        <v>0.9</v>
      </c>
      <c r="J4" s="42">
        <v>0.77</v>
      </c>
      <c r="K4" s="43">
        <f>H4*I4*J4</f>
        <v>0.67913999999999997</v>
      </c>
      <c r="L4" s="32">
        <v>8</v>
      </c>
      <c r="M4" s="14">
        <f t="shared" si="0"/>
        <v>0.26666666666666666</v>
      </c>
      <c r="N4" s="15">
        <f>M4*E4</f>
        <v>177.06666666666666</v>
      </c>
      <c r="O4" s="15">
        <f t="shared" ref="O4:O7" si="2">K4*M4</f>
        <v>0.18110399999999999</v>
      </c>
      <c r="P4" s="1">
        <v>46001</v>
      </c>
    </row>
    <row r="5" spans="1:16">
      <c r="A5" s="28">
        <v>9474</v>
      </c>
      <c r="B5" s="10" t="s">
        <v>16</v>
      </c>
      <c r="C5" s="29" t="s">
        <v>28</v>
      </c>
      <c r="D5" s="17">
        <v>12</v>
      </c>
      <c r="E5" s="18">
        <v>421</v>
      </c>
      <c r="F5" s="18">
        <v>25</v>
      </c>
      <c r="G5" s="18">
        <v>396</v>
      </c>
      <c r="H5" s="18">
        <v>0.87</v>
      </c>
      <c r="I5" s="18">
        <v>0.57999999999999996</v>
      </c>
      <c r="J5" s="18">
        <v>0.5</v>
      </c>
      <c r="K5" s="18">
        <v>0.25230000000000002</v>
      </c>
      <c r="L5" s="32">
        <v>68</v>
      </c>
      <c r="M5" s="14">
        <f t="shared" si="0"/>
        <v>5.666666666666667</v>
      </c>
      <c r="N5" s="15">
        <f>M5*E5</f>
        <v>2385.666666666667</v>
      </c>
      <c r="O5" s="15">
        <f t="shared" si="2"/>
        <v>1.4297000000000002</v>
      </c>
      <c r="P5" s="1">
        <v>46001</v>
      </c>
    </row>
    <row r="6" spans="1:16">
      <c r="A6" s="28">
        <v>9474</v>
      </c>
      <c r="B6" s="10" t="s">
        <v>16</v>
      </c>
      <c r="C6" s="29" t="s">
        <v>29</v>
      </c>
      <c r="D6" s="17">
        <v>12</v>
      </c>
      <c r="E6" s="18">
        <v>510</v>
      </c>
      <c r="F6" s="18">
        <v>30</v>
      </c>
      <c r="G6" s="18">
        <v>480</v>
      </c>
      <c r="H6" s="18">
        <v>1.04</v>
      </c>
      <c r="I6" s="18">
        <v>0.56000000000000005</v>
      </c>
      <c r="J6" s="18">
        <v>0.5</v>
      </c>
      <c r="K6" s="18">
        <v>0.29120000000000001</v>
      </c>
      <c r="L6" s="32">
        <v>4</v>
      </c>
      <c r="M6" s="14">
        <f t="shared" si="0"/>
        <v>0.33333333333333331</v>
      </c>
      <c r="N6" s="15">
        <f>M6*E6</f>
        <v>170</v>
      </c>
      <c r="O6" s="15">
        <f t="shared" si="2"/>
        <v>9.7066666666666662E-2</v>
      </c>
      <c r="P6" s="1">
        <v>46001</v>
      </c>
    </row>
    <row r="7" spans="1:16">
      <c r="A7" s="28">
        <v>9474</v>
      </c>
      <c r="B7" s="10" t="s">
        <v>16</v>
      </c>
      <c r="C7" s="29" t="s">
        <v>30</v>
      </c>
      <c r="D7" s="17">
        <v>8</v>
      </c>
      <c r="E7" s="18">
        <v>416</v>
      </c>
      <c r="F7" s="18">
        <v>40</v>
      </c>
      <c r="G7" s="18">
        <v>376</v>
      </c>
      <c r="H7" s="18">
        <v>1.17</v>
      </c>
      <c r="I7" s="18">
        <v>0.56000000000000005</v>
      </c>
      <c r="J7" s="18">
        <v>0.5</v>
      </c>
      <c r="K7" s="18">
        <v>0.3276</v>
      </c>
      <c r="L7" s="32">
        <v>8</v>
      </c>
      <c r="M7" s="14">
        <f t="shared" si="0"/>
        <v>1</v>
      </c>
      <c r="N7" s="15">
        <f>M7*E7</f>
        <v>416</v>
      </c>
      <c r="O7" s="15">
        <f t="shared" si="2"/>
        <v>0.3276</v>
      </c>
      <c r="P7" s="1">
        <v>46001</v>
      </c>
    </row>
    <row r="8" spans="1:16">
      <c r="A8" s="44">
        <v>9493</v>
      </c>
      <c r="B8" s="24" t="s">
        <v>16</v>
      </c>
      <c r="C8" s="45" t="s">
        <v>49</v>
      </c>
      <c r="D8" s="45">
        <v>24</v>
      </c>
      <c r="E8" s="46">
        <f>G8+F8</f>
        <v>544</v>
      </c>
      <c r="F8" s="46">
        <v>56</v>
      </c>
      <c r="G8" s="46">
        <v>488</v>
      </c>
      <c r="H8" s="46">
        <v>0.99</v>
      </c>
      <c r="I8" s="46">
        <v>0.91</v>
      </c>
      <c r="J8" s="46">
        <v>0.64</v>
      </c>
      <c r="K8" s="46">
        <f t="shared" ref="K8:K12" si="3">H8*I8*J8</f>
        <v>0.57657600000000009</v>
      </c>
      <c r="L8" s="45">
        <v>24</v>
      </c>
      <c r="M8" s="45">
        <f>L8/D8</f>
        <v>1</v>
      </c>
      <c r="N8" s="46">
        <f>M8*E8</f>
        <v>544</v>
      </c>
      <c r="O8" s="46">
        <f>M8*K8</f>
        <v>0.57657600000000009</v>
      </c>
      <c r="P8" s="47">
        <v>46048</v>
      </c>
    </row>
    <row r="9" spans="1:16">
      <c r="A9" s="44">
        <v>9493</v>
      </c>
      <c r="B9" s="24" t="s">
        <v>16</v>
      </c>
      <c r="C9" s="45" t="s">
        <v>50</v>
      </c>
      <c r="D9" s="45">
        <v>24</v>
      </c>
      <c r="E9" s="46">
        <f>G9+F9</f>
        <v>544</v>
      </c>
      <c r="F9" s="46">
        <v>56</v>
      </c>
      <c r="G9" s="46">
        <v>488</v>
      </c>
      <c r="H9" s="46">
        <v>0.99</v>
      </c>
      <c r="I9" s="46">
        <v>0.91</v>
      </c>
      <c r="J9" s="46">
        <v>0.64</v>
      </c>
      <c r="K9" s="46">
        <f t="shared" si="3"/>
        <v>0.57657600000000009</v>
      </c>
      <c r="L9" s="45">
        <v>24</v>
      </c>
      <c r="M9" s="45">
        <f>L9/D9</f>
        <v>1</v>
      </c>
      <c r="N9" s="46">
        <f>M9*E9</f>
        <v>544</v>
      </c>
      <c r="O9" s="46">
        <f>M9*K9</f>
        <v>0.57657600000000009</v>
      </c>
      <c r="P9" s="47">
        <v>46048</v>
      </c>
    </row>
    <row r="10" spans="1:16">
      <c r="A10" s="44">
        <v>9493</v>
      </c>
      <c r="B10" s="24" t="s">
        <v>16</v>
      </c>
      <c r="C10" s="45" t="s">
        <v>51</v>
      </c>
      <c r="D10" s="45">
        <v>24</v>
      </c>
      <c r="E10" s="46">
        <f>G10+F10</f>
        <v>544</v>
      </c>
      <c r="F10" s="46">
        <v>56</v>
      </c>
      <c r="G10" s="46">
        <v>488</v>
      </c>
      <c r="H10" s="46">
        <v>0.99</v>
      </c>
      <c r="I10" s="46">
        <v>0.91</v>
      </c>
      <c r="J10" s="46">
        <v>0.64</v>
      </c>
      <c r="K10" s="46">
        <f t="shared" si="3"/>
        <v>0.57657600000000009</v>
      </c>
      <c r="L10" s="45">
        <v>24</v>
      </c>
      <c r="M10" s="45">
        <f>L10/D10</f>
        <v>1</v>
      </c>
      <c r="N10" s="46">
        <f>M10*E10</f>
        <v>544</v>
      </c>
      <c r="O10" s="46">
        <f>M10*K10</f>
        <v>0.57657600000000009</v>
      </c>
      <c r="P10" s="47">
        <v>46048</v>
      </c>
    </row>
    <row r="11" spans="1:16">
      <c r="A11" s="44">
        <v>9493</v>
      </c>
      <c r="B11" s="24" t="s">
        <v>16</v>
      </c>
      <c r="C11" s="45" t="s">
        <v>52</v>
      </c>
      <c r="D11" s="45">
        <v>24</v>
      </c>
      <c r="E11" s="46">
        <f>G11+F11</f>
        <v>544</v>
      </c>
      <c r="F11" s="46">
        <v>56</v>
      </c>
      <c r="G11" s="46">
        <v>488</v>
      </c>
      <c r="H11" s="46">
        <v>0.99</v>
      </c>
      <c r="I11" s="46">
        <v>0.91</v>
      </c>
      <c r="J11" s="46">
        <v>0.64</v>
      </c>
      <c r="K11" s="46">
        <f t="shared" si="3"/>
        <v>0.57657600000000009</v>
      </c>
      <c r="L11" s="45">
        <v>24</v>
      </c>
      <c r="M11" s="45">
        <f>L11/D11</f>
        <v>1</v>
      </c>
      <c r="N11" s="46">
        <f>M11*E11</f>
        <v>544</v>
      </c>
      <c r="O11" s="46">
        <f>M11*K11</f>
        <v>0.57657600000000009</v>
      </c>
      <c r="P11" s="47">
        <v>46048</v>
      </c>
    </row>
    <row r="12" spans="1:16">
      <c r="A12" s="44">
        <v>9493</v>
      </c>
      <c r="B12" s="24" t="s">
        <v>16</v>
      </c>
      <c r="C12" s="45" t="s">
        <v>53</v>
      </c>
      <c r="D12" s="48">
        <v>1</v>
      </c>
      <c r="E12" s="49">
        <f>SUM(F12:G16)</f>
        <v>254</v>
      </c>
      <c r="F12" s="49">
        <v>20</v>
      </c>
      <c r="G12" s="50">
        <v>33</v>
      </c>
      <c r="H12" s="49">
        <v>1.5</v>
      </c>
      <c r="I12" s="49">
        <v>0.55000000000000004</v>
      </c>
      <c r="J12" s="49">
        <v>0.32</v>
      </c>
      <c r="K12" s="49">
        <f t="shared" si="3"/>
        <v>0.26400000000000001</v>
      </c>
      <c r="L12" s="48">
        <v>1</v>
      </c>
      <c r="M12" s="51">
        <f>L12/D12</f>
        <v>1</v>
      </c>
      <c r="N12" s="49">
        <f>E12*M12</f>
        <v>254</v>
      </c>
      <c r="O12" s="49">
        <f>K12*M12</f>
        <v>0.26400000000000001</v>
      </c>
      <c r="P12" s="47">
        <v>46048</v>
      </c>
    </row>
    <row r="13" spans="1:16" ht="14.4" customHeight="1">
      <c r="A13" s="44">
        <v>9493</v>
      </c>
      <c r="B13" s="24" t="s">
        <v>16</v>
      </c>
      <c r="C13" s="45" t="s">
        <v>54</v>
      </c>
      <c r="D13" s="52">
        <v>1</v>
      </c>
      <c r="E13" s="53"/>
      <c r="F13" s="53"/>
      <c r="G13" s="54">
        <v>40</v>
      </c>
      <c r="H13" s="53"/>
      <c r="I13" s="53"/>
      <c r="J13" s="53"/>
      <c r="K13" s="53"/>
      <c r="L13" s="52">
        <v>1</v>
      </c>
      <c r="M13" s="55"/>
      <c r="N13" s="53"/>
      <c r="O13" s="53"/>
      <c r="P13" s="47">
        <v>46048</v>
      </c>
    </row>
    <row r="14" spans="1:16">
      <c r="A14" s="44">
        <v>9493</v>
      </c>
      <c r="B14" s="24" t="s">
        <v>16</v>
      </c>
      <c r="C14" s="45" t="s">
        <v>55</v>
      </c>
      <c r="D14" s="52">
        <v>1</v>
      </c>
      <c r="E14" s="53"/>
      <c r="F14" s="53"/>
      <c r="G14" s="54">
        <v>48</v>
      </c>
      <c r="H14" s="53"/>
      <c r="I14" s="53"/>
      <c r="J14" s="53"/>
      <c r="K14" s="53"/>
      <c r="L14" s="52">
        <v>1</v>
      </c>
      <c r="M14" s="55"/>
      <c r="N14" s="53"/>
      <c r="O14" s="53"/>
      <c r="P14" s="47">
        <v>46048</v>
      </c>
    </row>
    <row r="15" spans="1:16">
      <c r="A15" s="44">
        <v>9493</v>
      </c>
      <c r="B15" s="24" t="s">
        <v>16</v>
      </c>
      <c r="C15" s="45" t="s">
        <v>56</v>
      </c>
      <c r="D15" s="52">
        <v>1</v>
      </c>
      <c r="E15" s="53"/>
      <c r="F15" s="53"/>
      <c r="G15" s="54">
        <v>53</v>
      </c>
      <c r="H15" s="53"/>
      <c r="I15" s="53"/>
      <c r="J15" s="53"/>
      <c r="K15" s="53"/>
      <c r="L15" s="52">
        <v>1</v>
      </c>
      <c r="M15" s="55"/>
      <c r="N15" s="53"/>
      <c r="O15" s="53"/>
      <c r="P15" s="47">
        <v>46048</v>
      </c>
    </row>
    <row r="16" spans="1:16">
      <c r="A16" s="44">
        <v>9493</v>
      </c>
      <c r="B16" s="24" t="s">
        <v>16</v>
      </c>
      <c r="C16" s="45" t="s">
        <v>57</v>
      </c>
      <c r="D16" s="52">
        <v>1</v>
      </c>
      <c r="E16" s="56"/>
      <c r="F16" s="56"/>
      <c r="G16" s="54">
        <v>60</v>
      </c>
      <c r="H16" s="56"/>
      <c r="I16" s="56"/>
      <c r="J16" s="56"/>
      <c r="K16" s="56"/>
      <c r="L16" s="52">
        <v>1</v>
      </c>
      <c r="M16" s="57"/>
      <c r="N16" s="56"/>
      <c r="O16" s="56"/>
      <c r="P16" s="47">
        <v>46048</v>
      </c>
    </row>
    <row r="17" spans="1:16">
      <c r="A17" s="58" t="s">
        <v>17</v>
      </c>
      <c r="B17" s="58" t="s">
        <v>16</v>
      </c>
      <c r="C17" s="59" t="s">
        <v>18</v>
      </c>
      <c r="D17" s="60">
        <v>8</v>
      </c>
      <c r="E17" s="60">
        <v>227</v>
      </c>
      <c r="F17" s="61">
        <f t="shared" ref="F17" si="4">E17-G17</f>
        <v>37</v>
      </c>
      <c r="G17" s="60">
        <v>190</v>
      </c>
      <c r="H17" s="60">
        <v>1.06</v>
      </c>
      <c r="I17" s="60">
        <v>0.55000000000000004</v>
      </c>
      <c r="J17" s="60">
        <v>0.45</v>
      </c>
      <c r="K17" s="62">
        <f t="shared" ref="K17" si="5">(H17*I17)*J17</f>
        <v>0.26235000000000003</v>
      </c>
      <c r="L17" s="64">
        <v>72</v>
      </c>
      <c r="M17" s="59">
        <f t="shared" si="0"/>
        <v>9</v>
      </c>
      <c r="N17" s="61">
        <f t="shared" ref="N17" si="6">M17*E17</f>
        <v>2043</v>
      </c>
      <c r="O17" s="61">
        <f t="shared" ref="O17" si="7">M17*K17</f>
        <v>2.3611500000000003</v>
      </c>
      <c r="P17" s="63">
        <v>46033</v>
      </c>
    </row>
    <row r="18" spans="1:16">
      <c r="A18" s="7" t="s">
        <v>38</v>
      </c>
      <c r="B18" s="10" t="s">
        <v>16</v>
      </c>
      <c r="C18" s="16" t="s">
        <v>39</v>
      </c>
      <c r="D18" s="9">
        <v>7</v>
      </c>
      <c r="E18" s="9">
        <v>212.6</v>
      </c>
      <c r="F18" s="9">
        <f t="shared" ref="F18:F23" si="8">E18-G18</f>
        <v>32</v>
      </c>
      <c r="G18" s="9">
        <v>180.6</v>
      </c>
      <c r="H18" s="9">
        <v>1.1499999999999999</v>
      </c>
      <c r="I18" s="9">
        <v>0.75</v>
      </c>
      <c r="J18" s="9">
        <v>0.34</v>
      </c>
      <c r="K18" s="8">
        <f t="shared" ref="K18:K23" si="9">H18*I18*J18</f>
        <v>0.29325000000000001</v>
      </c>
      <c r="L18" s="9">
        <v>24</v>
      </c>
      <c r="M18" s="68">
        <f t="shared" ref="M18:M23" si="10">L18/D18</f>
        <v>3.4285714285714284</v>
      </c>
      <c r="N18" s="22">
        <f t="shared" ref="N18:N23" si="11">M18*E18</f>
        <v>728.91428571428571</v>
      </c>
      <c r="O18" s="22">
        <f t="shared" ref="O18:O23" si="12">M18*K18</f>
        <v>1.0054285714285713</v>
      </c>
      <c r="P18" s="13">
        <v>45991</v>
      </c>
    </row>
    <row r="19" spans="1:16">
      <c r="A19" s="7" t="s">
        <v>38</v>
      </c>
      <c r="B19" s="10" t="s">
        <v>16</v>
      </c>
      <c r="C19" s="16" t="s">
        <v>40</v>
      </c>
      <c r="D19" s="9">
        <v>4</v>
      </c>
      <c r="E19" s="9">
        <v>223.6</v>
      </c>
      <c r="F19" s="9">
        <f t="shared" si="8"/>
        <v>30</v>
      </c>
      <c r="G19" s="9">
        <v>193.6</v>
      </c>
      <c r="H19" s="9">
        <v>1.1599999999999999</v>
      </c>
      <c r="I19" s="9">
        <v>0.72</v>
      </c>
      <c r="J19" s="9">
        <v>0.28999999999999998</v>
      </c>
      <c r="K19" s="8">
        <f t="shared" si="9"/>
        <v>0.24220799999999998</v>
      </c>
      <c r="L19" s="9">
        <v>48</v>
      </c>
      <c r="M19" s="69">
        <f t="shared" si="10"/>
        <v>12</v>
      </c>
      <c r="N19" s="22">
        <f t="shared" si="11"/>
        <v>2683.2</v>
      </c>
      <c r="O19" s="22">
        <f t="shared" si="12"/>
        <v>2.9064959999999997</v>
      </c>
      <c r="P19" s="13">
        <v>45991</v>
      </c>
    </row>
    <row r="20" spans="1:16">
      <c r="A20" s="7" t="s">
        <v>38</v>
      </c>
      <c r="B20" s="10" t="s">
        <v>16</v>
      </c>
      <c r="C20" s="16" t="s">
        <v>41</v>
      </c>
      <c r="D20" s="9">
        <v>4</v>
      </c>
      <c r="E20" s="9">
        <v>516.20000000000005</v>
      </c>
      <c r="F20" s="9">
        <f t="shared" si="8"/>
        <v>51.000000000000057</v>
      </c>
      <c r="G20" s="9">
        <v>465.2</v>
      </c>
      <c r="H20" s="9">
        <v>1.32</v>
      </c>
      <c r="I20" s="9">
        <v>0.84</v>
      </c>
      <c r="J20" s="9">
        <v>0.48</v>
      </c>
      <c r="K20" s="8">
        <f t="shared" si="9"/>
        <v>0.53222400000000003</v>
      </c>
      <c r="L20" s="9">
        <v>0</v>
      </c>
      <c r="M20" s="8">
        <f t="shared" si="10"/>
        <v>0</v>
      </c>
      <c r="N20" s="22">
        <f t="shared" si="11"/>
        <v>0</v>
      </c>
      <c r="O20" s="22">
        <f t="shared" si="12"/>
        <v>0</v>
      </c>
      <c r="P20" s="13">
        <v>45991</v>
      </c>
    </row>
    <row r="21" spans="1:16">
      <c r="A21" s="7" t="s">
        <v>38</v>
      </c>
      <c r="B21" s="10" t="s">
        <v>16</v>
      </c>
      <c r="C21" s="16" t="s">
        <v>42</v>
      </c>
      <c r="D21" s="9">
        <v>9</v>
      </c>
      <c r="E21" s="9">
        <v>541</v>
      </c>
      <c r="F21" s="9">
        <f t="shared" si="8"/>
        <v>37</v>
      </c>
      <c r="G21" s="9">
        <v>504</v>
      </c>
      <c r="H21" s="9">
        <v>1.06</v>
      </c>
      <c r="I21" s="9">
        <v>0.79</v>
      </c>
      <c r="J21" s="9">
        <v>0.38</v>
      </c>
      <c r="K21" s="8">
        <f t="shared" si="9"/>
        <v>0.31821199999999999</v>
      </c>
      <c r="L21" s="9">
        <v>5</v>
      </c>
      <c r="M21" s="8">
        <f t="shared" si="10"/>
        <v>0.55555555555555558</v>
      </c>
      <c r="N21" s="22">
        <f t="shared" si="11"/>
        <v>300.55555555555554</v>
      </c>
      <c r="O21" s="22">
        <f t="shared" si="12"/>
        <v>0.17678444444444444</v>
      </c>
      <c r="P21" s="13">
        <v>45991</v>
      </c>
    </row>
    <row r="22" spans="1:16">
      <c r="A22" s="7" t="s">
        <v>38</v>
      </c>
      <c r="B22" s="10" t="s">
        <v>16</v>
      </c>
      <c r="C22" s="16" t="s">
        <v>43</v>
      </c>
      <c r="D22" s="9">
        <v>9</v>
      </c>
      <c r="E22" s="9">
        <v>352</v>
      </c>
      <c r="F22" s="9">
        <f t="shared" si="8"/>
        <v>46</v>
      </c>
      <c r="G22" s="9">
        <v>306</v>
      </c>
      <c r="H22" s="9">
        <v>1.1399999999999999</v>
      </c>
      <c r="I22" s="9">
        <v>0.9</v>
      </c>
      <c r="J22" s="9">
        <v>0.44</v>
      </c>
      <c r="K22" s="8">
        <f t="shared" si="9"/>
        <v>0.45144000000000001</v>
      </c>
      <c r="L22" s="9">
        <v>24</v>
      </c>
      <c r="M22" s="25">
        <f t="shared" si="10"/>
        <v>2.6666666666666665</v>
      </c>
      <c r="N22" s="22">
        <f t="shared" si="11"/>
        <v>938.66666666666663</v>
      </c>
      <c r="O22" s="22">
        <f t="shared" si="12"/>
        <v>1.20384</v>
      </c>
      <c r="P22" s="13">
        <v>45991</v>
      </c>
    </row>
    <row r="23" spans="1:16">
      <c r="A23" s="7" t="s">
        <v>38</v>
      </c>
      <c r="B23" s="10" t="s">
        <v>16</v>
      </c>
      <c r="C23" s="16" t="s">
        <v>44</v>
      </c>
      <c r="D23" s="9">
        <v>9</v>
      </c>
      <c r="E23" s="9">
        <v>388</v>
      </c>
      <c r="F23" s="9">
        <f t="shared" si="8"/>
        <v>46</v>
      </c>
      <c r="G23" s="9">
        <v>342</v>
      </c>
      <c r="H23" s="9">
        <v>1.1399999999999999</v>
      </c>
      <c r="I23" s="9">
        <v>0.9</v>
      </c>
      <c r="J23" s="9">
        <v>0.44</v>
      </c>
      <c r="K23" s="8">
        <f t="shared" si="9"/>
        <v>0.45144000000000001</v>
      </c>
      <c r="L23" s="9">
        <v>48</v>
      </c>
      <c r="M23" s="25">
        <f t="shared" si="10"/>
        <v>5.333333333333333</v>
      </c>
      <c r="N23" s="22">
        <f t="shared" si="11"/>
        <v>2069.333333333333</v>
      </c>
      <c r="O23" s="22">
        <f t="shared" si="12"/>
        <v>2.40768</v>
      </c>
      <c r="P23" s="13">
        <v>45991</v>
      </c>
    </row>
    <row r="24" spans="1:16">
      <c r="L24" s="5">
        <f>SUM(L3:L23)</f>
        <v>910</v>
      </c>
      <c r="M24" s="5">
        <f>SUM(M3:M23)</f>
        <v>55.667460317460318</v>
      </c>
      <c r="N24" s="5">
        <f>SUM(N3:N23)</f>
        <v>23561.153174603176</v>
      </c>
      <c r="O24" s="30">
        <f>SUM(O3:O23)</f>
        <v>21.975153682539677</v>
      </c>
    </row>
    <row r="26" spans="1:16">
      <c r="A26" s="1">
        <v>46052</v>
      </c>
      <c r="C26" t="s">
        <v>59</v>
      </c>
    </row>
    <row r="27" spans="1:16" ht="41.4">
      <c r="A27" s="2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K27" s="3" t="s">
        <v>10</v>
      </c>
      <c r="L27" s="3" t="s">
        <v>11</v>
      </c>
      <c r="M27" s="3" t="s">
        <v>12</v>
      </c>
      <c r="N27" s="3" t="s">
        <v>13</v>
      </c>
      <c r="O27" s="3" t="s">
        <v>14</v>
      </c>
      <c r="P27" s="4" t="s">
        <v>15</v>
      </c>
    </row>
    <row r="28" spans="1:16">
      <c r="A28" s="7">
        <v>9429</v>
      </c>
      <c r="B28" s="10" t="s">
        <v>45</v>
      </c>
      <c r="C28" s="9" t="s">
        <v>46</v>
      </c>
      <c r="D28" s="33">
        <v>1000</v>
      </c>
      <c r="E28" s="12">
        <v>690</v>
      </c>
      <c r="F28" s="12">
        <f t="shared" ref="F28:F29" si="13">E28-G28</f>
        <v>40</v>
      </c>
      <c r="G28" s="12">
        <v>650</v>
      </c>
      <c r="H28" s="12">
        <v>1.1000000000000001</v>
      </c>
      <c r="I28" s="12">
        <v>0.8</v>
      </c>
      <c r="J28" s="12">
        <v>0.55000000000000004</v>
      </c>
      <c r="K28" s="8">
        <f t="shared" ref="K28:K29" si="14">H28*I28*J28</f>
        <v>0.4840000000000001</v>
      </c>
      <c r="L28" s="9">
        <v>3000</v>
      </c>
      <c r="M28" s="8">
        <f t="shared" ref="M28:M29" si="15">L28/D28</f>
        <v>3</v>
      </c>
      <c r="N28" s="8">
        <f t="shared" ref="N28:N30" si="16">M28*E28</f>
        <v>2070</v>
      </c>
      <c r="O28" s="8">
        <f t="shared" ref="O28" si="17">M28*K28</f>
        <v>1.4520000000000004</v>
      </c>
      <c r="P28" s="13">
        <v>45869</v>
      </c>
    </row>
    <row r="29" spans="1:16">
      <c r="A29" s="7">
        <v>9462</v>
      </c>
      <c r="B29" s="35" t="s">
        <v>45</v>
      </c>
      <c r="C29" s="16" t="s">
        <v>47</v>
      </c>
      <c r="D29" s="9">
        <v>4000</v>
      </c>
      <c r="E29" s="34">
        <v>424</v>
      </c>
      <c r="F29" s="34">
        <f t="shared" si="13"/>
        <v>52</v>
      </c>
      <c r="G29" s="34">
        <v>372</v>
      </c>
      <c r="H29" s="34">
        <v>1.1000000000000001</v>
      </c>
      <c r="I29" s="34">
        <v>0.8</v>
      </c>
      <c r="J29" s="34">
        <v>0.55000000000000004</v>
      </c>
      <c r="K29" s="34">
        <f t="shared" si="14"/>
        <v>0.4840000000000001</v>
      </c>
      <c r="L29" s="9">
        <v>20000</v>
      </c>
      <c r="M29" s="8">
        <f t="shared" si="15"/>
        <v>5</v>
      </c>
      <c r="N29" s="8">
        <f t="shared" si="16"/>
        <v>2120</v>
      </c>
      <c r="O29" s="8">
        <f>M29*K29</f>
        <v>2.4200000000000004</v>
      </c>
      <c r="P29" s="13">
        <v>45960</v>
      </c>
    </row>
    <row r="30" spans="1:16">
      <c r="A30" s="7">
        <v>9524</v>
      </c>
      <c r="B30" s="10" t="s">
        <v>45</v>
      </c>
      <c r="C30" s="36" t="s">
        <v>48</v>
      </c>
      <c r="D30" s="37">
        <v>800</v>
      </c>
      <c r="E30" s="38">
        <v>690</v>
      </c>
      <c r="F30" s="38">
        <f>E30-G30</f>
        <v>40</v>
      </c>
      <c r="G30" s="38">
        <v>650</v>
      </c>
      <c r="H30" s="38">
        <v>1.1000000000000001</v>
      </c>
      <c r="I30" s="38">
        <v>0.8</v>
      </c>
      <c r="J30" s="38">
        <v>0.55000000000000004</v>
      </c>
      <c r="K30" s="25">
        <f>H30*I30*J30</f>
        <v>0.4840000000000001</v>
      </c>
      <c r="L30" s="59">
        <v>2400</v>
      </c>
      <c r="M30" s="39">
        <f>L30/D30</f>
        <v>3</v>
      </c>
      <c r="N30" s="40">
        <f t="shared" si="16"/>
        <v>2070</v>
      </c>
      <c r="O30" s="40">
        <f t="shared" ref="O30" si="18">K30*M30</f>
        <v>1.4520000000000004</v>
      </c>
      <c r="P30" s="63">
        <v>46052</v>
      </c>
    </row>
    <row r="31" spans="1:16">
      <c r="A31" s="71" t="s">
        <v>19</v>
      </c>
      <c r="B31" s="61" t="s">
        <v>16</v>
      </c>
      <c r="C31" s="59" t="s">
        <v>20</v>
      </c>
      <c r="D31" s="60">
        <v>4</v>
      </c>
      <c r="E31" s="38">
        <v>109</v>
      </c>
      <c r="F31" s="38">
        <f t="shared" ref="F31" si="19">E31-G31</f>
        <v>49.5</v>
      </c>
      <c r="G31" s="38">
        <v>59.5</v>
      </c>
      <c r="H31" s="38">
        <v>0.88</v>
      </c>
      <c r="I31" s="38">
        <v>0.88</v>
      </c>
      <c r="J31" s="38">
        <v>0.83</v>
      </c>
      <c r="K31" s="25">
        <f t="shared" ref="K31:K34" si="20">H31*I31*J31</f>
        <v>0.64275199999999999</v>
      </c>
      <c r="L31" s="59">
        <v>16</v>
      </c>
      <c r="M31" s="59">
        <f t="shared" ref="M31" si="21">L31/D31</f>
        <v>4</v>
      </c>
      <c r="N31" s="61">
        <f t="shared" ref="N31" si="22">M31*E31</f>
        <v>436</v>
      </c>
      <c r="O31" s="61">
        <f t="shared" ref="O31" si="23">M31*K31</f>
        <v>2.571008</v>
      </c>
      <c r="P31" s="63">
        <v>46035</v>
      </c>
    </row>
    <row r="32" spans="1:16" ht="13.8" customHeight="1">
      <c r="A32" s="71" t="s">
        <v>21</v>
      </c>
      <c r="B32" s="72" t="s">
        <v>16</v>
      </c>
      <c r="C32" s="65" t="s">
        <v>22</v>
      </c>
      <c r="D32" s="66">
        <v>4</v>
      </c>
      <c r="E32" s="66">
        <v>80</v>
      </c>
      <c r="F32" s="66">
        <v>52</v>
      </c>
      <c r="G32" s="66">
        <v>28</v>
      </c>
      <c r="H32" s="66">
        <v>1.1499999999999999</v>
      </c>
      <c r="I32" s="66">
        <v>0.63</v>
      </c>
      <c r="J32" s="66">
        <v>0.74</v>
      </c>
      <c r="K32" s="67">
        <f t="shared" si="20"/>
        <v>0.53612999999999988</v>
      </c>
      <c r="L32" s="59">
        <v>120</v>
      </c>
      <c r="M32" s="66">
        <f>L32/D32</f>
        <v>30</v>
      </c>
      <c r="N32" s="66">
        <f>M32*E32</f>
        <v>2400</v>
      </c>
      <c r="O32" s="67">
        <f>M32*K32</f>
        <v>16.083899999999996</v>
      </c>
      <c r="P32" s="63">
        <v>45999</v>
      </c>
    </row>
    <row r="33" spans="1:16">
      <c r="A33" s="7" t="s">
        <v>31</v>
      </c>
      <c r="B33" s="10" t="s">
        <v>32</v>
      </c>
      <c r="C33" s="16" t="s">
        <v>33</v>
      </c>
      <c r="D33" s="9">
        <v>8</v>
      </c>
      <c r="E33" s="9">
        <v>755</v>
      </c>
      <c r="F33" s="9">
        <f>E33-G33</f>
        <v>102</v>
      </c>
      <c r="G33" s="9">
        <v>653</v>
      </c>
      <c r="H33" s="9">
        <v>1.74</v>
      </c>
      <c r="I33" s="9">
        <v>1.25</v>
      </c>
      <c r="J33" s="9">
        <v>0.69</v>
      </c>
      <c r="K33" s="6">
        <f t="shared" si="20"/>
        <v>1.5007499999999998</v>
      </c>
      <c r="L33" s="9">
        <v>72</v>
      </c>
      <c r="M33" s="14">
        <f>L33/D33</f>
        <v>9</v>
      </c>
      <c r="N33" s="15">
        <f>M33*E33</f>
        <v>6795</v>
      </c>
      <c r="O33" s="15">
        <f>K33*M33</f>
        <v>13.506749999999998</v>
      </c>
      <c r="P33" s="13">
        <v>45991</v>
      </c>
    </row>
    <row r="34" spans="1:16">
      <c r="A34" s="7" t="s">
        <v>31</v>
      </c>
      <c r="B34" s="10" t="s">
        <v>32</v>
      </c>
      <c r="C34" s="16" t="s">
        <v>34</v>
      </c>
      <c r="D34" s="9">
        <v>9</v>
      </c>
      <c r="E34" s="26">
        <v>579</v>
      </c>
      <c r="F34" s="26">
        <f>E34-G34</f>
        <v>52</v>
      </c>
      <c r="G34" s="26">
        <v>527</v>
      </c>
      <c r="H34" s="26">
        <v>1.27</v>
      </c>
      <c r="I34" s="26">
        <v>0.87</v>
      </c>
      <c r="J34" s="26">
        <v>0.58499999999999996</v>
      </c>
      <c r="K34" s="26">
        <f t="shared" si="20"/>
        <v>0.64636649999999995</v>
      </c>
      <c r="L34" s="9">
        <v>19</v>
      </c>
      <c r="M34" s="27">
        <f>L34/D34</f>
        <v>2.1111111111111112</v>
      </c>
      <c r="N34" s="27">
        <f>M34*E34</f>
        <v>1222.3333333333333</v>
      </c>
      <c r="O34" s="27">
        <f>M34*J34</f>
        <v>1.2349999999999999</v>
      </c>
      <c r="P34" s="13">
        <v>45991</v>
      </c>
    </row>
    <row r="35" spans="1:16">
      <c r="A35" s="7" t="s">
        <v>31</v>
      </c>
      <c r="B35" s="10" t="s">
        <v>32</v>
      </c>
      <c r="C35" s="16" t="s">
        <v>35</v>
      </c>
      <c r="D35" s="9">
        <v>9</v>
      </c>
      <c r="E35" s="26"/>
      <c r="F35" s="26"/>
      <c r="G35" s="26"/>
      <c r="H35" s="26"/>
      <c r="I35" s="26"/>
      <c r="J35" s="26"/>
      <c r="K35" s="26"/>
      <c r="L35" s="9">
        <v>19</v>
      </c>
      <c r="M35" s="27"/>
      <c r="N35" s="27"/>
      <c r="O35" s="27"/>
      <c r="P35" s="13">
        <v>45991</v>
      </c>
    </row>
    <row r="36" spans="1:16">
      <c r="A36" s="7" t="s">
        <v>31</v>
      </c>
      <c r="B36" s="10" t="s">
        <v>32</v>
      </c>
      <c r="C36" s="16" t="s">
        <v>36</v>
      </c>
      <c r="D36" s="9">
        <v>56</v>
      </c>
      <c r="E36" s="26">
        <v>438</v>
      </c>
      <c r="F36" s="26">
        <f>E36-G36</f>
        <v>64</v>
      </c>
      <c r="G36" s="26">
        <v>374</v>
      </c>
      <c r="H36" s="26">
        <v>1.01</v>
      </c>
      <c r="I36" s="26">
        <v>0.77500000000000002</v>
      </c>
      <c r="J36" s="26">
        <v>0.625</v>
      </c>
      <c r="K36" s="26">
        <f>H36*I36*J36</f>
        <v>0.48921875000000004</v>
      </c>
      <c r="L36" s="9">
        <v>56</v>
      </c>
      <c r="M36" s="27">
        <f>L36/D36</f>
        <v>1</v>
      </c>
      <c r="N36" s="27">
        <f>M36*E36</f>
        <v>438</v>
      </c>
      <c r="O36" s="27">
        <f>M36*J36</f>
        <v>0.625</v>
      </c>
      <c r="P36" s="13">
        <v>45991</v>
      </c>
    </row>
    <row r="37" spans="1:16">
      <c r="A37" s="7" t="s">
        <v>31</v>
      </c>
      <c r="B37" s="10" t="s">
        <v>32</v>
      </c>
      <c r="C37" s="16" t="s">
        <v>37</v>
      </c>
      <c r="D37" s="9">
        <v>55</v>
      </c>
      <c r="E37" s="26"/>
      <c r="F37" s="26"/>
      <c r="G37" s="26"/>
      <c r="H37" s="26"/>
      <c r="I37" s="26"/>
      <c r="J37" s="26"/>
      <c r="K37" s="26"/>
      <c r="L37" s="9">
        <v>55</v>
      </c>
      <c r="M37" s="27"/>
      <c r="N37" s="27"/>
      <c r="O37" s="27"/>
      <c r="P37" s="13">
        <v>45991</v>
      </c>
    </row>
    <row r="38" spans="1:16">
      <c r="A38" s="7">
        <v>9495</v>
      </c>
      <c r="B38" s="35" t="s">
        <v>16</v>
      </c>
      <c r="C38" s="70" t="s">
        <v>58</v>
      </c>
      <c r="D38" s="8">
        <v>32</v>
      </c>
      <c r="E38" s="8">
        <v>603</v>
      </c>
      <c r="F38" s="12">
        <f t="shared" ref="F38" si="24">E38-G38</f>
        <v>59</v>
      </c>
      <c r="G38" s="8">
        <v>544</v>
      </c>
      <c r="H38" s="8">
        <v>1.1599999999999999</v>
      </c>
      <c r="I38" s="8">
        <v>0.84</v>
      </c>
      <c r="J38" s="8">
        <v>0.51</v>
      </c>
      <c r="K38" s="8">
        <f>H38*I38*J38</f>
        <v>0.496944</v>
      </c>
      <c r="L38" s="7">
        <v>288</v>
      </c>
      <c r="M38" s="15">
        <f>L38/D38</f>
        <v>9</v>
      </c>
      <c r="N38" s="15">
        <f>M38*E38</f>
        <v>5427</v>
      </c>
      <c r="O38" s="15">
        <f>K38*M38</f>
        <v>4.4724959999999996</v>
      </c>
      <c r="P38" s="21">
        <v>46032</v>
      </c>
    </row>
    <row r="39" spans="1:16">
      <c r="A39" s="7" t="s">
        <v>23</v>
      </c>
      <c r="B39" s="20" t="s">
        <v>16</v>
      </c>
      <c r="C39" s="23" t="s">
        <v>24</v>
      </c>
      <c r="D39" s="19">
        <v>8</v>
      </c>
      <c r="E39" s="10">
        <v>249</v>
      </c>
      <c r="F39" s="10">
        <v>30</v>
      </c>
      <c r="G39" s="10">
        <v>219</v>
      </c>
      <c r="H39" s="10">
        <v>0.91</v>
      </c>
      <c r="I39" s="10">
        <v>0.91</v>
      </c>
      <c r="J39" s="10">
        <v>0.49</v>
      </c>
      <c r="K39" s="8">
        <f>H39*I39*J39</f>
        <v>0.40576900000000005</v>
      </c>
      <c r="L39" s="9">
        <v>40</v>
      </c>
      <c r="M39" s="22">
        <f>L39/D39</f>
        <v>5</v>
      </c>
      <c r="N39" s="22">
        <f>M39*E39</f>
        <v>1245</v>
      </c>
      <c r="O39" s="22">
        <f>M39*K39</f>
        <v>2.0288450000000005</v>
      </c>
      <c r="P39" s="21">
        <v>46052</v>
      </c>
    </row>
    <row r="40" spans="1:16">
      <c r="L40" s="5">
        <f>SUM(L28:L39)</f>
        <v>26085</v>
      </c>
      <c r="M40" s="5">
        <f>SUM(M28:M39)</f>
        <v>71.111111111111114</v>
      </c>
      <c r="N40" s="5">
        <f>SUM(N28:N39)</f>
        <v>24223.333333333332</v>
      </c>
      <c r="O40" s="5">
        <f>SUM(O28:O39)</f>
        <v>45.846998999999997</v>
      </c>
    </row>
  </sheetData>
  <autoFilter ref="B1:P2" xr:uid="{00000000-0001-0000-0000-000000000000}"/>
  <mergeCells count="29">
    <mergeCell ref="J36:J37"/>
    <mergeCell ref="K36:K37"/>
    <mergeCell ref="M36:M37"/>
    <mergeCell ref="N36:N37"/>
    <mergeCell ref="O36:O37"/>
    <mergeCell ref="E36:E37"/>
    <mergeCell ref="F36:F37"/>
    <mergeCell ref="G36:G37"/>
    <mergeCell ref="H36:H37"/>
    <mergeCell ref="I36:I37"/>
    <mergeCell ref="J34:J35"/>
    <mergeCell ref="K34:K35"/>
    <mergeCell ref="M34:M35"/>
    <mergeCell ref="N34:N35"/>
    <mergeCell ref="O34:O35"/>
    <mergeCell ref="E34:E35"/>
    <mergeCell ref="F34:F35"/>
    <mergeCell ref="G34:G35"/>
    <mergeCell ref="H34:H35"/>
    <mergeCell ref="I34:I35"/>
    <mergeCell ref="H12:H16"/>
    <mergeCell ref="J12:J16"/>
    <mergeCell ref="K12:K16"/>
    <mergeCell ref="M12:M16"/>
    <mergeCell ref="N12:N16"/>
    <mergeCell ref="O12:O16"/>
    <mergeCell ref="E12:E16"/>
    <mergeCell ref="F12:F16"/>
    <mergeCell ref="I12:I16"/>
  </mergeCells>
  <pageMargins left="0.23622047244094491" right="0.23622047244094491" top="0.74803149606299213" bottom="0.7480314960629921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2026-01-12T03:18:50Z</cp:lastPrinted>
  <dcterms:created xsi:type="dcterms:W3CDTF">2015-06-05T18:17:20Z</dcterms:created>
  <dcterms:modified xsi:type="dcterms:W3CDTF">2026-01-20T05:13:24Z</dcterms:modified>
</cp:coreProperties>
</file>