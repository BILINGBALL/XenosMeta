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7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<sst xmlns="http://schemas.openxmlformats.org/spreadsheetml/2006/main" count="47" uniqueCount="38">
  <si>
    <t xml:space="preserve"> 包  装  明  细  表  
Delkor                            </t>
  </si>
  <si>
    <t>#6</t>
  </si>
  <si>
    <t>柜号
No</t>
  </si>
  <si>
    <t>产品名称
Name</t>
  </si>
  <si>
    <t>型号及规格
Spec.</t>
  </si>
  <si>
    <t>合同号
PO</t>
  </si>
  <si>
    <t>箱号
Case No.</t>
  </si>
  <si>
    <t>件
Quan.</t>
  </si>
  <si>
    <t>件/袋
pcs
/bag</t>
  </si>
  <si>
    <t>袋
bags</t>
  </si>
  <si>
    <t>袋/箱
bag
/case</t>
  </si>
  <si>
    <t>件/箱
pcs
/case</t>
  </si>
  <si>
    <t>箱
CASW</t>
  </si>
  <si>
    <t>净重/箱
NW/CASE
（KG）</t>
  </si>
  <si>
    <t>毛重/箱
GW/CASE
（KG）</t>
  </si>
  <si>
    <t>体积/箱 m³
M³/CASE</t>
  </si>
  <si>
    <t>总净重
NW
（KG）</t>
  </si>
  <si>
    <t>总毛重
GW
(KG）</t>
  </si>
  <si>
    <t>总体积
M³</t>
  </si>
  <si>
    <t>螺纹道钉
SCREW SPIKE</t>
  </si>
  <si>
    <t>24x165
8.8级</t>
  </si>
  <si>
    <t>1/15-3/15</t>
  </si>
  <si>
    <r>
      <rPr>
        <sz val="8"/>
        <color theme="1"/>
        <rFont val="宋体"/>
        <charset val="134"/>
        <scheme val="minor"/>
      </rPr>
      <t xml:space="preserve">1100*800*550
</t>
    </r>
    <r>
      <rPr>
        <sz val="10"/>
        <color theme="1"/>
        <rFont val="宋体"/>
        <charset val="134"/>
        <scheme val="minor"/>
      </rPr>
      <t>0.48</t>
    </r>
  </si>
  <si>
    <t>24x145</t>
  </si>
  <si>
    <t>4/15-7/15</t>
  </si>
  <si>
    <t>27x165</t>
  </si>
  <si>
    <t>8/15-12/15</t>
  </si>
  <si>
    <t>13/15</t>
  </si>
  <si>
    <t>1100*800*350
0.31</t>
  </si>
  <si>
    <t>26x190</t>
  </si>
  <si>
    <t>14/15</t>
  </si>
  <si>
    <r>
      <t xml:space="preserve">1100*800*350
</t>
    </r>
    <r>
      <rPr>
        <sz val="10"/>
        <color theme="1"/>
        <rFont val="宋体"/>
        <charset val="134"/>
        <scheme val="minor"/>
      </rPr>
      <t>0.31</t>
    </r>
  </si>
  <si>
    <t>24x180</t>
  </si>
  <si>
    <t>15/15</t>
  </si>
  <si>
    <t>合计</t>
  </si>
  <si>
    <t>备注：</t>
  </si>
  <si>
    <t>Delkor</t>
  </si>
  <si>
    <t>苏州苏德兰铁路配件有限公司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</si>
</sst>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F800]dddd\,\ mmmm\ dd\,\ yyyy"/>
    <numFmt numFmtId="177" formatCode="0_);[Red]\(0\)"/>
    <numFmt numFmtId="178" formatCode="0.00_);[Red]\(0.00\)"/>
  </numFmts>
  <fonts count="30">
    <font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0"/>
      <name val="宋体"/>
      <charset val="134"/>
      <scheme val="minor"/>
    </font>
    <font>
      <sz val="8"/>
      <color theme="1"/>
      <name val="宋体"/>
      <charset val="134"/>
      <scheme val="minor"/>
    </font>
    <font>
      <sz val="10"/>
      <color rgb="FFFF0000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176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4" borderId="6" applyNumberFormat="0" applyAlignment="0" applyProtection="0">
      <alignment vertical="center"/>
    </xf>
    <xf numFmtId="0" fontId="20" fillId="5" borderId="7" applyNumberFormat="0" applyAlignment="0" applyProtection="0">
      <alignment vertical="center"/>
    </xf>
    <xf numFmtId="0" fontId="21" fillId="5" borderId="6" applyNumberFormat="0" applyAlignment="0" applyProtection="0">
      <alignment vertical="center"/>
    </xf>
    <xf numFmtId="0" fontId="22" fillId="6" borderId="8" applyNumberFormat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</cellStyleXfs>
  <cellXfs count="22">
    <xf numFmtId="176" fontId="0" fillId="0" borderId="0" xfId="0">
      <alignment vertical="center"/>
    </xf>
    <xf numFmtId="176" fontId="1" fillId="0" borderId="0" xfId="0" applyFont="1" applyAlignment="1">
      <alignment horizontal="center" vertical="center" wrapText="1"/>
    </xf>
    <xf numFmtId="176" fontId="1" fillId="0" borderId="0" xfId="0" applyFont="1" applyAlignment="1">
      <alignment horizontal="center" vertical="center"/>
    </xf>
    <xf numFmtId="176" fontId="2" fillId="0" borderId="0" xfId="0" applyFont="1" applyAlignment="1">
      <alignment horizontal="left" vertical="center"/>
    </xf>
    <xf numFmtId="176" fontId="3" fillId="0" borderId="1" xfId="0" applyFont="1" applyBorder="1" applyAlignment="1">
      <alignment horizontal="center" vertical="center" wrapText="1"/>
    </xf>
    <xf numFmtId="177" fontId="3" fillId="0" borderId="2" xfId="0" applyNumberFormat="1" applyFont="1" applyBorder="1" applyAlignment="1">
      <alignment horizontal="center" vertical="center"/>
    </xf>
    <xf numFmtId="178" fontId="4" fillId="0" borderId="1" xfId="0" applyNumberFormat="1" applyFont="1" applyBorder="1" applyAlignment="1">
      <alignment horizontal="center" vertical="center" wrapText="1"/>
    </xf>
    <xf numFmtId="178" fontId="3" fillId="0" borderId="1" xfId="0" applyNumberFormat="1" applyFont="1" applyBorder="1" applyAlignment="1">
      <alignment horizontal="center" vertical="center" wrapText="1"/>
    </xf>
    <xf numFmtId="177" fontId="3" fillId="0" borderId="1" xfId="0" applyNumberFormat="1" applyFont="1" applyBorder="1" applyAlignment="1">
      <alignment horizontal="center" vertical="center" wrapText="1"/>
    </xf>
    <xf numFmtId="178" fontId="3" fillId="0" borderId="2" xfId="0" applyNumberFormat="1" applyFont="1" applyBorder="1" applyAlignment="1">
      <alignment horizontal="center" vertical="center"/>
    </xf>
    <xf numFmtId="177" fontId="5" fillId="0" borderId="2" xfId="0" applyNumberFormat="1" applyFont="1" applyBorder="1" applyAlignment="1">
      <alignment horizontal="center" vertical="center"/>
    </xf>
    <xf numFmtId="178" fontId="6" fillId="0" borderId="2" xfId="0" applyNumberFormat="1" applyFont="1" applyBorder="1" applyAlignment="1">
      <alignment horizontal="center" vertical="center" wrapText="1"/>
    </xf>
    <xf numFmtId="178" fontId="4" fillId="0" borderId="2" xfId="0" applyNumberFormat="1" applyFont="1" applyBorder="1" applyAlignment="1">
      <alignment horizontal="center" vertical="center" wrapText="1"/>
    </xf>
    <xf numFmtId="178" fontId="3" fillId="0" borderId="2" xfId="0" applyNumberFormat="1" applyFont="1" applyBorder="1" applyAlignment="1">
      <alignment horizontal="center" vertical="center" wrapText="1"/>
    </xf>
    <xf numFmtId="178" fontId="3" fillId="0" borderId="0" xfId="0" applyNumberFormat="1" applyFont="1">
      <alignment vertical="center"/>
    </xf>
    <xf numFmtId="178" fontId="6" fillId="2" borderId="2" xfId="0" applyNumberFormat="1" applyFont="1" applyFill="1" applyBorder="1" applyAlignment="1">
      <alignment horizontal="center" vertical="center" wrapText="1"/>
    </xf>
    <xf numFmtId="177" fontId="7" fillId="0" borderId="2" xfId="0" applyNumberFormat="1" applyFont="1" applyBorder="1" applyAlignment="1">
      <alignment horizontal="center" vertical="center"/>
    </xf>
    <xf numFmtId="176" fontId="3" fillId="0" borderId="0" xfId="0" applyFont="1" applyAlignment="1">
      <alignment horizontal="center" vertical="center"/>
    </xf>
    <xf numFmtId="176" fontId="8" fillId="0" borderId="0" xfId="0" applyFont="1" applyAlignment="1">
      <alignment horizontal="center" vertical="center"/>
    </xf>
    <xf numFmtId="176" fontId="9" fillId="0" borderId="0" xfId="0" applyFont="1" applyAlignment="1">
      <alignment horizontal="center" vertical="center"/>
    </xf>
    <xf numFmtId="176" fontId="10" fillId="0" borderId="0" xfId="0" applyFont="1" applyAlignment="1">
      <alignment horizontal="right" vertical="center"/>
    </xf>
    <xf numFmtId="176" fontId="0" fillId="0" borderId="0" xfId="0" applyAlignment="1">
      <alignment horizontal="center" vertical="center"/>
    </xf>
    <xf numFmtId="178" fontId="3" fillId="0" borderId="2" xfId="0" applyNumberFormat="1" applyFont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S21"/>
  <sheetViews>
    <sheetView tabSelected="1" topLeftCell="A3" workbookViewId="0">
      <selection activeCell="T7" sqref="T7"/>
    </sheetView>
  </sheetViews>
  <sheetFormatPr defaultColWidth="9" defaultRowHeight="13.5"/>
  <cols>
    <col min="1" max="1" width="4.625" customWidth="1"/>
    <col min="2" max="2" width="10.25" customWidth="1"/>
    <col min="3" max="3" width="9.5" customWidth="1"/>
    <col min="4" max="4" width="9.625" customWidth="1"/>
    <col min="5" max="5" width="12.75" customWidth="1"/>
    <col min="6" max="6" width="8.625" customWidth="1"/>
    <col min="7" max="7" width="5.75" customWidth="1"/>
    <col min="8" max="8" width="5.625" customWidth="1"/>
    <col min="9" max="9" width="7.875" customWidth="1"/>
    <col min="10" max="10" width="6.25" customWidth="1"/>
    <col min="11" max="11" width="5.5" customWidth="1"/>
    <col min="12" max="12" width="8.125" customWidth="1"/>
    <col min="13" max="13" width="8.5" customWidth="1"/>
    <col min="14" max="14" width="10.25" customWidth="1"/>
    <col min="15" max="16" width="9.375" customWidth="1"/>
    <col min="17" max="17" width="9.125" customWidth="1"/>
  </cols>
  <sheetData>
    <row r="1" ht="66.75" customHeight="1" spans="1:19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ht="30.75" customHeight="1" spans="1:19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ht="39.75" customHeight="1" spans="1:19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</row>
    <row r="4" ht="51.75" customHeight="1" spans="1:19">
      <c r="A4" s="5">
        <v>1</v>
      </c>
      <c r="B4" s="6" t="s">
        <v>19</v>
      </c>
      <c r="C4" s="7" t="s">
        <v>20</v>
      </c>
      <c r="D4" s="8">
        <v>9430</v>
      </c>
      <c r="E4" s="9" t="s">
        <v>21</v>
      </c>
      <c r="F4" s="10">
        <f t="shared" ref="F4" si="0">G4*H4</f>
        <v>3000</v>
      </c>
      <c r="G4" s="5">
        <v>25</v>
      </c>
      <c r="H4" s="5">
        <f t="shared" ref="H4" si="1">I4*K4</f>
        <v>120</v>
      </c>
      <c r="I4" s="5">
        <v>40</v>
      </c>
      <c r="J4" s="5">
        <f t="shared" ref="J4" si="2">G4*I4</f>
        <v>1000</v>
      </c>
      <c r="K4" s="5">
        <v>3</v>
      </c>
      <c r="L4" s="5">
        <v>600</v>
      </c>
      <c r="M4" s="5">
        <v>632</v>
      </c>
      <c r="N4" s="11" t="s">
        <v>22</v>
      </c>
      <c r="O4" s="5">
        <f t="shared" ref="O4" si="3">L4*K4</f>
        <v>1800</v>
      </c>
      <c r="P4" s="5">
        <f t="shared" ref="P4" si="4">M4*K4</f>
        <v>1896</v>
      </c>
      <c r="Q4" s="9">
        <f t="shared" ref="Q4" si="5">0.48*K4</f>
        <v>1.44</v>
      </c>
    </row>
    <row r="5" ht="51.75" customHeight="1" spans="1:19">
      <c r="A5" s="5">
        <v>2</v>
      </c>
      <c r="B5" s="12" t="s">
        <v>19</v>
      </c>
      <c r="C5" s="13" t="s">
        <v>23</v>
      </c>
      <c r="D5" s="8">
        <v>9431</v>
      </c>
      <c r="E5" s="9" t="s">
        <v>24</v>
      </c>
      <c r="F5" s="10">
        <f t="shared" ref="F5" si="6">G5*H5</f>
        <v>4000</v>
      </c>
      <c r="G5" s="5">
        <v>25</v>
      </c>
      <c r="H5" s="5">
        <f t="shared" ref="H5" si="7">I5*K5</f>
        <v>160</v>
      </c>
      <c r="I5" s="5">
        <v>40</v>
      </c>
      <c r="J5" s="5">
        <f t="shared" ref="J5" si="8">G5*I5</f>
        <v>1000</v>
      </c>
      <c r="K5" s="5">
        <v>4</v>
      </c>
      <c r="L5" s="5">
        <v>730</v>
      </c>
      <c r="M5" s="5">
        <f t="shared" ref="M5" si="9">L5+42</f>
        <v>772</v>
      </c>
      <c r="N5" s="11" t="s">
        <v>22</v>
      </c>
      <c r="O5" s="5">
        <f t="shared" ref="O5" si="10">L5*K5</f>
        <v>2920</v>
      </c>
      <c r="P5" s="5">
        <f t="shared" ref="P5" si="11">M5*K5</f>
        <v>3088</v>
      </c>
      <c r="Q5" s="9">
        <f t="shared" ref="Q5" si="12">0.48*K5</f>
        <v>1.92</v>
      </c>
      <c r="R5" s="14"/>
      <c r="S5" s="14"/>
    </row>
    <row r="6" ht="51.75" customHeight="1" spans="1:19">
      <c r="A6" s="5">
        <v>3</v>
      </c>
      <c r="B6" s="12" t="s">
        <v>19</v>
      </c>
      <c r="C6" s="13" t="s">
        <v>25</v>
      </c>
      <c r="D6" s="8">
        <v>9460</v>
      </c>
      <c r="E6" s="9" t="s">
        <v>26</v>
      </c>
      <c r="F6" s="10">
        <f t="shared" ref="F6" si="13">G6*H6</f>
        <v>3500</v>
      </c>
      <c r="G6" s="5">
        <v>20</v>
      </c>
      <c r="H6" s="5">
        <f t="shared" ref="H6" si="14">I6*K6</f>
        <v>175</v>
      </c>
      <c r="I6" s="5">
        <v>35</v>
      </c>
      <c r="J6" s="5">
        <f t="shared" ref="J6" si="15">G6*I6</f>
        <v>700</v>
      </c>
      <c r="K6" s="5">
        <v>5</v>
      </c>
      <c r="L6" s="5">
        <v>636</v>
      </c>
      <c r="M6" s="5">
        <f t="shared" ref="M6" si="16">L6+42</f>
        <v>678</v>
      </c>
      <c r="N6" s="11" t="s">
        <v>22</v>
      </c>
      <c r="O6" s="5">
        <f t="shared" ref="O6" si="17">L6*K6</f>
        <v>3180</v>
      </c>
      <c r="P6" s="5">
        <f t="shared" ref="P6" si="18">M6*K6</f>
        <v>3390</v>
      </c>
      <c r="Q6" s="9">
        <f t="shared" ref="Q6" si="19">0.48*K6</f>
        <v>2.4</v>
      </c>
      <c r="R6" s="14"/>
      <c r="S6" s="14"/>
    </row>
    <row r="7" ht="51.75" customHeight="1" spans="1:19">
      <c r="A7" s="5">
        <v>4</v>
      </c>
      <c r="B7" s="12" t="s">
        <v>19</v>
      </c>
      <c r="C7" s="13" t="s">
        <v>25</v>
      </c>
      <c r="D7" s="8">
        <v>9460</v>
      </c>
      <c r="E7" s="22" t="s">
        <v>27</v>
      </c>
      <c r="F7" s="10">
        <f t="shared" ref="F7:F8" si="20">G7*H7</f>
        <v>100</v>
      </c>
      <c r="G7" s="5">
        <v>20</v>
      </c>
      <c r="H7" s="5">
        <f t="shared" ref="H7:H8" si="21">I7*K7</f>
        <v>5</v>
      </c>
      <c r="I7" s="5">
        <v>5</v>
      </c>
      <c r="J7" s="5">
        <f t="shared" ref="J7:J9" si="22">G7*I7</f>
        <v>100</v>
      </c>
      <c r="K7" s="5">
        <v>1</v>
      </c>
      <c r="L7" s="5">
        <v>91</v>
      </c>
      <c r="M7" s="5">
        <f>L7+30</f>
        <v>121</v>
      </c>
      <c r="N7" s="15" t="s">
        <v>28</v>
      </c>
      <c r="O7" s="5">
        <f t="shared" ref="O7:O9" si="23">L7*K7</f>
        <v>91</v>
      </c>
      <c r="P7" s="5">
        <f t="shared" ref="P7:P9" si="24">M7*K7</f>
        <v>121</v>
      </c>
      <c r="Q7" s="9">
        <f>0.31*K7</f>
        <v>0.31</v>
      </c>
    </row>
    <row r="8" ht="51.75" customHeight="1" spans="1:19">
      <c r="A8" s="5">
        <v>5</v>
      </c>
      <c r="B8" s="12" t="s">
        <v>19</v>
      </c>
      <c r="C8" s="13" t="s">
        <v>29</v>
      </c>
      <c r="D8" s="8">
        <v>9524</v>
      </c>
      <c r="E8" s="22" t="s">
        <v>30</v>
      </c>
      <c r="F8" s="10">
        <f t="shared" si="20"/>
        <v>400</v>
      </c>
      <c r="G8" s="5">
        <v>25</v>
      </c>
      <c r="H8" s="5">
        <f t="shared" si="21"/>
        <v>16</v>
      </c>
      <c r="I8" s="5">
        <v>16</v>
      </c>
      <c r="J8" s="5">
        <f t="shared" si="22"/>
        <v>400</v>
      </c>
      <c r="K8" s="5">
        <v>1</v>
      </c>
      <c r="L8" s="5">
        <v>276</v>
      </c>
      <c r="M8" s="5">
        <f>L8+30</f>
        <v>306</v>
      </c>
      <c r="N8" s="15" t="s">
        <v>31</v>
      </c>
      <c r="O8" s="5">
        <f t="shared" si="23"/>
        <v>276</v>
      </c>
      <c r="P8" s="5">
        <f t="shared" si="24"/>
        <v>306</v>
      </c>
      <c r="Q8" s="9">
        <f>0.31*K8</f>
        <v>0.31</v>
      </c>
      <c r="R8" s="14"/>
      <c r="S8" s="14"/>
    </row>
    <row r="9" ht="51.75" customHeight="1" spans="1:19">
      <c r="A9" s="5">
        <v>6</v>
      </c>
      <c r="B9" s="12" t="s">
        <v>19</v>
      </c>
      <c r="C9" s="13" t="s">
        <v>32</v>
      </c>
      <c r="D9" s="8">
        <v>9502</v>
      </c>
      <c r="E9" s="22" t="s">
        <v>33</v>
      </c>
      <c r="F9" s="10">
        <f t="shared" ref="F9" si="25">G9*H9</f>
        <v>800</v>
      </c>
      <c r="G9" s="10">
        <v>25</v>
      </c>
      <c r="H9" s="5">
        <f t="shared" ref="H9" si="26">I9*K9</f>
        <v>32</v>
      </c>
      <c r="I9" s="10">
        <v>32</v>
      </c>
      <c r="J9" s="10">
        <f t="shared" si="22"/>
        <v>800</v>
      </c>
      <c r="K9" s="10">
        <v>1</v>
      </c>
      <c r="L9" s="10">
        <v>645</v>
      </c>
      <c r="M9" s="16">
        <f>L9+42</f>
        <v>687</v>
      </c>
      <c r="N9" s="11" t="s">
        <v>22</v>
      </c>
      <c r="O9" s="5">
        <f t="shared" si="23"/>
        <v>645</v>
      </c>
      <c r="P9" s="5">
        <f t="shared" si="24"/>
        <v>687</v>
      </c>
      <c r="Q9" s="9">
        <f>0.48*K9</f>
        <v>0.48</v>
      </c>
      <c r="R9" s="14"/>
      <c r="S9" s="14"/>
    </row>
    <row r="10" ht="35.25" customHeight="1" spans="1:19">
      <c r="A10" s="9" t="s">
        <v>34</v>
      </c>
      <c r="B10" s="9"/>
      <c r="C10" s="9"/>
      <c r="D10" s="5"/>
      <c r="E10" s="9"/>
      <c r="F10" s="5">
        <f>SUM(F4:F9)</f>
        <v>11800</v>
      </c>
      <c r="G10" s="5"/>
      <c r="H10" s="5">
        <f>SUM(H4:H9)</f>
        <v>508</v>
      </c>
      <c r="I10" s="5"/>
      <c r="J10" s="5"/>
      <c r="K10" s="5">
        <f>SUM(K4:K9)</f>
        <v>15</v>
      </c>
      <c r="L10" s="5"/>
      <c r="M10" s="5"/>
      <c r="N10" s="9"/>
      <c r="O10" s="5">
        <f>SUM(O4:O9)</f>
        <v>8912</v>
      </c>
      <c r="P10" s="5">
        <f>SUM(P4:P9)</f>
        <v>9488</v>
      </c>
      <c r="Q10" s="9">
        <f>SUM(Q4:Q9)</f>
        <v>6.86</v>
      </c>
      <c r="R10" s="14"/>
    </row>
    <row r="11" ht="21" customHeight="1" spans="1:19">
      <c r="A11" s="17"/>
      <c r="B11" s="17"/>
      <c r="C11" s="17"/>
      <c r="E11" s="18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</row>
    <row r="12" ht="21" customHeight="1" spans="1:19">
      <c r="A12" s="17"/>
      <c r="B12" s="19" t="s">
        <v>35</v>
      </c>
      <c r="C12" s="17" t="s">
        <v>36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</row>
    <row r="13" ht="18.75" spans="1:19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20" t="s">
        <v>37</v>
      </c>
      <c r="O13" s="20"/>
      <c r="P13" s="20"/>
      <c r="Q13" s="20"/>
    </row>
    <row r="14" ht="18.75" spans="1:19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20">
        <v>46112</v>
      </c>
      <c r="O14" s="20"/>
      <c r="P14" s="20"/>
      <c r="Q14" s="20"/>
    </row>
    <row r="15" spans="1:19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</row>
    <row r="16" spans="1:19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</row>
    <row r="17" spans="1:17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</row>
    <row r="18" spans="1:17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</row>
    <row r="19" spans="1:17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</row>
    <row r="20" spans="1:17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</row>
    <row r="21" spans="1:17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</row>
  </sheetData>
  <mergeCells count="4">
    <mergeCell ref="A1:Q1"/>
    <mergeCell ref="A10:C10"/>
    <mergeCell ref="N13:Q13"/>
    <mergeCell ref="N14:Q14"/>
  </mergeCells>
  <pageMargins left="0" right="0" top="0" bottom="0" header="0.31496062992126" footer="0.31496062992126"/>
  <pageSetup paperSize="9" orientation="landscape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j</cp:lastModifiedBy>
  <dcterms:created xsi:type="dcterms:W3CDTF">2006-09-13T11:21:00Z</dcterms:created>
  <cp:lastPrinted>2025-01-13T08:08:00Z</cp:lastPrinted>
  <dcterms:modified xsi:type="dcterms:W3CDTF">2026-04-01T06:02:16Z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F7F178623D784356B7B93CB6124DFB16_13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