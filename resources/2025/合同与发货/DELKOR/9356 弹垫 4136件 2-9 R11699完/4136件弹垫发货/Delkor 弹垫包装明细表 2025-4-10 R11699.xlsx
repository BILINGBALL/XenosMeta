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4136件弹垫发货\"/>
    </mc:Choice>
  </mc:AlternateContent>
  <xr:revisionPtr revIDLastSave="0" documentId="13_ncr:1_{1BB859FD-3FD9-4A76-AF55-761C8F9D7A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H14" i="1"/>
  <c r="K14" i="1"/>
  <c r="O14" i="1"/>
  <c r="P14" i="1"/>
  <c r="Q14" i="1"/>
  <c r="Q10" i="1"/>
  <c r="O10" i="1"/>
  <c r="Q8" i="1"/>
  <c r="O8" i="1"/>
  <c r="Q12" i="1"/>
  <c r="P12" i="1"/>
  <c r="O12" i="1"/>
  <c r="Q6" i="1"/>
  <c r="P6" i="1"/>
  <c r="O6" i="1"/>
  <c r="Q4" i="1"/>
  <c r="M12" i="1"/>
  <c r="J11" i="1"/>
  <c r="M10" i="1"/>
  <c r="P10" i="1" s="1"/>
  <c r="J10" i="1"/>
  <c r="J9" i="1"/>
  <c r="M8" i="1"/>
  <c r="P8" i="1" s="1"/>
  <c r="J8" i="1"/>
  <c r="M6" i="1"/>
  <c r="J6" i="1"/>
  <c r="M4" i="1"/>
  <c r="J7" i="1"/>
  <c r="J13" i="1"/>
  <c r="J12" i="1"/>
  <c r="J5" i="1" l="1"/>
  <c r="O4" i="1"/>
  <c r="P4" i="1"/>
  <c r="J4" i="1"/>
</calcChain>
</file>

<file path=xl/sharedStrings.xml><?xml version="1.0" encoding="utf-8"?>
<sst xmlns="http://schemas.openxmlformats.org/spreadsheetml/2006/main" count="34" uniqueCount="26">
  <si>
    <t xml:space="preserve"> 包  装  明  细  表  
Delkor                             </t>
  </si>
  <si>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</si>
  <si>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</si>
  <si>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</si>
  <si>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</si>
  <si>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</si>
  <si>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</si>
  <si>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</si>
  <si>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</si>
  <si>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</si>
  <si>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</si>
  <si>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</si>
  <si>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</si>
  <si>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</si>
  <si>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</si>
  <si>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</si>
  <si>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</si>
  <si>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</si>
  <si>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弹垫
Spring Washer</t>
  </si>
  <si>
    <t>合计</t>
  </si>
  <si>
    <t>备注：</t>
  </si>
  <si>
    <t>Delkor</t>
  </si>
  <si>
    <t>苏州苏德兰铁路配件有限公司</t>
  </si>
  <si>
    <r>
      <t xml:space="preserve">1100*800*350
</t>
    </r>
    <r>
      <rPr>
        <sz val="10"/>
        <color theme="1"/>
        <rFont val="宋体"/>
        <family val="3"/>
        <charset val="134"/>
        <scheme val="minor"/>
      </rPr>
      <t>0.31</t>
    </r>
    <phoneticPr fontId="9" type="noConversion"/>
  </si>
  <si>
    <t>一份报关资料</t>
    <phoneticPr fontId="9" type="noConversion"/>
  </si>
  <si>
    <t>R11699 Rev5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</si>
</sst>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2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C3C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7">
    <xf numFmtId="176" fontId="0" fillId="0" borderId="0" xfId="0">
      <alignment vertical="center"/>
    </xf>
    <xf numFmtId="176" fontId="1" fillId="0" borderId="0" xfId="0" applyFont="1" applyAlignment="1">
      <alignment horizontal="center" vertical="center"/>
    </xf>
    <xf numFmtId="176" fontId="2" fillId="0" borderId="0" xfId="0" applyFont="1" applyAlignment="1">
      <alignment horizontal="left" vertical="center"/>
    </xf>
    <xf numFmtId="176" fontId="3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6" fontId="8" fillId="0" borderId="0" xfId="0" applyFont="1" applyAlignment="1">
      <alignment horizontal="right" vertical="center"/>
    </xf>
    <xf numFmtId="177" fontId="3" fillId="0" borderId="2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178" fontId="3" fillId="4" borderId="2" xfId="0" applyNumberFormat="1" applyFont="1" applyFill="1" applyBorder="1" applyAlignment="1">
      <alignment horizontal="center" vertical="center"/>
    </xf>
    <xf numFmtId="178" fontId="3" fillId="4" borderId="4" xfId="0" applyNumberFormat="1" applyFont="1" applyFill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 wrapText="1"/>
    </xf>
    <xf numFmtId="178" fontId="7" fillId="0" borderId="4" xfId="0" applyNumberFormat="1" applyFont="1" applyBorder="1" applyAlignment="1">
      <alignment horizontal="center" vertical="center" wrapText="1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5" borderId="2" xfId="0" applyNumberFormat="1" applyFont="1" applyFill="1" applyBorder="1" applyAlignment="1">
      <alignment horizontal="center" vertical="center"/>
    </xf>
    <xf numFmtId="178" fontId="3" fillId="5" borderId="4" xfId="0" applyNumberFormat="1" applyFont="1" applyFill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3" fillId="2" borderId="4" xfId="0" applyNumberFormat="1" applyFont="1" applyFill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76" fontId="11" fillId="0" borderId="2" xfId="0" applyFont="1" applyBorder="1" applyAlignment="1">
      <alignment horizontal="center" vertical="center"/>
    </xf>
    <xf numFmtId="176" fontId="11" fillId="0" borderId="3" xfId="0" applyFont="1" applyBorder="1" applyAlignment="1">
      <alignment horizontal="center" vertical="center"/>
    </xf>
    <xf numFmtId="176" fontId="1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E9C3C1"/>
      <color rgb="FFE33D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"/>
  <sheetViews>
    <sheetView tabSelected="1" topLeftCell="A4" workbookViewId="0">
      <selection activeCell="Q14" sqref="Q14"/>
    </sheetView>
  </sheetViews>
  <sheetFormatPr defaultColWidth="9" defaultRowHeight="13.5" x14ac:dyDescent="0.15"/>
  <cols>
    <col min="1" max="1" width="4.625" customWidth="1"/>
    <col min="2" max="2" width="8.25" customWidth="1"/>
    <col min="3" max="3" width="9.5" customWidth="1"/>
    <col min="4" max="4" width="9.625" customWidth="1"/>
    <col min="5" max="5" width="12.75" customWidth="1"/>
    <col min="6" max="6" width="6.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  <col min="18" max="18" width="13.875" customWidth="1"/>
  </cols>
  <sheetData>
    <row r="1" spans="1:18" ht="79.5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8" ht="25.5" customHeight="1" x14ac:dyDescent="0.15">
      <c r="A2" s="2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39.75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</row>
    <row r="4" spans="1:18" ht="23.25" customHeight="1" x14ac:dyDescent="0.15">
      <c r="A4" s="10">
        <v>1</v>
      </c>
      <c r="B4" s="12" t="s">
        <v>18</v>
      </c>
      <c r="C4" s="14">
        <v>25</v>
      </c>
      <c r="D4" s="14">
        <v>9356</v>
      </c>
      <c r="E4" s="26"/>
      <c r="F4" s="18">
        <v>884</v>
      </c>
      <c r="G4" s="5">
        <v>200</v>
      </c>
      <c r="H4" s="5">
        <v>4</v>
      </c>
      <c r="I4" s="5">
        <v>4</v>
      </c>
      <c r="J4" s="5">
        <f t="shared" ref="J4:J13" si="0">G4*I4</f>
        <v>800</v>
      </c>
      <c r="K4" s="10">
        <v>1</v>
      </c>
      <c r="L4" s="10">
        <v>82</v>
      </c>
      <c r="M4" s="10">
        <f>L4+30</f>
        <v>112</v>
      </c>
      <c r="N4" s="21" t="s">
        <v>23</v>
      </c>
      <c r="O4" s="10">
        <f>L4*K4</f>
        <v>82</v>
      </c>
      <c r="P4" s="10">
        <f>M4*K4</f>
        <v>112</v>
      </c>
      <c r="Q4" s="28">
        <f>0.31*K4</f>
        <v>0.31</v>
      </c>
      <c r="R4" s="34" t="s">
        <v>24</v>
      </c>
    </row>
    <row r="5" spans="1:18" ht="23.25" customHeight="1" x14ac:dyDescent="0.15">
      <c r="A5" s="11"/>
      <c r="B5" s="13"/>
      <c r="C5" s="15"/>
      <c r="D5" s="15"/>
      <c r="E5" s="27"/>
      <c r="F5" s="19"/>
      <c r="G5" s="5">
        <v>84</v>
      </c>
      <c r="H5" s="5">
        <v>1</v>
      </c>
      <c r="I5" s="5">
        <v>1</v>
      </c>
      <c r="J5" s="5">
        <f t="shared" si="0"/>
        <v>84</v>
      </c>
      <c r="K5" s="20"/>
      <c r="L5" s="20"/>
      <c r="M5" s="20"/>
      <c r="N5" s="22"/>
      <c r="O5" s="20"/>
      <c r="P5" s="20"/>
      <c r="Q5" s="29"/>
      <c r="R5" s="35"/>
    </row>
    <row r="6" spans="1:18" ht="23.25" customHeight="1" x14ac:dyDescent="0.15">
      <c r="A6" s="10">
        <v>2</v>
      </c>
      <c r="B6" s="12" t="s">
        <v>18</v>
      </c>
      <c r="C6" s="14">
        <v>25</v>
      </c>
      <c r="D6" s="14">
        <v>9356</v>
      </c>
      <c r="E6" s="30"/>
      <c r="F6" s="18">
        <v>856</v>
      </c>
      <c r="G6" s="5">
        <v>200</v>
      </c>
      <c r="H6" s="5">
        <v>4</v>
      </c>
      <c r="I6" s="5">
        <v>4</v>
      </c>
      <c r="J6" s="5">
        <f t="shared" si="0"/>
        <v>800</v>
      </c>
      <c r="K6" s="10">
        <v>1</v>
      </c>
      <c r="L6" s="10">
        <v>77</v>
      </c>
      <c r="M6" s="10">
        <f>L6+30</f>
        <v>107</v>
      </c>
      <c r="N6" s="21" t="s">
        <v>23</v>
      </c>
      <c r="O6" s="10">
        <f>L6*K6</f>
        <v>77</v>
      </c>
      <c r="P6" s="10">
        <f>M6*K6</f>
        <v>107</v>
      </c>
      <c r="Q6" s="28">
        <f>0.31*K6</f>
        <v>0.31</v>
      </c>
      <c r="R6" s="35"/>
    </row>
    <row r="7" spans="1:18" ht="23.25" customHeight="1" x14ac:dyDescent="0.15">
      <c r="A7" s="11"/>
      <c r="B7" s="13"/>
      <c r="C7" s="15"/>
      <c r="D7" s="15"/>
      <c r="E7" s="31"/>
      <c r="F7" s="19"/>
      <c r="G7" s="5">
        <v>56</v>
      </c>
      <c r="H7" s="5">
        <v>1</v>
      </c>
      <c r="I7" s="5">
        <v>1</v>
      </c>
      <c r="J7" s="5">
        <f t="shared" si="0"/>
        <v>56</v>
      </c>
      <c r="K7" s="20"/>
      <c r="L7" s="20"/>
      <c r="M7" s="20"/>
      <c r="N7" s="22"/>
      <c r="O7" s="20"/>
      <c r="P7" s="20"/>
      <c r="Q7" s="29"/>
      <c r="R7" s="35"/>
    </row>
    <row r="8" spans="1:18" ht="23.25" customHeight="1" x14ac:dyDescent="0.15">
      <c r="A8" s="10">
        <v>3</v>
      </c>
      <c r="B8" s="12" t="s">
        <v>18</v>
      </c>
      <c r="C8" s="14">
        <v>25</v>
      </c>
      <c r="D8" s="14">
        <v>9356</v>
      </c>
      <c r="E8" s="32"/>
      <c r="F8" s="18">
        <v>856</v>
      </c>
      <c r="G8" s="5">
        <v>200</v>
      </c>
      <c r="H8" s="5">
        <v>4</v>
      </c>
      <c r="I8" s="5">
        <v>4</v>
      </c>
      <c r="J8" s="5">
        <f>G8*I8</f>
        <v>800</v>
      </c>
      <c r="K8" s="10">
        <v>1</v>
      </c>
      <c r="L8" s="10">
        <v>77</v>
      </c>
      <c r="M8" s="10">
        <f>L8+30</f>
        <v>107</v>
      </c>
      <c r="N8" s="21" t="s">
        <v>23</v>
      </c>
      <c r="O8" s="10">
        <f>L8*K8</f>
        <v>77</v>
      </c>
      <c r="P8" s="10">
        <f>M8*K8</f>
        <v>107</v>
      </c>
      <c r="Q8" s="28">
        <f>0.31*K8</f>
        <v>0.31</v>
      </c>
      <c r="R8" s="35"/>
    </row>
    <row r="9" spans="1:18" ht="23.25" customHeight="1" x14ac:dyDescent="0.15">
      <c r="A9" s="11"/>
      <c r="B9" s="13"/>
      <c r="C9" s="15"/>
      <c r="D9" s="15"/>
      <c r="E9" s="33"/>
      <c r="F9" s="19"/>
      <c r="G9" s="5">
        <v>56</v>
      </c>
      <c r="H9" s="5">
        <v>1</v>
      </c>
      <c r="I9" s="5">
        <v>1</v>
      </c>
      <c r="J9" s="5">
        <f>G9*I9</f>
        <v>56</v>
      </c>
      <c r="K9" s="20"/>
      <c r="L9" s="20"/>
      <c r="M9" s="20"/>
      <c r="N9" s="22"/>
      <c r="O9" s="20"/>
      <c r="P9" s="20"/>
      <c r="Q9" s="29"/>
      <c r="R9" s="35"/>
    </row>
    <row r="10" spans="1:18" ht="23.25" customHeight="1" x14ac:dyDescent="0.15">
      <c r="A10" s="10">
        <v>4</v>
      </c>
      <c r="B10" s="12" t="s">
        <v>18</v>
      </c>
      <c r="C10" s="14">
        <v>25</v>
      </c>
      <c r="D10" s="14">
        <v>9356</v>
      </c>
      <c r="E10" s="16"/>
      <c r="F10" s="18">
        <v>856</v>
      </c>
      <c r="G10" s="5">
        <v>200</v>
      </c>
      <c r="H10" s="5">
        <v>4</v>
      </c>
      <c r="I10" s="5">
        <v>4</v>
      </c>
      <c r="J10" s="5">
        <f>G10*I10</f>
        <v>800</v>
      </c>
      <c r="K10" s="10">
        <v>1</v>
      </c>
      <c r="L10" s="10">
        <v>77</v>
      </c>
      <c r="M10" s="10">
        <f>L10+30</f>
        <v>107</v>
      </c>
      <c r="N10" s="21" t="s">
        <v>23</v>
      </c>
      <c r="O10" s="10">
        <f>L10*K10</f>
        <v>77</v>
      </c>
      <c r="P10" s="10">
        <f>M10*K10</f>
        <v>107</v>
      </c>
      <c r="Q10" s="28">
        <f>0.31*K10</f>
        <v>0.31</v>
      </c>
      <c r="R10" s="35"/>
    </row>
    <row r="11" spans="1:18" ht="23.25" customHeight="1" x14ac:dyDescent="0.15">
      <c r="A11" s="11"/>
      <c r="B11" s="13"/>
      <c r="C11" s="15"/>
      <c r="D11" s="15"/>
      <c r="E11" s="17"/>
      <c r="F11" s="19"/>
      <c r="G11" s="5">
        <v>56</v>
      </c>
      <c r="H11" s="5">
        <v>1</v>
      </c>
      <c r="I11" s="5">
        <v>1</v>
      </c>
      <c r="J11" s="5">
        <f>G11*I11</f>
        <v>56</v>
      </c>
      <c r="K11" s="20"/>
      <c r="L11" s="20"/>
      <c r="M11" s="20"/>
      <c r="N11" s="22"/>
      <c r="O11" s="20"/>
      <c r="P11" s="20"/>
      <c r="Q11" s="29"/>
      <c r="R11" s="35"/>
    </row>
    <row r="12" spans="1:18" ht="23.25" customHeight="1" x14ac:dyDescent="0.15">
      <c r="A12" s="10">
        <v>5</v>
      </c>
      <c r="B12" s="12" t="s">
        <v>18</v>
      </c>
      <c r="C12" s="14">
        <v>25</v>
      </c>
      <c r="D12" s="14">
        <v>9356</v>
      </c>
      <c r="E12" s="28"/>
      <c r="F12" s="18">
        <v>684</v>
      </c>
      <c r="G12" s="5">
        <v>200</v>
      </c>
      <c r="H12" s="5">
        <v>3</v>
      </c>
      <c r="I12" s="5">
        <v>3</v>
      </c>
      <c r="J12" s="5">
        <f t="shared" si="0"/>
        <v>600</v>
      </c>
      <c r="K12" s="10">
        <v>1</v>
      </c>
      <c r="L12" s="10">
        <v>62</v>
      </c>
      <c r="M12" s="10">
        <f>L12+30</f>
        <v>92</v>
      </c>
      <c r="N12" s="21" t="s">
        <v>23</v>
      </c>
      <c r="O12" s="10">
        <f>L12*K12</f>
        <v>62</v>
      </c>
      <c r="P12" s="10">
        <f>M12*K12</f>
        <v>92</v>
      </c>
      <c r="Q12" s="28">
        <f>0.31*K12</f>
        <v>0.31</v>
      </c>
      <c r="R12" s="35"/>
    </row>
    <row r="13" spans="1:18" ht="23.25" customHeight="1" x14ac:dyDescent="0.15">
      <c r="A13" s="11"/>
      <c r="B13" s="13"/>
      <c r="C13" s="15"/>
      <c r="D13" s="15"/>
      <c r="E13" s="29"/>
      <c r="F13" s="19"/>
      <c r="G13" s="5">
        <v>84</v>
      </c>
      <c r="H13" s="5">
        <v>1</v>
      </c>
      <c r="I13" s="5">
        <v>1</v>
      </c>
      <c r="J13" s="5">
        <f t="shared" si="0"/>
        <v>84</v>
      </c>
      <c r="K13" s="20"/>
      <c r="L13" s="20"/>
      <c r="M13" s="20"/>
      <c r="N13" s="22"/>
      <c r="O13" s="20"/>
      <c r="P13" s="20"/>
      <c r="Q13" s="29"/>
      <c r="R13" s="36"/>
    </row>
    <row r="14" spans="1:18" ht="35.25" customHeight="1" x14ac:dyDescent="0.15">
      <c r="A14" s="25" t="s">
        <v>19</v>
      </c>
      <c r="B14" s="25"/>
      <c r="C14" s="25"/>
      <c r="D14" s="5"/>
      <c r="E14" s="4"/>
      <c r="F14" s="5">
        <f>SUM(F4:F13)</f>
        <v>4136</v>
      </c>
      <c r="G14" s="5"/>
      <c r="H14" s="5">
        <f>SUM(H4:H13)</f>
        <v>24</v>
      </c>
      <c r="I14" s="5"/>
      <c r="J14" s="5"/>
      <c r="K14" s="5">
        <f>SUM(K4:K13)</f>
        <v>5</v>
      </c>
      <c r="L14" s="5"/>
      <c r="M14" s="5"/>
      <c r="N14" s="4"/>
      <c r="O14" s="5">
        <f>SUM(O4:O13)</f>
        <v>375</v>
      </c>
      <c r="P14" s="5">
        <f>SUM(P4:P13)</f>
        <v>525</v>
      </c>
      <c r="Q14" s="4">
        <f>SUM(Q4:Q13)</f>
        <v>1.55</v>
      </c>
    </row>
    <row r="15" spans="1:18" ht="21" customHeight="1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8" ht="21" customHeight="1" x14ac:dyDescent="0.15">
      <c r="A16" s="6"/>
      <c r="B16" s="7" t="s">
        <v>20</v>
      </c>
      <c r="C16" s="6" t="s">
        <v>21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8.75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9" t="s">
        <v>22</v>
      </c>
      <c r="O17" s="9"/>
      <c r="P17" s="9"/>
      <c r="Q17" s="9"/>
    </row>
    <row r="18" spans="1:17" ht="18.75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9">
        <v>45757</v>
      </c>
      <c r="O18" s="9"/>
      <c r="P18" s="9"/>
      <c r="Q18" s="9"/>
    </row>
    <row r="19" spans="1:17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x14ac:dyDescent="0.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</sheetData>
  <mergeCells count="70">
    <mergeCell ref="R4:R13"/>
    <mergeCell ref="Q8:Q9"/>
    <mergeCell ref="O12:O13"/>
    <mergeCell ref="P12:P13"/>
    <mergeCell ref="Q12:Q13"/>
    <mergeCell ref="Q10:Q11"/>
    <mergeCell ref="O4:O5"/>
    <mergeCell ref="P4:P5"/>
    <mergeCell ref="Q4:Q5"/>
    <mergeCell ref="O6:O7"/>
    <mergeCell ref="P6:P7"/>
    <mergeCell ref="Q6:Q7"/>
    <mergeCell ref="F6:F7"/>
    <mergeCell ref="K6:K7"/>
    <mergeCell ref="L6:L7"/>
    <mergeCell ref="M6:M7"/>
    <mergeCell ref="N6:N7"/>
    <mergeCell ref="D12:D13"/>
    <mergeCell ref="E12:E13"/>
    <mergeCell ref="A6:A7"/>
    <mergeCell ref="B6:B7"/>
    <mergeCell ref="C6:C7"/>
    <mergeCell ref="D6:D7"/>
    <mergeCell ref="E6:E7"/>
    <mergeCell ref="D8:D9"/>
    <mergeCell ref="E8:E9"/>
    <mergeCell ref="A8:A9"/>
    <mergeCell ref="B8:B9"/>
    <mergeCell ref="O8:O9"/>
    <mergeCell ref="P8:P9"/>
    <mergeCell ref="F12:F13"/>
    <mergeCell ref="K12:K13"/>
    <mergeCell ref="L12:L13"/>
    <mergeCell ref="M12:M13"/>
    <mergeCell ref="N12:N13"/>
    <mergeCell ref="F8:F9"/>
    <mergeCell ref="K8:K9"/>
    <mergeCell ref="L8:L9"/>
    <mergeCell ref="A1:Q1"/>
    <mergeCell ref="A14:C14"/>
    <mergeCell ref="N17:Q17"/>
    <mergeCell ref="F4:F5"/>
    <mergeCell ref="K4:K5"/>
    <mergeCell ref="L4:L5"/>
    <mergeCell ref="M4:M5"/>
    <mergeCell ref="N4:N5"/>
    <mergeCell ref="A4:A5"/>
    <mergeCell ref="B4:B5"/>
    <mergeCell ref="C4:C5"/>
    <mergeCell ref="D4:D5"/>
    <mergeCell ref="E4:E5"/>
    <mergeCell ref="C8:C9"/>
    <mergeCell ref="M8:M9"/>
    <mergeCell ref="N8:N9"/>
    <mergeCell ref="N18:Q18"/>
    <mergeCell ref="A10:A11"/>
    <mergeCell ref="B10:B11"/>
    <mergeCell ref="C10:C11"/>
    <mergeCell ref="D10:D11"/>
    <mergeCell ref="E10:E11"/>
    <mergeCell ref="F10:F11"/>
    <mergeCell ref="K10:K11"/>
    <mergeCell ref="L10:L11"/>
    <mergeCell ref="M10:M11"/>
    <mergeCell ref="N10:N11"/>
    <mergeCell ref="O10:O11"/>
    <mergeCell ref="P10:P11"/>
    <mergeCell ref="A12:A13"/>
    <mergeCell ref="B12:B13"/>
    <mergeCell ref="C12:C13"/>
  </mergeCells>
  <phoneticPr fontId="9" type="noConversion"/>
  <pageMargins left="0.7" right="0.7" top="0.75" bottom="0.75" header="0.3" footer="0.3"/>
  <pageSetup paperSize="9" scale="81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2025-04-15T08:31:04Z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2B3730D8F7AD4334BB245A9CD6447FD2_13</vt:lpwstr>
  </property>
  <property fmtid="{D5CDD505-2E9C-101B-9397-08002B2CF9AE}" pid="3" name="KSOProductBuildVer">
    <vt:lpwstr>2052-12.1.0.18608</vt:lpwstr>
  </property>
</Properties>
</file>