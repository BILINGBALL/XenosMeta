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Delkor 弹垫发货\"/>
    </mc:Choice>
  </mc:AlternateContent>
  <xr:revisionPtr revIDLastSave="0" documentId="13_ncr:1_{CF5E2EB9-0E41-48DC-BE24-93E94E7781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Sheet1!$A$2:$O$159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4" i="1" l="1"/>
  <c r="L416" i="1"/>
  <c r="L415" i="1"/>
  <c r="L414" i="1"/>
  <c r="L413" i="1"/>
  <c r="L412" i="1"/>
  <c r="L411" i="1"/>
  <c r="L410" i="1"/>
  <c r="L409" i="1"/>
  <c r="L408" i="1"/>
  <c r="L407" i="1"/>
  <c r="M484" i="1"/>
  <c r="N484" i="1" s="1"/>
  <c r="K484" i="1"/>
  <c r="O484" i="1" s="1"/>
  <c r="K316" i="1"/>
  <c r="F316" i="1"/>
  <c r="K315" i="1"/>
  <c r="F315" i="1"/>
  <c r="L314" i="1"/>
  <c r="M314" i="1" s="1"/>
  <c r="K314" i="1"/>
  <c r="L313" i="1"/>
  <c r="M313" i="1" s="1"/>
  <c r="K313" i="1"/>
  <c r="E313" i="1"/>
  <c r="N313" i="1" s="1"/>
  <c r="L312" i="1"/>
  <c r="M312" i="1" s="1"/>
  <c r="K312" i="1"/>
  <c r="E312" i="1"/>
  <c r="N312" i="1" s="1"/>
  <c r="L311" i="1"/>
  <c r="M311" i="1" s="1"/>
  <c r="K311" i="1"/>
  <c r="E311" i="1"/>
  <c r="N311" i="1" s="1"/>
  <c r="L310" i="1"/>
  <c r="M310" i="1" s="1"/>
  <c r="K310" i="1"/>
  <c r="E310" i="1"/>
  <c r="L309" i="1"/>
  <c r="M309" i="1" s="1"/>
  <c r="O309" i="1" s="1"/>
  <c r="K309" i="1"/>
  <c r="E309" i="1"/>
  <c r="L308" i="1"/>
  <c r="M308" i="1" s="1"/>
  <c r="K308" i="1"/>
  <c r="E308" i="1"/>
  <c r="N308" i="1" s="1"/>
  <c r="L307" i="1"/>
  <c r="M307" i="1" s="1"/>
  <c r="K307" i="1"/>
  <c r="E307" i="1"/>
  <c r="N307" i="1" s="1"/>
  <c r="L306" i="1"/>
  <c r="M306" i="1" s="1"/>
  <c r="K306" i="1"/>
  <c r="E306" i="1"/>
  <c r="L305" i="1"/>
  <c r="M305" i="1" s="1"/>
  <c r="K305" i="1"/>
  <c r="E305" i="1"/>
  <c r="N305" i="1" s="1"/>
  <c r="L304" i="1"/>
  <c r="M304" i="1" s="1"/>
  <c r="K304" i="1"/>
  <c r="E304" i="1"/>
  <c r="N304" i="1" s="1"/>
  <c r="M303" i="1"/>
  <c r="K303" i="1"/>
  <c r="O302" i="1"/>
  <c r="N302" i="1"/>
  <c r="M302" i="1"/>
  <c r="K302" i="1"/>
  <c r="M301" i="1"/>
  <c r="K301" i="1"/>
  <c r="M300" i="1"/>
  <c r="N300" i="1" s="1"/>
  <c r="K300" i="1"/>
  <c r="P299" i="1"/>
  <c r="L318" i="1" s="1"/>
  <c r="M299" i="1"/>
  <c r="K299" i="1"/>
  <c r="K298" i="1"/>
  <c r="K297" i="1"/>
  <c r="K296" i="1"/>
  <c r="F296" i="1"/>
  <c r="L295" i="1"/>
  <c r="M295" i="1" s="1"/>
  <c r="K295" i="1"/>
  <c r="F295" i="1"/>
  <c r="L294" i="1"/>
  <c r="M294" i="1" s="1"/>
  <c r="K294" i="1"/>
  <c r="K293" i="1"/>
  <c r="L292" i="1"/>
  <c r="M292" i="1" s="1"/>
  <c r="K292" i="1"/>
  <c r="M291" i="1"/>
  <c r="O291" i="1" s="1"/>
  <c r="K291" i="1"/>
  <c r="F291" i="1"/>
  <c r="M290" i="1"/>
  <c r="K290" i="1"/>
  <c r="F290" i="1"/>
  <c r="M289" i="1"/>
  <c r="K289" i="1"/>
  <c r="F289" i="1"/>
  <c r="P288" i="1"/>
  <c r="L297" i="1" s="1"/>
  <c r="M297" i="1" s="1"/>
  <c r="M288" i="1"/>
  <c r="K288" i="1"/>
  <c r="F288" i="1"/>
  <c r="K254" i="1"/>
  <c r="F254" i="1"/>
  <c r="M253" i="1"/>
  <c r="K253" i="1"/>
  <c r="F253" i="1"/>
  <c r="M252" i="1"/>
  <c r="K252" i="1"/>
  <c r="M251" i="1"/>
  <c r="K251" i="1"/>
  <c r="E251" i="1"/>
  <c r="M250" i="1"/>
  <c r="K250" i="1"/>
  <c r="E250" i="1"/>
  <c r="M249" i="1"/>
  <c r="K249" i="1"/>
  <c r="E249" i="1"/>
  <c r="M248" i="1"/>
  <c r="K248" i="1"/>
  <c r="E248" i="1"/>
  <c r="M247" i="1"/>
  <c r="K247" i="1"/>
  <c r="E247" i="1"/>
  <c r="M246" i="1"/>
  <c r="K246" i="1"/>
  <c r="E246" i="1"/>
  <c r="N246" i="1" s="1"/>
  <c r="M245" i="1"/>
  <c r="K245" i="1"/>
  <c r="E245" i="1"/>
  <c r="N245" i="1" s="1"/>
  <c r="M244" i="1"/>
  <c r="K244" i="1"/>
  <c r="E244" i="1"/>
  <c r="M243" i="1"/>
  <c r="K243" i="1"/>
  <c r="E243" i="1"/>
  <c r="M242" i="1"/>
  <c r="K242" i="1"/>
  <c r="E242" i="1"/>
  <c r="M241" i="1"/>
  <c r="N241" i="1" s="1"/>
  <c r="K241" i="1"/>
  <c r="M240" i="1"/>
  <c r="N240" i="1" s="1"/>
  <c r="K240" i="1"/>
  <c r="M239" i="1"/>
  <c r="K239" i="1"/>
  <c r="M238" i="1"/>
  <c r="K238" i="1"/>
  <c r="P237" i="1"/>
  <c r="M237" i="1"/>
  <c r="K237" i="1"/>
  <c r="M236" i="1"/>
  <c r="K236" i="1"/>
  <c r="K235" i="1"/>
  <c r="K234" i="1"/>
  <c r="F234" i="1"/>
  <c r="M233" i="1"/>
  <c r="K233" i="1"/>
  <c r="F233" i="1"/>
  <c r="M232" i="1"/>
  <c r="K232" i="1"/>
  <c r="K231" i="1"/>
  <c r="M230" i="1"/>
  <c r="K230" i="1"/>
  <c r="M229" i="1"/>
  <c r="K229" i="1"/>
  <c r="F229" i="1"/>
  <c r="M228" i="1"/>
  <c r="N228" i="1" s="1"/>
  <c r="K228" i="1"/>
  <c r="F228" i="1"/>
  <c r="M227" i="1"/>
  <c r="N227" i="1" s="1"/>
  <c r="K227" i="1"/>
  <c r="F227" i="1"/>
  <c r="P226" i="1"/>
  <c r="M235" i="1" s="1"/>
  <c r="N235" i="1" s="1"/>
  <c r="M226" i="1"/>
  <c r="K226" i="1"/>
  <c r="F226" i="1"/>
  <c r="K223" i="1"/>
  <c r="F223" i="1"/>
  <c r="K222" i="1"/>
  <c r="F222" i="1"/>
  <c r="K221" i="1"/>
  <c r="L220" i="1"/>
  <c r="M220" i="1" s="1"/>
  <c r="K220" i="1"/>
  <c r="E220" i="1"/>
  <c r="L219" i="1"/>
  <c r="M219" i="1" s="1"/>
  <c r="K219" i="1"/>
  <c r="E219" i="1"/>
  <c r="L218" i="1"/>
  <c r="M218" i="1" s="1"/>
  <c r="K218" i="1"/>
  <c r="E218" i="1"/>
  <c r="L217" i="1"/>
  <c r="M217" i="1" s="1"/>
  <c r="K217" i="1"/>
  <c r="E217" i="1"/>
  <c r="N217" i="1" s="1"/>
  <c r="L216" i="1"/>
  <c r="M216" i="1" s="1"/>
  <c r="K216" i="1"/>
  <c r="E216" i="1"/>
  <c r="N216" i="1" s="1"/>
  <c r="L215" i="1"/>
  <c r="M215" i="1" s="1"/>
  <c r="K215" i="1"/>
  <c r="E215" i="1"/>
  <c r="L214" i="1"/>
  <c r="M214" i="1" s="1"/>
  <c r="K214" i="1"/>
  <c r="E214" i="1"/>
  <c r="L213" i="1"/>
  <c r="M213" i="1" s="1"/>
  <c r="K213" i="1"/>
  <c r="E213" i="1"/>
  <c r="L212" i="1"/>
  <c r="M212" i="1" s="1"/>
  <c r="K212" i="1"/>
  <c r="E212" i="1"/>
  <c r="L211" i="1"/>
  <c r="M211" i="1" s="1"/>
  <c r="K211" i="1"/>
  <c r="E211" i="1"/>
  <c r="M210" i="1"/>
  <c r="K210" i="1"/>
  <c r="M209" i="1"/>
  <c r="K209" i="1"/>
  <c r="M208" i="1"/>
  <c r="K208" i="1"/>
  <c r="M207" i="1"/>
  <c r="K207" i="1"/>
  <c r="P206" i="1"/>
  <c r="M206" i="1"/>
  <c r="O206" i="1" s="1"/>
  <c r="K206" i="1"/>
  <c r="K205" i="1"/>
  <c r="K204" i="1"/>
  <c r="K203" i="1"/>
  <c r="F203" i="1"/>
  <c r="K202" i="1"/>
  <c r="F202" i="1"/>
  <c r="K201" i="1"/>
  <c r="K200" i="1"/>
  <c r="K199" i="1"/>
  <c r="M198" i="1"/>
  <c r="K198" i="1"/>
  <c r="F198" i="1"/>
  <c r="M197" i="1"/>
  <c r="K197" i="1"/>
  <c r="F197" i="1"/>
  <c r="M196" i="1"/>
  <c r="N196" i="1" s="1"/>
  <c r="K196" i="1"/>
  <c r="O196" i="1" s="1"/>
  <c r="F196" i="1"/>
  <c r="P195" i="1"/>
  <c r="L201" i="1" s="1"/>
  <c r="M201" i="1" s="1"/>
  <c r="M195" i="1"/>
  <c r="K195" i="1"/>
  <c r="F195" i="1"/>
  <c r="K192" i="1"/>
  <c r="F192" i="1"/>
  <c r="K191" i="1"/>
  <c r="F191" i="1"/>
  <c r="K190" i="1"/>
  <c r="L189" i="1"/>
  <c r="M189" i="1" s="1"/>
  <c r="K189" i="1"/>
  <c r="E189" i="1"/>
  <c r="N189" i="1" s="1"/>
  <c r="L188" i="1"/>
  <c r="M188" i="1" s="1"/>
  <c r="K188" i="1"/>
  <c r="O188" i="1" s="1"/>
  <c r="E188" i="1"/>
  <c r="L187" i="1"/>
  <c r="M187" i="1" s="1"/>
  <c r="K187" i="1"/>
  <c r="E187" i="1"/>
  <c r="L186" i="1"/>
  <c r="M186" i="1" s="1"/>
  <c r="K186" i="1"/>
  <c r="E186" i="1"/>
  <c r="N186" i="1" s="1"/>
  <c r="L185" i="1"/>
  <c r="M185" i="1" s="1"/>
  <c r="K185" i="1"/>
  <c r="E185" i="1"/>
  <c r="N185" i="1" s="1"/>
  <c r="L184" i="1"/>
  <c r="M184" i="1" s="1"/>
  <c r="K184" i="1"/>
  <c r="E184" i="1"/>
  <c r="L183" i="1"/>
  <c r="M183" i="1" s="1"/>
  <c r="K183" i="1"/>
  <c r="E183" i="1"/>
  <c r="N183" i="1" s="1"/>
  <c r="L182" i="1"/>
  <c r="M182" i="1" s="1"/>
  <c r="K182" i="1"/>
  <c r="E182" i="1"/>
  <c r="L181" i="1"/>
  <c r="M181" i="1" s="1"/>
  <c r="K181" i="1"/>
  <c r="E181" i="1"/>
  <c r="L180" i="1"/>
  <c r="M180" i="1" s="1"/>
  <c r="K180" i="1"/>
  <c r="E180" i="1"/>
  <c r="M179" i="1"/>
  <c r="N179" i="1" s="1"/>
  <c r="K179" i="1"/>
  <c r="M178" i="1"/>
  <c r="K178" i="1"/>
  <c r="M177" i="1"/>
  <c r="N177" i="1" s="1"/>
  <c r="K177" i="1"/>
  <c r="M176" i="1"/>
  <c r="K176" i="1"/>
  <c r="P175" i="1"/>
  <c r="L192" i="1" s="1"/>
  <c r="M192" i="1" s="1"/>
  <c r="N192" i="1" s="1"/>
  <c r="M175" i="1"/>
  <c r="N175" i="1" s="1"/>
  <c r="K175" i="1"/>
  <c r="O175" i="1" s="1"/>
  <c r="K174" i="1"/>
  <c r="K173" i="1"/>
  <c r="K172" i="1"/>
  <c r="F172" i="1"/>
  <c r="K171" i="1"/>
  <c r="F171" i="1"/>
  <c r="K170" i="1"/>
  <c r="K169" i="1"/>
  <c r="K168" i="1"/>
  <c r="M167" i="1"/>
  <c r="K167" i="1"/>
  <c r="F167" i="1"/>
  <c r="M166" i="1"/>
  <c r="K166" i="1"/>
  <c r="F166" i="1"/>
  <c r="M165" i="1"/>
  <c r="N165" i="1" s="1"/>
  <c r="K165" i="1"/>
  <c r="F165" i="1"/>
  <c r="P164" i="1"/>
  <c r="L171" i="1" s="1"/>
  <c r="M171" i="1" s="1"/>
  <c r="M164" i="1"/>
  <c r="N164" i="1" s="1"/>
  <c r="K164" i="1"/>
  <c r="F164" i="1"/>
  <c r="L59" i="1"/>
  <c r="L58" i="1"/>
  <c r="L57" i="1"/>
  <c r="L56" i="1"/>
  <c r="L55" i="1"/>
  <c r="L54" i="1"/>
  <c r="L53" i="1"/>
  <c r="L52" i="1"/>
  <c r="L51" i="1"/>
  <c r="L50" i="1"/>
  <c r="L90" i="1"/>
  <c r="L89" i="1"/>
  <c r="L88" i="1"/>
  <c r="L87" i="1"/>
  <c r="L86" i="1"/>
  <c r="L85" i="1"/>
  <c r="L84" i="1"/>
  <c r="L83" i="1"/>
  <c r="L82" i="1"/>
  <c r="L81" i="1"/>
  <c r="O197" i="1" l="1"/>
  <c r="L315" i="1"/>
  <c r="M315" i="1" s="1"/>
  <c r="O180" i="1"/>
  <c r="N214" i="1"/>
  <c r="O218" i="1"/>
  <c r="O176" i="1"/>
  <c r="N309" i="1"/>
  <c r="O213" i="1"/>
  <c r="O242" i="1"/>
  <c r="O290" i="1"/>
  <c r="O308" i="1"/>
  <c r="L172" i="1"/>
  <c r="M172" i="1" s="1"/>
  <c r="O172" i="1" s="1"/>
  <c r="O301" i="1"/>
  <c r="N188" i="1"/>
  <c r="N206" i="1"/>
  <c r="O214" i="1"/>
  <c r="O250" i="1"/>
  <c r="O243" i="1"/>
  <c r="O215" i="1"/>
  <c r="O187" i="1"/>
  <c r="O220" i="1"/>
  <c r="O249" i="1"/>
  <c r="O251" i="1"/>
  <c r="O182" i="1"/>
  <c r="N197" i="1"/>
  <c r="O207" i="1"/>
  <c r="O244" i="1"/>
  <c r="O226" i="1"/>
  <c r="O303" i="1"/>
  <c r="L190" i="1"/>
  <c r="M190" i="1" s="1"/>
  <c r="O208" i="1"/>
  <c r="O216" i="1"/>
  <c r="O183" i="1"/>
  <c r="O311" i="1"/>
  <c r="N176" i="1"/>
  <c r="O209" i="1"/>
  <c r="O237" i="1"/>
  <c r="O304" i="1"/>
  <c r="O166" i="1"/>
  <c r="L191" i="1"/>
  <c r="M191" i="1" s="1"/>
  <c r="O191" i="1" s="1"/>
  <c r="O217" i="1"/>
  <c r="O184" i="1"/>
  <c r="L199" i="1"/>
  <c r="M199" i="1" s="1"/>
  <c r="O199" i="1" s="1"/>
  <c r="O210" i="1"/>
  <c r="O246" i="1"/>
  <c r="O312" i="1"/>
  <c r="O238" i="1"/>
  <c r="O305" i="1"/>
  <c r="O167" i="1"/>
  <c r="O185" i="1"/>
  <c r="L193" i="1"/>
  <c r="M193" i="1" s="1"/>
  <c r="O239" i="1"/>
  <c r="O247" i="1"/>
  <c r="O288" i="1"/>
  <c r="O313" i="1"/>
  <c r="L168" i="1"/>
  <c r="M168" i="1" s="1"/>
  <c r="N168" i="1" s="1"/>
  <c r="O178" i="1"/>
  <c r="L194" i="1"/>
  <c r="L298" i="1"/>
  <c r="M298" i="1" s="1"/>
  <c r="O298" i="1" s="1"/>
  <c r="L202" i="1"/>
  <c r="M202" i="1" s="1"/>
  <c r="O202" i="1" s="1"/>
  <c r="O229" i="1"/>
  <c r="O186" i="1"/>
  <c r="O212" i="1"/>
  <c r="O299" i="1"/>
  <c r="N180" i="1"/>
  <c r="N187" i="1"/>
  <c r="O195" i="1"/>
  <c r="N220" i="1"/>
  <c r="O289" i="1"/>
  <c r="O307" i="1"/>
  <c r="O227" i="1"/>
  <c r="O235" i="1"/>
  <c r="O240" i="1"/>
  <c r="N247" i="1"/>
  <c r="N249" i="1"/>
  <c r="N242" i="1"/>
  <c r="N250" i="1"/>
  <c r="O292" i="1"/>
  <c r="N292" i="1"/>
  <c r="O310" i="1"/>
  <c r="N310" i="1"/>
  <c r="O294" i="1"/>
  <c r="N294" i="1"/>
  <c r="N306" i="1"/>
  <c r="O306" i="1"/>
  <c r="N295" i="1"/>
  <c r="O295" i="1"/>
  <c r="O297" i="1"/>
  <c r="N297" i="1"/>
  <c r="O314" i="1"/>
  <c r="N314" i="1"/>
  <c r="O315" i="1"/>
  <c r="N315" i="1"/>
  <c r="N289" i="1"/>
  <c r="N303" i="1"/>
  <c r="N290" i="1"/>
  <c r="N299" i="1"/>
  <c r="L316" i="1"/>
  <c r="M316" i="1" s="1"/>
  <c r="L296" i="1"/>
  <c r="M296" i="1" s="1"/>
  <c r="O300" i="1"/>
  <c r="L317" i="1"/>
  <c r="M317" i="1" s="1"/>
  <c r="N288" i="1"/>
  <c r="N301" i="1"/>
  <c r="L293" i="1"/>
  <c r="M293" i="1" s="1"/>
  <c r="N291" i="1"/>
  <c r="O248" i="1"/>
  <c r="N248" i="1"/>
  <c r="O236" i="1"/>
  <c r="N236" i="1"/>
  <c r="O211" i="1"/>
  <c r="N211" i="1"/>
  <c r="O252" i="1"/>
  <c r="N252" i="1"/>
  <c r="N232" i="1"/>
  <c r="O232" i="1"/>
  <c r="O181" i="1"/>
  <c r="N181" i="1"/>
  <c r="O193" i="1"/>
  <c r="N193" i="1"/>
  <c r="O190" i="1"/>
  <c r="N190" i="1"/>
  <c r="N244" i="1"/>
  <c r="N198" i="1"/>
  <c r="O198" i="1"/>
  <c r="O171" i="1"/>
  <c r="N171" i="1"/>
  <c r="O192" i="1"/>
  <c r="N182" i="1"/>
  <c r="O201" i="1"/>
  <c r="N201" i="1"/>
  <c r="O241" i="1"/>
  <c r="O219" i="1"/>
  <c r="N230" i="1"/>
  <c r="O230" i="1"/>
  <c r="N212" i="1"/>
  <c r="O233" i="1"/>
  <c r="N233" i="1"/>
  <c r="L224" i="1"/>
  <c r="M224" i="1" s="1"/>
  <c r="L221" i="1"/>
  <c r="M221" i="1" s="1"/>
  <c r="L203" i="1"/>
  <c r="M203" i="1" s="1"/>
  <c r="L225" i="1"/>
  <c r="L223" i="1"/>
  <c r="M223" i="1" s="1"/>
  <c r="N215" i="1"/>
  <c r="L222" i="1"/>
  <c r="M222" i="1" s="1"/>
  <c r="O245" i="1"/>
  <c r="O164" i="1"/>
  <c r="N218" i="1"/>
  <c r="O253" i="1"/>
  <c r="N253" i="1"/>
  <c r="O189" i="1"/>
  <c r="N213" i="1"/>
  <c r="O177" i="1"/>
  <c r="N184" i="1"/>
  <c r="N219" i="1"/>
  <c r="N243" i="1"/>
  <c r="N178" i="1"/>
  <c r="N237" i="1"/>
  <c r="O165" i="1"/>
  <c r="L170" i="1"/>
  <c r="M170" i="1" s="1"/>
  <c r="N195" i="1"/>
  <c r="N208" i="1"/>
  <c r="L204" i="1"/>
  <c r="M204" i="1" s="1"/>
  <c r="N238" i="1"/>
  <c r="O179" i="1"/>
  <c r="N166" i="1"/>
  <c r="N209" i="1"/>
  <c r="M234" i="1"/>
  <c r="L169" i="1"/>
  <c r="M169" i="1" s="1"/>
  <c r="O228" i="1"/>
  <c r="L205" i="1"/>
  <c r="M205" i="1" s="1"/>
  <c r="N226" i="1"/>
  <c r="N239" i="1"/>
  <c r="L173" i="1"/>
  <c r="M173" i="1" s="1"/>
  <c r="N207" i="1"/>
  <c r="L174" i="1"/>
  <c r="M174" i="1" s="1"/>
  <c r="N229" i="1"/>
  <c r="L200" i="1"/>
  <c r="M200" i="1" s="1"/>
  <c r="M254" i="1"/>
  <c r="M255" i="1"/>
  <c r="N210" i="1"/>
  <c r="N167" i="1"/>
  <c r="M231" i="1"/>
  <c r="N251" i="1"/>
  <c r="N199" i="1" l="1"/>
  <c r="N202" i="1"/>
  <c r="O168" i="1"/>
  <c r="N298" i="1"/>
  <c r="N191" i="1"/>
  <c r="N172" i="1"/>
  <c r="N293" i="1"/>
  <c r="O293" i="1"/>
  <c r="O317" i="1"/>
  <c r="N317" i="1"/>
  <c r="N296" i="1"/>
  <c r="O296" i="1"/>
  <c r="O316" i="1"/>
  <c r="N316" i="1"/>
  <c r="O203" i="1"/>
  <c r="N203" i="1"/>
  <c r="O221" i="1"/>
  <c r="N221" i="1"/>
  <c r="O224" i="1"/>
  <c r="N224" i="1"/>
  <c r="O255" i="1"/>
  <c r="N255" i="1"/>
  <c r="O254" i="1"/>
  <c r="N254" i="1"/>
  <c r="O200" i="1"/>
  <c r="N200" i="1"/>
  <c r="O205" i="1"/>
  <c r="N205" i="1"/>
  <c r="N169" i="1"/>
  <c r="O169" i="1"/>
  <c r="N231" i="1"/>
  <c r="O231" i="1"/>
  <c r="N170" i="1"/>
  <c r="O170" i="1"/>
  <c r="N174" i="1"/>
  <c r="O174" i="1"/>
  <c r="O173" i="1"/>
  <c r="N173" i="1"/>
  <c r="N234" i="1"/>
  <c r="O234" i="1"/>
  <c r="N222" i="1"/>
  <c r="O222" i="1"/>
  <c r="O204" i="1"/>
  <c r="N204" i="1"/>
  <c r="O223" i="1"/>
  <c r="N223" i="1"/>
  <c r="M485" i="1" l="1"/>
  <c r="N485" i="1" s="1"/>
  <c r="K485" i="1"/>
  <c r="M486" i="1"/>
  <c r="N486" i="1" s="1"/>
  <c r="K486" i="1"/>
  <c r="O485" i="1" l="1"/>
  <c r="O486" i="1"/>
  <c r="L447" i="1" l="1"/>
  <c r="M447" i="1" s="1"/>
  <c r="L446" i="1"/>
  <c r="L445" i="1"/>
  <c r="L444" i="1"/>
  <c r="M444" i="1" s="1"/>
  <c r="L443" i="1"/>
  <c r="M443" i="1" s="1"/>
  <c r="L442" i="1"/>
  <c r="L441" i="1"/>
  <c r="M441" i="1" s="1"/>
  <c r="O441" i="1" s="1"/>
  <c r="L440" i="1"/>
  <c r="M440" i="1" s="1"/>
  <c r="O440" i="1" s="1"/>
  <c r="L439" i="1"/>
  <c r="M439" i="1" s="1"/>
  <c r="L438" i="1"/>
  <c r="M438" i="1" s="1"/>
  <c r="O438" i="1" s="1"/>
  <c r="M416" i="1"/>
  <c r="M415" i="1"/>
  <c r="M414" i="1"/>
  <c r="M413" i="1"/>
  <c r="M412" i="1"/>
  <c r="M411" i="1"/>
  <c r="M410" i="1"/>
  <c r="M409" i="1"/>
  <c r="M408" i="1"/>
  <c r="M407" i="1"/>
  <c r="K481" i="1"/>
  <c r="F481" i="1"/>
  <c r="M480" i="1"/>
  <c r="K480" i="1"/>
  <c r="F480" i="1"/>
  <c r="K479" i="1"/>
  <c r="M478" i="1"/>
  <c r="K478" i="1"/>
  <c r="E478" i="1"/>
  <c r="M477" i="1"/>
  <c r="K477" i="1"/>
  <c r="E477" i="1"/>
  <c r="M476" i="1"/>
  <c r="K476" i="1"/>
  <c r="E476" i="1"/>
  <c r="N476" i="1" s="1"/>
  <c r="M475" i="1"/>
  <c r="K475" i="1"/>
  <c r="E475" i="1"/>
  <c r="M474" i="1"/>
  <c r="K474" i="1"/>
  <c r="E474" i="1"/>
  <c r="M473" i="1"/>
  <c r="K473" i="1"/>
  <c r="E473" i="1"/>
  <c r="M472" i="1"/>
  <c r="K472" i="1"/>
  <c r="E472" i="1"/>
  <c r="M471" i="1"/>
  <c r="K471" i="1"/>
  <c r="E471" i="1"/>
  <c r="M470" i="1"/>
  <c r="K470" i="1"/>
  <c r="E470" i="1"/>
  <c r="M469" i="1"/>
  <c r="K469" i="1"/>
  <c r="E469" i="1"/>
  <c r="M468" i="1"/>
  <c r="K468" i="1"/>
  <c r="M467" i="1"/>
  <c r="K467" i="1"/>
  <c r="M466" i="1"/>
  <c r="K466" i="1"/>
  <c r="M465" i="1"/>
  <c r="K465" i="1"/>
  <c r="P464" i="1"/>
  <c r="M464" i="1"/>
  <c r="N464" i="1" s="1"/>
  <c r="K464" i="1"/>
  <c r="K463" i="1"/>
  <c r="M462" i="1"/>
  <c r="K462" i="1"/>
  <c r="K461" i="1"/>
  <c r="F461" i="1"/>
  <c r="K460" i="1"/>
  <c r="F460" i="1"/>
  <c r="K459" i="1"/>
  <c r="M458" i="1"/>
  <c r="K458" i="1"/>
  <c r="K457" i="1"/>
  <c r="M456" i="1"/>
  <c r="K456" i="1"/>
  <c r="F456" i="1"/>
  <c r="M455" i="1"/>
  <c r="K455" i="1"/>
  <c r="F455" i="1"/>
  <c r="M454" i="1"/>
  <c r="K454" i="1"/>
  <c r="F454" i="1"/>
  <c r="P453" i="1"/>
  <c r="M453" i="1"/>
  <c r="N453" i="1" s="1"/>
  <c r="K453" i="1"/>
  <c r="F453" i="1"/>
  <c r="K450" i="1"/>
  <c r="F450" i="1"/>
  <c r="K449" i="1"/>
  <c r="F449" i="1"/>
  <c r="K448" i="1"/>
  <c r="K447" i="1"/>
  <c r="E447" i="1"/>
  <c r="M446" i="1"/>
  <c r="K446" i="1"/>
  <c r="E446" i="1"/>
  <c r="M445" i="1"/>
  <c r="K445" i="1"/>
  <c r="E445" i="1"/>
  <c r="K444" i="1"/>
  <c r="E444" i="1"/>
  <c r="K443" i="1"/>
  <c r="E443" i="1"/>
  <c r="M442" i="1"/>
  <c r="K442" i="1"/>
  <c r="E442" i="1"/>
  <c r="K441" i="1"/>
  <c r="E441" i="1"/>
  <c r="K440" i="1"/>
  <c r="E440" i="1"/>
  <c r="K439" i="1"/>
  <c r="E439" i="1"/>
  <c r="K438" i="1"/>
  <c r="E438" i="1"/>
  <c r="M437" i="1"/>
  <c r="N437" i="1" s="1"/>
  <c r="K437" i="1"/>
  <c r="M436" i="1"/>
  <c r="K436" i="1"/>
  <c r="M435" i="1"/>
  <c r="K435" i="1"/>
  <c r="M434" i="1"/>
  <c r="K434" i="1"/>
  <c r="P433" i="1"/>
  <c r="L448" i="1" s="1"/>
  <c r="M448" i="1" s="1"/>
  <c r="M433" i="1"/>
  <c r="K433" i="1"/>
  <c r="K432" i="1"/>
  <c r="K431" i="1"/>
  <c r="K430" i="1"/>
  <c r="F430" i="1"/>
  <c r="K429" i="1"/>
  <c r="F429" i="1"/>
  <c r="K428" i="1"/>
  <c r="K427" i="1"/>
  <c r="K426" i="1"/>
  <c r="M425" i="1"/>
  <c r="K425" i="1"/>
  <c r="F425" i="1"/>
  <c r="M424" i="1"/>
  <c r="K424" i="1"/>
  <c r="F424" i="1"/>
  <c r="M423" i="1"/>
  <c r="K423" i="1"/>
  <c r="F423" i="1"/>
  <c r="P422" i="1"/>
  <c r="L432" i="1" s="1"/>
  <c r="M432" i="1" s="1"/>
  <c r="M422" i="1"/>
  <c r="N422" i="1" s="1"/>
  <c r="K422" i="1"/>
  <c r="F422" i="1"/>
  <c r="K419" i="1"/>
  <c r="F419" i="1"/>
  <c r="K418" i="1"/>
  <c r="F418" i="1"/>
  <c r="K417" i="1"/>
  <c r="K416" i="1"/>
  <c r="E416" i="1"/>
  <c r="K415" i="1"/>
  <c r="E415" i="1"/>
  <c r="K414" i="1"/>
  <c r="E414" i="1"/>
  <c r="K413" i="1"/>
  <c r="E413" i="1"/>
  <c r="K412" i="1"/>
  <c r="E412" i="1"/>
  <c r="K411" i="1"/>
  <c r="E411" i="1"/>
  <c r="K410" i="1"/>
  <c r="E410" i="1"/>
  <c r="K409" i="1"/>
  <c r="E409" i="1"/>
  <c r="K408" i="1"/>
  <c r="E408" i="1"/>
  <c r="K407" i="1"/>
  <c r="E407" i="1"/>
  <c r="M406" i="1"/>
  <c r="N406" i="1" s="1"/>
  <c r="K406" i="1"/>
  <c r="M405" i="1"/>
  <c r="K405" i="1"/>
  <c r="M404" i="1"/>
  <c r="K404" i="1"/>
  <c r="M403" i="1"/>
  <c r="N403" i="1" s="1"/>
  <c r="K403" i="1"/>
  <c r="P402" i="1"/>
  <c r="M402" i="1"/>
  <c r="K402" i="1"/>
  <c r="K401" i="1"/>
  <c r="K400" i="1"/>
  <c r="K399" i="1"/>
  <c r="F399" i="1"/>
  <c r="K398" i="1"/>
  <c r="F398" i="1"/>
  <c r="K397" i="1"/>
  <c r="K396" i="1"/>
  <c r="K395" i="1"/>
  <c r="M394" i="1"/>
  <c r="O394" i="1" s="1"/>
  <c r="K394" i="1"/>
  <c r="F394" i="1"/>
  <c r="M393" i="1"/>
  <c r="N393" i="1" s="1"/>
  <c r="K393" i="1"/>
  <c r="F393" i="1"/>
  <c r="M392" i="1"/>
  <c r="N392" i="1" s="1"/>
  <c r="K392" i="1"/>
  <c r="F392" i="1"/>
  <c r="P391" i="1"/>
  <c r="M391" i="1"/>
  <c r="K391" i="1"/>
  <c r="F391" i="1"/>
  <c r="M389" i="1"/>
  <c r="K388" i="1"/>
  <c r="F388" i="1"/>
  <c r="M387" i="1"/>
  <c r="K387" i="1"/>
  <c r="F387" i="1"/>
  <c r="K386" i="1"/>
  <c r="M385" i="1"/>
  <c r="K385" i="1"/>
  <c r="E385" i="1"/>
  <c r="N385" i="1" s="1"/>
  <c r="M384" i="1"/>
  <c r="K384" i="1"/>
  <c r="E384" i="1"/>
  <c r="M383" i="1"/>
  <c r="K383" i="1"/>
  <c r="E383" i="1"/>
  <c r="M382" i="1"/>
  <c r="K382" i="1"/>
  <c r="E382" i="1"/>
  <c r="M381" i="1"/>
  <c r="K381" i="1"/>
  <c r="E381" i="1"/>
  <c r="M380" i="1"/>
  <c r="K380" i="1"/>
  <c r="E380" i="1"/>
  <c r="M379" i="1"/>
  <c r="K379" i="1"/>
  <c r="E379" i="1"/>
  <c r="M378" i="1"/>
  <c r="K378" i="1"/>
  <c r="E378" i="1"/>
  <c r="N378" i="1" s="1"/>
  <c r="M377" i="1"/>
  <c r="O377" i="1" s="1"/>
  <c r="K377" i="1"/>
  <c r="E377" i="1"/>
  <c r="M376" i="1"/>
  <c r="K376" i="1"/>
  <c r="E376" i="1"/>
  <c r="N376" i="1" s="1"/>
  <c r="M375" i="1"/>
  <c r="N375" i="1" s="1"/>
  <c r="K375" i="1"/>
  <c r="M374" i="1"/>
  <c r="K374" i="1"/>
  <c r="M373" i="1"/>
  <c r="K373" i="1"/>
  <c r="M372" i="1"/>
  <c r="N372" i="1" s="1"/>
  <c r="K372" i="1"/>
  <c r="P371" i="1"/>
  <c r="M371" i="1"/>
  <c r="K371" i="1"/>
  <c r="M370" i="1"/>
  <c r="K370" i="1"/>
  <c r="M369" i="1"/>
  <c r="K369" i="1"/>
  <c r="M368" i="1"/>
  <c r="K368" i="1"/>
  <c r="F368" i="1"/>
  <c r="M367" i="1"/>
  <c r="K367" i="1"/>
  <c r="F367" i="1"/>
  <c r="M366" i="1"/>
  <c r="K366" i="1"/>
  <c r="M365" i="1"/>
  <c r="K365" i="1"/>
  <c r="M364" i="1"/>
  <c r="K364" i="1"/>
  <c r="M363" i="1"/>
  <c r="K363" i="1"/>
  <c r="F363" i="1"/>
  <c r="M362" i="1"/>
  <c r="K362" i="1"/>
  <c r="F362" i="1"/>
  <c r="M361" i="1"/>
  <c r="N361" i="1" s="1"/>
  <c r="K361" i="1"/>
  <c r="F361" i="1"/>
  <c r="P360" i="1"/>
  <c r="M360" i="1"/>
  <c r="K360" i="1"/>
  <c r="F360" i="1"/>
  <c r="M357" i="1"/>
  <c r="N357" i="1" s="1"/>
  <c r="K357" i="1"/>
  <c r="F357" i="1"/>
  <c r="K356" i="1"/>
  <c r="F356" i="1"/>
  <c r="K355" i="1"/>
  <c r="M354" i="1"/>
  <c r="K354" i="1"/>
  <c r="E354" i="1"/>
  <c r="M353" i="1"/>
  <c r="K353" i="1"/>
  <c r="E353" i="1"/>
  <c r="M352" i="1"/>
  <c r="K352" i="1"/>
  <c r="E352" i="1"/>
  <c r="M351" i="1"/>
  <c r="K351" i="1"/>
  <c r="E351" i="1"/>
  <c r="M350" i="1"/>
  <c r="K350" i="1"/>
  <c r="E350" i="1"/>
  <c r="M349" i="1"/>
  <c r="K349" i="1"/>
  <c r="E349" i="1"/>
  <c r="M348" i="1"/>
  <c r="K348" i="1"/>
  <c r="E348" i="1"/>
  <c r="M347" i="1"/>
  <c r="K347" i="1"/>
  <c r="E347" i="1"/>
  <c r="M346" i="1"/>
  <c r="K346" i="1"/>
  <c r="E346" i="1"/>
  <c r="M345" i="1"/>
  <c r="K345" i="1"/>
  <c r="E345" i="1"/>
  <c r="M344" i="1"/>
  <c r="K344" i="1"/>
  <c r="M343" i="1"/>
  <c r="K343" i="1"/>
  <c r="M342" i="1"/>
  <c r="K342" i="1"/>
  <c r="M341" i="1"/>
  <c r="K341" i="1"/>
  <c r="P340" i="1"/>
  <c r="M358" i="1" s="1"/>
  <c r="M340" i="1"/>
  <c r="N340" i="1" s="1"/>
  <c r="K340" i="1"/>
  <c r="M339" i="1"/>
  <c r="K339" i="1"/>
  <c r="M338" i="1"/>
  <c r="N338" i="1" s="1"/>
  <c r="K338" i="1"/>
  <c r="O338" i="1" s="1"/>
  <c r="M337" i="1"/>
  <c r="K337" i="1"/>
  <c r="F337" i="1"/>
  <c r="K336" i="1"/>
  <c r="F336" i="1"/>
  <c r="M335" i="1"/>
  <c r="K335" i="1"/>
  <c r="K334" i="1"/>
  <c r="M333" i="1"/>
  <c r="K333" i="1"/>
  <c r="M332" i="1"/>
  <c r="N332" i="1" s="1"/>
  <c r="K332" i="1"/>
  <c r="F332" i="1"/>
  <c r="M331" i="1"/>
  <c r="K331" i="1"/>
  <c r="F331" i="1"/>
  <c r="M330" i="1"/>
  <c r="K330" i="1"/>
  <c r="F330" i="1"/>
  <c r="P329" i="1"/>
  <c r="M336" i="1" s="1"/>
  <c r="M329" i="1"/>
  <c r="K329" i="1"/>
  <c r="O329" i="1" s="1"/>
  <c r="F329" i="1"/>
  <c r="M278" i="1"/>
  <c r="M279" i="1"/>
  <c r="M282" i="1"/>
  <c r="K285" i="1"/>
  <c r="F285" i="1"/>
  <c r="K284" i="1"/>
  <c r="F284" i="1"/>
  <c r="K283" i="1"/>
  <c r="K282" i="1"/>
  <c r="E282" i="1"/>
  <c r="M281" i="1"/>
  <c r="K281" i="1"/>
  <c r="E281" i="1"/>
  <c r="M280" i="1"/>
  <c r="K280" i="1"/>
  <c r="E280" i="1"/>
  <c r="K279" i="1"/>
  <c r="E279" i="1"/>
  <c r="K278" i="1"/>
  <c r="E278" i="1"/>
  <c r="M277" i="1"/>
  <c r="K277" i="1"/>
  <c r="E277" i="1"/>
  <c r="M276" i="1"/>
  <c r="K276" i="1"/>
  <c r="E276" i="1"/>
  <c r="M275" i="1"/>
  <c r="K275" i="1"/>
  <c r="E275" i="1"/>
  <c r="M274" i="1"/>
  <c r="K274" i="1"/>
  <c r="E274" i="1"/>
  <c r="M273" i="1"/>
  <c r="K273" i="1"/>
  <c r="E273" i="1"/>
  <c r="M272" i="1"/>
  <c r="K272" i="1"/>
  <c r="M271" i="1"/>
  <c r="K271" i="1"/>
  <c r="M270" i="1"/>
  <c r="K270" i="1"/>
  <c r="M269" i="1"/>
  <c r="N269" i="1" s="1"/>
  <c r="K269" i="1"/>
  <c r="P268" i="1"/>
  <c r="M268" i="1"/>
  <c r="N268" i="1" s="1"/>
  <c r="K268" i="1"/>
  <c r="O268" i="1" s="1"/>
  <c r="K267" i="1"/>
  <c r="M266" i="1"/>
  <c r="K266" i="1"/>
  <c r="K265" i="1"/>
  <c r="F265" i="1"/>
  <c r="K264" i="1"/>
  <c r="F264" i="1"/>
  <c r="K263" i="1"/>
  <c r="K262" i="1"/>
  <c r="K261" i="1"/>
  <c r="M260" i="1"/>
  <c r="K260" i="1"/>
  <c r="F260" i="1"/>
  <c r="M259" i="1"/>
  <c r="K259" i="1"/>
  <c r="F259" i="1"/>
  <c r="M258" i="1"/>
  <c r="N258" i="1" s="1"/>
  <c r="K258" i="1"/>
  <c r="O258" i="1" s="1"/>
  <c r="F258" i="1"/>
  <c r="P257" i="1"/>
  <c r="M257" i="1"/>
  <c r="K257" i="1"/>
  <c r="F257" i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P65" i="1"/>
  <c r="L74" i="1" s="1"/>
  <c r="K155" i="1"/>
  <c r="F155" i="1"/>
  <c r="K154" i="1"/>
  <c r="F154" i="1"/>
  <c r="K153" i="1"/>
  <c r="K152" i="1"/>
  <c r="E152" i="1"/>
  <c r="K151" i="1"/>
  <c r="E151" i="1"/>
  <c r="K150" i="1"/>
  <c r="E150" i="1"/>
  <c r="K149" i="1"/>
  <c r="E149" i="1"/>
  <c r="K148" i="1"/>
  <c r="E148" i="1"/>
  <c r="K147" i="1"/>
  <c r="E147" i="1"/>
  <c r="K146" i="1"/>
  <c r="E146" i="1"/>
  <c r="K145" i="1"/>
  <c r="E145" i="1"/>
  <c r="K144" i="1"/>
  <c r="E144" i="1"/>
  <c r="K143" i="1"/>
  <c r="E143" i="1"/>
  <c r="M142" i="1"/>
  <c r="K142" i="1"/>
  <c r="M141" i="1"/>
  <c r="K141" i="1"/>
  <c r="M140" i="1"/>
  <c r="K140" i="1"/>
  <c r="M139" i="1"/>
  <c r="K139" i="1"/>
  <c r="P138" i="1"/>
  <c r="L157" i="1" s="1"/>
  <c r="M138" i="1"/>
  <c r="K138" i="1"/>
  <c r="K137" i="1"/>
  <c r="K136" i="1"/>
  <c r="K135" i="1"/>
  <c r="F135" i="1"/>
  <c r="K134" i="1"/>
  <c r="F134" i="1"/>
  <c r="K133" i="1"/>
  <c r="K132" i="1"/>
  <c r="K131" i="1"/>
  <c r="M130" i="1"/>
  <c r="K130" i="1"/>
  <c r="F130" i="1"/>
  <c r="M129" i="1"/>
  <c r="K129" i="1"/>
  <c r="F129" i="1"/>
  <c r="M128" i="1"/>
  <c r="K128" i="1"/>
  <c r="F128" i="1"/>
  <c r="P127" i="1"/>
  <c r="M127" i="1"/>
  <c r="K127" i="1"/>
  <c r="F127" i="1"/>
  <c r="K124" i="1"/>
  <c r="F124" i="1"/>
  <c r="K123" i="1"/>
  <c r="F123" i="1"/>
  <c r="K122" i="1"/>
  <c r="L121" i="1"/>
  <c r="M121" i="1" s="1"/>
  <c r="K121" i="1"/>
  <c r="E121" i="1"/>
  <c r="L120" i="1"/>
  <c r="M120" i="1" s="1"/>
  <c r="K120" i="1"/>
  <c r="E120" i="1"/>
  <c r="L119" i="1"/>
  <c r="M119" i="1" s="1"/>
  <c r="K119" i="1"/>
  <c r="E119" i="1"/>
  <c r="L118" i="1"/>
  <c r="M118" i="1" s="1"/>
  <c r="K118" i="1"/>
  <c r="E118" i="1"/>
  <c r="L117" i="1"/>
  <c r="M117" i="1" s="1"/>
  <c r="K117" i="1"/>
  <c r="E117" i="1"/>
  <c r="L116" i="1"/>
  <c r="M116" i="1" s="1"/>
  <c r="K116" i="1"/>
  <c r="E116" i="1"/>
  <c r="L115" i="1"/>
  <c r="M115" i="1" s="1"/>
  <c r="K115" i="1"/>
  <c r="E115" i="1"/>
  <c r="L114" i="1"/>
  <c r="M114" i="1" s="1"/>
  <c r="K114" i="1"/>
  <c r="E114" i="1"/>
  <c r="L113" i="1"/>
  <c r="M113" i="1" s="1"/>
  <c r="K113" i="1"/>
  <c r="E113" i="1"/>
  <c r="L112" i="1"/>
  <c r="M112" i="1" s="1"/>
  <c r="K112" i="1"/>
  <c r="E112" i="1"/>
  <c r="M111" i="1"/>
  <c r="K111" i="1"/>
  <c r="M110" i="1"/>
  <c r="N110" i="1" s="1"/>
  <c r="K110" i="1"/>
  <c r="M109" i="1"/>
  <c r="K109" i="1"/>
  <c r="M108" i="1"/>
  <c r="K108" i="1"/>
  <c r="P107" i="1"/>
  <c r="L123" i="1" s="1"/>
  <c r="M123" i="1" s="1"/>
  <c r="M107" i="1"/>
  <c r="K107" i="1"/>
  <c r="K106" i="1"/>
  <c r="K105" i="1"/>
  <c r="K104" i="1"/>
  <c r="F104" i="1"/>
  <c r="K103" i="1"/>
  <c r="F103" i="1"/>
  <c r="K102" i="1"/>
  <c r="K101" i="1"/>
  <c r="K100" i="1"/>
  <c r="M99" i="1"/>
  <c r="K99" i="1"/>
  <c r="F99" i="1"/>
  <c r="M98" i="1"/>
  <c r="K98" i="1"/>
  <c r="F98" i="1"/>
  <c r="M97" i="1"/>
  <c r="K97" i="1"/>
  <c r="F97" i="1"/>
  <c r="P96" i="1"/>
  <c r="M96" i="1"/>
  <c r="K96" i="1"/>
  <c r="F96" i="1"/>
  <c r="K62" i="1"/>
  <c r="F62" i="1"/>
  <c r="K61" i="1"/>
  <c r="F61" i="1"/>
  <c r="K60" i="1"/>
  <c r="M59" i="1"/>
  <c r="K59" i="1"/>
  <c r="E59" i="1"/>
  <c r="M58" i="1"/>
  <c r="K58" i="1"/>
  <c r="E58" i="1"/>
  <c r="M57" i="1"/>
  <c r="K57" i="1"/>
  <c r="E57" i="1"/>
  <c r="M56" i="1"/>
  <c r="K56" i="1"/>
  <c r="E56" i="1"/>
  <c r="M55" i="1"/>
  <c r="K55" i="1"/>
  <c r="E55" i="1"/>
  <c r="M54" i="1"/>
  <c r="K54" i="1"/>
  <c r="E54" i="1"/>
  <c r="M53" i="1"/>
  <c r="K53" i="1"/>
  <c r="E53" i="1"/>
  <c r="M52" i="1"/>
  <c r="K52" i="1"/>
  <c r="E52" i="1"/>
  <c r="M51" i="1"/>
  <c r="K51" i="1"/>
  <c r="E51" i="1"/>
  <c r="M50" i="1"/>
  <c r="K50" i="1"/>
  <c r="E50" i="1"/>
  <c r="M49" i="1"/>
  <c r="K49" i="1"/>
  <c r="M48" i="1"/>
  <c r="N48" i="1" s="1"/>
  <c r="K48" i="1"/>
  <c r="M47" i="1"/>
  <c r="K47" i="1"/>
  <c r="M46" i="1"/>
  <c r="K46" i="1"/>
  <c r="P45" i="1"/>
  <c r="M45" i="1"/>
  <c r="N45" i="1" s="1"/>
  <c r="K45" i="1"/>
  <c r="K44" i="1"/>
  <c r="K43" i="1"/>
  <c r="K42" i="1"/>
  <c r="F42" i="1"/>
  <c r="K41" i="1"/>
  <c r="F41" i="1"/>
  <c r="K40" i="1"/>
  <c r="K39" i="1"/>
  <c r="K38" i="1"/>
  <c r="M37" i="1"/>
  <c r="K37" i="1"/>
  <c r="F37" i="1"/>
  <c r="M36" i="1"/>
  <c r="K36" i="1"/>
  <c r="F36" i="1"/>
  <c r="M35" i="1"/>
  <c r="K35" i="1"/>
  <c r="F35" i="1"/>
  <c r="P34" i="1"/>
  <c r="L43" i="1" s="1"/>
  <c r="M34" i="1"/>
  <c r="K34" i="1"/>
  <c r="F34" i="1"/>
  <c r="L28" i="1"/>
  <c r="L27" i="1"/>
  <c r="L26" i="1"/>
  <c r="L25" i="1"/>
  <c r="L24" i="1"/>
  <c r="L23" i="1"/>
  <c r="L22" i="1"/>
  <c r="L21" i="1"/>
  <c r="L20" i="1"/>
  <c r="L19" i="1"/>
  <c r="K93" i="1"/>
  <c r="F93" i="1"/>
  <c r="K92" i="1"/>
  <c r="F92" i="1"/>
  <c r="K91" i="1"/>
  <c r="M90" i="1"/>
  <c r="K90" i="1"/>
  <c r="E90" i="1"/>
  <c r="M89" i="1"/>
  <c r="K89" i="1"/>
  <c r="E89" i="1"/>
  <c r="M88" i="1"/>
  <c r="K88" i="1"/>
  <c r="E88" i="1"/>
  <c r="M87" i="1"/>
  <c r="K87" i="1"/>
  <c r="E87" i="1"/>
  <c r="M86" i="1"/>
  <c r="K86" i="1"/>
  <c r="E86" i="1"/>
  <c r="M85" i="1"/>
  <c r="K85" i="1"/>
  <c r="E85" i="1"/>
  <c r="M84" i="1"/>
  <c r="K84" i="1"/>
  <c r="E84" i="1"/>
  <c r="M83" i="1"/>
  <c r="K83" i="1"/>
  <c r="E83" i="1"/>
  <c r="M82" i="1"/>
  <c r="K82" i="1"/>
  <c r="E82" i="1"/>
  <c r="M81" i="1"/>
  <c r="K81" i="1"/>
  <c r="E81" i="1"/>
  <c r="M80" i="1"/>
  <c r="K80" i="1"/>
  <c r="M79" i="1"/>
  <c r="K79" i="1"/>
  <c r="M78" i="1"/>
  <c r="N78" i="1" s="1"/>
  <c r="K78" i="1"/>
  <c r="M77" i="1"/>
  <c r="N77" i="1" s="1"/>
  <c r="K77" i="1"/>
  <c r="P76" i="1"/>
  <c r="M76" i="1"/>
  <c r="K76" i="1"/>
  <c r="K75" i="1"/>
  <c r="K74" i="1"/>
  <c r="K73" i="1"/>
  <c r="F73" i="1"/>
  <c r="K72" i="1"/>
  <c r="F72" i="1"/>
  <c r="K71" i="1"/>
  <c r="K70" i="1"/>
  <c r="K69" i="1"/>
  <c r="M68" i="1"/>
  <c r="N68" i="1" s="1"/>
  <c r="K68" i="1"/>
  <c r="F68" i="1"/>
  <c r="M67" i="1"/>
  <c r="K67" i="1"/>
  <c r="F67" i="1"/>
  <c r="M66" i="1"/>
  <c r="N66" i="1" s="1"/>
  <c r="K66" i="1"/>
  <c r="F66" i="1"/>
  <c r="M65" i="1"/>
  <c r="N65" i="1" s="1"/>
  <c r="K65" i="1"/>
  <c r="F65" i="1"/>
  <c r="L421" i="1" l="1"/>
  <c r="L420" i="1"/>
  <c r="L419" i="1"/>
  <c r="L418" i="1"/>
  <c r="L417" i="1"/>
  <c r="L399" i="1"/>
  <c r="L397" i="1"/>
  <c r="L395" i="1"/>
  <c r="L401" i="1"/>
  <c r="L400" i="1"/>
  <c r="L398" i="1"/>
  <c r="L396" i="1"/>
  <c r="N478" i="1"/>
  <c r="N471" i="1"/>
  <c r="O371" i="1"/>
  <c r="O473" i="1"/>
  <c r="O343" i="1"/>
  <c r="O274" i="1"/>
  <c r="N346" i="1"/>
  <c r="O259" i="1"/>
  <c r="O271" i="1"/>
  <c r="O382" i="1"/>
  <c r="O277" i="1"/>
  <c r="O347" i="1"/>
  <c r="L101" i="1"/>
  <c r="M101" i="1" s="1"/>
  <c r="N101" i="1" s="1"/>
  <c r="L105" i="1"/>
  <c r="L137" i="1"/>
  <c r="L136" i="1"/>
  <c r="L40" i="1"/>
  <c r="M40" i="1" s="1"/>
  <c r="O40" i="1" s="1"/>
  <c r="L39" i="1"/>
  <c r="M39" i="1" s="1"/>
  <c r="L44" i="1"/>
  <c r="M44" i="1" s="1"/>
  <c r="N44" i="1" s="1"/>
  <c r="L41" i="1"/>
  <c r="M41" i="1" s="1"/>
  <c r="O41" i="1" s="1"/>
  <c r="L42" i="1"/>
  <c r="M42" i="1" s="1"/>
  <c r="L38" i="1"/>
  <c r="M38" i="1" s="1"/>
  <c r="L64" i="1"/>
  <c r="L60" i="1"/>
  <c r="M60" i="1" s="1"/>
  <c r="O60" i="1" s="1"/>
  <c r="L63" i="1"/>
  <c r="M63" i="1" s="1"/>
  <c r="O63" i="1" s="1"/>
  <c r="L62" i="1"/>
  <c r="M62" i="1" s="1"/>
  <c r="L61" i="1"/>
  <c r="M61" i="1" s="1"/>
  <c r="O61" i="1" s="1"/>
  <c r="L95" i="1"/>
  <c r="L94" i="1"/>
  <c r="L93" i="1"/>
  <c r="L92" i="1"/>
  <c r="L91" i="1"/>
  <c r="L75" i="1"/>
  <c r="L73" i="1"/>
  <c r="L72" i="1"/>
  <c r="L71" i="1"/>
  <c r="L70" i="1"/>
  <c r="L69" i="1"/>
  <c r="O410" i="1"/>
  <c r="N347" i="1"/>
  <c r="N445" i="1"/>
  <c r="N475" i="1"/>
  <c r="L122" i="1"/>
  <c r="M122" i="1" s="1"/>
  <c r="O122" i="1" s="1"/>
  <c r="O433" i="1"/>
  <c r="N414" i="1"/>
  <c r="O330" i="1"/>
  <c r="O340" i="1"/>
  <c r="O469" i="1"/>
  <c r="N407" i="1"/>
  <c r="O468" i="1"/>
  <c r="O342" i="1"/>
  <c r="O257" i="1"/>
  <c r="N447" i="1"/>
  <c r="N120" i="1"/>
  <c r="O341" i="1"/>
  <c r="O384" i="1"/>
  <c r="O405" i="1"/>
  <c r="O413" i="1"/>
  <c r="O435" i="1"/>
  <c r="O454" i="1"/>
  <c r="O376" i="1"/>
  <c r="O404" i="1"/>
  <c r="O360" i="1"/>
  <c r="O466" i="1"/>
  <c r="O272" i="1"/>
  <c r="O350" i="1"/>
  <c r="O406" i="1"/>
  <c r="N343" i="1"/>
  <c r="O445" i="1"/>
  <c r="O425" i="1"/>
  <c r="L131" i="1"/>
  <c r="O273" i="1"/>
  <c r="O407" i="1"/>
  <c r="O415" i="1"/>
  <c r="L132" i="1"/>
  <c r="O344" i="1"/>
  <c r="N352" i="1"/>
  <c r="N408" i="1"/>
  <c r="N416" i="1"/>
  <c r="N468" i="1"/>
  <c r="O475" i="1"/>
  <c r="O348" i="1"/>
  <c r="O423" i="1"/>
  <c r="O280" i="1"/>
  <c r="O455" i="1"/>
  <c r="O260" i="1"/>
  <c r="L133" i="1"/>
  <c r="O282" i="1"/>
  <c r="N439" i="1"/>
  <c r="O444" i="1"/>
  <c r="N117" i="1"/>
  <c r="L134" i="1"/>
  <c r="O279" i="1"/>
  <c r="O352" i="1"/>
  <c r="O362" i="1"/>
  <c r="O408" i="1"/>
  <c r="O416" i="1"/>
  <c r="N469" i="1"/>
  <c r="O278" i="1"/>
  <c r="O345" i="1"/>
  <c r="O380" i="1"/>
  <c r="N409" i="1"/>
  <c r="O476" i="1"/>
  <c r="O442" i="1"/>
  <c r="O436" i="1"/>
  <c r="O346" i="1"/>
  <c r="O373" i="1"/>
  <c r="O391" i="1"/>
  <c r="N410" i="1"/>
  <c r="O412" i="1"/>
  <c r="L449" i="1"/>
  <c r="M449" i="1" s="1"/>
  <c r="O353" i="1"/>
  <c r="N50" i="1"/>
  <c r="N441" i="1"/>
  <c r="O470" i="1"/>
  <c r="L450" i="1"/>
  <c r="M450" i="1" s="1"/>
  <c r="N450" i="1" s="1"/>
  <c r="O385" i="1"/>
  <c r="O339" i="1"/>
  <c r="O354" i="1"/>
  <c r="O374" i="1"/>
  <c r="O402" i="1"/>
  <c r="L451" i="1"/>
  <c r="M451" i="1" s="1"/>
  <c r="N451" i="1" s="1"/>
  <c r="O270" i="1"/>
  <c r="O414" i="1"/>
  <c r="O275" i="1"/>
  <c r="N58" i="1"/>
  <c r="N151" i="1"/>
  <c r="O478" i="1"/>
  <c r="L452" i="1"/>
  <c r="O383" i="1"/>
  <c r="N383" i="1"/>
  <c r="N442" i="1"/>
  <c r="O453" i="1"/>
  <c r="N449" i="1"/>
  <c r="O449" i="1"/>
  <c r="O392" i="1"/>
  <c r="L426" i="1"/>
  <c r="M426" i="1" s="1"/>
  <c r="L427" i="1"/>
  <c r="M427" i="1" s="1"/>
  <c r="O427" i="1" s="1"/>
  <c r="L428" i="1"/>
  <c r="M428" i="1" s="1"/>
  <c r="N428" i="1" s="1"/>
  <c r="L429" i="1"/>
  <c r="M429" i="1" s="1"/>
  <c r="N429" i="1" s="1"/>
  <c r="O393" i="1"/>
  <c r="L430" i="1"/>
  <c r="M430" i="1" s="1"/>
  <c r="O430" i="1" s="1"/>
  <c r="O403" i="1"/>
  <c r="N411" i="1"/>
  <c r="N435" i="1"/>
  <c r="O411" i="1"/>
  <c r="N443" i="1"/>
  <c r="N444" i="1"/>
  <c r="N391" i="1"/>
  <c r="N446" i="1"/>
  <c r="O464" i="1"/>
  <c r="N353" i="1"/>
  <c r="O372" i="1"/>
  <c r="N377" i="1"/>
  <c r="O361" i="1"/>
  <c r="O375" i="1"/>
  <c r="N350" i="1"/>
  <c r="N337" i="1"/>
  <c r="O337" i="1"/>
  <c r="O379" i="1"/>
  <c r="N379" i="1"/>
  <c r="O364" i="1"/>
  <c r="N364" i="1"/>
  <c r="O389" i="1"/>
  <c r="N389" i="1"/>
  <c r="O366" i="1"/>
  <c r="N366" i="1"/>
  <c r="O370" i="1"/>
  <c r="N370" i="1"/>
  <c r="O474" i="1"/>
  <c r="N474" i="1"/>
  <c r="O336" i="1"/>
  <c r="N336" i="1"/>
  <c r="N387" i="1"/>
  <c r="O387" i="1"/>
  <c r="O358" i="1"/>
  <c r="N358" i="1"/>
  <c r="O381" i="1"/>
  <c r="N381" i="1"/>
  <c r="O349" i="1"/>
  <c r="N349" i="1"/>
  <c r="O333" i="1"/>
  <c r="N333" i="1"/>
  <c r="O367" i="1"/>
  <c r="N367" i="1"/>
  <c r="O335" i="1"/>
  <c r="N335" i="1"/>
  <c r="N472" i="1"/>
  <c r="O472" i="1"/>
  <c r="O480" i="1"/>
  <c r="N480" i="1"/>
  <c r="O368" i="1"/>
  <c r="N368" i="1"/>
  <c r="N473" i="1"/>
  <c r="O351" i="1"/>
  <c r="N351" i="1"/>
  <c r="N440" i="1"/>
  <c r="O451" i="1"/>
  <c r="N344" i="1"/>
  <c r="O357" i="1"/>
  <c r="N384" i="1"/>
  <c r="N394" i="1"/>
  <c r="N412" i="1"/>
  <c r="N423" i="1"/>
  <c r="O429" i="1"/>
  <c r="N329" i="1"/>
  <c r="O369" i="1"/>
  <c r="N369" i="1"/>
  <c r="O446" i="1"/>
  <c r="O462" i="1"/>
  <c r="N462" i="1"/>
  <c r="N342" i="1"/>
  <c r="N433" i="1"/>
  <c r="O477" i="1"/>
  <c r="O439" i="1"/>
  <c r="O332" i="1"/>
  <c r="N362" i="1"/>
  <c r="O378" i="1"/>
  <c r="O422" i="1"/>
  <c r="O458" i="1"/>
  <c r="N458" i="1"/>
  <c r="N380" i="1"/>
  <c r="N339" i="1"/>
  <c r="M479" i="1"/>
  <c r="M481" i="1"/>
  <c r="N345" i="1"/>
  <c r="N354" i="1"/>
  <c r="O465" i="1"/>
  <c r="N360" i="1"/>
  <c r="N413" i="1"/>
  <c r="O447" i="1"/>
  <c r="O471" i="1"/>
  <c r="N404" i="1"/>
  <c r="N415" i="1"/>
  <c r="O456" i="1"/>
  <c r="N456" i="1"/>
  <c r="N373" i="1"/>
  <c r="N348" i="1"/>
  <c r="O434" i="1"/>
  <c r="O363" i="1"/>
  <c r="N363" i="1"/>
  <c r="N436" i="1"/>
  <c r="M463" i="1"/>
  <c r="M459" i="1"/>
  <c r="M461" i="1"/>
  <c r="M457" i="1"/>
  <c r="N470" i="1"/>
  <c r="O424" i="1"/>
  <c r="O365" i="1"/>
  <c r="N365" i="1"/>
  <c r="N402" i="1"/>
  <c r="O437" i="1"/>
  <c r="M460" i="1"/>
  <c r="N330" i="1"/>
  <c r="M356" i="1"/>
  <c r="N425" i="1"/>
  <c r="O448" i="1"/>
  <c r="N466" i="1"/>
  <c r="N371" i="1"/>
  <c r="M482" i="1"/>
  <c r="N341" i="1"/>
  <c r="M355" i="1"/>
  <c r="O443" i="1"/>
  <c r="N455" i="1"/>
  <c r="O331" i="1"/>
  <c r="M386" i="1"/>
  <c r="M388" i="1"/>
  <c r="O409" i="1"/>
  <c r="O432" i="1"/>
  <c r="N432" i="1"/>
  <c r="N438" i="1"/>
  <c r="O467" i="1"/>
  <c r="N382" i="1"/>
  <c r="N477" i="1"/>
  <c r="M334" i="1"/>
  <c r="N465" i="1"/>
  <c r="N424" i="1"/>
  <c r="N434" i="1"/>
  <c r="N448" i="1"/>
  <c r="N467" i="1"/>
  <c r="N331" i="1"/>
  <c r="N374" i="1"/>
  <c r="N405" i="1"/>
  <c r="N454" i="1"/>
  <c r="N279" i="1"/>
  <c r="N278" i="1"/>
  <c r="M286" i="1"/>
  <c r="N286" i="1" s="1"/>
  <c r="M264" i="1"/>
  <c r="N264" i="1" s="1"/>
  <c r="M267" i="1"/>
  <c r="M261" i="1"/>
  <c r="N261" i="1" s="1"/>
  <c r="N273" i="1"/>
  <c r="N280" i="1"/>
  <c r="N274" i="1"/>
  <c r="O281" i="1"/>
  <c r="N281" i="1"/>
  <c r="O276" i="1"/>
  <c r="N276" i="1"/>
  <c r="O266" i="1"/>
  <c r="N266" i="1"/>
  <c r="N275" i="1"/>
  <c r="N282" i="1"/>
  <c r="N277" i="1"/>
  <c r="N257" i="1"/>
  <c r="N270" i="1"/>
  <c r="N260" i="1"/>
  <c r="M285" i="1"/>
  <c r="O269" i="1"/>
  <c r="M265" i="1"/>
  <c r="M262" i="1"/>
  <c r="N271" i="1"/>
  <c r="M283" i="1"/>
  <c r="M263" i="1"/>
  <c r="N272" i="1"/>
  <c r="N259" i="1"/>
  <c r="M284" i="1"/>
  <c r="O119" i="1"/>
  <c r="N113" i="1"/>
  <c r="L135" i="1"/>
  <c r="O143" i="1"/>
  <c r="N88" i="1"/>
  <c r="N146" i="1"/>
  <c r="N81" i="1"/>
  <c r="O89" i="1"/>
  <c r="L106" i="1"/>
  <c r="M106" i="1" s="1"/>
  <c r="O106" i="1" s="1"/>
  <c r="O108" i="1"/>
  <c r="O98" i="1"/>
  <c r="O118" i="1"/>
  <c r="L100" i="1"/>
  <c r="M100" i="1" s="1"/>
  <c r="O100" i="1" s="1"/>
  <c r="O128" i="1"/>
  <c r="O79" i="1"/>
  <c r="O59" i="1"/>
  <c r="O141" i="1"/>
  <c r="O144" i="1"/>
  <c r="O116" i="1"/>
  <c r="L102" i="1"/>
  <c r="M102" i="1" s="1"/>
  <c r="O102" i="1" s="1"/>
  <c r="O53" i="1"/>
  <c r="L103" i="1"/>
  <c r="M103" i="1" s="1"/>
  <c r="O103" i="1" s="1"/>
  <c r="N152" i="1"/>
  <c r="O90" i="1"/>
  <c r="O127" i="1"/>
  <c r="O58" i="1"/>
  <c r="O86" i="1"/>
  <c r="N82" i="1"/>
  <c r="N121" i="1"/>
  <c r="N147" i="1"/>
  <c r="L155" i="1"/>
  <c r="N143" i="1"/>
  <c r="L156" i="1"/>
  <c r="L153" i="1"/>
  <c r="L154" i="1"/>
  <c r="O80" i="1"/>
  <c r="O36" i="1"/>
  <c r="N98" i="1"/>
  <c r="O139" i="1"/>
  <c r="O37" i="1"/>
  <c r="O50" i="1"/>
  <c r="N127" i="1"/>
  <c r="O65" i="1"/>
  <c r="O76" i="1"/>
  <c r="N84" i="1"/>
  <c r="O150" i="1"/>
  <c r="O54" i="1"/>
  <c r="O84" i="1"/>
  <c r="N59" i="1"/>
  <c r="O114" i="1"/>
  <c r="O97" i="1"/>
  <c r="O121" i="1"/>
  <c r="O107" i="1"/>
  <c r="O147" i="1"/>
  <c r="O88" i="1"/>
  <c r="O82" i="1"/>
  <c r="O117" i="1"/>
  <c r="O57" i="1"/>
  <c r="O110" i="1"/>
  <c r="N119" i="1"/>
  <c r="N85" i="1"/>
  <c r="O151" i="1"/>
  <c r="N79" i="1"/>
  <c r="O138" i="1"/>
  <c r="O130" i="1"/>
  <c r="O68" i="1"/>
  <c r="O35" i="1"/>
  <c r="O46" i="1"/>
  <c r="O47" i="1"/>
  <c r="O81" i="1"/>
  <c r="O109" i="1"/>
  <c r="N141" i="1"/>
  <c r="N90" i="1"/>
  <c r="O85" i="1"/>
  <c r="O115" i="1"/>
  <c r="N89" i="1"/>
  <c r="O49" i="1"/>
  <c r="O78" i="1"/>
  <c r="N86" i="1"/>
  <c r="O96" i="1"/>
  <c r="O113" i="1"/>
  <c r="O67" i="1"/>
  <c r="O34" i="1"/>
  <c r="N114" i="1"/>
  <c r="O129" i="1"/>
  <c r="N145" i="1"/>
  <c r="O123" i="1"/>
  <c r="N123" i="1"/>
  <c r="O148" i="1"/>
  <c r="N148" i="1"/>
  <c r="O149" i="1"/>
  <c r="N149" i="1"/>
  <c r="O112" i="1"/>
  <c r="N112" i="1"/>
  <c r="O145" i="1"/>
  <c r="O120" i="1"/>
  <c r="N116" i="1"/>
  <c r="O140" i="1"/>
  <c r="N140" i="1"/>
  <c r="O111" i="1"/>
  <c r="N128" i="1"/>
  <c r="O146" i="1"/>
  <c r="N97" i="1"/>
  <c r="N111" i="1"/>
  <c r="O152" i="1"/>
  <c r="O142" i="1"/>
  <c r="N142" i="1"/>
  <c r="N118" i="1"/>
  <c r="O99" i="1"/>
  <c r="N99" i="1"/>
  <c r="N107" i="1"/>
  <c r="L126" i="1"/>
  <c r="L125" i="1"/>
  <c r="M125" i="1" s="1"/>
  <c r="L104" i="1"/>
  <c r="L124" i="1"/>
  <c r="M124" i="1" s="1"/>
  <c r="N144" i="1"/>
  <c r="O101" i="1"/>
  <c r="N115" i="1"/>
  <c r="N150" i="1"/>
  <c r="N108" i="1"/>
  <c r="N129" i="1"/>
  <c r="N138" i="1"/>
  <c r="N96" i="1"/>
  <c r="N109" i="1"/>
  <c r="N130" i="1"/>
  <c r="N139" i="1"/>
  <c r="N57" i="1"/>
  <c r="O48" i="1"/>
  <c r="N54" i="1"/>
  <c r="O51" i="1"/>
  <c r="N51" i="1"/>
  <c r="O52" i="1"/>
  <c r="N52" i="1"/>
  <c r="N53" i="1"/>
  <c r="O55" i="1"/>
  <c r="N55" i="1"/>
  <c r="O56" i="1"/>
  <c r="N56" i="1"/>
  <c r="N49" i="1"/>
  <c r="N36" i="1"/>
  <c r="O45" i="1"/>
  <c r="N37" i="1"/>
  <c r="N46" i="1"/>
  <c r="N35" i="1"/>
  <c r="N34" i="1"/>
  <c r="N47" i="1"/>
  <c r="O83" i="1"/>
  <c r="N83" i="1"/>
  <c r="O87" i="1"/>
  <c r="N87" i="1"/>
  <c r="N76" i="1"/>
  <c r="O66" i="1"/>
  <c r="O77" i="1"/>
  <c r="N67" i="1"/>
  <c r="N80" i="1"/>
  <c r="O39" i="1" l="1"/>
  <c r="N39" i="1"/>
  <c r="N100" i="1"/>
  <c r="N106" i="1"/>
  <c r="N430" i="1"/>
  <c r="O428" i="1"/>
  <c r="O264" i="1"/>
  <c r="N122" i="1"/>
  <c r="O286" i="1"/>
  <c r="O450" i="1"/>
  <c r="N426" i="1"/>
  <c r="O426" i="1"/>
  <c r="N427" i="1"/>
  <c r="O388" i="1"/>
  <c r="N388" i="1"/>
  <c r="O386" i="1"/>
  <c r="N386" i="1"/>
  <c r="O457" i="1"/>
  <c r="N457" i="1"/>
  <c r="O460" i="1"/>
  <c r="N460" i="1"/>
  <c r="O461" i="1"/>
  <c r="N461" i="1"/>
  <c r="N479" i="1"/>
  <c r="O479" i="1"/>
  <c r="O334" i="1"/>
  <c r="N334" i="1"/>
  <c r="O459" i="1"/>
  <c r="N459" i="1"/>
  <c r="N355" i="1"/>
  <c r="O355" i="1"/>
  <c r="O463" i="1"/>
  <c r="N463" i="1"/>
  <c r="O482" i="1"/>
  <c r="N482" i="1"/>
  <c r="N481" i="1"/>
  <c r="O481" i="1"/>
  <c r="N356" i="1"/>
  <c r="O356" i="1"/>
  <c r="O261" i="1"/>
  <c r="N265" i="1"/>
  <c r="O265" i="1"/>
  <c r="O283" i="1"/>
  <c r="N283" i="1"/>
  <c r="O285" i="1"/>
  <c r="N285" i="1"/>
  <c r="O267" i="1"/>
  <c r="N267" i="1"/>
  <c r="O262" i="1"/>
  <c r="N262" i="1"/>
  <c r="O263" i="1"/>
  <c r="N263" i="1"/>
  <c r="O284" i="1"/>
  <c r="N284" i="1"/>
  <c r="N103" i="1"/>
  <c r="N102" i="1"/>
  <c r="N41" i="1"/>
  <c r="N61" i="1"/>
  <c r="N40" i="1"/>
  <c r="O44" i="1"/>
  <c r="O124" i="1"/>
  <c r="N124" i="1"/>
  <c r="O104" i="1"/>
  <c r="N104" i="1"/>
  <c r="O125" i="1"/>
  <c r="N125" i="1"/>
  <c r="N60" i="1"/>
  <c r="N63" i="1"/>
  <c r="O42" i="1"/>
  <c r="N42" i="1"/>
  <c r="O38" i="1"/>
  <c r="N38" i="1"/>
  <c r="O62" i="1"/>
  <c r="N62" i="1"/>
  <c r="P14" i="1"/>
  <c r="M417" i="1" l="1"/>
  <c r="M419" i="1"/>
  <c r="M418" i="1"/>
  <c r="M420" i="1"/>
  <c r="L33" i="1"/>
  <c r="M156" i="1"/>
  <c r="M154" i="1"/>
  <c r="M153" i="1"/>
  <c r="L32" i="1"/>
  <c r="L30" i="1"/>
  <c r="L31" i="1"/>
  <c r="L29" i="1"/>
  <c r="M155" i="1"/>
  <c r="M92" i="1"/>
  <c r="M94" i="1"/>
  <c r="M93" i="1"/>
  <c r="M91" i="1"/>
  <c r="O420" i="1" l="1"/>
  <c r="N420" i="1"/>
  <c r="O418" i="1"/>
  <c r="N418" i="1"/>
  <c r="N419" i="1"/>
  <c r="O419" i="1"/>
  <c r="O417" i="1"/>
  <c r="N417" i="1"/>
  <c r="N155" i="1"/>
  <c r="O155" i="1"/>
  <c r="O153" i="1"/>
  <c r="N153" i="1"/>
  <c r="N154" i="1"/>
  <c r="O154" i="1"/>
  <c r="O156" i="1"/>
  <c r="N156" i="1"/>
  <c r="O92" i="1"/>
  <c r="N92" i="1"/>
  <c r="O93" i="1"/>
  <c r="N93" i="1"/>
  <c r="O94" i="1"/>
  <c r="N94" i="1"/>
  <c r="O91" i="1"/>
  <c r="N91" i="1"/>
  <c r="M30" i="1" l="1"/>
  <c r="N30" i="1" s="1"/>
  <c r="M27" i="1"/>
  <c r="M26" i="1"/>
  <c r="M25" i="1"/>
  <c r="M24" i="1"/>
  <c r="M23" i="1"/>
  <c r="M22" i="1"/>
  <c r="M21" i="1"/>
  <c r="M20" i="1"/>
  <c r="M19" i="1"/>
  <c r="M18" i="1"/>
  <c r="N18" i="1" s="1"/>
  <c r="M17" i="1"/>
  <c r="N17" i="1" s="1"/>
  <c r="M16" i="1"/>
  <c r="N16" i="1" s="1"/>
  <c r="M15" i="1"/>
  <c r="N15" i="1" s="1"/>
  <c r="M14" i="1"/>
  <c r="N14" i="1" s="1"/>
  <c r="M6" i="1"/>
  <c r="N6" i="1" s="1"/>
  <c r="M5" i="1"/>
  <c r="N5" i="1" s="1"/>
  <c r="M4" i="1"/>
  <c r="N4" i="1" s="1"/>
  <c r="M32" i="1"/>
  <c r="M31" i="1"/>
  <c r="N31" i="1" s="1"/>
  <c r="K31" i="1"/>
  <c r="F31" i="1"/>
  <c r="K30" i="1"/>
  <c r="F30" i="1"/>
  <c r="M29" i="1"/>
  <c r="N29" i="1" s="1"/>
  <c r="K29" i="1"/>
  <c r="M28" i="1"/>
  <c r="K28" i="1"/>
  <c r="E28" i="1"/>
  <c r="K27" i="1"/>
  <c r="E27" i="1"/>
  <c r="N27" i="1" s="1"/>
  <c r="K26" i="1"/>
  <c r="E26" i="1"/>
  <c r="K25" i="1"/>
  <c r="E25" i="1"/>
  <c r="K24" i="1"/>
  <c r="E24" i="1"/>
  <c r="K23" i="1"/>
  <c r="E23" i="1"/>
  <c r="N23" i="1" s="1"/>
  <c r="K22" i="1"/>
  <c r="E22" i="1"/>
  <c r="K21" i="1"/>
  <c r="E21" i="1"/>
  <c r="K20" i="1"/>
  <c r="E20" i="1"/>
  <c r="K19" i="1"/>
  <c r="E19" i="1"/>
  <c r="K18" i="1"/>
  <c r="K17" i="1"/>
  <c r="K16" i="1"/>
  <c r="K15" i="1"/>
  <c r="K14" i="1"/>
  <c r="K13" i="1"/>
  <c r="K12" i="1"/>
  <c r="K11" i="1"/>
  <c r="F11" i="1"/>
  <c r="K10" i="1"/>
  <c r="F10" i="1"/>
  <c r="K9" i="1"/>
  <c r="K8" i="1"/>
  <c r="K7" i="1"/>
  <c r="K6" i="1"/>
  <c r="F6" i="1"/>
  <c r="K5" i="1"/>
  <c r="F5" i="1"/>
  <c r="K4" i="1"/>
  <c r="F4" i="1"/>
  <c r="K3" i="1"/>
  <c r="F3" i="1"/>
  <c r="N21" i="1" l="1"/>
  <c r="O19" i="1"/>
  <c r="N26" i="1"/>
  <c r="O20" i="1"/>
  <c r="N28" i="1"/>
  <c r="N24" i="1"/>
  <c r="N22" i="1"/>
  <c r="N19" i="1"/>
  <c r="N25" i="1"/>
  <c r="N20" i="1"/>
  <c r="O15" i="1"/>
  <c r="O22" i="1"/>
  <c r="O23" i="1"/>
  <c r="O24" i="1"/>
  <c r="O14" i="1"/>
  <c r="O18" i="1"/>
  <c r="O25" i="1"/>
  <c r="O4" i="1"/>
  <c r="O21" i="1"/>
  <c r="O28" i="1"/>
  <c r="O26" i="1"/>
  <c r="O31" i="1"/>
  <c r="O6" i="1"/>
  <c r="O17" i="1"/>
  <c r="O29" i="1"/>
  <c r="O27" i="1"/>
  <c r="O16" i="1"/>
  <c r="O30" i="1"/>
  <c r="O5" i="1"/>
  <c r="N32" i="1"/>
  <c r="O32" i="1"/>
  <c r="M3" i="1"/>
  <c r="P3" i="1"/>
  <c r="L12" i="1" s="1"/>
  <c r="M398" i="1" l="1"/>
  <c r="M399" i="1"/>
  <c r="M396" i="1"/>
  <c r="M401" i="1"/>
  <c r="M400" i="1"/>
  <c r="M397" i="1"/>
  <c r="L431" i="1"/>
  <c r="M431" i="1" s="1"/>
  <c r="O3" i="1"/>
  <c r="M137" i="1"/>
  <c r="L8" i="1"/>
  <c r="M43" i="1"/>
  <c r="L7" i="1"/>
  <c r="L13" i="1"/>
  <c r="M136" i="1"/>
  <c r="M133" i="1"/>
  <c r="M132" i="1"/>
  <c r="M131" i="1"/>
  <c r="M105" i="1"/>
  <c r="L11" i="1"/>
  <c r="L10" i="1"/>
  <c r="L9" i="1"/>
  <c r="M135" i="1"/>
  <c r="M134" i="1"/>
  <c r="M71" i="1"/>
  <c r="M74" i="1"/>
  <c r="M70" i="1"/>
  <c r="M75" i="1"/>
  <c r="M73" i="1"/>
  <c r="M69" i="1"/>
  <c r="M72" i="1"/>
  <c r="N3" i="1"/>
  <c r="L158" i="1" l="1"/>
  <c r="L487" i="1"/>
  <c r="O431" i="1"/>
  <c r="N431" i="1"/>
  <c r="O397" i="1"/>
  <c r="N397" i="1"/>
  <c r="O400" i="1"/>
  <c r="N400" i="1"/>
  <c r="N401" i="1"/>
  <c r="O401" i="1"/>
  <c r="O396" i="1"/>
  <c r="N396" i="1"/>
  <c r="N399" i="1"/>
  <c r="O399" i="1"/>
  <c r="M395" i="1"/>
  <c r="M487" i="1" s="1"/>
  <c r="L319" i="1"/>
  <c r="N398" i="1"/>
  <c r="O398" i="1"/>
  <c r="N105" i="1"/>
  <c r="O105" i="1"/>
  <c r="N132" i="1"/>
  <c r="O132" i="1"/>
  <c r="O136" i="1"/>
  <c r="N136" i="1"/>
  <c r="O131" i="1"/>
  <c r="N131" i="1"/>
  <c r="O133" i="1"/>
  <c r="N133" i="1"/>
  <c r="O134" i="1"/>
  <c r="N134" i="1"/>
  <c r="O135" i="1"/>
  <c r="N135" i="1"/>
  <c r="O43" i="1"/>
  <c r="N43" i="1"/>
  <c r="O137" i="1"/>
  <c r="N137" i="1"/>
  <c r="O72" i="1"/>
  <c r="N72" i="1"/>
  <c r="O69" i="1"/>
  <c r="N69" i="1"/>
  <c r="O75" i="1"/>
  <c r="N75" i="1"/>
  <c r="O74" i="1"/>
  <c r="N74" i="1"/>
  <c r="O73" i="1"/>
  <c r="N73" i="1"/>
  <c r="O70" i="1"/>
  <c r="N70" i="1"/>
  <c r="O71" i="1"/>
  <c r="N71" i="1"/>
  <c r="M8" i="1"/>
  <c r="N8" i="1" s="1"/>
  <c r="M9" i="1"/>
  <c r="N9" i="1" s="1"/>
  <c r="M10" i="1"/>
  <c r="N10" i="1" s="1"/>
  <c r="M13" i="1"/>
  <c r="N13" i="1" s="1"/>
  <c r="M11" i="1"/>
  <c r="N11" i="1" s="1"/>
  <c r="M12" i="1"/>
  <c r="N12" i="1" s="1"/>
  <c r="M7" i="1"/>
  <c r="O395" i="1" l="1"/>
  <c r="O487" i="1" s="1"/>
  <c r="N395" i="1"/>
  <c r="N487" i="1" s="1"/>
  <c r="N7" i="1"/>
  <c r="N158" i="1" s="1"/>
  <c r="M158" i="1"/>
  <c r="O319" i="1"/>
  <c r="N319" i="1"/>
  <c r="M319" i="1"/>
  <c r="O8" i="1"/>
  <c r="O11" i="1"/>
  <c r="O12" i="1"/>
  <c r="O10" i="1"/>
  <c r="O13" i="1"/>
  <c r="O9" i="1"/>
  <c r="O7" i="1"/>
  <c r="O158" i="1" l="1"/>
  <c r="O159" i="1" s="1"/>
  <c r="N159" i="1"/>
</calcChain>
</file>

<file path=xl/sharedStrings.xml><?xml version="1.0" encoding="utf-8"?>
<sst xmlns="http://schemas.openxmlformats.org/spreadsheetml/2006/main" count="1004" uniqueCount="63">
  <si>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</si>
  <si>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</si>
  <si>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</si>
  <si>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</si>
  <si>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</si>
  <si>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</si>
  <si>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</si>
  <si>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</si>
  <si>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</si>
  <si>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</si>
  <si>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</si>
  <si>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</si>
  <si>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</si>
  <si>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</si>
  <si>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Fosco</t>
  </si>
  <si>
    <t>TMT</t>
  </si>
  <si>
    <t>RF152 Zero Cant</t>
  </si>
  <si>
    <t>RF152 1:30</t>
  </si>
  <si>
    <t>RF152 1:40</t>
  </si>
  <si>
    <t>RF152 1:80</t>
  </si>
  <si>
    <t>5mm RaIL Pad 13877</t>
  </si>
  <si>
    <t>3mm Base Pad RF152</t>
  </si>
  <si>
    <t>Nylon Dowels 165 closed</t>
  </si>
  <si>
    <t>Screwspike 165</t>
  </si>
  <si>
    <t>Fe6 Spring Washer</t>
  </si>
  <si>
    <t>Rail Clip</t>
  </si>
  <si>
    <t>Insulator</t>
  </si>
  <si>
    <t>Turnouts Type I</t>
  </si>
  <si>
    <t>Turnouts Type II</t>
  </si>
  <si>
    <t>Turuts Type III</t>
  </si>
  <si>
    <t>Turnouts Type IV</t>
  </si>
  <si>
    <t>Turnouts Type V</t>
  </si>
  <si>
    <t>3mm HDPE Top Pad Type I</t>
  </si>
  <si>
    <t>3mm HDPE Base Pad Type I</t>
  </si>
  <si>
    <t>3mm HDPE Top Pad Type II</t>
  </si>
  <si>
    <t>3mm HDPE Base Pad Type II</t>
  </si>
  <si>
    <t>3mm HDPE Top Pad Type III</t>
  </si>
  <si>
    <t>3mm HDPE Base Pad Type III</t>
  </si>
  <si>
    <t>3mm HDPE Top Pad Type IV</t>
  </si>
  <si>
    <t>3mm HDPE Base Pad Type IV</t>
  </si>
  <si>
    <t>3mm HDPE Top Pad Type V</t>
  </si>
  <si>
    <t>3mm HDPE Base Pad Type V</t>
  </si>
  <si>
    <t>Plain Washer</t>
  </si>
  <si>
    <t>M24x70 HT Bolt</t>
  </si>
  <si>
    <t>PO</t>
  </si>
  <si>
    <t>#1</t>
  </si>
  <si>
    <t>M24 Heavy Helical Spring Lock Washe</t>
  </si>
  <si>
    <t>Sudelan</t>
  </si>
  <si>
    <t>Total</t>
  </si>
  <si>
    <t>MSP00873</t>
  </si>
  <si>
    <t xml:space="preserve">Storage Pallet </t>
  </si>
  <si>
    <t>UGL</t>
  </si>
  <si>
    <t>Dowels</t>
  </si>
  <si>
    <t>ABP-01</t>
  </si>
  <si>
    <t>ABP-02</t>
  </si>
  <si>
    <t>ABP-011</t>
  </si>
  <si>
    <t>ABP-012</t>
  </si>
  <si>
    <t>Diamond</t>
  </si>
  <si>
    <t>1x20GP</t>
  </si>
  <si>
    <t>#2</t>
  </si>
  <si>
    <t>1x40GP</t>
  </si>
  <si>
    <t>MSP00871</t>
  </si>
  <si>
    <t>Air Bellows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</si>
</sst>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;[Red]\-0.00\ "/>
    <numFmt numFmtId="177" formatCode="0.00_ "/>
    <numFmt numFmtId="178" formatCode="[$-C09]dd\-mmm\-yy;@"/>
    <numFmt numFmtId="179" formatCode="0_ 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rgb="FF002060"/>
      <name val="Arial"/>
      <family val="2"/>
    </font>
    <font>
      <sz val="1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等线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78" fontId="1" fillId="0" borderId="0"/>
  </cellStyleXfs>
  <cellXfs count="1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6" fontId="3" fillId="4" borderId="3" xfId="1" applyNumberFormat="1" applyFont="1" applyFill="1" applyBorder="1" applyAlignment="1">
      <alignment horizontal="center" vertical="center"/>
    </xf>
    <xf numFmtId="176" fontId="0" fillId="4" borderId="3" xfId="1" applyNumberFormat="1" applyFon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0" fontId="0" fillId="5" borderId="0" xfId="0" applyFill="1"/>
    <xf numFmtId="2" fontId="2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0" fillId="5" borderId="3" xfId="0" applyFill="1" applyBorder="1" applyAlignment="1">
      <alignment horizontal="center" vertical="center"/>
    </xf>
    <xf numFmtId="178" fontId="0" fillId="5" borderId="3" xfId="0" applyNumberFormat="1" applyFill="1" applyBorder="1" applyAlignment="1">
      <alignment horizontal="center" vertical="center"/>
    </xf>
    <xf numFmtId="177" fontId="0" fillId="5" borderId="3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76" fontId="3" fillId="5" borderId="3" xfId="1" applyNumberFormat="1" applyFont="1" applyFill="1" applyBorder="1" applyAlignment="1">
      <alignment horizontal="center" vertical="center"/>
    </xf>
    <xf numFmtId="176" fontId="0" fillId="5" borderId="3" xfId="1" applyNumberFormat="1" applyFon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76" fontId="0" fillId="5" borderId="3" xfId="0" applyNumberForma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77" fontId="5" fillId="5" borderId="3" xfId="0" applyNumberFormat="1" applyFont="1" applyFill="1" applyBorder="1" applyAlignment="1">
      <alignment horizontal="center" vertical="center"/>
    </xf>
    <xf numFmtId="176" fontId="4" fillId="5" borderId="3" xfId="0" applyNumberFormat="1" applyFont="1" applyFill="1" applyBorder="1" applyAlignment="1">
      <alignment horizontal="center" vertical="center"/>
    </xf>
    <xf numFmtId="2" fontId="4" fillId="5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6" borderId="0" xfId="0" applyFill="1"/>
    <xf numFmtId="0" fontId="0" fillId="6" borderId="3" xfId="0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178" fontId="0" fillId="6" borderId="3" xfId="0" applyNumberFormat="1" applyFill="1" applyBorder="1" applyAlignment="1">
      <alignment horizontal="center" vertical="center"/>
    </xf>
    <xf numFmtId="177" fontId="0" fillId="6" borderId="3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176" fontId="0" fillId="6" borderId="3" xfId="0" applyNumberFormat="1" applyFill="1" applyBorder="1" applyAlignment="1">
      <alignment horizontal="center" vertical="center"/>
    </xf>
    <xf numFmtId="176" fontId="3" fillId="6" borderId="3" xfId="1" applyNumberFormat="1" applyFont="1" applyFill="1" applyBorder="1" applyAlignment="1">
      <alignment horizontal="center" vertical="center"/>
    </xf>
    <xf numFmtId="176" fontId="0" fillId="6" borderId="3" xfId="1" applyNumberFormat="1" applyFont="1" applyFill="1" applyBorder="1" applyAlignment="1">
      <alignment horizontal="center" vertical="center"/>
    </xf>
    <xf numFmtId="176" fontId="4" fillId="6" borderId="3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77" fontId="5" fillId="6" borderId="3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4" borderId="3" xfId="0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7" fontId="0" fillId="4" borderId="3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4" fillId="4" borderId="3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77" fontId="5" fillId="4" borderId="3" xfId="0" applyNumberFormat="1" applyFont="1" applyFill="1" applyBorder="1" applyAlignment="1">
      <alignment horizontal="center" vertical="center"/>
    </xf>
    <xf numFmtId="176" fontId="3" fillId="0" borderId="3" xfId="1" applyNumberFormat="1" applyFont="1" applyBorder="1" applyAlignment="1">
      <alignment horizontal="center" vertical="center"/>
    </xf>
    <xf numFmtId="176" fontId="0" fillId="0" borderId="3" xfId="1" applyNumberFormat="1" applyFont="1" applyBorder="1" applyAlignment="1">
      <alignment horizontal="center" vertical="center"/>
    </xf>
    <xf numFmtId="0" fontId="0" fillId="7" borderId="0" xfId="0" applyFill="1"/>
    <xf numFmtId="0" fontId="0" fillId="7" borderId="3" xfId="0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178" fontId="0" fillId="7" borderId="3" xfId="0" applyNumberFormat="1" applyFill="1" applyBorder="1" applyAlignment="1">
      <alignment horizontal="center" vertical="center"/>
    </xf>
    <xf numFmtId="177" fontId="0" fillId="7" borderId="3" xfId="0" applyNumberFormat="1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176" fontId="0" fillId="7" borderId="3" xfId="0" applyNumberFormat="1" applyFill="1" applyBorder="1" applyAlignment="1">
      <alignment horizontal="center" vertical="center"/>
    </xf>
    <xf numFmtId="176" fontId="3" fillId="7" borderId="3" xfId="1" applyNumberFormat="1" applyFont="1" applyFill="1" applyBorder="1" applyAlignment="1">
      <alignment horizontal="center" vertical="center"/>
    </xf>
    <xf numFmtId="176" fontId="0" fillId="7" borderId="3" xfId="1" applyNumberFormat="1" applyFont="1" applyFill="1" applyBorder="1" applyAlignment="1">
      <alignment horizontal="center" vertical="center"/>
    </xf>
    <xf numFmtId="176" fontId="4" fillId="7" borderId="3" xfId="0" applyNumberFormat="1" applyFont="1" applyFill="1" applyBorder="1" applyAlignment="1">
      <alignment horizontal="center" vertical="center"/>
    </xf>
    <xf numFmtId="2" fontId="4" fillId="7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77" fontId="5" fillId="7" borderId="3" xfId="0" applyNumberFormat="1" applyFont="1" applyFill="1" applyBorder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1" fillId="4" borderId="0" xfId="0" applyFont="1" applyFill="1"/>
    <xf numFmtId="0" fontId="6" fillId="4" borderId="0" xfId="0" applyFont="1" applyFill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2" fontId="7" fillId="4" borderId="3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0" xfId="0" applyFont="1"/>
    <xf numFmtId="0" fontId="7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79" fontId="5" fillId="0" borderId="2" xfId="0" applyNumberFormat="1" applyFont="1" applyBorder="1" applyAlignment="1">
      <alignment horizontal="center" vertical="center"/>
    </xf>
    <xf numFmtId="179" fontId="5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179" fontId="5" fillId="4" borderId="2" xfId="0" applyNumberFormat="1" applyFont="1" applyFill="1" applyBorder="1" applyAlignment="1">
      <alignment horizontal="center" vertical="center"/>
    </xf>
    <xf numFmtId="179" fontId="5" fillId="4" borderId="4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77" fontId="5" fillId="4" borderId="2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179" fontId="5" fillId="6" borderId="2" xfId="0" applyNumberFormat="1" applyFont="1" applyFill="1" applyBorder="1" applyAlignment="1">
      <alignment horizontal="center" vertical="center"/>
    </xf>
    <xf numFmtId="179" fontId="5" fillId="6" borderId="4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77" fontId="5" fillId="6" borderId="2" xfId="0" applyNumberFormat="1" applyFont="1" applyFill="1" applyBorder="1" applyAlignment="1">
      <alignment horizontal="center" vertical="center"/>
    </xf>
    <xf numFmtId="177" fontId="5" fillId="6" borderId="4" xfId="0" applyNumberFormat="1" applyFon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179" fontId="5" fillId="7" borderId="2" xfId="0" applyNumberFormat="1" applyFont="1" applyFill="1" applyBorder="1" applyAlignment="1">
      <alignment horizontal="center" vertical="center"/>
    </xf>
    <xf numFmtId="179" fontId="5" fillId="7" borderId="4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177" fontId="5" fillId="7" borderId="2" xfId="0" applyNumberFormat="1" applyFont="1" applyFill="1" applyBorder="1" applyAlignment="1">
      <alignment horizontal="center" vertical="center"/>
    </xf>
    <xf numFmtId="177" fontId="5" fillId="7" borderId="4" xfId="0" applyNumberFormat="1" applyFon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179" fontId="5" fillId="5" borderId="2" xfId="0" applyNumberFormat="1" applyFont="1" applyFill="1" applyBorder="1" applyAlignment="1">
      <alignment horizontal="center" vertical="center"/>
    </xf>
    <xf numFmtId="179" fontId="5" fillId="5" borderId="4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7" fontId="5" fillId="5" borderId="2" xfId="0" applyNumberFormat="1" applyFont="1" applyFill="1" applyBorder="1" applyAlignment="1">
      <alignment horizontal="center" vertical="center"/>
    </xf>
    <xf numFmtId="177" fontId="5" fillId="5" borderId="4" xfId="0" applyNumberFormat="1" applyFon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2">
    <cellStyle name="Normal 3 2" xfId="1" xr:uid="{32D1FDA4-AB84-407A-B848-E9C9715FEAEA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487"/>
  <sheetViews>
    <sheetView tabSelected="1" topLeftCell="B1" zoomScaleNormal="100" workbookViewId="0">
      <selection activeCell="I159" sqref="I159"/>
    </sheetView>
  </sheetViews>
  <sheetFormatPr defaultRowHeight="14.25" x14ac:dyDescent="0.2"/>
  <cols>
    <col min="3" max="3" width="39.5" bestFit="1" customWidth="1"/>
    <col min="13" max="13" width="10.5" bestFit="1" customWidth="1"/>
    <col min="14" max="14" width="9.5" bestFit="1" customWidth="1"/>
    <col min="15" max="15" width="12.5" style="19" bestFit="1" customWidth="1"/>
  </cols>
  <sheetData>
    <row r="1" spans="1:17" ht="24" thickBot="1" x14ac:dyDescent="0.4">
      <c r="A1" s="86" t="s">
        <v>48</v>
      </c>
    </row>
    <row r="2" spans="1:17" ht="30" x14ac:dyDescent="0.2">
      <c r="A2" s="1" t="s">
        <v>44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83" t="s">
        <v>10</v>
      </c>
      <c r="M2" s="2" t="s">
        <v>11</v>
      </c>
      <c r="N2" s="2" t="s">
        <v>12</v>
      </c>
      <c r="O2" s="18" t="s">
        <v>13</v>
      </c>
    </row>
    <row r="3" spans="1:17" s="17" customFormat="1" hidden="1" x14ac:dyDescent="0.2">
      <c r="A3" s="17">
        <v>9270</v>
      </c>
      <c r="B3" s="20" t="s">
        <v>15</v>
      </c>
      <c r="C3" s="20" t="s">
        <v>16</v>
      </c>
      <c r="D3" s="20">
        <v>30</v>
      </c>
      <c r="E3" s="20">
        <v>669</v>
      </c>
      <c r="F3" s="20">
        <f>E3-G3</f>
        <v>53</v>
      </c>
      <c r="G3" s="20">
        <v>616</v>
      </c>
      <c r="H3" s="20">
        <v>1</v>
      </c>
      <c r="I3" s="20">
        <v>0.9</v>
      </c>
      <c r="J3" s="20">
        <v>0.73</v>
      </c>
      <c r="K3" s="20">
        <f t="shared" ref="K3:K31" si="0">H3*I3*J3</f>
        <v>0.65700000000000003</v>
      </c>
      <c r="L3" s="20">
        <v>104</v>
      </c>
      <c r="M3" s="23">
        <f t="shared" ref="M3:M32" si="1">L3/D3</f>
        <v>3.4666666666666668</v>
      </c>
      <c r="N3" s="23">
        <f t="shared" ref="N3:N32" si="2">E3*M3</f>
        <v>2319.2000000000003</v>
      </c>
      <c r="O3" s="23">
        <f>M3*K3</f>
        <v>2.2776000000000001</v>
      </c>
      <c r="P3" s="147">
        <f>SUM(L3:L6)</f>
        <v>122</v>
      </c>
      <c r="Q3" s="91" t="s">
        <v>53</v>
      </c>
    </row>
    <row r="4" spans="1:17" s="17" customFormat="1" hidden="1" x14ac:dyDescent="0.2">
      <c r="A4" s="17">
        <v>9270</v>
      </c>
      <c r="B4" s="20" t="s">
        <v>15</v>
      </c>
      <c r="C4" s="20" t="s">
        <v>17</v>
      </c>
      <c r="D4" s="20">
        <v>30</v>
      </c>
      <c r="E4" s="20">
        <v>669</v>
      </c>
      <c r="F4" s="20">
        <f>E4-G4</f>
        <v>53</v>
      </c>
      <c r="G4" s="20">
        <v>616</v>
      </c>
      <c r="H4" s="20">
        <v>1</v>
      </c>
      <c r="I4" s="20">
        <v>0.9</v>
      </c>
      <c r="J4" s="20">
        <v>0.73</v>
      </c>
      <c r="K4" s="20">
        <f t="shared" si="0"/>
        <v>0.65700000000000003</v>
      </c>
      <c r="L4" s="20">
        <v>6</v>
      </c>
      <c r="M4" s="23">
        <f t="shared" si="1"/>
        <v>0.2</v>
      </c>
      <c r="N4" s="23">
        <f t="shared" si="2"/>
        <v>133.80000000000001</v>
      </c>
      <c r="O4" s="23">
        <f t="shared" ref="O4:O32" si="3">M4*K4</f>
        <v>0.13140000000000002</v>
      </c>
      <c r="P4" s="147"/>
      <c r="Q4" s="92"/>
    </row>
    <row r="5" spans="1:17" s="17" customFormat="1" hidden="1" x14ac:dyDescent="0.2">
      <c r="A5" s="17">
        <v>9270</v>
      </c>
      <c r="B5" s="20" t="s">
        <v>15</v>
      </c>
      <c r="C5" s="20" t="s">
        <v>18</v>
      </c>
      <c r="D5" s="20">
        <v>30</v>
      </c>
      <c r="E5" s="20">
        <v>669</v>
      </c>
      <c r="F5" s="20">
        <f>E5-G5</f>
        <v>53</v>
      </c>
      <c r="G5" s="20">
        <v>616</v>
      </c>
      <c r="H5" s="20">
        <v>1</v>
      </c>
      <c r="I5" s="20">
        <v>0.9</v>
      </c>
      <c r="J5" s="20">
        <v>0.73</v>
      </c>
      <c r="K5" s="20">
        <f t="shared" si="0"/>
        <v>0.65700000000000003</v>
      </c>
      <c r="L5" s="20">
        <v>6</v>
      </c>
      <c r="M5" s="23">
        <f t="shared" si="1"/>
        <v>0.2</v>
      </c>
      <c r="N5" s="23">
        <f t="shared" si="2"/>
        <v>133.80000000000001</v>
      </c>
      <c r="O5" s="23">
        <f t="shared" si="3"/>
        <v>0.13140000000000002</v>
      </c>
      <c r="P5" s="147"/>
      <c r="Q5" s="92"/>
    </row>
    <row r="6" spans="1:17" s="17" customFormat="1" hidden="1" x14ac:dyDescent="0.2">
      <c r="A6" s="17">
        <v>9270</v>
      </c>
      <c r="B6" s="20" t="s">
        <v>15</v>
      </c>
      <c r="C6" s="20" t="s">
        <v>19</v>
      </c>
      <c r="D6" s="20">
        <v>30</v>
      </c>
      <c r="E6" s="20">
        <v>669</v>
      </c>
      <c r="F6" s="20">
        <f>E6-G6</f>
        <v>53</v>
      </c>
      <c r="G6" s="20">
        <v>616</v>
      </c>
      <c r="H6" s="20">
        <v>1</v>
      </c>
      <c r="I6" s="20">
        <v>0.9</v>
      </c>
      <c r="J6" s="20">
        <v>0.73</v>
      </c>
      <c r="K6" s="20">
        <f t="shared" si="0"/>
        <v>0.65700000000000003</v>
      </c>
      <c r="L6" s="20">
        <v>6</v>
      </c>
      <c r="M6" s="23">
        <f t="shared" si="1"/>
        <v>0.2</v>
      </c>
      <c r="N6" s="23">
        <f t="shared" si="2"/>
        <v>133.80000000000001</v>
      </c>
      <c r="O6" s="23">
        <f t="shared" si="3"/>
        <v>0.13140000000000002</v>
      </c>
      <c r="P6" s="147"/>
      <c r="Q6" s="92"/>
    </row>
    <row r="7" spans="1:17" s="17" customFormat="1" hidden="1" x14ac:dyDescent="0.2">
      <c r="A7" s="17">
        <v>9278</v>
      </c>
      <c r="B7" s="20" t="s">
        <v>14</v>
      </c>
      <c r="C7" s="21" t="s">
        <v>20</v>
      </c>
      <c r="D7" s="20">
        <v>5000</v>
      </c>
      <c r="E7" s="20">
        <v>490</v>
      </c>
      <c r="F7" s="20">
        <v>40</v>
      </c>
      <c r="G7" s="20">
        <v>450</v>
      </c>
      <c r="H7" s="20">
        <v>1</v>
      </c>
      <c r="I7" s="20">
        <v>0.98</v>
      </c>
      <c r="J7" s="20">
        <v>0.83</v>
      </c>
      <c r="K7" s="22">
        <f t="shared" si="0"/>
        <v>0.8133999999999999</v>
      </c>
      <c r="L7" s="20">
        <f>P3</f>
        <v>122</v>
      </c>
      <c r="M7" s="23">
        <f t="shared" si="1"/>
        <v>2.4400000000000002E-2</v>
      </c>
      <c r="N7" s="23">
        <f t="shared" si="2"/>
        <v>11.956000000000001</v>
      </c>
      <c r="O7" s="23">
        <f t="shared" si="3"/>
        <v>1.984696E-2</v>
      </c>
      <c r="Q7" s="92"/>
    </row>
    <row r="8" spans="1:17" s="17" customFormat="1" hidden="1" x14ac:dyDescent="0.2">
      <c r="A8" s="17">
        <v>9278</v>
      </c>
      <c r="B8" s="20" t="s">
        <v>14</v>
      </c>
      <c r="C8" s="21" t="s">
        <v>21</v>
      </c>
      <c r="D8" s="20">
        <v>360</v>
      </c>
      <c r="E8" s="20">
        <v>390</v>
      </c>
      <c r="F8" s="20">
        <v>40</v>
      </c>
      <c r="G8" s="20">
        <v>350</v>
      </c>
      <c r="H8" s="20">
        <v>1.05</v>
      </c>
      <c r="I8" s="20">
        <v>0.95</v>
      </c>
      <c r="J8" s="20">
        <v>0.55000000000000004</v>
      </c>
      <c r="K8" s="22">
        <f t="shared" si="0"/>
        <v>0.54862500000000003</v>
      </c>
      <c r="L8" s="20">
        <f>P3</f>
        <v>122</v>
      </c>
      <c r="M8" s="23">
        <f t="shared" si="1"/>
        <v>0.33888888888888891</v>
      </c>
      <c r="N8" s="23">
        <f t="shared" si="2"/>
        <v>132.16666666666669</v>
      </c>
      <c r="O8" s="23">
        <f t="shared" si="3"/>
        <v>0.18592291666666669</v>
      </c>
      <c r="Q8" s="92"/>
    </row>
    <row r="9" spans="1:17" s="17" customFormat="1" hidden="1" x14ac:dyDescent="0.2">
      <c r="A9" s="17">
        <v>8952</v>
      </c>
      <c r="B9" s="20" t="s">
        <v>14</v>
      </c>
      <c r="C9" s="21" t="s">
        <v>22</v>
      </c>
      <c r="D9" s="26">
        <v>3000</v>
      </c>
      <c r="E9" s="27">
        <v>235</v>
      </c>
      <c r="F9" s="20">
        <v>35</v>
      </c>
      <c r="G9" s="27">
        <v>200</v>
      </c>
      <c r="H9" s="20">
        <v>1.1000000000000001</v>
      </c>
      <c r="I9" s="20">
        <v>1.1000000000000001</v>
      </c>
      <c r="J9" s="20">
        <v>1.02</v>
      </c>
      <c r="K9" s="22">
        <f t="shared" si="0"/>
        <v>1.2342000000000002</v>
      </c>
      <c r="L9" s="20">
        <f>P3*4</f>
        <v>488</v>
      </c>
      <c r="M9" s="23">
        <f t="shared" si="1"/>
        <v>0.16266666666666665</v>
      </c>
      <c r="N9" s="23">
        <f t="shared" si="2"/>
        <v>38.226666666666667</v>
      </c>
      <c r="O9" s="23">
        <f t="shared" si="3"/>
        <v>0.2007632</v>
      </c>
      <c r="Q9" s="92"/>
    </row>
    <row r="10" spans="1:17" s="17" customFormat="1" hidden="1" x14ac:dyDescent="0.2">
      <c r="A10" s="17">
        <v>9278</v>
      </c>
      <c r="B10" s="20" t="s">
        <v>14</v>
      </c>
      <c r="C10" s="21" t="s">
        <v>23</v>
      </c>
      <c r="D10" s="24">
        <v>1000</v>
      </c>
      <c r="E10" s="25">
        <v>646</v>
      </c>
      <c r="F10" s="25">
        <f>E10-G10</f>
        <v>40</v>
      </c>
      <c r="G10" s="25">
        <v>606</v>
      </c>
      <c r="H10" s="25">
        <v>1.1000000000000001</v>
      </c>
      <c r="I10" s="25">
        <v>0.8</v>
      </c>
      <c r="J10" s="25">
        <v>0.55000000000000004</v>
      </c>
      <c r="K10" s="23">
        <f t="shared" si="0"/>
        <v>0.4840000000000001</v>
      </c>
      <c r="L10" s="20">
        <f>P3*4</f>
        <v>488</v>
      </c>
      <c r="M10" s="23">
        <f t="shared" si="1"/>
        <v>0.48799999999999999</v>
      </c>
      <c r="N10" s="23">
        <f t="shared" si="2"/>
        <v>315.24799999999999</v>
      </c>
      <c r="O10" s="23">
        <f t="shared" si="3"/>
        <v>0.23619200000000004</v>
      </c>
      <c r="Q10" s="92"/>
    </row>
    <row r="11" spans="1:17" s="17" customFormat="1" x14ac:dyDescent="0.2">
      <c r="A11" s="17">
        <v>9286</v>
      </c>
      <c r="B11" s="20" t="s">
        <v>47</v>
      </c>
      <c r="C11" s="21" t="s">
        <v>24</v>
      </c>
      <c r="D11" s="26">
        <v>4000</v>
      </c>
      <c r="E11" s="27">
        <v>424</v>
      </c>
      <c r="F11" s="20">
        <f>E11-G11</f>
        <v>52</v>
      </c>
      <c r="G11" s="27">
        <v>372</v>
      </c>
      <c r="H11" s="20">
        <v>1.1000000000000001</v>
      </c>
      <c r="I11" s="20">
        <v>0.8</v>
      </c>
      <c r="J11" s="20">
        <v>0.55000000000000004</v>
      </c>
      <c r="K11" s="22">
        <f t="shared" si="0"/>
        <v>0.4840000000000001</v>
      </c>
      <c r="L11" s="20">
        <f>(P3+P14)*4</f>
        <v>884</v>
      </c>
      <c r="M11" s="23">
        <f t="shared" si="1"/>
        <v>0.221</v>
      </c>
      <c r="N11" s="23">
        <f t="shared" si="2"/>
        <v>93.704000000000008</v>
      </c>
      <c r="O11" s="23">
        <f t="shared" si="3"/>
        <v>0.10696400000000002</v>
      </c>
      <c r="Q11" s="92"/>
    </row>
    <row r="12" spans="1:17" s="17" customFormat="1" hidden="1" x14ac:dyDescent="0.2">
      <c r="A12" s="17">
        <v>9278</v>
      </c>
      <c r="B12" s="20" t="s">
        <v>14</v>
      </c>
      <c r="C12" s="21" t="s">
        <v>25</v>
      </c>
      <c r="D12" s="20">
        <v>1000</v>
      </c>
      <c r="E12" s="20">
        <v>830</v>
      </c>
      <c r="F12" s="20">
        <v>40</v>
      </c>
      <c r="G12" s="20">
        <v>790</v>
      </c>
      <c r="H12" s="20">
        <v>1.04</v>
      </c>
      <c r="I12" s="20">
        <v>0.84</v>
      </c>
      <c r="J12" s="20">
        <v>0.64</v>
      </c>
      <c r="K12" s="22">
        <f t="shared" si="0"/>
        <v>0.55910400000000005</v>
      </c>
      <c r="L12" s="20">
        <f>P3*2</f>
        <v>244</v>
      </c>
      <c r="M12" s="23">
        <f t="shared" si="1"/>
        <v>0.24399999999999999</v>
      </c>
      <c r="N12" s="23">
        <f t="shared" si="2"/>
        <v>202.51999999999998</v>
      </c>
      <c r="O12" s="23">
        <f t="shared" si="3"/>
        <v>0.13642137600000001</v>
      </c>
      <c r="Q12" s="92"/>
    </row>
    <row r="13" spans="1:17" s="17" customFormat="1" hidden="1" x14ac:dyDescent="0.2">
      <c r="A13" s="17">
        <v>9278</v>
      </c>
      <c r="B13" s="20" t="s">
        <v>14</v>
      </c>
      <c r="C13" s="21" t="s">
        <v>26</v>
      </c>
      <c r="D13" s="20">
        <v>4000</v>
      </c>
      <c r="E13" s="20">
        <v>223</v>
      </c>
      <c r="F13" s="20">
        <v>30</v>
      </c>
      <c r="G13" s="20">
        <v>188</v>
      </c>
      <c r="H13" s="20">
        <v>0.86</v>
      </c>
      <c r="I13" s="20">
        <v>0.78</v>
      </c>
      <c r="J13" s="20">
        <v>0.74</v>
      </c>
      <c r="K13" s="22">
        <f t="shared" si="0"/>
        <v>0.49639200000000006</v>
      </c>
      <c r="L13" s="20">
        <f>P3*2</f>
        <v>244</v>
      </c>
      <c r="M13" s="23">
        <f t="shared" si="1"/>
        <v>6.0999999999999999E-2</v>
      </c>
      <c r="N13" s="23">
        <f t="shared" si="2"/>
        <v>13.603</v>
      </c>
      <c r="O13" s="23">
        <f t="shared" si="3"/>
        <v>3.0279912000000003E-2</v>
      </c>
      <c r="Q13" s="92"/>
    </row>
    <row r="14" spans="1:17" s="17" customFormat="1" hidden="1" x14ac:dyDescent="0.2">
      <c r="A14" s="17">
        <v>9270</v>
      </c>
      <c r="B14" s="20" t="s">
        <v>15</v>
      </c>
      <c r="C14" s="21" t="s">
        <v>27</v>
      </c>
      <c r="D14" s="30">
        <v>12</v>
      </c>
      <c r="E14" s="30">
        <v>435</v>
      </c>
      <c r="F14" s="30">
        <v>39</v>
      </c>
      <c r="G14" s="30">
        <v>396</v>
      </c>
      <c r="H14" s="30">
        <v>0.86</v>
      </c>
      <c r="I14" s="30">
        <v>0.56000000000000005</v>
      </c>
      <c r="J14" s="30">
        <v>0.51</v>
      </c>
      <c r="K14" s="31">
        <f t="shared" si="0"/>
        <v>0.24561600000000003</v>
      </c>
      <c r="L14" s="20">
        <v>56</v>
      </c>
      <c r="M14" s="23">
        <f t="shared" si="1"/>
        <v>4.666666666666667</v>
      </c>
      <c r="N14" s="23">
        <f t="shared" si="2"/>
        <v>2030.0000000000002</v>
      </c>
      <c r="O14" s="23">
        <f t="shared" si="3"/>
        <v>1.1462080000000001</v>
      </c>
      <c r="P14" s="147">
        <f>SUM(L14:L18)</f>
        <v>99</v>
      </c>
      <c r="Q14" s="92"/>
    </row>
    <row r="15" spans="1:17" s="17" customFormat="1" hidden="1" x14ac:dyDescent="0.2">
      <c r="A15" s="17">
        <v>9270</v>
      </c>
      <c r="B15" s="20" t="s">
        <v>15</v>
      </c>
      <c r="C15" s="21" t="s">
        <v>28</v>
      </c>
      <c r="D15" s="30">
        <v>12</v>
      </c>
      <c r="E15" s="30">
        <v>520</v>
      </c>
      <c r="F15" s="30">
        <v>40</v>
      </c>
      <c r="G15" s="30">
        <v>480</v>
      </c>
      <c r="H15" s="30">
        <v>1.03</v>
      </c>
      <c r="I15" s="30">
        <v>0.56000000000000005</v>
      </c>
      <c r="J15" s="30">
        <v>0.51</v>
      </c>
      <c r="K15" s="31">
        <f t="shared" si="0"/>
        <v>0.29416800000000004</v>
      </c>
      <c r="L15" s="20">
        <v>18</v>
      </c>
      <c r="M15" s="23">
        <f t="shared" si="1"/>
        <v>1.5</v>
      </c>
      <c r="N15" s="23">
        <f t="shared" si="2"/>
        <v>780</v>
      </c>
      <c r="O15" s="23">
        <f t="shared" si="3"/>
        <v>0.44125200000000009</v>
      </c>
      <c r="P15" s="147"/>
      <c r="Q15" s="92"/>
    </row>
    <row r="16" spans="1:17" s="17" customFormat="1" hidden="1" x14ac:dyDescent="0.2">
      <c r="A16" s="17">
        <v>9270</v>
      </c>
      <c r="B16" s="20" t="s">
        <v>15</v>
      </c>
      <c r="C16" s="21" t="s">
        <v>29</v>
      </c>
      <c r="D16" s="30">
        <v>12</v>
      </c>
      <c r="E16" s="30">
        <v>596</v>
      </c>
      <c r="F16" s="30">
        <v>44</v>
      </c>
      <c r="G16" s="30">
        <v>552</v>
      </c>
      <c r="H16" s="30">
        <v>1.17</v>
      </c>
      <c r="I16" s="30">
        <v>0.56000000000000005</v>
      </c>
      <c r="J16" s="30">
        <v>0.51</v>
      </c>
      <c r="K16" s="31">
        <f t="shared" si="0"/>
        <v>0.334152</v>
      </c>
      <c r="L16" s="20">
        <v>18</v>
      </c>
      <c r="M16" s="23">
        <f t="shared" si="1"/>
        <v>1.5</v>
      </c>
      <c r="N16" s="23">
        <f t="shared" si="2"/>
        <v>894</v>
      </c>
      <c r="O16" s="23">
        <f t="shared" si="3"/>
        <v>0.50122800000000001</v>
      </c>
      <c r="P16" s="147"/>
      <c r="Q16" s="92"/>
    </row>
    <row r="17" spans="1:17" s="17" customFormat="1" hidden="1" x14ac:dyDescent="0.2">
      <c r="A17" s="17">
        <v>9270</v>
      </c>
      <c r="B17" s="20" t="s">
        <v>15</v>
      </c>
      <c r="C17" s="21" t="s">
        <v>30</v>
      </c>
      <c r="D17" s="32">
        <v>12</v>
      </c>
      <c r="E17" s="30">
        <v>654</v>
      </c>
      <c r="F17" s="30">
        <v>42</v>
      </c>
      <c r="G17" s="30">
        <v>612</v>
      </c>
      <c r="H17" s="30">
        <v>1.2749999999999999</v>
      </c>
      <c r="I17" s="30">
        <v>0.56000000000000005</v>
      </c>
      <c r="J17" s="30">
        <v>0.51</v>
      </c>
      <c r="K17" s="31">
        <f t="shared" si="0"/>
        <v>0.36413999999999996</v>
      </c>
      <c r="L17" s="20">
        <v>7</v>
      </c>
      <c r="M17" s="23">
        <f t="shared" si="1"/>
        <v>0.58333333333333337</v>
      </c>
      <c r="N17" s="23">
        <f t="shared" si="2"/>
        <v>381.5</v>
      </c>
      <c r="O17" s="23">
        <f t="shared" si="3"/>
        <v>0.21241499999999999</v>
      </c>
      <c r="P17" s="147"/>
      <c r="Q17" s="92"/>
    </row>
    <row r="18" spans="1:17" s="17" customFormat="1" hidden="1" x14ac:dyDescent="0.2">
      <c r="A18" s="17">
        <v>9270</v>
      </c>
      <c r="B18" s="20" t="s">
        <v>15</v>
      </c>
      <c r="C18" s="21" t="s">
        <v>31</v>
      </c>
      <c r="D18" s="32">
        <v>6</v>
      </c>
      <c r="E18" s="30">
        <v>410</v>
      </c>
      <c r="F18" s="30">
        <v>50</v>
      </c>
      <c r="G18" s="30">
        <v>360</v>
      </c>
      <c r="H18" s="30">
        <v>1.48</v>
      </c>
      <c r="I18" s="30">
        <v>0.56000000000000005</v>
      </c>
      <c r="J18" s="30">
        <v>0.37</v>
      </c>
      <c r="K18" s="31">
        <f t="shared" si="0"/>
        <v>0.30665600000000004</v>
      </c>
      <c r="L18" s="20">
        <v>0</v>
      </c>
      <c r="M18" s="23">
        <f t="shared" si="1"/>
        <v>0</v>
      </c>
      <c r="N18" s="23">
        <f t="shared" si="2"/>
        <v>0</v>
      </c>
      <c r="O18" s="23">
        <f t="shared" si="3"/>
        <v>0</v>
      </c>
      <c r="P18" s="147"/>
      <c r="Q18" s="92"/>
    </row>
    <row r="19" spans="1:17" s="17" customFormat="1" hidden="1" x14ac:dyDescent="0.2">
      <c r="A19" s="17">
        <v>9278</v>
      </c>
      <c r="B19" s="20" t="s">
        <v>14</v>
      </c>
      <c r="C19" s="21" t="s">
        <v>32</v>
      </c>
      <c r="D19" s="27">
        <v>1000</v>
      </c>
      <c r="E19" s="27">
        <f t="shared" ref="E19:E28" si="4">G19+F19</f>
        <v>395</v>
      </c>
      <c r="F19" s="27">
        <v>40</v>
      </c>
      <c r="G19" s="27">
        <v>355</v>
      </c>
      <c r="H19" s="27">
        <v>1.05</v>
      </c>
      <c r="I19" s="27">
        <v>0.9</v>
      </c>
      <c r="J19" s="27">
        <v>0.55000000000000004</v>
      </c>
      <c r="K19" s="23">
        <f t="shared" si="0"/>
        <v>0.51975000000000005</v>
      </c>
      <c r="L19" s="20">
        <f>L14</f>
        <v>56</v>
      </c>
      <c r="M19" s="23">
        <f t="shared" si="1"/>
        <v>5.6000000000000001E-2</v>
      </c>
      <c r="N19" s="23">
        <f t="shared" si="2"/>
        <v>22.12</v>
      </c>
      <c r="O19" s="23">
        <f t="shared" si="3"/>
        <v>2.9106000000000003E-2</v>
      </c>
      <c r="Q19" s="92"/>
    </row>
    <row r="20" spans="1:17" s="17" customFormat="1" hidden="1" x14ac:dyDescent="0.2">
      <c r="A20" s="17">
        <v>9278</v>
      </c>
      <c r="B20" s="20" t="s">
        <v>14</v>
      </c>
      <c r="C20" s="21" t="s">
        <v>33</v>
      </c>
      <c r="D20" s="27">
        <v>450</v>
      </c>
      <c r="E20" s="27">
        <f t="shared" si="4"/>
        <v>360</v>
      </c>
      <c r="F20" s="27">
        <v>40</v>
      </c>
      <c r="G20" s="27">
        <v>320</v>
      </c>
      <c r="H20" s="20">
        <v>1.1000000000000001</v>
      </c>
      <c r="I20" s="27">
        <v>0.9</v>
      </c>
      <c r="J20" s="20">
        <v>0.75</v>
      </c>
      <c r="K20" s="22">
        <f t="shared" si="0"/>
        <v>0.74250000000000005</v>
      </c>
      <c r="L20" s="20">
        <f>L14</f>
        <v>56</v>
      </c>
      <c r="M20" s="23">
        <f t="shared" si="1"/>
        <v>0.12444444444444444</v>
      </c>
      <c r="N20" s="23">
        <f t="shared" si="2"/>
        <v>44.8</v>
      </c>
      <c r="O20" s="23">
        <f t="shared" si="3"/>
        <v>9.240000000000001E-2</v>
      </c>
      <c r="Q20" s="92"/>
    </row>
    <row r="21" spans="1:17" s="17" customFormat="1" hidden="1" x14ac:dyDescent="0.2">
      <c r="A21" s="17">
        <v>9278</v>
      </c>
      <c r="B21" s="20" t="s">
        <v>14</v>
      </c>
      <c r="C21" s="21" t="s">
        <v>34</v>
      </c>
      <c r="D21" s="27">
        <v>1000</v>
      </c>
      <c r="E21" s="27">
        <f t="shared" si="4"/>
        <v>492</v>
      </c>
      <c r="F21" s="27">
        <v>40</v>
      </c>
      <c r="G21" s="27">
        <v>452</v>
      </c>
      <c r="H21" s="27">
        <v>1.1000000000000001</v>
      </c>
      <c r="I21" s="27">
        <v>1.05</v>
      </c>
      <c r="J21" s="27">
        <v>0.55000000000000004</v>
      </c>
      <c r="K21" s="23">
        <f t="shared" si="0"/>
        <v>0.6352500000000002</v>
      </c>
      <c r="L21" s="20">
        <f>L15</f>
        <v>18</v>
      </c>
      <c r="M21" s="23">
        <f t="shared" si="1"/>
        <v>1.7999999999999999E-2</v>
      </c>
      <c r="N21" s="23">
        <f t="shared" si="2"/>
        <v>8.8559999999999999</v>
      </c>
      <c r="O21" s="23">
        <f t="shared" si="3"/>
        <v>1.1434500000000002E-2</v>
      </c>
      <c r="Q21" s="92"/>
    </row>
    <row r="22" spans="1:17" s="17" customFormat="1" hidden="1" x14ac:dyDescent="0.2">
      <c r="A22" s="17">
        <v>9278</v>
      </c>
      <c r="B22" s="20" t="s">
        <v>14</v>
      </c>
      <c r="C22" s="21" t="s">
        <v>35</v>
      </c>
      <c r="D22" s="27">
        <v>450</v>
      </c>
      <c r="E22" s="27">
        <f t="shared" si="4"/>
        <v>421.5</v>
      </c>
      <c r="F22" s="27">
        <v>40</v>
      </c>
      <c r="G22" s="27">
        <v>381.5</v>
      </c>
      <c r="H22" s="27">
        <v>1.05</v>
      </c>
      <c r="I22" s="27">
        <v>1.05</v>
      </c>
      <c r="J22" s="20">
        <v>0.75</v>
      </c>
      <c r="K22" s="22">
        <f t="shared" si="0"/>
        <v>0.82687500000000003</v>
      </c>
      <c r="L22" s="20">
        <f>L15</f>
        <v>18</v>
      </c>
      <c r="M22" s="23">
        <f t="shared" si="1"/>
        <v>0.04</v>
      </c>
      <c r="N22" s="23">
        <f t="shared" si="2"/>
        <v>16.86</v>
      </c>
      <c r="O22" s="23">
        <f t="shared" si="3"/>
        <v>3.3075E-2</v>
      </c>
      <c r="Q22" s="92"/>
    </row>
    <row r="23" spans="1:17" s="17" customFormat="1" hidden="1" x14ac:dyDescent="0.2">
      <c r="A23" s="17">
        <v>9278</v>
      </c>
      <c r="B23" s="20" t="s">
        <v>14</v>
      </c>
      <c r="C23" s="21" t="s">
        <v>36</v>
      </c>
      <c r="D23" s="27">
        <v>1000</v>
      </c>
      <c r="E23" s="27">
        <f t="shared" si="4"/>
        <v>574</v>
      </c>
      <c r="F23" s="27">
        <v>40</v>
      </c>
      <c r="G23" s="27">
        <v>534</v>
      </c>
      <c r="H23" s="27">
        <v>1.1000000000000001</v>
      </c>
      <c r="I23" s="27">
        <v>1.2</v>
      </c>
      <c r="J23" s="27">
        <v>0.55000000000000004</v>
      </c>
      <c r="K23" s="23">
        <f t="shared" si="0"/>
        <v>0.72600000000000009</v>
      </c>
      <c r="L23" s="20">
        <f>L16</f>
        <v>18</v>
      </c>
      <c r="M23" s="23">
        <f t="shared" si="1"/>
        <v>1.7999999999999999E-2</v>
      </c>
      <c r="N23" s="23">
        <f t="shared" si="2"/>
        <v>10.331999999999999</v>
      </c>
      <c r="O23" s="23">
        <f t="shared" si="3"/>
        <v>1.3068000000000001E-2</v>
      </c>
      <c r="Q23" s="92"/>
    </row>
    <row r="24" spans="1:17" s="17" customFormat="1" hidden="1" x14ac:dyDescent="0.2">
      <c r="A24" s="17">
        <v>9278</v>
      </c>
      <c r="B24" s="20" t="s">
        <v>14</v>
      </c>
      <c r="C24" s="21" t="s">
        <v>37</v>
      </c>
      <c r="D24" s="27">
        <v>450</v>
      </c>
      <c r="E24" s="27">
        <f t="shared" si="4"/>
        <v>475</v>
      </c>
      <c r="F24" s="27">
        <v>40</v>
      </c>
      <c r="G24" s="27">
        <v>435</v>
      </c>
      <c r="H24" s="27">
        <v>1.05</v>
      </c>
      <c r="I24" s="27">
        <v>1.2</v>
      </c>
      <c r="J24" s="20">
        <v>0.75</v>
      </c>
      <c r="K24" s="23">
        <f t="shared" si="0"/>
        <v>0.94500000000000006</v>
      </c>
      <c r="L24" s="20">
        <f>L16</f>
        <v>18</v>
      </c>
      <c r="M24" s="23">
        <f t="shared" si="1"/>
        <v>0.04</v>
      </c>
      <c r="N24" s="23">
        <f t="shared" si="2"/>
        <v>19</v>
      </c>
      <c r="O24" s="23">
        <f t="shared" si="3"/>
        <v>3.78E-2</v>
      </c>
      <c r="Q24" s="92"/>
    </row>
    <row r="25" spans="1:17" s="17" customFormat="1" hidden="1" x14ac:dyDescent="0.2">
      <c r="A25" s="17">
        <v>9278</v>
      </c>
      <c r="B25" s="20" t="s">
        <v>14</v>
      </c>
      <c r="C25" s="21" t="s">
        <v>38</v>
      </c>
      <c r="D25" s="27">
        <v>1000</v>
      </c>
      <c r="E25" s="27">
        <f t="shared" si="4"/>
        <v>645</v>
      </c>
      <c r="F25" s="27">
        <v>40</v>
      </c>
      <c r="G25" s="27">
        <v>605</v>
      </c>
      <c r="H25" s="27">
        <v>1.1000000000000001</v>
      </c>
      <c r="I25" s="27">
        <v>1.3</v>
      </c>
      <c r="J25" s="27">
        <v>0.55000000000000004</v>
      </c>
      <c r="K25" s="23">
        <f t="shared" si="0"/>
        <v>0.7865000000000002</v>
      </c>
      <c r="L25" s="20">
        <f>L17</f>
        <v>7</v>
      </c>
      <c r="M25" s="23">
        <f t="shared" si="1"/>
        <v>7.0000000000000001E-3</v>
      </c>
      <c r="N25" s="23">
        <f t="shared" si="2"/>
        <v>4.5149999999999997</v>
      </c>
      <c r="O25" s="23">
        <f t="shared" si="3"/>
        <v>5.5055000000000017E-3</v>
      </c>
      <c r="Q25" s="92"/>
    </row>
    <row r="26" spans="1:17" s="17" customFormat="1" hidden="1" x14ac:dyDescent="0.2">
      <c r="A26" s="17">
        <v>9278</v>
      </c>
      <c r="B26" s="20" t="s">
        <v>14</v>
      </c>
      <c r="C26" s="21" t="s">
        <v>39</v>
      </c>
      <c r="D26" s="27">
        <v>450</v>
      </c>
      <c r="E26" s="27">
        <f t="shared" si="4"/>
        <v>515</v>
      </c>
      <c r="F26" s="27">
        <v>40</v>
      </c>
      <c r="G26" s="27">
        <v>475</v>
      </c>
      <c r="H26" s="27">
        <v>1.05</v>
      </c>
      <c r="I26" s="27">
        <v>1.3</v>
      </c>
      <c r="J26" s="20">
        <v>0.75</v>
      </c>
      <c r="K26" s="23">
        <f t="shared" si="0"/>
        <v>1.0237500000000002</v>
      </c>
      <c r="L26" s="20">
        <f>L17</f>
        <v>7</v>
      </c>
      <c r="M26" s="23">
        <f t="shared" si="1"/>
        <v>1.5555555555555555E-2</v>
      </c>
      <c r="N26" s="23">
        <f t="shared" si="2"/>
        <v>8.0111111111111111</v>
      </c>
      <c r="O26" s="23">
        <f t="shared" si="3"/>
        <v>1.5925000000000002E-2</v>
      </c>
      <c r="Q26" s="92"/>
    </row>
    <row r="27" spans="1:17" s="17" customFormat="1" hidden="1" x14ac:dyDescent="0.2">
      <c r="A27" s="17">
        <v>9278</v>
      </c>
      <c r="B27" s="20" t="s">
        <v>14</v>
      </c>
      <c r="C27" s="21" t="s">
        <v>40</v>
      </c>
      <c r="D27" s="27">
        <v>1000</v>
      </c>
      <c r="E27" s="27">
        <f t="shared" si="4"/>
        <v>645</v>
      </c>
      <c r="F27" s="27">
        <v>40</v>
      </c>
      <c r="G27" s="27">
        <v>605</v>
      </c>
      <c r="H27" s="27">
        <v>1.1000000000000001</v>
      </c>
      <c r="I27" s="27">
        <v>1.3</v>
      </c>
      <c r="J27" s="27">
        <v>0.55000000000000004</v>
      </c>
      <c r="K27" s="23">
        <f t="shared" si="0"/>
        <v>0.7865000000000002</v>
      </c>
      <c r="L27" s="20">
        <f>L18</f>
        <v>0</v>
      </c>
      <c r="M27" s="23">
        <f t="shared" si="1"/>
        <v>0</v>
      </c>
      <c r="N27" s="23">
        <f t="shared" si="2"/>
        <v>0</v>
      </c>
      <c r="O27" s="23">
        <f t="shared" si="3"/>
        <v>0</v>
      </c>
      <c r="Q27" s="92"/>
    </row>
    <row r="28" spans="1:17" s="17" customFormat="1" hidden="1" x14ac:dyDescent="0.2">
      <c r="A28" s="17">
        <v>9278</v>
      </c>
      <c r="B28" s="20" t="s">
        <v>14</v>
      </c>
      <c r="C28" s="21" t="s">
        <v>41</v>
      </c>
      <c r="D28" s="27">
        <v>450</v>
      </c>
      <c r="E28" s="27">
        <f t="shared" si="4"/>
        <v>515</v>
      </c>
      <c r="F28" s="27">
        <v>40</v>
      </c>
      <c r="G28" s="27">
        <v>475</v>
      </c>
      <c r="H28" s="27">
        <v>1.05</v>
      </c>
      <c r="I28" s="27">
        <v>1.3</v>
      </c>
      <c r="J28" s="20">
        <v>0.75</v>
      </c>
      <c r="K28" s="23">
        <f t="shared" si="0"/>
        <v>1.0237500000000002</v>
      </c>
      <c r="L28" s="20">
        <f>L18</f>
        <v>0</v>
      </c>
      <c r="M28" s="23">
        <f t="shared" si="1"/>
        <v>0</v>
      </c>
      <c r="N28" s="23">
        <f t="shared" si="2"/>
        <v>0</v>
      </c>
      <c r="O28" s="23">
        <f t="shared" si="3"/>
        <v>0</v>
      </c>
      <c r="Q28" s="92"/>
    </row>
    <row r="29" spans="1:17" s="17" customFormat="1" hidden="1" x14ac:dyDescent="0.2">
      <c r="A29" s="17">
        <v>8952</v>
      </c>
      <c r="B29" s="20" t="s">
        <v>14</v>
      </c>
      <c r="C29" s="21" t="s">
        <v>22</v>
      </c>
      <c r="D29" s="26">
        <v>3000</v>
      </c>
      <c r="E29" s="27">
        <v>235</v>
      </c>
      <c r="F29" s="20">
        <v>35</v>
      </c>
      <c r="G29" s="27">
        <v>200</v>
      </c>
      <c r="H29" s="20">
        <v>1.1000000000000001</v>
      </c>
      <c r="I29" s="20">
        <v>1.1000000000000001</v>
      </c>
      <c r="J29" s="20">
        <v>1.02</v>
      </c>
      <c r="K29" s="22">
        <f t="shared" si="0"/>
        <v>1.2342000000000002</v>
      </c>
      <c r="L29" s="20">
        <f>P14*4</f>
        <v>396</v>
      </c>
      <c r="M29" s="23">
        <f t="shared" si="1"/>
        <v>0.13200000000000001</v>
      </c>
      <c r="N29" s="23">
        <f t="shared" si="2"/>
        <v>31.020000000000003</v>
      </c>
      <c r="O29" s="23">
        <f t="shared" si="3"/>
        <v>0.16291440000000004</v>
      </c>
      <c r="Q29" s="92"/>
    </row>
    <row r="30" spans="1:17" s="17" customFormat="1" hidden="1" x14ac:dyDescent="0.2">
      <c r="A30" s="17">
        <v>9278</v>
      </c>
      <c r="B30" s="20" t="s">
        <v>14</v>
      </c>
      <c r="C30" s="21" t="s">
        <v>23</v>
      </c>
      <c r="D30" s="24">
        <v>1000</v>
      </c>
      <c r="E30" s="25">
        <v>646</v>
      </c>
      <c r="F30" s="25">
        <f>E30-G30</f>
        <v>40</v>
      </c>
      <c r="G30" s="25">
        <v>606</v>
      </c>
      <c r="H30" s="25">
        <v>1.1000000000000001</v>
      </c>
      <c r="I30" s="25">
        <v>0.8</v>
      </c>
      <c r="J30" s="25">
        <v>0.55000000000000004</v>
      </c>
      <c r="K30" s="23">
        <f t="shared" si="0"/>
        <v>0.4840000000000001</v>
      </c>
      <c r="L30" s="20">
        <f>P14*4</f>
        <v>396</v>
      </c>
      <c r="M30" s="23">
        <f t="shared" si="1"/>
        <v>0.39600000000000002</v>
      </c>
      <c r="N30" s="23">
        <f t="shared" si="2"/>
        <v>255.816</v>
      </c>
      <c r="O30" s="23">
        <f t="shared" si="3"/>
        <v>0.19166400000000006</v>
      </c>
      <c r="Q30" s="92"/>
    </row>
    <row r="31" spans="1:17" s="17" customFormat="1" hidden="1" x14ac:dyDescent="0.2">
      <c r="A31" s="17">
        <v>9278</v>
      </c>
      <c r="B31" s="20" t="s">
        <v>14</v>
      </c>
      <c r="C31" s="21" t="s">
        <v>46</v>
      </c>
      <c r="D31" s="26">
        <v>4000</v>
      </c>
      <c r="E31" s="27">
        <v>424</v>
      </c>
      <c r="F31" s="20">
        <f>E31-G31</f>
        <v>52</v>
      </c>
      <c r="G31" s="27">
        <v>372</v>
      </c>
      <c r="H31" s="20">
        <v>1.1000000000000001</v>
      </c>
      <c r="I31" s="20">
        <v>0.8</v>
      </c>
      <c r="J31" s="20">
        <v>0.55000000000000004</v>
      </c>
      <c r="K31" s="22">
        <f t="shared" si="0"/>
        <v>0.4840000000000001</v>
      </c>
      <c r="L31" s="20">
        <f>P14*4</f>
        <v>396</v>
      </c>
      <c r="M31" s="23">
        <f t="shared" si="1"/>
        <v>9.9000000000000005E-2</v>
      </c>
      <c r="N31" s="23">
        <f t="shared" si="2"/>
        <v>41.975999999999999</v>
      </c>
      <c r="O31" s="23">
        <f t="shared" si="3"/>
        <v>4.7916000000000014E-2</v>
      </c>
      <c r="Q31" s="92"/>
    </row>
    <row r="32" spans="1:17" s="17" customFormat="1" ht="15" hidden="1" x14ac:dyDescent="0.2">
      <c r="A32" s="17">
        <v>9278</v>
      </c>
      <c r="B32" s="20" t="s">
        <v>14</v>
      </c>
      <c r="C32" s="21" t="s">
        <v>42</v>
      </c>
      <c r="D32" s="28">
        <v>1200</v>
      </c>
      <c r="E32" s="148">
        <v>666.4</v>
      </c>
      <c r="F32" s="148">
        <v>40</v>
      </c>
      <c r="G32" s="29">
        <v>588</v>
      </c>
      <c r="H32" s="150">
        <v>1</v>
      </c>
      <c r="I32" s="150">
        <v>0.75</v>
      </c>
      <c r="J32" s="150">
        <v>0.7</v>
      </c>
      <c r="K32" s="152">
        <v>0.5</v>
      </c>
      <c r="L32" s="20">
        <f>P14*4</f>
        <v>396</v>
      </c>
      <c r="M32" s="154">
        <f t="shared" si="1"/>
        <v>0.33</v>
      </c>
      <c r="N32" s="154">
        <f t="shared" si="2"/>
        <v>219.91200000000001</v>
      </c>
      <c r="O32" s="156">
        <f t="shared" si="3"/>
        <v>0.16500000000000001</v>
      </c>
      <c r="Q32" s="92"/>
    </row>
    <row r="33" spans="1:17" s="17" customFormat="1" ht="15.75" hidden="1" thickBot="1" x14ac:dyDescent="0.25">
      <c r="A33" s="17">
        <v>9278</v>
      </c>
      <c r="B33" s="20" t="s">
        <v>14</v>
      </c>
      <c r="C33" s="21" t="s">
        <v>43</v>
      </c>
      <c r="D33" s="28">
        <v>1200</v>
      </c>
      <c r="E33" s="149"/>
      <c r="F33" s="149"/>
      <c r="G33" s="29">
        <v>38.4</v>
      </c>
      <c r="H33" s="151"/>
      <c r="I33" s="151"/>
      <c r="J33" s="151"/>
      <c r="K33" s="153"/>
      <c r="L33" s="20">
        <f>P14*4</f>
        <v>396</v>
      </c>
      <c r="M33" s="155"/>
      <c r="N33" s="155"/>
      <c r="O33" s="157"/>
      <c r="Q33" s="93"/>
    </row>
    <row r="34" spans="1:17" s="60" customFormat="1" hidden="1" x14ac:dyDescent="0.2">
      <c r="A34" s="60">
        <v>9270</v>
      </c>
      <c r="B34" s="61" t="s">
        <v>15</v>
      </c>
      <c r="C34" s="61" t="s">
        <v>16</v>
      </c>
      <c r="D34" s="61">
        <v>30</v>
      </c>
      <c r="E34" s="61">
        <v>669</v>
      </c>
      <c r="F34" s="61">
        <f>E34-G34</f>
        <v>53</v>
      </c>
      <c r="G34" s="61">
        <v>616</v>
      </c>
      <c r="H34" s="61">
        <v>1</v>
      </c>
      <c r="I34" s="61">
        <v>0.9</v>
      </c>
      <c r="J34" s="61">
        <v>0.73</v>
      </c>
      <c r="K34" s="61">
        <f t="shared" ref="K34:K62" si="5">H34*I34*J34</f>
        <v>0.65700000000000003</v>
      </c>
      <c r="L34" s="61">
        <v>102</v>
      </c>
      <c r="M34" s="62">
        <f t="shared" ref="M34:M63" si="6">L34/D34</f>
        <v>3.4</v>
      </c>
      <c r="N34" s="62">
        <f t="shared" ref="N34:N63" si="7">E34*M34</f>
        <v>2274.6</v>
      </c>
      <c r="O34" s="62">
        <f>M34*K34</f>
        <v>2.2338</v>
      </c>
      <c r="P34" s="136">
        <f>SUM(L34:L37)</f>
        <v>120</v>
      </c>
      <c r="Q34" s="94" t="s">
        <v>54</v>
      </c>
    </row>
    <row r="35" spans="1:17" s="60" customFormat="1" hidden="1" x14ac:dyDescent="0.2">
      <c r="A35" s="60">
        <v>9270</v>
      </c>
      <c r="B35" s="61" t="s">
        <v>15</v>
      </c>
      <c r="C35" s="61" t="s">
        <v>17</v>
      </c>
      <c r="D35" s="61">
        <v>30</v>
      </c>
      <c r="E35" s="61">
        <v>669</v>
      </c>
      <c r="F35" s="61">
        <f>E35-G35</f>
        <v>53</v>
      </c>
      <c r="G35" s="61">
        <v>616</v>
      </c>
      <c r="H35" s="61">
        <v>1</v>
      </c>
      <c r="I35" s="61">
        <v>0.9</v>
      </c>
      <c r="J35" s="61">
        <v>0.73</v>
      </c>
      <c r="K35" s="61">
        <f t="shared" si="5"/>
        <v>0.65700000000000003</v>
      </c>
      <c r="L35" s="61">
        <v>6</v>
      </c>
      <c r="M35" s="62">
        <f t="shared" si="6"/>
        <v>0.2</v>
      </c>
      <c r="N35" s="62">
        <f t="shared" si="7"/>
        <v>133.80000000000001</v>
      </c>
      <c r="O35" s="62">
        <f t="shared" ref="O35:O63" si="8">M35*K35</f>
        <v>0.13140000000000002</v>
      </c>
      <c r="P35" s="136"/>
      <c r="Q35" s="95"/>
    </row>
    <row r="36" spans="1:17" s="60" customFormat="1" hidden="1" x14ac:dyDescent="0.2">
      <c r="A36" s="60">
        <v>9270</v>
      </c>
      <c r="B36" s="61" t="s">
        <v>15</v>
      </c>
      <c r="C36" s="61" t="s">
        <v>18</v>
      </c>
      <c r="D36" s="61">
        <v>30</v>
      </c>
      <c r="E36" s="61">
        <v>669</v>
      </c>
      <c r="F36" s="61">
        <f>E36-G36</f>
        <v>53</v>
      </c>
      <c r="G36" s="61">
        <v>616</v>
      </c>
      <c r="H36" s="61">
        <v>1</v>
      </c>
      <c r="I36" s="61">
        <v>0.9</v>
      </c>
      <c r="J36" s="61">
        <v>0.73</v>
      </c>
      <c r="K36" s="61">
        <f t="shared" si="5"/>
        <v>0.65700000000000003</v>
      </c>
      <c r="L36" s="61">
        <v>6</v>
      </c>
      <c r="M36" s="62">
        <f t="shared" si="6"/>
        <v>0.2</v>
      </c>
      <c r="N36" s="62">
        <f t="shared" si="7"/>
        <v>133.80000000000001</v>
      </c>
      <c r="O36" s="62">
        <f t="shared" si="8"/>
        <v>0.13140000000000002</v>
      </c>
      <c r="P36" s="136"/>
      <c r="Q36" s="95"/>
    </row>
    <row r="37" spans="1:17" s="60" customFormat="1" hidden="1" x14ac:dyDescent="0.2">
      <c r="A37" s="60">
        <v>9270</v>
      </c>
      <c r="B37" s="61" t="s">
        <v>15</v>
      </c>
      <c r="C37" s="61" t="s">
        <v>19</v>
      </c>
      <c r="D37" s="61">
        <v>30</v>
      </c>
      <c r="E37" s="61">
        <v>669</v>
      </c>
      <c r="F37" s="61">
        <f>E37-G37</f>
        <v>53</v>
      </c>
      <c r="G37" s="61">
        <v>616</v>
      </c>
      <c r="H37" s="61">
        <v>1</v>
      </c>
      <c r="I37" s="61">
        <v>0.9</v>
      </c>
      <c r="J37" s="61">
        <v>0.73</v>
      </c>
      <c r="K37" s="61">
        <f t="shared" si="5"/>
        <v>0.65700000000000003</v>
      </c>
      <c r="L37" s="61">
        <v>6</v>
      </c>
      <c r="M37" s="62">
        <f t="shared" si="6"/>
        <v>0.2</v>
      </c>
      <c r="N37" s="62">
        <f t="shared" si="7"/>
        <v>133.80000000000001</v>
      </c>
      <c r="O37" s="62">
        <f t="shared" si="8"/>
        <v>0.13140000000000002</v>
      </c>
      <c r="P37" s="136"/>
      <c r="Q37" s="95"/>
    </row>
    <row r="38" spans="1:17" s="60" customFormat="1" hidden="1" x14ac:dyDescent="0.2">
      <c r="A38" s="60">
        <v>9278</v>
      </c>
      <c r="B38" s="61" t="s">
        <v>14</v>
      </c>
      <c r="C38" s="63" t="s">
        <v>20</v>
      </c>
      <c r="D38" s="61">
        <v>5000</v>
      </c>
      <c r="E38" s="61">
        <v>490</v>
      </c>
      <c r="F38" s="61">
        <v>40</v>
      </c>
      <c r="G38" s="61">
        <v>450</v>
      </c>
      <c r="H38" s="61">
        <v>1</v>
      </c>
      <c r="I38" s="61">
        <v>0.98</v>
      </c>
      <c r="J38" s="61">
        <v>0.83</v>
      </c>
      <c r="K38" s="64">
        <f t="shared" si="5"/>
        <v>0.8133999999999999</v>
      </c>
      <c r="L38" s="61">
        <f>P34</f>
        <v>120</v>
      </c>
      <c r="M38" s="62">
        <f t="shared" si="6"/>
        <v>2.4E-2</v>
      </c>
      <c r="N38" s="62">
        <f t="shared" si="7"/>
        <v>11.76</v>
      </c>
      <c r="O38" s="62">
        <f t="shared" si="8"/>
        <v>1.9521599999999997E-2</v>
      </c>
      <c r="Q38" s="95"/>
    </row>
    <row r="39" spans="1:17" s="60" customFormat="1" hidden="1" x14ac:dyDescent="0.2">
      <c r="A39" s="60">
        <v>9278</v>
      </c>
      <c r="B39" s="61" t="s">
        <v>14</v>
      </c>
      <c r="C39" s="63" t="s">
        <v>21</v>
      </c>
      <c r="D39" s="61">
        <v>360</v>
      </c>
      <c r="E39" s="61">
        <v>390</v>
      </c>
      <c r="F39" s="61">
        <v>40</v>
      </c>
      <c r="G39" s="61">
        <v>350</v>
      </c>
      <c r="H39" s="61">
        <v>1.05</v>
      </c>
      <c r="I39" s="61">
        <v>0.95</v>
      </c>
      <c r="J39" s="61">
        <v>0.55000000000000004</v>
      </c>
      <c r="K39" s="64">
        <f t="shared" si="5"/>
        <v>0.54862500000000003</v>
      </c>
      <c r="L39" s="61">
        <f>P34</f>
        <v>120</v>
      </c>
      <c r="M39" s="62">
        <f t="shared" si="6"/>
        <v>0.33333333333333331</v>
      </c>
      <c r="N39" s="62">
        <f t="shared" si="7"/>
        <v>130</v>
      </c>
      <c r="O39" s="62">
        <f t="shared" si="8"/>
        <v>0.18287500000000001</v>
      </c>
      <c r="Q39" s="95"/>
    </row>
    <row r="40" spans="1:17" s="60" customFormat="1" hidden="1" x14ac:dyDescent="0.2">
      <c r="A40" s="60">
        <v>8952</v>
      </c>
      <c r="B40" s="61" t="s">
        <v>14</v>
      </c>
      <c r="C40" s="63" t="s">
        <v>22</v>
      </c>
      <c r="D40" s="65">
        <v>3000</v>
      </c>
      <c r="E40" s="66">
        <v>235</v>
      </c>
      <c r="F40" s="61">
        <v>35</v>
      </c>
      <c r="G40" s="66">
        <v>200</v>
      </c>
      <c r="H40" s="61">
        <v>1.1000000000000001</v>
      </c>
      <c r="I40" s="61">
        <v>1.1000000000000001</v>
      </c>
      <c r="J40" s="61">
        <v>1.02</v>
      </c>
      <c r="K40" s="64">
        <f t="shared" si="5"/>
        <v>1.2342000000000002</v>
      </c>
      <c r="L40" s="61">
        <f>P34*4</f>
        <v>480</v>
      </c>
      <c r="M40" s="62">
        <f t="shared" si="6"/>
        <v>0.16</v>
      </c>
      <c r="N40" s="62">
        <f t="shared" si="7"/>
        <v>37.6</v>
      </c>
      <c r="O40" s="62">
        <f t="shared" si="8"/>
        <v>0.19747200000000004</v>
      </c>
      <c r="Q40" s="95"/>
    </row>
    <row r="41" spans="1:17" s="60" customFormat="1" hidden="1" x14ac:dyDescent="0.2">
      <c r="A41" s="60">
        <v>9278</v>
      </c>
      <c r="B41" s="61" t="s">
        <v>14</v>
      </c>
      <c r="C41" s="63" t="s">
        <v>23</v>
      </c>
      <c r="D41" s="67">
        <v>1000</v>
      </c>
      <c r="E41" s="68">
        <v>646</v>
      </c>
      <c r="F41" s="68">
        <f>E41-G41</f>
        <v>40</v>
      </c>
      <c r="G41" s="68">
        <v>606</v>
      </c>
      <c r="H41" s="68">
        <v>1.1000000000000001</v>
      </c>
      <c r="I41" s="68">
        <v>0.8</v>
      </c>
      <c r="J41" s="68">
        <v>0.55000000000000004</v>
      </c>
      <c r="K41" s="62">
        <f t="shared" si="5"/>
        <v>0.4840000000000001</v>
      </c>
      <c r="L41" s="61">
        <f>P34*4</f>
        <v>480</v>
      </c>
      <c r="M41" s="62">
        <f t="shared" si="6"/>
        <v>0.48</v>
      </c>
      <c r="N41" s="62">
        <f t="shared" si="7"/>
        <v>310.08</v>
      </c>
      <c r="O41" s="62">
        <f t="shared" si="8"/>
        <v>0.23232000000000003</v>
      </c>
      <c r="Q41" s="95"/>
    </row>
    <row r="42" spans="1:17" s="60" customFormat="1" x14ac:dyDescent="0.2">
      <c r="A42" s="60">
        <v>9286</v>
      </c>
      <c r="B42" s="61" t="s">
        <v>47</v>
      </c>
      <c r="C42" s="63" t="s">
        <v>24</v>
      </c>
      <c r="D42" s="65">
        <v>4000</v>
      </c>
      <c r="E42" s="66">
        <v>424</v>
      </c>
      <c r="F42" s="61">
        <f>E42-G42</f>
        <v>52</v>
      </c>
      <c r="G42" s="66">
        <v>372</v>
      </c>
      <c r="H42" s="61">
        <v>1.1000000000000001</v>
      </c>
      <c r="I42" s="61">
        <v>0.8</v>
      </c>
      <c r="J42" s="61">
        <v>0.55000000000000004</v>
      </c>
      <c r="K42" s="64">
        <f t="shared" si="5"/>
        <v>0.4840000000000001</v>
      </c>
      <c r="L42" s="61">
        <f>(P34+P45)*4</f>
        <v>856</v>
      </c>
      <c r="M42" s="62">
        <f t="shared" si="6"/>
        <v>0.214</v>
      </c>
      <c r="N42" s="62">
        <f t="shared" si="7"/>
        <v>90.736000000000004</v>
      </c>
      <c r="O42" s="62">
        <f t="shared" si="8"/>
        <v>0.10357600000000002</v>
      </c>
      <c r="Q42" s="95"/>
    </row>
    <row r="43" spans="1:17" s="60" customFormat="1" hidden="1" x14ac:dyDescent="0.2">
      <c r="A43" s="60">
        <v>9278</v>
      </c>
      <c r="B43" s="61" t="s">
        <v>14</v>
      </c>
      <c r="C43" s="63" t="s">
        <v>25</v>
      </c>
      <c r="D43" s="61">
        <v>1000</v>
      </c>
      <c r="E43" s="61">
        <v>830</v>
      </c>
      <c r="F43" s="61">
        <v>40</v>
      </c>
      <c r="G43" s="61">
        <v>790</v>
      </c>
      <c r="H43" s="61">
        <v>1.04</v>
      </c>
      <c r="I43" s="61">
        <v>0.84</v>
      </c>
      <c r="J43" s="61">
        <v>0.64</v>
      </c>
      <c r="K43" s="64">
        <f t="shared" si="5"/>
        <v>0.55910400000000005</v>
      </c>
      <c r="L43" s="61">
        <f>P34*2</f>
        <v>240</v>
      </c>
      <c r="M43" s="62">
        <f t="shared" si="6"/>
        <v>0.24</v>
      </c>
      <c r="N43" s="62">
        <f t="shared" si="7"/>
        <v>199.2</v>
      </c>
      <c r="O43" s="62">
        <f t="shared" si="8"/>
        <v>0.13418496000000002</v>
      </c>
      <c r="Q43" s="95"/>
    </row>
    <row r="44" spans="1:17" s="60" customFormat="1" hidden="1" x14ac:dyDescent="0.2">
      <c r="A44" s="60">
        <v>9278</v>
      </c>
      <c r="B44" s="61" t="s">
        <v>14</v>
      </c>
      <c r="C44" s="63" t="s">
        <v>26</v>
      </c>
      <c r="D44" s="61">
        <v>4000</v>
      </c>
      <c r="E44" s="61">
        <v>223</v>
      </c>
      <c r="F44" s="61">
        <v>30</v>
      </c>
      <c r="G44" s="61">
        <v>188</v>
      </c>
      <c r="H44" s="61">
        <v>0.86</v>
      </c>
      <c r="I44" s="61">
        <v>0.78</v>
      </c>
      <c r="J44" s="61">
        <v>0.74</v>
      </c>
      <c r="K44" s="64">
        <f t="shared" si="5"/>
        <v>0.49639200000000006</v>
      </c>
      <c r="L44" s="61">
        <f>P34*2</f>
        <v>240</v>
      </c>
      <c r="M44" s="62">
        <f t="shared" si="6"/>
        <v>0.06</v>
      </c>
      <c r="N44" s="62">
        <f t="shared" si="7"/>
        <v>13.379999999999999</v>
      </c>
      <c r="O44" s="62">
        <f t="shared" si="8"/>
        <v>2.9783520000000001E-2</v>
      </c>
      <c r="Q44" s="95"/>
    </row>
    <row r="45" spans="1:17" s="60" customFormat="1" hidden="1" x14ac:dyDescent="0.2">
      <c r="A45" s="60">
        <v>9270</v>
      </c>
      <c r="B45" s="61" t="s">
        <v>15</v>
      </c>
      <c r="C45" s="63" t="s">
        <v>27</v>
      </c>
      <c r="D45" s="69">
        <v>12</v>
      </c>
      <c r="E45" s="69">
        <v>435</v>
      </c>
      <c r="F45" s="69">
        <v>39</v>
      </c>
      <c r="G45" s="69">
        <v>396</v>
      </c>
      <c r="H45" s="69">
        <v>0.86</v>
      </c>
      <c r="I45" s="69">
        <v>0.56000000000000005</v>
      </c>
      <c r="J45" s="69">
        <v>0.51</v>
      </c>
      <c r="K45" s="70">
        <f t="shared" si="5"/>
        <v>0.24561600000000003</v>
      </c>
      <c r="L45" s="61">
        <v>54</v>
      </c>
      <c r="M45" s="62">
        <f t="shared" si="6"/>
        <v>4.5</v>
      </c>
      <c r="N45" s="62">
        <f t="shared" si="7"/>
        <v>1957.5</v>
      </c>
      <c r="O45" s="62">
        <f t="shared" si="8"/>
        <v>1.105272</v>
      </c>
      <c r="P45" s="136">
        <f>SUM(L45:L49)</f>
        <v>94</v>
      </c>
      <c r="Q45" s="95"/>
    </row>
    <row r="46" spans="1:17" s="60" customFormat="1" hidden="1" x14ac:dyDescent="0.2">
      <c r="A46" s="60">
        <v>9270</v>
      </c>
      <c r="B46" s="61" t="s">
        <v>15</v>
      </c>
      <c r="C46" s="63" t="s">
        <v>28</v>
      </c>
      <c r="D46" s="69">
        <v>12</v>
      </c>
      <c r="E46" s="69">
        <v>520</v>
      </c>
      <c r="F46" s="69">
        <v>40</v>
      </c>
      <c r="G46" s="69">
        <v>480</v>
      </c>
      <c r="H46" s="69">
        <v>1.03</v>
      </c>
      <c r="I46" s="69">
        <v>0.56000000000000005</v>
      </c>
      <c r="J46" s="69">
        <v>0.51</v>
      </c>
      <c r="K46" s="70">
        <f t="shared" si="5"/>
        <v>0.29416800000000004</v>
      </c>
      <c r="L46" s="61">
        <v>17</v>
      </c>
      <c r="M46" s="62">
        <f t="shared" si="6"/>
        <v>1.4166666666666667</v>
      </c>
      <c r="N46" s="62">
        <f t="shared" si="7"/>
        <v>736.66666666666674</v>
      </c>
      <c r="O46" s="62">
        <f t="shared" si="8"/>
        <v>0.41673800000000005</v>
      </c>
      <c r="P46" s="136"/>
      <c r="Q46" s="95"/>
    </row>
    <row r="47" spans="1:17" s="60" customFormat="1" hidden="1" x14ac:dyDescent="0.2">
      <c r="A47" s="60">
        <v>9270</v>
      </c>
      <c r="B47" s="61" t="s">
        <v>15</v>
      </c>
      <c r="C47" s="63" t="s">
        <v>29</v>
      </c>
      <c r="D47" s="69">
        <v>12</v>
      </c>
      <c r="E47" s="69">
        <v>596</v>
      </c>
      <c r="F47" s="69">
        <v>44</v>
      </c>
      <c r="G47" s="69">
        <v>552</v>
      </c>
      <c r="H47" s="69">
        <v>1.17</v>
      </c>
      <c r="I47" s="69">
        <v>0.56000000000000005</v>
      </c>
      <c r="J47" s="69">
        <v>0.51</v>
      </c>
      <c r="K47" s="70">
        <f t="shared" si="5"/>
        <v>0.334152</v>
      </c>
      <c r="L47" s="61">
        <v>17</v>
      </c>
      <c r="M47" s="62">
        <f t="shared" si="6"/>
        <v>1.4166666666666667</v>
      </c>
      <c r="N47" s="62">
        <f t="shared" si="7"/>
        <v>844.33333333333337</v>
      </c>
      <c r="O47" s="62">
        <f t="shared" si="8"/>
        <v>0.47338200000000002</v>
      </c>
      <c r="P47" s="136"/>
      <c r="Q47" s="95"/>
    </row>
    <row r="48" spans="1:17" s="60" customFormat="1" hidden="1" x14ac:dyDescent="0.2">
      <c r="A48" s="60">
        <v>9270</v>
      </c>
      <c r="B48" s="61" t="s">
        <v>15</v>
      </c>
      <c r="C48" s="63" t="s">
        <v>30</v>
      </c>
      <c r="D48" s="71">
        <v>12</v>
      </c>
      <c r="E48" s="69">
        <v>654</v>
      </c>
      <c r="F48" s="69">
        <v>42</v>
      </c>
      <c r="G48" s="69">
        <v>612</v>
      </c>
      <c r="H48" s="69">
        <v>1.2749999999999999</v>
      </c>
      <c r="I48" s="69">
        <v>0.56000000000000005</v>
      </c>
      <c r="J48" s="69">
        <v>0.51</v>
      </c>
      <c r="K48" s="70">
        <f t="shared" si="5"/>
        <v>0.36413999999999996</v>
      </c>
      <c r="L48" s="61">
        <v>6</v>
      </c>
      <c r="M48" s="62">
        <f t="shared" si="6"/>
        <v>0.5</v>
      </c>
      <c r="N48" s="62">
        <f t="shared" si="7"/>
        <v>327</v>
      </c>
      <c r="O48" s="62">
        <f t="shared" si="8"/>
        <v>0.18206999999999998</v>
      </c>
      <c r="P48" s="136"/>
      <c r="Q48" s="95"/>
    </row>
    <row r="49" spans="1:17" s="60" customFormat="1" hidden="1" x14ac:dyDescent="0.2">
      <c r="A49" s="60">
        <v>9270</v>
      </c>
      <c r="B49" s="61" t="s">
        <v>15</v>
      </c>
      <c r="C49" s="63" t="s">
        <v>31</v>
      </c>
      <c r="D49" s="71">
        <v>6</v>
      </c>
      <c r="E49" s="69">
        <v>410</v>
      </c>
      <c r="F49" s="69">
        <v>50</v>
      </c>
      <c r="G49" s="69">
        <v>360</v>
      </c>
      <c r="H49" s="69">
        <v>1.48</v>
      </c>
      <c r="I49" s="69">
        <v>0.56000000000000005</v>
      </c>
      <c r="J49" s="69">
        <v>0.37</v>
      </c>
      <c r="K49" s="70">
        <f t="shared" si="5"/>
        <v>0.30665600000000004</v>
      </c>
      <c r="L49" s="61">
        <v>0</v>
      </c>
      <c r="M49" s="62">
        <f t="shared" si="6"/>
        <v>0</v>
      </c>
      <c r="N49" s="62">
        <f t="shared" si="7"/>
        <v>0</v>
      </c>
      <c r="O49" s="62">
        <f t="shared" si="8"/>
        <v>0</v>
      </c>
      <c r="P49" s="136"/>
      <c r="Q49" s="95"/>
    </row>
    <row r="50" spans="1:17" s="60" customFormat="1" hidden="1" x14ac:dyDescent="0.2">
      <c r="A50" s="60">
        <v>9278</v>
      </c>
      <c r="B50" s="61" t="s">
        <v>14</v>
      </c>
      <c r="C50" s="63" t="s">
        <v>32</v>
      </c>
      <c r="D50" s="66">
        <v>1000</v>
      </c>
      <c r="E50" s="66">
        <f t="shared" ref="E50:E59" si="9">G50+F50</f>
        <v>395</v>
      </c>
      <c r="F50" s="66">
        <v>40</v>
      </c>
      <c r="G50" s="66">
        <v>355</v>
      </c>
      <c r="H50" s="66">
        <v>1.05</v>
      </c>
      <c r="I50" s="66">
        <v>0.9</v>
      </c>
      <c r="J50" s="66">
        <v>0.55000000000000004</v>
      </c>
      <c r="K50" s="62">
        <f t="shared" si="5"/>
        <v>0.51975000000000005</v>
      </c>
      <c r="L50" s="61">
        <f>L45</f>
        <v>54</v>
      </c>
      <c r="M50" s="62">
        <f t="shared" si="6"/>
        <v>5.3999999999999999E-2</v>
      </c>
      <c r="N50" s="62">
        <f t="shared" si="7"/>
        <v>21.33</v>
      </c>
      <c r="O50" s="62">
        <f t="shared" si="8"/>
        <v>2.8066500000000001E-2</v>
      </c>
      <c r="Q50" s="95"/>
    </row>
    <row r="51" spans="1:17" s="60" customFormat="1" hidden="1" x14ac:dyDescent="0.2">
      <c r="A51" s="60">
        <v>9278</v>
      </c>
      <c r="B51" s="61" t="s">
        <v>14</v>
      </c>
      <c r="C51" s="63" t="s">
        <v>33</v>
      </c>
      <c r="D51" s="66">
        <v>450</v>
      </c>
      <c r="E51" s="66">
        <f t="shared" si="9"/>
        <v>360</v>
      </c>
      <c r="F51" s="66">
        <v>40</v>
      </c>
      <c r="G51" s="66">
        <v>320</v>
      </c>
      <c r="H51" s="61">
        <v>1.1000000000000001</v>
      </c>
      <c r="I51" s="66">
        <v>0.9</v>
      </c>
      <c r="J51" s="61">
        <v>0.75</v>
      </c>
      <c r="K51" s="64">
        <f t="shared" si="5"/>
        <v>0.74250000000000005</v>
      </c>
      <c r="L51" s="61">
        <f>L45</f>
        <v>54</v>
      </c>
      <c r="M51" s="62">
        <f t="shared" si="6"/>
        <v>0.12</v>
      </c>
      <c r="N51" s="62">
        <f t="shared" si="7"/>
        <v>43.199999999999996</v>
      </c>
      <c r="O51" s="62">
        <f t="shared" si="8"/>
        <v>8.9099999999999999E-2</v>
      </c>
      <c r="Q51" s="95"/>
    </row>
    <row r="52" spans="1:17" s="60" customFormat="1" hidden="1" x14ac:dyDescent="0.2">
      <c r="A52" s="60">
        <v>9278</v>
      </c>
      <c r="B52" s="61" t="s">
        <v>14</v>
      </c>
      <c r="C52" s="63" t="s">
        <v>34</v>
      </c>
      <c r="D52" s="66">
        <v>1000</v>
      </c>
      <c r="E52" s="66">
        <f t="shared" si="9"/>
        <v>492</v>
      </c>
      <c r="F52" s="66">
        <v>40</v>
      </c>
      <c r="G52" s="66">
        <v>452</v>
      </c>
      <c r="H52" s="66">
        <v>1.1000000000000001</v>
      </c>
      <c r="I52" s="66">
        <v>1.05</v>
      </c>
      <c r="J52" s="66">
        <v>0.55000000000000004</v>
      </c>
      <c r="K52" s="62">
        <f t="shared" si="5"/>
        <v>0.6352500000000002</v>
      </c>
      <c r="L52" s="61">
        <f>L46</f>
        <v>17</v>
      </c>
      <c r="M52" s="62">
        <f t="shared" si="6"/>
        <v>1.7000000000000001E-2</v>
      </c>
      <c r="N52" s="62">
        <f t="shared" si="7"/>
        <v>8.3640000000000008</v>
      </c>
      <c r="O52" s="62">
        <f t="shared" si="8"/>
        <v>1.0799250000000005E-2</v>
      </c>
      <c r="Q52" s="95"/>
    </row>
    <row r="53" spans="1:17" s="60" customFormat="1" hidden="1" x14ac:dyDescent="0.2">
      <c r="A53" s="60">
        <v>9278</v>
      </c>
      <c r="B53" s="61" t="s">
        <v>14</v>
      </c>
      <c r="C53" s="63" t="s">
        <v>35</v>
      </c>
      <c r="D53" s="66">
        <v>450</v>
      </c>
      <c r="E53" s="66">
        <f t="shared" si="9"/>
        <v>421.5</v>
      </c>
      <c r="F53" s="66">
        <v>40</v>
      </c>
      <c r="G53" s="66">
        <v>381.5</v>
      </c>
      <c r="H53" s="66">
        <v>1.05</v>
      </c>
      <c r="I53" s="66">
        <v>1.05</v>
      </c>
      <c r="J53" s="61">
        <v>0.75</v>
      </c>
      <c r="K53" s="64">
        <f t="shared" si="5"/>
        <v>0.82687500000000003</v>
      </c>
      <c r="L53" s="61">
        <f>L46</f>
        <v>17</v>
      </c>
      <c r="M53" s="62">
        <f t="shared" si="6"/>
        <v>3.7777777777777778E-2</v>
      </c>
      <c r="N53" s="62">
        <f t="shared" si="7"/>
        <v>15.923333333333334</v>
      </c>
      <c r="O53" s="62">
        <f t="shared" si="8"/>
        <v>3.1237500000000001E-2</v>
      </c>
      <c r="Q53" s="95"/>
    </row>
    <row r="54" spans="1:17" s="60" customFormat="1" hidden="1" x14ac:dyDescent="0.2">
      <c r="A54" s="60">
        <v>9278</v>
      </c>
      <c r="B54" s="61" t="s">
        <v>14</v>
      </c>
      <c r="C54" s="63" t="s">
        <v>36</v>
      </c>
      <c r="D54" s="66">
        <v>1000</v>
      </c>
      <c r="E54" s="66">
        <f t="shared" si="9"/>
        <v>574</v>
      </c>
      <c r="F54" s="66">
        <v>40</v>
      </c>
      <c r="G54" s="66">
        <v>534</v>
      </c>
      <c r="H54" s="66">
        <v>1.1000000000000001</v>
      </c>
      <c r="I54" s="66">
        <v>1.2</v>
      </c>
      <c r="J54" s="66">
        <v>0.55000000000000004</v>
      </c>
      <c r="K54" s="62">
        <f t="shared" si="5"/>
        <v>0.72600000000000009</v>
      </c>
      <c r="L54" s="61">
        <f>L47</f>
        <v>17</v>
      </c>
      <c r="M54" s="62">
        <f t="shared" si="6"/>
        <v>1.7000000000000001E-2</v>
      </c>
      <c r="N54" s="62">
        <f t="shared" si="7"/>
        <v>9.7580000000000009</v>
      </c>
      <c r="O54" s="62">
        <f t="shared" si="8"/>
        <v>1.2342000000000002E-2</v>
      </c>
      <c r="Q54" s="95"/>
    </row>
    <row r="55" spans="1:17" s="60" customFormat="1" hidden="1" x14ac:dyDescent="0.2">
      <c r="A55" s="60">
        <v>9278</v>
      </c>
      <c r="B55" s="61" t="s">
        <v>14</v>
      </c>
      <c r="C55" s="63" t="s">
        <v>37</v>
      </c>
      <c r="D55" s="66">
        <v>450</v>
      </c>
      <c r="E55" s="66">
        <f t="shared" si="9"/>
        <v>475</v>
      </c>
      <c r="F55" s="66">
        <v>40</v>
      </c>
      <c r="G55" s="66">
        <v>435</v>
      </c>
      <c r="H55" s="66">
        <v>1.05</v>
      </c>
      <c r="I55" s="66">
        <v>1.2</v>
      </c>
      <c r="J55" s="61">
        <v>0.75</v>
      </c>
      <c r="K55" s="62">
        <f t="shared" si="5"/>
        <v>0.94500000000000006</v>
      </c>
      <c r="L55" s="61">
        <f>L47</f>
        <v>17</v>
      </c>
      <c r="M55" s="62">
        <f t="shared" si="6"/>
        <v>3.7777777777777778E-2</v>
      </c>
      <c r="N55" s="62">
        <f t="shared" si="7"/>
        <v>17.944444444444443</v>
      </c>
      <c r="O55" s="62">
        <f t="shared" si="8"/>
        <v>3.5700000000000003E-2</v>
      </c>
      <c r="Q55" s="95"/>
    </row>
    <row r="56" spans="1:17" s="60" customFormat="1" hidden="1" x14ac:dyDescent="0.2">
      <c r="A56" s="60">
        <v>9278</v>
      </c>
      <c r="B56" s="61" t="s">
        <v>14</v>
      </c>
      <c r="C56" s="63" t="s">
        <v>38</v>
      </c>
      <c r="D56" s="66">
        <v>1000</v>
      </c>
      <c r="E56" s="66">
        <f t="shared" si="9"/>
        <v>645</v>
      </c>
      <c r="F56" s="66">
        <v>40</v>
      </c>
      <c r="G56" s="66">
        <v>605</v>
      </c>
      <c r="H56" s="66">
        <v>1.1000000000000001</v>
      </c>
      <c r="I56" s="66">
        <v>1.3</v>
      </c>
      <c r="J56" s="66">
        <v>0.55000000000000004</v>
      </c>
      <c r="K56" s="62">
        <f t="shared" si="5"/>
        <v>0.7865000000000002</v>
      </c>
      <c r="L56" s="61">
        <f>L48</f>
        <v>6</v>
      </c>
      <c r="M56" s="62">
        <f t="shared" si="6"/>
        <v>6.0000000000000001E-3</v>
      </c>
      <c r="N56" s="62">
        <f t="shared" si="7"/>
        <v>3.87</v>
      </c>
      <c r="O56" s="62">
        <f t="shared" si="8"/>
        <v>4.719000000000001E-3</v>
      </c>
      <c r="Q56" s="95"/>
    </row>
    <row r="57" spans="1:17" s="60" customFormat="1" hidden="1" x14ac:dyDescent="0.2">
      <c r="A57" s="60">
        <v>9278</v>
      </c>
      <c r="B57" s="61" t="s">
        <v>14</v>
      </c>
      <c r="C57" s="63" t="s">
        <v>39</v>
      </c>
      <c r="D57" s="66">
        <v>450</v>
      </c>
      <c r="E57" s="66">
        <f t="shared" si="9"/>
        <v>515</v>
      </c>
      <c r="F57" s="66">
        <v>40</v>
      </c>
      <c r="G57" s="66">
        <v>475</v>
      </c>
      <c r="H57" s="66">
        <v>1.05</v>
      </c>
      <c r="I57" s="66">
        <v>1.3</v>
      </c>
      <c r="J57" s="61">
        <v>0.75</v>
      </c>
      <c r="K57" s="62">
        <f t="shared" si="5"/>
        <v>1.0237500000000002</v>
      </c>
      <c r="L57" s="61">
        <f>L48</f>
        <v>6</v>
      </c>
      <c r="M57" s="62">
        <f t="shared" si="6"/>
        <v>1.3333333333333334E-2</v>
      </c>
      <c r="N57" s="62">
        <f t="shared" si="7"/>
        <v>6.8666666666666671</v>
      </c>
      <c r="O57" s="62">
        <f t="shared" si="8"/>
        <v>1.3650000000000002E-2</v>
      </c>
      <c r="Q57" s="95"/>
    </row>
    <row r="58" spans="1:17" s="60" customFormat="1" hidden="1" x14ac:dyDescent="0.2">
      <c r="A58" s="60">
        <v>9278</v>
      </c>
      <c r="B58" s="61" t="s">
        <v>14</v>
      </c>
      <c r="C58" s="63" t="s">
        <v>40</v>
      </c>
      <c r="D58" s="66">
        <v>1000</v>
      </c>
      <c r="E58" s="66">
        <f t="shared" si="9"/>
        <v>645</v>
      </c>
      <c r="F58" s="66">
        <v>40</v>
      </c>
      <c r="G58" s="66">
        <v>605</v>
      </c>
      <c r="H58" s="66">
        <v>1.1000000000000001</v>
      </c>
      <c r="I58" s="66">
        <v>1.3</v>
      </c>
      <c r="J58" s="66">
        <v>0.55000000000000004</v>
      </c>
      <c r="K58" s="62">
        <f t="shared" si="5"/>
        <v>0.7865000000000002</v>
      </c>
      <c r="L58" s="61">
        <f>L49</f>
        <v>0</v>
      </c>
      <c r="M58" s="62">
        <f t="shared" si="6"/>
        <v>0</v>
      </c>
      <c r="N58" s="62">
        <f t="shared" si="7"/>
        <v>0</v>
      </c>
      <c r="O58" s="62">
        <f t="shared" si="8"/>
        <v>0</v>
      </c>
      <c r="Q58" s="95"/>
    </row>
    <row r="59" spans="1:17" s="60" customFormat="1" hidden="1" x14ac:dyDescent="0.2">
      <c r="A59" s="60">
        <v>9278</v>
      </c>
      <c r="B59" s="61" t="s">
        <v>14</v>
      </c>
      <c r="C59" s="63" t="s">
        <v>41</v>
      </c>
      <c r="D59" s="66">
        <v>450</v>
      </c>
      <c r="E59" s="66">
        <f t="shared" si="9"/>
        <v>515</v>
      </c>
      <c r="F59" s="66">
        <v>40</v>
      </c>
      <c r="G59" s="66">
        <v>475</v>
      </c>
      <c r="H59" s="66">
        <v>1.05</v>
      </c>
      <c r="I59" s="66">
        <v>1.3</v>
      </c>
      <c r="J59" s="61">
        <v>0.75</v>
      </c>
      <c r="K59" s="62">
        <f t="shared" si="5"/>
        <v>1.0237500000000002</v>
      </c>
      <c r="L59" s="61">
        <f>L49</f>
        <v>0</v>
      </c>
      <c r="M59" s="62">
        <f t="shared" si="6"/>
        <v>0</v>
      </c>
      <c r="N59" s="62">
        <f t="shared" si="7"/>
        <v>0</v>
      </c>
      <c r="O59" s="62">
        <f t="shared" si="8"/>
        <v>0</v>
      </c>
      <c r="Q59" s="95"/>
    </row>
    <row r="60" spans="1:17" s="60" customFormat="1" hidden="1" x14ac:dyDescent="0.2">
      <c r="A60" s="60">
        <v>8952</v>
      </c>
      <c r="B60" s="61" t="s">
        <v>14</v>
      </c>
      <c r="C60" s="63" t="s">
        <v>22</v>
      </c>
      <c r="D60" s="65">
        <v>3000</v>
      </c>
      <c r="E60" s="66">
        <v>235</v>
      </c>
      <c r="F60" s="61">
        <v>35</v>
      </c>
      <c r="G60" s="66">
        <v>200</v>
      </c>
      <c r="H60" s="61">
        <v>1.1000000000000001</v>
      </c>
      <c r="I60" s="61">
        <v>1.1000000000000001</v>
      </c>
      <c r="J60" s="61">
        <v>1.02</v>
      </c>
      <c r="K60" s="64">
        <f t="shared" si="5"/>
        <v>1.2342000000000002</v>
      </c>
      <c r="L60" s="61">
        <f>P45*4</f>
        <v>376</v>
      </c>
      <c r="M60" s="62">
        <f t="shared" si="6"/>
        <v>0.12533333333333332</v>
      </c>
      <c r="N60" s="62">
        <f t="shared" si="7"/>
        <v>29.45333333333333</v>
      </c>
      <c r="O60" s="62">
        <f t="shared" si="8"/>
        <v>0.1546864</v>
      </c>
      <c r="Q60" s="95"/>
    </row>
    <row r="61" spans="1:17" s="60" customFormat="1" hidden="1" x14ac:dyDescent="0.2">
      <c r="A61" s="60">
        <v>9278</v>
      </c>
      <c r="B61" s="61" t="s">
        <v>14</v>
      </c>
      <c r="C61" s="63" t="s">
        <v>23</v>
      </c>
      <c r="D61" s="67">
        <v>1000</v>
      </c>
      <c r="E61" s="68">
        <v>646</v>
      </c>
      <c r="F61" s="68">
        <f>E61-G61</f>
        <v>40</v>
      </c>
      <c r="G61" s="68">
        <v>606</v>
      </c>
      <c r="H61" s="68">
        <v>1.1000000000000001</v>
      </c>
      <c r="I61" s="68">
        <v>0.8</v>
      </c>
      <c r="J61" s="68">
        <v>0.55000000000000004</v>
      </c>
      <c r="K61" s="62">
        <f t="shared" si="5"/>
        <v>0.4840000000000001</v>
      </c>
      <c r="L61" s="61">
        <f>P45*4</f>
        <v>376</v>
      </c>
      <c r="M61" s="62">
        <f t="shared" si="6"/>
        <v>0.376</v>
      </c>
      <c r="N61" s="62">
        <f t="shared" si="7"/>
        <v>242.89599999999999</v>
      </c>
      <c r="O61" s="62">
        <f t="shared" si="8"/>
        <v>0.18198400000000003</v>
      </c>
      <c r="Q61" s="95"/>
    </row>
    <row r="62" spans="1:17" s="60" customFormat="1" hidden="1" x14ac:dyDescent="0.2">
      <c r="A62" s="60">
        <v>9278</v>
      </c>
      <c r="B62" s="61" t="s">
        <v>14</v>
      </c>
      <c r="C62" s="63" t="s">
        <v>46</v>
      </c>
      <c r="D62" s="65">
        <v>4000</v>
      </c>
      <c r="E62" s="66">
        <v>424</v>
      </c>
      <c r="F62" s="61">
        <f>E62-G62</f>
        <v>52</v>
      </c>
      <c r="G62" s="66">
        <v>372</v>
      </c>
      <c r="H62" s="61">
        <v>1.1000000000000001</v>
      </c>
      <c r="I62" s="61">
        <v>0.8</v>
      </c>
      <c r="J62" s="61">
        <v>0.55000000000000004</v>
      </c>
      <c r="K62" s="64">
        <f t="shared" si="5"/>
        <v>0.4840000000000001</v>
      </c>
      <c r="L62" s="61">
        <f>P45*4</f>
        <v>376</v>
      </c>
      <c r="M62" s="62">
        <f t="shared" si="6"/>
        <v>9.4E-2</v>
      </c>
      <c r="N62" s="62">
        <f t="shared" si="7"/>
        <v>39.856000000000002</v>
      </c>
      <c r="O62" s="62">
        <f t="shared" si="8"/>
        <v>4.5496000000000009E-2</v>
      </c>
      <c r="Q62" s="95"/>
    </row>
    <row r="63" spans="1:17" s="60" customFormat="1" ht="15" hidden="1" x14ac:dyDescent="0.2">
      <c r="A63" s="60">
        <v>9278</v>
      </c>
      <c r="B63" s="61" t="s">
        <v>14</v>
      </c>
      <c r="C63" s="63" t="s">
        <v>42</v>
      </c>
      <c r="D63" s="72">
        <v>1200</v>
      </c>
      <c r="E63" s="137">
        <v>666.4</v>
      </c>
      <c r="F63" s="137">
        <v>40</v>
      </c>
      <c r="G63" s="73">
        <v>588</v>
      </c>
      <c r="H63" s="139">
        <v>1</v>
      </c>
      <c r="I63" s="139">
        <v>0.75</v>
      </c>
      <c r="J63" s="139">
        <v>0.7</v>
      </c>
      <c r="K63" s="141">
        <v>0.5</v>
      </c>
      <c r="L63" s="61">
        <f>P45*4</f>
        <v>376</v>
      </c>
      <c r="M63" s="143">
        <f t="shared" si="6"/>
        <v>0.31333333333333335</v>
      </c>
      <c r="N63" s="143">
        <f t="shared" si="7"/>
        <v>208.80533333333335</v>
      </c>
      <c r="O63" s="145">
        <f t="shared" si="8"/>
        <v>0.15666666666666668</v>
      </c>
      <c r="Q63" s="95"/>
    </row>
    <row r="64" spans="1:17" s="60" customFormat="1" ht="15.75" hidden="1" thickBot="1" x14ac:dyDescent="0.25">
      <c r="A64" s="60">
        <v>9278</v>
      </c>
      <c r="B64" s="61" t="s">
        <v>14</v>
      </c>
      <c r="C64" s="63" t="s">
        <v>43</v>
      </c>
      <c r="D64" s="72">
        <v>1200</v>
      </c>
      <c r="E64" s="138"/>
      <c r="F64" s="138"/>
      <c r="G64" s="73">
        <v>38.4</v>
      </c>
      <c r="H64" s="140"/>
      <c r="I64" s="140"/>
      <c r="J64" s="140"/>
      <c r="K64" s="142"/>
      <c r="L64" s="61">
        <f>P45*4</f>
        <v>376</v>
      </c>
      <c r="M64" s="144"/>
      <c r="N64" s="144"/>
      <c r="O64" s="146"/>
      <c r="Q64" s="96"/>
    </row>
    <row r="65" spans="1:17" s="33" customFormat="1" hidden="1" x14ac:dyDescent="0.2">
      <c r="A65" s="33">
        <v>9270</v>
      </c>
      <c r="B65" s="34" t="s">
        <v>15</v>
      </c>
      <c r="C65" s="34" t="s">
        <v>16</v>
      </c>
      <c r="D65" s="34">
        <v>30</v>
      </c>
      <c r="E65" s="34">
        <v>669</v>
      </c>
      <c r="F65" s="34">
        <f>E65-G65</f>
        <v>53</v>
      </c>
      <c r="G65" s="34">
        <v>616</v>
      </c>
      <c r="H65" s="34">
        <v>1</v>
      </c>
      <c r="I65" s="34">
        <v>0.9</v>
      </c>
      <c r="J65" s="34">
        <v>0.73</v>
      </c>
      <c r="K65" s="34">
        <f t="shared" ref="K65:K93" si="10">H65*I65*J65</f>
        <v>0.65700000000000003</v>
      </c>
      <c r="L65" s="34">
        <v>102</v>
      </c>
      <c r="M65" s="35">
        <f t="shared" ref="M65:M94" si="11">L65/D65</f>
        <v>3.4</v>
      </c>
      <c r="N65" s="35">
        <f t="shared" ref="N65:N94" si="12">E65*M65</f>
        <v>2274.6</v>
      </c>
      <c r="O65" s="35">
        <f>M65*K65</f>
        <v>2.2338</v>
      </c>
      <c r="P65" s="125">
        <f>SUM(L65:L68)</f>
        <v>120</v>
      </c>
      <c r="Q65" s="97" t="s">
        <v>55</v>
      </c>
    </row>
    <row r="66" spans="1:17" s="33" customFormat="1" hidden="1" x14ac:dyDescent="0.2">
      <c r="A66" s="33">
        <v>9270</v>
      </c>
      <c r="B66" s="34" t="s">
        <v>15</v>
      </c>
      <c r="C66" s="34" t="s">
        <v>17</v>
      </c>
      <c r="D66" s="34">
        <v>30</v>
      </c>
      <c r="E66" s="34">
        <v>669</v>
      </c>
      <c r="F66" s="34">
        <f>E66-G66</f>
        <v>53</v>
      </c>
      <c r="G66" s="34">
        <v>616</v>
      </c>
      <c r="H66" s="34">
        <v>1</v>
      </c>
      <c r="I66" s="34">
        <v>0.9</v>
      </c>
      <c r="J66" s="34">
        <v>0.73</v>
      </c>
      <c r="K66" s="34">
        <f t="shared" si="10"/>
        <v>0.65700000000000003</v>
      </c>
      <c r="L66" s="34">
        <v>6</v>
      </c>
      <c r="M66" s="35">
        <f t="shared" si="11"/>
        <v>0.2</v>
      </c>
      <c r="N66" s="35">
        <f t="shared" si="12"/>
        <v>133.80000000000001</v>
      </c>
      <c r="O66" s="35">
        <f t="shared" ref="O66:O94" si="13">M66*K66</f>
        <v>0.13140000000000002</v>
      </c>
      <c r="P66" s="125"/>
      <c r="Q66" s="98"/>
    </row>
    <row r="67" spans="1:17" s="33" customFormat="1" hidden="1" x14ac:dyDescent="0.2">
      <c r="A67" s="33">
        <v>9270</v>
      </c>
      <c r="B67" s="34" t="s">
        <v>15</v>
      </c>
      <c r="C67" s="34" t="s">
        <v>18</v>
      </c>
      <c r="D67" s="34">
        <v>30</v>
      </c>
      <c r="E67" s="34">
        <v>669</v>
      </c>
      <c r="F67" s="34">
        <f>E67-G67</f>
        <v>53</v>
      </c>
      <c r="G67" s="34">
        <v>616</v>
      </c>
      <c r="H67" s="34">
        <v>1</v>
      </c>
      <c r="I67" s="34">
        <v>0.9</v>
      </c>
      <c r="J67" s="34">
        <v>0.73</v>
      </c>
      <c r="K67" s="34">
        <f t="shared" si="10"/>
        <v>0.65700000000000003</v>
      </c>
      <c r="L67" s="34">
        <v>6</v>
      </c>
      <c r="M67" s="35">
        <f t="shared" si="11"/>
        <v>0.2</v>
      </c>
      <c r="N67" s="35">
        <f t="shared" si="12"/>
        <v>133.80000000000001</v>
      </c>
      <c r="O67" s="35">
        <f t="shared" si="13"/>
        <v>0.13140000000000002</v>
      </c>
      <c r="P67" s="125"/>
      <c r="Q67" s="98"/>
    </row>
    <row r="68" spans="1:17" s="33" customFormat="1" hidden="1" x14ac:dyDescent="0.2">
      <c r="A68" s="33">
        <v>9270</v>
      </c>
      <c r="B68" s="34" t="s">
        <v>15</v>
      </c>
      <c r="C68" s="34" t="s">
        <v>19</v>
      </c>
      <c r="D68" s="34">
        <v>30</v>
      </c>
      <c r="E68" s="34">
        <v>669</v>
      </c>
      <c r="F68" s="34">
        <f>E68-G68</f>
        <v>53</v>
      </c>
      <c r="G68" s="34">
        <v>616</v>
      </c>
      <c r="H68" s="34">
        <v>1</v>
      </c>
      <c r="I68" s="34">
        <v>0.9</v>
      </c>
      <c r="J68" s="34">
        <v>0.73</v>
      </c>
      <c r="K68" s="34">
        <f t="shared" si="10"/>
        <v>0.65700000000000003</v>
      </c>
      <c r="L68" s="34">
        <v>6</v>
      </c>
      <c r="M68" s="35">
        <f t="shared" si="11"/>
        <v>0.2</v>
      </c>
      <c r="N68" s="35">
        <f t="shared" si="12"/>
        <v>133.80000000000001</v>
      </c>
      <c r="O68" s="35">
        <f t="shared" si="13"/>
        <v>0.13140000000000002</v>
      </c>
      <c r="P68" s="125"/>
      <c r="Q68" s="98"/>
    </row>
    <row r="69" spans="1:17" s="33" customFormat="1" hidden="1" x14ac:dyDescent="0.2">
      <c r="A69" s="33">
        <v>9278</v>
      </c>
      <c r="B69" s="34" t="s">
        <v>14</v>
      </c>
      <c r="C69" s="36" t="s">
        <v>20</v>
      </c>
      <c r="D69" s="34">
        <v>5000</v>
      </c>
      <c r="E69" s="34">
        <v>490</v>
      </c>
      <c r="F69" s="34">
        <v>40</v>
      </c>
      <c r="G69" s="34">
        <v>450</v>
      </c>
      <c r="H69" s="34">
        <v>1</v>
      </c>
      <c r="I69" s="34">
        <v>0.98</v>
      </c>
      <c r="J69" s="34">
        <v>0.83</v>
      </c>
      <c r="K69" s="37">
        <f t="shared" si="10"/>
        <v>0.8133999999999999</v>
      </c>
      <c r="L69" s="34">
        <f>P65</f>
        <v>120</v>
      </c>
      <c r="M69" s="35">
        <f t="shared" si="11"/>
        <v>2.4E-2</v>
      </c>
      <c r="N69" s="35">
        <f t="shared" si="12"/>
        <v>11.76</v>
      </c>
      <c r="O69" s="35">
        <f t="shared" si="13"/>
        <v>1.9521599999999997E-2</v>
      </c>
      <c r="Q69" s="98"/>
    </row>
    <row r="70" spans="1:17" s="33" customFormat="1" hidden="1" x14ac:dyDescent="0.2">
      <c r="A70" s="33">
        <v>9278</v>
      </c>
      <c r="B70" s="34" t="s">
        <v>14</v>
      </c>
      <c r="C70" s="36" t="s">
        <v>21</v>
      </c>
      <c r="D70" s="34">
        <v>360</v>
      </c>
      <c r="E70" s="34">
        <v>390</v>
      </c>
      <c r="F70" s="34">
        <v>40</v>
      </c>
      <c r="G70" s="34">
        <v>350</v>
      </c>
      <c r="H70" s="34">
        <v>1.05</v>
      </c>
      <c r="I70" s="34">
        <v>0.95</v>
      </c>
      <c r="J70" s="34">
        <v>0.55000000000000004</v>
      </c>
      <c r="K70" s="37">
        <f t="shared" si="10"/>
        <v>0.54862500000000003</v>
      </c>
      <c r="L70" s="34">
        <f>P65</f>
        <v>120</v>
      </c>
      <c r="M70" s="35">
        <f t="shared" si="11"/>
        <v>0.33333333333333331</v>
      </c>
      <c r="N70" s="35">
        <f t="shared" si="12"/>
        <v>130</v>
      </c>
      <c r="O70" s="35">
        <f t="shared" si="13"/>
        <v>0.18287500000000001</v>
      </c>
      <c r="Q70" s="98"/>
    </row>
    <row r="71" spans="1:17" s="33" customFormat="1" hidden="1" x14ac:dyDescent="0.2">
      <c r="A71" s="33">
        <v>8952</v>
      </c>
      <c r="B71" s="34" t="s">
        <v>14</v>
      </c>
      <c r="C71" s="36" t="s">
        <v>22</v>
      </c>
      <c r="D71" s="38">
        <v>3000</v>
      </c>
      <c r="E71" s="39">
        <v>235</v>
      </c>
      <c r="F71" s="34">
        <v>35</v>
      </c>
      <c r="G71" s="39">
        <v>200</v>
      </c>
      <c r="H71" s="34">
        <v>1.1000000000000001</v>
      </c>
      <c r="I71" s="34">
        <v>1.1000000000000001</v>
      </c>
      <c r="J71" s="34">
        <v>1.02</v>
      </c>
      <c r="K71" s="37">
        <f t="shared" si="10"/>
        <v>1.2342000000000002</v>
      </c>
      <c r="L71" s="34">
        <f>P65*4</f>
        <v>480</v>
      </c>
      <c r="M71" s="35">
        <f t="shared" si="11"/>
        <v>0.16</v>
      </c>
      <c r="N71" s="35">
        <f t="shared" si="12"/>
        <v>37.6</v>
      </c>
      <c r="O71" s="35">
        <f t="shared" si="13"/>
        <v>0.19747200000000004</v>
      </c>
      <c r="Q71" s="98"/>
    </row>
    <row r="72" spans="1:17" s="33" customFormat="1" hidden="1" x14ac:dyDescent="0.2">
      <c r="A72" s="33">
        <v>9278</v>
      </c>
      <c r="B72" s="34" t="s">
        <v>14</v>
      </c>
      <c r="C72" s="36" t="s">
        <v>23</v>
      </c>
      <c r="D72" s="40">
        <v>1000</v>
      </c>
      <c r="E72" s="41">
        <v>646</v>
      </c>
      <c r="F72" s="41">
        <f>E72-G72</f>
        <v>40</v>
      </c>
      <c r="G72" s="41">
        <v>606</v>
      </c>
      <c r="H72" s="41">
        <v>1.1000000000000001</v>
      </c>
      <c r="I72" s="41">
        <v>0.8</v>
      </c>
      <c r="J72" s="41">
        <v>0.55000000000000004</v>
      </c>
      <c r="K72" s="35">
        <f t="shared" si="10"/>
        <v>0.4840000000000001</v>
      </c>
      <c r="L72" s="34">
        <f>P65*4</f>
        <v>480</v>
      </c>
      <c r="M72" s="35">
        <f t="shared" si="11"/>
        <v>0.48</v>
      </c>
      <c r="N72" s="35">
        <f t="shared" si="12"/>
        <v>310.08</v>
      </c>
      <c r="O72" s="35">
        <f t="shared" si="13"/>
        <v>0.23232000000000003</v>
      </c>
      <c r="Q72" s="98"/>
    </row>
    <row r="73" spans="1:17" s="33" customFormat="1" x14ac:dyDescent="0.2">
      <c r="A73" s="33">
        <v>9286</v>
      </c>
      <c r="B73" s="34" t="s">
        <v>47</v>
      </c>
      <c r="C73" s="36" t="s">
        <v>24</v>
      </c>
      <c r="D73" s="38">
        <v>4000</v>
      </c>
      <c r="E73" s="39">
        <v>424</v>
      </c>
      <c r="F73" s="34">
        <f>E73-G73</f>
        <v>52</v>
      </c>
      <c r="G73" s="39">
        <v>372</v>
      </c>
      <c r="H73" s="34">
        <v>1.1000000000000001</v>
      </c>
      <c r="I73" s="34">
        <v>0.8</v>
      </c>
      <c r="J73" s="34">
        <v>0.55000000000000004</v>
      </c>
      <c r="K73" s="37">
        <f t="shared" si="10"/>
        <v>0.4840000000000001</v>
      </c>
      <c r="L73" s="34">
        <f>(P65+P76)*4</f>
        <v>856</v>
      </c>
      <c r="M73" s="35">
        <f t="shared" si="11"/>
        <v>0.214</v>
      </c>
      <c r="N73" s="35">
        <f t="shared" si="12"/>
        <v>90.736000000000004</v>
      </c>
      <c r="O73" s="35">
        <f t="shared" si="13"/>
        <v>0.10357600000000002</v>
      </c>
      <c r="Q73" s="98"/>
    </row>
    <row r="74" spans="1:17" s="33" customFormat="1" hidden="1" x14ac:dyDescent="0.2">
      <c r="A74" s="33">
        <v>9278</v>
      </c>
      <c r="B74" s="34" t="s">
        <v>14</v>
      </c>
      <c r="C74" s="36" t="s">
        <v>25</v>
      </c>
      <c r="D74" s="34">
        <v>1000</v>
      </c>
      <c r="E74" s="34">
        <v>830</v>
      </c>
      <c r="F74" s="34">
        <v>40</v>
      </c>
      <c r="G74" s="34">
        <v>790</v>
      </c>
      <c r="H74" s="34">
        <v>1.04</v>
      </c>
      <c r="I74" s="34">
        <v>0.84</v>
      </c>
      <c r="J74" s="34">
        <v>0.64</v>
      </c>
      <c r="K74" s="37">
        <f t="shared" si="10"/>
        <v>0.55910400000000005</v>
      </c>
      <c r="L74" s="34">
        <f>P65*2</f>
        <v>240</v>
      </c>
      <c r="M74" s="35">
        <f t="shared" si="11"/>
        <v>0.24</v>
      </c>
      <c r="N74" s="35">
        <f t="shared" si="12"/>
        <v>199.2</v>
      </c>
      <c r="O74" s="35">
        <f t="shared" si="13"/>
        <v>0.13418496000000002</v>
      </c>
      <c r="Q74" s="98"/>
    </row>
    <row r="75" spans="1:17" s="33" customFormat="1" hidden="1" x14ac:dyDescent="0.2">
      <c r="A75" s="33">
        <v>9278</v>
      </c>
      <c r="B75" s="34" t="s">
        <v>14</v>
      </c>
      <c r="C75" s="36" t="s">
        <v>26</v>
      </c>
      <c r="D75" s="34">
        <v>4000</v>
      </c>
      <c r="E75" s="34">
        <v>223</v>
      </c>
      <c r="F75" s="34">
        <v>30</v>
      </c>
      <c r="G75" s="34">
        <v>188</v>
      </c>
      <c r="H75" s="34">
        <v>0.86</v>
      </c>
      <c r="I75" s="34">
        <v>0.78</v>
      </c>
      <c r="J75" s="34">
        <v>0.74</v>
      </c>
      <c r="K75" s="37">
        <f t="shared" si="10"/>
        <v>0.49639200000000006</v>
      </c>
      <c r="L75" s="34">
        <f>P65*2</f>
        <v>240</v>
      </c>
      <c r="M75" s="35">
        <f t="shared" si="11"/>
        <v>0.06</v>
      </c>
      <c r="N75" s="35">
        <f t="shared" si="12"/>
        <v>13.379999999999999</v>
      </c>
      <c r="O75" s="35">
        <f t="shared" si="13"/>
        <v>2.9783520000000001E-2</v>
      </c>
      <c r="Q75" s="98"/>
    </row>
    <row r="76" spans="1:17" s="33" customFormat="1" hidden="1" x14ac:dyDescent="0.2">
      <c r="A76" s="33">
        <v>9270</v>
      </c>
      <c r="B76" s="34" t="s">
        <v>15</v>
      </c>
      <c r="C76" s="36" t="s">
        <v>27</v>
      </c>
      <c r="D76" s="42">
        <v>12</v>
      </c>
      <c r="E76" s="42">
        <v>435</v>
      </c>
      <c r="F76" s="42">
        <v>39</v>
      </c>
      <c r="G76" s="42">
        <v>396</v>
      </c>
      <c r="H76" s="42">
        <v>0.86</v>
      </c>
      <c r="I76" s="42">
        <v>0.56000000000000005</v>
      </c>
      <c r="J76" s="42">
        <v>0.51</v>
      </c>
      <c r="K76" s="43">
        <f t="shared" si="10"/>
        <v>0.24561600000000003</v>
      </c>
      <c r="L76" s="34">
        <v>54</v>
      </c>
      <c r="M76" s="35">
        <f t="shared" si="11"/>
        <v>4.5</v>
      </c>
      <c r="N76" s="35">
        <f t="shared" si="12"/>
        <v>1957.5</v>
      </c>
      <c r="O76" s="35">
        <f t="shared" si="13"/>
        <v>1.105272</v>
      </c>
      <c r="P76" s="125">
        <f>SUM(L76:L80)</f>
        <v>94</v>
      </c>
      <c r="Q76" s="98"/>
    </row>
    <row r="77" spans="1:17" s="33" customFormat="1" hidden="1" x14ac:dyDescent="0.2">
      <c r="A77" s="33">
        <v>9270</v>
      </c>
      <c r="B77" s="34" t="s">
        <v>15</v>
      </c>
      <c r="C77" s="36" t="s">
        <v>28</v>
      </c>
      <c r="D77" s="42">
        <v>12</v>
      </c>
      <c r="E77" s="42">
        <v>520</v>
      </c>
      <c r="F77" s="42">
        <v>40</v>
      </c>
      <c r="G77" s="42">
        <v>480</v>
      </c>
      <c r="H77" s="42">
        <v>1.03</v>
      </c>
      <c r="I77" s="42">
        <v>0.56000000000000005</v>
      </c>
      <c r="J77" s="42">
        <v>0.51</v>
      </c>
      <c r="K77" s="43">
        <f t="shared" si="10"/>
        <v>0.29416800000000004</v>
      </c>
      <c r="L77" s="34">
        <v>17</v>
      </c>
      <c r="M77" s="35">
        <f t="shared" si="11"/>
        <v>1.4166666666666667</v>
      </c>
      <c r="N77" s="35">
        <f t="shared" si="12"/>
        <v>736.66666666666674</v>
      </c>
      <c r="O77" s="35">
        <f t="shared" si="13"/>
        <v>0.41673800000000005</v>
      </c>
      <c r="P77" s="125"/>
      <c r="Q77" s="98"/>
    </row>
    <row r="78" spans="1:17" s="33" customFormat="1" hidden="1" x14ac:dyDescent="0.2">
      <c r="A78" s="33">
        <v>9270</v>
      </c>
      <c r="B78" s="34" t="s">
        <v>15</v>
      </c>
      <c r="C78" s="36" t="s">
        <v>29</v>
      </c>
      <c r="D78" s="42">
        <v>12</v>
      </c>
      <c r="E78" s="42">
        <v>596</v>
      </c>
      <c r="F78" s="42">
        <v>44</v>
      </c>
      <c r="G78" s="42">
        <v>552</v>
      </c>
      <c r="H78" s="42">
        <v>1.17</v>
      </c>
      <c r="I78" s="42">
        <v>0.56000000000000005</v>
      </c>
      <c r="J78" s="42">
        <v>0.51</v>
      </c>
      <c r="K78" s="43">
        <f t="shared" si="10"/>
        <v>0.334152</v>
      </c>
      <c r="L78" s="34">
        <v>17</v>
      </c>
      <c r="M78" s="35">
        <f t="shared" si="11"/>
        <v>1.4166666666666667</v>
      </c>
      <c r="N78" s="35">
        <f t="shared" si="12"/>
        <v>844.33333333333337</v>
      </c>
      <c r="O78" s="35">
        <f t="shared" si="13"/>
        <v>0.47338200000000002</v>
      </c>
      <c r="P78" s="125"/>
      <c r="Q78" s="98"/>
    </row>
    <row r="79" spans="1:17" s="33" customFormat="1" hidden="1" x14ac:dyDescent="0.2">
      <c r="A79" s="33">
        <v>9270</v>
      </c>
      <c r="B79" s="34" t="s">
        <v>15</v>
      </c>
      <c r="C79" s="36" t="s">
        <v>30</v>
      </c>
      <c r="D79" s="44">
        <v>12</v>
      </c>
      <c r="E79" s="42">
        <v>654</v>
      </c>
      <c r="F79" s="42">
        <v>42</v>
      </c>
      <c r="G79" s="42">
        <v>612</v>
      </c>
      <c r="H79" s="42">
        <v>1.2749999999999999</v>
      </c>
      <c r="I79" s="42">
        <v>0.56000000000000005</v>
      </c>
      <c r="J79" s="42">
        <v>0.51</v>
      </c>
      <c r="K79" s="43">
        <f t="shared" si="10"/>
        <v>0.36413999999999996</v>
      </c>
      <c r="L79" s="34">
        <v>6</v>
      </c>
      <c r="M79" s="35">
        <f t="shared" si="11"/>
        <v>0.5</v>
      </c>
      <c r="N79" s="35">
        <f t="shared" si="12"/>
        <v>327</v>
      </c>
      <c r="O79" s="35">
        <f t="shared" si="13"/>
        <v>0.18206999999999998</v>
      </c>
      <c r="P79" s="125"/>
      <c r="Q79" s="98"/>
    </row>
    <row r="80" spans="1:17" s="33" customFormat="1" hidden="1" x14ac:dyDescent="0.2">
      <c r="A80" s="33">
        <v>9270</v>
      </c>
      <c r="B80" s="34" t="s">
        <v>15</v>
      </c>
      <c r="C80" s="36" t="s">
        <v>31</v>
      </c>
      <c r="D80" s="44">
        <v>6</v>
      </c>
      <c r="E80" s="42">
        <v>410</v>
      </c>
      <c r="F80" s="42">
        <v>50</v>
      </c>
      <c r="G80" s="42">
        <v>360</v>
      </c>
      <c r="H80" s="42">
        <v>1.48</v>
      </c>
      <c r="I80" s="42">
        <v>0.56000000000000005</v>
      </c>
      <c r="J80" s="42">
        <v>0.37</v>
      </c>
      <c r="K80" s="43">
        <f t="shared" si="10"/>
        <v>0.30665600000000004</v>
      </c>
      <c r="L80" s="34">
        <v>0</v>
      </c>
      <c r="M80" s="35">
        <f t="shared" si="11"/>
        <v>0</v>
      </c>
      <c r="N80" s="35">
        <f t="shared" si="12"/>
        <v>0</v>
      </c>
      <c r="O80" s="35">
        <f t="shared" si="13"/>
        <v>0</v>
      </c>
      <c r="P80" s="125"/>
      <c r="Q80" s="98"/>
    </row>
    <row r="81" spans="1:17" s="33" customFormat="1" hidden="1" x14ac:dyDescent="0.2">
      <c r="A81" s="33">
        <v>9278</v>
      </c>
      <c r="B81" s="34" t="s">
        <v>14</v>
      </c>
      <c r="C81" s="36" t="s">
        <v>32</v>
      </c>
      <c r="D81" s="39">
        <v>1000</v>
      </c>
      <c r="E81" s="39">
        <f t="shared" ref="E81:E90" si="14">G81+F81</f>
        <v>395</v>
      </c>
      <c r="F81" s="39">
        <v>40</v>
      </c>
      <c r="G81" s="39">
        <v>355</v>
      </c>
      <c r="H81" s="39">
        <v>1.05</v>
      </c>
      <c r="I81" s="39">
        <v>0.9</v>
      </c>
      <c r="J81" s="39">
        <v>0.55000000000000004</v>
      </c>
      <c r="K81" s="35">
        <f t="shared" si="10"/>
        <v>0.51975000000000005</v>
      </c>
      <c r="L81" s="34">
        <f>L76</f>
        <v>54</v>
      </c>
      <c r="M81" s="35">
        <f t="shared" si="11"/>
        <v>5.3999999999999999E-2</v>
      </c>
      <c r="N81" s="35">
        <f t="shared" si="12"/>
        <v>21.33</v>
      </c>
      <c r="O81" s="35">
        <f t="shared" si="13"/>
        <v>2.8066500000000001E-2</v>
      </c>
      <c r="Q81" s="98"/>
    </row>
    <row r="82" spans="1:17" s="33" customFormat="1" hidden="1" x14ac:dyDescent="0.2">
      <c r="A82" s="33">
        <v>9278</v>
      </c>
      <c r="B82" s="34" t="s">
        <v>14</v>
      </c>
      <c r="C82" s="36" t="s">
        <v>33</v>
      </c>
      <c r="D82" s="39">
        <v>450</v>
      </c>
      <c r="E82" s="39">
        <f t="shared" si="14"/>
        <v>360</v>
      </c>
      <c r="F82" s="39">
        <v>40</v>
      </c>
      <c r="G82" s="39">
        <v>320</v>
      </c>
      <c r="H82" s="34">
        <v>1.1000000000000001</v>
      </c>
      <c r="I82" s="39">
        <v>0.9</v>
      </c>
      <c r="J82" s="34">
        <v>0.75</v>
      </c>
      <c r="K82" s="37">
        <f t="shared" si="10"/>
        <v>0.74250000000000005</v>
      </c>
      <c r="L82" s="34">
        <f>L76</f>
        <v>54</v>
      </c>
      <c r="M82" s="35">
        <f t="shared" si="11"/>
        <v>0.12</v>
      </c>
      <c r="N82" s="35">
        <f t="shared" si="12"/>
        <v>43.199999999999996</v>
      </c>
      <c r="O82" s="35">
        <f t="shared" si="13"/>
        <v>8.9099999999999999E-2</v>
      </c>
      <c r="Q82" s="98"/>
    </row>
    <row r="83" spans="1:17" s="33" customFormat="1" hidden="1" x14ac:dyDescent="0.2">
      <c r="A83" s="33">
        <v>9278</v>
      </c>
      <c r="B83" s="34" t="s">
        <v>14</v>
      </c>
      <c r="C83" s="36" t="s">
        <v>34</v>
      </c>
      <c r="D83" s="39">
        <v>1000</v>
      </c>
      <c r="E83" s="39">
        <f t="shared" si="14"/>
        <v>492</v>
      </c>
      <c r="F83" s="39">
        <v>40</v>
      </c>
      <c r="G83" s="39">
        <v>452</v>
      </c>
      <c r="H83" s="39">
        <v>1.1000000000000001</v>
      </c>
      <c r="I83" s="39">
        <v>1.05</v>
      </c>
      <c r="J83" s="39">
        <v>0.55000000000000004</v>
      </c>
      <c r="K83" s="35">
        <f t="shared" si="10"/>
        <v>0.6352500000000002</v>
      </c>
      <c r="L83" s="34">
        <f>L77</f>
        <v>17</v>
      </c>
      <c r="M83" s="35">
        <f t="shared" si="11"/>
        <v>1.7000000000000001E-2</v>
      </c>
      <c r="N83" s="35">
        <f t="shared" si="12"/>
        <v>8.3640000000000008</v>
      </c>
      <c r="O83" s="35">
        <f t="shared" si="13"/>
        <v>1.0799250000000005E-2</v>
      </c>
      <c r="Q83" s="98"/>
    </row>
    <row r="84" spans="1:17" s="33" customFormat="1" hidden="1" x14ac:dyDescent="0.2">
      <c r="A84" s="33">
        <v>9278</v>
      </c>
      <c r="B84" s="34" t="s">
        <v>14</v>
      </c>
      <c r="C84" s="36" t="s">
        <v>35</v>
      </c>
      <c r="D84" s="39">
        <v>450</v>
      </c>
      <c r="E84" s="39">
        <f t="shared" si="14"/>
        <v>421.5</v>
      </c>
      <c r="F84" s="39">
        <v>40</v>
      </c>
      <c r="G84" s="39">
        <v>381.5</v>
      </c>
      <c r="H84" s="39">
        <v>1.05</v>
      </c>
      <c r="I84" s="39">
        <v>1.05</v>
      </c>
      <c r="J84" s="34">
        <v>0.75</v>
      </c>
      <c r="K84" s="37">
        <f t="shared" si="10"/>
        <v>0.82687500000000003</v>
      </c>
      <c r="L84" s="34">
        <f>L77</f>
        <v>17</v>
      </c>
      <c r="M84" s="35">
        <f t="shared" si="11"/>
        <v>3.7777777777777778E-2</v>
      </c>
      <c r="N84" s="35">
        <f t="shared" si="12"/>
        <v>15.923333333333334</v>
      </c>
      <c r="O84" s="35">
        <f t="shared" si="13"/>
        <v>3.1237500000000001E-2</v>
      </c>
      <c r="Q84" s="98"/>
    </row>
    <row r="85" spans="1:17" s="33" customFormat="1" hidden="1" x14ac:dyDescent="0.2">
      <c r="A85" s="33">
        <v>9278</v>
      </c>
      <c r="B85" s="34" t="s">
        <v>14</v>
      </c>
      <c r="C85" s="36" t="s">
        <v>36</v>
      </c>
      <c r="D85" s="39">
        <v>1000</v>
      </c>
      <c r="E85" s="39">
        <f t="shared" si="14"/>
        <v>574</v>
      </c>
      <c r="F85" s="39">
        <v>40</v>
      </c>
      <c r="G85" s="39">
        <v>534</v>
      </c>
      <c r="H85" s="39">
        <v>1.1000000000000001</v>
      </c>
      <c r="I85" s="39">
        <v>1.2</v>
      </c>
      <c r="J85" s="39">
        <v>0.55000000000000004</v>
      </c>
      <c r="K85" s="35">
        <f t="shared" si="10"/>
        <v>0.72600000000000009</v>
      </c>
      <c r="L85" s="34">
        <f>L78</f>
        <v>17</v>
      </c>
      <c r="M85" s="35">
        <f t="shared" si="11"/>
        <v>1.7000000000000001E-2</v>
      </c>
      <c r="N85" s="35">
        <f t="shared" si="12"/>
        <v>9.7580000000000009</v>
      </c>
      <c r="O85" s="35">
        <f t="shared" si="13"/>
        <v>1.2342000000000002E-2</v>
      </c>
      <c r="Q85" s="98"/>
    </row>
    <row r="86" spans="1:17" s="33" customFormat="1" hidden="1" x14ac:dyDescent="0.2">
      <c r="A86" s="33">
        <v>9278</v>
      </c>
      <c r="B86" s="34" t="s">
        <v>14</v>
      </c>
      <c r="C86" s="36" t="s">
        <v>37</v>
      </c>
      <c r="D86" s="39">
        <v>450</v>
      </c>
      <c r="E86" s="39">
        <f t="shared" si="14"/>
        <v>475</v>
      </c>
      <c r="F86" s="39">
        <v>40</v>
      </c>
      <c r="G86" s="39">
        <v>435</v>
      </c>
      <c r="H86" s="39">
        <v>1.05</v>
      </c>
      <c r="I86" s="39">
        <v>1.2</v>
      </c>
      <c r="J86" s="34">
        <v>0.75</v>
      </c>
      <c r="K86" s="35">
        <f t="shared" si="10"/>
        <v>0.94500000000000006</v>
      </c>
      <c r="L86" s="34">
        <f>L78</f>
        <v>17</v>
      </c>
      <c r="M86" s="35">
        <f t="shared" si="11"/>
        <v>3.7777777777777778E-2</v>
      </c>
      <c r="N86" s="35">
        <f t="shared" si="12"/>
        <v>17.944444444444443</v>
      </c>
      <c r="O86" s="35">
        <f t="shared" si="13"/>
        <v>3.5700000000000003E-2</v>
      </c>
      <c r="Q86" s="98"/>
    </row>
    <row r="87" spans="1:17" s="33" customFormat="1" hidden="1" x14ac:dyDescent="0.2">
      <c r="A87" s="33">
        <v>9278</v>
      </c>
      <c r="B87" s="34" t="s">
        <v>14</v>
      </c>
      <c r="C87" s="36" t="s">
        <v>38</v>
      </c>
      <c r="D87" s="39">
        <v>1000</v>
      </c>
      <c r="E87" s="39">
        <f t="shared" si="14"/>
        <v>645</v>
      </c>
      <c r="F87" s="39">
        <v>40</v>
      </c>
      <c r="G87" s="39">
        <v>605</v>
      </c>
      <c r="H87" s="39">
        <v>1.1000000000000001</v>
      </c>
      <c r="I87" s="39">
        <v>1.3</v>
      </c>
      <c r="J87" s="39">
        <v>0.55000000000000004</v>
      </c>
      <c r="K87" s="35">
        <f t="shared" si="10"/>
        <v>0.7865000000000002</v>
      </c>
      <c r="L87" s="34">
        <f>L79</f>
        <v>6</v>
      </c>
      <c r="M87" s="35">
        <f t="shared" si="11"/>
        <v>6.0000000000000001E-3</v>
      </c>
      <c r="N87" s="35">
        <f t="shared" si="12"/>
        <v>3.87</v>
      </c>
      <c r="O87" s="35">
        <f t="shared" si="13"/>
        <v>4.719000000000001E-3</v>
      </c>
      <c r="Q87" s="98"/>
    </row>
    <row r="88" spans="1:17" s="33" customFormat="1" hidden="1" x14ac:dyDescent="0.2">
      <c r="A88" s="33">
        <v>9278</v>
      </c>
      <c r="B88" s="34" t="s">
        <v>14</v>
      </c>
      <c r="C88" s="36" t="s">
        <v>39</v>
      </c>
      <c r="D88" s="39">
        <v>450</v>
      </c>
      <c r="E88" s="39">
        <f t="shared" si="14"/>
        <v>515</v>
      </c>
      <c r="F88" s="39">
        <v>40</v>
      </c>
      <c r="G88" s="39">
        <v>475</v>
      </c>
      <c r="H88" s="39">
        <v>1.05</v>
      </c>
      <c r="I88" s="39">
        <v>1.3</v>
      </c>
      <c r="J88" s="34">
        <v>0.75</v>
      </c>
      <c r="K88" s="35">
        <f t="shared" si="10"/>
        <v>1.0237500000000002</v>
      </c>
      <c r="L88" s="34">
        <f>L79</f>
        <v>6</v>
      </c>
      <c r="M88" s="35">
        <f t="shared" si="11"/>
        <v>1.3333333333333334E-2</v>
      </c>
      <c r="N88" s="35">
        <f t="shared" si="12"/>
        <v>6.8666666666666671</v>
      </c>
      <c r="O88" s="35">
        <f t="shared" si="13"/>
        <v>1.3650000000000002E-2</v>
      </c>
      <c r="Q88" s="98"/>
    </row>
    <row r="89" spans="1:17" s="33" customFormat="1" hidden="1" x14ac:dyDescent="0.2">
      <c r="A89" s="33">
        <v>9278</v>
      </c>
      <c r="B89" s="34" t="s">
        <v>14</v>
      </c>
      <c r="C89" s="36" t="s">
        <v>40</v>
      </c>
      <c r="D89" s="39">
        <v>1000</v>
      </c>
      <c r="E89" s="39">
        <f t="shared" si="14"/>
        <v>645</v>
      </c>
      <c r="F89" s="39">
        <v>40</v>
      </c>
      <c r="G89" s="39">
        <v>605</v>
      </c>
      <c r="H89" s="39">
        <v>1.1000000000000001</v>
      </c>
      <c r="I89" s="39">
        <v>1.3</v>
      </c>
      <c r="J89" s="39">
        <v>0.55000000000000004</v>
      </c>
      <c r="K89" s="35">
        <f t="shared" si="10"/>
        <v>0.7865000000000002</v>
      </c>
      <c r="L89" s="34">
        <f>L80</f>
        <v>0</v>
      </c>
      <c r="M89" s="35">
        <f t="shared" si="11"/>
        <v>0</v>
      </c>
      <c r="N89" s="35">
        <f t="shared" si="12"/>
        <v>0</v>
      </c>
      <c r="O89" s="35">
        <f t="shared" si="13"/>
        <v>0</v>
      </c>
      <c r="Q89" s="98"/>
    </row>
    <row r="90" spans="1:17" s="33" customFormat="1" hidden="1" x14ac:dyDescent="0.2">
      <c r="A90" s="33">
        <v>9278</v>
      </c>
      <c r="B90" s="34" t="s">
        <v>14</v>
      </c>
      <c r="C90" s="36" t="s">
        <v>41</v>
      </c>
      <c r="D90" s="39">
        <v>450</v>
      </c>
      <c r="E90" s="39">
        <f t="shared" si="14"/>
        <v>515</v>
      </c>
      <c r="F90" s="39">
        <v>40</v>
      </c>
      <c r="G90" s="39">
        <v>475</v>
      </c>
      <c r="H90" s="39">
        <v>1.05</v>
      </c>
      <c r="I90" s="39">
        <v>1.3</v>
      </c>
      <c r="J90" s="34">
        <v>0.75</v>
      </c>
      <c r="K90" s="35">
        <f t="shared" si="10"/>
        <v>1.0237500000000002</v>
      </c>
      <c r="L90" s="34">
        <f>L80</f>
        <v>0</v>
      </c>
      <c r="M90" s="35">
        <f t="shared" si="11"/>
        <v>0</v>
      </c>
      <c r="N90" s="35">
        <f t="shared" si="12"/>
        <v>0</v>
      </c>
      <c r="O90" s="35">
        <f t="shared" si="13"/>
        <v>0</v>
      </c>
      <c r="Q90" s="98"/>
    </row>
    <row r="91" spans="1:17" s="33" customFormat="1" hidden="1" x14ac:dyDescent="0.2">
      <c r="A91" s="33">
        <v>8952</v>
      </c>
      <c r="B91" s="34" t="s">
        <v>14</v>
      </c>
      <c r="C91" s="36" t="s">
        <v>22</v>
      </c>
      <c r="D91" s="38">
        <v>3000</v>
      </c>
      <c r="E91" s="39">
        <v>235</v>
      </c>
      <c r="F91" s="34">
        <v>35</v>
      </c>
      <c r="G91" s="39">
        <v>200</v>
      </c>
      <c r="H91" s="34">
        <v>1.1000000000000001</v>
      </c>
      <c r="I91" s="34">
        <v>1.1000000000000001</v>
      </c>
      <c r="J91" s="34">
        <v>1.02</v>
      </c>
      <c r="K91" s="37">
        <f t="shared" si="10"/>
        <v>1.2342000000000002</v>
      </c>
      <c r="L91" s="34">
        <f>P76*4</f>
        <v>376</v>
      </c>
      <c r="M91" s="35">
        <f t="shared" si="11"/>
        <v>0.12533333333333332</v>
      </c>
      <c r="N91" s="35">
        <f t="shared" si="12"/>
        <v>29.45333333333333</v>
      </c>
      <c r="O91" s="35">
        <f t="shared" si="13"/>
        <v>0.1546864</v>
      </c>
      <c r="Q91" s="98"/>
    </row>
    <row r="92" spans="1:17" s="33" customFormat="1" hidden="1" x14ac:dyDescent="0.2">
      <c r="A92" s="33">
        <v>9278</v>
      </c>
      <c r="B92" s="34" t="s">
        <v>14</v>
      </c>
      <c r="C92" s="36" t="s">
        <v>23</v>
      </c>
      <c r="D92" s="40">
        <v>1000</v>
      </c>
      <c r="E92" s="41">
        <v>646</v>
      </c>
      <c r="F92" s="41">
        <f>E92-G92</f>
        <v>40</v>
      </c>
      <c r="G92" s="41">
        <v>606</v>
      </c>
      <c r="H92" s="41">
        <v>1.1000000000000001</v>
      </c>
      <c r="I92" s="41">
        <v>0.8</v>
      </c>
      <c r="J92" s="41">
        <v>0.55000000000000004</v>
      </c>
      <c r="K92" s="35">
        <f t="shared" si="10"/>
        <v>0.4840000000000001</v>
      </c>
      <c r="L92" s="34">
        <f>P76*4</f>
        <v>376</v>
      </c>
      <c r="M92" s="35">
        <f t="shared" si="11"/>
        <v>0.376</v>
      </c>
      <c r="N92" s="35">
        <f t="shared" si="12"/>
        <v>242.89599999999999</v>
      </c>
      <c r="O92" s="35">
        <f t="shared" si="13"/>
        <v>0.18198400000000003</v>
      </c>
      <c r="Q92" s="98"/>
    </row>
    <row r="93" spans="1:17" s="33" customFormat="1" hidden="1" x14ac:dyDescent="0.2">
      <c r="A93" s="33">
        <v>9278</v>
      </c>
      <c r="B93" s="34" t="s">
        <v>14</v>
      </c>
      <c r="C93" s="36" t="s">
        <v>46</v>
      </c>
      <c r="D93" s="38">
        <v>4000</v>
      </c>
      <c r="E93" s="39">
        <v>424</v>
      </c>
      <c r="F93" s="34">
        <f>E93-G93</f>
        <v>52</v>
      </c>
      <c r="G93" s="39">
        <v>372</v>
      </c>
      <c r="H93" s="34">
        <v>1.1000000000000001</v>
      </c>
      <c r="I93" s="34">
        <v>0.8</v>
      </c>
      <c r="J93" s="34">
        <v>0.55000000000000004</v>
      </c>
      <c r="K93" s="37">
        <f t="shared" si="10"/>
        <v>0.4840000000000001</v>
      </c>
      <c r="L93" s="34">
        <f>P76*4</f>
        <v>376</v>
      </c>
      <c r="M93" s="35">
        <f t="shared" si="11"/>
        <v>9.4E-2</v>
      </c>
      <c r="N93" s="35">
        <f t="shared" si="12"/>
        <v>39.856000000000002</v>
      </c>
      <c r="O93" s="35">
        <f t="shared" si="13"/>
        <v>4.5496000000000009E-2</v>
      </c>
      <c r="Q93" s="98"/>
    </row>
    <row r="94" spans="1:17" s="33" customFormat="1" ht="15" hidden="1" x14ac:dyDescent="0.2">
      <c r="A94" s="33">
        <v>9278</v>
      </c>
      <c r="B94" s="34" t="s">
        <v>14</v>
      </c>
      <c r="C94" s="36" t="s">
        <v>42</v>
      </c>
      <c r="D94" s="45">
        <v>1200</v>
      </c>
      <c r="E94" s="126">
        <v>666.4</v>
      </c>
      <c r="F94" s="126">
        <v>40</v>
      </c>
      <c r="G94" s="46">
        <v>588</v>
      </c>
      <c r="H94" s="128">
        <v>1</v>
      </c>
      <c r="I94" s="128">
        <v>0.75</v>
      </c>
      <c r="J94" s="128">
        <v>0.7</v>
      </c>
      <c r="K94" s="130">
        <v>0.5</v>
      </c>
      <c r="L94" s="34">
        <f>P76*4</f>
        <v>376</v>
      </c>
      <c r="M94" s="132">
        <f t="shared" si="11"/>
        <v>0.31333333333333335</v>
      </c>
      <c r="N94" s="132">
        <f t="shared" si="12"/>
        <v>208.80533333333335</v>
      </c>
      <c r="O94" s="134">
        <f t="shared" si="13"/>
        <v>0.15666666666666668</v>
      </c>
      <c r="Q94" s="98"/>
    </row>
    <row r="95" spans="1:17" s="33" customFormat="1" ht="15.75" hidden="1" thickBot="1" x14ac:dyDescent="0.25">
      <c r="A95" s="33">
        <v>9278</v>
      </c>
      <c r="B95" s="34" t="s">
        <v>14</v>
      </c>
      <c r="C95" s="36" t="s">
        <v>43</v>
      </c>
      <c r="D95" s="45">
        <v>1200</v>
      </c>
      <c r="E95" s="127"/>
      <c r="F95" s="127"/>
      <c r="G95" s="46">
        <v>38.4</v>
      </c>
      <c r="H95" s="129"/>
      <c r="I95" s="129"/>
      <c r="J95" s="129"/>
      <c r="K95" s="131"/>
      <c r="L95" s="34">
        <f>P76*4</f>
        <v>376</v>
      </c>
      <c r="M95" s="133"/>
      <c r="N95" s="133"/>
      <c r="O95" s="135"/>
      <c r="Q95" s="99"/>
    </row>
    <row r="96" spans="1:17" s="47" customFormat="1" hidden="1" x14ac:dyDescent="0.2">
      <c r="A96" s="47">
        <v>9270</v>
      </c>
      <c r="B96" s="48" t="s">
        <v>15</v>
      </c>
      <c r="C96" s="48" t="s">
        <v>16</v>
      </c>
      <c r="D96" s="48">
        <v>30</v>
      </c>
      <c r="E96" s="48">
        <v>669</v>
      </c>
      <c r="F96" s="48">
        <f>E96-G96</f>
        <v>53</v>
      </c>
      <c r="G96" s="48">
        <v>616</v>
      </c>
      <c r="H96" s="48">
        <v>1</v>
      </c>
      <c r="I96" s="48">
        <v>0.9</v>
      </c>
      <c r="J96" s="48">
        <v>0.73</v>
      </c>
      <c r="K96" s="48">
        <f t="shared" ref="K96:K124" si="15">H96*I96*J96</f>
        <v>0.65700000000000003</v>
      </c>
      <c r="L96" s="48">
        <v>102</v>
      </c>
      <c r="M96" s="11">
        <f t="shared" ref="M96:M125" si="16">L96/D96</f>
        <v>3.4</v>
      </c>
      <c r="N96" s="11">
        <f t="shared" ref="N96:N125" si="17">E96*M96</f>
        <v>2274.6</v>
      </c>
      <c r="O96" s="11">
        <f>M96*K96</f>
        <v>2.2338</v>
      </c>
      <c r="P96" s="114">
        <f>SUM(L96:L99)</f>
        <v>120</v>
      </c>
      <c r="Q96" s="100" t="s">
        <v>56</v>
      </c>
    </row>
    <row r="97" spans="1:17" s="47" customFormat="1" hidden="1" x14ac:dyDescent="0.2">
      <c r="A97" s="47">
        <v>9270</v>
      </c>
      <c r="B97" s="48" t="s">
        <v>15</v>
      </c>
      <c r="C97" s="48" t="s">
        <v>17</v>
      </c>
      <c r="D97" s="48">
        <v>30</v>
      </c>
      <c r="E97" s="48">
        <v>669</v>
      </c>
      <c r="F97" s="48">
        <f>E97-G97</f>
        <v>53</v>
      </c>
      <c r="G97" s="48">
        <v>616</v>
      </c>
      <c r="H97" s="48">
        <v>1</v>
      </c>
      <c r="I97" s="48">
        <v>0.9</v>
      </c>
      <c r="J97" s="48">
        <v>0.73</v>
      </c>
      <c r="K97" s="48">
        <f t="shared" si="15"/>
        <v>0.65700000000000003</v>
      </c>
      <c r="L97" s="48">
        <v>6</v>
      </c>
      <c r="M97" s="11">
        <f t="shared" si="16"/>
        <v>0.2</v>
      </c>
      <c r="N97" s="11">
        <f t="shared" si="17"/>
        <v>133.80000000000001</v>
      </c>
      <c r="O97" s="11">
        <f t="shared" ref="O97:O125" si="18">M97*K97</f>
        <v>0.13140000000000002</v>
      </c>
      <c r="P97" s="114"/>
      <c r="Q97" s="101"/>
    </row>
    <row r="98" spans="1:17" s="47" customFormat="1" hidden="1" x14ac:dyDescent="0.2">
      <c r="A98" s="47">
        <v>9270</v>
      </c>
      <c r="B98" s="48" t="s">
        <v>15</v>
      </c>
      <c r="C98" s="48" t="s">
        <v>18</v>
      </c>
      <c r="D98" s="48">
        <v>30</v>
      </c>
      <c r="E98" s="48">
        <v>669</v>
      </c>
      <c r="F98" s="48">
        <f>E98-G98</f>
        <v>53</v>
      </c>
      <c r="G98" s="48">
        <v>616</v>
      </c>
      <c r="H98" s="48">
        <v>1</v>
      </c>
      <c r="I98" s="48">
        <v>0.9</v>
      </c>
      <c r="J98" s="48">
        <v>0.73</v>
      </c>
      <c r="K98" s="48">
        <f t="shared" si="15"/>
        <v>0.65700000000000003</v>
      </c>
      <c r="L98" s="48">
        <v>6</v>
      </c>
      <c r="M98" s="11">
        <f t="shared" si="16"/>
        <v>0.2</v>
      </c>
      <c r="N98" s="11">
        <f t="shared" si="17"/>
        <v>133.80000000000001</v>
      </c>
      <c r="O98" s="11">
        <f t="shared" si="18"/>
        <v>0.13140000000000002</v>
      </c>
      <c r="P98" s="114"/>
      <c r="Q98" s="101"/>
    </row>
    <row r="99" spans="1:17" s="47" customFormat="1" hidden="1" x14ac:dyDescent="0.2">
      <c r="A99" s="47">
        <v>9270</v>
      </c>
      <c r="B99" s="48" t="s">
        <v>15</v>
      </c>
      <c r="C99" s="48" t="s">
        <v>19</v>
      </c>
      <c r="D99" s="48">
        <v>30</v>
      </c>
      <c r="E99" s="48">
        <v>669</v>
      </c>
      <c r="F99" s="48">
        <f>E99-G99</f>
        <v>53</v>
      </c>
      <c r="G99" s="48">
        <v>616</v>
      </c>
      <c r="H99" s="48">
        <v>1</v>
      </c>
      <c r="I99" s="48">
        <v>0.9</v>
      </c>
      <c r="J99" s="48">
        <v>0.73</v>
      </c>
      <c r="K99" s="48">
        <f t="shared" si="15"/>
        <v>0.65700000000000003</v>
      </c>
      <c r="L99" s="48">
        <v>6</v>
      </c>
      <c r="M99" s="11">
        <f t="shared" si="16"/>
        <v>0.2</v>
      </c>
      <c r="N99" s="11">
        <f t="shared" si="17"/>
        <v>133.80000000000001</v>
      </c>
      <c r="O99" s="11">
        <f t="shared" si="18"/>
        <v>0.13140000000000002</v>
      </c>
      <c r="P99" s="114"/>
      <c r="Q99" s="101"/>
    </row>
    <row r="100" spans="1:17" s="47" customFormat="1" hidden="1" x14ac:dyDescent="0.2">
      <c r="A100" s="47">
        <v>9278</v>
      </c>
      <c r="B100" s="48" t="s">
        <v>14</v>
      </c>
      <c r="C100" s="49" t="s">
        <v>20</v>
      </c>
      <c r="D100" s="48">
        <v>5000</v>
      </c>
      <c r="E100" s="48">
        <v>490</v>
      </c>
      <c r="F100" s="48">
        <v>40</v>
      </c>
      <c r="G100" s="48">
        <v>450</v>
      </c>
      <c r="H100" s="48">
        <v>1</v>
      </c>
      <c r="I100" s="48">
        <v>0.98</v>
      </c>
      <c r="J100" s="48">
        <v>0.83</v>
      </c>
      <c r="K100" s="50">
        <f t="shared" si="15"/>
        <v>0.8133999999999999</v>
      </c>
      <c r="L100" s="48">
        <f>P96</f>
        <v>120</v>
      </c>
      <c r="M100" s="11">
        <f t="shared" si="16"/>
        <v>2.4E-2</v>
      </c>
      <c r="N100" s="11">
        <f t="shared" si="17"/>
        <v>11.76</v>
      </c>
      <c r="O100" s="11">
        <f t="shared" si="18"/>
        <v>1.9521599999999997E-2</v>
      </c>
      <c r="Q100" s="101"/>
    </row>
    <row r="101" spans="1:17" s="47" customFormat="1" hidden="1" x14ac:dyDescent="0.2">
      <c r="A101" s="47">
        <v>9278</v>
      </c>
      <c r="B101" s="48" t="s">
        <v>14</v>
      </c>
      <c r="C101" s="49" t="s">
        <v>21</v>
      </c>
      <c r="D101" s="48">
        <v>360</v>
      </c>
      <c r="E101" s="48">
        <v>390</v>
      </c>
      <c r="F101" s="48">
        <v>40</v>
      </c>
      <c r="G101" s="48">
        <v>350</v>
      </c>
      <c r="H101" s="48">
        <v>1.05</v>
      </c>
      <c r="I101" s="48">
        <v>0.95</v>
      </c>
      <c r="J101" s="48">
        <v>0.55000000000000004</v>
      </c>
      <c r="K101" s="50">
        <f t="shared" si="15"/>
        <v>0.54862500000000003</v>
      </c>
      <c r="L101" s="48">
        <f>P96</f>
        <v>120</v>
      </c>
      <c r="M101" s="11">
        <f t="shared" si="16"/>
        <v>0.33333333333333331</v>
      </c>
      <c r="N101" s="11">
        <f t="shared" si="17"/>
        <v>130</v>
      </c>
      <c r="O101" s="11">
        <f t="shared" si="18"/>
        <v>0.18287500000000001</v>
      </c>
      <c r="Q101" s="101"/>
    </row>
    <row r="102" spans="1:17" s="47" customFormat="1" hidden="1" x14ac:dyDescent="0.2">
      <c r="A102" s="47">
        <v>8952</v>
      </c>
      <c r="B102" s="48" t="s">
        <v>14</v>
      </c>
      <c r="C102" s="49" t="s">
        <v>22</v>
      </c>
      <c r="D102" s="51">
        <v>3000</v>
      </c>
      <c r="E102" s="52">
        <v>235</v>
      </c>
      <c r="F102" s="48">
        <v>35</v>
      </c>
      <c r="G102" s="52">
        <v>200</v>
      </c>
      <c r="H102" s="48">
        <v>1.1000000000000001</v>
      </c>
      <c r="I102" s="48">
        <v>1.1000000000000001</v>
      </c>
      <c r="J102" s="48">
        <v>1.02</v>
      </c>
      <c r="K102" s="50">
        <f t="shared" si="15"/>
        <v>1.2342000000000002</v>
      </c>
      <c r="L102" s="48">
        <f>P96*4</f>
        <v>480</v>
      </c>
      <c r="M102" s="11">
        <f t="shared" si="16"/>
        <v>0.16</v>
      </c>
      <c r="N102" s="11">
        <f t="shared" si="17"/>
        <v>37.6</v>
      </c>
      <c r="O102" s="11">
        <f t="shared" si="18"/>
        <v>0.19747200000000004</v>
      </c>
      <c r="Q102" s="101"/>
    </row>
    <row r="103" spans="1:17" s="47" customFormat="1" hidden="1" x14ac:dyDescent="0.2">
      <c r="A103" s="47">
        <v>9278</v>
      </c>
      <c r="B103" s="48" t="s">
        <v>14</v>
      </c>
      <c r="C103" s="49" t="s">
        <v>23</v>
      </c>
      <c r="D103" s="9">
        <v>1000</v>
      </c>
      <c r="E103" s="10">
        <v>646</v>
      </c>
      <c r="F103" s="10">
        <f>E103-G103</f>
        <v>40</v>
      </c>
      <c r="G103" s="10">
        <v>606</v>
      </c>
      <c r="H103" s="10">
        <v>1.1000000000000001</v>
      </c>
      <c r="I103" s="10">
        <v>0.8</v>
      </c>
      <c r="J103" s="10">
        <v>0.55000000000000004</v>
      </c>
      <c r="K103" s="11">
        <f t="shared" si="15"/>
        <v>0.4840000000000001</v>
      </c>
      <c r="L103" s="48">
        <f>P96*4</f>
        <v>480</v>
      </c>
      <c r="M103" s="11">
        <f t="shared" si="16"/>
        <v>0.48</v>
      </c>
      <c r="N103" s="11">
        <f t="shared" si="17"/>
        <v>310.08</v>
      </c>
      <c r="O103" s="11">
        <f t="shared" si="18"/>
        <v>0.23232000000000003</v>
      </c>
      <c r="Q103" s="101"/>
    </row>
    <row r="104" spans="1:17" s="47" customFormat="1" x14ac:dyDescent="0.2">
      <c r="A104" s="47">
        <v>9286</v>
      </c>
      <c r="B104" s="48" t="s">
        <v>47</v>
      </c>
      <c r="C104" s="49" t="s">
        <v>24</v>
      </c>
      <c r="D104" s="51">
        <v>4000</v>
      </c>
      <c r="E104" s="52">
        <v>424</v>
      </c>
      <c r="F104" s="48">
        <f>E104-G104</f>
        <v>52</v>
      </c>
      <c r="G104" s="52">
        <v>372</v>
      </c>
      <c r="H104" s="48">
        <v>1.1000000000000001</v>
      </c>
      <c r="I104" s="48">
        <v>0.8</v>
      </c>
      <c r="J104" s="48">
        <v>0.55000000000000004</v>
      </c>
      <c r="K104" s="50">
        <f t="shared" si="15"/>
        <v>0.4840000000000001</v>
      </c>
      <c r="L104" s="48">
        <f>(P96+P107)*4</f>
        <v>856</v>
      </c>
      <c r="M104" s="11">
        <f>L104/D104</f>
        <v>0.214</v>
      </c>
      <c r="N104" s="11">
        <f t="shared" si="17"/>
        <v>90.736000000000004</v>
      </c>
      <c r="O104" s="11">
        <f t="shared" si="18"/>
        <v>0.10357600000000002</v>
      </c>
      <c r="Q104" s="101"/>
    </row>
    <row r="105" spans="1:17" s="47" customFormat="1" hidden="1" x14ac:dyDescent="0.2">
      <c r="A105" s="47">
        <v>9278</v>
      </c>
      <c r="B105" s="48" t="s">
        <v>14</v>
      </c>
      <c r="C105" s="49" t="s">
        <v>25</v>
      </c>
      <c r="D105" s="48">
        <v>1000</v>
      </c>
      <c r="E105" s="48">
        <v>830</v>
      </c>
      <c r="F105" s="48">
        <v>40</v>
      </c>
      <c r="G105" s="48">
        <v>790</v>
      </c>
      <c r="H105" s="48">
        <v>1.04</v>
      </c>
      <c r="I105" s="48">
        <v>0.84</v>
      </c>
      <c r="J105" s="48">
        <v>0.64</v>
      </c>
      <c r="K105" s="50">
        <f t="shared" si="15"/>
        <v>0.55910400000000005</v>
      </c>
      <c r="L105" s="48">
        <f>P96*2</f>
        <v>240</v>
      </c>
      <c r="M105" s="11">
        <f t="shared" si="16"/>
        <v>0.24</v>
      </c>
      <c r="N105" s="11">
        <f t="shared" si="17"/>
        <v>199.2</v>
      </c>
      <c r="O105" s="11">
        <f t="shared" si="18"/>
        <v>0.13418496000000002</v>
      </c>
      <c r="Q105" s="101"/>
    </row>
    <row r="106" spans="1:17" s="47" customFormat="1" hidden="1" x14ac:dyDescent="0.2">
      <c r="A106" s="47">
        <v>9278</v>
      </c>
      <c r="B106" s="48" t="s">
        <v>14</v>
      </c>
      <c r="C106" s="49" t="s">
        <v>26</v>
      </c>
      <c r="D106" s="48">
        <v>4000</v>
      </c>
      <c r="E106" s="48">
        <v>223</v>
      </c>
      <c r="F106" s="48">
        <v>30</v>
      </c>
      <c r="G106" s="48">
        <v>188</v>
      </c>
      <c r="H106" s="48">
        <v>0.86</v>
      </c>
      <c r="I106" s="48">
        <v>0.78</v>
      </c>
      <c r="J106" s="48">
        <v>0.74</v>
      </c>
      <c r="K106" s="50">
        <f t="shared" si="15"/>
        <v>0.49639200000000006</v>
      </c>
      <c r="L106" s="48">
        <f>P96*2</f>
        <v>240</v>
      </c>
      <c r="M106" s="11">
        <f t="shared" si="16"/>
        <v>0.06</v>
      </c>
      <c r="N106" s="11">
        <f t="shared" si="17"/>
        <v>13.379999999999999</v>
      </c>
      <c r="O106" s="11">
        <f t="shared" si="18"/>
        <v>2.9783520000000001E-2</v>
      </c>
      <c r="Q106" s="101"/>
    </row>
    <row r="107" spans="1:17" s="47" customFormat="1" hidden="1" x14ac:dyDescent="0.2">
      <c r="A107" s="47">
        <v>9270</v>
      </c>
      <c r="B107" s="48" t="s">
        <v>15</v>
      </c>
      <c r="C107" s="49" t="s">
        <v>27</v>
      </c>
      <c r="D107" s="53">
        <v>12</v>
      </c>
      <c r="E107" s="53">
        <v>435</v>
      </c>
      <c r="F107" s="53">
        <v>39</v>
      </c>
      <c r="G107" s="53">
        <v>396</v>
      </c>
      <c r="H107" s="53">
        <v>0.86</v>
      </c>
      <c r="I107" s="53">
        <v>0.56000000000000005</v>
      </c>
      <c r="J107" s="53">
        <v>0.51</v>
      </c>
      <c r="K107" s="54">
        <f t="shared" si="15"/>
        <v>0.24561600000000003</v>
      </c>
      <c r="L107" s="48">
        <v>54</v>
      </c>
      <c r="M107" s="11">
        <f t="shared" si="16"/>
        <v>4.5</v>
      </c>
      <c r="N107" s="11">
        <f t="shared" si="17"/>
        <v>1957.5</v>
      </c>
      <c r="O107" s="11">
        <f t="shared" si="18"/>
        <v>1.105272</v>
      </c>
      <c r="P107" s="114">
        <f>SUM(L107:L111)</f>
        <v>94</v>
      </c>
      <c r="Q107" s="101"/>
    </row>
    <row r="108" spans="1:17" s="47" customFormat="1" hidden="1" x14ac:dyDescent="0.2">
      <c r="A108" s="47">
        <v>9270</v>
      </c>
      <c r="B108" s="48" t="s">
        <v>15</v>
      </c>
      <c r="C108" s="49" t="s">
        <v>28</v>
      </c>
      <c r="D108" s="53">
        <v>12</v>
      </c>
      <c r="E108" s="53">
        <v>520</v>
      </c>
      <c r="F108" s="53">
        <v>40</v>
      </c>
      <c r="G108" s="53">
        <v>480</v>
      </c>
      <c r="H108" s="53">
        <v>1.03</v>
      </c>
      <c r="I108" s="53">
        <v>0.56000000000000005</v>
      </c>
      <c r="J108" s="53">
        <v>0.51</v>
      </c>
      <c r="K108" s="54">
        <f t="shared" si="15"/>
        <v>0.29416800000000004</v>
      </c>
      <c r="L108" s="48">
        <v>17</v>
      </c>
      <c r="M108" s="11">
        <f t="shared" si="16"/>
        <v>1.4166666666666667</v>
      </c>
      <c r="N108" s="11">
        <f t="shared" si="17"/>
        <v>736.66666666666674</v>
      </c>
      <c r="O108" s="11">
        <f t="shared" si="18"/>
        <v>0.41673800000000005</v>
      </c>
      <c r="P108" s="114"/>
      <c r="Q108" s="101"/>
    </row>
    <row r="109" spans="1:17" s="47" customFormat="1" hidden="1" x14ac:dyDescent="0.2">
      <c r="A109" s="47">
        <v>9270</v>
      </c>
      <c r="B109" s="48" t="s">
        <v>15</v>
      </c>
      <c r="C109" s="49" t="s">
        <v>29</v>
      </c>
      <c r="D109" s="53">
        <v>12</v>
      </c>
      <c r="E109" s="53">
        <v>596</v>
      </c>
      <c r="F109" s="53">
        <v>44</v>
      </c>
      <c r="G109" s="53">
        <v>552</v>
      </c>
      <c r="H109" s="53">
        <v>1.17</v>
      </c>
      <c r="I109" s="53">
        <v>0.56000000000000005</v>
      </c>
      <c r="J109" s="53">
        <v>0.51</v>
      </c>
      <c r="K109" s="54">
        <f t="shared" si="15"/>
        <v>0.334152</v>
      </c>
      <c r="L109" s="48">
        <v>17</v>
      </c>
      <c r="M109" s="11">
        <f t="shared" si="16"/>
        <v>1.4166666666666667</v>
      </c>
      <c r="N109" s="11">
        <f t="shared" si="17"/>
        <v>844.33333333333337</v>
      </c>
      <c r="O109" s="11">
        <f t="shared" si="18"/>
        <v>0.47338200000000002</v>
      </c>
      <c r="P109" s="114"/>
      <c r="Q109" s="101"/>
    </row>
    <row r="110" spans="1:17" s="47" customFormat="1" hidden="1" x14ac:dyDescent="0.2">
      <c r="A110" s="47">
        <v>9270</v>
      </c>
      <c r="B110" s="48" t="s">
        <v>15</v>
      </c>
      <c r="C110" s="49" t="s">
        <v>30</v>
      </c>
      <c r="D110" s="55">
        <v>12</v>
      </c>
      <c r="E110" s="53">
        <v>654</v>
      </c>
      <c r="F110" s="53">
        <v>42</v>
      </c>
      <c r="G110" s="53">
        <v>612</v>
      </c>
      <c r="H110" s="53">
        <v>1.2749999999999999</v>
      </c>
      <c r="I110" s="53">
        <v>0.56000000000000005</v>
      </c>
      <c r="J110" s="53">
        <v>0.51</v>
      </c>
      <c r="K110" s="54">
        <f t="shared" si="15"/>
        <v>0.36413999999999996</v>
      </c>
      <c r="L110" s="48">
        <v>6</v>
      </c>
      <c r="M110" s="11">
        <f t="shared" si="16"/>
        <v>0.5</v>
      </c>
      <c r="N110" s="11">
        <f t="shared" si="17"/>
        <v>327</v>
      </c>
      <c r="O110" s="11">
        <f t="shared" si="18"/>
        <v>0.18206999999999998</v>
      </c>
      <c r="P110" s="114"/>
      <c r="Q110" s="101"/>
    </row>
    <row r="111" spans="1:17" s="47" customFormat="1" hidden="1" x14ac:dyDescent="0.2">
      <c r="A111" s="47">
        <v>9270</v>
      </c>
      <c r="B111" s="48" t="s">
        <v>15</v>
      </c>
      <c r="C111" s="49" t="s">
        <v>31</v>
      </c>
      <c r="D111" s="55">
        <v>6</v>
      </c>
      <c r="E111" s="53">
        <v>410</v>
      </c>
      <c r="F111" s="53">
        <v>50</v>
      </c>
      <c r="G111" s="53">
        <v>360</v>
      </c>
      <c r="H111" s="53">
        <v>1.48</v>
      </c>
      <c r="I111" s="53">
        <v>0.56000000000000005</v>
      </c>
      <c r="J111" s="53">
        <v>0.37</v>
      </c>
      <c r="K111" s="54">
        <f t="shared" si="15"/>
        <v>0.30665600000000004</v>
      </c>
      <c r="L111" s="48">
        <v>0</v>
      </c>
      <c r="M111" s="11">
        <f t="shared" si="16"/>
        <v>0</v>
      </c>
      <c r="N111" s="11">
        <f t="shared" si="17"/>
        <v>0</v>
      </c>
      <c r="O111" s="11">
        <f t="shared" si="18"/>
        <v>0</v>
      </c>
      <c r="P111" s="114"/>
      <c r="Q111" s="101"/>
    </row>
    <row r="112" spans="1:17" s="47" customFormat="1" hidden="1" x14ac:dyDescent="0.2">
      <c r="A112" s="47">
        <v>9278</v>
      </c>
      <c r="B112" s="48" t="s">
        <v>14</v>
      </c>
      <c r="C112" s="49" t="s">
        <v>32</v>
      </c>
      <c r="D112" s="52">
        <v>1000</v>
      </c>
      <c r="E112" s="52">
        <f t="shared" ref="E112:E121" si="19">G112+F112</f>
        <v>395</v>
      </c>
      <c r="F112" s="52">
        <v>40</v>
      </c>
      <c r="G112" s="52">
        <v>355</v>
      </c>
      <c r="H112" s="52">
        <v>1.05</v>
      </c>
      <c r="I112" s="52">
        <v>0.9</v>
      </c>
      <c r="J112" s="52">
        <v>0.55000000000000004</v>
      </c>
      <c r="K112" s="11">
        <f t="shared" si="15"/>
        <v>0.51975000000000005</v>
      </c>
      <c r="L112" s="48">
        <f>L107</f>
        <v>54</v>
      </c>
      <c r="M112" s="11">
        <f t="shared" si="16"/>
        <v>5.3999999999999999E-2</v>
      </c>
      <c r="N112" s="11">
        <f t="shared" si="17"/>
        <v>21.33</v>
      </c>
      <c r="O112" s="11">
        <f t="shared" si="18"/>
        <v>2.8066500000000001E-2</v>
      </c>
      <c r="Q112" s="101"/>
    </row>
    <row r="113" spans="1:17" s="47" customFormat="1" hidden="1" x14ac:dyDescent="0.2">
      <c r="A113" s="47">
        <v>9278</v>
      </c>
      <c r="B113" s="48" t="s">
        <v>14</v>
      </c>
      <c r="C113" s="49" t="s">
        <v>33</v>
      </c>
      <c r="D113" s="52">
        <v>450</v>
      </c>
      <c r="E113" s="52">
        <f t="shared" si="19"/>
        <v>360</v>
      </c>
      <c r="F113" s="52">
        <v>40</v>
      </c>
      <c r="G113" s="52">
        <v>320</v>
      </c>
      <c r="H113" s="48">
        <v>1.1000000000000001</v>
      </c>
      <c r="I113" s="52">
        <v>0.9</v>
      </c>
      <c r="J113" s="48">
        <v>0.75</v>
      </c>
      <c r="K113" s="50">
        <f t="shared" si="15"/>
        <v>0.74250000000000005</v>
      </c>
      <c r="L113" s="48">
        <f>L107</f>
        <v>54</v>
      </c>
      <c r="M113" s="11">
        <f t="shared" si="16"/>
        <v>0.12</v>
      </c>
      <c r="N113" s="11">
        <f t="shared" si="17"/>
        <v>43.199999999999996</v>
      </c>
      <c r="O113" s="11">
        <f t="shared" si="18"/>
        <v>8.9099999999999999E-2</v>
      </c>
      <c r="Q113" s="101"/>
    </row>
    <row r="114" spans="1:17" s="47" customFormat="1" hidden="1" x14ac:dyDescent="0.2">
      <c r="A114" s="47">
        <v>9278</v>
      </c>
      <c r="B114" s="48" t="s">
        <v>14</v>
      </c>
      <c r="C114" s="49" t="s">
        <v>34</v>
      </c>
      <c r="D114" s="52">
        <v>1000</v>
      </c>
      <c r="E114" s="52">
        <f t="shared" si="19"/>
        <v>492</v>
      </c>
      <c r="F114" s="52">
        <v>40</v>
      </c>
      <c r="G114" s="52">
        <v>452</v>
      </c>
      <c r="H114" s="52">
        <v>1.1000000000000001</v>
      </c>
      <c r="I114" s="52">
        <v>1.05</v>
      </c>
      <c r="J114" s="52">
        <v>0.55000000000000004</v>
      </c>
      <c r="K114" s="11">
        <f t="shared" si="15"/>
        <v>0.6352500000000002</v>
      </c>
      <c r="L114" s="48">
        <f>L108</f>
        <v>17</v>
      </c>
      <c r="M114" s="11">
        <f t="shared" si="16"/>
        <v>1.7000000000000001E-2</v>
      </c>
      <c r="N114" s="11">
        <f t="shared" si="17"/>
        <v>8.3640000000000008</v>
      </c>
      <c r="O114" s="11">
        <f t="shared" si="18"/>
        <v>1.0799250000000005E-2</v>
      </c>
      <c r="Q114" s="101"/>
    </row>
    <row r="115" spans="1:17" s="47" customFormat="1" hidden="1" x14ac:dyDescent="0.2">
      <c r="A115" s="47">
        <v>9278</v>
      </c>
      <c r="B115" s="48" t="s">
        <v>14</v>
      </c>
      <c r="C115" s="49" t="s">
        <v>35</v>
      </c>
      <c r="D115" s="52">
        <v>450</v>
      </c>
      <c r="E115" s="52">
        <f t="shared" si="19"/>
        <v>421.5</v>
      </c>
      <c r="F115" s="52">
        <v>40</v>
      </c>
      <c r="G115" s="52">
        <v>381.5</v>
      </c>
      <c r="H115" s="52">
        <v>1.05</v>
      </c>
      <c r="I115" s="52">
        <v>1.05</v>
      </c>
      <c r="J115" s="48">
        <v>0.75</v>
      </c>
      <c r="K115" s="50">
        <f t="shared" si="15"/>
        <v>0.82687500000000003</v>
      </c>
      <c r="L115" s="48">
        <f>L108</f>
        <v>17</v>
      </c>
      <c r="M115" s="11">
        <f t="shared" si="16"/>
        <v>3.7777777777777778E-2</v>
      </c>
      <c r="N115" s="11">
        <f t="shared" si="17"/>
        <v>15.923333333333334</v>
      </c>
      <c r="O115" s="11">
        <f t="shared" si="18"/>
        <v>3.1237500000000001E-2</v>
      </c>
      <c r="Q115" s="101"/>
    </row>
    <row r="116" spans="1:17" s="47" customFormat="1" hidden="1" x14ac:dyDescent="0.2">
      <c r="A116" s="47">
        <v>9278</v>
      </c>
      <c r="B116" s="48" t="s">
        <v>14</v>
      </c>
      <c r="C116" s="49" t="s">
        <v>36</v>
      </c>
      <c r="D116" s="52">
        <v>1000</v>
      </c>
      <c r="E116" s="52">
        <f t="shared" si="19"/>
        <v>574</v>
      </c>
      <c r="F116" s="52">
        <v>40</v>
      </c>
      <c r="G116" s="52">
        <v>534</v>
      </c>
      <c r="H116" s="52">
        <v>1.1000000000000001</v>
      </c>
      <c r="I116" s="52">
        <v>1.2</v>
      </c>
      <c r="J116" s="52">
        <v>0.55000000000000004</v>
      </c>
      <c r="K116" s="11">
        <f t="shared" si="15"/>
        <v>0.72600000000000009</v>
      </c>
      <c r="L116" s="48">
        <f>L109</f>
        <v>17</v>
      </c>
      <c r="M116" s="11">
        <f t="shared" si="16"/>
        <v>1.7000000000000001E-2</v>
      </c>
      <c r="N116" s="11">
        <f t="shared" si="17"/>
        <v>9.7580000000000009</v>
      </c>
      <c r="O116" s="11">
        <f t="shared" si="18"/>
        <v>1.2342000000000002E-2</v>
      </c>
      <c r="Q116" s="101"/>
    </row>
    <row r="117" spans="1:17" s="47" customFormat="1" hidden="1" x14ac:dyDescent="0.2">
      <c r="A117" s="47">
        <v>9278</v>
      </c>
      <c r="B117" s="48" t="s">
        <v>14</v>
      </c>
      <c r="C117" s="49" t="s">
        <v>37</v>
      </c>
      <c r="D117" s="52">
        <v>450</v>
      </c>
      <c r="E117" s="52">
        <f t="shared" si="19"/>
        <v>475</v>
      </c>
      <c r="F117" s="52">
        <v>40</v>
      </c>
      <c r="G117" s="52">
        <v>435</v>
      </c>
      <c r="H117" s="52">
        <v>1.05</v>
      </c>
      <c r="I117" s="52">
        <v>1.2</v>
      </c>
      <c r="J117" s="48">
        <v>0.75</v>
      </c>
      <c r="K117" s="11">
        <f t="shared" si="15"/>
        <v>0.94500000000000006</v>
      </c>
      <c r="L117" s="48">
        <f>L109</f>
        <v>17</v>
      </c>
      <c r="M117" s="11">
        <f t="shared" si="16"/>
        <v>3.7777777777777778E-2</v>
      </c>
      <c r="N117" s="11">
        <f t="shared" si="17"/>
        <v>17.944444444444443</v>
      </c>
      <c r="O117" s="11">
        <f t="shared" si="18"/>
        <v>3.5700000000000003E-2</v>
      </c>
      <c r="Q117" s="101"/>
    </row>
    <row r="118" spans="1:17" s="47" customFormat="1" hidden="1" x14ac:dyDescent="0.2">
      <c r="A118" s="47">
        <v>9278</v>
      </c>
      <c r="B118" s="48" t="s">
        <v>14</v>
      </c>
      <c r="C118" s="49" t="s">
        <v>38</v>
      </c>
      <c r="D118" s="52">
        <v>1000</v>
      </c>
      <c r="E118" s="52">
        <f t="shared" si="19"/>
        <v>645</v>
      </c>
      <c r="F118" s="52">
        <v>40</v>
      </c>
      <c r="G118" s="52">
        <v>605</v>
      </c>
      <c r="H118" s="52">
        <v>1.1000000000000001</v>
      </c>
      <c r="I118" s="52">
        <v>1.3</v>
      </c>
      <c r="J118" s="52">
        <v>0.55000000000000004</v>
      </c>
      <c r="K118" s="11">
        <f t="shared" si="15"/>
        <v>0.7865000000000002</v>
      </c>
      <c r="L118" s="48">
        <f>L110</f>
        <v>6</v>
      </c>
      <c r="M118" s="11">
        <f t="shared" si="16"/>
        <v>6.0000000000000001E-3</v>
      </c>
      <c r="N118" s="11">
        <f t="shared" si="17"/>
        <v>3.87</v>
      </c>
      <c r="O118" s="11">
        <f t="shared" si="18"/>
        <v>4.719000000000001E-3</v>
      </c>
      <c r="Q118" s="101"/>
    </row>
    <row r="119" spans="1:17" s="47" customFormat="1" hidden="1" x14ac:dyDescent="0.2">
      <c r="A119" s="47">
        <v>9278</v>
      </c>
      <c r="B119" s="48" t="s">
        <v>14</v>
      </c>
      <c r="C119" s="49" t="s">
        <v>39</v>
      </c>
      <c r="D119" s="52">
        <v>450</v>
      </c>
      <c r="E119" s="52">
        <f t="shared" si="19"/>
        <v>515</v>
      </c>
      <c r="F119" s="52">
        <v>40</v>
      </c>
      <c r="G119" s="52">
        <v>475</v>
      </c>
      <c r="H119" s="52">
        <v>1.05</v>
      </c>
      <c r="I119" s="52">
        <v>1.3</v>
      </c>
      <c r="J119" s="48">
        <v>0.75</v>
      </c>
      <c r="K119" s="11">
        <f t="shared" si="15"/>
        <v>1.0237500000000002</v>
      </c>
      <c r="L119" s="48">
        <f>L110</f>
        <v>6</v>
      </c>
      <c r="M119" s="11">
        <f t="shared" si="16"/>
        <v>1.3333333333333334E-2</v>
      </c>
      <c r="N119" s="11">
        <f t="shared" si="17"/>
        <v>6.8666666666666671</v>
      </c>
      <c r="O119" s="11">
        <f t="shared" si="18"/>
        <v>1.3650000000000002E-2</v>
      </c>
      <c r="Q119" s="101"/>
    </row>
    <row r="120" spans="1:17" s="47" customFormat="1" hidden="1" x14ac:dyDescent="0.2">
      <c r="A120" s="47">
        <v>9278</v>
      </c>
      <c r="B120" s="48" t="s">
        <v>14</v>
      </c>
      <c r="C120" s="49" t="s">
        <v>40</v>
      </c>
      <c r="D120" s="52">
        <v>1000</v>
      </c>
      <c r="E120" s="52">
        <f t="shared" si="19"/>
        <v>645</v>
      </c>
      <c r="F120" s="52">
        <v>40</v>
      </c>
      <c r="G120" s="52">
        <v>605</v>
      </c>
      <c r="H120" s="52">
        <v>1.1000000000000001</v>
      </c>
      <c r="I120" s="52">
        <v>1.3</v>
      </c>
      <c r="J120" s="52">
        <v>0.55000000000000004</v>
      </c>
      <c r="K120" s="11">
        <f t="shared" si="15"/>
        <v>0.7865000000000002</v>
      </c>
      <c r="L120" s="48">
        <f>L111</f>
        <v>0</v>
      </c>
      <c r="M120" s="11">
        <f t="shared" si="16"/>
        <v>0</v>
      </c>
      <c r="N120" s="11">
        <f t="shared" si="17"/>
        <v>0</v>
      </c>
      <c r="O120" s="11">
        <f t="shared" si="18"/>
        <v>0</v>
      </c>
      <c r="Q120" s="101"/>
    </row>
    <row r="121" spans="1:17" s="47" customFormat="1" hidden="1" x14ac:dyDescent="0.2">
      <c r="A121" s="47">
        <v>9278</v>
      </c>
      <c r="B121" s="48" t="s">
        <v>14</v>
      </c>
      <c r="C121" s="49" t="s">
        <v>41</v>
      </c>
      <c r="D121" s="52">
        <v>450</v>
      </c>
      <c r="E121" s="52">
        <f t="shared" si="19"/>
        <v>515</v>
      </c>
      <c r="F121" s="52">
        <v>40</v>
      </c>
      <c r="G121" s="52">
        <v>475</v>
      </c>
      <c r="H121" s="52">
        <v>1.05</v>
      </c>
      <c r="I121" s="52">
        <v>1.3</v>
      </c>
      <c r="J121" s="48">
        <v>0.75</v>
      </c>
      <c r="K121" s="11">
        <f t="shared" si="15"/>
        <v>1.0237500000000002</v>
      </c>
      <c r="L121" s="48">
        <f>L111</f>
        <v>0</v>
      </c>
      <c r="M121" s="11">
        <f t="shared" si="16"/>
        <v>0</v>
      </c>
      <c r="N121" s="11">
        <f t="shared" si="17"/>
        <v>0</v>
      </c>
      <c r="O121" s="11">
        <f t="shared" si="18"/>
        <v>0</v>
      </c>
      <c r="Q121" s="101"/>
    </row>
    <row r="122" spans="1:17" s="47" customFormat="1" hidden="1" x14ac:dyDescent="0.2">
      <c r="A122" s="47">
        <v>8952</v>
      </c>
      <c r="B122" s="48" t="s">
        <v>14</v>
      </c>
      <c r="C122" s="49" t="s">
        <v>22</v>
      </c>
      <c r="D122" s="51">
        <v>3000</v>
      </c>
      <c r="E122" s="52">
        <v>235</v>
      </c>
      <c r="F122" s="48">
        <v>35</v>
      </c>
      <c r="G122" s="52">
        <v>200</v>
      </c>
      <c r="H122" s="48">
        <v>1.1000000000000001</v>
      </c>
      <c r="I122" s="48">
        <v>1.1000000000000001</v>
      </c>
      <c r="J122" s="48">
        <v>1.02</v>
      </c>
      <c r="K122" s="50">
        <f t="shared" si="15"/>
        <v>1.2342000000000002</v>
      </c>
      <c r="L122" s="48">
        <f>P107*4</f>
        <v>376</v>
      </c>
      <c r="M122" s="11">
        <f t="shared" si="16"/>
        <v>0.12533333333333332</v>
      </c>
      <c r="N122" s="11">
        <f t="shared" si="17"/>
        <v>29.45333333333333</v>
      </c>
      <c r="O122" s="11">
        <f t="shared" si="18"/>
        <v>0.1546864</v>
      </c>
      <c r="Q122" s="101"/>
    </row>
    <row r="123" spans="1:17" s="47" customFormat="1" hidden="1" x14ac:dyDescent="0.2">
      <c r="A123" s="47">
        <v>9278</v>
      </c>
      <c r="B123" s="48" t="s">
        <v>14</v>
      </c>
      <c r="C123" s="49" t="s">
        <v>23</v>
      </c>
      <c r="D123" s="9">
        <v>1000</v>
      </c>
      <c r="E123" s="10">
        <v>646</v>
      </c>
      <c r="F123" s="10">
        <f>E123-G123</f>
        <v>40</v>
      </c>
      <c r="G123" s="10">
        <v>606</v>
      </c>
      <c r="H123" s="10">
        <v>1.1000000000000001</v>
      </c>
      <c r="I123" s="10">
        <v>0.8</v>
      </c>
      <c r="J123" s="10">
        <v>0.55000000000000004</v>
      </c>
      <c r="K123" s="11">
        <f t="shared" si="15"/>
        <v>0.4840000000000001</v>
      </c>
      <c r="L123" s="48">
        <f>P107*4</f>
        <v>376</v>
      </c>
      <c r="M123" s="11">
        <f t="shared" si="16"/>
        <v>0.376</v>
      </c>
      <c r="N123" s="11">
        <f t="shared" si="17"/>
        <v>242.89599999999999</v>
      </c>
      <c r="O123" s="11">
        <f t="shared" si="18"/>
        <v>0.18198400000000003</v>
      </c>
      <c r="Q123" s="101"/>
    </row>
    <row r="124" spans="1:17" s="47" customFormat="1" hidden="1" x14ac:dyDescent="0.2">
      <c r="A124" s="47">
        <v>9278</v>
      </c>
      <c r="B124" s="48" t="s">
        <v>14</v>
      </c>
      <c r="C124" s="49" t="s">
        <v>46</v>
      </c>
      <c r="D124" s="51">
        <v>4000</v>
      </c>
      <c r="E124" s="52">
        <v>424</v>
      </c>
      <c r="F124" s="48">
        <f>E124-G124</f>
        <v>52</v>
      </c>
      <c r="G124" s="52">
        <v>372</v>
      </c>
      <c r="H124" s="48">
        <v>1.1000000000000001</v>
      </c>
      <c r="I124" s="48">
        <v>0.8</v>
      </c>
      <c r="J124" s="48">
        <v>0.55000000000000004</v>
      </c>
      <c r="K124" s="50">
        <f t="shared" si="15"/>
        <v>0.4840000000000001</v>
      </c>
      <c r="L124" s="48">
        <f>P107*4</f>
        <v>376</v>
      </c>
      <c r="M124" s="11">
        <f t="shared" si="16"/>
        <v>9.4E-2</v>
      </c>
      <c r="N124" s="11">
        <f t="shared" si="17"/>
        <v>39.856000000000002</v>
      </c>
      <c r="O124" s="11">
        <f t="shared" si="18"/>
        <v>4.5496000000000009E-2</v>
      </c>
      <c r="Q124" s="101"/>
    </row>
    <row r="125" spans="1:17" s="47" customFormat="1" ht="15" hidden="1" x14ac:dyDescent="0.2">
      <c r="A125" s="47">
        <v>9278</v>
      </c>
      <c r="B125" s="48" t="s">
        <v>14</v>
      </c>
      <c r="C125" s="49" t="s">
        <v>42</v>
      </c>
      <c r="D125" s="56">
        <v>1200</v>
      </c>
      <c r="E125" s="115">
        <v>666.4</v>
      </c>
      <c r="F125" s="115">
        <v>40</v>
      </c>
      <c r="G125" s="57">
        <v>588</v>
      </c>
      <c r="H125" s="117">
        <v>1</v>
      </c>
      <c r="I125" s="117">
        <v>0.75</v>
      </c>
      <c r="J125" s="117">
        <v>0.7</v>
      </c>
      <c r="K125" s="119">
        <v>0.5</v>
      </c>
      <c r="L125" s="48">
        <f>P107*4</f>
        <v>376</v>
      </c>
      <c r="M125" s="121">
        <f t="shared" si="16"/>
        <v>0.31333333333333335</v>
      </c>
      <c r="N125" s="121">
        <f t="shared" si="17"/>
        <v>208.80533333333335</v>
      </c>
      <c r="O125" s="123">
        <f t="shared" si="18"/>
        <v>0.15666666666666668</v>
      </c>
      <c r="Q125" s="101"/>
    </row>
    <row r="126" spans="1:17" s="47" customFormat="1" ht="15.75" hidden="1" thickBot="1" x14ac:dyDescent="0.25">
      <c r="A126" s="47">
        <v>9278</v>
      </c>
      <c r="B126" s="48" t="s">
        <v>14</v>
      </c>
      <c r="C126" s="49" t="s">
        <v>43</v>
      </c>
      <c r="D126" s="56">
        <v>1200</v>
      </c>
      <c r="E126" s="116"/>
      <c r="F126" s="116"/>
      <c r="G126" s="57">
        <v>38.4</v>
      </c>
      <c r="H126" s="118"/>
      <c r="I126" s="118"/>
      <c r="J126" s="118"/>
      <c r="K126" s="120"/>
      <c r="L126" s="48">
        <f>P107*4</f>
        <v>376</v>
      </c>
      <c r="M126" s="122"/>
      <c r="N126" s="122"/>
      <c r="O126" s="124"/>
      <c r="Q126" s="102"/>
    </row>
    <row r="127" spans="1:17" hidden="1" x14ac:dyDescent="0.2">
      <c r="A127">
        <v>9270</v>
      </c>
      <c r="B127" s="5" t="s">
        <v>15</v>
      </c>
      <c r="C127" s="5" t="s">
        <v>16</v>
      </c>
      <c r="D127" s="5">
        <v>30</v>
      </c>
      <c r="E127" s="5">
        <v>669</v>
      </c>
      <c r="F127" s="5">
        <f>E127-G127</f>
        <v>53</v>
      </c>
      <c r="G127" s="5">
        <v>616</v>
      </c>
      <c r="H127" s="5">
        <v>1</v>
      </c>
      <c r="I127" s="5">
        <v>0.9</v>
      </c>
      <c r="J127" s="5">
        <v>0.73</v>
      </c>
      <c r="K127" s="5">
        <f t="shared" ref="K127:K155" si="20">H127*I127*J127</f>
        <v>0.65700000000000003</v>
      </c>
      <c r="L127" s="5">
        <v>70</v>
      </c>
      <c r="M127" s="4">
        <f t="shared" ref="M127:M156" si="21">L127/D127</f>
        <v>2.3333333333333335</v>
      </c>
      <c r="N127" s="4">
        <f t="shared" ref="N127:N156" si="22">E127*M127</f>
        <v>1561</v>
      </c>
      <c r="O127" s="4">
        <f>M127*K127</f>
        <v>1.5330000000000001</v>
      </c>
      <c r="P127" s="103">
        <f>SUM(L127:L130)</f>
        <v>94</v>
      </c>
      <c r="Q127" s="88" t="s">
        <v>57</v>
      </c>
    </row>
    <row r="128" spans="1:17" hidden="1" x14ac:dyDescent="0.2">
      <c r="A128">
        <v>9270</v>
      </c>
      <c r="B128" s="5" t="s">
        <v>15</v>
      </c>
      <c r="C128" s="5" t="s">
        <v>17</v>
      </c>
      <c r="D128" s="5">
        <v>30</v>
      </c>
      <c r="E128" s="5">
        <v>669</v>
      </c>
      <c r="F128" s="5">
        <f>E128-G128</f>
        <v>53</v>
      </c>
      <c r="G128" s="5">
        <v>616</v>
      </c>
      <c r="H128" s="5">
        <v>1</v>
      </c>
      <c r="I128" s="5">
        <v>0.9</v>
      </c>
      <c r="J128" s="5">
        <v>0.73</v>
      </c>
      <c r="K128" s="5">
        <f t="shared" si="20"/>
        <v>0.65700000000000003</v>
      </c>
      <c r="L128" s="5">
        <v>8</v>
      </c>
      <c r="M128" s="4">
        <f t="shared" si="21"/>
        <v>0.26666666666666666</v>
      </c>
      <c r="N128" s="4">
        <f t="shared" si="22"/>
        <v>178.4</v>
      </c>
      <c r="O128" s="4">
        <f t="shared" ref="O128:O156" si="23">M128*K128</f>
        <v>0.17519999999999999</v>
      </c>
      <c r="P128" s="103"/>
      <c r="Q128" s="89"/>
    </row>
    <row r="129" spans="1:17" hidden="1" x14ac:dyDescent="0.2">
      <c r="A129">
        <v>9270</v>
      </c>
      <c r="B129" s="5" t="s">
        <v>15</v>
      </c>
      <c r="C129" s="5" t="s">
        <v>18</v>
      </c>
      <c r="D129" s="5">
        <v>30</v>
      </c>
      <c r="E129" s="5">
        <v>669</v>
      </c>
      <c r="F129" s="5">
        <f>E129-G129</f>
        <v>53</v>
      </c>
      <c r="G129" s="5">
        <v>616</v>
      </c>
      <c r="H129" s="5">
        <v>1</v>
      </c>
      <c r="I129" s="5">
        <v>0.9</v>
      </c>
      <c r="J129" s="5">
        <v>0.73</v>
      </c>
      <c r="K129" s="5">
        <f t="shared" si="20"/>
        <v>0.65700000000000003</v>
      </c>
      <c r="L129" s="5">
        <v>8</v>
      </c>
      <c r="M129" s="4">
        <f t="shared" si="21"/>
        <v>0.26666666666666666</v>
      </c>
      <c r="N129" s="4">
        <f t="shared" si="22"/>
        <v>178.4</v>
      </c>
      <c r="O129" s="4">
        <f t="shared" si="23"/>
        <v>0.17519999999999999</v>
      </c>
      <c r="P129" s="103"/>
      <c r="Q129" s="89"/>
    </row>
    <row r="130" spans="1:17" hidden="1" x14ac:dyDescent="0.2">
      <c r="A130">
        <v>9270</v>
      </c>
      <c r="B130" s="5" t="s">
        <v>15</v>
      </c>
      <c r="C130" s="5" t="s">
        <v>19</v>
      </c>
      <c r="D130" s="5">
        <v>30</v>
      </c>
      <c r="E130" s="5">
        <v>669</v>
      </c>
      <c r="F130" s="5">
        <f>E130-G130</f>
        <v>53</v>
      </c>
      <c r="G130" s="5">
        <v>616</v>
      </c>
      <c r="H130" s="5">
        <v>1</v>
      </c>
      <c r="I130" s="5">
        <v>0.9</v>
      </c>
      <c r="J130" s="5">
        <v>0.73</v>
      </c>
      <c r="K130" s="5">
        <f t="shared" si="20"/>
        <v>0.65700000000000003</v>
      </c>
      <c r="L130" s="5">
        <v>8</v>
      </c>
      <c r="M130" s="4">
        <f t="shared" si="21"/>
        <v>0.26666666666666666</v>
      </c>
      <c r="N130" s="4">
        <f t="shared" si="22"/>
        <v>178.4</v>
      </c>
      <c r="O130" s="4">
        <f t="shared" si="23"/>
        <v>0.17519999999999999</v>
      </c>
      <c r="P130" s="103"/>
      <c r="Q130" s="89"/>
    </row>
    <row r="131" spans="1:17" hidden="1" x14ac:dyDescent="0.2">
      <c r="A131">
        <v>9278</v>
      </c>
      <c r="B131" s="5" t="s">
        <v>14</v>
      </c>
      <c r="C131" s="8" t="s">
        <v>20</v>
      </c>
      <c r="D131" s="5">
        <v>5000</v>
      </c>
      <c r="E131" s="5">
        <v>490</v>
      </c>
      <c r="F131" s="5">
        <v>40</v>
      </c>
      <c r="G131" s="5">
        <v>450</v>
      </c>
      <c r="H131" s="5">
        <v>1</v>
      </c>
      <c r="I131" s="5">
        <v>0.98</v>
      </c>
      <c r="J131" s="5">
        <v>0.83</v>
      </c>
      <c r="K131" s="7">
        <f t="shared" si="20"/>
        <v>0.8133999999999999</v>
      </c>
      <c r="L131" s="5">
        <f>P127</f>
        <v>94</v>
      </c>
      <c r="M131" s="4">
        <f t="shared" si="21"/>
        <v>1.8800000000000001E-2</v>
      </c>
      <c r="N131" s="4">
        <f t="shared" si="22"/>
        <v>9.2119999999999997</v>
      </c>
      <c r="O131" s="4">
        <f t="shared" si="23"/>
        <v>1.5291919999999999E-2</v>
      </c>
      <c r="Q131" s="89"/>
    </row>
    <row r="132" spans="1:17" hidden="1" x14ac:dyDescent="0.2">
      <c r="A132">
        <v>9278</v>
      </c>
      <c r="B132" s="5" t="s">
        <v>14</v>
      </c>
      <c r="C132" s="8" t="s">
        <v>21</v>
      </c>
      <c r="D132" s="5">
        <v>360</v>
      </c>
      <c r="E132" s="5">
        <v>390</v>
      </c>
      <c r="F132" s="5">
        <v>40</v>
      </c>
      <c r="G132" s="5">
        <v>350</v>
      </c>
      <c r="H132" s="5">
        <v>1.05</v>
      </c>
      <c r="I132" s="5">
        <v>0.95</v>
      </c>
      <c r="J132" s="5">
        <v>0.55000000000000004</v>
      </c>
      <c r="K132" s="7">
        <f t="shared" si="20"/>
        <v>0.54862500000000003</v>
      </c>
      <c r="L132" s="5">
        <f>P127</f>
        <v>94</v>
      </c>
      <c r="M132" s="4">
        <f t="shared" si="21"/>
        <v>0.26111111111111113</v>
      </c>
      <c r="N132" s="4">
        <f t="shared" si="22"/>
        <v>101.83333333333334</v>
      </c>
      <c r="O132" s="4">
        <f t="shared" si="23"/>
        <v>0.14325208333333336</v>
      </c>
      <c r="Q132" s="89"/>
    </row>
    <row r="133" spans="1:17" hidden="1" x14ac:dyDescent="0.2">
      <c r="A133">
        <v>8952</v>
      </c>
      <c r="B133" s="5" t="s">
        <v>14</v>
      </c>
      <c r="C133" s="8" t="s">
        <v>22</v>
      </c>
      <c r="D133" s="3">
        <v>3000</v>
      </c>
      <c r="E133" s="6">
        <v>235</v>
      </c>
      <c r="F133" s="5">
        <v>35</v>
      </c>
      <c r="G133" s="6">
        <v>200</v>
      </c>
      <c r="H133" s="5">
        <v>1.1000000000000001</v>
      </c>
      <c r="I133" s="5">
        <v>1.1000000000000001</v>
      </c>
      <c r="J133" s="5">
        <v>1.02</v>
      </c>
      <c r="K133" s="7">
        <f t="shared" si="20"/>
        <v>1.2342000000000002</v>
      </c>
      <c r="L133" s="5">
        <f>P127*4</f>
        <v>376</v>
      </c>
      <c r="M133" s="4">
        <f t="shared" si="21"/>
        <v>0.12533333333333332</v>
      </c>
      <c r="N133" s="4">
        <f t="shared" si="22"/>
        <v>29.45333333333333</v>
      </c>
      <c r="O133" s="4">
        <f t="shared" si="23"/>
        <v>0.1546864</v>
      </c>
      <c r="Q133" s="89"/>
    </row>
    <row r="134" spans="1:17" hidden="1" x14ac:dyDescent="0.2">
      <c r="A134">
        <v>9278</v>
      </c>
      <c r="B134" s="5" t="s">
        <v>14</v>
      </c>
      <c r="C134" s="8" t="s">
        <v>23</v>
      </c>
      <c r="D134" s="58">
        <v>1000</v>
      </c>
      <c r="E134" s="59">
        <v>646</v>
      </c>
      <c r="F134" s="59">
        <f>E134-G134</f>
        <v>40</v>
      </c>
      <c r="G134" s="59">
        <v>606</v>
      </c>
      <c r="H134" s="59">
        <v>1.1000000000000001</v>
      </c>
      <c r="I134" s="59">
        <v>0.8</v>
      </c>
      <c r="J134" s="59">
        <v>0.55000000000000004</v>
      </c>
      <c r="K134" s="4">
        <f t="shared" si="20"/>
        <v>0.4840000000000001</v>
      </c>
      <c r="L134" s="5">
        <f>P127*4</f>
        <v>376</v>
      </c>
      <c r="M134" s="4">
        <f t="shared" si="21"/>
        <v>0.376</v>
      </c>
      <c r="N134" s="4">
        <f t="shared" si="22"/>
        <v>242.89599999999999</v>
      </c>
      <c r="O134" s="4">
        <f t="shared" si="23"/>
        <v>0.18198400000000003</v>
      </c>
      <c r="Q134" s="89"/>
    </row>
    <row r="135" spans="1:17" x14ac:dyDescent="0.2">
      <c r="A135">
        <v>9286</v>
      </c>
      <c r="B135" s="5" t="s">
        <v>47</v>
      </c>
      <c r="C135" s="8" t="s">
        <v>24</v>
      </c>
      <c r="D135" s="3">
        <v>4000</v>
      </c>
      <c r="E135" s="6">
        <v>424</v>
      </c>
      <c r="F135" s="5">
        <f>E135-G135</f>
        <v>52</v>
      </c>
      <c r="G135" s="6">
        <v>372</v>
      </c>
      <c r="H135" s="5">
        <v>1.1000000000000001</v>
      </c>
      <c r="I135" s="5">
        <v>0.8</v>
      </c>
      <c r="J135" s="5">
        <v>0.55000000000000004</v>
      </c>
      <c r="K135" s="7">
        <f t="shared" si="20"/>
        <v>0.4840000000000001</v>
      </c>
      <c r="L135" s="5">
        <f>(P127+P138)*4</f>
        <v>684</v>
      </c>
      <c r="M135" s="4">
        <f t="shared" si="21"/>
        <v>0.17100000000000001</v>
      </c>
      <c r="N135" s="4">
        <f t="shared" si="22"/>
        <v>72.504000000000005</v>
      </c>
      <c r="O135" s="4">
        <f t="shared" si="23"/>
        <v>8.2764000000000018E-2</v>
      </c>
      <c r="Q135" s="89"/>
    </row>
    <row r="136" spans="1:17" hidden="1" x14ac:dyDescent="0.2">
      <c r="A136">
        <v>9278</v>
      </c>
      <c r="B136" s="5" t="s">
        <v>14</v>
      </c>
      <c r="C136" s="8" t="s">
        <v>25</v>
      </c>
      <c r="D136" s="5">
        <v>1000</v>
      </c>
      <c r="E136" s="5">
        <v>830</v>
      </c>
      <c r="F136" s="5">
        <v>40</v>
      </c>
      <c r="G136" s="5">
        <v>790</v>
      </c>
      <c r="H136" s="5">
        <v>1.04</v>
      </c>
      <c r="I136" s="5">
        <v>0.84</v>
      </c>
      <c r="J136" s="5">
        <v>0.64</v>
      </c>
      <c r="K136" s="7">
        <f t="shared" si="20"/>
        <v>0.55910400000000005</v>
      </c>
      <c r="L136" s="5">
        <f>P127*2</f>
        <v>188</v>
      </c>
      <c r="M136" s="4">
        <f t="shared" si="21"/>
        <v>0.188</v>
      </c>
      <c r="N136" s="4">
        <f t="shared" si="22"/>
        <v>156.04</v>
      </c>
      <c r="O136" s="4">
        <f t="shared" si="23"/>
        <v>0.10511155200000001</v>
      </c>
      <c r="Q136" s="89"/>
    </row>
    <row r="137" spans="1:17" hidden="1" x14ac:dyDescent="0.2">
      <c r="A137">
        <v>9278</v>
      </c>
      <c r="B137" s="5" t="s">
        <v>14</v>
      </c>
      <c r="C137" s="8" t="s">
        <v>26</v>
      </c>
      <c r="D137" s="5">
        <v>4000</v>
      </c>
      <c r="E137" s="5">
        <v>223</v>
      </c>
      <c r="F137" s="5">
        <v>30</v>
      </c>
      <c r="G137" s="5">
        <v>188</v>
      </c>
      <c r="H137" s="5">
        <v>0.86</v>
      </c>
      <c r="I137" s="5">
        <v>0.78</v>
      </c>
      <c r="J137" s="5">
        <v>0.74</v>
      </c>
      <c r="K137" s="7">
        <f t="shared" si="20"/>
        <v>0.49639200000000006</v>
      </c>
      <c r="L137" s="5">
        <f>P127*2</f>
        <v>188</v>
      </c>
      <c r="M137" s="4">
        <f t="shared" si="21"/>
        <v>4.7E-2</v>
      </c>
      <c r="N137" s="4">
        <f t="shared" si="22"/>
        <v>10.481</v>
      </c>
      <c r="O137" s="4">
        <f t="shared" si="23"/>
        <v>2.3330424000000002E-2</v>
      </c>
      <c r="Q137" s="89"/>
    </row>
    <row r="138" spans="1:17" hidden="1" x14ac:dyDescent="0.2">
      <c r="A138">
        <v>9270</v>
      </c>
      <c r="B138" s="5" t="s">
        <v>15</v>
      </c>
      <c r="C138" s="8" t="s">
        <v>27</v>
      </c>
      <c r="D138" s="12">
        <v>12</v>
      </c>
      <c r="E138" s="12">
        <v>435</v>
      </c>
      <c r="F138" s="12">
        <v>39</v>
      </c>
      <c r="G138" s="12">
        <v>396</v>
      </c>
      <c r="H138" s="12">
        <v>0.86</v>
      </c>
      <c r="I138" s="12">
        <v>0.56000000000000005</v>
      </c>
      <c r="J138" s="12">
        <v>0.51</v>
      </c>
      <c r="K138" s="13">
        <f t="shared" si="20"/>
        <v>0.24561600000000003</v>
      </c>
      <c r="L138" s="5">
        <v>34</v>
      </c>
      <c r="M138" s="4">
        <f t="shared" si="21"/>
        <v>2.8333333333333335</v>
      </c>
      <c r="N138" s="4">
        <f t="shared" si="22"/>
        <v>1232.5</v>
      </c>
      <c r="O138" s="4">
        <f t="shared" si="23"/>
        <v>0.69591200000000009</v>
      </c>
      <c r="P138" s="103">
        <f>SUM(L138:L142)</f>
        <v>77</v>
      </c>
      <c r="Q138" s="89"/>
    </row>
    <row r="139" spans="1:17" hidden="1" x14ac:dyDescent="0.2">
      <c r="A139">
        <v>9270</v>
      </c>
      <c r="B139" s="5" t="s">
        <v>15</v>
      </c>
      <c r="C139" s="8" t="s">
        <v>28</v>
      </c>
      <c r="D139" s="12">
        <v>12</v>
      </c>
      <c r="E139" s="12">
        <v>520</v>
      </c>
      <c r="F139" s="12">
        <v>40</v>
      </c>
      <c r="G139" s="12">
        <v>480</v>
      </c>
      <c r="H139" s="12">
        <v>1.03</v>
      </c>
      <c r="I139" s="12">
        <v>0.56000000000000005</v>
      </c>
      <c r="J139" s="12">
        <v>0.51</v>
      </c>
      <c r="K139" s="13">
        <f t="shared" si="20"/>
        <v>0.29416800000000004</v>
      </c>
      <c r="L139" s="5">
        <v>15</v>
      </c>
      <c r="M139" s="4">
        <f t="shared" si="21"/>
        <v>1.25</v>
      </c>
      <c r="N139" s="4">
        <f t="shared" si="22"/>
        <v>650</v>
      </c>
      <c r="O139" s="4">
        <f t="shared" si="23"/>
        <v>0.36771000000000004</v>
      </c>
      <c r="P139" s="103"/>
      <c r="Q139" s="89"/>
    </row>
    <row r="140" spans="1:17" hidden="1" x14ac:dyDescent="0.2">
      <c r="A140">
        <v>9270</v>
      </c>
      <c r="B140" s="5" t="s">
        <v>15</v>
      </c>
      <c r="C140" s="8" t="s">
        <v>29</v>
      </c>
      <c r="D140" s="12">
        <v>12</v>
      </c>
      <c r="E140" s="12">
        <v>596</v>
      </c>
      <c r="F140" s="12">
        <v>44</v>
      </c>
      <c r="G140" s="12">
        <v>552</v>
      </c>
      <c r="H140" s="12">
        <v>1.17</v>
      </c>
      <c r="I140" s="12">
        <v>0.56000000000000005</v>
      </c>
      <c r="J140" s="12">
        <v>0.51</v>
      </c>
      <c r="K140" s="13">
        <f t="shared" si="20"/>
        <v>0.334152</v>
      </c>
      <c r="L140" s="5">
        <v>25</v>
      </c>
      <c r="M140" s="4">
        <f t="shared" si="21"/>
        <v>2.0833333333333335</v>
      </c>
      <c r="N140" s="4">
        <f t="shared" si="22"/>
        <v>1241.6666666666667</v>
      </c>
      <c r="O140" s="4">
        <f t="shared" si="23"/>
        <v>0.69615000000000005</v>
      </c>
      <c r="P140" s="103"/>
      <c r="Q140" s="89"/>
    </row>
    <row r="141" spans="1:17" hidden="1" x14ac:dyDescent="0.2">
      <c r="A141">
        <v>9270</v>
      </c>
      <c r="B141" s="5" t="s">
        <v>15</v>
      </c>
      <c r="C141" s="8" t="s">
        <v>30</v>
      </c>
      <c r="D141" s="14">
        <v>12</v>
      </c>
      <c r="E141" s="12">
        <v>654</v>
      </c>
      <c r="F141" s="12">
        <v>42</v>
      </c>
      <c r="G141" s="12">
        <v>612</v>
      </c>
      <c r="H141" s="12">
        <v>1.2749999999999999</v>
      </c>
      <c r="I141" s="12">
        <v>0.56000000000000005</v>
      </c>
      <c r="J141" s="12">
        <v>0.51</v>
      </c>
      <c r="K141" s="13">
        <f t="shared" si="20"/>
        <v>0.36413999999999996</v>
      </c>
      <c r="L141" s="5">
        <v>3</v>
      </c>
      <c r="M141" s="4">
        <f t="shared" si="21"/>
        <v>0.25</v>
      </c>
      <c r="N141" s="4">
        <f t="shared" si="22"/>
        <v>163.5</v>
      </c>
      <c r="O141" s="4">
        <f t="shared" si="23"/>
        <v>9.1034999999999991E-2</v>
      </c>
      <c r="P141" s="103"/>
      <c r="Q141" s="89"/>
    </row>
    <row r="142" spans="1:17" hidden="1" x14ac:dyDescent="0.2">
      <c r="A142">
        <v>9270</v>
      </c>
      <c r="B142" s="5" t="s">
        <v>15</v>
      </c>
      <c r="C142" s="8" t="s">
        <v>31</v>
      </c>
      <c r="D142" s="14">
        <v>6</v>
      </c>
      <c r="E142" s="12">
        <v>410</v>
      </c>
      <c r="F142" s="12">
        <v>50</v>
      </c>
      <c r="G142" s="12">
        <v>360</v>
      </c>
      <c r="H142" s="12">
        <v>1.48</v>
      </c>
      <c r="I142" s="12">
        <v>0.56000000000000005</v>
      </c>
      <c r="J142" s="12">
        <v>0.37</v>
      </c>
      <c r="K142" s="13">
        <f t="shared" si="20"/>
        <v>0.30665600000000004</v>
      </c>
      <c r="L142" s="5">
        <v>0</v>
      </c>
      <c r="M142" s="4">
        <f t="shared" si="21"/>
        <v>0</v>
      </c>
      <c r="N142" s="4">
        <f t="shared" si="22"/>
        <v>0</v>
      </c>
      <c r="O142" s="4">
        <f t="shared" si="23"/>
        <v>0</v>
      </c>
      <c r="P142" s="103"/>
      <c r="Q142" s="89"/>
    </row>
    <row r="143" spans="1:17" hidden="1" x14ac:dyDescent="0.2">
      <c r="A143">
        <v>9278</v>
      </c>
      <c r="B143" s="5" t="s">
        <v>14</v>
      </c>
      <c r="C143" s="8" t="s">
        <v>32</v>
      </c>
      <c r="D143" s="6">
        <v>1000</v>
      </c>
      <c r="E143" s="6">
        <f t="shared" ref="E143:E152" si="24">G143+F143</f>
        <v>395</v>
      </c>
      <c r="F143" s="6">
        <v>40</v>
      </c>
      <c r="G143" s="6">
        <v>355</v>
      </c>
      <c r="H143" s="6">
        <v>1.05</v>
      </c>
      <c r="I143" s="6">
        <v>0.9</v>
      </c>
      <c r="J143" s="6">
        <v>0.55000000000000004</v>
      </c>
      <c r="K143" s="4">
        <f t="shared" si="20"/>
        <v>0.51975000000000005</v>
      </c>
      <c r="L143" s="5">
        <f>L138</f>
        <v>34</v>
      </c>
      <c r="M143" s="4">
        <f t="shared" si="21"/>
        <v>3.4000000000000002E-2</v>
      </c>
      <c r="N143" s="4">
        <f t="shared" si="22"/>
        <v>13.430000000000001</v>
      </c>
      <c r="O143" s="4">
        <f t="shared" si="23"/>
        <v>1.7671500000000003E-2</v>
      </c>
      <c r="Q143" s="89"/>
    </row>
    <row r="144" spans="1:17" hidden="1" x14ac:dyDescent="0.2">
      <c r="A144">
        <v>9278</v>
      </c>
      <c r="B144" s="5" t="s">
        <v>14</v>
      </c>
      <c r="C144" s="8" t="s">
        <v>33</v>
      </c>
      <c r="D144" s="6">
        <v>450</v>
      </c>
      <c r="E144" s="6">
        <f t="shared" si="24"/>
        <v>360</v>
      </c>
      <c r="F144" s="6">
        <v>40</v>
      </c>
      <c r="G144" s="6">
        <v>320</v>
      </c>
      <c r="H144" s="5">
        <v>1.1000000000000001</v>
      </c>
      <c r="I144" s="6">
        <v>0.9</v>
      </c>
      <c r="J144" s="5">
        <v>0.75</v>
      </c>
      <c r="K144" s="7">
        <f t="shared" si="20"/>
        <v>0.74250000000000005</v>
      </c>
      <c r="L144" s="5">
        <f>L138</f>
        <v>34</v>
      </c>
      <c r="M144" s="4">
        <f t="shared" si="21"/>
        <v>7.5555555555555556E-2</v>
      </c>
      <c r="N144" s="4">
        <f t="shared" si="22"/>
        <v>27.2</v>
      </c>
      <c r="O144" s="4">
        <f t="shared" si="23"/>
        <v>5.6100000000000004E-2</v>
      </c>
      <c r="Q144" s="89"/>
    </row>
    <row r="145" spans="1:17" hidden="1" x14ac:dyDescent="0.2">
      <c r="A145">
        <v>9278</v>
      </c>
      <c r="B145" s="5" t="s">
        <v>14</v>
      </c>
      <c r="C145" s="8" t="s">
        <v>34</v>
      </c>
      <c r="D145" s="6">
        <v>1000</v>
      </c>
      <c r="E145" s="6">
        <f t="shared" si="24"/>
        <v>492</v>
      </c>
      <c r="F145" s="6">
        <v>40</v>
      </c>
      <c r="G145" s="6">
        <v>452</v>
      </c>
      <c r="H145" s="6">
        <v>1.1000000000000001</v>
      </c>
      <c r="I145" s="6">
        <v>1.05</v>
      </c>
      <c r="J145" s="6">
        <v>0.55000000000000004</v>
      </c>
      <c r="K145" s="4">
        <f t="shared" si="20"/>
        <v>0.6352500000000002</v>
      </c>
      <c r="L145" s="5">
        <f>L139</f>
        <v>15</v>
      </c>
      <c r="M145" s="4">
        <f t="shared" si="21"/>
        <v>1.4999999999999999E-2</v>
      </c>
      <c r="N145" s="4">
        <f t="shared" si="22"/>
        <v>7.38</v>
      </c>
      <c r="O145" s="4">
        <f t="shared" si="23"/>
        <v>9.5287500000000025E-3</v>
      </c>
      <c r="Q145" s="89"/>
    </row>
    <row r="146" spans="1:17" hidden="1" x14ac:dyDescent="0.2">
      <c r="A146">
        <v>9278</v>
      </c>
      <c r="B146" s="5" t="s">
        <v>14</v>
      </c>
      <c r="C146" s="8" t="s">
        <v>35</v>
      </c>
      <c r="D146" s="6">
        <v>450</v>
      </c>
      <c r="E146" s="6">
        <f t="shared" si="24"/>
        <v>421.5</v>
      </c>
      <c r="F146" s="6">
        <v>40</v>
      </c>
      <c r="G146" s="6">
        <v>381.5</v>
      </c>
      <c r="H146" s="6">
        <v>1.05</v>
      </c>
      <c r="I146" s="6">
        <v>1.05</v>
      </c>
      <c r="J146" s="5">
        <v>0.75</v>
      </c>
      <c r="K146" s="7">
        <f t="shared" si="20"/>
        <v>0.82687500000000003</v>
      </c>
      <c r="L146" s="5">
        <f>L139</f>
        <v>15</v>
      </c>
      <c r="M146" s="4">
        <f t="shared" si="21"/>
        <v>3.3333333333333333E-2</v>
      </c>
      <c r="N146" s="4">
        <f t="shared" si="22"/>
        <v>14.049999999999999</v>
      </c>
      <c r="O146" s="4">
        <f t="shared" si="23"/>
        <v>2.75625E-2</v>
      </c>
      <c r="Q146" s="89"/>
    </row>
    <row r="147" spans="1:17" hidden="1" x14ac:dyDescent="0.2">
      <c r="A147">
        <v>9278</v>
      </c>
      <c r="B147" s="5" t="s">
        <v>14</v>
      </c>
      <c r="C147" s="8" t="s">
        <v>36</v>
      </c>
      <c r="D147" s="6">
        <v>1000</v>
      </c>
      <c r="E147" s="6">
        <f t="shared" si="24"/>
        <v>574</v>
      </c>
      <c r="F147" s="6">
        <v>40</v>
      </c>
      <c r="G147" s="6">
        <v>534</v>
      </c>
      <c r="H147" s="6">
        <v>1.1000000000000001</v>
      </c>
      <c r="I147" s="6">
        <v>1.2</v>
      </c>
      <c r="J147" s="6">
        <v>0.55000000000000004</v>
      </c>
      <c r="K147" s="4">
        <f t="shared" si="20"/>
        <v>0.72600000000000009</v>
      </c>
      <c r="L147" s="5">
        <f>L140</f>
        <v>25</v>
      </c>
      <c r="M147" s="4">
        <f t="shared" si="21"/>
        <v>2.5000000000000001E-2</v>
      </c>
      <c r="N147" s="4">
        <f t="shared" si="22"/>
        <v>14.350000000000001</v>
      </c>
      <c r="O147" s="4">
        <f t="shared" si="23"/>
        <v>1.8150000000000003E-2</v>
      </c>
      <c r="Q147" s="89"/>
    </row>
    <row r="148" spans="1:17" hidden="1" x14ac:dyDescent="0.2">
      <c r="A148">
        <v>9278</v>
      </c>
      <c r="B148" s="5" t="s">
        <v>14</v>
      </c>
      <c r="C148" s="8" t="s">
        <v>37</v>
      </c>
      <c r="D148" s="6">
        <v>450</v>
      </c>
      <c r="E148" s="6">
        <f t="shared" si="24"/>
        <v>475</v>
      </c>
      <c r="F148" s="6">
        <v>40</v>
      </c>
      <c r="G148" s="6">
        <v>435</v>
      </c>
      <c r="H148" s="6">
        <v>1.05</v>
      </c>
      <c r="I148" s="6">
        <v>1.2</v>
      </c>
      <c r="J148" s="5">
        <v>0.75</v>
      </c>
      <c r="K148" s="4">
        <f t="shared" si="20"/>
        <v>0.94500000000000006</v>
      </c>
      <c r="L148" s="5">
        <f>L140</f>
        <v>25</v>
      </c>
      <c r="M148" s="4">
        <f t="shared" si="21"/>
        <v>5.5555555555555552E-2</v>
      </c>
      <c r="N148" s="4">
        <f t="shared" si="22"/>
        <v>26.388888888888886</v>
      </c>
      <c r="O148" s="4">
        <f t="shared" si="23"/>
        <v>5.2499999999999998E-2</v>
      </c>
      <c r="Q148" s="89"/>
    </row>
    <row r="149" spans="1:17" hidden="1" x14ac:dyDescent="0.2">
      <c r="A149">
        <v>9278</v>
      </c>
      <c r="B149" s="5" t="s">
        <v>14</v>
      </c>
      <c r="C149" s="8" t="s">
        <v>38</v>
      </c>
      <c r="D149" s="6">
        <v>1000</v>
      </c>
      <c r="E149" s="6">
        <f t="shared" si="24"/>
        <v>645</v>
      </c>
      <c r="F149" s="6">
        <v>40</v>
      </c>
      <c r="G149" s="6">
        <v>605</v>
      </c>
      <c r="H149" s="6">
        <v>1.1000000000000001</v>
      </c>
      <c r="I149" s="6">
        <v>1.3</v>
      </c>
      <c r="J149" s="6">
        <v>0.55000000000000004</v>
      </c>
      <c r="K149" s="4">
        <f t="shared" si="20"/>
        <v>0.7865000000000002</v>
      </c>
      <c r="L149" s="5">
        <f>L141</f>
        <v>3</v>
      </c>
      <c r="M149" s="4">
        <f t="shared" si="21"/>
        <v>3.0000000000000001E-3</v>
      </c>
      <c r="N149" s="4">
        <f t="shared" si="22"/>
        <v>1.9350000000000001</v>
      </c>
      <c r="O149" s="4">
        <f t="shared" si="23"/>
        <v>2.3595000000000005E-3</v>
      </c>
      <c r="Q149" s="89"/>
    </row>
    <row r="150" spans="1:17" hidden="1" x14ac:dyDescent="0.2">
      <c r="A150">
        <v>9278</v>
      </c>
      <c r="B150" s="5" t="s">
        <v>14</v>
      </c>
      <c r="C150" s="8" t="s">
        <v>39</v>
      </c>
      <c r="D150" s="6">
        <v>450</v>
      </c>
      <c r="E150" s="6">
        <f t="shared" si="24"/>
        <v>515</v>
      </c>
      <c r="F150" s="6">
        <v>40</v>
      </c>
      <c r="G150" s="6">
        <v>475</v>
      </c>
      <c r="H150" s="6">
        <v>1.05</v>
      </c>
      <c r="I150" s="6">
        <v>1.3</v>
      </c>
      <c r="J150" s="5">
        <v>0.75</v>
      </c>
      <c r="K150" s="4">
        <f t="shared" si="20"/>
        <v>1.0237500000000002</v>
      </c>
      <c r="L150" s="5">
        <f>L141</f>
        <v>3</v>
      </c>
      <c r="M150" s="4">
        <f t="shared" si="21"/>
        <v>6.6666666666666671E-3</v>
      </c>
      <c r="N150" s="4">
        <f t="shared" si="22"/>
        <v>3.4333333333333336</v>
      </c>
      <c r="O150" s="4">
        <f t="shared" si="23"/>
        <v>6.8250000000000012E-3</v>
      </c>
      <c r="Q150" s="89"/>
    </row>
    <row r="151" spans="1:17" hidden="1" x14ac:dyDescent="0.2">
      <c r="A151">
        <v>9278</v>
      </c>
      <c r="B151" s="5" t="s">
        <v>14</v>
      </c>
      <c r="C151" s="8" t="s">
        <v>40</v>
      </c>
      <c r="D151" s="6">
        <v>1000</v>
      </c>
      <c r="E151" s="6">
        <f t="shared" si="24"/>
        <v>645</v>
      </c>
      <c r="F151" s="6">
        <v>40</v>
      </c>
      <c r="G151" s="6">
        <v>605</v>
      </c>
      <c r="H151" s="6">
        <v>1.1000000000000001</v>
      </c>
      <c r="I151" s="6">
        <v>1.3</v>
      </c>
      <c r="J151" s="6">
        <v>0.55000000000000004</v>
      </c>
      <c r="K151" s="4">
        <f t="shared" si="20"/>
        <v>0.7865000000000002</v>
      </c>
      <c r="L151" s="5">
        <f>L142</f>
        <v>0</v>
      </c>
      <c r="M151" s="4">
        <f t="shared" si="21"/>
        <v>0</v>
      </c>
      <c r="N151" s="4">
        <f t="shared" si="22"/>
        <v>0</v>
      </c>
      <c r="O151" s="4">
        <f t="shared" si="23"/>
        <v>0</v>
      </c>
      <c r="Q151" s="89"/>
    </row>
    <row r="152" spans="1:17" hidden="1" x14ac:dyDescent="0.2">
      <c r="A152">
        <v>9278</v>
      </c>
      <c r="B152" s="5" t="s">
        <v>14</v>
      </c>
      <c r="C152" s="8" t="s">
        <v>41</v>
      </c>
      <c r="D152" s="6">
        <v>450</v>
      </c>
      <c r="E152" s="6">
        <f t="shared" si="24"/>
        <v>515</v>
      </c>
      <c r="F152" s="6">
        <v>40</v>
      </c>
      <c r="G152" s="6">
        <v>475</v>
      </c>
      <c r="H152" s="6">
        <v>1.05</v>
      </c>
      <c r="I152" s="6">
        <v>1.3</v>
      </c>
      <c r="J152" s="5">
        <v>0.75</v>
      </c>
      <c r="K152" s="4">
        <f t="shared" si="20"/>
        <v>1.0237500000000002</v>
      </c>
      <c r="L152" s="5">
        <f>L142</f>
        <v>0</v>
      </c>
      <c r="M152" s="4">
        <f t="shared" si="21"/>
        <v>0</v>
      </c>
      <c r="N152" s="4">
        <f t="shared" si="22"/>
        <v>0</v>
      </c>
      <c r="O152" s="4">
        <f t="shared" si="23"/>
        <v>0</v>
      </c>
      <c r="Q152" s="89"/>
    </row>
    <row r="153" spans="1:17" hidden="1" x14ac:dyDescent="0.2">
      <c r="A153">
        <v>8952</v>
      </c>
      <c r="B153" s="5" t="s">
        <v>14</v>
      </c>
      <c r="C153" s="8" t="s">
        <v>22</v>
      </c>
      <c r="D153" s="3">
        <v>3000</v>
      </c>
      <c r="E153" s="6">
        <v>235</v>
      </c>
      <c r="F153" s="5">
        <v>35</v>
      </c>
      <c r="G153" s="6">
        <v>200</v>
      </c>
      <c r="H153" s="5">
        <v>1.1000000000000001</v>
      </c>
      <c r="I153" s="5">
        <v>1.1000000000000001</v>
      </c>
      <c r="J153" s="5">
        <v>1.02</v>
      </c>
      <c r="K153" s="7">
        <f t="shared" si="20"/>
        <v>1.2342000000000002</v>
      </c>
      <c r="L153" s="5">
        <f>P138*4</f>
        <v>308</v>
      </c>
      <c r="M153" s="4">
        <f t="shared" si="21"/>
        <v>0.10266666666666667</v>
      </c>
      <c r="N153" s="4">
        <f t="shared" si="22"/>
        <v>24.126666666666669</v>
      </c>
      <c r="O153" s="4">
        <f t="shared" si="23"/>
        <v>0.12671120000000002</v>
      </c>
      <c r="Q153" s="89"/>
    </row>
    <row r="154" spans="1:17" hidden="1" x14ac:dyDescent="0.2">
      <c r="A154">
        <v>9278</v>
      </c>
      <c r="B154" s="5" t="s">
        <v>14</v>
      </c>
      <c r="C154" s="8" t="s">
        <v>23</v>
      </c>
      <c r="D154" s="58">
        <v>1000</v>
      </c>
      <c r="E154" s="59">
        <v>646</v>
      </c>
      <c r="F154" s="59">
        <f>E154-G154</f>
        <v>40</v>
      </c>
      <c r="G154" s="59">
        <v>606</v>
      </c>
      <c r="H154" s="59">
        <v>1.1000000000000001</v>
      </c>
      <c r="I154" s="59">
        <v>0.8</v>
      </c>
      <c r="J154" s="59">
        <v>0.55000000000000004</v>
      </c>
      <c r="K154" s="4">
        <f t="shared" si="20"/>
        <v>0.4840000000000001</v>
      </c>
      <c r="L154" s="5">
        <f>P138*4</f>
        <v>308</v>
      </c>
      <c r="M154" s="4">
        <f t="shared" si="21"/>
        <v>0.308</v>
      </c>
      <c r="N154" s="4">
        <f t="shared" si="22"/>
        <v>198.96799999999999</v>
      </c>
      <c r="O154" s="4">
        <f t="shared" si="23"/>
        <v>0.14907200000000004</v>
      </c>
      <c r="Q154" s="89"/>
    </row>
    <row r="155" spans="1:17" hidden="1" x14ac:dyDescent="0.2">
      <c r="A155">
        <v>9278</v>
      </c>
      <c r="B155" s="5" t="s">
        <v>14</v>
      </c>
      <c r="C155" s="8" t="s">
        <v>46</v>
      </c>
      <c r="D155" s="3">
        <v>4000</v>
      </c>
      <c r="E155" s="6">
        <v>424</v>
      </c>
      <c r="F155" s="5">
        <f>E155-G155</f>
        <v>52</v>
      </c>
      <c r="G155" s="6">
        <v>372</v>
      </c>
      <c r="H155" s="5">
        <v>1.1000000000000001</v>
      </c>
      <c r="I155" s="5">
        <v>0.8</v>
      </c>
      <c r="J155" s="5">
        <v>0.55000000000000004</v>
      </c>
      <c r="K155" s="7">
        <f t="shared" si="20"/>
        <v>0.4840000000000001</v>
      </c>
      <c r="L155" s="5">
        <f>P138*4</f>
        <v>308</v>
      </c>
      <c r="M155" s="4">
        <f t="shared" si="21"/>
        <v>7.6999999999999999E-2</v>
      </c>
      <c r="N155" s="4">
        <f t="shared" si="22"/>
        <v>32.647999999999996</v>
      </c>
      <c r="O155" s="4">
        <f t="shared" si="23"/>
        <v>3.7268000000000009E-2</v>
      </c>
      <c r="Q155" s="89"/>
    </row>
    <row r="156" spans="1:17" ht="15" hidden="1" x14ac:dyDescent="0.2">
      <c r="A156">
        <v>9278</v>
      </c>
      <c r="B156" s="5" t="s">
        <v>14</v>
      </c>
      <c r="C156" s="8" t="s">
        <v>42</v>
      </c>
      <c r="D156" s="15">
        <v>1200</v>
      </c>
      <c r="E156" s="104">
        <v>666.4</v>
      </c>
      <c r="F156" s="104">
        <v>40</v>
      </c>
      <c r="G156" s="16">
        <v>588</v>
      </c>
      <c r="H156" s="106">
        <v>1</v>
      </c>
      <c r="I156" s="106">
        <v>0.75</v>
      </c>
      <c r="J156" s="106">
        <v>0.7</v>
      </c>
      <c r="K156" s="108">
        <v>0.5</v>
      </c>
      <c r="L156" s="5">
        <f>P138*4</f>
        <v>308</v>
      </c>
      <c r="M156" s="110">
        <f t="shared" si="21"/>
        <v>0.25666666666666665</v>
      </c>
      <c r="N156" s="110">
        <f t="shared" si="22"/>
        <v>171.04266666666666</v>
      </c>
      <c r="O156" s="112">
        <f t="shared" si="23"/>
        <v>0.12833333333333333</v>
      </c>
      <c r="Q156" s="89"/>
    </row>
    <row r="157" spans="1:17" ht="15.75" hidden="1" thickBot="1" x14ac:dyDescent="0.25">
      <c r="A157">
        <v>9278</v>
      </c>
      <c r="B157" s="5" t="s">
        <v>14</v>
      </c>
      <c r="C157" s="8" t="s">
        <v>43</v>
      </c>
      <c r="D157" s="15">
        <v>1200</v>
      </c>
      <c r="E157" s="105"/>
      <c r="F157" s="105"/>
      <c r="G157" s="16">
        <v>38.4</v>
      </c>
      <c r="H157" s="107"/>
      <c r="I157" s="107"/>
      <c r="J157" s="107"/>
      <c r="K157" s="109"/>
      <c r="L157" s="5">
        <f>P138*4</f>
        <v>308</v>
      </c>
      <c r="M157" s="111"/>
      <c r="N157" s="111"/>
      <c r="O157" s="113"/>
      <c r="Q157" s="90"/>
    </row>
    <row r="158" spans="1:17" x14ac:dyDescent="0.2">
      <c r="L158">
        <f>SUM(L3:L157)</f>
        <v>23310</v>
      </c>
      <c r="M158">
        <f t="shared" ref="M158:O158" si="25">SUM(M3:M157)</f>
        <v>70.530977777777764</v>
      </c>
      <c r="N158">
        <f t="shared" si="25"/>
        <v>38785.550666666677</v>
      </c>
      <c r="O158">
        <f t="shared" si="25"/>
        <v>31.351938117333315</v>
      </c>
    </row>
    <row r="159" spans="1:17" x14ac:dyDescent="0.2">
      <c r="N159">
        <f>N158/2</f>
        <v>19392.775333333338</v>
      </c>
      <c r="O159" s="19">
        <f>O158/2</f>
        <v>15.675969058666658</v>
      </c>
    </row>
    <row r="162" spans="1:17" ht="15" thickBot="1" x14ac:dyDescent="0.25">
      <c r="A162" t="s">
        <v>45</v>
      </c>
      <c r="B162" t="s">
        <v>58</v>
      </c>
    </row>
    <row r="163" spans="1:17" ht="30.75" thickBot="1" x14ac:dyDescent="0.25">
      <c r="A163" s="1" t="s">
        <v>44</v>
      </c>
      <c r="B163" s="1" t="s">
        <v>0</v>
      </c>
      <c r="C163" s="1" t="s">
        <v>1</v>
      </c>
      <c r="D163" s="1" t="s">
        <v>2</v>
      </c>
      <c r="E163" s="1" t="s">
        <v>3</v>
      </c>
      <c r="F163" s="1" t="s">
        <v>4</v>
      </c>
      <c r="G163" s="1" t="s">
        <v>5</v>
      </c>
      <c r="H163" s="1" t="s">
        <v>6</v>
      </c>
      <c r="I163" s="1" t="s">
        <v>7</v>
      </c>
      <c r="J163" s="1" t="s">
        <v>8</v>
      </c>
      <c r="K163" s="1" t="s">
        <v>9</v>
      </c>
      <c r="L163" s="83" t="s">
        <v>10</v>
      </c>
      <c r="M163" s="2" t="s">
        <v>11</v>
      </c>
      <c r="N163" s="2" t="s">
        <v>12</v>
      </c>
      <c r="O163" s="18" t="s">
        <v>13</v>
      </c>
    </row>
    <row r="164" spans="1:17" s="17" customFormat="1" x14ac:dyDescent="0.2">
      <c r="A164" s="17">
        <v>9270</v>
      </c>
      <c r="B164" s="20" t="s">
        <v>15</v>
      </c>
      <c r="C164" s="20" t="s">
        <v>16</v>
      </c>
      <c r="D164" s="20">
        <v>30</v>
      </c>
      <c r="E164" s="20">
        <v>669</v>
      </c>
      <c r="F164" s="20">
        <f>E164-G164</f>
        <v>53</v>
      </c>
      <c r="G164" s="20">
        <v>616</v>
      </c>
      <c r="H164" s="20">
        <v>1</v>
      </c>
      <c r="I164" s="20">
        <v>0.9</v>
      </c>
      <c r="J164" s="20">
        <v>0.73</v>
      </c>
      <c r="K164" s="20">
        <f t="shared" ref="K164:K192" si="26">H164*I164*J164</f>
        <v>0.65700000000000003</v>
      </c>
      <c r="L164" s="20">
        <v>104</v>
      </c>
      <c r="M164" s="23">
        <f t="shared" ref="M164:M193" si="27">L164/D164</f>
        <v>3.4666666666666668</v>
      </c>
      <c r="N164" s="23">
        <f t="shared" ref="N164:N193" si="28">E164*M164</f>
        <v>2319.2000000000003</v>
      </c>
      <c r="O164" s="23">
        <f>M164*K164</f>
        <v>2.2776000000000001</v>
      </c>
      <c r="P164" s="147">
        <f>SUM(L164:L167)</f>
        <v>122</v>
      </c>
      <c r="Q164" s="91" t="s">
        <v>53</v>
      </c>
    </row>
    <row r="165" spans="1:17" s="17" customFormat="1" x14ac:dyDescent="0.2">
      <c r="A165" s="17">
        <v>9270</v>
      </c>
      <c r="B165" s="20" t="s">
        <v>15</v>
      </c>
      <c r="C165" s="20" t="s">
        <v>17</v>
      </c>
      <c r="D165" s="20">
        <v>30</v>
      </c>
      <c r="E165" s="20">
        <v>669</v>
      </c>
      <c r="F165" s="20">
        <f>E165-G165</f>
        <v>53</v>
      </c>
      <c r="G165" s="20">
        <v>616</v>
      </c>
      <c r="H165" s="20">
        <v>1</v>
      </c>
      <c r="I165" s="20">
        <v>0.9</v>
      </c>
      <c r="J165" s="20">
        <v>0.73</v>
      </c>
      <c r="K165" s="20">
        <f t="shared" si="26"/>
        <v>0.65700000000000003</v>
      </c>
      <c r="L165" s="20">
        <v>6</v>
      </c>
      <c r="M165" s="23">
        <f t="shared" si="27"/>
        <v>0.2</v>
      </c>
      <c r="N165" s="23">
        <f t="shared" si="28"/>
        <v>133.80000000000001</v>
      </c>
      <c r="O165" s="23">
        <f t="shared" ref="O165:O193" si="29">M165*K165</f>
        <v>0.13140000000000002</v>
      </c>
      <c r="P165" s="147"/>
      <c r="Q165" s="92"/>
    </row>
    <row r="166" spans="1:17" s="17" customFormat="1" x14ac:dyDescent="0.2">
      <c r="A166" s="17">
        <v>9270</v>
      </c>
      <c r="B166" s="20" t="s">
        <v>15</v>
      </c>
      <c r="C166" s="20" t="s">
        <v>18</v>
      </c>
      <c r="D166" s="20">
        <v>30</v>
      </c>
      <c r="E166" s="20">
        <v>669</v>
      </c>
      <c r="F166" s="20">
        <f>E166-G166</f>
        <v>53</v>
      </c>
      <c r="G166" s="20">
        <v>616</v>
      </c>
      <c r="H166" s="20">
        <v>1</v>
      </c>
      <c r="I166" s="20">
        <v>0.9</v>
      </c>
      <c r="J166" s="20">
        <v>0.73</v>
      </c>
      <c r="K166" s="20">
        <f t="shared" si="26"/>
        <v>0.65700000000000003</v>
      </c>
      <c r="L166" s="20">
        <v>6</v>
      </c>
      <c r="M166" s="23">
        <f t="shared" si="27"/>
        <v>0.2</v>
      </c>
      <c r="N166" s="23">
        <f t="shared" si="28"/>
        <v>133.80000000000001</v>
      </c>
      <c r="O166" s="23">
        <f t="shared" si="29"/>
        <v>0.13140000000000002</v>
      </c>
      <c r="P166" s="147"/>
      <c r="Q166" s="92"/>
    </row>
    <row r="167" spans="1:17" s="17" customFormat="1" x14ac:dyDescent="0.2">
      <c r="A167" s="17">
        <v>9270</v>
      </c>
      <c r="B167" s="20" t="s">
        <v>15</v>
      </c>
      <c r="C167" s="20" t="s">
        <v>19</v>
      </c>
      <c r="D167" s="20">
        <v>30</v>
      </c>
      <c r="E167" s="20">
        <v>669</v>
      </c>
      <c r="F167" s="20">
        <f>E167-G167</f>
        <v>53</v>
      </c>
      <c r="G167" s="20">
        <v>616</v>
      </c>
      <c r="H167" s="20">
        <v>1</v>
      </c>
      <c r="I167" s="20">
        <v>0.9</v>
      </c>
      <c r="J167" s="20">
        <v>0.73</v>
      </c>
      <c r="K167" s="20">
        <f t="shared" si="26"/>
        <v>0.65700000000000003</v>
      </c>
      <c r="L167" s="20">
        <v>6</v>
      </c>
      <c r="M167" s="23">
        <f t="shared" si="27"/>
        <v>0.2</v>
      </c>
      <c r="N167" s="23">
        <f t="shared" si="28"/>
        <v>133.80000000000001</v>
      </c>
      <c r="O167" s="23">
        <f t="shared" si="29"/>
        <v>0.13140000000000002</v>
      </c>
      <c r="P167" s="147"/>
      <c r="Q167" s="92"/>
    </row>
    <row r="168" spans="1:17" s="17" customFormat="1" x14ac:dyDescent="0.2">
      <c r="A168" s="17">
        <v>9278</v>
      </c>
      <c r="B168" s="20" t="s">
        <v>14</v>
      </c>
      <c r="C168" s="21" t="s">
        <v>20</v>
      </c>
      <c r="D168" s="20">
        <v>5000</v>
      </c>
      <c r="E168" s="20">
        <v>490</v>
      </c>
      <c r="F168" s="20">
        <v>40</v>
      </c>
      <c r="G168" s="20">
        <v>450</v>
      </c>
      <c r="H168" s="20">
        <v>1</v>
      </c>
      <c r="I168" s="20">
        <v>0.98</v>
      </c>
      <c r="J168" s="20">
        <v>0.83</v>
      </c>
      <c r="K168" s="22">
        <f t="shared" si="26"/>
        <v>0.8133999999999999</v>
      </c>
      <c r="L168" s="20">
        <f>P164</f>
        <v>122</v>
      </c>
      <c r="M168" s="23">
        <f t="shared" si="27"/>
        <v>2.4400000000000002E-2</v>
      </c>
      <c r="N168" s="23">
        <f t="shared" si="28"/>
        <v>11.956000000000001</v>
      </c>
      <c r="O168" s="23">
        <f t="shared" si="29"/>
        <v>1.984696E-2</v>
      </c>
      <c r="Q168" s="92"/>
    </row>
    <row r="169" spans="1:17" s="17" customFormat="1" x14ac:dyDescent="0.2">
      <c r="A169" s="17">
        <v>9278</v>
      </c>
      <c r="B169" s="20" t="s">
        <v>14</v>
      </c>
      <c r="C169" s="21" t="s">
        <v>21</v>
      </c>
      <c r="D169" s="20">
        <v>360</v>
      </c>
      <c r="E169" s="20">
        <v>390</v>
      </c>
      <c r="F169" s="20">
        <v>40</v>
      </c>
      <c r="G169" s="20">
        <v>350</v>
      </c>
      <c r="H169" s="20">
        <v>1.05</v>
      </c>
      <c r="I169" s="20">
        <v>0.95</v>
      </c>
      <c r="J169" s="20">
        <v>0.55000000000000004</v>
      </c>
      <c r="K169" s="22">
        <f t="shared" si="26"/>
        <v>0.54862500000000003</v>
      </c>
      <c r="L169" s="20">
        <f>P164</f>
        <v>122</v>
      </c>
      <c r="M169" s="23">
        <f t="shared" si="27"/>
        <v>0.33888888888888891</v>
      </c>
      <c r="N169" s="23">
        <f t="shared" si="28"/>
        <v>132.16666666666669</v>
      </c>
      <c r="O169" s="23">
        <f t="shared" si="29"/>
        <v>0.18592291666666669</v>
      </c>
      <c r="Q169" s="92"/>
    </row>
    <row r="170" spans="1:17" s="17" customFormat="1" x14ac:dyDescent="0.2">
      <c r="A170" s="17">
        <v>8952</v>
      </c>
      <c r="B170" s="20" t="s">
        <v>14</v>
      </c>
      <c r="C170" s="21" t="s">
        <v>22</v>
      </c>
      <c r="D170" s="26">
        <v>3000</v>
      </c>
      <c r="E170" s="27">
        <v>235</v>
      </c>
      <c r="F170" s="20">
        <v>35</v>
      </c>
      <c r="G170" s="27">
        <v>200</v>
      </c>
      <c r="H170" s="20">
        <v>1.1000000000000001</v>
      </c>
      <c r="I170" s="20">
        <v>1.1000000000000001</v>
      </c>
      <c r="J170" s="20">
        <v>1.02</v>
      </c>
      <c r="K170" s="22">
        <f t="shared" si="26"/>
        <v>1.2342000000000002</v>
      </c>
      <c r="L170" s="20">
        <f>P164*4</f>
        <v>488</v>
      </c>
      <c r="M170" s="23">
        <f t="shared" si="27"/>
        <v>0.16266666666666665</v>
      </c>
      <c r="N170" s="23">
        <f t="shared" si="28"/>
        <v>38.226666666666667</v>
      </c>
      <c r="O170" s="23">
        <f t="shared" si="29"/>
        <v>0.2007632</v>
      </c>
      <c r="Q170" s="92"/>
    </row>
    <row r="171" spans="1:17" s="17" customFormat="1" x14ac:dyDescent="0.2">
      <c r="A171" s="17">
        <v>9278</v>
      </c>
      <c r="B171" s="20" t="s">
        <v>14</v>
      </c>
      <c r="C171" s="21" t="s">
        <v>23</v>
      </c>
      <c r="D171" s="24">
        <v>1000</v>
      </c>
      <c r="E171" s="25">
        <v>646</v>
      </c>
      <c r="F171" s="25">
        <f>E171-G171</f>
        <v>40</v>
      </c>
      <c r="G171" s="25">
        <v>606</v>
      </c>
      <c r="H171" s="25">
        <v>1.1000000000000001</v>
      </c>
      <c r="I171" s="25">
        <v>0.8</v>
      </c>
      <c r="J171" s="25">
        <v>0.55000000000000004</v>
      </c>
      <c r="K171" s="23">
        <f t="shared" si="26"/>
        <v>0.4840000000000001</v>
      </c>
      <c r="L171" s="20">
        <f>P164*4</f>
        <v>488</v>
      </c>
      <c r="M171" s="23">
        <f t="shared" si="27"/>
        <v>0.48799999999999999</v>
      </c>
      <c r="N171" s="23">
        <f t="shared" si="28"/>
        <v>315.24799999999999</v>
      </c>
      <c r="O171" s="23">
        <f t="shared" si="29"/>
        <v>0.23619200000000004</v>
      </c>
      <c r="Q171" s="92"/>
    </row>
    <row r="172" spans="1:17" s="17" customFormat="1" x14ac:dyDescent="0.2">
      <c r="A172" s="17">
        <v>9286</v>
      </c>
      <c r="B172" s="20" t="s">
        <v>47</v>
      </c>
      <c r="C172" s="21" t="s">
        <v>24</v>
      </c>
      <c r="D172" s="26">
        <v>4000</v>
      </c>
      <c r="E172" s="27">
        <v>424</v>
      </c>
      <c r="F172" s="20">
        <f>E172-G172</f>
        <v>52</v>
      </c>
      <c r="G172" s="27">
        <v>372</v>
      </c>
      <c r="H172" s="20">
        <v>1.1000000000000001</v>
      </c>
      <c r="I172" s="20">
        <v>0.8</v>
      </c>
      <c r="J172" s="20">
        <v>0.55000000000000004</v>
      </c>
      <c r="K172" s="22">
        <f t="shared" si="26"/>
        <v>0.4840000000000001</v>
      </c>
      <c r="L172" s="20">
        <f>(P164+P175)*4</f>
        <v>884</v>
      </c>
      <c r="M172" s="23">
        <f t="shared" si="27"/>
        <v>0.221</v>
      </c>
      <c r="N172" s="23">
        <f t="shared" si="28"/>
        <v>93.704000000000008</v>
      </c>
      <c r="O172" s="23">
        <f t="shared" si="29"/>
        <v>0.10696400000000002</v>
      </c>
      <c r="Q172" s="92"/>
    </row>
    <row r="173" spans="1:17" s="17" customFormat="1" x14ac:dyDescent="0.2">
      <c r="A173" s="17">
        <v>9278</v>
      </c>
      <c r="B173" s="20" t="s">
        <v>14</v>
      </c>
      <c r="C173" s="21" t="s">
        <v>25</v>
      </c>
      <c r="D173" s="20">
        <v>1000</v>
      </c>
      <c r="E173" s="20">
        <v>830</v>
      </c>
      <c r="F173" s="20">
        <v>40</v>
      </c>
      <c r="G173" s="20">
        <v>790</v>
      </c>
      <c r="H173" s="20">
        <v>1.04</v>
      </c>
      <c r="I173" s="20">
        <v>0.84</v>
      </c>
      <c r="J173" s="20">
        <v>0.64</v>
      </c>
      <c r="K173" s="22">
        <f t="shared" si="26"/>
        <v>0.55910400000000005</v>
      </c>
      <c r="L173" s="20">
        <f>P164*2</f>
        <v>244</v>
      </c>
      <c r="M173" s="23">
        <f t="shared" si="27"/>
        <v>0.24399999999999999</v>
      </c>
      <c r="N173" s="23">
        <f t="shared" si="28"/>
        <v>202.51999999999998</v>
      </c>
      <c r="O173" s="23">
        <f t="shared" si="29"/>
        <v>0.13642137600000001</v>
      </c>
      <c r="Q173" s="92"/>
    </row>
    <row r="174" spans="1:17" s="17" customFormat="1" x14ac:dyDescent="0.2">
      <c r="A174" s="17">
        <v>9278</v>
      </c>
      <c r="B174" s="20" t="s">
        <v>14</v>
      </c>
      <c r="C174" s="21" t="s">
        <v>26</v>
      </c>
      <c r="D174" s="20">
        <v>4000</v>
      </c>
      <c r="E174" s="20">
        <v>223</v>
      </c>
      <c r="F174" s="20">
        <v>30</v>
      </c>
      <c r="G174" s="20">
        <v>188</v>
      </c>
      <c r="H174" s="20">
        <v>0.86</v>
      </c>
      <c r="I174" s="20">
        <v>0.78</v>
      </c>
      <c r="J174" s="20">
        <v>0.74</v>
      </c>
      <c r="K174" s="22">
        <f t="shared" si="26"/>
        <v>0.49639200000000006</v>
      </c>
      <c r="L174" s="20">
        <f>P164*2</f>
        <v>244</v>
      </c>
      <c r="M174" s="23">
        <f t="shared" si="27"/>
        <v>6.0999999999999999E-2</v>
      </c>
      <c r="N174" s="23">
        <f t="shared" si="28"/>
        <v>13.603</v>
      </c>
      <c r="O174" s="23">
        <f t="shared" si="29"/>
        <v>3.0279912000000003E-2</v>
      </c>
      <c r="Q174" s="92"/>
    </row>
    <row r="175" spans="1:17" s="17" customFormat="1" x14ac:dyDescent="0.2">
      <c r="A175" s="17">
        <v>9270</v>
      </c>
      <c r="B175" s="20" t="s">
        <v>15</v>
      </c>
      <c r="C175" s="21" t="s">
        <v>27</v>
      </c>
      <c r="D175" s="30">
        <v>12</v>
      </c>
      <c r="E175" s="30">
        <v>435</v>
      </c>
      <c r="F175" s="30">
        <v>39</v>
      </c>
      <c r="G175" s="30">
        <v>396</v>
      </c>
      <c r="H175" s="30">
        <v>0.86</v>
      </c>
      <c r="I175" s="30">
        <v>0.56000000000000005</v>
      </c>
      <c r="J175" s="30">
        <v>0.51</v>
      </c>
      <c r="K175" s="31">
        <f t="shared" si="26"/>
        <v>0.24561600000000003</v>
      </c>
      <c r="L175" s="20">
        <v>56</v>
      </c>
      <c r="M175" s="23">
        <f t="shared" si="27"/>
        <v>4.666666666666667</v>
      </c>
      <c r="N175" s="23">
        <f t="shared" si="28"/>
        <v>2030.0000000000002</v>
      </c>
      <c r="O175" s="23">
        <f t="shared" si="29"/>
        <v>1.1462080000000001</v>
      </c>
      <c r="P175" s="147">
        <f>SUM(L175:L179)</f>
        <v>99</v>
      </c>
      <c r="Q175" s="92"/>
    </row>
    <row r="176" spans="1:17" s="17" customFormat="1" x14ac:dyDescent="0.2">
      <c r="A176" s="17">
        <v>9270</v>
      </c>
      <c r="B176" s="20" t="s">
        <v>15</v>
      </c>
      <c r="C176" s="21" t="s">
        <v>28</v>
      </c>
      <c r="D176" s="30">
        <v>12</v>
      </c>
      <c r="E176" s="30">
        <v>520</v>
      </c>
      <c r="F176" s="30">
        <v>40</v>
      </c>
      <c r="G176" s="30">
        <v>480</v>
      </c>
      <c r="H176" s="30">
        <v>1.03</v>
      </c>
      <c r="I176" s="30">
        <v>0.56000000000000005</v>
      </c>
      <c r="J176" s="30">
        <v>0.51</v>
      </c>
      <c r="K176" s="31">
        <f t="shared" si="26"/>
        <v>0.29416800000000004</v>
      </c>
      <c r="L176" s="20">
        <v>18</v>
      </c>
      <c r="M176" s="23">
        <f t="shared" si="27"/>
        <v>1.5</v>
      </c>
      <c r="N176" s="23">
        <f t="shared" si="28"/>
        <v>780</v>
      </c>
      <c r="O176" s="23">
        <f t="shared" si="29"/>
        <v>0.44125200000000009</v>
      </c>
      <c r="P176" s="147"/>
      <c r="Q176" s="92"/>
    </row>
    <row r="177" spans="1:17" s="17" customFormat="1" x14ac:dyDescent="0.2">
      <c r="A177" s="17">
        <v>9270</v>
      </c>
      <c r="B177" s="20" t="s">
        <v>15</v>
      </c>
      <c r="C177" s="21" t="s">
        <v>29</v>
      </c>
      <c r="D177" s="30">
        <v>12</v>
      </c>
      <c r="E177" s="30">
        <v>596</v>
      </c>
      <c r="F177" s="30">
        <v>44</v>
      </c>
      <c r="G177" s="30">
        <v>552</v>
      </c>
      <c r="H177" s="30">
        <v>1.17</v>
      </c>
      <c r="I177" s="30">
        <v>0.56000000000000005</v>
      </c>
      <c r="J177" s="30">
        <v>0.51</v>
      </c>
      <c r="K177" s="31">
        <f t="shared" si="26"/>
        <v>0.334152</v>
      </c>
      <c r="L177" s="20">
        <v>18</v>
      </c>
      <c r="M177" s="23">
        <f t="shared" si="27"/>
        <v>1.5</v>
      </c>
      <c r="N177" s="23">
        <f t="shared" si="28"/>
        <v>894</v>
      </c>
      <c r="O177" s="23">
        <f t="shared" si="29"/>
        <v>0.50122800000000001</v>
      </c>
      <c r="P177" s="147"/>
      <c r="Q177" s="92"/>
    </row>
    <row r="178" spans="1:17" s="17" customFormat="1" x14ac:dyDescent="0.2">
      <c r="A178" s="17">
        <v>9270</v>
      </c>
      <c r="B178" s="20" t="s">
        <v>15</v>
      </c>
      <c r="C178" s="21" t="s">
        <v>30</v>
      </c>
      <c r="D178" s="32">
        <v>12</v>
      </c>
      <c r="E178" s="30">
        <v>654</v>
      </c>
      <c r="F178" s="30">
        <v>42</v>
      </c>
      <c r="G178" s="30">
        <v>612</v>
      </c>
      <c r="H178" s="30">
        <v>1.2749999999999999</v>
      </c>
      <c r="I178" s="30">
        <v>0.56000000000000005</v>
      </c>
      <c r="J178" s="30">
        <v>0.51</v>
      </c>
      <c r="K178" s="31">
        <f t="shared" si="26"/>
        <v>0.36413999999999996</v>
      </c>
      <c r="L178" s="20">
        <v>7</v>
      </c>
      <c r="M178" s="23">
        <f t="shared" si="27"/>
        <v>0.58333333333333337</v>
      </c>
      <c r="N178" s="23">
        <f t="shared" si="28"/>
        <v>381.5</v>
      </c>
      <c r="O178" s="23">
        <f t="shared" si="29"/>
        <v>0.21241499999999999</v>
      </c>
      <c r="P178" s="147"/>
      <c r="Q178" s="92"/>
    </row>
    <row r="179" spans="1:17" s="17" customFormat="1" x14ac:dyDescent="0.2">
      <c r="A179" s="17">
        <v>9270</v>
      </c>
      <c r="B179" s="20" t="s">
        <v>15</v>
      </c>
      <c r="C179" s="21" t="s">
        <v>31</v>
      </c>
      <c r="D179" s="32">
        <v>6</v>
      </c>
      <c r="E179" s="30">
        <v>410</v>
      </c>
      <c r="F179" s="30">
        <v>50</v>
      </c>
      <c r="G179" s="30">
        <v>360</v>
      </c>
      <c r="H179" s="30">
        <v>1.48</v>
      </c>
      <c r="I179" s="30">
        <v>0.56000000000000005</v>
      </c>
      <c r="J179" s="30">
        <v>0.37</v>
      </c>
      <c r="K179" s="31">
        <f t="shared" si="26"/>
        <v>0.30665600000000004</v>
      </c>
      <c r="L179" s="20">
        <v>0</v>
      </c>
      <c r="M179" s="23">
        <f t="shared" si="27"/>
        <v>0</v>
      </c>
      <c r="N179" s="23">
        <f t="shared" si="28"/>
        <v>0</v>
      </c>
      <c r="O179" s="23">
        <f t="shared" si="29"/>
        <v>0</v>
      </c>
      <c r="P179" s="147"/>
      <c r="Q179" s="92"/>
    </row>
    <row r="180" spans="1:17" s="17" customFormat="1" x14ac:dyDescent="0.2">
      <c r="A180" s="17">
        <v>9278</v>
      </c>
      <c r="B180" s="20" t="s">
        <v>14</v>
      </c>
      <c r="C180" s="21" t="s">
        <v>32</v>
      </c>
      <c r="D180" s="27">
        <v>1000</v>
      </c>
      <c r="E180" s="27">
        <f t="shared" ref="E180:E189" si="30">G180+F180</f>
        <v>395</v>
      </c>
      <c r="F180" s="27">
        <v>40</v>
      </c>
      <c r="G180" s="27">
        <v>355</v>
      </c>
      <c r="H180" s="27">
        <v>1.05</v>
      </c>
      <c r="I180" s="27">
        <v>0.9</v>
      </c>
      <c r="J180" s="27">
        <v>0.55000000000000004</v>
      </c>
      <c r="K180" s="23">
        <f t="shared" si="26"/>
        <v>0.51975000000000005</v>
      </c>
      <c r="L180" s="20">
        <f>L175</f>
        <v>56</v>
      </c>
      <c r="M180" s="23">
        <f t="shared" si="27"/>
        <v>5.6000000000000001E-2</v>
      </c>
      <c r="N180" s="23">
        <f t="shared" si="28"/>
        <v>22.12</v>
      </c>
      <c r="O180" s="23">
        <f t="shared" si="29"/>
        <v>2.9106000000000003E-2</v>
      </c>
      <c r="Q180" s="92"/>
    </row>
    <row r="181" spans="1:17" s="17" customFormat="1" x14ac:dyDescent="0.2">
      <c r="A181" s="17">
        <v>9278</v>
      </c>
      <c r="B181" s="20" t="s">
        <v>14</v>
      </c>
      <c r="C181" s="21" t="s">
        <v>33</v>
      </c>
      <c r="D181" s="27">
        <v>450</v>
      </c>
      <c r="E181" s="27">
        <f t="shared" si="30"/>
        <v>360</v>
      </c>
      <c r="F181" s="27">
        <v>40</v>
      </c>
      <c r="G181" s="27">
        <v>320</v>
      </c>
      <c r="H181" s="20">
        <v>1.1000000000000001</v>
      </c>
      <c r="I181" s="27">
        <v>0.9</v>
      </c>
      <c r="J181" s="20">
        <v>0.75</v>
      </c>
      <c r="K181" s="22">
        <f t="shared" si="26"/>
        <v>0.74250000000000005</v>
      </c>
      <c r="L181" s="20">
        <f>L175</f>
        <v>56</v>
      </c>
      <c r="M181" s="23">
        <f t="shared" si="27"/>
        <v>0.12444444444444444</v>
      </c>
      <c r="N181" s="23">
        <f t="shared" si="28"/>
        <v>44.8</v>
      </c>
      <c r="O181" s="23">
        <f t="shared" si="29"/>
        <v>9.240000000000001E-2</v>
      </c>
      <c r="Q181" s="92"/>
    </row>
    <row r="182" spans="1:17" s="17" customFormat="1" x14ac:dyDescent="0.2">
      <c r="A182" s="17">
        <v>9278</v>
      </c>
      <c r="B182" s="20" t="s">
        <v>14</v>
      </c>
      <c r="C182" s="21" t="s">
        <v>34</v>
      </c>
      <c r="D182" s="27">
        <v>1000</v>
      </c>
      <c r="E182" s="27">
        <f t="shared" si="30"/>
        <v>492</v>
      </c>
      <c r="F182" s="27">
        <v>40</v>
      </c>
      <c r="G182" s="27">
        <v>452</v>
      </c>
      <c r="H182" s="27">
        <v>1.1000000000000001</v>
      </c>
      <c r="I182" s="27">
        <v>1.05</v>
      </c>
      <c r="J182" s="27">
        <v>0.55000000000000004</v>
      </c>
      <c r="K182" s="23">
        <f t="shared" si="26"/>
        <v>0.6352500000000002</v>
      </c>
      <c r="L182" s="20">
        <f>L176</f>
        <v>18</v>
      </c>
      <c r="M182" s="23">
        <f t="shared" si="27"/>
        <v>1.7999999999999999E-2</v>
      </c>
      <c r="N182" s="23">
        <f t="shared" si="28"/>
        <v>8.8559999999999999</v>
      </c>
      <c r="O182" s="23">
        <f t="shared" si="29"/>
        <v>1.1434500000000002E-2</v>
      </c>
      <c r="Q182" s="92"/>
    </row>
    <row r="183" spans="1:17" s="17" customFormat="1" x14ac:dyDescent="0.2">
      <c r="A183" s="17">
        <v>9278</v>
      </c>
      <c r="B183" s="20" t="s">
        <v>14</v>
      </c>
      <c r="C183" s="21" t="s">
        <v>35</v>
      </c>
      <c r="D183" s="27">
        <v>450</v>
      </c>
      <c r="E183" s="27">
        <f t="shared" si="30"/>
        <v>421.5</v>
      </c>
      <c r="F183" s="27">
        <v>40</v>
      </c>
      <c r="G183" s="27">
        <v>381.5</v>
      </c>
      <c r="H183" s="27">
        <v>1.05</v>
      </c>
      <c r="I183" s="27">
        <v>1.05</v>
      </c>
      <c r="J183" s="20">
        <v>0.75</v>
      </c>
      <c r="K183" s="22">
        <f t="shared" si="26"/>
        <v>0.82687500000000003</v>
      </c>
      <c r="L183" s="20">
        <f>L176</f>
        <v>18</v>
      </c>
      <c r="M183" s="23">
        <f t="shared" si="27"/>
        <v>0.04</v>
      </c>
      <c r="N183" s="23">
        <f t="shared" si="28"/>
        <v>16.86</v>
      </c>
      <c r="O183" s="23">
        <f t="shared" si="29"/>
        <v>3.3075E-2</v>
      </c>
      <c r="Q183" s="92"/>
    </row>
    <row r="184" spans="1:17" s="17" customFormat="1" x14ac:dyDescent="0.2">
      <c r="A184" s="17">
        <v>9278</v>
      </c>
      <c r="B184" s="20" t="s">
        <v>14</v>
      </c>
      <c r="C184" s="21" t="s">
        <v>36</v>
      </c>
      <c r="D184" s="27">
        <v>1000</v>
      </c>
      <c r="E184" s="27">
        <f t="shared" si="30"/>
        <v>574</v>
      </c>
      <c r="F184" s="27">
        <v>40</v>
      </c>
      <c r="G184" s="27">
        <v>534</v>
      </c>
      <c r="H184" s="27">
        <v>1.1000000000000001</v>
      </c>
      <c r="I184" s="27">
        <v>1.2</v>
      </c>
      <c r="J184" s="27">
        <v>0.55000000000000004</v>
      </c>
      <c r="K184" s="23">
        <f t="shared" si="26"/>
        <v>0.72600000000000009</v>
      </c>
      <c r="L184" s="20">
        <f>L177</f>
        <v>18</v>
      </c>
      <c r="M184" s="23">
        <f t="shared" si="27"/>
        <v>1.7999999999999999E-2</v>
      </c>
      <c r="N184" s="23">
        <f t="shared" si="28"/>
        <v>10.331999999999999</v>
      </c>
      <c r="O184" s="23">
        <f t="shared" si="29"/>
        <v>1.3068000000000001E-2</v>
      </c>
      <c r="Q184" s="92"/>
    </row>
    <row r="185" spans="1:17" s="17" customFormat="1" x14ac:dyDescent="0.2">
      <c r="A185" s="17">
        <v>9278</v>
      </c>
      <c r="B185" s="20" t="s">
        <v>14</v>
      </c>
      <c r="C185" s="21" t="s">
        <v>37</v>
      </c>
      <c r="D185" s="27">
        <v>450</v>
      </c>
      <c r="E185" s="27">
        <f t="shared" si="30"/>
        <v>475</v>
      </c>
      <c r="F185" s="27">
        <v>40</v>
      </c>
      <c r="G185" s="27">
        <v>435</v>
      </c>
      <c r="H185" s="27">
        <v>1.05</v>
      </c>
      <c r="I185" s="27">
        <v>1.2</v>
      </c>
      <c r="J185" s="20">
        <v>0.75</v>
      </c>
      <c r="K185" s="23">
        <f t="shared" si="26"/>
        <v>0.94500000000000006</v>
      </c>
      <c r="L185" s="20">
        <f>L177</f>
        <v>18</v>
      </c>
      <c r="M185" s="23">
        <f t="shared" si="27"/>
        <v>0.04</v>
      </c>
      <c r="N185" s="23">
        <f t="shared" si="28"/>
        <v>19</v>
      </c>
      <c r="O185" s="23">
        <f t="shared" si="29"/>
        <v>3.78E-2</v>
      </c>
      <c r="Q185" s="92"/>
    </row>
    <row r="186" spans="1:17" s="17" customFormat="1" x14ac:dyDescent="0.2">
      <c r="A186" s="17">
        <v>9278</v>
      </c>
      <c r="B186" s="20" t="s">
        <v>14</v>
      </c>
      <c r="C186" s="21" t="s">
        <v>38</v>
      </c>
      <c r="D186" s="27">
        <v>1000</v>
      </c>
      <c r="E186" s="27">
        <f t="shared" si="30"/>
        <v>645</v>
      </c>
      <c r="F186" s="27">
        <v>40</v>
      </c>
      <c r="G186" s="27">
        <v>605</v>
      </c>
      <c r="H186" s="27">
        <v>1.1000000000000001</v>
      </c>
      <c r="I186" s="27">
        <v>1.3</v>
      </c>
      <c r="J186" s="27">
        <v>0.55000000000000004</v>
      </c>
      <c r="K186" s="23">
        <f t="shared" si="26"/>
        <v>0.7865000000000002</v>
      </c>
      <c r="L186" s="20">
        <f>L178</f>
        <v>7</v>
      </c>
      <c r="M186" s="23">
        <f t="shared" si="27"/>
        <v>7.0000000000000001E-3</v>
      </c>
      <c r="N186" s="23">
        <f t="shared" si="28"/>
        <v>4.5149999999999997</v>
      </c>
      <c r="O186" s="23">
        <f t="shared" si="29"/>
        <v>5.5055000000000017E-3</v>
      </c>
      <c r="Q186" s="92"/>
    </row>
    <row r="187" spans="1:17" s="17" customFormat="1" x14ac:dyDescent="0.2">
      <c r="A187" s="17">
        <v>9278</v>
      </c>
      <c r="B187" s="20" t="s">
        <v>14</v>
      </c>
      <c r="C187" s="21" t="s">
        <v>39</v>
      </c>
      <c r="D187" s="27">
        <v>450</v>
      </c>
      <c r="E187" s="27">
        <f t="shared" si="30"/>
        <v>515</v>
      </c>
      <c r="F187" s="27">
        <v>40</v>
      </c>
      <c r="G187" s="27">
        <v>475</v>
      </c>
      <c r="H187" s="27">
        <v>1.05</v>
      </c>
      <c r="I187" s="27">
        <v>1.3</v>
      </c>
      <c r="J187" s="20">
        <v>0.75</v>
      </c>
      <c r="K187" s="23">
        <f t="shared" si="26"/>
        <v>1.0237500000000002</v>
      </c>
      <c r="L187" s="20">
        <f>L178</f>
        <v>7</v>
      </c>
      <c r="M187" s="23">
        <f t="shared" si="27"/>
        <v>1.5555555555555555E-2</v>
      </c>
      <c r="N187" s="23">
        <f t="shared" si="28"/>
        <v>8.0111111111111111</v>
      </c>
      <c r="O187" s="23">
        <f t="shared" si="29"/>
        <v>1.5925000000000002E-2</v>
      </c>
      <c r="Q187" s="92"/>
    </row>
    <row r="188" spans="1:17" s="17" customFormat="1" x14ac:dyDescent="0.2">
      <c r="A188" s="17">
        <v>9278</v>
      </c>
      <c r="B188" s="20" t="s">
        <v>14</v>
      </c>
      <c r="C188" s="21" t="s">
        <v>40</v>
      </c>
      <c r="D188" s="27">
        <v>1000</v>
      </c>
      <c r="E188" s="27">
        <f t="shared" si="30"/>
        <v>645</v>
      </c>
      <c r="F188" s="27">
        <v>40</v>
      </c>
      <c r="G188" s="27">
        <v>605</v>
      </c>
      <c r="H188" s="27">
        <v>1.1000000000000001</v>
      </c>
      <c r="I188" s="27">
        <v>1.3</v>
      </c>
      <c r="J188" s="27">
        <v>0.55000000000000004</v>
      </c>
      <c r="K188" s="23">
        <f t="shared" si="26"/>
        <v>0.7865000000000002</v>
      </c>
      <c r="L188" s="20">
        <f>L179</f>
        <v>0</v>
      </c>
      <c r="M188" s="23">
        <f t="shared" si="27"/>
        <v>0</v>
      </c>
      <c r="N188" s="23">
        <f t="shared" si="28"/>
        <v>0</v>
      </c>
      <c r="O188" s="23">
        <f t="shared" si="29"/>
        <v>0</v>
      </c>
      <c r="Q188" s="92"/>
    </row>
    <row r="189" spans="1:17" s="17" customFormat="1" x14ac:dyDescent="0.2">
      <c r="A189" s="17">
        <v>9278</v>
      </c>
      <c r="B189" s="20" t="s">
        <v>14</v>
      </c>
      <c r="C189" s="21" t="s">
        <v>41</v>
      </c>
      <c r="D189" s="27">
        <v>450</v>
      </c>
      <c r="E189" s="27">
        <f t="shared" si="30"/>
        <v>515</v>
      </c>
      <c r="F189" s="27">
        <v>40</v>
      </c>
      <c r="G189" s="27">
        <v>475</v>
      </c>
      <c r="H189" s="27">
        <v>1.05</v>
      </c>
      <c r="I189" s="27">
        <v>1.3</v>
      </c>
      <c r="J189" s="20">
        <v>0.75</v>
      </c>
      <c r="K189" s="23">
        <f t="shared" si="26"/>
        <v>1.0237500000000002</v>
      </c>
      <c r="L189" s="20">
        <f>L179</f>
        <v>0</v>
      </c>
      <c r="M189" s="23">
        <f t="shared" si="27"/>
        <v>0</v>
      </c>
      <c r="N189" s="23">
        <f t="shared" si="28"/>
        <v>0</v>
      </c>
      <c r="O189" s="23">
        <f t="shared" si="29"/>
        <v>0</v>
      </c>
      <c r="Q189" s="92"/>
    </row>
    <row r="190" spans="1:17" s="17" customFormat="1" x14ac:dyDescent="0.2">
      <c r="A190" s="17">
        <v>8952</v>
      </c>
      <c r="B190" s="20" t="s">
        <v>14</v>
      </c>
      <c r="C190" s="21" t="s">
        <v>22</v>
      </c>
      <c r="D190" s="26">
        <v>3000</v>
      </c>
      <c r="E190" s="27">
        <v>235</v>
      </c>
      <c r="F190" s="20">
        <v>35</v>
      </c>
      <c r="G190" s="27">
        <v>200</v>
      </c>
      <c r="H190" s="20">
        <v>1.1000000000000001</v>
      </c>
      <c r="I190" s="20">
        <v>1.1000000000000001</v>
      </c>
      <c r="J190" s="20">
        <v>1.02</v>
      </c>
      <c r="K190" s="22">
        <f t="shared" si="26"/>
        <v>1.2342000000000002</v>
      </c>
      <c r="L190" s="20">
        <f>P175*4</f>
        <v>396</v>
      </c>
      <c r="M190" s="23">
        <f t="shared" si="27"/>
        <v>0.13200000000000001</v>
      </c>
      <c r="N190" s="23">
        <f t="shared" si="28"/>
        <v>31.020000000000003</v>
      </c>
      <c r="O190" s="23">
        <f t="shared" si="29"/>
        <v>0.16291440000000004</v>
      </c>
      <c r="Q190" s="92"/>
    </row>
    <row r="191" spans="1:17" s="17" customFormat="1" x14ac:dyDescent="0.2">
      <c r="A191" s="17">
        <v>9278</v>
      </c>
      <c r="B191" s="20" t="s">
        <v>14</v>
      </c>
      <c r="C191" s="21" t="s">
        <v>23</v>
      </c>
      <c r="D191" s="24">
        <v>1000</v>
      </c>
      <c r="E191" s="25">
        <v>646</v>
      </c>
      <c r="F191" s="25">
        <f>E191-G191</f>
        <v>40</v>
      </c>
      <c r="G191" s="25">
        <v>606</v>
      </c>
      <c r="H191" s="25">
        <v>1.1000000000000001</v>
      </c>
      <c r="I191" s="25">
        <v>0.8</v>
      </c>
      <c r="J191" s="25">
        <v>0.55000000000000004</v>
      </c>
      <c r="K191" s="23">
        <f t="shared" si="26"/>
        <v>0.4840000000000001</v>
      </c>
      <c r="L191" s="20">
        <f>P175*4</f>
        <v>396</v>
      </c>
      <c r="M191" s="23">
        <f t="shared" si="27"/>
        <v>0.39600000000000002</v>
      </c>
      <c r="N191" s="23">
        <f t="shared" si="28"/>
        <v>255.816</v>
      </c>
      <c r="O191" s="23">
        <f t="shared" si="29"/>
        <v>0.19166400000000006</v>
      </c>
      <c r="Q191" s="92"/>
    </row>
    <row r="192" spans="1:17" s="17" customFormat="1" x14ac:dyDescent="0.2">
      <c r="A192" s="17">
        <v>9278</v>
      </c>
      <c r="B192" s="20" t="s">
        <v>14</v>
      </c>
      <c r="C192" s="21" t="s">
        <v>46</v>
      </c>
      <c r="D192" s="26">
        <v>4000</v>
      </c>
      <c r="E192" s="27">
        <v>424</v>
      </c>
      <c r="F192" s="20">
        <f>E192-G192</f>
        <v>52</v>
      </c>
      <c r="G192" s="27">
        <v>372</v>
      </c>
      <c r="H192" s="20">
        <v>1.1000000000000001</v>
      </c>
      <c r="I192" s="20">
        <v>0.8</v>
      </c>
      <c r="J192" s="20">
        <v>0.55000000000000004</v>
      </c>
      <c r="K192" s="22">
        <f t="shared" si="26"/>
        <v>0.4840000000000001</v>
      </c>
      <c r="L192" s="20">
        <f>P175*4</f>
        <v>396</v>
      </c>
      <c r="M192" s="23">
        <f t="shared" si="27"/>
        <v>9.9000000000000005E-2</v>
      </c>
      <c r="N192" s="23">
        <f t="shared" si="28"/>
        <v>41.975999999999999</v>
      </c>
      <c r="O192" s="23">
        <f t="shared" si="29"/>
        <v>4.7916000000000014E-2</v>
      </c>
      <c r="Q192" s="92"/>
    </row>
    <row r="193" spans="1:17" s="17" customFormat="1" ht="15" x14ac:dyDescent="0.2">
      <c r="A193" s="17">
        <v>9278</v>
      </c>
      <c r="B193" s="20" t="s">
        <v>14</v>
      </c>
      <c r="C193" s="21" t="s">
        <v>42</v>
      </c>
      <c r="D193" s="28">
        <v>1200</v>
      </c>
      <c r="E193" s="148">
        <v>666.4</v>
      </c>
      <c r="F193" s="148">
        <v>40</v>
      </c>
      <c r="G193" s="29">
        <v>588</v>
      </c>
      <c r="H193" s="150">
        <v>1</v>
      </c>
      <c r="I193" s="150">
        <v>0.75</v>
      </c>
      <c r="J193" s="150">
        <v>0.7</v>
      </c>
      <c r="K193" s="152">
        <v>0.5</v>
      </c>
      <c r="L193" s="20">
        <f>P175*4</f>
        <v>396</v>
      </c>
      <c r="M193" s="154">
        <f t="shared" si="27"/>
        <v>0.33</v>
      </c>
      <c r="N193" s="154">
        <f t="shared" si="28"/>
        <v>219.91200000000001</v>
      </c>
      <c r="O193" s="156">
        <f t="shared" si="29"/>
        <v>0.16500000000000001</v>
      </c>
      <c r="Q193" s="92"/>
    </row>
    <row r="194" spans="1:17" s="17" customFormat="1" ht="15.75" thickBot="1" x14ac:dyDescent="0.25">
      <c r="A194" s="17">
        <v>9278</v>
      </c>
      <c r="B194" s="20" t="s">
        <v>14</v>
      </c>
      <c r="C194" s="21" t="s">
        <v>43</v>
      </c>
      <c r="D194" s="28">
        <v>1200</v>
      </c>
      <c r="E194" s="149"/>
      <c r="F194" s="149"/>
      <c r="G194" s="29">
        <v>38.4</v>
      </c>
      <c r="H194" s="151"/>
      <c r="I194" s="151"/>
      <c r="J194" s="151"/>
      <c r="K194" s="153"/>
      <c r="L194" s="20">
        <f>P175*4</f>
        <v>396</v>
      </c>
      <c r="M194" s="155"/>
      <c r="N194" s="155"/>
      <c r="O194" s="157"/>
      <c r="Q194" s="93"/>
    </row>
    <row r="195" spans="1:17" s="60" customFormat="1" x14ac:dyDescent="0.2">
      <c r="A195" s="60">
        <v>9270</v>
      </c>
      <c r="B195" s="61" t="s">
        <v>15</v>
      </c>
      <c r="C195" s="61" t="s">
        <v>16</v>
      </c>
      <c r="D195" s="61">
        <v>30</v>
      </c>
      <c r="E195" s="61">
        <v>669</v>
      </c>
      <c r="F195" s="61">
        <f>E195-G195</f>
        <v>53</v>
      </c>
      <c r="G195" s="61">
        <v>616</v>
      </c>
      <c r="H195" s="61">
        <v>1</v>
      </c>
      <c r="I195" s="61">
        <v>0.9</v>
      </c>
      <c r="J195" s="61">
        <v>0.73</v>
      </c>
      <c r="K195" s="61">
        <f t="shared" ref="K195:K223" si="31">H195*I195*J195</f>
        <v>0.65700000000000003</v>
      </c>
      <c r="L195" s="61">
        <v>102</v>
      </c>
      <c r="M195" s="62">
        <f t="shared" ref="M195:M224" si="32">L195/D195</f>
        <v>3.4</v>
      </c>
      <c r="N195" s="62">
        <f t="shared" ref="N195:N224" si="33">E195*M195</f>
        <v>2274.6</v>
      </c>
      <c r="O195" s="62">
        <f>M195*K195</f>
        <v>2.2338</v>
      </c>
      <c r="P195" s="136">
        <f>SUM(L195:L198)</f>
        <v>120</v>
      </c>
      <c r="Q195" s="94" t="s">
        <v>54</v>
      </c>
    </row>
    <row r="196" spans="1:17" s="60" customFormat="1" x14ac:dyDescent="0.2">
      <c r="A196" s="60">
        <v>9270</v>
      </c>
      <c r="B196" s="61" t="s">
        <v>15</v>
      </c>
      <c r="C196" s="61" t="s">
        <v>17</v>
      </c>
      <c r="D196" s="61">
        <v>30</v>
      </c>
      <c r="E196" s="61">
        <v>669</v>
      </c>
      <c r="F196" s="61">
        <f>E196-G196</f>
        <v>53</v>
      </c>
      <c r="G196" s="61">
        <v>616</v>
      </c>
      <c r="H196" s="61">
        <v>1</v>
      </c>
      <c r="I196" s="61">
        <v>0.9</v>
      </c>
      <c r="J196" s="61">
        <v>0.73</v>
      </c>
      <c r="K196" s="61">
        <f t="shared" si="31"/>
        <v>0.65700000000000003</v>
      </c>
      <c r="L196" s="61">
        <v>6</v>
      </c>
      <c r="M196" s="62">
        <f t="shared" si="32"/>
        <v>0.2</v>
      </c>
      <c r="N196" s="62">
        <f t="shared" si="33"/>
        <v>133.80000000000001</v>
      </c>
      <c r="O196" s="62">
        <f t="shared" ref="O196:O224" si="34">M196*K196</f>
        <v>0.13140000000000002</v>
      </c>
      <c r="P196" s="136"/>
      <c r="Q196" s="95"/>
    </row>
    <row r="197" spans="1:17" s="60" customFormat="1" x14ac:dyDescent="0.2">
      <c r="A197" s="60">
        <v>9270</v>
      </c>
      <c r="B197" s="61" t="s">
        <v>15</v>
      </c>
      <c r="C197" s="61" t="s">
        <v>18</v>
      </c>
      <c r="D197" s="61">
        <v>30</v>
      </c>
      <c r="E197" s="61">
        <v>669</v>
      </c>
      <c r="F197" s="61">
        <f>E197-G197</f>
        <v>53</v>
      </c>
      <c r="G197" s="61">
        <v>616</v>
      </c>
      <c r="H197" s="61">
        <v>1</v>
      </c>
      <c r="I197" s="61">
        <v>0.9</v>
      </c>
      <c r="J197" s="61">
        <v>0.73</v>
      </c>
      <c r="K197" s="61">
        <f t="shared" si="31"/>
        <v>0.65700000000000003</v>
      </c>
      <c r="L197" s="61">
        <v>6</v>
      </c>
      <c r="M197" s="62">
        <f t="shared" si="32"/>
        <v>0.2</v>
      </c>
      <c r="N197" s="62">
        <f t="shared" si="33"/>
        <v>133.80000000000001</v>
      </c>
      <c r="O197" s="62">
        <f t="shared" si="34"/>
        <v>0.13140000000000002</v>
      </c>
      <c r="P197" s="136"/>
      <c r="Q197" s="95"/>
    </row>
    <row r="198" spans="1:17" s="60" customFormat="1" x14ac:dyDescent="0.2">
      <c r="A198" s="60">
        <v>9270</v>
      </c>
      <c r="B198" s="61" t="s">
        <v>15</v>
      </c>
      <c r="C198" s="61" t="s">
        <v>19</v>
      </c>
      <c r="D198" s="61">
        <v>30</v>
      </c>
      <c r="E198" s="61">
        <v>669</v>
      </c>
      <c r="F198" s="61">
        <f>E198-G198</f>
        <v>53</v>
      </c>
      <c r="G198" s="61">
        <v>616</v>
      </c>
      <c r="H198" s="61">
        <v>1</v>
      </c>
      <c r="I198" s="61">
        <v>0.9</v>
      </c>
      <c r="J198" s="61">
        <v>0.73</v>
      </c>
      <c r="K198" s="61">
        <f t="shared" si="31"/>
        <v>0.65700000000000003</v>
      </c>
      <c r="L198" s="61">
        <v>6</v>
      </c>
      <c r="M198" s="62">
        <f t="shared" si="32"/>
        <v>0.2</v>
      </c>
      <c r="N198" s="62">
        <f t="shared" si="33"/>
        <v>133.80000000000001</v>
      </c>
      <c r="O198" s="62">
        <f t="shared" si="34"/>
        <v>0.13140000000000002</v>
      </c>
      <c r="P198" s="136"/>
      <c r="Q198" s="95"/>
    </row>
    <row r="199" spans="1:17" s="60" customFormat="1" x14ac:dyDescent="0.2">
      <c r="A199" s="60">
        <v>9278</v>
      </c>
      <c r="B199" s="61" t="s">
        <v>14</v>
      </c>
      <c r="C199" s="63" t="s">
        <v>20</v>
      </c>
      <c r="D199" s="61">
        <v>5000</v>
      </c>
      <c r="E199" s="61">
        <v>490</v>
      </c>
      <c r="F199" s="61">
        <v>40</v>
      </c>
      <c r="G199" s="61">
        <v>450</v>
      </c>
      <c r="H199" s="61">
        <v>1</v>
      </c>
      <c r="I199" s="61">
        <v>0.98</v>
      </c>
      <c r="J199" s="61">
        <v>0.83</v>
      </c>
      <c r="K199" s="64">
        <f t="shared" si="31"/>
        <v>0.8133999999999999</v>
      </c>
      <c r="L199" s="61">
        <f>P195</f>
        <v>120</v>
      </c>
      <c r="M199" s="62">
        <f t="shared" si="32"/>
        <v>2.4E-2</v>
      </c>
      <c r="N199" s="62">
        <f t="shared" si="33"/>
        <v>11.76</v>
      </c>
      <c r="O199" s="62">
        <f t="shared" si="34"/>
        <v>1.9521599999999997E-2</v>
      </c>
      <c r="Q199" s="95"/>
    </row>
    <row r="200" spans="1:17" s="60" customFormat="1" x14ac:dyDescent="0.2">
      <c r="A200" s="60">
        <v>9278</v>
      </c>
      <c r="B200" s="61" t="s">
        <v>14</v>
      </c>
      <c r="C200" s="63" t="s">
        <v>21</v>
      </c>
      <c r="D200" s="61">
        <v>360</v>
      </c>
      <c r="E200" s="61">
        <v>390</v>
      </c>
      <c r="F200" s="61">
        <v>40</v>
      </c>
      <c r="G200" s="61">
        <v>350</v>
      </c>
      <c r="H200" s="61">
        <v>1.05</v>
      </c>
      <c r="I200" s="61">
        <v>0.95</v>
      </c>
      <c r="J200" s="61">
        <v>0.55000000000000004</v>
      </c>
      <c r="K200" s="64">
        <f t="shared" si="31"/>
        <v>0.54862500000000003</v>
      </c>
      <c r="L200" s="61">
        <f>P195</f>
        <v>120</v>
      </c>
      <c r="M200" s="62">
        <f t="shared" si="32"/>
        <v>0.33333333333333331</v>
      </c>
      <c r="N200" s="62">
        <f t="shared" si="33"/>
        <v>130</v>
      </c>
      <c r="O200" s="62">
        <f t="shared" si="34"/>
        <v>0.18287500000000001</v>
      </c>
      <c r="Q200" s="95"/>
    </row>
    <row r="201" spans="1:17" s="60" customFormat="1" x14ac:dyDescent="0.2">
      <c r="A201" s="60">
        <v>8952</v>
      </c>
      <c r="B201" s="61" t="s">
        <v>14</v>
      </c>
      <c r="C201" s="63" t="s">
        <v>22</v>
      </c>
      <c r="D201" s="65">
        <v>3000</v>
      </c>
      <c r="E201" s="66">
        <v>235</v>
      </c>
      <c r="F201" s="61">
        <v>35</v>
      </c>
      <c r="G201" s="66">
        <v>200</v>
      </c>
      <c r="H201" s="61">
        <v>1.1000000000000001</v>
      </c>
      <c r="I201" s="61">
        <v>1.1000000000000001</v>
      </c>
      <c r="J201" s="61">
        <v>1.02</v>
      </c>
      <c r="K201" s="64">
        <f t="shared" si="31"/>
        <v>1.2342000000000002</v>
      </c>
      <c r="L201" s="61">
        <f>P195*4</f>
        <v>480</v>
      </c>
      <c r="M201" s="62">
        <f t="shared" si="32"/>
        <v>0.16</v>
      </c>
      <c r="N201" s="62">
        <f t="shared" si="33"/>
        <v>37.6</v>
      </c>
      <c r="O201" s="62">
        <f t="shared" si="34"/>
        <v>0.19747200000000004</v>
      </c>
      <c r="Q201" s="95"/>
    </row>
    <row r="202" spans="1:17" s="60" customFormat="1" x14ac:dyDescent="0.2">
      <c r="A202" s="60">
        <v>9278</v>
      </c>
      <c r="B202" s="61" t="s">
        <v>14</v>
      </c>
      <c r="C202" s="63" t="s">
        <v>23</v>
      </c>
      <c r="D202" s="67">
        <v>1000</v>
      </c>
      <c r="E202" s="68">
        <v>646</v>
      </c>
      <c r="F202" s="68">
        <f>E202-G202</f>
        <v>40</v>
      </c>
      <c r="G202" s="68">
        <v>606</v>
      </c>
      <c r="H202" s="68">
        <v>1.1000000000000001</v>
      </c>
      <c r="I202" s="68">
        <v>0.8</v>
      </c>
      <c r="J202" s="68">
        <v>0.55000000000000004</v>
      </c>
      <c r="K202" s="62">
        <f t="shared" si="31"/>
        <v>0.4840000000000001</v>
      </c>
      <c r="L202" s="61">
        <f>P195*4</f>
        <v>480</v>
      </c>
      <c r="M202" s="62">
        <f t="shared" si="32"/>
        <v>0.48</v>
      </c>
      <c r="N202" s="62">
        <f t="shared" si="33"/>
        <v>310.08</v>
      </c>
      <c r="O202" s="62">
        <f t="shared" si="34"/>
        <v>0.23232000000000003</v>
      </c>
      <c r="Q202" s="95"/>
    </row>
    <row r="203" spans="1:17" s="60" customFormat="1" x14ac:dyDescent="0.2">
      <c r="A203" s="60">
        <v>9286</v>
      </c>
      <c r="B203" s="61" t="s">
        <v>47</v>
      </c>
      <c r="C203" s="63" t="s">
        <v>24</v>
      </c>
      <c r="D203" s="65">
        <v>4000</v>
      </c>
      <c r="E203" s="66">
        <v>424</v>
      </c>
      <c r="F203" s="61">
        <f>E203-G203</f>
        <v>52</v>
      </c>
      <c r="G203" s="66">
        <v>372</v>
      </c>
      <c r="H203" s="61">
        <v>1.1000000000000001</v>
      </c>
      <c r="I203" s="61">
        <v>0.8</v>
      </c>
      <c r="J203" s="61">
        <v>0.55000000000000004</v>
      </c>
      <c r="K203" s="64">
        <f t="shared" si="31"/>
        <v>0.4840000000000001</v>
      </c>
      <c r="L203" s="61">
        <f>(P195+P206)*4</f>
        <v>856</v>
      </c>
      <c r="M203" s="62">
        <f t="shared" si="32"/>
        <v>0.214</v>
      </c>
      <c r="N203" s="62">
        <f t="shared" si="33"/>
        <v>90.736000000000004</v>
      </c>
      <c r="O203" s="62">
        <f t="shared" si="34"/>
        <v>0.10357600000000002</v>
      </c>
      <c r="Q203" s="95"/>
    </row>
    <row r="204" spans="1:17" s="60" customFormat="1" x14ac:dyDescent="0.2">
      <c r="A204" s="60">
        <v>9278</v>
      </c>
      <c r="B204" s="61" t="s">
        <v>14</v>
      </c>
      <c r="C204" s="63" t="s">
        <v>25</v>
      </c>
      <c r="D204" s="61">
        <v>1000</v>
      </c>
      <c r="E204" s="61">
        <v>830</v>
      </c>
      <c r="F204" s="61">
        <v>40</v>
      </c>
      <c r="G204" s="61">
        <v>790</v>
      </c>
      <c r="H204" s="61">
        <v>1.04</v>
      </c>
      <c r="I204" s="61">
        <v>0.84</v>
      </c>
      <c r="J204" s="61">
        <v>0.64</v>
      </c>
      <c r="K204" s="64">
        <f t="shared" si="31"/>
        <v>0.55910400000000005</v>
      </c>
      <c r="L204" s="61">
        <f>P195*2</f>
        <v>240</v>
      </c>
      <c r="M204" s="62">
        <f t="shared" si="32"/>
        <v>0.24</v>
      </c>
      <c r="N204" s="62">
        <f t="shared" si="33"/>
        <v>199.2</v>
      </c>
      <c r="O204" s="62">
        <f t="shared" si="34"/>
        <v>0.13418496000000002</v>
      </c>
      <c r="Q204" s="95"/>
    </row>
    <row r="205" spans="1:17" s="60" customFormat="1" x14ac:dyDescent="0.2">
      <c r="A205" s="60">
        <v>9278</v>
      </c>
      <c r="B205" s="61" t="s">
        <v>14</v>
      </c>
      <c r="C205" s="63" t="s">
        <v>26</v>
      </c>
      <c r="D205" s="61">
        <v>4000</v>
      </c>
      <c r="E205" s="61">
        <v>223</v>
      </c>
      <c r="F205" s="61">
        <v>30</v>
      </c>
      <c r="G205" s="61">
        <v>188</v>
      </c>
      <c r="H205" s="61">
        <v>0.86</v>
      </c>
      <c r="I205" s="61">
        <v>0.78</v>
      </c>
      <c r="J205" s="61">
        <v>0.74</v>
      </c>
      <c r="K205" s="64">
        <f t="shared" si="31"/>
        <v>0.49639200000000006</v>
      </c>
      <c r="L205" s="61">
        <f>P195*2</f>
        <v>240</v>
      </c>
      <c r="M205" s="62">
        <f t="shared" si="32"/>
        <v>0.06</v>
      </c>
      <c r="N205" s="62">
        <f t="shared" si="33"/>
        <v>13.379999999999999</v>
      </c>
      <c r="O205" s="62">
        <f t="shared" si="34"/>
        <v>2.9783520000000001E-2</v>
      </c>
      <c r="Q205" s="95"/>
    </row>
    <row r="206" spans="1:17" s="60" customFormat="1" x14ac:dyDescent="0.2">
      <c r="A206" s="60">
        <v>9270</v>
      </c>
      <c r="B206" s="61" t="s">
        <v>15</v>
      </c>
      <c r="C206" s="63" t="s">
        <v>27</v>
      </c>
      <c r="D206" s="69">
        <v>12</v>
      </c>
      <c r="E206" s="69">
        <v>435</v>
      </c>
      <c r="F206" s="69">
        <v>39</v>
      </c>
      <c r="G206" s="69">
        <v>396</v>
      </c>
      <c r="H206" s="69">
        <v>0.86</v>
      </c>
      <c r="I206" s="69">
        <v>0.56000000000000005</v>
      </c>
      <c r="J206" s="69">
        <v>0.51</v>
      </c>
      <c r="K206" s="70">
        <f t="shared" si="31"/>
        <v>0.24561600000000003</v>
      </c>
      <c r="L206" s="61">
        <v>54</v>
      </c>
      <c r="M206" s="62">
        <f t="shared" si="32"/>
        <v>4.5</v>
      </c>
      <c r="N206" s="62">
        <f t="shared" si="33"/>
        <v>1957.5</v>
      </c>
      <c r="O206" s="62">
        <f t="shared" si="34"/>
        <v>1.105272</v>
      </c>
      <c r="P206" s="136">
        <f>SUM(L206:L210)</f>
        <v>94</v>
      </c>
      <c r="Q206" s="95"/>
    </row>
    <row r="207" spans="1:17" s="60" customFormat="1" x14ac:dyDescent="0.2">
      <c r="A207" s="60">
        <v>9270</v>
      </c>
      <c r="B207" s="61" t="s">
        <v>15</v>
      </c>
      <c r="C207" s="63" t="s">
        <v>28</v>
      </c>
      <c r="D207" s="69">
        <v>12</v>
      </c>
      <c r="E207" s="69">
        <v>520</v>
      </c>
      <c r="F207" s="69">
        <v>40</v>
      </c>
      <c r="G207" s="69">
        <v>480</v>
      </c>
      <c r="H207" s="69">
        <v>1.03</v>
      </c>
      <c r="I207" s="69">
        <v>0.56000000000000005</v>
      </c>
      <c r="J207" s="69">
        <v>0.51</v>
      </c>
      <c r="K207" s="70">
        <f t="shared" si="31"/>
        <v>0.29416800000000004</v>
      </c>
      <c r="L207" s="61">
        <v>17</v>
      </c>
      <c r="M207" s="62">
        <f t="shared" si="32"/>
        <v>1.4166666666666667</v>
      </c>
      <c r="N207" s="62">
        <f t="shared" si="33"/>
        <v>736.66666666666674</v>
      </c>
      <c r="O207" s="62">
        <f t="shared" si="34"/>
        <v>0.41673800000000005</v>
      </c>
      <c r="P207" s="136"/>
      <c r="Q207" s="95"/>
    </row>
    <row r="208" spans="1:17" s="60" customFormat="1" x14ac:dyDescent="0.2">
      <c r="A208" s="60">
        <v>9270</v>
      </c>
      <c r="B208" s="61" t="s">
        <v>15</v>
      </c>
      <c r="C208" s="63" t="s">
        <v>29</v>
      </c>
      <c r="D208" s="69">
        <v>12</v>
      </c>
      <c r="E208" s="69">
        <v>596</v>
      </c>
      <c r="F208" s="69">
        <v>44</v>
      </c>
      <c r="G208" s="69">
        <v>552</v>
      </c>
      <c r="H208" s="69">
        <v>1.17</v>
      </c>
      <c r="I208" s="69">
        <v>0.56000000000000005</v>
      </c>
      <c r="J208" s="69">
        <v>0.51</v>
      </c>
      <c r="K208" s="70">
        <f t="shared" si="31"/>
        <v>0.334152</v>
      </c>
      <c r="L208" s="61">
        <v>17</v>
      </c>
      <c r="M208" s="62">
        <f t="shared" si="32"/>
        <v>1.4166666666666667</v>
      </c>
      <c r="N208" s="62">
        <f t="shared" si="33"/>
        <v>844.33333333333337</v>
      </c>
      <c r="O208" s="62">
        <f t="shared" si="34"/>
        <v>0.47338200000000002</v>
      </c>
      <c r="P208" s="136"/>
      <c r="Q208" s="95"/>
    </row>
    <row r="209" spans="1:17" s="60" customFormat="1" x14ac:dyDescent="0.2">
      <c r="A209" s="60">
        <v>9270</v>
      </c>
      <c r="B209" s="61" t="s">
        <v>15</v>
      </c>
      <c r="C209" s="63" t="s">
        <v>30</v>
      </c>
      <c r="D209" s="71">
        <v>12</v>
      </c>
      <c r="E209" s="69">
        <v>654</v>
      </c>
      <c r="F209" s="69">
        <v>42</v>
      </c>
      <c r="G209" s="69">
        <v>612</v>
      </c>
      <c r="H209" s="69">
        <v>1.2749999999999999</v>
      </c>
      <c r="I209" s="69">
        <v>0.56000000000000005</v>
      </c>
      <c r="J209" s="69">
        <v>0.51</v>
      </c>
      <c r="K209" s="70">
        <f t="shared" si="31"/>
        <v>0.36413999999999996</v>
      </c>
      <c r="L209" s="61">
        <v>6</v>
      </c>
      <c r="M209" s="62">
        <f t="shared" si="32"/>
        <v>0.5</v>
      </c>
      <c r="N209" s="62">
        <f t="shared" si="33"/>
        <v>327</v>
      </c>
      <c r="O209" s="62">
        <f t="shared" si="34"/>
        <v>0.18206999999999998</v>
      </c>
      <c r="P209" s="136"/>
      <c r="Q209" s="95"/>
    </row>
    <row r="210" spans="1:17" s="60" customFormat="1" x14ac:dyDescent="0.2">
      <c r="A210" s="60">
        <v>9270</v>
      </c>
      <c r="B210" s="61" t="s">
        <v>15</v>
      </c>
      <c r="C210" s="63" t="s">
        <v>31</v>
      </c>
      <c r="D210" s="71">
        <v>6</v>
      </c>
      <c r="E210" s="69">
        <v>410</v>
      </c>
      <c r="F210" s="69">
        <v>50</v>
      </c>
      <c r="G210" s="69">
        <v>360</v>
      </c>
      <c r="H210" s="69">
        <v>1.48</v>
      </c>
      <c r="I210" s="69">
        <v>0.56000000000000005</v>
      </c>
      <c r="J210" s="69">
        <v>0.37</v>
      </c>
      <c r="K210" s="70">
        <f t="shared" si="31"/>
        <v>0.30665600000000004</v>
      </c>
      <c r="L210" s="61">
        <v>0</v>
      </c>
      <c r="M210" s="62">
        <f t="shared" si="32"/>
        <v>0</v>
      </c>
      <c r="N210" s="62">
        <f t="shared" si="33"/>
        <v>0</v>
      </c>
      <c r="O210" s="62">
        <f t="shared" si="34"/>
        <v>0</v>
      </c>
      <c r="P210" s="136"/>
      <c r="Q210" s="95"/>
    </row>
    <row r="211" spans="1:17" s="60" customFormat="1" x14ac:dyDescent="0.2">
      <c r="A211" s="60">
        <v>9278</v>
      </c>
      <c r="B211" s="61" t="s">
        <v>14</v>
      </c>
      <c r="C211" s="63" t="s">
        <v>32</v>
      </c>
      <c r="D211" s="66">
        <v>1000</v>
      </c>
      <c r="E211" s="66">
        <f t="shared" ref="E211:E220" si="35">G211+F211</f>
        <v>395</v>
      </c>
      <c r="F211" s="66">
        <v>40</v>
      </c>
      <c r="G211" s="66">
        <v>355</v>
      </c>
      <c r="H211" s="66">
        <v>1.05</v>
      </c>
      <c r="I211" s="66">
        <v>0.9</v>
      </c>
      <c r="J211" s="66">
        <v>0.55000000000000004</v>
      </c>
      <c r="K211" s="62">
        <f t="shared" si="31"/>
        <v>0.51975000000000005</v>
      </c>
      <c r="L211" s="61">
        <f>L206</f>
        <v>54</v>
      </c>
      <c r="M211" s="62">
        <f t="shared" si="32"/>
        <v>5.3999999999999999E-2</v>
      </c>
      <c r="N211" s="62">
        <f t="shared" si="33"/>
        <v>21.33</v>
      </c>
      <c r="O211" s="62">
        <f t="shared" si="34"/>
        <v>2.8066500000000001E-2</v>
      </c>
      <c r="Q211" s="95"/>
    </row>
    <row r="212" spans="1:17" s="60" customFormat="1" x14ac:dyDescent="0.2">
      <c r="A212" s="60">
        <v>9278</v>
      </c>
      <c r="B212" s="61" t="s">
        <v>14</v>
      </c>
      <c r="C212" s="63" t="s">
        <v>33</v>
      </c>
      <c r="D212" s="66">
        <v>450</v>
      </c>
      <c r="E212" s="66">
        <f t="shared" si="35"/>
        <v>360</v>
      </c>
      <c r="F212" s="66">
        <v>40</v>
      </c>
      <c r="G212" s="66">
        <v>320</v>
      </c>
      <c r="H212" s="61">
        <v>1.1000000000000001</v>
      </c>
      <c r="I212" s="66">
        <v>0.9</v>
      </c>
      <c r="J212" s="61">
        <v>0.75</v>
      </c>
      <c r="K212" s="64">
        <f t="shared" si="31"/>
        <v>0.74250000000000005</v>
      </c>
      <c r="L212" s="61">
        <f>L206</f>
        <v>54</v>
      </c>
      <c r="M212" s="62">
        <f t="shared" si="32"/>
        <v>0.12</v>
      </c>
      <c r="N212" s="62">
        <f t="shared" si="33"/>
        <v>43.199999999999996</v>
      </c>
      <c r="O212" s="62">
        <f t="shared" si="34"/>
        <v>8.9099999999999999E-2</v>
      </c>
      <c r="Q212" s="95"/>
    </row>
    <row r="213" spans="1:17" s="60" customFormat="1" x14ac:dyDescent="0.2">
      <c r="A213" s="60">
        <v>9278</v>
      </c>
      <c r="B213" s="61" t="s">
        <v>14</v>
      </c>
      <c r="C213" s="63" t="s">
        <v>34</v>
      </c>
      <c r="D213" s="66">
        <v>1000</v>
      </c>
      <c r="E213" s="66">
        <f t="shared" si="35"/>
        <v>492</v>
      </c>
      <c r="F213" s="66">
        <v>40</v>
      </c>
      <c r="G213" s="66">
        <v>452</v>
      </c>
      <c r="H213" s="66">
        <v>1.1000000000000001</v>
      </c>
      <c r="I213" s="66">
        <v>1.05</v>
      </c>
      <c r="J213" s="66">
        <v>0.55000000000000004</v>
      </c>
      <c r="K213" s="62">
        <f t="shared" si="31"/>
        <v>0.6352500000000002</v>
      </c>
      <c r="L213" s="61">
        <f>L207</f>
        <v>17</v>
      </c>
      <c r="M213" s="62">
        <f t="shared" si="32"/>
        <v>1.7000000000000001E-2</v>
      </c>
      <c r="N213" s="62">
        <f t="shared" si="33"/>
        <v>8.3640000000000008</v>
      </c>
      <c r="O213" s="62">
        <f t="shared" si="34"/>
        <v>1.0799250000000005E-2</v>
      </c>
      <c r="Q213" s="95"/>
    </row>
    <row r="214" spans="1:17" s="60" customFormat="1" x14ac:dyDescent="0.2">
      <c r="A214" s="60">
        <v>9278</v>
      </c>
      <c r="B214" s="61" t="s">
        <v>14</v>
      </c>
      <c r="C214" s="63" t="s">
        <v>35</v>
      </c>
      <c r="D214" s="66">
        <v>450</v>
      </c>
      <c r="E214" s="66">
        <f t="shared" si="35"/>
        <v>421.5</v>
      </c>
      <c r="F214" s="66">
        <v>40</v>
      </c>
      <c r="G214" s="66">
        <v>381.5</v>
      </c>
      <c r="H214" s="66">
        <v>1.05</v>
      </c>
      <c r="I214" s="66">
        <v>1.05</v>
      </c>
      <c r="J214" s="61">
        <v>0.75</v>
      </c>
      <c r="K214" s="64">
        <f t="shared" si="31"/>
        <v>0.82687500000000003</v>
      </c>
      <c r="L214" s="61">
        <f>L207</f>
        <v>17</v>
      </c>
      <c r="M214" s="62">
        <f t="shared" si="32"/>
        <v>3.7777777777777778E-2</v>
      </c>
      <c r="N214" s="62">
        <f t="shared" si="33"/>
        <v>15.923333333333334</v>
      </c>
      <c r="O214" s="62">
        <f t="shared" si="34"/>
        <v>3.1237500000000001E-2</v>
      </c>
      <c r="Q214" s="95"/>
    </row>
    <row r="215" spans="1:17" s="60" customFormat="1" x14ac:dyDescent="0.2">
      <c r="A215" s="60">
        <v>9278</v>
      </c>
      <c r="B215" s="61" t="s">
        <v>14</v>
      </c>
      <c r="C215" s="63" t="s">
        <v>36</v>
      </c>
      <c r="D215" s="66">
        <v>1000</v>
      </c>
      <c r="E215" s="66">
        <f t="shared" si="35"/>
        <v>574</v>
      </c>
      <c r="F215" s="66">
        <v>40</v>
      </c>
      <c r="G215" s="66">
        <v>534</v>
      </c>
      <c r="H215" s="66">
        <v>1.1000000000000001</v>
      </c>
      <c r="I215" s="66">
        <v>1.2</v>
      </c>
      <c r="J215" s="66">
        <v>0.55000000000000004</v>
      </c>
      <c r="K215" s="62">
        <f t="shared" si="31"/>
        <v>0.72600000000000009</v>
      </c>
      <c r="L215" s="61">
        <f>L208</f>
        <v>17</v>
      </c>
      <c r="M215" s="62">
        <f t="shared" si="32"/>
        <v>1.7000000000000001E-2</v>
      </c>
      <c r="N215" s="62">
        <f t="shared" si="33"/>
        <v>9.7580000000000009</v>
      </c>
      <c r="O215" s="62">
        <f t="shared" si="34"/>
        <v>1.2342000000000002E-2</v>
      </c>
      <c r="Q215" s="95"/>
    </row>
    <row r="216" spans="1:17" s="60" customFormat="1" x14ac:dyDescent="0.2">
      <c r="A216" s="60">
        <v>9278</v>
      </c>
      <c r="B216" s="61" t="s">
        <v>14</v>
      </c>
      <c r="C216" s="63" t="s">
        <v>37</v>
      </c>
      <c r="D216" s="66">
        <v>450</v>
      </c>
      <c r="E216" s="66">
        <f t="shared" si="35"/>
        <v>475</v>
      </c>
      <c r="F216" s="66">
        <v>40</v>
      </c>
      <c r="G216" s="66">
        <v>435</v>
      </c>
      <c r="H216" s="66">
        <v>1.05</v>
      </c>
      <c r="I216" s="66">
        <v>1.2</v>
      </c>
      <c r="J216" s="61">
        <v>0.75</v>
      </c>
      <c r="K216" s="62">
        <f t="shared" si="31"/>
        <v>0.94500000000000006</v>
      </c>
      <c r="L216" s="61">
        <f>L208</f>
        <v>17</v>
      </c>
      <c r="M216" s="62">
        <f t="shared" si="32"/>
        <v>3.7777777777777778E-2</v>
      </c>
      <c r="N216" s="62">
        <f t="shared" si="33"/>
        <v>17.944444444444443</v>
      </c>
      <c r="O216" s="62">
        <f t="shared" si="34"/>
        <v>3.5700000000000003E-2</v>
      </c>
      <c r="Q216" s="95"/>
    </row>
    <row r="217" spans="1:17" s="60" customFormat="1" x14ac:dyDescent="0.2">
      <c r="A217" s="60">
        <v>9278</v>
      </c>
      <c r="B217" s="61" t="s">
        <v>14</v>
      </c>
      <c r="C217" s="63" t="s">
        <v>38</v>
      </c>
      <c r="D217" s="66">
        <v>1000</v>
      </c>
      <c r="E217" s="66">
        <f t="shared" si="35"/>
        <v>645</v>
      </c>
      <c r="F217" s="66">
        <v>40</v>
      </c>
      <c r="G217" s="66">
        <v>605</v>
      </c>
      <c r="H217" s="66">
        <v>1.1000000000000001</v>
      </c>
      <c r="I217" s="66">
        <v>1.3</v>
      </c>
      <c r="J217" s="66">
        <v>0.55000000000000004</v>
      </c>
      <c r="K217" s="62">
        <f t="shared" si="31"/>
        <v>0.7865000000000002</v>
      </c>
      <c r="L217" s="61">
        <f>L209</f>
        <v>6</v>
      </c>
      <c r="M217" s="62">
        <f t="shared" si="32"/>
        <v>6.0000000000000001E-3</v>
      </c>
      <c r="N217" s="62">
        <f t="shared" si="33"/>
        <v>3.87</v>
      </c>
      <c r="O217" s="62">
        <f t="shared" si="34"/>
        <v>4.719000000000001E-3</v>
      </c>
      <c r="Q217" s="95"/>
    </row>
    <row r="218" spans="1:17" s="60" customFormat="1" x14ac:dyDescent="0.2">
      <c r="A218" s="60">
        <v>9278</v>
      </c>
      <c r="B218" s="61" t="s">
        <v>14</v>
      </c>
      <c r="C218" s="63" t="s">
        <v>39</v>
      </c>
      <c r="D218" s="66">
        <v>450</v>
      </c>
      <c r="E218" s="66">
        <f t="shared" si="35"/>
        <v>515</v>
      </c>
      <c r="F218" s="66">
        <v>40</v>
      </c>
      <c r="G218" s="66">
        <v>475</v>
      </c>
      <c r="H218" s="66">
        <v>1.05</v>
      </c>
      <c r="I218" s="66">
        <v>1.3</v>
      </c>
      <c r="J218" s="61">
        <v>0.75</v>
      </c>
      <c r="K218" s="62">
        <f t="shared" si="31"/>
        <v>1.0237500000000002</v>
      </c>
      <c r="L218" s="61">
        <f>L209</f>
        <v>6</v>
      </c>
      <c r="M218" s="62">
        <f t="shared" si="32"/>
        <v>1.3333333333333334E-2</v>
      </c>
      <c r="N218" s="62">
        <f t="shared" si="33"/>
        <v>6.8666666666666671</v>
      </c>
      <c r="O218" s="62">
        <f t="shared" si="34"/>
        <v>1.3650000000000002E-2</v>
      </c>
      <c r="Q218" s="95"/>
    </row>
    <row r="219" spans="1:17" s="60" customFormat="1" x14ac:dyDescent="0.2">
      <c r="A219" s="60">
        <v>9278</v>
      </c>
      <c r="B219" s="61" t="s">
        <v>14</v>
      </c>
      <c r="C219" s="63" t="s">
        <v>40</v>
      </c>
      <c r="D219" s="66">
        <v>1000</v>
      </c>
      <c r="E219" s="66">
        <f t="shared" si="35"/>
        <v>645</v>
      </c>
      <c r="F219" s="66">
        <v>40</v>
      </c>
      <c r="G219" s="66">
        <v>605</v>
      </c>
      <c r="H219" s="66">
        <v>1.1000000000000001</v>
      </c>
      <c r="I219" s="66">
        <v>1.3</v>
      </c>
      <c r="J219" s="66">
        <v>0.55000000000000004</v>
      </c>
      <c r="K219" s="62">
        <f t="shared" si="31"/>
        <v>0.7865000000000002</v>
      </c>
      <c r="L219" s="61">
        <f>L210</f>
        <v>0</v>
      </c>
      <c r="M219" s="62">
        <f t="shared" si="32"/>
        <v>0</v>
      </c>
      <c r="N219" s="62">
        <f t="shared" si="33"/>
        <v>0</v>
      </c>
      <c r="O219" s="62">
        <f t="shared" si="34"/>
        <v>0</v>
      </c>
      <c r="Q219" s="95"/>
    </row>
    <row r="220" spans="1:17" s="60" customFormat="1" x14ac:dyDescent="0.2">
      <c r="A220" s="60">
        <v>9278</v>
      </c>
      <c r="B220" s="61" t="s">
        <v>14</v>
      </c>
      <c r="C220" s="63" t="s">
        <v>41</v>
      </c>
      <c r="D220" s="66">
        <v>450</v>
      </c>
      <c r="E220" s="66">
        <f t="shared" si="35"/>
        <v>515</v>
      </c>
      <c r="F220" s="66">
        <v>40</v>
      </c>
      <c r="G220" s="66">
        <v>475</v>
      </c>
      <c r="H220" s="66">
        <v>1.05</v>
      </c>
      <c r="I220" s="66">
        <v>1.3</v>
      </c>
      <c r="J220" s="61">
        <v>0.75</v>
      </c>
      <c r="K220" s="62">
        <f t="shared" si="31"/>
        <v>1.0237500000000002</v>
      </c>
      <c r="L220" s="61">
        <f>L210</f>
        <v>0</v>
      </c>
      <c r="M220" s="62">
        <f t="shared" si="32"/>
        <v>0</v>
      </c>
      <c r="N220" s="62">
        <f t="shared" si="33"/>
        <v>0</v>
      </c>
      <c r="O220" s="62">
        <f t="shared" si="34"/>
        <v>0</v>
      </c>
      <c r="Q220" s="95"/>
    </row>
    <row r="221" spans="1:17" s="60" customFormat="1" x14ac:dyDescent="0.2">
      <c r="A221" s="60">
        <v>8952</v>
      </c>
      <c r="B221" s="61" t="s">
        <v>14</v>
      </c>
      <c r="C221" s="63" t="s">
        <v>22</v>
      </c>
      <c r="D221" s="65">
        <v>3000</v>
      </c>
      <c r="E221" s="66">
        <v>235</v>
      </c>
      <c r="F221" s="61">
        <v>35</v>
      </c>
      <c r="G221" s="66">
        <v>200</v>
      </c>
      <c r="H221" s="61">
        <v>1.1000000000000001</v>
      </c>
      <c r="I221" s="61">
        <v>1.1000000000000001</v>
      </c>
      <c r="J221" s="61">
        <v>1.02</v>
      </c>
      <c r="K221" s="64">
        <f t="shared" si="31"/>
        <v>1.2342000000000002</v>
      </c>
      <c r="L221" s="61">
        <f>P206*4</f>
        <v>376</v>
      </c>
      <c r="M221" s="62">
        <f t="shared" si="32"/>
        <v>0.12533333333333332</v>
      </c>
      <c r="N221" s="62">
        <f t="shared" si="33"/>
        <v>29.45333333333333</v>
      </c>
      <c r="O221" s="62">
        <f t="shared" si="34"/>
        <v>0.1546864</v>
      </c>
      <c r="Q221" s="95"/>
    </row>
    <row r="222" spans="1:17" s="60" customFormat="1" x14ac:dyDescent="0.2">
      <c r="A222" s="60">
        <v>9278</v>
      </c>
      <c r="B222" s="61" t="s">
        <v>14</v>
      </c>
      <c r="C222" s="63" t="s">
        <v>23</v>
      </c>
      <c r="D222" s="67">
        <v>1000</v>
      </c>
      <c r="E222" s="68">
        <v>646</v>
      </c>
      <c r="F222" s="68">
        <f>E222-G222</f>
        <v>40</v>
      </c>
      <c r="G222" s="68">
        <v>606</v>
      </c>
      <c r="H222" s="68">
        <v>1.1000000000000001</v>
      </c>
      <c r="I222" s="68">
        <v>0.8</v>
      </c>
      <c r="J222" s="68">
        <v>0.55000000000000004</v>
      </c>
      <c r="K222" s="62">
        <f t="shared" si="31"/>
        <v>0.4840000000000001</v>
      </c>
      <c r="L222" s="61">
        <f>P206*4</f>
        <v>376</v>
      </c>
      <c r="M222" s="62">
        <f t="shared" si="32"/>
        <v>0.376</v>
      </c>
      <c r="N222" s="62">
        <f t="shared" si="33"/>
        <v>242.89599999999999</v>
      </c>
      <c r="O222" s="62">
        <f t="shared" si="34"/>
        <v>0.18198400000000003</v>
      </c>
      <c r="Q222" s="95"/>
    </row>
    <row r="223" spans="1:17" s="60" customFormat="1" x14ac:dyDescent="0.2">
      <c r="A223" s="60">
        <v>9278</v>
      </c>
      <c r="B223" s="61" t="s">
        <v>14</v>
      </c>
      <c r="C223" s="63" t="s">
        <v>46</v>
      </c>
      <c r="D223" s="65">
        <v>4000</v>
      </c>
      <c r="E223" s="66">
        <v>424</v>
      </c>
      <c r="F223" s="61">
        <f>E223-G223</f>
        <v>52</v>
      </c>
      <c r="G223" s="66">
        <v>372</v>
      </c>
      <c r="H223" s="61">
        <v>1.1000000000000001</v>
      </c>
      <c r="I223" s="61">
        <v>0.8</v>
      </c>
      <c r="J223" s="61">
        <v>0.55000000000000004</v>
      </c>
      <c r="K223" s="64">
        <f t="shared" si="31"/>
        <v>0.4840000000000001</v>
      </c>
      <c r="L223" s="61">
        <f>P206*4</f>
        <v>376</v>
      </c>
      <c r="M223" s="62">
        <f t="shared" si="32"/>
        <v>9.4E-2</v>
      </c>
      <c r="N223" s="62">
        <f t="shared" si="33"/>
        <v>39.856000000000002</v>
      </c>
      <c r="O223" s="62">
        <f t="shared" si="34"/>
        <v>4.5496000000000009E-2</v>
      </c>
      <c r="Q223" s="95"/>
    </row>
    <row r="224" spans="1:17" s="60" customFormat="1" ht="15" x14ac:dyDescent="0.2">
      <c r="A224" s="60">
        <v>9278</v>
      </c>
      <c r="B224" s="61" t="s">
        <v>14</v>
      </c>
      <c r="C224" s="63" t="s">
        <v>42</v>
      </c>
      <c r="D224" s="72">
        <v>1200</v>
      </c>
      <c r="E224" s="137">
        <v>666.4</v>
      </c>
      <c r="F224" s="137">
        <v>40</v>
      </c>
      <c r="G224" s="73">
        <v>588</v>
      </c>
      <c r="H224" s="139">
        <v>1</v>
      </c>
      <c r="I224" s="139">
        <v>0.75</v>
      </c>
      <c r="J224" s="139">
        <v>0.7</v>
      </c>
      <c r="K224" s="141">
        <v>0.5</v>
      </c>
      <c r="L224" s="61">
        <f>P206*4</f>
        <v>376</v>
      </c>
      <c r="M224" s="143">
        <f t="shared" si="32"/>
        <v>0.31333333333333335</v>
      </c>
      <c r="N224" s="143">
        <f t="shared" si="33"/>
        <v>208.80533333333335</v>
      </c>
      <c r="O224" s="145">
        <f t="shared" si="34"/>
        <v>0.15666666666666668</v>
      </c>
      <c r="Q224" s="95"/>
    </row>
    <row r="225" spans="1:17" s="60" customFormat="1" ht="15.75" thickBot="1" x14ac:dyDescent="0.25">
      <c r="A225" s="60">
        <v>9278</v>
      </c>
      <c r="B225" s="61" t="s">
        <v>14</v>
      </c>
      <c r="C225" s="63" t="s">
        <v>43</v>
      </c>
      <c r="D225" s="72">
        <v>1200</v>
      </c>
      <c r="E225" s="138"/>
      <c r="F225" s="138"/>
      <c r="G225" s="73">
        <v>38.4</v>
      </c>
      <c r="H225" s="140"/>
      <c r="I225" s="140"/>
      <c r="J225" s="140"/>
      <c r="K225" s="142"/>
      <c r="L225" s="61">
        <f>P206*4</f>
        <v>376</v>
      </c>
      <c r="M225" s="144"/>
      <c r="N225" s="144"/>
      <c r="O225" s="146"/>
      <c r="Q225" s="96"/>
    </row>
    <row r="226" spans="1:17" s="33" customFormat="1" x14ac:dyDescent="0.2">
      <c r="A226" s="33">
        <v>9270</v>
      </c>
      <c r="B226" s="34" t="s">
        <v>15</v>
      </c>
      <c r="C226" s="34" t="s">
        <v>16</v>
      </c>
      <c r="D226" s="34">
        <v>30</v>
      </c>
      <c r="E226" s="34">
        <v>669</v>
      </c>
      <c r="F226" s="34">
        <f>E226-G226</f>
        <v>53</v>
      </c>
      <c r="G226" s="34">
        <v>616</v>
      </c>
      <c r="H226" s="34">
        <v>1</v>
      </c>
      <c r="I226" s="34">
        <v>0.9</v>
      </c>
      <c r="J226" s="34">
        <v>0.73</v>
      </c>
      <c r="K226" s="34">
        <f t="shared" ref="K226:K254" si="36">H226*I226*J226</f>
        <v>0.65700000000000003</v>
      </c>
      <c r="L226" s="34"/>
      <c r="M226" s="35">
        <f t="shared" ref="M226:M255" si="37">L226/D226</f>
        <v>0</v>
      </c>
      <c r="N226" s="35">
        <f t="shared" ref="N226:N255" si="38">E226*M226</f>
        <v>0</v>
      </c>
      <c r="O226" s="35">
        <f>M226*K226</f>
        <v>0</v>
      </c>
      <c r="P226" s="125">
        <f>SUM(L226:L229)</f>
        <v>0</v>
      </c>
      <c r="Q226" s="97" t="s">
        <v>55</v>
      </c>
    </row>
    <row r="227" spans="1:17" s="33" customFormat="1" x14ac:dyDescent="0.2">
      <c r="A227" s="33">
        <v>9270</v>
      </c>
      <c r="B227" s="34" t="s">
        <v>15</v>
      </c>
      <c r="C227" s="34" t="s">
        <v>17</v>
      </c>
      <c r="D227" s="34">
        <v>30</v>
      </c>
      <c r="E227" s="34">
        <v>669</v>
      </c>
      <c r="F227" s="34">
        <f>E227-G227</f>
        <v>53</v>
      </c>
      <c r="G227" s="34">
        <v>616</v>
      </c>
      <c r="H227" s="34">
        <v>1</v>
      </c>
      <c r="I227" s="34">
        <v>0.9</v>
      </c>
      <c r="J227" s="34">
        <v>0.73</v>
      </c>
      <c r="K227" s="34">
        <f t="shared" si="36"/>
        <v>0.65700000000000003</v>
      </c>
      <c r="L227" s="34"/>
      <c r="M227" s="35">
        <f t="shared" si="37"/>
        <v>0</v>
      </c>
      <c r="N227" s="35">
        <f t="shared" si="38"/>
        <v>0</v>
      </c>
      <c r="O227" s="35">
        <f t="shared" ref="O227:O255" si="39">M227*K227</f>
        <v>0</v>
      </c>
      <c r="P227" s="125"/>
      <c r="Q227" s="98"/>
    </row>
    <row r="228" spans="1:17" s="33" customFormat="1" x14ac:dyDescent="0.2">
      <c r="A228" s="33">
        <v>9270</v>
      </c>
      <c r="B228" s="34" t="s">
        <v>15</v>
      </c>
      <c r="C228" s="34" t="s">
        <v>18</v>
      </c>
      <c r="D228" s="34">
        <v>30</v>
      </c>
      <c r="E228" s="34">
        <v>669</v>
      </c>
      <c r="F228" s="34">
        <f>E228-G228</f>
        <v>53</v>
      </c>
      <c r="G228" s="34">
        <v>616</v>
      </c>
      <c r="H228" s="34">
        <v>1</v>
      </c>
      <c r="I228" s="34">
        <v>0.9</v>
      </c>
      <c r="J228" s="34">
        <v>0.73</v>
      </c>
      <c r="K228" s="34">
        <f t="shared" si="36"/>
        <v>0.65700000000000003</v>
      </c>
      <c r="L228" s="34"/>
      <c r="M228" s="35">
        <f t="shared" si="37"/>
        <v>0</v>
      </c>
      <c r="N228" s="35">
        <f t="shared" si="38"/>
        <v>0</v>
      </c>
      <c r="O228" s="35">
        <f t="shared" si="39"/>
        <v>0</v>
      </c>
      <c r="P228" s="125"/>
      <c r="Q228" s="98"/>
    </row>
    <row r="229" spans="1:17" s="33" customFormat="1" x14ac:dyDescent="0.2">
      <c r="A229" s="33">
        <v>9270</v>
      </c>
      <c r="B229" s="34" t="s">
        <v>15</v>
      </c>
      <c r="C229" s="34" t="s">
        <v>19</v>
      </c>
      <c r="D229" s="34">
        <v>30</v>
      </c>
      <c r="E229" s="34">
        <v>669</v>
      </c>
      <c r="F229" s="34">
        <f>E229-G229</f>
        <v>53</v>
      </c>
      <c r="G229" s="34">
        <v>616</v>
      </c>
      <c r="H229" s="34">
        <v>1</v>
      </c>
      <c r="I229" s="34">
        <v>0.9</v>
      </c>
      <c r="J229" s="34">
        <v>0.73</v>
      </c>
      <c r="K229" s="34">
        <f t="shared" si="36"/>
        <v>0.65700000000000003</v>
      </c>
      <c r="L229" s="34"/>
      <c r="M229" s="35">
        <f t="shared" si="37"/>
        <v>0</v>
      </c>
      <c r="N229" s="35">
        <f t="shared" si="38"/>
        <v>0</v>
      </c>
      <c r="O229" s="35">
        <f t="shared" si="39"/>
        <v>0</v>
      </c>
      <c r="P229" s="125"/>
      <c r="Q229" s="98"/>
    </row>
    <row r="230" spans="1:17" s="33" customFormat="1" x14ac:dyDescent="0.2">
      <c r="A230" s="33">
        <v>9278</v>
      </c>
      <c r="B230" s="34" t="s">
        <v>14</v>
      </c>
      <c r="C230" s="36" t="s">
        <v>20</v>
      </c>
      <c r="D230" s="34">
        <v>5000</v>
      </c>
      <c r="E230" s="34">
        <v>490</v>
      </c>
      <c r="F230" s="34">
        <v>40</v>
      </c>
      <c r="G230" s="34">
        <v>450</v>
      </c>
      <c r="H230" s="34">
        <v>1</v>
      </c>
      <c r="I230" s="34">
        <v>0.98</v>
      </c>
      <c r="J230" s="34">
        <v>0.83</v>
      </c>
      <c r="K230" s="37">
        <f t="shared" si="36"/>
        <v>0.8133999999999999</v>
      </c>
      <c r="L230" s="34"/>
      <c r="M230" s="35">
        <f t="shared" si="37"/>
        <v>0</v>
      </c>
      <c r="N230" s="35">
        <f t="shared" si="38"/>
        <v>0</v>
      </c>
      <c r="O230" s="35">
        <f t="shared" si="39"/>
        <v>0</v>
      </c>
      <c r="Q230" s="98"/>
    </row>
    <row r="231" spans="1:17" s="33" customFormat="1" x14ac:dyDescent="0.2">
      <c r="A231" s="33">
        <v>9278</v>
      </c>
      <c r="B231" s="34" t="s">
        <v>14</v>
      </c>
      <c r="C231" s="36" t="s">
        <v>21</v>
      </c>
      <c r="D231" s="34">
        <v>360</v>
      </c>
      <c r="E231" s="34">
        <v>390</v>
      </c>
      <c r="F231" s="34">
        <v>40</v>
      </c>
      <c r="G231" s="34">
        <v>350</v>
      </c>
      <c r="H231" s="34">
        <v>1.05</v>
      </c>
      <c r="I231" s="34">
        <v>0.95</v>
      </c>
      <c r="J231" s="34">
        <v>0.55000000000000004</v>
      </c>
      <c r="K231" s="37">
        <f t="shared" si="36"/>
        <v>0.54862500000000003</v>
      </c>
      <c r="L231" s="34"/>
      <c r="M231" s="35">
        <f t="shared" si="37"/>
        <v>0</v>
      </c>
      <c r="N231" s="35">
        <f t="shared" si="38"/>
        <v>0</v>
      </c>
      <c r="O231" s="35">
        <f t="shared" si="39"/>
        <v>0</v>
      </c>
      <c r="Q231" s="98"/>
    </row>
    <row r="232" spans="1:17" s="33" customFormat="1" x14ac:dyDescent="0.2">
      <c r="A232" s="33">
        <v>8952</v>
      </c>
      <c r="B232" s="34" t="s">
        <v>14</v>
      </c>
      <c r="C232" s="36" t="s">
        <v>22</v>
      </c>
      <c r="D232" s="38">
        <v>3000</v>
      </c>
      <c r="E232" s="39">
        <v>235</v>
      </c>
      <c r="F232" s="34">
        <v>35</v>
      </c>
      <c r="G232" s="39">
        <v>200</v>
      </c>
      <c r="H232" s="34">
        <v>1.1000000000000001</v>
      </c>
      <c r="I232" s="34">
        <v>1.1000000000000001</v>
      </c>
      <c r="J232" s="34">
        <v>1.02</v>
      </c>
      <c r="K232" s="37">
        <f t="shared" si="36"/>
        <v>1.2342000000000002</v>
      </c>
      <c r="L232" s="34"/>
      <c r="M232" s="35">
        <f t="shared" si="37"/>
        <v>0</v>
      </c>
      <c r="N232" s="35">
        <f t="shared" si="38"/>
        <v>0</v>
      </c>
      <c r="O232" s="35">
        <f t="shared" si="39"/>
        <v>0</v>
      </c>
      <c r="Q232" s="98"/>
    </row>
    <row r="233" spans="1:17" s="33" customFormat="1" x14ac:dyDescent="0.2">
      <c r="A233" s="33">
        <v>9278</v>
      </c>
      <c r="B233" s="34" t="s">
        <v>14</v>
      </c>
      <c r="C233" s="36" t="s">
        <v>23</v>
      </c>
      <c r="D233" s="40">
        <v>1000</v>
      </c>
      <c r="E233" s="41">
        <v>646</v>
      </c>
      <c r="F233" s="41">
        <f>E233-G233</f>
        <v>40</v>
      </c>
      <c r="G233" s="41">
        <v>606</v>
      </c>
      <c r="H233" s="41">
        <v>1.1000000000000001</v>
      </c>
      <c r="I233" s="41">
        <v>0.8</v>
      </c>
      <c r="J233" s="41">
        <v>0.55000000000000004</v>
      </c>
      <c r="K233" s="35">
        <f t="shared" si="36"/>
        <v>0.4840000000000001</v>
      </c>
      <c r="L233" s="34"/>
      <c r="M233" s="35">
        <f t="shared" si="37"/>
        <v>0</v>
      </c>
      <c r="N233" s="35">
        <f t="shared" si="38"/>
        <v>0</v>
      </c>
      <c r="O233" s="35">
        <f t="shared" si="39"/>
        <v>0</v>
      </c>
      <c r="Q233" s="98"/>
    </row>
    <row r="234" spans="1:17" s="33" customFormat="1" x14ac:dyDescent="0.2">
      <c r="A234" s="33">
        <v>9286</v>
      </c>
      <c r="B234" s="34" t="s">
        <v>47</v>
      </c>
      <c r="C234" s="36" t="s">
        <v>24</v>
      </c>
      <c r="D234" s="38">
        <v>4000</v>
      </c>
      <c r="E234" s="39">
        <v>424</v>
      </c>
      <c r="F234" s="34">
        <f>E234-G234</f>
        <v>52</v>
      </c>
      <c r="G234" s="39">
        <v>372</v>
      </c>
      <c r="H234" s="34">
        <v>1.1000000000000001</v>
      </c>
      <c r="I234" s="34">
        <v>0.8</v>
      </c>
      <c r="J234" s="34">
        <v>0.55000000000000004</v>
      </c>
      <c r="K234" s="37">
        <f t="shared" si="36"/>
        <v>0.4840000000000001</v>
      </c>
      <c r="L234" s="34"/>
      <c r="M234" s="35">
        <f t="shared" si="37"/>
        <v>0</v>
      </c>
      <c r="N234" s="35">
        <f t="shared" si="38"/>
        <v>0</v>
      </c>
      <c r="O234" s="35">
        <f t="shared" si="39"/>
        <v>0</v>
      </c>
      <c r="Q234" s="98"/>
    </row>
    <row r="235" spans="1:17" s="33" customFormat="1" x14ac:dyDescent="0.2">
      <c r="A235" s="33">
        <v>9278</v>
      </c>
      <c r="B235" s="34" t="s">
        <v>14</v>
      </c>
      <c r="C235" s="36" t="s">
        <v>25</v>
      </c>
      <c r="D235" s="34">
        <v>1000</v>
      </c>
      <c r="E235" s="34">
        <v>830</v>
      </c>
      <c r="F235" s="34">
        <v>40</v>
      </c>
      <c r="G235" s="34">
        <v>790</v>
      </c>
      <c r="H235" s="34">
        <v>1.04</v>
      </c>
      <c r="I235" s="34">
        <v>0.84</v>
      </c>
      <c r="J235" s="34">
        <v>0.64</v>
      </c>
      <c r="K235" s="37">
        <f t="shared" si="36"/>
        <v>0.55910400000000005</v>
      </c>
      <c r="L235" s="34"/>
      <c r="M235" s="35">
        <f t="shared" si="37"/>
        <v>0</v>
      </c>
      <c r="N235" s="35">
        <f t="shared" si="38"/>
        <v>0</v>
      </c>
      <c r="O235" s="35">
        <f t="shared" si="39"/>
        <v>0</v>
      </c>
      <c r="Q235" s="98"/>
    </row>
    <row r="236" spans="1:17" s="33" customFormat="1" x14ac:dyDescent="0.2">
      <c r="A236" s="33">
        <v>9278</v>
      </c>
      <c r="B236" s="34" t="s">
        <v>14</v>
      </c>
      <c r="C236" s="36" t="s">
        <v>26</v>
      </c>
      <c r="D236" s="34">
        <v>4000</v>
      </c>
      <c r="E236" s="34">
        <v>223</v>
      </c>
      <c r="F236" s="34">
        <v>30</v>
      </c>
      <c r="G236" s="34">
        <v>188</v>
      </c>
      <c r="H236" s="34">
        <v>0.86</v>
      </c>
      <c r="I236" s="34">
        <v>0.78</v>
      </c>
      <c r="J236" s="34">
        <v>0.74</v>
      </c>
      <c r="K236" s="37">
        <f t="shared" si="36"/>
        <v>0.49639200000000006</v>
      </c>
      <c r="L236" s="34"/>
      <c r="M236" s="35">
        <f t="shared" si="37"/>
        <v>0</v>
      </c>
      <c r="N236" s="35">
        <f t="shared" si="38"/>
        <v>0</v>
      </c>
      <c r="O236" s="35">
        <f t="shared" si="39"/>
        <v>0</v>
      </c>
      <c r="Q236" s="98"/>
    </row>
    <row r="237" spans="1:17" s="33" customFormat="1" x14ac:dyDescent="0.2">
      <c r="A237" s="33">
        <v>9270</v>
      </c>
      <c r="B237" s="34" t="s">
        <v>15</v>
      </c>
      <c r="C237" s="36" t="s">
        <v>27</v>
      </c>
      <c r="D237" s="42">
        <v>12</v>
      </c>
      <c r="E237" s="42">
        <v>435</v>
      </c>
      <c r="F237" s="42">
        <v>39</v>
      </c>
      <c r="G237" s="42">
        <v>396</v>
      </c>
      <c r="H237" s="42">
        <v>0.86</v>
      </c>
      <c r="I237" s="42">
        <v>0.56000000000000005</v>
      </c>
      <c r="J237" s="42">
        <v>0.51</v>
      </c>
      <c r="K237" s="43">
        <f t="shared" si="36"/>
        <v>0.24561600000000003</v>
      </c>
      <c r="L237" s="34"/>
      <c r="M237" s="35">
        <f t="shared" si="37"/>
        <v>0</v>
      </c>
      <c r="N237" s="35">
        <f t="shared" si="38"/>
        <v>0</v>
      </c>
      <c r="O237" s="35">
        <f t="shared" si="39"/>
        <v>0</v>
      </c>
      <c r="P237" s="125">
        <f>SUM(L237:L241)</f>
        <v>0</v>
      </c>
      <c r="Q237" s="98"/>
    </row>
    <row r="238" spans="1:17" s="33" customFormat="1" x14ac:dyDescent="0.2">
      <c r="A238" s="33">
        <v>9270</v>
      </c>
      <c r="B238" s="34" t="s">
        <v>15</v>
      </c>
      <c r="C238" s="36" t="s">
        <v>28</v>
      </c>
      <c r="D238" s="42">
        <v>12</v>
      </c>
      <c r="E238" s="42">
        <v>520</v>
      </c>
      <c r="F238" s="42">
        <v>40</v>
      </c>
      <c r="G238" s="42">
        <v>480</v>
      </c>
      <c r="H238" s="42">
        <v>1.03</v>
      </c>
      <c r="I238" s="42">
        <v>0.56000000000000005</v>
      </c>
      <c r="J238" s="42">
        <v>0.51</v>
      </c>
      <c r="K238" s="43">
        <f t="shared" si="36"/>
        <v>0.29416800000000004</v>
      </c>
      <c r="L238" s="34"/>
      <c r="M238" s="35">
        <f t="shared" si="37"/>
        <v>0</v>
      </c>
      <c r="N238" s="35">
        <f t="shared" si="38"/>
        <v>0</v>
      </c>
      <c r="O238" s="35">
        <f t="shared" si="39"/>
        <v>0</v>
      </c>
      <c r="P238" s="125"/>
      <c r="Q238" s="98"/>
    </row>
    <row r="239" spans="1:17" s="33" customFormat="1" x14ac:dyDescent="0.2">
      <c r="A239" s="33">
        <v>9270</v>
      </c>
      <c r="B239" s="34" t="s">
        <v>15</v>
      </c>
      <c r="C239" s="36" t="s">
        <v>29</v>
      </c>
      <c r="D239" s="42">
        <v>12</v>
      </c>
      <c r="E239" s="42">
        <v>596</v>
      </c>
      <c r="F239" s="42">
        <v>44</v>
      </c>
      <c r="G239" s="42">
        <v>552</v>
      </c>
      <c r="H239" s="42">
        <v>1.17</v>
      </c>
      <c r="I239" s="42">
        <v>0.56000000000000005</v>
      </c>
      <c r="J239" s="42">
        <v>0.51</v>
      </c>
      <c r="K239" s="43">
        <f t="shared" si="36"/>
        <v>0.334152</v>
      </c>
      <c r="L239" s="34"/>
      <c r="M239" s="35">
        <f t="shared" si="37"/>
        <v>0</v>
      </c>
      <c r="N239" s="35">
        <f t="shared" si="38"/>
        <v>0</v>
      </c>
      <c r="O239" s="35">
        <f t="shared" si="39"/>
        <v>0</v>
      </c>
      <c r="P239" s="125"/>
      <c r="Q239" s="98"/>
    </row>
    <row r="240" spans="1:17" s="33" customFormat="1" x14ac:dyDescent="0.2">
      <c r="A240" s="33">
        <v>9270</v>
      </c>
      <c r="B240" s="34" t="s">
        <v>15</v>
      </c>
      <c r="C240" s="36" t="s">
        <v>30</v>
      </c>
      <c r="D240" s="44">
        <v>12</v>
      </c>
      <c r="E240" s="42">
        <v>654</v>
      </c>
      <c r="F240" s="42">
        <v>42</v>
      </c>
      <c r="G240" s="42">
        <v>612</v>
      </c>
      <c r="H240" s="42">
        <v>1.2749999999999999</v>
      </c>
      <c r="I240" s="42">
        <v>0.56000000000000005</v>
      </c>
      <c r="J240" s="42">
        <v>0.51</v>
      </c>
      <c r="K240" s="43">
        <f t="shared" si="36"/>
        <v>0.36413999999999996</v>
      </c>
      <c r="L240" s="34"/>
      <c r="M240" s="35">
        <f t="shared" si="37"/>
        <v>0</v>
      </c>
      <c r="N240" s="35">
        <f t="shared" si="38"/>
        <v>0</v>
      </c>
      <c r="O240" s="35">
        <f t="shared" si="39"/>
        <v>0</v>
      </c>
      <c r="P240" s="125"/>
      <c r="Q240" s="98"/>
    </row>
    <row r="241" spans="1:17" s="33" customFormat="1" x14ac:dyDescent="0.2">
      <c r="A241" s="33">
        <v>9270</v>
      </c>
      <c r="B241" s="34" t="s">
        <v>15</v>
      </c>
      <c r="C241" s="36" t="s">
        <v>31</v>
      </c>
      <c r="D241" s="44">
        <v>6</v>
      </c>
      <c r="E241" s="42">
        <v>410</v>
      </c>
      <c r="F241" s="42">
        <v>50</v>
      </c>
      <c r="G241" s="42">
        <v>360</v>
      </c>
      <c r="H241" s="42">
        <v>1.48</v>
      </c>
      <c r="I241" s="42">
        <v>0.56000000000000005</v>
      </c>
      <c r="J241" s="42">
        <v>0.37</v>
      </c>
      <c r="K241" s="43">
        <f t="shared" si="36"/>
        <v>0.30665600000000004</v>
      </c>
      <c r="L241" s="34"/>
      <c r="M241" s="35">
        <f t="shared" si="37"/>
        <v>0</v>
      </c>
      <c r="N241" s="35">
        <f t="shared" si="38"/>
        <v>0</v>
      </c>
      <c r="O241" s="35">
        <f t="shared" si="39"/>
        <v>0</v>
      </c>
      <c r="P241" s="125"/>
      <c r="Q241" s="98"/>
    </row>
    <row r="242" spans="1:17" s="33" customFormat="1" x14ac:dyDescent="0.2">
      <c r="A242" s="33">
        <v>9278</v>
      </c>
      <c r="B242" s="34" t="s">
        <v>14</v>
      </c>
      <c r="C242" s="36" t="s">
        <v>32</v>
      </c>
      <c r="D242" s="39">
        <v>1000</v>
      </c>
      <c r="E242" s="39">
        <f t="shared" ref="E242:E251" si="40">G242+F242</f>
        <v>395</v>
      </c>
      <c r="F242" s="39">
        <v>40</v>
      </c>
      <c r="G242" s="39">
        <v>355</v>
      </c>
      <c r="H242" s="39">
        <v>1.05</v>
      </c>
      <c r="I242" s="39">
        <v>0.9</v>
      </c>
      <c r="J242" s="39">
        <v>0.55000000000000004</v>
      </c>
      <c r="K242" s="35">
        <f t="shared" si="36"/>
        <v>0.51975000000000005</v>
      </c>
      <c r="L242" s="34"/>
      <c r="M242" s="35">
        <f t="shared" si="37"/>
        <v>0</v>
      </c>
      <c r="N242" s="35">
        <f t="shared" si="38"/>
        <v>0</v>
      </c>
      <c r="O242" s="35">
        <f t="shared" si="39"/>
        <v>0</v>
      </c>
      <c r="Q242" s="98"/>
    </row>
    <row r="243" spans="1:17" s="33" customFormat="1" x14ac:dyDescent="0.2">
      <c r="A243" s="33">
        <v>9278</v>
      </c>
      <c r="B243" s="34" t="s">
        <v>14</v>
      </c>
      <c r="C243" s="36" t="s">
        <v>33</v>
      </c>
      <c r="D243" s="39">
        <v>450</v>
      </c>
      <c r="E243" s="39">
        <f t="shared" si="40"/>
        <v>360</v>
      </c>
      <c r="F243" s="39">
        <v>40</v>
      </c>
      <c r="G243" s="39">
        <v>320</v>
      </c>
      <c r="H243" s="34">
        <v>1.1000000000000001</v>
      </c>
      <c r="I243" s="39">
        <v>0.9</v>
      </c>
      <c r="J243" s="34">
        <v>0.75</v>
      </c>
      <c r="K243" s="37">
        <f t="shared" si="36"/>
        <v>0.74250000000000005</v>
      </c>
      <c r="L243" s="34"/>
      <c r="M243" s="35">
        <f t="shared" si="37"/>
        <v>0</v>
      </c>
      <c r="N243" s="35">
        <f t="shared" si="38"/>
        <v>0</v>
      </c>
      <c r="O243" s="35">
        <f t="shared" si="39"/>
        <v>0</v>
      </c>
      <c r="Q243" s="98"/>
    </row>
    <row r="244" spans="1:17" s="33" customFormat="1" x14ac:dyDescent="0.2">
      <c r="A244" s="33">
        <v>9278</v>
      </c>
      <c r="B244" s="34" t="s">
        <v>14</v>
      </c>
      <c r="C244" s="36" t="s">
        <v>34</v>
      </c>
      <c r="D244" s="39">
        <v>1000</v>
      </c>
      <c r="E244" s="39">
        <f t="shared" si="40"/>
        <v>492</v>
      </c>
      <c r="F244" s="39">
        <v>40</v>
      </c>
      <c r="G244" s="39">
        <v>452</v>
      </c>
      <c r="H244" s="39">
        <v>1.1000000000000001</v>
      </c>
      <c r="I244" s="39">
        <v>1.05</v>
      </c>
      <c r="J244" s="39">
        <v>0.55000000000000004</v>
      </c>
      <c r="K244" s="35">
        <f t="shared" si="36"/>
        <v>0.6352500000000002</v>
      </c>
      <c r="L244" s="34"/>
      <c r="M244" s="35">
        <f t="shared" si="37"/>
        <v>0</v>
      </c>
      <c r="N244" s="35">
        <f t="shared" si="38"/>
        <v>0</v>
      </c>
      <c r="O244" s="35">
        <f t="shared" si="39"/>
        <v>0</v>
      </c>
      <c r="Q244" s="98"/>
    </row>
    <row r="245" spans="1:17" s="33" customFormat="1" x14ac:dyDescent="0.2">
      <c r="A245" s="33">
        <v>9278</v>
      </c>
      <c r="B245" s="34" t="s">
        <v>14</v>
      </c>
      <c r="C245" s="36" t="s">
        <v>35</v>
      </c>
      <c r="D245" s="39">
        <v>450</v>
      </c>
      <c r="E245" s="39">
        <f t="shared" si="40"/>
        <v>421.5</v>
      </c>
      <c r="F245" s="39">
        <v>40</v>
      </c>
      <c r="G245" s="39">
        <v>381.5</v>
      </c>
      <c r="H245" s="39">
        <v>1.05</v>
      </c>
      <c r="I245" s="39">
        <v>1.05</v>
      </c>
      <c r="J245" s="34">
        <v>0.75</v>
      </c>
      <c r="K245" s="37">
        <f t="shared" si="36"/>
        <v>0.82687500000000003</v>
      </c>
      <c r="L245" s="34"/>
      <c r="M245" s="35">
        <f t="shared" si="37"/>
        <v>0</v>
      </c>
      <c r="N245" s="35">
        <f t="shared" si="38"/>
        <v>0</v>
      </c>
      <c r="O245" s="35">
        <f t="shared" si="39"/>
        <v>0</v>
      </c>
      <c r="Q245" s="98"/>
    </row>
    <row r="246" spans="1:17" s="33" customFormat="1" x14ac:dyDescent="0.2">
      <c r="A246" s="33">
        <v>9278</v>
      </c>
      <c r="B246" s="34" t="s">
        <v>14</v>
      </c>
      <c r="C246" s="36" t="s">
        <v>36</v>
      </c>
      <c r="D246" s="39">
        <v>1000</v>
      </c>
      <c r="E246" s="39">
        <f t="shared" si="40"/>
        <v>574</v>
      </c>
      <c r="F246" s="39">
        <v>40</v>
      </c>
      <c r="G246" s="39">
        <v>534</v>
      </c>
      <c r="H246" s="39">
        <v>1.1000000000000001</v>
      </c>
      <c r="I246" s="39">
        <v>1.2</v>
      </c>
      <c r="J246" s="39">
        <v>0.55000000000000004</v>
      </c>
      <c r="K246" s="35">
        <f t="shared" si="36"/>
        <v>0.72600000000000009</v>
      </c>
      <c r="L246" s="34"/>
      <c r="M246" s="35">
        <f t="shared" si="37"/>
        <v>0</v>
      </c>
      <c r="N246" s="35">
        <f t="shared" si="38"/>
        <v>0</v>
      </c>
      <c r="O246" s="35">
        <f t="shared" si="39"/>
        <v>0</v>
      </c>
      <c r="Q246" s="98"/>
    </row>
    <row r="247" spans="1:17" s="33" customFormat="1" x14ac:dyDescent="0.2">
      <c r="A247" s="33">
        <v>9278</v>
      </c>
      <c r="B247" s="34" t="s">
        <v>14</v>
      </c>
      <c r="C247" s="36" t="s">
        <v>37</v>
      </c>
      <c r="D247" s="39">
        <v>450</v>
      </c>
      <c r="E247" s="39">
        <f t="shared" si="40"/>
        <v>475</v>
      </c>
      <c r="F247" s="39">
        <v>40</v>
      </c>
      <c r="G247" s="39">
        <v>435</v>
      </c>
      <c r="H247" s="39">
        <v>1.05</v>
      </c>
      <c r="I247" s="39">
        <v>1.2</v>
      </c>
      <c r="J247" s="34">
        <v>0.75</v>
      </c>
      <c r="K247" s="35">
        <f t="shared" si="36"/>
        <v>0.94500000000000006</v>
      </c>
      <c r="L247" s="34"/>
      <c r="M247" s="35">
        <f t="shared" si="37"/>
        <v>0</v>
      </c>
      <c r="N247" s="35">
        <f t="shared" si="38"/>
        <v>0</v>
      </c>
      <c r="O247" s="35">
        <f t="shared" si="39"/>
        <v>0</v>
      </c>
      <c r="Q247" s="98"/>
    </row>
    <row r="248" spans="1:17" s="33" customFormat="1" x14ac:dyDescent="0.2">
      <c r="A248" s="33">
        <v>9278</v>
      </c>
      <c r="B248" s="34" t="s">
        <v>14</v>
      </c>
      <c r="C248" s="36" t="s">
        <v>38</v>
      </c>
      <c r="D248" s="39">
        <v>1000</v>
      </c>
      <c r="E248" s="39">
        <f t="shared" si="40"/>
        <v>645</v>
      </c>
      <c r="F248" s="39">
        <v>40</v>
      </c>
      <c r="G248" s="39">
        <v>605</v>
      </c>
      <c r="H248" s="39">
        <v>1.1000000000000001</v>
      </c>
      <c r="I248" s="39">
        <v>1.3</v>
      </c>
      <c r="J248" s="39">
        <v>0.55000000000000004</v>
      </c>
      <c r="K248" s="35">
        <f t="shared" si="36"/>
        <v>0.7865000000000002</v>
      </c>
      <c r="L248" s="34"/>
      <c r="M248" s="35">
        <f t="shared" si="37"/>
        <v>0</v>
      </c>
      <c r="N248" s="35">
        <f t="shared" si="38"/>
        <v>0</v>
      </c>
      <c r="O248" s="35">
        <f t="shared" si="39"/>
        <v>0</v>
      </c>
      <c r="Q248" s="98"/>
    </row>
    <row r="249" spans="1:17" s="33" customFormat="1" x14ac:dyDescent="0.2">
      <c r="A249" s="33">
        <v>9278</v>
      </c>
      <c r="B249" s="34" t="s">
        <v>14</v>
      </c>
      <c r="C249" s="36" t="s">
        <v>39</v>
      </c>
      <c r="D249" s="39">
        <v>450</v>
      </c>
      <c r="E249" s="39">
        <f t="shared" si="40"/>
        <v>515</v>
      </c>
      <c r="F249" s="39">
        <v>40</v>
      </c>
      <c r="G249" s="39">
        <v>475</v>
      </c>
      <c r="H249" s="39">
        <v>1.05</v>
      </c>
      <c r="I249" s="39">
        <v>1.3</v>
      </c>
      <c r="J249" s="34">
        <v>0.75</v>
      </c>
      <c r="K249" s="35">
        <f t="shared" si="36"/>
        <v>1.0237500000000002</v>
      </c>
      <c r="L249" s="34"/>
      <c r="M249" s="35">
        <f t="shared" si="37"/>
        <v>0</v>
      </c>
      <c r="N249" s="35">
        <f t="shared" si="38"/>
        <v>0</v>
      </c>
      <c r="O249" s="35">
        <f t="shared" si="39"/>
        <v>0</v>
      </c>
      <c r="Q249" s="98"/>
    </row>
    <row r="250" spans="1:17" s="33" customFormat="1" x14ac:dyDescent="0.2">
      <c r="A250" s="33">
        <v>9278</v>
      </c>
      <c r="B250" s="34" t="s">
        <v>14</v>
      </c>
      <c r="C250" s="36" t="s">
        <v>40</v>
      </c>
      <c r="D250" s="39">
        <v>1000</v>
      </c>
      <c r="E250" s="39">
        <f t="shared" si="40"/>
        <v>645</v>
      </c>
      <c r="F250" s="39">
        <v>40</v>
      </c>
      <c r="G250" s="39">
        <v>605</v>
      </c>
      <c r="H250" s="39">
        <v>1.1000000000000001</v>
      </c>
      <c r="I250" s="39">
        <v>1.3</v>
      </c>
      <c r="J250" s="39">
        <v>0.55000000000000004</v>
      </c>
      <c r="K250" s="35">
        <f t="shared" si="36"/>
        <v>0.7865000000000002</v>
      </c>
      <c r="L250" s="34"/>
      <c r="M250" s="35">
        <f t="shared" si="37"/>
        <v>0</v>
      </c>
      <c r="N250" s="35">
        <f t="shared" si="38"/>
        <v>0</v>
      </c>
      <c r="O250" s="35">
        <f t="shared" si="39"/>
        <v>0</v>
      </c>
      <c r="Q250" s="98"/>
    </row>
    <row r="251" spans="1:17" s="33" customFormat="1" x14ac:dyDescent="0.2">
      <c r="A251" s="33">
        <v>9278</v>
      </c>
      <c r="B251" s="34" t="s">
        <v>14</v>
      </c>
      <c r="C251" s="36" t="s">
        <v>41</v>
      </c>
      <c r="D251" s="39">
        <v>450</v>
      </c>
      <c r="E251" s="39">
        <f t="shared" si="40"/>
        <v>515</v>
      </c>
      <c r="F251" s="39">
        <v>40</v>
      </c>
      <c r="G251" s="39">
        <v>475</v>
      </c>
      <c r="H251" s="39">
        <v>1.05</v>
      </c>
      <c r="I251" s="39">
        <v>1.3</v>
      </c>
      <c r="J251" s="34">
        <v>0.75</v>
      </c>
      <c r="K251" s="35">
        <f t="shared" si="36"/>
        <v>1.0237500000000002</v>
      </c>
      <c r="L251" s="34"/>
      <c r="M251" s="35">
        <f t="shared" si="37"/>
        <v>0</v>
      </c>
      <c r="N251" s="35">
        <f t="shared" si="38"/>
        <v>0</v>
      </c>
      <c r="O251" s="35">
        <f t="shared" si="39"/>
        <v>0</v>
      </c>
      <c r="Q251" s="98"/>
    </row>
    <row r="252" spans="1:17" s="33" customFormat="1" x14ac:dyDescent="0.2">
      <c r="A252" s="33">
        <v>8952</v>
      </c>
      <c r="B252" s="34" t="s">
        <v>14</v>
      </c>
      <c r="C252" s="36" t="s">
        <v>22</v>
      </c>
      <c r="D252" s="38">
        <v>3000</v>
      </c>
      <c r="E252" s="39">
        <v>235</v>
      </c>
      <c r="F252" s="34">
        <v>35</v>
      </c>
      <c r="G252" s="39">
        <v>200</v>
      </c>
      <c r="H252" s="34">
        <v>1.1000000000000001</v>
      </c>
      <c r="I252" s="34">
        <v>1.1000000000000001</v>
      </c>
      <c r="J252" s="34">
        <v>1.02</v>
      </c>
      <c r="K252" s="37">
        <f t="shared" si="36"/>
        <v>1.2342000000000002</v>
      </c>
      <c r="L252" s="34"/>
      <c r="M252" s="35">
        <f t="shared" si="37"/>
        <v>0</v>
      </c>
      <c r="N252" s="35">
        <f t="shared" si="38"/>
        <v>0</v>
      </c>
      <c r="O252" s="35">
        <f t="shared" si="39"/>
        <v>0</v>
      </c>
      <c r="Q252" s="98"/>
    </row>
    <row r="253" spans="1:17" s="33" customFormat="1" x14ac:dyDescent="0.2">
      <c r="A253" s="33">
        <v>9278</v>
      </c>
      <c r="B253" s="34" t="s">
        <v>14</v>
      </c>
      <c r="C253" s="36" t="s">
        <v>23</v>
      </c>
      <c r="D253" s="40">
        <v>1000</v>
      </c>
      <c r="E253" s="41">
        <v>646</v>
      </c>
      <c r="F253" s="41">
        <f>E253-G253</f>
        <v>40</v>
      </c>
      <c r="G253" s="41">
        <v>606</v>
      </c>
      <c r="H253" s="41">
        <v>1.1000000000000001</v>
      </c>
      <c r="I253" s="41">
        <v>0.8</v>
      </c>
      <c r="J253" s="41">
        <v>0.55000000000000004</v>
      </c>
      <c r="K253" s="35">
        <f t="shared" si="36"/>
        <v>0.4840000000000001</v>
      </c>
      <c r="L253" s="34"/>
      <c r="M253" s="35">
        <f t="shared" si="37"/>
        <v>0</v>
      </c>
      <c r="N253" s="35">
        <f t="shared" si="38"/>
        <v>0</v>
      </c>
      <c r="O253" s="35">
        <f t="shared" si="39"/>
        <v>0</v>
      </c>
      <c r="Q253" s="98"/>
    </row>
    <row r="254" spans="1:17" s="33" customFormat="1" x14ac:dyDescent="0.2">
      <c r="A254" s="33">
        <v>9278</v>
      </c>
      <c r="B254" s="34" t="s">
        <v>14</v>
      </c>
      <c r="C254" s="36" t="s">
        <v>46</v>
      </c>
      <c r="D254" s="38">
        <v>4000</v>
      </c>
      <c r="E254" s="39">
        <v>424</v>
      </c>
      <c r="F254" s="34">
        <f>E254-G254</f>
        <v>52</v>
      </c>
      <c r="G254" s="39">
        <v>372</v>
      </c>
      <c r="H254" s="34">
        <v>1.1000000000000001</v>
      </c>
      <c r="I254" s="34">
        <v>0.8</v>
      </c>
      <c r="J254" s="34">
        <v>0.55000000000000004</v>
      </c>
      <c r="K254" s="37">
        <f t="shared" si="36"/>
        <v>0.4840000000000001</v>
      </c>
      <c r="L254" s="34"/>
      <c r="M254" s="35">
        <f t="shared" si="37"/>
        <v>0</v>
      </c>
      <c r="N254" s="35">
        <f t="shared" si="38"/>
        <v>0</v>
      </c>
      <c r="O254" s="35">
        <f t="shared" si="39"/>
        <v>0</v>
      </c>
      <c r="Q254" s="98"/>
    </row>
    <row r="255" spans="1:17" s="33" customFormat="1" ht="15" x14ac:dyDescent="0.2">
      <c r="A255" s="33">
        <v>9278</v>
      </c>
      <c r="B255" s="34" t="s">
        <v>14</v>
      </c>
      <c r="C255" s="36" t="s">
        <v>42</v>
      </c>
      <c r="D255" s="45">
        <v>1200</v>
      </c>
      <c r="E255" s="126">
        <v>666.4</v>
      </c>
      <c r="F255" s="126">
        <v>40</v>
      </c>
      <c r="G255" s="46">
        <v>588</v>
      </c>
      <c r="H255" s="128">
        <v>1</v>
      </c>
      <c r="I255" s="128">
        <v>0.75</v>
      </c>
      <c r="J255" s="128">
        <v>0.7</v>
      </c>
      <c r="K255" s="130">
        <v>0.5</v>
      </c>
      <c r="L255" s="34"/>
      <c r="M255" s="132">
        <f t="shared" si="37"/>
        <v>0</v>
      </c>
      <c r="N255" s="132">
        <f t="shared" si="38"/>
        <v>0</v>
      </c>
      <c r="O255" s="134">
        <f t="shared" si="39"/>
        <v>0</v>
      </c>
      <c r="Q255" s="98"/>
    </row>
    <row r="256" spans="1:17" s="33" customFormat="1" ht="15.75" thickBot="1" x14ac:dyDescent="0.25">
      <c r="A256" s="33">
        <v>9278</v>
      </c>
      <c r="B256" s="34" t="s">
        <v>14</v>
      </c>
      <c r="C256" s="36" t="s">
        <v>43</v>
      </c>
      <c r="D256" s="45">
        <v>1200</v>
      </c>
      <c r="E256" s="127"/>
      <c r="F256" s="127"/>
      <c r="G256" s="46">
        <v>38.4</v>
      </c>
      <c r="H256" s="129"/>
      <c r="I256" s="129"/>
      <c r="J256" s="129"/>
      <c r="K256" s="131"/>
      <c r="L256" s="34"/>
      <c r="M256" s="133"/>
      <c r="N256" s="133"/>
      <c r="O256" s="135"/>
      <c r="Q256" s="99"/>
    </row>
    <row r="257" spans="1:17" s="47" customFormat="1" x14ac:dyDescent="0.2">
      <c r="A257" s="47">
        <v>9270</v>
      </c>
      <c r="B257" s="48" t="s">
        <v>15</v>
      </c>
      <c r="C257" s="48" t="s">
        <v>16</v>
      </c>
      <c r="D257" s="48">
        <v>30</v>
      </c>
      <c r="E257" s="48">
        <v>669</v>
      </c>
      <c r="F257" s="48">
        <f>E257-G257</f>
        <v>53</v>
      </c>
      <c r="G257" s="48">
        <v>616</v>
      </c>
      <c r="H257" s="48">
        <v>1</v>
      </c>
      <c r="I257" s="48">
        <v>0.9</v>
      </c>
      <c r="J257" s="48">
        <v>0.73</v>
      </c>
      <c r="K257" s="48">
        <f t="shared" ref="K257:K285" si="41">H257*I257*J257</f>
        <v>0.65700000000000003</v>
      </c>
      <c r="L257" s="48"/>
      <c r="M257" s="11">
        <f t="shared" ref="M257:M286" si="42">L257/D257</f>
        <v>0</v>
      </c>
      <c r="N257" s="11">
        <f t="shared" ref="N257:N286" si="43">E257*M257</f>
        <v>0</v>
      </c>
      <c r="O257" s="11">
        <f>M257*K257</f>
        <v>0</v>
      </c>
      <c r="P257" s="114">
        <f>SUM(L257:L260)</f>
        <v>0</v>
      </c>
      <c r="Q257" s="100" t="s">
        <v>56</v>
      </c>
    </row>
    <row r="258" spans="1:17" s="47" customFormat="1" x14ac:dyDescent="0.2">
      <c r="A258" s="47">
        <v>9270</v>
      </c>
      <c r="B258" s="48" t="s">
        <v>15</v>
      </c>
      <c r="C258" s="48" t="s">
        <v>17</v>
      </c>
      <c r="D258" s="48">
        <v>30</v>
      </c>
      <c r="E258" s="48">
        <v>669</v>
      </c>
      <c r="F258" s="48">
        <f>E258-G258</f>
        <v>53</v>
      </c>
      <c r="G258" s="48">
        <v>616</v>
      </c>
      <c r="H258" s="48">
        <v>1</v>
      </c>
      <c r="I258" s="48">
        <v>0.9</v>
      </c>
      <c r="J258" s="48">
        <v>0.73</v>
      </c>
      <c r="K258" s="48">
        <f t="shared" si="41"/>
        <v>0.65700000000000003</v>
      </c>
      <c r="L258" s="48"/>
      <c r="M258" s="11">
        <f t="shared" si="42"/>
        <v>0</v>
      </c>
      <c r="N258" s="11">
        <f t="shared" si="43"/>
        <v>0</v>
      </c>
      <c r="O258" s="11">
        <f t="shared" ref="O258:O286" si="44">M258*K258</f>
        <v>0</v>
      </c>
      <c r="P258" s="114"/>
      <c r="Q258" s="101"/>
    </row>
    <row r="259" spans="1:17" s="47" customFormat="1" x14ac:dyDescent="0.2">
      <c r="A259" s="47">
        <v>9270</v>
      </c>
      <c r="B259" s="48" t="s">
        <v>15</v>
      </c>
      <c r="C259" s="48" t="s">
        <v>18</v>
      </c>
      <c r="D259" s="48">
        <v>30</v>
      </c>
      <c r="E259" s="48">
        <v>669</v>
      </c>
      <c r="F259" s="48">
        <f>E259-G259</f>
        <v>53</v>
      </c>
      <c r="G259" s="48">
        <v>616</v>
      </c>
      <c r="H259" s="48">
        <v>1</v>
      </c>
      <c r="I259" s="48">
        <v>0.9</v>
      </c>
      <c r="J259" s="48">
        <v>0.73</v>
      </c>
      <c r="K259" s="48">
        <f t="shared" si="41"/>
        <v>0.65700000000000003</v>
      </c>
      <c r="L259" s="48"/>
      <c r="M259" s="11">
        <f t="shared" si="42"/>
        <v>0</v>
      </c>
      <c r="N259" s="11">
        <f t="shared" si="43"/>
        <v>0</v>
      </c>
      <c r="O259" s="11">
        <f t="shared" si="44"/>
        <v>0</v>
      </c>
      <c r="P259" s="114"/>
      <c r="Q259" s="101"/>
    </row>
    <row r="260" spans="1:17" s="47" customFormat="1" x14ac:dyDescent="0.2">
      <c r="A260" s="47">
        <v>9270</v>
      </c>
      <c r="B260" s="48" t="s">
        <v>15</v>
      </c>
      <c r="C260" s="48" t="s">
        <v>19</v>
      </c>
      <c r="D260" s="48">
        <v>30</v>
      </c>
      <c r="E260" s="48">
        <v>669</v>
      </c>
      <c r="F260" s="48">
        <f>E260-G260</f>
        <v>53</v>
      </c>
      <c r="G260" s="48">
        <v>616</v>
      </c>
      <c r="H260" s="48">
        <v>1</v>
      </c>
      <c r="I260" s="48">
        <v>0.9</v>
      </c>
      <c r="J260" s="48">
        <v>0.73</v>
      </c>
      <c r="K260" s="48">
        <f t="shared" si="41"/>
        <v>0.65700000000000003</v>
      </c>
      <c r="L260" s="48"/>
      <c r="M260" s="11">
        <f t="shared" si="42"/>
        <v>0</v>
      </c>
      <c r="N260" s="11">
        <f t="shared" si="43"/>
        <v>0</v>
      </c>
      <c r="O260" s="11">
        <f t="shared" si="44"/>
        <v>0</v>
      </c>
      <c r="P260" s="114"/>
      <c r="Q260" s="101"/>
    </row>
    <row r="261" spans="1:17" s="47" customFormat="1" x14ac:dyDescent="0.2">
      <c r="A261" s="47">
        <v>9278</v>
      </c>
      <c r="B261" s="48" t="s">
        <v>14</v>
      </c>
      <c r="C261" s="49" t="s">
        <v>20</v>
      </c>
      <c r="D261" s="48">
        <v>5000</v>
      </c>
      <c r="E261" s="48">
        <v>490</v>
      </c>
      <c r="F261" s="48">
        <v>40</v>
      </c>
      <c r="G261" s="48">
        <v>450</v>
      </c>
      <c r="H261" s="48">
        <v>1</v>
      </c>
      <c r="I261" s="48">
        <v>0.98</v>
      </c>
      <c r="J261" s="48">
        <v>0.83</v>
      </c>
      <c r="K261" s="50">
        <f t="shared" si="41"/>
        <v>0.8133999999999999</v>
      </c>
      <c r="L261" s="48"/>
      <c r="M261" s="11">
        <f t="shared" si="42"/>
        <v>0</v>
      </c>
      <c r="N261" s="11">
        <f t="shared" si="43"/>
        <v>0</v>
      </c>
      <c r="O261" s="11">
        <f t="shared" si="44"/>
        <v>0</v>
      </c>
      <c r="Q261" s="101"/>
    </row>
    <row r="262" spans="1:17" s="47" customFormat="1" x14ac:dyDescent="0.2">
      <c r="A262" s="47">
        <v>9278</v>
      </c>
      <c r="B262" s="48" t="s">
        <v>14</v>
      </c>
      <c r="C262" s="49" t="s">
        <v>21</v>
      </c>
      <c r="D262" s="48">
        <v>360</v>
      </c>
      <c r="E262" s="48">
        <v>390</v>
      </c>
      <c r="F262" s="48">
        <v>40</v>
      </c>
      <c r="G262" s="48">
        <v>350</v>
      </c>
      <c r="H262" s="48">
        <v>1.05</v>
      </c>
      <c r="I262" s="48">
        <v>0.95</v>
      </c>
      <c r="J262" s="48">
        <v>0.55000000000000004</v>
      </c>
      <c r="K262" s="50">
        <f t="shared" si="41"/>
        <v>0.54862500000000003</v>
      </c>
      <c r="L262" s="48"/>
      <c r="M262" s="11">
        <f t="shared" si="42"/>
        <v>0</v>
      </c>
      <c r="N262" s="11">
        <f t="shared" si="43"/>
        <v>0</v>
      </c>
      <c r="O262" s="11">
        <f t="shared" si="44"/>
        <v>0</v>
      </c>
      <c r="Q262" s="101"/>
    </row>
    <row r="263" spans="1:17" s="47" customFormat="1" x14ac:dyDescent="0.2">
      <c r="A263" s="47">
        <v>8952</v>
      </c>
      <c r="B263" s="48" t="s">
        <v>14</v>
      </c>
      <c r="C263" s="49" t="s">
        <v>22</v>
      </c>
      <c r="D263" s="51">
        <v>3000</v>
      </c>
      <c r="E263" s="52">
        <v>235</v>
      </c>
      <c r="F263" s="48">
        <v>35</v>
      </c>
      <c r="G263" s="52">
        <v>200</v>
      </c>
      <c r="H263" s="48">
        <v>1.1000000000000001</v>
      </c>
      <c r="I263" s="48">
        <v>1.1000000000000001</v>
      </c>
      <c r="J263" s="48">
        <v>1.02</v>
      </c>
      <c r="K263" s="50">
        <f t="shared" si="41"/>
        <v>1.2342000000000002</v>
      </c>
      <c r="L263" s="48"/>
      <c r="M263" s="11">
        <f t="shared" si="42"/>
        <v>0</v>
      </c>
      <c r="N263" s="11">
        <f t="shared" si="43"/>
        <v>0</v>
      </c>
      <c r="O263" s="11">
        <f t="shared" si="44"/>
        <v>0</v>
      </c>
      <c r="Q263" s="101"/>
    </row>
    <row r="264" spans="1:17" s="47" customFormat="1" x14ac:dyDescent="0.2">
      <c r="A264" s="47">
        <v>9278</v>
      </c>
      <c r="B264" s="48" t="s">
        <v>14</v>
      </c>
      <c r="C264" s="49" t="s">
        <v>23</v>
      </c>
      <c r="D264" s="9">
        <v>1000</v>
      </c>
      <c r="E264" s="10">
        <v>646</v>
      </c>
      <c r="F264" s="10">
        <f>E264-G264</f>
        <v>40</v>
      </c>
      <c r="G264" s="10">
        <v>606</v>
      </c>
      <c r="H264" s="10">
        <v>1.1000000000000001</v>
      </c>
      <c r="I264" s="10">
        <v>0.8</v>
      </c>
      <c r="J264" s="10">
        <v>0.55000000000000004</v>
      </c>
      <c r="K264" s="11">
        <f t="shared" si="41"/>
        <v>0.4840000000000001</v>
      </c>
      <c r="L264" s="48"/>
      <c r="M264" s="11">
        <f t="shared" si="42"/>
        <v>0</v>
      </c>
      <c r="N264" s="11">
        <f t="shared" si="43"/>
        <v>0</v>
      </c>
      <c r="O264" s="11">
        <f t="shared" si="44"/>
        <v>0</v>
      </c>
      <c r="Q264" s="101"/>
    </row>
    <row r="265" spans="1:17" s="47" customFormat="1" x14ac:dyDescent="0.2">
      <c r="A265" s="47">
        <v>9286</v>
      </c>
      <c r="B265" s="48" t="s">
        <v>47</v>
      </c>
      <c r="C265" s="49" t="s">
        <v>24</v>
      </c>
      <c r="D265" s="51">
        <v>4000</v>
      </c>
      <c r="E265" s="52">
        <v>424</v>
      </c>
      <c r="F265" s="48">
        <f>E265-G265</f>
        <v>52</v>
      </c>
      <c r="G265" s="52">
        <v>372</v>
      </c>
      <c r="H265" s="48">
        <v>1.1000000000000001</v>
      </c>
      <c r="I265" s="48">
        <v>0.8</v>
      </c>
      <c r="J265" s="48">
        <v>0.55000000000000004</v>
      </c>
      <c r="K265" s="50">
        <f t="shared" si="41"/>
        <v>0.4840000000000001</v>
      </c>
      <c r="L265" s="48"/>
      <c r="M265" s="11">
        <f t="shared" si="42"/>
        <v>0</v>
      </c>
      <c r="N265" s="11">
        <f t="shared" si="43"/>
        <v>0</v>
      </c>
      <c r="O265" s="11">
        <f t="shared" si="44"/>
        <v>0</v>
      </c>
      <c r="Q265" s="101"/>
    </row>
    <row r="266" spans="1:17" s="47" customFormat="1" x14ac:dyDescent="0.2">
      <c r="A266" s="47">
        <v>9278</v>
      </c>
      <c r="B266" s="48" t="s">
        <v>14</v>
      </c>
      <c r="C266" s="49" t="s">
        <v>25</v>
      </c>
      <c r="D266" s="48">
        <v>1000</v>
      </c>
      <c r="E266" s="48">
        <v>830</v>
      </c>
      <c r="F266" s="48">
        <v>40</v>
      </c>
      <c r="G266" s="48">
        <v>790</v>
      </c>
      <c r="H266" s="48">
        <v>1.04</v>
      </c>
      <c r="I266" s="48">
        <v>0.84</v>
      </c>
      <c r="J266" s="48">
        <v>0.64</v>
      </c>
      <c r="K266" s="50">
        <f t="shared" si="41"/>
        <v>0.55910400000000005</v>
      </c>
      <c r="L266" s="48"/>
      <c r="M266" s="11">
        <f t="shared" si="42"/>
        <v>0</v>
      </c>
      <c r="N266" s="11">
        <f t="shared" si="43"/>
        <v>0</v>
      </c>
      <c r="O266" s="11">
        <f t="shared" si="44"/>
        <v>0</v>
      </c>
      <c r="Q266" s="101"/>
    </row>
    <row r="267" spans="1:17" s="47" customFormat="1" x14ac:dyDescent="0.2">
      <c r="A267" s="47">
        <v>9278</v>
      </c>
      <c r="B267" s="48" t="s">
        <v>14</v>
      </c>
      <c r="C267" s="49" t="s">
        <v>26</v>
      </c>
      <c r="D267" s="48">
        <v>4000</v>
      </c>
      <c r="E267" s="48">
        <v>223</v>
      </c>
      <c r="F267" s="48">
        <v>30</v>
      </c>
      <c r="G267" s="48">
        <v>188</v>
      </c>
      <c r="H267" s="48">
        <v>0.86</v>
      </c>
      <c r="I267" s="48">
        <v>0.78</v>
      </c>
      <c r="J267" s="48">
        <v>0.74</v>
      </c>
      <c r="K267" s="50">
        <f t="shared" si="41"/>
        <v>0.49639200000000006</v>
      </c>
      <c r="L267" s="48"/>
      <c r="M267" s="11">
        <f t="shared" si="42"/>
        <v>0</v>
      </c>
      <c r="N267" s="11">
        <f t="shared" si="43"/>
        <v>0</v>
      </c>
      <c r="O267" s="11">
        <f t="shared" si="44"/>
        <v>0</v>
      </c>
      <c r="Q267" s="101"/>
    </row>
    <row r="268" spans="1:17" s="47" customFormat="1" x14ac:dyDescent="0.2">
      <c r="A268" s="47">
        <v>9270</v>
      </c>
      <c r="B268" s="48" t="s">
        <v>15</v>
      </c>
      <c r="C268" s="49" t="s">
        <v>27</v>
      </c>
      <c r="D268" s="53">
        <v>12</v>
      </c>
      <c r="E268" s="53">
        <v>435</v>
      </c>
      <c r="F268" s="53">
        <v>39</v>
      </c>
      <c r="G268" s="53">
        <v>396</v>
      </c>
      <c r="H268" s="53">
        <v>0.86</v>
      </c>
      <c r="I268" s="53">
        <v>0.56000000000000005</v>
      </c>
      <c r="J268" s="53">
        <v>0.51</v>
      </c>
      <c r="K268" s="54">
        <f t="shared" si="41"/>
        <v>0.24561600000000003</v>
      </c>
      <c r="L268" s="48"/>
      <c r="M268" s="11">
        <f t="shared" si="42"/>
        <v>0</v>
      </c>
      <c r="N268" s="11">
        <f t="shared" si="43"/>
        <v>0</v>
      </c>
      <c r="O268" s="11">
        <f t="shared" si="44"/>
        <v>0</v>
      </c>
      <c r="P268" s="114">
        <f>SUM(L268:L272)</f>
        <v>0</v>
      </c>
      <c r="Q268" s="101"/>
    </row>
    <row r="269" spans="1:17" s="47" customFormat="1" x14ac:dyDescent="0.2">
      <c r="A269" s="47">
        <v>9270</v>
      </c>
      <c r="B269" s="48" t="s">
        <v>15</v>
      </c>
      <c r="C269" s="49" t="s">
        <v>28</v>
      </c>
      <c r="D269" s="53">
        <v>12</v>
      </c>
      <c r="E269" s="53">
        <v>520</v>
      </c>
      <c r="F269" s="53">
        <v>40</v>
      </c>
      <c r="G269" s="53">
        <v>480</v>
      </c>
      <c r="H269" s="53">
        <v>1.03</v>
      </c>
      <c r="I269" s="53">
        <v>0.56000000000000005</v>
      </c>
      <c r="J269" s="53">
        <v>0.51</v>
      </c>
      <c r="K269" s="54">
        <f t="shared" si="41"/>
        <v>0.29416800000000004</v>
      </c>
      <c r="L269" s="48"/>
      <c r="M269" s="11">
        <f t="shared" si="42"/>
        <v>0</v>
      </c>
      <c r="N269" s="11">
        <f t="shared" si="43"/>
        <v>0</v>
      </c>
      <c r="O269" s="11">
        <f t="shared" si="44"/>
        <v>0</v>
      </c>
      <c r="P269" s="114"/>
      <c r="Q269" s="101"/>
    </row>
    <row r="270" spans="1:17" s="47" customFormat="1" x14ac:dyDescent="0.2">
      <c r="A270" s="47">
        <v>9270</v>
      </c>
      <c r="B270" s="48" t="s">
        <v>15</v>
      </c>
      <c r="C270" s="49" t="s">
        <v>29</v>
      </c>
      <c r="D270" s="53">
        <v>12</v>
      </c>
      <c r="E270" s="53">
        <v>596</v>
      </c>
      <c r="F270" s="53">
        <v>44</v>
      </c>
      <c r="G270" s="53">
        <v>552</v>
      </c>
      <c r="H270" s="53">
        <v>1.17</v>
      </c>
      <c r="I270" s="53">
        <v>0.56000000000000005</v>
      </c>
      <c r="J270" s="53">
        <v>0.51</v>
      </c>
      <c r="K270" s="54">
        <f t="shared" si="41"/>
        <v>0.334152</v>
      </c>
      <c r="L270" s="48"/>
      <c r="M270" s="11">
        <f t="shared" si="42"/>
        <v>0</v>
      </c>
      <c r="N270" s="11">
        <f t="shared" si="43"/>
        <v>0</v>
      </c>
      <c r="O270" s="11">
        <f t="shared" si="44"/>
        <v>0</v>
      </c>
      <c r="P270" s="114"/>
      <c r="Q270" s="101"/>
    </row>
    <row r="271" spans="1:17" s="47" customFormat="1" x14ac:dyDescent="0.2">
      <c r="A271" s="47">
        <v>9270</v>
      </c>
      <c r="B271" s="48" t="s">
        <v>15</v>
      </c>
      <c r="C271" s="49" t="s">
        <v>30</v>
      </c>
      <c r="D271" s="55">
        <v>12</v>
      </c>
      <c r="E271" s="53">
        <v>654</v>
      </c>
      <c r="F271" s="53">
        <v>42</v>
      </c>
      <c r="G271" s="53">
        <v>612</v>
      </c>
      <c r="H271" s="53">
        <v>1.2749999999999999</v>
      </c>
      <c r="I271" s="53">
        <v>0.56000000000000005</v>
      </c>
      <c r="J271" s="53">
        <v>0.51</v>
      </c>
      <c r="K271" s="54">
        <f t="shared" si="41"/>
        <v>0.36413999999999996</v>
      </c>
      <c r="L271" s="48"/>
      <c r="M271" s="11">
        <f t="shared" si="42"/>
        <v>0</v>
      </c>
      <c r="N271" s="11">
        <f t="shared" si="43"/>
        <v>0</v>
      </c>
      <c r="O271" s="11">
        <f t="shared" si="44"/>
        <v>0</v>
      </c>
      <c r="P271" s="114"/>
      <c r="Q271" s="101"/>
    </row>
    <row r="272" spans="1:17" s="47" customFormat="1" x14ac:dyDescent="0.2">
      <c r="A272" s="47">
        <v>9270</v>
      </c>
      <c r="B272" s="48" t="s">
        <v>15</v>
      </c>
      <c r="C272" s="49" t="s">
        <v>31</v>
      </c>
      <c r="D272" s="55">
        <v>6</v>
      </c>
      <c r="E272" s="53">
        <v>410</v>
      </c>
      <c r="F272" s="53">
        <v>50</v>
      </c>
      <c r="G272" s="53">
        <v>360</v>
      </c>
      <c r="H272" s="53">
        <v>1.48</v>
      </c>
      <c r="I272" s="53">
        <v>0.56000000000000005</v>
      </c>
      <c r="J272" s="53">
        <v>0.37</v>
      </c>
      <c r="K272" s="54">
        <f t="shared" si="41"/>
        <v>0.30665600000000004</v>
      </c>
      <c r="L272" s="48"/>
      <c r="M272" s="11">
        <f t="shared" si="42"/>
        <v>0</v>
      </c>
      <c r="N272" s="11">
        <f t="shared" si="43"/>
        <v>0</v>
      </c>
      <c r="O272" s="11">
        <f t="shared" si="44"/>
        <v>0</v>
      </c>
      <c r="P272" s="114"/>
      <c r="Q272" s="101"/>
    </row>
    <row r="273" spans="1:17" s="47" customFormat="1" x14ac:dyDescent="0.2">
      <c r="A273" s="47">
        <v>9278</v>
      </c>
      <c r="B273" s="48" t="s">
        <v>14</v>
      </c>
      <c r="C273" s="49" t="s">
        <v>32</v>
      </c>
      <c r="D273" s="52">
        <v>1000</v>
      </c>
      <c r="E273" s="52">
        <f t="shared" ref="E273:E282" si="45">G273+F273</f>
        <v>395</v>
      </c>
      <c r="F273" s="52">
        <v>40</v>
      </c>
      <c r="G273" s="52">
        <v>355</v>
      </c>
      <c r="H273" s="52">
        <v>1.05</v>
      </c>
      <c r="I273" s="52">
        <v>0.9</v>
      </c>
      <c r="J273" s="52">
        <v>0.55000000000000004</v>
      </c>
      <c r="K273" s="11">
        <f t="shared" si="41"/>
        <v>0.51975000000000005</v>
      </c>
      <c r="L273" s="48"/>
      <c r="M273" s="11">
        <f t="shared" si="42"/>
        <v>0</v>
      </c>
      <c r="N273" s="11">
        <f t="shared" si="43"/>
        <v>0</v>
      </c>
      <c r="O273" s="11">
        <f t="shared" si="44"/>
        <v>0</v>
      </c>
      <c r="Q273" s="101"/>
    </row>
    <row r="274" spans="1:17" s="47" customFormat="1" x14ac:dyDescent="0.2">
      <c r="A274" s="47">
        <v>9278</v>
      </c>
      <c r="B274" s="48" t="s">
        <v>14</v>
      </c>
      <c r="C274" s="49" t="s">
        <v>33</v>
      </c>
      <c r="D274" s="52">
        <v>450</v>
      </c>
      <c r="E274" s="52">
        <f t="shared" si="45"/>
        <v>360</v>
      </c>
      <c r="F274" s="52">
        <v>40</v>
      </c>
      <c r="G274" s="52">
        <v>320</v>
      </c>
      <c r="H274" s="48">
        <v>1.1000000000000001</v>
      </c>
      <c r="I274" s="52">
        <v>0.9</v>
      </c>
      <c r="J274" s="48">
        <v>0.75</v>
      </c>
      <c r="K274" s="50">
        <f t="shared" si="41"/>
        <v>0.74250000000000005</v>
      </c>
      <c r="L274" s="48"/>
      <c r="M274" s="11">
        <f t="shared" si="42"/>
        <v>0</v>
      </c>
      <c r="N274" s="11">
        <f t="shared" si="43"/>
        <v>0</v>
      </c>
      <c r="O274" s="11">
        <f t="shared" si="44"/>
        <v>0</v>
      </c>
      <c r="Q274" s="101"/>
    </row>
    <row r="275" spans="1:17" s="47" customFormat="1" x14ac:dyDescent="0.2">
      <c r="A275" s="47">
        <v>9278</v>
      </c>
      <c r="B275" s="48" t="s">
        <v>14</v>
      </c>
      <c r="C275" s="49" t="s">
        <v>34</v>
      </c>
      <c r="D275" s="52">
        <v>1000</v>
      </c>
      <c r="E275" s="52">
        <f t="shared" si="45"/>
        <v>492</v>
      </c>
      <c r="F275" s="52">
        <v>40</v>
      </c>
      <c r="G275" s="52">
        <v>452</v>
      </c>
      <c r="H275" s="52">
        <v>1.1000000000000001</v>
      </c>
      <c r="I275" s="52">
        <v>1.05</v>
      </c>
      <c r="J275" s="52">
        <v>0.55000000000000004</v>
      </c>
      <c r="K275" s="11">
        <f t="shared" si="41"/>
        <v>0.6352500000000002</v>
      </c>
      <c r="L275" s="48"/>
      <c r="M275" s="11">
        <f t="shared" si="42"/>
        <v>0</v>
      </c>
      <c r="N275" s="11">
        <f t="shared" si="43"/>
        <v>0</v>
      </c>
      <c r="O275" s="11">
        <f t="shared" si="44"/>
        <v>0</v>
      </c>
      <c r="Q275" s="101"/>
    </row>
    <row r="276" spans="1:17" s="47" customFormat="1" x14ac:dyDescent="0.2">
      <c r="A276" s="47">
        <v>9278</v>
      </c>
      <c r="B276" s="48" t="s">
        <v>14</v>
      </c>
      <c r="C276" s="49" t="s">
        <v>35</v>
      </c>
      <c r="D276" s="52">
        <v>450</v>
      </c>
      <c r="E276" s="52">
        <f t="shared" si="45"/>
        <v>421.5</v>
      </c>
      <c r="F276" s="52">
        <v>40</v>
      </c>
      <c r="G276" s="52">
        <v>381.5</v>
      </c>
      <c r="H276" s="52">
        <v>1.05</v>
      </c>
      <c r="I276" s="52">
        <v>1.05</v>
      </c>
      <c r="J276" s="48">
        <v>0.75</v>
      </c>
      <c r="K276" s="50">
        <f t="shared" si="41"/>
        <v>0.82687500000000003</v>
      </c>
      <c r="L276" s="48"/>
      <c r="M276" s="11">
        <f t="shared" si="42"/>
        <v>0</v>
      </c>
      <c r="N276" s="11">
        <f t="shared" si="43"/>
        <v>0</v>
      </c>
      <c r="O276" s="11">
        <f t="shared" si="44"/>
        <v>0</v>
      </c>
      <c r="Q276" s="101"/>
    </row>
    <row r="277" spans="1:17" s="47" customFormat="1" x14ac:dyDescent="0.2">
      <c r="A277" s="47">
        <v>9278</v>
      </c>
      <c r="B277" s="48" t="s">
        <v>14</v>
      </c>
      <c r="C277" s="49" t="s">
        <v>36</v>
      </c>
      <c r="D277" s="52">
        <v>1000</v>
      </c>
      <c r="E277" s="52">
        <f t="shared" si="45"/>
        <v>574</v>
      </c>
      <c r="F277" s="52">
        <v>40</v>
      </c>
      <c r="G277" s="52">
        <v>534</v>
      </c>
      <c r="H277" s="52">
        <v>1.1000000000000001</v>
      </c>
      <c r="I277" s="52">
        <v>1.2</v>
      </c>
      <c r="J277" s="52">
        <v>0.55000000000000004</v>
      </c>
      <c r="K277" s="11">
        <f t="shared" si="41"/>
        <v>0.72600000000000009</v>
      </c>
      <c r="L277" s="48"/>
      <c r="M277" s="11">
        <f t="shared" si="42"/>
        <v>0</v>
      </c>
      <c r="N277" s="11">
        <f t="shared" si="43"/>
        <v>0</v>
      </c>
      <c r="O277" s="11">
        <f t="shared" si="44"/>
        <v>0</v>
      </c>
      <c r="Q277" s="101"/>
    </row>
    <row r="278" spans="1:17" s="47" customFormat="1" x14ac:dyDescent="0.2">
      <c r="A278" s="47">
        <v>9278</v>
      </c>
      <c r="B278" s="48" t="s">
        <v>14</v>
      </c>
      <c r="C278" s="49" t="s">
        <v>37</v>
      </c>
      <c r="D278" s="52">
        <v>450</v>
      </c>
      <c r="E278" s="52">
        <f t="shared" si="45"/>
        <v>475</v>
      </c>
      <c r="F278" s="52">
        <v>40</v>
      </c>
      <c r="G278" s="52">
        <v>435</v>
      </c>
      <c r="H278" s="52">
        <v>1.05</v>
      </c>
      <c r="I278" s="52">
        <v>1.2</v>
      </c>
      <c r="J278" s="48">
        <v>0.75</v>
      </c>
      <c r="K278" s="11">
        <f t="shared" si="41"/>
        <v>0.94500000000000006</v>
      </c>
      <c r="L278" s="48"/>
      <c r="M278" s="11">
        <f t="shared" si="42"/>
        <v>0</v>
      </c>
      <c r="N278" s="11">
        <f t="shared" si="43"/>
        <v>0</v>
      </c>
      <c r="O278" s="11">
        <f t="shared" si="44"/>
        <v>0</v>
      </c>
      <c r="Q278" s="101"/>
    </row>
    <row r="279" spans="1:17" s="47" customFormat="1" x14ac:dyDescent="0.2">
      <c r="A279" s="47">
        <v>9278</v>
      </c>
      <c r="B279" s="48" t="s">
        <v>14</v>
      </c>
      <c r="C279" s="49" t="s">
        <v>38</v>
      </c>
      <c r="D279" s="52">
        <v>1000</v>
      </c>
      <c r="E279" s="52">
        <f t="shared" si="45"/>
        <v>645</v>
      </c>
      <c r="F279" s="52">
        <v>40</v>
      </c>
      <c r="G279" s="52">
        <v>605</v>
      </c>
      <c r="H279" s="52">
        <v>1.1000000000000001</v>
      </c>
      <c r="I279" s="52">
        <v>1.3</v>
      </c>
      <c r="J279" s="52">
        <v>0.55000000000000004</v>
      </c>
      <c r="K279" s="11">
        <f t="shared" si="41"/>
        <v>0.7865000000000002</v>
      </c>
      <c r="L279" s="48"/>
      <c r="M279" s="11">
        <f t="shared" si="42"/>
        <v>0</v>
      </c>
      <c r="N279" s="11">
        <f t="shared" si="43"/>
        <v>0</v>
      </c>
      <c r="O279" s="11">
        <f t="shared" si="44"/>
        <v>0</v>
      </c>
      <c r="Q279" s="101"/>
    </row>
    <row r="280" spans="1:17" s="47" customFormat="1" x14ac:dyDescent="0.2">
      <c r="A280" s="47">
        <v>9278</v>
      </c>
      <c r="B280" s="48" t="s">
        <v>14</v>
      </c>
      <c r="C280" s="49" t="s">
        <v>39</v>
      </c>
      <c r="D280" s="52">
        <v>450</v>
      </c>
      <c r="E280" s="52">
        <f t="shared" si="45"/>
        <v>515</v>
      </c>
      <c r="F280" s="52">
        <v>40</v>
      </c>
      <c r="G280" s="52">
        <v>475</v>
      </c>
      <c r="H280" s="52">
        <v>1.05</v>
      </c>
      <c r="I280" s="52">
        <v>1.3</v>
      </c>
      <c r="J280" s="48">
        <v>0.75</v>
      </c>
      <c r="K280" s="11">
        <f t="shared" si="41"/>
        <v>1.0237500000000002</v>
      </c>
      <c r="L280" s="48"/>
      <c r="M280" s="11">
        <f t="shared" si="42"/>
        <v>0</v>
      </c>
      <c r="N280" s="11">
        <f t="shared" si="43"/>
        <v>0</v>
      </c>
      <c r="O280" s="11">
        <f t="shared" si="44"/>
        <v>0</v>
      </c>
      <c r="Q280" s="101"/>
    </row>
    <row r="281" spans="1:17" s="47" customFormat="1" x14ac:dyDescent="0.2">
      <c r="A281" s="47">
        <v>9278</v>
      </c>
      <c r="B281" s="48" t="s">
        <v>14</v>
      </c>
      <c r="C281" s="49" t="s">
        <v>40</v>
      </c>
      <c r="D281" s="52">
        <v>1000</v>
      </c>
      <c r="E281" s="52">
        <f t="shared" si="45"/>
        <v>645</v>
      </c>
      <c r="F281" s="52">
        <v>40</v>
      </c>
      <c r="G281" s="52">
        <v>605</v>
      </c>
      <c r="H281" s="52">
        <v>1.1000000000000001</v>
      </c>
      <c r="I281" s="52">
        <v>1.3</v>
      </c>
      <c r="J281" s="52">
        <v>0.55000000000000004</v>
      </c>
      <c r="K281" s="11">
        <f t="shared" si="41"/>
        <v>0.7865000000000002</v>
      </c>
      <c r="L281" s="48"/>
      <c r="M281" s="11">
        <f t="shared" si="42"/>
        <v>0</v>
      </c>
      <c r="N281" s="11">
        <f t="shared" si="43"/>
        <v>0</v>
      </c>
      <c r="O281" s="11">
        <f t="shared" si="44"/>
        <v>0</v>
      </c>
      <c r="Q281" s="101"/>
    </row>
    <row r="282" spans="1:17" s="47" customFormat="1" x14ac:dyDescent="0.2">
      <c r="A282" s="47">
        <v>9278</v>
      </c>
      <c r="B282" s="48" t="s">
        <v>14</v>
      </c>
      <c r="C282" s="49" t="s">
        <v>41</v>
      </c>
      <c r="D282" s="52">
        <v>450</v>
      </c>
      <c r="E282" s="52">
        <f t="shared" si="45"/>
        <v>515</v>
      </c>
      <c r="F282" s="52">
        <v>40</v>
      </c>
      <c r="G282" s="52">
        <v>475</v>
      </c>
      <c r="H282" s="52">
        <v>1.05</v>
      </c>
      <c r="I282" s="52">
        <v>1.3</v>
      </c>
      <c r="J282" s="48">
        <v>0.75</v>
      </c>
      <c r="K282" s="11">
        <f t="shared" si="41"/>
        <v>1.0237500000000002</v>
      </c>
      <c r="L282" s="48"/>
      <c r="M282" s="11">
        <f t="shared" si="42"/>
        <v>0</v>
      </c>
      <c r="N282" s="11">
        <f t="shared" si="43"/>
        <v>0</v>
      </c>
      <c r="O282" s="11">
        <f t="shared" si="44"/>
        <v>0</v>
      </c>
      <c r="Q282" s="101"/>
    </row>
    <row r="283" spans="1:17" s="47" customFormat="1" x14ac:dyDescent="0.2">
      <c r="A283" s="47">
        <v>8952</v>
      </c>
      <c r="B283" s="48" t="s">
        <v>14</v>
      </c>
      <c r="C283" s="49" t="s">
        <v>22</v>
      </c>
      <c r="D283" s="51">
        <v>3000</v>
      </c>
      <c r="E283" s="52">
        <v>235</v>
      </c>
      <c r="F283" s="48">
        <v>35</v>
      </c>
      <c r="G283" s="52">
        <v>200</v>
      </c>
      <c r="H283" s="48">
        <v>1.1000000000000001</v>
      </c>
      <c r="I283" s="48">
        <v>1.1000000000000001</v>
      </c>
      <c r="J283" s="48">
        <v>1.02</v>
      </c>
      <c r="K283" s="50">
        <f t="shared" si="41"/>
        <v>1.2342000000000002</v>
      </c>
      <c r="L283" s="48"/>
      <c r="M283" s="11">
        <f t="shared" si="42"/>
        <v>0</v>
      </c>
      <c r="N283" s="11">
        <f t="shared" si="43"/>
        <v>0</v>
      </c>
      <c r="O283" s="11">
        <f t="shared" si="44"/>
        <v>0</v>
      </c>
      <c r="Q283" s="101"/>
    </row>
    <row r="284" spans="1:17" s="47" customFormat="1" x14ac:dyDescent="0.2">
      <c r="A284" s="47">
        <v>9278</v>
      </c>
      <c r="B284" s="48" t="s">
        <v>14</v>
      </c>
      <c r="C284" s="49" t="s">
        <v>23</v>
      </c>
      <c r="D284" s="9">
        <v>1000</v>
      </c>
      <c r="E284" s="10">
        <v>646</v>
      </c>
      <c r="F284" s="10">
        <f>E284-G284</f>
        <v>40</v>
      </c>
      <c r="G284" s="10">
        <v>606</v>
      </c>
      <c r="H284" s="10">
        <v>1.1000000000000001</v>
      </c>
      <c r="I284" s="10">
        <v>0.8</v>
      </c>
      <c r="J284" s="10">
        <v>0.55000000000000004</v>
      </c>
      <c r="K284" s="11">
        <f t="shared" si="41"/>
        <v>0.4840000000000001</v>
      </c>
      <c r="L284" s="48"/>
      <c r="M284" s="11">
        <f t="shared" si="42"/>
        <v>0</v>
      </c>
      <c r="N284" s="11">
        <f t="shared" si="43"/>
        <v>0</v>
      </c>
      <c r="O284" s="11">
        <f t="shared" si="44"/>
        <v>0</v>
      </c>
      <c r="Q284" s="101"/>
    </row>
    <row r="285" spans="1:17" s="47" customFormat="1" x14ac:dyDescent="0.2">
      <c r="A285" s="47">
        <v>9278</v>
      </c>
      <c r="B285" s="48" t="s">
        <v>14</v>
      </c>
      <c r="C285" s="49" t="s">
        <v>46</v>
      </c>
      <c r="D285" s="51">
        <v>4000</v>
      </c>
      <c r="E285" s="52">
        <v>424</v>
      </c>
      <c r="F285" s="48">
        <f>E285-G285</f>
        <v>52</v>
      </c>
      <c r="G285" s="52">
        <v>372</v>
      </c>
      <c r="H285" s="48">
        <v>1.1000000000000001</v>
      </c>
      <c r="I285" s="48">
        <v>0.8</v>
      </c>
      <c r="J285" s="48">
        <v>0.55000000000000004</v>
      </c>
      <c r="K285" s="50">
        <f t="shared" si="41"/>
        <v>0.4840000000000001</v>
      </c>
      <c r="L285" s="48"/>
      <c r="M285" s="11">
        <f t="shared" si="42"/>
        <v>0</v>
      </c>
      <c r="N285" s="11">
        <f t="shared" si="43"/>
        <v>0</v>
      </c>
      <c r="O285" s="11">
        <f t="shared" si="44"/>
        <v>0</v>
      </c>
      <c r="Q285" s="101"/>
    </row>
    <row r="286" spans="1:17" s="47" customFormat="1" ht="15" x14ac:dyDescent="0.2">
      <c r="A286" s="47">
        <v>9278</v>
      </c>
      <c r="B286" s="48" t="s">
        <v>14</v>
      </c>
      <c r="C286" s="49" t="s">
        <v>42</v>
      </c>
      <c r="D286" s="56">
        <v>1200</v>
      </c>
      <c r="E286" s="115">
        <v>666.4</v>
      </c>
      <c r="F286" s="115">
        <v>40</v>
      </c>
      <c r="G286" s="57">
        <v>588</v>
      </c>
      <c r="H286" s="117">
        <v>1</v>
      </c>
      <c r="I286" s="117">
        <v>0.75</v>
      </c>
      <c r="J286" s="117">
        <v>0.7</v>
      </c>
      <c r="K286" s="119">
        <v>0.5</v>
      </c>
      <c r="L286" s="48"/>
      <c r="M286" s="121">
        <f t="shared" si="42"/>
        <v>0</v>
      </c>
      <c r="N286" s="121">
        <f t="shared" si="43"/>
        <v>0</v>
      </c>
      <c r="O286" s="123">
        <f t="shared" si="44"/>
        <v>0</v>
      </c>
      <c r="Q286" s="101"/>
    </row>
    <row r="287" spans="1:17" s="47" customFormat="1" ht="15.75" thickBot="1" x14ac:dyDescent="0.25">
      <c r="A287" s="47">
        <v>9278</v>
      </c>
      <c r="B287" s="48" t="s">
        <v>14</v>
      </c>
      <c r="C287" s="49" t="s">
        <v>43</v>
      </c>
      <c r="D287" s="56">
        <v>1200</v>
      </c>
      <c r="E287" s="116"/>
      <c r="F287" s="116"/>
      <c r="G287" s="57">
        <v>38.4</v>
      </c>
      <c r="H287" s="118"/>
      <c r="I287" s="118"/>
      <c r="J287" s="118"/>
      <c r="K287" s="120"/>
      <c r="L287" s="48"/>
      <c r="M287" s="122"/>
      <c r="N287" s="122"/>
      <c r="O287" s="124"/>
      <c r="Q287" s="102"/>
    </row>
    <row r="288" spans="1:17" x14ac:dyDescent="0.2">
      <c r="A288">
        <v>9270</v>
      </c>
      <c r="B288" s="5" t="s">
        <v>15</v>
      </c>
      <c r="C288" s="5" t="s">
        <v>16</v>
      </c>
      <c r="D288" s="5">
        <v>30</v>
      </c>
      <c r="E288" s="5">
        <v>669</v>
      </c>
      <c r="F288" s="5">
        <f>E288-G288</f>
        <v>53</v>
      </c>
      <c r="G288" s="5">
        <v>616</v>
      </c>
      <c r="H288" s="5">
        <v>1</v>
      </c>
      <c r="I288" s="5">
        <v>0.9</v>
      </c>
      <c r="J288" s="5">
        <v>0.73</v>
      </c>
      <c r="K288" s="5">
        <f t="shared" ref="K288:K316" si="46">H288*I288*J288</f>
        <v>0.65700000000000003</v>
      </c>
      <c r="L288" s="5">
        <v>70</v>
      </c>
      <c r="M288" s="4">
        <f t="shared" ref="M288:M317" si="47">L288/D288</f>
        <v>2.3333333333333335</v>
      </c>
      <c r="N288" s="4">
        <f t="shared" ref="N288:N317" si="48">E288*M288</f>
        <v>1561</v>
      </c>
      <c r="O288" s="4">
        <f>M288*K288</f>
        <v>1.5330000000000001</v>
      </c>
      <c r="P288" s="103">
        <f>SUM(L288:L291)</f>
        <v>94</v>
      </c>
      <c r="Q288" s="88" t="s">
        <v>57</v>
      </c>
    </row>
    <row r="289" spans="1:17" x14ac:dyDescent="0.2">
      <c r="A289">
        <v>9270</v>
      </c>
      <c r="B289" s="5" t="s">
        <v>15</v>
      </c>
      <c r="C289" s="5" t="s">
        <v>17</v>
      </c>
      <c r="D289" s="5">
        <v>30</v>
      </c>
      <c r="E289" s="5">
        <v>669</v>
      </c>
      <c r="F289" s="5">
        <f>E289-G289</f>
        <v>53</v>
      </c>
      <c r="G289" s="5">
        <v>616</v>
      </c>
      <c r="H289" s="5">
        <v>1</v>
      </c>
      <c r="I289" s="5">
        <v>0.9</v>
      </c>
      <c r="J289" s="5">
        <v>0.73</v>
      </c>
      <c r="K289" s="5">
        <f t="shared" si="46"/>
        <v>0.65700000000000003</v>
      </c>
      <c r="L289" s="5">
        <v>8</v>
      </c>
      <c r="M289" s="4">
        <f t="shared" si="47"/>
        <v>0.26666666666666666</v>
      </c>
      <c r="N289" s="4">
        <f t="shared" si="48"/>
        <v>178.4</v>
      </c>
      <c r="O289" s="4">
        <f t="shared" ref="O289:O317" si="49">M289*K289</f>
        <v>0.17519999999999999</v>
      </c>
      <c r="P289" s="103"/>
      <c r="Q289" s="89"/>
    </row>
    <row r="290" spans="1:17" x14ac:dyDescent="0.2">
      <c r="A290">
        <v>9270</v>
      </c>
      <c r="B290" s="5" t="s">
        <v>15</v>
      </c>
      <c r="C290" s="5" t="s">
        <v>18</v>
      </c>
      <c r="D290" s="5">
        <v>30</v>
      </c>
      <c r="E290" s="5">
        <v>669</v>
      </c>
      <c r="F290" s="5">
        <f>E290-G290</f>
        <v>53</v>
      </c>
      <c r="G290" s="5">
        <v>616</v>
      </c>
      <c r="H290" s="5">
        <v>1</v>
      </c>
      <c r="I290" s="5">
        <v>0.9</v>
      </c>
      <c r="J290" s="5">
        <v>0.73</v>
      </c>
      <c r="K290" s="5">
        <f t="shared" si="46"/>
        <v>0.65700000000000003</v>
      </c>
      <c r="L290" s="5">
        <v>8</v>
      </c>
      <c r="M290" s="4">
        <f t="shared" si="47"/>
        <v>0.26666666666666666</v>
      </c>
      <c r="N290" s="4">
        <f t="shared" si="48"/>
        <v>178.4</v>
      </c>
      <c r="O290" s="4">
        <f t="shared" si="49"/>
        <v>0.17519999999999999</v>
      </c>
      <c r="P290" s="103"/>
      <c r="Q290" s="89"/>
    </row>
    <row r="291" spans="1:17" x14ac:dyDescent="0.2">
      <c r="A291">
        <v>9270</v>
      </c>
      <c r="B291" s="5" t="s">
        <v>15</v>
      </c>
      <c r="C291" s="5" t="s">
        <v>19</v>
      </c>
      <c r="D291" s="5">
        <v>30</v>
      </c>
      <c r="E291" s="5">
        <v>669</v>
      </c>
      <c r="F291" s="5">
        <f>E291-G291</f>
        <v>53</v>
      </c>
      <c r="G291" s="5">
        <v>616</v>
      </c>
      <c r="H291" s="5">
        <v>1</v>
      </c>
      <c r="I291" s="5">
        <v>0.9</v>
      </c>
      <c r="J291" s="5">
        <v>0.73</v>
      </c>
      <c r="K291" s="5">
        <f t="shared" si="46"/>
        <v>0.65700000000000003</v>
      </c>
      <c r="L291" s="5">
        <v>8</v>
      </c>
      <c r="M291" s="4">
        <f t="shared" si="47"/>
        <v>0.26666666666666666</v>
      </c>
      <c r="N291" s="4">
        <f t="shared" si="48"/>
        <v>178.4</v>
      </c>
      <c r="O291" s="4">
        <f t="shared" si="49"/>
        <v>0.17519999999999999</v>
      </c>
      <c r="P291" s="103"/>
      <c r="Q291" s="89"/>
    </row>
    <row r="292" spans="1:17" x14ac:dyDescent="0.2">
      <c r="A292">
        <v>9278</v>
      </c>
      <c r="B292" s="5" t="s">
        <v>14</v>
      </c>
      <c r="C292" s="8" t="s">
        <v>20</v>
      </c>
      <c r="D292" s="5">
        <v>5000</v>
      </c>
      <c r="E292" s="5">
        <v>490</v>
      </c>
      <c r="F292" s="5">
        <v>40</v>
      </c>
      <c r="G292" s="5">
        <v>450</v>
      </c>
      <c r="H292" s="5">
        <v>1</v>
      </c>
      <c r="I292" s="5">
        <v>0.98</v>
      </c>
      <c r="J292" s="5">
        <v>0.83</v>
      </c>
      <c r="K292" s="7">
        <f t="shared" si="46"/>
        <v>0.8133999999999999</v>
      </c>
      <c r="L292" s="5">
        <f>P288</f>
        <v>94</v>
      </c>
      <c r="M292" s="4">
        <f t="shared" si="47"/>
        <v>1.8800000000000001E-2</v>
      </c>
      <c r="N292" s="4">
        <f t="shared" si="48"/>
        <v>9.2119999999999997</v>
      </c>
      <c r="O292" s="4">
        <f t="shared" si="49"/>
        <v>1.5291919999999999E-2</v>
      </c>
      <c r="Q292" s="89"/>
    </row>
    <row r="293" spans="1:17" x14ac:dyDescent="0.2">
      <c r="A293">
        <v>9278</v>
      </c>
      <c r="B293" s="5" t="s">
        <v>14</v>
      </c>
      <c r="C293" s="8" t="s">
        <v>21</v>
      </c>
      <c r="D293" s="5">
        <v>360</v>
      </c>
      <c r="E293" s="5">
        <v>390</v>
      </c>
      <c r="F293" s="5">
        <v>40</v>
      </c>
      <c r="G293" s="5">
        <v>350</v>
      </c>
      <c r="H293" s="5">
        <v>1.05</v>
      </c>
      <c r="I293" s="5">
        <v>0.95</v>
      </c>
      <c r="J293" s="5">
        <v>0.55000000000000004</v>
      </c>
      <c r="K293" s="7">
        <f t="shared" si="46"/>
        <v>0.54862500000000003</v>
      </c>
      <c r="L293" s="5">
        <f>P288</f>
        <v>94</v>
      </c>
      <c r="M293" s="4">
        <f t="shared" si="47"/>
        <v>0.26111111111111113</v>
      </c>
      <c r="N293" s="4">
        <f t="shared" si="48"/>
        <v>101.83333333333334</v>
      </c>
      <c r="O293" s="4">
        <f t="shared" si="49"/>
        <v>0.14325208333333336</v>
      </c>
      <c r="Q293" s="89"/>
    </row>
    <row r="294" spans="1:17" x14ac:dyDescent="0.2">
      <c r="A294">
        <v>8952</v>
      </c>
      <c r="B294" s="5" t="s">
        <v>14</v>
      </c>
      <c r="C294" s="8" t="s">
        <v>22</v>
      </c>
      <c r="D294" s="3">
        <v>3000</v>
      </c>
      <c r="E294" s="6">
        <v>235</v>
      </c>
      <c r="F294" s="5">
        <v>35</v>
      </c>
      <c r="G294" s="6">
        <v>200</v>
      </c>
      <c r="H294" s="5">
        <v>1.1000000000000001</v>
      </c>
      <c r="I294" s="5">
        <v>1.1000000000000001</v>
      </c>
      <c r="J294" s="5">
        <v>1.02</v>
      </c>
      <c r="K294" s="7">
        <f t="shared" si="46"/>
        <v>1.2342000000000002</v>
      </c>
      <c r="L294" s="5">
        <f>P288*4</f>
        <v>376</v>
      </c>
      <c r="M294" s="4">
        <f t="shared" si="47"/>
        <v>0.12533333333333332</v>
      </c>
      <c r="N294" s="4">
        <f t="shared" si="48"/>
        <v>29.45333333333333</v>
      </c>
      <c r="O294" s="4">
        <f t="shared" si="49"/>
        <v>0.1546864</v>
      </c>
      <c r="Q294" s="89"/>
    </row>
    <row r="295" spans="1:17" x14ac:dyDescent="0.2">
      <c r="A295">
        <v>9278</v>
      </c>
      <c r="B295" s="5" t="s">
        <v>14</v>
      </c>
      <c r="C295" s="8" t="s">
        <v>23</v>
      </c>
      <c r="D295" s="58">
        <v>1000</v>
      </c>
      <c r="E295" s="59">
        <v>646</v>
      </c>
      <c r="F295" s="59">
        <f>E295-G295</f>
        <v>40</v>
      </c>
      <c r="G295" s="59">
        <v>606</v>
      </c>
      <c r="H295" s="59">
        <v>1.1000000000000001</v>
      </c>
      <c r="I295" s="59">
        <v>0.8</v>
      </c>
      <c r="J295" s="59">
        <v>0.55000000000000004</v>
      </c>
      <c r="K295" s="4">
        <f t="shared" si="46"/>
        <v>0.4840000000000001</v>
      </c>
      <c r="L295" s="5">
        <f>P288*4</f>
        <v>376</v>
      </c>
      <c r="M295" s="4">
        <f t="shared" si="47"/>
        <v>0.376</v>
      </c>
      <c r="N295" s="4">
        <f t="shared" si="48"/>
        <v>242.89599999999999</v>
      </c>
      <c r="O295" s="4">
        <f t="shared" si="49"/>
        <v>0.18198400000000003</v>
      </c>
      <c r="Q295" s="89"/>
    </row>
    <row r="296" spans="1:17" x14ac:dyDescent="0.2">
      <c r="A296">
        <v>9286</v>
      </c>
      <c r="B296" s="5" t="s">
        <v>47</v>
      </c>
      <c r="C296" s="8" t="s">
        <v>24</v>
      </c>
      <c r="D296" s="3">
        <v>4000</v>
      </c>
      <c r="E296" s="6">
        <v>424</v>
      </c>
      <c r="F296" s="5">
        <f>E296-G296</f>
        <v>52</v>
      </c>
      <c r="G296" s="6">
        <v>372</v>
      </c>
      <c r="H296" s="5">
        <v>1.1000000000000001</v>
      </c>
      <c r="I296" s="5">
        <v>0.8</v>
      </c>
      <c r="J296" s="5">
        <v>0.55000000000000004</v>
      </c>
      <c r="K296" s="7">
        <f t="shared" si="46"/>
        <v>0.4840000000000001</v>
      </c>
      <c r="L296" s="5">
        <f>(P288+P299)*4</f>
        <v>684</v>
      </c>
      <c r="M296" s="4">
        <f t="shared" si="47"/>
        <v>0.17100000000000001</v>
      </c>
      <c r="N296" s="4">
        <f t="shared" si="48"/>
        <v>72.504000000000005</v>
      </c>
      <c r="O296" s="4">
        <f t="shared" si="49"/>
        <v>8.2764000000000018E-2</v>
      </c>
      <c r="Q296" s="89"/>
    </row>
    <row r="297" spans="1:17" x14ac:dyDescent="0.2">
      <c r="A297">
        <v>9278</v>
      </c>
      <c r="B297" s="5" t="s">
        <v>14</v>
      </c>
      <c r="C297" s="8" t="s">
        <v>25</v>
      </c>
      <c r="D297" s="5">
        <v>1000</v>
      </c>
      <c r="E297" s="5">
        <v>830</v>
      </c>
      <c r="F297" s="5">
        <v>40</v>
      </c>
      <c r="G297" s="5">
        <v>790</v>
      </c>
      <c r="H297" s="5">
        <v>1.04</v>
      </c>
      <c r="I297" s="5">
        <v>0.84</v>
      </c>
      <c r="J297" s="5">
        <v>0.64</v>
      </c>
      <c r="K297" s="7">
        <f t="shared" si="46"/>
        <v>0.55910400000000005</v>
      </c>
      <c r="L297" s="5">
        <f>P288*2</f>
        <v>188</v>
      </c>
      <c r="M297" s="4">
        <f t="shared" si="47"/>
        <v>0.188</v>
      </c>
      <c r="N297" s="4">
        <f t="shared" si="48"/>
        <v>156.04</v>
      </c>
      <c r="O297" s="4">
        <f t="shared" si="49"/>
        <v>0.10511155200000001</v>
      </c>
      <c r="Q297" s="89"/>
    </row>
    <row r="298" spans="1:17" x14ac:dyDescent="0.2">
      <c r="A298">
        <v>9278</v>
      </c>
      <c r="B298" s="5" t="s">
        <v>14</v>
      </c>
      <c r="C298" s="8" t="s">
        <v>26</v>
      </c>
      <c r="D298" s="5">
        <v>4000</v>
      </c>
      <c r="E298" s="5">
        <v>223</v>
      </c>
      <c r="F298" s="5">
        <v>30</v>
      </c>
      <c r="G298" s="5">
        <v>188</v>
      </c>
      <c r="H298" s="5">
        <v>0.86</v>
      </c>
      <c r="I298" s="5">
        <v>0.78</v>
      </c>
      <c r="J298" s="5">
        <v>0.74</v>
      </c>
      <c r="K298" s="7">
        <f t="shared" si="46"/>
        <v>0.49639200000000006</v>
      </c>
      <c r="L298" s="5">
        <f>P288*2</f>
        <v>188</v>
      </c>
      <c r="M298" s="4">
        <f t="shared" si="47"/>
        <v>4.7E-2</v>
      </c>
      <c r="N298" s="4">
        <f t="shared" si="48"/>
        <v>10.481</v>
      </c>
      <c r="O298" s="4">
        <f t="shared" si="49"/>
        <v>2.3330424000000002E-2</v>
      </c>
      <c r="Q298" s="89"/>
    </row>
    <row r="299" spans="1:17" x14ac:dyDescent="0.2">
      <c r="A299">
        <v>9270</v>
      </c>
      <c r="B299" s="5" t="s">
        <v>15</v>
      </c>
      <c r="C299" s="8" t="s">
        <v>27</v>
      </c>
      <c r="D299" s="12">
        <v>12</v>
      </c>
      <c r="E299" s="12">
        <v>435</v>
      </c>
      <c r="F299" s="12">
        <v>39</v>
      </c>
      <c r="G299" s="12">
        <v>396</v>
      </c>
      <c r="H299" s="12">
        <v>0.86</v>
      </c>
      <c r="I299" s="12">
        <v>0.56000000000000005</v>
      </c>
      <c r="J299" s="12">
        <v>0.51</v>
      </c>
      <c r="K299" s="13">
        <f t="shared" si="46"/>
        <v>0.24561600000000003</v>
      </c>
      <c r="L299" s="5">
        <v>34</v>
      </c>
      <c r="M299" s="4">
        <f t="shared" si="47"/>
        <v>2.8333333333333335</v>
      </c>
      <c r="N299" s="4">
        <f t="shared" si="48"/>
        <v>1232.5</v>
      </c>
      <c r="O299" s="4">
        <f t="shared" si="49"/>
        <v>0.69591200000000009</v>
      </c>
      <c r="P299" s="103">
        <f>SUM(L299:L303)</f>
        <v>77</v>
      </c>
      <c r="Q299" s="89"/>
    </row>
    <row r="300" spans="1:17" x14ac:dyDescent="0.2">
      <c r="A300">
        <v>9270</v>
      </c>
      <c r="B300" s="5" t="s">
        <v>15</v>
      </c>
      <c r="C300" s="8" t="s">
        <v>28</v>
      </c>
      <c r="D300" s="12">
        <v>12</v>
      </c>
      <c r="E300" s="12">
        <v>520</v>
      </c>
      <c r="F300" s="12">
        <v>40</v>
      </c>
      <c r="G300" s="12">
        <v>480</v>
      </c>
      <c r="H300" s="12">
        <v>1.03</v>
      </c>
      <c r="I300" s="12">
        <v>0.56000000000000005</v>
      </c>
      <c r="J300" s="12">
        <v>0.51</v>
      </c>
      <c r="K300" s="13">
        <f t="shared" si="46"/>
        <v>0.29416800000000004</v>
      </c>
      <c r="L300" s="5">
        <v>15</v>
      </c>
      <c r="M300" s="4">
        <f t="shared" si="47"/>
        <v>1.25</v>
      </c>
      <c r="N300" s="4">
        <f t="shared" si="48"/>
        <v>650</v>
      </c>
      <c r="O300" s="4">
        <f t="shared" si="49"/>
        <v>0.36771000000000004</v>
      </c>
      <c r="P300" s="103"/>
      <c r="Q300" s="89"/>
    </row>
    <row r="301" spans="1:17" x14ac:dyDescent="0.2">
      <c r="A301">
        <v>9270</v>
      </c>
      <c r="B301" s="5" t="s">
        <v>15</v>
      </c>
      <c r="C301" s="8" t="s">
        <v>29</v>
      </c>
      <c r="D301" s="12">
        <v>12</v>
      </c>
      <c r="E301" s="12">
        <v>596</v>
      </c>
      <c r="F301" s="12">
        <v>44</v>
      </c>
      <c r="G301" s="12">
        <v>552</v>
      </c>
      <c r="H301" s="12">
        <v>1.17</v>
      </c>
      <c r="I301" s="12">
        <v>0.56000000000000005</v>
      </c>
      <c r="J301" s="12">
        <v>0.51</v>
      </c>
      <c r="K301" s="13">
        <f t="shared" si="46"/>
        <v>0.334152</v>
      </c>
      <c r="L301" s="5">
        <v>25</v>
      </c>
      <c r="M301" s="4">
        <f t="shared" si="47"/>
        <v>2.0833333333333335</v>
      </c>
      <c r="N301" s="4">
        <f t="shared" si="48"/>
        <v>1241.6666666666667</v>
      </c>
      <c r="O301" s="4">
        <f t="shared" si="49"/>
        <v>0.69615000000000005</v>
      </c>
      <c r="P301" s="103"/>
      <c r="Q301" s="89"/>
    </row>
    <row r="302" spans="1:17" x14ac:dyDescent="0.2">
      <c r="A302">
        <v>9270</v>
      </c>
      <c r="B302" s="5" t="s">
        <v>15</v>
      </c>
      <c r="C302" s="8" t="s">
        <v>30</v>
      </c>
      <c r="D302" s="14">
        <v>12</v>
      </c>
      <c r="E302" s="12">
        <v>654</v>
      </c>
      <c r="F302" s="12">
        <v>42</v>
      </c>
      <c r="G302" s="12">
        <v>612</v>
      </c>
      <c r="H302" s="12">
        <v>1.2749999999999999</v>
      </c>
      <c r="I302" s="12">
        <v>0.56000000000000005</v>
      </c>
      <c r="J302" s="12">
        <v>0.51</v>
      </c>
      <c r="K302" s="13">
        <f t="shared" si="46"/>
        <v>0.36413999999999996</v>
      </c>
      <c r="L302" s="5">
        <v>3</v>
      </c>
      <c r="M302" s="4">
        <f t="shared" si="47"/>
        <v>0.25</v>
      </c>
      <c r="N302" s="4">
        <f t="shared" si="48"/>
        <v>163.5</v>
      </c>
      <c r="O302" s="4">
        <f t="shared" si="49"/>
        <v>9.1034999999999991E-2</v>
      </c>
      <c r="P302" s="103"/>
      <c r="Q302" s="89"/>
    </row>
    <row r="303" spans="1:17" x14ac:dyDescent="0.2">
      <c r="A303">
        <v>9270</v>
      </c>
      <c r="B303" s="5" t="s">
        <v>15</v>
      </c>
      <c r="C303" s="8" t="s">
        <v>31</v>
      </c>
      <c r="D303" s="14">
        <v>6</v>
      </c>
      <c r="E303" s="12">
        <v>410</v>
      </c>
      <c r="F303" s="12">
        <v>50</v>
      </c>
      <c r="G303" s="12">
        <v>360</v>
      </c>
      <c r="H303" s="12">
        <v>1.48</v>
      </c>
      <c r="I303" s="12">
        <v>0.56000000000000005</v>
      </c>
      <c r="J303" s="12">
        <v>0.37</v>
      </c>
      <c r="K303" s="13">
        <f t="shared" si="46"/>
        <v>0.30665600000000004</v>
      </c>
      <c r="L303" s="5">
        <v>0</v>
      </c>
      <c r="M303" s="4">
        <f t="shared" si="47"/>
        <v>0</v>
      </c>
      <c r="N303" s="4">
        <f t="shared" si="48"/>
        <v>0</v>
      </c>
      <c r="O303" s="4">
        <f t="shared" si="49"/>
        <v>0</v>
      </c>
      <c r="P303" s="103"/>
      <c r="Q303" s="89"/>
    </row>
    <row r="304" spans="1:17" x14ac:dyDescent="0.2">
      <c r="A304">
        <v>9278</v>
      </c>
      <c r="B304" s="5" t="s">
        <v>14</v>
      </c>
      <c r="C304" s="8" t="s">
        <v>32</v>
      </c>
      <c r="D304" s="6">
        <v>1000</v>
      </c>
      <c r="E304" s="6">
        <f t="shared" ref="E304:E313" si="50">G304+F304</f>
        <v>395</v>
      </c>
      <c r="F304" s="6">
        <v>40</v>
      </c>
      <c r="G304" s="6">
        <v>355</v>
      </c>
      <c r="H304" s="6">
        <v>1.05</v>
      </c>
      <c r="I304" s="6">
        <v>0.9</v>
      </c>
      <c r="J304" s="6">
        <v>0.55000000000000004</v>
      </c>
      <c r="K304" s="4">
        <f t="shared" si="46"/>
        <v>0.51975000000000005</v>
      </c>
      <c r="L304" s="5">
        <f>L299</f>
        <v>34</v>
      </c>
      <c r="M304" s="4">
        <f t="shared" si="47"/>
        <v>3.4000000000000002E-2</v>
      </c>
      <c r="N304" s="4">
        <f t="shared" si="48"/>
        <v>13.430000000000001</v>
      </c>
      <c r="O304" s="4">
        <f t="shared" si="49"/>
        <v>1.7671500000000003E-2</v>
      </c>
      <c r="Q304" s="89"/>
    </row>
    <row r="305" spans="1:17" x14ac:dyDescent="0.2">
      <c r="A305">
        <v>9278</v>
      </c>
      <c r="B305" s="5" t="s">
        <v>14</v>
      </c>
      <c r="C305" s="8" t="s">
        <v>33</v>
      </c>
      <c r="D305" s="6">
        <v>450</v>
      </c>
      <c r="E305" s="6">
        <f t="shared" si="50"/>
        <v>360</v>
      </c>
      <c r="F305" s="6">
        <v>40</v>
      </c>
      <c r="G305" s="6">
        <v>320</v>
      </c>
      <c r="H305" s="5">
        <v>1.1000000000000001</v>
      </c>
      <c r="I305" s="6">
        <v>0.9</v>
      </c>
      <c r="J305" s="5">
        <v>0.75</v>
      </c>
      <c r="K305" s="7">
        <f t="shared" si="46"/>
        <v>0.74250000000000005</v>
      </c>
      <c r="L305" s="5">
        <f>L299</f>
        <v>34</v>
      </c>
      <c r="M305" s="4">
        <f t="shared" si="47"/>
        <v>7.5555555555555556E-2</v>
      </c>
      <c r="N305" s="4">
        <f t="shared" si="48"/>
        <v>27.2</v>
      </c>
      <c r="O305" s="4">
        <f t="shared" si="49"/>
        <v>5.6100000000000004E-2</v>
      </c>
      <c r="Q305" s="89"/>
    </row>
    <row r="306" spans="1:17" x14ac:dyDescent="0.2">
      <c r="A306">
        <v>9278</v>
      </c>
      <c r="B306" s="5" t="s">
        <v>14</v>
      </c>
      <c r="C306" s="8" t="s">
        <v>34</v>
      </c>
      <c r="D306" s="6">
        <v>1000</v>
      </c>
      <c r="E306" s="6">
        <f t="shared" si="50"/>
        <v>492</v>
      </c>
      <c r="F306" s="6">
        <v>40</v>
      </c>
      <c r="G306" s="6">
        <v>452</v>
      </c>
      <c r="H306" s="6">
        <v>1.1000000000000001</v>
      </c>
      <c r="I306" s="6">
        <v>1.05</v>
      </c>
      <c r="J306" s="6">
        <v>0.55000000000000004</v>
      </c>
      <c r="K306" s="4">
        <f t="shared" si="46"/>
        <v>0.6352500000000002</v>
      </c>
      <c r="L306" s="5">
        <f>L300</f>
        <v>15</v>
      </c>
      <c r="M306" s="4">
        <f t="shared" si="47"/>
        <v>1.4999999999999999E-2</v>
      </c>
      <c r="N306" s="4">
        <f t="shared" si="48"/>
        <v>7.38</v>
      </c>
      <c r="O306" s="4">
        <f t="shared" si="49"/>
        <v>9.5287500000000025E-3</v>
      </c>
      <c r="Q306" s="89"/>
    </row>
    <row r="307" spans="1:17" x14ac:dyDescent="0.2">
      <c r="A307">
        <v>9278</v>
      </c>
      <c r="B307" s="5" t="s">
        <v>14</v>
      </c>
      <c r="C307" s="8" t="s">
        <v>35</v>
      </c>
      <c r="D307" s="6">
        <v>450</v>
      </c>
      <c r="E307" s="6">
        <f t="shared" si="50"/>
        <v>421.5</v>
      </c>
      <c r="F307" s="6">
        <v>40</v>
      </c>
      <c r="G307" s="6">
        <v>381.5</v>
      </c>
      <c r="H307" s="6">
        <v>1.05</v>
      </c>
      <c r="I307" s="6">
        <v>1.05</v>
      </c>
      <c r="J307" s="5">
        <v>0.75</v>
      </c>
      <c r="K307" s="7">
        <f t="shared" si="46"/>
        <v>0.82687500000000003</v>
      </c>
      <c r="L307" s="5">
        <f>L300</f>
        <v>15</v>
      </c>
      <c r="M307" s="4">
        <f t="shared" si="47"/>
        <v>3.3333333333333333E-2</v>
      </c>
      <c r="N307" s="4">
        <f t="shared" si="48"/>
        <v>14.049999999999999</v>
      </c>
      <c r="O307" s="4">
        <f t="shared" si="49"/>
        <v>2.75625E-2</v>
      </c>
      <c r="Q307" s="89"/>
    </row>
    <row r="308" spans="1:17" x14ac:dyDescent="0.2">
      <c r="A308">
        <v>9278</v>
      </c>
      <c r="B308" s="5" t="s">
        <v>14</v>
      </c>
      <c r="C308" s="8" t="s">
        <v>36</v>
      </c>
      <c r="D308" s="6">
        <v>1000</v>
      </c>
      <c r="E308" s="6">
        <f t="shared" si="50"/>
        <v>574</v>
      </c>
      <c r="F308" s="6">
        <v>40</v>
      </c>
      <c r="G308" s="6">
        <v>534</v>
      </c>
      <c r="H308" s="6">
        <v>1.1000000000000001</v>
      </c>
      <c r="I308" s="6">
        <v>1.2</v>
      </c>
      <c r="J308" s="6">
        <v>0.55000000000000004</v>
      </c>
      <c r="K308" s="4">
        <f t="shared" si="46"/>
        <v>0.72600000000000009</v>
      </c>
      <c r="L308" s="5">
        <f>L301</f>
        <v>25</v>
      </c>
      <c r="M308" s="4">
        <f t="shared" si="47"/>
        <v>2.5000000000000001E-2</v>
      </c>
      <c r="N308" s="4">
        <f t="shared" si="48"/>
        <v>14.350000000000001</v>
      </c>
      <c r="O308" s="4">
        <f t="shared" si="49"/>
        <v>1.8150000000000003E-2</v>
      </c>
      <c r="Q308" s="89"/>
    </row>
    <row r="309" spans="1:17" x14ac:dyDescent="0.2">
      <c r="A309">
        <v>9278</v>
      </c>
      <c r="B309" s="5" t="s">
        <v>14</v>
      </c>
      <c r="C309" s="8" t="s">
        <v>37</v>
      </c>
      <c r="D309" s="6">
        <v>450</v>
      </c>
      <c r="E309" s="6">
        <f t="shared" si="50"/>
        <v>475</v>
      </c>
      <c r="F309" s="6">
        <v>40</v>
      </c>
      <c r="G309" s="6">
        <v>435</v>
      </c>
      <c r="H309" s="6">
        <v>1.05</v>
      </c>
      <c r="I309" s="6">
        <v>1.2</v>
      </c>
      <c r="J309" s="5">
        <v>0.75</v>
      </c>
      <c r="K309" s="4">
        <f t="shared" si="46"/>
        <v>0.94500000000000006</v>
      </c>
      <c r="L309" s="5">
        <f>L301</f>
        <v>25</v>
      </c>
      <c r="M309" s="4">
        <f t="shared" si="47"/>
        <v>5.5555555555555552E-2</v>
      </c>
      <c r="N309" s="4">
        <f t="shared" si="48"/>
        <v>26.388888888888886</v>
      </c>
      <c r="O309" s="4">
        <f t="shared" si="49"/>
        <v>5.2499999999999998E-2</v>
      </c>
      <c r="Q309" s="89"/>
    </row>
    <row r="310" spans="1:17" x14ac:dyDescent="0.2">
      <c r="A310">
        <v>9278</v>
      </c>
      <c r="B310" s="5" t="s">
        <v>14</v>
      </c>
      <c r="C310" s="8" t="s">
        <v>38</v>
      </c>
      <c r="D310" s="6">
        <v>1000</v>
      </c>
      <c r="E310" s="6">
        <f t="shared" si="50"/>
        <v>645</v>
      </c>
      <c r="F310" s="6">
        <v>40</v>
      </c>
      <c r="G310" s="6">
        <v>605</v>
      </c>
      <c r="H310" s="6">
        <v>1.1000000000000001</v>
      </c>
      <c r="I310" s="6">
        <v>1.3</v>
      </c>
      <c r="J310" s="6">
        <v>0.55000000000000004</v>
      </c>
      <c r="K310" s="4">
        <f t="shared" si="46"/>
        <v>0.7865000000000002</v>
      </c>
      <c r="L310" s="5">
        <f>L302</f>
        <v>3</v>
      </c>
      <c r="M310" s="4">
        <f t="shared" si="47"/>
        <v>3.0000000000000001E-3</v>
      </c>
      <c r="N310" s="4">
        <f t="shared" si="48"/>
        <v>1.9350000000000001</v>
      </c>
      <c r="O310" s="4">
        <f t="shared" si="49"/>
        <v>2.3595000000000005E-3</v>
      </c>
      <c r="Q310" s="89"/>
    </row>
    <row r="311" spans="1:17" x14ac:dyDescent="0.2">
      <c r="A311">
        <v>9278</v>
      </c>
      <c r="B311" s="5" t="s">
        <v>14</v>
      </c>
      <c r="C311" s="8" t="s">
        <v>39</v>
      </c>
      <c r="D311" s="6">
        <v>450</v>
      </c>
      <c r="E311" s="6">
        <f t="shared" si="50"/>
        <v>515</v>
      </c>
      <c r="F311" s="6">
        <v>40</v>
      </c>
      <c r="G311" s="6">
        <v>475</v>
      </c>
      <c r="H311" s="6">
        <v>1.05</v>
      </c>
      <c r="I311" s="6">
        <v>1.3</v>
      </c>
      <c r="J311" s="5">
        <v>0.75</v>
      </c>
      <c r="K311" s="4">
        <f t="shared" si="46"/>
        <v>1.0237500000000002</v>
      </c>
      <c r="L311" s="5">
        <f>L302</f>
        <v>3</v>
      </c>
      <c r="M311" s="4">
        <f t="shared" si="47"/>
        <v>6.6666666666666671E-3</v>
      </c>
      <c r="N311" s="4">
        <f t="shared" si="48"/>
        <v>3.4333333333333336</v>
      </c>
      <c r="O311" s="4">
        <f t="shared" si="49"/>
        <v>6.8250000000000012E-3</v>
      </c>
      <c r="Q311" s="89"/>
    </row>
    <row r="312" spans="1:17" x14ac:dyDescent="0.2">
      <c r="A312">
        <v>9278</v>
      </c>
      <c r="B312" s="5" t="s">
        <v>14</v>
      </c>
      <c r="C312" s="8" t="s">
        <v>40</v>
      </c>
      <c r="D312" s="6">
        <v>1000</v>
      </c>
      <c r="E312" s="6">
        <f t="shared" si="50"/>
        <v>645</v>
      </c>
      <c r="F312" s="6">
        <v>40</v>
      </c>
      <c r="G312" s="6">
        <v>605</v>
      </c>
      <c r="H312" s="6">
        <v>1.1000000000000001</v>
      </c>
      <c r="I312" s="6">
        <v>1.3</v>
      </c>
      <c r="J312" s="6">
        <v>0.55000000000000004</v>
      </c>
      <c r="K312" s="4">
        <f t="shared" si="46"/>
        <v>0.7865000000000002</v>
      </c>
      <c r="L312" s="5">
        <f>L303</f>
        <v>0</v>
      </c>
      <c r="M312" s="4">
        <f t="shared" si="47"/>
        <v>0</v>
      </c>
      <c r="N312" s="4">
        <f t="shared" si="48"/>
        <v>0</v>
      </c>
      <c r="O312" s="4">
        <f t="shared" si="49"/>
        <v>0</v>
      </c>
      <c r="Q312" s="89"/>
    </row>
    <row r="313" spans="1:17" x14ac:dyDescent="0.2">
      <c r="A313">
        <v>9278</v>
      </c>
      <c r="B313" s="5" t="s">
        <v>14</v>
      </c>
      <c r="C313" s="8" t="s">
        <v>41</v>
      </c>
      <c r="D313" s="6">
        <v>450</v>
      </c>
      <c r="E313" s="6">
        <f t="shared" si="50"/>
        <v>515</v>
      </c>
      <c r="F313" s="6">
        <v>40</v>
      </c>
      <c r="G313" s="6">
        <v>475</v>
      </c>
      <c r="H313" s="6">
        <v>1.05</v>
      </c>
      <c r="I313" s="6">
        <v>1.3</v>
      </c>
      <c r="J313" s="5">
        <v>0.75</v>
      </c>
      <c r="K313" s="4">
        <f t="shared" si="46"/>
        <v>1.0237500000000002</v>
      </c>
      <c r="L313" s="5">
        <f>L303</f>
        <v>0</v>
      </c>
      <c r="M313" s="4">
        <f t="shared" si="47"/>
        <v>0</v>
      </c>
      <c r="N313" s="4">
        <f t="shared" si="48"/>
        <v>0</v>
      </c>
      <c r="O313" s="4">
        <f t="shared" si="49"/>
        <v>0</v>
      </c>
      <c r="Q313" s="89"/>
    </row>
    <row r="314" spans="1:17" x14ac:dyDescent="0.2">
      <c r="A314">
        <v>8952</v>
      </c>
      <c r="B314" s="5" t="s">
        <v>14</v>
      </c>
      <c r="C314" s="8" t="s">
        <v>22</v>
      </c>
      <c r="D314" s="3">
        <v>3000</v>
      </c>
      <c r="E314" s="6">
        <v>235</v>
      </c>
      <c r="F314" s="5">
        <v>35</v>
      </c>
      <c r="G314" s="6">
        <v>200</v>
      </c>
      <c r="H314" s="5">
        <v>1.1000000000000001</v>
      </c>
      <c r="I314" s="5">
        <v>1.1000000000000001</v>
      </c>
      <c r="J314" s="5">
        <v>1.02</v>
      </c>
      <c r="K314" s="7">
        <f t="shared" si="46"/>
        <v>1.2342000000000002</v>
      </c>
      <c r="L314" s="5">
        <f>P299*4</f>
        <v>308</v>
      </c>
      <c r="M314" s="4">
        <f t="shared" si="47"/>
        <v>0.10266666666666667</v>
      </c>
      <c r="N314" s="4">
        <f t="shared" si="48"/>
        <v>24.126666666666669</v>
      </c>
      <c r="O314" s="4">
        <f t="shared" si="49"/>
        <v>0.12671120000000002</v>
      </c>
      <c r="Q314" s="89"/>
    </row>
    <row r="315" spans="1:17" x14ac:dyDescent="0.2">
      <c r="A315">
        <v>9278</v>
      </c>
      <c r="B315" s="5" t="s">
        <v>14</v>
      </c>
      <c r="C315" s="8" t="s">
        <v>23</v>
      </c>
      <c r="D315" s="58">
        <v>1000</v>
      </c>
      <c r="E315" s="59">
        <v>646</v>
      </c>
      <c r="F315" s="59">
        <f>E315-G315</f>
        <v>40</v>
      </c>
      <c r="G315" s="59">
        <v>606</v>
      </c>
      <c r="H315" s="59">
        <v>1.1000000000000001</v>
      </c>
      <c r="I315" s="59">
        <v>0.8</v>
      </c>
      <c r="J315" s="59">
        <v>0.55000000000000004</v>
      </c>
      <c r="K315" s="4">
        <f t="shared" si="46"/>
        <v>0.4840000000000001</v>
      </c>
      <c r="L315" s="5">
        <f>P299*4</f>
        <v>308</v>
      </c>
      <c r="M315" s="4">
        <f t="shared" si="47"/>
        <v>0.308</v>
      </c>
      <c r="N315" s="4">
        <f t="shared" si="48"/>
        <v>198.96799999999999</v>
      </c>
      <c r="O315" s="4">
        <f t="shared" si="49"/>
        <v>0.14907200000000004</v>
      </c>
      <c r="Q315" s="89"/>
    </row>
    <row r="316" spans="1:17" x14ac:dyDescent="0.2">
      <c r="A316">
        <v>9278</v>
      </c>
      <c r="B316" s="5" t="s">
        <v>14</v>
      </c>
      <c r="C316" s="8" t="s">
        <v>46</v>
      </c>
      <c r="D316" s="3">
        <v>4000</v>
      </c>
      <c r="E316" s="6">
        <v>424</v>
      </c>
      <c r="F316" s="5">
        <f>E316-G316</f>
        <v>52</v>
      </c>
      <c r="G316" s="6">
        <v>372</v>
      </c>
      <c r="H316" s="5">
        <v>1.1000000000000001</v>
      </c>
      <c r="I316" s="5">
        <v>0.8</v>
      </c>
      <c r="J316" s="5">
        <v>0.55000000000000004</v>
      </c>
      <c r="K316" s="7">
        <f t="shared" si="46"/>
        <v>0.4840000000000001</v>
      </c>
      <c r="L316" s="5">
        <f>P299*4</f>
        <v>308</v>
      </c>
      <c r="M316" s="4">
        <f t="shared" si="47"/>
        <v>7.6999999999999999E-2</v>
      </c>
      <c r="N316" s="4">
        <f t="shared" si="48"/>
        <v>32.647999999999996</v>
      </c>
      <c r="O316" s="4">
        <f t="shared" si="49"/>
        <v>3.7268000000000009E-2</v>
      </c>
      <c r="Q316" s="89"/>
    </row>
    <row r="317" spans="1:17" ht="15" x14ac:dyDescent="0.2">
      <c r="A317">
        <v>9278</v>
      </c>
      <c r="B317" s="5" t="s">
        <v>14</v>
      </c>
      <c r="C317" s="8" t="s">
        <v>42</v>
      </c>
      <c r="D317" s="15">
        <v>1200</v>
      </c>
      <c r="E317" s="104">
        <v>666.4</v>
      </c>
      <c r="F317" s="104">
        <v>40</v>
      </c>
      <c r="G317" s="16">
        <v>588</v>
      </c>
      <c r="H317" s="106">
        <v>1</v>
      </c>
      <c r="I317" s="106">
        <v>0.75</v>
      </c>
      <c r="J317" s="106">
        <v>0.7</v>
      </c>
      <c r="K317" s="108">
        <v>0.5</v>
      </c>
      <c r="L317" s="5">
        <f>P299*4</f>
        <v>308</v>
      </c>
      <c r="M317" s="110">
        <f t="shared" si="47"/>
        <v>0.25666666666666665</v>
      </c>
      <c r="N317" s="110">
        <f t="shared" si="48"/>
        <v>171.04266666666666</v>
      </c>
      <c r="O317" s="112">
        <f t="shared" si="49"/>
        <v>0.12833333333333333</v>
      </c>
      <c r="Q317" s="89"/>
    </row>
    <row r="318" spans="1:17" ht="15.75" thickBot="1" x14ac:dyDescent="0.25">
      <c r="A318">
        <v>9278</v>
      </c>
      <c r="B318" s="5" t="s">
        <v>14</v>
      </c>
      <c r="C318" s="8" t="s">
        <v>43</v>
      </c>
      <c r="D318" s="15">
        <v>1200</v>
      </c>
      <c r="E318" s="105"/>
      <c r="F318" s="105"/>
      <c r="G318" s="16">
        <v>38.4</v>
      </c>
      <c r="H318" s="107"/>
      <c r="I318" s="107"/>
      <c r="J318" s="107"/>
      <c r="K318" s="109"/>
      <c r="L318" s="5">
        <f>P299*4</f>
        <v>308</v>
      </c>
      <c r="M318" s="111"/>
      <c r="N318" s="111"/>
      <c r="O318" s="113"/>
      <c r="Q318" s="90"/>
    </row>
    <row r="319" spans="1:17" x14ac:dyDescent="0.2">
      <c r="L319">
        <f>SUM(L164:L318)</f>
        <v>13674</v>
      </c>
      <c r="M319">
        <f t="shared" ref="M319:O319" si="51">SUM(M164:M318)</f>
        <v>41.418533333333315</v>
      </c>
      <c r="N319">
        <f t="shared" si="51"/>
        <v>22820.504444444465</v>
      </c>
      <c r="O319">
        <f t="shared" si="51"/>
        <v>18.41265332399999</v>
      </c>
    </row>
    <row r="327" spans="1:17" ht="15" thickBot="1" x14ac:dyDescent="0.25">
      <c r="A327" t="s">
        <v>59</v>
      </c>
      <c r="B327" t="s">
        <v>60</v>
      </c>
    </row>
    <row r="328" spans="1:17" ht="30.75" thickBot="1" x14ac:dyDescent="0.25">
      <c r="A328" s="1" t="s">
        <v>44</v>
      </c>
      <c r="B328" s="1" t="s">
        <v>0</v>
      </c>
      <c r="C328" s="1" t="s">
        <v>1</v>
      </c>
      <c r="D328" s="1" t="s">
        <v>2</v>
      </c>
      <c r="E328" s="1" t="s">
        <v>3</v>
      </c>
      <c r="F328" s="1" t="s">
        <v>4</v>
      </c>
      <c r="G328" s="1" t="s">
        <v>5</v>
      </c>
      <c r="H328" s="1" t="s">
        <v>6</v>
      </c>
      <c r="I328" s="1" t="s">
        <v>7</v>
      </c>
      <c r="J328" s="1" t="s">
        <v>8</v>
      </c>
      <c r="K328" s="1" t="s">
        <v>9</v>
      </c>
      <c r="L328" s="83" t="s">
        <v>10</v>
      </c>
      <c r="M328" s="2" t="s">
        <v>11</v>
      </c>
      <c r="N328" s="2" t="s">
        <v>12</v>
      </c>
      <c r="O328" s="18" t="s">
        <v>13</v>
      </c>
    </row>
    <row r="329" spans="1:17" s="17" customFormat="1" x14ac:dyDescent="0.2">
      <c r="A329" s="17">
        <v>9270</v>
      </c>
      <c r="B329" s="20" t="s">
        <v>15</v>
      </c>
      <c r="C329" s="20" t="s">
        <v>16</v>
      </c>
      <c r="D329" s="20">
        <v>30</v>
      </c>
      <c r="E329" s="20">
        <v>669</v>
      </c>
      <c r="F329" s="20">
        <f>E329-G329</f>
        <v>53</v>
      </c>
      <c r="G329" s="20">
        <v>616</v>
      </c>
      <c r="H329" s="20">
        <v>1</v>
      </c>
      <c r="I329" s="20">
        <v>0.9</v>
      </c>
      <c r="J329" s="20">
        <v>0.73</v>
      </c>
      <c r="K329" s="20">
        <f t="shared" ref="K329:K357" si="52">H329*I329*J329</f>
        <v>0.65700000000000003</v>
      </c>
      <c r="L329" s="20"/>
      <c r="M329" s="23">
        <f t="shared" ref="M329:M358" si="53">L329/D329</f>
        <v>0</v>
      </c>
      <c r="N329" s="23">
        <f t="shared" ref="N329:N358" si="54">E329*M329</f>
        <v>0</v>
      </c>
      <c r="O329" s="23">
        <f>M329*K329</f>
        <v>0</v>
      </c>
      <c r="P329" s="147">
        <f>SUM(L329:L332)</f>
        <v>0</v>
      </c>
      <c r="Q329" s="91" t="s">
        <v>53</v>
      </c>
    </row>
    <row r="330" spans="1:17" s="17" customFormat="1" x14ac:dyDescent="0.2">
      <c r="A330" s="17">
        <v>9270</v>
      </c>
      <c r="B330" s="20" t="s">
        <v>15</v>
      </c>
      <c r="C330" s="20" t="s">
        <v>17</v>
      </c>
      <c r="D330" s="20">
        <v>30</v>
      </c>
      <c r="E330" s="20">
        <v>669</v>
      </c>
      <c r="F330" s="20">
        <f>E330-G330</f>
        <v>53</v>
      </c>
      <c r="G330" s="20">
        <v>616</v>
      </c>
      <c r="H330" s="20">
        <v>1</v>
      </c>
      <c r="I330" s="20">
        <v>0.9</v>
      </c>
      <c r="J330" s="20">
        <v>0.73</v>
      </c>
      <c r="K330" s="20">
        <f t="shared" si="52"/>
        <v>0.65700000000000003</v>
      </c>
      <c r="L330" s="20"/>
      <c r="M330" s="23">
        <f t="shared" si="53"/>
        <v>0</v>
      </c>
      <c r="N330" s="23">
        <f t="shared" si="54"/>
        <v>0</v>
      </c>
      <c r="O330" s="23">
        <f t="shared" ref="O330:O358" si="55">M330*K330</f>
        <v>0</v>
      </c>
      <c r="P330" s="147"/>
      <c r="Q330" s="92"/>
    </row>
    <row r="331" spans="1:17" s="17" customFormat="1" x14ac:dyDescent="0.2">
      <c r="A331" s="17">
        <v>9270</v>
      </c>
      <c r="B331" s="20" t="s">
        <v>15</v>
      </c>
      <c r="C331" s="20" t="s">
        <v>18</v>
      </c>
      <c r="D331" s="20">
        <v>30</v>
      </c>
      <c r="E331" s="20">
        <v>669</v>
      </c>
      <c r="F331" s="20">
        <f>E331-G331</f>
        <v>53</v>
      </c>
      <c r="G331" s="20">
        <v>616</v>
      </c>
      <c r="H331" s="20">
        <v>1</v>
      </c>
      <c r="I331" s="20">
        <v>0.9</v>
      </c>
      <c r="J331" s="20">
        <v>0.73</v>
      </c>
      <c r="K331" s="20">
        <f t="shared" si="52"/>
        <v>0.65700000000000003</v>
      </c>
      <c r="L331" s="20"/>
      <c r="M331" s="23">
        <f t="shared" si="53"/>
        <v>0</v>
      </c>
      <c r="N331" s="23">
        <f t="shared" si="54"/>
        <v>0</v>
      </c>
      <c r="O331" s="23">
        <f t="shared" si="55"/>
        <v>0</v>
      </c>
      <c r="P331" s="147"/>
      <c r="Q331" s="92"/>
    </row>
    <row r="332" spans="1:17" s="17" customFormat="1" x14ac:dyDescent="0.2">
      <c r="A332" s="17">
        <v>9270</v>
      </c>
      <c r="B332" s="20" t="s">
        <v>15</v>
      </c>
      <c r="C332" s="20" t="s">
        <v>19</v>
      </c>
      <c r="D332" s="20">
        <v>30</v>
      </c>
      <c r="E332" s="20">
        <v>669</v>
      </c>
      <c r="F332" s="20">
        <f>E332-G332</f>
        <v>53</v>
      </c>
      <c r="G332" s="20">
        <v>616</v>
      </c>
      <c r="H332" s="20">
        <v>1</v>
      </c>
      <c r="I332" s="20">
        <v>0.9</v>
      </c>
      <c r="J332" s="20">
        <v>0.73</v>
      </c>
      <c r="K332" s="20">
        <f t="shared" si="52"/>
        <v>0.65700000000000003</v>
      </c>
      <c r="L332" s="20"/>
      <c r="M332" s="23">
        <f t="shared" si="53"/>
        <v>0</v>
      </c>
      <c r="N332" s="23">
        <f t="shared" si="54"/>
        <v>0</v>
      </c>
      <c r="O332" s="23">
        <f t="shared" si="55"/>
        <v>0</v>
      </c>
      <c r="P332" s="147"/>
      <c r="Q332" s="92"/>
    </row>
    <row r="333" spans="1:17" s="17" customFormat="1" x14ac:dyDescent="0.2">
      <c r="A333" s="17">
        <v>9278</v>
      </c>
      <c r="B333" s="20" t="s">
        <v>14</v>
      </c>
      <c r="C333" s="21" t="s">
        <v>20</v>
      </c>
      <c r="D333" s="20">
        <v>5000</v>
      </c>
      <c r="E333" s="20">
        <v>490</v>
      </c>
      <c r="F333" s="20">
        <v>40</v>
      </c>
      <c r="G333" s="20">
        <v>450</v>
      </c>
      <c r="H333" s="20">
        <v>1</v>
      </c>
      <c r="I333" s="20">
        <v>0.98</v>
      </c>
      <c r="J333" s="20">
        <v>0.83</v>
      </c>
      <c r="K333" s="22">
        <f t="shared" si="52"/>
        <v>0.8133999999999999</v>
      </c>
      <c r="L333" s="20"/>
      <c r="M333" s="23">
        <f t="shared" si="53"/>
        <v>0</v>
      </c>
      <c r="N333" s="23">
        <f t="shared" si="54"/>
        <v>0</v>
      </c>
      <c r="O333" s="23">
        <f t="shared" si="55"/>
        <v>0</v>
      </c>
      <c r="Q333" s="92"/>
    </row>
    <row r="334" spans="1:17" s="17" customFormat="1" x14ac:dyDescent="0.2">
      <c r="A334" s="17">
        <v>9278</v>
      </c>
      <c r="B334" s="20" t="s">
        <v>14</v>
      </c>
      <c r="C334" s="21" t="s">
        <v>21</v>
      </c>
      <c r="D334" s="20">
        <v>360</v>
      </c>
      <c r="E334" s="20">
        <v>390</v>
      </c>
      <c r="F334" s="20">
        <v>40</v>
      </c>
      <c r="G334" s="20">
        <v>350</v>
      </c>
      <c r="H334" s="20">
        <v>1.05</v>
      </c>
      <c r="I334" s="20">
        <v>0.95</v>
      </c>
      <c r="J334" s="20">
        <v>0.55000000000000004</v>
      </c>
      <c r="K334" s="22">
        <f t="shared" si="52"/>
        <v>0.54862500000000003</v>
      </c>
      <c r="L334" s="20"/>
      <c r="M334" s="23">
        <f t="shared" si="53"/>
        <v>0</v>
      </c>
      <c r="N334" s="23">
        <f t="shared" si="54"/>
        <v>0</v>
      </c>
      <c r="O334" s="23">
        <f t="shared" si="55"/>
        <v>0</v>
      </c>
      <c r="Q334" s="92"/>
    </row>
    <row r="335" spans="1:17" s="17" customFormat="1" x14ac:dyDescent="0.2">
      <c r="A335" s="17">
        <v>8952</v>
      </c>
      <c r="B335" s="20" t="s">
        <v>14</v>
      </c>
      <c r="C335" s="21" t="s">
        <v>22</v>
      </c>
      <c r="D335" s="26">
        <v>3000</v>
      </c>
      <c r="E335" s="27">
        <v>235</v>
      </c>
      <c r="F335" s="20">
        <v>35</v>
      </c>
      <c r="G335" s="27">
        <v>200</v>
      </c>
      <c r="H335" s="20">
        <v>1.1000000000000001</v>
      </c>
      <c r="I335" s="20">
        <v>1.1000000000000001</v>
      </c>
      <c r="J335" s="20">
        <v>1.02</v>
      </c>
      <c r="K335" s="22">
        <f t="shared" si="52"/>
        <v>1.2342000000000002</v>
      </c>
      <c r="L335" s="20"/>
      <c r="M335" s="23">
        <f t="shared" si="53"/>
        <v>0</v>
      </c>
      <c r="N335" s="23">
        <f t="shared" si="54"/>
        <v>0</v>
      </c>
      <c r="O335" s="23">
        <f t="shared" si="55"/>
        <v>0</v>
      </c>
      <c r="Q335" s="92"/>
    </row>
    <row r="336" spans="1:17" s="17" customFormat="1" x14ac:dyDescent="0.2">
      <c r="A336" s="17">
        <v>9278</v>
      </c>
      <c r="B336" s="20" t="s">
        <v>14</v>
      </c>
      <c r="C336" s="21" t="s">
        <v>23</v>
      </c>
      <c r="D336" s="24">
        <v>1000</v>
      </c>
      <c r="E336" s="25">
        <v>646</v>
      </c>
      <c r="F336" s="25">
        <f>E336-G336</f>
        <v>40</v>
      </c>
      <c r="G336" s="25">
        <v>606</v>
      </c>
      <c r="H336" s="25">
        <v>1.1000000000000001</v>
      </c>
      <c r="I336" s="25">
        <v>0.8</v>
      </c>
      <c r="J336" s="25">
        <v>0.55000000000000004</v>
      </c>
      <c r="K336" s="23">
        <f t="shared" si="52"/>
        <v>0.4840000000000001</v>
      </c>
      <c r="L336" s="20"/>
      <c r="M336" s="23">
        <f t="shared" si="53"/>
        <v>0</v>
      </c>
      <c r="N336" s="23">
        <f t="shared" si="54"/>
        <v>0</v>
      </c>
      <c r="O336" s="23">
        <f t="shared" si="55"/>
        <v>0</v>
      </c>
      <c r="Q336" s="92"/>
    </row>
    <row r="337" spans="1:17" s="17" customFormat="1" x14ac:dyDescent="0.2">
      <c r="A337" s="17">
        <v>9286</v>
      </c>
      <c r="B337" s="20" t="s">
        <v>47</v>
      </c>
      <c r="C337" s="21" t="s">
        <v>24</v>
      </c>
      <c r="D337" s="26">
        <v>4000</v>
      </c>
      <c r="E337" s="27">
        <v>424</v>
      </c>
      <c r="F337" s="20">
        <f>E337-G337</f>
        <v>52</v>
      </c>
      <c r="G337" s="27">
        <v>372</v>
      </c>
      <c r="H337" s="20">
        <v>1.1000000000000001</v>
      </c>
      <c r="I337" s="20">
        <v>0.8</v>
      </c>
      <c r="J337" s="20">
        <v>0.55000000000000004</v>
      </c>
      <c r="K337" s="22">
        <f t="shared" si="52"/>
        <v>0.4840000000000001</v>
      </c>
      <c r="L337" s="20"/>
      <c r="M337" s="23">
        <f t="shared" si="53"/>
        <v>0</v>
      </c>
      <c r="N337" s="23">
        <f t="shared" si="54"/>
        <v>0</v>
      </c>
      <c r="O337" s="23">
        <f t="shared" si="55"/>
        <v>0</v>
      </c>
      <c r="Q337" s="92"/>
    </row>
    <row r="338" spans="1:17" s="17" customFormat="1" x14ac:dyDescent="0.2">
      <c r="A338" s="17">
        <v>9278</v>
      </c>
      <c r="B338" s="20" t="s">
        <v>14</v>
      </c>
      <c r="C338" s="21" t="s">
        <v>25</v>
      </c>
      <c r="D338" s="20">
        <v>1000</v>
      </c>
      <c r="E338" s="20">
        <v>830</v>
      </c>
      <c r="F338" s="20">
        <v>40</v>
      </c>
      <c r="G338" s="20">
        <v>790</v>
      </c>
      <c r="H338" s="20">
        <v>1.04</v>
      </c>
      <c r="I338" s="20">
        <v>0.84</v>
      </c>
      <c r="J338" s="20">
        <v>0.64</v>
      </c>
      <c r="K338" s="22">
        <f t="shared" si="52"/>
        <v>0.55910400000000005</v>
      </c>
      <c r="L338" s="20"/>
      <c r="M338" s="23">
        <f t="shared" si="53"/>
        <v>0</v>
      </c>
      <c r="N338" s="23">
        <f t="shared" si="54"/>
        <v>0</v>
      </c>
      <c r="O338" s="23">
        <f t="shared" si="55"/>
        <v>0</v>
      </c>
      <c r="Q338" s="92"/>
    </row>
    <row r="339" spans="1:17" s="17" customFormat="1" x14ac:dyDescent="0.2">
      <c r="A339" s="17">
        <v>9278</v>
      </c>
      <c r="B339" s="20" t="s">
        <v>14</v>
      </c>
      <c r="C339" s="21" t="s">
        <v>26</v>
      </c>
      <c r="D339" s="20">
        <v>4000</v>
      </c>
      <c r="E339" s="20">
        <v>223</v>
      </c>
      <c r="F339" s="20">
        <v>30</v>
      </c>
      <c r="G339" s="20">
        <v>188</v>
      </c>
      <c r="H339" s="20">
        <v>0.86</v>
      </c>
      <c r="I339" s="20">
        <v>0.78</v>
      </c>
      <c r="J339" s="20">
        <v>0.74</v>
      </c>
      <c r="K339" s="22">
        <f t="shared" si="52"/>
        <v>0.49639200000000006</v>
      </c>
      <c r="L339" s="20"/>
      <c r="M339" s="23">
        <f t="shared" si="53"/>
        <v>0</v>
      </c>
      <c r="N339" s="23">
        <f t="shared" si="54"/>
        <v>0</v>
      </c>
      <c r="O339" s="23">
        <f t="shared" si="55"/>
        <v>0</v>
      </c>
      <c r="Q339" s="92"/>
    </row>
    <row r="340" spans="1:17" s="17" customFormat="1" x14ac:dyDescent="0.2">
      <c r="A340" s="17">
        <v>9270</v>
      </c>
      <c r="B340" s="20" t="s">
        <v>15</v>
      </c>
      <c r="C340" s="21" t="s">
        <v>27</v>
      </c>
      <c r="D340" s="30">
        <v>12</v>
      </c>
      <c r="E340" s="30">
        <v>435</v>
      </c>
      <c r="F340" s="30">
        <v>39</v>
      </c>
      <c r="G340" s="30">
        <v>396</v>
      </c>
      <c r="H340" s="30">
        <v>0.86</v>
      </c>
      <c r="I340" s="30">
        <v>0.56000000000000005</v>
      </c>
      <c r="J340" s="30">
        <v>0.51</v>
      </c>
      <c r="K340" s="31">
        <f t="shared" si="52"/>
        <v>0.24561600000000003</v>
      </c>
      <c r="L340" s="20"/>
      <c r="M340" s="23">
        <f t="shared" si="53"/>
        <v>0</v>
      </c>
      <c r="N340" s="23">
        <f t="shared" si="54"/>
        <v>0</v>
      </c>
      <c r="O340" s="23">
        <f t="shared" si="55"/>
        <v>0</v>
      </c>
      <c r="P340" s="147">
        <f>SUM(L340:L344)</f>
        <v>0</v>
      </c>
      <c r="Q340" s="92"/>
    </row>
    <row r="341" spans="1:17" s="17" customFormat="1" x14ac:dyDescent="0.2">
      <c r="A341" s="17">
        <v>9270</v>
      </c>
      <c r="B341" s="20" t="s">
        <v>15</v>
      </c>
      <c r="C341" s="21" t="s">
        <v>28</v>
      </c>
      <c r="D341" s="30">
        <v>12</v>
      </c>
      <c r="E341" s="30">
        <v>520</v>
      </c>
      <c r="F341" s="30">
        <v>40</v>
      </c>
      <c r="G341" s="30">
        <v>480</v>
      </c>
      <c r="H341" s="30">
        <v>1.03</v>
      </c>
      <c r="I341" s="30">
        <v>0.56000000000000005</v>
      </c>
      <c r="J341" s="30">
        <v>0.51</v>
      </c>
      <c r="K341" s="31">
        <f t="shared" si="52"/>
        <v>0.29416800000000004</v>
      </c>
      <c r="L341" s="20"/>
      <c r="M341" s="23">
        <f t="shared" si="53"/>
        <v>0</v>
      </c>
      <c r="N341" s="23">
        <f t="shared" si="54"/>
        <v>0</v>
      </c>
      <c r="O341" s="23">
        <f t="shared" si="55"/>
        <v>0</v>
      </c>
      <c r="P341" s="147"/>
      <c r="Q341" s="92"/>
    </row>
    <row r="342" spans="1:17" s="17" customFormat="1" x14ac:dyDescent="0.2">
      <c r="A342" s="17">
        <v>9270</v>
      </c>
      <c r="B342" s="20" t="s">
        <v>15</v>
      </c>
      <c r="C342" s="21" t="s">
        <v>29</v>
      </c>
      <c r="D342" s="30">
        <v>12</v>
      </c>
      <c r="E342" s="30">
        <v>596</v>
      </c>
      <c r="F342" s="30">
        <v>44</v>
      </c>
      <c r="G342" s="30">
        <v>552</v>
      </c>
      <c r="H342" s="30">
        <v>1.17</v>
      </c>
      <c r="I342" s="30">
        <v>0.56000000000000005</v>
      </c>
      <c r="J342" s="30">
        <v>0.51</v>
      </c>
      <c r="K342" s="31">
        <f t="shared" si="52"/>
        <v>0.334152</v>
      </c>
      <c r="L342" s="20"/>
      <c r="M342" s="23">
        <f t="shared" si="53"/>
        <v>0</v>
      </c>
      <c r="N342" s="23">
        <f t="shared" si="54"/>
        <v>0</v>
      </c>
      <c r="O342" s="23">
        <f t="shared" si="55"/>
        <v>0</v>
      </c>
      <c r="P342" s="147"/>
      <c r="Q342" s="92"/>
    </row>
    <row r="343" spans="1:17" s="17" customFormat="1" x14ac:dyDescent="0.2">
      <c r="A343" s="17">
        <v>9270</v>
      </c>
      <c r="B343" s="20" t="s">
        <v>15</v>
      </c>
      <c r="C343" s="21" t="s">
        <v>30</v>
      </c>
      <c r="D343" s="32">
        <v>12</v>
      </c>
      <c r="E343" s="30">
        <v>654</v>
      </c>
      <c r="F343" s="30">
        <v>42</v>
      </c>
      <c r="G343" s="30">
        <v>612</v>
      </c>
      <c r="H343" s="30">
        <v>1.2749999999999999</v>
      </c>
      <c r="I343" s="30">
        <v>0.56000000000000005</v>
      </c>
      <c r="J343" s="30">
        <v>0.51</v>
      </c>
      <c r="K343" s="31">
        <f t="shared" si="52"/>
        <v>0.36413999999999996</v>
      </c>
      <c r="L343" s="20"/>
      <c r="M343" s="23">
        <f t="shared" si="53"/>
        <v>0</v>
      </c>
      <c r="N343" s="23">
        <f t="shared" si="54"/>
        <v>0</v>
      </c>
      <c r="O343" s="23">
        <f t="shared" si="55"/>
        <v>0</v>
      </c>
      <c r="P343" s="147"/>
      <c r="Q343" s="92"/>
    </row>
    <row r="344" spans="1:17" s="17" customFormat="1" x14ac:dyDescent="0.2">
      <c r="A344" s="17">
        <v>9270</v>
      </c>
      <c r="B344" s="20" t="s">
        <v>15</v>
      </c>
      <c r="C344" s="21" t="s">
        <v>31</v>
      </c>
      <c r="D344" s="32">
        <v>6</v>
      </c>
      <c r="E344" s="30">
        <v>410</v>
      </c>
      <c r="F344" s="30">
        <v>50</v>
      </c>
      <c r="G344" s="30">
        <v>360</v>
      </c>
      <c r="H344" s="30">
        <v>1.48</v>
      </c>
      <c r="I344" s="30">
        <v>0.56000000000000005</v>
      </c>
      <c r="J344" s="30">
        <v>0.37</v>
      </c>
      <c r="K344" s="31">
        <f t="shared" si="52"/>
        <v>0.30665600000000004</v>
      </c>
      <c r="L344" s="20"/>
      <c r="M344" s="23">
        <f t="shared" si="53"/>
        <v>0</v>
      </c>
      <c r="N344" s="23">
        <f t="shared" si="54"/>
        <v>0</v>
      </c>
      <c r="O344" s="23">
        <f t="shared" si="55"/>
        <v>0</v>
      </c>
      <c r="P344" s="147"/>
      <c r="Q344" s="92"/>
    </row>
    <row r="345" spans="1:17" s="17" customFormat="1" x14ac:dyDescent="0.2">
      <c r="A345" s="17">
        <v>9278</v>
      </c>
      <c r="B345" s="20" t="s">
        <v>14</v>
      </c>
      <c r="C345" s="21" t="s">
        <v>32</v>
      </c>
      <c r="D345" s="27">
        <v>1000</v>
      </c>
      <c r="E345" s="27">
        <f t="shared" ref="E345:E354" si="56">G345+F345</f>
        <v>395</v>
      </c>
      <c r="F345" s="27">
        <v>40</v>
      </c>
      <c r="G345" s="27">
        <v>355</v>
      </c>
      <c r="H345" s="27">
        <v>1.05</v>
      </c>
      <c r="I345" s="27">
        <v>0.9</v>
      </c>
      <c r="J345" s="27">
        <v>0.55000000000000004</v>
      </c>
      <c r="K345" s="23">
        <f t="shared" si="52"/>
        <v>0.51975000000000005</v>
      </c>
      <c r="L345" s="20"/>
      <c r="M345" s="23">
        <f t="shared" si="53"/>
        <v>0</v>
      </c>
      <c r="N345" s="23">
        <f t="shared" si="54"/>
        <v>0</v>
      </c>
      <c r="O345" s="23">
        <f t="shared" si="55"/>
        <v>0</v>
      </c>
      <c r="Q345" s="92"/>
    </row>
    <row r="346" spans="1:17" s="17" customFormat="1" x14ac:dyDescent="0.2">
      <c r="A346" s="17">
        <v>9278</v>
      </c>
      <c r="B346" s="20" t="s">
        <v>14</v>
      </c>
      <c r="C346" s="21" t="s">
        <v>33</v>
      </c>
      <c r="D346" s="27">
        <v>450</v>
      </c>
      <c r="E346" s="27">
        <f t="shared" si="56"/>
        <v>360</v>
      </c>
      <c r="F346" s="27">
        <v>40</v>
      </c>
      <c r="G346" s="27">
        <v>320</v>
      </c>
      <c r="H346" s="20">
        <v>1.1000000000000001</v>
      </c>
      <c r="I346" s="27">
        <v>0.9</v>
      </c>
      <c r="J346" s="20">
        <v>0.75</v>
      </c>
      <c r="K346" s="22">
        <f t="shared" si="52"/>
        <v>0.74250000000000005</v>
      </c>
      <c r="L346" s="20"/>
      <c r="M346" s="23">
        <f t="shared" si="53"/>
        <v>0</v>
      </c>
      <c r="N346" s="23">
        <f t="shared" si="54"/>
        <v>0</v>
      </c>
      <c r="O346" s="23">
        <f t="shared" si="55"/>
        <v>0</v>
      </c>
      <c r="Q346" s="92"/>
    </row>
    <row r="347" spans="1:17" s="17" customFormat="1" x14ac:dyDescent="0.2">
      <c r="A347" s="17">
        <v>9278</v>
      </c>
      <c r="B347" s="20" t="s">
        <v>14</v>
      </c>
      <c r="C347" s="21" t="s">
        <v>34</v>
      </c>
      <c r="D347" s="27">
        <v>1000</v>
      </c>
      <c r="E347" s="27">
        <f t="shared" si="56"/>
        <v>492</v>
      </c>
      <c r="F347" s="27">
        <v>40</v>
      </c>
      <c r="G347" s="27">
        <v>452</v>
      </c>
      <c r="H347" s="27">
        <v>1.1000000000000001</v>
      </c>
      <c r="I347" s="27">
        <v>1.05</v>
      </c>
      <c r="J347" s="27">
        <v>0.55000000000000004</v>
      </c>
      <c r="K347" s="23">
        <f t="shared" si="52"/>
        <v>0.6352500000000002</v>
      </c>
      <c r="L347" s="20"/>
      <c r="M347" s="23">
        <f t="shared" si="53"/>
        <v>0</v>
      </c>
      <c r="N347" s="23">
        <f t="shared" si="54"/>
        <v>0</v>
      </c>
      <c r="O347" s="23">
        <f t="shared" si="55"/>
        <v>0</v>
      </c>
      <c r="Q347" s="92"/>
    </row>
    <row r="348" spans="1:17" s="17" customFormat="1" x14ac:dyDescent="0.2">
      <c r="A348" s="17">
        <v>9278</v>
      </c>
      <c r="B348" s="20" t="s">
        <v>14</v>
      </c>
      <c r="C348" s="21" t="s">
        <v>35</v>
      </c>
      <c r="D348" s="27">
        <v>450</v>
      </c>
      <c r="E348" s="27">
        <f t="shared" si="56"/>
        <v>421.5</v>
      </c>
      <c r="F348" s="27">
        <v>40</v>
      </c>
      <c r="G348" s="27">
        <v>381.5</v>
      </c>
      <c r="H348" s="27">
        <v>1.05</v>
      </c>
      <c r="I348" s="27">
        <v>1.05</v>
      </c>
      <c r="J348" s="20">
        <v>0.75</v>
      </c>
      <c r="K348" s="22">
        <f t="shared" si="52"/>
        <v>0.82687500000000003</v>
      </c>
      <c r="L348" s="20"/>
      <c r="M348" s="23">
        <f t="shared" si="53"/>
        <v>0</v>
      </c>
      <c r="N348" s="23">
        <f t="shared" si="54"/>
        <v>0</v>
      </c>
      <c r="O348" s="23">
        <f t="shared" si="55"/>
        <v>0</v>
      </c>
      <c r="Q348" s="92"/>
    </row>
    <row r="349" spans="1:17" s="17" customFormat="1" x14ac:dyDescent="0.2">
      <c r="A349" s="17">
        <v>9278</v>
      </c>
      <c r="B349" s="20" t="s">
        <v>14</v>
      </c>
      <c r="C349" s="21" t="s">
        <v>36</v>
      </c>
      <c r="D349" s="27">
        <v>1000</v>
      </c>
      <c r="E349" s="27">
        <f t="shared" si="56"/>
        <v>574</v>
      </c>
      <c r="F349" s="27">
        <v>40</v>
      </c>
      <c r="G349" s="27">
        <v>534</v>
      </c>
      <c r="H349" s="27">
        <v>1.1000000000000001</v>
      </c>
      <c r="I349" s="27">
        <v>1.2</v>
      </c>
      <c r="J349" s="27">
        <v>0.55000000000000004</v>
      </c>
      <c r="K349" s="23">
        <f t="shared" si="52"/>
        <v>0.72600000000000009</v>
      </c>
      <c r="L349" s="20"/>
      <c r="M349" s="23">
        <f t="shared" si="53"/>
        <v>0</v>
      </c>
      <c r="N349" s="23">
        <f t="shared" si="54"/>
        <v>0</v>
      </c>
      <c r="O349" s="23">
        <f t="shared" si="55"/>
        <v>0</v>
      </c>
      <c r="Q349" s="92"/>
    </row>
    <row r="350" spans="1:17" s="17" customFormat="1" x14ac:dyDescent="0.2">
      <c r="A350" s="17">
        <v>9278</v>
      </c>
      <c r="B350" s="20" t="s">
        <v>14</v>
      </c>
      <c r="C350" s="21" t="s">
        <v>37</v>
      </c>
      <c r="D350" s="27">
        <v>450</v>
      </c>
      <c r="E350" s="27">
        <f t="shared" si="56"/>
        <v>475</v>
      </c>
      <c r="F350" s="27">
        <v>40</v>
      </c>
      <c r="G350" s="27">
        <v>435</v>
      </c>
      <c r="H350" s="27">
        <v>1.05</v>
      </c>
      <c r="I350" s="27">
        <v>1.2</v>
      </c>
      <c r="J350" s="20">
        <v>0.75</v>
      </c>
      <c r="K350" s="23">
        <f t="shared" si="52"/>
        <v>0.94500000000000006</v>
      </c>
      <c r="L350" s="20"/>
      <c r="M350" s="23">
        <f t="shared" si="53"/>
        <v>0</v>
      </c>
      <c r="N350" s="23">
        <f t="shared" si="54"/>
        <v>0</v>
      </c>
      <c r="O350" s="23">
        <f t="shared" si="55"/>
        <v>0</v>
      </c>
      <c r="Q350" s="92"/>
    </row>
    <row r="351" spans="1:17" s="17" customFormat="1" x14ac:dyDescent="0.2">
      <c r="A351" s="17">
        <v>9278</v>
      </c>
      <c r="B351" s="20" t="s">
        <v>14</v>
      </c>
      <c r="C351" s="21" t="s">
        <v>38</v>
      </c>
      <c r="D351" s="27">
        <v>1000</v>
      </c>
      <c r="E351" s="27">
        <f t="shared" si="56"/>
        <v>645</v>
      </c>
      <c r="F351" s="27">
        <v>40</v>
      </c>
      <c r="G351" s="27">
        <v>605</v>
      </c>
      <c r="H351" s="27">
        <v>1.1000000000000001</v>
      </c>
      <c r="I351" s="27">
        <v>1.3</v>
      </c>
      <c r="J351" s="27">
        <v>0.55000000000000004</v>
      </c>
      <c r="K351" s="23">
        <f t="shared" si="52"/>
        <v>0.7865000000000002</v>
      </c>
      <c r="L351" s="20"/>
      <c r="M351" s="23">
        <f t="shared" si="53"/>
        <v>0</v>
      </c>
      <c r="N351" s="23">
        <f t="shared" si="54"/>
        <v>0</v>
      </c>
      <c r="O351" s="23">
        <f t="shared" si="55"/>
        <v>0</v>
      </c>
      <c r="Q351" s="92"/>
    </row>
    <row r="352" spans="1:17" s="17" customFormat="1" x14ac:dyDescent="0.2">
      <c r="A352" s="17">
        <v>9278</v>
      </c>
      <c r="B352" s="20" t="s">
        <v>14</v>
      </c>
      <c r="C352" s="21" t="s">
        <v>39</v>
      </c>
      <c r="D352" s="27">
        <v>450</v>
      </c>
      <c r="E352" s="27">
        <f t="shared" si="56"/>
        <v>515</v>
      </c>
      <c r="F352" s="27">
        <v>40</v>
      </c>
      <c r="G352" s="27">
        <v>475</v>
      </c>
      <c r="H352" s="27">
        <v>1.05</v>
      </c>
      <c r="I352" s="27">
        <v>1.3</v>
      </c>
      <c r="J352" s="20">
        <v>0.75</v>
      </c>
      <c r="K352" s="23">
        <f t="shared" si="52"/>
        <v>1.0237500000000002</v>
      </c>
      <c r="L352" s="20"/>
      <c r="M352" s="23">
        <f t="shared" si="53"/>
        <v>0</v>
      </c>
      <c r="N352" s="23">
        <f t="shared" si="54"/>
        <v>0</v>
      </c>
      <c r="O352" s="23">
        <f t="shared" si="55"/>
        <v>0</v>
      </c>
      <c r="Q352" s="92"/>
    </row>
    <row r="353" spans="1:17" s="17" customFormat="1" x14ac:dyDescent="0.2">
      <c r="A353" s="17">
        <v>9278</v>
      </c>
      <c r="B353" s="20" t="s">
        <v>14</v>
      </c>
      <c r="C353" s="21" t="s">
        <v>40</v>
      </c>
      <c r="D353" s="27">
        <v>1000</v>
      </c>
      <c r="E353" s="27">
        <f t="shared" si="56"/>
        <v>645</v>
      </c>
      <c r="F353" s="27">
        <v>40</v>
      </c>
      <c r="G353" s="27">
        <v>605</v>
      </c>
      <c r="H353" s="27">
        <v>1.1000000000000001</v>
      </c>
      <c r="I353" s="27">
        <v>1.3</v>
      </c>
      <c r="J353" s="27">
        <v>0.55000000000000004</v>
      </c>
      <c r="K353" s="23">
        <f t="shared" si="52"/>
        <v>0.7865000000000002</v>
      </c>
      <c r="L353" s="20"/>
      <c r="M353" s="23">
        <f t="shared" si="53"/>
        <v>0</v>
      </c>
      <c r="N353" s="23">
        <f t="shared" si="54"/>
        <v>0</v>
      </c>
      <c r="O353" s="23">
        <f t="shared" si="55"/>
        <v>0</v>
      </c>
      <c r="Q353" s="92"/>
    </row>
    <row r="354" spans="1:17" s="17" customFormat="1" x14ac:dyDescent="0.2">
      <c r="A354" s="17">
        <v>9278</v>
      </c>
      <c r="B354" s="20" t="s">
        <v>14</v>
      </c>
      <c r="C354" s="21" t="s">
        <v>41</v>
      </c>
      <c r="D354" s="27">
        <v>450</v>
      </c>
      <c r="E354" s="27">
        <f t="shared" si="56"/>
        <v>515</v>
      </c>
      <c r="F354" s="27">
        <v>40</v>
      </c>
      <c r="G354" s="27">
        <v>475</v>
      </c>
      <c r="H354" s="27">
        <v>1.05</v>
      </c>
      <c r="I354" s="27">
        <v>1.3</v>
      </c>
      <c r="J354" s="20">
        <v>0.75</v>
      </c>
      <c r="K354" s="23">
        <f t="shared" si="52"/>
        <v>1.0237500000000002</v>
      </c>
      <c r="L354" s="20"/>
      <c r="M354" s="23">
        <f t="shared" si="53"/>
        <v>0</v>
      </c>
      <c r="N354" s="23">
        <f t="shared" si="54"/>
        <v>0</v>
      </c>
      <c r="O354" s="23">
        <f t="shared" si="55"/>
        <v>0</v>
      </c>
      <c r="Q354" s="92"/>
    </row>
    <row r="355" spans="1:17" s="17" customFormat="1" x14ac:dyDescent="0.2">
      <c r="A355" s="17">
        <v>8952</v>
      </c>
      <c r="B355" s="20" t="s">
        <v>14</v>
      </c>
      <c r="C355" s="21" t="s">
        <v>22</v>
      </c>
      <c r="D355" s="26">
        <v>3000</v>
      </c>
      <c r="E355" s="27">
        <v>235</v>
      </c>
      <c r="F355" s="20">
        <v>35</v>
      </c>
      <c r="G355" s="27">
        <v>200</v>
      </c>
      <c r="H355" s="20">
        <v>1.1000000000000001</v>
      </c>
      <c r="I355" s="20">
        <v>1.1000000000000001</v>
      </c>
      <c r="J355" s="20">
        <v>1.02</v>
      </c>
      <c r="K355" s="22">
        <f t="shared" si="52"/>
        <v>1.2342000000000002</v>
      </c>
      <c r="L355" s="20"/>
      <c r="M355" s="23">
        <f t="shared" si="53"/>
        <v>0</v>
      </c>
      <c r="N355" s="23">
        <f t="shared" si="54"/>
        <v>0</v>
      </c>
      <c r="O355" s="23">
        <f t="shared" si="55"/>
        <v>0</v>
      </c>
      <c r="Q355" s="92"/>
    </row>
    <row r="356" spans="1:17" s="17" customFormat="1" x14ac:dyDescent="0.2">
      <c r="A356" s="17">
        <v>9278</v>
      </c>
      <c r="B356" s="20" t="s">
        <v>14</v>
      </c>
      <c r="C356" s="21" t="s">
        <v>23</v>
      </c>
      <c r="D356" s="24">
        <v>1000</v>
      </c>
      <c r="E356" s="25">
        <v>646</v>
      </c>
      <c r="F356" s="25">
        <f>E356-G356</f>
        <v>40</v>
      </c>
      <c r="G356" s="25">
        <v>606</v>
      </c>
      <c r="H356" s="25">
        <v>1.1000000000000001</v>
      </c>
      <c r="I356" s="25">
        <v>0.8</v>
      </c>
      <c r="J356" s="25">
        <v>0.55000000000000004</v>
      </c>
      <c r="K356" s="23">
        <f t="shared" si="52"/>
        <v>0.4840000000000001</v>
      </c>
      <c r="L356" s="20"/>
      <c r="M356" s="23">
        <f t="shared" si="53"/>
        <v>0</v>
      </c>
      <c r="N356" s="23">
        <f t="shared" si="54"/>
        <v>0</v>
      </c>
      <c r="O356" s="23">
        <f t="shared" si="55"/>
        <v>0</v>
      </c>
      <c r="Q356" s="92"/>
    </row>
    <row r="357" spans="1:17" s="17" customFormat="1" x14ac:dyDescent="0.2">
      <c r="A357" s="17">
        <v>9278</v>
      </c>
      <c r="B357" s="20" t="s">
        <v>14</v>
      </c>
      <c r="C357" s="21" t="s">
        <v>46</v>
      </c>
      <c r="D357" s="26">
        <v>4000</v>
      </c>
      <c r="E357" s="27">
        <v>424</v>
      </c>
      <c r="F357" s="20">
        <f>E357-G357</f>
        <v>52</v>
      </c>
      <c r="G357" s="27">
        <v>372</v>
      </c>
      <c r="H357" s="20">
        <v>1.1000000000000001</v>
      </c>
      <c r="I357" s="20">
        <v>0.8</v>
      </c>
      <c r="J357" s="20">
        <v>0.55000000000000004</v>
      </c>
      <c r="K357" s="22">
        <f t="shared" si="52"/>
        <v>0.4840000000000001</v>
      </c>
      <c r="L357" s="20"/>
      <c r="M357" s="23">
        <f t="shared" si="53"/>
        <v>0</v>
      </c>
      <c r="N357" s="23">
        <f t="shared" si="54"/>
        <v>0</v>
      </c>
      <c r="O357" s="23">
        <f t="shared" si="55"/>
        <v>0</v>
      </c>
      <c r="Q357" s="92"/>
    </row>
    <row r="358" spans="1:17" s="17" customFormat="1" ht="15" x14ac:dyDescent="0.2">
      <c r="A358" s="17">
        <v>9278</v>
      </c>
      <c r="B358" s="20" t="s">
        <v>14</v>
      </c>
      <c r="C358" s="21" t="s">
        <v>42</v>
      </c>
      <c r="D358" s="28">
        <v>1200</v>
      </c>
      <c r="E358" s="148">
        <v>666.4</v>
      </c>
      <c r="F358" s="148">
        <v>40</v>
      </c>
      <c r="G358" s="29">
        <v>588</v>
      </c>
      <c r="H358" s="150">
        <v>1</v>
      </c>
      <c r="I358" s="150">
        <v>0.75</v>
      </c>
      <c r="J358" s="150">
        <v>0.7</v>
      </c>
      <c r="K358" s="152">
        <v>0.5</v>
      </c>
      <c r="L358" s="20"/>
      <c r="M358" s="154">
        <f t="shared" si="53"/>
        <v>0</v>
      </c>
      <c r="N358" s="154">
        <f t="shared" si="54"/>
        <v>0</v>
      </c>
      <c r="O358" s="156">
        <f t="shared" si="55"/>
        <v>0</v>
      </c>
      <c r="Q358" s="92"/>
    </row>
    <row r="359" spans="1:17" s="17" customFormat="1" ht="15.75" thickBot="1" x14ac:dyDescent="0.25">
      <c r="A359" s="17">
        <v>9278</v>
      </c>
      <c r="B359" s="20" t="s">
        <v>14</v>
      </c>
      <c r="C359" s="21" t="s">
        <v>43</v>
      </c>
      <c r="D359" s="28">
        <v>1200</v>
      </c>
      <c r="E359" s="149"/>
      <c r="F359" s="149"/>
      <c r="G359" s="29">
        <v>38.4</v>
      </c>
      <c r="H359" s="151"/>
      <c r="I359" s="151"/>
      <c r="J359" s="151"/>
      <c r="K359" s="153"/>
      <c r="L359" s="20"/>
      <c r="M359" s="155"/>
      <c r="N359" s="155"/>
      <c r="O359" s="157"/>
      <c r="Q359" s="93"/>
    </row>
    <row r="360" spans="1:17" s="60" customFormat="1" x14ac:dyDescent="0.2">
      <c r="A360" s="60">
        <v>9270</v>
      </c>
      <c r="B360" s="61" t="s">
        <v>15</v>
      </c>
      <c r="C360" s="61" t="s">
        <v>16</v>
      </c>
      <c r="D360" s="61">
        <v>30</v>
      </c>
      <c r="E360" s="61">
        <v>669</v>
      </c>
      <c r="F360" s="61">
        <f>E360-G360</f>
        <v>53</v>
      </c>
      <c r="G360" s="61">
        <v>616</v>
      </c>
      <c r="H360" s="61">
        <v>1</v>
      </c>
      <c r="I360" s="61">
        <v>0.9</v>
      </c>
      <c r="J360" s="61">
        <v>0.73</v>
      </c>
      <c r="K360" s="61">
        <f t="shared" ref="K360:K388" si="57">H360*I360*J360</f>
        <v>0.65700000000000003</v>
      </c>
      <c r="L360" s="61"/>
      <c r="M360" s="62">
        <f t="shared" ref="M360:M389" si="58">L360/D360</f>
        <v>0</v>
      </c>
      <c r="N360" s="62">
        <f t="shared" ref="N360:N389" si="59">E360*M360</f>
        <v>0</v>
      </c>
      <c r="O360" s="62">
        <f>M360*K360</f>
        <v>0</v>
      </c>
      <c r="P360" s="136">
        <f>SUM(L360:L363)</f>
        <v>0</v>
      </c>
      <c r="Q360" s="94" t="s">
        <v>54</v>
      </c>
    </row>
    <row r="361" spans="1:17" s="60" customFormat="1" x14ac:dyDescent="0.2">
      <c r="A361" s="60">
        <v>9270</v>
      </c>
      <c r="B361" s="61" t="s">
        <v>15</v>
      </c>
      <c r="C361" s="61" t="s">
        <v>17</v>
      </c>
      <c r="D361" s="61">
        <v>30</v>
      </c>
      <c r="E361" s="61">
        <v>669</v>
      </c>
      <c r="F361" s="61">
        <f>E361-G361</f>
        <v>53</v>
      </c>
      <c r="G361" s="61">
        <v>616</v>
      </c>
      <c r="H361" s="61">
        <v>1</v>
      </c>
      <c r="I361" s="61">
        <v>0.9</v>
      </c>
      <c r="J361" s="61">
        <v>0.73</v>
      </c>
      <c r="K361" s="61">
        <f t="shared" si="57"/>
        <v>0.65700000000000003</v>
      </c>
      <c r="L361" s="61"/>
      <c r="M361" s="62">
        <f t="shared" si="58"/>
        <v>0</v>
      </c>
      <c r="N361" s="62">
        <f t="shared" si="59"/>
        <v>0</v>
      </c>
      <c r="O361" s="62">
        <f t="shared" ref="O361:O389" si="60">M361*K361</f>
        <v>0</v>
      </c>
      <c r="P361" s="136"/>
      <c r="Q361" s="95"/>
    </row>
    <row r="362" spans="1:17" s="60" customFormat="1" x14ac:dyDescent="0.2">
      <c r="A362" s="60">
        <v>9270</v>
      </c>
      <c r="B362" s="61" t="s">
        <v>15</v>
      </c>
      <c r="C362" s="61" t="s">
        <v>18</v>
      </c>
      <c r="D362" s="61">
        <v>30</v>
      </c>
      <c r="E362" s="61">
        <v>669</v>
      </c>
      <c r="F362" s="61">
        <f>E362-G362</f>
        <v>53</v>
      </c>
      <c r="G362" s="61">
        <v>616</v>
      </c>
      <c r="H362" s="61">
        <v>1</v>
      </c>
      <c r="I362" s="61">
        <v>0.9</v>
      </c>
      <c r="J362" s="61">
        <v>0.73</v>
      </c>
      <c r="K362" s="61">
        <f t="shared" si="57"/>
        <v>0.65700000000000003</v>
      </c>
      <c r="L362" s="61"/>
      <c r="M362" s="62">
        <f t="shared" si="58"/>
        <v>0</v>
      </c>
      <c r="N362" s="62">
        <f t="shared" si="59"/>
        <v>0</v>
      </c>
      <c r="O362" s="62">
        <f t="shared" si="60"/>
        <v>0</v>
      </c>
      <c r="P362" s="136"/>
      <c r="Q362" s="95"/>
    </row>
    <row r="363" spans="1:17" s="60" customFormat="1" x14ac:dyDescent="0.2">
      <c r="A363" s="60">
        <v>9270</v>
      </c>
      <c r="B363" s="61" t="s">
        <v>15</v>
      </c>
      <c r="C363" s="61" t="s">
        <v>19</v>
      </c>
      <c r="D363" s="61">
        <v>30</v>
      </c>
      <c r="E363" s="61">
        <v>669</v>
      </c>
      <c r="F363" s="61">
        <f>E363-G363</f>
        <v>53</v>
      </c>
      <c r="G363" s="61">
        <v>616</v>
      </c>
      <c r="H363" s="61">
        <v>1</v>
      </c>
      <c r="I363" s="61">
        <v>0.9</v>
      </c>
      <c r="J363" s="61">
        <v>0.73</v>
      </c>
      <c r="K363" s="61">
        <f t="shared" si="57"/>
        <v>0.65700000000000003</v>
      </c>
      <c r="L363" s="61"/>
      <c r="M363" s="62">
        <f t="shared" si="58"/>
        <v>0</v>
      </c>
      <c r="N363" s="62">
        <f t="shared" si="59"/>
        <v>0</v>
      </c>
      <c r="O363" s="62">
        <f t="shared" si="60"/>
        <v>0</v>
      </c>
      <c r="P363" s="136"/>
      <c r="Q363" s="95"/>
    </row>
    <row r="364" spans="1:17" s="60" customFormat="1" x14ac:dyDescent="0.2">
      <c r="A364" s="60">
        <v>9278</v>
      </c>
      <c r="B364" s="61" t="s">
        <v>14</v>
      </c>
      <c r="C364" s="63" t="s">
        <v>20</v>
      </c>
      <c r="D364" s="61">
        <v>5000</v>
      </c>
      <c r="E364" s="61">
        <v>490</v>
      </c>
      <c r="F364" s="61">
        <v>40</v>
      </c>
      <c r="G364" s="61">
        <v>450</v>
      </c>
      <c r="H364" s="61">
        <v>1</v>
      </c>
      <c r="I364" s="61">
        <v>0.98</v>
      </c>
      <c r="J364" s="61">
        <v>0.83</v>
      </c>
      <c r="K364" s="64">
        <f t="shared" si="57"/>
        <v>0.8133999999999999</v>
      </c>
      <c r="L364" s="61"/>
      <c r="M364" s="62">
        <f t="shared" si="58"/>
        <v>0</v>
      </c>
      <c r="N364" s="62">
        <f t="shared" si="59"/>
        <v>0</v>
      </c>
      <c r="O364" s="62">
        <f t="shared" si="60"/>
        <v>0</v>
      </c>
      <c r="Q364" s="95"/>
    </row>
    <row r="365" spans="1:17" s="60" customFormat="1" x14ac:dyDescent="0.2">
      <c r="A365" s="60">
        <v>9278</v>
      </c>
      <c r="B365" s="61" t="s">
        <v>14</v>
      </c>
      <c r="C365" s="63" t="s">
        <v>21</v>
      </c>
      <c r="D365" s="61">
        <v>360</v>
      </c>
      <c r="E365" s="61">
        <v>390</v>
      </c>
      <c r="F365" s="61">
        <v>40</v>
      </c>
      <c r="G365" s="61">
        <v>350</v>
      </c>
      <c r="H365" s="61">
        <v>1.05</v>
      </c>
      <c r="I365" s="61">
        <v>0.95</v>
      </c>
      <c r="J365" s="61">
        <v>0.55000000000000004</v>
      </c>
      <c r="K365" s="64">
        <f t="shared" si="57"/>
        <v>0.54862500000000003</v>
      </c>
      <c r="L365" s="61"/>
      <c r="M365" s="62">
        <f t="shared" si="58"/>
        <v>0</v>
      </c>
      <c r="N365" s="62">
        <f t="shared" si="59"/>
        <v>0</v>
      </c>
      <c r="O365" s="62">
        <f t="shared" si="60"/>
        <v>0</v>
      </c>
      <c r="Q365" s="95"/>
    </row>
    <row r="366" spans="1:17" s="60" customFormat="1" x14ac:dyDescent="0.2">
      <c r="A366" s="60">
        <v>8952</v>
      </c>
      <c r="B366" s="61" t="s">
        <v>14</v>
      </c>
      <c r="C366" s="63" t="s">
        <v>22</v>
      </c>
      <c r="D366" s="65">
        <v>3000</v>
      </c>
      <c r="E366" s="66">
        <v>235</v>
      </c>
      <c r="F366" s="61">
        <v>35</v>
      </c>
      <c r="G366" s="66">
        <v>200</v>
      </c>
      <c r="H366" s="61">
        <v>1.1000000000000001</v>
      </c>
      <c r="I366" s="61">
        <v>1.1000000000000001</v>
      </c>
      <c r="J366" s="61">
        <v>1.02</v>
      </c>
      <c r="K366" s="64">
        <f t="shared" si="57"/>
        <v>1.2342000000000002</v>
      </c>
      <c r="L366" s="61"/>
      <c r="M366" s="62">
        <f t="shared" si="58"/>
        <v>0</v>
      </c>
      <c r="N366" s="62">
        <f t="shared" si="59"/>
        <v>0</v>
      </c>
      <c r="O366" s="62">
        <f t="shared" si="60"/>
        <v>0</v>
      </c>
      <c r="Q366" s="95"/>
    </row>
    <row r="367" spans="1:17" s="60" customFormat="1" x14ac:dyDescent="0.2">
      <c r="A367" s="60">
        <v>9278</v>
      </c>
      <c r="B367" s="61" t="s">
        <v>14</v>
      </c>
      <c r="C367" s="63" t="s">
        <v>23</v>
      </c>
      <c r="D367" s="67">
        <v>1000</v>
      </c>
      <c r="E367" s="68">
        <v>646</v>
      </c>
      <c r="F367" s="68">
        <f>E367-G367</f>
        <v>40</v>
      </c>
      <c r="G367" s="68">
        <v>606</v>
      </c>
      <c r="H367" s="68">
        <v>1.1000000000000001</v>
      </c>
      <c r="I367" s="68">
        <v>0.8</v>
      </c>
      <c r="J367" s="68">
        <v>0.55000000000000004</v>
      </c>
      <c r="K367" s="62">
        <f t="shared" si="57"/>
        <v>0.4840000000000001</v>
      </c>
      <c r="L367" s="61"/>
      <c r="M367" s="62">
        <f t="shared" si="58"/>
        <v>0</v>
      </c>
      <c r="N367" s="62">
        <f t="shared" si="59"/>
        <v>0</v>
      </c>
      <c r="O367" s="62">
        <f t="shared" si="60"/>
        <v>0</v>
      </c>
      <c r="Q367" s="95"/>
    </row>
    <row r="368" spans="1:17" s="60" customFormat="1" x14ac:dyDescent="0.2">
      <c r="A368" s="60">
        <v>9286</v>
      </c>
      <c r="B368" s="61" t="s">
        <v>47</v>
      </c>
      <c r="C368" s="63" t="s">
        <v>24</v>
      </c>
      <c r="D368" s="65">
        <v>4000</v>
      </c>
      <c r="E368" s="66">
        <v>424</v>
      </c>
      <c r="F368" s="61">
        <f>E368-G368</f>
        <v>52</v>
      </c>
      <c r="G368" s="66">
        <v>372</v>
      </c>
      <c r="H368" s="61">
        <v>1.1000000000000001</v>
      </c>
      <c r="I368" s="61">
        <v>0.8</v>
      </c>
      <c r="J368" s="61">
        <v>0.55000000000000004</v>
      </c>
      <c r="K368" s="64">
        <f t="shared" si="57"/>
        <v>0.4840000000000001</v>
      </c>
      <c r="L368" s="61"/>
      <c r="M368" s="62">
        <f t="shared" si="58"/>
        <v>0</v>
      </c>
      <c r="N368" s="62">
        <f t="shared" si="59"/>
        <v>0</v>
      </c>
      <c r="O368" s="62">
        <f t="shared" si="60"/>
        <v>0</v>
      </c>
      <c r="Q368" s="95"/>
    </row>
    <row r="369" spans="1:17" s="60" customFormat="1" x14ac:dyDescent="0.2">
      <c r="A369" s="60">
        <v>9278</v>
      </c>
      <c r="B369" s="61" t="s">
        <v>14</v>
      </c>
      <c r="C369" s="63" t="s">
        <v>25</v>
      </c>
      <c r="D369" s="61">
        <v>1000</v>
      </c>
      <c r="E369" s="61">
        <v>830</v>
      </c>
      <c r="F369" s="61">
        <v>40</v>
      </c>
      <c r="G369" s="61">
        <v>790</v>
      </c>
      <c r="H369" s="61">
        <v>1.04</v>
      </c>
      <c r="I369" s="61">
        <v>0.84</v>
      </c>
      <c r="J369" s="61">
        <v>0.64</v>
      </c>
      <c r="K369" s="64">
        <f t="shared" si="57"/>
        <v>0.55910400000000005</v>
      </c>
      <c r="L369" s="61"/>
      <c r="M369" s="62">
        <f t="shared" si="58"/>
        <v>0</v>
      </c>
      <c r="N369" s="62">
        <f t="shared" si="59"/>
        <v>0</v>
      </c>
      <c r="O369" s="62">
        <f t="shared" si="60"/>
        <v>0</v>
      </c>
      <c r="Q369" s="95"/>
    </row>
    <row r="370" spans="1:17" s="60" customFormat="1" x14ac:dyDescent="0.2">
      <c r="A370" s="60">
        <v>9278</v>
      </c>
      <c r="B370" s="61" t="s">
        <v>14</v>
      </c>
      <c r="C370" s="63" t="s">
        <v>26</v>
      </c>
      <c r="D370" s="61">
        <v>4000</v>
      </c>
      <c r="E370" s="61">
        <v>223</v>
      </c>
      <c r="F370" s="61">
        <v>30</v>
      </c>
      <c r="G370" s="61">
        <v>188</v>
      </c>
      <c r="H370" s="61">
        <v>0.86</v>
      </c>
      <c r="I370" s="61">
        <v>0.78</v>
      </c>
      <c r="J370" s="61">
        <v>0.74</v>
      </c>
      <c r="K370" s="64">
        <f t="shared" si="57"/>
        <v>0.49639200000000006</v>
      </c>
      <c r="L370" s="61"/>
      <c r="M370" s="62">
        <f t="shared" si="58"/>
        <v>0</v>
      </c>
      <c r="N370" s="62">
        <f t="shared" si="59"/>
        <v>0</v>
      </c>
      <c r="O370" s="62">
        <f t="shared" si="60"/>
        <v>0</v>
      </c>
      <c r="Q370" s="95"/>
    </row>
    <row r="371" spans="1:17" s="60" customFormat="1" x14ac:dyDescent="0.2">
      <c r="A371" s="60">
        <v>9270</v>
      </c>
      <c r="B371" s="61" t="s">
        <v>15</v>
      </c>
      <c r="C371" s="63" t="s">
        <v>27</v>
      </c>
      <c r="D371" s="69">
        <v>12</v>
      </c>
      <c r="E371" s="69">
        <v>435</v>
      </c>
      <c r="F371" s="69">
        <v>39</v>
      </c>
      <c r="G371" s="69">
        <v>396</v>
      </c>
      <c r="H371" s="69">
        <v>0.86</v>
      </c>
      <c r="I371" s="69">
        <v>0.56000000000000005</v>
      </c>
      <c r="J371" s="69">
        <v>0.51</v>
      </c>
      <c r="K371" s="70">
        <f t="shared" si="57"/>
        <v>0.24561600000000003</v>
      </c>
      <c r="L371" s="61"/>
      <c r="M371" s="62">
        <f t="shared" si="58"/>
        <v>0</v>
      </c>
      <c r="N371" s="62">
        <f t="shared" si="59"/>
        <v>0</v>
      </c>
      <c r="O371" s="62">
        <f t="shared" si="60"/>
        <v>0</v>
      </c>
      <c r="P371" s="136">
        <f>SUM(L371:L375)</f>
        <v>0</v>
      </c>
      <c r="Q371" s="95"/>
    </row>
    <row r="372" spans="1:17" s="60" customFormat="1" x14ac:dyDescent="0.2">
      <c r="A372" s="60">
        <v>9270</v>
      </c>
      <c r="B372" s="61" t="s">
        <v>15</v>
      </c>
      <c r="C372" s="63" t="s">
        <v>28</v>
      </c>
      <c r="D372" s="69">
        <v>12</v>
      </c>
      <c r="E372" s="69">
        <v>520</v>
      </c>
      <c r="F372" s="69">
        <v>40</v>
      </c>
      <c r="G372" s="69">
        <v>480</v>
      </c>
      <c r="H372" s="69">
        <v>1.03</v>
      </c>
      <c r="I372" s="69">
        <v>0.56000000000000005</v>
      </c>
      <c r="J372" s="69">
        <v>0.51</v>
      </c>
      <c r="K372" s="70">
        <f t="shared" si="57"/>
        <v>0.29416800000000004</v>
      </c>
      <c r="L372" s="61"/>
      <c r="M372" s="62">
        <f t="shared" si="58"/>
        <v>0</v>
      </c>
      <c r="N372" s="62">
        <f t="shared" si="59"/>
        <v>0</v>
      </c>
      <c r="O372" s="62">
        <f t="shared" si="60"/>
        <v>0</v>
      </c>
      <c r="P372" s="136"/>
      <c r="Q372" s="95"/>
    </row>
    <row r="373" spans="1:17" s="60" customFormat="1" x14ac:dyDescent="0.2">
      <c r="A373" s="60">
        <v>9270</v>
      </c>
      <c r="B373" s="61" t="s">
        <v>15</v>
      </c>
      <c r="C373" s="63" t="s">
        <v>29</v>
      </c>
      <c r="D373" s="69">
        <v>12</v>
      </c>
      <c r="E373" s="69">
        <v>596</v>
      </c>
      <c r="F373" s="69">
        <v>44</v>
      </c>
      <c r="G373" s="69">
        <v>552</v>
      </c>
      <c r="H373" s="69">
        <v>1.17</v>
      </c>
      <c r="I373" s="69">
        <v>0.56000000000000005</v>
      </c>
      <c r="J373" s="69">
        <v>0.51</v>
      </c>
      <c r="K373" s="70">
        <f t="shared" si="57"/>
        <v>0.334152</v>
      </c>
      <c r="L373" s="61"/>
      <c r="M373" s="62">
        <f t="shared" si="58"/>
        <v>0</v>
      </c>
      <c r="N373" s="62">
        <f t="shared" si="59"/>
        <v>0</v>
      </c>
      <c r="O373" s="62">
        <f t="shared" si="60"/>
        <v>0</v>
      </c>
      <c r="P373" s="136"/>
      <c r="Q373" s="95"/>
    </row>
    <row r="374" spans="1:17" s="60" customFormat="1" x14ac:dyDescent="0.2">
      <c r="A374" s="60">
        <v>9270</v>
      </c>
      <c r="B374" s="61" t="s">
        <v>15</v>
      </c>
      <c r="C374" s="63" t="s">
        <v>30</v>
      </c>
      <c r="D374" s="71">
        <v>12</v>
      </c>
      <c r="E374" s="69">
        <v>654</v>
      </c>
      <c r="F374" s="69">
        <v>42</v>
      </c>
      <c r="G374" s="69">
        <v>612</v>
      </c>
      <c r="H374" s="69">
        <v>1.2749999999999999</v>
      </c>
      <c r="I374" s="69">
        <v>0.56000000000000005</v>
      </c>
      <c r="J374" s="69">
        <v>0.51</v>
      </c>
      <c r="K374" s="70">
        <f t="shared" si="57"/>
        <v>0.36413999999999996</v>
      </c>
      <c r="L374" s="61"/>
      <c r="M374" s="62">
        <f t="shared" si="58"/>
        <v>0</v>
      </c>
      <c r="N374" s="62">
        <f t="shared" si="59"/>
        <v>0</v>
      </c>
      <c r="O374" s="62">
        <f t="shared" si="60"/>
        <v>0</v>
      </c>
      <c r="P374" s="136"/>
      <c r="Q374" s="95"/>
    </row>
    <row r="375" spans="1:17" s="60" customFormat="1" x14ac:dyDescent="0.2">
      <c r="A375" s="60">
        <v>9270</v>
      </c>
      <c r="B375" s="61" t="s">
        <v>15</v>
      </c>
      <c r="C375" s="63" t="s">
        <v>31</v>
      </c>
      <c r="D375" s="71">
        <v>6</v>
      </c>
      <c r="E375" s="69">
        <v>410</v>
      </c>
      <c r="F375" s="69">
        <v>50</v>
      </c>
      <c r="G375" s="69">
        <v>360</v>
      </c>
      <c r="H375" s="69">
        <v>1.48</v>
      </c>
      <c r="I375" s="69">
        <v>0.56000000000000005</v>
      </c>
      <c r="J375" s="69">
        <v>0.37</v>
      </c>
      <c r="K375" s="70">
        <f t="shared" si="57"/>
        <v>0.30665600000000004</v>
      </c>
      <c r="L375" s="61"/>
      <c r="M375" s="62">
        <f t="shared" si="58"/>
        <v>0</v>
      </c>
      <c r="N375" s="62">
        <f t="shared" si="59"/>
        <v>0</v>
      </c>
      <c r="O375" s="62">
        <f t="shared" si="60"/>
        <v>0</v>
      </c>
      <c r="P375" s="136"/>
      <c r="Q375" s="95"/>
    </row>
    <row r="376" spans="1:17" s="60" customFormat="1" x14ac:dyDescent="0.2">
      <c r="A376" s="60">
        <v>9278</v>
      </c>
      <c r="B376" s="61" t="s">
        <v>14</v>
      </c>
      <c r="C376" s="63" t="s">
        <v>32</v>
      </c>
      <c r="D376" s="66">
        <v>1000</v>
      </c>
      <c r="E376" s="66">
        <f t="shared" ref="E376:E385" si="61">G376+F376</f>
        <v>395</v>
      </c>
      <c r="F376" s="66">
        <v>40</v>
      </c>
      <c r="G376" s="66">
        <v>355</v>
      </c>
      <c r="H376" s="66">
        <v>1.05</v>
      </c>
      <c r="I376" s="66">
        <v>0.9</v>
      </c>
      <c r="J376" s="66">
        <v>0.55000000000000004</v>
      </c>
      <c r="K376" s="62">
        <f t="shared" si="57"/>
        <v>0.51975000000000005</v>
      </c>
      <c r="L376" s="61"/>
      <c r="M376" s="62">
        <f t="shared" si="58"/>
        <v>0</v>
      </c>
      <c r="N376" s="62">
        <f t="shared" si="59"/>
        <v>0</v>
      </c>
      <c r="O376" s="62">
        <f t="shared" si="60"/>
        <v>0</v>
      </c>
      <c r="Q376" s="95"/>
    </row>
    <row r="377" spans="1:17" s="60" customFormat="1" x14ac:dyDescent="0.2">
      <c r="A377" s="60">
        <v>9278</v>
      </c>
      <c r="B377" s="61" t="s">
        <v>14</v>
      </c>
      <c r="C377" s="63" t="s">
        <v>33</v>
      </c>
      <c r="D377" s="66">
        <v>450</v>
      </c>
      <c r="E377" s="66">
        <f t="shared" si="61"/>
        <v>360</v>
      </c>
      <c r="F377" s="66">
        <v>40</v>
      </c>
      <c r="G377" s="66">
        <v>320</v>
      </c>
      <c r="H377" s="61">
        <v>1.1000000000000001</v>
      </c>
      <c r="I377" s="66">
        <v>0.9</v>
      </c>
      <c r="J377" s="61">
        <v>0.75</v>
      </c>
      <c r="K377" s="64">
        <f t="shared" si="57"/>
        <v>0.74250000000000005</v>
      </c>
      <c r="L377" s="61"/>
      <c r="M377" s="62">
        <f t="shared" si="58"/>
        <v>0</v>
      </c>
      <c r="N377" s="62">
        <f t="shared" si="59"/>
        <v>0</v>
      </c>
      <c r="O377" s="62">
        <f t="shared" si="60"/>
        <v>0</v>
      </c>
      <c r="Q377" s="95"/>
    </row>
    <row r="378" spans="1:17" s="60" customFormat="1" x14ac:dyDescent="0.2">
      <c r="A378" s="60">
        <v>9278</v>
      </c>
      <c r="B378" s="61" t="s">
        <v>14</v>
      </c>
      <c r="C378" s="63" t="s">
        <v>34</v>
      </c>
      <c r="D378" s="66">
        <v>1000</v>
      </c>
      <c r="E378" s="66">
        <f t="shared" si="61"/>
        <v>492</v>
      </c>
      <c r="F378" s="66">
        <v>40</v>
      </c>
      <c r="G378" s="66">
        <v>452</v>
      </c>
      <c r="H378" s="66">
        <v>1.1000000000000001</v>
      </c>
      <c r="I378" s="66">
        <v>1.05</v>
      </c>
      <c r="J378" s="66">
        <v>0.55000000000000004</v>
      </c>
      <c r="K378" s="62">
        <f t="shared" si="57"/>
        <v>0.6352500000000002</v>
      </c>
      <c r="L378" s="61"/>
      <c r="M378" s="62">
        <f t="shared" si="58"/>
        <v>0</v>
      </c>
      <c r="N378" s="62">
        <f t="shared" si="59"/>
        <v>0</v>
      </c>
      <c r="O378" s="62">
        <f t="shared" si="60"/>
        <v>0</v>
      </c>
      <c r="Q378" s="95"/>
    </row>
    <row r="379" spans="1:17" s="60" customFormat="1" x14ac:dyDescent="0.2">
      <c r="A379" s="60">
        <v>9278</v>
      </c>
      <c r="B379" s="61" t="s">
        <v>14</v>
      </c>
      <c r="C379" s="63" t="s">
        <v>35</v>
      </c>
      <c r="D379" s="66">
        <v>450</v>
      </c>
      <c r="E379" s="66">
        <f t="shared" si="61"/>
        <v>421.5</v>
      </c>
      <c r="F379" s="66">
        <v>40</v>
      </c>
      <c r="G379" s="66">
        <v>381.5</v>
      </c>
      <c r="H379" s="66">
        <v>1.05</v>
      </c>
      <c r="I379" s="66">
        <v>1.05</v>
      </c>
      <c r="J379" s="61">
        <v>0.75</v>
      </c>
      <c r="K379" s="64">
        <f t="shared" si="57"/>
        <v>0.82687500000000003</v>
      </c>
      <c r="L379" s="61"/>
      <c r="M379" s="62">
        <f t="shared" si="58"/>
        <v>0</v>
      </c>
      <c r="N379" s="62">
        <f t="shared" si="59"/>
        <v>0</v>
      </c>
      <c r="O379" s="62">
        <f t="shared" si="60"/>
        <v>0</v>
      </c>
      <c r="Q379" s="95"/>
    </row>
    <row r="380" spans="1:17" s="60" customFormat="1" x14ac:dyDescent="0.2">
      <c r="A380" s="60">
        <v>9278</v>
      </c>
      <c r="B380" s="61" t="s">
        <v>14</v>
      </c>
      <c r="C380" s="63" t="s">
        <v>36</v>
      </c>
      <c r="D380" s="66">
        <v>1000</v>
      </c>
      <c r="E380" s="66">
        <f t="shared" si="61"/>
        <v>574</v>
      </c>
      <c r="F380" s="66">
        <v>40</v>
      </c>
      <c r="G380" s="66">
        <v>534</v>
      </c>
      <c r="H380" s="66">
        <v>1.1000000000000001</v>
      </c>
      <c r="I380" s="66">
        <v>1.2</v>
      </c>
      <c r="J380" s="66">
        <v>0.55000000000000004</v>
      </c>
      <c r="K380" s="62">
        <f t="shared" si="57"/>
        <v>0.72600000000000009</v>
      </c>
      <c r="L380" s="61"/>
      <c r="M380" s="62">
        <f t="shared" si="58"/>
        <v>0</v>
      </c>
      <c r="N380" s="62">
        <f t="shared" si="59"/>
        <v>0</v>
      </c>
      <c r="O380" s="62">
        <f t="shared" si="60"/>
        <v>0</v>
      </c>
      <c r="Q380" s="95"/>
    </row>
    <row r="381" spans="1:17" s="60" customFormat="1" x14ac:dyDescent="0.2">
      <c r="A381" s="60">
        <v>9278</v>
      </c>
      <c r="B381" s="61" t="s">
        <v>14</v>
      </c>
      <c r="C381" s="63" t="s">
        <v>37</v>
      </c>
      <c r="D381" s="66">
        <v>450</v>
      </c>
      <c r="E381" s="66">
        <f t="shared" si="61"/>
        <v>475</v>
      </c>
      <c r="F381" s="66">
        <v>40</v>
      </c>
      <c r="G381" s="66">
        <v>435</v>
      </c>
      <c r="H381" s="66">
        <v>1.05</v>
      </c>
      <c r="I381" s="66">
        <v>1.2</v>
      </c>
      <c r="J381" s="61">
        <v>0.75</v>
      </c>
      <c r="K381" s="62">
        <f t="shared" si="57"/>
        <v>0.94500000000000006</v>
      </c>
      <c r="L381" s="61"/>
      <c r="M381" s="62">
        <f t="shared" si="58"/>
        <v>0</v>
      </c>
      <c r="N381" s="62">
        <f t="shared" si="59"/>
        <v>0</v>
      </c>
      <c r="O381" s="62">
        <f t="shared" si="60"/>
        <v>0</v>
      </c>
      <c r="Q381" s="95"/>
    </row>
    <row r="382" spans="1:17" s="60" customFormat="1" x14ac:dyDescent="0.2">
      <c r="A382" s="60">
        <v>9278</v>
      </c>
      <c r="B382" s="61" t="s">
        <v>14</v>
      </c>
      <c r="C382" s="63" t="s">
        <v>38</v>
      </c>
      <c r="D382" s="66">
        <v>1000</v>
      </c>
      <c r="E382" s="66">
        <f t="shared" si="61"/>
        <v>645</v>
      </c>
      <c r="F382" s="66">
        <v>40</v>
      </c>
      <c r="G382" s="66">
        <v>605</v>
      </c>
      <c r="H382" s="66">
        <v>1.1000000000000001</v>
      </c>
      <c r="I382" s="66">
        <v>1.3</v>
      </c>
      <c r="J382" s="66">
        <v>0.55000000000000004</v>
      </c>
      <c r="K382" s="62">
        <f t="shared" si="57"/>
        <v>0.7865000000000002</v>
      </c>
      <c r="L382" s="61"/>
      <c r="M382" s="62">
        <f t="shared" si="58"/>
        <v>0</v>
      </c>
      <c r="N382" s="62">
        <f t="shared" si="59"/>
        <v>0</v>
      </c>
      <c r="O382" s="62">
        <f t="shared" si="60"/>
        <v>0</v>
      </c>
      <c r="Q382" s="95"/>
    </row>
    <row r="383" spans="1:17" s="60" customFormat="1" x14ac:dyDescent="0.2">
      <c r="A383" s="60">
        <v>9278</v>
      </c>
      <c r="B383" s="61" t="s">
        <v>14</v>
      </c>
      <c r="C383" s="63" t="s">
        <v>39</v>
      </c>
      <c r="D383" s="66">
        <v>450</v>
      </c>
      <c r="E383" s="66">
        <f t="shared" si="61"/>
        <v>515</v>
      </c>
      <c r="F383" s="66">
        <v>40</v>
      </c>
      <c r="G383" s="66">
        <v>475</v>
      </c>
      <c r="H383" s="66">
        <v>1.05</v>
      </c>
      <c r="I383" s="66">
        <v>1.3</v>
      </c>
      <c r="J383" s="61">
        <v>0.75</v>
      </c>
      <c r="K383" s="62">
        <f t="shared" si="57"/>
        <v>1.0237500000000002</v>
      </c>
      <c r="L383" s="61"/>
      <c r="M383" s="62">
        <f t="shared" si="58"/>
        <v>0</v>
      </c>
      <c r="N383" s="62">
        <f t="shared" si="59"/>
        <v>0</v>
      </c>
      <c r="O383" s="62">
        <f t="shared" si="60"/>
        <v>0</v>
      </c>
      <c r="Q383" s="95"/>
    </row>
    <row r="384" spans="1:17" s="60" customFormat="1" x14ac:dyDescent="0.2">
      <c r="A384" s="60">
        <v>9278</v>
      </c>
      <c r="B384" s="61" t="s">
        <v>14</v>
      </c>
      <c r="C384" s="63" t="s">
        <v>40</v>
      </c>
      <c r="D384" s="66">
        <v>1000</v>
      </c>
      <c r="E384" s="66">
        <f t="shared" si="61"/>
        <v>645</v>
      </c>
      <c r="F384" s="66">
        <v>40</v>
      </c>
      <c r="G384" s="66">
        <v>605</v>
      </c>
      <c r="H384" s="66">
        <v>1.1000000000000001</v>
      </c>
      <c r="I384" s="66">
        <v>1.3</v>
      </c>
      <c r="J384" s="66">
        <v>0.55000000000000004</v>
      </c>
      <c r="K384" s="62">
        <f t="shared" si="57"/>
        <v>0.7865000000000002</v>
      </c>
      <c r="L384" s="61"/>
      <c r="M384" s="62">
        <f t="shared" si="58"/>
        <v>0</v>
      </c>
      <c r="N384" s="62">
        <f t="shared" si="59"/>
        <v>0</v>
      </c>
      <c r="O384" s="62">
        <f t="shared" si="60"/>
        <v>0</v>
      </c>
      <c r="Q384" s="95"/>
    </row>
    <row r="385" spans="1:17" s="60" customFormat="1" x14ac:dyDescent="0.2">
      <c r="A385" s="60">
        <v>9278</v>
      </c>
      <c r="B385" s="61" t="s">
        <v>14</v>
      </c>
      <c r="C385" s="63" t="s">
        <v>41</v>
      </c>
      <c r="D385" s="66">
        <v>450</v>
      </c>
      <c r="E385" s="66">
        <f t="shared" si="61"/>
        <v>515</v>
      </c>
      <c r="F385" s="66">
        <v>40</v>
      </c>
      <c r="G385" s="66">
        <v>475</v>
      </c>
      <c r="H385" s="66">
        <v>1.05</v>
      </c>
      <c r="I385" s="66">
        <v>1.3</v>
      </c>
      <c r="J385" s="61">
        <v>0.75</v>
      </c>
      <c r="K385" s="62">
        <f t="shared" si="57"/>
        <v>1.0237500000000002</v>
      </c>
      <c r="L385" s="61"/>
      <c r="M385" s="62">
        <f t="shared" si="58"/>
        <v>0</v>
      </c>
      <c r="N385" s="62">
        <f t="shared" si="59"/>
        <v>0</v>
      </c>
      <c r="O385" s="62">
        <f t="shared" si="60"/>
        <v>0</v>
      </c>
      <c r="Q385" s="95"/>
    </row>
    <row r="386" spans="1:17" s="60" customFormat="1" x14ac:dyDescent="0.2">
      <c r="A386" s="60">
        <v>8952</v>
      </c>
      <c r="B386" s="61" t="s">
        <v>14</v>
      </c>
      <c r="C386" s="63" t="s">
        <v>22</v>
      </c>
      <c r="D386" s="65">
        <v>3000</v>
      </c>
      <c r="E386" s="66">
        <v>235</v>
      </c>
      <c r="F386" s="61">
        <v>35</v>
      </c>
      <c r="G386" s="66">
        <v>200</v>
      </c>
      <c r="H386" s="61">
        <v>1.1000000000000001</v>
      </c>
      <c r="I386" s="61">
        <v>1.1000000000000001</v>
      </c>
      <c r="J386" s="61">
        <v>1.02</v>
      </c>
      <c r="K386" s="64">
        <f t="shared" si="57"/>
        <v>1.2342000000000002</v>
      </c>
      <c r="L386" s="61"/>
      <c r="M386" s="62">
        <f t="shared" si="58"/>
        <v>0</v>
      </c>
      <c r="N386" s="62">
        <f t="shared" si="59"/>
        <v>0</v>
      </c>
      <c r="O386" s="62">
        <f t="shared" si="60"/>
        <v>0</v>
      </c>
      <c r="Q386" s="95"/>
    </row>
    <row r="387" spans="1:17" s="60" customFormat="1" x14ac:dyDescent="0.2">
      <c r="A387" s="60">
        <v>9278</v>
      </c>
      <c r="B387" s="61" t="s">
        <v>14</v>
      </c>
      <c r="C387" s="63" t="s">
        <v>23</v>
      </c>
      <c r="D387" s="67">
        <v>1000</v>
      </c>
      <c r="E387" s="68">
        <v>646</v>
      </c>
      <c r="F387" s="68">
        <f>E387-G387</f>
        <v>40</v>
      </c>
      <c r="G387" s="68">
        <v>606</v>
      </c>
      <c r="H387" s="68">
        <v>1.1000000000000001</v>
      </c>
      <c r="I387" s="68">
        <v>0.8</v>
      </c>
      <c r="J387" s="68">
        <v>0.55000000000000004</v>
      </c>
      <c r="K387" s="62">
        <f t="shared" si="57"/>
        <v>0.4840000000000001</v>
      </c>
      <c r="L387" s="61"/>
      <c r="M387" s="62">
        <f t="shared" si="58"/>
        <v>0</v>
      </c>
      <c r="N387" s="62">
        <f t="shared" si="59"/>
        <v>0</v>
      </c>
      <c r="O387" s="62">
        <f t="shared" si="60"/>
        <v>0</v>
      </c>
      <c r="Q387" s="95"/>
    </row>
    <row r="388" spans="1:17" s="60" customFormat="1" x14ac:dyDescent="0.2">
      <c r="A388" s="60">
        <v>9278</v>
      </c>
      <c r="B388" s="61" t="s">
        <v>14</v>
      </c>
      <c r="C388" s="63" t="s">
        <v>46</v>
      </c>
      <c r="D388" s="65">
        <v>4000</v>
      </c>
      <c r="E388" s="66">
        <v>424</v>
      </c>
      <c r="F388" s="61">
        <f>E388-G388</f>
        <v>52</v>
      </c>
      <c r="G388" s="66">
        <v>372</v>
      </c>
      <c r="H388" s="61">
        <v>1.1000000000000001</v>
      </c>
      <c r="I388" s="61">
        <v>0.8</v>
      </c>
      <c r="J388" s="61">
        <v>0.55000000000000004</v>
      </c>
      <c r="K388" s="64">
        <f t="shared" si="57"/>
        <v>0.4840000000000001</v>
      </c>
      <c r="L388" s="61"/>
      <c r="M388" s="62">
        <f t="shared" si="58"/>
        <v>0</v>
      </c>
      <c r="N388" s="62">
        <f t="shared" si="59"/>
        <v>0</v>
      </c>
      <c r="O388" s="62">
        <f t="shared" si="60"/>
        <v>0</v>
      </c>
      <c r="Q388" s="95"/>
    </row>
    <row r="389" spans="1:17" s="60" customFormat="1" ht="15" x14ac:dyDescent="0.2">
      <c r="A389" s="60">
        <v>9278</v>
      </c>
      <c r="B389" s="61" t="s">
        <v>14</v>
      </c>
      <c r="C389" s="63" t="s">
        <v>42</v>
      </c>
      <c r="D389" s="72">
        <v>1200</v>
      </c>
      <c r="E389" s="137">
        <v>666.4</v>
      </c>
      <c r="F389" s="137">
        <v>40</v>
      </c>
      <c r="G389" s="73">
        <v>588</v>
      </c>
      <c r="H389" s="139">
        <v>1</v>
      </c>
      <c r="I389" s="139">
        <v>0.75</v>
      </c>
      <c r="J389" s="139">
        <v>0.7</v>
      </c>
      <c r="K389" s="141">
        <v>0.5</v>
      </c>
      <c r="L389" s="61"/>
      <c r="M389" s="143">
        <f t="shared" si="58"/>
        <v>0</v>
      </c>
      <c r="N389" s="143">
        <f t="shared" si="59"/>
        <v>0</v>
      </c>
      <c r="O389" s="145">
        <f t="shared" si="60"/>
        <v>0</v>
      </c>
      <c r="Q389" s="95"/>
    </row>
    <row r="390" spans="1:17" s="60" customFormat="1" ht="15.75" thickBot="1" x14ac:dyDescent="0.25">
      <c r="A390" s="60">
        <v>9278</v>
      </c>
      <c r="B390" s="61" t="s">
        <v>14</v>
      </c>
      <c r="C390" s="63" t="s">
        <v>43</v>
      </c>
      <c r="D390" s="72">
        <v>1200</v>
      </c>
      <c r="E390" s="138"/>
      <c r="F390" s="138"/>
      <c r="G390" s="73">
        <v>38.4</v>
      </c>
      <c r="H390" s="140"/>
      <c r="I390" s="140"/>
      <c r="J390" s="140"/>
      <c r="K390" s="142"/>
      <c r="L390" s="61"/>
      <c r="M390" s="144"/>
      <c r="N390" s="144"/>
      <c r="O390" s="146"/>
      <c r="Q390" s="96"/>
    </row>
    <row r="391" spans="1:17" s="33" customFormat="1" x14ac:dyDescent="0.2">
      <c r="A391" s="33">
        <v>9270</v>
      </c>
      <c r="B391" s="34" t="s">
        <v>15</v>
      </c>
      <c r="C391" s="34" t="s">
        <v>16</v>
      </c>
      <c r="D391" s="34">
        <v>30</v>
      </c>
      <c r="E391" s="34">
        <v>669</v>
      </c>
      <c r="F391" s="34">
        <f>E391-G391</f>
        <v>53</v>
      </c>
      <c r="G391" s="34">
        <v>616</v>
      </c>
      <c r="H391" s="34">
        <v>1</v>
      </c>
      <c r="I391" s="34">
        <v>0.9</v>
      </c>
      <c r="J391" s="34">
        <v>0.73</v>
      </c>
      <c r="K391" s="34">
        <f t="shared" ref="K391:K419" si="62">H391*I391*J391</f>
        <v>0.65700000000000003</v>
      </c>
      <c r="L391" s="34">
        <v>102</v>
      </c>
      <c r="M391" s="35">
        <f t="shared" ref="M391:M420" si="63">L391/D391</f>
        <v>3.4</v>
      </c>
      <c r="N391" s="35">
        <f t="shared" ref="N391:N420" si="64">E391*M391</f>
        <v>2274.6</v>
      </c>
      <c r="O391" s="35">
        <f>M391*K391</f>
        <v>2.2338</v>
      </c>
      <c r="P391" s="125">
        <f>SUM(L391:L394)</f>
        <v>120</v>
      </c>
      <c r="Q391" s="97" t="s">
        <v>55</v>
      </c>
    </row>
    <row r="392" spans="1:17" s="33" customFormat="1" x14ac:dyDescent="0.2">
      <c r="A392" s="33">
        <v>9270</v>
      </c>
      <c r="B392" s="34" t="s">
        <v>15</v>
      </c>
      <c r="C392" s="34" t="s">
        <v>17</v>
      </c>
      <c r="D392" s="34">
        <v>30</v>
      </c>
      <c r="E392" s="34">
        <v>669</v>
      </c>
      <c r="F392" s="34">
        <f>E392-G392</f>
        <v>53</v>
      </c>
      <c r="G392" s="34">
        <v>616</v>
      </c>
      <c r="H392" s="34">
        <v>1</v>
      </c>
      <c r="I392" s="34">
        <v>0.9</v>
      </c>
      <c r="J392" s="34">
        <v>0.73</v>
      </c>
      <c r="K392" s="34">
        <f t="shared" si="62"/>
        <v>0.65700000000000003</v>
      </c>
      <c r="L392" s="34">
        <v>6</v>
      </c>
      <c r="M392" s="35">
        <f t="shared" si="63"/>
        <v>0.2</v>
      </c>
      <c r="N392" s="35">
        <f t="shared" si="64"/>
        <v>133.80000000000001</v>
      </c>
      <c r="O392" s="35">
        <f t="shared" ref="O392:O420" si="65">M392*K392</f>
        <v>0.13140000000000002</v>
      </c>
      <c r="P392" s="125"/>
      <c r="Q392" s="98"/>
    </row>
    <row r="393" spans="1:17" s="33" customFormat="1" x14ac:dyDescent="0.2">
      <c r="A393" s="33">
        <v>9270</v>
      </c>
      <c r="B393" s="34" t="s">
        <v>15</v>
      </c>
      <c r="C393" s="34" t="s">
        <v>18</v>
      </c>
      <c r="D393" s="34">
        <v>30</v>
      </c>
      <c r="E393" s="34">
        <v>669</v>
      </c>
      <c r="F393" s="34">
        <f>E393-G393</f>
        <v>53</v>
      </c>
      <c r="G393" s="34">
        <v>616</v>
      </c>
      <c r="H393" s="34">
        <v>1</v>
      </c>
      <c r="I393" s="34">
        <v>0.9</v>
      </c>
      <c r="J393" s="34">
        <v>0.73</v>
      </c>
      <c r="K393" s="34">
        <f t="shared" si="62"/>
        <v>0.65700000000000003</v>
      </c>
      <c r="L393" s="34">
        <v>6</v>
      </c>
      <c r="M393" s="35">
        <f t="shared" si="63"/>
        <v>0.2</v>
      </c>
      <c r="N393" s="35">
        <f t="shared" si="64"/>
        <v>133.80000000000001</v>
      </c>
      <c r="O393" s="35">
        <f t="shared" si="65"/>
        <v>0.13140000000000002</v>
      </c>
      <c r="P393" s="125"/>
      <c r="Q393" s="98"/>
    </row>
    <row r="394" spans="1:17" s="33" customFormat="1" x14ac:dyDescent="0.2">
      <c r="A394" s="33">
        <v>9270</v>
      </c>
      <c r="B394" s="34" t="s">
        <v>15</v>
      </c>
      <c r="C394" s="34" t="s">
        <v>19</v>
      </c>
      <c r="D394" s="34">
        <v>30</v>
      </c>
      <c r="E394" s="34">
        <v>669</v>
      </c>
      <c r="F394" s="34">
        <f>E394-G394</f>
        <v>53</v>
      </c>
      <c r="G394" s="34">
        <v>616</v>
      </c>
      <c r="H394" s="34">
        <v>1</v>
      </c>
      <c r="I394" s="34">
        <v>0.9</v>
      </c>
      <c r="J394" s="34">
        <v>0.73</v>
      </c>
      <c r="K394" s="34">
        <f t="shared" si="62"/>
        <v>0.65700000000000003</v>
      </c>
      <c r="L394" s="34">
        <v>6</v>
      </c>
      <c r="M394" s="35">
        <f t="shared" si="63"/>
        <v>0.2</v>
      </c>
      <c r="N394" s="35">
        <f t="shared" si="64"/>
        <v>133.80000000000001</v>
      </c>
      <c r="O394" s="35">
        <f t="shared" si="65"/>
        <v>0.13140000000000002</v>
      </c>
      <c r="P394" s="125"/>
      <c r="Q394" s="98"/>
    </row>
    <row r="395" spans="1:17" s="33" customFormat="1" x14ac:dyDescent="0.2">
      <c r="A395" s="33">
        <v>9278</v>
      </c>
      <c r="B395" s="34" t="s">
        <v>14</v>
      </c>
      <c r="C395" s="36" t="s">
        <v>20</v>
      </c>
      <c r="D395" s="34">
        <v>5000</v>
      </c>
      <c r="E395" s="34">
        <v>490</v>
      </c>
      <c r="F395" s="34">
        <v>40</v>
      </c>
      <c r="G395" s="34">
        <v>450</v>
      </c>
      <c r="H395" s="34">
        <v>1</v>
      </c>
      <c r="I395" s="34">
        <v>0.98</v>
      </c>
      <c r="J395" s="34">
        <v>0.83</v>
      </c>
      <c r="K395" s="37">
        <f t="shared" si="62"/>
        <v>0.8133999999999999</v>
      </c>
      <c r="L395" s="34">
        <f>P391</f>
        <v>120</v>
      </c>
      <c r="M395" s="35">
        <f t="shared" si="63"/>
        <v>2.4E-2</v>
      </c>
      <c r="N395" s="35">
        <f t="shared" si="64"/>
        <v>11.76</v>
      </c>
      <c r="O395" s="35">
        <f t="shared" si="65"/>
        <v>1.9521599999999997E-2</v>
      </c>
      <c r="Q395" s="98"/>
    </row>
    <row r="396" spans="1:17" s="33" customFormat="1" x14ac:dyDescent="0.2">
      <c r="A396" s="33">
        <v>9278</v>
      </c>
      <c r="B396" s="34" t="s">
        <v>14</v>
      </c>
      <c r="C396" s="36" t="s">
        <v>21</v>
      </c>
      <c r="D396" s="34">
        <v>360</v>
      </c>
      <c r="E396" s="34">
        <v>390</v>
      </c>
      <c r="F396" s="34">
        <v>40</v>
      </c>
      <c r="G396" s="34">
        <v>350</v>
      </c>
      <c r="H396" s="34">
        <v>1.05</v>
      </c>
      <c r="I396" s="34">
        <v>0.95</v>
      </c>
      <c r="J396" s="34">
        <v>0.55000000000000004</v>
      </c>
      <c r="K396" s="37">
        <f t="shared" si="62"/>
        <v>0.54862500000000003</v>
      </c>
      <c r="L396" s="34">
        <f>P391</f>
        <v>120</v>
      </c>
      <c r="M396" s="35">
        <f t="shared" si="63"/>
        <v>0.33333333333333331</v>
      </c>
      <c r="N396" s="35">
        <f t="shared" si="64"/>
        <v>130</v>
      </c>
      <c r="O396" s="35">
        <f t="shared" si="65"/>
        <v>0.18287500000000001</v>
      </c>
      <c r="Q396" s="98"/>
    </row>
    <row r="397" spans="1:17" s="33" customFormat="1" x14ac:dyDescent="0.2">
      <c r="A397" s="33">
        <v>8952</v>
      </c>
      <c r="B397" s="34" t="s">
        <v>14</v>
      </c>
      <c r="C397" s="36" t="s">
        <v>22</v>
      </c>
      <c r="D397" s="38">
        <v>3000</v>
      </c>
      <c r="E397" s="39">
        <v>235</v>
      </c>
      <c r="F397" s="34">
        <v>35</v>
      </c>
      <c r="G397" s="39">
        <v>200</v>
      </c>
      <c r="H397" s="34">
        <v>1.1000000000000001</v>
      </c>
      <c r="I397" s="34">
        <v>1.1000000000000001</v>
      </c>
      <c r="J397" s="34">
        <v>1.02</v>
      </c>
      <c r="K397" s="37">
        <f t="shared" si="62"/>
        <v>1.2342000000000002</v>
      </c>
      <c r="L397" s="34">
        <f>P391*4</f>
        <v>480</v>
      </c>
      <c r="M397" s="35">
        <f t="shared" si="63"/>
        <v>0.16</v>
      </c>
      <c r="N397" s="35">
        <f t="shared" si="64"/>
        <v>37.6</v>
      </c>
      <c r="O397" s="35">
        <f t="shared" si="65"/>
        <v>0.19747200000000004</v>
      </c>
      <c r="Q397" s="98"/>
    </row>
    <row r="398" spans="1:17" s="33" customFormat="1" x14ac:dyDescent="0.2">
      <c r="A398" s="33">
        <v>9278</v>
      </c>
      <c r="B398" s="34" t="s">
        <v>14</v>
      </c>
      <c r="C398" s="36" t="s">
        <v>23</v>
      </c>
      <c r="D398" s="40">
        <v>1000</v>
      </c>
      <c r="E398" s="41">
        <v>646</v>
      </c>
      <c r="F398" s="41">
        <f>E398-G398</f>
        <v>40</v>
      </c>
      <c r="G398" s="41">
        <v>606</v>
      </c>
      <c r="H398" s="41">
        <v>1.1000000000000001</v>
      </c>
      <c r="I398" s="41">
        <v>0.8</v>
      </c>
      <c r="J398" s="41">
        <v>0.55000000000000004</v>
      </c>
      <c r="K398" s="35">
        <f t="shared" si="62"/>
        <v>0.4840000000000001</v>
      </c>
      <c r="L398" s="34">
        <f>P391*4</f>
        <v>480</v>
      </c>
      <c r="M398" s="35">
        <f t="shared" si="63"/>
        <v>0.48</v>
      </c>
      <c r="N398" s="35">
        <f t="shared" si="64"/>
        <v>310.08</v>
      </c>
      <c r="O398" s="35">
        <f t="shared" si="65"/>
        <v>0.23232000000000003</v>
      </c>
      <c r="Q398" s="98"/>
    </row>
    <row r="399" spans="1:17" s="33" customFormat="1" x14ac:dyDescent="0.2">
      <c r="A399" s="33">
        <v>9286</v>
      </c>
      <c r="B399" s="34" t="s">
        <v>47</v>
      </c>
      <c r="C399" s="36" t="s">
        <v>24</v>
      </c>
      <c r="D399" s="38">
        <v>4000</v>
      </c>
      <c r="E399" s="39">
        <v>424</v>
      </c>
      <c r="F399" s="34">
        <f>E399-G399</f>
        <v>52</v>
      </c>
      <c r="G399" s="39">
        <v>372</v>
      </c>
      <c r="H399" s="34">
        <v>1.1000000000000001</v>
      </c>
      <c r="I399" s="34">
        <v>0.8</v>
      </c>
      <c r="J399" s="34">
        <v>0.55000000000000004</v>
      </c>
      <c r="K399" s="37">
        <f t="shared" si="62"/>
        <v>0.4840000000000001</v>
      </c>
      <c r="L399" s="34">
        <f>(P391+P402)*4</f>
        <v>856</v>
      </c>
      <c r="M399" s="35">
        <f t="shared" si="63"/>
        <v>0.214</v>
      </c>
      <c r="N399" s="35">
        <f t="shared" si="64"/>
        <v>90.736000000000004</v>
      </c>
      <c r="O399" s="35">
        <f t="shared" si="65"/>
        <v>0.10357600000000002</v>
      </c>
      <c r="Q399" s="98"/>
    </row>
    <row r="400" spans="1:17" s="33" customFormat="1" x14ac:dyDescent="0.2">
      <c r="A400" s="33">
        <v>9278</v>
      </c>
      <c r="B400" s="34" t="s">
        <v>14</v>
      </c>
      <c r="C400" s="36" t="s">
        <v>25</v>
      </c>
      <c r="D400" s="34">
        <v>1000</v>
      </c>
      <c r="E400" s="34">
        <v>830</v>
      </c>
      <c r="F400" s="34">
        <v>40</v>
      </c>
      <c r="G400" s="34">
        <v>790</v>
      </c>
      <c r="H400" s="34">
        <v>1.04</v>
      </c>
      <c r="I400" s="34">
        <v>0.84</v>
      </c>
      <c r="J400" s="34">
        <v>0.64</v>
      </c>
      <c r="K400" s="37">
        <f t="shared" si="62"/>
        <v>0.55910400000000005</v>
      </c>
      <c r="L400" s="34">
        <f>P391*2</f>
        <v>240</v>
      </c>
      <c r="M400" s="35">
        <f t="shared" si="63"/>
        <v>0.24</v>
      </c>
      <c r="N400" s="35">
        <f t="shared" si="64"/>
        <v>199.2</v>
      </c>
      <c r="O400" s="35">
        <f t="shared" si="65"/>
        <v>0.13418496000000002</v>
      </c>
      <c r="Q400" s="98"/>
    </row>
    <row r="401" spans="1:17" s="33" customFormat="1" x14ac:dyDescent="0.2">
      <c r="A401" s="33">
        <v>9278</v>
      </c>
      <c r="B401" s="34" t="s">
        <v>14</v>
      </c>
      <c r="C401" s="36" t="s">
        <v>26</v>
      </c>
      <c r="D401" s="34">
        <v>4000</v>
      </c>
      <c r="E401" s="34">
        <v>223</v>
      </c>
      <c r="F401" s="34">
        <v>30</v>
      </c>
      <c r="G401" s="34">
        <v>188</v>
      </c>
      <c r="H401" s="34">
        <v>0.86</v>
      </c>
      <c r="I401" s="34">
        <v>0.78</v>
      </c>
      <c r="J401" s="34">
        <v>0.74</v>
      </c>
      <c r="K401" s="37">
        <f t="shared" si="62"/>
        <v>0.49639200000000006</v>
      </c>
      <c r="L401" s="34">
        <f>P391*2</f>
        <v>240</v>
      </c>
      <c r="M401" s="35">
        <f t="shared" si="63"/>
        <v>0.06</v>
      </c>
      <c r="N401" s="35">
        <f t="shared" si="64"/>
        <v>13.379999999999999</v>
      </c>
      <c r="O401" s="35">
        <f t="shared" si="65"/>
        <v>2.9783520000000001E-2</v>
      </c>
      <c r="Q401" s="98"/>
    </row>
    <row r="402" spans="1:17" s="33" customFormat="1" x14ac:dyDescent="0.2">
      <c r="A402" s="33">
        <v>9270</v>
      </c>
      <c r="B402" s="34" t="s">
        <v>15</v>
      </c>
      <c r="C402" s="36" t="s">
        <v>27</v>
      </c>
      <c r="D402" s="42">
        <v>12</v>
      </c>
      <c r="E402" s="42">
        <v>435</v>
      </c>
      <c r="F402" s="42">
        <v>39</v>
      </c>
      <c r="G402" s="42">
        <v>396</v>
      </c>
      <c r="H402" s="42">
        <v>0.86</v>
      </c>
      <c r="I402" s="42">
        <v>0.56000000000000005</v>
      </c>
      <c r="J402" s="42">
        <v>0.51</v>
      </c>
      <c r="K402" s="43">
        <f t="shared" si="62"/>
        <v>0.24561600000000003</v>
      </c>
      <c r="L402" s="34">
        <v>54</v>
      </c>
      <c r="M402" s="35">
        <f t="shared" si="63"/>
        <v>4.5</v>
      </c>
      <c r="N402" s="35">
        <f t="shared" si="64"/>
        <v>1957.5</v>
      </c>
      <c r="O402" s="35">
        <f t="shared" si="65"/>
        <v>1.105272</v>
      </c>
      <c r="P402" s="125">
        <f>SUM(L402:L406)</f>
        <v>94</v>
      </c>
      <c r="Q402" s="98"/>
    </row>
    <row r="403" spans="1:17" s="33" customFormat="1" x14ac:dyDescent="0.2">
      <c r="A403" s="33">
        <v>9270</v>
      </c>
      <c r="B403" s="34" t="s">
        <v>15</v>
      </c>
      <c r="C403" s="36" t="s">
        <v>28</v>
      </c>
      <c r="D403" s="42">
        <v>12</v>
      </c>
      <c r="E403" s="42">
        <v>520</v>
      </c>
      <c r="F403" s="42">
        <v>40</v>
      </c>
      <c r="G403" s="42">
        <v>480</v>
      </c>
      <c r="H403" s="42">
        <v>1.03</v>
      </c>
      <c r="I403" s="42">
        <v>0.56000000000000005</v>
      </c>
      <c r="J403" s="42">
        <v>0.51</v>
      </c>
      <c r="K403" s="43">
        <f t="shared" si="62"/>
        <v>0.29416800000000004</v>
      </c>
      <c r="L403" s="34">
        <v>17</v>
      </c>
      <c r="M403" s="35">
        <f t="shared" si="63"/>
        <v>1.4166666666666667</v>
      </c>
      <c r="N403" s="35">
        <f t="shared" si="64"/>
        <v>736.66666666666674</v>
      </c>
      <c r="O403" s="35">
        <f t="shared" si="65"/>
        <v>0.41673800000000005</v>
      </c>
      <c r="P403" s="125"/>
      <c r="Q403" s="98"/>
    </row>
    <row r="404" spans="1:17" s="33" customFormat="1" x14ac:dyDescent="0.2">
      <c r="A404" s="33">
        <v>9270</v>
      </c>
      <c r="B404" s="34" t="s">
        <v>15</v>
      </c>
      <c r="C404" s="36" t="s">
        <v>29</v>
      </c>
      <c r="D404" s="42">
        <v>12</v>
      </c>
      <c r="E404" s="42">
        <v>596</v>
      </c>
      <c r="F404" s="42">
        <v>44</v>
      </c>
      <c r="G404" s="42">
        <v>552</v>
      </c>
      <c r="H404" s="42">
        <v>1.17</v>
      </c>
      <c r="I404" s="42">
        <v>0.56000000000000005</v>
      </c>
      <c r="J404" s="42">
        <v>0.51</v>
      </c>
      <c r="K404" s="43">
        <f t="shared" si="62"/>
        <v>0.334152</v>
      </c>
      <c r="L404" s="34">
        <v>17</v>
      </c>
      <c r="M404" s="35">
        <f t="shared" si="63"/>
        <v>1.4166666666666667</v>
      </c>
      <c r="N404" s="35">
        <f t="shared" si="64"/>
        <v>844.33333333333337</v>
      </c>
      <c r="O404" s="35">
        <f t="shared" si="65"/>
        <v>0.47338200000000002</v>
      </c>
      <c r="P404" s="125"/>
      <c r="Q404" s="98"/>
    </row>
    <row r="405" spans="1:17" s="33" customFormat="1" x14ac:dyDescent="0.2">
      <c r="A405" s="33">
        <v>9270</v>
      </c>
      <c r="B405" s="34" t="s">
        <v>15</v>
      </c>
      <c r="C405" s="36" t="s">
        <v>30</v>
      </c>
      <c r="D405" s="44">
        <v>12</v>
      </c>
      <c r="E405" s="42">
        <v>654</v>
      </c>
      <c r="F405" s="42">
        <v>42</v>
      </c>
      <c r="G405" s="42">
        <v>612</v>
      </c>
      <c r="H405" s="42">
        <v>1.2749999999999999</v>
      </c>
      <c r="I405" s="42">
        <v>0.56000000000000005</v>
      </c>
      <c r="J405" s="42">
        <v>0.51</v>
      </c>
      <c r="K405" s="43">
        <f t="shared" si="62"/>
        <v>0.36413999999999996</v>
      </c>
      <c r="L405" s="34">
        <v>6</v>
      </c>
      <c r="M405" s="35">
        <f t="shared" si="63"/>
        <v>0.5</v>
      </c>
      <c r="N405" s="35">
        <f t="shared" si="64"/>
        <v>327</v>
      </c>
      <c r="O405" s="35">
        <f t="shared" si="65"/>
        <v>0.18206999999999998</v>
      </c>
      <c r="P405" s="125"/>
      <c r="Q405" s="98"/>
    </row>
    <row r="406" spans="1:17" s="33" customFormat="1" x14ac:dyDescent="0.2">
      <c r="A406" s="33">
        <v>9270</v>
      </c>
      <c r="B406" s="34" t="s">
        <v>15</v>
      </c>
      <c r="C406" s="36" t="s">
        <v>31</v>
      </c>
      <c r="D406" s="44">
        <v>6</v>
      </c>
      <c r="E406" s="42">
        <v>410</v>
      </c>
      <c r="F406" s="42">
        <v>50</v>
      </c>
      <c r="G406" s="42">
        <v>360</v>
      </c>
      <c r="H406" s="42">
        <v>1.48</v>
      </c>
      <c r="I406" s="42">
        <v>0.56000000000000005</v>
      </c>
      <c r="J406" s="42">
        <v>0.37</v>
      </c>
      <c r="K406" s="43">
        <f t="shared" si="62"/>
        <v>0.30665600000000004</v>
      </c>
      <c r="L406" s="34">
        <v>0</v>
      </c>
      <c r="M406" s="35">
        <f t="shared" si="63"/>
        <v>0</v>
      </c>
      <c r="N406" s="35">
        <f t="shared" si="64"/>
        <v>0</v>
      </c>
      <c r="O406" s="35">
        <f t="shared" si="65"/>
        <v>0</v>
      </c>
      <c r="P406" s="125"/>
      <c r="Q406" s="98"/>
    </row>
    <row r="407" spans="1:17" s="33" customFormat="1" x14ac:dyDescent="0.2">
      <c r="A407" s="33">
        <v>9278</v>
      </c>
      <c r="B407" s="34" t="s">
        <v>14</v>
      </c>
      <c r="C407" s="36" t="s">
        <v>32</v>
      </c>
      <c r="D407" s="39">
        <v>1000</v>
      </c>
      <c r="E407" s="39">
        <f t="shared" ref="E407:E416" si="66">G407+F407</f>
        <v>395</v>
      </c>
      <c r="F407" s="39">
        <v>40</v>
      </c>
      <c r="G407" s="39">
        <v>355</v>
      </c>
      <c r="H407" s="39">
        <v>1.05</v>
      </c>
      <c r="I407" s="39">
        <v>0.9</v>
      </c>
      <c r="J407" s="39">
        <v>0.55000000000000004</v>
      </c>
      <c r="K407" s="35">
        <f t="shared" si="62"/>
        <v>0.51975000000000005</v>
      </c>
      <c r="L407" s="34">
        <f>L402</f>
        <v>54</v>
      </c>
      <c r="M407" s="35">
        <f t="shared" si="63"/>
        <v>5.3999999999999999E-2</v>
      </c>
      <c r="N407" s="35">
        <f t="shared" si="64"/>
        <v>21.33</v>
      </c>
      <c r="O407" s="35">
        <f t="shared" si="65"/>
        <v>2.8066500000000001E-2</v>
      </c>
      <c r="Q407" s="98"/>
    </row>
    <row r="408" spans="1:17" s="33" customFormat="1" x14ac:dyDescent="0.2">
      <c r="A408" s="33">
        <v>9278</v>
      </c>
      <c r="B408" s="34" t="s">
        <v>14</v>
      </c>
      <c r="C408" s="36" t="s">
        <v>33</v>
      </c>
      <c r="D408" s="39">
        <v>450</v>
      </c>
      <c r="E408" s="39">
        <f t="shared" si="66"/>
        <v>360</v>
      </c>
      <c r="F408" s="39">
        <v>40</v>
      </c>
      <c r="G408" s="39">
        <v>320</v>
      </c>
      <c r="H408" s="34">
        <v>1.1000000000000001</v>
      </c>
      <c r="I408" s="39">
        <v>0.9</v>
      </c>
      <c r="J408" s="34">
        <v>0.75</v>
      </c>
      <c r="K408" s="37">
        <f t="shared" si="62"/>
        <v>0.74250000000000005</v>
      </c>
      <c r="L408" s="34">
        <f>L402</f>
        <v>54</v>
      </c>
      <c r="M408" s="35">
        <f t="shared" si="63"/>
        <v>0.12</v>
      </c>
      <c r="N408" s="35">
        <f t="shared" si="64"/>
        <v>43.199999999999996</v>
      </c>
      <c r="O408" s="35">
        <f t="shared" si="65"/>
        <v>8.9099999999999999E-2</v>
      </c>
      <c r="Q408" s="98"/>
    </row>
    <row r="409" spans="1:17" s="33" customFormat="1" x14ac:dyDescent="0.2">
      <c r="A409" s="33">
        <v>9278</v>
      </c>
      <c r="B409" s="34" t="s">
        <v>14</v>
      </c>
      <c r="C409" s="36" t="s">
        <v>34</v>
      </c>
      <c r="D409" s="39">
        <v>1000</v>
      </c>
      <c r="E409" s="39">
        <f t="shared" si="66"/>
        <v>492</v>
      </c>
      <c r="F409" s="39">
        <v>40</v>
      </c>
      <c r="G409" s="39">
        <v>452</v>
      </c>
      <c r="H409" s="39">
        <v>1.1000000000000001</v>
      </c>
      <c r="I409" s="39">
        <v>1.05</v>
      </c>
      <c r="J409" s="39">
        <v>0.55000000000000004</v>
      </c>
      <c r="K409" s="35">
        <f t="shared" si="62"/>
        <v>0.6352500000000002</v>
      </c>
      <c r="L409" s="34">
        <f>L403</f>
        <v>17</v>
      </c>
      <c r="M409" s="35">
        <f t="shared" si="63"/>
        <v>1.7000000000000001E-2</v>
      </c>
      <c r="N409" s="35">
        <f t="shared" si="64"/>
        <v>8.3640000000000008</v>
      </c>
      <c r="O409" s="35">
        <f t="shared" si="65"/>
        <v>1.0799250000000005E-2</v>
      </c>
      <c r="Q409" s="98"/>
    </row>
    <row r="410" spans="1:17" s="33" customFormat="1" x14ac:dyDescent="0.2">
      <c r="A410" s="33">
        <v>9278</v>
      </c>
      <c r="B410" s="34" t="s">
        <v>14</v>
      </c>
      <c r="C410" s="36" t="s">
        <v>35</v>
      </c>
      <c r="D410" s="39">
        <v>450</v>
      </c>
      <c r="E410" s="39">
        <f t="shared" si="66"/>
        <v>421.5</v>
      </c>
      <c r="F410" s="39">
        <v>40</v>
      </c>
      <c r="G410" s="39">
        <v>381.5</v>
      </c>
      <c r="H410" s="39">
        <v>1.05</v>
      </c>
      <c r="I410" s="39">
        <v>1.05</v>
      </c>
      <c r="J410" s="34">
        <v>0.75</v>
      </c>
      <c r="K410" s="37">
        <f t="shared" si="62"/>
        <v>0.82687500000000003</v>
      </c>
      <c r="L410" s="34">
        <f>L403</f>
        <v>17</v>
      </c>
      <c r="M410" s="35">
        <f t="shared" si="63"/>
        <v>3.7777777777777778E-2</v>
      </c>
      <c r="N410" s="35">
        <f t="shared" si="64"/>
        <v>15.923333333333334</v>
      </c>
      <c r="O410" s="35">
        <f t="shared" si="65"/>
        <v>3.1237500000000001E-2</v>
      </c>
      <c r="Q410" s="98"/>
    </row>
    <row r="411" spans="1:17" s="33" customFormat="1" x14ac:dyDescent="0.2">
      <c r="A411" s="33">
        <v>9278</v>
      </c>
      <c r="B411" s="34" t="s">
        <v>14</v>
      </c>
      <c r="C411" s="36" t="s">
        <v>36</v>
      </c>
      <c r="D411" s="39">
        <v>1000</v>
      </c>
      <c r="E411" s="39">
        <f t="shared" si="66"/>
        <v>574</v>
      </c>
      <c r="F411" s="39">
        <v>40</v>
      </c>
      <c r="G411" s="39">
        <v>534</v>
      </c>
      <c r="H411" s="39">
        <v>1.1000000000000001</v>
      </c>
      <c r="I411" s="39">
        <v>1.2</v>
      </c>
      <c r="J411" s="39">
        <v>0.55000000000000004</v>
      </c>
      <c r="K411" s="35">
        <f t="shared" si="62"/>
        <v>0.72600000000000009</v>
      </c>
      <c r="L411" s="34">
        <f>L404</f>
        <v>17</v>
      </c>
      <c r="M411" s="35">
        <f t="shared" si="63"/>
        <v>1.7000000000000001E-2</v>
      </c>
      <c r="N411" s="35">
        <f t="shared" si="64"/>
        <v>9.7580000000000009</v>
      </c>
      <c r="O411" s="35">
        <f t="shared" si="65"/>
        <v>1.2342000000000002E-2</v>
      </c>
      <c r="Q411" s="98"/>
    </row>
    <row r="412" spans="1:17" s="33" customFormat="1" x14ac:dyDescent="0.2">
      <c r="A412" s="33">
        <v>9278</v>
      </c>
      <c r="B412" s="34" t="s">
        <v>14</v>
      </c>
      <c r="C412" s="36" t="s">
        <v>37</v>
      </c>
      <c r="D412" s="39">
        <v>450</v>
      </c>
      <c r="E412" s="39">
        <f t="shared" si="66"/>
        <v>475</v>
      </c>
      <c r="F412" s="39">
        <v>40</v>
      </c>
      <c r="G412" s="39">
        <v>435</v>
      </c>
      <c r="H412" s="39">
        <v>1.05</v>
      </c>
      <c r="I412" s="39">
        <v>1.2</v>
      </c>
      <c r="J412" s="34">
        <v>0.75</v>
      </c>
      <c r="K412" s="35">
        <f t="shared" si="62"/>
        <v>0.94500000000000006</v>
      </c>
      <c r="L412" s="34">
        <f>L404</f>
        <v>17</v>
      </c>
      <c r="M412" s="35">
        <f t="shared" si="63"/>
        <v>3.7777777777777778E-2</v>
      </c>
      <c r="N412" s="35">
        <f t="shared" si="64"/>
        <v>17.944444444444443</v>
      </c>
      <c r="O412" s="35">
        <f t="shared" si="65"/>
        <v>3.5700000000000003E-2</v>
      </c>
      <c r="Q412" s="98"/>
    </row>
    <row r="413" spans="1:17" s="33" customFormat="1" x14ac:dyDescent="0.2">
      <c r="A413" s="33">
        <v>9278</v>
      </c>
      <c r="B413" s="34" t="s">
        <v>14</v>
      </c>
      <c r="C413" s="36" t="s">
        <v>38</v>
      </c>
      <c r="D413" s="39">
        <v>1000</v>
      </c>
      <c r="E413" s="39">
        <f t="shared" si="66"/>
        <v>645</v>
      </c>
      <c r="F413" s="39">
        <v>40</v>
      </c>
      <c r="G413" s="39">
        <v>605</v>
      </c>
      <c r="H413" s="39">
        <v>1.1000000000000001</v>
      </c>
      <c r="I413" s="39">
        <v>1.3</v>
      </c>
      <c r="J413" s="39">
        <v>0.55000000000000004</v>
      </c>
      <c r="K413" s="35">
        <f t="shared" si="62"/>
        <v>0.7865000000000002</v>
      </c>
      <c r="L413" s="34">
        <f>L405</f>
        <v>6</v>
      </c>
      <c r="M413" s="35">
        <f t="shared" si="63"/>
        <v>6.0000000000000001E-3</v>
      </c>
      <c r="N413" s="35">
        <f t="shared" si="64"/>
        <v>3.87</v>
      </c>
      <c r="O413" s="35">
        <f t="shared" si="65"/>
        <v>4.719000000000001E-3</v>
      </c>
      <c r="Q413" s="98"/>
    </row>
    <row r="414" spans="1:17" s="33" customFormat="1" x14ac:dyDescent="0.2">
      <c r="A414" s="33">
        <v>9278</v>
      </c>
      <c r="B414" s="34" t="s">
        <v>14</v>
      </c>
      <c r="C414" s="36" t="s">
        <v>39</v>
      </c>
      <c r="D414" s="39">
        <v>450</v>
      </c>
      <c r="E414" s="39">
        <f t="shared" si="66"/>
        <v>515</v>
      </c>
      <c r="F414" s="39">
        <v>40</v>
      </c>
      <c r="G414" s="39">
        <v>475</v>
      </c>
      <c r="H414" s="39">
        <v>1.05</v>
      </c>
      <c r="I414" s="39">
        <v>1.3</v>
      </c>
      <c r="J414" s="34">
        <v>0.75</v>
      </c>
      <c r="K414" s="35">
        <f t="shared" si="62"/>
        <v>1.0237500000000002</v>
      </c>
      <c r="L414" s="34">
        <f>L405</f>
        <v>6</v>
      </c>
      <c r="M414" s="35">
        <f t="shared" si="63"/>
        <v>1.3333333333333334E-2</v>
      </c>
      <c r="N414" s="35">
        <f t="shared" si="64"/>
        <v>6.8666666666666671</v>
      </c>
      <c r="O414" s="35">
        <f t="shared" si="65"/>
        <v>1.3650000000000002E-2</v>
      </c>
      <c r="Q414" s="98"/>
    </row>
    <row r="415" spans="1:17" s="33" customFormat="1" x14ac:dyDescent="0.2">
      <c r="A415" s="33">
        <v>9278</v>
      </c>
      <c r="B415" s="34" t="s">
        <v>14</v>
      </c>
      <c r="C415" s="36" t="s">
        <v>40</v>
      </c>
      <c r="D415" s="39">
        <v>1000</v>
      </c>
      <c r="E415" s="39">
        <f t="shared" si="66"/>
        <v>645</v>
      </c>
      <c r="F415" s="39">
        <v>40</v>
      </c>
      <c r="G415" s="39">
        <v>605</v>
      </c>
      <c r="H415" s="39">
        <v>1.1000000000000001</v>
      </c>
      <c r="I415" s="39">
        <v>1.3</v>
      </c>
      <c r="J415" s="39">
        <v>0.55000000000000004</v>
      </c>
      <c r="K415" s="35">
        <f t="shared" si="62"/>
        <v>0.7865000000000002</v>
      </c>
      <c r="L415" s="34">
        <f>L406</f>
        <v>0</v>
      </c>
      <c r="M415" s="35">
        <f t="shared" si="63"/>
        <v>0</v>
      </c>
      <c r="N415" s="35">
        <f t="shared" si="64"/>
        <v>0</v>
      </c>
      <c r="O415" s="35">
        <f t="shared" si="65"/>
        <v>0</v>
      </c>
      <c r="Q415" s="98"/>
    </row>
    <row r="416" spans="1:17" s="33" customFormat="1" x14ac:dyDescent="0.2">
      <c r="A416" s="33">
        <v>9278</v>
      </c>
      <c r="B416" s="34" t="s">
        <v>14</v>
      </c>
      <c r="C416" s="36" t="s">
        <v>41</v>
      </c>
      <c r="D416" s="39">
        <v>450</v>
      </c>
      <c r="E416" s="39">
        <f t="shared" si="66"/>
        <v>515</v>
      </c>
      <c r="F416" s="39">
        <v>40</v>
      </c>
      <c r="G416" s="39">
        <v>475</v>
      </c>
      <c r="H416" s="39">
        <v>1.05</v>
      </c>
      <c r="I416" s="39">
        <v>1.3</v>
      </c>
      <c r="J416" s="34">
        <v>0.75</v>
      </c>
      <c r="K416" s="35">
        <f t="shared" si="62"/>
        <v>1.0237500000000002</v>
      </c>
      <c r="L416" s="34">
        <f>L406</f>
        <v>0</v>
      </c>
      <c r="M416" s="35">
        <f t="shared" si="63"/>
        <v>0</v>
      </c>
      <c r="N416" s="35">
        <f t="shared" si="64"/>
        <v>0</v>
      </c>
      <c r="O416" s="35">
        <f t="shared" si="65"/>
        <v>0</v>
      </c>
      <c r="Q416" s="98"/>
    </row>
    <row r="417" spans="1:17" s="33" customFormat="1" x14ac:dyDescent="0.2">
      <c r="A417" s="33">
        <v>8952</v>
      </c>
      <c r="B417" s="34" t="s">
        <v>14</v>
      </c>
      <c r="C417" s="36" t="s">
        <v>22</v>
      </c>
      <c r="D417" s="38">
        <v>3000</v>
      </c>
      <c r="E417" s="39">
        <v>235</v>
      </c>
      <c r="F417" s="34">
        <v>35</v>
      </c>
      <c r="G417" s="39">
        <v>200</v>
      </c>
      <c r="H417" s="34">
        <v>1.1000000000000001</v>
      </c>
      <c r="I417" s="34">
        <v>1.1000000000000001</v>
      </c>
      <c r="J417" s="34">
        <v>1.02</v>
      </c>
      <c r="K417" s="37">
        <f t="shared" si="62"/>
        <v>1.2342000000000002</v>
      </c>
      <c r="L417" s="34">
        <f>P402*4</f>
        <v>376</v>
      </c>
      <c r="M417" s="35">
        <f t="shared" si="63"/>
        <v>0.12533333333333332</v>
      </c>
      <c r="N417" s="35">
        <f t="shared" si="64"/>
        <v>29.45333333333333</v>
      </c>
      <c r="O417" s="35">
        <f t="shared" si="65"/>
        <v>0.1546864</v>
      </c>
      <c r="Q417" s="98"/>
    </row>
    <row r="418" spans="1:17" s="33" customFormat="1" x14ac:dyDescent="0.2">
      <c r="A418" s="33">
        <v>9278</v>
      </c>
      <c r="B418" s="34" t="s">
        <v>14</v>
      </c>
      <c r="C418" s="36" t="s">
        <v>23</v>
      </c>
      <c r="D418" s="40">
        <v>1000</v>
      </c>
      <c r="E418" s="41">
        <v>646</v>
      </c>
      <c r="F418" s="41">
        <f>E418-G418</f>
        <v>40</v>
      </c>
      <c r="G418" s="41">
        <v>606</v>
      </c>
      <c r="H418" s="41">
        <v>1.1000000000000001</v>
      </c>
      <c r="I418" s="41">
        <v>0.8</v>
      </c>
      <c r="J418" s="41">
        <v>0.55000000000000004</v>
      </c>
      <c r="K418" s="35">
        <f t="shared" si="62"/>
        <v>0.4840000000000001</v>
      </c>
      <c r="L418" s="34">
        <f>P402*4</f>
        <v>376</v>
      </c>
      <c r="M418" s="35">
        <f t="shared" si="63"/>
        <v>0.376</v>
      </c>
      <c r="N418" s="35">
        <f t="shared" si="64"/>
        <v>242.89599999999999</v>
      </c>
      <c r="O418" s="35">
        <f t="shared" si="65"/>
        <v>0.18198400000000003</v>
      </c>
      <c r="Q418" s="98"/>
    </row>
    <row r="419" spans="1:17" s="33" customFormat="1" x14ac:dyDescent="0.2">
      <c r="A419" s="33">
        <v>9278</v>
      </c>
      <c r="B419" s="34" t="s">
        <v>14</v>
      </c>
      <c r="C419" s="36" t="s">
        <v>46</v>
      </c>
      <c r="D419" s="38">
        <v>4000</v>
      </c>
      <c r="E419" s="39">
        <v>424</v>
      </c>
      <c r="F419" s="34">
        <f>E419-G419</f>
        <v>52</v>
      </c>
      <c r="G419" s="39">
        <v>372</v>
      </c>
      <c r="H419" s="34">
        <v>1.1000000000000001</v>
      </c>
      <c r="I419" s="34">
        <v>0.8</v>
      </c>
      <c r="J419" s="34">
        <v>0.55000000000000004</v>
      </c>
      <c r="K419" s="37">
        <f t="shared" si="62"/>
        <v>0.4840000000000001</v>
      </c>
      <c r="L419" s="34">
        <f>P402*4</f>
        <v>376</v>
      </c>
      <c r="M419" s="35">
        <f t="shared" si="63"/>
        <v>9.4E-2</v>
      </c>
      <c r="N419" s="35">
        <f t="shared" si="64"/>
        <v>39.856000000000002</v>
      </c>
      <c r="O419" s="35">
        <f t="shared" si="65"/>
        <v>4.5496000000000009E-2</v>
      </c>
      <c r="Q419" s="98"/>
    </row>
    <row r="420" spans="1:17" s="33" customFormat="1" ht="15" x14ac:dyDescent="0.2">
      <c r="A420" s="33">
        <v>9278</v>
      </c>
      <c r="B420" s="34" t="s">
        <v>14</v>
      </c>
      <c r="C420" s="36" t="s">
        <v>42</v>
      </c>
      <c r="D420" s="45">
        <v>1200</v>
      </c>
      <c r="E420" s="126">
        <v>666.4</v>
      </c>
      <c r="F420" s="126">
        <v>40</v>
      </c>
      <c r="G420" s="46">
        <v>588</v>
      </c>
      <c r="H420" s="128">
        <v>1</v>
      </c>
      <c r="I420" s="128">
        <v>0.75</v>
      </c>
      <c r="J420" s="128">
        <v>0.7</v>
      </c>
      <c r="K420" s="130">
        <v>0.5</v>
      </c>
      <c r="L420" s="34">
        <f>P402*4</f>
        <v>376</v>
      </c>
      <c r="M420" s="132">
        <f t="shared" si="63"/>
        <v>0.31333333333333335</v>
      </c>
      <c r="N420" s="132">
        <f t="shared" si="64"/>
        <v>208.80533333333335</v>
      </c>
      <c r="O420" s="134">
        <f t="shared" si="65"/>
        <v>0.15666666666666668</v>
      </c>
      <c r="Q420" s="98"/>
    </row>
    <row r="421" spans="1:17" s="33" customFormat="1" ht="15.75" thickBot="1" x14ac:dyDescent="0.25">
      <c r="A421" s="33">
        <v>9278</v>
      </c>
      <c r="B421" s="34" t="s">
        <v>14</v>
      </c>
      <c r="C421" s="36" t="s">
        <v>43</v>
      </c>
      <c r="D421" s="45">
        <v>1200</v>
      </c>
      <c r="E421" s="127"/>
      <c r="F421" s="127"/>
      <c r="G421" s="46">
        <v>38.4</v>
      </c>
      <c r="H421" s="129"/>
      <c r="I421" s="129"/>
      <c r="J421" s="129"/>
      <c r="K421" s="131"/>
      <c r="L421" s="34">
        <f>P402*4</f>
        <v>376</v>
      </c>
      <c r="M421" s="133"/>
      <c r="N421" s="133"/>
      <c r="O421" s="135"/>
      <c r="Q421" s="99"/>
    </row>
    <row r="422" spans="1:17" s="47" customFormat="1" x14ac:dyDescent="0.2">
      <c r="A422" s="47">
        <v>9270</v>
      </c>
      <c r="B422" s="48" t="s">
        <v>15</v>
      </c>
      <c r="C422" s="48" t="s">
        <v>16</v>
      </c>
      <c r="D422" s="48">
        <v>30</v>
      </c>
      <c r="E422" s="48">
        <v>669</v>
      </c>
      <c r="F422" s="48">
        <f>E422-G422</f>
        <v>53</v>
      </c>
      <c r="G422" s="48">
        <v>616</v>
      </c>
      <c r="H422" s="48">
        <v>1</v>
      </c>
      <c r="I422" s="48">
        <v>0.9</v>
      </c>
      <c r="J422" s="48">
        <v>0.73</v>
      </c>
      <c r="K422" s="48">
        <f t="shared" ref="K422:K450" si="67">H422*I422*J422</f>
        <v>0.65700000000000003</v>
      </c>
      <c r="L422" s="48">
        <v>102</v>
      </c>
      <c r="M422" s="11">
        <f t="shared" ref="M422:M451" si="68">L422/D422</f>
        <v>3.4</v>
      </c>
      <c r="N422" s="11">
        <f t="shared" ref="N422:N451" si="69">E422*M422</f>
        <v>2274.6</v>
      </c>
      <c r="O422" s="11">
        <f>M422*K422</f>
        <v>2.2338</v>
      </c>
      <c r="P422" s="114">
        <f>SUM(L422:L425)</f>
        <v>120</v>
      </c>
      <c r="Q422" s="100" t="s">
        <v>56</v>
      </c>
    </row>
    <row r="423" spans="1:17" s="47" customFormat="1" x14ac:dyDescent="0.2">
      <c r="A423" s="47">
        <v>9270</v>
      </c>
      <c r="B423" s="48" t="s">
        <v>15</v>
      </c>
      <c r="C423" s="48" t="s">
        <v>17</v>
      </c>
      <c r="D423" s="48">
        <v>30</v>
      </c>
      <c r="E423" s="48">
        <v>669</v>
      </c>
      <c r="F423" s="48">
        <f>E423-G423</f>
        <v>53</v>
      </c>
      <c r="G423" s="48">
        <v>616</v>
      </c>
      <c r="H423" s="48">
        <v>1</v>
      </c>
      <c r="I423" s="48">
        <v>0.9</v>
      </c>
      <c r="J423" s="48">
        <v>0.73</v>
      </c>
      <c r="K423" s="48">
        <f t="shared" si="67"/>
        <v>0.65700000000000003</v>
      </c>
      <c r="L423" s="48">
        <v>6</v>
      </c>
      <c r="M423" s="11">
        <f t="shared" si="68"/>
        <v>0.2</v>
      </c>
      <c r="N423" s="11">
        <f t="shared" si="69"/>
        <v>133.80000000000001</v>
      </c>
      <c r="O423" s="11">
        <f t="shared" ref="O423:O451" si="70">M423*K423</f>
        <v>0.13140000000000002</v>
      </c>
      <c r="P423" s="114"/>
      <c r="Q423" s="101"/>
    </row>
    <row r="424" spans="1:17" s="47" customFormat="1" x14ac:dyDescent="0.2">
      <c r="A424" s="47">
        <v>9270</v>
      </c>
      <c r="B424" s="48" t="s">
        <v>15</v>
      </c>
      <c r="C424" s="48" t="s">
        <v>18</v>
      </c>
      <c r="D424" s="48">
        <v>30</v>
      </c>
      <c r="E424" s="48">
        <v>669</v>
      </c>
      <c r="F424" s="48">
        <f>E424-G424</f>
        <v>53</v>
      </c>
      <c r="G424" s="48">
        <v>616</v>
      </c>
      <c r="H424" s="48">
        <v>1</v>
      </c>
      <c r="I424" s="48">
        <v>0.9</v>
      </c>
      <c r="J424" s="48">
        <v>0.73</v>
      </c>
      <c r="K424" s="48">
        <f t="shared" si="67"/>
        <v>0.65700000000000003</v>
      </c>
      <c r="L424" s="48">
        <v>6</v>
      </c>
      <c r="M424" s="11">
        <f t="shared" si="68"/>
        <v>0.2</v>
      </c>
      <c r="N424" s="11">
        <f t="shared" si="69"/>
        <v>133.80000000000001</v>
      </c>
      <c r="O424" s="11">
        <f t="shared" si="70"/>
        <v>0.13140000000000002</v>
      </c>
      <c r="P424" s="114"/>
      <c r="Q424" s="101"/>
    </row>
    <row r="425" spans="1:17" s="47" customFormat="1" x14ac:dyDescent="0.2">
      <c r="A425" s="47">
        <v>9270</v>
      </c>
      <c r="B425" s="48" t="s">
        <v>15</v>
      </c>
      <c r="C425" s="48" t="s">
        <v>19</v>
      </c>
      <c r="D425" s="48">
        <v>30</v>
      </c>
      <c r="E425" s="48">
        <v>669</v>
      </c>
      <c r="F425" s="48">
        <f>E425-G425</f>
        <v>53</v>
      </c>
      <c r="G425" s="48">
        <v>616</v>
      </c>
      <c r="H425" s="48">
        <v>1</v>
      </c>
      <c r="I425" s="48">
        <v>0.9</v>
      </c>
      <c r="J425" s="48">
        <v>0.73</v>
      </c>
      <c r="K425" s="48">
        <f t="shared" si="67"/>
        <v>0.65700000000000003</v>
      </c>
      <c r="L425" s="48">
        <v>6</v>
      </c>
      <c r="M425" s="11">
        <f t="shared" si="68"/>
        <v>0.2</v>
      </c>
      <c r="N425" s="11">
        <f t="shared" si="69"/>
        <v>133.80000000000001</v>
      </c>
      <c r="O425" s="11">
        <f t="shared" si="70"/>
        <v>0.13140000000000002</v>
      </c>
      <c r="P425" s="114"/>
      <c r="Q425" s="101"/>
    </row>
    <row r="426" spans="1:17" s="47" customFormat="1" x14ac:dyDescent="0.2">
      <c r="A426" s="47">
        <v>9278</v>
      </c>
      <c r="B426" s="48" t="s">
        <v>14</v>
      </c>
      <c r="C426" s="49" t="s">
        <v>20</v>
      </c>
      <c r="D426" s="48">
        <v>5000</v>
      </c>
      <c r="E426" s="48">
        <v>490</v>
      </c>
      <c r="F426" s="48">
        <v>40</v>
      </c>
      <c r="G426" s="48">
        <v>450</v>
      </c>
      <c r="H426" s="48">
        <v>1</v>
      </c>
      <c r="I426" s="48">
        <v>0.98</v>
      </c>
      <c r="J426" s="48">
        <v>0.83</v>
      </c>
      <c r="K426" s="50">
        <f t="shared" si="67"/>
        <v>0.8133999999999999</v>
      </c>
      <c r="L426" s="48">
        <f>P422</f>
        <v>120</v>
      </c>
      <c r="M426" s="11">
        <f t="shared" si="68"/>
        <v>2.4E-2</v>
      </c>
      <c r="N426" s="11">
        <f t="shared" si="69"/>
        <v>11.76</v>
      </c>
      <c r="O426" s="11">
        <f t="shared" si="70"/>
        <v>1.9521599999999997E-2</v>
      </c>
      <c r="Q426" s="101"/>
    </row>
    <row r="427" spans="1:17" s="47" customFormat="1" x14ac:dyDescent="0.2">
      <c r="A427" s="47">
        <v>9278</v>
      </c>
      <c r="B427" s="48" t="s">
        <v>14</v>
      </c>
      <c r="C427" s="49" t="s">
        <v>21</v>
      </c>
      <c r="D427" s="48">
        <v>360</v>
      </c>
      <c r="E427" s="48">
        <v>390</v>
      </c>
      <c r="F427" s="48">
        <v>40</v>
      </c>
      <c r="G427" s="48">
        <v>350</v>
      </c>
      <c r="H427" s="48">
        <v>1.05</v>
      </c>
      <c r="I427" s="48">
        <v>0.95</v>
      </c>
      <c r="J427" s="48">
        <v>0.55000000000000004</v>
      </c>
      <c r="K427" s="50">
        <f t="shared" si="67"/>
        <v>0.54862500000000003</v>
      </c>
      <c r="L427" s="48">
        <f>P422</f>
        <v>120</v>
      </c>
      <c r="M427" s="11">
        <f t="shared" si="68"/>
        <v>0.33333333333333331</v>
      </c>
      <c r="N427" s="11">
        <f t="shared" si="69"/>
        <v>130</v>
      </c>
      <c r="O427" s="11">
        <f t="shared" si="70"/>
        <v>0.18287500000000001</v>
      </c>
      <c r="Q427" s="101"/>
    </row>
    <row r="428" spans="1:17" s="47" customFormat="1" x14ac:dyDescent="0.2">
      <c r="A428" s="47">
        <v>8952</v>
      </c>
      <c r="B428" s="48" t="s">
        <v>14</v>
      </c>
      <c r="C428" s="49" t="s">
        <v>22</v>
      </c>
      <c r="D428" s="51">
        <v>3000</v>
      </c>
      <c r="E428" s="52">
        <v>235</v>
      </c>
      <c r="F428" s="48">
        <v>35</v>
      </c>
      <c r="G428" s="52">
        <v>200</v>
      </c>
      <c r="H428" s="48">
        <v>1.1000000000000001</v>
      </c>
      <c r="I428" s="48">
        <v>1.1000000000000001</v>
      </c>
      <c r="J428" s="48">
        <v>1.02</v>
      </c>
      <c r="K428" s="50">
        <f t="shared" si="67"/>
        <v>1.2342000000000002</v>
      </c>
      <c r="L428" s="48">
        <f>P422*4</f>
        <v>480</v>
      </c>
      <c r="M428" s="11">
        <f t="shared" si="68"/>
        <v>0.16</v>
      </c>
      <c r="N428" s="11">
        <f t="shared" si="69"/>
        <v>37.6</v>
      </c>
      <c r="O428" s="11">
        <f t="shared" si="70"/>
        <v>0.19747200000000004</v>
      </c>
      <c r="Q428" s="101"/>
    </row>
    <row r="429" spans="1:17" s="47" customFormat="1" x14ac:dyDescent="0.2">
      <c r="A429" s="47">
        <v>9278</v>
      </c>
      <c r="B429" s="48" t="s">
        <v>14</v>
      </c>
      <c r="C429" s="49" t="s">
        <v>23</v>
      </c>
      <c r="D429" s="9">
        <v>1000</v>
      </c>
      <c r="E429" s="10">
        <v>646</v>
      </c>
      <c r="F429" s="10">
        <f>E429-G429</f>
        <v>40</v>
      </c>
      <c r="G429" s="10">
        <v>606</v>
      </c>
      <c r="H429" s="10">
        <v>1.1000000000000001</v>
      </c>
      <c r="I429" s="10">
        <v>0.8</v>
      </c>
      <c r="J429" s="10">
        <v>0.55000000000000004</v>
      </c>
      <c r="K429" s="11">
        <f t="shared" si="67"/>
        <v>0.4840000000000001</v>
      </c>
      <c r="L429" s="48">
        <f>P422*4</f>
        <v>480</v>
      </c>
      <c r="M429" s="11">
        <f t="shared" si="68"/>
        <v>0.48</v>
      </c>
      <c r="N429" s="11">
        <f t="shared" si="69"/>
        <v>310.08</v>
      </c>
      <c r="O429" s="11">
        <f t="shared" si="70"/>
        <v>0.23232000000000003</v>
      </c>
      <c r="Q429" s="101"/>
    </row>
    <row r="430" spans="1:17" s="47" customFormat="1" x14ac:dyDescent="0.2">
      <c r="A430" s="47">
        <v>9286</v>
      </c>
      <c r="B430" s="48" t="s">
        <v>47</v>
      </c>
      <c r="C430" s="49" t="s">
        <v>24</v>
      </c>
      <c r="D430" s="51">
        <v>4000</v>
      </c>
      <c r="E430" s="52">
        <v>424</v>
      </c>
      <c r="F430" s="48">
        <f>E430-G430</f>
        <v>52</v>
      </c>
      <c r="G430" s="52">
        <v>372</v>
      </c>
      <c r="H430" s="48">
        <v>1.1000000000000001</v>
      </c>
      <c r="I430" s="48">
        <v>0.8</v>
      </c>
      <c r="J430" s="48">
        <v>0.55000000000000004</v>
      </c>
      <c r="K430" s="50">
        <f t="shared" si="67"/>
        <v>0.4840000000000001</v>
      </c>
      <c r="L430" s="48">
        <f>(P422+P433)*4</f>
        <v>856</v>
      </c>
      <c r="M430" s="11">
        <f t="shared" si="68"/>
        <v>0.214</v>
      </c>
      <c r="N430" s="11">
        <f t="shared" si="69"/>
        <v>90.736000000000004</v>
      </c>
      <c r="O430" s="11">
        <f t="shared" si="70"/>
        <v>0.10357600000000002</v>
      </c>
      <c r="Q430" s="101"/>
    </row>
    <row r="431" spans="1:17" s="47" customFormat="1" x14ac:dyDescent="0.2">
      <c r="A431" s="47">
        <v>9278</v>
      </c>
      <c r="B431" s="48" t="s">
        <v>14</v>
      </c>
      <c r="C431" s="49" t="s">
        <v>25</v>
      </c>
      <c r="D431" s="48">
        <v>1000</v>
      </c>
      <c r="E431" s="48">
        <v>830</v>
      </c>
      <c r="F431" s="48">
        <v>40</v>
      </c>
      <c r="G431" s="48">
        <v>790</v>
      </c>
      <c r="H431" s="48">
        <v>1.04</v>
      </c>
      <c r="I431" s="48">
        <v>0.84</v>
      </c>
      <c r="J431" s="48">
        <v>0.64</v>
      </c>
      <c r="K431" s="50">
        <f t="shared" si="67"/>
        <v>0.55910400000000005</v>
      </c>
      <c r="L431" s="48">
        <f>$P$3*2</f>
        <v>244</v>
      </c>
      <c r="M431" s="11">
        <f t="shared" si="68"/>
        <v>0.24399999999999999</v>
      </c>
      <c r="N431" s="11">
        <f t="shared" si="69"/>
        <v>202.51999999999998</v>
      </c>
      <c r="O431" s="11">
        <f t="shared" si="70"/>
        <v>0.13642137600000001</v>
      </c>
      <c r="Q431" s="101"/>
    </row>
    <row r="432" spans="1:17" s="47" customFormat="1" x14ac:dyDescent="0.2">
      <c r="A432" s="47">
        <v>9278</v>
      </c>
      <c r="B432" s="48" t="s">
        <v>14</v>
      </c>
      <c r="C432" s="49" t="s">
        <v>26</v>
      </c>
      <c r="D432" s="48">
        <v>4000</v>
      </c>
      <c r="E432" s="48">
        <v>223</v>
      </c>
      <c r="F432" s="48">
        <v>30</v>
      </c>
      <c r="G432" s="48">
        <v>188</v>
      </c>
      <c r="H432" s="48">
        <v>0.86</v>
      </c>
      <c r="I432" s="48">
        <v>0.78</v>
      </c>
      <c r="J432" s="48">
        <v>0.74</v>
      </c>
      <c r="K432" s="50">
        <f t="shared" si="67"/>
        <v>0.49639200000000006</v>
      </c>
      <c r="L432" s="48">
        <f>P422*2</f>
        <v>240</v>
      </c>
      <c r="M432" s="11">
        <f t="shared" si="68"/>
        <v>0.06</v>
      </c>
      <c r="N432" s="11">
        <f t="shared" si="69"/>
        <v>13.379999999999999</v>
      </c>
      <c r="O432" s="11">
        <f t="shared" si="70"/>
        <v>2.9783520000000001E-2</v>
      </c>
      <c r="Q432" s="101"/>
    </row>
    <row r="433" spans="1:17" s="47" customFormat="1" x14ac:dyDescent="0.2">
      <c r="A433" s="47">
        <v>9270</v>
      </c>
      <c r="B433" s="48" t="s">
        <v>15</v>
      </c>
      <c r="C433" s="49" t="s">
        <v>27</v>
      </c>
      <c r="D433" s="53">
        <v>12</v>
      </c>
      <c r="E433" s="53">
        <v>435</v>
      </c>
      <c r="F433" s="53">
        <v>39</v>
      </c>
      <c r="G433" s="53">
        <v>396</v>
      </c>
      <c r="H433" s="53">
        <v>0.86</v>
      </c>
      <c r="I433" s="53">
        <v>0.56000000000000005</v>
      </c>
      <c r="J433" s="53">
        <v>0.51</v>
      </c>
      <c r="K433" s="54">
        <f t="shared" si="67"/>
        <v>0.24561600000000003</v>
      </c>
      <c r="L433" s="48">
        <v>54</v>
      </c>
      <c r="M433" s="11">
        <f t="shared" si="68"/>
        <v>4.5</v>
      </c>
      <c r="N433" s="11">
        <f t="shared" si="69"/>
        <v>1957.5</v>
      </c>
      <c r="O433" s="11">
        <f t="shared" si="70"/>
        <v>1.105272</v>
      </c>
      <c r="P433" s="114">
        <f>SUM(L433:L437)</f>
        <v>94</v>
      </c>
      <c r="Q433" s="101"/>
    </row>
    <row r="434" spans="1:17" s="47" customFormat="1" x14ac:dyDescent="0.2">
      <c r="A434" s="47">
        <v>9270</v>
      </c>
      <c r="B434" s="48" t="s">
        <v>15</v>
      </c>
      <c r="C434" s="49" t="s">
        <v>28</v>
      </c>
      <c r="D434" s="53">
        <v>12</v>
      </c>
      <c r="E434" s="53">
        <v>520</v>
      </c>
      <c r="F434" s="53">
        <v>40</v>
      </c>
      <c r="G434" s="53">
        <v>480</v>
      </c>
      <c r="H434" s="53">
        <v>1.03</v>
      </c>
      <c r="I434" s="53">
        <v>0.56000000000000005</v>
      </c>
      <c r="J434" s="53">
        <v>0.51</v>
      </c>
      <c r="K434" s="54">
        <f t="shared" si="67"/>
        <v>0.29416800000000004</v>
      </c>
      <c r="L434" s="48">
        <v>17</v>
      </c>
      <c r="M434" s="11">
        <f t="shared" si="68"/>
        <v>1.4166666666666667</v>
      </c>
      <c r="N434" s="11">
        <f t="shared" si="69"/>
        <v>736.66666666666674</v>
      </c>
      <c r="O434" s="11">
        <f t="shared" si="70"/>
        <v>0.41673800000000005</v>
      </c>
      <c r="P434" s="114"/>
      <c r="Q434" s="101"/>
    </row>
    <row r="435" spans="1:17" s="47" customFormat="1" x14ac:dyDescent="0.2">
      <c r="A435" s="47">
        <v>9270</v>
      </c>
      <c r="B435" s="48" t="s">
        <v>15</v>
      </c>
      <c r="C435" s="49" t="s">
        <v>29</v>
      </c>
      <c r="D435" s="53">
        <v>12</v>
      </c>
      <c r="E435" s="53">
        <v>596</v>
      </c>
      <c r="F435" s="53">
        <v>44</v>
      </c>
      <c r="G435" s="53">
        <v>552</v>
      </c>
      <c r="H435" s="53">
        <v>1.17</v>
      </c>
      <c r="I435" s="53">
        <v>0.56000000000000005</v>
      </c>
      <c r="J435" s="53">
        <v>0.51</v>
      </c>
      <c r="K435" s="54">
        <f t="shared" si="67"/>
        <v>0.334152</v>
      </c>
      <c r="L435" s="48">
        <v>17</v>
      </c>
      <c r="M435" s="11">
        <f t="shared" si="68"/>
        <v>1.4166666666666667</v>
      </c>
      <c r="N435" s="11">
        <f t="shared" si="69"/>
        <v>844.33333333333337</v>
      </c>
      <c r="O435" s="11">
        <f t="shared" si="70"/>
        <v>0.47338200000000002</v>
      </c>
      <c r="P435" s="114"/>
      <c r="Q435" s="101"/>
    </row>
    <row r="436" spans="1:17" s="47" customFormat="1" x14ac:dyDescent="0.2">
      <c r="A436" s="47">
        <v>9270</v>
      </c>
      <c r="B436" s="48" t="s">
        <v>15</v>
      </c>
      <c r="C436" s="49" t="s">
        <v>30</v>
      </c>
      <c r="D436" s="55">
        <v>12</v>
      </c>
      <c r="E436" s="53">
        <v>654</v>
      </c>
      <c r="F436" s="53">
        <v>42</v>
      </c>
      <c r="G436" s="53">
        <v>612</v>
      </c>
      <c r="H436" s="53">
        <v>1.2749999999999999</v>
      </c>
      <c r="I436" s="53">
        <v>0.56000000000000005</v>
      </c>
      <c r="J436" s="53">
        <v>0.51</v>
      </c>
      <c r="K436" s="54">
        <f t="shared" si="67"/>
        <v>0.36413999999999996</v>
      </c>
      <c r="L436" s="48">
        <v>6</v>
      </c>
      <c r="M436" s="11">
        <f t="shared" si="68"/>
        <v>0.5</v>
      </c>
      <c r="N436" s="11">
        <f t="shared" si="69"/>
        <v>327</v>
      </c>
      <c r="O436" s="11">
        <f t="shared" si="70"/>
        <v>0.18206999999999998</v>
      </c>
      <c r="P436" s="114"/>
      <c r="Q436" s="101"/>
    </row>
    <row r="437" spans="1:17" s="47" customFormat="1" x14ac:dyDescent="0.2">
      <c r="A437" s="47">
        <v>9270</v>
      </c>
      <c r="B437" s="48" t="s">
        <v>15</v>
      </c>
      <c r="C437" s="49" t="s">
        <v>31</v>
      </c>
      <c r="D437" s="55">
        <v>6</v>
      </c>
      <c r="E437" s="53">
        <v>410</v>
      </c>
      <c r="F437" s="53">
        <v>50</v>
      </c>
      <c r="G437" s="53">
        <v>360</v>
      </c>
      <c r="H437" s="53">
        <v>1.48</v>
      </c>
      <c r="I437" s="53">
        <v>0.56000000000000005</v>
      </c>
      <c r="J437" s="53">
        <v>0.37</v>
      </c>
      <c r="K437" s="54">
        <f t="shared" si="67"/>
        <v>0.30665600000000004</v>
      </c>
      <c r="L437" s="48">
        <v>0</v>
      </c>
      <c r="M437" s="11">
        <f t="shared" si="68"/>
        <v>0</v>
      </c>
      <c r="N437" s="11">
        <f t="shared" si="69"/>
        <v>0</v>
      </c>
      <c r="O437" s="11">
        <f t="shared" si="70"/>
        <v>0</v>
      </c>
      <c r="P437" s="114"/>
      <c r="Q437" s="101"/>
    </row>
    <row r="438" spans="1:17" s="47" customFormat="1" x14ac:dyDescent="0.2">
      <c r="A438" s="47">
        <v>9278</v>
      </c>
      <c r="B438" s="48" t="s">
        <v>14</v>
      </c>
      <c r="C438" s="49" t="s">
        <v>32</v>
      </c>
      <c r="D438" s="52">
        <v>1000</v>
      </c>
      <c r="E438" s="52">
        <f t="shared" ref="E438:E447" si="71">G438+F438</f>
        <v>395</v>
      </c>
      <c r="F438" s="52">
        <v>40</v>
      </c>
      <c r="G438" s="52">
        <v>355</v>
      </c>
      <c r="H438" s="52">
        <v>1.05</v>
      </c>
      <c r="I438" s="52">
        <v>0.9</v>
      </c>
      <c r="J438" s="52">
        <v>0.55000000000000004</v>
      </c>
      <c r="K438" s="11">
        <f t="shared" si="67"/>
        <v>0.51975000000000005</v>
      </c>
      <c r="L438" s="48">
        <f>L433</f>
        <v>54</v>
      </c>
      <c r="M438" s="11">
        <f t="shared" si="68"/>
        <v>5.3999999999999999E-2</v>
      </c>
      <c r="N438" s="11">
        <f t="shared" si="69"/>
        <v>21.33</v>
      </c>
      <c r="O438" s="11">
        <f t="shared" si="70"/>
        <v>2.8066500000000001E-2</v>
      </c>
      <c r="Q438" s="101"/>
    </row>
    <row r="439" spans="1:17" s="47" customFormat="1" x14ac:dyDescent="0.2">
      <c r="A439" s="47">
        <v>9278</v>
      </c>
      <c r="B439" s="48" t="s">
        <v>14</v>
      </c>
      <c r="C439" s="49" t="s">
        <v>33</v>
      </c>
      <c r="D439" s="52">
        <v>450</v>
      </c>
      <c r="E439" s="52">
        <f t="shared" si="71"/>
        <v>360</v>
      </c>
      <c r="F439" s="52">
        <v>40</v>
      </c>
      <c r="G439" s="52">
        <v>320</v>
      </c>
      <c r="H439" s="48">
        <v>1.1000000000000001</v>
      </c>
      <c r="I439" s="52">
        <v>0.9</v>
      </c>
      <c r="J439" s="48">
        <v>0.75</v>
      </c>
      <c r="K439" s="50">
        <f t="shared" si="67"/>
        <v>0.74250000000000005</v>
      </c>
      <c r="L439" s="48">
        <f>L433</f>
        <v>54</v>
      </c>
      <c r="M439" s="11">
        <f t="shared" si="68"/>
        <v>0.12</v>
      </c>
      <c r="N439" s="11">
        <f t="shared" si="69"/>
        <v>43.199999999999996</v>
      </c>
      <c r="O439" s="11">
        <f t="shared" si="70"/>
        <v>8.9099999999999999E-2</v>
      </c>
      <c r="Q439" s="101"/>
    </row>
    <row r="440" spans="1:17" s="47" customFormat="1" x14ac:dyDescent="0.2">
      <c r="A440" s="47">
        <v>9278</v>
      </c>
      <c r="B440" s="48" t="s">
        <v>14</v>
      </c>
      <c r="C440" s="49" t="s">
        <v>34</v>
      </c>
      <c r="D440" s="52">
        <v>1000</v>
      </c>
      <c r="E440" s="52">
        <f t="shared" si="71"/>
        <v>492</v>
      </c>
      <c r="F440" s="52">
        <v>40</v>
      </c>
      <c r="G440" s="52">
        <v>452</v>
      </c>
      <c r="H440" s="52">
        <v>1.1000000000000001</v>
      </c>
      <c r="I440" s="52">
        <v>1.05</v>
      </c>
      <c r="J440" s="52">
        <v>0.55000000000000004</v>
      </c>
      <c r="K440" s="11">
        <f t="shared" si="67"/>
        <v>0.6352500000000002</v>
      </c>
      <c r="L440" s="48">
        <f>L434</f>
        <v>17</v>
      </c>
      <c r="M440" s="11">
        <f t="shared" si="68"/>
        <v>1.7000000000000001E-2</v>
      </c>
      <c r="N440" s="11">
        <f t="shared" si="69"/>
        <v>8.3640000000000008</v>
      </c>
      <c r="O440" s="11">
        <f t="shared" si="70"/>
        <v>1.0799250000000005E-2</v>
      </c>
      <c r="Q440" s="101"/>
    </row>
    <row r="441" spans="1:17" s="47" customFormat="1" x14ac:dyDescent="0.2">
      <c r="A441" s="47">
        <v>9278</v>
      </c>
      <c r="B441" s="48" t="s">
        <v>14</v>
      </c>
      <c r="C441" s="49" t="s">
        <v>35</v>
      </c>
      <c r="D441" s="52">
        <v>450</v>
      </c>
      <c r="E441" s="52">
        <f t="shared" si="71"/>
        <v>421.5</v>
      </c>
      <c r="F441" s="52">
        <v>40</v>
      </c>
      <c r="G441" s="52">
        <v>381.5</v>
      </c>
      <c r="H441" s="52">
        <v>1.05</v>
      </c>
      <c r="I441" s="52">
        <v>1.05</v>
      </c>
      <c r="J441" s="48">
        <v>0.75</v>
      </c>
      <c r="K441" s="50">
        <f t="shared" si="67"/>
        <v>0.82687500000000003</v>
      </c>
      <c r="L441" s="48">
        <f>L434</f>
        <v>17</v>
      </c>
      <c r="M441" s="11">
        <f t="shared" si="68"/>
        <v>3.7777777777777778E-2</v>
      </c>
      <c r="N441" s="11">
        <f t="shared" si="69"/>
        <v>15.923333333333334</v>
      </c>
      <c r="O441" s="11">
        <f t="shared" si="70"/>
        <v>3.1237500000000001E-2</v>
      </c>
      <c r="Q441" s="101"/>
    </row>
    <row r="442" spans="1:17" s="47" customFormat="1" x14ac:dyDescent="0.2">
      <c r="A442" s="47">
        <v>9278</v>
      </c>
      <c r="B442" s="48" t="s">
        <v>14</v>
      </c>
      <c r="C442" s="49" t="s">
        <v>36</v>
      </c>
      <c r="D442" s="52">
        <v>1000</v>
      </c>
      <c r="E442" s="52">
        <f t="shared" si="71"/>
        <v>574</v>
      </c>
      <c r="F442" s="52">
        <v>40</v>
      </c>
      <c r="G442" s="52">
        <v>534</v>
      </c>
      <c r="H442" s="52">
        <v>1.1000000000000001</v>
      </c>
      <c r="I442" s="52">
        <v>1.2</v>
      </c>
      <c r="J442" s="52">
        <v>0.55000000000000004</v>
      </c>
      <c r="K442" s="11">
        <f t="shared" si="67"/>
        <v>0.72600000000000009</v>
      </c>
      <c r="L442" s="48">
        <f>L435</f>
        <v>17</v>
      </c>
      <c r="M442" s="11">
        <f t="shared" si="68"/>
        <v>1.7000000000000001E-2</v>
      </c>
      <c r="N442" s="11">
        <f t="shared" si="69"/>
        <v>9.7580000000000009</v>
      </c>
      <c r="O442" s="11">
        <f t="shared" si="70"/>
        <v>1.2342000000000002E-2</v>
      </c>
      <c r="Q442" s="101"/>
    </row>
    <row r="443" spans="1:17" s="47" customFormat="1" x14ac:dyDescent="0.2">
      <c r="A443" s="47">
        <v>9278</v>
      </c>
      <c r="B443" s="48" t="s">
        <v>14</v>
      </c>
      <c r="C443" s="49" t="s">
        <v>37</v>
      </c>
      <c r="D443" s="52">
        <v>450</v>
      </c>
      <c r="E443" s="52">
        <f t="shared" si="71"/>
        <v>475</v>
      </c>
      <c r="F443" s="52">
        <v>40</v>
      </c>
      <c r="G443" s="52">
        <v>435</v>
      </c>
      <c r="H443" s="52">
        <v>1.05</v>
      </c>
      <c r="I443" s="52">
        <v>1.2</v>
      </c>
      <c r="J443" s="48">
        <v>0.75</v>
      </c>
      <c r="K443" s="11">
        <f t="shared" si="67"/>
        <v>0.94500000000000006</v>
      </c>
      <c r="L443" s="48">
        <f>L435</f>
        <v>17</v>
      </c>
      <c r="M443" s="11">
        <f t="shared" si="68"/>
        <v>3.7777777777777778E-2</v>
      </c>
      <c r="N443" s="11">
        <f t="shared" si="69"/>
        <v>17.944444444444443</v>
      </c>
      <c r="O443" s="11">
        <f t="shared" si="70"/>
        <v>3.5700000000000003E-2</v>
      </c>
      <c r="Q443" s="101"/>
    </row>
    <row r="444" spans="1:17" s="47" customFormat="1" x14ac:dyDescent="0.2">
      <c r="A444" s="47">
        <v>9278</v>
      </c>
      <c r="B444" s="48" t="s">
        <v>14</v>
      </c>
      <c r="C444" s="49" t="s">
        <v>38</v>
      </c>
      <c r="D444" s="52">
        <v>1000</v>
      </c>
      <c r="E444" s="52">
        <f t="shared" si="71"/>
        <v>645</v>
      </c>
      <c r="F444" s="52">
        <v>40</v>
      </c>
      <c r="G444" s="52">
        <v>605</v>
      </c>
      <c r="H444" s="52">
        <v>1.1000000000000001</v>
      </c>
      <c r="I444" s="52">
        <v>1.3</v>
      </c>
      <c r="J444" s="52">
        <v>0.55000000000000004</v>
      </c>
      <c r="K444" s="11">
        <f t="shared" si="67"/>
        <v>0.7865000000000002</v>
      </c>
      <c r="L444" s="48">
        <f>L436</f>
        <v>6</v>
      </c>
      <c r="M444" s="11">
        <f t="shared" si="68"/>
        <v>6.0000000000000001E-3</v>
      </c>
      <c r="N444" s="11">
        <f t="shared" si="69"/>
        <v>3.87</v>
      </c>
      <c r="O444" s="11">
        <f t="shared" si="70"/>
        <v>4.719000000000001E-3</v>
      </c>
      <c r="Q444" s="101"/>
    </row>
    <row r="445" spans="1:17" s="47" customFormat="1" x14ac:dyDescent="0.2">
      <c r="A445" s="47">
        <v>9278</v>
      </c>
      <c r="B445" s="48" t="s">
        <v>14</v>
      </c>
      <c r="C445" s="49" t="s">
        <v>39</v>
      </c>
      <c r="D445" s="52">
        <v>450</v>
      </c>
      <c r="E445" s="52">
        <f t="shared" si="71"/>
        <v>515</v>
      </c>
      <c r="F445" s="52">
        <v>40</v>
      </c>
      <c r="G445" s="52">
        <v>475</v>
      </c>
      <c r="H445" s="52">
        <v>1.05</v>
      </c>
      <c r="I445" s="52">
        <v>1.3</v>
      </c>
      <c r="J445" s="48">
        <v>0.75</v>
      </c>
      <c r="K445" s="11">
        <f t="shared" si="67"/>
        <v>1.0237500000000002</v>
      </c>
      <c r="L445" s="48">
        <f>L436</f>
        <v>6</v>
      </c>
      <c r="M445" s="11">
        <f t="shared" si="68"/>
        <v>1.3333333333333334E-2</v>
      </c>
      <c r="N445" s="11">
        <f t="shared" si="69"/>
        <v>6.8666666666666671</v>
      </c>
      <c r="O445" s="11">
        <f t="shared" si="70"/>
        <v>1.3650000000000002E-2</v>
      </c>
      <c r="Q445" s="101"/>
    </row>
    <row r="446" spans="1:17" s="47" customFormat="1" x14ac:dyDescent="0.2">
      <c r="A446" s="47">
        <v>9278</v>
      </c>
      <c r="B446" s="48" t="s">
        <v>14</v>
      </c>
      <c r="C446" s="49" t="s">
        <v>40</v>
      </c>
      <c r="D446" s="52">
        <v>1000</v>
      </c>
      <c r="E446" s="52">
        <f t="shared" si="71"/>
        <v>645</v>
      </c>
      <c r="F446" s="52">
        <v>40</v>
      </c>
      <c r="G446" s="52">
        <v>605</v>
      </c>
      <c r="H446" s="52">
        <v>1.1000000000000001</v>
      </c>
      <c r="I446" s="52">
        <v>1.3</v>
      </c>
      <c r="J446" s="52">
        <v>0.55000000000000004</v>
      </c>
      <c r="K446" s="11">
        <f t="shared" si="67"/>
        <v>0.7865000000000002</v>
      </c>
      <c r="L446" s="48">
        <f>L437</f>
        <v>0</v>
      </c>
      <c r="M446" s="11">
        <f t="shared" si="68"/>
        <v>0</v>
      </c>
      <c r="N446" s="11">
        <f t="shared" si="69"/>
        <v>0</v>
      </c>
      <c r="O446" s="11">
        <f t="shared" si="70"/>
        <v>0</v>
      </c>
      <c r="Q446" s="101"/>
    </row>
    <row r="447" spans="1:17" s="47" customFormat="1" x14ac:dyDescent="0.2">
      <c r="A447" s="47">
        <v>9278</v>
      </c>
      <c r="B447" s="48" t="s">
        <v>14</v>
      </c>
      <c r="C447" s="49" t="s">
        <v>41</v>
      </c>
      <c r="D447" s="52">
        <v>450</v>
      </c>
      <c r="E447" s="52">
        <f t="shared" si="71"/>
        <v>515</v>
      </c>
      <c r="F447" s="52">
        <v>40</v>
      </c>
      <c r="G447" s="52">
        <v>475</v>
      </c>
      <c r="H447" s="52">
        <v>1.05</v>
      </c>
      <c r="I447" s="52">
        <v>1.3</v>
      </c>
      <c r="J447" s="48">
        <v>0.75</v>
      </c>
      <c r="K447" s="11">
        <f t="shared" si="67"/>
        <v>1.0237500000000002</v>
      </c>
      <c r="L447" s="48">
        <f>L437</f>
        <v>0</v>
      </c>
      <c r="M447" s="11">
        <f t="shared" si="68"/>
        <v>0</v>
      </c>
      <c r="N447" s="11">
        <f t="shared" si="69"/>
        <v>0</v>
      </c>
      <c r="O447" s="11">
        <f t="shared" si="70"/>
        <v>0</v>
      </c>
      <c r="Q447" s="101"/>
    </row>
    <row r="448" spans="1:17" s="47" customFormat="1" x14ac:dyDescent="0.2">
      <c r="A448" s="47">
        <v>8952</v>
      </c>
      <c r="B448" s="48" t="s">
        <v>14</v>
      </c>
      <c r="C448" s="49" t="s">
        <v>22</v>
      </c>
      <c r="D448" s="51">
        <v>3000</v>
      </c>
      <c r="E448" s="52">
        <v>235</v>
      </c>
      <c r="F448" s="48">
        <v>35</v>
      </c>
      <c r="G448" s="52">
        <v>200</v>
      </c>
      <c r="H448" s="48">
        <v>1.1000000000000001</v>
      </c>
      <c r="I448" s="48">
        <v>1.1000000000000001</v>
      </c>
      <c r="J448" s="48">
        <v>1.02</v>
      </c>
      <c r="K448" s="50">
        <f t="shared" si="67"/>
        <v>1.2342000000000002</v>
      </c>
      <c r="L448" s="48">
        <f>P433*4</f>
        <v>376</v>
      </c>
      <c r="M448" s="11">
        <f t="shared" si="68"/>
        <v>0.12533333333333332</v>
      </c>
      <c r="N448" s="11">
        <f t="shared" si="69"/>
        <v>29.45333333333333</v>
      </c>
      <c r="O448" s="11">
        <f t="shared" si="70"/>
        <v>0.1546864</v>
      </c>
      <c r="Q448" s="101"/>
    </row>
    <row r="449" spans="1:17" s="47" customFormat="1" x14ac:dyDescent="0.2">
      <c r="A449" s="47">
        <v>9278</v>
      </c>
      <c r="B449" s="48" t="s">
        <v>14</v>
      </c>
      <c r="C449" s="49" t="s">
        <v>23</v>
      </c>
      <c r="D449" s="9">
        <v>1000</v>
      </c>
      <c r="E449" s="10">
        <v>646</v>
      </c>
      <c r="F449" s="10">
        <f>E449-G449</f>
        <v>40</v>
      </c>
      <c r="G449" s="10">
        <v>606</v>
      </c>
      <c r="H449" s="10">
        <v>1.1000000000000001</v>
      </c>
      <c r="I449" s="10">
        <v>0.8</v>
      </c>
      <c r="J449" s="10">
        <v>0.55000000000000004</v>
      </c>
      <c r="K449" s="11">
        <f t="shared" si="67"/>
        <v>0.4840000000000001</v>
      </c>
      <c r="L449" s="48">
        <f>P433*4</f>
        <v>376</v>
      </c>
      <c r="M449" s="11">
        <f t="shared" si="68"/>
        <v>0.376</v>
      </c>
      <c r="N449" s="11">
        <f t="shared" si="69"/>
        <v>242.89599999999999</v>
      </c>
      <c r="O449" s="11">
        <f t="shared" si="70"/>
        <v>0.18198400000000003</v>
      </c>
      <c r="Q449" s="101"/>
    </row>
    <row r="450" spans="1:17" s="47" customFormat="1" x14ac:dyDescent="0.2">
      <c r="A450" s="47">
        <v>9278</v>
      </c>
      <c r="B450" s="48" t="s">
        <v>14</v>
      </c>
      <c r="C450" s="49" t="s">
        <v>46</v>
      </c>
      <c r="D450" s="51">
        <v>4000</v>
      </c>
      <c r="E450" s="52">
        <v>424</v>
      </c>
      <c r="F450" s="48">
        <f>E450-G450</f>
        <v>52</v>
      </c>
      <c r="G450" s="52">
        <v>372</v>
      </c>
      <c r="H450" s="48">
        <v>1.1000000000000001</v>
      </c>
      <c r="I450" s="48">
        <v>0.8</v>
      </c>
      <c r="J450" s="48">
        <v>0.55000000000000004</v>
      </c>
      <c r="K450" s="50">
        <f t="shared" si="67"/>
        <v>0.4840000000000001</v>
      </c>
      <c r="L450" s="48">
        <f>P433*4</f>
        <v>376</v>
      </c>
      <c r="M450" s="11">
        <f t="shared" si="68"/>
        <v>9.4E-2</v>
      </c>
      <c r="N450" s="11">
        <f t="shared" si="69"/>
        <v>39.856000000000002</v>
      </c>
      <c r="O450" s="11">
        <f t="shared" si="70"/>
        <v>4.5496000000000009E-2</v>
      </c>
      <c r="Q450" s="101"/>
    </row>
    <row r="451" spans="1:17" s="47" customFormat="1" ht="15" x14ac:dyDescent="0.2">
      <c r="A451" s="47">
        <v>9278</v>
      </c>
      <c r="B451" s="48" t="s">
        <v>14</v>
      </c>
      <c r="C451" s="49" t="s">
        <v>42</v>
      </c>
      <c r="D451" s="56">
        <v>1200</v>
      </c>
      <c r="E451" s="115">
        <v>666.4</v>
      </c>
      <c r="F451" s="115">
        <v>40</v>
      </c>
      <c r="G451" s="57">
        <v>588</v>
      </c>
      <c r="H451" s="117">
        <v>1</v>
      </c>
      <c r="I451" s="117">
        <v>0.75</v>
      </c>
      <c r="J451" s="117">
        <v>0.7</v>
      </c>
      <c r="K451" s="119">
        <v>0.5</v>
      </c>
      <c r="L451" s="48">
        <f>P433*4</f>
        <v>376</v>
      </c>
      <c r="M451" s="121">
        <f t="shared" si="68"/>
        <v>0.31333333333333335</v>
      </c>
      <c r="N451" s="121">
        <f t="shared" si="69"/>
        <v>208.80533333333335</v>
      </c>
      <c r="O451" s="123">
        <f t="shared" si="70"/>
        <v>0.15666666666666668</v>
      </c>
      <c r="Q451" s="101"/>
    </row>
    <row r="452" spans="1:17" s="47" customFormat="1" ht="15.75" thickBot="1" x14ac:dyDescent="0.25">
      <c r="A452" s="47">
        <v>9278</v>
      </c>
      <c r="B452" s="48" t="s">
        <v>14</v>
      </c>
      <c r="C452" s="49" t="s">
        <v>43</v>
      </c>
      <c r="D452" s="56">
        <v>1200</v>
      </c>
      <c r="E452" s="116"/>
      <c r="F452" s="116"/>
      <c r="G452" s="57">
        <v>38.4</v>
      </c>
      <c r="H452" s="118"/>
      <c r="I452" s="118"/>
      <c r="J452" s="118"/>
      <c r="K452" s="120"/>
      <c r="L452" s="48">
        <f>P433*4</f>
        <v>376</v>
      </c>
      <c r="M452" s="122"/>
      <c r="N452" s="122"/>
      <c r="O452" s="124"/>
      <c r="Q452" s="102"/>
    </row>
    <row r="453" spans="1:17" x14ac:dyDescent="0.2">
      <c r="A453">
        <v>9270</v>
      </c>
      <c r="B453" s="5" t="s">
        <v>15</v>
      </c>
      <c r="C453" s="5" t="s">
        <v>16</v>
      </c>
      <c r="D453" s="5">
        <v>30</v>
      </c>
      <c r="E453" s="5">
        <v>669</v>
      </c>
      <c r="F453" s="5">
        <f>E453-G453</f>
        <v>53</v>
      </c>
      <c r="G453" s="5">
        <v>616</v>
      </c>
      <c r="H453" s="5">
        <v>1</v>
      </c>
      <c r="I453" s="5">
        <v>0.9</v>
      </c>
      <c r="J453" s="5">
        <v>0.73</v>
      </c>
      <c r="K453" s="5">
        <f t="shared" ref="K453:K481" si="72">H453*I453*J453</f>
        <v>0.65700000000000003</v>
      </c>
      <c r="L453" s="5"/>
      <c r="M453" s="4">
        <f t="shared" ref="M453:M482" si="73">L453/D453</f>
        <v>0</v>
      </c>
      <c r="N453" s="4">
        <f t="shared" ref="N453:N482" si="74">E453*M453</f>
        <v>0</v>
      </c>
      <c r="O453" s="4">
        <f>M453*K453</f>
        <v>0</v>
      </c>
      <c r="P453" s="103">
        <f>SUM(L453:L456)</f>
        <v>0</v>
      </c>
      <c r="Q453" s="88" t="s">
        <v>57</v>
      </c>
    </row>
    <row r="454" spans="1:17" x14ac:dyDescent="0.2">
      <c r="A454">
        <v>9270</v>
      </c>
      <c r="B454" s="5" t="s">
        <v>15</v>
      </c>
      <c r="C454" s="5" t="s">
        <v>17</v>
      </c>
      <c r="D454" s="5">
        <v>30</v>
      </c>
      <c r="E454" s="5">
        <v>669</v>
      </c>
      <c r="F454" s="5">
        <f>E454-G454</f>
        <v>53</v>
      </c>
      <c r="G454" s="5">
        <v>616</v>
      </c>
      <c r="H454" s="5">
        <v>1</v>
      </c>
      <c r="I454" s="5">
        <v>0.9</v>
      </c>
      <c r="J454" s="5">
        <v>0.73</v>
      </c>
      <c r="K454" s="5">
        <f t="shared" si="72"/>
        <v>0.65700000000000003</v>
      </c>
      <c r="L454" s="5"/>
      <c r="M454" s="4">
        <f t="shared" si="73"/>
        <v>0</v>
      </c>
      <c r="N454" s="4">
        <f t="shared" si="74"/>
        <v>0</v>
      </c>
      <c r="O454" s="4">
        <f t="shared" ref="O454:O482" si="75">M454*K454</f>
        <v>0</v>
      </c>
      <c r="P454" s="103"/>
      <c r="Q454" s="89"/>
    </row>
    <row r="455" spans="1:17" x14ac:dyDescent="0.2">
      <c r="A455">
        <v>9270</v>
      </c>
      <c r="B455" s="5" t="s">
        <v>15</v>
      </c>
      <c r="C455" s="5" t="s">
        <v>18</v>
      </c>
      <c r="D455" s="5">
        <v>30</v>
      </c>
      <c r="E455" s="5">
        <v>669</v>
      </c>
      <c r="F455" s="5">
        <f>E455-G455</f>
        <v>53</v>
      </c>
      <c r="G455" s="5">
        <v>616</v>
      </c>
      <c r="H455" s="5">
        <v>1</v>
      </c>
      <c r="I455" s="5">
        <v>0.9</v>
      </c>
      <c r="J455" s="5">
        <v>0.73</v>
      </c>
      <c r="K455" s="5">
        <f t="shared" si="72"/>
        <v>0.65700000000000003</v>
      </c>
      <c r="L455" s="5"/>
      <c r="M455" s="4">
        <f t="shared" si="73"/>
        <v>0</v>
      </c>
      <c r="N455" s="4">
        <f t="shared" si="74"/>
        <v>0</v>
      </c>
      <c r="O455" s="4">
        <f t="shared" si="75"/>
        <v>0</v>
      </c>
      <c r="P455" s="103"/>
      <c r="Q455" s="89"/>
    </row>
    <row r="456" spans="1:17" x14ac:dyDescent="0.2">
      <c r="A456">
        <v>9270</v>
      </c>
      <c r="B456" s="5" t="s">
        <v>15</v>
      </c>
      <c r="C456" s="5" t="s">
        <v>19</v>
      </c>
      <c r="D456" s="5">
        <v>30</v>
      </c>
      <c r="E456" s="5">
        <v>669</v>
      </c>
      <c r="F456" s="5">
        <f>E456-G456</f>
        <v>53</v>
      </c>
      <c r="G456" s="5">
        <v>616</v>
      </c>
      <c r="H456" s="5">
        <v>1</v>
      </c>
      <c r="I456" s="5">
        <v>0.9</v>
      </c>
      <c r="J456" s="5">
        <v>0.73</v>
      </c>
      <c r="K456" s="5">
        <f t="shared" si="72"/>
        <v>0.65700000000000003</v>
      </c>
      <c r="L456" s="5"/>
      <c r="M456" s="4">
        <f t="shared" si="73"/>
        <v>0</v>
      </c>
      <c r="N456" s="4">
        <f t="shared" si="74"/>
        <v>0</v>
      </c>
      <c r="O456" s="4">
        <f t="shared" si="75"/>
        <v>0</v>
      </c>
      <c r="P456" s="103"/>
      <c r="Q456" s="89"/>
    </row>
    <row r="457" spans="1:17" x14ac:dyDescent="0.2">
      <c r="A457">
        <v>9278</v>
      </c>
      <c r="B457" s="5" t="s">
        <v>14</v>
      </c>
      <c r="C457" s="8" t="s">
        <v>20</v>
      </c>
      <c r="D457" s="5">
        <v>5000</v>
      </c>
      <c r="E457" s="5">
        <v>490</v>
      </c>
      <c r="F457" s="5">
        <v>40</v>
      </c>
      <c r="G457" s="5">
        <v>450</v>
      </c>
      <c r="H457" s="5">
        <v>1</v>
      </c>
      <c r="I457" s="5">
        <v>0.98</v>
      </c>
      <c r="J457" s="5">
        <v>0.83</v>
      </c>
      <c r="K457" s="7">
        <f t="shared" si="72"/>
        <v>0.8133999999999999</v>
      </c>
      <c r="L457" s="5"/>
      <c r="M457" s="4">
        <f t="shared" si="73"/>
        <v>0</v>
      </c>
      <c r="N457" s="4">
        <f t="shared" si="74"/>
        <v>0</v>
      </c>
      <c r="O457" s="4">
        <f t="shared" si="75"/>
        <v>0</v>
      </c>
      <c r="Q457" s="89"/>
    </row>
    <row r="458" spans="1:17" x14ac:dyDescent="0.2">
      <c r="A458">
        <v>9278</v>
      </c>
      <c r="B458" s="5" t="s">
        <v>14</v>
      </c>
      <c r="C458" s="8" t="s">
        <v>21</v>
      </c>
      <c r="D458" s="5">
        <v>360</v>
      </c>
      <c r="E458" s="5">
        <v>390</v>
      </c>
      <c r="F458" s="5">
        <v>40</v>
      </c>
      <c r="G458" s="5">
        <v>350</v>
      </c>
      <c r="H458" s="5">
        <v>1.05</v>
      </c>
      <c r="I458" s="5">
        <v>0.95</v>
      </c>
      <c r="J458" s="5">
        <v>0.55000000000000004</v>
      </c>
      <c r="K458" s="7">
        <f t="shared" si="72"/>
        <v>0.54862500000000003</v>
      </c>
      <c r="L458" s="5"/>
      <c r="M458" s="4">
        <f t="shared" si="73"/>
        <v>0</v>
      </c>
      <c r="N458" s="4">
        <f t="shared" si="74"/>
        <v>0</v>
      </c>
      <c r="O458" s="4">
        <f t="shared" si="75"/>
        <v>0</v>
      </c>
      <c r="Q458" s="89"/>
    </row>
    <row r="459" spans="1:17" x14ac:dyDescent="0.2">
      <c r="A459">
        <v>8952</v>
      </c>
      <c r="B459" s="5" t="s">
        <v>14</v>
      </c>
      <c r="C459" s="8" t="s">
        <v>22</v>
      </c>
      <c r="D459" s="3">
        <v>3000</v>
      </c>
      <c r="E459" s="6">
        <v>235</v>
      </c>
      <c r="F459" s="5">
        <v>35</v>
      </c>
      <c r="G459" s="6">
        <v>200</v>
      </c>
      <c r="H459" s="5">
        <v>1.1000000000000001</v>
      </c>
      <c r="I459" s="5">
        <v>1.1000000000000001</v>
      </c>
      <c r="J459" s="5">
        <v>1.02</v>
      </c>
      <c r="K459" s="7">
        <f t="shared" si="72"/>
        <v>1.2342000000000002</v>
      </c>
      <c r="L459" s="5"/>
      <c r="M459" s="4">
        <f t="shared" si="73"/>
        <v>0</v>
      </c>
      <c r="N459" s="4">
        <f t="shared" si="74"/>
        <v>0</v>
      </c>
      <c r="O459" s="4">
        <f t="shared" si="75"/>
        <v>0</v>
      </c>
      <c r="Q459" s="89"/>
    </row>
    <row r="460" spans="1:17" x14ac:dyDescent="0.2">
      <c r="A460">
        <v>9278</v>
      </c>
      <c r="B460" s="5" t="s">
        <v>14</v>
      </c>
      <c r="C460" s="8" t="s">
        <v>23</v>
      </c>
      <c r="D460" s="58">
        <v>1000</v>
      </c>
      <c r="E460" s="59">
        <v>646</v>
      </c>
      <c r="F460" s="59">
        <f>E460-G460</f>
        <v>40</v>
      </c>
      <c r="G460" s="59">
        <v>606</v>
      </c>
      <c r="H460" s="59">
        <v>1.1000000000000001</v>
      </c>
      <c r="I460" s="59">
        <v>0.8</v>
      </c>
      <c r="J460" s="59">
        <v>0.55000000000000004</v>
      </c>
      <c r="K460" s="4">
        <f t="shared" si="72"/>
        <v>0.4840000000000001</v>
      </c>
      <c r="L460" s="5"/>
      <c r="M460" s="4">
        <f t="shared" si="73"/>
        <v>0</v>
      </c>
      <c r="N460" s="4">
        <f t="shared" si="74"/>
        <v>0</v>
      </c>
      <c r="O460" s="4">
        <f t="shared" si="75"/>
        <v>0</v>
      </c>
      <c r="Q460" s="89"/>
    </row>
    <row r="461" spans="1:17" x14ac:dyDescent="0.2">
      <c r="A461">
        <v>9286</v>
      </c>
      <c r="B461" s="5" t="s">
        <v>47</v>
      </c>
      <c r="C461" s="8" t="s">
        <v>24</v>
      </c>
      <c r="D461" s="3">
        <v>4000</v>
      </c>
      <c r="E461" s="6">
        <v>424</v>
      </c>
      <c r="F461" s="5">
        <f>E461-G461</f>
        <v>52</v>
      </c>
      <c r="G461" s="6">
        <v>372</v>
      </c>
      <c r="H461" s="5">
        <v>1.1000000000000001</v>
      </c>
      <c r="I461" s="5">
        <v>0.8</v>
      </c>
      <c r="J461" s="5">
        <v>0.55000000000000004</v>
      </c>
      <c r="K461" s="7">
        <f t="shared" si="72"/>
        <v>0.4840000000000001</v>
      </c>
      <c r="L461" s="5"/>
      <c r="M461" s="4">
        <f t="shared" si="73"/>
        <v>0</v>
      </c>
      <c r="N461" s="4">
        <f t="shared" si="74"/>
        <v>0</v>
      </c>
      <c r="O461" s="4">
        <f t="shared" si="75"/>
        <v>0</v>
      </c>
      <c r="Q461" s="89"/>
    </row>
    <row r="462" spans="1:17" x14ac:dyDescent="0.2">
      <c r="A462">
        <v>9278</v>
      </c>
      <c r="B462" s="5" t="s">
        <v>14</v>
      </c>
      <c r="C462" s="8" t="s">
        <v>25</v>
      </c>
      <c r="D462" s="5">
        <v>1000</v>
      </c>
      <c r="E462" s="5">
        <v>830</v>
      </c>
      <c r="F462" s="5">
        <v>40</v>
      </c>
      <c r="G462" s="5">
        <v>790</v>
      </c>
      <c r="H462" s="5">
        <v>1.04</v>
      </c>
      <c r="I462" s="5">
        <v>0.84</v>
      </c>
      <c r="J462" s="5">
        <v>0.64</v>
      </c>
      <c r="K462" s="7">
        <f t="shared" si="72"/>
        <v>0.55910400000000005</v>
      </c>
      <c r="L462" s="5"/>
      <c r="M462" s="4">
        <f t="shared" si="73"/>
        <v>0</v>
      </c>
      <c r="N462" s="4">
        <f t="shared" si="74"/>
        <v>0</v>
      </c>
      <c r="O462" s="4">
        <f t="shared" si="75"/>
        <v>0</v>
      </c>
      <c r="Q462" s="89"/>
    </row>
    <row r="463" spans="1:17" x14ac:dyDescent="0.2">
      <c r="A463">
        <v>9278</v>
      </c>
      <c r="B463" s="5" t="s">
        <v>14</v>
      </c>
      <c r="C463" s="8" t="s">
        <v>26</v>
      </c>
      <c r="D463" s="5">
        <v>4000</v>
      </c>
      <c r="E463" s="5">
        <v>223</v>
      </c>
      <c r="F463" s="5">
        <v>30</v>
      </c>
      <c r="G463" s="5">
        <v>188</v>
      </c>
      <c r="H463" s="5">
        <v>0.86</v>
      </c>
      <c r="I463" s="5">
        <v>0.78</v>
      </c>
      <c r="J463" s="5">
        <v>0.74</v>
      </c>
      <c r="K463" s="7">
        <f t="shared" si="72"/>
        <v>0.49639200000000006</v>
      </c>
      <c r="L463" s="5"/>
      <c r="M463" s="4">
        <f t="shared" si="73"/>
        <v>0</v>
      </c>
      <c r="N463" s="4">
        <f t="shared" si="74"/>
        <v>0</v>
      </c>
      <c r="O463" s="4">
        <f t="shared" si="75"/>
        <v>0</v>
      </c>
      <c r="Q463" s="89"/>
    </row>
    <row r="464" spans="1:17" x14ac:dyDescent="0.2">
      <c r="A464">
        <v>9270</v>
      </c>
      <c r="B464" s="5" t="s">
        <v>15</v>
      </c>
      <c r="C464" s="8" t="s">
        <v>27</v>
      </c>
      <c r="D464" s="12">
        <v>12</v>
      </c>
      <c r="E464" s="12">
        <v>435</v>
      </c>
      <c r="F464" s="12">
        <v>39</v>
      </c>
      <c r="G464" s="12">
        <v>396</v>
      </c>
      <c r="H464" s="12">
        <v>0.86</v>
      </c>
      <c r="I464" s="12">
        <v>0.56000000000000005</v>
      </c>
      <c r="J464" s="12">
        <v>0.51</v>
      </c>
      <c r="K464" s="13">
        <f t="shared" si="72"/>
        <v>0.24561600000000003</v>
      </c>
      <c r="L464" s="5"/>
      <c r="M464" s="4">
        <f t="shared" si="73"/>
        <v>0</v>
      </c>
      <c r="N464" s="4">
        <f t="shared" si="74"/>
        <v>0</v>
      </c>
      <c r="O464" s="4">
        <f t="shared" si="75"/>
        <v>0</v>
      </c>
      <c r="P464" s="103">
        <f>SUM(L464:L468)</f>
        <v>0</v>
      </c>
      <c r="Q464" s="89"/>
    </row>
    <row r="465" spans="1:17" x14ac:dyDescent="0.2">
      <c r="A465">
        <v>9270</v>
      </c>
      <c r="B465" s="5" t="s">
        <v>15</v>
      </c>
      <c r="C465" s="8" t="s">
        <v>28</v>
      </c>
      <c r="D465" s="12">
        <v>12</v>
      </c>
      <c r="E465" s="12">
        <v>520</v>
      </c>
      <c r="F465" s="12">
        <v>40</v>
      </c>
      <c r="G465" s="12">
        <v>480</v>
      </c>
      <c r="H465" s="12">
        <v>1.03</v>
      </c>
      <c r="I465" s="12">
        <v>0.56000000000000005</v>
      </c>
      <c r="J465" s="12">
        <v>0.51</v>
      </c>
      <c r="K465" s="13">
        <f t="shared" si="72"/>
        <v>0.29416800000000004</v>
      </c>
      <c r="L465" s="5"/>
      <c r="M465" s="4">
        <f t="shared" si="73"/>
        <v>0</v>
      </c>
      <c r="N465" s="4">
        <f t="shared" si="74"/>
        <v>0</v>
      </c>
      <c r="O465" s="4">
        <f t="shared" si="75"/>
        <v>0</v>
      </c>
      <c r="P465" s="103"/>
      <c r="Q465" s="89"/>
    </row>
    <row r="466" spans="1:17" x14ac:dyDescent="0.2">
      <c r="A466">
        <v>9270</v>
      </c>
      <c r="B466" s="5" t="s">
        <v>15</v>
      </c>
      <c r="C466" s="8" t="s">
        <v>29</v>
      </c>
      <c r="D466" s="12">
        <v>12</v>
      </c>
      <c r="E466" s="12">
        <v>596</v>
      </c>
      <c r="F466" s="12">
        <v>44</v>
      </c>
      <c r="G466" s="12">
        <v>552</v>
      </c>
      <c r="H466" s="12">
        <v>1.17</v>
      </c>
      <c r="I466" s="12">
        <v>0.56000000000000005</v>
      </c>
      <c r="J466" s="12">
        <v>0.51</v>
      </c>
      <c r="K466" s="13">
        <f t="shared" si="72"/>
        <v>0.334152</v>
      </c>
      <c r="L466" s="5"/>
      <c r="M466" s="4">
        <f t="shared" si="73"/>
        <v>0</v>
      </c>
      <c r="N466" s="4">
        <f t="shared" si="74"/>
        <v>0</v>
      </c>
      <c r="O466" s="4">
        <f t="shared" si="75"/>
        <v>0</v>
      </c>
      <c r="P466" s="103"/>
      <c r="Q466" s="89"/>
    </row>
    <row r="467" spans="1:17" x14ac:dyDescent="0.2">
      <c r="A467">
        <v>9270</v>
      </c>
      <c r="B467" s="5" t="s">
        <v>15</v>
      </c>
      <c r="C467" s="8" t="s">
        <v>30</v>
      </c>
      <c r="D467" s="14">
        <v>12</v>
      </c>
      <c r="E467" s="12">
        <v>654</v>
      </c>
      <c r="F467" s="12">
        <v>42</v>
      </c>
      <c r="G467" s="12">
        <v>612</v>
      </c>
      <c r="H467" s="12">
        <v>1.2749999999999999</v>
      </c>
      <c r="I467" s="12">
        <v>0.56000000000000005</v>
      </c>
      <c r="J467" s="12">
        <v>0.51</v>
      </c>
      <c r="K467" s="13">
        <f t="shared" si="72"/>
        <v>0.36413999999999996</v>
      </c>
      <c r="L467" s="5"/>
      <c r="M467" s="4">
        <f t="shared" si="73"/>
        <v>0</v>
      </c>
      <c r="N467" s="4">
        <f t="shared" si="74"/>
        <v>0</v>
      </c>
      <c r="O467" s="4">
        <f t="shared" si="75"/>
        <v>0</v>
      </c>
      <c r="P467" s="103"/>
      <c r="Q467" s="89"/>
    </row>
    <row r="468" spans="1:17" x14ac:dyDescent="0.2">
      <c r="A468">
        <v>9270</v>
      </c>
      <c r="B468" s="5" t="s">
        <v>15</v>
      </c>
      <c r="C468" s="8" t="s">
        <v>31</v>
      </c>
      <c r="D468" s="14">
        <v>6</v>
      </c>
      <c r="E468" s="12">
        <v>410</v>
      </c>
      <c r="F468" s="12">
        <v>50</v>
      </c>
      <c r="G468" s="12">
        <v>360</v>
      </c>
      <c r="H468" s="12">
        <v>1.48</v>
      </c>
      <c r="I468" s="12">
        <v>0.56000000000000005</v>
      </c>
      <c r="J468" s="12">
        <v>0.37</v>
      </c>
      <c r="K468" s="13">
        <f t="shared" si="72"/>
        <v>0.30665600000000004</v>
      </c>
      <c r="L468" s="5"/>
      <c r="M468" s="4">
        <f t="shared" si="73"/>
        <v>0</v>
      </c>
      <c r="N468" s="4">
        <f t="shared" si="74"/>
        <v>0</v>
      </c>
      <c r="O468" s="4">
        <f t="shared" si="75"/>
        <v>0</v>
      </c>
      <c r="P468" s="103"/>
      <c r="Q468" s="89"/>
    </row>
    <row r="469" spans="1:17" x14ac:dyDescent="0.2">
      <c r="A469">
        <v>9278</v>
      </c>
      <c r="B469" s="5" t="s">
        <v>14</v>
      </c>
      <c r="C469" s="8" t="s">
        <v>32</v>
      </c>
      <c r="D469" s="6">
        <v>1000</v>
      </c>
      <c r="E469" s="6">
        <f t="shared" ref="E469:E478" si="76">G469+F469</f>
        <v>395</v>
      </c>
      <c r="F469" s="6">
        <v>40</v>
      </c>
      <c r="G469" s="6">
        <v>355</v>
      </c>
      <c r="H469" s="6">
        <v>1.05</v>
      </c>
      <c r="I469" s="6">
        <v>0.9</v>
      </c>
      <c r="J469" s="6">
        <v>0.55000000000000004</v>
      </c>
      <c r="K469" s="4">
        <f t="shared" si="72"/>
        <v>0.51975000000000005</v>
      </c>
      <c r="L469" s="5"/>
      <c r="M469" s="4">
        <f t="shared" si="73"/>
        <v>0</v>
      </c>
      <c r="N469" s="4">
        <f t="shared" si="74"/>
        <v>0</v>
      </c>
      <c r="O469" s="4">
        <f t="shared" si="75"/>
        <v>0</v>
      </c>
      <c r="Q469" s="89"/>
    </row>
    <row r="470" spans="1:17" x14ac:dyDescent="0.2">
      <c r="A470">
        <v>9278</v>
      </c>
      <c r="B470" s="5" t="s">
        <v>14</v>
      </c>
      <c r="C470" s="8" t="s">
        <v>33</v>
      </c>
      <c r="D470" s="6">
        <v>450</v>
      </c>
      <c r="E470" s="6">
        <f t="shared" si="76"/>
        <v>360</v>
      </c>
      <c r="F470" s="6">
        <v>40</v>
      </c>
      <c r="G470" s="6">
        <v>320</v>
      </c>
      <c r="H470" s="5">
        <v>1.1000000000000001</v>
      </c>
      <c r="I470" s="6">
        <v>0.9</v>
      </c>
      <c r="J470" s="5">
        <v>0.75</v>
      </c>
      <c r="K470" s="7">
        <f t="shared" si="72"/>
        <v>0.74250000000000005</v>
      </c>
      <c r="L470" s="5"/>
      <c r="M470" s="4">
        <f t="shared" si="73"/>
        <v>0</v>
      </c>
      <c r="N470" s="4">
        <f t="shared" si="74"/>
        <v>0</v>
      </c>
      <c r="O470" s="4">
        <f t="shared" si="75"/>
        <v>0</v>
      </c>
      <c r="Q470" s="89"/>
    </row>
    <row r="471" spans="1:17" x14ac:dyDescent="0.2">
      <c r="A471">
        <v>9278</v>
      </c>
      <c r="B471" s="5" t="s">
        <v>14</v>
      </c>
      <c r="C471" s="8" t="s">
        <v>34</v>
      </c>
      <c r="D471" s="6">
        <v>1000</v>
      </c>
      <c r="E471" s="6">
        <f t="shared" si="76"/>
        <v>492</v>
      </c>
      <c r="F471" s="6">
        <v>40</v>
      </c>
      <c r="G471" s="6">
        <v>452</v>
      </c>
      <c r="H471" s="6">
        <v>1.1000000000000001</v>
      </c>
      <c r="I471" s="6">
        <v>1.05</v>
      </c>
      <c r="J471" s="6">
        <v>0.55000000000000004</v>
      </c>
      <c r="K471" s="4">
        <f t="shared" si="72"/>
        <v>0.6352500000000002</v>
      </c>
      <c r="L471" s="5"/>
      <c r="M471" s="4">
        <f t="shared" si="73"/>
        <v>0</v>
      </c>
      <c r="N471" s="4">
        <f t="shared" si="74"/>
        <v>0</v>
      </c>
      <c r="O471" s="4">
        <f t="shared" si="75"/>
        <v>0</v>
      </c>
      <c r="Q471" s="89"/>
    </row>
    <row r="472" spans="1:17" x14ac:dyDescent="0.2">
      <c r="A472">
        <v>9278</v>
      </c>
      <c r="B472" s="5" t="s">
        <v>14</v>
      </c>
      <c r="C472" s="8" t="s">
        <v>35</v>
      </c>
      <c r="D472" s="6">
        <v>450</v>
      </c>
      <c r="E472" s="6">
        <f t="shared" si="76"/>
        <v>421.5</v>
      </c>
      <c r="F472" s="6">
        <v>40</v>
      </c>
      <c r="G472" s="6">
        <v>381.5</v>
      </c>
      <c r="H472" s="6">
        <v>1.05</v>
      </c>
      <c r="I472" s="6">
        <v>1.05</v>
      </c>
      <c r="J472" s="5">
        <v>0.75</v>
      </c>
      <c r="K472" s="7">
        <f t="shared" si="72"/>
        <v>0.82687500000000003</v>
      </c>
      <c r="L472" s="5"/>
      <c r="M472" s="4">
        <f t="shared" si="73"/>
        <v>0</v>
      </c>
      <c r="N472" s="4">
        <f t="shared" si="74"/>
        <v>0</v>
      </c>
      <c r="O472" s="4">
        <f t="shared" si="75"/>
        <v>0</v>
      </c>
      <c r="Q472" s="89"/>
    </row>
    <row r="473" spans="1:17" x14ac:dyDescent="0.2">
      <c r="A473">
        <v>9278</v>
      </c>
      <c r="B473" s="5" t="s">
        <v>14</v>
      </c>
      <c r="C473" s="8" t="s">
        <v>36</v>
      </c>
      <c r="D473" s="6">
        <v>1000</v>
      </c>
      <c r="E473" s="6">
        <f t="shared" si="76"/>
        <v>574</v>
      </c>
      <c r="F473" s="6">
        <v>40</v>
      </c>
      <c r="G473" s="6">
        <v>534</v>
      </c>
      <c r="H473" s="6">
        <v>1.1000000000000001</v>
      </c>
      <c r="I473" s="6">
        <v>1.2</v>
      </c>
      <c r="J473" s="6">
        <v>0.55000000000000004</v>
      </c>
      <c r="K473" s="4">
        <f t="shared" si="72"/>
        <v>0.72600000000000009</v>
      </c>
      <c r="L473" s="5"/>
      <c r="M473" s="4">
        <f t="shared" si="73"/>
        <v>0</v>
      </c>
      <c r="N473" s="4">
        <f t="shared" si="74"/>
        <v>0</v>
      </c>
      <c r="O473" s="4">
        <f t="shared" si="75"/>
        <v>0</v>
      </c>
      <c r="Q473" s="89"/>
    </row>
    <row r="474" spans="1:17" x14ac:dyDescent="0.2">
      <c r="A474">
        <v>9278</v>
      </c>
      <c r="B474" s="5" t="s">
        <v>14</v>
      </c>
      <c r="C474" s="8" t="s">
        <v>37</v>
      </c>
      <c r="D474" s="6">
        <v>450</v>
      </c>
      <c r="E474" s="6">
        <f t="shared" si="76"/>
        <v>475</v>
      </c>
      <c r="F474" s="6">
        <v>40</v>
      </c>
      <c r="G474" s="6">
        <v>435</v>
      </c>
      <c r="H474" s="6">
        <v>1.05</v>
      </c>
      <c r="I474" s="6">
        <v>1.2</v>
      </c>
      <c r="J474" s="5">
        <v>0.75</v>
      </c>
      <c r="K474" s="4">
        <f t="shared" si="72"/>
        <v>0.94500000000000006</v>
      </c>
      <c r="L474" s="5"/>
      <c r="M474" s="4">
        <f t="shared" si="73"/>
        <v>0</v>
      </c>
      <c r="N474" s="4">
        <f t="shared" si="74"/>
        <v>0</v>
      </c>
      <c r="O474" s="4">
        <f t="shared" si="75"/>
        <v>0</v>
      </c>
      <c r="Q474" s="89"/>
    </row>
    <row r="475" spans="1:17" x14ac:dyDescent="0.2">
      <c r="A475">
        <v>9278</v>
      </c>
      <c r="B475" s="5" t="s">
        <v>14</v>
      </c>
      <c r="C475" s="8" t="s">
        <v>38</v>
      </c>
      <c r="D475" s="6">
        <v>1000</v>
      </c>
      <c r="E475" s="6">
        <f t="shared" si="76"/>
        <v>645</v>
      </c>
      <c r="F475" s="6">
        <v>40</v>
      </c>
      <c r="G475" s="6">
        <v>605</v>
      </c>
      <c r="H475" s="6">
        <v>1.1000000000000001</v>
      </c>
      <c r="I475" s="6">
        <v>1.3</v>
      </c>
      <c r="J475" s="6">
        <v>0.55000000000000004</v>
      </c>
      <c r="K475" s="4">
        <f t="shared" si="72"/>
        <v>0.7865000000000002</v>
      </c>
      <c r="L475" s="5"/>
      <c r="M475" s="4">
        <f t="shared" si="73"/>
        <v>0</v>
      </c>
      <c r="N475" s="4">
        <f t="shared" si="74"/>
        <v>0</v>
      </c>
      <c r="O475" s="4">
        <f t="shared" si="75"/>
        <v>0</v>
      </c>
      <c r="Q475" s="89"/>
    </row>
    <row r="476" spans="1:17" x14ac:dyDescent="0.2">
      <c r="A476">
        <v>9278</v>
      </c>
      <c r="B476" s="5" t="s">
        <v>14</v>
      </c>
      <c r="C476" s="8" t="s">
        <v>39</v>
      </c>
      <c r="D476" s="6">
        <v>450</v>
      </c>
      <c r="E476" s="6">
        <f t="shared" si="76"/>
        <v>515</v>
      </c>
      <c r="F476" s="6">
        <v>40</v>
      </c>
      <c r="G476" s="6">
        <v>475</v>
      </c>
      <c r="H476" s="6">
        <v>1.05</v>
      </c>
      <c r="I476" s="6">
        <v>1.3</v>
      </c>
      <c r="J476" s="5">
        <v>0.75</v>
      </c>
      <c r="K476" s="4">
        <f t="shared" si="72"/>
        <v>1.0237500000000002</v>
      </c>
      <c r="L476" s="5"/>
      <c r="M476" s="4">
        <f t="shared" si="73"/>
        <v>0</v>
      </c>
      <c r="N476" s="4">
        <f t="shared" si="74"/>
        <v>0</v>
      </c>
      <c r="O476" s="4">
        <f t="shared" si="75"/>
        <v>0</v>
      </c>
      <c r="Q476" s="89"/>
    </row>
    <row r="477" spans="1:17" x14ac:dyDescent="0.2">
      <c r="A477">
        <v>9278</v>
      </c>
      <c r="B477" s="5" t="s">
        <v>14</v>
      </c>
      <c r="C477" s="8" t="s">
        <v>40</v>
      </c>
      <c r="D477" s="6">
        <v>1000</v>
      </c>
      <c r="E477" s="6">
        <f t="shared" si="76"/>
        <v>645</v>
      </c>
      <c r="F477" s="6">
        <v>40</v>
      </c>
      <c r="G477" s="6">
        <v>605</v>
      </c>
      <c r="H477" s="6">
        <v>1.1000000000000001</v>
      </c>
      <c r="I477" s="6">
        <v>1.3</v>
      </c>
      <c r="J477" s="6">
        <v>0.55000000000000004</v>
      </c>
      <c r="K477" s="4">
        <f t="shared" si="72"/>
        <v>0.7865000000000002</v>
      </c>
      <c r="L477" s="5"/>
      <c r="M477" s="4">
        <f t="shared" si="73"/>
        <v>0</v>
      </c>
      <c r="N477" s="4">
        <f t="shared" si="74"/>
        <v>0</v>
      </c>
      <c r="O477" s="4">
        <f t="shared" si="75"/>
        <v>0</v>
      </c>
      <c r="Q477" s="89"/>
    </row>
    <row r="478" spans="1:17" x14ac:dyDescent="0.2">
      <c r="A478">
        <v>9278</v>
      </c>
      <c r="B478" s="5" t="s">
        <v>14</v>
      </c>
      <c r="C478" s="8" t="s">
        <v>41</v>
      </c>
      <c r="D478" s="6">
        <v>450</v>
      </c>
      <c r="E478" s="6">
        <f t="shared" si="76"/>
        <v>515</v>
      </c>
      <c r="F478" s="6">
        <v>40</v>
      </c>
      <c r="G478" s="6">
        <v>475</v>
      </c>
      <c r="H478" s="6">
        <v>1.05</v>
      </c>
      <c r="I478" s="6">
        <v>1.3</v>
      </c>
      <c r="J478" s="5">
        <v>0.75</v>
      </c>
      <c r="K478" s="4">
        <f t="shared" si="72"/>
        <v>1.0237500000000002</v>
      </c>
      <c r="L478" s="5"/>
      <c r="M478" s="4">
        <f t="shared" si="73"/>
        <v>0</v>
      </c>
      <c r="N478" s="4">
        <f t="shared" si="74"/>
        <v>0</v>
      </c>
      <c r="O478" s="4">
        <f t="shared" si="75"/>
        <v>0</v>
      </c>
      <c r="Q478" s="89"/>
    </row>
    <row r="479" spans="1:17" x14ac:dyDescent="0.2">
      <c r="A479">
        <v>8952</v>
      </c>
      <c r="B479" s="5" t="s">
        <v>14</v>
      </c>
      <c r="C479" s="8" t="s">
        <v>22</v>
      </c>
      <c r="D479" s="3">
        <v>3000</v>
      </c>
      <c r="E479" s="6">
        <v>235</v>
      </c>
      <c r="F479" s="5">
        <v>35</v>
      </c>
      <c r="G479" s="6">
        <v>200</v>
      </c>
      <c r="H479" s="5">
        <v>1.1000000000000001</v>
      </c>
      <c r="I479" s="5">
        <v>1.1000000000000001</v>
      </c>
      <c r="J479" s="5">
        <v>1.02</v>
      </c>
      <c r="K479" s="7">
        <f t="shared" si="72"/>
        <v>1.2342000000000002</v>
      </c>
      <c r="L479" s="5"/>
      <c r="M479" s="4">
        <f t="shared" si="73"/>
        <v>0</v>
      </c>
      <c r="N479" s="4">
        <f t="shared" si="74"/>
        <v>0</v>
      </c>
      <c r="O479" s="4">
        <f t="shared" si="75"/>
        <v>0</v>
      </c>
      <c r="Q479" s="89"/>
    </row>
    <row r="480" spans="1:17" x14ac:dyDescent="0.2">
      <c r="A480">
        <v>9278</v>
      </c>
      <c r="B480" s="5" t="s">
        <v>14</v>
      </c>
      <c r="C480" s="8" t="s">
        <v>23</v>
      </c>
      <c r="D480" s="58">
        <v>1000</v>
      </c>
      <c r="E480" s="59">
        <v>646</v>
      </c>
      <c r="F480" s="59">
        <f>E480-G480</f>
        <v>40</v>
      </c>
      <c r="G480" s="59">
        <v>606</v>
      </c>
      <c r="H480" s="59">
        <v>1.1000000000000001</v>
      </c>
      <c r="I480" s="59">
        <v>0.8</v>
      </c>
      <c r="J480" s="59">
        <v>0.55000000000000004</v>
      </c>
      <c r="K480" s="4">
        <f t="shared" si="72"/>
        <v>0.4840000000000001</v>
      </c>
      <c r="L480" s="5"/>
      <c r="M480" s="4">
        <f t="shared" si="73"/>
        <v>0</v>
      </c>
      <c r="N480" s="4">
        <f t="shared" si="74"/>
        <v>0</v>
      </c>
      <c r="O480" s="4">
        <f t="shared" si="75"/>
        <v>0</v>
      </c>
      <c r="Q480" s="89"/>
    </row>
    <row r="481" spans="1:17" x14ac:dyDescent="0.2">
      <c r="A481">
        <v>9278</v>
      </c>
      <c r="B481" s="5" t="s">
        <v>14</v>
      </c>
      <c r="C481" s="8" t="s">
        <v>46</v>
      </c>
      <c r="D481" s="3">
        <v>4000</v>
      </c>
      <c r="E481" s="6">
        <v>424</v>
      </c>
      <c r="F481" s="5">
        <f>E481-G481</f>
        <v>52</v>
      </c>
      <c r="G481" s="6">
        <v>372</v>
      </c>
      <c r="H481" s="5">
        <v>1.1000000000000001</v>
      </c>
      <c r="I481" s="5">
        <v>0.8</v>
      </c>
      <c r="J481" s="5">
        <v>0.55000000000000004</v>
      </c>
      <c r="K481" s="7">
        <f t="shared" si="72"/>
        <v>0.4840000000000001</v>
      </c>
      <c r="L481" s="5"/>
      <c r="M481" s="4">
        <f t="shared" si="73"/>
        <v>0</v>
      </c>
      <c r="N481" s="4">
        <f t="shared" si="74"/>
        <v>0</v>
      </c>
      <c r="O481" s="4">
        <f t="shared" si="75"/>
        <v>0</v>
      </c>
      <c r="Q481" s="89"/>
    </row>
    <row r="482" spans="1:17" ht="15" x14ac:dyDescent="0.2">
      <c r="A482">
        <v>9278</v>
      </c>
      <c r="B482" s="5" t="s">
        <v>14</v>
      </c>
      <c r="C482" s="8" t="s">
        <v>42</v>
      </c>
      <c r="D482" s="15">
        <v>1200</v>
      </c>
      <c r="E482" s="104">
        <v>666.4</v>
      </c>
      <c r="F482" s="104">
        <v>40</v>
      </c>
      <c r="G482" s="16">
        <v>588</v>
      </c>
      <c r="H482" s="106">
        <v>1</v>
      </c>
      <c r="I482" s="106">
        <v>0.75</v>
      </c>
      <c r="J482" s="106">
        <v>0.7</v>
      </c>
      <c r="K482" s="108">
        <v>0.5</v>
      </c>
      <c r="L482" s="5"/>
      <c r="M482" s="110">
        <f t="shared" si="73"/>
        <v>0</v>
      </c>
      <c r="N482" s="110">
        <f t="shared" si="74"/>
        <v>0</v>
      </c>
      <c r="O482" s="112">
        <f t="shared" si="75"/>
        <v>0</v>
      </c>
      <c r="Q482" s="89"/>
    </row>
    <row r="483" spans="1:17" ht="15.75" thickBot="1" x14ac:dyDescent="0.25">
      <c r="A483">
        <v>9278</v>
      </c>
      <c r="B483" s="5" t="s">
        <v>14</v>
      </c>
      <c r="C483" s="8" t="s">
        <v>43</v>
      </c>
      <c r="D483" s="15">
        <v>1200</v>
      </c>
      <c r="E483" s="105"/>
      <c r="F483" s="105"/>
      <c r="G483" s="16">
        <v>38.4</v>
      </c>
      <c r="H483" s="107"/>
      <c r="I483" s="107"/>
      <c r="J483" s="107"/>
      <c r="K483" s="109"/>
      <c r="L483" s="5"/>
      <c r="M483" s="111"/>
      <c r="N483" s="111"/>
      <c r="O483" s="113"/>
      <c r="Q483" s="90"/>
    </row>
    <row r="484" spans="1:17" ht="15" x14ac:dyDescent="0.2">
      <c r="A484" s="74" t="s">
        <v>61</v>
      </c>
      <c r="B484" s="75" t="s">
        <v>15</v>
      </c>
      <c r="C484" s="87" t="s">
        <v>62</v>
      </c>
      <c r="D484" s="76">
        <v>4</v>
      </c>
      <c r="E484" s="76">
        <v>80</v>
      </c>
      <c r="F484" s="76">
        <v>52</v>
      </c>
      <c r="G484" s="76">
        <v>28</v>
      </c>
      <c r="H484" s="76">
        <v>1.1499999999999999</v>
      </c>
      <c r="I484" s="76">
        <v>0.63</v>
      </c>
      <c r="J484" s="76">
        <v>0.74</v>
      </c>
      <c r="K484" s="77">
        <f>H484*I484*J484</f>
        <v>0.53612999999999988</v>
      </c>
      <c r="L484" s="76">
        <v>40</v>
      </c>
      <c r="M484" s="76">
        <f>L484/D484</f>
        <v>10</v>
      </c>
      <c r="N484" s="76">
        <f>M484*E484</f>
        <v>800</v>
      </c>
      <c r="O484" s="77">
        <f>M484*K484</f>
        <v>5.3612999999999991</v>
      </c>
      <c r="P484" t="s">
        <v>51</v>
      </c>
    </row>
    <row r="485" spans="1:17" s="47" customFormat="1" ht="15" x14ac:dyDescent="0.2">
      <c r="A485" s="78">
        <v>9258</v>
      </c>
      <c r="B485" s="79"/>
      <c r="C485" s="80" t="s">
        <v>52</v>
      </c>
      <c r="D485" s="52">
        <v>3000</v>
      </c>
      <c r="E485" s="52">
        <v>215</v>
      </c>
      <c r="F485" s="48">
        <v>35</v>
      </c>
      <c r="G485" s="52">
        <v>180</v>
      </c>
      <c r="H485" s="48">
        <v>1.1000000000000001</v>
      </c>
      <c r="I485" s="48">
        <v>1.02</v>
      </c>
      <c r="J485" s="50">
        <v>1.2342000000000002</v>
      </c>
      <c r="K485" s="11">
        <f t="shared" ref="K485" si="77">H485*I485*J485</f>
        <v>1.3847724000000003</v>
      </c>
      <c r="L485" s="84"/>
      <c r="M485" s="81">
        <f>L485/D485</f>
        <v>0</v>
      </c>
      <c r="N485" s="81">
        <f>M485*E485</f>
        <v>0</v>
      </c>
      <c r="O485" s="82">
        <f>M485*K485</f>
        <v>0</v>
      </c>
    </row>
    <row r="486" spans="1:17" ht="15" x14ac:dyDescent="0.2">
      <c r="A486" s="74" t="s">
        <v>49</v>
      </c>
      <c r="B486" s="75" t="s">
        <v>14</v>
      </c>
      <c r="C486" s="76" t="s">
        <v>50</v>
      </c>
      <c r="D486" s="76">
        <v>1</v>
      </c>
      <c r="E486" s="76">
        <v>80</v>
      </c>
      <c r="F486" s="76">
        <v>0</v>
      </c>
      <c r="G486" s="76">
        <v>80</v>
      </c>
      <c r="H486" s="76">
        <v>0.78</v>
      </c>
      <c r="I486" s="76">
        <v>0.78</v>
      </c>
      <c r="J486" s="76">
        <v>0.45</v>
      </c>
      <c r="K486" s="77">
        <f>H486*I486*J486</f>
        <v>0.27378000000000002</v>
      </c>
      <c r="L486" s="85">
        <v>80</v>
      </c>
      <c r="M486" s="76">
        <f>L486/D486</f>
        <v>80</v>
      </c>
      <c r="N486" s="76">
        <f>M486*E486</f>
        <v>6400</v>
      </c>
      <c r="O486" s="77">
        <f>M486*K486</f>
        <v>21.9024</v>
      </c>
      <c r="P486" t="s">
        <v>51</v>
      </c>
    </row>
    <row r="487" spans="1:17" x14ac:dyDescent="0.2">
      <c r="L487">
        <f>SUM(L329:L486)</f>
        <v>9760</v>
      </c>
      <c r="M487">
        <f t="shared" ref="M487:O487" si="78">SUM(M329:M486)</f>
        <v>119.11644444444444</v>
      </c>
      <c r="N487">
        <f t="shared" si="78"/>
        <v>23168.366222222223</v>
      </c>
      <c r="O487">
        <f t="shared" si="78"/>
        <v>40.205221209333331</v>
      </c>
    </row>
  </sheetData>
  <autoFilter ref="A2:O159" xr:uid="{00000000-0001-0000-0000-000000000000}">
    <filterColumn colId="1">
      <filters blank="1">
        <filter val="Sudelan"/>
      </filters>
    </filterColumn>
  </autoFilter>
  <mergeCells count="180">
    <mergeCell ref="M63:M64"/>
    <mergeCell ref="N63:N64"/>
    <mergeCell ref="O63:O64"/>
    <mergeCell ref="P65:P68"/>
    <mergeCell ref="P76:P80"/>
    <mergeCell ref="E94:E95"/>
    <mergeCell ref="F94:F95"/>
    <mergeCell ref="H94:H95"/>
    <mergeCell ref="I94:I95"/>
    <mergeCell ref="J94:J95"/>
    <mergeCell ref="K94:K95"/>
    <mergeCell ref="M94:M95"/>
    <mergeCell ref="N94:N95"/>
    <mergeCell ref="O94:O95"/>
    <mergeCell ref="P226:P229"/>
    <mergeCell ref="P237:P241"/>
    <mergeCell ref="N32:N33"/>
    <mergeCell ref="O32:O33"/>
    <mergeCell ref="K32:K33"/>
    <mergeCell ref="M32:M33"/>
    <mergeCell ref="K193:K194"/>
    <mergeCell ref="M193:M194"/>
    <mergeCell ref="N193:N194"/>
    <mergeCell ref="P96:P99"/>
    <mergeCell ref="P107:P111"/>
    <mergeCell ref="K125:K126"/>
    <mergeCell ref="M125:M126"/>
    <mergeCell ref="N125:N126"/>
    <mergeCell ref="O125:O126"/>
    <mergeCell ref="P127:P130"/>
    <mergeCell ref="P138:P142"/>
    <mergeCell ref="K156:K157"/>
    <mergeCell ref="M156:M157"/>
    <mergeCell ref="N156:N157"/>
    <mergeCell ref="O156:O157"/>
    <mergeCell ref="P34:P37"/>
    <mergeCell ref="P45:P49"/>
    <mergeCell ref="K63:K64"/>
    <mergeCell ref="P3:P6"/>
    <mergeCell ref="P14:P18"/>
    <mergeCell ref="E32:E33"/>
    <mergeCell ref="F32:F33"/>
    <mergeCell ref="H32:H33"/>
    <mergeCell ref="I32:I33"/>
    <mergeCell ref="J32:J33"/>
    <mergeCell ref="P164:P167"/>
    <mergeCell ref="P175:P179"/>
    <mergeCell ref="E125:E126"/>
    <mergeCell ref="F125:F126"/>
    <mergeCell ref="H125:H126"/>
    <mergeCell ref="I125:I126"/>
    <mergeCell ref="J125:J126"/>
    <mergeCell ref="E156:E157"/>
    <mergeCell ref="F156:F157"/>
    <mergeCell ref="H156:H157"/>
    <mergeCell ref="I156:I157"/>
    <mergeCell ref="J156:J157"/>
    <mergeCell ref="E63:E64"/>
    <mergeCell ref="F63:F64"/>
    <mergeCell ref="H63:H64"/>
    <mergeCell ref="I63:I64"/>
    <mergeCell ref="J63:J64"/>
    <mergeCell ref="O193:O194"/>
    <mergeCell ref="P195:P198"/>
    <mergeCell ref="P206:P210"/>
    <mergeCell ref="E224:E225"/>
    <mergeCell ref="F224:F225"/>
    <mergeCell ref="H224:H225"/>
    <mergeCell ref="I224:I225"/>
    <mergeCell ref="J224:J225"/>
    <mergeCell ref="K224:K225"/>
    <mergeCell ref="M224:M225"/>
    <mergeCell ref="N224:N225"/>
    <mergeCell ref="O224:O225"/>
    <mergeCell ref="E193:E194"/>
    <mergeCell ref="F193:F194"/>
    <mergeCell ref="H193:H194"/>
    <mergeCell ref="I193:I194"/>
    <mergeCell ref="J193:J194"/>
    <mergeCell ref="K255:K256"/>
    <mergeCell ref="M255:M256"/>
    <mergeCell ref="N255:N256"/>
    <mergeCell ref="O255:O256"/>
    <mergeCell ref="P257:P260"/>
    <mergeCell ref="E255:E256"/>
    <mergeCell ref="F255:F256"/>
    <mergeCell ref="H255:H256"/>
    <mergeCell ref="I255:I256"/>
    <mergeCell ref="J255:J256"/>
    <mergeCell ref="P268:P272"/>
    <mergeCell ref="E286:E287"/>
    <mergeCell ref="F286:F287"/>
    <mergeCell ref="H286:H287"/>
    <mergeCell ref="I286:I287"/>
    <mergeCell ref="J286:J287"/>
    <mergeCell ref="K286:K287"/>
    <mergeCell ref="M286:M287"/>
    <mergeCell ref="N286:N287"/>
    <mergeCell ref="O286:O287"/>
    <mergeCell ref="P288:P291"/>
    <mergeCell ref="P299:P303"/>
    <mergeCell ref="E317:E318"/>
    <mergeCell ref="F317:F318"/>
    <mergeCell ref="H317:H318"/>
    <mergeCell ref="I317:I318"/>
    <mergeCell ref="J317:J318"/>
    <mergeCell ref="K317:K318"/>
    <mergeCell ref="M317:M318"/>
    <mergeCell ref="N317:N318"/>
    <mergeCell ref="O317:O318"/>
    <mergeCell ref="P329:P332"/>
    <mergeCell ref="P340:P344"/>
    <mergeCell ref="E358:E359"/>
    <mergeCell ref="F358:F359"/>
    <mergeCell ref="H358:H359"/>
    <mergeCell ref="I358:I359"/>
    <mergeCell ref="J358:J359"/>
    <mergeCell ref="K358:K359"/>
    <mergeCell ref="M358:M359"/>
    <mergeCell ref="N358:N359"/>
    <mergeCell ref="O358:O359"/>
    <mergeCell ref="P360:P363"/>
    <mergeCell ref="P371:P375"/>
    <mergeCell ref="E389:E390"/>
    <mergeCell ref="F389:F390"/>
    <mergeCell ref="H389:H390"/>
    <mergeCell ref="I389:I390"/>
    <mergeCell ref="J389:J390"/>
    <mergeCell ref="K389:K390"/>
    <mergeCell ref="M389:M390"/>
    <mergeCell ref="N389:N390"/>
    <mergeCell ref="O389:O390"/>
    <mergeCell ref="P391:P394"/>
    <mergeCell ref="P402:P406"/>
    <mergeCell ref="E420:E421"/>
    <mergeCell ref="F420:F421"/>
    <mergeCell ref="H420:H421"/>
    <mergeCell ref="I420:I421"/>
    <mergeCell ref="J420:J421"/>
    <mergeCell ref="K420:K421"/>
    <mergeCell ref="M420:M421"/>
    <mergeCell ref="N420:N421"/>
    <mergeCell ref="O420:O421"/>
    <mergeCell ref="P422:P425"/>
    <mergeCell ref="P433:P437"/>
    <mergeCell ref="E451:E452"/>
    <mergeCell ref="F451:F452"/>
    <mergeCell ref="H451:H452"/>
    <mergeCell ref="I451:I452"/>
    <mergeCell ref="J451:J452"/>
    <mergeCell ref="K451:K452"/>
    <mergeCell ref="M451:M452"/>
    <mergeCell ref="N451:N452"/>
    <mergeCell ref="O451:O452"/>
    <mergeCell ref="P453:P456"/>
    <mergeCell ref="P464:P468"/>
    <mergeCell ref="E482:E483"/>
    <mergeCell ref="F482:F483"/>
    <mergeCell ref="H482:H483"/>
    <mergeCell ref="I482:I483"/>
    <mergeCell ref="J482:J483"/>
    <mergeCell ref="K482:K483"/>
    <mergeCell ref="M482:M483"/>
    <mergeCell ref="N482:N483"/>
    <mergeCell ref="O482:O483"/>
    <mergeCell ref="Q288:Q318"/>
    <mergeCell ref="Q329:Q359"/>
    <mergeCell ref="Q360:Q390"/>
    <mergeCell ref="Q391:Q421"/>
    <mergeCell ref="Q422:Q452"/>
    <mergeCell ref="Q453:Q483"/>
    <mergeCell ref="Q3:Q33"/>
    <mergeCell ref="Q34:Q64"/>
    <mergeCell ref="Q65:Q95"/>
    <mergeCell ref="Q96:Q126"/>
    <mergeCell ref="Q127:Q157"/>
    <mergeCell ref="Q164:Q194"/>
    <mergeCell ref="Q195:Q225"/>
    <mergeCell ref="Q226:Q256"/>
    <mergeCell ref="Q257:Q287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dcterms:created xsi:type="dcterms:W3CDTF">2015-06-05T18:17:20Z</dcterms:created>
  <dcterms:modified xsi:type="dcterms:W3CDTF">2025-03-11T07:16:04Z</dcterms:modified>
</cp:coreProperties>
</file>