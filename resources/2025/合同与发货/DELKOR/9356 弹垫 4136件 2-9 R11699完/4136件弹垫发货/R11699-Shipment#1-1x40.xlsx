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R11699-Progress Rail\Shipment#1\"/>
    </mc:Choice>
  </mc:AlternateContent>
  <xr:revisionPtr revIDLastSave="0" documentId="13_ncr:1_{014C266E-002E-479F-A274-877007CDAB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x40GP" sheetId="1" r:id="rId1"/>
  </sheets>
  <definedNames>
    <definedName name="_xlnm._FilterDatabase" localSheetId="0" hidden="1">'1x40GP'!$A$1:$Q$165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1" l="1"/>
  <c r="M55" i="1"/>
  <c r="N55" i="1" s="1"/>
  <c r="K55" i="1"/>
  <c r="M54" i="1"/>
  <c r="O54" i="1" s="1"/>
  <c r="K54" i="1"/>
  <c r="M53" i="1"/>
  <c r="O53" i="1" s="1"/>
  <c r="K53" i="1"/>
  <c r="K49" i="1"/>
  <c r="O49" i="1" s="1"/>
  <c r="E49" i="1"/>
  <c r="N49" i="1" s="1"/>
  <c r="O39" i="1"/>
  <c r="O38" i="1"/>
  <c r="N38" i="1"/>
  <c r="K38" i="1"/>
  <c r="E35" i="1"/>
  <c r="N35" i="1" s="1"/>
  <c r="K31" i="1"/>
  <c r="O31" i="1" s="1"/>
  <c r="E31" i="1"/>
  <c r="N31" i="1" s="1"/>
  <c r="O21" i="1"/>
  <c r="K20" i="1"/>
  <c r="O20" i="1" s="1"/>
  <c r="E20" i="1"/>
  <c r="N20" i="1" s="1"/>
  <c r="O17" i="1"/>
  <c r="E17" i="1"/>
  <c r="N17" i="1" s="1"/>
  <c r="M16" i="1"/>
  <c r="N16" i="1" s="1"/>
  <c r="K16" i="1"/>
  <c r="F16" i="1"/>
  <c r="O15" i="1"/>
  <c r="N15" i="1"/>
  <c r="M15" i="1"/>
  <c r="K15" i="1"/>
  <c r="F15" i="1"/>
  <c r="M14" i="1"/>
  <c r="O14" i="1" s="1"/>
  <c r="K14" i="1"/>
  <c r="F14" i="1"/>
  <c r="M13" i="1"/>
  <c r="N13" i="1" s="1"/>
  <c r="K13" i="1"/>
  <c r="F13" i="1"/>
  <c r="M12" i="1"/>
  <c r="O12" i="1" s="1"/>
  <c r="K12" i="1"/>
  <c r="F12" i="1"/>
  <c r="M11" i="1"/>
  <c r="N11" i="1" s="1"/>
  <c r="K11" i="1"/>
  <c r="M10" i="1"/>
  <c r="N10" i="1" s="1"/>
  <c r="K10" i="1"/>
  <c r="M9" i="1"/>
  <c r="O9" i="1" s="1"/>
  <c r="K9" i="1"/>
  <c r="M8" i="1"/>
  <c r="O8" i="1" s="1"/>
  <c r="K8" i="1"/>
  <c r="M7" i="1"/>
  <c r="O7" i="1" s="1"/>
  <c r="K7" i="1"/>
  <c r="F7" i="1"/>
  <c r="M6" i="1"/>
  <c r="N6" i="1" s="1"/>
  <c r="K6" i="1"/>
  <c r="M5" i="1"/>
  <c r="O5" i="1" s="1"/>
  <c r="K5" i="1"/>
  <c r="M4" i="1"/>
  <c r="O4" i="1" s="1"/>
  <c r="K4" i="1"/>
  <c r="M3" i="1"/>
  <c r="O3" i="1" s="1"/>
  <c r="K3" i="1"/>
  <c r="M2" i="1"/>
  <c r="O2" i="1" s="1"/>
  <c r="K2" i="1"/>
  <c r="F2" i="1"/>
  <c r="O11" i="1" l="1"/>
  <c r="M56" i="1"/>
  <c r="O6" i="1"/>
  <c r="O56" i="1" s="1"/>
  <c r="O16" i="1"/>
  <c r="N2" i="1"/>
  <c r="N53" i="1"/>
  <c r="N8" i="1"/>
  <c r="N3" i="1"/>
  <c r="O13" i="1"/>
  <c r="N54" i="1"/>
  <c r="N9" i="1"/>
  <c r="N4" i="1"/>
  <c r="N14" i="1"/>
  <c r="O55" i="1"/>
  <c r="N5" i="1"/>
  <c r="O10" i="1"/>
  <c r="N12" i="1"/>
  <c r="N7" i="1"/>
  <c r="N56" i="1" l="1"/>
</calcChain>
</file>

<file path=xl/sharedStrings.xml><?xml version="1.0" encoding="utf-8"?>
<sst xmlns="http://schemas.openxmlformats.org/spreadsheetml/2006/main" count="126" uniqueCount="47">
  <si>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</si>
  <si>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</si>
  <si>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</si>
  <si>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</si>
  <si>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</si>
  <si>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</si>
  <si>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</si>
  <si>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</si>
  <si>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</si>
  <si>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</si>
  <si>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</si>
  <si>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</si>
  <si>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</si>
  <si>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</si>
  <si>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Fosco</t>
  </si>
  <si>
    <t>TMT</t>
  </si>
  <si>
    <t>RF152 Zero Cant</t>
  </si>
  <si>
    <t>Fe6 Spring Washer</t>
  </si>
  <si>
    <t>Turnouts Type I</t>
  </si>
  <si>
    <t>Turnouts Type II</t>
  </si>
  <si>
    <t>Turuts Type III</t>
  </si>
  <si>
    <t>Turnouts Type IV</t>
  </si>
  <si>
    <t>PO</t>
  </si>
  <si>
    <t>Sudelan</t>
  </si>
  <si>
    <t>Dowels  165 Closed</t>
  </si>
  <si>
    <t>Bag</t>
  </si>
  <si>
    <t>螺栓 M24*70</t>
  </si>
  <si>
    <t>平垫圈 AHFA24</t>
  </si>
  <si>
    <t>弹簧垫圈 ASLB24</t>
  </si>
  <si>
    <t>螺栓 Ss8-165-1</t>
  </si>
  <si>
    <t>5mm RaIL Pad 13877（RP408</t>
  </si>
  <si>
    <t>3mm Base Pad RF152(BP411)</t>
  </si>
  <si>
    <t>3mm HDPE Top Pad Type I 器下垫板P0952</t>
  </si>
  <si>
    <t>3mm HDPE Base Pad Type I 器下垫板BP406</t>
  </si>
  <si>
    <t>3mm HDPE Top Pad Type II 器下垫板P0969</t>
  </si>
  <si>
    <t>3mm HDPE Base Pad Type II 器下垫板BP407</t>
  </si>
  <si>
    <t>3mm HDPE Top Pad Type III 器下垫板P0983</t>
  </si>
  <si>
    <t>3mm HDPE Base Pad Type III 器下垫板BP408</t>
  </si>
  <si>
    <t>3mm HDPE Top Pad Type 器下垫板IV P0995</t>
  </si>
  <si>
    <t>3mm HDPE Base Pad Type 器下垫板IV BP409</t>
  </si>
  <si>
    <t>尼龙套管AD4 165</t>
  </si>
  <si>
    <t>弹条 AE5</t>
  </si>
  <si>
    <t>绝缘轨距块</t>
  </si>
  <si>
    <t>绝缘塞</t>
  </si>
  <si>
    <t>Dowels  165 Opened</t>
  </si>
  <si>
    <t>MSP00873</t>
  </si>
  <si>
    <t xml:space="preserve">Storage Pallet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</si>
</sst>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.00_ "/>
    <numFmt numFmtId="166" formatCode="[$-C09]dd\-mmm\-yy;@"/>
    <numFmt numFmtId="167" formatCode="0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charset val="134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6" fontId="1" fillId="0" borderId="0"/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5" borderId="0" xfId="0" applyFill="1"/>
    <xf numFmtId="2" fontId="2" fillId="3" borderId="2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6" borderId="0" xfId="0" applyFill="1"/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2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0" xfId="0" applyFill="1"/>
    <xf numFmtId="166" fontId="0" fillId="7" borderId="3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167" fontId="4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167" fontId="4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 vertical="center"/>
    </xf>
    <xf numFmtId="165" fontId="4" fillId="6" borderId="4" xfId="0" applyNumberFormat="1" applyFont="1" applyFill="1" applyBorder="1" applyAlignment="1">
      <alignment horizontal="center" vertical="center"/>
    </xf>
    <xf numFmtId="167" fontId="4" fillId="6" borderId="3" xfId="0" applyNumberFormat="1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167" fontId="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7" borderId="4" xfId="0" applyNumberFormat="1" applyFont="1" applyFill="1" applyBorder="1" applyAlignment="1">
      <alignment horizontal="center" vertical="center"/>
    </xf>
    <xf numFmtId="165" fontId="4" fillId="7" borderId="5" xfId="0" applyNumberFormat="1" applyFont="1" applyFill="1" applyBorder="1" applyAlignment="1">
      <alignment horizontal="center" vertical="center"/>
    </xf>
    <xf numFmtId="165" fontId="4" fillId="7" borderId="4" xfId="0" applyNumberFormat="1" applyFont="1" applyFill="1" applyBorder="1" applyAlignment="1">
      <alignment horizontal="center" vertical="center"/>
    </xf>
    <xf numFmtId="167" fontId="4" fillId="7" borderId="3" xfId="0" applyNumberFormat="1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 2" xfId="1" xr:uid="{32D1FDA4-AB84-407A-B848-E9C9715FEAEA}"/>
  </cellStyles>
  <dxfs count="0"/>
  <tableStyles count="0" defaultTableStyle="TableStyleMedium2" defaultPivotStyle="PivotStyleLight16"/>
  <colors>
    <mruColors>
      <color rgb="FFFF99FF"/>
      <color rgb="FFF82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topLeftCell="A39" zoomScale="70" zoomScaleNormal="70" workbookViewId="0">
      <selection activeCell="E65" sqref="E65"/>
    </sheetView>
  </sheetViews>
  <sheetFormatPr defaultRowHeight="14.4"/>
  <cols>
    <col min="3" max="3" width="25.33203125" bestFit="1" customWidth="1"/>
  </cols>
  <sheetData>
    <row r="1" spans="1:15" ht="41.4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7" t="s">
        <v>10</v>
      </c>
      <c r="M1" s="2" t="s">
        <v>11</v>
      </c>
      <c r="N1" s="2" t="s">
        <v>12</v>
      </c>
      <c r="O1" s="11" t="s">
        <v>13</v>
      </c>
    </row>
    <row r="2" spans="1:15" s="42" customFormat="1">
      <c r="A2" s="40">
        <v>9355</v>
      </c>
      <c r="B2" s="40" t="s">
        <v>15</v>
      </c>
      <c r="C2" s="40" t="s">
        <v>16</v>
      </c>
      <c r="D2" s="40">
        <v>30</v>
      </c>
      <c r="E2" s="40">
        <v>669</v>
      </c>
      <c r="F2" s="40">
        <f>E2-G2</f>
        <v>53</v>
      </c>
      <c r="G2" s="40">
        <v>616</v>
      </c>
      <c r="H2" s="40">
        <v>1</v>
      </c>
      <c r="I2" s="40">
        <v>0.9</v>
      </c>
      <c r="J2" s="40">
        <v>0.73</v>
      </c>
      <c r="K2" s="40">
        <f t="shared" ref="K2:K16" si="0">H2*I2*J2</f>
        <v>0.65700000000000003</v>
      </c>
      <c r="L2" s="40">
        <v>104</v>
      </c>
      <c r="M2" s="41">
        <f t="shared" ref="M2:M16" si="1">L2/D2</f>
        <v>3.4666666666666668</v>
      </c>
      <c r="N2" s="41">
        <f t="shared" ref="N2:N16" si="2">E2*M2</f>
        <v>2319.2000000000003</v>
      </c>
      <c r="O2" s="41">
        <f>M2*K2</f>
        <v>2.2776000000000001</v>
      </c>
    </row>
    <row r="3" spans="1:15" s="42" customFormat="1">
      <c r="A3" s="40">
        <v>9355</v>
      </c>
      <c r="B3" s="40" t="s">
        <v>15</v>
      </c>
      <c r="C3" s="43" t="s">
        <v>18</v>
      </c>
      <c r="D3" s="47">
        <v>12</v>
      </c>
      <c r="E3" s="47">
        <v>435</v>
      </c>
      <c r="F3" s="47">
        <v>39</v>
      </c>
      <c r="G3" s="47">
        <v>396</v>
      </c>
      <c r="H3" s="47">
        <v>0.86</v>
      </c>
      <c r="I3" s="47">
        <v>0.56000000000000005</v>
      </c>
      <c r="J3" s="47">
        <v>0.51</v>
      </c>
      <c r="K3" s="48">
        <f t="shared" si="0"/>
        <v>0.24561600000000003</v>
      </c>
      <c r="L3" s="40">
        <v>56</v>
      </c>
      <c r="M3" s="41">
        <f t="shared" si="1"/>
        <v>4.666666666666667</v>
      </c>
      <c r="N3" s="41">
        <f t="shared" si="2"/>
        <v>2030.0000000000002</v>
      </c>
      <c r="O3" s="41">
        <f t="shared" ref="O3:O6" si="3">M3*K3</f>
        <v>1.1462080000000001</v>
      </c>
    </row>
    <row r="4" spans="1:15" s="42" customFormat="1">
      <c r="A4" s="40">
        <v>9355</v>
      </c>
      <c r="B4" s="40" t="s">
        <v>15</v>
      </c>
      <c r="C4" s="43" t="s">
        <v>19</v>
      </c>
      <c r="D4" s="47">
        <v>12</v>
      </c>
      <c r="E4" s="47">
        <v>520</v>
      </c>
      <c r="F4" s="47">
        <v>40</v>
      </c>
      <c r="G4" s="47">
        <v>480</v>
      </c>
      <c r="H4" s="47">
        <v>1.03</v>
      </c>
      <c r="I4" s="47">
        <v>0.56000000000000005</v>
      </c>
      <c r="J4" s="47">
        <v>0.51</v>
      </c>
      <c r="K4" s="48">
        <f t="shared" si="0"/>
        <v>0.29416800000000004</v>
      </c>
      <c r="L4" s="40">
        <v>18</v>
      </c>
      <c r="M4" s="41">
        <f t="shared" si="1"/>
        <v>1.5</v>
      </c>
      <c r="N4" s="41">
        <f t="shared" si="2"/>
        <v>780</v>
      </c>
      <c r="O4" s="41">
        <f t="shared" si="3"/>
        <v>0.44125200000000009</v>
      </c>
    </row>
    <row r="5" spans="1:15" s="42" customFormat="1">
      <c r="A5" s="40">
        <v>9355</v>
      </c>
      <c r="B5" s="40" t="s">
        <v>15</v>
      </c>
      <c r="C5" s="43" t="s">
        <v>20</v>
      </c>
      <c r="D5" s="47">
        <v>12</v>
      </c>
      <c r="E5" s="47">
        <v>596</v>
      </c>
      <c r="F5" s="47">
        <v>44</v>
      </c>
      <c r="G5" s="47">
        <v>552</v>
      </c>
      <c r="H5" s="47">
        <v>1.17</v>
      </c>
      <c r="I5" s="47">
        <v>0.56000000000000005</v>
      </c>
      <c r="J5" s="47">
        <v>0.51</v>
      </c>
      <c r="K5" s="48">
        <f t="shared" si="0"/>
        <v>0.334152</v>
      </c>
      <c r="L5" s="40">
        <v>18</v>
      </c>
      <c r="M5" s="41">
        <f t="shared" si="1"/>
        <v>1.5</v>
      </c>
      <c r="N5" s="41">
        <f t="shared" si="2"/>
        <v>894</v>
      </c>
      <c r="O5" s="41">
        <f t="shared" si="3"/>
        <v>0.50122800000000001</v>
      </c>
    </row>
    <row r="6" spans="1:15" s="42" customFormat="1">
      <c r="A6" s="40">
        <v>9355</v>
      </c>
      <c r="B6" s="40" t="s">
        <v>15</v>
      </c>
      <c r="C6" s="43" t="s">
        <v>21</v>
      </c>
      <c r="D6" s="49">
        <v>12</v>
      </c>
      <c r="E6" s="47">
        <v>654</v>
      </c>
      <c r="F6" s="47">
        <v>42</v>
      </c>
      <c r="G6" s="47">
        <v>612</v>
      </c>
      <c r="H6" s="47">
        <v>1.2749999999999999</v>
      </c>
      <c r="I6" s="47">
        <v>0.56000000000000005</v>
      </c>
      <c r="J6" s="47">
        <v>0.51</v>
      </c>
      <c r="K6" s="48">
        <f t="shared" si="0"/>
        <v>0.36413999999999996</v>
      </c>
      <c r="L6" s="40">
        <v>7</v>
      </c>
      <c r="M6" s="41">
        <f t="shared" si="1"/>
        <v>0.58333333333333337</v>
      </c>
      <c r="N6" s="41">
        <f t="shared" si="2"/>
        <v>381.5</v>
      </c>
      <c r="O6" s="41">
        <f t="shared" si="3"/>
        <v>0.21241499999999999</v>
      </c>
    </row>
    <row r="7" spans="1:15" s="24" customFormat="1">
      <c r="A7" s="25">
        <v>9355</v>
      </c>
      <c r="B7" s="25" t="s">
        <v>15</v>
      </c>
      <c r="C7" s="25" t="s">
        <v>16</v>
      </c>
      <c r="D7" s="25">
        <v>30</v>
      </c>
      <c r="E7" s="25">
        <v>669</v>
      </c>
      <c r="F7" s="25">
        <f>E7-G7</f>
        <v>53</v>
      </c>
      <c r="G7" s="25">
        <v>616</v>
      </c>
      <c r="H7" s="25">
        <v>1</v>
      </c>
      <c r="I7" s="25">
        <v>0.9</v>
      </c>
      <c r="J7" s="25">
        <v>0.73</v>
      </c>
      <c r="K7" s="25">
        <f t="shared" si="0"/>
        <v>0.65700000000000003</v>
      </c>
      <c r="L7" s="25">
        <v>102</v>
      </c>
      <c r="M7" s="26">
        <f t="shared" si="1"/>
        <v>3.4</v>
      </c>
      <c r="N7" s="26">
        <f t="shared" si="2"/>
        <v>2274.6</v>
      </c>
      <c r="O7" s="26">
        <f>M7*K7</f>
        <v>2.2338</v>
      </c>
    </row>
    <row r="8" spans="1:15" s="24" customFormat="1">
      <c r="A8" s="25">
        <v>9355</v>
      </c>
      <c r="B8" s="25" t="s">
        <v>15</v>
      </c>
      <c r="C8" s="27" t="s">
        <v>18</v>
      </c>
      <c r="D8" s="31">
        <v>12</v>
      </c>
      <c r="E8" s="31">
        <v>435</v>
      </c>
      <c r="F8" s="31">
        <v>39</v>
      </c>
      <c r="G8" s="31">
        <v>396</v>
      </c>
      <c r="H8" s="31">
        <v>0.86</v>
      </c>
      <c r="I8" s="31">
        <v>0.56000000000000005</v>
      </c>
      <c r="J8" s="31">
        <v>0.51</v>
      </c>
      <c r="K8" s="32">
        <f t="shared" si="0"/>
        <v>0.24561600000000003</v>
      </c>
      <c r="L8" s="25">
        <v>54</v>
      </c>
      <c r="M8" s="26">
        <f t="shared" si="1"/>
        <v>4.5</v>
      </c>
      <c r="N8" s="26">
        <f t="shared" si="2"/>
        <v>1957.5</v>
      </c>
      <c r="O8" s="26">
        <f t="shared" ref="O8:O16" si="4">M8*K8</f>
        <v>1.105272</v>
      </c>
    </row>
    <row r="9" spans="1:15" s="24" customFormat="1">
      <c r="A9" s="25">
        <v>9355</v>
      </c>
      <c r="B9" s="25" t="s">
        <v>15</v>
      </c>
      <c r="C9" s="27" t="s">
        <v>19</v>
      </c>
      <c r="D9" s="31">
        <v>12</v>
      </c>
      <c r="E9" s="31">
        <v>520</v>
      </c>
      <c r="F9" s="31">
        <v>40</v>
      </c>
      <c r="G9" s="31">
        <v>480</v>
      </c>
      <c r="H9" s="31">
        <v>1.03</v>
      </c>
      <c r="I9" s="31">
        <v>0.56000000000000005</v>
      </c>
      <c r="J9" s="31">
        <v>0.51</v>
      </c>
      <c r="K9" s="32">
        <f t="shared" si="0"/>
        <v>0.29416800000000004</v>
      </c>
      <c r="L9" s="25">
        <v>17</v>
      </c>
      <c r="M9" s="26">
        <f t="shared" si="1"/>
        <v>1.4166666666666667</v>
      </c>
      <c r="N9" s="26">
        <f t="shared" si="2"/>
        <v>736.66666666666674</v>
      </c>
      <c r="O9" s="26">
        <f t="shared" si="4"/>
        <v>0.41673800000000005</v>
      </c>
    </row>
    <row r="10" spans="1:15" s="24" customFormat="1">
      <c r="A10" s="25">
        <v>9355</v>
      </c>
      <c r="B10" s="25" t="s">
        <v>15</v>
      </c>
      <c r="C10" s="27" t="s">
        <v>20</v>
      </c>
      <c r="D10" s="31">
        <v>12</v>
      </c>
      <c r="E10" s="31">
        <v>596</v>
      </c>
      <c r="F10" s="31">
        <v>44</v>
      </c>
      <c r="G10" s="31">
        <v>552</v>
      </c>
      <c r="H10" s="31">
        <v>1.17</v>
      </c>
      <c r="I10" s="31">
        <v>0.56000000000000005</v>
      </c>
      <c r="J10" s="31">
        <v>0.51</v>
      </c>
      <c r="K10" s="32">
        <f t="shared" si="0"/>
        <v>0.334152</v>
      </c>
      <c r="L10" s="25">
        <v>17</v>
      </c>
      <c r="M10" s="26">
        <f t="shared" si="1"/>
        <v>1.4166666666666667</v>
      </c>
      <c r="N10" s="26">
        <f t="shared" si="2"/>
        <v>844.33333333333337</v>
      </c>
      <c r="O10" s="26">
        <f t="shared" si="4"/>
        <v>0.47338200000000002</v>
      </c>
    </row>
    <row r="11" spans="1:15" s="24" customFormat="1">
      <c r="A11" s="25">
        <v>9355</v>
      </c>
      <c r="B11" s="25" t="s">
        <v>15</v>
      </c>
      <c r="C11" s="27" t="s">
        <v>21</v>
      </c>
      <c r="D11" s="33">
        <v>12</v>
      </c>
      <c r="E11" s="31">
        <v>654</v>
      </c>
      <c r="F11" s="31">
        <v>42</v>
      </c>
      <c r="G11" s="31">
        <v>612</v>
      </c>
      <c r="H11" s="31">
        <v>1.2749999999999999</v>
      </c>
      <c r="I11" s="31">
        <v>0.56000000000000005</v>
      </c>
      <c r="J11" s="31">
        <v>0.51</v>
      </c>
      <c r="K11" s="32">
        <f t="shared" si="0"/>
        <v>0.36413999999999996</v>
      </c>
      <c r="L11" s="25">
        <v>6</v>
      </c>
      <c r="M11" s="26">
        <f t="shared" si="1"/>
        <v>0.5</v>
      </c>
      <c r="N11" s="26">
        <f t="shared" si="2"/>
        <v>327</v>
      </c>
      <c r="O11" s="26">
        <f t="shared" si="4"/>
        <v>0.18206999999999998</v>
      </c>
    </row>
    <row r="12" spans="1:15" s="42" customFormat="1">
      <c r="A12" s="40">
        <v>9356</v>
      </c>
      <c r="B12" s="40" t="s">
        <v>23</v>
      </c>
      <c r="C12" s="43" t="s">
        <v>17</v>
      </c>
      <c r="D12" s="45">
        <v>4000</v>
      </c>
      <c r="E12" s="46">
        <v>424</v>
      </c>
      <c r="F12" s="40">
        <f>E12-G12</f>
        <v>52</v>
      </c>
      <c r="G12" s="46">
        <v>372</v>
      </c>
      <c r="H12" s="40">
        <v>1.1000000000000001</v>
      </c>
      <c r="I12" s="40">
        <v>0.8</v>
      </c>
      <c r="J12" s="40">
        <v>0.55000000000000004</v>
      </c>
      <c r="K12" s="44">
        <f t="shared" si="0"/>
        <v>0.4840000000000001</v>
      </c>
      <c r="L12" s="40">
        <v>884</v>
      </c>
      <c r="M12" s="41">
        <f t="shared" si="1"/>
        <v>0.221</v>
      </c>
      <c r="N12" s="41">
        <f t="shared" si="2"/>
        <v>93.704000000000008</v>
      </c>
      <c r="O12" s="41">
        <f t="shared" si="4"/>
        <v>0.10696400000000002</v>
      </c>
    </row>
    <row r="13" spans="1:15" s="24" customFormat="1">
      <c r="A13" s="25">
        <v>9356</v>
      </c>
      <c r="B13" s="25" t="s">
        <v>23</v>
      </c>
      <c r="C13" s="27" t="s">
        <v>17</v>
      </c>
      <c r="D13" s="29">
        <v>4000</v>
      </c>
      <c r="E13" s="30">
        <v>424</v>
      </c>
      <c r="F13" s="25">
        <f>E13-G13</f>
        <v>52</v>
      </c>
      <c r="G13" s="30">
        <v>372</v>
      </c>
      <c r="H13" s="25">
        <v>1.1000000000000001</v>
      </c>
      <c r="I13" s="25">
        <v>0.8</v>
      </c>
      <c r="J13" s="25">
        <v>0.55000000000000004</v>
      </c>
      <c r="K13" s="28">
        <f t="shared" si="0"/>
        <v>0.4840000000000001</v>
      </c>
      <c r="L13" s="25">
        <v>856</v>
      </c>
      <c r="M13" s="26">
        <f t="shared" si="1"/>
        <v>0.214</v>
      </c>
      <c r="N13" s="26">
        <f t="shared" si="2"/>
        <v>90.736000000000004</v>
      </c>
      <c r="O13" s="26">
        <f t="shared" si="4"/>
        <v>0.10357600000000002</v>
      </c>
    </row>
    <row r="14" spans="1:15" s="10" customFormat="1">
      <c r="A14" s="12">
        <v>9356</v>
      </c>
      <c r="B14" s="12" t="s">
        <v>23</v>
      </c>
      <c r="C14" s="13" t="s">
        <v>17</v>
      </c>
      <c r="D14" s="16">
        <v>4000</v>
      </c>
      <c r="E14" s="17">
        <v>424</v>
      </c>
      <c r="F14" s="12">
        <f>E14-G14</f>
        <v>52</v>
      </c>
      <c r="G14" s="17">
        <v>372</v>
      </c>
      <c r="H14" s="12">
        <v>1.1000000000000001</v>
      </c>
      <c r="I14" s="12">
        <v>0.8</v>
      </c>
      <c r="J14" s="12">
        <v>0.55000000000000004</v>
      </c>
      <c r="K14" s="14">
        <f t="shared" si="0"/>
        <v>0.4840000000000001</v>
      </c>
      <c r="L14" s="12">
        <v>856</v>
      </c>
      <c r="M14" s="15">
        <f t="shared" si="1"/>
        <v>0.214</v>
      </c>
      <c r="N14" s="15">
        <f t="shared" si="2"/>
        <v>90.736000000000004</v>
      </c>
      <c r="O14" s="15">
        <f t="shared" si="4"/>
        <v>0.10357600000000002</v>
      </c>
    </row>
    <row r="15" spans="1:15" s="18" customFormat="1">
      <c r="A15" s="19">
        <v>9356</v>
      </c>
      <c r="B15" s="19" t="s">
        <v>23</v>
      </c>
      <c r="C15" s="20" t="s">
        <v>17</v>
      </c>
      <c r="D15" s="22">
        <v>4000</v>
      </c>
      <c r="E15" s="23">
        <v>424</v>
      </c>
      <c r="F15" s="19">
        <f>E15-G15</f>
        <v>52</v>
      </c>
      <c r="G15" s="23">
        <v>372</v>
      </c>
      <c r="H15" s="19">
        <v>1.1000000000000001</v>
      </c>
      <c r="I15" s="19">
        <v>0.8</v>
      </c>
      <c r="J15" s="19">
        <v>0.55000000000000004</v>
      </c>
      <c r="K15" s="21">
        <f t="shared" si="0"/>
        <v>0.4840000000000001</v>
      </c>
      <c r="L15" s="19">
        <v>856</v>
      </c>
      <c r="M15" s="9">
        <f t="shared" si="1"/>
        <v>0.214</v>
      </c>
      <c r="N15" s="9">
        <f t="shared" si="2"/>
        <v>90.736000000000004</v>
      </c>
      <c r="O15" s="9">
        <f t="shared" si="4"/>
        <v>0.10357600000000002</v>
      </c>
    </row>
    <row r="16" spans="1:15">
      <c r="A16" s="5">
        <v>9356</v>
      </c>
      <c r="B16" s="5" t="s">
        <v>23</v>
      </c>
      <c r="C16" s="8" t="s">
        <v>17</v>
      </c>
      <c r="D16" s="3">
        <v>4000</v>
      </c>
      <c r="E16" s="6">
        <v>424</v>
      </c>
      <c r="F16" s="5">
        <f>E16-G16</f>
        <v>52</v>
      </c>
      <c r="G16" s="6">
        <v>372</v>
      </c>
      <c r="H16" s="5">
        <v>1.1000000000000001</v>
      </c>
      <c r="I16" s="5">
        <v>0.8</v>
      </c>
      <c r="J16" s="5">
        <v>0.55000000000000004</v>
      </c>
      <c r="K16" s="7">
        <f t="shared" si="0"/>
        <v>0.4840000000000001</v>
      </c>
      <c r="L16" s="5">
        <v>684</v>
      </c>
      <c r="M16" s="4">
        <f t="shared" si="1"/>
        <v>0.17100000000000001</v>
      </c>
      <c r="N16" s="4">
        <f t="shared" si="2"/>
        <v>72.504000000000005</v>
      </c>
      <c r="O16" s="4">
        <f t="shared" si="4"/>
        <v>8.2764000000000018E-2</v>
      </c>
    </row>
    <row r="17" spans="1:15" s="54" customFormat="1" ht="30" customHeight="1">
      <c r="A17" s="51">
        <v>9358</v>
      </c>
      <c r="B17" s="51" t="s">
        <v>14</v>
      </c>
      <c r="C17" s="51" t="s">
        <v>26</v>
      </c>
      <c r="D17" s="52">
        <v>396</v>
      </c>
      <c r="E17" s="80">
        <f>G17+G18+G19+45</f>
        <v>222.012</v>
      </c>
      <c r="F17" s="53"/>
      <c r="G17" s="53">
        <v>146.52000000000001</v>
      </c>
      <c r="H17" s="81">
        <v>0.68</v>
      </c>
      <c r="I17" s="81">
        <v>0.68</v>
      </c>
      <c r="J17" s="81">
        <v>0.54</v>
      </c>
      <c r="K17" s="81">
        <v>0.25</v>
      </c>
      <c r="L17" s="52">
        <v>396</v>
      </c>
      <c r="M17" s="80">
        <v>1</v>
      </c>
      <c r="N17" s="80">
        <f>E17*M17</f>
        <v>222.012</v>
      </c>
      <c r="O17" s="81">
        <f>K17*M17</f>
        <v>0.25</v>
      </c>
    </row>
    <row r="18" spans="1:15" s="54" customFormat="1" ht="30" customHeight="1">
      <c r="A18" s="51">
        <v>9358</v>
      </c>
      <c r="B18" s="51" t="s">
        <v>14</v>
      </c>
      <c r="C18" s="51" t="s">
        <v>27</v>
      </c>
      <c r="D18" s="52">
        <v>396</v>
      </c>
      <c r="E18" s="80"/>
      <c r="F18" s="53"/>
      <c r="G18" s="53">
        <v>12.672000000000001</v>
      </c>
      <c r="H18" s="81"/>
      <c r="I18" s="81"/>
      <c r="J18" s="81"/>
      <c r="K18" s="81"/>
      <c r="L18" s="52">
        <v>396</v>
      </c>
      <c r="M18" s="80"/>
      <c r="N18" s="80"/>
      <c r="O18" s="81"/>
    </row>
    <row r="19" spans="1:15" s="54" customFormat="1" ht="30" customHeight="1">
      <c r="A19" s="51">
        <v>9358</v>
      </c>
      <c r="B19" s="51" t="s">
        <v>14</v>
      </c>
      <c r="C19" s="51" t="s">
        <v>28</v>
      </c>
      <c r="D19" s="52">
        <v>396</v>
      </c>
      <c r="E19" s="80"/>
      <c r="F19" s="53"/>
      <c r="G19" s="53">
        <v>17.82</v>
      </c>
      <c r="H19" s="81"/>
      <c r="I19" s="81"/>
      <c r="J19" s="81"/>
      <c r="K19" s="81"/>
      <c r="L19" s="52">
        <v>396</v>
      </c>
      <c r="M19" s="80"/>
      <c r="N19" s="80"/>
      <c r="O19" s="81"/>
    </row>
    <row r="20" spans="1:15" s="54" customFormat="1" ht="30" customHeight="1">
      <c r="A20" s="51">
        <v>9358</v>
      </c>
      <c r="B20" s="51" t="s">
        <v>14</v>
      </c>
      <c r="C20" s="51" t="s">
        <v>29</v>
      </c>
      <c r="D20" s="52">
        <v>884</v>
      </c>
      <c r="E20" s="52">
        <f>G20+50</f>
        <v>571.55999999999995</v>
      </c>
      <c r="F20" s="53"/>
      <c r="G20" s="53">
        <v>521.55999999999995</v>
      </c>
      <c r="H20" s="50">
        <v>1.02</v>
      </c>
      <c r="I20" s="50">
        <v>0.86</v>
      </c>
      <c r="J20" s="50">
        <v>0.76</v>
      </c>
      <c r="K20" s="50">
        <f>H20*I20*J20</f>
        <v>0.66667200000000004</v>
      </c>
      <c r="L20" s="52">
        <v>884</v>
      </c>
      <c r="M20" s="52">
        <v>1</v>
      </c>
      <c r="N20" s="52">
        <f>M20*E20</f>
        <v>571.55999999999995</v>
      </c>
      <c r="O20" s="50">
        <f>K20*M20</f>
        <v>0.66667200000000004</v>
      </c>
    </row>
    <row r="21" spans="1:15" s="54" customFormat="1" ht="30" customHeight="1">
      <c r="A21" s="51">
        <v>9358</v>
      </c>
      <c r="B21" s="51" t="s">
        <v>14</v>
      </c>
      <c r="C21" s="51" t="s">
        <v>30</v>
      </c>
      <c r="D21" s="52">
        <v>122</v>
      </c>
      <c r="E21" s="82">
        <v>209</v>
      </c>
      <c r="F21" s="55"/>
      <c r="G21" s="83">
        <v>179</v>
      </c>
      <c r="H21" s="86">
        <v>1.33</v>
      </c>
      <c r="I21" s="86">
        <v>0.56999999999999995</v>
      </c>
      <c r="J21" s="86">
        <v>0.6</v>
      </c>
      <c r="K21" s="86">
        <v>0.5</v>
      </c>
      <c r="L21" s="52">
        <v>122</v>
      </c>
      <c r="M21" s="82">
        <v>1</v>
      </c>
      <c r="N21" s="82">
        <v>209</v>
      </c>
      <c r="O21" s="86">
        <f>K21*M21</f>
        <v>0.5</v>
      </c>
    </row>
    <row r="22" spans="1:15" s="54" customFormat="1" ht="30" customHeight="1">
      <c r="A22" s="51">
        <v>9358</v>
      </c>
      <c r="B22" s="51" t="s">
        <v>14</v>
      </c>
      <c r="C22" s="51" t="s">
        <v>31</v>
      </c>
      <c r="D22" s="52">
        <v>122</v>
      </c>
      <c r="E22" s="76"/>
      <c r="F22" s="56"/>
      <c r="G22" s="84"/>
      <c r="H22" s="78"/>
      <c r="I22" s="78"/>
      <c r="J22" s="78"/>
      <c r="K22" s="78"/>
      <c r="L22" s="52">
        <v>122</v>
      </c>
      <c r="M22" s="76"/>
      <c r="N22" s="76"/>
      <c r="O22" s="78"/>
    </row>
    <row r="23" spans="1:15" s="54" customFormat="1" ht="30" customHeight="1">
      <c r="A23" s="51">
        <v>9358</v>
      </c>
      <c r="B23" s="51" t="s">
        <v>14</v>
      </c>
      <c r="C23" s="51" t="s">
        <v>32</v>
      </c>
      <c r="D23" s="52">
        <v>56</v>
      </c>
      <c r="E23" s="76"/>
      <c r="F23" s="56"/>
      <c r="G23" s="84"/>
      <c r="H23" s="78"/>
      <c r="I23" s="78"/>
      <c r="J23" s="78"/>
      <c r="K23" s="78"/>
      <c r="L23" s="52">
        <v>56</v>
      </c>
      <c r="M23" s="76"/>
      <c r="N23" s="76"/>
      <c r="O23" s="78"/>
    </row>
    <row r="24" spans="1:15" s="54" customFormat="1" ht="30" customHeight="1">
      <c r="A24" s="51">
        <v>9358</v>
      </c>
      <c r="B24" s="51" t="s">
        <v>14</v>
      </c>
      <c r="C24" s="51" t="s">
        <v>33</v>
      </c>
      <c r="D24" s="52">
        <v>56</v>
      </c>
      <c r="E24" s="76"/>
      <c r="F24" s="56"/>
      <c r="G24" s="84"/>
      <c r="H24" s="78"/>
      <c r="I24" s="78"/>
      <c r="J24" s="78"/>
      <c r="K24" s="78"/>
      <c r="L24" s="52">
        <v>56</v>
      </c>
      <c r="M24" s="76"/>
      <c r="N24" s="76"/>
      <c r="O24" s="78"/>
    </row>
    <row r="25" spans="1:15" s="54" customFormat="1" ht="30" customHeight="1">
      <c r="A25" s="51">
        <v>9358</v>
      </c>
      <c r="B25" s="51" t="s">
        <v>14</v>
      </c>
      <c r="C25" s="51" t="s">
        <v>34</v>
      </c>
      <c r="D25" s="52">
        <v>18</v>
      </c>
      <c r="E25" s="76"/>
      <c r="F25" s="56"/>
      <c r="G25" s="84"/>
      <c r="H25" s="78"/>
      <c r="I25" s="78"/>
      <c r="J25" s="78"/>
      <c r="K25" s="78"/>
      <c r="L25" s="52">
        <v>18</v>
      </c>
      <c r="M25" s="76"/>
      <c r="N25" s="76"/>
      <c r="O25" s="78"/>
    </row>
    <row r="26" spans="1:15" s="54" customFormat="1" ht="30" customHeight="1">
      <c r="A26" s="51">
        <v>9358</v>
      </c>
      <c r="B26" s="51" t="s">
        <v>14</v>
      </c>
      <c r="C26" s="51" t="s">
        <v>35</v>
      </c>
      <c r="D26" s="52">
        <v>18</v>
      </c>
      <c r="E26" s="76"/>
      <c r="F26" s="56"/>
      <c r="G26" s="84"/>
      <c r="H26" s="78"/>
      <c r="I26" s="78"/>
      <c r="J26" s="78"/>
      <c r="K26" s="78"/>
      <c r="L26" s="52">
        <v>18</v>
      </c>
      <c r="M26" s="76"/>
      <c r="N26" s="76"/>
      <c r="O26" s="78"/>
    </row>
    <row r="27" spans="1:15" s="54" customFormat="1" ht="30" customHeight="1">
      <c r="A27" s="51">
        <v>9358</v>
      </c>
      <c r="B27" s="51" t="s">
        <v>14</v>
      </c>
      <c r="C27" s="51" t="s">
        <v>36</v>
      </c>
      <c r="D27" s="52">
        <v>18</v>
      </c>
      <c r="E27" s="76"/>
      <c r="F27" s="56"/>
      <c r="G27" s="84"/>
      <c r="H27" s="78"/>
      <c r="I27" s="78"/>
      <c r="J27" s="78"/>
      <c r="K27" s="78"/>
      <c r="L27" s="52">
        <v>18</v>
      </c>
      <c r="M27" s="76"/>
      <c r="N27" s="76"/>
      <c r="O27" s="78"/>
    </row>
    <row r="28" spans="1:15" s="54" customFormat="1" ht="30" customHeight="1">
      <c r="A28" s="51">
        <v>9358</v>
      </c>
      <c r="B28" s="51" t="s">
        <v>14</v>
      </c>
      <c r="C28" s="51" t="s">
        <v>37</v>
      </c>
      <c r="D28" s="52">
        <v>18</v>
      </c>
      <c r="E28" s="76"/>
      <c r="F28" s="56"/>
      <c r="G28" s="84"/>
      <c r="H28" s="78"/>
      <c r="I28" s="78"/>
      <c r="J28" s="78"/>
      <c r="K28" s="78"/>
      <c r="L28" s="52">
        <v>18</v>
      </c>
      <c r="M28" s="76"/>
      <c r="N28" s="76"/>
      <c r="O28" s="78"/>
    </row>
    <row r="29" spans="1:15" s="54" customFormat="1" ht="30" customHeight="1">
      <c r="A29" s="51">
        <v>9358</v>
      </c>
      <c r="B29" s="51" t="s">
        <v>14</v>
      </c>
      <c r="C29" s="51" t="s">
        <v>38</v>
      </c>
      <c r="D29" s="52">
        <v>7</v>
      </c>
      <c r="E29" s="76"/>
      <c r="F29" s="56"/>
      <c r="G29" s="84"/>
      <c r="H29" s="78"/>
      <c r="I29" s="78"/>
      <c r="J29" s="78"/>
      <c r="K29" s="78"/>
      <c r="L29" s="52">
        <v>7</v>
      </c>
      <c r="M29" s="76"/>
      <c r="N29" s="76"/>
      <c r="O29" s="78"/>
    </row>
    <row r="30" spans="1:15" s="54" customFormat="1" ht="30" customHeight="1">
      <c r="A30" s="51">
        <v>9358</v>
      </c>
      <c r="B30" s="51" t="s">
        <v>14</v>
      </c>
      <c r="C30" s="51" t="s">
        <v>39</v>
      </c>
      <c r="D30" s="52">
        <v>7</v>
      </c>
      <c r="E30" s="77"/>
      <c r="F30" s="57"/>
      <c r="G30" s="85"/>
      <c r="H30" s="79"/>
      <c r="I30" s="79"/>
      <c r="J30" s="79"/>
      <c r="K30" s="79"/>
      <c r="L30" s="52">
        <v>7</v>
      </c>
      <c r="M30" s="77"/>
      <c r="N30" s="77"/>
      <c r="O30" s="79"/>
    </row>
    <row r="31" spans="1:15" s="54" customFormat="1" ht="30" customHeight="1">
      <c r="A31" s="51">
        <v>9358</v>
      </c>
      <c r="B31" s="51" t="s">
        <v>14</v>
      </c>
      <c r="C31" s="51" t="s">
        <v>40</v>
      </c>
      <c r="D31" s="52">
        <v>884</v>
      </c>
      <c r="E31" s="76">
        <f>SUM(G31:G34)+50</f>
        <v>308.93599999999998</v>
      </c>
      <c r="F31" s="56"/>
      <c r="G31" s="57">
        <v>56.576000000000001</v>
      </c>
      <c r="H31" s="78">
        <v>1.05</v>
      </c>
      <c r="I31" s="78">
        <v>1.05</v>
      </c>
      <c r="J31" s="78">
        <v>0.55000000000000004</v>
      </c>
      <c r="K31" s="78">
        <f>H31*I31*J31</f>
        <v>0.60637500000000011</v>
      </c>
      <c r="L31" s="52">
        <v>884</v>
      </c>
      <c r="M31" s="76">
        <v>1</v>
      </c>
      <c r="N31" s="76">
        <f>E31</f>
        <v>308.93599999999998</v>
      </c>
      <c r="O31" s="78">
        <f>K31</f>
        <v>0.60637500000000011</v>
      </c>
    </row>
    <row r="32" spans="1:15" s="54" customFormat="1" ht="30" customHeight="1">
      <c r="A32" s="51">
        <v>9358</v>
      </c>
      <c r="B32" s="51" t="s">
        <v>14</v>
      </c>
      <c r="C32" s="51" t="s">
        <v>41</v>
      </c>
      <c r="D32" s="52">
        <v>244</v>
      </c>
      <c r="E32" s="76"/>
      <c r="F32" s="56"/>
      <c r="G32" s="57">
        <v>187.88</v>
      </c>
      <c r="H32" s="78"/>
      <c r="I32" s="78"/>
      <c r="J32" s="78"/>
      <c r="K32" s="78"/>
      <c r="L32" s="52">
        <v>244</v>
      </c>
      <c r="M32" s="76"/>
      <c r="N32" s="76"/>
      <c r="O32" s="78"/>
    </row>
    <row r="33" spans="1:15" s="54" customFormat="1" ht="30" customHeight="1">
      <c r="A33" s="51">
        <v>9358</v>
      </c>
      <c r="B33" s="51" t="s">
        <v>14</v>
      </c>
      <c r="C33" s="51" t="s">
        <v>42</v>
      </c>
      <c r="D33" s="52">
        <v>244</v>
      </c>
      <c r="E33" s="76"/>
      <c r="F33" s="56"/>
      <c r="G33" s="57">
        <v>8.5400000000000009</v>
      </c>
      <c r="H33" s="78"/>
      <c r="I33" s="78"/>
      <c r="J33" s="78"/>
      <c r="K33" s="78"/>
      <c r="L33" s="52">
        <v>244</v>
      </c>
      <c r="M33" s="76"/>
      <c r="N33" s="76"/>
      <c r="O33" s="78"/>
    </row>
    <row r="34" spans="1:15" s="54" customFormat="1" ht="30" customHeight="1">
      <c r="A34" s="51">
        <v>9358</v>
      </c>
      <c r="B34" s="51" t="s">
        <v>14</v>
      </c>
      <c r="C34" s="51" t="s">
        <v>43</v>
      </c>
      <c r="D34" s="52">
        <v>396</v>
      </c>
      <c r="E34" s="77"/>
      <c r="F34" s="57"/>
      <c r="G34" s="57">
        <v>5.9399999999999995</v>
      </c>
      <c r="H34" s="79"/>
      <c r="I34" s="79"/>
      <c r="J34" s="79"/>
      <c r="K34" s="79"/>
      <c r="L34" s="52">
        <v>396</v>
      </c>
      <c r="M34" s="77"/>
      <c r="N34" s="77"/>
      <c r="O34" s="79"/>
    </row>
    <row r="35" spans="1:15" s="61" customFormat="1" ht="30" customHeight="1">
      <c r="A35" s="58">
        <v>9358</v>
      </c>
      <c r="B35" s="58" t="s">
        <v>14</v>
      </c>
      <c r="C35" s="58" t="s">
        <v>26</v>
      </c>
      <c r="D35" s="59">
        <v>376</v>
      </c>
      <c r="E35" s="69">
        <f>G35+G36+G37+45</f>
        <v>213.072</v>
      </c>
      <c r="F35" s="60"/>
      <c r="G35" s="60">
        <v>139.12</v>
      </c>
      <c r="H35" s="70">
        <v>0.68</v>
      </c>
      <c r="I35" s="70">
        <v>0.68</v>
      </c>
      <c r="J35" s="70">
        <v>0.54</v>
      </c>
      <c r="K35" s="70">
        <v>0.25</v>
      </c>
      <c r="L35" s="59">
        <v>376</v>
      </c>
      <c r="M35" s="69">
        <v>1</v>
      </c>
      <c r="N35" s="69">
        <f>E35*M35</f>
        <v>213.072</v>
      </c>
      <c r="O35" s="70">
        <v>0.25</v>
      </c>
    </row>
    <row r="36" spans="1:15" s="61" customFormat="1" ht="30" customHeight="1">
      <c r="A36" s="58">
        <v>9358</v>
      </c>
      <c r="B36" s="58" t="s">
        <v>14</v>
      </c>
      <c r="C36" s="58" t="s">
        <v>27</v>
      </c>
      <c r="D36" s="59">
        <v>376</v>
      </c>
      <c r="E36" s="69"/>
      <c r="F36" s="60"/>
      <c r="G36" s="60">
        <v>12.032</v>
      </c>
      <c r="H36" s="70"/>
      <c r="I36" s="70"/>
      <c r="J36" s="70"/>
      <c r="K36" s="70"/>
      <c r="L36" s="59">
        <v>376</v>
      </c>
      <c r="M36" s="69"/>
      <c r="N36" s="69"/>
      <c r="O36" s="70"/>
    </row>
    <row r="37" spans="1:15" s="61" customFormat="1" ht="30" customHeight="1">
      <c r="A37" s="58">
        <v>9358</v>
      </c>
      <c r="B37" s="58" t="s">
        <v>14</v>
      </c>
      <c r="C37" s="58" t="s">
        <v>28</v>
      </c>
      <c r="D37" s="59">
        <v>376</v>
      </c>
      <c r="E37" s="69"/>
      <c r="F37" s="60"/>
      <c r="G37" s="60">
        <v>16.919999999999998</v>
      </c>
      <c r="H37" s="70"/>
      <c r="I37" s="70"/>
      <c r="J37" s="70"/>
      <c r="K37" s="70"/>
      <c r="L37" s="59">
        <v>376</v>
      </c>
      <c r="M37" s="69"/>
      <c r="N37" s="69"/>
      <c r="O37" s="70"/>
    </row>
    <row r="38" spans="1:15" s="61" customFormat="1" ht="30" customHeight="1">
      <c r="A38" s="58">
        <v>9358</v>
      </c>
      <c r="B38" s="58" t="s">
        <v>14</v>
      </c>
      <c r="C38" s="58" t="s">
        <v>29</v>
      </c>
      <c r="D38" s="59">
        <v>856</v>
      </c>
      <c r="E38" s="59">
        <v>551</v>
      </c>
      <c r="F38" s="60"/>
      <c r="G38" s="60">
        <v>501</v>
      </c>
      <c r="H38" s="34">
        <v>1.02</v>
      </c>
      <c r="I38" s="34">
        <v>0.86</v>
      </c>
      <c r="J38" s="34">
        <v>0.76</v>
      </c>
      <c r="K38" s="34">
        <f>H38*I38*J38</f>
        <v>0.66667200000000004</v>
      </c>
      <c r="L38" s="59">
        <v>856</v>
      </c>
      <c r="M38" s="59">
        <v>1</v>
      </c>
      <c r="N38" s="59">
        <f>M38*E38</f>
        <v>551</v>
      </c>
      <c r="O38" s="34">
        <f>K38*M38</f>
        <v>0.66667200000000004</v>
      </c>
    </row>
    <row r="39" spans="1:15" s="61" customFormat="1" ht="30" customHeight="1">
      <c r="A39" s="58">
        <v>9358</v>
      </c>
      <c r="B39" s="58" t="s">
        <v>14</v>
      </c>
      <c r="C39" s="58" t="s">
        <v>30</v>
      </c>
      <c r="D39" s="59">
        <v>120</v>
      </c>
      <c r="E39" s="71">
        <v>202</v>
      </c>
      <c r="F39" s="62"/>
      <c r="G39" s="72">
        <v>172</v>
      </c>
      <c r="H39" s="75">
        <v>1.33</v>
      </c>
      <c r="I39" s="75">
        <v>0.56999999999999995</v>
      </c>
      <c r="J39" s="75">
        <v>0.6</v>
      </c>
      <c r="K39" s="75">
        <v>0.5</v>
      </c>
      <c r="L39" s="59">
        <v>120</v>
      </c>
      <c r="M39" s="71">
        <v>1</v>
      </c>
      <c r="N39" s="71">
        <v>202</v>
      </c>
      <c r="O39" s="75">
        <f>K39*M39</f>
        <v>0.5</v>
      </c>
    </row>
    <row r="40" spans="1:15" s="61" customFormat="1" ht="30" customHeight="1">
      <c r="A40" s="58">
        <v>9358</v>
      </c>
      <c r="B40" s="58" t="s">
        <v>14</v>
      </c>
      <c r="C40" s="58" t="s">
        <v>31</v>
      </c>
      <c r="D40" s="59">
        <v>120</v>
      </c>
      <c r="E40" s="65"/>
      <c r="F40" s="63"/>
      <c r="G40" s="73"/>
      <c r="H40" s="67"/>
      <c r="I40" s="67"/>
      <c r="J40" s="67"/>
      <c r="K40" s="67"/>
      <c r="L40" s="59">
        <v>120</v>
      </c>
      <c r="M40" s="65"/>
      <c r="N40" s="65"/>
      <c r="O40" s="67"/>
    </row>
    <row r="41" spans="1:15" s="61" customFormat="1" ht="30" customHeight="1">
      <c r="A41" s="58">
        <v>9358</v>
      </c>
      <c r="B41" s="58" t="s">
        <v>14</v>
      </c>
      <c r="C41" s="58" t="s">
        <v>32</v>
      </c>
      <c r="D41" s="59">
        <v>54</v>
      </c>
      <c r="E41" s="65"/>
      <c r="F41" s="63"/>
      <c r="G41" s="73"/>
      <c r="H41" s="67"/>
      <c r="I41" s="67"/>
      <c r="J41" s="67"/>
      <c r="K41" s="67"/>
      <c r="L41" s="59">
        <v>54</v>
      </c>
      <c r="M41" s="65"/>
      <c r="N41" s="65"/>
      <c r="O41" s="67"/>
    </row>
    <row r="42" spans="1:15" s="61" customFormat="1" ht="30" customHeight="1">
      <c r="A42" s="58">
        <v>9358</v>
      </c>
      <c r="B42" s="58" t="s">
        <v>14</v>
      </c>
      <c r="C42" s="58" t="s">
        <v>33</v>
      </c>
      <c r="D42" s="59">
        <v>54</v>
      </c>
      <c r="E42" s="65"/>
      <c r="F42" s="63"/>
      <c r="G42" s="73"/>
      <c r="H42" s="67"/>
      <c r="I42" s="67"/>
      <c r="J42" s="67"/>
      <c r="K42" s="67"/>
      <c r="L42" s="59">
        <v>54</v>
      </c>
      <c r="M42" s="65"/>
      <c r="N42" s="65"/>
      <c r="O42" s="67"/>
    </row>
    <row r="43" spans="1:15" s="61" customFormat="1" ht="30" customHeight="1">
      <c r="A43" s="58">
        <v>9358</v>
      </c>
      <c r="B43" s="58" t="s">
        <v>14</v>
      </c>
      <c r="C43" s="58" t="s">
        <v>34</v>
      </c>
      <c r="D43" s="59">
        <v>17</v>
      </c>
      <c r="E43" s="65"/>
      <c r="F43" s="63"/>
      <c r="G43" s="73"/>
      <c r="H43" s="67"/>
      <c r="I43" s="67"/>
      <c r="J43" s="67"/>
      <c r="K43" s="67"/>
      <c r="L43" s="59">
        <v>17</v>
      </c>
      <c r="M43" s="65"/>
      <c r="N43" s="65"/>
      <c r="O43" s="67"/>
    </row>
    <row r="44" spans="1:15" s="61" customFormat="1" ht="30" customHeight="1">
      <c r="A44" s="58">
        <v>9358</v>
      </c>
      <c r="B44" s="58" t="s">
        <v>14</v>
      </c>
      <c r="C44" s="58" t="s">
        <v>35</v>
      </c>
      <c r="D44" s="59">
        <v>17</v>
      </c>
      <c r="E44" s="65"/>
      <c r="F44" s="63"/>
      <c r="G44" s="73"/>
      <c r="H44" s="67"/>
      <c r="I44" s="67"/>
      <c r="J44" s="67"/>
      <c r="K44" s="67"/>
      <c r="L44" s="59">
        <v>17</v>
      </c>
      <c r="M44" s="65"/>
      <c r="N44" s="65"/>
      <c r="O44" s="67"/>
    </row>
    <row r="45" spans="1:15" s="61" customFormat="1" ht="30" customHeight="1">
      <c r="A45" s="58">
        <v>9358</v>
      </c>
      <c r="B45" s="58" t="s">
        <v>14</v>
      </c>
      <c r="C45" s="58" t="s">
        <v>36</v>
      </c>
      <c r="D45" s="59">
        <v>17</v>
      </c>
      <c r="E45" s="65"/>
      <c r="F45" s="63"/>
      <c r="G45" s="73"/>
      <c r="H45" s="67"/>
      <c r="I45" s="67"/>
      <c r="J45" s="67"/>
      <c r="K45" s="67"/>
      <c r="L45" s="59">
        <v>17</v>
      </c>
      <c r="M45" s="65"/>
      <c r="N45" s="65"/>
      <c r="O45" s="67"/>
    </row>
    <row r="46" spans="1:15" s="61" customFormat="1" ht="30" customHeight="1">
      <c r="A46" s="58">
        <v>9358</v>
      </c>
      <c r="B46" s="58" t="s">
        <v>14</v>
      </c>
      <c r="C46" s="58" t="s">
        <v>37</v>
      </c>
      <c r="D46" s="59">
        <v>17</v>
      </c>
      <c r="E46" s="65"/>
      <c r="F46" s="63"/>
      <c r="G46" s="73"/>
      <c r="H46" s="67"/>
      <c r="I46" s="67"/>
      <c r="J46" s="67"/>
      <c r="K46" s="67"/>
      <c r="L46" s="59">
        <v>17</v>
      </c>
      <c r="M46" s="65"/>
      <c r="N46" s="65"/>
      <c r="O46" s="67"/>
    </row>
    <row r="47" spans="1:15" s="61" customFormat="1" ht="30" customHeight="1">
      <c r="A47" s="58">
        <v>9358</v>
      </c>
      <c r="B47" s="58" t="s">
        <v>14</v>
      </c>
      <c r="C47" s="58" t="s">
        <v>38</v>
      </c>
      <c r="D47" s="59">
        <v>6</v>
      </c>
      <c r="E47" s="65"/>
      <c r="F47" s="63"/>
      <c r="G47" s="73"/>
      <c r="H47" s="67"/>
      <c r="I47" s="67"/>
      <c r="J47" s="67"/>
      <c r="K47" s="67"/>
      <c r="L47" s="59">
        <v>6</v>
      </c>
      <c r="M47" s="65"/>
      <c r="N47" s="65"/>
      <c r="O47" s="67"/>
    </row>
    <row r="48" spans="1:15" s="61" customFormat="1" ht="30" customHeight="1">
      <c r="A48" s="58">
        <v>9358</v>
      </c>
      <c r="B48" s="58" t="s">
        <v>14</v>
      </c>
      <c r="C48" s="58" t="s">
        <v>39</v>
      </c>
      <c r="D48" s="59">
        <v>6</v>
      </c>
      <c r="E48" s="66"/>
      <c r="F48" s="64"/>
      <c r="G48" s="74"/>
      <c r="H48" s="68"/>
      <c r="I48" s="68"/>
      <c r="J48" s="68"/>
      <c r="K48" s="68"/>
      <c r="L48" s="59">
        <v>6</v>
      </c>
      <c r="M48" s="66"/>
      <c r="N48" s="66"/>
      <c r="O48" s="68"/>
    </row>
    <row r="49" spans="1:16" s="61" customFormat="1" ht="30" customHeight="1">
      <c r="A49" s="58">
        <v>9358</v>
      </c>
      <c r="B49" s="58" t="s">
        <v>14</v>
      </c>
      <c r="C49" s="58" t="s">
        <v>40</v>
      </c>
      <c r="D49" s="59">
        <v>856</v>
      </c>
      <c r="E49" s="65">
        <f>SUM(G49:G52)+50</f>
        <v>303.62400000000002</v>
      </c>
      <c r="F49" s="63"/>
      <c r="G49" s="64">
        <v>54.783999999999999</v>
      </c>
      <c r="H49" s="67">
        <v>1.05</v>
      </c>
      <c r="I49" s="67">
        <v>1.05</v>
      </c>
      <c r="J49" s="67">
        <v>0.55000000000000004</v>
      </c>
      <c r="K49" s="67">
        <f>H49*I49*J49</f>
        <v>0.60637500000000011</v>
      </c>
      <c r="L49" s="59">
        <v>856</v>
      </c>
      <c r="M49" s="65">
        <v>1</v>
      </c>
      <c r="N49" s="65">
        <f>E49</f>
        <v>303.62400000000002</v>
      </c>
      <c r="O49" s="67">
        <f>K49</f>
        <v>0.60637500000000011</v>
      </c>
    </row>
    <row r="50" spans="1:16" s="61" customFormat="1" ht="30" customHeight="1">
      <c r="A50" s="58">
        <v>9358</v>
      </c>
      <c r="B50" s="58" t="s">
        <v>14</v>
      </c>
      <c r="C50" s="58" t="s">
        <v>41</v>
      </c>
      <c r="D50" s="59">
        <v>240</v>
      </c>
      <c r="E50" s="65"/>
      <c r="F50" s="63"/>
      <c r="G50" s="64">
        <v>184.8</v>
      </c>
      <c r="H50" s="67"/>
      <c r="I50" s="67"/>
      <c r="J50" s="67"/>
      <c r="K50" s="67"/>
      <c r="L50" s="59">
        <v>240</v>
      </c>
      <c r="M50" s="65"/>
      <c r="N50" s="65"/>
      <c r="O50" s="67"/>
    </row>
    <row r="51" spans="1:16" s="61" customFormat="1" ht="30" customHeight="1">
      <c r="A51" s="58">
        <v>9358</v>
      </c>
      <c r="B51" s="58" t="s">
        <v>14</v>
      </c>
      <c r="C51" s="58" t="s">
        <v>42</v>
      </c>
      <c r="D51" s="59">
        <v>240</v>
      </c>
      <c r="E51" s="65"/>
      <c r="F51" s="63"/>
      <c r="G51" s="64">
        <v>8.4</v>
      </c>
      <c r="H51" s="67"/>
      <c r="I51" s="67"/>
      <c r="J51" s="67"/>
      <c r="K51" s="67"/>
      <c r="L51" s="59">
        <v>240</v>
      </c>
      <c r="M51" s="65"/>
      <c r="N51" s="65"/>
      <c r="O51" s="67"/>
    </row>
    <row r="52" spans="1:16" s="61" customFormat="1" ht="30" customHeight="1">
      <c r="A52" s="58">
        <v>9358</v>
      </c>
      <c r="B52" s="58" t="s">
        <v>14</v>
      </c>
      <c r="C52" s="58" t="s">
        <v>43</v>
      </c>
      <c r="D52" s="59">
        <v>376</v>
      </c>
      <c r="E52" s="66"/>
      <c r="F52" s="64"/>
      <c r="G52" s="64">
        <v>5.64</v>
      </c>
      <c r="H52" s="68"/>
      <c r="I52" s="68"/>
      <c r="J52" s="68"/>
      <c r="K52" s="68"/>
      <c r="L52" s="59">
        <v>376</v>
      </c>
      <c r="M52" s="66"/>
      <c r="N52" s="66"/>
      <c r="O52" s="68"/>
    </row>
    <row r="53" spans="1:16">
      <c r="A53" s="39">
        <v>9258</v>
      </c>
      <c r="B53" s="39" t="s">
        <v>14</v>
      </c>
      <c r="C53" s="39" t="s">
        <v>44</v>
      </c>
      <c r="D53" s="6">
        <v>3000</v>
      </c>
      <c r="E53" s="6">
        <v>215</v>
      </c>
      <c r="F53" s="5">
        <v>35</v>
      </c>
      <c r="G53" s="6">
        <v>180</v>
      </c>
      <c r="H53" s="6">
        <v>1.1000000000000001</v>
      </c>
      <c r="I53" s="6">
        <v>1.02</v>
      </c>
      <c r="J53" s="6">
        <v>1.2342000000000002</v>
      </c>
      <c r="K53" s="4">
        <f>H53*I53*J53</f>
        <v>1.3847724000000003</v>
      </c>
      <c r="L53" s="38">
        <v>9000</v>
      </c>
      <c r="M53" s="35">
        <f>L53/D53</f>
        <v>3</v>
      </c>
      <c r="N53" s="35">
        <f>M53*E53</f>
        <v>645</v>
      </c>
      <c r="O53" s="36">
        <f>M53*K53</f>
        <v>4.1543172000000013</v>
      </c>
      <c r="P53" t="s">
        <v>25</v>
      </c>
    </row>
    <row r="54" spans="1:16">
      <c r="A54" s="39">
        <v>9258</v>
      </c>
      <c r="B54" s="39" t="s">
        <v>14</v>
      </c>
      <c r="C54" s="39" t="s">
        <v>24</v>
      </c>
      <c r="D54" s="6">
        <v>3000</v>
      </c>
      <c r="E54" s="6">
        <v>215</v>
      </c>
      <c r="F54" s="5">
        <v>35</v>
      </c>
      <c r="G54" s="6">
        <v>180</v>
      </c>
      <c r="H54" s="6">
        <v>1.1000000000000001</v>
      </c>
      <c r="I54" s="6">
        <v>1.02</v>
      </c>
      <c r="J54" s="6">
        <v>1.2342000000000002</v>
      </c>
      <c r="K54" s="4">
        <f t="shared" ref="K54" si="5">H54*I54*J54</f>
        <v>1.3847724000000003</v>
      </c>
      <c r="L54" s="38">
        <v>12000</v>
      </c>
      <c r="M54" s="35">
        <f>L54/D54</f>
        <v>4</v>
      </c>
      <c r="N54" s="35">
        <f>M54*E54</f>
        <v>860</v>
      </c>
      <c r="O54" s="36">
        <f>M54*K54</f>
        <v>5.5390896000000014</v>
      </c>
      <c r="P54" t="s">
        <v>25</v>
      </c>
    </row>
    <row r="55" spans="1:16">
      <c r="A55" s="35" t="s">
        <v>45</v>
      </c>
      <c r="B55" s="35" t="s">
        <v>14</v>
      </c>
      <c r="C55" s="35" t="s">
        <v>46</v>
      </c>
      <c r="D55" s="35">
        <v>1</v>
      </c>
      <c r="E55" s="35">
        <v>60</v>
      </c>
      <c r="F55" s="35">
        <v>0</v>
      </c>
      <c r="G55" s="35">
        <v>80</v>
      </c>
      <c r="H55" s="35">
        <v>0.78</v>
      </c>
      <c r="I55" s="35">
        <v>0.78</v>
      </c>
      <c r="J55" s="35">
        <v>0.45</v>
      </c>
      <c r="K55" s="36">
        <f>H55*I55*J55</f>
        <v>0.27378000000000002</v>
      </c>
      <c r="L55" s="38">
        <v>80</v>
      </c>
      <c r="M55" s="35">
        <f>L55/D55</f>
        <v>80</v>
      </c>
      <c r="N55" s="35">
        <f>M55*E55</f>
        <v>4800</v>
      </c>
      <c r="O55" s="36">
        <f>M55*K55</f>
        <v>21.9024</v>
      </c>
    </row>
    <row r="56" spans="1:16">
      <c r="L56">
        <f>SUM(L2:L55)</f>
        <v>34021</v>
      </c>
      <c r="M56">
        <f t="shared" ref="M56:O56" si="6">SUM(M2:M55)</f>
        <v>118.98399999999999</v>
      </c>
      <c r="N56">
        <f t="shared" si="6"/>
        <v>21869.420000000006</v>
      </c>
      <c r="O56">
        <f t="shared" si="6"/>
        <v>45.1323218</v>
      </c>
    </row>
  </sheetData>
  <autoFilter ref="A1:Q165" xr:uid="{00000000-0001-0000-0000-000000000000}"/>
  <mergeCells count="50">
    <mergeCell ref="K49:K52"/>
    <mergeCell ref="M49:M52"/>
    <mergeCell ref="N49:N52"/>
    <mergeCell ref="O49:O52"/>
    <mergeCell ref="M35:M37"/>
    <mergeCell ref="N35:N37"/>
    <mergeCell ref="O35:O37"/>
    <mergeCell ref="E39:E48"/>
    <mergeCell ref="G39:G48"/>
    <mergeCell ref="H39:H48"/>
    <mergeCell ref="I39:I48"/>
    <mergeCell ref="J39:J48"/>
    <mergeCell ref="K39:K48"/>
    <mergeCell ref="M39:M48"/>
    <mergeCell ref="N39:N48"/>
    <mergeCell ref="O39:O48"/>
    <mergeCell ref="M21:M30"/>
    <mergeCell ref="N21:N30"/>
    <mergeCell ref="O21:O30"/>
    <mergeCell ref="E31:E34"/>
    <mergeCell ref="H31:H34"/>
    <mergeCell ref="I31:I34"/>
    <mergeCell ref="J31:J34"/>
    <mergeCell ref="K31:K34"/>
    <mergeCell ref="M31:M34"/>
    <mergeCell ref="N31:N34"/>
    <mergeCell ref="O31:O34"/>
    <mergeCell ref="E17:E19"/>
    <mergeCell ref="H17:H19"/>
    <mergeCell ref="I17:I19"/>
    <mergeCell ref="J17:J19"/>
    <mergeCell ref="K17:K19"/>
    <mergeCell ref="M17:M19"/>
    <mergeCell ref="N17:N19"/>
    <mergeCell ref="O17:O19"/>
    <mergeCell ref="E21:E30"/>
    <mergeCell ref="G21:G30"/>
    <mergeCell ref="H21:H30"/>
    <mergeCell ref="I21:I30"/>
    <mergeCell ref="J21:J30"/>
    <mergeCell ref="K21:K30"/>
    <mergeCell ref="E35:E37"/>
    <mergeCell ref="H35:H37"/>
    <mergeCell ref="I35:I37"/>
    <mergeCell ref="J35:J37"/>
    <mergeCell ref="K35:K37"/>
    <mergeCell ref="E49:E52"/>
    <mergeCell ref="H49:H52"/>
    <mergeCell ref="I49:I52"/>
    <mergeCell ref="J49:J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1x40GP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2025-04-16T06:57:14Z</dcterms:modified>
</cp:coreProperties>
</file>