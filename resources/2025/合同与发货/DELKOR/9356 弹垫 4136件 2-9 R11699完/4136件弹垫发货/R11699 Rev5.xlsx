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R11699-Progress Rail\"/>
    </mc:Choice>
  </mc:AlternateContent>
  <xr:revisionPtr revIDLastSave="0" documentId="13_ncr:1_{A6E7A3C9-C5BE-4A12-81BC-3D78A9B3E89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otal Draft" sheetId="2" r:id="rId1"/>
    <sheet name="Shipment#1-1x20" sheetId="4" r:id="rId2"/>
    <sheet name="Shipment#2-1x40" sheetId="5" r:id="rId3"/>
  </sheets>
  <definedNames>
    <definedName name="_xlnm._FilterDatabase" localSheetId="0" hidden="1">'Total Draft'!$A$1:$Q$671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0" i="2" l="1"/>
  <c r="L669" i="2"/>
  <c r="L668" i="2"/>
  <c r="M668" i="2"/>
  <c r="K668" i="2"/>
  <c r="M63" i="5"/>
  <c r="O63" i="5" s="1"/>
  <c r="K63" i="5"/>
  <c r="M331" i="2"/>
  <c r="K331" i="2"/>
  <c r="M498" i="2"/>
  <c r="K498" i="2"/>
  <c r="M163" i="2"/>
  <c r="K163" i="2"/>
  <c r="O331" i="2" l="1"/>
  <c r="O668" i="2"/>
  <c r="N668" i="2"/>
  <c r="N63" i="5"/>
  <c r="O498" i="2"/>
  <c r="N331" i="2"/>
  <c r="O163" i="2"/>
  <c r="N498" i="2"/>
  <c r="N163" i="2"/>
  <c r="L77" i="4" l="1"/>
  <c r="M76" i="4"/>
  <c r="O76" i="4" s="1"/>
  <c r="K76" i="4"/>
  <c r="L66" i="5"/>
  <c r="M65" i="5"/>
  <c r="K65" i="5"/>
  <c r="M64" i="5"/>
  <c r="K64" i="5"/>
  <c r="K59" i="5"/>
  <c r="O59" i="5" s="1"/>
  <c r="E59" i="5"/>
  <c r="N59" i="5" s="1"/>
  <c r="O49" i="5"/>
  <c r="N48" i="5"/>
  <c r="K48" i="5"/>
  <c r="O48" i="5" s="1"/>
  <c r="E45" i="5"/>
  <c r="N45" i="5" s="1"/>
  <c r="K41" i="5"/>
  <c r="O41" i="5" s="1"/>
  <c r="E41" i="5"/>
  <c r="N41" i="5" s="1"/>
  <c r="O31" i="5"/>
  <c r="N30" i="5"/>
  <c r="K30" i="5"/>
  <c r="O30" i="5" s="1"/>
  <c r="E27" i="5"/>
  <c r="N27" i="5" s="1"/>
  <c r="M26" i="5"/>
  <c r="K26" i="5"/>
  <c r="F26" i="5"/>
  <c r="M25" i="5"/>
  <c r="K25" i="5"/>
  <c r="F25" i="5"/>
  <c r="M24" i="5"/>
  <c r="K24" i="5"/>
  <c r="F24" i="5"/>
  <c r="M23" i="5"/>
  <c r="N23" i="5" s="1"/>
  <c r="K23" i="5"/>
  <c r="M22" i="5"/>
  <c r="K22" i="5"/>
  <c r="M21" i="5"/>
  <c r="N21" i="5" s="1"/>
  <c r="K21" i="5"/>
  <c r="M20" i="5"/>
  <c r="K20" i="5"/>
  <c r="M19" i="5"/>
  <c r="K19" i="5"/>
  <c r="F19" i="5"/>
  <c r="M18" i="5"/>
  <c r="K18" i="5"/>
  <c r="F18" i="5"/>
  <c r="M17" i="5"/>
  <c r="K17" i="5"/>
  <c r="F17" i="5"/>
  <c r="M16" i="5"/>
  <c r="K16" i="5"/>
  <c r="F16" i="5"/>
  <c r="M7" i="5"/>
  <c r="N7" i="5" s="1"/>
  <c r="K7" i="5"/>
  <c r="O7" i="5" s="1"/>
  <c r="F7" i="5"/>
  <c r="M6" i="5"/>
  <c r="K6" i="5"/>
  <c r="F6" i="5"/>
  <c r="M5" i="5"/>
  <c r="N5" i="5" s="1"/>
  <c r="K5" i="5"/>
  <c r="O5" i="5" s="1"/>
  <c r="F5" i="5"/>
  <c r="M4" i="5"/>
  <c r="K4" i="5"/>
  <c r="F4" i="5"/>
  <c r="M3" i="5"/>
  <c r="K3" i="5"/>
  <c r="F3" i="5"/>
  <c r="M2" i="5"/>
  <c r="K2" i="5"/>
  <c r="F2" i="5"/>
  <c r="M15" i="5"/>
  <c r="K15" i="5"/>
  <c r="M14" i="5"/>
  <c r="K14" i="5"/>
  <c r="M13" i="5"/>
  <c r="N13" i="5" s="1"/>
  <c r="K13" i="5"/>
  <c r="M12" i="5"/>
  <c r="K12" i="5"/>
  <c r="M11" i="5"/>
  <c r="N11" i="5" s="1"/>
  <c r="K11" i="5"/>
  <c r="F11" i="5"/>
  <c r="M10" i="5"/>
  <c r="K10" i="5"/>
  <c r="F10" i="5"/>
  <c r="M9" i="5"/>
  <c r="K9" i="5"/>
  <c r="F9" i="5"/>
  <c r="M8" i="5"/>
  <c r="K8" i="5"/>
  <c r="F8" i="5"/>
  <c r="K72" i="4"/>
  <c r="O72" i="4" s="1"/>
  <c r="E72" i="4"/>
  <c r="N72" i="4" s="1"/>
  <c r="K61" i="4"/>
  <c r="O61" i="4" s="1"/>
  <c r="E61" i="4"/>
  <c r="N61" i="4" s="1"/>
  <c r="E58" i="4"/>
  <c r="N58" i="4" s="1"/>
  <c r="K54" i="4"/>
  <c r="O54" i="4" s="1"/>
  <c r="E54" i="4"/>
  <c r="N54" i="4" s="1"/>
  <c r="O44" i="4"/>
  <c r="N43" i="4"/>
  <c r="K43" i="4"/>
  <c r="O43" i="4" s="1"/>
  <c r="E40" i="4"/>
  <c r="N40" i="4" s="1"/>
  <c r="K36" i="4"/>
  <c r="O36" i="4" s="1"/>
  <c r="E36" i="4"/>
  <c r="N36" i="4" s="1"/>
  <c r="O26" i="4"/>
  <c r="K25" i="4"/>
  <c r="O25" i="4" s="1"/>
  <c r="E25" i="4"/>
  <c r="N25" i="4" s="1"/>
  <c r="O22" i="4"/>
  <c r="E22" i="4"/>
  <c r="N22" i="4" s="1"/>
  <c r="M21" i="4"/>
  <c r="K21" i="4"/>
  <c r="F21" i="4"/>
  <c r="M20" i="4"/>
  <c r="K20" i="4"/>
  <c r="F20" i="4"/>
  <c r="M19" i="4"/>
  <c r="K19" i="4"/>
  <c r="F19" i="4"/>
  <c r="M18" i="4"/>
  <c r="N18" i="4" s="1"/>
  <c r="K18" i="4"/>
  <c r="F18" i="4"/>
  <c r="M17" i="4"/>
  <c r="N17" i="4" s="1"/>
  <c r="K17" i="4"/>
  <c r="F17" i="4"/>
  <c r="M16" i="4"/>
  <c r="K16" i="4"/>
  <c r="M15" i="4"/>
  <c r="N15" i="4" s="1"/>
  <c r="K15" i="4"/>
  <c r="M14" i="4"/>
  <c r="N14" i="4" s="1"/>
  <c r="K14" i="4"/>
  <c r="M13" i="4"/>
  <c r="K13" i="4"/>
  <c r="M12" i="4"/>
  <c r="K12" i="4"/>
  <c r="F12" i="4"/>
  <c r="M11" i="4"/>
  <c r="N11" i="4" s="1"/>
  <c r="K11" i="4"/>
  <c r="M10" i="4"/>
  <c r="K10" i="4"/>
  <c r="M9" i="4"/>
  <c r="K9" i="4"/>
  <c r="M8" i="4"/>
  <c r="K8" i="4"/>
  <c r="M7" i="4"/>
  <c r="N7" i="4" s="1"/>
  <c r="K7" i="4"/>
  <c r="F7" i="4"/>
  <c r="M6" i="4"/>
  <c r="K6" i="4"/>
  <c r="M5" i="4"/>
  <c r="K5" i="4"/>
  <c r="M4" i="4"/>
  <c r="K4" i="4"/>
  <c r="M3" i="4"/>
  <c r="K3" i="4"/>
  <c r="M2" i="4"/>
  <c r="K2" i="4"/>
  <c r="F2" i="4"/>
  <c r="O6" i="5" l="1"/>
  <c r="O2" i="5"/>
  <c r="M77" i="4"/>
  <c r="O21" i="4"/>
  <c r="N76" i="4"/>
  <c r="N21" i="4"/>
  <c r="O4" i="4"/>
  <c r="O5" i="4"/>
  <c r="O6" i="4"/>
  <c r="O17" i="4"/>
  <c r="O9" i="4"/>
  <c r="O10" i="4"/>
  <c r="O2" i="4"/>
  <c r="O77" i="4" s="1"/>
  <c r="O12" i="4"/>
  <c r="O20" i="4"/>
  <c r="O8" i="4"/>
  <c r="O16" i="4"/>
  <c r="O19" i="4"/>
  <c r="O3" i="4"/>
  <c r="O13" i="4"/>
  <c r="O18" i="5"/>
  <c r="M66" i="5"/>
  <c r="O20" i="5"/>
  <c r="O24" i="5"/>
  <c r="O25" i="5"/>
  <c r="O26" i="5"/>
  <c r="O19" i="5"/>
  <c r="O22" i="5"/>
  <c r="O23" i="5"/>
  <c r="O64" i="5"/>
  <c r="O65" i="5"/>
  <c r="O16" i="5"/>
  <c r="O17" i="5"/>
  <c r="N64" i="5"/>
  <c r="N65" i="5"/>
  <c r="N24" i="5"/>
  <c r="N25" i="5"/>
  <c r="N26" i="5"/>
  <c r="N20" i="5"/>
  <c r="O21" i="5"/>
  <c r="N22" i="5"/>
  <c r="N17" i="5"/>
  <c r="N18" i="5"/>
  <c r="N19" i="5"/>
  <c r="N16" i="5"/>
  <c r="N6" i="5"/>
  <c r="O3" i="5"/>
  <c r="O13" i="5"/>
  <c r="O4" i="5"/>
  <c r="O15" i="5"/>
  <c r="N2" i="5"/>
  <c r="N3" i="5"/>
  <c r="N15" i="5"/>
  <c r="O12" i="5"/>
  <c r="O8" i="5"/>
  <c r="O10" i="5"/>
  <c r="N4" i="5"/>
  <c r="O14" i="5"/>
  <c r="O9" i="5"/>
  <c r="N14" i="5"/>
  <c r="N12" i="5"/>
  <c r="O11" i="5"/>
  <c r="N9" i="5"/>
  <c r="N10" i="5"/>
  <c r="N8" i="5"/>
  <c r="N12" i="4"/>
  <c r="N13" i="4"/>
  <c r="O18" i="4"/>
  <c r="O14" i="4"/>
  <c r="N4" i="4"/>
  <c r="O15" i="4"/>
  <c r="N5" i="4"/>
  <c r="N6" i="4"/>
  <c r="O11" i="4"/>
  <c r="O7" i="4"/>
  <c r="N3" i="4"/>
  <c r="N9" i="4"/>
  <c r="N16" i="4"/>
  <c r="N2" i="4"/>
  <c r="N8" i="4"/>
  <c r="N19" i="4"/>
  <c r="N10" i="4"/>
  <c r="N20" i="4"/>
  <c r="N77" i="4" l="1"/>
  <c r="O66" i="5"/>
  <c r="N66" i="5"/>
  <c r="M670" i="2" l="1"/>
  <c r="M165" i="2"/>
  <c r="K165" i="2"/>
  <c r="M164" i="2"/>
  <c r="K164" i="2"/>
  <c r="K670" i="2"/>
  <c r="K669" i="2"/>
  <c r="L334" i="2"/>
  <c r="M333" i="2"/>
  <c r="K333" i="2"/>
  <c r="M332" i="2"/>
  <c r="K332" i="2"/>
  <c r="K664" i="2"/>
  <c r="F664" i="2"/>
  <c r="K663" i="2"/>
  <c r="F663" i="2"/>
  <c r="K662" i="2"/>
  <c r="K661" i="2"/>
  <c r="E661" i="2"/>
  <c r="K660" i="2"/>
  <c r="E660" i="2"/>
  <c r="K659" i="2"/>
  <c r="E659" i="2"/>
  <c r="K658" i="2"/>
  <c r="E658" i="2"/>
  <c r="K657" i="2"/>
  <c r="E657" i="2"/>
  <c r="K656" i="2"/>
  <c r="E656" i="2"/>
  <c r="K655" i="2"/>
  <c r="E655" i="2"/>
  <c r="K654" i="2"/>
  <c r="E654" i="2"/>
  <c r="K653" i="2"/>
  <c r="E653" i="2"/>
  <c r="K652" i="2"/>
  <c r="E652" i="2"/>
  <c r="L651" i="2"/>
  <c r="M651" i="2" s="1"/>
  <c r="K651" i="2"/>
  <c r="L650" i="2"/>
  <c r="M650" i="2" s="1"/>
  <c r="K650" i="2"/>
  <c r="L649" i="2"/>
  <c r="M649" i="2" s="1"/>
  <c r="K649" i="2"/>
  <c r="L648" i="2"/>
  <c r="M648" i="2" s="1"/>
  <c r="K648" i="2"/>
  <c r="L647" i="2"/>
  <c r="M647" i="2" s="1"/>
  <c r="K647" i="2"/>
  <c r="K646" i="2"/>
  <c r="K645" i="2"/>
  <c r="K644" i="2"/>
  <c r="F644" i="2"/>
  <c r="K643" i="2"/>
  <c r="F643" i="2"/>
  <c r="K642" i="2"/>
  <c r="K641" i="2"/>
  <c r="K640" i="2"/>
  <c r="L639" i="2"/>
  <c r="M639" i="2" s="1"/>
  <c r="K639" i="2"/>
  <c r="F639" i="2"/>
  <c r="L638" i="2"/>
  <c r="M638" i="2" s="1"/>
  <c r="K638" i="2"/>
  <c r="F638" i="2"/>
  <c r="L637" i="2"/>
  <c r="M637" i="2" s="1"/>
  <c r="K637" i="2"/>
  <c r="F637" i="2"/>
  <c r="L636" i="2"/>
  <c r="M636" i="2" s="1"/>
  <c r="K636" i="2"/>
  <c r="F636" i="2"/>
  <c r="K632" i="2"/>
  <c r="F632" i="2"/>
  <c r="K631" i="2"/>
  <c r="F631" i="2"/>
  <c r="K630" i="2"/>
  <c r="K629" i="2"/>
  <c r="E629" i="2"/>
  <c r="K628" i="2"/>
  <c r="E628" i="2"/>
  <c r="K627" i="2"/>
  <c r="E627" i="2"/>
  <c r="K626" i="2"/>
  <c r="E626" i="2"/>
  <c r="K625" i="2"/>
  <c r="E625" i="2"/>
  <c r="K624" i="2"/>
  <c r="E624" i="2"/>
  <c r="K623" i="2"/>
  <c r="E623" i="2"/>
  <c r="K622" i="2"/>
  <c r="E622" i="2"/>
  <c r="K621" i="2"/>
  <c r="E621" i="2"/>
  <c r="K620" i="2"/>
  <c r="E620" i="2"/>
  <c r="L619" i="2"/>
  <c r="M619" i="2" s="1"/>
  <c r="K619" i="2"/>
  <c r="L618" i="2"/>
  <c r="M618" i="2" s="1"/>
  <c r="K618" i="2"/>
  <c r="L617" i="2"/>
  <c r="M617" i="2" s="1"/>
  <c r="K617" i="2"/>
  <c r="L616" i="2"/>
  <c r="M616" i="2" s="1"/>
  <c r="K616" i="2"/>
  <c r="L615" i="2"/>
  <c r="K615" i="2"/>
  <c r="K614" i="2"/>
  <c r="K613" i="2"/>
  <c r="K612" i="2"/>
  <c r="F612" i="2"/>
  <c r="K611" i="2"/>
  <c r="F611" i="2"/>
  <c r="K610" i="2"/>
  <c r="K609" i="2"/>
  <c r="K608" i="2"/>
  <c r="L607" i="2"/>
  <c r="M607" i="2" s="1"/>
  <c r="K607" i="2"/>
  <c r="F607" i="2"/>
  <c r="L606" i="2"/>
  <c r="M606" i="2" s="1"/>
  <c r="N606" i="2" s="1"/>
  <c r="K606" i="2"/>
  <c r="F606" i="2"/>
  <c r="L605" i="2"/>
  <c r="M605" i="2" s="1"/>
  <c r="N605" i="2" s="1"/>
  <c r="K605" i="2"/>
  <c r="F605" i="2"/>
  <c r="L604" i="2"/>
  <c r="M604" i="2" s="1"/>
  <c r="K604" i="2"/>
  <c r="F604" i="2"/>
  <c r="K600" i="2"/>
  <c r="F600" i="2"/>
  <c r="K599" i="2"/>
  <c r="F599" i="2"/>
  <c r="K598" i="2"/>
  <c r="K597" i="2"/>
  <c r="E597" i="2"/>
  <c r="K596" i="2"/>
  <c r="E596" i="2"/>
  <c r="K595" i="2"/>
  <c r="E595" i="2"/>
  <c r="K594" i="2"/>
  <c r="E594" i="2"/>
  <c r="K593" i="2"/>
  <c r="E593" i="2"/>
  <c r="K592" i="2"/>
  <c r="E592" i="2"/>
  <c r="K591" i="2"/>
  <c r="E591" i="2"/>
  <c r="K590" i="2"/>
  <c r="E590" i="2"/>
  <c r="K589" i="2"/>
  <c r="E589" i="2"/>
  <c r="K588" i="2"/>
  <c r="E588" i="2"/>
  <c r="L587" i="2"/>
  <c r="M587" i="2" s="1"/>
  <c r="K587" i="2"/>
  <c r="L586" i="2"/>
  <c r="K586" i="2"/>
  <c r="L585" i="2"/>
  <c r="M585" i="2" s="1"/>
  <c r="K585" i="2"/>
  <c r="L584" i="2"/>
  <c r="M584" i="2" s="1"/>
  <c r="K584" i="2"/>
  <c r="L583" i="2"/>
  <c r="M583" i="2" s="1"/>
  <c r="K583" i="2"/>
  <c r="K582" i="2"/>
  <c r="K581" i="2"/>
  <c r="K580" i="2"/>
  <c r="F580" i="2"/>
  <c r="K579" i="2"/>
  <c r="F579" i="2"/>
  <c r="K578" i="2"/>
  <c r="K577" i="2"/>
  <c r="K576" i="2"/>
  <c r="L575" i="2"/>
  <c r="M575" i="2" s="1"/>
  <c r="K575" i="2"/>
  <c r="F575" i="2"/>
  <c r="L574" i="2"/>
  <c r="M574" i="2" s="1"/>
  <c r="K574" i="2"/>
  <c r="F574" i="2"/>
  <c r="L573" i="2"/>
  <c r="M573" i="2" s="1"/>
  <c r="K573" i="2"/>
  <c r="F573" i="2"/>
  <c r="L572" i="2"/>
  <c r="K572" i="2"/>
  <c r="F572" i="2"/>
  <c r="K568" i="2"/>
  <c r="F568" i="2"/>
  <c r="K567" i="2"/>
  <c r="F567" i="2"/>
  <c r="K566" i="2"/>
  <c r="K565" i="2"/>
  <c r="E565" i="2"/>
  <c r="K564" i="2"/>
  <c r="E564" i="2"/>
  <c r="K563" i="2"/>
  <c r="E563" i="2"/>
  <c r="K562" i="2"/>
  <c r="E562" i="2"/>
  <c r="K561" i="2"/>
  <c r="E561" i="2"/>
  <c r="K560" i="2"/>
  <c r="E560" i="2"/>
  <c r="K559" i="2"/>
  <c r="E559" i="2"/>
  <c r="K558" i="2"/>
  <c r="E558" i="2"/>
  <c r="K557" i="2"/>
  <c r="E557" i="2"/>
  <c r="K556" i="2"/>
  <c r="E556" i="2"/>
  <c r="L555" i="2"/>
  <c r="M555" i="2" s="1"/>
  <c r="N555" i="2" s="1"/>
  <c r="K555" i="2"/>
  <c r="L554" i="2"/>
  <c r="M554" i="2" s="1"/>
  <c r="K554" i="2"/>
  <c r="L553" i="2"/>
  <c r="M553" i="2" s="1"/>
  <c r="K553" i="2"/>
  <c r="L552" i="2"/>
  <c r="M552" i="2" s="1"/>
  <c r="K552" i="2"/>
  <c r="L551" i="2"/>
  <c r="K551" i="2"/>
  <c r="K550" i="2"/>
  <c r="K549" i="2"/>
  <c r="K548" i="2"/>
  <c r="F548" i="2"/>
  <c r="K547" i="2"/>
  <c r="F547" i="2"/>
  <c r="K546" i="2"/>
  <c r="K545" i="2"/>
  <c r="K544" i="2"/>
  <c r="L543" i="2"/>
  <c r="M543" i="2" s="1"/>
  <c r="K543" i="2"/>
  <c r="F543" i="2"/>
  <c r="L542" i="2"/>
  <c r="M542" i="2" s="1"/>
  <c r="K542" i="2"/>
  <c r="F542" i="2"/>
  <c r="L541" i="2"/>
  <c r="M541" i="2" s="1"/>
  <c r="K541" i="2"/>
  <c r="F541" i="2"/>
  <c r="L540" i="2"/>
  <c r="K540" i="2"/>
  <c r="F540" i="2"/>
  <c r="K536" i="2"/>
  <c r="F536" i="2"/>
  <c r="K535" i="2"/>
  <c r="F535" i="2"/>
  <c r="K534" i="2"/>
  <c r="K533" i="2"/>
  <c r="E533" i="2"/>
  <c r="K532" i="2"/>
  <c r="E532" i="2"/>
  <c r="K531" i="2"/>
  <c r="E531" i="2"/>
  <c r="K530" i="2"/>
  <c r="E530" i="2"/>
  <c r="K529" i="2"/>
  <c r="E529" i="2"/>
  <c r="K528" i="2"/>
  <c r="E528" i="2"/>
  <c r="K527" i="2"/>
  <c r="E527" i="2"/>
  <c r="K526" i="2"/>
  <c r="E526" i="2"/>
  <c r="K525" i="2"/>
  <c r="E525" i="2"/>
  <c r="K524" i="2"/>
  <c r="E524" i="2"/>
  <c r="L523" i="2"/>
  <c r="M523" i="2" s="1"/>
  <c r="K523" i="2"/>
  <c r="L522" i="2"/>
  <c r="M522" i="2" s="1"/>
  <c r="K522" i="2"/>
  <c r="L521" i="2"/>
  <c r="M521" i="2" s="1"/>
  <c r="K521" i="2"/>
  <c r="L520" i="2"/>
  <c r="M520" i="2" s="1"/>
  <c r="K520" i="2"/>
  <c r="L519" i="2"/>
  <c r="K519" i="2"/>
  <c r="K518" i="2"/>
  <c r="K517" i="2"/>
  <c r="K516" i="2"/>
  <c r="F516" i="2"/>
  <c r="K515" i="2"/>
  <c r="F515" i="2"/>
  <c r="K514" i="2"/>
  <c r="K513" i="2"/>
  <c r="K512" i="2"/>
  <c r="L511" i="2"/>
  <c r="M511" i="2" s="1"/>
  <c r="K511" i="2"/>
  <c r="F511" i="2"/>
  <c r="L510" i="2"/>
  <c r="M510" i="2" s="1"/>
  <c r="K510" i="2"/>
  <c r="F510" i="2"/>
  <c r="L509" i="2"/>
  <c r="M509" i="2" s="1"/>
  <c r="K509" i="2"/>
  <c r="F509" i="2"/>
  <c r="L508" i="2"/>
  <c r="M508" i="2" s="1"/>
  <c r="K508" i="2"/>
  <c r="F508" i="2"/>
  <c r="M328" i="2"/>
  <c r="M327" i="2"/>
  <c r="K327" i="2"/>
  <c r="F327" i="2"/>
  <c r="M326" i="2"/>
  <c r="K326" i="2"/>
  <c r="F326" i="2"/>
  <c r="M325" i="2"/>
  <c r="K325" i="2"/>
  <c r="M324" i="2"/>
  <c r="K324" i="2"/>
  <c r="E324" i="2"/>
  <c r="M323" i="2"/>
  <c r="K323" i="2"/>
  <c r="E323" i="2"/>
  <c r="M322" i="2"/>
  <c r="K322" i="2"/>
  <c r="E322" i="2"/>
  <c r="M321" i="2"/>
  <c r="K321" i="2"/>
  <c r="E321" i="2"/>
  <c r="M320" i="2"/>
  <c r="K320" i="2"/>
  <c r="E320" i="2"/>
  <c r="M319" i="2"/>
  <c r="K319" i="2"/>
  <c r="E319" i="2"/>
  <c r="M318" i="2"/>
  <c r="K318" i="2"/>
  <c r="E318" i="2"/>
  <c r="M317" i="2"/>
  <c r="K317" i="2"/>
  <c r="E317" i="2"/>
  <c r="M316" i="2"/>
  <c r="K316" i="2"/>
  <c r="E316" i="2"/>
  <c r="M315" i="2"/>
  <c r="K315" i="2"/>
  <c r="E315" i="2"/>
  <c r="M314" i="2"/>
  <c r="N314" i="2" s="1"/>
  <c r="K314" i="2"/>
  <c r="M313" i="2"/>
  <c r="N313" i="2" s="1"/>
  <c r="K313" i="2"/>
  <c r="M312" i="2"/>
  <c r="K312" i="2"/>
  <c r="M311" i="2"/>
  <c r="K311" i="2"/>
  <c r="P310" i="2"/>
  <c r="M310" i="2"/>
  <c r="N310" i="2" s="1"/>
  <c r="K310" i="2"/>
  <c r="M309" i="2"/>
  <c r="K309" i="2"/>
  <c r="M308" i="2"/>
  <c r="K308" i="2"/>
  <c r="M307" i="2"/>
  <c r="K307" i="2"/>
  <c r="F307" i="2"/>
  <c r="M306" i="2"/>
  <c r="K306" i="2"/>
  <c r="F306" i="2"/>
  <c r="M305" i="2"/>
  <c r="N305" i="2" s="1"/>
  <c r="K305" i="2"/>
  <c r="M304" i="2"/>
  <c r="N304" i="2" s="1"/>
  <c r="K304" i="2"/>
  <c r="M303" i="2"/>
  <c r="N303" i="2" s="1"/>
  <c r="K303" i="2"/>
  <c r="M302" i="2"/>
  <c r="N302" i="2" s="1"/>
  <c r="K302" i="2"/>
  <c r="F302" i="2"/>
  <c r="M301" i="2"/>
  <c r="K301" i="2"/>
  <c r="F301" i="2"/>
  <c r="M300" i="2"/>
  <c r="N300" i="2" s="1"/>
  <c r="K300" i="2"/>
  <c r="F300" i="2"/>
  <c r="P299" i="2"/>
  <c r="M299" i="2"/>
  <c r="K299" i="2"/>
  <c r="F299" i="2"/>
  <c r="M296" i="2"/>
  <c r="N296" i="2" s="1"/>
  <c r="M295" i="2"/>
  <c r="K295" i="2"/>
  <c r="F295" i="2"/>
  <c r="M294" i="2"/>
  <c r="K294" i="2"/>
  <c r="F294" i="2"/>
  <c r="M293" i="2"/>
  <c r="K293" i="2"/>
  <c r="M292" i="2"/>
  <c r="K292" i="2"/>
  <c r="E292" i="2"/>
  <c r="M291" i="2"/>
  <c r="K291" i="2"/>
  <c r="E291" i="2"/>
  <c r="M290" i="2"/>
  <c r="K290" i="2"/>
  <c r="E290" i="2"/>
  <c r="M289" i="2"/>
  <c r="K289" i="2"/>
  <c r="E289" i="2"/>
  <c r="M288" i="2"/>
  <c r="K288" i="2"/>
  <c r="E288" i="2"/>
  <c r="M287" i="2"/>
  <c r="K287" i="2"/>
  <c r="E287" i="2"/>
  <c r="M286" i="2"/>
  <c r="K286" i="2"/>
  <c r="E286" i="2"/>
  <c r="M285" i="2"/>
  <c r="K285" i="2"/>
  <c r="E285" i="2"/>
  <c r="M284" i="2"/>
  <c r="K284" i="2"/>
  <c r="E284" i="2"/>
  <c r="M283" i="2"/>
  <c r="K283" i="2"/>
  <c r="E283" i="2"/>
  <c r="M282" i="2"/>
  <c r="N282" i="2" s="1"/>
  <c r="K282" i="2"/>
  <c r="M281" i="2"/>
  <c r="K281" i="2"/>
  <c r="M280" i="2"/>
  <c r="K280" i="2"/>
  <c r="M279" i="2"/>
  <c r="K279" i="2"/>
  <c r="P278" i="2"/>
  <c r="M278" i="2"/>
  <c r="N278" i="2" s="1"/>
  <c r="K278" i="2"/>
  <c r="M277" i="2"/>
  <c r="K277" i="2"/>
  <c r="M276" i="2"/>
  <c r="N276" i="2" s="1"/>
  <c r="K276" i="2"/>
  <c r="M275" i="2"/>
  <c r="K275" i="2"/>
  <c r="F275" i="2"/>
  <c r="M274" i="2"/>
  <c r="K274" i="2"/>
  <c r="F274" i="2"/>
  <c r="M273" i="2"/>
  <c r="K273" i="2"/>
  <c r="M272" i="2"/>
  <c r="N272" i="2" s="1"/>
  <c r="K272" i="2"/>
  <c r="M271" i="2"/>
  <c r="K271" i="2"/>
  <c r="M270" i="2"/>
  <c r="K270" i="2"/>
  <c r="F270" i="2"/>
  <c r="M269" i="2"/>
  <c r="K269" i="2"/>
  <c r="F269" i="2"/>
  <c r="M268" i="2"/>
  <c r="N268" i="2" s="1"/>
  <c r="K268" i="2"/>
  <c r="F268" i="2"/>
  <c r="P267" i="2"/>
  <c r="M267" i="2"/>
  <c r="N267" i="2" s="1"/>
  <c r="K267" i="2"/>
  <c r="F267" i="2"/>
  <c r="M264" i="2"/>
  <c r="O264" i="2" s="1"/>
  <c r="M263" i="2"/>
  <c r="N263" i="2" s="1"/>
  <c r="K263" i="2"/>
  <c r="F263" i="2"/>
  <c r="M262" i="2"/>
  <c r="K262" i="2"/>
  <c r="F262" i="2"/>
  <c r="M261" i="2"/>
  <c r="K261" i="2"/>
  <c r="M260" i="2"/>
  <c r="K260" i="2"/>
  <c r="E260" i="2"/>
  <c r="M259" i="2"/>
  <c r="K259" i="2"/>
  <c r="E259" i="2"/>
  <c r="M258" i="2"/>
  <c r="K258" i="2"/>
  <c r="E258" i="2"/>
  <c r="M257" i="2"/>
  <c r="K257" i="2"/>
  <c r="E257" i="2"/>
  <c r="M256" i="2"/>
  <c r="K256" i="2"/>
  <c r="E256" i="2"/>
  <c r="M255" i="2"/>
  <c r="K255" i="2"/>
  <c r="E255" i="2"/>
  <c r="M254" i="2"/>
  <c r="K254" i="2"/>
  <c r="E254" i="2"/>
  <c r="M253" i="2"/>
  <c r="K253" i="2"/>
  <c r="E253" i="2"/>
  <c r="M252" i="2"/>
  <c r="K252" i="2"/>
  <c r="E252" i="2"/>
  <c r="M251" i="2"/>
  <c r="K251" i="2"/>
  <c r="E251" i="2"/>
  <c r="M250" i="2"/>
  <c r="K250" i="2"/>
  <c r="M249" i="2"/>
  <c r="K249" i="2"/>
  <c r="M248" i="2"/>
  <c r="K248" i="2"/>
  <c r="M247" i="2"/>
  <c r="K247" i="2"/>
  <c r="P246" i="2"/>
  <c r="M246" i="2"/>
  <c r="N246" i="2" s="1"/>
  <c r="K246" i="2"/>
  <c r="M245" i="2"/>
  <c r="N245" i="2" s="1"/>
  <c r="K245" i="2"/>
  <c r="M244" i="2"/>
  <c r="N244" i="2" s="1"/>
  <c r="K244" i="2"/>
  <c r="M243" i="2"/>
  <c r="N243" i="2" s="1"/>
  <c r="K243" i="2"/>
  <c r="F243" i="2"/>
  <c r="M242" i="2"/>
  <c r="N242" i="2" s="1"/>
  <c r="K242" i="2"/>
  <c r="F242" i="2"/>
  <c r="M241" i="2"/>
  <c r="K241" i="2"/>
  <c r="M240" i="2"/>
  <c r="K240" i="2"/>
  <c r="M239" i="2"/>
  <c r="N239" i="2" s="1"/>
  <c r="K239" i="2"/>
  <c r="M238" i="2"/>
  <c r="K238" i="2"/>
  <c r="F238" i="2"/>
  <c r="M237" i="2"/>
  <c r="K237" i="2"/>
  <c r="F237" i="2"/>
  <c r="M236" i="2"/>
  <c r="K236" i="2"/>
  <c r="F236" i="2"/>
  <c r="P235" i="2"/>
  <c r="M235" i="2"/>
  <c r="K235" i="2"/>
  <c r="F235" i="2"/>
  <c r="M232" i="2"/>
  <c r="O232" i="2" s="1"/>
  <c r="M231" i="2"/>
  <c r="K231" i="2"/>
  <c r="F231" i="2"/>
  <c r="M230" i="2"/>
  <c r="N230" i="2" s="1"/>
  <c r="K230" i="2"/>
  <c r="F230" i="2"/>
  <c r="M229" i="2"/>
  <c r="N229" i="2" s="1"/>
  <c r="K229" i="2"/>
  <c r="M228" i="2"/>
  <c r="K228" i="2"/>
  <c r="E228" i="2"/>
  <c r="M227" i="2"/>
  <c r="K227" i="2"/>
  <c r="E227" i="2"/>
  <c r="M226" i="2"/>
  <c r="K226" i="2"/>
  <c r="E226" i="2"/>
  <c r="M225" i="2"/>
  <c r="K225" i="2"/>
  <c r="E225" i="2"/>
  <c r="M224" i="2"/>
  <c r="K224" i="2"/>
  <c r="E224" i="2"/>
  <c r="M223" i="2"/>
  <c r="K223" i="2"/>
  <c r="E223" i="2"/>
  <c r="M222" i="2"/>
  <c r="K222" i="2"/>
  <c r="E222" i="2"/>
  <c r="M221" i="2"/>
  <c r="K221" i="2"/>
  <c r="E221" i="2"/>
  <c r="M220" i="2"/>
  <c r="K220" i="2"/>
  <c r="E220" i="2"/>
  <c r="M219" i="2"/>
  <c r="K219" i="2"/>
  <c r="E219" i="2"/>
  <c r="M218" i="2"/>
  <c r="K218" i="2"/>
  <c r="M217" i="2"/>
  <c r="K217" i="2"/>
  <c r="M216" i="2"/>
  <c r="N216" i="2" s="1"/>
  <c r="K216" i="2"/>
  <c r="M215" i="2"/>
  <c r="N215" i="2" s="1"/>
  <c r="K215" i="2"/>
  <c r="P214" i="2"/>
  <c r="M214" i="2"/>
  <c r="N214" i="2" s="1"/>
  <c r="K214" i="2"/>
  <c r="M213" i="2"/>
  <c r="N213" i="2" s="1"/>
  <c r="K213" i="2"/>
  <c r="M212" i="2"/>
  <c r="K212" i="2"/>
  <c r="M211" i="2"/>
  <c r="K211" i="2"/>
  <c r="F211" i="2"/>
  <c r="M210" i="2"/>
  <c r="K210" i="2"/>
  <c r="F210" i="2"/>
  <c r="M209" i="2"/>
  <c r="N209" i="2" s="1"/>
  <c r="K209" i="2"/>
  <c r="M208" i="2"/>
  <c r="K208" i="2"/>
  <c r="M207" i="2"/>
  <c r="K207" i="2"/>
  <c r="M206" i="2"/>
  <c r="K206" i="2"/>
  <c r="F206" i="2"/>
  <c r="M205" i="2"/>
  <c r="K205" i="2"/>
  <c r="F205" i="2"/>
  <c r="M204" i="2"/>
  <c r="N204" i="2" s="1"/>
  <c r="K204" i="2"/>
  <c r="F204" i="2"/>
  <c r="P203" i="2"/>
  <c r="M203" i="2"/>
  <c r="K203" i="2"/>
  <c r="F203" i="2"/>
  <c r="M200" i="2"/>
  <c r="N200" i="2" s="1"/>
  <c r="M199" i="2"/>
  <c r="N199" i="2" s="1"/>
  <c r="K199" i="2"/>
  <c r="F199" i="2"/>
  <c r="M198" i="2"/>
  <c r="K198" i="2"/>
  <c r="F198" i="2"/>
  <c r="M197" i="2"/>
  <c r="K197" i="2"/>
  <c r="M196" i="2"/>
  <c r="K196" i="2"/>
  <c r="E196" i="2"/>
  <c r="M195" i="2"/>
  <c r="K195" i="2"/>
  <c r="E195" i="2"/>
  <c r="M194" i="2"/>
  <c r="K194" i="2"/>
  <c r="E194" i="2"/>
  <c r="M193" i="2"/>
  <c r="K193" i="2"/>
  <c r="E193" i="2"/>
  <c r="M192" i="2"/>
  <c r="K192" i="2"/>
  <c r="E192" i="2"/>
  <c r="M191" i="2"/>
  <c r="K191" i="2"/>
  <c r="E191" i="2"/>
  <c r="M190" i="2"/>
  <c r="K190" i="2"/>
  <c r="E190" i="2"/>
  <c r="M189" i="2"/>
  <c r="K189" i="2"/>
  <c r="E189" i="2"/>
  <c r="M188" i="2"/>
  <c r="K188" i="2"/>
  <c r="E188" i="2"/>
  <c r="M187" i="2"/>
  <c r="K187" i="2"/>
  <c r="E187" i="2"/>
  <c r="M186" i="2"/>
  <c r="K186" i="2"/>
  <c r="M185" i="2"/>
  <c r="N185" i="2" s="1"/>
  <c r="K185" i="2"/>
  <c r="M184" i="2"/>
  <c r="K184" i="2"/>
  <c r="M183" i="2"/>
  <c r="N183" i="2" s="1"/>
  <c r="K183" i="2"/>
  <c r="P182" i="2"/>
  <c r="M182" i="2"/>
  <c r="K182" i="2"/>
  <c r="M181" i="2"/>
  <c r="K181" i="2"/>
  <c r="M180" i="2"/>
  <c r="K180" i="2"/>
  <c r="M179" i="2"/>
  <c r="K179" i="2"/>
  <c r="F179" i="2"/>
  <c r="M178" i="2"/>
  <c r="N178" i="2" s="1"/>
  <c r="K178" i="2"/>
  <c r="F178" i="2"/>
  <c r="M177" i="2"/>
  <c r="N177" i="2" s="1"/>
  <c r="K177" i="2"/>
  <c r="M176" i="2"/>
  <c r="K176" i="2"/>
  <c r="M175" i="2"/>
  <c r="K175" i="2"/>
  <c r="M174" i="2"/>
  <c r="K174" i="2"/>
  <c r="F174" i="2"/>
  <c r="M173" i="2"/>
  <c r="K173" i="2"/>
  <c r="F173" i="2"/>
  <c r="M172" i="2"/>
  <c r="K172" i="2"/>
  <c r="F172" i="2"/>
  <c r="P171" i="2"/>
  <c r="M171" i="2"/>
  <c r="K171" i="2"/>
  <c r="F171" i="2"/>
  <c r="L501" i="2"/>
  <c r="M500" i="2"/>
  <c r="N500" i="2" s="1"/>
  <c r="K500" i="2"/>
  <c r="M499" i="2"/>
  <c r="K499" i="2"/>
  <c r="M495" i="2"/>
  <c r="M494" i="2"/>
  <c r="N494" i="2" s="1"/>
  <c r="K494" i="2"/>
  <c r="F494" i="2"/>
  <c r="M493" i="2"/>
  <c r="K493" i="2"/>
  <c r="F493" i="2"/>
  <c r="M492" i="2"/>
  <c r="K492" i="2"/>
  <c r="M491" i="2"/>
  <c r="K491" i="2"/>
  <c r="E491" i="2"/>
  <c r="M490" i="2"/>
  <c r="K490" i="2"/>
  <c r="E490" i="2"/>
  <c r="M489" i="2"/>
  <c r="K489" i="2"/>
  <c r="E489" i="2"/>
  <c r="M488" i="2"/>
  <c r="K488" i="2"/>
  <c r="E488" i="2"/>
  <c r="M487" i="2"/>
  <c r="K487" i="2"/>
  <c r="E487" i="2"/>
  <c r="M486" i="2"/>
  <c r="K486" i="2"/>
  <c r="E486" i="2"/>
  <c r="M485" i="2"/>
  <c r="K485" i="2"/>
  <c r="E485" i="2"/>
  <c r="M484" i="2"/>
  <c r="K484" i="2"/>
  <c r="E484" i="2"/>
  <c r="M483" i="2"/>
  <c r="K483" i="2"/>
  <c r="E483" i="2"/>
  <c r="M482" i="2"/>
  <c r="K482" i="2"/>
  <c r="E482" i="2"/>
  <c r="M481" i="2"/>
  <c r="N481" i="2" s="1"/>
  <c r="K481" i="2"/>
  <c r="M480" i="2"/>
  <c r="N480" i="2" s="1"/>
  <c r="K480" i="2"/>
  <c r="M479" i="2"/>
  <c r="K479" i="2"/>
  <c r="M478" i="2"/>
  <c r="K478" i="2"/>
  <c r="P477" i="2"/>
  <c r="M477" i="2"/>
  <c r="N477" i="2" s="1"/>
  <c r="K477" i="2"/>
  <c r="M476" i="2"/>
  <c r="N476" i="2" s="1"/>
  <c r="K476" i="2"/>
  <c r="M475" i="2"/>
  <c r="N475" i="2" s="1"/>
  <c r="K475" i="2"/>
  <c r="M474" i="2"/>
  <c r="N474" i="2" s="1"/>
  <c r="K474" i="2"/>
  <c r="F474" i="2"/>
  <c r="M473" i="2"/>
  <c r="K473" i="2"/>
  <c r="F473" i="2"/>
  <c r="M472" i="2"/>
  <c r="N472" i="2" s="1"/>
  <c r="K472" i="2"/>
  <c r="M471" i="2"/>
  <c r="K471" i="2"/>
  <c r="M470" i="2"/>
  <c r="K470" i="2"/>
  <c r="M469" i="2"/>
  <c r="K469" i="2"/>
  <c r="F469" i="2"/>
  <c r="M468" i="2"/>
  <c r="K468" i="2"/>
  <c r="F468" i="2"/>
  <c r="M467" i="2"/>
  <c r="K467" i="2"/>
  <c r="F467" i="2"/>
  <c r="P466" i="2"/>
  <c r="M466" i="2"/>
  <c r="N466" i="2" s="1"/>
  <c r="K466" i="2"/>
  <c r="F466" i="2"/>
  <c r="M463" i="2"/>
  <c r="O463" i="2" s="1"/>
  <c r="M462" i="2"/>
  <c r="K462" i="2"/>
  <c r="F462" i="2"/>
  <c r="M461" i="2"/>
  <c r="N461" i="2" s="1"/>
  <c r="K461" i="2"/>
  <c r="F461" i="2"/>
  <c r="M460" i="2"/>
  <c r="K460" i="2"/>
  <c r="M459" i="2"/>
  <c r="K459" i="2"/>
  <c r="E459" i="2"/>
  <c r="M458" i="2"/>
  <c r="K458" i="2"/>
  <c r="E458" i="2"/>
  <c r="M457" i="2"/>
  <c r="K457" i="2"/>
  <c r="E457" i="2"/>
  <c r="M456" i="2"/>
  <c r="K456" i="2"/>
  <c r="E456" i="2"/>
  <c r="M455" i="2"/>
  <c r="K455" i="2"/>
  <c r="E455" i="2"/>
  <c r="M454" i="2"/>
  <c r="K454" i="2"/>
  <c r="E454" i="2"/>
  <c r="M453" i="2"/>
  <c r="K453" i="2"/>
  <c r="E453" i="2"/>
  <c r="M452" i="2"/>
  <c r="K452" i="2"/>
  <c r="E452" i="2"/>
  <c r="M451" i="2"/>
  <c r="K451" i="2"/>
  <c r="E451" i="2"/>
  <c r="M450" i="2"/>
  <c r="K450" i="2"/>
  <c r="E450" i="2"/>
  <c r="M449" i="2"/>
  <c r="N449" i="2" s="1"/>
  <c r="K449" i="2"/>
  <c r="M448" i="2"/>
  <c r="K448" i="2"/>
  <c r="M447" i="2"/>
  <c r="K447" i="2"/>
  <c r="M446" i="2"/>
  <c r="K446" i="2"/>
  <c r="P445" i="2"/>
  <c r="M445" i="2"/>
  <c r="N445" i="2" s="1"/>
  <c r="K445" i="2"/>
  <c r="M444" i="2"/>
  <c r="K444" i="2"/>
  <c r="M443" i="2"/>
  <c r="N443" i="2" s="1"/>
  <c r="K443" i="2"/>
  <c r="M442" i="2"/>
  <c r="N442" i="2" s="1"/>
  <c r="K442" i="2"/>
  <c r="F442" i="2"/>
  <c r="M441" i="2"/>
  <c r="N441" i="2" s="1"/>
  <c r="K441" i="2"/>
  <c r="F441" i="2"/>
  <c r="M440" i="2"/>
  <c r="K440" i="2"/>
  <c r="M439" i="2"/>
  <c r="K439" i="2"/>
  <c r="M438" i="2"/>
  <c r="K438" i="2"/>
  <c r="M437" i="2"/>
  <c r="K437" i="2"/>
  <c r="F437" i="2"/>
  <c r="M436" i="2"/>
  <c r="K436" i="2"/>
  <c r="F436" i="2"/>
  <c r="M435" i="2"/>
  <c r="N435" i="2" s="1"/>
  <c r="K435" i="2"/>
  <c r="F435" i="2"/>
  <c r="P434" i="2"/>
  <c r="M434" i="2"/>
  <c r="K434" i="2"/>
  <c r="F434" i="2"/>
  <c r="M431" i="2"/>
  <c r="O431" i="2" s="1"/>
  <c r="M430" i="2"/>
  <c r="N430" i="2" s="1"/>
  <c r="K430" i="2"/>
  <c r="F430" i="2"/>
  <c r="M429" i="2"/>
  <c r="N429" i="2" s="1"/>
  <c r="K429" i="2"/>
  <c r="F429" i="2"/>
  <c r="M428" i="2"/>
  <c r="K428" i="2"/>
  <c r="M427" i="2"/>
  <c r="K427" i="2"/>
  <c r="E427" i="2"/>
  <c r="M426" i="2"/>
  <c r="K426" i="2"/>
  <c r="E426" i="2"/>
  <c r="M425" i="2"/>
  <c r="K425" i="2"/>
  <c r="E425" i="2"/>
  <c r="M424" i="2"/>
  <c r="K424" i="2"/>
  <c r="E424" i="2"/>
  <c r="M423" i="2"/>
  <c r="K423" i="2"/>
  <c r="E423" i="2"/>
  <c r="M422" i="2"/>
  <c r="K422" i="2"/>
  <c r="E422" i="2"/>
  <c r="M421" i="2"/>
  <c r="K421" i="2"/>
  <c r="E421" i="2"/>
  <c r="M420" i="2"/>
  <c r="K420" i="2"/>
  <c r="E420" i="2"/>
  <c r="M419" i="2"/>
  <c r="K419" i="2"/>
  <c r="E419" i="2"/>
  <c r="M418" i="2"/>
  <c r="K418" i="2"/>
  <c r="E418" i="2"/>
  <c r="M417" i="2"/>
  <c r="N417" i="2" s="1"/>
  <c r="K417" i="2"/>
  <c r="M416" i="2"/>
  <c r="K416" i="2"/>
  <c r="M415" i="2"/>
  <c r="N415" i="2" s="1"/>
  <c r="K415" i="2"/>
  <c r="M414" i="2"/>
  <c r="N414" i="2" s="1"/>
  <c r="K414" i="2"/>
  <c r="P413" i="2"/>
  <c r="M413" i="2"/>
  <c r="N413" i="2" s="1"/>
  <c r="K413" i="2"/>
  <c r="M412" i="2"/>
  <c r="N412" i="2" s="1"/>
  <c r="K412" i="2"/>
  <c r="M411" i="2"/>
  <c r="N411" i="2" s="1"/>
  <c r="K411" i="2"/>
  <c r="M410" i="2"/>
  <c r="K410" i="2"/>
  <c r="F410" i="2"/>
  <c r="M409" i="2"/>
  <c r="K409" i="2"/>
  <c r="F409" i="2"/>
  <c r="M408" i="2"/>
  <c r="K408" i="2"/>
  <c r="M407" i="2"/>
  <c r="N407" i="2" s="1"/>
  <c r="K407" i="2"/>
  <c r="M406" i="2"/>
  <c r="N406" i="2" s="1"/>
  <c r="K406" i="2"/>
  <c r="M405" i="2"/>
  <c r="K405" i="2"/>
  <c r="F405" i="2"/>
  <c r="M404" i="2"/>
  <c r="K404" i="2"/>
  <c r="F404" i="2"/>
  <c r="M403" i="2"/>
  <c r="K403" i="2"/>
  <c r="F403" i="2"/>
  <c r="P402" i="2"/>
  <c r="M402" i="2"/>
  <c r="K402" i="2"/>
  <c r="F402" i="2"/>
  <c r="M399" i="2"/>
  <c r="O399" i="2" s="1"/>
  <c r="M398" i="2"/>
  <c r="K398" i="2"/>
  <c r="F398" i="2"/>
  <c r="M397" i="2"/>
  <c r="K397" i="2"/>
  <c r="F397" i="2"/>
  <c r="M396" i="2"/>
  <c r="K396" i="2"/>
  <c r="M395" i="2"/>
  <c r="K395" i="2"/>
  <c r="E395" i="2"/>
  <c r="M394" i="2"/>
  <c r="K394" i="2"/>
  <c r="E394" i="2"/>
  <c r="M393" i="2"/>
  <c r="K393" i="2"/>
  <c r="E393" i="2"/>
  <c r="M392" i="2"/>
  <c r="K392" i="2"/>
  <c r="E392" i="2"/>
  <c r="M391" i="2"/>
  <c r="K391" i="2"/>
  <c r="E391" i="2"/>
  <c r="M390" i="2"/>
  <c r="K390" i="2"/>
  <c r="E390" i="2"/>
  <c r="M389" i="2"/>
  <c r="K389" i="2"/>
  <c r="E389" i="2"/>
  <c r="M388" i="2"/>
  <c r="K388" i="2"/>
  <c r="E388" i="2"/>
  <c r="M387" i="2"/>
  <c r="K387" i="2"/>
  <c r="E387" i="2"/>
  <c r="M386" i="2"/>
  <c r="K386" i="2"/>
  <c r="E386" i="2"/>
  <c r="M385" i="2"/>
  <c r="K385" i="2"/>
  <c r="M384" i="2"/>
  <c r="N384" i="2" s="1"/>
  <c r="K384" i="2"/>
  <c r="M383" i="2"/>
  <c r="N383" i="2" s="1"/>
  <c r="K383" i="2"/>
  <c r="M382" i="2"/>
  <c r="N382" i="2" s="1"/>
  <c r="K382" i="2"/>
  <c r="P381" i="2"/>
  <c r="M381" i="2"/>
  <c r="N381" i="2" s="1"/>
  <c r="K381" i="2"/>
  <c r="M380" i="2"/>
  <c r="N380" i="2" s="1"/>
  <c r="K380" i="2"/>
  <c r="M379" i="2"/>
  <c r="K379" i="2"/>
  <c r="M378" i="2"/>
  <c r="K378" i="2"/>
  <c r="F378" i="2"/>
  <c r="M377" i="2"/>
  <c r="N377" i="2" s="1"/>
  <c r="K377" i="2"/>
  <c r="F377" i="2"/>
  <c r="M376" i="2"/>
  <c r="K376" i="2"/>
  <c r="M375" i="2"/>
  <c r="K375" i="2"/>
  <c r="M374" i="2"/>
  <c r="K374" i="2"/>
  <c r="M373" i="2"/>
  <c r="K373" i="2"/>
  <c r="F373" i="2"/>
  <c r="M372" i="2"/>
  <c r="N372" i="2" s="1"/>
  <c r="K372" i="2"/>
  <c r="F372" i="2"/>
  <c r="M371" i="2"/>
  <c r="N371" i="2" s="1"/>
  <c r="K371" i="2"/>
  <c r="F371" i="2"/>
  <c r="P370" i="2"/>
  <c r="M370" i="2"/>
  <c r="K370" i="2"/>
  <c r="F370" i="2"/>
  <c r="M367" i="2"/>
  <c r="O367" i="2" s="1"/>
  <c r="M366" i="2"/>
  <c r="N366" i="2" s="1"/>
  <c r="K366" i="2"/>
  <c r="F366" i="2"/>
  <c r="M365" i="2"/>
  <c r="N365" i="2" s="1"/>
  <c r="K365" i="2"/>
  <c r="F365" i="2"/>
  <c r="M364" i="2"/>
  <c r="K364" i="2"/>
  <c r="M363" i="2"/>
  <c r="K363" i="2"/>
  <c r="E363" i="2"/>
  <c r="M362" i="2"/>
  <c r="K362" i="2"/>
  <c r="E362" i="2"/>
  <c r="M361" i="2"/>
  <c r="K361" i="2"/>
  <c r="E361" i="2"/>
  <c r="M360" i="2"/>
  <c r="K360" i="2"/>
  <c r="E360" i="2"/>
  <c r="M359" i="2"/>
  <c r="K359" i="2"/>
  <c r="E359" i="2"/>
  <c r="M358" i="2"/>
  <c r="K358" i="2"/>
  <c r="E358" i="2"/>
  <c r="M357" i="2"/>
  <c r="K357" i="2"/>
  <c r="E357" i="2"/>
  <c r="M356" i="2"/>
  <c r="K356" i="2"/>
  <c r="E356" i="2"/>
  <c r="M355" i="2"/>
  <c r="K355" i="2"/>
  <c r="E355" i="2"/>
  <c r="M354" i="2"/>
  <c r="K354" i="2"/>
  <c r="E354" i="2"/>
  <c r="M353" i="2"/>
  <c r="N353" i="2" s="1"/>
  <c r="K353" i="2"/>
  <c r="M352" i="2"/>
  <c r="K352" i="2"/>
  <c r="M351" i="2"/>
  <c r="N351" i="2" s="1"/>
  <c r="K351" i="2"/>
  <c r="M350" i="2"/>
  <c r="K350" i="2"/>
  <c r="P349" i="2"/>
  <c r="M349" i="2"/>
  <c r="N349" i="2" s="1"/>
  <c r="K349" i="2"/>
  <c r="M348" i="2"/>
  <c r="K348" i="2"/>
  <c r="M347" i="2"/>
  <c r="N347" i="2" s="1"/>
  <c r="K347" i="2"/>
  <c r="M346" i="2"/>
  <c r="N346" i="2" s="1"/>
  <c r="K346" i="2"/>
  <c r="F346" i="2"/>
  <c r="M345" i="2"/>
  <c r="N345" i="2" s="1"/>
  <c r="K345" i="2"/>
  <c r="F345" i="2"/>
  <c r="M344" i="2"/>
  <c r="K344" i="2"/>
  <c r="M343" i="2"/>
  <c r="K343" i="2"/>
  <c r="M342" i="2"/>
  <c r="N342" i="2" s="1"/>
  <c r="K342" i="2"/>
  <c r="M341" i="2"/>
  <c r="N341" i="2" s="1"/>
  <c r="K341" i="2"/>
  <c r="F341" i="2"/>
  <c r="M340" i="2"/>
  <c r="K340" i="2"/>
  <c r="F340" i="2"/>
  <c r="M339" i="2"/>
  <c r="K339" i="2"/>
  <c r="F339" i="2"/>
  <c r="P338" i="2"/>
  <c r="M338" i="2"/>
  <c r="N338" i="2" s="1"/>
  <c r="K338" i="2"/>
  <c r="F338" i="2"/>
  <c r="K159" i="2"/>
  <c r="F159" i="2"/>
  <c r="K158" i="2"/>
  <c r="F158" i="2"/>
  <c r="K157" i="2"/>
  <c r="L156" i="2"/>
  <c r="M156" i="2" s="1"/>
  <c r="K156" i="2"/>
  <c r="E156" i="2"/>
  <c r="L155" i="2"/>
  <c r="L660" i="2" s="1"/>
  <c r="M660" i="2" s="1"/>
  <c r="K155" i="2"/>
  <c r="E155" i="2"/>
  <c r="L154" i="2"/>
  <c r="L659" i="2" s="1"/>
  <c r="M659" i="2" s="1"/>
  <c r="K154" i="2"/>
  <c r="E154" i="2"/>
  <c r="L153" i="2"/>
  <c r="M153" i="2" s="1"/>
  <c r="K153" i="2"/>
  <c r="E153" i="2"/>
  <c r="L152" i="2"/>
  <c r="M152" i="2" s="1"/>
  <c r="K152" i="2"/>
  <c r="E152" i="2"/>
  <c r="L151" i="2"/>
  <c r="M151" i="2" s="1"/>
  <c r="K151" i="2"/>
  <c r="E151" i="2"/>
  <c r="L150" i="2"/>
  <c r="K150" i="2"/>
  <c r="E150" i="2"/>
  <c r="L149" i="2"/>
  <c r="L654" i="2" s="1"/>
  <c r="M654" i="2" s="1"/>
  <c r="K149" i="2"/>
  <c r="E149" i="2"/>
  <c r="L148" i="2"/>
  <c r="M148" i="2" s="1"/>
  <c r="K148" i="2"/>
  <c r="E148" i="2"/>
  <c r="L147" i="2"/>
  <c r="L652" i="2" s="1"/>
  <c r="M652" i="2" s="1"/>
  <c r="K147" i="2"/>
  <c r="E147" i="2"/>
  <c r="M146" i="2"/>
  <c r="N146" i="2" s="1"/>
  <c r="K146" i="2"/>
  <c r="M145" i="2"/>
  <c r="K145" i="2"/>
  <c r="M144" i="2"/>
  <c r="K144" i="2"/>
  <c r="M143" i="2"/>
  <c r="K143" i="2"/>
  <c r="P142" i="2"/>
  <c r="L158" i="2" s="1"/>
  <c r="M158" i="2" s="1"/>
  <c r="M142" i="2"/>
  <c r="N142" i="2" s="1"/>
  <c r="K142" i="2"/>
  <c r="K141" i="2"/>
  <c r="K140" i="2"/>
  <c r="K139" i="2"/>
  <c r="F139" i="2"/>
  <c r="K138" i="2"/>
  <c r="F138" i="2"/>
  <c r="K137" i="2"/>
  <c r="K136" i="2"/>
  <c r="K135" i="2"/>
  <c r="M134" i="2"/>
  <c r="N134" i="2" s="1"/>
  <c r="K134" i="2"/>
  <c r="F134" i="2"/>
  <c r="M133" i="2"/>
  <c r="K133" i="2"/>
  <c r="F133" i="2"/>
  <c r="M132" i="2"/>
  <c r="N132" i="2" s="1"/>
  <c r="K132" i="2"/>
  <c r="F132" i="2"/>
  <c r="P131" i="2"/>
  <c r="L136" i="2" s="1"/>
  <c r="L641" i="2" s="1"/>
  <c r="M641" i="2" s="1"/>
  <c r="M131" i="2"/>
  <c r="N131" i="2" s="1"/>
  <c r="K131" i="2"/>
  <c r="F131" i="2"/>
  <c r="K127" i="2"/>
  <c r="F127" i="2"/>
  <c r="K126" i="2"/>
  <c r="F126" i="2"/>
  <c r="K125" i="2"/>
  <c r="L124" i="2"/>
  <c r="K124" i="2"/>
  <c r="E124" i="2"/>
  <c r="L123" i="2"/>
  <c r="M123" i="2" s="1"/>
  <c r="K123" i="2"/>
  <c r="E123" i="2"/>
  <c r="L122" i="2"/>
  <c r="M122" i="2" s="1"/>
  <c r="K122" i="2"/>
  <c r="E122" i="2"/>
  <c r="L121" i="2"/>
  <c r="L626" i="2" s="1"/>
  <c r="M626" i="2" s="1"/>
  <c r="K121" i="2"/>
  <c r="E121" i="2"/>
  <c r="L120" i="2"/>
  <c r="K120" i="2"/>
  <c r="E120" i="2"/>
  <c r="L119" i="2"/>
  <c r="K119" i="2"/>
  <c r="E119" i="2"/>
  <c r="L118" i="2"/>
  <c r="M118" i="2" s="1"/>
  <c r="K118" i="2"/>
  <c r="E118" i="2"/>
  <c r="L117" i="2"/>
  <c r="M117" i="2" s="1"/>
  <c r="K117" i="2"/>
  <c r="E117" i="2"/>
  <c r="L116" i="2"/>
  <c r="L621" i="2" s="1"/>
  <c r="M621" i="2" s="1"/>
  <c r="K116" i="2"/>
  <c r="E116" i="2"/>
  <c r="L115" i="2"/>
  <c r="L620" i="2" s="1"/>
  <c r="M620" i="2" s="1"/>
  <c r="K115" i="2"/>
  <c r="E115" i="2"/>
  <c r="M114" i="2"/>
  <c r="K114" i="2"/>
  <c r="M113" i="2"/>
  <c r="K113" i="2"/>
  <c r="M112" i="2"/>
  <c r="N112" i="2" s="1"/>
  <c r="K112" i="2"/>
  <c r="M111" i="2"/>
  <c r="N111" i="2" s="1"/>
  <c r="K111" i="2"/>
  <c r="P110" i="2"/>
  <c r="L127" i="2" s="1"/>
  <c r="M110" i="2"/>
  <c r="K110" i="2"/>
  <c r="K109" i="2"/>
  <c r="K108" i="2"/>
  <c r="K107" i="2"/>
  <c r="F107" i="2"/>
  <c r="K106" i="2"/>
  <c r="F106" i="2"/>
  <c r="K105" i="2"/>
  <c r="K104" i="2"/>
  <c r="K103" i="2"/>
  <c r="M102" i="2"/>
  <c r="N102" i="2" s="1"/>
  <c r="K102" i="2"/>
  <c r="F102" i="2"/>
  <c r="M101" i="2"/>
  <c r="N101" i="2" s="1"/>
  <c r="K101" i="2"/>
  <c r="F101" i="2"/>
  <c r="M100" i="2"/>
  <c r="K100" i="2"/>
  <c r="F100" i="2"/>
  <c r="P99" i="2"/>
  <c r="L105" i="2" s="1"/>
  <c r="M99" i="2"/>
  <c r="K99" i="2"/>
  <c r="F99" i="2"/>
  <c r="K95" i="2"/>
  <c r="F95" i="2"/>
  <c r="K94" i="2"/>
  <c r="F94" i="2"/>
  <c r="K93" i="2"/>
  <c r="L92" i="2"/>
  <c r="K92" i="2"/>
  <c r="E92" i="2"/>
  <c r="L91" i="2"/>
  <c r="L596" i="2" s="1"/>
  <c r="M596" i="2" s="1"/>
  <c r="K91" i="2"/>
  <c r="E91" i="2"/>
  <c r="L90" i="2"/>
  <c r="K90" i="2"/>
  <c r="E90" i="2"/>
  <c r="L89" i="2"/>
  <c r="M89" i="2" s="1"/>
  <c r="K89" i="2"/>
  <c r="E89" i="2"/>
  <c r="L88" i="2"/>
  <c r="L593" i="2" s="1"/>
  <c r="M593" i="2" s="1"/>
  <c r="K88" i="2"/>
  <c r="E88" i="2"/>
  <c r="L87" i="2"/>
  <c r="M87" i="2" s="1"/>
  <c r="K87" i="2"/>
  <c r="E87" i="2"/>
  <c r="L86" i="2"/>
  <c r="L591" i="2" s="1"/>
  <c r="M591" i="2" s="1"/>
  <c r="K86" i="2"/>
  <c r="E86" i="2"/>
  <c r="L85" i="2"/>
  <c r="M85" i="2" s="1"/>
  <c r="K85" i="2"/>
  <c r="E85" i="2"/>
  <c r="L84" i="2"/>
  <c r="L589" i="2" s="1"/>
  <c r="M589" i="2" s="1"/>
  <c r="K84" i="2"/>
  <c r="E84" i="2"/>
  <c r="L83" i="2"/>
  <c r="L588" i="2" s="1"/>
  <c r="M588" i="2" s="1"/>
  <c r="K83" i="2"/>
  <c r="E83" i="2"/>
  <c r="M82" i="2"/>
  <c r="K82" i="2"/>
  <c r="M81" i="2"/>
  <c r="N81" i="2" s="1"/>
  <c r="K81" i="2"/>
  <c r="M80" i="2"/>
  <c r="N80" i="2" s="1"/>
  <c r="K80" i="2"/>
  <c r="M79" i="2"/>
  <c r="N79" i="2" s="1"/>
  <c r="K79" i="2"/>
  <c r="P78" i="2"/>
  <c r="L95" i="2" s="1"/>
  <c r="M78" i="2"/>
  <c r="K78" i="2"/>
  <c r="K77" i="2"/>
  <c r="K76" i="2"/>
  <c r="K75" i="2"/>
  <c r="F75" i="2"/>
  <c r="K74" i="2"/>
  <c r="F74" i="2"/>
  <c r="K73" i="2"/>
  <c r="K72" i="2"/>
  <c r="K71" i="2"/>
  <c r="M70" i="2"/>
  <c r="K70" i="2"/>
  <c r="F70" i="2"/>
  <c r="M69" i="2"/>
  <c r="N69" i="2" s="1"/>
  <c r="K69" i="2"/>
  <c r="F69" i="2"/>
  <c r="M68" i="2"/>
  <c r="N68" i="2" s="1"/>
  <c r="K68" i="2"/>
  <c r="F68" i="2"/>
  <c r="P67" i="2"/>
  <c r="L72" i="2" s="1"/>
  <c r="M67" i="2"/>
  <c r="K67" i="2"/>
  <c r="F67" i="2"/>
  <c r="K63" i="2"/>
  <c r="F63" i="2"/>
  <c r="K62" i="2"/>
  <c r="F62" i="2"/>
  <c r="K61" i="2"/>
  <c r="L60" i="2"/>
  <c r="K60" i="2"/>
  <c r="E60" i="2"/>
  <c r="L59" i="2"/>
  <c r="L564" i="2" s="1"/>
  <c r="M564" i="2" s="1"/>
  <c r="K59" i="2"/>
  <c r="E59" i="2"/>
  <c r="L58" i="2"/>
  <c r="K58" i="2"/>
  <c r="E58" i="2"/>
  <c r="L57" i="2"/>
  <c r="K57" i="2"/>
  <c r="E57" i="2"/>
  <c r="L56" i="2"/>
  <c r="M56" i="2" s="1"/>
  <c r="K56" i="2"/>
  <c r="E56" i="2"/>
  <c r="L55" i="2"/>
  <c r="M55" i="2" s="1"/>
  <c r="K55" i="2"/>
  <c r="E55" i="2"/>
  <c r="L54" i="2"/>
  <c r="K54" i="2"/>
  <c r="E54" i="2"/>
  <c r="L53" i="2"/>
  <c r="L558" i="2" s="1"/>
  <c r="M558" i="2" s="1"/>
  <c r="K53" i="2"/>
  <c r="E53" i="2"/>
  <c r="L52" i="2"/>
  <c r="M52" i="2" s="1"/>
  <c r="K52" i="2"/>
  <c r="E52" i="2"/>
  <c r="L51" i="2"/>
  <c r="L556" i="2" s="1"/>
  <c r="M556" i="2" s="1"/>
  <c r="K51" i="2"/>
  <c r="E51" i="2"/>
  <c r="M50" i="2"/>
  <c r="K50" i="2"/>
  <c r="M49" i="2"/>
  <c r="K49" i="2"/>
  <c r="M48" i="2"/>
  <c r="N48" i="2" s="1"/>
  <c r="K48" i="2"/>
  <c r="M47" i="2"/>
  <c r="K47" i="2"/>
  <c r="P46" i="2"/>
  <c r="L65" i="2" s="1"/>
  <c r="L570" i="2" s="1"/>
  <c r="M46" i="2"/>
  <c r="K46" i="2"/>
  <c r="K45" i="2"/>
  <c r="K44" i="2"/>
  <c r="K43" i="2"/>
  <c r="F43" i="2"/>
  <c r="K42" i="2"/>
  <c r="F42" i="2"/>
  <c r="K41" i="2"/>
  <c r="K40" i="2"/>
  <c r="K39" i="2"/>
  <c r="M38" i="2"/>
  <c r="K38" i="2"/>
  <c r="F38" i="2"/>
  <c r="M37" i="2"/>
  <c r="K37" i="2"/>
  <c r="F37" i="2"/>
  <c r="M36" i="2"/>
  <c r="K36" i="2"/>
  <c r="F36" i="2"/>
  <c r="P35" i="2"/>
  <c r="M35" i="2"/>
  <c r="K35" i="2"/>
  <c r="F35" i="2"/>
  <c r="K31" i="2"/>
  <c r="F31" i="2"/>
  <c r="K30" i="2"/>
  <c r="F30" i="2"/>
  <c r="K29" i="2"/>
  <c r="L28" i="2"/>
  <c r="L533" i="2" s="1"/>
  <c r="M533" i="2" s="1"/>
  <c r="K28" i="2"/>
  <c r="E28" i="2"/>
  <c r="L27" i="2"/>
  <c r="M27" i="2" s="1"/>
  <c r="K27" i="2"/>
  <c r="E27" i="2"/>
  <c r="L26" i="2"/>
  <c r="L531" i="2" s="1"/>
  <c r="M531" i="2" s="1"/>
  <c r="K26" i="2"/>
  <c r="E26" i="2"/>
  <c r="L25" i="2"/>
  <c r="L530" i="2" s="1"/>
  <c r="M530" i="2" s="1"/>
  <c r="K25" i="2"/>
  <c r="E25" i="2"/>
  <c r="L24" i="2"/>
  <c r="L529" i="2" s="1"/>
  <c r="M529" i="2" s="1"/>
  <c r="K24" i="2"/>
  <c r="E24" i="2"/>
  <c r="L23" i="2"/>
  <c r="M23" i="2" s="1"/>
  <c r="K23" i="2"/>
  <c r="E23" i="2"/>
  <c r="L22" i="2"/>
  <c r="L527" i="2" s="1"/>
  <c r="M527" i="2" s="1"/>
  <c r="K22" i="2"/>
  <c r="E22" i="2"/>
  <c r="L21" i="2"/>
  <c r="K21" i="2"/>
  <c r="E21" i="2"/>
  <c r="L20" i="2"/>
  <c r="M20" i="2" s="1"/>
  <c r="K20" i="2"/>
  <c r="E20" i="2"/>
  <c r="L19" i="2"/>
  <c r="L524" i="2" s="1"/>
  <c r="M524" i="2" s="1"/>
  <c r="K19" i="2"/>
  <c r="E19" i="2"/>
  <c r="M18" i="2"/>
  <c r="K18" i="2"/>
  <c r="M17" i="2"/>
  <c r="K17" i="2"/>
  <c r="M16" i="2"/>
  <c r="N16" i="2" s="1"/>
  <c r="K16" i="2"/>
  <c r="M15" i="2"/>
  <c r="K15" i="2"/>
  <c r="P14" i="2"/>
  <c r="L31" i="2" s="1"/>
  <c r="M14" i="2"/>
  <c r="K14" i="2"/>
  <c r="K13" i="2"/>
  <c r="K12" i="2"/>
  <c r="K11" i="2"/>
  <c r="F11" i="2"/>
  <c r="K10" i="2"/>
  <c r="F10" i="2"/>
  <c r="K9" i="2"/>
  <c r="K8" i="2"/>
  <c r="K7" i="2"/>
  <c r="M6" i="2"/>
  <c r="K6" i="2"/>
  <c r="F6" i="2"/>
  <c r="M5" i="2"/>
  <c r="K5" i="2"/>
  <c r="F5" i="2"/>
  <c r="M4" i="2"/>
  <c r="K4" i="2"/>
  <c r="F4" i="2"/>
  <c r="P3" i="2"/>
  <c r="L13" i="2" s="1"/>
  <c r="M3" i="2"/>
  <c r="K3" i="2"/>
  <c r="F3" i="2"/>
  <c r="O68" i="2" l="1"/>
  <c r="L561" i="2"/>
  <c r="M561" i="2" s="1"/>
  <c r="O561" i="2" s="1"/>
  <c r="N222" i="2"/>
  <c r="O111" i="2"/>
  <c r="O258" i="2"/>
  <c r="O527" i="2"/>
  <c r="N23" i="2"/>
  <c r="N485" i="2"/>
  <c r="N219" i="2"/>
  <c r="N254" i="2"/>
  <c r="N118" i="2"/>
  <c r="N486" i="2"/>
  <c r="O414" i="2"/>
  <c r="O219" i="2"/>
  <c r="N151" i="2"/>
  <c r="O372" i="2"/>
  <c r="L43" i="2"/>
  <c r="L548" i="2" s="1"/>
  <c r="M548" i="2" s="1"/>
  <c r="N56" i="2"/>
  <c r="N354" i="2"/>
  <c r="O81" i="2"/>
  <c r="O346" i="2"/>
  <c r="O382" i="2"/>
  <c r="O500" i="2"/>
  <c r="O556" i="2"/>
  <c r="N153" i="2"/>
  <c r="N123" i="2"/>
  <c r="O621" i="2"/>
  <c r="N360" i="2"/>
  <c r="N458" i="2"/>
  <c r="O654" i="2"/>
  <c r="O79" i="2"/>
  <c r="N284" i="2"/>
  <c r="O391" i="2"/>
  <c r="N122" i="2"/>
  <c r="N420" i="2"/>
  <c r="N490" i="2"/>
  <c r="L41" i="2"/>
  <c r="M41" i="2" s="1"/>
  <c r="N41" i="2" s="1"/>
  <c r="O102" i="2"/>
  <c r="O365" i="2"/>
  <c r="N287" i="2"/>
  <c r="N389" i="2"/>
  <c r="O660" i="2"/>
  <c r="O27" i="2"/>
  <c r="L653" i="2"/>
  <c r="M653" i="2" s="1"/>
  <c r="O653" i="2" s="1"/>
  <c r="O332" i="2"/>
  <c r="N489" i="2"/>
  <c r="L71" i="2"/>
  <c r="M71" i="2" s="1"/>
  <c r="O71" i="2" s="1"/>
  <c r="O293" i="2"/>
  <c r="M25" i="2"/>
  <c r="N25" i="2" s="1"/>
  <c r="L658" i="2"/>
  <c r="M658" i="2" s="1"/>
  <c r="O658" i="2" s="1"/>
  <c r="O164" i="2"/>
  <c r="M334" i="2"/>
  <c r="L73" i="2"/>
  <c r="M73" i="2" s="1"/>
  <c r="N73" i="2" s="1"/>
  <c r="O455" i="2"/>
  <c r="L74" i="2"/>
  <c r="L579" i="2" s="1"/>
  <c r="M579" i="2" s="1"/>
  <c r="O579" i="2" s="1"/>
  <c r="O165" i="2"/>
  <c r="O670" i="2"/>
  <c r="O323" i="2"/>
  <c r="O325" i="2"/>
  <c r="O494" i="2"/>
  <c r="O46" i="2"/>
  <c r="L661" i="2"/>
  <c r="M661" i="2" s="1"/>
  <c r="N661" i="2" s="1"/>
  <c r="O221" i="2"/>
  <c r="N55" i="2"/>
  <c r="N488" i="2"/>
  <c r="O311" i="2"/>
  <c r="N164" i="2"/>
  <c r="O146" i="2"/>
  <c r="O222" i="2"/>
  <c r="O379" i="2"/>
  <c r="O70" i="2"/>
  <c r="O134" i="2"/>
  <c r="O52" i="2"/>
  <c r="O361" i="2"/>
  <c r="L66" i="2"/>
  <c r="L571" i="2" s="1"/>
  <c r="L7" i="2"/>
  <c r="M7" i="2" s="1"/>
  <c r="L106" i="2"/>
  <c r="L611" i="2" s="1"/>
  <c r="M611" i="2" s="1"/>
  <c r="N611" i="2" s="1"/>
  <c r="N358" i="2"/>
  <c r="N393" i="2"/>
  <c r="N196" i="2"/>
  <c r="N165" i="2"/>
  <c r="L627" i="2"/>
  <c r="M627" i="2" s="1"/>
  <c r="O627" i="2" s="1"/>
  <c r="O524" i="2"/>
  <c r="O358" i="2"/>
  <c r="O179" i="2"/>
  <c r="O476" i="2"/>
  <c r="O156" i="2"/>
  <c r="O451" i="2"/>
  <c r="O89" i="2"/>
  <c r="O158" i="2"/>
  <c r="O290" i="2"/>
  <c r="O283" i="2"/>
  <c r="O318" i="2"/>
  <c r="L63" i="2"/>
  <c r="L568" i="2" s="1"/>
  <c r="M568" i="2" s="1"/>
  <c r="O568" i="2" s="1"/>
  <c r="O133" i="2"/>
  <c r="L125" i="2"/>
  <c r="L630" i="2" s="1"/>
  <c r="M630" i="2" s="1"/>
  <c r="N630" i="2" s="1"/>
  <c r="O386" i="2"/>
  <c r="N315" i="2"/>
  <c r="L656" i="2"/>
  <c r="M656" i="2" s="1"/>
  <c r="N656" i="2" s="1"/>
  <c r="O333" i="2"/>
  <c r="O491" i="2"/>
  <c r="N190" i="2"/>
  <c r="O485" i="2"/>
  <c r="O271" i="2"/>
  <c r="N316" i="2"/>
  <c r="O388" i="2"/>
  <c r="O344" i="2"/>
  <c r="O397" i="2"/>
  <c r="O175" i="2"/>
  <c r="O143" i="2"/>
  <c r="O247" i="2"/>
  <c r="O616" i="2"/>
  <c r="L8" i="2"/>
  <c r="L513" i="2" s="1"/>
  <c r="M513" i="2" s="1"/>
  <c r="O513" i="2" s="1"/>
  <c r="O591" i="2"/>
  <c r="L594" i="2"/>
  <c r="M594" i="2" s="1"/>
  <c r="O594" i="2" s="1"/>
  <c r="N87" i="2"/>
  <c r="O484" i="2"/>
  <c r="N670" i="2"/>
  <c r="M105" i="2"/>
  <c r="O105" i="2" s="1"/>
  <c r="L610" i="2"/>
  <c r="M610" i="2" s="1"/>
  <c r="O610" i="2" s="1"/>
  <c r="M127" i="2"/>
  <c r="N127" i="2" s="1"/>
  <c r="L632" i="2"/>
  <c r="M632" i="2" s="1"/>
  <c r="O632" i="2" s="1"/>
  <c r="L518" i="2"/>
  <c r="M518" i="2" s="1"/>
  <c r="N518" i="2" s="1"/>
  <c r="M13" i="2"/>
  <c r="O13" i="2" s="1"/>
  <c r="M31" i="2"/>
  <c r="N31" i="2" s="1"/>
  <c r="L536" i="2"/>
  <c r="M536" i="2" s="1"/>
  <c r="O536" i="2" s="1"/>
  <c r="O390" i="2"/>
  <c r="N459" i="2"/>
  <c r="O180" i="2"/>
  <c r="O189" i="2"/>
  <c r="O196" i="2"/>
  <c r="O312" i="2"/>
  <c r="O639" i="2"/>
  <c r="O292" i="2"/>
  <c r="L560" i="2"/>
  <c r="M560" i="2" s="1"/>
  <c r="O560" i="2" s="1"/>
  <c r="M149" i="2"/>
  <c r="N149" i="2" s="1"/>
  <c r="O56" i="2"/>
  <c r="O224" i="2"/>
  <c r="N133" i="2"/>
  <c r="O364" i="2"/>
  <c r="O445" i="2"/>
  <c r="O182" i="2"/>
  <c r="O16" i="2"/>
  <c r="M83" i="2"/>
  <c r="O83" i="2" s="1"/>
  <c r="N357" i="2"/>
  <c r="O287" i="2"/>
  <c r="L32" i="2"/>
  <c r="L537" i="2" s="1"/>
  <c r="M537" i="2" s="1"/>
  <c r="L75" i="2"/>
  <c r="L580" i="2" s="1"/>
  <c r="M580" i="2" s="1"/>
  <c r="O580" i="2" s="1"/>
  <c r="O385" i="2"/>
  <c r="N427" i="2"/>
  <c r="O446" i="2"/>
  <c r="O454" i="2"/>
  <c r="O487" i="2"/>
  <c r="O279" i="2"/>
  <c r="O295" i="2"/>
  <c r="O575" i="2"/>
  <c r="L663" i="2"/>
  <c r="M663" i="2" s="1"/>
  <c r="O663" i="2" s="1"/>
  <c r="L33" i="2"/>
  <c r="L538" i="2" s="1"/>
  <c r="O589" i="2"/>
  <c r="O101" i="2"/>
  <c r="L126" i="2"/>
  <c r="M126" i="2" s="1"/>
  <c r="O144" i="2"/>
  <c r="O151" i="2"/>
  <c r="O376" i="2"/>
  <c r="O420" i="2"/>
  <c r="O462" i="2"/>
  <c r="O472" i="2"/>
  <c r="O480" i="2"/>
  <c r="O174" i="2"/>
  <c r="O260" i="2"/>
  <c r="O270" i="2"/>
  <c r="O306" i="2"/>
  <c r="N322" i="2"/>
  <c r="O508" i="2"/>
  <c r="O542" i="2"/>
  <c r="L622" i="2"/>
  <c r="M622" i="2" s="1"/>
  <c r="O622" i="2" s="1"/>
  <c r="O18" i="2"/>
  <c r="L34" i="2"/>
  <c r="L539" i="2" s="1"/>
  <c r="L76" i="2"/>
  <c r="N85" i="2"/>
  <c r="N152" i="2"/>
  <c r="N359" i="2"/>
  <c r="O393" i="2"/>
  <c r="O403" i="2"/>
  <c r="N421" i="2"/>
  <c r="O428" i="2"/>
  <c r="O438" i="2"/>
  <c r="O210" i="2"/>
  <c r="N226" i="2"/>
  <c r="O236" i="2"/>
  <c r="O253" i="2"/>
  <c r="N288" i="2"/>
  <c r="N323" i="2"/>
  <c r="O123" i="2"/>
  <c r="O15" i="2"/>
  <c r="O452" i="2"/>
  <c r="N15" i="2"/>
  <c r="O363" i="2"/>
  <c r="O197" i="2"/>
  <c r="O6" i="2"/>
  <c r="L30" i="2"/>
  <c r="L535" i="2" s="1"/>
  <c r="M535" i="2" s="1"/>
  <c r="N535" i="2" s="1"/>
  <c r="N391" i="2"/>
  <c r="O190" i="2"/>
  <c r="N251" i="2"/>
  <c r="N286" i="2"/>
  <c r="O313" i="2"/>
  <c r="O327" i="2"/>
  <c r="O471" i="2"/>
  <c r="M24" i="2"/>
  <c r="O24" i="2" s="1"/>
  <c r="M51" i="2"/>
  <c r="O51" i="2" s="1"/>
  <c r="O359" i="2"/>
  <c r="O35" i="2"/>
  <c r="L128" i="2"/>
  <c r="O394" i="2"/>
  <c r="O488" i="2"/>
  <c r="O237" i="2"/>
  <c r="L532" i="2"/>
  <c r="M532" i="2" s="1"/>
  <c r="N532" i="2" s="1"/>
  <c r="O352" i="2"/>
  <c r="O440" i="2"/>
  <c r="N456" i="2"/>
  <c r="O308" i="2"/>
  <c r="L657" i="2"/>
  <c r="M657" i="2" s="1"/>
  <c r="N657" i="2" s="1"/>
  <c r="N27" i="2"/>
  <c r="N46" i="2"/>
  <c r="L130" i="2"/>
  <c r="L635" i="2" s="1"/>
  <c r="O153" i="2"/>
  <c r="L160" i="2"/>
  <c r="L665" i="2" s="1"/>
  <c r="M665" i="2" s="1"/>
  <c r="N388" i="2"/>
  <c r="O449" i="2"/>
  <c r="O482" i="2"/>
  <c r="N187" i="2"/>
  <c r="O212" i="2"/>
  <c r="O273" i="2"/>
  <c r="N283" i="2"/>
  <c r="O317" i="2"/>
  <c r="L557" i="2"/>
  <c r="M557" i="2" s="1"/>
  <c r="N557" i="2" s="1"/>
  <c r="N332" i="2"/>
  <c r="O408" i="2"/>
  <c r="L29" i="2"/>
  <c r="O49" i="2"/>
  <c r="N89" i="2"/>
  <c r="O142" i="2"/>
  <c r="L628" i="2"/>
  <c r="M628" i="2" s="1"/>
  <c r="N628" i="2" s="1"/>
  <c r="O418" i="2"/>
  <c r="O181" i="2"/>
  <c r="O207" i="2"/>
  <c r="L108" i="2"/>
  <c r="L613" i="2" s="1"/>
  <c r="M613" i="2" s="1"/>
  <c r="O613" i="2" s="1"/>
  <c r="N143" i="2"/>
  <c r="L157" i="2"/>
  <c r="O392" i="2"/>
  <c r="O596" i="2"/>
  <c r="O342" i="2"/>
  <c r="L11" i="2"/>
  <c r="M11" i="2" s="1"/>
  <c r="O11" i="2" s="1"/>
  <c r="N564" i="2"/>
  <c r="O78" i="2"/>
  <c r="L159" i="2"/>
  <c r="O404" i="2"/>
  <c r="O193" i="2"/>
  <c r="O227" i="2"/>
  <c r="O522" i="2"/>
  <c r="N35" i="2"/>
  <c r="O113" i="2"/>
  <c r="L129" i="2"/>
  <c r="L634" i="2" s="1"/>
  <c r="O343" i="2"/>
  <c r="O466" i="2"/>
  <c r="O186" i="2"/>
  <c r="O262" i="2"/>
  <c r="L590" i="2"/>
  <c r="M590" i="2" s="1"/>
  <c r="O590" i="2" s="1"/>
  <c r="L12" i="2"/>
  <c r="L517" i="2" s="1"/>
  <c r="M517" i="2" s="1"/>
  <c r="O517" i="2" s="1"/>
  <c r="O20" i="2"/>
  <c r="M53" i="2"/>
  <c r="O53" i="2" s="1"/>
  <c r="L104" i="2"/>
  <c r="L609" i="2" s="1"/>
  <c r="M609" i="2" s="1"/>
  <c r="N609" i="2" s="1"/>
  <c r="L161" i="2"/>
  <c r="L666" i="2" s="1"/>
  <c r="N361" i="2"/>
  <c r="O474" i="2"/>
  <c r="O489" i="2"/>
  <c r="O228" i="2"/>
  <c r="N255" i="2"/>
  <c r="O309" i="2"/>
  <c r="N318" i="2"/>
  <c r="N70" i="2"/>
  <c r="O274" i="2"/>
  <c r="O301" i="2"/>
  <c r="N325" i="2"/>
  <c r="L592" i="2"/>
  <c r="M592" i="2" s="1"/>
  <c r="O592" i="2" s="1"/>
  <c r="N333" i="2"/>
  <c r="O593" i="2"/>
  <c r="O355" i="2"/>
  <c r="O55" i="2"/>
  <c r="M116" i="2"/>
  <c r="O116" i="2" s="1"/>
  <c r="O398" i="2"/>
  <c r="O23" i="2"/>
  <c r="O339" i="2"/>
  <c r="O373" i="2"/>
  <c r="O242" i="2"/>
  <c r="O100" i="2"/>
  <c r="O374" i="2"/>
  <c r="O436" i="2"/>
  <c r="O453" i="2"/>
  <c r="O402" i="2"/>
  <c r="O493" i="2"/>
  <c r="O198" i="2"/>
  <c r="O259" i="2"/>
  <c r="N321" i="2"/>
  <c r="O541" i="2"/>
  <c r="O191" i="2"/>
  <c r="N225" i="2"/>
  <c r="O243" i="2"/>
  <c r="O85" i="2"/>
  <c r="O152" i="2"/>
  <c r="O299" i="2"/>
  <c r="L623" i="2"/>
  <c r="M623" i="2" s="1"/>
  <c r="O623" i="2" s="1"/>
  <c r="L162" i="2"/>
  <c r="L667" i="2" s="1"/>
  <c r="O36" i="2"/>
  <c r="O423" i="2"/>
  <c r="O450" i="2"/>
  <c r="O483" i="2"/>
  <c r="O87" i="2"/>
  <c r="O620" i="2"/>
  <c r="M154" i="2"/>
  <c r="O154" i="2" s="1"/>
  <c r="O354" i="2"/>
  <c r="O490" i="2"/>
  <c r="N195" i="2"/>
  <c r="O248" i="2"/>
  <c r="O4" i="2"/>
  <c r="O48" i="2"/>
  <c r="N362" i="2"/>
  <c r="O389" i="2"/>
  <c r="O434" i="2"/>
  <c r="O458" i="2"/>
  <c r="N491" i="2"/>
  <c r="O195" i="2"/>
  <c r="O205" i="2"/>
  <c r="O240" i="2"/>
  <c r="N257" i="2"/>
  <c r="O284" i="2"/>
  <c r="O289" i="2"/>
  <c r="O254" i="2"/>
  <c r="N452" i="2"/>
  <c r="O461" i="2"/>
  <c r="N425" i="2"/>
  <c r="O278" i="2"/>
  <c r="N422" i="2"/>
  <c r="N453" i="2"/>
  <c r="N451" i="2"/>
  <c r="N438" i="2"/>
  <c r="N440" i="2"/>
  <c r="O443" i="2"/>
  <c r="O429" i="2"/>
  <c r="N428" i="2"/>
  <c r="N419" i="2"/>
  <c r="O426" i="2"/>
  <c r="O407" i="2"/>
  <c r="O649" i="2"/>
  <c r="N649" i="2"/>
  <c r="N191" i="2"/>
  <c r="N327" i="2"/>
  <c r="O267" i="2"/>
  <c r="N621" i="2"/>
  <c r="N660" i="2"/>
  <c r="N306" i="2"/>
  <c r="N264" i="2"/>
  <c r="N252" i="2"/>
  <c r="O316" i="2"/>
  <c r="O322" i="2"/>
  <c r="N193" i="2"/>
  <c r="O185" i="2"/>
  <c r="N311" i="2"/>
  <c r="N324" i="2"/>
  <c r="N221" i="2"/>
  <c r="N228" i="2"/>
  <c r="O324" i="2"/>
  <c r="N319" i="2"/>
  <c r="O305" i="2"/>
  <c r="O229" i="2"/>
  <c r="O263" i="2"/>
  <c r="N289" i="2"/>
  <c r="N320" i="2"/>
  <c r="O456" i="2"/>
  <c r="N457" i="2"/>
  <c r="N462" i="2"/>
  <c r="O413" i="2"/>
  <c r="N408" i="2"/>
  <c r="N423" i="2"/>
  <c r="N418" i="2"/>
  <c r="N431" i="2"/>
  <c r="O406" i="2"/>
  <c r="O412" i="2"/>
  <c r="O425" i="2"/>
  <c r="N455" i="2"/>
  <c r="O411" i="2"/>
  <c r="N426" i="2"/>
  <c r="O377" i="2"/>
  <c r="O564" i="2"/>
  <c r="N397" i="2"/>
  <c r="P551" i="2"/>
  <c r="O383" i="2"/>
  <c r="N558" i="2"/>
  <c r="O384" i="2"/>
  <c r="N387" i="2"/>
  <c r="O387" i="2"/>
  <c r="O380" i="2"/>
  <c r="N390" i="2"/>
  <c r="O353" i="2"/>
  <c r="O347" i="2"/>
  <c r="N355" i="2"/>
  <c r="O349" i="2"/>
  <c r="N356" i="2"/>
  <c r="O356" i="2"/>
  <c r="O366" i="2"/>
  <c r="O357" i="2"/>
  <c r="N352" i="2"/>
  <c r="O245" i="2"/>
  <c r="O282" i="2"/>
  <c r="O288" i="2"/>
  <c r="O296" i="2"/>
  <c r="O276" i="2"/>
  <c r="O255" i="2"/>
  <c r="N285" i="2"/>
  <c r="N291" i="2"/>
  <c r="N247" i="2"/>
  <c r="O272" i="2"/>
  <c r="N593" i="2"/>
  <c r="O251" i="2"/>
  <c r="N279" i="2"/>
  <c r="N273" i="2"/>
  <c r="N616" i="2"/>
  <c r="N253" i="2"/>
  <c r="N240" i="2"/>
  <c r="P583" i="2"/>
  <c r="N260" i="2"/>
  <c r="N259" i="2"/>
  <c r="O204" i="2"/>
  <c r="N212" i="2"/>
  <c r="M551" i="2"/>
  <c r="O551" i="2" s="1"/>
  <c r="O213" i="2"/>
  <c r="O214" i="2"/>
  <c r="N227" i="2"/>
  <c r="N223" i="2"/>
  <c r="O209" i="2"/>
  <c r="O216" i="2"/>
  <c r="N224" i="2"/>
  <c r="N181" i="2"/>
  <c r="N524" i="2"/>
  <c r="N192" i="2"/>
  <c r="N198" i="2"/>
  <c r="N529" i="2"/>
  <c r="N530" i="2"/>
  <c r="O530" i="2"/>
  <c r="N180" i="2"/>
  <c r="O200" i="2"/>
  <c r="N189" i="2"/>
  <c r="N179" i="2"/>
  <c r="N301" i="2"/>
  <c r="P636" i="2"/>
  <c r="N237" i="2"/>
  <c r="N403" i="2"/>
  <c r="O371" i="2"/>
  <c r="N373" i="2"/>
  <c r="N174" i="2"/>
  <c r="N339" i="2"/>
  <c r="O341" i="2"/>
  <c r="N509" i="2"/>
  <c r="O509" i="2"/>
  <c r="N604" i="2"/>
  <c r="O604" i="2"/>
  <c r="O648" i="2"/>
  <c r="N648" i="2"/>
  <c r="O637" i="2"/>
  <c r="N637" i="2"/>
  <c r="N36" i="2"/>
  <c r="O409" i="2"/>
  <c r="O188" i="2"/>
  <c r="N188" i="2"/>
  <c r="O381" i="2"/>
  <c r="N374" i="2"/>
  <c r="O281" i="2"/>
  <c r="N281" i="2"/>
  <c r="O641" i="2"/>
  <c r="N641" i="2"/>
  <c r="O447" i="2"/>
  <c r="O459" i="2"/>
  <c r="N248" i="2"/>
  <c r="O362" i="2"/>
  <c r="O460" i="2"/>
  <c r="N460" i="2"/>
  <c r="O117" i="2"/>
  <c r="O441" i="2"/>
  <c r="N344" i="2"/>
  <c r="O435" i="2"/>
  <c r="N556" i="2"/>
  <c r="N394" i="2"/>
  <c r="O17" i="2"/>
  <c r="N17" i="2"/>
  <c r="O605" i="2"/>
  <c r="O280" i="2"/>
  <c r="N280" i="2"/>
  <c r="N367" i="2"/>
  <c r="N424" i="2"/>
  <c r="O424" i="2"/>
  <c r="O375" i="2"/>
  <c r="O131" i="2"/>
  <c r="N317" i="2"/>
  <c r="O607" i="2"/>
  <c r="N607" i="2"/>
  <c r="N482" i="2"/>
  <c r="O617" i="2"/>
  <c r="N617" i="2"/>
  <c r="O69" i="2"/>
  <c r="O370" i="2"/>
  <c r="N370" i="2"/>
  <c r="N176" i="2"/>
  <c r="O176" i="2"/>
  <c r="O475" i="2"/>
  <c r="O261" i="2"/>
  <c r="O220" i="2"/>
  <c r="N220" i="2"/>
  <c r="N591" i="2"/>
  <c r="L526" i="2"/>
  <c r="M526" i="2" s="1"/>
  <c r="O526" i="2" s="1"/>
  <c r="M21" i="2"/>
  <c r="O448" i="2"/>
  <c r="O350" i="2"/>
  <c r="N454" i="2"/>
  <c r="N148" i="2"/>
  <c r="O148" i="2"/>
  <c r="N350" i="2"/>
  <c r="M86" i="2"/>
  <c r="O110" i="2"/>
  <c r="N110" i="2"/>
  <c r="O192" i="2"/>
  <c r="N206" i="2"/>
  <c r="O206" i="2"/>
  <c r="M22" i="2"/>
  <c r="N470" i="2"/>
  <c r="O470" i="2"/>
  <c r="N542" i="2"/>
  <c r="O99" i="2"/>
  <c r="N99" i="2"/>
  <c r="O231" i="2"/>
  <c r="N231" i="2"/>
  <c r="O268" i="2"/>
  <c r="O553" i="2"/>
  <c r="N553" i="2"/>
  <c r="M136" i="2"/>
  <c r="N375" i="2"/>
  <c r="N467" i="2"/>
  <c r="O467" i="2"/>
  <c r="N447" i="2"/>
  <c r="O659" i="2"/>
  <c r="N659" i="2"/>
  <c r="N197" i="2"/>
  <c r="P604" i="2"/>
  <c r="N6" i="2"/>
  <c r="N402" i="2"/>
  <c r="O326" i="2"/>
  <c r="O521" i="2"/>
  <c r="N521" i="2"/>
  <c r="O529" i="2"/>
  <c r="L562" i="2"/>
  <c r="M562" i="2" s="1"/>
  <c r="M57" i="2"/>
  <c r="O57" i="2" s="1"/>
  <c r="N326" i="2"/>
  <c r="N587" i="2"/>
  <c r="O587" i="2"/>
  <c r="L600" i="2"/>
  <c r="M600" i="2" s="1"/>
  <c r="M95" i="2"/>
  <c r="L625" i="2"/>
  <c r="M625" i="2" s="1"/>
  <c r="M120" i="2"/>
  <c r="N293" i="2"/>
  <c r="O588" i="2"/>
  <c r="N588" i="2"/>
  <c r="N274" i="2"/>
  <c r="O47" i="2"/>
  <c r="N47" i="2"/>
  <c r="L595" i="2"/>
  <c r="M595" i="2" s="1"/>
  <c r="O595" i="2" s="1"/>
  <c r="M90" i="2"/>
  <c r="O90" i="2" s="1"/>
  <c r="O636" i="2"/>
  <c r="N636" i="2"/>
  <c r="O419" i="2"/>
  <c r="N205" i="2"/>
  <c r="L629" i="2"/>
  <c r="M629" i="2" s="1"/>
  <c r="M124" i="2"/>
  <c r="P508" i="2"/>
  <c r="O574" i="2"/>
  <c r="N574" i="2"/>
  <c r="O256" i="2"/>
  <c r="N654" i="2"/>
  <c r="N575" i="2"/>
  <c r="O510" i="2"/>
  <c r="N510" i="2"/>
  <c r="O187" i="2"/>
  <c r="O307" i="2"/>
  <c r="N307" i="2"/>
  <c r="O321" i="2"/>
  <c r="L93" i="2"/>
  <c r="L98" i="2"/>
  <c r="L603" i="2" s="1"/>
  <c r="L97" i="2"/>
  <c r="L602" i="2" s="1"/>
  <c r="L96" i="2"/>
  <c r="L94" i="2"/>
  <c r="L141" i="2"/>
  <c r="L137" i="2"/>
  <c r="L138" i="2"/>
  <c r="L139" i="2"/>
  <c r="L135" i="2"/>
  <c r="L140" i="2"/>
  <c r="P519" i="2"/>
  <c r="M519" i="2"/>
  <c r="O38" i="2"/>
  <c r="N38" i="2"/>
  <c r="M119" i="2"/>
  <c r="L624" i="2"/>
  <c r="M624" i="2" s="1"/>
  <c r="O624" i="2" s="1"/>
  <c r="N145" i="2"/>
  <c r="O145" i="2"/>
  <c r="O469" i="2"/>
  <c r="O249" i="2"/>
  <c r="N261" i="2"/>
  <c r="O543" i="2"/>
  <c r="N543" i="2"/>
  <c r="O583" i="2"/>
  <c r="N583" i="2"/>
  <c r="N531" i="2"/>
  <c r="O531" i="2"/>
  <c r="N52" i="2"/>
  <c r="N156" i="2"/>
  <c r="N363" i="2"/>
  <c r="N436" i="2"/>
  <c r="N450" i="2"/>
  <c r="N469" i="2"/>
  <c r="N175" i="2"/>
  <c r="N249" i="2"/>
  <c r="O520" i="2"/>
  <c r="N520" i="2"/>
  <c r="M26" i="2"/>
  <c r="N114" i="2"/>
  <c r="O114" i="2"/>
  <c r="O132" i="2"/>
  <c r="O345" i="2"/>
  <c r="O442" i="2"/>
  <c r="O208" i="2"/>
  <c r="N208" i="2"/>
  <c r="N256" i="2"/>
  <c r="O638" i="2"/>
  <c r="N638" i="2"/>
  <c r="M147" i="2"/>
  <c r="N158" i="2"/>
  <c r="O486" i="2"/>
  <c r="N171" i="2"/>
  <c r="N182" i="2"/>
  <c r="O238" i="2"/>
  <c r="N290" i="2"/>
  <c r="N312" i="2"/>
  <c r="O171" i="2"/>
  <c r="O217" i="2"/>
  <c r="N238" i="2"/>
  <c r="O5" i="2"/>
  <c r="M60" i="2"/>
  <c r="O60" i="2" s="1"/>
  <c r="L565" i="2"/>
  <c r="M565" i="2" s="1"/>
  <c r="O285" i="2"/>
  <c r="N5" i="2"/>
  <c r="N18" i="2"/>
  <c r="O626" i="2"/>
  <c r="N626" i="2"/>
  <c r="N493" i="2"/>
  <c r="O177" i="2"/>
  <c r="N218" i="2"/>
  <c r="O218" i="2"/>
  <c r="O230" i="2"/>
  <c r="O555" i="2"/>
  <c r="N437" i="2"/>
  <c r="O437" i="2"/>
  <c r="N194" i="2"/>
  <c r="O194" i="2"/>
  <c r="N652" i="2"/>
  <c r="O652" i="2"/>
  <c r="N386" i="2"/>
  <c r="O211" i="2"/>
  <c r="O328" i="2"/>
  <c r="N328" i="2"/>
  <c r="M115" i="2"/>
  <c r="O430" i="2"/>
  <c r="O492" i="2"/>
  <c r="N492" i="2"/>
  <c r="N479" i="2"/>
  <c r="O479" i="2"/>
  <c r="O203" i="2"/>
  <c r="N203" i="2"/>
  <c r="N522" i="2"/>
  <c r="M586" i="2"/>
  <c r="N523" i="2"/>
  <c r="O523" i="2"/>
  <c r="O82" i="2"/>
  <c r="N82" i="2"/>
  <c r="O533" i="2"/>
  <c r="N533" i="2"/>
  <c r="L42" i="2"/>
  <c r="L45" i="2"/>
  <c r="L40" i="2"/>
  <c r="L44" i="2"/>
  <c r="L39" i="2"/>
  <c r="M121" i="2"/>
  <c r="O121" i="2" s="1"/>
  <c r="N392" i="2"/>
  <c r="O291" i="2"/>
  <c r="O481" i="2"/>
  <c r="O172" i="2"/>
  <c r="N172" i="2"/>
  <c r="N211" i="2"/>
  <c r="O225" i="2"/>
  <c r="O286" i="2"/>
  <c r="O300" i="2"/>
  <c r="O618" i="2"/>
  <c r="N618" i="2"/>
  <c r="O650" i="2"/>
  <c r="N650" i="2"/>
  <c r="O269" i="2"/>
  <c r="N619" i="2"/>
  <c r="O619" i="2"/>
  <c r="O558" i="2"/>
  <c r="N117" i="2"/>
  <c r="O340" i="2"/>
  <c r="N340" i="2"/>
  <c r="N444" i="2"/>
  <c r="O444" i="2"/>
  <c r="N483" i="2"/>
  <c r="O511" i="2"/>
  <c r="N511" i="2"/>
  <c r="L525" i="2"/>
  <c r="M525" i="2" s="1"/>
  <c r="O525" i="2" s="1"/>
  <c r="O651" i="2"/>
  <c r="N651" i="2"/>
  <c r="O396" i="2"/>
  <c r="M58" i="2"/>
  <c r="O58" i="2" s="1"/>
  <c r="L563" i="2"/>
  <c r="M563" i="2" s="1"/>
  <c r="O563" i="2" s="1"/>
  <c r="O395" i="2"/>
  <c r="O294" i="2"/>
  <c r="N100" i="2"/>
  <c r="N409" i="2"/>
  <c r="O439" i="2"/>
  <c r="N463" i="2"/>
  <c r="O226" i="2"/>
  <c r="O252" i="2"/>
  <c r="O415" i="2"/>
  <c r="O477" i="2"/>
  <c r="O215" i="2"/>
  <c r="O246" i="2"/>
  <c r="N271" i="2"/>
  <c r="P572" i="2"/>
  <c r="L10" i="2"/>
  <c r="L9" i="2"/>
  <c r="M54" i="2"/>
  <c r="O54" i="2" s="1"/>
  <c r="L559" i="2"/>
  <c r="M559" i="2" s="1"/>
  <c r="M59" i="2"/>
  <c r="O59" i="2" s="1"/>
  <c r="O348" i="2"/>
  <c r="N348" i="2"/>
  <c r="N379" i="2"/>
  <c r="N385" i="2"/>
  <c r="N404" i="2"/>
  <c r="N484" i="2"/>
  <c r="N295" i="2"/>
  <c r="O302" i="2"/>
  <c r="N308" i="2"/>
  <c r="O314" i="2"/>
  <c r="M572" i="2"/>
  <c r="P540" i="2"/>
  <c r="M540" i="2"/>
  <c r="O552" i="2"/>
  <c r="N552" i="2"/>
  <c r="M150" i="2"/>
  <c r="O150" i="2" s="1"/>
  <c r="L655" i="2"/>
  <c r="M655" i="2" s="1"/>
  <c r="O655" i="2" s="1"/>
  <c r="N395" i="2"/>
  <c r="N49" i="2"/>
  <c r="O3" i="2"/>
  <c r="M88" i="2"/>
  <c r="O88" i="2" s="1"/>
  <c r="O112" i="2"/>
  <c r="M155" i="2"/>
  <c r="O155" i="2" s="1"/>
  <c r="O457" i="2"/>
  <c r="O50" i="2"/>
  <c r="N78" i="2"/>
  <c r="O360" i="2"/>
  <c r="O410" i="2"/>
  <c r="O416" i="2"/>
  <c r="N416" i="2"/>
  <c r="N446" i="2"/>
  <c r="N186" i="2"/>
  <c r="N210" i="2"/>
  <c r="O235" i="2"/>
  <c r="N235" i="2"/>
  <c r="N241" i="2"/>
  <c r="O241" i="2"/>
  <c r="N258" i="2"/>
  <c r="N527" i="2"/>
  <c r="N541" i="2"/>
  <c r="O647" i="2"/>
  <c r="N647" i="2"/>
  <c r="L597" i="2"/>
  <c r="M597" i="2" s="1"/>
  <c r="M92" i="2"/>
  <c r="M28" i="2"/>
  <c r="O378" i="2"/>
  <c r="O495" i="2"/>
  <c r="N495" i="2"/>
  <c r="O257" i="2"/>
  <c r="N3" i="2"/>
  <c r="N471" i="2"/>
  <c r="O421" i="2"/>
  <c r="O277" i="2"/>
  <c r="N277" i="2"/>
  <c r="O319" i="2"/>
  <c r="O584" i="2"/>
  <c r="N584" i="2"/>
  <c r="N50" i="2"/>
  <c r="M72" i="2"/>
  <c r="L577" i="2"/>
  <c r="M577" i="2" s="1"/>
  <c r="M84" i="2"/>
  <c r="N410" i="2"/>
  <c r="O478" i="2"/>
  <c r="N478" i="2"/>
  <c r="O303" i="2"/>
  <c r="O554" i="2"/>
  <c r="N554" i="2"/>
  <c r="O585" i="2"/>
  <c r="N585" i="2"/>
  <c r="P647" i="2"/>
  <c r="O422" i="2"/>
  <c r="N439" i="2"/>
  <c r="N262" i="2"/>
  <c r="N269" i="2"/>
  <c r="N309" i="2"/>
  <c r="O405" i="2"/>
  <c r="O473" i="2"/>
  <c r="N473" i="2"/>
  <c r="N589" i="2"/>
  <c r="O67" i="2"/>
  <c r="N434" i="2"/>
  <c r="O37" i="2"/>
  <c r="N37" i="2"/>
  <c r="N67" i="2"/>
  <c r="L77" i="2"/>
  <c r="M501" i="2"/>
  <c r="N343" i="2"/>
  <c r="N376" i="2"/>
  <c r="N398" i="2"/>
  <c r="O417" i="2"/>
  <c r="O427" i="2"/>
  <c r="O173" i="2"/>
  <c r="N207" i="2"/>
  <c r="N236" i="2"/>
  <c r="O275" i="2"/>
  <c r="N299" i="2"/>
  <c r="O304" i="2"/>
  <c r="O315" i="2"/>
  <c r="L528" i="2"/>
  <c r="M528" i="2" s="1"/>
  <c r="P615" i="2"/>
  <c r="N620" i="2"/>
  <c r="O183" i="2"/>
  <c r="O223" i="2"/>
  <c r="O122" i="2"/>
  <c r="O178" i="2"/>
  <c r="O14" i="2"/>
  <c r="L62" i="2"/>
  <c r="L64" i="2"/>
  <c r="N144" i="2"/>
  <c r="N364" i="2"/>
  <c r="O499" i="2"/>
  <c r="N173" i="2"/>
  <c r="O184" i="2"/>
  <c r="N292" i="2"/>
  <c r="M615" i="2"/>
  <c r="O199" i="2"/>
  <c r="N405" i="2"/>
  <c r="N4" i="2"/>
  <c r="M19" i="2"/>
  <c r="O19" i="2" s="1"/>
  <c r="N113" i="2"/>
  <c r="N14" i="2"/>
  <c r="N20" i="2"/>
  <c r="L61" i="2"/>
  <c r="M91" i="2"/>
  <c r="O118" i="2"/>
  <c r="O338" i="2"/>
  <c r="O468" i="2"/>
  <c r="N468" i="2"/>
  <c r="N499" i="2"/>
  <c r="L107" i="2"/>
  <c r="L103" i="2"/>
  <c r="O573" i="2"/>
  <c r="N573" i="2"/>
  <c r="N596" i="2"/>
  <c r="L109" i="2"/>
  <c r="N378" i="2"/>
  <c r="N399" i="2"/>
  <c r="N217" i="2"/>
  <c r="N232" i="2"/>
  <c r="O244" i="2"/>
  <c r="O250" i="2"/>
  <c r="O606" i="2"/>
  <c r="N639" i="2"/>
  <c r="O80" i="2"/>
  <c r="O351" i="2"/>
  <c r="N487" i="2"/>
  <c r="O239" i="2"/>
  <c r="O310" i="2"/>
  <c r="O320" i="2"/>
  <c r="N508" i="2"/>
  <c r="N396" i="2"/>
  <c r="N448" i="2"/>
  <c r="N184" i="2"/>
  <c r="N250" i="2"/>
  <c r="N270" i="2"/>
  <c r="N275" i="2"/>
  <c r="N294" i="2"/>
  <c r="N513" i="2" l="1"/>
  <c r="N561" i="2"/>
  <c r="M43" i="2"/>
  <c r="N653" i="2"/>
  <c r="O611" i="2"/>
  <c r="M12" i="2"/>
  <c r="O12" i="2" s="1"/>
  <c r="N658" i="2"/>
  <c r="L546" i="2"/>
  <c r="M546" i="2" s="1"/>
  <c r="N546" i="2" s="1"/>
  <c r="O609" i="2"/>
  <c r="M74" i="2"/>
  <c r="O74" i="2" s="1"/>
  <c r="N53" i="2"/>
  <c r="O25" i="2"/>
  <c r="O73" i="2"/>
  <c r="L578" i="2"/>
  <c r="M578" i="2" s="1"/>
  <c r="M8" i="2"/>
  <c r="O8" i="2" s="1"/>
  <c r="N54" i="2"/>
  <c r="O41" i="2"/>
  <c r="O532" i="2"/>
  <c r="N13" i="2"/>
  <c r="O518" i="2"/>
  <c r="N71" i="2"/>
  <c r="N60" i="2"/>
  <c r="O661" i="2"/>
  <c r="M106" i="2"/>
  <c r="O106" i="2" s="1"/>
  <c r="N51" i="2"/>
  <c r="N83" i="2"/>
  <c r="N19" i="2"/>
  <c r="N632" i="2"/>
  <c r="N627" i="2"/>
  <c r="N579" i="2"/>
  <c r="L512" i="2"/>
  <c r="M512" i="2" s="1"/>
  <c r="O512" i="2" s="1"/>
  <c r="M160" i="2"/>
  <c r="N160" i="2" s="1"/>
  <c r="N610" i="2"/>
  <c r="N90" i="2"/>
  <c r="O656" i="2"/>
  <c r="N105" i="2"/>
  <c r="N623" i="2"/>
  <c r="L576" i="2"/>
  <c r="M576" i="2" s="1"/>
  <c r="O576" i="2" s="1"/>
  <c r="M63" i="2"/>
  <c r="O63" i="2" s="1"/>
  <c r="N594" i="2"/>
  <c r="N568" i="2"/>
  <c r="N334" i="2"/>
  <c r="M125" i="2"/>
  <c r="N125" i="2" s="1"/>
  <c r="O334" i="2"/>
  <c r="M32" i="2"/>
  <c r="N32" i="2" s="1"/>
  <c r="N592" i="2"/>
  <c r="O31" i="2"/>
  <c r="M30" i="2"/>
  <c r="O30" i="2" s="1"/>
  <c r="O149" i="2"/>
  <c r="N580" i="2"/>
  <c r="N536" i="2"/>
  <c r="O535" i="2"/>
  <c r="N121" i="2"/>
  <c r="N57" i="2"/>
  <c r="M75" i="2"/>
  <c r="O75" i="2" s="1"/>
  <c r="O630" i="2"/>
  <c r="M104" i="2"/>
  <c r="O104" i="2" s="1"/>
  <c r="L166" i="2"/>
  <c r="N517" i="2"/>
  <c r="M29" i="2"/>
  <c r="L534" i="2"/>
  <c r="M534" i="2" s="1"/>
  <c r="N590" i="2"/>
  <c r="M76" i="2"/>
  <c r="L581" i="2"/>
  <c r="M581" i="2" s="1"/>
  <c r="N663" i="2"/>
  <c r="N58" i="2"/>
  <c r="L516" i="2"/>
  <c r="M516" i="2" s="1"/>
  <c r="O516" i="2" s="1"/>
  <c r="N613" i="2"/>
  <c r="L664" i="2"/>
  <c r="M664" i="2" s="1"/>
  <c r="M159" i="2"/>
  <c r="M128" i="2"/>
  <c r="L633" i="2"/>
  <c r="M633" i="2" s="1"/>
  <c r="L631" i="2"/>
  <c r="M631" i="2" s="1"/>
  <c r="O631" i="2" s="1"/>
  <c r="N116" i="2"/>
  <c r="M108" i="2"/>
  <c r="O108" i="2" s="1"/>
  <c r="O557" i="2"/>
  <c r="O628" i="2"/>
  <c r="N622" i="2"/>
  <c r="N24" i="2"/>
  <c r="N11" i="2"/>
  <c r="N155" i="2"/>
  <c r="M157" i="2"/>
  <c r="L662" i="2"/>
  <c r="M662" i="2" s="1"/>
  <c r="M669" i="2"/>
  <c r="O657" i="2"/>
  <c r="N154" i="2"/>
  <c r="O127" i="2"/>
  <c r="N560" i="2"/>
  <c r="N595" i="2"/>
  <c r="N551" i="2"/>
  <c r="N501" i="2"/>
  <c r="O577" i="2"/>
  <c r="N577" i="2"/>
  <c r="O72" i="2"/>
  <c r="N72" i="2"/>
  <c r="N615" i="2"/>
  <c r="O615" i="2"/>
  <c r="M107" i="2"/>
  <c r="L612" i="2"/>
  <c r="M612" i="2" s="1"/>
  <c r="M64" i="2"/>
  <c r="L569" i="2"/>
  <c r="M569" i="2" s="1"/>
  <c r="O559" i="2"/>
  <c r="N559" i="2"/>
  <c r="O124" i="2"/>
  <c r="N124" i="2"/>
  <c r="N26" i="2"/>
  <c r="O26" i="2"/>
  <c r="L598" i="2"/>
  <c r="M598" i="2" s="1"/>
  <c r="M93" i="2"/>
  <c r="O126" i="2"/>
  <c r="N126" i="2"/>
  <c r="O21" i="2"/>
  <c r="N21" i="2"/>
  <c r="N586" i="2"/>
  <c r="O586" i="2"/>
  <c r="O519" i="2"/>
  <c r="N519" i="2"/>
  <c r="O565" i="2"/>
  <c r="N565" i="2"/>
  <c r="L645" i="2"/>
  <c r="M645" i="2" s="1"/>
  <c r="M140" i="2"/>
  <c r="M109" i="2"/>
  <c r="L614" i="2"/>
  <c r="M614" i="2" s="1"/>
  <c r="L643" i="2"/>
  <c r="M643" i="2" s="1"/>
  <c r="M138" i="2"/>
  <c r="N526" i="2"/>
  <c r="O120" i="2"/>
  <c r="N120" i="2"/>
  <c r="O7" i="2"/>
  <c r="N7" i="2"/>
  <c r="L646" i="2"/>
  <c r="M646" i="2" s="1"/>
  <c r="M141" i="2"/>
  <c r="M39" i="2"/>
  <c r="L544" i="2"/>
  <c r="M544" i="2" s="1"/>
  <c r="O95" i="2"/>
  <c r="N95" i="2"/>
  <c r="O537" i="2"/>
  <c r="N537" i="2"/>
  <c r="O86" i="2"/>
  <c r="N86" i="2"/>
  <c r="O540" i="2"/>
  <c r="N540" i="2"/>
  <c r="O597" i="2"/>
  <c r="N597" i="2"/>
  <c r="N22" i="2"/>
  <c r="O22" i="2"/>
  <c r="L599" i="2"/>
  <c r="M599" i="2" s="1"/>
  <c r="M94" i="2"/>
  <c r="L549" i="2"/>
  <c r="M549" i="2" s="1"/>
  <c r="M44" i="2"/>
  <c r="O600" i="2"/>
  <c r="N600" i="2"/>
  <c r="O629" i="2"/>
  <c r="N629" i="2"/>
  <c r="M9" i="2"/>
  <c r="L514" i="2"/>
  <c r="M514" i="2" s="1"/>
  <c r="L550" i="2"/>
  <c r="M550" i="2" s="1"/>
  <c r="M45" i="2"/>
  <c r="O501" i="2"/>
  <c r="L515" i="2"/>
  <c r="M515" i="2" s="1"/>
  <c r="M10" i="2"/>
  <c r="M42" i="2"/>
  <c r="L547" i="2"/>
  <c r="M547" i="2" s="1"/>
  <c r="O115" i="2"/>
  <c r="N115" i="2"/>
  <c r="O119" i="2"/>
  <c r="N119" i="2"/>
  <c r="N150" i="2"/>
  <c r="O562" i="2"/>
  <c r="N562" i="2"/>
  <c r="N59" i="2"/>
  <c r="N28" i="2"/>
  <c r="O28" i="2"/>
  <c r="O578" i="2"/>
  <c r="N578" i="2"/>
  <c r="O147" i="2"/>
  <c r="N147" i="2"/>
  <c r="N655" i="2"/>
  <c r="O572" i="2"/>
  <c r="N572" i="2"/>
  <c r="N624" i="2"/>
  <c r="O136" i="2"/>
  <c r="N136" i="2"/>
  <c r="N43" i="2"/>
  <c r="O43" i="2"/>
  <c r="O548" i="2"/>
  <c r="N548" i="2"/>
  <c r="L640" i="2"/>
  <c r="M640" i="2" s="1"/>
  <c r="M135" i="2"/>
  <c r="L644" i="2"/>
  <c r="M644" i="2" s="1"/>
  <c r="M139" i="2"/>
  <c r="L642" i="2"/>
  <c r="M642" i="2" s="1"/>
  <c r="M137" i="2"/>
  <c r="L608" i="2"/>
  <c r="M608" i="2" s="1"/>
  <c r="M103" i="2"/>
  <c r="O665" i="2"/>
  <c r="N665" i="2"/>
  <c r="O625" i="2"/>
  <c r="N625" i="2"/>
  <c r="N563" i="2"/>
  <c r="L601" i="2"/>
  <c r="M601" i="2" s="1"/>
  <c r="M96" i="2"/>
  <c r="M62" i="2"/>
  <c r="L567" i="2"/>
  <c r="M567" i="2" s="1"/>
  <c r="M40" i="2"/>
  <c r="L545" i="2"/>
  <c r="M545" i="2" s="1"/>
  <c r="M77" i="2"/>
  <c r="L582" i="2"/>
  <c r="M582" i="2" s="1"/>
  <c r="O91" i="2"/>
  <c r="N91" i="2"/>
  <c r="M61" i="2"/>
  <c r="L566" i="2"/>
  <c r="M566" i="2" s="1"/>
  <c r="N88" i="2"/>
  <c r="N528" i="2"/>
  <c r="O528" i="2"/>
  <c r="O84" i="2"/>
  <c r="N84" i="2"/>
  <c r="O92" i="2"/>
  <c r="N92" i="2"/>
  <c r="N525" i="2"/>
  <c r="N74" i="2" l="1"/>
  <c r="N12" i="2"/>
  <c r="O546" i="2"/>
  <c r="O32" i="2"/>
  <c r="N8" i="2"/>
  <c r="N104" i="2"/>
  <c r="N516" i="2"/>
  <c r="N63" i="2"/>
  <c r="O160" i="2"/>
  <c r="N512" i="2"/>
  <c r="N108" i="2"/>
  <c r="N106" i="2"/>
  <c r="N30" i="2"/>
  <c r="M671" i="2"/>
  <c r="N576" i="2"/>
  <c r="M166" i="2"/>
  <c r="L671" i="2"/>
  <c r="N75" i="2"/>
  <c r="O669" i="2"/>
  <c r="N669" i="2"/>
  <c r="O125" i="2"/>
  <c r="N633" i="2"/>
  <c r="O633" i="2"/>
  <c r="N128" i="2"/>
  <c r="O128" i="2"/>
  <c r="N159" i="2"/>
  <c r="O159" i="2"/>
  <c r="O664" i="2"/>
  <c r="N664" i="2"/>
  <c r="N631" i="2"/>
  <c r="O581" i="2"/>
  <c r="N581" i="2"/>
  <c r="O76" i="2"/>
  <c r="N76" i="2"/>
  <c r="N662" i="2"/>
  <c r="O662" i="2"/>
  <c r="O534" i="2"/>
  <c r="N534" i="2"/>
  <c r="N157" i="2"/>
  <c r="O157" i="2"/>
  <c r="O29" i="2"/>
  <c r="N29" i="2"/>
  <c r="O640" i="2"/>
  <c r="N640" i="2"/>
  <c r="O139" i="2"/>
  <c r="N139" i="2"/>
  <c r="O644" i="2"/>
  <c r="N644" i="2"/>
  <c r="N45" i="2"/>
  <c r="O45" i="2"/>
  <c r="N550" i="2"/>
  <c r="O550" i="2"/>
  <c r="O40" i="2"/>
  <c r="N40" i="2"/>
  <c r="O9" i="2"/>
  <c r="N9" i="2"/>
  <c r="N62" i="2"/>
  <c r="O62" i="2"/>
  <c r="O569" i="2"/>
  <c r="N569" i="2"/>
  <c r="N601" i="2"/>
  <c r="O601" i="2"/>
  <c r="O140" i="2"/>
  <c r="N140" i="2"/>
  <c r="O645" i="2"/>
  <c r="N645" i="2"/>
  <c r="N44" i="2"/>
  <c r="O44" i="2"/>
  <c r="O107" i="2"/>
  <c r="N107" i="2"/>
  <c r="N549" i="2"/>
  <c r="O549" i="2"/>
  <c r="N547" i="2"/>
  <c r="O547" i="2"/>
  <c r="N42" i="2"/>
  <c r="O42" i="2"/>
  <c r="O39" i="2"/>
  <c r="N39" i="2"/>
  <c r="O141" i="2"/>
  <c r="N141" i="2"/>
  <c r="O103" i="2"/>
  <c r="N103" i="2"/>
  <c r="O608" i="2"/>
  <c r="N608" i="2"/>
  <c r="N642" i="2"/>
  <c r="O642" i="2"/>
  <c r="O598" i="2"/>
  <c r="N598" i="2"/>
  <c r="O582" i="2"/>
  <c r="N582" i="2"/>
  <c r="N77" i="2"/>
  <c r="O77" i="2"/>
  <c r="N545" i="2"/>
  <c r="O545" i="2"/>
  <c r="O135" i="2"/>
  <c r="N135" i="2"/>
  <c r="O514" i="2"/>
  <c r="N514" i="2"/>
  <c r="O138" i="2"/>
  <c r="N138" i="2"/>
  <c r="N567" i="2"/>
  <c r="O567" i="2"/>
  <c r="N643" i="2"/>
  <c r="O643" i="2"/>
  <c r="O614" i="2"/>
  <c r="N614" i="2"/>
  <c r="N96" i="2"/>
  <c r="O96" i="2"/>
  <c r="N109" i="2"/>
  <c r="O109" i="2"/>
  <c r="O64" i="2"/>
  <c r="N64" i="2"/>
  <c r="O612" i="2"/>
  <c r="N612" i="2"/>
  <c r="N94" i="2"/>
  <c r="O94" i="2"/>
  <c r="N599" i="2"/>
  <c r="O599" i="2"/>
  <c r="O544" i="2"/>
  <c r="N544" i="2"/>
  <c r="O10" i="2"/>
  <c r="N10" i="2"/>
  <c r="O515" i="2"/>
  <c r="N515" i="2"/>
  <c r="N646" i="2"/>
  <c r="O646" i="2"/>
  <c r="N566" i="2"/>
  <c r="O566" i="2"/>
  <c r="N61" i="2"/>
  <c r="O61" i="2"/>
  <c r="O137" i="2"/>
  <c r="N137" i="2"/>
  <c r="N93" i="2"/>
  <c r="O93" i="2"/>
  <c r="N166" i="2" l="1"/>
  <c r="O166" i="2"/>
  <c r="N671" i="2"/>
  <c r="O671" i="2"/>
</calcChain>
</file>

<file path=xl/sharedStrings.xml><?xml version="1.0" encoding="utf-8"?>
<sst xmlns="http://schemas.openxmlformats.org/spreadsheetml/2006/main" count="1717" uniqueCount="83">
  <si>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</si>
  <si>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</si>
  <si>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</si>
  <si>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</si>
  <si>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</si>
  <si>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</si>
  <si>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</si>
  <si>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</si>
  <si>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</si>
  <si>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</si>
  <si>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</si>
  <si>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</si>
  <si>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</si>
  <si>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</si>
  <si>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Fosco</t>
  </si>
  <si>
    <t>TMT</t>
  </si>
  <si>
    <t>RF152 Zero Cant</t>
  </si>
  <si>
    <t>RF152 1:30</t>
  </si>
  <si>
    <t>RF152 1:40</t>
  </si>
  <si>
    <t>RF152 1:80</t>
  </si>
  <si>
    <t>5mm RaIL Pad 13877</t>
  </si>
  <si>
    <t>3mm Base Pad RF152</t>
  </si>
  <si>
    <t>Nylon Dowels 165 closed</t>
  </si>
  <si>
    <t>Screwspike 165</t>
  </si>
  <si>
    <t>Fe6 Spring Washer</t>
  </si>
  <si>
    <t>Rail Clip</t>
  </si>
  <si>
    <t>Insulator</t>
  </si>
  <si>
    <t>Turnouts Type I</t>
  </si>
  <si>
    <t>Turnouts Type II</t>
  </si>
  <si>
    <t>Turuts Type III</t>
  </si>
  <si>
    <t>Turnouts Type IV</t>
  </si>
  <si>
    <t>Turnouts Type V</t>
  </si>
  <si>
    <t>3mm HDPE Top Pad Type I</t>
  </si>
  <si>
    <t>3mm HDPE Base Pad Type I</t>
  </si>
  <si>
    <t>3mm HDPE Top Pad Type II</t>
  </si>
  <si>
    <t>3mm HDPE Base Pad Type II</t>
  </si>
  <si>
    <t>3mm HDPE Top Pad Type III</t>
  </si>
  <si>
    <t>3mm HDPE Base Pad Type III</t>
  </si>
  <si>
    <t>3mm HDPE Top Pad Type IV</t>
  </si>
  <si>
    <t>3mm HDPE Base Pad Type IV</t>
  </si>
  <si>
    <t>3mm HDPE Top Pad Type V</t>
  </si>
  <si>
    <t>3mm HDPE Base Pad Type V</t>
  </si>
  <si>
    <t>Plain Washer</t>
  </si>
  <si>
    <t>M24x70 HT Bolt</t>
  </si>
  <si>
    <t>PO</t>
  </si>
  <si>
    <t>#1</t>
  </si>
  <si>
    <t>M24 Heavy Helical Spring Lock Washe</t>
  </si>
  <si>
    <t>Sudelan</t>
  </si>
  <si>
    <t>Total</t>
  </si>
  <si>
    <t>MSP00873</t>
  </si>
  <si>
    <t xml:space="preserve">Storage Pallet </t>
  </si>
  <si>
    <t>UGL</t>
  </si>
  <si>
    <t>ABP-01</t>
  </si>
  <si>
    <t>ABP-02</t>
  </si>
  <si>
    <t>ABP-011</t>
  </si>
  <si>
    <t>ABP-012</t>
  </si>
  <si>
    <t>Diamond</t>
  </si>
  <si>
    <t>1x20GP</t>
  </si>
  <si>
    <t>#2</t>
  </si>
  <si>
    <t>1x40GP</t>
  </si>
  <si>
    <t>Nylon Bush</t>
  </si>
  <si>
    <t>Balance</t>
  </si>
  <si>
    <t>Dowels  165 Closed</t>
  </si>
  <si>
    <t>Bag</t>
  </si>
  <si>
    <t>螺栓 M24*70</t>
  </si>
  <si>
    <t>平垫圈 AHFA24</t>
  </si>
  <si>
    <t>弹簧垫圈 ASLB24</t>
  </si>
  <si>
    <t>螺栓 Ss8-165-1</t>
  </si>
  <si>
    <t>5mm RaIL Pad 13877（RP408</t>
  </si>
  <si>
    <t>3mm Base Pad RF152(BP411)</t>
  </si>
  <si>
    <t>3mm HDPE Top Pad Type I 器下垫板P0952</t>
  </si>
  <si>
    <t>3mm HDPE Base Pad Type I 器下垫板BP406</t>
  </si>
  <si>
    <t>3mm HDPE Top Pad Type II 器下垫板P0969</t>
  </si>
  <si>
    <t>3mm HDPE Base Pad Type II 器下垫板BP407</t>
  </si>
  <si>
    <t>3mm HDPE Top Pad Type III 器下垫板P0983</t>
  </si>
  <si>
    <t>3mm HDPE Base Pad Type III 器下垫板BP408</t>
  </si>
  <si>
    <t>3mm HDPE Top Pad Type 器下垫板IV P0995</t>
  </si>
  <si>
    <t>3mm HDPE Base Pad Type 器下垫板IV BP409</t>
  </si>
  <si>
    <t>尼龙套管AD4 165</t>
  </si>
  <si>
    <t>弹条 AE5</t>
  </si>
  <si>
    <t>绝缘轨距块</t>
  </si>
  <si>
    <t>绝缘塞</t>
  </si>
  <si>
    <t>Dowels  165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</si>
</sst>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.00_ "/>
    <numFmt numFmtId="166" formatCode="[$-C09]dd\-mmm\-yy;@"/>
    <numFmt numFmtId="167" formatCode="0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1"/>
      <name val="宋体"/>
      <charset val="134"/>
    </font>
    <font>
      <sz val="12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6" fontId="1" fillId="0" borderId="0"/>
  </cellStyleXfs>
  <cellXfs count="2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0" fillId="5" borderId="0" xfId="0" applyFill="1"/>
    <xf numFmtId="2" fontId="2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3" xfId="0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64" fontId="3" fillId="5" borderId="3" xfId="1" applyNumberFormat="1" applyFont="1" applyFill="1" applyBorder="1" applyAlignment="1">
      <alignment horizontal="center" vertical="center"/>
    </xf>
    <xf numFmtId="164" fontId="0" fillId="5" borderId="3" xfId="1" applyNumberFormat="1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6" borderId="0" xfId="0" applyFill="1"/>
    <xf numFmtId="0" fontId="0" fillId="6" borderId="3" xfId="0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64" fontId="0" fillId="6" borderId="3" xfId="0" applyNumberFormat="1" applyFill="1" applyBorder="1" applyAlignment="1">
      <alignment horizontal="center" vertical="center"/>
    </xf>
    <xf numFmtId="164" fontId="3" fillId="6" borderId="3" xfId="1" applyNumberFormat="1" applyFont="1" applyFill="1" applyBorder="1" applyAlignment="1">
      <alignment horizontal="center" vertical="center"/>
    </xf>
    <xf numFmtId="164" fontId="0" fillId="6" borderId="3" xfId="1" applyNumberFormat="1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0" xfId="0" applyFont="1"/>
    <xf numFmtId="2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167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7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7" fontId="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/>
    <xf numFmtId="0" fontId="7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0" xfId="0" applyFill="1"/>
    <xf numFmtId="166" fontId="0" fillId="7" borderId="3" xfId="0" applyNumberFormat="1" applyFill="1" applyBorder="1" applyAlignment="1">
      <alignment horizontal="center" vertical="center"/>
    </xf>
    <xf numFmtId="165" fontId="0" fillId="7" borderId="3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3" fillId="7" borderId="3" xfId="1" applyNumberFormat="1" applyFont="1" applyFill="1" applyBorder="1" applyAlignment="1">
      <alignment horizontal="center" vertical="center"/>
    </xf>
    <xf numFmtId="164" fontId="0" fillId="7" borderId="3" xfId="1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2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167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7" fontId="5" fillId="8" borderId="3" xfId="0" applyNumberFormat="1" applyFont="1" applyFill="1" applyBorder="1" applyAlignment="1">
      <alignment horizontal="center" vertical="center"/>
    </xf>
    <xf numFmtId="167" fontId="5" fillId="4" borderId="3" xfId="0" applyNumberFormat="1" applyFont="1" applyFill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5" fontId="5" fillId="8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3" fillId="0" borderId="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167" fontId="5" fillId="4" borderId="2" xfId="0" applyNumberFormat="1" applyFont="1" applyFill="1" applyBorder="1" applyAlignment="1">
      <alignment horizontal="center" vertical="center"/>
    </xf>
    <xf numFmtId="167" fontId="5" fillId="4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167" fontId="5" fillId="6" borderId="4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5" fontId="5" fillId="6" borderId="4" xfId="0" applyNumberFormat="1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167" fontId="5" fillId="5" borderId="4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5" fillId="7" borderId="2" xfId="0" applyNumberFormat="1" applyFont="1" applyFill="1" applyBorder="1" applyAlignment="1">
      <alignment horizontal="center" vertical="center"/>
    </xf>
    <xf numFmtId="167" fontId="5" fillId="7" borderId="4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67" fontId="5" fillId="8" borderId="3" xfId="0" applyNumberFormat="1" applyFont="1" applyFill="1" applyBorder="1" applyAlignment="1">
      <alignment horizontal="center" vertical="center"/>
    </xf>
    <xf numFmtId="165" fontId="5" fillId="8" borderId="3" xfId="0" applyNumberFormat="1" applyFont="1" applyFill="1" applyBorder="1" applyAlignment="1">
      <alignment horizontal="center" vertical="center"/>
    </xf>
    <xf numFmtId="167" fontId="5" fillId="8" borderId="2" xfId="0" applyNumberFormat="1" applyFont="1" applyFill="1" applyBorder="1" applyAlignment="1">
      <alignment horizontal="center" vertical="center"/>
    </xf>
    <xf numFmtId="167" fontId="5" fillId="8" borderId="9" xfId="0" applyNumberFormat="1" applyFont="1" applyFill="1" applyBorder="1" applyAlignment="1">
      <alignment horizontal="center" vertical="center"/>
    </xf>
    <xf numFmtId="167" fontId="5" fillId="8" borderId="4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165" fontId="5" fillId="8" borderId="9" xfId="0" applyNumberFormat="1" applyFont="1" applyFill="1" applyBorder="1" applyAlignment="1">
      <alignment horizontal="center" vertical="center"/>
    </xf>
    <xf numFmtId="165" fontId="5" fillId="8" borderId="4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7" fontId="5" fillId="4" borderId="9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167" fontId="5" fillId="7" borderId="3" xfId="0" applyNumberFormat="1" applyFont="1" applyFill="1" applyBorder="1" applyAlignment="1">
      <alignment horizontal="center" vertical="center"/>
    </xf>
    <xf numFmtId="167" fontId="5" fillId="7" borderId="3" xfId="0" applyNumberFormat="1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165" fontId="5" fillId="7" borderId="3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167" fontId="5" fillId="7" borderId="9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165" fontId="5" fillId="7" borderId="9" xfId="0" applyNumberFormat="1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167" fontId="5" fillId="6" borderId="3" xfId="0" applyNumberFormat="1" applyFont="1" applyFill="1" applyBorder="1" applyAlignment="1">
      <alignment horizontal="center" vertical="center"/>
    </xf>
    <xf numFmtId="167" fontId="5" fillId="6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67" fontId="5" fillId="6" borderId="9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165" fontId="5" fillId="6" borderId="9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</cellXfs>
  <cellStyles count="2">
    <cellStyle name="Normal" xfId="0" builtinId="0"/>
    <cellStyle name="Normal 3 2" xfId="1" xr:uid="{32D1FDA4-AB84-407A-B848-E9C9715FEAEA}"/>
  </cellStyles>
  <dxfs count="0"/>
  <tableStyles count="0" defaultTableStyle="TableStyleMedium2" defaultPivotStyle="PivotStyleLight16"/>
  <colors>
    <mruColors>
      <color rgb="FFFF99FF"/>
      <color rgb="FFF828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A1F4-D68D-4158-A3CE-E02F63BA0BCE}">
  <dimension ref="A1:Q671"/>
  <sheetViews>
    <sheetView topLeftCell="A485" zoomScale="70" zoomScaleNormal="70" workbookViewId="0">
      <selection activeCell="R503" sqref="R502:R503"/>
    </sheetView>
  </sheetViews>
  <sheetFormatPr defaultRowHeight="14.4"/>
  <cols>
    <col min="3" max="3" width="39.5546875" bestFit="1" customWidth="1"/>
    <col min="12" max="12" width="10" bestFit="1" customWidth="1"/>
    <col min="13" max="13" width="10.5546875" bestFit="1" customWidth="1"/>
    <col min="14" max="14" width="9.5546875" bestFit="1" customWidth="1"/>
    <col min="15" max="15" width="12.5546875" style="19" bestFit="1" customWidth="1"/>
  </cols>
  <sheetData>
    <row r="1" spans="1:17" ht="24" thickBot="1">
      <c r="A1" s="65" t="s">
        <v>48</v>
      </c>
    </row>
    <row r="2" spans="1:17" ht="42" thickBot="1">
      <c r="A2" s="1" t="s">
        <v>44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63" t="s">
        <v>10</v>
      </c>
      <c r="M2" s="2" t="s">
        <v>11</v>
      </c>
      <c r="N2" s="2" t="s">
        <v>12</v>
      </c>
      <c r="O2" s="18" t="s">
        <v>13</v>
      </c>
    </row>
    <row r="3" spans="1:17" s="90" customFormat="1">
      <c r="A3" s="88">
        <v>9355</v>
      </c>
      <c r="B3" s="88" t="s">
        <v>15</v>
      </c>
      <c r="C3" s="88" t="s">
        <v>16</v>
      </c>
      <c r="D3" s="88">
        <v>30</v>
      </c>
      <c r="E3" s="88">
        <v>669</v>
      </c>
      <c r="F3" s="88">
        <f>E3-G3</f>
        <v>53</v>
      </c>
      <c r="G3" s="88">
        <v>616</v>
      </c>
      <c r="H3" s="88">
        <v>1</v>
      </c>
      <c r="I3" s="88">
        <v>0.9</v>
      </c>
      <c r="J3" s="88">
        <v>0.73</v>
      </c>
      <c r="K3" s="88">
        <f t="shared" ref="K3:K31" si="0">H3*I3*J3</f>
        <v>0.65700000000000003</v>
      </c>
      <c r="L3" s="88">
        <v>104</v>
      </c>
      <c r="M3" s="89">
        <f t="shared" ref="M3:M32" si="1">L3/D3</f>
        <v>3.4666666666666668</v>
      </c>
      <c r="N3" s="89">
        <f t="shared" ref="N3:N32" si="2">E3*M3</f>
        <v>2319.2000000000003</v>
      </c>
      <c r="O3" s="89">
        <f>M3*K3</f>
        <v>2.2776000000000001</v>
      </c>
      <c r="P3" s="180">
        <f>SUM(L3:L6)</f>
        <v>122</v>
      </c>
      <c r="Q3" s="181" t="s">
        <v>52</v>
      </c>
    </row>
    <row r="4" spans="1:17" s="90" customFormat="1">
      <c r="A4" s="88">
        <v>9355</v>
      </c>
      <c r="B4" s="88" t="s">
        <v>15</v>
      </c>
      <c r="C4" s="88" t="s">
        <v>17</v>
      </c>
      <c r="D4" s="88">
        <v>30</v>
      </c>
      <c r="E4" s="88">
        <v>669</v>
      </c>
      <c r="F4" s="88">
        <f>E4-G4</f>
        <v>53</v>
      </c>
      <c r="G4" s="88">
        <v>616</v>
      </c>
      <c r="H4" s="88">
        <v>1</v>
      </c>
      <c r="I4" s="88">
        <v>0.9</v>
      </c>
      <c r="J4" s="88">
        <v>0.73</v>
      </c>
      <c r="K4" s="88">
        <f t="shared" si="0"/>
        <v>0.65700000000000003</v>
      </c>
      <c r="L4" s="88">
        <v>6</v>
      </c>
      <c r="M4" s="89">
        <f t="shared" si="1"/>
        <v>0.2</v>
      </c>
      <c r="N4" s="89">
        <f t="shared" si="2"/>
        <v>133.80000000000001</v>
      </c>
      <c r="O4" s="89">
        <f t="shared" ref="O4:O32" si="3">M4*K4</f>
        <v>0.13140000000000002</v>
      </c>
      <c r="P4" s="180"/>
      <c r="Q4" s="182"/>
    </row>
    <row r="5" spans="1:17" s="90" customFormat="1">
      <c r="A5" s="88">
        <v>9355</v>
      </c>
      <c r="B5" s="88" t="s">
        <v>15</v>
      </c>
      <c r="C5" s="88" t="s">
        <v>18</v>
      </c>
      <c r="D5" s="88">
        <v>30</v>
      </c>
      <c r="E5" s="88">
        <v>669</v>
      </c>
      <c r="F5" s="88">
        <f>E5-G5</f>
        <v>53</v>
      </c>
      <c r="G5" s="88">
        <v>616</v>
      </c>
      <c r="H5" s="88">
        <v>1</v>
      </c>
      <c r="I5" s="88">
        <v>0.9</v>
      </c>
      <c r="J5" s="88">
        <v>0.73</v>
      </c>
      <c r="K5" s="88">
        <f t="shared" si="0"/>
        <v>0.65700000000000003</v>
      </c>
      <c r="L5" s="88">
        <v>6</v>
      </c>
      <c r="M5" s="89">
        <f t="shared" si="1"/>
        <v>0.2</v>
      </c>
      <c r="N5" s="89">
        <f t="shared" si="2"/>
        <v>133.80000000000001</v>
      </c>
      <c r="O5" s="89">
        <f t="shared" si="3"/>
        <v>0.13140000000000002</v>
      </c>
      <c r="P5" s="180"/>
      <c r="Q5" s="182"/>
    </row>
    <row r="6" spans="1:17" s="90" customFormat="1">
      <c r="A6" s="88">
        <v>9355</v>
      </c>
      <c r="B6" s="88" t="s">
        <v>15</v>
      </c>
      <c r="C6" s="88" t="s">
        <v>19</v>
      </c>
      <c r="D6" s="88">
        <v>30</v>
      </c>
      <c r="E6" s="88">
        <v>669</v>
      </c>
      <c r="F6" s="88">
        <f>E6-G6</f>
        <v>53</v>
      </c>
      <c r="G6" s="88">
        <v>616</v>
      </c>
      <c r="H6" s="88">
        <v>1</v>
      </c>
      <c r="I6" s="88">
        <v>0.9</v>
      </c>
      <c r="J6" s="88">
        <v>0.73</v>
      </c>
      <c r="K6" s="88">
        <f t="shared" si="0"/>
        <v>0.65700000000000003</v>
      </c>
      <c r="L6" s="88">
        <v>6</v>
      </c>
      <c r="M6" s="89">
        <f t="shared" si="1"/>
        <v>0.2</v>
      </c>
      <c r="N6" s="89">
        <f t="shared" si="2"/>
        <v>133.80000000000001</v>
      </c>
      <c r="O6" s="89">
        <f t="shared" si="3"/>
        <v>0.13140000000000002</v>
      </c>
      <c r="P6" s="180"/>
      <c r="Q6" s="182"/>
    </row>
    <row r="7" spans="1:17" s="90" customFormat="1">
      <c r="A7" s="88">
        <v>9358</v>
      </c>
      <c r="B7" s="88" t="s">
        <v>14</v>
      </c>
      <c r="C7" s="91" t="s">
        <v>20</v>
      </c>
      <c r="D7" s="88">
        <v>5000</v>
      </c>
      <c r="E7" s="88">
        <v>490</v>
      </c>
      <c r="F7" s="88">
        <v>40</v>
      </c>
      <c r="G7" s="88">
        <v>450</v>
      </c>
      <c r="H7" s="88">
        <v>1</v>
      </c>
      <c r="I7" s="88">
        <v>0.98</v>
      </c>
      <c r="J7" s="88">
        <v>0.83</v>
      </c>
      <c r="K7" s="92">
        <f t="shared" si="0"/>
        <v>0.8133999999999999</v>
      </c>
      <c r="L7" s="20">
        <f>P3</f>
        <v>122</v>
      </c>
      <c r="M7" s="89">
        <f t="shared" si="1"/>
        <v>2.4400000000000002E-2</v>
      </c>
      <c r="N7" s="89">
        <f t="shared" si="2"/>
        <v>11.956000000000001</v>
      </c>
      <c r="O7" s="89">
        <f t="shared" si="3"/>
        <v>1.984696E-2</v>
      </c>
      <c r="Q7" s="182"/>
    </row>
    <row r="8" spans="1:17" s="90" customFormat="1" ht="13.8" customHeight="1">
      <c r="A8" s="88">
        <v>9358</v>
      </c>
      <c r="B8" s="88" t="s">
        <v>14</v>
      </c>
      <c r="C8" s="91" t="s">
        <v>21</v>
      </c>
      <c r="D8" s="88">
        <v>360</v>
      </c>
      <c r="E8" s="88">
        <v>390</v>
      </c>
      <c r="F8" s="88">
        <v>40</v>
      </c>
      <c r="G8" s="88">
        <v>350</v>
      </c>
      <c r="H8" s="88">
        <v>1.05</v>
      </c>
      <c r="I8" s="88">
        <v>0.95</v>
      </c>
      <c r="J8" s="88">
        <v>0.55000000000000004</v>
      </c>
      <c r="K8" s="92">
        <f t="shared" si="0"/>
        <v>0.54862500000000003</v>
      </c>
      <c r="L8" s="20">
        <f>P3</f>
        <v>122</v>
      </c>
      <c r="M8" s="89">
        <f t="shared" si="1"/>
        <v>0.33888888888888891</v>
      </c>
      <c r="N8" s="89">
        <f t="shared" si="2"/>
        <v>132.16666666666669</v>
      </c>
      <c r="O8" s="89">
        <f t="shared" si="3"/>
        <v>0.18592291666666669</v>
      </c>
      <c r="Q8" s="182"/>
    </row>
    <row r="9" spans="1:17" s="90" customFormat="1">
      <c r="A9" s="88">
        <v>9358</v>
      </c>
      <c r="B9" s="88" t="s">
        <v>14</v>
      </c>
      <c r="C9" s="91" t="s">
        <v>22</v>
      </c>
      <c r="D9" s="93">
        <v>3000</v>
      </c>
      <c r="E9" s="94">
        <v>235</v>
      </c>
      <c r="F9" s="88">
        <v>35</v>
      </c>
      <c r="G9" s="94">
        <v>200</v>
      </c>
      <c r="H9" s="88">
        <v>1.1000000000000001</v>
      </c>
      <c r="I9" s="88">
        <v>1.1000000000000001</v>
      </c>
      <c r="J9" s="88">
        <v>1.02</v>
      </c>
      <c r="K9" s="92">
        <f t="shared" si="0"/>
        <v>1.2342000000000002</v>
      </c>
      <c r="L9" s="20">
        <f>P3*4</f>
        <v>488</v>
      </c>
      <c r="M9" s="89">
        <f t="shared" si="1"/>
        <v>0.16266666666666665</v>
      </c>
      <c r="N9" s="89">
        <f t="shared" si="2"/>
        <v>38.226666666666667</v>
      </c>
      <c r="O9" s="89">
        <f t="shared" si="3"/>
        <v>0.2007632</v>
      </c>
      <c r="Q9" s="182"/>
    </row>
    <row r="10" spans="1:17" s="90" customFormat="1">
      <c r="A10" s="88">
        <v>9358</v>
      </c>
      <c r="B10" s="88" t="s">
        <v>14</v>
      </c>
      <c r="C10" s="91" t="s">
        <v>23</v>
      </c>
      <c r="D10" s="95">
        <v>1000</v>
      </c>
      <c r="E10" s="96">
        <v>646</v>
      </c>
      <c r="F10" s="96">
        <f>E10-G10</f>
        <v>40</v>
      </c>
      <c r="G10" s="96">
        <v>606</v>
      </c>
      <c r="H10" s="96">
        <v>1.1000000000000001</v>
      </c>
      <c r="I10" s="96">
        <v>0.8</v>
      </c>
      <c r="J10" s="96">
        <v>0.55000000000000004</v>
      </c>
      <c r="K10" s="89">
        <f t="shared" si="0"/>
        <v>0.4840000000000001</v>
      </c>
      <c r="L10" s="20">
        <f>P3*4</f>
        <v>488</v>
      </c>
      <c r="M10" s="89">
        <f t="shared" si="1"/>
        <v>0.48799999999999999</v>
      </c>
      <c r="N10" s="89">
        <f t="shared" si="2"/>
        <v>315.24799999999999</v>
      </c>
      <c r="O10" s="89">
        <f t="shared" si="3"/>
        <v>0.23619200000000004</v>
      </c>
      <c r="Q10" s="182"/>
    </row>
    <row r="11" spans="1:17" s="90" customFormat="1">
      <c r="A11" s="88">
        <v>9356</v>
      </c>
      <c r="B11" s="88" t="s">
        <v>47</v>
      </c>
      <c r="C11" s="91" t="s">
        <v>24</v>
      </c>
      <c r="D11" s="93">
        <v>4000</v>
      </c>
      <c r="E11" s="94">
        <v>424</v>
      </c>
      <c r="F11" s="88">
        <f>E11-G11</f>
        <v>52</v>
      </c>
      <c r="G11" s="94">
        <v>372</v>
      </c>
      <c r="H11" s="88">
        <v>1.1000000000000001</v>
      </c>
      <c r="I11" s="88">
        <v>0.8</v>
      </c>
      <c r="J11" s="88">
        <v>0.55000000000000004</v>
      </c>
      <c r="K11" s="92">
        <f t="shared" si="0"/>
        <v>0.4840000000000001</v>
      </c>
      <c r="L11" s="88">
        <f>(P3+P14)*4</f>
        <v>884</v>
      </c>
      <c r="M11" s="89">
        <f t="shared" si="1"/>
        <v>0.221</v>
      </c>
      <c r="N11" s="89">
        <f t="shared" si="2"/>
        <v>93.704000000000008</v>
      </c>
      <c r="O11" s="89">
        <f t="shared" si="3"/>
        <v>0.10696400000000002</v>
      </c>
      <c r="Q11" s="182"/>
    </row>
    <row r="12" spans="1:17" s="90" customFormat="1">
      <c r="A12" s="88">
        <v>9358</v>
      </c>
      <c r="B12" s="88" t="s">
        <v>14</v>
      </c>
      <c r="C12" s="91" t="s">
        <v>25</v>
      </c>
      <c r="D12" s="88">
        <v>1000</v>
      </c>
      <c r="E12" s="88">
        <v>830</v>
      </c>
      <c r="F12" s="88">
        <v>40</v>
      </c>
      <c r="G12" s="88">
        <v>790</v>
      </c>
      <c r="H12" s="88">
        <v>1.04</v>
      </c>
      <c r="I12" s="88">
        <v>0.84</v>
      </c>
      <c r="J12" s="88">
        <v>0.64</v>
      </c>
      <c r="K12" s="92">
        <f t="shared" si="0"/>
        <v>0.55910400000000005</v>
      </c>
      <c r="L12" s="20">
        <f>P3*2</f>
        <v>244</v>
      </c>
      <c r="M12" s="89">
        <f t="shared" si="1"/>
        <v>0.24399999999999999</v>
      </c>
      <c r="N12" s="89">
        <f t="shared" si="2"/>
        <v>202.51999999999998</v>
      </c>
      <c r="O12" s="89">
        <f t="shared" si="3"/>
        <v>0.13642137600000001</v>
      </c>
      <c r="Q12" s="182"/>
    </row>
    <row r="13" spans="1:17" s="90" customFormat="1">
      <c r="A13" s="88">
        <v>9358</v>
      </c>
      <c r="B13" s="88" t="s">
        <v>14</v>
      </c>
      <c r="C13" s="91" t="s">
        <v>26</v>
      </c>
      <c r="D13" s="88">
        <v>4000</v>
      </c>
      <c r="E13" s="88">
        <v>223</v>
      </c>
      <c r="F13" s="88">
        <v>30</v>
      </c>
      <c r="G13" s="88">
        <v>188</v>
      </c>
      <c r="H13" s="88">
        <v>0.86</v>
      </c>
      <c r="I13" s="88">
        <v>0.78</v>
      </c>
      <c r="J13" s="88">
        <v>0.74</v>
      </c>
      <c r="K13" s="92">
        <f t="shared" si="0"/>
        <v>0.49639200000000006</v>
      </c>
      <c r="L13" s="20">
        <f>P3*2</f>
        <v>244</v>
      </c>
      <c r="M13" s="89">
        <f t="shared" si="1"/>
        <v>6.0999999999999999E-2</v>
      </c>
      <c r="N13" s="89">
        <f t="shared" si="2"/>
        <v>13.603</v>
      </c>
      <c r="O13" s="89">
        <f t="shared" si="3"/>
        <v>3.0279912000000003E-2</v>
      </c>
      <c r="Q13" s="182"/>
    </row>
    <row r="14" spans="1:17" s="90" customFormat="1">
      <c r="A14" s="88">
        <v>9355</v>
      </c>
      <c r="B14" s="88" t="s">
        <v>15</v>
      </c>
      <c r="C14" s="91" t="s">
        <v>27</v>
      </c>
      <c r="D14" s="97">
        <v>12</v>
      </c>
      <c r="E14" s="97">
        <v>435</v>
      </c>
      <c r="F14" s="97">
        <v>39</v>
      </c>
      <c r="G14" s="97">
        <v>396</v>
      </c>
      <c r="H14" s="97">
        <v>0.86</v>
      </c>
      <c r="I14" s="97">
        <v>0.56000000000000005</v>
      </c>
      <c r="J14" s="97">
        <v>0.51</v>
      </c>
      <c r="K14" s="98">
        <f t="shared" si="0"/>
        <v>0.24561600000000003</v>
      </c>
      <c r="L14" s="88">
        <v>56</v>
      </c>
      <c r="M14" s="89">
        <f t="shared" si="1"/>
        <v>4.666666666666667</v>
      </c>
      <c r="N14" s="89">
        <f t="shared" si="2"/>
        <v>2030.0000000000002</v>
      </c>
      <c r="O14" s="89">
        <f t="shared" si="3"/>
        <v>1.1462080000000001</v>
      </c>
      <c r="P14" s="180">
        <f>SUM(L14:L18)</f>
        <v>99</v>
      </c>
      <c r="Q14" s="182"/>
    </row>
    <row r="15" spans="1:17" s="90" customFormat="1">
      <c r="A15" s="88">
        <v>9355</v>
      </c>
      <c r="B15" s="88" t="s">
        <v>15</v>
      </c>
      <c r="C15" s="91" t="s">
        <v>28</v>
      </c>
      <c r="D15" s="97">
        <v>12</v>
      </c>
      <c r="E15" s="97">
        <v>520</v>
      </c>
      <c r="F15" s="97">
        <v>40</v>
      </c>
      <c r="G15" s="97">
        <v>480</v>
      </c>
      <c r="H15" s="97">
        <v>1.03</v>
      </c>
      <c r="I15" s="97">
        <v>0.56000000000000005</v>
      </c>
      <c r="J15" s="97">
        <v>0.51</v>
      </c>
      <c r="K15" s="98">
        <f t="shared" si="0"/>
        <v>0.29416800000000004</v>
      </c>
      <c r="L15" s="88">
        <v>18</v>
      </c>
      <c r="M15" s="89">
        <f t="shared" si="1"/>
        <v>1.5</v>
      </c>
      <c r="N15" s="89">
        <f t="shared" si="2"/>
        <v>780</v>
      </c>
      <c r="O15" s="89">
        <f t="shared" si="3"/>
        <v>0.44125200000000009</v>
      </c>
      <c r="P15" s="180"/>
      <c r="Q15" s="182"/>
    </row>
    <row r="16" spans="1:17" s="90" customFormat="1">
      <c r="A16" s="88">
        <v>9355</v>
      </c>
      <c r="B16" s="88" t="s">
        <v>15</v>
      </c>
      <c r="C16" s="91" t="s">
        <v>29</v>
      </c>
      <c r="D16" s="97">
        <v>12</v>
      </c>
      <c r="E16" s="97">
        <v>596</v>
      </c>
      <c r="F16" s="97">
        <v>44</v>
      </c>
      <c r="G16" s="97">
        <v>552</v>
      </c>
      <c r="H16" s="97">
        <v>1.17</v>
      </c>
      <c r="I16" s="97">
        <v>0.56000000000000005</v>
      </c>
      <c r="J16" s="97">
        <v>0.51</v>
      </c>
      <c r="K16" s="98">
        <f t="shared" si="0"/>
        <v>0.334152</v>
      </c>
      <c r="L16" s="88">
        <v>18</v>
      </c>
      <c r="M16" s="89">
        <f t="shared" si="1"/>
        <v>1.5</v>
      </c>
      <c r="N16" s="89">
        <f t="shared" si="2"/>
        <v>894</v>
      </c>
      <c r="O16" s="89">
        <f t="shared" si="3"/>
        <v>0.50122800000000001</v>
      </c>
      <c r="P16" s="180"/>
      <c r="Q16" s="182"/>
    </row>
    <row r="17" spans="1:17" s="90" customFormat="1">
      <c r="A17" s="88">
        <v>9355</v>
      </c>
      <c r="B17" s="88" t="s">
        <v>15</v>
      </c>
      <c r="C17" s="91" t="s">
        <v>30</v>
      </c>
      <c r="D17" s="99">
        <v>12</v>
      </c>
      <c r="E17" s="97">
        <v>654</v>
      </c>
      <c r="F17" s="97">
        <v>42</v>
      </c>
      <c r="G17" s="97">
        <v>612</v>
      </c>
      <c r="H17" s="97">
        <v>1.2749999999999999</v>
      </c>
      <c r="I17" s="97">
        <v>0.56000000000000005</v>
      </c>
      <c r="J17" s="97">
        <v>0.51</v>
      </c>
      <c r="K17" s="98">
        <f t="shared" si="0"/>
        <v>0.36413999999999996</v>
      </c>
      <c r="L17" s="88">
        <v>7</v>
      </c>
      <c r="M17" s="89">
        <f t="shared" si="1"/>
        <v>0.58333333333333337</v>
      </c>
      <c r="N17" s="89">
        <f t="shared" si="2"/>
        <v>381.5</v>
      </c>
      <c r="O17" s="89">
        <f t="shared" si="3"/>
        <v>0.21241499999999999</v>
      </c>
      <c r="P17" s="180"/>
      <c r="Q17" s="182"/>
    </row>
    <row r="18" spans="1:17" s="90" customFormat="1">
      <c r="A18" s="88">
        <v>9355</v>
      </c>
      <c r="B18" s="88" t="s">
        <v>15</v>
      </c>
      <c r="C18" s="91" t="s">
        <v>31</v>
      </c>
      <c r="D18" s="99">
        <v>6</v>
      </c>
      <c r="E18" s="97">
        <v>410</v>
      </c>
      <c r="F18" s="97">
        <v>50</v>
      </c>
      <c r="G18" s="97">
        <v>360</v>
      </c>
      <c r="H18" s="97">
        <v>1.48</v>
      </c>
      <c r="I18" s="97">
        <v>0.56000000000000005</v>
      </c>
      <c r="J18" s="97">
        <v>0.37</v>
      </c>
      <c r="K18" s="98">
        <f t="shared" si="0"/>
        <v>0.30665600000000004</v>
      </c>
      <c r="L18" s="88">
        <v>0</v>
      </c>
      <c r="M18" s="89">
        <f t="shared" si="1"/>
        <v>0</v>
      </c>
      <c r="N18" s="89">
        <f t="shared" si="2"/>
        <v>0</v>
      </c>
      <c r="O18" s="89">
        <f t="shared" si="3"/>
        <v>0</v>
      </c>
      <c r="P18" s="180"/>
      <c r="Q18" s="182"/>
    </row>
    <row r="19" spans="1:17" s="90" customFormat="1">
      <c r="A19" s="88">
        <v>9358</v>
      </c>
      <c r="B19" s="88" t="s">
        <v>14</v>
      </c>
      <c r="C19" s="91" t="s">
        <v>32</v>
      </c>
      <c r="D19" s="94">
        <v>1000</v>
      </c>
      <c r="E19" s="94">
        <f t="shared" ref="E19:E28" si="4">G19+F19</f>
        <v>395</v>
      </c>
      <c r="F19" s="94">
        <v>40</v>
      </c>
      <c r="G19" s="94">
        <v>355</v>
      </c>
      <c r="H19" s="94">
        <v>1.05</v>
      </c>
      <c r="I19" s="94">
        <v>0.9</v>
      </c>
      <c r="J19" s="94">
        <v>0.55000000000000004</v>
      </c>
      <c r="K19" s="89">
        <f t="shared" si="0"/>
        <v>0.51975000000000005</v>
      </c>
      <c r="L19" s="20">
        <f>L14</f>
        <v>56</v>
      </c>
      <c r="M19" s="89">
        <f t="shared" si="1"/>
        <v>5.6000000000000001E-2</v>
      </c>
      <c r="N19" s="89">
        <f t="shared" si="2"/>
        <v>22.12</v>
      </c>
      <c r="O19" s="89">
        <f t="shared" si="3"/>
        <v>2.9106000000000003E-2</v>
      </c>
      <c r="Q19" s="182"/>
    </row>
    <row r="20" spans="1:17" s="90" customFormat="1">
      <c r="A20" s="88">
        <v>9358</v>
      </c>
      <c r="B20" s="88" t="s">
        <v>14</v>
      </c>
      <c r="C20" s="91" t="s">
        <v>33</v>
      </c>
      <c r="D20" s="94">
        <v>450</v>
      </c>
      <c r="E20" s="94">
        <f t="shared" si="4"/>
        <v>360</v>
      </c>
      <c r="F20" s="94">
        <v>40</v>
      </c>
      <c r="G20" s="94">
        <v>320</v>
      </c>
      <c r="H20" s="88">
        <v>1.1000000000000001</v>
      </c>
      <c r="I20" s="94">
        <v>0.9</v>
      </c>
      <c r="J20" s="88">
        <v>0.75</v>
      </c>
      <c r="K20" s="92">
        <f t="shared" si="0"/>
        <v>0.74250000000000005</v>
      </c>
      <c r="L20" s="20">
        <f>L14</f>
        <v>56</v>
      </c>
      <c r="M20" s="89">
        <f t="shared" si="1"/>
        <v>0.12444444444444444</v>
      </c>
      <c r="N20" s="89">
        <f t="shared" si="2"/>
        <v>44.8</v>
      </c>
      <c r="O20" s="89">
        <f t="shared" si="3"/>
        <v>9.240000000000001E-2</v>
      </c>
      <c r="Q20" s="182"/>
    </row>
    <row r="21" spans="1:17" s="90" customFormat="1">
      <c r="A21" s="88">
        <v>9358</v>
      </c>
      <c r="B21" s="88" t="s">
        <v>14</v>
      </c>
      <c r="C21" s="91" t="s">
        <v>34</v>
      </c>
      <c r="D21" s="94">
        <v>1000</v>
      </c>
      <c r="E21" s="94">
        <f t="shared" si="4"/>
        <v>492</v>
      </c>
      <c r="F21" s="94">
        <v>40</v>
      </c>
      <c r="G21" s="94">
        <v>452</v>
      </c>
      <c r="H21" s="94">
        <v>1.1000000000000001</v>
      </c>
      <c r="I21" s="94">
        <v>1.05</v>
      </c>
      <c r="J21" s="94">
        <v>0.55000000000000004</v>
      </c>
      <c r="K21" s="89">
        <f t="shared" si="0"/>
        <v>0.6352500000000002</v>
      </c>
      <c r="L21" s="20">
        <f>L15</f>
        <v>18</v>
      </c>
      <c r="M21" s="89">
        <f t="shared" si="1"/>
        <v>1.7999999999999999E-2</v>
      </c>
      <c r="N21" s="89">
        <f t="shared" si="2"/>
        <v>8.8559999999999999</v>
      </c>
      <c r="O21" s="89">
        <f t="shared" si="3"/>
        <v>1.1434500000000002E-2</v>
      </c>
      <c r="Q21" s="182"/>
    </row>
    <row r="22" spans="1:17" s="90" customFormat="1">
      <c r="A22" s="88">
        <v>9358</v>
      </c>
      <c r="B22" s="88" t="s">
        <v>14</v>
      </c>
      <c r="C22" s="91" t="s">
        <v>35</v>
      </c>
      <c r="D22" s="94">
        <v>450</v>
      </c>
      <c r="E22" s="94">
        <f t="shared" si="4"/>
        <v>421.5</v>
      </c>
      <c r="F22" s="94">
        <v>40</v>
      </c>
      <c r="G22" s="94">
        <v>381.5</v>
      </c>
      <c r="H22" s="94">
        <v>1.05</v>
      </c>
      <c r="I22" s="94">
        <v>1.05</v>
      </c>
      <c r="J22" s="88">
        <v>0.75</v>
      </c>
      <c r="K22" s="92">
        <f t="shared" si="0"/>
        <v>0.82687500000000003</v>
      </c>
      <c r="L22" s="20">
        <f>L15</f>
        <v>18</v>
      </c>
      <c r="M22" s="89">
        <f t="shared" si="1"/>
        <v>0.04</v>
      </c>
      <c r="N22" s="89">
        <f t="shared" si="2"/>
        <v>16.86</v>
      </c>
      <c r="O22" s="89">
        <f t="shared" si="3"/>
        <v>3.3075E-2</v>
      </c>
      <c r="Q22" s="182"/>
    </row>
    <row r="23" spans="1:17" s="90" customFormat="1">
      <c r="A23" s="88">
        <v>9358</v>
      </c>
      <c r="B23" s="88" t="s">
        <v>14</v>
      </c>
      <c r="C23" s="91" t="s">
        <v>36</v>
      </c>
      <c r="D23" s="94">
        <v>1000</v>
      </c>
      <c r="E23" s="94">
        <f t="shared" si="4"/>
        <v>574</v>
      </c>
      <c r="F23" s="94">
        <v>40</v>
      </c>
      <c r="G23" s="94">
        <v>534</v>
      </c>
      <c r="H23" s="94">
        <v>1.1000000000000001</v>
      </c>
      <c r="I23" s="94">
        <v>1.2</v>
      </c>
      <c r="J23" s="94">
        <v>0.55000000000000004</v>
      </c>
      <c r="K23" s="89">
        <f t="shared" si="0"/>
        <v>0.72600000000000009</v>
      </c>
      <c r="L23" s="20">
        <f>L16</f>
        <v>18</v>
      </c>
      <c r="M23" s="89">
        <f t="shared" si="1"/>
        <v>1.7999999999999999E-2</v>
      </c>
      <c r="N23" s="89">
        <f t="shared" si="2"/>
        <v>10.331999999999999</v>
      </c>
      <c r="O23" s="89">
        <f t="shared" si="3"/>
        <v>1.3068000000000001E-2</v>
      </c>
      <c r="Q23" s="182"/>
    </row>
    <row r="24" spans="1:17" s="90" customFormat="1">
      <c r="A24" s="88">
        <v>9358</v>
      </c>
      <c r="B24" s="88" t="s">
        <v>14</v>
      </c>
      <c r="C24" s="91" t="s">
        <v>37</v>
      </c>
      <c r="D24" s="94">
        <v>450</v>
      </c>
      <c r="E24" s="94">
        <f t="shared" si="4"/>
        <v>475</v>
      </c>
      <c r="F24" s="94">
        <v>40</v>
      </c>
      <c r="G24" s="94">
        <v>435</v>
      </c>
      <c r="H24" s="94">
        <v>1.05</v>
      </c>
      <c r="I24" s="94">
        <v>1.2</v>
      </c>
      <c r="J24" s="88">
        <v>0.75</v>
      </c>
      <c r="K24" s="89">
        <f t="shared" si="0"/>
        <v>0.94500000000000006</v>
      </c>
      <c r="L24" s="20">
        <f>L16</f>
        <v>18</v>
      </c>
      <c r="M24" s="89">
        <f t="shared" si="1"/>
        <v>0.04</v>
      </c>
      <c r="N24" s="89">
        <f t="shared" si="2"/>
        <v>19</v>
      </c>
      <c r="O24" s="89">
        <f t="shared" si="3"/>
        <v>3.78E-2</v>
      </c>
      <c r="Q24" s="182"/>
    </row>
    <row r="25" spans="1:17" s="90" customFormat="1">
      <c r="A25" s="88">
        <v>9358</v>
      </c>
      <c r="B25" s="88" t="s">
        <v>14</v>
      </c>
      <c r="C25" s="91" t="s">
        <v>38</v>
      </c>
      <c r="D25" s="94">
        <v>1000</v>
      </c>
      <c r="E25" s="94">
        <f t="shared" si="4"/>
        <v>645</v>
      </c>
      <c r="F25" s="94">
        <v>40</v>
      </c>
      <c r="G25" s="94">
        <v>605</v>
      </c>
      <c r="H25" s="94">
        <v>1.1000000000000001</v>
      </c>
      <c r="I25" s="94">
        <v>1.3</v>
      </c>
      <c r="J25" s="94">
        <v>0.55000000000000004</v>
      </c>
      <c r="K25" s="89">
        <f t="shared" si="0"/>
        <v>0.7865000000000002</v>
      </c>
      <c r="L25" s="20">
        <f>L17</f>
        <v>7</v>
      </c>
      <c r="M25" s="89">
        <f t="shared" si="1"/>
        <v>7.0000000000000001E-3</v>
      </c>
      <c r="N25" s="89">
        <f t="shared" si="2"/>
        <v>4.5149999999999997</v>
      </c>
      <c r="O25" s="89">
        <f t="shared" si="3"/>
        <v>5.5055000000000017E-3</v>
      </c>
      <c r="Q25" s="182"/>
    </row>
    <row r="26" spans="1:17" s="90" customFormat="1">
      <c r="A26" s="88">
        <v>9358</v>
      </c>
      <c r="B26" s="88" t="s">
        <v>14</v>
      </c>
      <c r="C26" s="91" t="s">
        <v>39</v>
      </c>
      <c r="D26" s="94">
        <v>450</v>
      </c>
      <c r="E26" s="94">
        <f t="shared" si="4"/>
        <v>515</v>
      </c>
      <c r="F26" s="94">
        <v>40</v>
      </c>
      <c r="G26" s="94">
        <v>475</v>
      </c>
      <c r="H26" s="94">
        <v>1.05</v>
      </c>
      <c r="I26" s="94">
        <v>1.3</v>
      </c>
      <c r="J26" s="88">
        <v>0.75</v>
      </c>
      <c r="K26" s="89">
        <f t="shared" si="0"/>
        <v>1.0237500000000002</v>
      </c>
      <c r="L26" s="20">
        <f>L17</f>
        <v>7</v>
      </c>
      <c r="M26" s="89">
        <f t="shared" si="1"/>
        <v>1.5555555555555555E-2</v>
      </c>
      <c r="N26" s="89">
        <f t="shared" si="2"/>
        <v>8.0111111111111111</v>
      </c>
      <c r="O26" s="89">
        <f t="shared" si="3"/>
        <v>1.5925000000000002E-2</v>
      </c>
      <c r="Q26" s="182"/>
    </row>
    <row r="27" spans="1:17" s="90" customFormat="1">
      <c r="A27" s="88">
        <v>9358</v>
      </c>
      <c r="B27" s="88" t="s">
        <v>14</v>
      </c>
      <c r="C27" s="91" t="s">
        <v>40</v>
      </c>
      <c r="D27" s="94">
        <v>1000</v>
      </c>
      <c r="E27" s="94">
        <f t="shared" si="4"/>
        <v>645</v>
      </c>
      <c r="F27" s="94">
        <v>40</v>
      </c>
      <c r="G27" s="94">
        <v>605</v>
      </c>
      <c r="H27" s="94">
        <v>1.1000000000000001</v>
      </c>
      <c r="I27" s="94">
        <v>1.3</v>
      </c>
      <c r="J27" s="94">
        <v>0.55000000000000004</v>
      </c>
      <c r="K27" s="89">
        <f t="shared" si="0"/>
        <v>0.7865000000000002</v>
      </c>
      <c r="L27" s="88">
        <f>L18</f>
        <v>0</v>
      </c>
      <c r="M27" s="89">
        <f t="shared" si="1"/>
        <v>0</v>
      </c>
      <c r="N27" s="89">
        <f t="shared" si="2"/>
        <v>0</v>
      </c>
      <c r="O27" s="89">
        <f t="shared" si="3"/>
        <v>0</v>
      </c>
      <c r="Q27" s="182"/>
    </row>
    <row r="28" spans="1:17" s="90" customFormat="1">
      <c r="A28" s="88">
        <v>9358</v>
      </c>
      <c r="B28" s="88" t="s">
        <v>14</v>
      </c>
      <c r="C28" s="91" t="s">
        <v>41</v>
      </c>
      <c r="D28" s="94">
        <v>450</v>
      </c>
      <c r="E28" s="94">
        <f t="shared" si="4"/>
        <v>515</v>
      </c>
      <c r="F28" s="94">
        <v>40</v>
      </c>
      <c r="G28" s="94">
        <v>475</v>
      </c>
      <c r="H28" s="94">
        <v>1.05</v>
      </c>
      <c r="I28" s="94">
        <v>1.3</v>
      </c>
      <c r="J28" s="88">
        <v>0.75</v>
      </c>
      <c r="K28" s="89">
        <f t="shared" si="0"/>
        <v>1.0237500000000002</v>
      </c>
      <c r="L28" s="88">
        <f>L18</f>
        <v>0</v>
      </c>
      <c r="M28" s="89">
        <f t="shared" si="1"/>
        <v>0</v>
      </c>
      <c r="N28" s="89">
        <f t="shared" si="2"/>
        <v>0</v>
      </c>
      <c r="O28" s="89">
        <f t="shared" si="3"/>
        <v>0</v>
      </c>
      <c r="Q28" s="182"/>
    </row>
    <row r="29" spans="1:17" s="90" customFormat="1">
      <c r="A29" s="88">
        <v>9358</v>
      </c>
      <c r="B29" s="88" t="s">
        <v>14</v>
      </c>
      <c r="C29" s="91" t="s">
        <v>22</v>
      </c>
      <c r="D29" s="93">
        <v>3000</v>
      </c>
      <c r="E29" s="94">
        <v>235</v>
      </c>
      <c r="F29" s="88">
        <v>35</v>
      </c>
      <c r="G29" s="94">
        <v>200</v>
      </c>
      <c r="H29" s="88">
        <v>1.1000000000000001</v>
      </c>
      <c r="I29" s="88">
        <v>1.1000000000000001</v>
      </c>
      <c r="J29" s="88">
        <v>1.02</v>
      </c>
      <c r="K29" s="92">
        <f t="shared" si="0"/>
        <v>1.2342000000000002</v>
      </c>
      <c r="L29" s="20">
        <f>P14*4</f>
        <v>396</v>
      </c>
      <c r="M29" s="89">
        <f t="shared" si="1"/>
        <v>0.13200000000000001</v>
      </c>
      <c r="N29" s="89">
        <f t="shared" si="2"/>
        <v>31.020000000000003</v>
      </c>
      <c r="O29" s="89">
        <f t="shared" si="3"/>
        <v>0.16291440000000004</v>
      </c>
      <c r="Q29" s="182"/>
    </row>
    <row r="30" spans="1:17" s="90" customFormat="1">
      <c r="A30" s="88">
        <v>9358</v>
      </c>
      <c r="B30" s="88" t="s">
        <v>14</v>
      </c>
      <c r="C30" s="91" t="s">
        <v>23</v>
      </c>
      <c r="D30" s="95">
        <v>1000</v>
      </c>
      <c r="E30" s="96">
        <v>646</v>
      </c>
      <c r="F30" s="96">
        <f>E30-G30</f>
        <v>40</v>
      </c>
      <c r="G30" s="96">
        <v>606</v>
      </c>
      <c r="H30" s="96">
        <v>1.1000000000000001</v>
      </c>
      <c r="I30" s="96">
        <v>0.8</v>
      </c>
      <c r="J30" s="96">
        <v>0.55000000000000004</v>
      </c>
      <c r="K30" s="89">
        <f t="shared" si="0"/>
        <v>0.4840000000000001</v>
      </c>
      <c r="L30" s="20">
        <f>P14*4</f>
        <v>396</v>
      </c>
      <c r="M30" s="89">
        <f t="shared" si="1"/>
        <v>0.39600000000000002</v>
      </c>
      <c r="N30" s="89">
        <f t="shared" si="2"/>
        <v>255.816</v>
      </c>
      <c r="O30" s="89">
        <f t="shared" si="3"/>
        <v>0.19166400000000006</v>
      </c>
      <c r="Q30" s="182"/>
    </row>
    <row r="31" spans="1:17" s="90" customFormat="1">
      <c r="A31" s="88">
        <v>9358</v>
      </c>
      <c r="B31" s="88" t="s">
        <v>14</v>
      </c>
      <c r="C31" s="91" t="s">
        <v>46</v>
      </c>
      <c r="D31" s="93">
        <v>4000</v>
      </c>
      <c r="E31" s="94">
        <v>424</v>
      </c>
      <c r="F31" s="88">
        <f>E31-G31</f>
        <v>52</v>
      </c>
      <c r="G31" s="94">
        <v>372</v>
      </c>
      <c r="H31" s="88">
        <v>1.1000000000000001</v>
      </c>
      <c r="I31" s="88">
        <v>0.8</v>
      </c>
      <c r="J31" s="88">
        <v>0.55000000000000004</v>
      </c>
      <c r="K31" s="92">
        <f t="shared" si="0"/>
        <v>0.4840000000000001</v>
      </c>
      <c r="L31" s="20">
        <f>P14*4</f>
        <v>396</v>
      </c>
      <c r="M31" s="89">
        <f t="shared" si="1"/>
        <v>9.9000000000000005E-2</v>
      </c>
      <c r="N31" s="89">
        <f t="shared" si="2"/>
        <v>41.975999999999999</v>
      </c>
      <c r="O31" s="89">
        <f t="shared" si="3"/>
        <v>4.7916000000000014E-2</v>
      </c>
      <c r="Q31" s="182"/>
    </row>
    <row r="32" spans="1:17" s="90" customFormat="1">
      <c r="A32" s="88">
        <v>9358</v>
      </c>
      <c r="B32" s="88" t="s">
        <v>14</v>
      </c>
      <c r="C32" s="91" t="s">
        <v>42</v>
      </c>
      <c r="D32" s="100">
        <v>1200</v>
      </c>
      <c r="E32" s="190">
        <v>666.4</v>
      </c>
      <c r="F32" s="190">
        <v>40</v>
      </c>
      <c r="G32" s="101">
        <v>588</v>
      </c>
      <c r="H32" s="192">
        <v>1</v>
      </c>
      <c r="I32" s="192">
        <v>0.75</v>
      </c>
      <c r="J32" s="192">
        <v>0.7</v>
      </c>
      <c r="K32" s="194">
        <v>0.5</v>
      </c>
      <c r="L32" s="20">
        <f>P14*4</f>
        <v>396</v>
      </c>
      <c r="M32" s="196">
        <f t="shared" si="1"/>
        <v>0.33</v>
      </c>
      <c r="N32" s="196">
        <f t="shared" si="2"/>
        <v>219.91200000000001</v>
      </c>
      <c r="O32" s="198">
        <f t="shared" si="3"/>
        <v>0.16500000000000001</v>
      </c>
      <c r="Q32" s="182"/>
    </row>
    <row r="33" spans="1:17" s="90" customFormat="1">
      <c r="A33" s="88">
        <v>9358</v>
      </c>
      <c r="B33" s="88" t="s">
        <v>14</v>
      </c>
      <c r="C33" s="91" t="s">
        <v>43</v>
      </c>
      <c r="D33" s="100">
        <v>1200</v>
      </c>
      <c r="E33" s="191"/>
      <c r="F33" s="191"/>
      <c r="G33" s="101">
        <v>38.4</v>
      </c>
      <c r="H33" s="193"/>
      <c r="I33" s="193"/>
      <c r="J33" s="193"/>
      <c r="K33" s="195"/>
      <c r="L33" s="20">
        <f>P14*4</f>
        <v>396</v>
      </c>
      <c r="M33" s="197"/>
      <c r="N33" s="197"/>
      <c r="O33" s="199"/>
      <c r="Q33" s="182"/>
    </row>
    <row r="34" spans="1:17" s="90" customFormat="1" ht="15" thickBot="1">
      <c r="A34" s="88">
        <v>9358</v>
      </c>
      <c r="B34" s="88" t="s">
        <v>14</v>
      </c>
      <c r="C34" s="91" t="s">
        <v>60</v>
      </c>
      <c r="D34" s="100"/>
      <c r="E34" s="102"/>
      <c r="F34" s="102"/>
      <c r="G34" s="101"/>
      <c r="H34" s="103"/>
      <c r="I34" s="103"/>
      <c r="J34" s="103"/>
      <c r="K34" s="104"/>
      <c r="L34" s="20">
        <f>P14*4</f>
        <v>396</v>
      </c>
      <c r="M34" s="105"/>
      <c r="N34" s="105"/>
      <c r="O34" s="106"/>
      <c r="Q34" s="183"/>
    </row>
    <row r="35" spans="1:17" s="46" customFormat="1">
      <c r="A35" s="47">
        <v>9355</v>
      </c>
      <c r="B35" s="47" t="s">
        <v>15</v>
      </c>
      <c r="C35" s="47" t="s">
        <v>16</v>
      </c>
      <c r="D35" s="47">
        <v>30</v>
      </c>
      <c r="E35" s="47">
        <v>669</v>
      </c>
      <c r="F35" s="47">
        <f>E35-G35</f>
        <v>53</v>
      </c>
      <c r="G35" s="47">
        <v>616</v>
      </c>
      <c r="H35" s="47">
        <v>1</v>
      </c>
      <c r="I35" s="47">
        <v>0.9</v>
      </c>
      <c r="J35" s="47">
        <v>0.73</v>
      </c>
      <c r="K35" s="47">
        <f t="shared" ref="K35:K63" si="5">H35*I35*J35</f>
        <v>0.65700000000000003</v>
      </c>
      <c r="L35" s="47">
        <v>102</v>
      </c>
      <c r="M35" s="48">
        <f t="shared" ref="M35:M64" si="6">L35/D35</f>
        <v>3.4</v>
      </c>
      <c r="N35" s="48">
        <f t="shared" ref="N35:N64" si="7">E35*M35</f>
        <v>2274.6</v>
      </c>
      <c r="O35" s="48">
        <f>M35*K35</f>
        <v>2.2338</v>
      </c>
      <c r="P35" s="176">
        <f>SUM(L35:L38)</f>
        <v>120</v>
      </c>
      <c r="Q35" s="177" t="s">
        <v>53</v>
      </c>
    </row>
    <row r="36" spans="1:17" s="46" customFormat="1">
      <c r="A36" s="47">
        <v>9355</v>
      </c>
      <c r="B36" s="47" t="s">
        <v>15</v>
      </c>
      <c r="C36" s="47" t="s">
        <v>17</v>
      </c>
      <c r="D36" s="47">
        <v>30</v>
      </c>
      <c r="E36" s="47">
        <v>669</v>
      </c>
      <c r="F36" s="47">
        <f>E36-G36</f>
        <v>53</v>
      </c>
      <c r="G36" s="47">
        <v>616</v>
      </c>
      <c r="H36" s="47">
        <v>1</v>
      </c>
      <c r="I36" s="47">
        <v>0.9</v>
      </c>
      <c r="J36" s="47">
        <v>0.73</v>
      </c>
      <c r="K36" s="47">
        <f t="shared" si="5"/>
        <v>0.65700000000000003</v>
      </c>
      <c r="L36" s="47">
        <v>6</v>
      </c>
      <c r="M36" s="48">
        <f t="shared" si="6"/>
        <v>0.2</v>
      </c>
      <c r="N36" s="48">
        <f t="shared" si="7"/>
        <v>133.80000000000001</v>
      </c>
      <c r="O36" s="48">
        <f t="shared" ref="O36:O64" si="8">M36*K36</f>
        <v>0.13140000000000002</v>
      </c>
      <c r="P36" s="176"/>
      <c r="Q36" s="178"/>
    </row>
    <row r="37" spans="1:17" s="46" customFormat="1">
      <c r="A37" s="47">
        <v>9355</v>
      </c>
      <c r="B37" s="47" t="s">
        <v>15</v>
      </c>
      <c r="C37" s="47" t="s">
        <v>18</v>
      </c>
      <c r="D37" s="47">
        <v>30</v>
      </c>
      <c r="E37" s="47">
        <v>669</v>
      </c>
      <c r="F37" s="47">
        <f>E37-G37</f>
        <v>53</v>
      </c>
      <c r="G37" s="47">
        <v>616</v>
      </c>
      <c r="H37" s="47">
        <v>1</v>
      </c>
      <c r="I37" s="47">
        <v>0.9</v>
      </c>
      <c r="J37" s="47">
        <v>0.73</v>
      </c>
      <c r="K37" s="47">
        <f t="shared" si="5"/>
        <v>0.65700000000000003</v>
      </c>
      <c r="L37" s="47">
        <v>6</v>
      </c>
      <c r="M37" s="48">
        <f t="shared" si="6"/>
        <v>0.2</v>
      </c>
      <c r="N37" s="48">
        <f t="shared" si="7"/>
        <v>133.80000000000001</v>
      </c>
      <c r="O37" s="48">
        <f t="shared" si="8"/>
        <v>0.13140000000000002</v>
      </c>
      <c r="P37" s="176"/>
      <c r="Q37" s="178"/>
    </row>
    <row r="38" spans="1:17" s="46" customFormat="1">
      <c r="A38" s="47">
        <v>9355</v>
      </c>
      <c r="B38" s="47" t="s">
        <v>15</v>
      </c>
      <c r="C38" s="47" t="s">
        <v>19</v>
      </c>
      <c r="D38" s="47">
        <v>30</v>
      </c>
      <c r="E38" s="47">
        <v>669</v>
      </c>
      <c r="F38" s="47">
        <f>E38-G38</f>
        <v>53</v>
      </c>
      <c r="G38" s="47">
        <v>616</v>
      </c>
      <c r="H38" s="47">
        <v>1</v>
      </c>
      <c r="I38" s="47">
        <v>0.9</v>
      </c>
      <c r="J38" s="47">
        <v>0.73</v>
      </c>
      <c r="K38" s="47">
        <f t="shared" si="5"/>
        <v>0.65700000000000003</v>
      </c>
      <c r="L38" s="47">
        <v>6</v>
      </c>
      <c r="M38" s="48">
        <f t="shared" si="6"/>
        <v>0.2</v>
      </c>
      <c r="N38" s="48">
        <f t="shared" si="7"/>
        <v>133.80000000000001</v>
      </c>
      <c r="O38" s="48">
        <f t="shared" si="8"/>
        <v>0.13140000000000002</v>
      </c>
      <c r="P38" s="176"/>
      <c r="Q38" s="178"/>
    </row>
    <row r="39" spans="1:17" s="46" customFormat="1">
      <c r="A39" s="47">
        <v>9358</v>
      </c>
      <c r="B39" s="47" t="s">
        <v>14</v>
      </c>
      <c r="C39" s="49" t="s">
        <v>20</v>
      </c>
      <c r="D39" s="47">
        <v>5000</v>
      </c>
      <c r="E39" s="47">
        <v>490</v>
      </c>
      <c r="F39" s="47">
        <v>40</v>
      </c>
      <c r="G39" s="47">
        <v>450</v>
      </c>
      <c r="H39" s="47">
        <v>1</v>
      </c>
      <c r="I39" s="47">
        <v>0.98</v>
      </c>
      <c r="J39" s="47">
        <v>0.83</v>
      </c>
      <c r="K39" s="50">
        <f t="shared" si="5"/>
        <v>0.8133999999999999</v>
      </c>
      <c r="L39" s="20">
        <f>P35</f>
        <v>120</v>
      </c>
      <c r="M39" s="48">
        <f t="shared" si="6"/>
        <v>2.4E-2</v>
      </c>
      <c r="N39" s="48">
        <f t="shared" si="7"/>
        <v>11.76</v>
      </c>
      <c r="O39" s="48">
        <f t="shared" si="8"/>
        <v>1.9521599999999997E-2</v>
      </c>
      <c r="Q39" s="178"/>
    </row>
    <row r="40" spans="1:17" s="46" customFormat="1">
      <c r="A40" s="47">
        <v>9358</v>
      </c>
      <c r="B40" s="47" t="s">
        <v>14</v>
      </c>
      <c r="C40" s="49" t="s">
        <v>21</v>
      </c>
      <c r="D40" s="47">
        <v>360</v>
      </c>
      <c r="E40" s="47">
        <v>390</v>
      </c>
      <c r="F40" s="47">
        <v>40</v>
      </c>
      <c r="G40" s="47">
        <v>350</v>
      </c>
      <c r="H40" s="47">
        <v>1.05</v>
      </c>
      <c r="I40" s="47">
        <v>0.95</v>
      </c>
      <c r="J40" s="47">
        <v>0.55000000000000004</v>
      </c>
      <c r="K40" s="50">
        <f t="shared" si="5"/>
        <v>0.54862500000000003</v>
      </c>
      <c r="L40" s="20">
        <f>P35</f>
        <v>120</v>
      </c>
      <c r="M40" s="48">
        <f t="shared" si="6"/>
        <v>0.33333333333333331</v>
      </c>
      <c r="N40" s="48">
        <f t="shared" si="7"/>
        <v>130</v>
      </c>
      <c r="O40" s="48">
        <f t="shared" si="8"/>
        <v>0.18287500000000001</v>
      </c>
      <c r="Q40" s="178"/>
    </row>
    <row r="41" spans="1:17" s="46" customFormat="1">
      <c r="A41" s="47">
        <v>9358</v>
      </c>
      <c r="B41" s="47" t="s">
        <v>14</v>
      </c>
      <c r="C41" s="49" t="s">
        <v>22</v>
      </c>
      <c r="D41" s="51">
        <v>3000</v>
      </c>
      <c r="E41" s="52">
        <v>235</v>
      </c>
      <c r="F41" s="47">
        <v>35</v>
      </c>
      <c r="G41" s="52">
        <v>200</v>
      </c>
      <c r="H41" s="47">
        <v>1.1000000000000001</v>
      </c>
      <c r="I41" s="47">
        <v>1.1000000000000001</v>
      </c>
      <c r="J41" s="47">
        <v>1.02</v>
      </c>
      <c r="K41" s="50">
        <f t="shared" si="5"/>
        <v>1.2342000000000002</v>
      </c>
      <c r="L41" s="20">
        <f>P35*4</f>
        <v>480</v>
      </c>
      <c r="M41" s="48">
        <f t="shared" si="6"/>
        <v>0.16</v>
      </c>
      <c r="N41" s="48">
        <f t="shared" si="7"/>
        <v>37.6</v>
      </c>
      <c r="O41" s="48">
        <f t="shared" si="8"/>
        <v>0.19747200000000004</v>
      </c>
      <c r="Q41" s="178"/>
    </row>
    <row r="42" spans="1:17" s="46" customFormat="1">
      <c r="A42" s="47">
        <v>9358</v>
      </c>
      <c r="B42" s="47" t="s">
        <v>14</v>
      </c>
      <c r="C42" s="49" t="s">
        <v>23</v>
      </c>
      <c r="D42" s="53">
        <v>1000</v>
      </c>
      <c r="E42" s="54">
        <v>646</v>
      </c>
      <c r="F42" s="54">
        <f>E42-G42</f>
        <v>40</v>
      </c>
      <c r="G42" s="54">
        <v>606</v>
      </c>
      <c r="H42" s="54">
        <v>1.1000000000000001</v>
      </c>
      <c r="I42" s="54">
        <v>0.8</v>
      </c>
      <c r="J42" s="54">
        <v>0.55000000000000004</v>
      </c>
      <c r="K42" s="48">
        <f t="shared" si="5"/>
        <v>0.4840000000000001</v>
      </c>
      <c r="L42" s="20">
        <f>P35*4</f>
        <v>480</v>
      </c>
      <c r="M42" s="48">
        <f t="shared" si="6"/>
        <v>0.48</v>
      </c>
      <c r="N42" s="48">
        <f t="shared" si="7"/>
        <v>310.08</v>
      </c>
      <c r="O42" s="48">
        <f t="shared" si="8"/>
        <v>0.23232000000000003</v>
      </c>
      <c r="Q42" s="178"/>
    </row>
    <row r="43" spans="1:17" s="46" customFormat="1">
      <c r="A43" s="47">
        <v>9356</v>
      </c>
      <c r="B43" s="47" t="s">
        <v>47</v>
      </c>
      <c r="C43" s="49" t="s">
        <v>24</v>
      </c>
      <c r="D43" s="51">
        <v>4000</v>
      </c>
      <c r="E43" s="52">
        <v>424</v>
      </c>
      <c r="F43" s="47">
        <f>E43-G43</f>
        <v>52</v>
      </c>
      <c r="G43" s="52">
        <v>372</v>
      </c>
      <c r="H43" s="47">
        <v>1.1000000000000001</v>
      </c>
      <c r="I43" s="47">
        <v>0.8</v>
      </c>
      <c r="J43" s="47">
        <v>0.55000000000000004</v>
      </c>
      <c r="K43" s="50">
        <f t="shared" si="5"/>
        <v>0.4840000000000001</v>
      </c>
      <c r="L43" s="47">
        <f>(P35+P46)*4</f>
        <v>856</v>
      </c>
      <c r="M43" s="48">
        <f t="shared" si="6"/>
        <v>0.214</v>
      </c>
      <c r="N43" s="48">
        <f t="shared" si="7"/>
        <v>90.736000000000004</v>
      </c>
      <c r="O43" s="48">
        <f t="shared" si="8"/>
        <v>0.10357600000000002</v>
      </c>
      <c r="Q43" s="178"/>
    </row>
    <row r="44" spans="1:17" s="46" customFormat="1">
      <c r="A44" s="47">
        <v>9358</v>
      </c>
      <c r="B44" s="47" t="s">
        <v>14</v>
      </c>
      <c r="C44" s="49" t="s">
        <v>25</v>
      </c>
      <c r="D44" s="47">
        <v>1000</v>
      </c>
      <c r="E44" s="47">
        <v>830</v>
      </c>
      <c r="F44" s="47">
        <v>40</v>
      </c>
      <c r="G44" s="47">
        <v>790</v>
      </c>
      <c r="H44" s="47">
        <v>1.04</v>
      </c>
      <c r="I44" s="47">
        <v>0.84</v>
      </c>
      <c r="J44" s="47">
        <v>0.64</v>
      </c>
      <c r="K44" s="50">
        <f t="shared" si="5"/>
        <v>0.55910400000000005</v>
      </c>
      <c r="L44" s="20">
        <f>P35*2</f>
        <v>240</v>
      </c>
      <c r="M44" s="48">
        <f t="shared" si="6"/>
        <v>0.24</v>
      </c>
      <c r="N44" s="48">
        <f t="shared" si="7"/>
        <v>199.2</v>
      </c>
      <c r="O44" s="48">
        <f t="shared" si="8"/>
        <v>0.13418496000000002</v>
      </c>
      <c r="Q44" s="178"/>
    </row>
    <row r="45" spans="1:17" s="46" customFormat="1">
      <c r="A45" s="47">
        <v>9358</v>
      </c>
      <c r="B45" s="47" t="s">
        <v>14</v>
      </c>
      <c r="C45" s="49" t="s">
        <v>26</v>
      </c>
      <c r="D45" s="47">
        <v>4000</v>
      </c>
      <c r="E45" s="47">
        <v>223</v>
      </c>
      <c r="F45" s="47">
        <v>30</v>
      </c>
      <c r="G45" s="47">
        <v>188</v>
      </c>
      <c r="H45" s="47">
        <v>0.86</v>
      </c>
      <c r="I45" s="47">
        <v>0.78</v>
      </c>
      <c r="J45" s="47">
        <v>0.74</v>
      </c>
      <c r="K45" s="50">
        <f t="shared" si="5"/>
        <v>0.49639200000000006</v>
      </c>
      <c r="L45" s="20">
        <f>P35*2</f>
        <v>240</v>
      </c>
      <c r="M45" s="48">
        <f t="shared" si="6"/>
        <v>0.06</v>
      </c>
      <c r="N45" s="48">
        <f t="shared" si="7"/>
        <v>13.379999999999999</v>
      </c>
      <c r="O45" s="48">
        <f t="shared" si="8"/>
        <v>2.9783520000000001E-2</v>
      </c>
      <c r="Q45" s="178"/>
    </row>
    <row r="46" spans="1:17" s="46" customFormat="1">
      <c r="A46" s="47">
        <v>9355</v>
      </c>
      <c r="B46" s="47" t="s">
        <v>15</v>
      </c>
      <c r="C46" s="49" t="s">
        <v>27</v>
      </c>
      <c r="D46" s="55">
        <v>12</v>
      </c>
      <c r="E46" s="55">
        <v>435</v>
      </c>
      <c r="F46" s="55">
        <v>39</v>
      </c>
      <c r="G46" s="55">
        <v>396</v>
      </c>
      <c r="H46" s="55">
        <v>0.86</v>
      </c>
      <c r="I46" s="55">
        <v>0.56000000000000005</v>
      </c>
      <c r="J46" s="55">
        <v>0.51</v>
      </c>
      <c r="K46" s="56">
        <f t="shared" si="5"/>
        <v>0.24561600000000003</v>
      </c>
      <c r="L46" s="47">
        <v>54</v>
      </c>
      <c r="M46" s="48">
        <f t="shared" si="6"/>
        <v>4.5</v>
      </c>
      <c r="N46" s="48">
        <f t="shared" si="7"/>
        <v>1957.5</v>
      </c>
      <c r="O46" s="48">
        <f t="shared" si="8"/>
        <v>1.105272</v>
      </c>
      <c r="P46" s="176">
        <f>SUM(L46:L50)</f>
        <v>94</v>
      </c>
      <c r="Q46" s="178"/>
    </row>
    <row r="47" spans="1:17" s="46" customFormat="1">
      <c r="A47" s="47">
        <v>9355</v>
      </c>
      <c r="B47" s="47" t="s">
        <v>15</v>
      </c>
      <c r="C47" s="49" t="s">
        <v>28</v>
      </c>
      <c r="D47" s="55">
        <v>12</v>
      </c>
      <c r="E47" s="55">
        <v>520</v>
      </c>
      <c r="F47" s="55">
        <v>40</v>
      </c>
      <c r="G47" s="55">
        <v>480</v>
      </c>
      <c r="H47" s="55">
        <v>1.03</v>
      </c>
      <c r="I47" s="55">
        <v>0.56000000000000005</v>
      </c>
      <c r="J47" s="55">
        <v>0.51</v>
      </c>
      <c r="K47" s="56">
        <f t="shared" si="5"/>
        <v>0.29416800000000004</v>
      </c>
      <c r="L47" s="47">
        <v>17</v>
      </c>
      <c r="M47" s="48">
        <f t="shared" si="6"/>
        <v>1.4166666666666667</v>
      </c>
      <c r="N47" s="48">
        <f t="shared" si="7"/>
        <v>736.66666666666674</v>
      </c>
      <c r="O47" s="48">
        <f t="shared" si="8"/>
        <v>0.41673800000000005</v>
      </c>
      <c r="P47" s="176"/>
      <c r="Q47" s="178"/>
    </row>
    <row r="48" spans="1:17" s="46" customFormat="1">
      <c r="A48" s="47">
        <v>9355</v>
      </c>
      <c r="B48" s="47" t="s">
        <v>15</v>
      </c>
      <c r="C48" s="49" t="s">
        <v>29</v>
      </c>
      <c r="D48" s="55">
        <v>12</v>
      </c>
      <c r="E48" s="55">
        <v>596</v>
      </c>
      <c r="F48" s="55">
        <v>44</v>
      </c>
      <c r="G48" s="55">
        <v>552</v>
      </c>
      <c r="H48" s="55">
        <v>1.17</v>
      </c>
      <c r="I48" s="55">
        <v>0.56000000000000005</v>
      </c>
      <c r="J48" s="55">
        <v>0.51</v>
      </c>
      <c r="K48" s="56">
        <f t="shared" si="5"/>
        <v>0.334152</v>
      </c>
      <c r="L48" s="47">
        <v>17</v>
      </c>
      <c r="M48" s="48">
        <f t="shared" si="6"/>
        <v>1.4166666666666667</v>
      </c>
      <c r="N48" s="48">
        <f t="shared" si="7"/>
        <v>844.33333333333337</v>
      </c>
      <c r="O48" s="48">
        <f t="shared" si="8"/>
        <v>0.47338200000000002</v>
      </c>
      <c r="P48" s="176"/>
      <c r="Q48" s="178"/>
    </row>
    <row r="49" spans="1:17" s="46" customFormat="1">
      <c r="A49" s="47">
        <v>9355</v>
      </c>
      <c r="B49" s="47" t="s">
        <v>15</v>
      </c>
      <c r="C49" s="49" t="s">
        <v>30</v>
      </c>
      <c r="D49" s="57">
        <v>12</v>
      </c>
      <c r="E49" s="55">
        <v>654</v>
      </c>
      <c r="F49" s="55">
        <v>42</v>
      </c>
      <c r="G49" s="55">
        <v>612</v>
      </c>
      <c r="H49" s="55">
        <v>1.2749999999999999</v>
      </c>
      <c r="I49" s="55">
        <v>0.56000000000000005</v>
      </c>
      <c r="J49" s="55">
        <v>0.51</v>
      </c>
      <c r="K49" s="56">
        <f t="shared" si="5"/>
        <v>0.36413999999999996</v>
      </c>
      <c r="L49" s="47">
        <v>6</v>
      </c>
      <c r="M49" s="48">
        <f t="shared" si="6"/>
        <v>0.5</v>
      </c>
      <c r="N49" s="48">
        <f t="shared" si="7"/>
        <v>327</v>
      </c>
      <c r="O49" s="48">
        <f t="shared" si="8"/>
        <v>0.18206999999999998</v>
      </c>
      <c r="P49" s="176"/>
      <c r="Q49" s="178"/>
    </row>
    <row r="50" spans="1:17" s="46" customFormat="1">
      <c r="A50" s="47">
        <v>9355</v>
      </c>
      <c r="B50" s="47" t="s">
        <v>15</v>
      </c>
      <c r="C50" s="49" t="s">
        <v>31</v>
      </c>
      <c r="D50" s="57">
        <v>6</v>
      </c>
      <c r="E50" s="55">
        <v>410</v>
      </c>
      <c r="F50" s="55">
        <v>50</v>
      </c>
      <c r="G50" s="55">
        <v>360</v>
      </c>
      <c r="H50" s="55">
        <v>1.48</v>
      </c>
      <c r="I50" s="55">
        <v>0.56000000000000005</v>
      </c>
      <c r="J50" s="55">
        <v>0.37</v>
      </c>
      <c r="K50" s="56">
        <f t="shared" si="5"/>
        <v>0.30665600000000004</v>
      </c>
      <c r="L50" s="47">
        <v>0</v>
      </c>
      <c r="M50" s="48">
        <f t="shared" si="6"/>
        <v>0</v>
      </c>
      <c r="N50" s="48">
        <f t="shared" si="7"/>
        <v>0</v>
      </c>
      <c r="O50" s="48">
        <f t="shared" si="8"/>
        <v>0</v>
      </c>
      <c r="P50" s="176"/>
      <c r="Q50" s="178"/>
    </row>
    <row r="51" spans="1:17" s="46" customFormat="1">
      <c r="A51" s="47">
        <v>9358</v>
      </c>
      <c r="B51" s="47" t="s">
        <v>14</v>
      </c>
      <c r="C51" s="49" t="s">
        <v>32</v>
      </c>
      <c r="D51" s="52">
        <v>1000</v>
      </c>
      <c r="E51" s="52">
        <f t="shared" ref="E51:E60" si="9">G51+F51</f>
        <v>395</v>
      </c>
      <c r="F51" s="52">
        <v>40</v>
      </c>
      <c r="G51" s="52">
        <v>355</v>
      </c>
      <c r="H51" s="52">
        <v>1.05</v>
      </c>
      <c r="I51" s="52">
        <v>0.9</v>
      </c>
      <c r="J51" s="52">
        <v>0.55000000000000004</v>
      </c>
      <c r="K51" s="48">
        <f t="shared" si="5"/>
        <v>0.51975000000000005</v>
      </c>
      <c r="L51" s="20">
        <f>L46</f>
        <v>54</v>
      </c>
      <c r="M51" s="48">
        <f t="shared" si="6"/>
        <v>5.3999999999999999E-2</v>
      </c>
      <c r="N51" s="48">
        <f t="shared" si="7"/>
        <v>21.33</v>
      </c>
      <c r="O51" s="48">
        <f t="shared" si="8"/>
        <v>2.8066500000000001E-2</v>
      </c>
      <c r="Q51" s="178"/>
    </row>
    <row r="52" spans="1:17" s="46" customFormat="1">
      <c r="A52" s="47">
        <v>9358</v>
      </c>
      <c r="B52" s="47" t="s">
        <v>14</v>
      </c>
      <c r="C52" s="49" t="s">
        <v>33</v>
      </c>
      <c r="D52" s="52">
        <v>450</v>
      </c>
      <c r="E52" s="52">
        <f t="shared" si="9"/>
        <v>360</v>
      </c>
      <c r="F52" s="52">
        <v>40</v>
      </c>
      <c r="G52" s="52">
        <v>320</v>
      </c>
      <c r="H52" s="47">
        <v>1.1000000000000001</v>
      </c>
      <c r="I52" s="52">
        <v>0.9</v>
      </c>
      <c r="J52" s="47">
        <v>0.75</v>
      </c>
      <c r="K52" s="50">
        <f t="shared" si="5"/>
        <v>0.74250000000000005</v>
      </c>
      <c r="L52" s="20">
        <f>L46</f>
        <v>54</v>
      </c>
      <c r="M52" s="48">
        <f t="shared" si="6"/>
        <v>0.12</v>
      </c>
      <c r="N52" s="48">
        <f t="shared" si="7"/>
        <v>43.199999999999996</v>
      </c>
      <c r="O52" s="48">
        <f t="shared" si="8"/>
        <v>8.9099999999999999E-2</v>
      </c>
      <c r="Q52" s="178"/>
    </row>
    <row r="53" spans="1:17" s="46" customFormat="1">
      <c r="A53" s="47">
        <v>9358</v>
      </c>
      <c r="B53" s="47" t="s">
        <v>14</v>
      </c>
      <c r="C53" s="49" t="s">
        <v>34</v>
      </c>
      <c r="D53" s="52">
        <v>1000</v>
      </c>
      <c r="E53" s="52">
        <f t="shared" si="9"/>
        <v>492</v>
      </c>
      <c r="F53" s="52">
        <v>40</v>
      </c>
      <c r="G53" s="52">
        <v>452</v>
      </c>
      <c r="H53" s="52">
        <v>1.1000000000000001</v>
      </c>
      <c r="I53" s="52">
        <v>1.05</v>
      </c>
      <c r="J53" s="52">
        <v>0.55000000000000004</v>
      </c>
      <c r="K53" s="48">
        <f t="shared" si="5"/>
        <v>0.6352500000000002</v>
      </c>
      <c r="L53" s="20">
        <f>L47</f>
        <v>17</v>
      </c>
      <c r="M53" s="48">
        <f t="shared" si="6"/>
        <v>1.7000000000000001E-2</v>
      </c>
      <c r="N53" s="48">
        <f t="shared" si="7"/>
        <v>8.3640000000000008</v>
      </c>
      <c r="O53" s="48">
        <f t="shared" si="8"/>
        <v>1.0799250000000005E-2</v>
      </c>
      <c r="Q53" s="178"/>
    </row>
    <row r="54" spans="1:17" s="46" customFormat="1">
      <c r="A54" s="47">
        <v>9358</v>
      </c>
      <c r="B54" s="47" t="s">
        <v>14</v>
      </c>
      <c r="C54" s="49" t="s">
        <v>35</v>
      </c>
      <c r="D54" s="52">
        <v>450</v>
      </c>
      <c r="E54" s="52">
        <f t="shared" si="9"/>
        <v>421.5</v>
      </c>
      <c r="F54" s="52">
        <v>40</v>
      </c>
      <c r="G54" s="52">
        <v>381.5</v>
      </c>
      <c r="H54" s="52">
        <v>1.05</v>
      </c>
      <c r="I54" s="52">
        <v>1.05</v>
      </c>
      <c r="J54" s="47">
        <v>0.75</v>
      </c>
      <c r="K54" s="50">
        <f t="shared" si="5"/>
        <v>0.82687500000000003</v>
      </c>
      <c r="L54" s="20">
        <f>L47</f>
        <v>17</v>
      </c>
      <c r="M54" s="48">
        <f t="shared" si="6"/>
        <v>3.7777777777777778E-2</v>
      </c>
      <c r="N54" s="48">
        <f t="shared" si="7"/>
        <v>15.923333333333334</v>
      </c>
      <c r="O54" s="48">
        <f t="shared" si="8"/>
        <v>3.1237500000000001E-2</v>
      </c>
      <c r="Q54" s="178"/>
    </row>
    <row r="55" spans="1:17" s="46" customFormat="1">
      <c r="A55" s="47">
        <v>9358</v>
      </c>
      <c r="B55" s="47" t="s">
        <v>14</v>
      </c>
      <c r="C55" s="49" t="s">
        <v>36</v>
      </c>
      <c r="D55" s="52">
        <v>1000</v>
      </c>
      <c r="E55" s="52">
        <f t="shared" si="9"/>
        <v>574</v>
      </c>
      <c r="F55" s="52">
        <v>40</v>
      </c>
      <c r="G55" s="52">
        <v>534</v>
      </c>
      <c r="H55" s="52">
        <v>1.1000000000000001</v>
      </c>
      <c r="I55" s="52">
        <v>1.2</v>
      </c>
      <c r="J55" s="52">
        <v>0.55000000000000004</v>
      </c>
      <c r="K55" s="48">
        <f t="shared" si="5"/>
        <v>0.72600000000000009</v>
      </c>
      <c r="L55" s="20">
        <f>L48</f>
        <v>17</v>
      </c>
      <c r="M55" s="48">
        <f t="shared" si="6"/>
        <v>1.7000000000000001E-2</v>
      </c>
      <c r="N55" s="48">
        <f t="shared" si="7"/>
        <v>9.7580000000000009</v>
      </c>
      <c r="O55" s="48">
        <f t="shared" si="8"/>
        <v>1.2342000000000002E-2</v>
      </c>
      <c r="Q55" s="178"/>
    </row>
    <row r="56" spans="1:17" s="46" customFormat="1">
      <c r="A56" s="47">
        <v>9358</v>
      </c>
      <c r="B56" s="47" t="s">
        <v>14</v>
      </c>
      <c r="C56" s="49" t="s">
        <v>37</v>
      </c>
      <c r="D56" s="52">
        <v>450</v>
      </c>
      <c r="E56" s="52">
        <f t="shared" si="9"/>
        <v>475</v>
      </c>
      <c r="F56" s="52">
        <v>40</v>
      </c>
      <c r="G56" s="52">
        <v>435</v>
      </c>
      <c r="H56" s="52">
        <v>1.05</v>
      </c>
      <c r="I56" s="52">
        <v>1.2</v>
      </c>
      <c r="J56" s="47">
        <v>0.75</v>
      </c>
      <c r="K56" s="48">
        <f t="shared" si="5"/>
        <v>0.94500000000000006</v>
      </c>
      <c r="L56" s="20">
        <f>L48</f>
        <v>17</v>
      </c>
      <c r="M56" s="48">
        <f t="shared" si="6"/>
        <v>3.7777777777777778E-2</v>
      </c>
      <c r="N56" s="48">
        <f t="shared" si="7"/>
        <v>17.944444444444443</v>
      </c>
      <c r="O56" s="48">
        <f t="shared" si="8"/>
        <v>3.5700000000000003E-2</v>
      </c>
      <c r="Q56" s="178"/>
    </row>
    <row r="57" spans="1:17" s="46" customFormat="1">
      <c r="A57" s="47">
        <v>9358</v>
      </c>
      <c r="B57" s="47" t="s">
        <v>14</v>
      </c>
      <c r="C57" s="49" t="s">
        <v>38</v>
      </c>
      <c r="D57" s="52">
        <v>1000</v>
      </c>
      <c r="E57" s="52">
        <f t="shared" si="9"/>
        <v>645</v>
      </c>
      <c r="F57" s="52">
        <v>40</v>
      </c>
      <c r="G57" s="52">
        <v>605</v>
      </c>
      <c r="H57" s="52">
        <v>1.1000000000000001</v>
      </c>
      <c r="I57" s="52">
        <v>1.3</v>
      </c>
      <c r="J57" s="52">
        <v>0.55000000000000004</v>
      </c>
      <c r="K57" s="48">
        <f t="shared" si="5"/>
        <v>0.7865000000000002</v>
      </c>
      <c r="L57" s="20">
        <f>L49</f>
        <v>6</v>
      </c>
      <c r="M57" s="48">
        <f t="shared" si="6"/>
        <v>6.0000000000000001E-3</v>
      </c>
      <c r="N57" s="48">
        <f t="shared" si="7"/>
        <v>3.87</v>
      </c>
      <c r="O57" s="48">
        <f t="shared" si="8"/>
        <v>4.719000000000001E-3</v>
      </c>
      <c r="Q57" s="178"/>
    </row>
    <row r="58" spans="1:17" s="46" customFormat="1">
      <c r="A58" s="47">
        <v>9358</v>
      </c>
      <c r="B58" s="47" t="s">
        <v>14</v>
      </c>
      <c r="C58" s="49" t="s">
        <v>39</v>
      </c>
      <c r="D58" s="52">
        <v>450</v>
      </c>
      <c r="E58" s="52">
        <f t="shared" si="9"/>
        <v>515</v>
      </c>
      <c r="F58" s="52">
        <v>40</v>
      </c>
      <c r="G58" s="52">
        <v>475</v>
      </c>
      <c r="H58" s="52">
        <v>1.05</v>
      </c>
      <c r="I58" s="52">
        <v>1.3</v>
      </c>
      <c r="J58" s="47">
        <v>0.75</v>
      </c>
      <c r="K58" s="48">
        <f t="shared" si="5"/>
        <v>1.0237500000000002</v>
      </c>
      <c r="L58" s="20">
        <f>L49</f>
        <v>6</v>
      </c>
      <c r="M58" s="48">
        <f t="shared" si="6"/>
        <v>1.3333333333333334E-2</v>
      </c>
      <c r="N58" s="48">
        <f t="shared" si="7"/>
        <v>6.8666666666666671</v>
      </c>
      <c r="O58" s="48">
        <f t="shared" si="8"/>
        <v>1.3650000000000002E-2</v>
      </c>
      <c r="Q58" s="178"/>
    </row>
    <row r="59" spans="1:17" s="46" customFormat="1">
      <c r="A59" s="47">
        <v>9358</v>
      </c>
      <c r="B59" s="47" t="s">
        <v>14</v>
      </c>
      <c r="C59" s="49" t="s">
        <v>40</v>
      </c>
      <c r="D59" s="52">
        <v>1000</v>
      </c>
      <c r="E59" s="52">
        <f t="shared" si="9"/>
        <v>645</v>
      </c>
      <c r="F59" s="52">
        <v>40</v>
      </c>
      <c r="G59" s="52">
        <v>605</v>
      </c>
      <c r="H59" s="52">
        <v>1.1000000000000001</v>
      </c>
      <c r="I59" s="52">
        <v>1.3</v>
      </c>
      <c r="J59" s="52">
        <v>0.55000000000000004</v>
      </c>
      <c r="K59" s="48">
        <f t="shared" si="5"/>
        <v>0.7865000000000002</v>
      </c>
      <c r="L59" s="47">
        <f>L50</f>
        <v>0</v>
      </c>
      <c r="M59" s="48">
        <f t="shared" si="6"/>
        <v>0</v>
      </c>
      <c r="N59" s="48">
        <f t="shared" si="7"/>
        <v>0</v>
      </c>
      <c r="O59" s="48">
        <f t="shared" si="8"/>
        <v>0</v>
      </c>
      <c r="Q59" s="178"/>
    </row>
    <row r="60" spans="1:17" s="46" customFormat="1">
      <c r="A60" s="47">
        <v>9358</v>
      </c>
      <c r="B60" s="47" t="s">
        <v>14</v>
      </c>
      <c r="C60" s="49" t="s">
        <v>41</v>
      </c>
      <c r="D60" s="52">
        <v>450</v>
      </c>
      <c r="E60" s="52">
        <f t="shared" si="9"/>
        <v>515</v>
      </c>
      <c r="F60" s="52">
        <v>40</v>
      </c>
      <c r="G60" s="52">
        <v>475</v>
      </c>
      <c r="H60" s="52">
        <v>1.05</v>
      </c>
      <c r="I60" s="52">
        <v>1.3</v>
      </c>
      <c r="J60" s="47">
        <v>0.75</v>
      </c>
      <c r="K60" s="48">
        <f t="shared" si="5"/>
        <v>1.0237500000000002</v>
      </c>
      <c r="L60" s="47">
        <f>L50</f>
        <v>0</v>
      </c>
      <c r="M60" s="48">
        <f t="shared" si="6"/>
        <v>0</v>
      </c>
      <c r="N60" s="48">
        <f t="shared" si="7"/>
        <v>0</v>
      </c>
      <c r="O60" s="48">
        <f t="shared" si="8"/>
        <v>0</v>
      </c>
      <c r="Q60" s="178"/>
    </row>
    <row r="61" spans="1:17" s="46" customFormat="1">
      <c r="A61" s="47">
        <v>9358</v>
      </c>
      <c r="B61" s="47" t="s">
        <v>14</v>
      </c>
      <c r="C61" s="49" t="s">
        <v>22</v>
      </c>
      <c r="D61" s="51">
        <v>3000</v>
      </c>
      <c r="E61" s="52">
        <v>235</v>
      </c>
      <c r="F61" s="47">
        <v>35</v>
      </c>
      <c r="G61" s="52">
        <v>200</v>
      </c>
      <c r="H61" s="47">
        <v>1.1000000000000001</v>
      </c>
      <c r="I61" s="47">
        <v>1.1000000000000001</v>
      </c>
      <c r="J61" s="47">
        <v>1.02</v>
      </c>
      <c r="K61" s="50">
        <f t="shared" si="5"/>
        <v>1.2342000000000002</v>
      </c>
      <c r="L61" s="20">
        <f>P46*4</f>
        <v>376</v>
      </c>
      <c r="M61" s="48">
        <f t="shared" si="6"/>
        <v>0.12533333333333332</v>
      </c>
      <c r="N61" s="48">
        <f t="shared" si="7"/>
        <v>29.45333333333333</v>
      </c>
      <c r="O61" s="48">
        <f t="shared" si="8"/>
        <v>0.1546864</v>
      </c>
      <c r="Q61" s="178"/>
    </row>
    <row r="62" spans="1:17" s="46" customFormat="1">
      <c r="A62" s="47">
        <v>9358</v>
      </c>
      <c r="B62" s="47" t="s">
        <v>14</v>
      </c>
      <c r="C62" s="49" t="s">
        <v>23</v>
      </c>
      <c r="D62" s="53">
        <v>1000</v>
      </c>
      <c r="E62" s="54">
        <v>646</v>
      </c>
      <c r="F62" s="54">
        <f>E62-G62</f>
        <v>40</v>
      </c>
      <c r="G62" s="54">
        <v>606</v>
      </c>
      <c r="H62" s="54">
        <v>1.1000000000000001</v>
      </c>
      <c r="I62" s="54">
        <v>0.8</v>
      </c>
      <c r="J62" s="54">
        <v>0.55000000000000004</v>
      </c>
      <c r="K62" s="48">
        <f t="shared" si="5"/>
        <v>0.4840000000000001</v>
      </c>
      <c r="L62" s="20">
        <f>P46*4</f>
        <v>376</v>
      </c>
      <c r="M62" s="48">
        <f t="shared" si="6"/>
        <v>0.376</v>
      </c>
      <c r="N62" s="48">
        <f t="shared" si="7"/>
        <v>242.89599999999999</v>
      </c>
      <c r="O62" s="48">
        <f t="shared" si="8"/>
        <v>0.18198400000000003</v>
      </c>
      <c r="Q62" s="178"/>
    </row>
    <row r="63" spans="1:17" s="46" customFormat="1">
      <c r="A63" s="47">
        <v>9358</v>
      </c>
      <c r="B63" s="47" t="s">
        <v>14</v>
      </c>
      <c r="C63" s="49" t="s">
        <v>46</v>
      </c>
      <c r="D63" s="51">
        <v>4000</v>
      </c>
      <c r="E63" s="52">
        <v>424</v>
      </c>
      <c r="F63" s="47">
        <f>E63-G63</f>
        <v>52</v>
      </c>
      <c r="G63" s="52">
        <v>372</v>
      </c>
      <c r="H63" s="47">
        <v>1.1000000000000001</v>
      </c>
      <c r="I63" s="47">
        <v>0.8</v>
      </c>
      <c r="J63" s="47">
        <v>0.55000000000000004</v>
      </c>
      <c r="K63" s="50">
        <f t="shared" si="5"/>
        <v>0.4840000000000001</v>
      </c>
      <c r="L63" s="47">
        <f>P46*4</f>
        <v>376</v>
      </c>
      <c r="M63" s="48">
        <f t="shared" si="6"/>
        <v>9.4E-2</v>
      </c>
      <c r="N63" s="48">
        <f t="shared" si="7"/>
        <v>39.856000000000002</v>
      </c>
      <c r="O63" s="48">
        <f t="shared" si="8"/>
        <v>4.5496000000000009E-2</v>
      </c>
      <c r="Q63" s="178"/>
    </row>
    <row r="64" spans="1:17" s="46" customFormat="1">
      <c r="A64" s="47">
        <v>9358</v>
      </c>
      <c r="B64" s="47" t="s">
        <v>14</v>
      </c>
      <c r="C64" s="49" t="s">
        <v>42</v>
      </c>
      <c r="D64" s="58">
        <v>1200</v>
      </c>
      <c r="E64" s="162">
        <v>666.4</v>
      </c>
      <c r="F64" s="162">
        <v>40</v>
      </c>
      <c r="G64" s="59">
        <v>588</v>
      </c>
      <c r="H64" s="164">
        <v>1</v>
      </c>
      <c r="I64" s="164">
        <v>0.75</v>
      </c>
      <c r="J64" s="164">
        <v>0.7</v>
      </c>
      <c r="K64" s="166">
        <v>0.5</v>
      </c>
      <c r="L64" s="20">
        <f>P46*4</f>
        <v>376</v>
      </c>
      <c r="M64" s="174">
        <f t="shared" si="6"/>
        <v>0.31333333333333335</v>
      </c>
      <c r="N64" s="174">
        <f t="shared" si="7"/>
        <v>208.80533333333335</v>
      </c>
      <c r="O64" s="184">
        <f t="shared" si="8"/>
        <v>0.15666666666666668</v>
      </c>
      <c r="Q64" s="178"/>
    </row>
    <row r="65" spans="1:17" s="46" customFormat="1">
      <c r="A65" s="47">
        <v>9358</v>
      </c>
      <c r="B65" s="47" t="s">
        <v>14</v>
      </c>
      <c r="C65" s="49" t="s">
        <v>43</v>
      </c>
      <c r="D65" s="58">
        <v>1200</v>
      </c>
      <c r="E65" s="163"/>
      <c r="F65" s="163"/>
      <c r="G65" s="59">
        <v>38.4</v>
      </c>
      <c r="H65" s="165"/>
      <c r="I65" s="165"/>
      <c r="J65" s="165"/>
      <c r="K65" s="167"/>
      <c r="L65" s="20">
        <f>P46*4</f>
        <v>376</v>
      </c>
      <c r="M65" s="175"/>
      <c r="N65" s="175"/>
      <c r="O65" s="185"/>
      <c r="Q65" s="178"/>
    </row>
    <row r="66" spans="1:17" s="46" customFormat="1" ht="15" thickBot="1">
      <c r="A66" s="47">
        <v>9358</v>
      </c>
      <c r="B66" s="47" t="s">
        <v>14</v>
      </c>
      <c r="C66" s="49" t="s">
        <v>60</v>
      </c>
      <c r="D66" s="58"/>
      <c r="E66" s="79"/>
      <c r="F66" s="79"/>
      <c r="G66" s="59"/>
      <c r="H66" s="80"/>
      <c r="I66" s="80"/>
      <c r="J66" s="80"/>
      <c r="K66" s="74"/>
      <c r="L66" s="20">
        <f>P46*4</f>
        <v>376</v>
      </c>
      <c r="M66" s="66"/>
      <c r="N66" s="66"/>
      <c r="O66" s="67"/>
      <c r="Q66" s="179"/>
    </row>
    <row r="67" spans="1:17" s="17" customFormat="1">
      <c r="A67" s="20">
        <v>9355</v>
      </c>
      <c r="B67" s="20" t="s">
        <v>15</v>
      </c>
      <c r="C67" s="20" t="s">
        <v>16</v>
      </c>
      <c r="D67" s="20">
        <v>30</v>
      </c>
      <c r="E67" s="20">
        <v>669</v>
      </c>
      <c r="F67" s="20">
        <f>E67-G67</f>
        <v>53</v>
      </c>
      <c r="G67" s="20">
        <v>616</v>
      </c>
      <c r="H67" s="20">
        <v>1</v>
      </c>
      <c r="I67" s="20">
        <v>0.9</v>
      </c>
      <c r="J67" s="20">
        <v>0.73</v>
      </c>
      <c r="K67" s="20">
        <f t="shared" ref="K67:K95" si="10">H67*I67*J67</f>
        <v>0.65700000000000003</v>
      </c>
      <c r="L67" s="20">
        <v>102</v>
      </c>
      <c r="M67" s="23">
        <f t="shared" ref="M67:M96" si="11">L67/D67</f>
        <v>3.4</v>
      </c>
      <c r="N67" s="23">
        <f t="shared" ref="N67:N96" si="12">E67*M67</f>
        <v>2274.6</v>
      </c>
      <c r="O67" s="23">
        <f>M67*K67</f>
        <v>2.2338</v>
      </c>
      <c r="P67" s="186">
        <f>SUM(L67:L70)</f>
        <v>120</v>
      </c>
      <c r="Q67" s="187" t="s">
        <v>54</v>
      </c>
    </row>
    <row r="68" spans="1:17" s="17" customFormat="1">
      <c r="A68" s="20">
        <v>9355</v>
      </c>
      <c r="B68" s="20" t="s">
        <v>15</v>
      </c>
      <c r="C68" s="20" t="s">
        <v>17</v>
      </c>
      <c r="D68" s="20">
        <v>30</v>
      </c>
      <c r="E68" s="20">
        <v>669</v>
      </c>
      <c r="F68" s="20">
        <f>E68-G68</f>
        <v>53</v>
      </c>
      <c r="G68" s="20">
        <v>616</v>
      </c>
      <c r="H68" s="20">
        <v>1</v>
      </c>
      <c r="I68" s="20">
        <v>0.9</v>
      </c>
      <c r="J68" s="20">
        <v>0.73</v>
      </c>
      <c r="K68" s="20">
        <f t="shared" si="10"/>
        <v>0.65700000000000003</v>
      </c>
      <c r="L68" s="20">
        <v>6</v>
      </c>
      <c r="M68" s="23">
        <f t="shared" si="11"/>
        <v>0.2</v>
      </c>
      <c r="N68" s="23">
        <f t="shared" si="12"/>
        <v>133.80000000000001</v>
      </c>
      <c r="O68" s="23">
        <f t="shared" ref="O68:O96" si="13">M68*K68</f>
        <v>0.13140000000000002</v>
      </c>
      <c r="P68" s="186"/>
      <c r="Q68" s="188"/>
    </row>
    <row r="69" spans="1:17" s="17" customFormat="1">
      <c r="A69" s="20">
        <v>9355</v>
      </c>
      <c r="B69" s="20" t="s">
        <v>15</v>
      </c>
      <c r="C69" s="20" t="s">
        <v>18</v>
      </c>
      <c r="D69" s="20">
        <v>30</v>
      </c>
      <c r="E69" s="20">
        <v>669</v>
      </c>
      <c r="F69" s="20">
        <f>E69-G69</f>
        <v>53</v>
      </c>
      <c r="G69" s="20">
        <v>616</v>
      </c>
      <c r="H69" s="20">
        <v>1</v>
      </c>
      <c r="I69" s="20">
        <v>0.9</v>
      </c>
      <c r="J69" s="20">
        <v>0.73</v>
      </c>
      <c r="K69" s="20">
        <f t="shared" si="10"/>
        <v>0.65700000000000003</v>
      </c>
      <c r="L69" s="20">
        <v>6</v>
      </c>
      <c r="M69" s="23">
        <f t="shared" si="11"/>
        <v>0.2</v>
      </c>
      <c r="N69" s="23">
        <f t="shared" si="12"/>
        <v>133.80000000000001</v>
      </c>
      <c r="O69" s="23">
        <f t="shared" si="13"/>
        <v>0.13140000000000002</v>
      </c>
      <c r="P69" s="186"/>
      <c r="Q69" s="188"/>
    </row>
    <row r="70" spans="1:17" s="17" customFormat="1">
      <c r="A70" s="20">
        <v>9355</v>
      </c>
      <c r="B70" s="20" t="s">
        <v>15</v>
      </c>
      <c r="C70" s="20" t="s">
        <v>19</v>
      </c>
      <c r="D70" s="20">
        <v>30</v>
      </c>
      <c r="E70" s="20">
        <v>669</v>
      </c>
      <c r="F70" s="20">
        <f>E70-G70</f>
        <v>53</v>
      </c>
      <c r="G70" s="20">
        <v>616</v>
      </c>
      <c r="H70" s="20">
        <v>1</v>
      </c>
      <c r="I70" s="20">
        <v>0.9</v>
      </c>
      <c r="J70" s="20">
        <v>0.73</v>
      </c>
      <c r="K70" s="20">
        <f t="shared" si="10"/>
        <v>0.65700000000000003</v>
      </c>
      <c r="L70" s="20">
        <v>6</v>
      </c>
      <c r="M70" s="23">
        <f t="shared" si="11"/>
        <v>0.2</v>
      </c>
      <c r="N70" s="23">
        <f t="shared" si="12"/>
        <v>133.80000000000001</v>
      </c>
      <c r="O70" s="23">
        <f t="shared" si="13"/>
        <v>0.13140000000000002</v>
      </c>
      <c r="P70" s="186"/>
      <c r="Q70" s="188"/>
    </row>
    <row r="71" spans="1:17" s="17" customFormat="1">
      <c r="A71" s="20">
        <v>9358</v>
      </c>
      <c r="B71" s="20" t="s">
        <v>14</v>
      </c>
      <c r="C71" s="21" t="s">
        <v>20</v>
      </c>
      <c r="D71" s="20">
        <v>5000</v>
      </c>
      <c r="E71" s="20">
        <v>490</v>
      </c>
      <c r="F71" s="20">
        <v>40</v>
      </c>
      <c r="G71" s="20">
        <v>450</v>
      </c>
      <c r="H71" s="20">
        <v>1</v>
      </c>
      <c r="I71" s="20">
        <v>0.98</v>
      </c>
      <c r="J71" s="20">
        <v>0.83</v>
      </c>
      <c r="K71" s="22">
        <f t="shared" si="10"/>
        <v>0.8133999999999999</v>
      </c>
      <c r="L71" s="20">
        <f>P67</f>
        <v>120</v>
      </c>
      <c r="M71" s="23">
        <f t="shared" si="11"/>
        <v>2.4E-2</v>
      </c>
      <c r="N71" s="23">
        <f t="shared" si="12"/>
        <v>11.76</v>
      </c>
      <c r="O71" s="23">
        <f t="shared" si="13"/>
        <v>1.9521599999999997E-2</v>
      </c>
      <c r="Q71" s="188"/>
    </row>
    <row r="72" spans="1:17" s="17" customFormat="1">
      <c r="A72" s="20">
        <v>9358</v>
      </c>
      <c r="B72" s="20" t="s">
        <v>14</v>
      </c>
      <c r="C72" s="21" t="s">
        <v>21</v>
      </c>
      <c r="D72" s="20">
        <v>360</v>
      </c>
      <c r="E72" s="20">
        <v>390</v>
      </c>
      <c r="F72" s="20">
        <v>40</v>
      </c>
      <c r="G72" s="20">
        <v>350</v>
      </c>
      <c r="H72" s="20">
        <v>1.05</v>
      </c>
      <c r="I72" s="20">
        <v>0.95</v>
      </c>
      <c r="J72" s="20">
        <v>0.55000000000000004</v>
      </c>
      <c r="K72" s="22">
        <f t="shared" si="10"/>
        <v>0.54862500000000003</v>
      </c>
      <c r="L72" s="20">
        <f>P67</f>
        <v>120</v>
      </c>
      <c r="M72" s="23">
        <f t="shared" si="11"/>
        <v>0.33333333333333331</v>
      </c>
      <c r="N72" s="23">
        <f t="shared" si="12"/>
        <v>130</v>
      </c>
      <c r="O72" s="23">
        <f t="shared" si="13"/>
        <v>0.18287500000000001</v>
      </c>
      <c r="Q72" s="188"/>
    </row>
    <row r="73" spans="1:17" s="17" customFormat="1">
      <c r="A73" s="20">
        <v>9358</v>
      </c>
      <c r="B73" s="20" t="s">
        <v>14</v>
      </c>
      <c r="C73" s="21" t="s">
        <v>22</v>
      </c>
      <c r="D73" s="26">
        <v>3000</v>
      </c>
      <c r="E73" s="27">
        <v>235</v>
      </c>
      <c r="F73" s="20">
        <v>35</v>
      </c>
      <c r="G73" s="27">
        <v>200</v>
      </c>
      <c r="H73" s="20">
        <v>1.1000000000000001</v>
      </c>
      <c r="I73" s="20">
        <v>1.1000000000000001</v>
      </c>
      <c r="J73" s="20">
        <v>1.02</v>
      </c>
      <c r="K73" s="22">
        <f t="shared" si="10"/>
        <v>1.2342000000000002</v>
      </c>
      <c r="L73" s="20">
        <f>P67*4</f>
        <v>480</v>
      </c>
      <c r="M73" s="23">
        <f t="shared" si="11"/>
        <v>0.16</v>
      </c>
      <c r="N73" s="23">
        <f t="shared" si="12"/>
        <v>37.6</v>
      </c>
      <c r="O73" s="23">
        <f t="shared" si="13"/>
        <v>0.19747200000000004</v>
      </c>
      <c r="Q73" s="188"/>
    </row>
    <row r="74" spans="1:17" s="17" customFormat="1">
      <c r="A74" s="20">
        <v>9358</v>
      </c>
      <c r="B74" s="20" t="s">
        <v>14</v>
      </c>
      <c r="C74" s="21" t="s">
        <v>23</v>
      </c>
      <c r="D74" s="24">
        <v>1000</v>
      </c>
      <c r="E74" s="25">
        <v>646</v>
      </c>
      <c r="F74" s="25">
        <f>E74-G74</f>
        <v>40</v>
      </c>
      <c r="G74" s="25">
        <v>606</v>
      </c>
      <c r="H74" s="25">
        <v>1.1000000000000001</v>
      </c>
      <c r="I74" s="25">
        <v>0.8</v>
      </c>
      <c r="J74" s="25">
        <v>0.55000000000000004</v>
      </c>
      <c r="K74" s="23">
        <f t="shared" si="10"/>
        <v>0.4840000000000001</v>
      </c>
      <c r="L74" s="20">
        <f>P67*4</f>
        <v>480</v>
      </c>
      <c r="M74" s="23">
        <f t="shared" si="11"/>
        <v>0.48</v>
      </c>
      <c r="N74" s="23">
        <f t="shared" si="12"/>
        <v>310.08</v>
      </c>
      <c r="O74" s="23">
        <f t="shared" si="13"/>
        <v>0.23232000000000003</v>
      </c>
      <c r="Q74" s="188"/>
    </row>
    <row r="75" spans="1:17" s="17" customFormat="1">
      <c r="A75" s="20">
        <v>9356</v>
      </c>
      <c r="B75" s="20" t="s">
        <v>47</v>
      </c>
      <c r="C75" s="21" t="s">
        <v>24</v>
      </c>
      <c r="D75" s="26">
        <v>4000</v>
      </c>
      <c r="E75" s="27">
        <v>424</v>
      </c>
      <c r="F75" s="20">
        <f>E75-G75</f>
        <v>52</v>
      </c>
      <c r="G75" s="27">
        <v>372</v>
      </c>
      <c r="H75" s="20">
        <v>1.1000000000000001</v>
      </c>
      <c r="I75" s="20">
        <v>0.8</v>
      </c>
      <c r="J75" s="20">
        <v>0.55000000000000004</v>
      </c>
      <c r="K75" s="22">
        <f t="shared" si="10"/>
        <v>0.4840000000000001</v>
      </c>
      <c r="L75" s="20">
        <f>(P67+P78)*4</f>
        <v>856</v>
      </c>
      <c r="M75" s="23">
        <f t="shared" si="11"/>
        <v>0.214</v>
      </c>
      <c r="N75" s="23">
        <f t="shared" si="12"/>
        <v>90.736000000000004</v>
      </c>
      <c r="O75" s="23">
        <f t="shared" si="13"/>
        <v>0.10357600000000002</v>
      </c>
      <c r="Q75" s="188"/>
    </row>
    <row r="76" spans="1:17" s="17" customFormat="1">
      <c r="A76" s="20">
        <v>9358</v>
      </c>
      <c r="B76" s="20" t="s">
        <v>14</v>
      </c>
      <c r="C76" s="21" t="s">
        <v>25</v>
      </c>
      <c r="D76" s="20">
        <v>1000</v>
      </c>
      <c r="E76" s="20">
        <v>830</v>
      </c>
      <c r="F76" s="20">
        <v>40</v>
      </c>
      <c r="G76" s="20">
        <v>790</v>
      </c>
      <c r="H76" s="20">
        <v>1.04</v>
      </c>
      <c r="I76" s="20">
        <v>0.84</v>
      </c>
      <c r="J76" s="20">
        <v>0.64</v>
      </c>
      <c r="K76" s="22">
        <f t="shared" si="10"/>
        <v>0.55910400000000005</v>
      </c>
      <c r="L76" s="20">
        <f>P67*2</f>
        <v>240</v>
      </c>
      <c r="M76" s="23">
        <f t="shared" si="11"/>
        <v>0.24</v>
      </c>
      <c r="N76" s="23">
        <f t="shared" si="12"/>
        <v>199.2</v>
      </c>
      <c r="O76" s="23">
        <f t="shared" si="13"/>
        <v>0.13418496000000002</v>
      </c>
      <c r="Q76" s="188"/>
    </row>
    <row r="77" spans="1:17" s="17" customFormat="1">
      <c r="A77" s="20">
        <v>9358</v>
      </c>
      <c r="B77" s="20" t="s">
        <v>14</v>
      </c>
      <c r="C77" s="21" t="s">
        <v>26</v>
      </c>
      <c r="D77" s="20">
        <v>4000</v>
      </c>
      <c r="E77" s="20">
        <v>223</v>
      </c>
      <c r="F77" s="20">
        <v>30</v>
      </c>
      <c r="G77" s="20">
        <v>188</v>
      </c>
      <c r="H77" s="20">
        <v>0.86</v>
      </c>
      <c r="I77" s="20">
        <v>0.78</v>
      </c>
      <c r="J77" s="20">
        <v>0.74</v>
      </c>
      <c r="K77" s="22">
        <f t="shared" si="10"/>
        <v>0.49639200000000006</v>
      </c>
      <c r="L77" s="20">
        <f>P67*2</f>
        <v>240</v>
      </c>
      <c r="M77" s="23">
        <f t="shared" si="11"/>
        <v>0.06</v>
      </c>
      <c r="N77" s="23">
        <f t="shared" si="12"/>
        <v>13.379999999999999</v>
      </c>
      <c r="O77" s="23">
        <f t="shared" si="13"/>
        <v>2.9783520000000001E-2</v>
      </c>
      <c r="Q77" s="188"/>
    </row>
    <row r="78" spans="1:17" s="17" customFormat="1">
      <c r="A78" s="20">
        <v>9355</v>
      </c>
      <c r="B78" s="20" t="s">
        <v>15</v>
      </c>
      <c r="C78" s="21" t="s">
        <v>27</v>
      </c>
      <c r="D78" s="30">
        <v>12</v>
      </c>
      <c r="E78" s="30">
        <v>435</v>
      </c>
      <c r="F78" s="30">
        <v>39</v>
      </c>
      <c r="G78" s="30">
        <v>396</v>
      </c>
      <c r="H78" s="30">
        <v>0.86</v>
      </c>
      <c r="I78" s="30">
        <v>0.56000000000000005</v>
      </c>
      <c r="J78" s="30">
        <v>0.51</v>
      </c>
      <c r="K78" s="31">
        <f t="shared" si="10"/>
        <v>0.24561600000000003</v>
      </c>
      <c r="L78" s="20">
        <v>54</v>
      </c>
      <c r="M78" s="23">
        <f t="shared" si="11"/>
        <v>4.5</v>
      </c>
      <c r="N78" s="23">
        <f t="shared" si="12"/>
        <v>1957.5</v>
      </c>
      <c r="O78" s="23">
        <f t="shared" si="13"/>
        <v>1.105272</v>
      </c>
      <c r="P78" s="186">
        <f>SUM(L78:L82)</f>
        <v>94</v>
      </c>
      <c r="Q78" s="188"/>
    </row>
    <row r="79" spans="1:17" s="17" customFormat="1">
      <c r="A79" s="20">
        <v>9355</v>
      </c>
      <c r="B79" s="20" t="s">
        <v>15</v>
      </c>
      <c r="C79" s="21" t="s">
        <v>28</v>
      </c>
      <c r="D79" s="30">
        <v>12</v>
      </c>
      <c r="E79" s="30">
        <v>520</v>
      </c>
      <c r="F79" s="30">
        <v>40</v>
      </c>
      <c r="G79" s="30">
        <v>480</v>
      </c>
      <c r="H79" s="30">
        <v>1.03</v>
      </c>
      <c r="I79" s="30">
        <v>0.56000000000000005</v>
      </c>
      <c r="J79" s="30">
        <v>0.51</v>
      </c>
      <c r="K79" s="31">
        <f t="shared" si="10"/>
        <v>0.29416800000000004</v>
      </c>
      <c r="L79" s="20">
        <v>17</v>
      </c>
      <c r="M79" s="23">
        <f t="shared" si="11"/>
        <v>1.4166666666666667</v>
      </c>
      <c r="N79" s="23">
        <f t="shared" si="12"/>
        <v>736.66666666666674</v>
      </c>
      <c r="O79" s="23">
        <f t="shared" si="13"/>
        <v>0.41673800000000005</v>
      </c>
      <c r="P79" s="186"/>
      <c r="Q79" s="188"/>
    </row>
    <row r="80" spans="1:17" s="17" customFormat="1">
      <c r="A80" s="20">
        <v>9355</v>
      </c>
      <c r="B80" s="20" t="s">
        <v>15</v>
      </c>
      <c r="C80" s="21" t="s">
        <v>29</v>
      </c>
      <c r="D80" s="30">
        <v>12</v>
      </c>
      <c r="E80" s="30">
        <v>596</v>
      </c>
      <c r="F80" s="30">
        <v>44</v>
      </c>
      <c r="G80" s="30">
        <v>552</v>
      </c>
      <c r="H80" s="30">
        <v>1.17</v>
      </c>
      <c r="I80" s="30">
        <v>0.56000000000000005</v>
      </c>
      <c r="J80" s="30">
        <v>0.51</v>
      </c>
      <c r="K80" s="31">
        <f t="shared" si="10"/>
        <v>0.334152</v>
      </c>
      <c r="L80" s="20">
        <v>17</v>
      </c>
      <c r="M80" s="23">
        <f t="shared" si="11"/>
        <v>1.4166666666666667</v>
      </c>
      <c r="N80" s="23">
        <f t="shared" si="12"/>
        <v>844.33333333333337</v>
      </c>
      <c r="O80" s="23">
        <f t="shared" si="13"/>
        <v>0.47338200000000002</v>
      </c>
      <c r="P80" s="186"/>
      <c r="Q80" s="188"/>
    </row>
    <row r="81" spans="1:17" s="17" customFormat="1">
      <c r="A81" s="20">
        <v>9355</v>
      </c>
      <c r="B81" s="20" t="s">
        <v>15</v>
      </c>
      <c r="C81" s="21" t="s">
        <v>30</v>
      </c>
      <c r="D81" s="32">
        <v>12</v>
      </c>
      <c r="E81" s="30">
        <v>654</v>
      </c>
      <c r="F81" s="30">
        <v>42</v>
      </c>
      <c r="G81" s="30">
        <v>612</v>
      </c>
      <c r="H81" s="30">
        <v>1.2749999999999999</v>
      </c>
      <c r="I81" s="30">
        <v>0.56000000000000005</v>
      </c>
      <c r="J81" s="30">
        <v>0.51</v>
      </c>
      <c r="K81" s="31">
        <f t="shared" si="10"/>
        <v>0.36413999999999996</v>
      </c>
      <c r="L81" s="20">
        <v>6</v>
      </c>
      <c r="M81" s="23">
        <f t="shared" si="11"/>
        <v>0.5</v>
      </c>
      <c r="N81" s="23">
        <f t="shared" si="12"/>
        <v>327</v>
      </c>
      <c r="O81" s="23">
        <f t="shared" si="13"/>
        <v>0.18206999999999998</v>
      </c>
      <c r="P81" s="186"/>
      <c r="Q81" s="188"/>
    </row>
    <row r="82" spans="1:17" s="17" customFormat="1">
      <c r="A82" s="20">
        <v>9355</v>
      </c>
      <c r="B82" s="20" t="s">
        <v>15</v>
      </c>
      <c r="C82" s="21" t="s">
        <v>31</v>
      </c>
      <c r="D82" s="32">
        <v>6</v>
      </c>
      <c r="E82" s="30">
        <v>410</v>
      </c>
      <c r="F82" s="30">
        <v>50</v>
      </c>
      <c r="G82" s="30">
        <v>360</v>
      </c>
      <c r="H82" s="30">
        <v>1.48</v>
      </c>
      <c r="I82" s="30">
        <v>0.56000000000000005</v>
      </c>
      <c r="J82" s="30">
        <v>0.37</v>
      </c>
      <c r="K82" s="31">
        <f t="shared" si="10"/>
        <v>0.30665600000000004</v>
      </c>
      <c r="L82" s="20">
        <v>0</v>
      </c>
      <c r="M82" s="23">
        <f t="shared" si="11"/>
        <v>0</v>
      </c>
      <c r="N82" s="23">
        <f t="shared" si="12"/>
        <v>0</v>
      </c>
      <c r="O82" s="23">
        <f t="shared" si="13"/>
        <v>0</v>
      </c>
      <c r="P82" s="186"/>
      <c r="Q82" s="188"/>
    </row>
    <row r="83" spans="1:17" s="17" customFormat="1">
      <c r="A83" s="20">
        <v>9358</v>
      </c>
      <c r="B83" s="20" t="s">
        <v>14</v>
      </c>
      <c r="C83" s="21" t="s">
        <v>32</v>
      </c>
      <c r="D83" s="27">
        <v>1000</v>
      </c>
      <c r="E83" s="27">
        <f t="shared" ref="E83:E92" si="14">G83+F83</f>
        <v>395</v>
      </c>
      <c r="F83" s="27">
        <v>40</v>
      </c>
      <c r="G83" s="27">
        <v>355</v>
      </c>
      <c r="H83" s="27">
        <v>1.05</v>
      </c>
      <c r="I83" s="27">
        <v>0.9</v>
      </c>
      <c r="J83" s="27">
        <v>0.55000000000000004</v>
      </c>
      <c r="K83" s="23">
        <f t="shared" si="10"/>
        <v>0.51975000000000005</v>
      </c>
      <c r="L83" s="20">
        <f>L78</f>
        <v>54</v>
      </c>
      <c r="M83" s="23">
        <f t="shared" si="11"/>
        <v>5.3999999999999999E-2</v>
      </c>
      <c r="N83" s="23">
        <f t="shared" si="12"/>
        <v>21.33</v>
      </c>
      <c r="O83" s="23">
        <f t="shared" si="13"/>
        <v>2.8066500000000001E-2</v>
      </c>
      <c r="Q83" s="188"/>
    </row>
    <row r="84" spans="1:17" s="17" customFormat="1">
      <c r="A84" s="20">
        <v>9358</v>
      </c>
      <c r="B84" s="20" t="s">
        <v>14</v>
      </c>
      <c r="C84" s="21" t="s">
        <v>33</v>
      </c>
      <c r="D84" s="27">
        <v>450</v>
      </c>
      <c r="E84" s="27">
        <f t="shared" si="14"/>
        <v>360</v>
      </c>
      <c r="F84" s="27">
        <v>40</v>
      </c>
      <c r="G84" s="27">
        <v>320</v>
      </c>
      <c r="H84" s="20">
        <v>1.1000000000000001</v>
      </c>
      <c r="I84" s="27">
        <v>0.9</v>
      </c>
      <c r="J84" s="20">
        <v>0.75</v>
      </c>
      <c r="K84" s="22">
        <f t="shared" si="10"/>
        <v>0.74250000000000005</v>
      </c>
      <c r="L84" s="20">
        <f>L78</f>
        <v>54</v>
      </c>
      <c r="M84" s="23">
        <f t="shared" si="11"/>
        <v>0.12</v>
      </c>
      <c r="N84" s="23">
        <f t="shared" si="12"/>
        <v>43.199999999999996</v>
      </c>
      <c r="O84" s="23">
        <f t="shared" si="13"/>
        <v>8.9099999999999999E-2</v>
      </c>
      <c r="Q84" s="188"/>
    </row>
    <row r="85" spans="1:17" s="17" customFormat="1">
      <c r="A85" s="20">
        <v>9358</v>
      </c>
      <c r="B85" s="20" t="s">
        <v>14</v>
      </c>
      <c r="C85" s="21" t="s">
        <v>34</v>
      </c>
      <c r="D85" s="27">
        <v>1000</v>
      </c>
      <c r="E85" s="27">
        <f t="shared" si="14"/>
        <v>492</v>
      </c>
      <c r="F85" s="27">
        <v>40</v>
      </c>
      <c r="G85" s="27">
        <v>452</v>
      </c>
      <c r="H85" s="27">
        <v>1.1000000000000001</v>
      </c>
      <c r="I85" s="27">
        <v>1.05</v>
      </c>
      <c r="J85" s="27">
        <v>0.55000000000000004</v>
      </c>
      <c r="K85" s="23">
        <f t="shared" si="10"/>
        <v>0.6352500000000002</v>
      </c>
      <c r="L85" s="20">
        <f>L79</f>
        <v>17</v>
      </c>
      <c r="M85" s="23">
        <f t="shared" si="11"/>
        <v>1.7000000000000001E-2</v>
      </c>
      <c r="N85" s="23">
        <f t="shared" si="12"/>
        <v>8.3640000000000008</v>
      </c>
      <c r="O85" s="23">
        <f t="shared" si="13"/>
        <v>1.0799250000000005E-2</v>
      </c>
      <c r="Q85" s="188"/>
    </row>
    <row r="86" spans="1:17" s="17" customFormat="1">
      <c r="A86" s="20">
        <v>9358</v>
      </c>
      <c r="B86" s="20" t="s">
        <v>14</v>
      </c>
      <c r="C86" s="21" t="s">
        <v>35</v>
      </c>
      <c r="D86" s="27">
        <v>450</v>
      </c>
      <c r="E86" s="27">
        <f t="shared" si="14"/>
        <v>421.5</v>
      </c>
      <c r="F86" s="27">
        <v>40</v>
      </c>
      <c r="G86" s="27">
        <v>381.5</v>
      </c>
      <c r="H86" s="27">
        <v>1.05</v>
      </c>
      <c r="I86" s="27">
        <v>1.05</v>
      </c>
      <c r="J86" s="20">
        <v>0.75</v>
      </c>
      <c r="K86" s="22">
        <f t="shared" si="10"/>
        <v>0.82687500000000003</v>
      </c>
      <c r="L86" s="20">
        <f>L79</f>
        <v>17</v>
      </c>
      <c r="M86" s="23">
        <f t="shared" si="11"/>
        <v>3.7777777777777778E-2</v>
      </c>
      <c r="N86" s="23">
        <f t="shared" si="12"/>
        <v>15.923333333333334</v>
      </c>
      <c r="O86" s="23">
        <f t="shared" si="13"/>
        <v>3.1237500000000001E-2</v>
      </c>
      <c r="Q86" s="188"/>
    </row>
    <row r="87" spans="1:17" s="17" customFormat="1">
      <c r="A87" s="20">
        <v>9358</v>
      </c>
      <c r="B87" s="20" t="s">
        <v>14</v>
      </c>
      <c r="C87" s="21" t="s">
        <v>36</v>
      </c>
      <c r="D87" s="27">
        <v>1000</v>
      </c>
      <c r="E87" s="27">
        <f t="shared" si="14"/>
        <v>574</v>
      </c>
      <c r="F87" s="27">
        <v>40</v>
      </c>
      <c r="G87" s="27">
        <v>534</v>
      </c>
      <c r="H87" s="27">
        <v>1.1000000000000001</v>
      </c>
      <c r="I87" s="27">
        <v>1.2</v>
      </c>
      <c r="J87" s="27">
        <v>0.55000000000000004</v>
      </c>
      <c r="K87" s="23">
        <f t="shared" si="10"/>
        <v>0.72600000000000009</v>
      </c>
      <c r="L87" s="20">
        <f>L80</f>
        <v>17</v>
      </c>
      <c r="M87" s="23">
        <f t="shared" si="11"/>
        <v>1.7000000000000001E-2</v>
      </c>
      <c r="N87" s="23">
        <f t="shared" si="12"/>
        <v>9.7580000000000009</v>
      </c>
      <c r="O87" s="23">
        <f t="shared" si="13"/>
        <v>1.2342000000000002E-2</v>
      </c>
      <c r="Q87" s="188"/>
    </row>
    <row r="88" spans="1:17" s="17" customFormat="1">
      <c r="A88" s="20">
        <v>9358</v>
      </c>
      <c r="B88" s="20" t="s">
        <v>14</v>
      </c>
      <c r="C88" s="21" t="s">
        <v>37</v>
      </c>
      <c r="D88" s="27">
        <v>450</v>
      </c>
      <c r="E88" s="27">
        <f t="shared" si="14"/>
        <v>475</v>
      </c>
      <c r="F88" s="27">
        <v>40</v>
      </c>
      <c r="G88" s="27">
        <v>435</v>
      </c>
      <c r="H88" s="27">
        <v>1.05</v>
      </c>
      <c r="I88" s="27">
        <v>1.2</v>
      </c>
      <c r="J88" s="20">
        <v>0.75</v>
      </c>
      <c r="K88" s="23">
        <f t="shared" si="10"/>
        <v>0.94500000000000006</v>
      </c>
      <c r="L88" s="20">
        <f>L80</f>
        <v>17</v>
      </c>
      <c r="M88" s="23">
        <f t="shared" si="11"/>
        <v>3.7777777777777778E-2</v>
      </c>
      <c r="N88" s="23">
        <f t="shared" si="12"/>
        <v>17.944444444444443</v>
      </c>
      <c r="O88" s="23">
        <f t="shared" si="13"/>
        <v>3.5700000000000003E-2</v>
      </c>
      <c r="Q88" s="188"/>
    </row>
    <row r="89" spans="1:17" s="17" customFormat="1">
      <c r="A89" s="20">
        <v>9358</v>
      </c>
      <c r="B89" s="20" t="s">
        <v>14</v>
      </c>
      <c r="C89" s="21" t="s">
        <v>38</v>
      </c>
      <c r="D89" s="27">
        <v>1000</v>
      </c>
      <c r="E89" s="27">
        <f t="shared" si="14"/>
        <v>645</v>
      </c>
      <c r="F89" s="27">
        <v>40</v>
      </c>
      <c r="G89" s="27">
        <v>605</v>
      </c>
      <c r="H89" s="27">
        <v>1.1000000000000001</v>
      </c>
      <c r="I89" s="27">
        <v>1.3</v>
      </c>
      <c r="J89" s="27">
        <v>0.55000000000000004</v>
      </c>
      <c r="K89" s="23">
        <f t="shared" si="10"/>
        <v>0.7865000000000002</v>
      </c>
      <c r="L89" s="20">
        <f>L81</f>
        <v>6</v>
      </c>
      <c r="M89" s="23">
        <f t="shared" si="11"/>
        <v>6.0000000000000001E-3</v>
      </c>
      <c r="N89" s="23">
        <f t="shared" si="12"/>
        <v>3.87</v>
      </c>
      <c r="O89" s="23">
        <f t="shared" si="13"/>
        <v>4.719000000000001E-3</v>
      </c>
      <c r="Q89" s="188"/>
    </row>
    <row r="90" spans="1:17" s="17" customFormat="1">
      <c r="A90" s="20">
        <v>9358</v>
      </c>
      <c r="B90" s="20" t="s">
        <v>14</v>
      </c>
      <c r="C90" s="21" t="s">
        <v>39</v>
      </c>
      <c r="D90" s="27">
        <v>450</v>
      </c>
      <c r="E90" s="27">
        <f t="shared" si="14"/>
        <v>515</v>
      </c>
      <c r="F90" s="27">
        <v>40</v>
      </c>
      <c r="G90" s="27">
        <v>475</v>
      </c>
      <c r="H90" s="27">
        <v>1.05</v>
      </c>
      <c r="I90" s="27">
        <v>1.3</v>
      </c>
      <c r="J90" s="20">
        <v>0.75</v>
      </c>
      <c r="K90" s="23">
        <f t="shared" si="10"/>
        <v>1.0237500000000002</v>
      </c>
      <c r="L90" s="20">
        <f>L81</f>
        <v>6</v>
      </c>
      <c r="M90" s="23">
        <f t="shared" si="11"/>
        <v>1.3333333333333334E-2</v>
      </c>
      <c r="N90" s="23">
        <f t="shared" si="12"/>
        <v>6.8666666666666671</v>
      </c>
      <c r="O90" s="23">
        <f t="shared" si="13"/>
        <v>1.3650000000000002E-2</v>
      </c>
      <c r="Q90" s="188"/>
    </row>
    <row r="91" spans="1:17" s="17" customFormat="1">
      <c r="A91" s="20">
        <v>9358</v>
      </c>
      <c r="B91" s="20" t="s">
        <v>14</v>
      </c>
      <c r="C91" s="21" t="s">
        <v>40</v>
      </c>
      <c r="D91" s="27">
        <v>1000</v>
      </c>
      <c r="E91" s="27">
        <f t="shared" si="14"/>
        <v>645</v>
      </c>
      <c r="F91" s="27">
        <v>40</v>
      </c>
      <c r="G91" s="27">
        <v>605</v>
      </c>
      <c r="H91" s="27">
        <v>1.1000000000000001</v>
      </c>
      <c r="I91" s="27">
        <v>1.3</v>
      </c>
      <c r="J91" s="27">
        <v>0.55000000000000004</v>
      </c>
      <c r="K91" s="23">
        <f t="shared" si="10"/>
        <v>0.7865000000000002</v>
      </c>
      <c r="L91" s="20">
        <f>L82</f>
        <v>0</v>
      </c>
      <c r="M91" s="23">
        <f t="shared" si="11"/>
        <v>0</v>
      </c>
      <c r="N91" s="23">
        <f t="shared" si="12"/>
        <v>0</v>
      </c>
      <c r="O91" s="23">
        <f t="shared" si="13"/>
        <v>0</v>
      </c>
      <c r="Q91" s="188"/>
    </row>
    <row r="92" spans="1:17" s="17" customFormat="1">
      <c r="A92" s="20">
        <v>9358</v>
      </c>
      <c r="B92" s="20" t="s">
        <v>14</v>
      </c>
      <c r="C92" s="21" t="s">
        <v>41</v>
      </c>
      <c r="D92" s="27">
        <v>450</v>
      </c>
      <c r="E92" s="27">
        <f t="shared" si="14"/>
        <v>515</v>
      </c>
      <c r="F92" s="27">
        <v>40</v>
      </c>
      <c r="G92" s="27">
        <v>475</v>
      </c>
      <c r="H92" s="27">
        <v>1.05</v>
      </c>
      <c r="I92" s="27">
        <v>1.3</v>
      </c>
      <c r="J92" s="20">
        <v>0.75</v>
      </c>
      <c r="K92" s="23">
        <f t="shared" si="10"/>
        <v>1.0237500000000002</v>
      </c>
      <c r="L92" s="20">
        <f>L82</f>
        <v>0</v>
      </c>
      <c r="M92" s="23">
        <f t="shared" si="11"/>
        <v>0</v>
      </c>
      <c r="N92" s="23">
        <f t="shared" si="12"/>
        <v>0</v>
      </c>
      <c r="O92" s="23">
        <f t="shared" si="13"/>
        <v>0</v>
      </c>
      <c r="Q92" s="188"/>
    </row>
    <row r="93" spans="1:17" s="17" customFormat="1">
      <c r="A93" s="20">
        <v>9358</v>
      </c>
      <c r="B93" s="20" t="s">
        <v>14</v>
      </c>
      <c r="C93" s="21" t="s">
        <v>22</v>
      </c>
      <c r="D93" s="26">
        <v>3000</v>
      </c>
      <c r="E93" s="27">
        <v>235</v>
      </c>
      <c r="F93" s="20">
        <v>35</v>
      </c>
      <c r="G93" s="27">
        <v>200</v>
      </c>
      <c r="H93" s="20">
        <v>1.1000000000000001</v>
      </c>
      <c r="I93" s="20">
        <v>1.1000000000000001</v>
      </c>
      <c r="J93" s="20">
        <v>1.02</v>
      </c>
      <c r="K93" s="22">
        <f t="shared" si="10"/>
        <v>1.2342000000000002</v>
      </c>
      <c r="L93" s="20">
        <f>P78*4</f>
        <v>376</v>
      </c>
      <c r="M93" s="23">
        <f t="shared" si="11"/>
        <v>0.12533333333333332</v>
      </c>
      <c r="N93" s="23">
        <f t="shared" si="12"/>
        <v>29.45333333333333</v>
      </c>
      <c r="O93" s="23">
        <f t="shared" si="13"/>
        <v>0.1546864</v>
      </c>
      <c r="Q93" s="188"/>
    </row>
    <row r="94" spans="1:17" s="17" customFormat="1">
      <c r="A94" s="20">
        <v>9358</v>
      </c>
      <c r="B94" s="20" t="s">
        <v>14</v>
      </c>
      <c r="C94" s="21" t="s">
        <v>23</v>
      </c>
      <c r="D94" s="24">
        <v>1000</v>
      </c>
      <c r="E94" s="25">
        <v>646</v>
      </c>
      <c r="F94" s="25">
        <f>E94-G94</f>
        <v>40</v>
      </c>
      <c r="G94" s="25">
        <v>606</v>
      </c>
      <c r="H94" s="25">
        <v>1.1000000000000001</v>
      </c>
      <c r="I94" s="25">
        <v>0.8</v>
      </c>
      <c r="J94" s="25">
        <v>0.55000000000000004</v>
      </c>
      <c r="K94" s="23">
        <f t="shared" si="10"/>
        <v>0.4840000000000001</v>
      </c>
      <c r="L94" s="20">
        <f>P78*4</f>
        <v>376</v>
      </c>
      <c r="M94" s="23">
        <f t="shared" si="11"/>
        <v>0.376</v>
      </c>
      <c r="N94" s="23">
        <f t="shared" si="12"/>
        <v>242.89599999999999</v>
      </c>
      <c r="O94" s="23">
        <f t="shared" si="13"/>
        <v>0.18198400000000003</v>
      </c>
      <c r="Q94" s="188"/>
    </row>
    <row r="95" spans="1:17" s="17" customFormat="1">
      <c r="A95" s="20">
        <v>9358</v>
      </c>
      <c r="B95" s="20" t="s">
        <v>14</v>
      </c>
      <c r="C95" s="21" t="s">
        <v>46</v>
      </c>
      <c r="D95" s="26">
        <v>4000</v>
      </c>
      <c r="E95" s="27">
        <v>424</v>
      </c>
      <c r="F95" s="20">
        <f>E95-G95</f>
        <v>52</v>
      </c>
      <c r="G95" s="27">
        <v>372</v>
      </c>
      <c r="H95" s="20">
        <v>1.1000000000000001</v>
      </c>
      <c r="I95" s="20">
        <v>0.8</v>
      </c>
      <c r="J95" s="20">
        <v>0.55000000000000004</v>
      </c>
      <c r="K95" s="22">
        <f t="shared" si="10"/>
        <v>0.4840000000000001</v>
      </c>
      <c r="L95" s="20">
        <f>P78*4</f>
        <v>376</v>
      </c>
      <c r="M95" s="23">
        <f t="shared" si="11"/>
        <v>9.4E-2</v>
      </c>
      <c r="N95" s="23">
        <f t="shared" si="12"/>
        <v>39.856000000000002</v>
      </c>
      <c r="O95" s="23">
        <f t="shared" si="13"/>
        <v>4.5496000000000009E-2</v>
      </c>
      <c r="Q95" s="188"/>
    </row>
    <row r="96" spans="1:17" s="17" customFormat="1">
      <c r="A96" s="20">
        <v>9358</v>
      </c>
      <c r="B96" s="20" t="s">
        <v>14</v>
      </c>
      <c r="C96" s="21" t="s">
        <v>42</v>
      </c>
      <c r="D96" s="28">
        <v>1200</v>
      </c>
      <c r="E96" s="168">
        <v>666.4</v>
      </c>
      <c r="F96" s="168">
        <v>40</v>
      </c>
      <c r="G96" s="29">
        <v>588</v>
      </c>
      <c r="H96" s="170">
        <v>1</v>
      </c>
      <c r="I96" s="170">
        <v>0.75</v>
      </c>
      <c r="J96" s="170">
        <v>0.7</v>
      </c>
      <c r="K96" s="172">
        <v>0.5</v>
      </c>
      <c r="L96" s="20">
        <f>P78*4</f>
        <v>376</v>
      </c>
      <c r="M96" s="160">
        <f t="shared" si="11"/>
        <v>0.31333333333333335</v>
      </c>
      <c r="N96" s="160">
        <f t="shared" si="12"/>
        <v>208.80533333333335</v>
      </c>
      <c r="O96" s="150">
        <f t="shared" si="13"/>
        <v>0.15666666666666668</v>
      </c>
      <c r="Q96" s="188"/>
    </row>
    <row r="97" spans="1:17" s="17" customFormat="1">
      <c r="A97" s="20">
        <v>9358</v>
      </c>
      <c r="B97" s="20" t="s">
        <v>14</v>
      </c>
      <c r="C97" s="21" t="s">
        <v>43</v>
      </c>
      <c r="D97" s="28">
        <v>1200</v>
      </c>
      <c r="E97" s="169"/>
      <c r="F97" s="169"/>
      <c r="G97" s="29">
        <v>38.4</v>
      </c>
      <c r="H97" s="171"/>
      <c r="I97" s="171"/>
      <c r="J97" s="171"/>
      <c r="K97" s="173"/>
      <c r="L97" s="20">
        <f>P78*4</f>
        <v>376</v>
      </c>
      <c r="M97" s="161"/>
      <c r="N97" s="161"/>
      <c r="O97" s="151"/>
      <c r="Q97" s="188"/>
    </row>
    <row r="98" spans="1:17" s="17" customFormat="1" ht="15" thickBot="1">
      <c r="A98" s="20">
        <v>9358</v>
      </c>
      <c r="B98" s="20" t="s">
        <v>14</v>
      </c>
      <c r="C98" s="21" t="s">
        <v>60</v>
      </c>
      <c r="D98" s="28"/>
      <c r="E98" s="75"/>
      <c r="F98" s="75"/>
      <c r="G98" s="29"/>
      <c r="H98" s="76"/>
      <c r="I98" s="76"/>
      <c r="J98" s="76"/>
      <c r="K98" s="70"/>
      <c r="L98" s="20">
        <f>P78*4</f>
        <v>376</v>
      </c>
      <c r="M98" s="68"/>
      <c r="N98" s="68"/>
      <c r="O98" s="69"/>
      <c r="Q98" s="189"/>
    </row>
    <row r="99" spans="1:17" s="33" customFormat="1">
      <c r="A99" s="34">
        <v>9355</v>
      </c>
      <c r="B99" s="34" t="s">
        <v>15</v>
      </c>
      <c r="C99" s="34" t="s">
        <v>16</v>
      </c>
      <c r="D99" s="34">
        <v>30</v>
      </c>
      <c r="E99" s="34">
        <v>669</v>
      </c>
      <c r="F99" s="34">
        <f>E99-G99</f>
        <v>53</v>
      </c>
      <c r="G99" s="34">
        <v>616</v>
      </c>
      <c r="H99" s="34">
        <v>1</v>
      </c>
      <c r="I99" s="34">
        <v>0.9</v>
      </c>
      <c r="J99" s="34">
        <v>0.73</v>
      </c>
      <c r="K99" s="34">
        <f t="shared" ref="K99:K127" si="15">H99*I99*J99</f>
        <v>0.65700000000000003</v>
      </c>
      <c r="L99" s="34">
        <v>102</v>
      </c>
      <c r="M99" s="11">
        <f t="shared" ref="M99:M128" si="16">L99/D99</f>
        <v>3.4</v>
      </c>
      <c r="N99" s="11">
        <f t="shared" ref="N99:N128" si="17">E99*M99</f>
        <v>2274.6</v>
      </c>
      <c r="O99" s="11">
        <f>M99*K99</f>
        <v>2.2338</v>
      </c>
      <c r="P99" s="152">
        <f>SUM(L99:L102)</f>
        <v>120</v>
      </c>
      <c r="Q99" s="153" t="s">
        <v>55</v>
      </c>
    </row>
    <row r="100" spans="1:17" s="33" customFormat="1">
      <c r="A100" s="34">
        <v>9355</v>
      </c>
      <c r="B100" s="34" t="s">
        <v>15</v>
      </c>
      <c r="C100" s="34" t="s">
        <v>17</v>
      </c>
      <c r="D100" s="34">
        <v>30</v>
      </c>
      <c r="E100" s="34">
        <v>669</v>
      </c>
      <c r="F100" s="34">
        <f>E100-G100</f>
        <v>53</v>
      </c>
      <c r="G100" s="34">
        <v>616</v>
      </c>
      <c r="H100" s="34">
        <v>1</v>
      </c>
      <c r="I100" s="34">
        <v>0.9</v>
      </c>
      <c r="J100" s="34">
        <v>0.73</v>
      </c>
      <c r="K100" s="34">
        <f t="shared" si="15"/>
        <v>0.65700000000000003</v>
      </c>
      <c r="L100" s="34">
        <v>6</v>
      </c>
      <c r="M100" s="11">
        <f t="shared" si="16"/>
        <v>0.2</v>
      </c>
      <c r="N100" s="11">
        <f t="shared" si="17"/>
        <v>133.80000000000001</v>
      </c>
      <c r="O100" s="11">
        <f t="shared" ref="O100:O128" si="18">M100*K100</f>
        <v>0.13140000000000002</v>
      </c>
      <c r="P100" s="152"/>
      <c r="Q100" s="154"/>
    </row>
    <row r="101" spans="1:17" s="33" customFormat="1">
      <c r="A101" s="34">
        <v>9355</v>
      </c>
      <c r="B101" s="34" t="s">
        <v>15</v>
      </c>
      <c r="C101" s="34" t="s">
        <v>18</v>
      </c>
      <c r="D101" s="34">
        <v>30</v>
      </c>
      <c r="E101" s="34">
        <v>669</v>
      </c>
      <c r="F101" s="34">
        <f>E101-G101</f>
        <v>53</v>
      </c>
      <c r="G101" s="34">
        <v>616</v>
      </c>
      <c r="H101" s="34">
        <v>1</v>
      </c>
      <c r="I101" s="34">
        <v>0.9</v>
      </c>
      <c r="J101" s="34">
        <v>0.73</v>
      </c>
      <c r="K101" s="34">
        <f t="shared" si="15"/>
        <v>0.65700000000000003</v>
      </c>
      <c r="L101" s="34">
        <v>6</v>
      </c>
      <c r="M101" s="11">
        <f t="shared" si="16"/>
        <v>0.2</v>
      </c>
      <c r="N101" s="11">
        <f t="shared" si="17"/>
        <v>133.80000000000001</v>
      </c>
      <c r="O101" s="11">
        <f t="shared" si="18"/>
        <v>0.13140000000000002</v>
      </c>
      <c r="P101" s="152"/>
      <c r="Q101" s="154"/>
    </row>
    <row r="102" spans="1:17" s="33" customFormat="1">
      <c r="A102" s="34">
        <v>9355</v>
      </c>
      <c r="B102" s="34" t="s">
        <v>15</v>
      </c>
      <c r="C102" s="34" t="s">
        <v>19</v>
      </c>
      <c r="D102" s="34">
        <v>30</v>
      </c>
      <c r="E102" s="34">
        <v>669</v>
      </c>
      <c r="F102" s="34">
        <f>E102-G102</f>
        <v>53</v>
      </c>
      <c r="G102" s="34">
        <v>616</v>
      </c>
      <c r="H102" s="34">
        <v>1</v>
      </c>
      <c r="I102" s="34">
        <v>0.9</v>
      </c>
      <c r="J102" s="34">
        <v>0.73</v>
      </c>
      <c r="K102" s="34">
        <f t="shared" si="15"/>
        <v>0.65700000000000003</v>
      </c>
      <c r="L102" s="34">
        <v>6</v>
      </c>
      <c r="M102" s="11">
        <f t="shared" si="16"/>
        <v>0.2</v>
      </c>
      <c r="N102" s="11">
        <f t="shared" si="17"/>
        <v>133.80000000000001</v>
      </c>
      <c r="O102" s="11">
        <f t="shared" si="18"/>
        <v>0.13140000000000002</v>
      </c>
      <c r="P102" s="152"/>
      <c r="Q102" s="154"/>
    </row>
    <row r="103" spans="1:17" s="33" customFormat="1">
      <c r="A103" s="34">
        <v>9358</v>
      </c>
      <c r="B103" s="34" t="s">
        <v>14</v>
      </c>
      <c r="C103" s="35" t="s">
        <v>20</v>
      </c>
      <c r="D103" s="34">
        <v>5000</v>
      </c>
      <c r="E103" s="34">
        <v>490</v>
      </c>
      <c r="F103" s="34">
        <v>40</v>
      </c>
      <c r="G103" s="34">
        <v>450</v>
      </c>
      <c r="H103" s="34">
        <v>1</v>
      </c>
      <c r="I103" s="34">
        <v>0.98</v>
      </c>
      <c r="J103" s="34">
        <v>0.83</v>
      </c>
      <c r="K103" s="36">
        <f t="shared" si="15"/>
        <v>0.8133999999999999</v>
      </c>
      <c r="L103" s="34">
        <f>P99</f>
        <v>120</v>
      </c>
      <c r="M103" s="11">
        <f t="shared" si="16"/>
        <v>2.4E-2</v>
      </c>
      <c r="N103" s="11">
        <f t="shared" si="17"/>
        <v>11.76</v>
      </c>
      <c r="O103" s="11">
        <f t="shared" si="18"/>
        <v>1.9521599999999997E-2</v>
      </c>
      <c r="Q103" s="154"/>
    </row>
    <row r="104" spans="1:17" s="33" customFormat="1">
      <c r="A104" s="34">
        <v>9358</v>
      </c>
      <c r="B104" s="34" t="s">
        <v>14</v>
      </c>
      <c r="C104" s="35" t="s">
        <v>21</v>
      </c>
      <c r="D104" s="34">
        <v>360</v>
      </c>
      <c r="E104" s="34">
        <v>390</v>
      </c>
      <c r="F104" s="34">
        <v>40</v>
      </c>
      <c r="G104" s="34">
        <v>350</v>
      </c>
      <c r="H104" s="34">
        <v>1.05</v>
      </c>
      <c r="I104" s="34">
        <v>0.95</v>
      </c>
      <c r="J104" s="34">
        <v>0.55000000000000004</v>
      </c>
      <c r="K104" s="36">
        <f t="shared" si="15"/>
        <v>0.54862500000000003</v>
      </c>
      <c r="L104" s="34">
        <f>P99</f>
        <v>120</v>
      </c>
      <c r="M104" s="11">
        <f t="shared" si="16"/>
        <v>0.33333333333333331</v>
      </c>
      <c r="N104" s="11">
        <f t="shared" si="17"/>
        <v>130</v>
      </c>
      <c r="O104" s="11">
        <f t="shared" si="18"/>
        <v>0.18287500000000001</v>
      </c>
      <c r="Q104" s="154"/>
    </row>
    <row r="105" spans="1:17" s="33" customFormat="1">
      <c r="A105" s="34">
        <v>9358</v>
      </c>
      <c r="B105" s="34" t="s">
        <v>14</v>
      </c>
      <c r="C105" s="35" t="s">
        <v>22</v>
      </c>
      <c r="D105" s="37">
        <v>3000</v>
      </c>
      <c r="E105" s="38">
        <v>235</v>
      </c>
      <c r="F105" s="34">
        <v>35</v>
      </c>
      <c r="G105" s="38">
        <v>200</v>
      </c>
      <c r="H105" s="34">
        <v>1.1000000000000001</v>
      </c>
      <c r="I105" s="34">
        <v>1.1000000000000001</v>
      </c>
      <c r="J105" s="34">
        <v>1.02</v>
      </c>
      <c r="K105" s="36">
        <f t="shared" si="15"/>
        <v>1.2342000000000002</v>
      </c>
      <c r="L105" s="34">
        <f>P99*4</f>
        <v>480</v>
      </c>
      <c r="M105" s="11">
        <f t="shared" si="16"/>
        <v>0.16</v>
      </c>
      <c r="N105" s="11">
        <f t="shared" si="17"/>
        <v>37.6</v>
      </c>
      <c r="O105" s="11">
        <f t="shared" si="18"/>
        <v>0.19747200000000004</v>
      </c>
      <c r="Q105" s="154"/>
    </row>
    <row r="106" spans="1:17" s="33" customFormat="1">
      <c r="A106" s="34">
        <v>9358</v>
      </c>
      <c r="B106" s="34" t="s">
        <v>14</v>
      </c>
      <c r="C106" s="35" t="s">
        <v>23</v>
      </c>
      <c r="D106" s="9">
        <v>1000</v>
      </c>
      <c r="E106" s="10">
        <v>646</v>
      </c>
      <c r="F106" s="10">
        <f>E106-G106</f>
        <v>40</v>
      </c>
      <c r="G106" s="10">
        <v>606</v>
      </c>
      <c r="H106" s="10">
        <v>1.1000000000000001</v>
      </c>
      <c r="I106" s="10">
        <v>0.8</v>
      </c>
      <c r="J106" s="10">
        <v>0.55000000000000004</v>
      </c>
      <c r="K106" s="11">
        <f t="shared" si="15"/>
        <v>0.4840000000000001</v>
      </c>
      <c r="L106" s="34">
        <f>P99*4</f>
        <v>480</v>
      </c>
      <c r="M106" s="11">
        <f t="shared" si="16"/>
        <v>0.48</v>
      </c>
      <c r="N106" s="11">
        <f t="shared" si="17"/>
        <v>310.08</v>
      </c>
      <c r="O106" s="11">
        <f t="shared" si="18"/>
        <v>0.23232000000000003</v>
      </c>
      <c r="Q106" s="154"/>
    </row>
    <row r="107" spans="1:17" s="33" customFormat="1">
      <c r="A107" s="34">
        <v>9356</v>
      </c>
      <c r="B107" s="34" t="s">
        <v>47</v>
      </c>
      <c r="C107" s="35" t="s">
        <v>24</v>
      </c>
      <c r="D107" s="37">
        <v>4000</v>
      </c>
      <c r="E107" s="38">
        <v>424</v>
      </c>
      <c r="F107" s="34">
        <f>E107-G107</f>
        <v>52</v>
      </c>
      <c r="G107" s="38">
        <v>372</v>
      </c>
      <c r="H107" s="34">
        <v>1.1000000000000001</v>
      </c>
      <c r="I107" s="34">
        <v>0.8</v>
      </c>
      <c r="J107" s="34">
        <v>0.55000000000000004</v>
      </c>
      <c r="K107" s="36">
        <f t="shared" si="15"/>
        <v>0.4840000000000001</v>
      </c>
      <c r="L107" s="34">
        <f>(P99+P110)*4</f>
        <v>856</v>
      </c>
      <c r="M107" s="11">
        <f t="shared" si="16"/>
        <v>0.214</v>
      </c>
      <c r="N107" s="11">
        <f t="shared" si="17"/>
        <v>90.736000000000004</v>
      </c>
      <c r="O107" s="11">
        <f t="shared" si="18"/>
        <v>0.10357600000000002</v>
      </c>
      <c r="Q107" s="154"/>
    </row>
    <row r="108" spans="1:17" s="33" customFormat="1">
      <c r="A108" s="34">
        <v>9358</v>
      </c>
      <c r="B108" s="34" t="s">
        <v>14</v>
      </c>
      <c r="C108" s="35" t="s">
        <v>25</v>
      </c>
      <c r="D108" s="34">
        <v>1000</v>
      </c>
      <c r="E108" s="34">
        <v>830</v>
      </c>
      <c r="F108" s="34">
        <v>40</v>
      </c>
      <c r="G108" s="34">
        <v>790</v>
      </c>
      <c r="H108" s="34">
        <v>1.04</v>
      </c>
      <c r="I108" s="34">
        <v>0.84</v>
      </c>
      <c r="J108" s="34">
        <v>0.64</v>
      </c>
      <c r="K108" s="36">
        <f t="shared" si="15"/>
        <v>0.55910400000000005</v>
      </c>
      <c r="L108" s="34">
        <f>P99*2</f>
        <v>240</v>
      </c>
      <c r="M108" s="11">
        <f t="shared" si="16"/>
        <v>0.24</v>
      </c>
      <c r="N108" s="11">
        <f t="shared" si="17"/>
        <v>199.2</v>
      </c>
      <c r="O108" s="11">
        <f t="shared" si="18"/>
        <v>0.13418496000000002</v>
      </c>
      <c r="Q108" s="154"/>
    </row>
    <row r="109" spans="1:17" s="33" customFormat="1">
      <c r="A109" s="34">
        <v>9358</v>
      </c>
      <c r="B109" s="34" t="s">
        <v>14</v>
      </c>
      <c r="C109" s="35" t="s">
        <v>26</v>
      </c>
      <c r="D109" s="34">
        <v>4000</v>
      </c>
      <c r="E109" s="34">
        <v>223</v>
      </c>
      <c r="F109" s="34">
        <v>30</v>
      </c>
      <c r="G109" s="34">
        <v>188</v>
      </c>
      <c r="H109" s="34">
        <v>0.86</v>
      </c>
      <c r="I109" s="34">
        <v>0.78</v>
      </c>
      <c r="J109" s="34">
        <v>0.74</v>
      </c>
      <c r="K109" s="36">
        <f t="shared" si="15"/>
        <v>0.49639200000000006</v>
      </c>
      <c r="L109" s="34">
        <f>P99*2</f>
        <v>240</v>
      </c>
      <c r="M109" s="11">
        <f t="shared" si="16"/>
        <v>0.06</v>
      </c>
      <c r="N109" s="11">
        <f t="shared" si="17"/>
        <v>13.379999999999999</v>
      </c>
      <c r="O109" s="11">
        <f t="shared" si="18"/>
        <v>2.9783520000000001E-2</v>
      </c>
      <c r="Q109" s="154"/>
    </row>
    <row r="110" spans="1:17" s="33" customFormat="1">
      <c r="A110" s="34">
        <v>9355</v>
      </c>
      <c r="B110" s="34" t="s">
        <v>15</v>
      </c>
      <c r="C110" s="35" t="s">
        <v>27</v>
      </c>
      <c r="D110" s="39">
        <v>12</v>
      </c>
      <c r="E110" s="39">
        <v>435</v>
      </c>
      <c r="F110" s="39">
        <v>39</v>
      </c>
      <c r="G110" s="39">
        <v>396</v>
      </c>
      <c r="H110" s="39">
        <v>0.86</v>
      </c>
      <c r="I110" s="39">
        <v>0.56000000000000005</v>
      </c>
      <c r="J110" s="39">
        <v>0.51</v>
      </c>
      <c r="K110" s="40">
        <f t="shared" si="15"/>
        <v>0.24561600000000003</v>
      </c>
      <c r="L110" s="34">
        <v>54</v>
      </c>
      <c r="M110" s="11">
        <f t="shared" si="16"/>
        <v>4.5</v>
      </c>
      <c r="N110" s="11">
        <f t="shared" si="17"/>
        <v>1957.5</v>
      </c>
      <c r="O110" s="11">
        <f t="shared" si="18"/>
        <v>1.105272</v>
      </c>
      <c r="P110" s="152">
        <f>SUM(L110:L114)</f>
        <v>94</v>
      </c>
      <c r="Q110" s="154"/>
    </row>
    <row r="111" spans="1:17" s="33" customFormat="1">
      <c r="A111" s="34">
        <v>9355</v>
      </c>
      <c r="B111" s="34" t="s">
        <v>15</v>
      </c>
      <c r="C111" s="35" t="s">
        <v>28</v>
      </c>
      <c r="D111" s="39">
        <v>12</v>
      </c>
      <c r="E111" s="39">
        <v>520</v>
      </c>
      <c r="F111" s="39">
        <v>40</v>
      </c>
      <c r="G111" s="39">
        <v>480</v>
      </c>
      <c r="H111" s="39">
        <v>1.03</v>
      </c>
      <c r="I111" s="39">
        <v>0.56000000000000005</v>
      </c>
      <c r="J111" s="39">
        <v>0.51</v>
      </c>
      <c r="K111" s="40">
        <f t="shared" si="15"/>
        <v>0.29416800000000004</v>
      </c>
      <c r="L111" s="34">
        <v>17</v>
      </c>
      <c r="M111" s="11">
        <f t="shared" si="16"/>
        <v>1.4166666666666667</v>
      </c>
      <c r="N111" s="11">
        <f t="shared" si="17"/>
        <v>736.66666666666674</v>
      </c>
      <c r="O111" s="11">
        <f t="shared" si="18"/>
        <v>0.41673800000000005</v>
      </c>
      <c r="P111" s="152"/>
      <c r="Q111" s="154"/>
    </row>
    <row r="112" spans="1:17" s="33" customFormat="1">
      <c r="A112" s="34">
        <v>9355</v>
      </c>
      <c r="B112" s="34" t="s">
        <v>15</v>
      </c>
      <c r="C112" s="35" t="s">
        <v>29</v>
      </c>
      <c r="D112" s="39">
        <v>12</v>
      </c>
      <c r="E112" s="39">
        <v>596</v>
      </c>
      <c r="F112" s="39">
        <v>44</v>
      </c>
      <c r="G112" s="39">
        <v>552</v>
      </c>
      <c r="H112" s="39">
        <v>1.17</v>
      </c>
      <c r="I112" s="39">
        <v>0.56000000000000005</v>
      </c>
      <c r="J112" s="39">
        <v>0.51</v>
      </c>
      <c r="K112" s="40">
        <f t="shared" si="15"/>
        <v>0.334152</v>
      </c>
      <c r="L112" s="34">
        <v>17</v>
      </c>
      <c r="M112" s="11">
        <f t="shared" si="16"/>
        <v>1.4166666666666667</v>
      </c>
      <c r="N112" s="11">
        <f t="shared" si="17"/>
        <v>844.33333333333337</v>
      </c>
      <c r="O112" s="11">
        <f t="shared" si="18"/>
        <v>0.47338200000000002</v>
      </c>
      <c r="P112" s="152"/>
      <c r="Q112" s="154"/>
    </row>
    <row r="113" spans="1:17" s="33" customFormat="1">
      <c r="A113" s="34">
        <v>9355</v>
      </c>
      <c r="B113" s="34" t="s">
        <v>15</v>
      </c>
      <c r="C113" s="35" t="s">
        <v>30</v>
      </c>
      <c r="D113" s="41">
        <v>12</v>
      </c>
      <c r="E113" s="39">
        <v>654</v>
      </c>
      <c r="F113" s="39">
        <v>42</v>
      </c>
      <c r="G113" s="39">
        <v>612</v>
      </c>
      <c r="H113" s="39">
        <v>1.2749999999999999</v>
      </c>
      <c r="I113" s="39">
        <v>0.56000000000000005</v>
      </c>
      <c r="J113" s="39">
        <v>0.51</v>
      </c>
      <c r="K113" s="40">
        <f t="shared" si="15"/>
        <v>0.36413999999999996</v>
      </c>
      <c r="L113" s="34">
        <v>6</v>
      </c>
      <c r="M113" s="11">
        <f t="shared" si="16"/>
        <v>0.5</v>
      </c>
      <c r="N113" s="11">
        <f t="shared" si="17"/>
        <v>327</v>
      </c>
      <c r="O113" s="11">
        <f t="shared" si="18"/>
        <v>0.18206999999999998</v>
      </c>
      <c r="P113" s="152"/>
      <c r="Q113" s="154"/>
    </row>
    <row r="114" spans="1:17" s="33" customFormat="1">
      <c r="A114" s="34">
        <v>9355</v>
      </c>
      <c r="B114" s="34" t="s">
        <v>15</v>
      </c>
      <c r="C114" s="35" t="s">
        <v>31</v>
      </c>
      <c r="D114" s="41">
        <v>6</v>
      </c>
      <c r="E114" s="39">
        <v>410</v>
      </c>
      <c r="F114" s="39">
        <v>50</v>
      </c>
      <c r="G114" s="39">
        <v>360</v>
      </c>
      <c r="H114" s="39">
        <v>1.48</v>
      </c>
      <c r="I114" s="39">
        <v>0.56000000000000005</v>
      </c>
      <c r="J114" s="39">
        <v>0.37</v>
      </c>
      <c r="K114" s="40">
        <f t="shared" si="15"/>
        <v>0.30665600000000004</v>
      </c>
      <c r="L114" s="34">
        <v>0</v>
      </c>
      <c r="M114" s="11">
        <f t="shared" si="16"/>
        <v>0</v>
      </c>
      <c r="N114" s="11">
        <f t="shared" si="17"/>
        <v>0</v>
      </c>
      <c r="O114" s="11">
        <f t="shared" si="18"/>
        <v>0</v>
      </c>
      <c r="P114" s="152"/>
      <c r="Q114" s="154"/>
    </row>
    <row r="115" spans="1:17" s="33" customFormat="1">
      <c r="A115" s="34">
        <v>9358</v>
      </c>
      <c r="B115" s="34" t="s">
        <v>14</v>
      </c>
      <c r="C115" s="35" t="s">
        <v>32</v>
      </c>
      <c r="D115" s="38">
        <v>1000</v>
      </c>
      <c r="E115" s="38">
        <f t="shared" ref="E115:E124" si="19">G115+F115</f>
        <v>395</v>
      </c>
      <c r="F115" s="38">
        <v>40</v>
      </c>
      <c r="G115" s="38">
        <v>355</v>
      </c>
      <c r="H115" s="38">
        <v>1.05</v>
      </c>
      <c r="I115" s="38">
        <v>0.9</v>
      </c>
      <c r="J115" s="38">
        <v>0.55000000000000004</v>
      </c>
      <c r="K115" s="11">
        <f t="shared" si="15"/>
        <v>0.51975000000000005</v>
      </c>
      <c r="L115" s="34">
        <f>L110</f>
        <v>54</v>
      </c>
      <c r="M115" s="11">
        <f t="shared" si="16"/>
        <v>5.3999999999999999E-2</v>
      </c>
      <c r="N115" s="11">
        <f t="shared" si="17"/>
        <v>21.33</v>
      </c>
      <c r="O115" s="11">
        <f t="shared" si="18"/>
        <v>2.8066500000000001E-2</v>
      </c>
      <c r="Q115" s="154"/>
    </row>
    <row r="116" spans="1:17" s="33" customFormat="1">
      <c r="A116" s="34">
        <v>9358</v>
      </c>
      <c r="B116" s="34" t="s">
        <v>14</v>
      </c>
      <c r="C116" s="35" t="s">
        <v>33</v>
      </c>
      <c r="D116" s="38">
        <v>450</v>
      </c>
      <c r="E116" s="38">
        <f t="shared" si="19"/>
        <v>360</v>
      </c>
      <c r="F116" s="38">
        <v>40</v>
      </c>
      <c r="G116" s="38">
        <v>320</v>
      </c>
      <c r="H116" s="34">
        <v>1.1000000000000001</v>
      </c>
      <c r="I116" s="38">
        <v>0.9</v>
      </c>
      <c r="J116" s="34">
        <v>0.75</v>
      </c>
      <c r="K116" s="36">
        <f t="shared" si="15"/>
        <v>0.74250000000000005</v>
      </c>
      <c r="L116" s="34">
        <f>L110</f>
        <v>54</v>
      </c>
      <c r="M116" s="11">
        <f t="shared" si="16"/>
        <v>0.12</v>
      </c>
      <c r="N116" s="11">
        <f t="shared" si="17"/>
        <v>43.199999999999996</v>
      </c>
      <c r="O116" s="11">
        <f t="shared" si="18"/>
        <v>8.9099999999999999E-2</v>
      </c>
      <c r="Q116" s="154"/>
    </row>
    <row r="117" spans="1:17" s="33" customFormat="1">
      <c r="A117" s="34">
        <v>9358</v>
      </c>
      <c r="B117" s="34" t="s">
        <v>14</v>
      </c>
      <c r="C117" s="35" t="s">
        <v>34</v>
      </c>
      <c r="D117" s="38">
        <v>1000</v>
      </c>
      <c r="E117" s="38">
        <f t="shared" si="19"/>
        <v>492</v>
      </c>
      <c r="F117" s="38">
        <v>40</v>
      </c>
      <c r="G117" s="38">
        <v>452</v>
      </c>
      <c r="H117" s="38">
        <v>1.1000000000000001</v>
      </c>
      <c r="I117" s="38">
        <v>1.05</v>
      </c>
      <c r="J117" s="38">
        <v>0.55000000000000004</v>
      </c>
      <c r="K117" s="11">
        <f t="shared" si="15"/>
        <v>0.6352500000000002</v>
      </c>
      <c r="L117" s="34">
        <f>L111</f>
        <v>17</v>
      </c>
      <c r="M117" s="11">
        <f t="shared" si="16"/>
        <v>1.7000000000000001E-2</v>
      </c>
      <c r="N117" s="11">
        <f t="shared" si="17"/>
        <v>8.3640000000000008</v>
      </c>
      <c r="O117" s="11">
        <f t="shared" si="18"/>
        <v>1.0799250000000005E-2</v>
      </c>
      <c r="Q117" s="154"/>
    </row>
    <row r="118" spans="1:17" s="33" customFormat="1">
      <c r="A118" s="34">
        <v>9358</v>
      </c>
      <c r="B118" s="34" t="s">
        <v>14</v>
      </c>
      <c r="C118" s="35" t="s">
        <v>35</v>
      </c>
      <c r="D118" s="38">
        <v>450</v>
      </c>
      <c r="E118" s="38">
        <f t="shared" si="19"/>
        <v>421.5</v>
      </c>
      <c r="F118" s="38">
        <v>40</v>
      </c>
      <c r="G118" s="38">
        <v>381.5</v>
      </c>
      <c r="H118" s="38">
        <v>1.05</v>
      </c>
      <c r="I118" s="38">
        <v>1.05</v>
      </c>
      <c r="J118" s="34">
        <v>0.75</v>
      </c>
      <c r="K118" s="36">
        <f t="shared" si="15"/>
        <v>0.82687500000000003</v>
      </c>
      <c r="L118" s="34">
        <f>L111</f>
        <v>17</v>
      </c>
      <c r="M118" s="11">
        <f t="shared" si="16"/>
        <v>3.7777777777777778E-2</v>
      </c>
      <c r="N118" s="11">
        <f t="shared" si="17"/>
        <v>15.923333333333334</v>
      </c>
      <c r="O118" s="11">
        <f t="shared" si="18"/>
        <v>3.1237500000000001E-2</v>
      </c>
      <c r="Q118" s="154"/>
    </row>
    <row r="119" spans="1:17" s="33" customFormat="1">
      <c r="A119" s="34">
        <v>9358</v>
      </c>
      <c r="B119" s="34" t="s">
        <v>14</v>
      </c>
      <c r="C119" s="35" t="s">
        <v>36</v>
      </c>
      <c r="D119" s="38">
        <v>1000</v>
      </c>
      <c r="E119" s="38">
        <f t="shared" si="19"/>
        <v>574</v>
      </c>
      <c r="F119" s="38">
        <v>40</v>
      </c>
      <c r="G119" s="38">
        <v>534</v>
      </c>
      <c r="H119" s="38">
        <v>1.1000000000000001</v>
      </c>
      <c r="I119" s="38">
        <v>1.2</v>
      </c>
      <c r="J119" s="38">
        <v>0.55000000000000004</v>
      </c>
      <c r="K119" s="11">
        <f t="shared" si="15"/>
        <v>0.72600000000000009</v>
      </c>
      <c r="L119" s="34">
        <f>L112</f>
        <v>17</v>
      </c>
      <c r="M119" s="11">
        <f t="shared" si="16"/>
        <v>1.7000000000000001E-2</v>
      </c>
      <c r="N119" s="11">
        <f t="shared" si="17"/>
        <v>9.7580000000000009</v>
      </c>
      <c r="O119" s="11">
        <f t="shared" si="18"/>
        <v>1.2342000000000002E-2</v>
      </c>
      <c r="Q119" s="154"/>
    </row>
    <row r="120" spans="1:17" s="33" customFormat="1">
      <c r="A120" s="34">
        <v>9358</v>
      </c>
      <c r="B120" s="34" t="s">
        <v>14</v>
      </c>
      <c r="C120" s="35" t="s">
        <v>37</v>
      </c>
      <c r="D120" s="38">
        <v>450</v>
      </c>
      <c r="E120" s="38">
        <f t="shared" si="19"/>
        <v>475</v>
      </c>
      <c r="F120" s="38">
        <v>40</v>
      </c>
      <c r="G120" s="38">
        <v>435</v>
      </c>
      <c r="H120" s="38">
        <v>1.05</v>
      </c>
      <c r="I120" s="38">
        <v>1.2</v>
      </c>
      <c r="J120" s="34">
        <v>0.75</v>
      </c>
      <c r="K120" s="11">
        <f t="shared" si="15"/>
        <v>0.94500000000000006</v>
      </c>
      <c r="L120" s="34">
        <f>L112</f>
        <v>17</v>
      </c>
      <c r="M120" s="11">
        <f t="shared" si="16"/>
        <v>3.7777777777777778E-2</v>
      </c>
      <c r="N120" s="11">
        <f t="shared" si="17"/>
        <v>17.944444444444443</v>
      </c>
      <c r="O120" s="11">
        <f t="shared" si="18"/>
        <v>3.5700000000000003E-2</v>
      </c>
      <c r="Q120" s="154"/>
    </row>
    <row r="121" spans="1:17" s="33" customFormat="1">
      <c r="A121" s="34">
        <v>9358</v>
      </c>
      <c r="B121" s="34" t="s">
        <v>14</v>
      </c>
      <c r="C121" s="35" t="s">
        <v>38</v>
      </c>
      <c r="D121" s="38">
        <v>1000</v>
      </c>
      <c r="E121" s="38">
        <f t="shared" si="19"/>
        <v>645</v>
      </c>
      <c r="F121" s="38">
        <v>40</v>
      </c>
      <c r="G121" s="38">
        <v>605</v>
      </c>
      <c r="H121" s="38">
        <v>1.1000000000000001</v>
      </c>
      <c r="I121" s="38">
        <v>1.3</v>
      </c>
      <c r="J121" s="38">
        <v>0.55000000000000004</v>
      </c>
      <c r="K121" s="11">
        <f t="shared" si="15"/>
        <v>0.7865000000000002</v>
      </c>
      <c r="L121" s="34">
        <f>L113</f>
        <v>6</v>
      </c>
      <c r="M121" s="11">
        <f t="shared" si="16"/>
        <v>6.0000000000000001E-3</v>
      </c>
      <c r="N121" s="11">
        <f t="shared" si="17"/>
        <v>3.87</v>
      </c>
      <c r="O121" s="11">
        <f t="shared" si="18"/>
        <v>4.719000000000001E-3</v>
      </c>
      <c r="Q121" s="154"/>
    </row>
    <row r="122" spans="1:17" s="33" customFormat="1">
      <c r="A122" s="34">
        <v>9358</v>
      </c>
      <c r="B122" s="34" t="s">
        <v>14</v>
      </c>
      <c r="C122" s="35" t="s">
        <v>39</v>
      </c>
      <c r="D122" s="38">
        <v>450</v>
      </c>
      <c r="E122" s="38">
        <f t="shared" si="19"/>
        <v>515</v>
      </c>
      <c r="F122" s="38">
        <v>40</v>
      </c>
      <c r="G122" s="38">
        <v>475</v>
      </c>
      <c r="H122" s="38">
        <v>1.05</v>
      </c>
      <c r="I122" s="38">
        <v>1.3</v>
      </c>
      <c r="J122" s="34">
        <v>0.75</v>
      </c>
      <c r="K122" s="11">
        <f t="shared" si="15"/>
        <v>1.0237500000000002</v>
      </c>
      <c r="L122" s="34">
        <f>L113</f>
        <v>6</v>
      </c>
      <c r="M122" s="11">
        <f t="shared" si="16"/>
        <v>1.3333333333333334E-2</v>
      </c>
      <c r="N122" s="11">
        <f t="shared" si="17"/>
        <v>6.8666666666666671</v>
      </c>
      <c r="O122" s="11">
        <f t="shared" si="18"/>
        <v>1.3650000000000002E-2</v>
      </c>
      <c r="Q122" s="154"/>
    </row>
    <row r="123" spans="1:17" s="33" customFormat="1">
      <c r="A123" s="34">
        <v>9358</v>
      </c>
      <c r="B123" s="34" t="s">
        <v>14</v>
      </c>
      <c r="C123" s="35" t="s">
        <v>40</v>
      </c>
      <c r="D123" s="38">
        <v>1000</v>
      </c>
      <c r="E123" s="38">
        <f t="shared" si="19"/>
        <v>645</v>
      </c>
      <c r="F123" s="38">
        <v>40</v>
      </c>
      <c r="G123" s="38">
        <v>605</v>
      </c>
      <c r="H123" s="38">
        <v>1.1000000000000001</v>
      </c>
      <c r="I123" s="38">
        <v>1.3</v>
      </c>
      <c r="J123" s="38">
        <v>0.55000000000000004</v>
      </c>
      <c r="K123" s="11">
        <f t="shared" si="15"/>
        <v>0.7865000000000002</v>
      </c>
      <c r="L123" s="34">
        <f>L114</f>
        <v>0</v>
      </c>
      <c r="M123" s="11">
        <f t="shared" si="16"/>
        <v>0</v>
      </c>
      <c r="N123" s="11">
        <f t="shared" si="17"/>
        <v>0</v>
      </c>
      <c r="O123" s="11">
        <f t="shared" si="18"/>
        <v>0</v>
      </c>
      <c r="Q123" s="154"/>
    </row>
    <row r="124" spans="1:17" s="33" customFormat="1">
      <c r="A124" s="34">
        <v>9358</v>
      </c>
      <c r="B124" s="34" t="s">
        <v>14</v>
      </c>
      <c r="C124" s="35" t="s">
        <v>41</v>
      </c>
      <c r="D124" s="38">
        <v>450</v>
      </c>
      <c r="E124" s="38">
        <f t="shared" si="19"/>
        <v>515</v>
      </c>
      <c r="F124" s="38">
        <v>40</v>
      </c>
      <c r="G124" s="38">
        <v>475</v>
      </c>
      <c r="H124" s="38">
        <v>1.05</v>
      </c>
      <c r="I124" s="38">
        <v>1.3</v>
      </c>
      <c r="J124" s="34">
        <v>0.75</v>
      </c>
      <c r="K124" s="11">
        <f t="shared" si="15"/>
        <v>1.0237500000000002</v>
      </c>
      <c r="L124" s="34">
        <f>L114</f>
        <v>0</v>
      </c>
      <c r="M124" s="11">
        <f t="shared" si="16"/>
        <v>0</v>
      </c>
      <c r="N124" s="11">
        <f t="shared" si="17"/>
        <v>0</v>
      </c>
      <c r="O124" s="11">
        <f t="shared" si="18"/>
        <v>0</v>
      </c>
      <c r="Q124" s="154"/>
    </row>
    <row r="125" spans="1:17" s="33" customFormat="1">
      <c r="A125" s="34">
        <v>9358</v>
      </c>
      <c r="B125" s="34" t="s">
        <v>14</v>
      </c>
      <c r="C125" s="35" t="s">
        <v>22</v>
      </c>
      <c r="D125" s="37">
        <v>3000</v>
      </c>
      <c r="E125" s="38">
        <v>235</v>
      </c>
      <c r="F125" s="34">
        <v>35</v>
      </c>
      <c r="G125" s="38">
        <v>200</v>
      </c>
      <c r="H125" s="34">
        <v>1.1000000000000001</v>
      </c>
      <c r="I125" s="34">
        <v>1.1000000000000001</v>
      </c>
      <c r="J125" s="34">
        <v>1.02</v>
      </c>
      <c r="K125" s="36">
        <f t="shared" si="15"/>
        <v>1.2342000000000002</v>
      </c>
      <c r="L125" s="34">
        <f>P110*4</f>
        <v>376</v>
      </c>
      <c r="M125" s="11">
        <f t="shared" si="16"/>
        <v>0.12533333333333332</v>
      </c>
      <c r="N125" s="11">
        <f t="shared" si="17"/>
        <v>29.45333333333333</v>
      </c>
      <c r="O125" s="11">
        <f t="shared" si="18"/>
        <v>0.1546864</v>
      </c>
      <c r="Q125" s="154"/>
    </row>
    <row r="126" spans="1:17" s="33" customFormat="1">
      <c r="A126" s="34">
        <v>9358</v>
      </c>
      <c r="B126" s="34" t="s">
        <v>14</v>
      </c>
      <c r="C126" s="35" t="s">
        <v>23</v>
      </c>
      <c r="D126" s="9">
        <v>1000</v>
      </c>
      <c r="E126" s="10">
        <v>646</v>
      </c>
      <c r="F126" s="10">
        <f>E126-G126</f>
        <v>40</v>
      </c>
      <c r="G126" s="10">
        <v>606</v>
      </c>
      <c r="H126" s="10">
        <v>1.1000000000000001</v>
      </c>
      <c r="I126" s="10">
        <v>0.8</v>
      </c>
      <c r="J126" s="10">
        <v>0.55000000000000004</v>
      </c>
      <c r="K126" s="11">
        <f t="shared" si="15"/>
        <v>0.4840000000000001</v>
      </c>
      <c r="L126" s="34">
        <f>P110*4</f>
        <v>376</v>
      </c>
      <c r="M126" s="11">
        <f t="shared" si="16"/>
        <v>0.376</v>
      </c>
      <c r="N126" s="11">
        <f t="shared" si="17"/>
        <v>242.89599999999999</v>
      </c>
      <c r="O126" s="11">
        <f t="shared" si="18"/>
        <v>0.18198400000000003</v>
      </c>
      <c r="Q126" s="154"/>
    </row>
    <row r="127" spans="1:17" s="33" customFormat="1">
      <c r="A127" s="34">
        <v>9358</v>
      </c>
      <c r="B127" s="34" t="s">
        <v>14</v>
      </c>
      <c r="C127" s="35" t="s">
        <v>46</v>
      </c>
      <c r="D127" s="37">
        <v>4000</v>
      </c>
      <c r="E127" s="38">
        <v>424</v>
      </c>
      <c r="F127" s="34">
        <f>E127-G127</f>
        <v>52</v>
      </c>
      <c r="G127" s="38">
        <v>372</v>
      </c>
      <c r="H127" s="34">
        <v>1.1000000000000001</v>
      </c>
      <c r="I127" s="34">
        <v>0.8</v>
      </c>
      <c r="J127" s="34">
        <v>0.55000000000000004</v>
      </c>
      <c r="K127" s="36">
        <f t="shared" si="15"/>
        <v>0.4840000000000001</v>
      </c>
      <c r="L127" s="34">
        <f>P110*4</f>
        <v>376</v>
      </c>
      <c r="M127" s="11">
        <f t="shared" si="16"/>
        <v>9.4E-2</v>
      </c>
      <c r="N127" s="11">
        <f t="shared" si="17"/>
        <v>39.856000000000002</v>
      </c>
      <c r="O127" s="11">
        <f t="shared" si="18"/>
        <v>4.5496000000000009E-2</v>
      </c>
      <c r="Q127" s="154"/>
    </row>
    <row r="128" spans="1:17" s="33" customFormat="1">
      <c r="A128" s="34">
        <v>9358</v>
      </c>
      <c r="B128" s="34" t="s">
        <v>14</v>
      </c>
      <c r="C128" s="35" t="s">
        <v>42</v>
      </c>
      <c r="D128" s="42">
        <v>1200</v>
      </c>
      <c r="E128" s="139">
        <v>666.4</v>
      </c>
      <c r="F128" s="139">
        <v>40</v>
      </c>
      <c r="G128" s="43">
        <v>588</v>
      </c>
      <c r="H128" s="141">
        <v>1</v>
      </c>
      <c r="I128" s="141">
        <v>0.75</v>
      </c>
      <c r="J128" s="141">
        <v>0.7</v>
      </c>
      <c r="K128" s="143">
        <v>0.5</v>
      </c>
      <c r="L128" s="34">
        <f>P110*4</f>
        <v>376</v>
      </c>
      <c r="M128" s="137">
        <f t="shared" si="16"/>
        <v>0.31333333333333335</v>
      </c>
      <c r="N128" s="137">
        <f t="shared" si="17"/>
        <v>208.80533333333335</v>
      </c>
      <c r="O128" s="158">
        <f t="shared" si="18"/>
        <v>0.15666666666666668</v>
      </c>
      <c r="Q128" s="154"/>
    </row>
    <row r="129" spans="1:17" s="33" customFormat="1">
      <c r="A129" s="34">
        <v>9358</v>
      </c>
      <c r="B129" s="34" t="s">
        <v>14</v>
      </c>
      <c r="C129" s="35" t="s">
        <v>43</v>
      </c>
      <c r="D129" s="42">
        <v>1200</v>
      </c>
      <c r="E129" s="140"/>
      <c r="F129" s="140"/>
      <c r="G129" s="43">
        <v>38.4</v>
      </c>
      <c r="H129" s="142"/>
      <c r="I129" s="142"/>
      <c r="J129" s="142"/>
      <c r="K129" s="144"/>
      <c r="L129" s="34">
        <f>P110*4</f>
        <v>376</v>
      </c>
      <c r="M129" s="138"/>
      <c r="N129" s="138"/>
      <c r="O129" s="159"/>
      <c r="Q129" s="154"/>
    </row>
    <row r="130" spans="1:17" s="33" customFormat="1" ht="15" thickBot="1">
      <c r="A130" s="34">
        <v>9358</v>
      </c>
      <c r="B130" s="34" t="s">
        <v>14</v>
      </c>
      <c r="C130" s="35" t="s">
        <v>60</v>
      </c>
      <c r="D130" s="42"/>
      <c r="E130" s="77"/>
      <c r="F130" s="77"/>
      <c r="G130" s="43"/>
      <c r="H130" s="78"/>
      <c r="I130" s="78"/>
      <c r="J130" s="78"/>
      <c r="K130" s="71"/>
      <c r="L130" s="34">
        <f>P110*4</f>
        <v>376</v>
      </c>
      <c r="M130" s="72"/>
      <c r="N130" s="72"/>
      <c r="O130" s="73"/>
      <c r="Q130" s="155"/>
    </row>
    <row r="131" spans="1:17">
      <c r="A131" s="5">
        <v>9355</v>
      </c>
      <c r="B131" s="5" t="s">
        <v>15</v>
      </c>
      <c r="C131" s="5" t="s">
        <v>16</v>
      </c>
      <c r="D131" s="5">
        <v>30</v>
      </c>
      <c r="E131" s="5">
        <v>669</v>
      </c>
      <c r="F131" s="5">
        <f>E131-G131</f>
        <v>53</v>
      </c>
      <c r="G131" s="5">
        <v>616</v>
      </c>
      <c r="H131" s="5">
        <v>1</v>
      </c>
      <c r="I131" s="5">
        <v>0.9</v>
      </c>
      <c r="J131" s="5">
        <v>0.73</v>
      </c>
      <c r="K131" s="5">
        <f t="shared" ref="K131:K159" si="20">H131*I131*J131</f>
        <v>0.65700000000000003</v>
      </c>
      <c r="L131" s="5">
        <v>70</v>
      </c>
      <c r="M131" s="4">
        <f t="shared" ref="M131:M160" si="21">L131/D131</f>
        <v>2.3333333333333335</v>
      </c>
      <c r="N131" s="4">
        <f t="shared" ref="N131:N160" si="22">E131*M131</f>
        <v>1561</v>
      </c>
      <c r="O131" s="4">
        <f>M131*K131</f>
        <v>1.5330000000000001</v>
      </c>
      <c r="P131" s="145">
        <f>SUM(L131:L134)</f>
        <v>94</v>
      </c>
      <c r="Q131" s="146" t="s">
        <v>56</v>
      </c>
    </row>
    <row r="132" spans="1:17">
      <c r="A132" s="5">
        <v>9355</v>
      </c>
      <c r="B132" s="5" t="s">
        <v>15</v>
      </c>
      <c r="C132" s="5" t="s">
        <v>17</v>
      </c>
      <c r="D132" s="5">
        <v>30</v>
      </c>
      <c r="E132" s="5">
        <v>669</v>
      </c>
      <c r="F132" s="5">
        <f>E132-G132</f>
        <v>53</v>
      </c>
      <c r="G132" s="5">
        <v>616</v>
      </c>
      <c r="H132" s="5">
        <v>1</v>
      </c>
      <c r="I132" s="5">
        <v>0.9</v>
      </c>
      <c r="J132" s="5">
        <v>0.73</v>
      </c>
      <c r="K132" s="5">
        <f t="shared" si="20"/>
        <v>0.65700000000000003</v>
      </c>
      <c r="L132" s="5">
        <v>8</v>
      </c>
      <c r="M132" s="4">
        <f t="shared" si="21"/>
        <v>0.26666666666666666</v>
      </c>
      <c r="N132" s="4">
        <f t="shared" si="22"/>
        <v>178.4</v>
      </c>
      <c r="O132" s="4">
        <f t="shared" ref="O132:O160" si="23">M132*K132</f>
        <v>0.17519999999999999</v>
      </c>
      <c r="P132" s="145"/>
      <c r="Q132" s="147"/>
    </row>
    <row r="133" spans="1:17">
      <c r="A133" s="5">
        <v>9355</v>
      </c>
      <c r="B133" s="5" t="s">
        <v>15</v>
      </c>
      <c r="C133" s="5" t="s">
        <v>18</v>
      </c>
      <c r="D133" s="5">
        <v>30</v>
      </c>
      <c r="E133" s="5">
        <v>669</v>
      </c>
      <c r="F133" s="5">
        <f>E133-G133</f>
        <v>53</v>
      </c>
      <c r="G133" s="5">
        <v>616</v>
      </c>
      <c r="H133" s="5">
        <v>1</v>
      </c>
      <c r="I133" s="5">
        <v>0.9</v>
      </c>
      <c r="J133" s="5">
        <v>0.73</v>
      </c>
      <c r="K133" s="5">
        <f t="shared" si="20"/>
        <v>0.65700000000000003</v>
      </c>
      <c r="L133" s="5">
        <v>8</v>
      </c>
      <c r="M133" s="4">
        <f t="shared" si="21"/>
        <v>0.26666666666666666</v>
      </c>
      <c r="N133" s="4">
        <f t="shared" si="22"/>
        <v>178.4</v>
      </c>
      <c r="O133" s="4">
        <f t="shared" si="23"/>
        <v>0.17519999999999999</v>
      </c>
      <c r="P133" s="145"/>
      <c r="Q133" s="147"/>
    </row>
    <row r="134" spans="1:17">
      <c r="A134" s="5">
        <v>9355</v>
      </c>
      <c r="B134" s="5" t="s">
        <v>15</v>
      </c>
      <c r="C134" s="5" t="s">
        <v>19</v>
      </c>
      <c r="D134" s="5">
        <v>30</v>
      </c>
      <c r="E134" s="5">
        <v>669</v>
      </c>
      <c r="F134" s="5">
        <f>E134-G134</f>
        <v>53</v>
      </c>
      <c r="G134" s="5">
        <v>616</v>
      </c>
      <c r="H134" s="5">
        <v>1</v>
      </c>
      <c r="I134" s="5">
        <v>0.9</v>
      </c>
      <c r="J134" s="5">
        <v>0.73</v>
      </c>
      <c r="K134" s="5">
        <f t="shared" si="20"/>
        <v>0.65700000000000003</v>
      </c>
      <c r="L134" s="5">
        <v>8</v>
      </c>
      <c r="M134" s="4">
        <f t="shared" si="21"/>
        <v>0.26666666666666666</v>
      </c>
      <c r="N134" s="4">
        <f t="shared" si="22"/>
        <v>178.4</v>
      </c>
      <c r="O134" s="4">
        <f t="shared" si="23"/>
        <v>0.17519999999999999</v>
      </c>
      <c r="P134" s="145"/>
      <c r="Q134" s="147"/>
    </row>
    <row r="135" spans="1:17">
      <c r="A135" s="5">
        <v>9358</v>
      </c>
      <c r="B135" s="5" t="s">
        <v>14</v>
      </c>
      <c r="C135" s="8" t="s">
        <v>20</v>
      </c>
      <c r="D135" s="5">
        <v>5000</v>
      </c>
      <c r="E135" s="5">
        <v>490</v>
      </c>
      <c r="F135" s="5">
        <v>40</v>
      </c>
      <c r="G135" s="5">
        <v>450</v>
      </c>
      <c r="H135" s="5">
        <v>1</v>
      </c>
      <c r="I135" s="5">
        <v>0.98</v>
      </c>
      <c r="J135" s="5">
        <v>0.83</v>
      </c>
      <c r="K135" s="7">
        <f t="shared" si="20"/>
        <v>0.8133999999999999</v>
      </c>
      <c r="L135" s="5">
        <f>P131</f>
        <v>94</v>
      </c>
      <c r="M135" s="4">
        <f t="shared" si="21"/>
        <v>1.8800000000000001E-2</v>
      </c>
      <c r="N135" s="4">
        <f t="shared" si="22"/>
        <v>9.2119999999999997</v>
      </c>
      <c r="O135" s="4">
        <f t="shared" si="23"/>
        <v>1.5291919999999999E-2</v>
      </c>
      <c r="Q135" s="147"/>
    </row>
    <row r="136" spans="1:17">
      <c r="A136" s="5">
        <v>9358</v>
      </c>
      <c r="B136" s="5" t="s">
        <v>14</v>
      </c>
      <c r="C136" s="8" t="s">
        <v>21</v>
      </c>
      <c r="D136" s="5">
        <v>360</v>
      </c>
      <c r="E136" s="5">
        <v>390</v>
      </c>
      <c r="F136" s="5">
        <v>40</v>
      </c>
      <c r="G136" s="5">
        <v>350</v>
      </c>
      <c r="H136" s="5">
        <v>1.05</v>
      </c>
      <c r="I136" s="5">
        <v>0.95</v>
      </c>
      <c r="J136" s="5">
        <v>0.55000000000000004</v>
      </c>
      <c r="K136" s="7">
        <f t="shared" si="20"/>
        <v>0.54862500000000003</v>
      </c>
      <c r="L136" s="5">
        <f>P131</f>
        <v>94</v>
      </c>
      <c r="M136" s="4">
        <f t="shared" si="21"/>
        <v>0.26111111111111113</v>
      </c>
      <c r="N136" s="4">
        <f t="shared" si="22"/>
        <v>101.83333333333334</v>
      </c>
      <c r="O136" s="4">
        <f t="shared" si="23"/>
        <v>0.14325208333333336</v>
      </c>
      <c r="Q136" s="147"/>
    </row>
    <row r="137" spans="1:17">
      <c r="A137" s="5">
        <v>9358</v>
      </c>
      <c r="B137" s="5" t="s">
        <v>14</v>
      </c>
      <c r="C137" s="8" t="s">
        <v>22</v>
      </c>
      <c r="D137" s="3">
        <v>3000</v>
      </c>
      <c r="E137" s="6">
        <v>235</v>
      </c>
      <c r="F137" s="5">
        <v>35</v>
      </c>
      <c r="G137" s="6">
        <v>200</v>
      </c>
      <c r="H137" s="5">
        <v>1.1000000000000001</v>
      </c>
      <c r="I137" s="5">
        <v>1.1000000000000001</v>
      </c>
      <c r="J137" s="5">
        <v>1.02</v>
      </c>
      <c r="K137" s="7">
        <f t="shared" si="20"/>
        <v>1.2342000000000002</v>
      </c>
      <c r="L137" s="20">
        <f>P131*4</f>
        <v>376</v>
      </c>
      <c r="M137" s="4">
        <f t="shared" si="21"/>
        <v>0.12533333333333332</v>
      </c>
      <c r="N137" s="4">
        <f t="shared" si="22"/>
        <v>29.45333333333333</v>
      </c>
      <c r="O137" s="4">
        <f t="shared" si="23"/>
        <v>0.1546864</v>
      </c>
      <c r="Q137" s="147"/>
    </row>
    <row r="138" spans="1:17">
      <c r="A138" s="5">
        <v>9358</v>
      </c>
      <c r="B138" s="5" t="s">
        <v>14</v>
      </c>
      <c r="C138" s="8" t="s">
        <v>23</v>
      </c>
      <c r="D138" s="44">
        <v>1000</v>
      </c>
      <c r="E138" s="45">
        <v>646</v>
      </c>
      <c r="F138" s="45">
        <f>E138-G138</f>
        <v>40</v>
      </c>
      <c r="G138" s="45">
        <v>606</v>
      </c>
      <c r="H138" s="45">
        <v>1.1000000000000001</v>
      </c>
      <c r="I138" s="45">
        <v>0.8</v>
      </c>
      <c r="J138" s="45">
        <v>0.55000000000000004</v>
      </c>
      <c r="K138" s="4">
        <f t="shared" si="20"/>
        <v>0.4840000000000001</v>
      </c>
      <c r="L138" s="20">
        <f>P131*4</f>
        <v>376</v>
      </c>
      <c r="M138" s="4">
        <f t="shared" si="21"/>
        <v>0.376</v>
      </c>
      <c r="N138" s="4">
        <f t="shared" si="22"/>
        <v>242.89599999999999</v>
      </c>
      <c r="O138" s="4">
        <f t="shared" si="23"/>
        <v>0.18198400000000003</v>
      </c>
      <c r="Q138" s="147"/>
    </row>
    <row r="139" spans="1:17">
      <c r="A139" s="5">
        <v>9356</v>
      </c>
      <c r="B139" s="5" t="s">
        <v>47</v>
      </c>
      <c r="C139" s="8" t="s">
        <v>24</v>
      </c>
      <c r="D139" s="3">
        <v>4000</v>
      </c>
      <c r="E139" s="6">
        <v>424</v>
      </c>
      <c r="F139" s="5">
        <f>E139-G139</f>
        <v>52</v>
      </c>
      <c r="G139" s="6">
        <v>372</v>
      </c>
      <c r="H139" s="5">
        <v>1.1000000000000001</v>
      </c>
      <c r="I139" s="5">
        <v>0.8</v>
      </c>
      <c r="J139" s="5">
        <v>0.55000000000000004</v>
      </c>
      <c r="K139" s="7">
        <f t="shared" si="20"/>
        <v>0.4840000000000001</v>
      </c>
      <c r="L139" s="5">
        <f>(P131+P142)*4</f>
        <v>684</v>
      </c>
      <c r="M139" s="4">
        <f t="shared" si="21"/>
        <v>0.17100000000000001</v>
      </c>
      <c r="N139" s="4">
        <f t="shared" si="22"/>
        <v>72.504000000000005</v>
      </c>
      <c r="O139" s="4">
        <f t="shared" si="23"/>
        <v>8.2764000000000018E-2</v>
      </c>
      <c r="Q139" s="147"/>
    </row>
    <row r="140" spans="1:17">
      <c r="A140" s="5">
        <v>9358</v>
      </c>
      <c r="B140" s="5" t="s">
        <v>14</v>
      </c>
      <c r="C140" s="8" t="s">
        <v>25</v>
      </c>
      <c r="D140" s="5">
        <v>1000</v>
      </c>
      <c r="E140" s="5">
        <v>830</v>
      </c>
      <c r="F140" s="5">
        <v>40</v>
      </c>
      <c r="G140" s="5">
        <v>790</v>
      </c>
      <c r="H140" s="5">
        <v>1.04</v>
      </c>
      <c r="I140" s="5">
        <v>0.84</v>
      </c>
      <c r="J140" s="5">
        <v>0.64</v>
      </c>
      <c r="K140" s="7">
        <f t="shared" si="20"/>
        <v>0.55910400000000005</v>
      </c>
      <c r="L140" s="20">
        <f>P131*2</f>
        <v>188</v>
      </c>
      <c r="M140" s="4">
        <f t="shared" si="21"/>
        <v>0.188</v>
      </c>
      <c r="N140" s="4">
        <f t="shared" si="22"/>
        <v>156.04</v>
      </c>
      <c r="O140" s="4">
        <f t="shared" si="23"/>
        <v>0.10511155200000001</v>
      </c>
      <c r="Q140" s="147"/>
    </row>
    <row r="141" spans="1:17">
      <c r="A141" s="5">
        <v>9358</v>
      </c>
      <c r="B141" s="5" t="s">
        <v>14</v>
      </c>
      <c r="C141" s="8" t="s">
        <v>26</v>
      </c>
      <c r="D141" s="5">
        <v>4000</v>
      </c>
      <c r="E141" s="5">
        <v>223</v>
      </c>
      <c r="F141" s="5">
        <v>30</v>
      </c>
      <c r="G141" s="5">
        <v>188</v>
      </c>
      <c r="H141" s="5">
        <v>0.86</v>
      </c>
      <c r="I141" s="5">
        <v>0.78</v>
      </c>
      <c r="J141" s="5">
        <v>0.74</v>
      </c>
      <c r="K141" s="7">
        <f t="shared" si="20"/>
        <v>0.49639200000000006</v>
      </c>
      <c r="L141" s="20">
        <f>P131*2</f>
        <v>188</v>
      </c>
      <c r="M141" s="4">
        <f t="shared" si="21"/>
        <v>4.7E-2</v>
      </c>
      <c r="N141" s="4">
        <f t="shared" si="22"/>
        <v>10.481</v>
      </c>
      <c r="O141" s="4">
        <f t="shared" si="23"/>
        <v>2.3330424000000002E-2</v>
      </c>
      <c r="Q141" s="147"/>
    </row>
    <row r="142" spans="1:17">
      <c r="A142" s="5">
        <v>9355</v>
      </c>
      <c r="B142" s="5" t="s">
        <v>15</v>
      </c>
      <c r="C142" s="8" t="s">
        <v>27</v>
      </c>
      <c r="D142" s="12">
        <v>12</v>
      </c>
      <c r="E142" s="12">
        <v>435</v>
      </c>
      <c r="F142" s="12">
        <v>39</v>
      </c>
      <c r="G142" s="12">
        <v>396</v>
      </c>
      <c r="H142" s="12">
        <v>0.86</v>
      </c>
      <c r="I142" s="12">
        <v>0.56000000000000005</v>
      </c>
      <c r="J142" s="12">
        <v>0.51</v>
      </c>
      <c r="K142" s="13">
        <f t="shared" si="20"/>
        <v>0.24561600000000003</v>
      </c>
      <c r="L142" s="5">
        <v>34</v>
      </c>
      <c r="M142" s="4">
        <f t="shared" si="21"/>
        <v>2.8333333333333335</v>
      </c>
      <c r="N142" s="4">
        <f t="shared" si="22"/>
        <v>1232.5</v>
      </c>
      <c r="O142" s="4">
        <f t="shared" si="23"/>
        <v>0.69591200000000009</v>
      </c>
      <c r="P142" s="145">
        <f>SUM(L142:L146)</f>
        <v>77</v>
      </c>
      <c r="Q142" s="147"/>
    </row>
    <row r="143" spans="1:17">
      <c r="A143" s="5">
        <v>9355</v>
      </c>
      <c r="B143" s="5" t="s">
        <v>15</v>
      </c>
      <c r="C143" s="8" t="s">
        <v>28</v>
      </c>
      <c r="D143" s="12">
        <v>12</v>
      </c>
      <c r="E143" s="12">
        <v>520</v>
      </c>
      <c r="F143" s="12">
        <v>40</v>
      </c>
      <c r="G143" s="12">
        <v>480</v>
      </c>
      <c r="H143" s="12">
        <v>1.03</v>
      </c>
      <c r="I143" s="12">
        <v>0.56000000000000005</v>
      </c>
      <c r="J143" s="12">
        <v>0.51</v>
      </c>
      <c r="K143" s="13">
        <f t="shared" si="20"/>
        <v>0.29416800000000004</v>
      </c>
      <c r="L143" s="5">
        <v>15</v>
      </c>
      <c r="M143" s="4">
        <f t="shared" si="21"/>
        <v>1.25</v>
      </c>
      <c r="N143" s="4">
        <f t="shared" si="22"/>
        <v>650</v>
      </c>
      <c r="O143" s="4">
        <f t="shared" si="23"/>
        <v>0.36771000000000004</v>
      </c>
      <c r="P143" s="145"/>
      <c r="Q143" s="147"/>
    </row>
    <row r="144" spans="1:17">
      <c r="A144" s="5">
        <v>9355</v>
      </c>
      <c r="B144" s="5" t="s">
        <v>15</v>
      </c>
      <c r="C144" s="8" t="s">
        <v>29</v>
      </c>
      <c r="D144" s="12">
        <v>12</v>
      </c>
      <c r="E144" s="12">
        <v>596</v>
      </c>
      <c r="F144" s="12">
        <v>44</v>
      </c>
      <c r="G144" s="12">
        <v>552</v>
      </c>
      <c r="H144" s="12">
        <v>1.17</v>
      </c>
      <c r="I144" s="12">
        <v>0.56000000000000005</v>
      </c>
      <c r="J144" s="12">
        <v>0.51</v>
      </c>
      <c r="K144" s="13">
        <f t="shared" si="20"/>
        <v>0.334152</v>
      </c>
      <c r="L144" s="5">
        <v>25</v>
      </c>
      <c r="M144" s="4">
        <f t="shared" si="21"/>
        <v>2.0833333333333335</v>
      </c>
      <c r="N144" s="4">
        <f t="shared" si="22"/>
        <v>1241.6666666666667</v>
      </c>
      <c r="O144" s="4">
        <f t="shared" si="23"/>
        <v>0.69615000000000005</v>
      </c>
      <c r="P144" s="145"/>
      <c r="Q144" s="147"/>
    </row>
    <row r="145" spans="1:17">
      <c r="A145" s="5">
        <v>9355</v>
      </c>
      <c r="B145" s="5" t="s">
        <v>15</v>
      </c>
      <c r="C145" s="8" t="s">
        <v>30</v>
      </c>
      <c r="D145" s="14">
        <v>12</v>
      </c>
      <c r="E145" s="12">
        <v>654</v>
      </c>
      <c r="F145" s="12">
        <v>42</v>
      </c>
      <c r="G145" s="12">
        <v>612</v>
      </c>
      <c r="H145" s="12">
        <v>1.2749999999999999</v>
      </c>
      <c r="I145" s="12">
        <v>0.56000000000000005</v>
      </c>
      <c r="J145" s="12">
        <v>0.51</v>
      </c>
      <c r="K145" s="13">
        <f t="shared" si="20"/>
        <v>0.36413999999999996</v>
      </c>
      <c r="L145" s="5">
        <v>3</v>
      </c>
      <c r="M145" s="4">
        <f t="shared" si="21"/>
        <v>0.25</v>
      </c>
      <c r="N145" s="4">
        <f t="shared" si="22"/>
        <v>163.5</v>
      </c>
      <c r="O145" s="4">
        <f t="shared" si="23"/>
        <v>9.1034999999999991E-2</v>
      </c>
      <c r="P145" s="145"/>
      <c r="Q145" s="147"/>
    </row>
    <row r="146" spans="1:17">
      <c r="A146" s="5">
        <v>9355</v>
      </c>
      <c r="B146" s="5" t="s">
        <v>15</v>
      </c>
      <c r="C146" s="8" t="s">
        <v>31</v>
      </c>
      <c r="D146" s="14">
        <v>6</v>
      </c>
      <c r="E146" s="12">
        <v>410</v>
      </c>
      <c r="F146" s="12">
        <v>50</v>
      </c>
      <c r="G146" s="12">
        <v>360</v>
      </c>
      <c r="H146" s="12">
        <v>1.48</v>
      </c>
      <c r="I146" s="12">
        <v>0.56000000000000005</v>
      </c>
      <c r="J146" s="12">
        <v>0.37</v>
      </c>
      <c r="K146" s="13">
        <f t="shared" si="20"/>
        <v>0.30665600000000004</v>
      </c>
      <c r="L146" s="5">
        <v>0</v>
      </c>
      <c r="M146" s="4">
        <f t="shared" si="21"/>
        <v>0</v>
      </c>
      <c r="N146" s="4">
        <f t="shared" si="22"/>
        <v>0</v>
      </c>
      <c r="O146" s="4">
        <f t="shared" si="23"/>
        <v>0</v>
      </c>
      <c r="P146" s="145"/>
      <c r="Q146" s="147"/>
    </row>
    <row r="147" spans="1:17">
      <c r="A147" s="5">
        <v>9358</v>
      </c>
      <c r="B147" s="5" t="s">
        <v>14</v>
      </c>
      <c r="C147" s="8" t="s">
        <v>32</v>
      </c>
      <c r="D147" s="6">
        <v>1000</v>
      </c>
      <c r="E147" s="6">
        <f t="shared" ref="E147:E156" si="24">G147+F147</f>
        <v>395</v>
      </c>
      <c r="F147" s="6">
        <v>40</v>
      </c>
      <c r="G147" s="6">
        <v>355</v>
      </c>
      <c r="H147" s="6">
        <v>1.05</v>
      </c>
      <c r="I147" s="6">
        <v>0.9</v>
      </c>
      <c r="J147" s="6">
        <v>0.55000000000000004</v>
      </c>
      <c r="K147" s="4">
        <f t="shared" si="20"/>
        <v>0.51975000000000005</v>
      </c>
      <c r="L147" s="20">
        <f>L142</f>
        <v>34</v>
      </c>
      <c r="M147" s="4">
        <f t="shared" si="21"/>
        <v>3.4000000000000002E-2</v>
      </c>
      <c r="N147" s="4">
        <f t="shared" si="22"/>
        <v>13.430000000000001</v>
      </c>
      <c r="O147" s="4">
        <f t="shared" si="23"/>
        <v>1.7671500000000003E-2</v>
      </c>
      <c r="Q147" s="147"/>
    </row>
    <row r="148" spans="1:17">
      <c r="A148" s="5">
        <v>9358</v>
      </c>
      <c r="B148" s="5" t="s">
        <v>14</v>
      </c>
      <c r="C148" s="8" t="s">
        <v>33</v>
      </c>
      <c r="D148" s="6">
        <v>450</v>
      </c>
      <c r="E148" s="6">
        <f t="shared" si="24"/>
        <v>360</v>
      </c>
      <c r="F148" s="6">
        <v>40</v>
      </c>
      <c r="G148" s="6">
        <v>320</v>
      </c>
      <c r="H148" s="5">
        <v>1.1000000000000001</v>
      </c>
      <c r="I148" s="6">
        <v>0.9</v>
      </c>
      <c r="J148" s="5">
        <v>0.75</v>
      </c>
      <c r="K148" s="7">
        <f t="shared" si="20"/>
        <v>0.74250000000000005</v>
      </c>
      <c r="L148" s="20">
        <f>L142</f>
        <v>34</v>
      </c>
      <c r="M148" s="4">
        <f t="shared" si="21"/>
        <v>7.5555555555555556E-2</v>
      </c>
      <c r="N148" s="4">
        <f t="shared" si="22"/>
        <v>27.2</v>
      </c>
      <c r="O148" s="4">
        <f t="shared" si="23"/>
        <v>5.6100000000000004E-2</v>
      </c>
      <c r="Q148" s="147"/>
    </row>
    <row r="149" spans="1:17">
      <c r="A149" s="5">
        <v>9358</v>
      </c>
      <c r="B149" s="5" t="s">
        <v>14</v>
      </c>
      <c r="C149" s="8" t="s">
        <v>34</v>
      </c>
      <c r="D149" s="6">
        <v>1000</v>
      </c>
      <c r="E149" s="6">
        <f t="shared" si="24"/>
        <v>492</v>
      </c>
      <c r="F149" s="6">
        <v>40</v>
      </c>
      <c r="G149" s="6">
        <v>452</v>
      </c>
      <c r="H149" s="6">
        <v>1.1000000000000001</v>
      </c>
      <c r="I149" s="6">
        <v>1.05</v>
      </c>
      <c r="J149" s="6">
        <v>0.55000000000000004</v>
      </c>
      <c r="K149" s="4">
        <f t="shared" si="20"/>
        <v>0.6352500000000002</v>
      </c>
      <c r="L149" s="20">
        <f>L143</f>
        <v>15</v>
      </c>
      <c r="M149" s="4">
        <f t="shared" si="21"/>
        <v>1.4999999999999999E-2</v>
      </c>
      <c r="N149" s="4">
        <f t="shared" si="22"/>
        <v>7.38</v>
      </c>
      <c r="O149" s="4">
        <f t="shared" si="23"/>
        <v>9.5287500000000025E-3</v>
      </c>
      <c r="Q149" s="147"/>
    </row>
    <row r="150" spans="1:17">
      <c r="A150" s="5">
        <v>9358</v>
      </c>
      <c r="B150" s="5" t="s">
        <v>14</v>
      </c>
      <c r="C150" s="8" t="s">
        <v>35</v>
      </c>
      <c r="D150" s="6">
        <v>450</v>
      </c>
      <c r="E150" s="6">
        <f t="shared" si="24"/>
        <v>421.5</v>
      </c>
      <c r="F150" s="6">
        <v>40</v>
      </c>
      <c r="G150" s="6">
        <v>381.5</v>
      </c>
      <c r="H150" s="6">
        <v>1.05</v>
      </c>
      <c r="I150" s="6">
        <v>1.05</v>
      </c>
      <c r="J150" s="5">
        <v>0.75</v>
      </c>
      <c r="K150" s="7">
        <f t="shared" si="20"/>
        <v>0.82687500000000003</v>
      </c>
      <c r="L150" s="20">
        <f>L143</f>
        <v>15</v>
      </c>
      <c r="M150" s="4">
        <f t="shared" si="21"/>
        <v>3.3333333333333333E-2</v>
      </c>
      <c r="N150" s="4">
        <f t="shared" si="22"/>
        <v>14.049999999999999</v>
      </c>
      <c r="O150" s="4">
        <f t="shared" si="23"/>
        <v>2.75625E-2</v>
      </c>
      <c r="Q150" s="147"/>
    </row>
    <row r="151" spans="1:17">
      <c r="A151" s="5">
        <v>9358</v>
      </c>
      <c r="B151" s="5" t="s">
        <v>14</v>
      </c>
      <c r="C151" s="8" t="s">
        <v>36</v>
      </c>
      <c r="D151" s="6">
        <v>1000</v>
      </c>
      <c r="E151" s="6">
        <f t="shared" si="24"/>
        <v>574</v>
      </c>
      <c r="F151" s="6">
        <v>40</v>
      </c>
      <c r="G151" s="6">
        <v>534</v>
      </c>
      <c r="H151" s="6">
        <v>1.1000000000000001</v>
      </c>
      <c r="I151" s="6">
        <v>1.2</v>
      </c>
      <c r="J151" s="6">
        <v>0.55000000000000004</v>
      </c>
      <c r="K151" s="4">
        <f t="shared" si="20"/>
        <v>0.72600000000000009</v>
      </c>
      <c r="L151" s="20">
        <f>L144</f>
        <v>25</v>
      </c>
      <c r="M151" s="4">
        <f t="shared" si="21"/>
        <v>2.5000000000000001E-2</v>
      </c>
      <c r="N151" s="4">
        <f t="shared" si="22"/>
        <v>14.350000000000001</v>
      </c>
      <c r="O151" s="4">
        <f t="shared" si="23"/>
        <v>1.8150000000000003E-2</v>
      </c>
      <c r="Q151" s="147"/>
    </row>
    <row r="152" spans="1:17">
      <c r="A152" s="5">
        <v>9358</v>
      </c>
      <c r="B152" s="5" t="s">
        <v>14</v>
      </c>
      <c r="C152" s="8" t="s">
        <v>37</v>
      </c>
      <c r="D152" s="6">
        <v>450</v>
      </c>
      <c r="E152" s="6">
        <f t="shared" si="24"/>
        <v>475</v>
      </c>
      <c r="F152" s="6">
        <v>40</v>
      </c>
      <c r="G152" s="6">
        <v>435</v>
      </c>
      <c r="H152" s="6">
        <v>1.05</v>
      </c>
      <c r="I152" s="6">
        <v>1.2</v>
      </c>
      <c r="J152" s="5">
        <v>0.75</v>
      </c>
      <c r="K152" s="4">
        <f t="shared" si="20"/>
        <v>0.94500000000000006</v>
      </c>
      <c r="L152" s="20">
        <f>L144</f>
        <v>25</v>
      </c>
      <c r="M152" s="4">
        <f t="shared" si="21"/>
        <v>5.5555555555555552E-2</v>
      </c>
      <c r="N152" s="4">
        <f t="shared" si="22"/>
        <v>26.388888888888886</v>
      </c>
      <c r="O152" s="4">
        <f t="shared" si="23"/>
        <v>5.2499999999999998E-2</v>
      </c>
      <c r="Q152" s="147"/>
    </row>
    <row r="153" spans="1:17">
      <c r="A153" s="5">
        <v>9358</v>
      </c>
      <c r="B153" s="5" t="s">
        <v>14</v>
      </c>
      <c r="C153" s="8" t="s">
        <v>38</v>
      </c>
      <c r="D153" s="6">
        <v>1000</v>
      </c>
      <c r="E153" s="6">
        <f t="shared" si="24"/>
        <v>645</v>
      </c>
      <c r="F153" s="6">
        <v>40</v>
      </c>
      <c r="G153" s="6">
        <v>605</v>
      </c>
      <c r="H153" s="6">
        <v>1.1000000000000001</v>
      </c>
      <c r="I153" s="6">
        <v>1.3</v>
      </c>
      <c r="J153" s="6">
        <v>0.55000000000000004</v>
      </c>
      <c r="K153" s="4">
        <f t="shared" si="20"/>
        <v>0.7865000000000002</v>
      </c>
      <c r="L153" s="20">
        <f>L145</f>
        <v>3</v>
      </c>
      <c r="M153" s="4">
        <f t="shared" si="21"/>
        <v>3.0000000000000001E-3</v>
      </c>
      <c r="N153" s="4">
        <f t="shared" si="22"/>
        <v>1.9350000000000001</v>
      </c>
      <c r="O153" s="4">
        <f t="shared" si="23"/>
        <v>2.3595000000000005E-3</v>
      </c>
      <c r="Q153" s="147"/>
    </row>
    <row r="154" spans="1:17">
      <c r="A154" s="5">
        <v>9358</v>
      </c>
      <c r="B154" s="5" t="s">
        <v>14</v>
      </c>
      <c r="C154" s="8" t="s">
        <v>39</v>
      </c>
      <c r="D154" s="6">
        <v>450</v>
      </c>
      <c r="E154" s="6">
        <f t="shared" si="24"/>
        <v>515</v>
      </c>
      <c r="F154" s="6">
        <v>40</v>
      </c>
      <c r="G154" s="6">
        <v>475</v>
      </c>
      <c r="H154" s="6">
        <v>1.05</v>
      </c>
      <c r="I154" s="6">
        <v>1.3</v>
      </c>
      <c r="J154" s="5">
        <v>0.75</v>
      </c>
      <c r="K154" s="4">
        <f t="shared" si="20"/>
        <v>1.0237500000000002</v>
      </c>
      <c r="L154" s="20">
        <f>L145</f>
        <v>3</v>
      </c>
      <c r="M154" s="4">
        <f t="shared" si="21"/>
        <v>6.6666666666666671E-3</v>
      </c>
      <c r="N154" s="4">
        <f t="shared" si="22"/>
        <v>3.4333333333333336</v>
      </c>
      <c r="O154" s="4">
        <f t="shared" si="23"/>
        <v>6.8250000000000012E-3</v>
      </c>
      <c r="Q154" s="147"/>
    </row>
    <row r="155" spans="1:17">
      <c r="A155" s="5">
        <v>9358</v>
      </c>
      <c r="B155" s="5" t="s">
        <v>14</v>
      </c>
      <c r="C155" s="8" t="s">
        <v>40</v>
      </c>
      <c r="D155" s="6">
        <v>1000</v>
      </c>
      <c r="E155" s="6">
        <f t="shared" si="24"/>
        <v>645</v>
      </c>
      <c r="F155" s="6">
        <v>40</v>
      </c>
      <c r="G155" s="6">
        <v>605</v>
      </c>
      <c r="H155" s="6">
        <v>1.1000000000000001</v>
      </c>
      <c r="I155" s="6">
        <v>1.3</v>
      </c>
      <c r="J155" s="6">
        <v>0.55000000000000004</v>
      </c>
      <c r="K155" s="4">
        <f t="shared" si="20"/>
        <v>0.7865000000000002</v>
      </c>
      <c r="L155" s="5">
        <f>L146</f>
        <v>0</v>
      </c>
      <c r="M155" s="4">
        <f t="shared" si="21"/>
        <v>0</v>
      </c>
      <c r="N155" s="4">
        <f t="shared" si="22"/>
        <v>0</v>
      </c>
      <c r="O155" s="4">
        <f t="shared" si="23"/>
        <v>0</v>
      </c>
      <c r="Q155" s="147"/>
    </row>
    <row r="156" spans="1:17">
      <c r="A156" s="5">
        <v>9358</v>
      </c>
      <c r="B156" s="5" t="s">
        <v>14</v>
      </c>
      <c r="C156" s="8" t="s">
        <v>41</v>
      </c>
      <c r="D156" s="6">
        <v>450</v>
      </c>
      <c r="E156" s="6">
        <f t="shared" si="24"/>
        <v>515</v>
      </c>
      <c r="F156" s="6">
        <v>40</v>
      </c>
      <c r="G156" s="6">
        <v>475</v>
      </c>
      <c r="H156" s="6">
        <v>1.05</v>
      </c>
      <c r="I156" s="6">
        <v>1.3</v>
      </c>
      <c r="J156" s="5">
        <v>0.75</v>
      </c>
      <c r="K156" s="4">
        <f t="shared" si="20"/>
        <v>1.0237500000000002</v>
      </c>
      <c r="L156" s="5">
        <f>L146</f>
        <v>0</v>
      </c>
      <c r="M156" s="4">
        <f t="shared" si="21"/>
        <v>0</v>
      </c>
      <c r="N156" s="4">
        <f t="shared" si="22"/>
        <v>0</v>
      </c>
      <c r="O156" s="4">
        <f t="shared" si="23"/>
        <v>0</v>
      </c>
      <c r="Q156" s="147"/>
    </row>
    <row r="157" spans="1:17">
      <c r="A157" s="5">
        <v>9358</v>
      </c>
      <c r="B157" s="5" t="s">
        <v>14</v>
      </c>
      <c r="C157" s="8" t="s">
        <v>22</v>
      </c>
      <c r="D157" s="3">
        <v>3000</v>
      </c>
      <c r="E157" s="6">
        <v>235</v>
      </c>
      <c r="F157" s="5">
        <v>35</v>
      </c>
      <c r="G157" s="6">
        <v>200</v>
      </c>
      <c r="H157" s="5">
        <v>1.1000000000000001</v>
      </c>
      <c r="I157" s="5">
        <v>1.1000000000000001</v>
      </c>
      <c r="J157" s="5">
        <v>1.02</v>
      </c>
      <c r="K157" s="7">
        <f t="shared" si="20"/>
        <v>1.2342000000000002</v>
      </c>
      <c r="L157" s="20">
        <f>P142*4</f>
        <v>308</v>
      </c>
      <c r="M157" s="4">
        <f t="shared" si="21"/>
        <v>0.10266666666666667</v>
      </c>
      <c r="N157" s="4">
        <f t="shared" si="22"/>
        <v>24.126666666666669</v>
      </c>
      <c r="O157" s="4">
        <f t="shared" si="23"/>
        <v>0.12671120000000002</v>
      </c>
      <c r="Q157" s="147"/>
    </row>
    <row r="158" spans="1:17">
      <c r="A158" s="5">
        <v>9358</v>
      </c>
      <c r="B158" s="5" t="s">
        <v>14</v>
      </c>
      <c r="C158" s="8" t="s">
        <v>23</v>
      </c>
      <c r="D158" s="44">
        <v>1000</v>
      </c>
      <c r="E158" s="45">
        <v>646</v>
      </c>
      <c r="F158" s="45">
        <f>E158-G158</f>
        <v>40</v>
      </c>
      <c r="G158" s="45">
        <v>606</v>
      </c>
      <c r="H158" s="45">
        <v>1.1000000000000001</v>
      </c>
      <c r="I158" s="45">
        <v>0.8</v>
      </c>
      <c r="J158" s="45">
        <v>0.55000000000000004</v>
      </c>
      <c r="K158" s="4">
        <f t="shared" si="20"/>
        <v>0.4840000000000001</v>
      </c>
      <c r="L158" s="20">
        <f>P142*4</f>
        <v>308</v>
      </c>
      <c r="M158" s="4">
        <f t="shared" si="21"/>
        <v>0.308</v>
      </c>
      <c r="N158" s="4">
        <f t="shared" si="22"/>
        <v>198.96799999999999</v>
      </c>
      <c r="O158" s="4">
        <f t="shared" si="23"/>
        <v>0.14907200000000004</v>
      </c>
      <c r="Q158" s="147"/>
    </row>
    <row r="159" spans="1:17">
      <c r="A159" s="5">
        <v>9358</v>
      </c>
      <c r="B159" s="5" t="s">
        <v>14</v>
      </c>
      <c r="C159" s="8" t="s">
        <v>46</v>
      </c>
      <c r="D159" s="3">
        <v>4000</v>
      </c>
      <c r="E159" s="6">
        <v>424</v>
      </c>
      <c r="F159" s="5">
        <f>E159-G159</f>
        <v>52</v>
      </c>
      <c r="G159" s="6">
        <v>372</v>
      </c>
      <c r="H159" s="5">
        <v>1.1000000000000001</v>
      </c>
      <c r="I159" s="5">
        <v>0.8</v>
      </c>
      <c r="J159" s="5">
        <v>0.55000000000000004</v>
      </c>
      <c r="K159" s="7">
        <f t="shared" si="20"/>
        <v>0.4840000000000001</v>
      </c>
      <c r="L159" s="20">
        <f>P142*4</f>
        <v>308</v>
      </c>
      <c r="M159" s="4">
        <f t="shared" si="21"/>
        <v>7.6999999999999999E-2</v>
      </c>
      <c r="N159" s="4">
        <f t="shared" si="22"/>
        <v>32.647999999999996</v>
      </c>
      <c r="O159" s="4">
        <f t="shared" si="23"/>
        <v>3.7268000000000009E-2</v>
      </c>
      <c r="Q159" s="147"/>
    </row>
    <row r="160" spans="1:17">
      <c r="A160" s="5">
        <v>9358</v>
      </c>
      <c r="B160" s="5" t="s">
        <v>14</v>
      </c>
      <c r="C160" s="8" t="s">
        <v>42</v>
      </c>
      <c r="D160" s="15">
        <v>1200</v>
      </c>
      <c r="E160" s="131">
        <v>666.4</v>
      </c>
      <c r="F160" s="131">
        <v>40</v>
      </c>
      <c r="G160" s="16">
        <v>588</v>
      </c>
      <c r="H160" s="133">
        <v>1</v>
      </c>
      <c r="I160" s="133">
        <v>0.75</v>
      </c>
      <c r="J160" s="133">
        <v>0.7</v>
      </c>
      <c r="K160" s="135">
        <v>0.5</v>
      </c>
      <c r="L160" s="20">
        <f>P142*4</f>
        <v>308</v>
      </c>
      <c r="M160" s="148">
        <f t="shared" si="21"/>
        <v>0.25666666666666665</v>
      </c>
      <c r="N160" s="148">
        <f t="shared" si="22"/>
        <v>171.04266666666666</v>
      </c>
      <c r="O160" s="156">
        <f t="shared" si="23"/>
        <v>0.12833333333333333</v>
      </c>
      <c r="Q160" s="147"/>
    </row>
    <row r="161" spans="1:17">
      <c r="A161" s="5">
        <v>9358</v>
      </c>
      <c r="B161" s="5" t="s">
        <v>14</v>
      </c>
      <c r="C161" s="8" t="s">
        <v>43</v>
      </c>
      <c r="D161" s="15">
        <v>1200</v>
      </c>
      <c r="E161" s="132"/>
      <c r="F161" s="132"/>
      <c r="G161" s="16">
        <v>38.4</v>
      </c>
      <c r="H161" s="134"/>
      <c r="I161" s="134"/>
      <c r="J161" s="134"/>
      <c r="K161" s="136"/>
      <c r="L161" s="20">
        <f>P142*4</f>
        <v>308</v>
      </c>
      <c r="M161" s="149"/>
      <c r="N161" s="149"/>
      <c r="O161" s="157"/>
      <c r="Q161" s="147"/>
    </row>
    <row r="162" spans="1:17">
      <c r="A162" s="5">
        <v>9358</v>
      </c>
      <c r="B162" s="5" t="s">
        <v>14</v>
      </c>
      <c r="C162" s="8" t="s">
        <v>60</v>
      </c>
      <c r="D162" s="15"/>
      <c r="E162" s="81"/>
      <c r="F162" s="81"/>
      <c r="G162" s="16"/>
      <c r="H162" s="82"/>
      <c r="I162" s="82"/>
      <c r="J162" s="82"/>
      <c r="K162" s="83"/>
      <c r="L162" s="20">
        <f>P142*4</f>
        <v>308</v>
      </c>
      <c r="M162" s="84"/>
      <c r="N162" s="84"/>
      <c r="O162" s="85"/>
      <c r="Q162" s="147"/>
    </row>
    <row r="163" spans="1:17">
      <c r="A163" s="60">
        <v>9258</v>
      </c>
      <c r="B163" s="60" t="s">
        <v>14</v>
      </c>
      <c r="C163" s="87" t="s">
        <v>82</v>
      </c>
      <c r="D163" s="6">
        <v>3000</v>
      </c>
      <c r="E163" s="6">
        <v>215</v>
      </c>
      <c r="F163" s="5">
        <v>35</v>
      </c>
      <c r="G163" s="6">
        <v>180</v>
      </c>
      <c r="H163" s="5">
        <v>1.1000000000000001</v>
      </c>
      <c r="I163" s="5">
        <v>1.02</v>
      </c>
      <c r="J163" s="7">
        <v>1.2342000000000002</v>
      </c>
      <c r="K163" s="4">
        <f t="shared" ref="K163" si="25">H163*I163*J163</f>
        <v>1.3847724000000003</v>
      </c>
      <c r="L163" s="64">
        <v>9000</v>
      </c>
      <c r="M163" s="61">
        <f>L163/D163</f>
        <v>3</v>
      </c>
      <c r="N163" s="61">
        <f>M163*E163</f>
        <v>645</v>
      </c>
      <c r="O163" s="62">
        <f>M163*K163</f>
        <v>4.1543172000000013</v>
      </c>
      <c r="P163" t="s">
        <v>63</v>
      </c>
    </row>
    <row r="164" spans="1:17">
      <c r="A164" s="60">
        <v>9258</v>
      </c>
      <c r="B164" s="60" t="s">
        <v>14</v>
      </c>
      <c r="C164" s="87" t="s">
        <v>62</v>
      </c>
      <c r="D164" s="6">
        <v>3000</v>
      </c>
      <c r="E164" s="6">
        <v>215</v>
      </c>
      <c r="F164" s="5">
        <v>35</v>
      </c>
      <c r="G164" s="6">
        <v>180</v>
      </c>
      <c r="H164" s="5">
        <v>1.1000000000000001</v>
      </c>
      <c r="I164" s="5">
        <v>1.02</v>
      </c>
      <c r="J164" s="7">
        <v>1.2342000000000002</v>
      </c>
      <c r="K164" s="4">
        <f t="shared" ref="K164" si="26">H164*I164*J164</f>
        <v>1.3847724000000003</v>
      </c>
      <c r="L164" s="64">
        <v>12000</v>
      </c>
      <c r="M164" s="61">
        <f>L164/D164</f>
        <v>4</v>
      </c>
      <c r="N164" s="61">
        <f>M164*E164</f>
        <v>860</v>
      </c>
      <c r="O164" s="62">
        <f>M164*K164</f>
        <v>5.5390896000000014</v>
      </c>
      <c r="P164" t="s">
        <v>63</v>
      </c>
    </row>
    <row r="165" spans="1:17">
      <c r="A165" s="60" t="s">
        <v>49</v>
      </c>
      <c r="B165" s="60" t="s">
        <v>14</v>
      </c>
      <c r="C165" s="61" t="s">
        <v>50</v>
      </c>
      <c r="D165" s="61">
        <v>1</v>
      </c>
      <c r="E165" s="61">
        <v>60</v>
      </c>
      <c r="F165" s="61">
        <v>0</v>
      </c>
      <c r="G165" s="61">
        <v>80</v>
      </c>
      <c r="H165" s="61">
        <v>0.78</v>
      </c>
      <c r="I165" s="61">
        <v>0.78</v>
      </c>
      <c r="J165" s="61">
        <v>0.45</v>
      </c>
      <c r="K165" s="62">
        <f>H165*I165*J165</f>
        <v>0.27378000000000002</v>
      </c>
      <c r="L165" s="64">
        <v>80</v>
      </c>
      <c r="M165" s="61">
        <f>L165/D165</f>
        <v>80</v>
      </c>
      <c r="N165" s="61">
        <f>M165*E165</f>
        <v>4800</v>
      </c>
      <c r="O165" s="62">
        <f>M165*K165</f>
        <v>21.9024</v>
      </c>
      <c r="P165" t="s">
        <v>51</v>
      </c>
    </row>
    <row r="166" spans="1:17">
      <c r="L166">
        <f>SUM(L3:L165)</f>
        <v>46222</v>
      </c>
      <c r="M166">
        <f>SUM(M3:M165)</f>
        <v>157.53097777777776</v>
      </c>
      <c r="N166">
        <f>SUM(N3:N165)</f>
        <v>45090.550666666677</v>
      </c>
      <c r="O166">
        <f>SUM(O3:O165)</f>
        <v>62.947744917333317</v>
      </c>
    </row>
    <row r="167" spans="1:17" ht="15" customHeight="1"/>
    <row r="169" spans="1:17" ht="15" thickBot="1">
      <c r="A169" t="s">
        <v>45</v>
      </c>
      <c r="B169" t="s">
        <v>57</v>
      </c>
      <c r="C169" s="86">
        <v>45762</v>
      </c>
    </row>
    <row r="170" spans="1:17" ht="42" thickBot="1">
      <c r="A170" s="1" t="s">
        <v>44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G170" s="1" t="s">
        <v>5</v>
      </c>
      <c r="H170" s="1" t="s">
        <v>6</v>
      </c>
      <c r="I170" s="1" t="s">
        <v>7</v>
      </c>
      <c r="J170" s="1" t="s">
        <v>8</v>
      </c>
      <c r="K170" s="1" t="s">
        <v>9</v>
      </c>
      <c r="L170" s="63" t="s">
        <v>10</v>
      </c>
      <c r="M170" s="2" t="s">
        <v>11</v>
      </c>
      <c r="N170" s="2" t="s">
        <v>12</v>
      </c>
      <c r="O170" s="18" t="s">
        <v>13</v>
      </c>
    </row>
    <row r="171" spans="1:17" s="90" customFormat="1">
      <c r="A171" s="88">
        <v>9355</v>
      </c>
      <c r="B171" s="88" t="s">
        <v>15</v>
      </c>
      <c r="C171" s="88" t="s">
        <v>16</v>
      </c>
      <c r="D171" s="88">
        <v>30</v>
      </c>
      <c r="E171" s="88">
        <v>669</v>
      </c>
      <c r="F171" s="88">
        <f>E171-G171</f>
        <v>53</v>
      </c>
      <c r="G171" s="88">
        <v>616</v>
      </c>
      <c r="H171" s="88">
        <v>1</v>
      </c>
      <c r="I171" s="88">
        <v>0.9</v>
      </c>
      <c r="J171" s="88">
        <v>0.73</v>
      </c>
      <c r="K171" s="88">
        <f t="shared" ref="K171:K199" si="27">H171*I171*J171</f>
        <v>0.65700000000000003</v>
      </c>
      <c r="L171" s="88">
        <v>104</v>
      </c>
      <c r="M171" s="89">
        <f t="shared" ref="M171:M200" si="28">L171/D171</f>
        <v>3.4666666666666668</v>
      </c>
      <c r="N171" s="89">
        <f t="shared" ref="N171:N200" si="29">E171*M171</f>
        <v>2319.2000000000003</v>
      </c>
      <c r="O171" s="89">
        <f>M171*K171</f>
        <v>2.2776000000000001</v>
      </c>
      <c r="P171" s="180">
        <f>SUM(L171:L174)</f>
        <v>104</v>
      </c>
      <c r="Q171" s="181" t="s">
        <v>52</v>
      </c>
    </row>
    <row r="172" spans="1:17" s="90" customFormat="1">
      <c r="A172" s="88">
        <v>9355</v>
      </c>
      <c r="B172" s="88" t="s">
        <v>15</v>
      </c>
      <c r="C172" s="88" t="s">
        <v>17</v>
      </c>
      <c r="D172" s="88">
        <v>30</v>
      </c>
      <c r="E172" s="88">
        <v>669</v>
      </c>
      <c r="F172" s="88">
        <f>E172-G172</f>
        <v>53</v>
      </c>
      <c r="G172" s="88">
        <v>616</v>
      </c>
      <c r="H172" s="88">
        <v>1</v>
      </c>
      <c r="I172" s="88">
        <v>0.9</v>
      </c>
      <c r="J172" s="88">
        <v>0.73</v>
      </c>
      <c r="K172" s="88">
        <f t="shared" si="27"/>
        <v>0.65700000000000003</v>
      </c>
      <c r="L172" s="88"/>
      <c r="M172" s="89">
        <f t="shared" si="28"/>
        <v>0</v>
      </c>
      <c r="N172" s="89">
        <f t="shared" si="29"/>
        <v>0</v>
      </c>
      <c r="O172" s="89">
        <f t="shared" ref="O172:O200" si="30">M172*K172</f>
        <v>0</v>
      </c>
      <c r="P172" s="180"/>
      <c r="Q172" s="182"/>
    </row>
    <row r="173" spans="1:17" s="90" customFormat="1">
      <c r="A173" s="88">
        <v>9355</v>
      </c>
      <c r="B173" s="88" t="s">
        <v>15</v>
      </c>
      <c r="C173" s="88" t="s">
        <v>18</v>
      </c>
      <c r="D173" s="88">
        <v>30</v>
      </c>
      <c r="E173" s="88">
        <v>669</v>
      </c>
      <c r="F173" s="88">
        <f>E173-G173</f>
        <v>53</v>
      </c>
      <c r="G173" s="88">
        <v>616</v>
      </c>
      <c r="H173" s="88">
        <v>1</v>
      </c>
      <c r="I173" s="88">
        <v>0.9</v>
      </c>
      <c r="J173" s="88">
        <v>0.73</v>
      </c>
      <c r="K173" s="88">
        <f t="shared" si="27"/>
        <v>0.65700000000000003</v>
      </c>
      <c r="L173" s="88"/>
      <c r="M173" s="89">
        <f t="shared" si="28"/>
        <v>0</v>
      </c>
      <c r="N173" s="89">
        <f t="shared" si="29"/>
        <v>0</v>
      </c>
      <c r="O173" s="89">
        <f t="shared" si="30"/>
        <v>0</v>
      </c>
      <c r="P173" s="180"/>
      <c r="Q173" s="182"/>
    </row>
    <row r="174" spans="1:17" s="90" customFormat="1">
      <c r="A174" s="88">
        <v>9355</v>
      </c>
      <c r="B174" s="88" t="s">
        <v>15</v>
      </c>
      <c r="C174" s="88" t="s">
        <v>19</v>
      </c>
      <c r="D174" s="88">
        <v>30</v>
      </c>
      <c r="E174" s="88">
        <v>669</v>
      </c>
      <c r="F174" s="88">
        <f>E174-G174</f>
        <v>53</v>
      </c>
      <c r="G174" s="88">
        <v>616</v>
      </c>
      <c r="H174" s="88">
        <v>1</v>
      </c>
      <c r="I174" s="88">
        <v>0.9</v>
      </c>
      <c r="J174" s="88">
        <v>0.73</v>
      </c>
      <c r="K174" s="88">
        <f t="shared" si="27"/>
        <v>0.65700000000000003</v>
      </c>
      <c r="L174" s="88"/>
      <c r="M174" s="89">
        <f t="shared" si="28"/>
        <v>0</v>
      </c>
      <c r="N174" s="89">
        <f t="shared" si="29"/>
        <v>0</v>
      </c>
      <c r="O174" s="89">
        <f t="shared" si="30"/>
        <v>0</v>
      </c>
      <c r="P174" s="180"/>
      <c r="Q174" s="182"/>
    </row>
    <row r="175" spans="1:17" s="90" customFormat="1">
      <c r="A175" s="88">
        <v>9358</v>
      </c>
      <c r="B175" s="88" t="s">
        <v>14</v>
      </c>
      <c r="C175" s="91" t="s">
        <v>20</v>
      </c>
      <c r="D175" s="88">
        <v>5000</v>
      </c>
      <c r="E175" s="88">
        <v>490</v>
      </c>
      <c r="F175" s="88">
        <v>40</v>
      </c>
      <c r="G175" s="88">
        <v>450</v>
      </c>
      <c r="H175" s="88">
        <v>1</v>
      </c>
      <c r="I175" s="88">
        <v>0.98</v>
      </c>
      <c r="J175" s="88">
        <v>0.83</v>
      </c>
      <c r="K175" s="92">
        <f t="shared" si="27"/>
        <v>0.8133999999999999</v>
      </c>
      <c r="L175" s="88">
        <v>122</v>
      </c>
      <c r="M175" s="89">
        <f t="shared" si="28"/>
        <v>2.4400000000000002E-2</v>
      </c>
      <c r="N175" s="89">
        <f t="shared" si="29"/>
        <v>11.956000000000001</v>
      </c>
      <c r="O175" s="89">
        <f t="shared" si="30"/>
        <v>1.984696E-2</v>
      </c>
      <c r="Q175" s="182"/>
    </row>
    <row r="176" spans="1:17" s="90" customFormat="1">
      <c r="A176" s="88">
        <v>9358</v>
      </c>
      <c r="B176" s="88" t="s">
        <v>14</v>
      </c>
      <c r="C176" s="91" t="s">
        <v>21</v>
      </c>
      <c r="D176" s="88">
        <v>360</v>
      </c>
      <c r="E176" s="88">
        <v>390</v>
      </c>
      <c r="F176" s="88">
        <v>40</v>
      </c>
      <c r="G176" s="88">
        <v>350</v>
      </c>
      <c r="H176" s="88">
        <v>1.05</v>
      </c>
      <c r="I176" s="88">
        <v>0.95</v>
      </c>
      <c r="J176" s="88">
        <v>0.55000000000000004</v>
      </c>
      <c r="K176" s="92">
        <f t="shared" si="27"/>
        <v>0.54862500000000003</v>
      </c>
      <c r="L176" s="88">
        <v>122</v>
      </c>
      <c r="M176" s="89">
        <f t="shared" si="28"/>
        <v>0.33888888888888891</v>
      </c>
      <c r="N176" s="89">
        <f t="shared" si="29"/>
        <v>132.16666666666669</v>
      </c>
      <c r="O176" s="89">
        <f t="shared" si="30"/>
        <v>0.18592291666666669</v>
      </c>
      <c r="Q176" s="182"/>
    </row>
    <row r="177" spans="1:17" s="90" customFormat="1">
      <c r="A177" s="88">
        <v>9358</v>
      </c>
      <c r="B177" s="88" t="s">
        <v>14</v>
      </c>
      <c r="C177" s="91" t="s">
        <v>22</v>
      </c>
      <c r="D177" s="93">
        <v>3000</v>
      </c>
      <c r="E177" s="94">
        <v>235</v>
      </c>
      <c r="F177" s="88">
        <v>35</v>
      </c>
      <c r="G177" s="94">
        <v>200</v>
      </c>
      <c r="H177" s="88">
        <v>1.1000000000000001</v>
      </c>
      <c r="I177" s="88">
        <v>1.1000000000000001</v>
      </c>
      <c r="J177" s="88">
        <v>1.02</v>
      </c>
      <c r="K177" s="92">
        <f t="shared" si="27"/>
        <v>1.2342000000000002</v>
      </c>
      <c r="L177" s="88">
        <v>488</v>
      </c>
      <c r="M177" s="89">
        <f t="shared" si="28"/>
        <v>0.16266666666666665</v>
      </c>
      <c r="N177" s="89">
        <f t="shared" si="29"/>
        <v>38.226666666666667</v>
      </c>
      <c r="O177" s="89">
        <f t="shared" si="30"/>
        <v>0.2007632</v>
      </c>
      <c r="Q177" s="182"/>
    </row>
    <row r="178" spans="1:17" s="90" customFormat="1">
      <c r="A178" s="88">
        <v>9358</v>
      </c>
      <c r="B178" s="88" t="s">
        <v>14</v>
      </c>
      <c r="C178" s="91" t="s">
        <v>23</v>
      </c>
      <c r="D178" s="95">
        <v>1000</v>
      </c>
      <c r="E178" s="96">
        <v>646</v>
      </c>
      <c r="F178" s="96">
        <f>E178-G178</f>
        <v>40</v>
      </c>
      <c r="G178" s="96">
        <v>606</v>
      </c>
      <c r="H178" s="96">
        <v>1.1000000000000001</v>
      </c>
      <c r="I178" s="96">
        <v>0.8</v>
      </c>
      <c r="J178" s="96">
        <v>0.55000000000000004</v>
      </c>
      <c r="K178" s="89">
        <f t="shared" si="27"/>
        <v>0.4840000000000001</v>
      </c>
      <c r="L178" s="88">
        <v>488</v>
      </c>
      <c r="M178" s="89">
        <f t="shared" si="28"/>
        <v>0.48799999999999999</v>
      </c>
      <c r="N178" s="89">
        <f t="shared" si="29"/>
        <v>315.24799999999999</v>
      </c>
      <c r="O178" s="89">
        <f t="shared" si="30"/>
        <v>0.23619200000000004</v>
      </c>
      <c r="Q178" s="182"/>
    </row>
    <row r="179" spans="1:17" s="90" customFormat="1">
      <c r="A179" s="88">
        <v>9356</v>
      </c>
      <c r="B179" s="88" t="s">
        <v>47</v>
      </c>
      <c r="C179" s="91" t="s">
        <v>24</v>
      </c>
      <c r="D179" s="93">
        <v>4000</v>
      </c>
      <c r="E179" s="94">
        <v>424</v>
      </c>
      <c r="F179" s="88">
        <f>E179-G179</f>
        <v>52</v>
      </c>
      <c r="G179" s="94">
        <v>372</v>
      </c>
      <c r="H179" s="88">
        <v>1.1000000000000001</v>
      </c>
      <c r="I179" s="88">
        <v>0.8</v>
      </c>
      <c r="J179" s="88">
        <v>0.55000000000000004</v>
      </c>
      <c r="K179" s="92">
        <f t="shared" si="27"/>
        <v>0.4840000000000001</v>
      </c>
      <c r="L179" s="88">
        <v>884</v>
      </c>
      <c r="M179" s="89">
        <f t="shared" si="28"/>
        <v>0.221</v>
      </c>
      <c r="N179" s="89">
        <f t="shared" si="29"/>
        <v>93.704000000000008</v>
      </c>
      <c r="O179" s="89">
        <f t="shared" si="30"/>
        <v>0.10696400000000002</v>
      </c>
      <c r="Q179" s="182"/>
    </row>
    <row r="180" spans="1:17" s="90" customFormat="1">
      <c r="A180" s="88">
        <v>9358</v>
      </c>
      <c r="B180" s="88" t="s">
        <v>14</v>
      </c>
      <c r="C180" s="91" t="s">
        <v>25</v>
      </c>
      <c r="D180" s="88">
        <v>1000</v>
      </c>
      <c r="E180" s="88">
        <v>830</v>
      </c>
      <c r="F180" s="88">
        <v>40</v>
      </c>
      <c r="G180" s="88">
        <v>790</v>
      </c>
      <c r="H180" s="88">
        <v>1.04</v>
      </c>
      <c r="I180" s="88">
        <v>0.84</v>
      </c>
      <c r="J180" s="88">
        <v>0.64</v>
      </c>
      <c r="K180" s="92">
        <f t="shared" si="27"/>
        <v>0.55910400000000005</v>
      </c>
      <c r="L180" s="88">
        <v>244</v>
      </c>
      <c r="M180" s="89">
        <f t="shared" si="28"/>
        <v>0.24399999999999999</v>
      </c>
      <c r="N180" s="89">
        <f t="shared" si="29"/>
        <v>202.51999999999998</v>
      </c>
      <c r="O180" s="89">
        <f t="shared" si="30"/>
        <v>0.13642137600000001</v>
      </c>
      <c r="Q180" s="182"/>
    </row>
    <row r="181" spans="1:17" s="90" customFormat="1">
      <c r="A181" s="88">
        <v>9358</v>
      </c>
      <c r="B181" s="88" t="s">
        <v>14</v>
      </c>
      <c r="C181" s="91" t="s">
        <v>26</v>
      </c>
      <c r="D181" s="88">
        <v>4000</v>
      </c>
      <c r="E181" s="88">
        <v>223</v>
      </c>
      <c r="F181" s="88">
        <v>30</v>
      </c>
      <c r="G181" s="88">
        <v>188</v>
      </c>
      <c r="H181" s="88">
        <v>0.86</v>
      </c>
      <c r="I181" s="88">
        <v>0.78</v>
      </c>
      <c r="J181" s="88">
        <v>0.74</v>
      </c>
      <c r="K181" s="92">
        <f t="shared" si="27"/>
        <v>0.49639200000000006</v>
      </c>
      <c r="L181" s="88">
        <v>244</v>
      </c>
      <c r="M181" s="89">
        <f t="shared" si="28"/>
        <v>6.0999999999999999E-2</v>
      </c>
      <c r="N181" s="89">
        <f t="shared" si="29"/>
        <v>13.603</v>
      </c>
      <c r="O181" s="89">
        <f t="shared" si="30"/>
        <v>3.0279912000000003E-2</v>
      </c>
      <c r="Q181" s="182"/>
    </row>
    <row r="182" spans="1:17" s="90" customFormat="1">
      <c r="A182" s="88">
        <v>9355</v>
      </c>
      <c r="B182" s="88" t="s">
        <v>15</v>
      </c>
      <c r="C182" s="91" t="s">
        <v>27</v>
      </c>
      <c r="D182" s="97">
        <v>12</v>
      </c>
      <c r="E182" s="97">
        <v>435</v>
      </c>
      <c r="F182" s="97">
        <v>39</v>
      </c>
      <c r="G182" s="97">
        <v>396</v>
      </c>
      <c r="H182" s="97">
        <v>0.86</v>
      </c>
      <c r="I182" s="97">
        <v>0.56000000000000005</v>
      </c>
      <c r="J182" s="97">
        <v>0.51</v>
      </c>
      <c r="K182" s="98">
        <f t="shared" si="27"/>
        <v>0.24561600000000003</v>
      </c>
      <c r="L182" s="88">
        <v>56</v>
      </c>
      <c r="M182" s="89">
        <f t="shared" si="28"/>
        <v>4.666666666666667</v>
      </c>
      <c r="N182" s="89">
        <f t="shared" si="29"/>
        <v>2030.0000000000002</v>
      </c>
      <c r="O182" s="89">
        <f t="shared" si="30"/>
        <v>1.1462080000000001</v>
      </c>
      <c r="P182" s="180">
        <f>SUM(L182:L186)</f>
        <v>99</v>
      </c>
      <c r="Q182" s="182"/>
    </row>
    <row r="183" spans="1:17" s="90" customFormat="1">
      <c r="A183" s="88">
        <v>9355</v>
      </c>
      <c r="B183" s="88" t="s">
        <v>15</v>
      </c>
      <c r="C183" s="91" t="s">
        <v>28</v>
      </c>
      <c r="D183" s="97">
        <v>12</v>
      </c>
      <c r="E183" s="97">
        <v>520</v>
      </c>
      <c r="F183" s="97">
        <v>40</v>
      </c>
      <c r="G183" s="97">
        <v>480</v>
      </c>
      <c r="H183" s="97">
        <v>1.03</v>
      </c>
      <c r="I183" s="97">
        <v>0.56000000000000005</v>
      </c>
      <c r="J183" s="97">
        <v>0.51</v>
      </c>
      <c r="K183" s="98">
        <f t="shared" si="27"/>
        <v>0.29416800000000004</v>
      </c>
      <c r="L183" s="88">
        <v>18</v>
      </c>
      <c r="M183" s="89">
        <f t="shared" si="28"/>
        <v>1.5</v>
      </c>
      <c r="N183" s="89">
        <f t="shared" si="29"/>
        <v>780</v>
      </c>
      <c r="O183" s="89">
        <f t="shared" si="30"/>
        <v>0.44125200000000009</v>
      </c>
      <c r="P183" s="180"/>
      <c r="Q183" s="182"/>
    </row>
    <row r="184" spans="1:17" s="90" customFormat="1">
      <c r="A184" s="88">
        <v>9355</v>
      </c>
      <c r="B184" s="88" t="s">
        <v>15</v>
      </c>
      <c r="C184" s="91" t="s">
        <v>29</v>
      </c>
      <c r="D184" s="97">
        <v>12</v>
      </c>
      <c r="E184" s="97">
        <v>596</v>
      </c>
      <c r="F184" s="97">
        <v>44</v>
      </c>
      <c r="G184" s="97">
        <v>552</v>
      </c>
      <c r="H184" s="97">
        <v>1.17</v>
      </c>
      <c r="I184" s="97">
        <v>0.56000000000000005</v>
      </c>
      <c r="J184" s="97">
        <v>0.51</v>
      </c>
      <c r="K184" s="98">
        <f t="shared" si="27"/>
        <v>0.334152</v>
      </c>
      <c r="L184" s="88">
        <v>18</v>
      </c>
      <c r="M184" s="89">
        <f t="shared" si="28"/>
        <v>1.5</v>
      </c>
      <c r="N184" s="89">
        <f t="shared" si="29"/>
        <v>894</v>
      </c>
      <c r="O184" s="89">
        <f t="shared" si="30"/>
        <v>0.50122800000000001</v>
      </c>
      <c r="P184" s="180"/>
      <c r="Q184" s="182"/>
    </row>
    <row r="185" spans="1:17" s="90" customFormat="1">
      <c r="A185" s="88">
        <v>9355</v>
      </c>
      <c r="B185" s="88" t="s">
        <v>15</v>
      </c>
      <c r="C185" s="91" t="s">
        <v>30</v>
      </c>
      <c r="D185" s="99">
        <v>12</v>
      </c>
      <c r="E185" s="97">
        <v>654</v>
      </c>
      <c r="F185" s="97">
        <v>42</v>
      </c>
      <c r="G185" s="97">
        <v>612</v>
      </c>
      <c r="H185" s="97">
        <v>1.2749999999999999</v>
      </c>
      <c r="I185" s="97">
        <v>0.56000000000000005</v>
      </c>
      <c r="J185" s="97">
        <v>0.51</v>
      </c>
      <c r="K185" s="98">
        <f t="shared" si="27"/>
        <v>0.36413999999999996</v>
      </c>
      <c r="L185" s="88">
        <v>7</v>
      </c>
      <c r="M185" s="89">
        <f t="shared" si="28"/>
        <v>0.58333333333333337</v>
      </c>
      <c r="N185" s="89">
        <f t="shared" si="29"/>
        <v>381.5</v>
      </c>
      <c r="O185" s="89">
        <f t="shared" si="30"/>
        <v>0.21241499999999999</v>
      </c>
      <c r="P185" s="180"/>
      <c r="Q185" s="182"/>
    </row>
    <row r="186" spans="1:17" s="90" customFormat="1">
      <c r="A186" s="88">
        <v>9355</v>
      </c>
      <c r="B186" s="88" t="s">
        <v>15</v>
      </c>
      <c r="C186" s="91" t="s">
        <v>31</v>
      </c>
      <c r="D186" s="99">
        <v>6</v>
      </c>
      <c r="E186" s="97">
        <v>410</v>
      </c>
      <c r="F186" s="97">
        <v>50</v>
      </c>
      <c r="G186" s="97">
        <v>360</v>
      </c>
      <c r="H186" s="97">
        <v>1.48</v>
      </c>
      <c r="I186" s="97">
        <v>0.56000000000000005</v>
      </c>
      <c r="J186" s="97">
        <v>0.37</v>
      </c>
      <c r="K186" s="98">
        <f t="shared" si="27"/>
        <v>0.30665600000000004</v>
      </c>
      <c r="L186" s="88">
        <v>0</v>
      </c>
      <c r="M186" s="89">
        <f t="shared" si="28"/>
        <v>0</v>
      </c>
      <c r="N186" s="89">
        <f t="shared" si="29"/>
        <v>0</v>
      </c>
      <c r="O186" s="89">
        <f t="shared" si="30"/>
        <v>0</v>
      </c>
      <c r="P186" s="180"/>
      <c r="Q186" s="182"/>
    </row>
    <row r="187" spans="1:17" s="90" customFormat="1">
      <c r="A187" s="88">
        <v>9358</v>
      </c>
      <c r="B187" s="88" t="s">
        <v>14</v>
      </c>
      <c r="C187" s="91" t="s">
        <v>32</v>
      </c>
      <c r="D187" s="94">
        <v>1000</v>
      </c>
      <c r="E187" s="94">
        <f t="shared" ref="E187:E196" si="31">G187+F187</f>
        <v>395</v>
      </c>
      <c r="F187" s="94">
        <v>40</v>
      </c>
      <c r="G187" s="94">
        <v>355</v>
      </c>
      <c r="H187" s="94">
        <v>1.05</v>
      </c>
      <c r="I187" s="94">
        <v>0.9</v>
      </c>
      <c r="J187" s="94">
        <v>0.55000000000000004</v>
      </c>
      <c r="K187" s="89">
        <f t="shared" si="27"/>
        <v>0.51975000000000005</v>
      </c>
      <c r="L187" s="88">
        <v>56</v>
      </c>
      <c r="M187" s="89">
        <f t="shared" si="28"/>
        <v>5.6000000000000001E-2</v>
      </c>
      <c r="N187" s="89">
        <f t="shared" si="29"/>
        <v>22.12</v>
      </c>
      <c r="O187" s="89">
        <f t="shared" si="30"/>
        <v>2.9106000000000003E-2</v>
      </c>
      <c r="Q187" s="182"/>
    </row>
    <row r="188" spans="1:17" s="90" customFormat="1">
      <c r="A188" s="88">
        <v>9358</v>
      </c>
      <c r="B188" s="88" t="s">
        <v>14</v>
      </c>
      <c r="C188" s="91" t="s">
        <v>33</v>
      </c>
      <c r="D188" s="94">
        <v>450</v>
      </c>
      <c r="E188" s="94">
        <f t="shared" si="31"/>
        <v>360</v>
      </c>
      <c r="F188" s="94">
        <v>40</v>
      </c>
      <c r="G188" s="94">
        <v>320</v>
      </c>
      <c r="H188" s="88">
        <v>1.1000000000000001</v>
      </c>
      <c r="I188" s="94">
        <v>0.9</v>
      </c>
      <c r="J188" s="88">
        <v>0.75</v>
      </c>
      <c r="K188" s="92">
        <f t="shared" si="27"/>
        <v>0.74250000000000005</v>
      </c>
      <c r="L188" s="88">
        <v>56</v>
      </c>
      <c r="M188" s="89">
        <f t="shared" si="28"/>
        <v>0.12444444444444444</v>
      </c>
      <c r="N188" s="89">
        <f t="shared" si="29"/>
        <v>44.8</v>
      </c>
      <c r="O188" s="89">
        <f t="shared" si="30"/>
        <v>9.240000000000001E-2</v>
      </c>
      <c r="Q188" s="182"/>
    </row>
    <row r="189" spans="1:17" s="90" customFormat="1">
      <c r="A189" s="88">
        <v>9358</v>
      </c>
      <c r="B189" s="88" t="s">
        <v>14</v>
      </c>
      <c r="C189" s="91" t="s">
        <v>34</v>
      </c>
      <c r="D189" s="94">
        <v>1000</v>
      </c>
      <c r="E189" s="94">
        <f t="shared" si="31"/>
        <v>492</v>
      </c>
      <c r="F189" s="94">
        <v>40</v>
      </c>
      <c r="G189" s="94">
        <v>452</v>
      </c>
      <c r="H189" s="94">
        <v>1.1000000000000001</v>
      </c>
      <c r="I189" s="94">
        <v>1.05</v>
      </c>
      <c r="J189" s="94">
        <v>0.55000000000000004</v>
      </c>
      <c r="K189" s="89">
        <f t="shared" si="27"/>
        <v>0.6352500000000002</v>
      </c>
      <c r="L189" s="88">
        <v>18</v>
      </c>
      <c r="M189" s="89">
        <f t="shared" si="28"/>
        <v>1.7999999999999999E-2</v>
      </c>
      <c r="N189" s="89">
        <f t="shared" si="29"/>
        <v>8.8559999999999999</v>
      </c>
      <c r="O189" s="89">
        <f t="shared" si="30"/>
        <v>1.1434500000000002E-2</v>
      </c>
      <c r="Q189" s="182"/>
    </row>
    <row r="190" spans="1:17" s="90" customFormat="1">
      <c r="A190" s="88">
        <v>9358</v>
      </c>
      <c r="B190" s="88" t="s">
        <v>14</v>
      </c>
      <c r="C190" s="91" t="s">
        <v>35</v>
      </c>
      <c r="D190" s="94">
        <v>450</v>
      </c>
      <c r="E190" s="94">
        <f t="shared" si="31"/>
        <v>421.5</v>
      </c>
      <c r="F190" s="94">
        <v>40</v>
      </c>
      <c r="G190" s="94">
        <v>381.5</v>
      </c>
      <c r="H190" s="94">
        <v>1.05</v>
      </c>
      <c r="I190" s="94">
        <v>1.05</v>
      </c>
      <c r="J190" s="88">
        <v>0.75</v>
      </c>
      <c r="K190" s="92">
        <f t="shared" si="27"/>
        <v>0.82687500000000003</v>
      </c>
      <c r="L190" s="88">
        <v>18</v>
      </c>
      <c r="M190" s="89">
        <f t="shared" si="28"/>
        <v>0.04</v>
      </c>
      <c r="N190" s="89">
        <f t="shared" si="29"/>
        <v>16.86</v>
      </c>
      <c r="O190" s="89">
        <f t="shared" si="30"/>
        <v>3.3075E-2</v>
      </c>
      <c r="Q190" s="182"/>
    </row>
    <row r="191" spans="1:17" s="90" customFormat="1">
      <c r="A191" s="88">
        <v>9358</v>
      </c>
      <c r="B191" s="88" t="s">
        <v>14</v>
      </c>
      <c r="C191" s="91" t="s">
        <v>36</v>
      </c>
      <c r="D191" s="94">
        <v>1000</v>
      </c>
      <c r="E191" s="94">
        <f t="shared" si="31"/>
        <v>574</v>
      </c>
      <c r="F191" s="94">
        <v>40</v>
      </c>
      <c r="G191" s="94">
        <v>534</v>
      </c>
      <c r="H191" s="94">
        <v>1.1000000000000001</v>
      </c>
      <c r="I191" s="94">
        <v>1.2</v>
      </c>
      <c r="J191" s="94">
        <v>0.55000000000000004</v>
      </c>
      <c r="K191" s="89">
        <f t="shared" si="27"/>
        <v>0.72600000000000009</v>
      </c>
      <c r="L191" s="88">
        <v>18</v>
      </c>
      <c r="M191" s="89">
        <f t="shared" si="28"/>
        <v>1.7999999999999999E-2</v>
      </c>
      <c r="N191" s="89">
        <f t="shared" si="29"/>
        <v>10.331999999999999</v>
      </c>
      <c r="O191" s="89">
        <f t="shared" si="30"/>
        <v>1.3068000000000001E-2</v>
      </c>
      <c r="Q191" s="182"/>
    </row>
    <row r="192" spans="1:17" s="90" customFormat="1">
      <c r="A192" s="88">
        <v>9358</v>
      </c>
      <c r="B192" s="88" t="s">
        <v>14</v>
      </c>
      <c r="C192" s="91" t="s">
        <v>37</v>
      </c>
      <c r="D192" s="94">
        <v>450</v>
      </c>
      <c r="E192" s="94">
        <f t="shared" si="31"/>
        <v>475</v>
      </c>
      <c r="F192" s="94">
        <v>40</v>
      </c>
      <c r="G192" s="94">
        <v>435</v>
      </c>
      <c r="H192" s="94">
        <v>1.05</v>
      </c>
      <c r="I192" s="94">
        <v>1.2</v>
      </c>
      <c r="J192" s="88">
        <v>0.75</v>
      </c>
      <c r="K192" s="89">
        <f t="shared" si="27"/>
        <v>0.94500000000000006</v>
      </c>
      <c r="L192" s="88">
        <v>18</v>
      </c>
      <c r="M192" s="89">
        <f t="shared" si="28"/>
        <v>0.04</v>
      </c>
      <c r="N192" s="89">
        <f t="shared" si="29"/>
        <v>19</v>
      </c>
      <c r="O192" s="89">
        <f t="shared" si="30"/>
        <v>3.78E-2</v>
      </c>
      <c r="Q192" s="182"/>
    </row>
    <row r="193" spans="1:17" s="90" customFormat="1">
      <c r="A193" s="88">
        <v>9358</v>
      </c>
      <c r="B193" s="88" t="s">
        <v>14</v>
      </c>
      <c r="C193" s="91" t="s">
        <v>38</v>
      </c>
      <c r="D193" s="94">
        <v>1000</v>
      </c>
      <c r="E193" s="94">
        <f t="shared" si="31"/>
        <v>645</v>
      </c>
      <c r="F193" s="94">
        <v>40</v>
      </c>
      <c r="G193" s="94">
        <v>605</v>
      </c>
      <c r="H193" s="94">
        <v>1.1000000000000001</v>
      </c>
      <c r="I193" s="94">
        <v>1.3</v>
      </c>
      <c r="J193" s="94">
        <v>0.55000000000000004</v>
      </c>
      <c r="K193" s="89">
        <f t="shared" si="27"/>
        <v>0.7865000000000002</v>
      </c>
      <c r="L193" s="88">
        <v>7</v>
      </c>
      <c r="M193" s="89">
        <f t="shared" si="28"/>
        <v>7.0000000000000001E-3</v>
      </c>
      <c r="N193" s="89">
        <f t="shared" si="29"/>
        <v>4.5149999999999997</v>
      </c>
      <c r="O193" s="89">
        <f t="shared" si="30"/>
        <v>5.5055000000000017E-3</v>
      </c>
      <c r="Q193" s="182"/>
    </row>
    <row r="194" spans="1:17" s="90" customFormat="1">
      <c r="A194" s="88">
        <v>9358</v>
      </c>
      <c r="B194" s="88" t="s">
        <v>14</v>
      </c>
      <c r="C194" s="91" t="s">
        <v>39</v>
      </c>
      <c r="D194" s="94">
        <v>450</v>
      </c>
      <c r="E194" s="94">
        <f t="shared" si="31"/>
        <v>515</v>
      </c>
      <c r="F194" s="94">
        <v>40</v>
      </c>
      <c r="G194" s="94">
        <v>475</v>
      </c>
      <c r="H194" s="94">
        <v>1.05</v>
      </c>
      <c r="I194" s="94">
        <v>1.3</v>
      </c>
      <c r="J194" s="88">
        <v>0.75</v>
      </c>
      <c r="K194" s="89">
        <f t="shared" si="27"/>
        <v>1.0237500000000002</v>
      </c>
      <c r="L194" s="88">
        <v>7</v>
      </c>
      <c r="M194" s="89">
        <f t="shared" si="28"/>
        <v>1.5555555555555555E-2</v>
      </c>
      <c r="N194" s="89">
        <f t="shared" si="29"/>
        <v>8.0111111111111111</v>
      </c>
      <c r="O194" s="89">
        <f t="shared" si="30"/>
        <v>1.5925000000000002E-2</v>
      </c>
      <c r="Q194" s="182"/>
    </row>
    <row r="195" spans="1:17" s="90" customFormat="1">
      <c r="A195" s="88">
        <v>9358</v>
      </c>
      <c r="B195" s="88" t="s">
        <v>14</v>
      </c>
      <c r="C195" s="91" t="s">
        <v>40</v>
      </c>
      <c r="D195" s="94">
        <v>1000</v>
      </c>
      <c r="E195" s="94">
        <f t="shared" si="31"/>
        <v>645</v>
      </c>
      <c r="F195" s="94">
        <v>40</v>
      </c>
      <c r="G195" s="94">
        <v>605</v>
      </c>
      <c r="H195" s="94">
        <v>1.1000000000000001</v>
      </c>
      <c r="I195" s="94">
        <v>1.3</v>
      </c>
      <c r="J195" s="94">
        <v>0.55000000000000004</v>
      </c>
      <c r="K195" s="89">
        <f t="shared" si="27"/>
        <v>0.7865000000000002</v>
      </c>
      <c r="L195" s="88">
        <v>0</v>
      </c>
      <c r="M195" s="89">
        <f t="shared" si="28"/>
        <v>0</v>
      </c>
      <c r="N195" s="89">
        <f t="shared" si="29"/>
        <v>0</v>
      </c>
      <c r="O195" s="89">
        <f t="shared" si="30"/>
        <v>0</v>
      </c>
      <c r="Q195" s="182"/>
    </row>
    <row r="196" spans="1:17" s="90" customFormat="1">
      <c r="A196" s="88">
        <v>9358</v>
      </c>
      <c r="B196" s="88" t="s">
        <v>14</v>
      </c>
      <c r="C196" s="91" t="s">
        <v>41</v>
      </c>
      <c r="D196" s="94">
        <v>450</v>
      </c>
      <c r="E196" s="94">
        <f t="shared" si="31"/>
        <v>515</v>
      </c>
      <c r="F196" s="94">
        <v>40</v>
      </c>
      <c r="G196" s="94">
        <v>475</v>
      </c>
      <c r="H196" s="94">
        <v>1.05</v>
      </c>
      <c r="I196" s="94">
        <v>1.3</v>
      </c>
      <c r="J196" s="88">
        <v>0.75</v>
      </c>
      <c r="K196" s="89">
        <f t="shared" si="27"/>
        <v>1.0237500000000002</v>
      </c>
      <c r="L196" s="88">
        <v>0</v>
      </c>
      <c r="M196" s="89">
        <f t="shared" si="28"/>
        <v>0</v>
      </c>
      <c r="N196" s="89">
        <f t="shared" si="29"/>
        <v>0</v>
      </c>
      <c r="O196" s="89">
        <f t="shared" si="30"/>
        <v>0</v>
      </c>
      <c r="Q196" s="182"/>
    </row>
    <row r="197" spans="1:17" s="90" customFormat="1">
      <c r="A197" s="88">
        <v>9358</v>
      </c>
      <c r="B197" s="88" t="s">
        <v>14</v>
      </c>
      <c r="C197" s="91" t="s">
        <v>22</v>
      </c>
      <c r="D197" s="93">
        <v>3000</v>
      </c>
      <c r="E197" s="94">
        <v>235</v>
      </c>
      <c r="F197" s="88">
        <v>35</v>
      </c>
      <c r="G197" s="94">
        <v>200</v>
      </c>
      <c r="H197" s="88">
        <v>1.1000000000000001</v>
      </c>
      <c r="I197" s="88">
        <v>1.1000000000000001</v>
      </c>
      <c r="J197" s="88">
        <v>1.02</v>
      </c>
      <c r="K197" s="92">
        <f t="shared" si="27"/>
        <v>1.2342000000000002</v>
      </c>
      <c r="L197" s="88">
        <v>396</v>
      </c>
      <c r="M197" s="89">
        <f t="shared" si="28"/>
        <v>0.13200000000000001</v>
      </c>
      <c r="N197" s="89">
        <f t="shared" si="29"/>
        <v>31.020000000000003</v>
      </c>
      <c r="O197" s="89">
        <f t="shared" si="30"/>
        <v>0.16291440000000004</v>
      </c>
      <c r="Q197" s="182"/>
    </row>
    <row r="198" spans="1:17" s="90" customFormat="1">
      <c r="A198" s="88">
        <v>9358</v>
      </c>
      <c r="B198" s="88" t="s">
        <v>14</v>
      </c>
      <c r="C198" s="91" t="s">
        <v>23</v>
      </c>
      <c r="D198" s="95">
        <v>1000</v>
      </c>
      <c r="E198" s="96">
        <v>646</v>
      </c>
      <c r="F198" s="96">
        <f>E198-G198</f>
        <v>40</v>
      </c>
      <c r="G198" s="96">
        <v>606</v>
      </c>
      <c r="H198" s="96">
        <v>1.1000000000000001</v>
      </c>
      <c r="I198" s="96">
        <v>0.8</v>
      </c>
      <c r="J198" s="96">
        <v>0.55000000000000004</v>
      </c>
      <c r="K198" s="89">
        <f t="shared" si="27"/>
        <v>0.4840000000000001</v>
      </c>
      <c r="L198" s="88">
        <v>396</v>
      </c>
      <c r="M198" s="89">
        <f t="shared" si="28"/>
        <v>0.39600000000000002</v>
      </c>
      <c r="N198" s="89">
        <f t="shared" si="29"/>
        <v>255.816</v>
      </c>
      <c r="O198" s="89">
        <f t="shared" si="30"/>
        <v>0.19166400000000006</v>
      </c>
      <c r="Q198" s="182"/>
    </row>
    <row r="199" spans="1:17" s="90" customFormat="1">
      <c r="A199" s="88">
        <v>9358</v>
      </c>
      <c r="B199" s="88" t="s">
        <v>14</v>
      </c>
      <c r="C199" s="91" t="s">
        <v>46</v>
      </c>
      <c r="D199" s="93">
        <v>4000</v>
      </c>
      <c r="E199" s="94">
        <v>424</v>
      </c>
      <c r="F199" s="88">
        <f>E199-G199</f>
        <v>52</v>
      </c>
      <c r="G199" s="94">
        <v>372</v>
      </c>
      <c r="H199" s="88">
        <v>1.1000000000000001</v>
      </c>
      <c r="I199" s="88">
        <v>0.8</v>
      </c>
      <c r="J199" s="88">
        <v>0.55000000000000004</v>
      </c>
      <c r="K199" s="92">
        <f t="shared" si="27"/>
        <v>0.4840000000000001</v>
      </c>
      <c r="L199" s="88">
        <v>396</v>
      </c>
      <c r="M199" s="89">
        <f t="shared" si="28"/>
        <v>9.9000000000000005E-2</v>
      </c>
      <c r="N199" s="89">
        <f t="shared" si="29"/>
        <v>41.975999999999999</v>
      </c>
      <c r="O199" s="89">
        <f t="shared" si="30"/>
        <v>4.7916000000000014E-2</v>
      </c>
      <c r="Q199" s="182"/>
    </row>
    <row r="200" spans="1:17" s="90" customFormat="1">
      <c r="A200" s="88">
        <v>9358</v>
      </c>
      <c r="B200" s="88" t="s">
        <v>14</v>
      </c>
      <c r="C200" s="91" t="s">
        <v>42</v>
      </c>
      <c r="D200" s="100">
        <v>1200</v>
      </c>
      <c r="E200" s="190">
        <v>666.4</v>
      </c>
      <c r="F200" s="190">
        <v>40</v>
      </c>
      <c r="G200" s="101">
        <v>588</v>
      </c>
      <c r="H200" s="192">
        <v>1</v>
      </c>
      <c r="I200" s="192">
        <v>0.75</v>
      </c>
      <c r="J200" s="192">
        <v>0.7</v>
      </c>
      <c r="K200" s="194">
        <v>0.5</v>
      </c>
      <c r="L200" s="88">
        <v>396</v>
      </c>
      <c r="M200" s="196">
        <f t="shared" si="28"/>
        <v>0.33</v>
      </c>
      <c r="N200" s="196">
        <f t="shared" si="29"/>
        <v>219.91200000000001</v>
      </c>
      <c r="O200" s="198">
        <f t="shared" si="30"/>
        <v>0.16500000000000001</v>
      </c>
      <c r="Q200" s="182"/>
    </row>
    <row r="201" spans="1:17" s="90" customFormat="1">
      <c r="A201" s="88">
        <v>9358</v>
      </c>
      <c r="B201" s="88" t="s">
        <v>14</v>
      </c>
      <c r="C201" s="91" t="s">
        <v>43</v>
      </c>
      <c r="D201" s="100">
        <v>1200</v>
      </c>
      <c r="E201" s="191"/>
      <c r="F201" s="191"/>
      <c r="G201" s="101">
        <v>38.4</v>
      </c>
      <c r="H201" s="193"/>
      <c r="I201" s="193"/>
      <c r="J201" s="193"/>
      <c r="K201" s="195"/>
      <c r="L201" s="88">
        <v>396</v>
      </c>
      <c r="M201" s="197"/>
      <c r="N201" s="197"/>
      <c r="O201" s="199"/>
      <c r="Q201" s="182"/>
    </row>
    <row r="202" spans="1:17" s="90" customFormat="1" ht="15" thickBot="1">
      <c r="A202" s="88">
        <v>9358</v>
      </c>
      <c r="B202" s="88" t="s">
        <v>14</v>
      </c>
      <c r="C202" s="91" t="s">
        <v>60</v>
      </c>
      <c r="D202" s="100"/>
      <c r="E202" s="102"/>
      <c r="F202" s="102"/>
      <c r="G202" s="101"/>
      <c r="H202" s="103"/>
      <c r="I202" s="103"/>
      <c r="J202" s="103"/>
      <c r="K202" s="104"/>
      <c r="L202" s="88">
        <v>396</v>
      </c>
      <c r="M202" s="105"/>
      <c r="N202" s="105"/>
      <c r="O202" s="106"/>
      <c r="Q202" s="183"/>
    </row>
    <row r="203" spans="1:17" s="46" customFormat="1">
      <c r="A203" s="47">
        <v>9355</v>
      </c>
      <c r="B203" s="47" t="s">
        <v>15</v>
      </c>
      <c r="C203" s="47" t="s">
        <v>16</v>
      </c>
      <c r="D203" s="47">
        <v>30</v>
      </c>
      <c r="E203" s="47">
        <v>669</v>
      </c>
      <c r="F203" s="47">
        <f>E203-G203</f>
        <v>53</v>
      </c>
      <c r="G203" s="47">
        <v>616</v>
      </c>
      <c r="H203" s="47">
        <v>1</v>
      </c>
      <c r="I203" s="47">
        <v>0.9</v>
      </c>
      <c r="J203" s="47">
        <v>0.73</v>
      </c>
      <c r="K203" s="47">
        <f t="shared" ref="K203:K231" si="32">H203*I203*J203</f>
        <v>0.65700000000000003</v>
      </c>
      <c r="L203" s="47">
        <v>102</v>
      </c>
      <c r="M203" s="48">
        <f t="shared" ref="M203:M232" si="33">L203/D203</f>
        <v>3.4</v>
      </c>
      <c r="N203" s="48">
        <f t="shared" ref="N203:N232" si="34">E203*M203</f>
        <v>2274.6</v>
      </c>
      <c r="O203" s="48">
        <f>M203*K203</f>
        <v>2.2338</v>
      </c>
      <c r="P203" s="176">
        <f>SUM(L203:L206)</f>
        <v>102</v>
      </c>
      <c r="Q203" s="177" t="s">
        <v>53</v>
      </c>
    </row>
    <row r="204" spans="1:17" s="46" customFormat="1">
      <c r="A204" s="47">
        <v>9355</v>
      </c>
      <c r="B204" s="47" t="s">
        <v>15</v>
      </c>
      <c r="C204" s="47" t="s">
        <v>17</v>
      </c>
      <c r="D204" s="47">
        <v>30</v>
      </c>
      <c r="E204" s="47">
        <v>669</v>
      </c>
      <c r="F204" s="47">
        <f>E204-G204</f>
        <v>53</v>
      </c>
      <c r="G204" s="47">
        <v>616</v>
      </c>
      <c r="H204" s="47">
        <v>1</v>
      </c>
      <c r="I204" s="47">
        <v>0.9</v>
      </c>
      <c r="J204" s="47">
        <v>0.73</v>
      </c>
      <c r="K204" s="47">
        <f t="shared" si="32"/>
        <v>0.65700000000000003</v>
      </c>
      <c r="L204" s="47"/>
      <c r="M204" s="48">
        <f t="shared" si="33"/>
        <v>0</v>
      </c>
      <c r="N204" s="48">
        <f t="shared" si="34"/>
        <v>0</v>
      </c>
      <c r="O204" s="48">
        <f t="shared" ref="O204:O232" si="35">M204*K204</f>
        <v>0</v>
      </c>
      <c r="P204" s="176"/>
      <c r="Q204" s="178"/>
    </row>
    <row r="205" spans="1:17" s="46" customFormat="1">
      <c r="A205" s="47">
        <v>9355</v>
      </c>
      <c r="B205" s="47" t="s">
        <v>15</v>
      </c>
      <c r="C205" s="47" t="s">
        <v>18</v>
      </c>
      <c r="D205" s="47">
        <v>30</v>
      </c>
      <c r="E205" s="47">
        <v>669</v>
      </c>
      <c r="F205" s="47">
        <f>E205-G205</f>
        <v>53</v>
      </c>
      <c r="G205" s="47">
        <v>616</v>
      </c>
      <c r="H205" s="47">
        <v>1</v>
      </c>
      <c r="I205" s="47">
        <v>0.9</v>
      </c>
      <c r="J205" s="47">
        <v>0.73</v>
      </c>
      <c r="K205" s="47">
        <f t="shared" si="32"/>
        <v>0.65700000000000003</v>
      </c>
      <c r="L205" s="47"/>
      <c r="M205" s="48">
        <f t="shared" si="33"/>
        <v>0</v>
      </c>
      <c r="N205" s="48">
        <f t="shared" si="34"/>
        <v>0</v>
      </c>
      <c r="O205" s="48">
        <f t="shared" si="35"/>
        <v>0</v>
      </c>
      <c r="P205" s="176"/>
      <c r="Q205" s="178"/>
    </row>
    <row r="206" spans="1:17" s="46" customFormat="1">
      <c r="A206" s="47">
        <v>9355</v>
      </c>
      <c r="B206" s="47" t="s">
        <v>15</v>
      </c>
      <c r="C206" s="47" t="s">
        <v>19</v>
      </c>
      <c r="D206" s="47">
        <v>30</v>
      </c>
      <c r="E206" s="47">
        <v>669</v>
      </c>
      <c r="F206" s="47">
        <f>E206-G206</f>
        <v>53</v>
      </c>
      <c r="G206" s="47">
        <v>616</v>
      </c>
      <c r="H206" s="47">
        <v>1</v>
      </c>
      <c r="I206" s="47">
        <v>0.9</v>
      </c>
      <c r="J206" s="47">
        <v>0.73</v>
      </c>
      <c r="K206" s="47">
        <f t="shared" si="32"/>
        <v>0.65700000000000003</v>
      </c>
      <c r="L206" s="47"/>
      <c r="M206" s="48">
        <f t="shared" si="33"/>
        <v>0</v>
      </c>
      <c r="N206" s="48">
        <f t="shared" si="34"/>
        <v>0</v>
      </c>
      <c r="O206" s="48">
        <f t="shared" si="35"/>
        <v>0</v>
      </c>
      <c r="P206" s="176"/>
      <c r="Q206" s="178"/>
    </row>
    <row r="207" spans="1:17" s="46" customFormat="1">
      <c r="A207" s="47">
        <v>9358</v>
      </c>
      <c r="B207" s="47" t="s">
        <v>14</v>
      </c>
      <c r="C207" s="49" t="s">
        <v>20</v>
      </c>
      <c r="D207" s="47">
        <v>5000</v>
      </c>
      <c r="E207" s="47">
        <v>490</v>
      </c>
      <c r="F207" s="47">
        <v>40</v>
      </c>
      <c r="G207" s="47">
        <v>450</v>
      </c>
      <c r="H207" s="47">
        <v>1</v>
      </c>
      <c r="I207" s="47">
        <v>0.98</v>
      </c>
      <c r="J207" s="47">
        <v>0.83</v>
      </c>
      <c r="K207" s="50">
        <f t="shared" si="32"/>
        <v>0.8133999999999999</v>
      </c>
      <c r="L207" s="47">
        <v>120</v>
      </c>
      <c r="M207" s="48">
        <f t="shared" si="33"/>
        <v>2.4E-2</v>
      </c>
      <c r="N207" s="48">
        <f t="shared" si="34"/>
        <v>11.76</v>
      </c>
      <c r="O207" s="48">
        <f t="shared" si="35"/>
        <v>1.9521599999999997E-2</v>
      </c>
      <c r="Q207" s="178"/>
    </row>
    <row r="208" spans="1:17" s="46" customFormat="1">
      <c r="A208" s="47">
        <v>9358</v>
      </c>
      <c r="B208" s="47" t="s">
        <v>14</v>
      </c>
      <c r="C208" s="49" t="s">
        <v>21</v>
      </c>
      <c r="D208" s="47">
        <v>360</v>
      </c>
      <c r="E208" s="47">
        <v>390</v>
      </c>
      <c r="F208" s="47">
        <v>40</v>
      </c>
      <c r="G208" s="47">
        <v>350</v>
      </c>
      <c r="H208" s="47">
        <v>1.05</v>
      </c>
      <c r="I208" s="47">
        <v>0.95</v>
      </c>
      <c r="J208" s="47">
        <v>0.55000000000000004</v>
      </c>
      <c r="K208" s="50">
        <f t="shared" si="32"/>
        <v>0.54862500000000003</v>
      </c>
      <c r="L208" s="47">
        <v>120</v>
      </c>
      <c r="M208" s="48">
        <f t="shared" si="33"/>
        <v>0.33333333333333331</v>
      </c>
      <c r="N208" s="48">
        <f t="shared" si="34"/>
        <v>130</v>
      </c>
      <c r="O208" s="48">
        <f t="shared" si="35"/>
        <v>0.18287500000000001</v>
      </c>
      <c r="Q208" s="178"/>
    </row>
    <row r="209" spans="1:17" s="46" customFormat="1">
      <c r="A209" s="47">
        <v>9358</v>
      </c>
      <c r="B209" s="47" t="s">
        <v>14</v>
      </c>
      <c r="C209" s="49" t="s">
        <v>22</v>
      </c>
      <c r="D209" s="51">
        <v>3000</v>
      </c>
      <c r="E209" s="52">
        <v>235</v>
      </c>
      <c r="F209" s="47">
        <v>35</v>
      </c>
      <c r="G209" s="52">
        <v>200</v>
      </c>
      <c r="H209" s="47">
        <v>1.1000000000000001</v>
      </c>
      <c r="I209" s="47">
        <v>1.1000000000000001</v>
      </c>
      <c r="J209" s="47">
        <v>1.02</v>
      </c>
      <c r="K209" s="50">
        <f t="shared" si="32"/>
        <v>1.2342000000000002</v>
      </c>
      <c r="L209" s="47">
        <v>480</v>
      </c>
      <c r="M209" s="48">
        <f t="shared" si="33"/>
        <v>0.16</v>
      </c>
      <c r="N209" s="48">
        <f t="shared" si="34"/>
        <v>37.6</v>
      </c>
      <c r="O209" s="48">
        <f t="shared" si="35"/>
        <v>0.19747200000000004</v>
      </c>
      <c r="Q209" s="178"/>
    </row>
    <row r="210" spans="1:17" s="46" customFormat="1">
      <c r="A210" s="47">
        <v>9358</v>
      </c>
      <c r="B210" s="47" t="s">
        <v>14</v>
      </c>
      <c r="C210" s="49" t="s">
        <v>23</v>
      </c>
      <c r="D210" s="53">
        <v>1000</v>
      </c>
      <c r="E210" s="54">
        <v>646</v>
      </c>
      <c r="F210" s="54">
        <f>E210-G210</f>
        <v>40</v>
      </c>
      <c r="G210" s="54">
        <v>606</v>
      </c>
      <c r="H210" s="54">
        <v>1.1000000000000001</v>
      </c>
      <c r="I210" s="54">
        <v>0.8</v>
      </c>
      <c r="J210" s="54">
        <v>0.55000000000000004</v>
      </c>
      <c r="K210" s="48">
        <f t="shared" si="32"/>
        <v>0.4840000000000001</v>
      </c>
      <c r="L210" s="47">
        <v>480</v>
      </c>
      <c r="M210" s="48">
        <f t="shared" si="33"/>
        <v>0.48</v>
      </c>
      <c r="N210" s="48">
        <f t="shared" si="34"/>
        <v>310.08</v>
      </c>
      <c r="O210" s="48">
        <f t="shared" si="35"/>
        <v>0.23232000000000003</v>
      </c>
      <c r="Q210" s="178"/>
    </row>
    <row r="211" spans="1:17" s="46" customFormat="1">
      <c r="A211" s="47">
        <v>9356</v>
      </c>
      <c r="B211" s="47" t="s">
        <v>47</v>
      </c>
      <c r="C211" s="49" t="s">
        <v>24</v>
      </c>
      <c r="D211" s="51">
        <v>4000</v>
      </c>
      <c r="E211" s="52">
        <v>424</v>
      </c>
      <c r="F211" s="47">
        <f>E211-G211</f>
        <v>52</v>
      </c>
      <c r="G211" s="52">
        <v>372</v>
      </c>
      <c r="H211" s="47">
        <v>1.1000000000000001</v>
      </c>
      <c r="I211" s="47">
        <v>0.8</v>
      </c>
      <c r="J211" s="47">
        <v>0.55000000000000004</v>
      </c>
      <c r="K211" s="50">
        <f t="shared" si="32"/>
        <v>0.4840000000000001</v>
      </c>
      <c r="L211" s="47">
        <v>856</v>
      </c>
      <c r="M211" s="48">
        <f t="shared" si="33"/>
        <v>0.214</v>
      </c>
      <c r="N211" s="48">
        <f t="shared" si="34"/>
        <v>90.736000000000004</v>
      </c>
      <c r="O211" s="48">
        <f t="shared" si="35"/>
        <v>0.10357600000000002</v>
      </c>
      <c r="Q211" s="178"/>
    </row>
    <row r="212" spans="1:17" s="46" customFormat="1">
      <c r="A212" s="47">
        <v>9358</v>
      </c>
      <c r="B212" s="47" t="s">
        <v>14</v>
      </c>
      <c r="C212" s="49" t="s">
        <v>25</v>
      </c>
      <c r="D212" s="47">
        <v>1000</v>
      </c>
      <c r="E212" s="47">
        <v>830</v>
      </c>
      <c r="F212" s="47">
        <v>40</v>
      </c>
      <c r="G212" s="47">
        <v>790</v>
      </c>
      <c r="H212" s="47">
        <v>1.04</v>
      </c>
      <c r="I212" s="47">
        <v>0.84</v>
      </c>
      <c r="J212" s="47">
        <v>0.64</v>
      </c>
      <c r="K212" s="50">
        <f t="shared" si="32"/>
        <v>0.55910400000000005</v>
      </c>
      <c r="L212" s="47">
        <v>240</v>
      </c>
      <c r="M212" s="48">
        <f t="shared" si="33"/>
        <v>0.24</v>
      </c>
      <c r="N212" s="48">
        <f t="shared" si="34"/>
        <v>199.2</v>
      </c>
      <c r="O212" s="48">
        <f t="shared" si="35"/>
        <v>0.13418496000000002</v>
      </c>
      <c r="Q212" s="178"/>
    </row>
    <row r="213" spans="1:17" s="46" customFormat="1">
      <c r="A213" s="47">
        <v>9358</v>
      </c>
      <c r="B213" s="47" t="s">
        <v>14</v>
      </c>
      <c r="C213" s="49" t="s">
        <v>26</v>
      </c>
      <c r="D213" s="47">
        <v>4000</v>
      </c>
      <c r="E213" s="47">
        <v>223</v>
      </c>
      <c r="F213" s="47">
        <v>30</v>
      </c>
      <c r="G213" s="47">
        <v>188</v>
      </c>
      <c r="H213" s="47">
        <v>0.86</v>
      </c>
      <c r="I213" s="47">
        <v>0.78</v>
      </c>
      <c r="J213" s="47">
        <v>0.74</v>
      </c>
      <c r="K213" s="50">
        <f t="shared" si="32"/>
        <v>0.49639200000000006</v>
      </c>
      <c r="L213" s="47">
        <v>240</v>
      </c>
      <c r="M213" s="48">
        <f t="shared" si="33"/>
        <v>0.06</v>
      </c>
      <c r="N213" s="48">
        <f t="shared" si="34"/>
        <v>13.379999999999999</v>
      </c>
      <c r="O213" s="48">
        <f t="shared" si="35"/>
        <v>2.9783520000000001E-2</v>
      </c>
      <c r="Q213" s="178"/>
    </row>
    <row r="214" spans="1:17" s="46" customFormat="1">
      <c r="A214" s="47">
        <v>9355</v>
      </c>
      <c r="B214" s="47" t="s">
        <v>15</v>
      </c>
      <c r="C214" s="49" t="s">
        <v>27</v>
      </c>
      <c r="D214" s="55">
        <v>12</v>
      </c>
      <c r="E214" s="55">
        <v>435</v>
      </c>
      <c r="F214" s="55">
        <v>39</v>
      </c>
      <c r="G214" s="55">
        <v>396</v>
      </c>
      <c r="H214" s="55">
        <v>0.86</v>
      </c>
      <c r="I214" s="55">
        <v>0.56000000000000005</v>
      </c>
      <c r="J214" s="55">
        <v>0.51</v>
      </c>
      <c r="K214" s="56">
        <f t="shared" si="32"/>
        <v>0.24561600000000003</v>
      </c>
      <c r="L214" s="47">
        <v>54</v>
      </c>
      <c r="M214" s="48">
        <f t="shared" si="33"/>
        <v>4.5</v>
      </c>
      <c r="N214" s="48">
        <f t="shared" si="34"/>
        <v>1957.5</v>
      </c>
      <c r="O214" s="48">
        <f t="shared" si="35"/>
        <v>1.105272</v>
      </c>
      <c r="P214" s="176">
        <f>SUM(L214:L218)</f>
        <v>94</v>
      </c>
      <c r="Q214" s="178"/>
    </row>
    <row r="215" spans="1:17" s="46" customFormat="1">
      <c r="A215" s="47">
        <v>9355</v>
      </c>
      <c r="B215" s="47" t="s">
        <v>15</v>
      </c>
      <c r="C215" s="49" t="s">
        <v>28</v>
      </c>
      <c r="D215" s="55">
        <v>12</v>
      </c>
      <c r="E215" s="55">
        <v>520</v>
      </c>
      <c r="F215" s="55">
        <v>40</v>
      </c>
      <c r="G215" s="55">
        <v>480</v>
      </c>
      <c r="H215" s="55">
        <v>1.03</v>
      </c>
      <c r="I215" s="55">
        <v>0.56000000000000005</v>
      </c>
      <c r="J215" s="55">
        <v>0.51</v>
      </c>
      <c r="K215" s="56">
        <f t="shared" si="32"/>
        <v>0.29416800000000004</v>
      </c>
      <c r="L215" s="47">
        <v>17</v>
      </c>
      <c r="M215" s="48">
        <f t="shared" si="33"/>
        <v>1.4166666666666667</v>
      </c>
      <c r="N215" s="48">
        <f t="shared" si="34"/>
        <v>736.66666666666674</v>
      </c>
      <c r="O215" s="48">
        <f t="shared" si="35"/>
        <v>0.41673800000000005</v>
      </c>
      <c r="P215" s="176"/>
      <c r="Q215" s="178"/>
    </row>
    <row r="216" spans="1:17" s="46" customFormat="1">
      <c r="A216" s="47">
        <v>9355</v>
      </c>
      <c r="B216" s="47" t="s">
        <v>15</v>
      </c>
      <c r="C216" s="49" t="s">
        <v>29</v>
      </c>
      <c r="D216" s="55">
        <v>12</v>
      </c>
      <c r="E216" s="55">
        <v>596</v>
      </c>
      <c r="F216" s="55">
        <v>44</v>
      </c>
      <c r="G216" s="55">
        <v>552</v>
      </c>
      <c r="H216" s="55">
        <v>1.17</v>
      </c>
      <c r="I216" s="55">
        <v>0.56000000000000005</v>
      </c>
      <c r="J216" s="55">
        <v>0.51</v>
      </c>
      <c r="K216" s="56">
        <f t="shared" si="32"/>
        <v>0.334152</v>
      </c>
      <c r="L216" s="47">
        <v>17</v>
      </c>
      <c r="M216" s="48">
        <f t="shared" si="33"/>
        <v>1.4166666666666667</v>
      </c>
      <c r="N216" s="48">
        <f t="shared" si="34"/>
        <v>844.33333333333337</v>
      </c>
      <c r="O216" s="48">
        <f t="shared" si="35"/>
        <v>0.47338200000000002</v>
      </c>
      <c r="P216" s="176"/>
      <c r="Q216" s="178"/>
    </row>
    <row r="217" spans="1:17" s="46" customFormat="1">
      <c r="A217" s="47">
        <v>9355</v>
      </c>
      <c r="B217" s="47" t="s">
        <v>15</v>
      </c>
      <c r="C217" s="49" t="s">
        <v>30</v>
      </c>
      <c r="D217" s="57">
        <v>12</v>
      </c>
      <c r="E217" s="55">
        <v>654</v>
      </c>
      <c r="F217" s="55">
        <v>42</v>
      </c>
      <c r="G217" s="55">
        <v>612</v>
      </c>
      <c r="H217" s="55">
        <v>1.2749999999999999</v>
      </c>
      <c r="I217" s="55">
        <v>0.56000000000000005</v>
      </c>
      <c r="J217" s="55">
        <v>0.51</v>
      </c>
      <c r="K217" s="56">
        <f t="shared" si="32"/>
        <v>0.36413999999999996</v>
      </c>
      <c r="L217" s="47">
        <v>6</v>
      </c>
      <c r="M217" s="48">
        <f t="shared" si="33"/>
        <v>0.5</v>
      </c>
      <c r="N217" s="48">
        <f t="shared" si="34"/>
        <v>327</v>
      </c>
      <c r="O217" s="48">
        <f t="shared" si="35"/>
        <v>0.18206999999999998</v>
      </c>
      <c r="P217" s="176"/>
      <c r="Q217" s="178"/>
    </row>
    <row r="218" spans="1:17" s="46" customFormat="1">
      <c r="A218" s="47">
        <v>9355</v>
      </c>
      <c r="B218" s="47" t="s">
        <v>15</v>
      </c>
      <c r="C218" s="49" t="s">
        <v>31</v>
      </c>
      <c r="D218" s="57">
        <v>6</v>
      </c>
      <c r="E218" s="55">
        <v>410</v>
      </c>
      <c r="F218" s="55">
        <v>50</v>
      </c>
      <c r="G218" s="55">
        <v>360</v>
      </c>
      <c r="H218" s="55">
        <v>1.48</v>
      </c>
      <c r="I218" s="55">
        <v>0.56000000000000005</v>
      </c>
      <c r="J218" s="55">
        <v>0.37</v>
      </c>
      <c r="K218" s="56">
        <f t="shared" si="32"/>
        <v>0.30665600000000004</v>
      </c>
      <c r="L218" s="47">
        <v>0</v>
      </c>
      <c r="M218" s="48">
        <f t="shared" si="33"/>
        <v>0</v>
      </c>
      <c r="N218" s="48">
        <f t="shared" si="34"/>
        <v>0</v>
      </c>
      <c r="O218" s="48">
        <f t="shared" si="35"/>
        <v>0</v>
      </c>
      <c r="P218" s="176"/>
      <c r="Q218" s="178"/>
    </row>
    <row r="219" spans="1:17" s="46" customFormat="1">
      <c r="A219" s="47">
        <v>9358</v>
      </c>
      <c r="B219" s="47" t="s">
        <v>14</v>
      </c>
      <c r="C219" s="49" t="s">
        <v>32</v>
      </c>
      <c r="D219" s="52">
        <v>1000</v>
      </c>
      <c r="E219" s="52">
        <f t="shared" ref="E219:E228" si="36">G219+F219</f>
        <v>395</v>
      </c>
      <c r="F219" s="52">
        <v>40</v>
      </c>
      <c r="G219" s="52">
        <v>355</v>
      </c>
      <c r="H219" s="52">
        <v>1.05</v>
      </c>
      <c r="I219" s="52">
        <v>0.9</v>
      </c>
      <c r="J219" s="52">
        <v>0.55000000000000004</v>
      </c>
      <c r="K219" s="48">
        <f t="shared" si="32"/>
        <v>0.51975000000000005</v>
      </c>
      <c r="L219" s="47">
        <v>54</v>
      </c>
      <c r="M219" s="48">
        <f t="shared" si="33"/>
        <v>5.3999999999999999E-2</v>
      </c>
      <c r="N219" s="48">
        <f t="shared" si="34"/>
        <v>21.33</v>
      </c>
      <c r="O219" s="48">
        <f t="shared" si="35"/>
        <v>2.8066500000000001E-2</v>
      </c>
      <c r="Q219" s="178"/>
    </row>
    <row r="220" spans="1:17" s="46" customFormat="1">
      <c r="A220" s="47">
        <v>9358</v>
      </c>
      <c r="B220" s="47" t="s">
        <v>14</v>
      </c>
      <c r="C220" s="49" t="s">
        <v>33</v>
      </c>
      <c r="D220" s="52">
        <v>450</v>
      </c>
      <c r="E220" s="52">
        <f t="shared" si="36"/>
        <v>360</v>
      </c>
      <c r="F220" s="52">
        <v>40</v>
      </c>
      <c r="G220" s="52">
        <v>320</v>
      </c>
      <c r="H220" s="47">
        <v>1.1000000000000001</v>
      </c>
      <c r="I220" s="52">
        <v>0.9</v>
      </c>
      <c r="J220" s="47">
        <v>0.75</v>
      </c>
      <c r="K220" s="50">
        <f t="shared" si="32"/>
        <v>0.74250000000000005</v>
      </c>
      <c r="L220" s="47">
        <v>54</v>
      </c>
      <c r="M220" s="48">
        <f t="shared" si="33"/>
        <v>0.12</v>
      </c>
      <c r="N220" s="48">
        <f t="shared" si="34"/>
        <v>43.199999999999996</v>
      </c>
      <c r="O220" s="48">
        <f t="shared" si="35"/>
        <v>8.9099999999999999E-2</v>
      </c>
      <c r="Q220" s="178"/>
    </row>
    <row r="221" spans="1:17" s="46" customFormat="1">
      <c r="A221" s="47">
        <v>9358</v>
      </c>
      <c r="B221" s="47" t="s">
        <v>14</v>
      </c>
      <c r="C221" s="49" t="s">
        <v>34</v>
      </c>
      <c r="D221" s="52">
        <v>1000</v>
      </c>
      <c r="E221" s="52">
        <f t="shared" si="36"/>
        <v>492</v>
      </c>
      <c r="F221" s="52">
        <v>40</v>
      </c>
      <c r="G221" s="52">
        <v>452</v>
      </c>
      <c r="H221" s="52">
        <v>1.1000000000000001</v>
      </c>
      <c r="I221" s="52">
        <v>1.05</v>
      </c>
      <c r="J221" s="52">
        <v>0.55000000000000004</v>
      </c>
      <c r="K221" s="48">
        <f t="shared" si="32"/>
        <v>0.6352500000000002</v>
      </c>
      <c r="L221" s="47">
        <v>17</v>
      </c>
      <c r="M221" s="48">
        <f t="shared" si="33"/>
        <v>1.7000000000000001E-2</v>
      </c>
      <c r="N221" s="48">
        <f t="shared" si="34"/>
        <v>8.3640000000000008</v>
      </c>
      <c r="O221" s="48">
        <f t="shared" si="35"/>
        <v>1.0799250000000005E-2</v>
      </c>
      <c r="Q221" s="178"/>
    </row>
    <row r="222" spans="1:17" s="46" customFormat="1">
      <c r="A222" s="47">
        <v>9358</v>
      </c>
      <c r="B222" s="47" t="s">
        <v>14</v>
      </c>
      <c r="C222" s="49" t="s">
        <v>35</v>
      </c>
      <c r="D222" s="52">
        <v>450</v>
      </c>
      <c r="E222" s="52">
        <f t="shared" si="36"/>
        <v>421.5</v>
      </c>
      <c r="F222" s="52">
        <v>40</v>
      </c>
      <c r="G222" s="52">
        <v>381.5</v>
      </c>
      <c r="H222" s="52">
        <v>1.05</v>
      </c>
      <c r="I222" s="52">
        <v>1.05</v>
      </c>
      <c r="J222" s="47">
        <v>0.75</v>
      </c>
      <c r="K222" s="50">
        <f t="shared" si="32"/>
        <v>0.82687500000000003</v>
      </c>
      <c r="L222" s="47">
        <v>17</v>
      </c>
      <c r="M222" s="48">
        <f t="shared" si="33"/>
        <v>3.7777777777777778E-2</v>
      </c>
      <c r="N222" s="48">
        <f t="shared" si="34"/>
        <v>15.923333333333334</v>
      </c>
      <c r="O222" s="48">
        <f t="shared" si="35"/>
        <v>3.1237500000000001E-2</v>
      </c>
      <c r="Q222" s="178"/>
    </row>
    <row r="223" spans="1:17" s="46" customFormat="1">
      <c r="A223" s="47">
        <v>9358</v>
      </c>
      <c r="B223" s="47" t="s">
        <v>14</v>
      </c>
      <c r="C223" s="49" t="s">
        <v>36</v>
      </c>
      <c r="D223" s="52">
        <v>1000</v>
      </c>
      <c r="E223" s="52">
        <f t="shared" si="36"/>
        <v>574</v>
      </c>
      <c r="F223" s="52">
        <v>40</v>
      </c>
      <c r="G223" s="52">
        <v>534</v>
      </c>
      <c r="H223" s="52">
        <v>1.1000000000000001</v>
      </c>
      <c r="I223" s="52">
        <v>1.2</v>
      </c>
      <c r="J223" s="52">
        <v>0.55000000000000004</v>
      </c>
      <c r="K223" s="48">
        <f t="shared" si="32"/>
        <v>0.72600000000000009</v>
      </c>
      <c r="L223" s="47">
        <v>17</v>
      </c>
      <c r="M223" s="48">
        <f t="shared" si="33"/>
        <v>1.7000000000000001E-2</v>
      </c>
      <c r="N223" s="48">
        <f t="shared" si="34"/>
        <v>9.7580000000000009</v>
      </c>
      <c r="O223" s="48">
        <f t="shared" si="35"/>
        <v>1.2342000000000002E-2</v>
      </c>
      <c r="Q223" s="178"/>
    </row>
    <row r="224" spans="1:17" s="46" customFormat="1">
      <c r="A224" s="47">
        <v>9358</v>
      </c>
      <c r="B224" s="47" t="s">
        <v>14</v>
      </c>
      <c r="C224" s="49" t="s">
        <v>37</v>
      </c>
      <c r="D224" s="52">
        <v>450</v>
      </c>
      <c r="E224" s="52">
        <f t="shared" si="36"/>
        <v>475</v>
      </c>
      <c r="F224" s="52">
        <v>40</v>
      </c>
      <c r="G224" s="52">
        <v>435</v>
      </c>
      <c r="H224" s="52">
        <v>1.05</v>
      </c>
      <c r="I224" s="52">
        <v>1.2</v>
      </c>
      <c r="J224" s="47">
        <v>0.75</v>
      </c>
      <c r="K224" s="48">
        <f t="shared" si="32"/>
        <v>0.94500000000000006</v>
      </c>
      <c r="L224" s="47">
        <v>17</v>
      </c>
      <c r="M224" s="48">
        <f t="shared" si="33"/>
        <v>3.7777777777777778E-2</v>
      </c>
      <c r="N224" s="48">
        <f t="shared" si="34"/>
        <v>17.944444444444443</v>
      </c>
      <c r="O224" s="48">
        <f t="shared" si="35"/>
        <v>3.5700000000000003E-2</v>
      </c>
      <c r="Q224" s="178"/>
    </row>
    <row r="225" spans="1:17" s="46" customFormat="1">
      <c r="A225" s="47">
        <v>9358</v>
      </c>
      <c r="B225" s="47" t="s">
        <v>14</v>
      </c>
      <c r="C225" s="49" t="s">
        <v>38</v>
      </c>
      <c r="D225" s="52">
        <v>1000</v>
      </c>
      <c r="E225" s="52">
        <f t="shared" si="36"/>
        <v>645</v>
      </c>
      <c r="F225" s="52">
        <v>40</v>
      </c>
      <c r="G225" s="52">
        <v>605</v>
      </c>
      <c r="H225" s="52">
        <v>1.1000000000000001</v>
      </c>
      <c r="I225" s="52">
        <v>1.3</v>
      </c>
      <c r="J225" s="52">
        <v>0.55000000000000004</v>
      </c>
      <c r="K225" s="48">
        <f t="shared" si="32"/>
        <v>0.7865000000000002</v>
      </c>
      <c r="L225" s="47">
        <v>6</v>
      </c>
      <c r="M225" s="48">
        <f t="shared" si="33"/>
        <v>6.0000000000000001E-3</v>
      </c>
      <c r="N225" s="48">
        <f t="shared" si="34"/>
        <v>3.87</v>
      </c>
      <c r="O225" s="48">
        <f t="shared" si="35"/>
        <v>4.719000000000001E-3</v>
      </c>
      <c r="Q225" s="178"/>
    </row>
    <row r="226" spans="1:17" s="46" customFormat="1">
      <c r="A226" s="47">
        <v>9358</v>
      </c>
      <c r="B226" s="47" t="s">
        <v>14</v>
      </c>
      <c r="C226" s="49" t="s">
        <v>39</v>
      </c>
      <c r="D226" s="52">
        <v>450</v>
      </c>
      <c r="E226" s="52">
        <f t="shared" si="36"/>
        <v>515</v>
      </c>
      <c r="F226" s="52">
        <v>40</v>
      </c>
      <c r="G226" s="52">
        <v>475</v>
      </c>
      <c r="H226" s="52">
        <v>1.05</v>
      </c>
      <c r="I226" s="52">
        <v>1.3</v>
      </c>
      <c r="J226" s="47">
        <v>0.75</v>
      </c>
      <c r="K226" s="48">
        <f t="shared" si="32"/>
        <v>1.0237500000000002</v>
      </c>
      <c r="L226" s="47">
        <v>6</v>
      </c>
      <c r="M226" s="48">
        <f t="shared" si="33"/>
        <v>1.3333333333333334E-2</v>
      </c>
      <c r="N226" s="48">
        <f t="shared" si="34"/>
        <v>6.8666666666666671</v>
      </c>
      <c r="O226" s="48">
        <f t="shared" si="35"/>
        <v>1.3650000000000002E-2</v>
      </c>
      <c r="Q226" s="178"/>
    </row>
    <row r="227" spans="1:17" s="46" customFormat="1">
      <c r="A227" s="47">
        <v>9358</v>
      </c>
      <c r="B227" s="47" t="s">
        <v>14</v>
      </c>
      <c r="C227" s="49" t="s">
        <v>40</v>
      </c>
      <c r="D227" s="52">
        <v>1000</v>
      </c>
      <c r="E227" s="52">
        <f t="shared" si="36"/>
        <v>645</v>
      </c>
      <c r="F227" s="52">
        <v>40</v>
      </c>
      <c r="G227" s="52">
        <v>605</v>
      </c>
      <c r="H227" s="52">
        <v>1.1000000000000001</v>
      </c>
      <c r="I227" s="52">
        <v>1.3</v>
      </c>
      <c r="J227" s="52">
        <v>0.55000000000000004</v>
      </c>
      <c r="K227" s="48">
        <f t="shared" si="32"/>
        <v>0.7865000000000002</v>
      </c>
      <c r="L227" s="47">
        <v>0</v>
      </c>
      <c r="M227" s="48">
        <f t="shared" si="33"/>
        <v>0</v>
      </c>
      <c r="N227" s="48">
        <f t="shared" si="34"/>
        <v>0</v>
      </c>
      <c r="O227" s="48">
        <f t="shared" si="35"/>
        <v>0</v>
      </c>
      <c r="Q227" s="178"/>
    </row>
    <row r="228" spans="1:17" s="46" customFormat="1">
      <c r="A228" s="47">
        <v>9358</v>
      </c>
      <c r="B228" s="47" t="s">
        <v>14</v>
      </c>
      <c r="C228" s="49" t="s">
        <v>41</v>
      </c>
      <c r="D228" s="52">
        <v>450</v>
      </c>
      <c r="E228" s="52">
        <f t="shared" si="36"/>
        <v>515</v>
      </c>
      <c r="F228" s="52">
        <v>40</v>
      </c>
      <c r="G228" s="52">
        <v>475</v>
      </c>
      <c r="H228" s="52">
        <v>1.05</v>
      </c>
      <c r="I228" s="52">
        <v>1.3</v>
      </c>
      <c r="J228" s="47">
        <v>0.75</v>
      </c>
      <c r="K228" s="48">
        <f t="shared" si="32"/>
        <v>1.0237500000000002</v>
      </c>
      <c r="L228" s="47">
        <v>0</v>
      </c>
      <c r="M228" s="48">
        <f t="shared" si="33"/>
        <v>0</v>
      </c>
      <c r="N228" s="48">
        <f t="shared" si="34"/>
        <v>0</v>
      </c>
      <c r="O228" s="48">
        <f t="shared" si="35"/>
        <v>0</v>
      </c>
      <c r="Q228" s="178"/>
    </row>
    <row r="229" spans="1:17" s="46" customFormat="1">
      <c r="A229" s="47">
        <v>9358</v>
      </c>
      <c r="B229" s="47" t="s">
        <v>14</v>
      </c>
      <c r="C229" s="49" t="s">
        <v>22</v>
      </c>
      <c r="D229" s="51">
        <v>3000</v>
      </c>
      <c r="E229" s="52">
        <v>235</v>
      </c>
      <c r="F229" s="47">
        <v>35</v>
      </c>
      <c r="G229" s="52">
        <v>200</v>
      </c>
      <c r="H229" s="47">
        <v>1.1000000000000001</v>
      </c>
      <c r="I229" s="47">
        <v>1.1000000000000001</v>
      </c>
      <c r="J229" s="47">
        <v>1.02</v>
      </c>
      <c r="K229" s="50">
        <f t="shared" si="32"/>
        <v>1.2342000000000002</v>
      </c>
      <c r="L229" s="47">
        <v>376</v>
      </c>
      <c r="M229" s="48">
        <f t="shared" si="33"/>
        <v>0.12533333333333332</v>
      </c>
      <c r="N229" s="48">
        <f t="shared" si="34"/>
        <v>29.45333333333333</v>
      </c>
      <c r="O229" s="48">
        <f t="shared" si="35"/>
        <v>0.1546864</v>
      </c>
      <c r="Q229" s="178"/>
    </row>
    <row r="230" spans="1:17" s="46" customFormat="1">
      <c r="A230" s="47">
        <v>9358</v>
      </c>
      <c r="B230" s="47" t="s">
        <v>14</v>
      </c>
      <c r="C230" s="49" t="s">
        <v>23</v>
      </c>
      <c r="D230" s="53">
        <v>1000</v>
      </c>
      <c r="E230" s="54">
        <v>646</v>
      </c>
      <c r="F230" s="54">
        <f>E230-G230</f>
        <v>40</v>
      </c>
      <c r="G230" s="54">
        <v>606</v>
      </c>
      <c r="H230" s="54">
        <v>1.1000000000000001</v>
      </c>
      <c r="I230" s="54">
        <v>0.8</v>
      </c>
      <c r="J230" s="54">
        <v>0.55000000000000004</v>
      </c>
      <c r="K230" s="48">
        <f t="shared" si="32"/>
        <v>0.4840000000000001</v>
      </c>
      <c r="L230" s="47">
        <v>376</v>
      </c>
      <c r="M230" s="48">
        <f t="shared" si="33"/>
        <v>0.376</v>
      </c>
      <c r="N230" s="48">
        <f t="shared" si="34"/>
        <v>242.89599999999999</v>
      </c>
      <c r="O230" s="48">
        <f t="shared" si="35"/>
        <v>0.18198400000000003</v>
      </c>
      <c r="Q230" s="178"/>
    </row>
    <row r="231" spans="1:17" s="46" customFormat="1">
      <c r="A231" s="47">
        <v>9358</v>
      </c>
      <c r="B231" s="47" t="s">
        <v>14</v>
      </c>
      <c r="C231" s="49" t="s">
        <v>46</v>
      </c>
      <c r="D231" s="51">
        <v>4000</v>
      </c>
      <c r="E231" s="52">
        <v>424</v>
      </c>
      <c r="F231" s="47">
        <f>E231-G231</f>
        <v>52</v>
      </c>
      <c r="G231" s="52">
        <v>372</v>
      </c>
      <c r="H231" s="47">
        <v>1.1000000000000001</v>
      </c>
      <c r="I231" s="47">
        <v>0.8</v>
      </c>
      <c r="J231" s="47">
        <v>0.55000000000000004</v>
      </c>
      <c r="K231" s="50">
        <f t="shared" si="32"/>
        <v>0.4840000000000001</v>
      </c>
      <c r="L231" s="47">
        <v>376</v>
      </c>
      <c r="M231" s="48">
        <f t="shared" si="33"/>
        <v>9.4E-2</v>
      </c>
      <c r="N231" s="48">
        <f t="shared" si="34"/>
        <v>39.856000000000002</v>
      </c>
      <c r="O231" s="48">
        <f t="shared" si="35"/>
        <v>4.5496000000000009E-2</v>
      </c>
      <c r="Q231" s="178"/>
    </row>
    <row r="232" spans="1:17" s="46" customFormat="1">
      <c r="A232" s="47">
        <v>9358</v>
      </c>
      <c r="B232" s="47" t="s">
        <v>14</v>
      </c>
      <c r="C232" s="49" t="s">
        <v>42</v>
      </c>
      <c r="D232" s="58">
        <v>1200</v>
      </c>
      <c r="E232" s="162">
        <v>666.4</v>
      </c>
      <c r="F232" s="162">
        <v>40</v>
      </c>
      <c r="G232" s="59">
        <v>588</v>
      </c>
      <c r="H232" s="164">
        <v>1</v>
      </c>
      <c r="I232" s="164">
        <v>0.75</v>
      </c>
      <c r="J232" s="164">
        <v>0.7</v>
      </c>
      <c r="K232" s="166">
        <v>0.5</v>
      </c>
      <c r="L232" s="47">
        <v>376</v>
      </c>
      <c r="M232" s="174">
        <f t="shared" si="33"/>
        <v>0.31333333333333335</v>
      </c>
      <c r="N232" s="174">
        <f t="shared" si="34"/>
        <v>208.80533333333335</v>
      </c>
      <c r="O232" s="184">
        <f t="shared" si="35"/>
        <v>0.15666666666666668</v>
      </c>
      <c r="Q232" s="178"/>
    </row>
    <row r="233" spans="1:17" s="46" customFormat="1">
      <c r="A233" s="47">
        <v>9358</v>
      </c>
      <c r="B233" s="47" t="s">
        <v>14</v>
      </c>
      <c r="C233" s="49" t="s">
        <v>43</v>
      </c>
      <c r="D233" s="58">
        <v>1200</v>
      </c>
      <c r="E233" s="163"/>
      <c r="F233" s="163"/>
      <c r="G233" s="59">
        <v>38.4</v>
      </c>
      <c r="H233" s="165"/>
      <c r="I233" s="165"/>
      <c r="J233" s="165"/>
      <c r="K233" s="167"/>
      <c r="L233" s="47">
        <v>376</v>
      </c>
      <c r="M233" s="175"/>
      <c r="N233" s="175"/>
      <c r="O233" s="185"/>
      <c r="Q233" s="178"/>
    </row>
    <row r="234" spans="1:17" s="46" customFormat="1" ht="15" thickBot="1">
      <c r="A234" s="47">
        <v>9358</v>
      </c>
      <c r="B234" s="47" t="s">
        <v>14</v>
      </c>
      <c r="C234" s="49" t="s">
        <v>60</v>
      </c>
      <c r="D234" s="58"/>
      <c r="E234" s="79"/>
      <c r="F234" s="79"/>
      <c r="G234" s="59"/>
      <c r="H234" s="80"/>
      <c r="I234" s="80"/>
      <c r="J234" s="80"/>
      <c r="K234" s="74"/>
      <c r="L234" s="47">
        <v>376</v>
      </c>
      <c r="M234" s="66"/>
      <c r="N234" s="66"/>
      <c r="O234" s="67"/>
      <c r="Q234" s="179"/>
    </row>
    <row r="235" spans="1:17" s="17" customFormat="1">
      <c r="A235" s="20">
        <v>9355</v>
      </c>
      <c r="B235" s="20" t="s">
        <v>15</v>
      </c>
      <c r="C235" s="20" t="s">
        <v>16</v>
      </c>
      <c r="D235" s="20">
        <v>30</v>
      </c>
      <c r="E235" s="20">
        <v>669</v>
      </c>
      <c r="F235" s="20">
        <f>E235-G235</f>
        <v>53</v>
      </c>
      <c r="G235" s="20">
        <v>616</v>
      </c>
      <c r="H235" s="20">
        <v>1</v>
      </c>
      <c r="I235" s="20">
        <v>0.9</v>
      </c>
      <c r="J235" s="20">
        <v>0.73</v>
      </c>
      <c r="K235" s="20">
        <f t="shared" ref="K235:K263" si="37">H235*I235*J235</f>
        <v>0.65700000000000003</v>
      </c>
      <c r="L235" s="20"/>
      <c r="M235" s="23">
        <f t="shared" ref="M235:M264" si="38">L235/D235</f>
        <v>0</v>
      </c>
      <c r="N235" s="23">
        <f t="shared" ref="N235:N264" si="39">E235*M235</f>
        <v>0</v>
      </c>
      <c r="O235" s="23">
        <f>M235*K235</f>
        <v>0</v>
      </c>
      <c r="P235" s="186">
        <f>SUM(L235:L238)</f>
        <v>0</v>
      </c>
      <c r="Q235" s="187" t="s">
        <v>54</v>
      </c>
    </row>
    <row r="236" spans="1:17" s="17" customFormat="1">
      <c r="A236" s="20">
        <v>9355</v>
      </c>
      <c r="B236" s="20" t="s">
        <v>15</v>
      </c>
      <c r="C236" s="20" t="s">
        <v>17</v>
      </c>
      <c r="D236" s="20">
        <v>30</v>
      </c>
      <c r="E236" s="20">
        <v>669</v>
      </c>
      <c r="F236" s="20">
        <f>E236-G236</f>
        <v>53</v>
      </c>
      <c r="G236" s="20">
        <v>616</v>
      </c>
      <c r="H236" s="20">
        <v>1</v>
      </c>
      <c r="I236" s="20">
        <v>0.9</v>
      </c>
      <c r="J236" s="20">
        <v>0.73</v>
      </c>
      <c r="K236" s="20">
        <f t="shared" si="37"/>
        <v>0.65700000000000003</v>
      </c>
      <c r="L236" s="20"/>
      <c r="M236" s="23">
        <f t="shared" si="38"/>
        <v>0</v>
      </c>
      <c r="N236" s="23">
        <f t="shared" si="39"/>
        <v>0</v>
      </c>
      <c r="O236" s="23">
        <f t="shared" ref="O236:O264" si="40">M236*K236</f>
        <v>0</v>
      </c>
      <c r="P236" s="186"/>
      <c r="Q236" s="188"/>
    </row>
    <row r="237" spans="1:17" s="17" customFormat="1">
      <c r="A237" s="20">
        <v>9355</v>
      </c>
      <c r="B237" s="20" t="s">
        <v>15</v>
      </c>
      <c r="C237" s="20" t="s">
        <v>18</v>
      </c>
      <c r="D237" s="20">
        <v>30</v>
      </c>
      <c r="E237" s="20">
        <v>669</v>
      </c>
      <c r="F237" s="20">
        <f>E237-G237</f>
        <v>53</v>
      </c>
      <c r="G237" s="20">
        <v>616</v>
      </c>
      <c r="H237" s="20">
        <v>1</v>
      </c>
      <c r="I237" s="20">
        <v>0.9</v>
      </c>
      <c r="J237" s="20">
        <v>0.73</v>
      </c>
      <c r="K237" s="20">
        <f t="shared" si="37"/>
        <v>0.65700000000000003</v>
      </c>
      <c r="L237" s="20"/>
      <c r="M237" s="23">
        <f t="shared" si="38"/>
        <v>0</v>
      </c>
      <c r="N237" s="23">
        <f t="shared" si="39"/>
        <v>0</v>
      </c>
      <c r="O237" s="23">
        <f t="shared" si="40"/>
        <v>0</v>
      </c>
      <c r="P237" s="186"/>
      <c r="Q237" s="188"/>
    </row>
    <row r="238" spans="1:17" s="17" customFormat="1">
      <c r="A238" s="20">
        <v>9355</v>
      </c>
      <c r="B238" s="20" t="s">
        <v>15</v>
      </c>
      <c r="C238" s="20" t="s">
        <v>19</v>
      </c>
      <c r="D238" s="20">
        <v>30</v>
      </c>
      <c r="E238" s="20">
        <v>669</v>
      </c>
      <c r="F238" s="20">
        <f>E238-G238</f>
        <v>53</v>
      </c>
      <c r="G238" s="20">
        <v>616</v>
      </c>
      <c r="H238" s="20">
        <v>1</v>
      </c>
      <c r="I238" s="20">
        <v>0.9</v>
      </c>
      <c r="J238" s="20">
        <v>0.73</v>
      </c>
      <c r="K238" s="20">
        <f t="shared" si="37"/>
        <v>0.65700000000000003</v>
      </c>
      <c r="L238" s="20"/>
      <c r="M238" s="23">
        <f t="shared" si="38"/>
        <v>0</v>
      </c>
      <c r="N238" s="23">
        <f t="shared" si="39"/>
        <v>0</v>
      </c>
      <c r="O238" s="23">
        <f t="shared" si="40"/>
        <v>0</v>
      </c>
      <c r="P238" s="186"/>
      <c r="Q238" s="188"/>
    </row>
    <row r="239" spans="1:17" s="17" customFormat="1">
      <c r="A239" s="20">
        <v>9358</v>
      </c>
      <c r="B239" s="20" t="s">
        <v>14</v>
      </c>
      <c r="C239" s="21" t="s">
        <v>20</v>
      </c>
      <c r="D239" s="20">
        <v>5000</v>
      </c>
      <c r="E239" s="20">
        <v>490</v>
      </c>
      <c r="F239" s="20">
        <v>40</v>
      </c>
      <c r="G239" s="20">
        <v>450</v>
      </c>
      <c r="H239" s="20">
        <v>1</v>
      </c>
      <c r="I239" s="20">
        <v>0.98</v>
      </c>
      <c r="J239" s="20">
        <v>0.83</v>
      </c>
      <c r="K239" s="22">
        <f t="shared" si="37"/>
        <v>0.8133999999999999</v>
      </c>
      <c r="L239" s="20"/>
      <c r="M239" s="23">
        <f t="shared" si="38"/>
        <v>0</v>
      </c>
      <c r="N239" s="23">
        <f t="shared" si="39"/>
        <v>0</v>
      </c>
      <c r="O239" s="23">
        <f t="shared" si="40"/>
        <v>0</v>
      </c>
      <c r="Q239" s="188"/>
    </row>
    <row r="240" spans="1:17" s="17" customFormat="1">
      <c r="A240" s="20">
        <v>9358</v>
      </c>
      <c r="B240" s="20" t="s">
        <v>14</v>
      </c>
      <c r="C240" s="21" t="s">
        <v>21</v>
      </c>
      <c r="D240" s="20">
        <v>360</v>
      </c>
      <c r="E240" s="20">
        <v>390</v>
      </c>
      <c r="F240" s="20">
        <v>40</v>
      </c>
      <c r="G240" s="20">
        <v>350</v>
      </c>
      <c r="H240" s="20">
        <v>1.05</v>
      </c>
      <c r="I240" s="20">
        <v>0.95</v>
      </c>
      <c r="J240" s="20">
        <v>0.55000000000000004</v>
      </c>
      <c r="K240" s="22">
        <f t="shared" si="37"/>
        <v>0.54862500000000003</v>
      </c>
      <c r="L240" s="20"/>
      <c r="M240" s="23">
        <f t="shared" si="38"/>
        <v>0</v>
      </c>
      <c r="N240" s="23">
        <f t="shared" si="39"/>
        <v>0</v>
      </c>
      <c r="O240" s="23">
        <f t="shared" si="40"/>
        <v>0</v>
      </c>
      <c r="Q240" s="188"/>
    </row>
    <row r="241" spans="1:17" s="17" customFormat="1">
      <c r="A241" s="20">
        <v>9358</v>
      </c>
      <c r="B241" s="20" t="s">
        <v>14</v>
      </c>
      <c r="C241" s="21" t="s">
        <v>22</v>
      </c>
      <c r="D241" s="26">
        <v>3000</v>
      </c>
      <c r="E241" s="27">
        <v>235</v>
      </c>
      <c r="F241" s="20">
        <v>35</v>
      </c>
      <c r="G241" s="27">
        <v>200</v>
      </c>
      <c r="H241" s="20">
        <v>1.1000000000000001</v>
      </c>
      <c r="I241" s="20">
        <v>1.1000000000000001</v>
      </c>
      <c r="J241" s="20">
        <v>1.02</v>
      </c>
      <c r="K241" s="22">
        <f t="shared" si="37"/>
        <v>1.2342000000000002</v>
      </c>
      <c r="L241" s="20"/>
      <c r="M241" s="23">
        <f t="shared" si="38"/>
        <v>0</v>
      </c>
      <c r="N241" s="23">
        <f t="shared" si="39"/>
        <v>0</v>
      </c>
      <c r="O241" s="23">
        <f t="shared" si="40"/>
        <v>0</v>
      </c>
      <c r="Q241" s="188"/>
    </row>
    <row r="242" spans="1:17" s="17" customFormat="1">
      <c r="A242" s="20">
        <v>9358</v>
      </c>
      <c r="B242" s="20" t="s">
        <v>14</v>
      </c>
      <c r="C242" s="21" t="s">
        <v>23</v>
      </c>
      <c r="D242" s="24">
        <v>1000</v>
      </c>
      <c r="E242" s="25">
        <v>646</v>
      </c>
      <c r="F242" s="25">
        <f>E242-G242</f>
        <v>40</v>
      </c>
      <c r="G242" s="25">
        <v>606</v>
      </c>
      <c r="H242" s="25">
        <v>1.1000000000000001</v>
      </c>
      <c r="I242" s="25">
        <v>0.8</v>
      </c>
      <c r="J242" s="25">
        <v>0.55000000000000004</v>
      </c>
      <c r="K242" s="23">
        <f t="shared" si="37"/>
        <v>0.4840000000000001</v>
      </c>
      <c r="L242" s="20"/>
      <c r="M242" s="23">
        <f t="shared" si="38"/>
        <v>0</v>
      </c>
      <c r="N242" s="23">
        <f t="shared" si="39"/>
        <v>0</v>
      </c>
      <c r="O242" s="23">
        <f t="shared" si="40"/>
        <v>0</v>
      </c>
      <c r="Q242" s="188"/>
    </row>
    <row r="243" spans="1:17" s="17" customFormat="1">
      <c r="A243" s="20">
        <v>9356</v>
      </c>
      <c r="B243" s="20" t="s">
        <v>47</v>
      </c>
      <c r="C243" s="21" t="s">
        <v>24</v>
      </c>
      <c r="D243" s="26">
        <v>4000</v>
      </c>
      <c r="E243" s="27">
        <v>424</v>
      </c>
      <c r="F243" s="20">
        <f>E243-G243</f>
        <v>52</v>
      </c>
      <c r="G243" s="27">
        <v>372</v>
      </c>
      <c r="H243" s="20">
        <v>1.1000000000000001</v>
      </c>
      <c r="I243" s="20">
        <v>0.8</v>
      </c>
      <c r="J243" s="20">
        <v>0.55000000000000004</v>
      </c>
      <c r="K243" s="22">
        <f t="shared" si="37"/>
        <v>0.4840000000000001</v>
      </c>
      <c r="L243" s="20">
        <v>856</v>
      </c>
      <c r="M243" s="23">
        <f t="shared" si="38"/>
        <v>0.214</v>
      </c>
      <c r="N243" s="23">
        <f t="shared" si="39"/>
        <v>90.736000000000004</v>
      </c>
      <c r="O243" s="23">
        <f t="shared" si="40"/>
        <v>0.10357600000000002</v>
      </c>
      <c r="Q243" s="188"/>
    </row>
    <row r="244" spans="1:17" s="17" customFormat="1">
      <c r="A244" s="20">
        <v>9358</v>
      </c>
      <c r="B244" s="20" t="s">
        <v>14</v>
      </c>
      <c r="C244" s="21" t="s">
        <v>25</v>
      </c>
      <c r="D244" s="20">
        <v>1000</v>
      </c>
      <c r="E244" s="20">
        <v>830</v>
      </c>
      <c r="F244" s="20">
        <v>40</v>
      </c>
      <c r="G244" s="20">
        <v>790</v>
      </c>
      <c r="H244" s="20">
        <v>1.04</v>
      </c>
      <c r="I244" s="20">
        <v>0.84</v>
      </c>
      <c r="J244" s="20">
        <v>0.64</v>
      </c>
      <c r="K244" s="22">
        <f t="shared" si="37"/>
        <v>0.55910400000000005</v>
      </c>
      <c r="L244" s="20"/>
      <c r="M244" s="23">
        <f t="shared" si="38"/>
        <v>0</v>
      </c>
      <c r="N244" s="23">
        <f t="shared" si="39"/>
        <v>0</v>
      </c>
      <c r="O244" s="23">
        <f t="shared" si="40"/>
        <v>0</v>
      </c>
      <c r="Q244" s="188"/>
    </row>
    <row r="245" spans="1:17" s="17" customFormat="1">
      <c r="A245" s="20">
        <v>9358</v>
      </c>
      <c r="B245" s="20" t="s">
        <v>14</v>
      </c>
      <c r="C245" s="21" t="s">
        <v>26</v>
      </c>
      <c r="D245" s="20">
        <v>4000</v>
      </c>
      <c r="E245" s="20">
        <v>223</v>
      </c>
      <c r="F245" s="20">
        <v>30</v>
      </c>
      <c r="G245" s="20">
        <v>188</v>
      </c>
      <c r="H245" s="20">
        <v>0.86</v>
      </c>
      <c r="I245" s="20">
        <v>0.78</v>
      </c>
      <c r="J245" s="20">
        <v>0.74</v>
      </c>
      <c r="K245" s="22">
        <f t="shared" si="37"/>
        <v>0.49639200000000006</v>
      </c>
      <c r="L245" s="20"/>
      <c r="M245" s="23">
        <f t="shared" si="38"/>
        <v>0</v>
      </c>
      <c r="N245" s="23">
        <f t="shared" si="39"/>
        <v>0</v>
      </c>
      <c r="O245" s="23">
        <f t="shared" si="40"/>
        <v>0</v>
      </c>
      <c r="Q245" s="188"/>
    </row>
    <row r="246" spans="1:17" s="17" customFormat="1">
      <c r="A246" s="20">
        <v>9355</v>
      </c>
      <c r="B246" s="20" t="s">
        <v>15</v>
      </c>
      <c r="C246" s="21" t="s">
        <v>27</v>
      </c>
      <c r="D246" s="30">
        <v>12</v>
      </c>
      <c r="E246" s="30">
        <v>435</v>
      </c>
      <c r="F246" s="30">
        <v>39</v>
      </c>
      <c r="G246" s="30">
        <v>396</v>
      </c>
      <c r="H246" s="30">
        <v>0.86</v>
      </c>
      <c r="I246" s="30">
        <v>0.56000000000000005</v>
      </c>
      <c r="J246" s="30">
        <v>0.51</v>
      </c>
      <c r="K246" s="31">
        <f t="shared" si="37"/>
        <v>0.24561600000000003</v>
      </c>
      <c r="L246" s="20"/>
      <c r="M246" s="23">
        <f t="shared" si="38"/>
        <v>0</v>
      </c>
      <c r="N246" s="23">
        <f t="shared" si="39"/>
        <v>0</v>
      </c>
      <c r="O246" s="23">
        <f t="shared" si="40"/>
        <v>0</v>
      </c>
      <c r="P246" s="186">
        <f>SUM(L246:L250)</f>
        <v>0</v>
      </c>
      <c r="Q246" s="188"/>
    </row>
    <row r="247" spans="1:17" s="17" customFormat="1">
      <c r="A247" s="20">
        <v>9355</v>
      </c>
      <c r="B247" s="20" t="s">
        <v>15</v>
      </c>
      <c r="C247" s="21" t="s">
        <v>28</v>
      </c>
      <c r="D247" s="30">
        <v>12</v>
      </c>
      <c r="E247" s="30">
        <v>520</v>
      </c>
      <c r="F247" s="30">
        <v>40</v>
      </c>
      <c r="G247" s="30">
        <v>480</v>
      </c>
      <c r="H247" s="30">
        <v>1.03</v>
      </c>
      <c r="I247" s="30">
        <v>0.56000000000000005</v>
      </c>
      <c r="J247" s="30">
        <v>0.51</v>
      </c>
      <c r="K247" s="31">
        <f t="shared" si="37"/>
        <v>0.29416800000000004</v>
      </c>
      <c r="L247" s="20"/>
      <c r="M247" s="23">
        <f t="shared" si="38"/>
        <v>0</v>
      </c>
      <c r="N247" s="23">
        <f t="shared" si="39"/>
        <v>0</v>
      </c>
      <c r="O247" s="23">
        <f t="shared" si="40"/>
        <v>0</v>
      </c>
      <c r="P247" s="186"/>
      <c r="Q247" s="188"/>
    </row>
    <row r="248" spans="1:17" s="17" customFormat="1">
      <c r="A248" s="20">
        <v>9355</v>
      </c>
      <c r="B248" s="20" t="s">
        <v>15</v>
      </c>
      <c r="C248" s="21" t="s">
        <v>29</v>
      </c>
      <c r="D248" s="30">
        <v>12</v>
      </c>
      <c r="E248" s="30">
        <v>596</v>
      </c>
      <c r="F248" s="30">
        <v>44</v>
      </c>
      <c r="G248" s="30">
        <v>552</v>
      </c>
      <c r="H248" s="30">
        <v>1.17</v>
      </c>
      <c r="I248" s="30">
        <v>0.56000000000000005</v>
      </c>
      <c r="J248" s="30">
        <v>0.51</v>
      </c>
      <c r="K248" s="31">
        <f t="shared" si="37"/>
        <v>0.334152</v>
      </c>
      <c r="L248" s="20"/>
      <c r="M248" s="23">
        <f t="shared" si="38"/>
        <v>0</v>
      </c>
      <c r="N248" s="23">
        <f t="shared" si="39"/>
        <v>0</v>
      </c>
      <c r="O248" s="23">
        <f t="shared" si="40"/>
        <v>0</v>
      </c>
      <c r="P248" s="186"/>
      <c r="Q248" s="188"/>
    </row>
    <row r="249" spans="1:17" s="17" customFormat="1">
      <c r="A249" s="20">
        <v>9355</v>
      </c>
      <c r="B249" s="20" t="s">
        <v>15</v>
      </c>
      <c r="C249" s="21" t="s">
        <v>30</v>
      </c>
      <c r="D249" s="32">
        <v>12</v>
      </c>
      <c r="E249" s="30">
        <v>654</v>
      </c>
      <c r="F249" s="30">
        <v>42</v>
      </c>
      <c r="G249" s="30">
        <v>612</v>
      </c>
      <c r="H249" s="30">
        <v>1.2749999999999999</v>
      </c>
      <c r="I249" s="30">
        <v>0.56000000000000005</v>
      </c>
      <c r="J249" s="30">
        <v>0.51</v>
      </c>
      <c r="K249" s="31">
        <f t="shared" si="37"/>
        <v>0.36413999999999996</v>
      </c>
      <c r="L249" s="20"/>
      <c r="M249" s="23">
        <f t="shared" si="38"/>
        <v>0</v>
      </c>
      <c r="N249" s="23">
        <f t="shared" si="39"/>
        <v>0</v>
      </c>
      <c r="O249" s="23">
        <f t="shared" si="40"/>
        <v>0</v>
      </c>
      <c r="P249" s="186"/>
      <c r="Q249" s="188"/>
    </row>
    <row r="250" spans="1:17" s="17" customFormat="1">
      <c r="A250" s="20">
        <v>9355</v>
      </c>
      <c r="B250" s="20" t="s">
        <v>15</v>
      </c>
      <c r="C250" s="21" t="s">
        <v>31</v>
      </c>
      <c r="D250" s="32">
        <v>6</v>
      </c>
      <c r="E250" s="30">
        <v>410</v>
      </c>
      <c r="F250" s="30">
        <v>50</v>
      </c>
      <c r="G250" s="30">
        <v>360</v>
      </c>
      <c r="H250" s="30">
        <v>1.48</v>
      </c>
      <c r="I250" s="30">
        <v>0.56000000000000005</v>
      </c>
      <c r="J250" s="30">
        <v>0.37</v>
      </c>
      <c r="K250" s="31">
        <f t="shared" si="37"/>
        <v>0.30665600000000004</v>
      </c>
      <c r="L250" s="20"/>
      <c r="M250" s="23">
        <f t="shared" si="38"/>
        <v>0</v>
      </c>
      <c r="N250" s="23">
        <f t="shared" si="39"/>
        <v>0</v>
      </c>
      <c r="O250" s="23">
        <f t="shared" si="40"/>
        <v>0</v>
      </c>
      <c r="P250" s="186"/>
      <c r="Q250" s="188"/>
    </row>
    <row r="251" spans="1:17" s="17" customFormat="1">
      <c r="A251" s="20">
        <v>9358</v>
      </c>
      <c r="B251" s="20" t="s">
        <v>14</v>
      </c>
      <c r="C251" s="21" t="s">
        <v>32</v>
      </c>
      <c r="D251" s="27">
        <v>1000</v>
      </c>
      <c r="E251" s="27">
        <f t="shared" ref="E251:E260" si="41">G251+F251</f>
        <v>395</v>
      </c>
      <c r="F251" s="27">
        <v>40</v>
      </c>
      <c r="G251" s="27">
        <v>355</v>
      </c>
      <c r="H251" s="27">
        <v>1.05</v>
      </c>
      <c r="I251" s="27">
        <v>0.9</v>
      </c>
      <c r="J251" s="27">
        <v>0.55000000000000004</v>
      </c>
      <c r="K251" s="23">
        <f t="shared" si="37"/>
        <v>0.51975000000000005</v>
      </c>
      <c r="L251" s="20"/>
      <c r="M251" s="23">
        <f t="shared" si="38"/>
        <v>0</v>
      </c>
      <c r="N251" s="23">
        <f t="shared" si="39"/>
        <v>0</v>
      </c>
      <c r="O251" s="23">
        <f t="shared" si="40"/>
        <v>0</v>
      </c>
      <c r="Q251" s="188"/>
    </row>
    <row r="252" spans="1:17" s="17" customFormat="1">
      <c r="A252" s="20">
        <v>9358</v>
      </c>
      <c r="B252" s="20" t="s">
        <v>14</v>
      </c>
      <c r="C252" s="21" t="s">
        <v>33</v>
      </c>
      <c r="D252" s="27">
        <v>450</v>
      </c>
      <c r="E252" s="27">
        <f t="shared" si="41"/>
        <v>360</v>
      </c>
      <c r="F252" s="27">
        <v>40</v>
      </c>
      <c r="G252" s="27">
        <v>320</v>
      </c>
      <c r="H252" s="20">
        <v>1.1000000000000001</v>
      </c>
      <c r="I252" s="27">
        <v>0.9</v>
      </c>
      <c r="J252" s="20">
        <v>0.75</v>
      </c>
      <c r="K252" s="22">
        <f t="shared" si="37"/>
        <v>0.74250000000000005</v>
      </c>
      <c r="L252" s="20"/>
      <c r="M252" s="23">
        <f t="shared" si="38"/>
        <v>0</v>
      </c>
      <c r="N252" s="23">
        <f t="shared" si="39"/>
        <v>0</v>
      </c>
      <c r="O252" s="23">
        <f t="shared" si="40"/>
        <v>0</v>
      </c>
      <c r="Q252" s="188"/>
    </row>
    <row r="253" spans="1:17" s="17" customFormat="1">
      <c r="A253" s="20">
        <v>9358</v>
      </c>
      <c r="B253" s="20" t="s">
        <v>14</v>
      </c>
      <c r="C253" s="21" t="s">
        <v>34</v>
      </c>
      <c r="D253" s="27">
        <v>1000</v>
      </c>
      <c r="E253" s="27">
        <f t="shared" si="41"/>
        <v>492</v>
      </c>
      <c r="F253" s="27">
        <v>40</v>
      </c>
      <c r="G253" s="27">
        <v>452</v>
      </c>
      <c r="H253" s="27">
        <v>1.1000000000000001</v>
      </c>
      <c r="I253" s="27">
        <v>1.05</v>
      </c>
      <c r="J253" s="27">
        <v>0.55000000000000004</v>
      </c>
      <c r="K253" s="23">
        <f t="shared" si="37"/>
        <v>0.6352500000000002</v>
      </c>
      <c r="L253" s="20"/>
      <c r="M253" s="23">
        <f t="shared" si="38"/>
        <v>0</v>
      </c>
      <c r="N253" s="23">
        <f t="shared" si="39"/>
        <v>0</v>
      </c>
      <c r="O253" s="23">
        <f t="shared" si="40"/>
        <v>0</v>
      </c>
      <c r="Q253" s="188"/>
    </row>
    <row r="254" spans="1:17" s="17" customFormat="1">
      <c r="A254" s="20">
        <v>9358</v>
      </c>
      <c r="B254" s="20" t="s">
        <v>14</v>
      </c>
      <c r="C254" s="21" t="s">
        <v>35</v>
      </c>
      <c r="D254" s="27">
        <v>450</v>
      </c>
      <c r="E254" s="27">
        <f t="shared" si="41"/>
        <v>421.5</v>
      </c>
      <c r="F254" s="27">
        <v>40</v>
      </c>
      <c r="G254" s="27">
        <v>381.5</v>
      </c>
      <c r="H254" s="27">
        <v>1.05</v>
      </c>
      <c r="I254" s="27">
        <v>1.05</v>
      </c>
      <c r="J254" s="20">
        <v>0.75</v>
      </c>
      <c r="K254" s="22">
        <f t="shared" si="37"/>
        <v>0.82687500000000003</v>
      </c>
      <c r="L254" s="20"/>
      <c r="M254" s="23">
        <f t="shared" si="38"/>
        <v>0</v>
      </c>
      <c r="N254" s="23">
        <f t="shared" si="39"/>
        <v>0</v>
      </c>
      <c r="O254" s="23">
        <f t="shared" si="40"/>
        <v>0</v>
      </c>
      <c r="Q254" s="188"/>
    </row>
    <row r="255" spans="1:17" s="17" customFormat="1">
      <c r="A255" s="20">
        <v>9358</v>
      </c>
      <c r="B255" s="20" t="s">
        <v>14</v>
      </c>
      <c r="C255" s="21" t="s">
        <v>36</v>
      </c>
      <c r="D255" s="27">
        <v>1000</v>
      </c>
      <c r="E255" s="27">
        <f t="shared" si="41"/>
        <v>574</v>
      </c>
      <c r="F255" s="27">
        <v>40</v>
      </c>
      <c r="G255" s="27">
        <v>534</v>
      </c>
      <c r="H255" s="27">
        <v>1.1000000000000001</v>
      </c>
      <c r="I255" s="27">
        <v>1.2</v>
      </c>
      <c r="J255" s="27">
        <v>0.55000000000000004</v>
      </c>
      <c r="K255" s="23">
        <f t="shared" si="37"/>
        <v>0.72600000000000009</v>
      </c>
      <c r="L255" s="20"/>
      <c r="M255" s="23">
        <f t="shared" si="38"/>
        <v>0</v>
      </c>
      <c r="N255" s="23">
        <f t="shared" si="39"/>
        <v>0</v>
      </c>
      <c r="O255" s="23">
        <f t="shared" si="40"/>
        <v>0</v>
      </c>
      <c r="Q255" s="188"/>
    </row>
    <row r="256" spans="1:17" s="17" customFormat="1">
      <c r="A256" s="20">
        <v>9358</v>
      </c>
      <c r="B256" s="20" t="s">
        <v>14</v>
      </c>
      <c r="C256" s="21" t="s">
        <v>37</v>
      </c>
      <c r="D256" s="27">
        <v>450</v>
      </c>
      <c r="E256" s="27">
        <f t="shared" si="41"/>
        <v>475</v>
      </c>
      <c r="F256" s="27">
        <v>40</v>
      </c>
      <c r="G256" s="27">
        <v>435</v>
      </c>
      <c r="H256" s="27">
        <v>1.05</v>
      </c>
      <c r="I256" s="27">
        <v>1.2</v>
      </c>
      <c r="J256" s="20">
        <v>0.75</v>
      </c>
      <c r="K256" s="23">
        <f t="shared" si="37"/>
        <v>0.94500000000000006</v>
      </c>
      <c r="L256" s="20"/>
      <c r="M256" s="23">
        <f t="shared" si="38"/>
        <v>0</v>
      </c>
      <c r="N256" s="23">
        <f t="shared" si="39"/>
        <v>0</v>
      </c>
      <c r="O256" s="23">
        <f t="shared" si="40"/>
        <v>0</v>
      </c>
      <c r="Q256" s="188"/>
    </row>
    <row r="257" spans="1:17" s="17" customFormat="1">
      <c r="A257" s="20">
        <v>9358</v>
      </c>
      <c r="B257" s="20" t="s">
        <v>14</v>
      </c>
      <c r="C257" s="21" t="s">
        <v>38</v>
      </c>
      <c r="D257" s="27">
        <v>1000</v>
      </c>
      <c r="E257" s="27">
        <f t="shared" si="41"/>
        <v>645</v>
      </c>
      <c r="F257" s="27">
        <v>40</v>
      </c>
      <c r="G257" s="27">
        <v>605</v>
      </c>
      <c r="H257" s="27">
        <v>1.1000000000000001</v>
      </c>
      <c r="I257" s="27">
        <v>1.3</v>
      </c>
      <c r="J257" s="27">
        <v>0.55000000000000004</v>
      </c>
      <c r="K257" s="23">
        <f t="shared" si="37"/>
        <v>0.7865000000000002</v>
      </c>
      <c r="L257" s="20"/>
      <c r="M257" s="23">
        <f t="shared" si="38"/>
        <v>0</v>
      </c>
      <c r="N257" s="23">
        <f t="shared" si="39"/>
        <v>0</v>
      </c>
      <c r="O257" s="23">
        <f t="shared" si="40"/>
        <v>0</v>
      </c>
      <c r="Q257" s="188"/>
    </row>
    <row r="258" spans="1:17" s="17" customFormat="1">
      <c r="A258" s="20">
        <v>9358</v>
      </c>
      <c r="B258" s="20" t="s">
        <v>14</v>
      </c>
      <c r="C258" s="21" t="s">
        <v>39</v>
      </c>
      <c r="D258" s="27">
        <v>450</v>
      </c>
      <c r="E258" s="27">
        <f t="shared" si="41"/>
        <v>515</v>
      </c>
      <c r="F258" s="27">
        <v>40</v>
      </c>
      <c r="G258" s="27">
        <v>475</v>
      </c>
      <c r="H258" s="27">
        <v>1.05</v>
      </c>
      <c r="I258" s="27">
        <v>1.3</v>
      </c>
      <c r="J258" s="20">
        <v>0.75</v>
      </c>
      <c r="K258" s="23">
        <f t="shared" si="37"/>
        <v>1.0237500000000002</v>
      </c>
      <c r="L258" s="20"/>
      <c r="M258" s="23">
        <f t="shared" si="38"/>
        <v>0</v>
      </c>
      <c r="N258" s="23">
        <f t="shared" si="39"/>
        <v>0</v>
      </c>
      <c r="O258" s="23">
        <f t="shared" si="40"/>
        <v>0</v>
      </c>
      <c r="Q258" s="188"/>
    </row>
    <row r="259" spans="1:17" s="17" customFormat="1">
      <c r="A259" s="20">
        <v>9358</v>
      </c>
      <c r="B259" s="20" t="s">
        <v>14</v>
      </c>
      <c r="C259" s="21" t="s">
        <v>40</v>
      </c>
      <c r="D259" s="27">
        <v>1000</v>
      </c>
      <c r="E259" s="27">
        <f t="shared" si="41"/>
        <v>645</v>
      </c>
      <c r="F259" s="27">
        <v>40</v>
      </c>
      <c r="G259" s="27">
        <v>605</v>
      </c>
      <c r="H259" s="27">
        <v>1.1000000000000001</v>
      </c>
      <c r="I259" s="27">
        <v>1.3</v>
      </c>
      <c r="J259" s="27">
        <v>0.55000000000000004</v>
      </c>
      <c r="K259" s="23">
        <f t="shared" si="37"/>
        <v>0.7865000000000002</v>
      </c>
      <c r="L259" s="20"/>
      <c r="M259" s="23">
        <f t="shared" si="38"/>
        <v>0</v>
      </c>
      <c r="N259" s="23">
        <f t="shared" si="39"/>
        <v>0</v>
      </c>
      <c r="O259" s="23">
        <f t="shared" si="40"/>
        <v>0</v>
      </c>
      <c r="Q259" s="188"/>
    </row>
    <row r="260" spans="1:17" s="17" customFormat="1">
      <c r="A260" s="20">
        <v>9358</v>
      </c>
      <c r="B260" s="20" t="s">
        <v>14</v>
      </c>
      <c r="C260" s="21" t="s">
        <v>41</v>
      </c>
      <c r="D260" s="27">
        <v>450</v>
      </c>
      <c r="E260" s="27">
        <f t="shared" si="41"/>
        <v>515</v>
      </c>
      <c r="F260" s="27">
        <v>40</v>
      </c>
      <c r="G260" s="27">
        <v>475</v>
      </c>
      <c r="H260" s="27">
        <v>1.05</v>
      </c>
      <c r="I260" s="27">
        <v>1.3</v>
      </c>
      <c r="J260" s="20">
        <v>0.75</v>
      </c>
      <c r="K260" s="23">
        <f t="shared" si="37"/>
        <v>1.0237500000000002</v>
      </c>
      <c r="L260" s="20"/>
      <c r="M260" s="23">
        <f t="shared" si="38"/>
        <v>0</v>
      </c>
      <c r="N260" s="23">
        <f t="shared" si="39"/>
        <v>0</v>
      </c>
      <c r="O260" s="23">
        <f t="shared" si="40"/>
        <v>0</v>
      </c>
      <c r="Q260" s="188"/>
    </row>
    <row r="261" spans="1:17" s="17" customFormat="1">
      <c r="A261" s="20">
        <v>9358</v>
      </c>
      <c r="B261" s="20" t="s">
        <v>14</v>
      </c>
      <c r="C261" s="21" t="s">
        <v>22</v>
      </c>
      <c r="D261" s="26">
        <v>3000</v>
      </c>
      <c r="E261" s="27">
        <v>235</v>
      </c>
      <c r="F261" s="20">
        <v>35</v>
      </c>
      <c r="G261" s="27">
        <v>200</v>
      </c>
      <c r="H261" s="20">
        <v>1.1000000000000001</v>
      </c>
      <c r="I261" s="20">
        <v>1.1000000000000001</v>
      </c>
      <c r="J261" s="20">
        <v>1.02</v>
      </c>
      <c r="K261" s="22">
        <f t="shared" si="37"/>
        <v>1.2342000000000002</v>
      </c>
      <c r="L261" s="20"/>
      <c r="M261" s="23">
        <f t="shared" si="38"/>
        <v>0</v>
      </c>
      <c r="N261" s="23">
        <f t="shared" si="39"/>
        <v>0</v>
      </c>
      <c r="O261" s="23">
        <f t="shared" si="40"/>
        <v>0</v>
      </c>
      <c r="Q261" s="188"/>
    </row>
    <row r="262" spans="1:17" s="17" customFormat="1">
      <c r="A262" s="20">
        <v>9358</v>
      </c>
      <c r="B262" s="20" t="s">
        <v>14</v>
      </c>
      <c r="C262" s="21" t="s">
        <v>23</v>
      </c>
      <c r="D262" s="24">
        <v>1000</v>
      </c>
      <c r="E262" s="25">
        <v>646</v>
      </c>
      <c r="F262" s="25">
        <f>E262-G262</f>
        <v>40</v>
      </c>
      <c r="G262" s="25">
        <v>606</v>
      </c>
      <c r="H262" s="25">
        <v>1.1000000000000001</v>
      </c>
      <c r="I262" s="25">
        <v>0.8</v>
      </c>
      <c r="J262" s="25">
        <v>0.55000000000000004</v>
      </c>
      <c r="K262" s="23">
        <f t="shared" si="37"/>
        <v>0.4840000000000001</v>
      </c>
      <c r="L262" s="20"/>
      <c r="M262" s="23">
        <f t="shared" si="38"/>
        <v>0</v>
      </c>
      <c r="N262" s="23">
        <f t="shared" si="39"/>
        <v>0</v>
      </c>
      <c r="O262" s="23">
        <f t="shared" si="40"/>
        <v>0</v>
      </c>
      <c r="Q262" s="188"/>
    </row>
    <row r="263" spans="1:17" s="17" customFormat="1">
      <c r="A263" s="20">
        <v>9358</v>
      </c>
      <c r="B263" s="20" t="s">
        <v>14</v>
      </c>
      <c r="C263" s="21" t="s">
        <v>46</v>
      </c>
      <c r="D263" s="26">
        <v>4000</v>
      </c>
      <c r="E263" s="27">
        <v>424</v>
      </c>
      <c r="F263" s="20">
        <f>E263-G263</f>
        <v>52</v>
      </c>
      <c r="G263" s="27">
        <v>372</v>
      </c>
      <c r="H263" s="20">
        <v>1.1000000000000001</v>
      </c>
      <c r="I263" s="20">
        <v>0.8</v>
      </c>
      <c r="J263" s="20">
        <v>0.55000000000000004</v>
      </c>
      <c r="K263" s="22">
        <f t="shared" si="37"/>
        <v>0.4840000000000001</v>
      </c>
      <c r="L263" s="20"/>
      <c r="M263" s="23">
        <f t="shared" si="38"/>
        <v>0</v>
      </c>
      <c r="N263" s="23">
        <f t="shared" si="39"/>
        <v>0</v>
      </c>
      <c r="O263" s="23">
        <f t="shared" si="40"/>
        <v>0</v>
      </c>
      <c r="Q263" s="188"/>
    </row>
    <row r="264" spans="1:17" s="17" customFormat="1">
      <c r="A264" s="20">
        <v>9358</v>
      </c>
      <c r="B264" s="20" t="s">
        <v>14</v>
      </c>
      <c r="C264" s="21" t="s">
        <v>42</v>
      </c>
      <c r="D264" s="28">
        <v>1200</v>
      </c>
      <c r="E264" s="168">
        <v>666.4</v>
      </c>
      <c r="F264" s="168">
        <v>40</v>
      </c>
      <c r="G264" s="29">
        <v>588</v>
      </c>
      <c r="H264" s="170">
        <v>1</v>
      </c>
      <c r="I264" s="170">
        <v>0.75</v>
      </c>
      <c r="J264" s="170">
        <v>0.7</v>
      </c>
      <c r="K264" s="172">
        <v>0.5</v>
      </c>
      <c r="L264" s="20"/>
      <c r="M264" s="160">
        <f t="shared" si="38"/>
        <v>0</v>
      </c>
      <c r="N264" s="160">
        <f t="shared" si="39"/>
        <v>0</v>
      </c>
      <c r="O264" s="150">
        <f t="shared" si="40"/>
        <v>0</v>
      </c>
      <c r="Q264" s="188"/>
    </row>
    <row r="265" spans="1:17" s="17" customFormat="1">
      <c r="A265" s="20">
        <v>9358</v>
      </c>
      <c r="B265" s="20" t="s">
        <v>14</v>
      </c>
      <c r="C265" s="21" t="s">
        <v>43</v>
      </c>
      <c r="D265" s="28">
        <v>1200</v>
      </c>
      <c r="E265" s="169"/>
      <c r="F265" s="169"/>
      <c r="G265" s="29">
        <v>38.4</v>
      </c>
      <c r="H265" s="171"/>
      <c r="I265" s="171"/>
      <c r="J265" s="171"/>
      <c r="K265" s="173"/>
      <c r="L265" s="20"/>
      <c r="M265" s="161"/>
      <c r="N265" s="161"/>
      <c r="O265" s="151"/>
      <c r="Q265" s="188"/>
    </row>
    <row r="266" spans="1:17" s="17" customFormat="1" ht="15" thickBot="1">
      <c r="A266" s="20">
        <v>9358</v>
      </c>
      <c r="B266" s="20" t="s">
        <v>14</v>
      </c>
      <c r="C266" s="21" t="s">
        <v>60</v>
      </c>
      <c r="D266" s="28"/>
      <c r="E266" s="75"/>
      <c r="F266" s="75"/>
      <c r="G266" s="29"/>
      <c r="H266" s="76"/>
      <c r="I266" s="76"/>
      <c r="J266" s="76"/>
      <c r="K266" s="70"/>
      <c r="L266" s="20"/>
      <c r="M266" s="68"/>
      <c r="N266" s="68"/>
      <c r="O266" s="69"/>
      <c r="Q266" s="189"/>
    </row>
    <row r="267" spans="1:17" s="33" customFormat="1">
      <c r="A267" s="34">
        <v>9355</v>
      </c>
      <c r="B267" s="34" t="s">
        <v>15</v>
      </c>
      <c r="C267" s="34" t="s">
        <v>16</v>
      </c>
      <c r="D267" s="34">
        <v>30</v>
      </c>
      <c r="E267" s="34">
        <v>669</v>
      </c>
      <c r="F267" s="34">
        <f>E267-G267</f>
        <v>53</v>
      </c>
      <c r="G267" s="34">
        <v>616</v>
      </c>
      <c r="H267" s="34">
        <v>1</v>
      </c>
      <c r="I267" s="34">
        <v>0.9</v>
      </c>
      <c r="J267" s="34">
        <v>0.73</v>
      </c>
      <c r="K267" s="34">
        <f t="shared" ref="K267:K295" si="42">H267*I267*J267</f>
        <v>0.65700000000000003</v>
      </c>
      <c r="L267" s="34"/>
      <c r="M267" s="11">
        <f t="shared" ref="M267:M296" si="43">L267/D267</f>
        <v>0</v>
      </c>
      <c r="N267" s="11">
        <f t="shared" ref="N267:N296" si="44">E267*M267</f>
        <v>0</v>
      </c>
      <c r="O267" s="11">
        <f>M267*K267</f>
        <v>0</v>
      </c>
      <c r="P267" s="152">
        <f>SUM(L267:L270)</f>
        <v>0</v>
      </c>
      <c r="Q267" s="153" t="s">
        <v>55</v>
      </c>
    </row>
    <row r="268" spans="1:17" s="33" customFormat="1">
      <c r="A268" s="34">
        <v>9355</v>
      </c>
      <c r="B268" s="34" t="s">
        <v>15</v>
      </c>
      <c r="C268" s="34" t="s">
        <v>17</v>
      </c>
      <c r="D268" s="34">
        <v>30</v>
      </c>
      <c r="E268" s="34">
        <v>669</v>
      </c>
      <c r="F268" s="34">
        <f>E268-G268</f>
        <v>53</v>
      </c>
      <c r="G268" s="34">
        <v>616</v>
      </c>
      <c r="H268" s="34">
        <v>1</v>
      </c>
      <c r="I268" s="34">
        <v>0.9</v>
      </c>
      <c r="J268" s="34">
        <v>0.73</v>
      </c>
      <c r="K268" s="34">
        <f t="shared" si="42"/>
        <v>0.65700000000000003</v>
      </c>
      <c r="L268" s="34"/>
      <c r="M268" s="11">
        <f t="shared" si="43"/>
        <v>0</v>
      </c>
      <c r="N268" s="11">
        <f t="shared" si="44"/>
        <v>0</v>
      </c>
      <c r="O268" s="11">
        <f t="shared" ref="O268:O296" si="45">M268*K268</f>
        <v>0</v>
      </c>
      <c r="P268" s="152"/>
      <c r="Q268" s="154"/>
    </row>
    <row r="269" spans="1:17" s="33" customFormat="1">
      <c r="A269" s="34">
        <v>9355</v>
      </c>
      <c r="B269" s="34" t="s">
        <v>15</v>
      </c>
      <c r="C269" s="34" t="s">
        <v>18</v>
      </c>
      <c r="D269" s="34">
        <v>30</v>
      </c>
      <c r="E269" s="34">
        <v>669</v>
      </c>
      <c r="F269" s="34">
        <f>E269-G269</f>
        <v>53</v>
      </c>
      <c r="G269" s="34">
        <v>616</v>
      </c>
      <c r="H269" s="34">
        <v>1</v>
      </c>
      <c r="I269" s="34">
        <v>0.9</v>
      </c>
      <c r="J269" s="34">
        <v>0.73</v>
      </c>
      <c r="K269" s="34">
        <f t="shared" si="42"/>
        <v>0.65700000000000003</v>
      </c>
      <c r="L269" s="34"/>
      <c r="M269" s="11">
        <f t="shared" si="43"/>
        <v>0</v>
      </c>
      <c r="N269" s="11">
        <f t="shared" si="44"/>
        <v>0</v>
      </c>
      <c r="O269" s="11">
        <f t="shared" si="45"/>
        <v>0</v>
      </c>
      <c r="P269" s="152"/>
      <c r="Q269" s="154"/>
    </row>
    <row r="270" spans="1:17" s="33" customFormat="1">
      <c r="A270" s="34">
        <v>9355</v>
      </c>
      <c r="B270" s="34" t="s">
        <v>15</v>
      </c>
      <c r="C270" s="34" t="s">
        <v>19</v>
      </c>
      <c r="D270" s="34">
        <v>30</v>
      </c>
      <c r="E270" s="34">
        <v>669</v>
      </c>
      <c r="F270" s="34">
        <f>E270-G270</f>
        <v>53</v>
      </c>
      <c r="G270" s="34">
        <v>616</v>
      </c>
      <c r="H270" s="34">
        <v>1</v>
      </c>
      <c r="I270" s="34">
        <v>0.9</v>
      </c>
      <c r="J270" s="34">
        <v>0.73</v>
      </c>
      <c r="K270" s="34">
        <f t="shared" si="42"/>
        <v>0.65700000000000003</v>
      </c>
      <c r="L270" s="34"/>
      <c r="M270" s="11">
        <f t="shared" si="43"/>
        <v>0</v>
      </c>
      <c r="N270" s="11">
        <f t="shared" si="44"/>
        <v>0</v>
      </c>
      <c r="O270" s="11">
        <f t="shared" si="45"/>
        <v>0</v>
      </c>
      <c r="P270" s="152"/>
      <c r="Q270" s="154"/>
    </row>
    <row r="271" spans="1:17" s="33" customFormat="1">
      <c r="A271" s="34">
        <v>9358</v>
      </c>
      <c r="B271" s="34" t="s">
        <v>14</v>
      </c>
      <c r="C271" s="35" t="s">
        <v>20</v>
      </c>
      <c r="D271" s="34">
        <v>5000</v>
      </c>
      <c r="E271" s="34">
        <v>490</v>
      </c>
      <c r="F271" s="34">
        <v>40</v>
      </c>
      <c r="G271" s="34">
        <v>450</v>
      </c>
      <c r="H271" s="34">
        <v>1</v>
      </c>
      <c r="I271" s="34">
        <v>0.98</v>
      </c>
      <c r="J271" s="34">
        <v>0.83</v>
      </c>
      <c r="K271" s="36">
        <f t="shared" si="42"/>
        <v>0.8133999999999999</v>
      </c>
      <c r="L271" s="34"/>
      <c r="M271" s="11">
        <f t="shared" si="43"/>
        <v>0</v>
      </c>
      <c r="N271" s="11">
        <f t="shared" si="44"/>
        <v>0</v>
      </c>
      <c r="O271" s="11">
        <f t="shared" si="45"/>
        <v>0</v>
      </c>
      <c r="Q271" s="154"/>
    </row>
    <row r="272" spans="1:17" s="33" customFormat="1">
      <c r="A272" s="34">
        <v>9358</v>
      </c>
      <c r="B272" s="34" t="s">
        <v>14</v>
      </c>
      <c r="C272" s="35" t="s">
        <v>21</v>
      </c>
      <c r="D272" s="34">
        <v>360</v>
      </c>
      <c r="E272" s="34">
        <v>390</v>
      </c>
      <c r="F272" s="34">
        <v>40</v>
      </c>
      <c r="G272" s="34">
        <v>350</v>
      </c>
      <c r="H272" s="34">
        <v>1.05</v>
      </c>
      <c r="I272" s="34">
        <v>0.95</v>
      </c>
      <c r="J272" s="34">
        <v>0.55000000000000004</v>
      </c>
      <c r="K272" s="36">
        <f t="shared" si="42"/>
        <v>0.54862500000000003</v>
      </c>
      <c r="L272" s="34"/>
      <c r="M272" s="11">
        <f t="shared" si="43"/>
        <v>0</v>
      </c>
      <c r="N272" s="11">
        <f t="shared" si="44"/>
        <v>0</v>
      </c>
      <c r="O272" s="11">
        <f t="shared" si="45"/>
        <v>0</v>
      </c>
      <c r="Q272" s="154"/>
    </row>
    <row r="273" spans="1:17" s="33" customFormat="1">
      <c r="A273" s="34">
        <v>9358</v>
      </c>
      <c r="B273" s="34" t="s">
        <v>14</v>
      </c>
      <c r="C273" s="35" t="s">
        <v>22</v>
      </c>
      <c r="D273" s="37">
        <v>3000</v>
      </c>
      <c r="E273" s="38">
        <v>235</v>
      </c>
      <c r="F273" s="34">
        <v>35</v>
      </c>
      <c r="G273" s="38">
        <v>200</v>
      </c>
      <c r="H273" s="34">
        <v>1.1000000000000001</v>
      </c>
      <c r="I273" s="34">
        <v>1.1000000000000001</v>
      </c>
      <c r="J273" s="34">
        <v>1.02</v>
      </c>
      <c r="K273" s="36">
        <f t="shared" si="42"/>
        <v>1.2342000000000002</v>
      </c>
      <c r="L273" s="34"/>
      <c r="M273" s="11">
        <f t="shared" si="43"/>
        <v>0</v>
      </c>
      <c r="N273" s="11">
        <f t="shared" si="44"/>
        <v>0</v>
      </c>
      <c r="O273" s="11">
        <f t="shared" si="45"/>
        <v>0</v>
      </c>
      <c r="Q273" s="154"/>
    </row>
    <row r="274" spans="1:17" s="33" customFormat="1">
      <c r="A274" s="34">
        <v>9358</v>
      </c>
      <c r="B274" s="34" t="s">
        <v>14</v>
      </c>
      <c r="C274" s="35" t="s">
        <v>23</v>
      </c>
      <c r="D274" s="9">
        <v>1000</v>
      </c>
      <c r="E274" s="10">
        <v>646</v>
      </c>
      <c r="F274" s="10">
        <f>E274-G274</f>
        <v>40</v>
      </c>
      <c r="G274" s="10">
        <v>606</v>
      </c>
      <c r="H274" s="10">
        <v>1.1000000000000001</v>
      </c>
      <c r="I274" s="10">
        <v>0.8</v>
      </c>
      <c r="J274" s="10">
        <v>0.55000000000000004</v>
      </c>
      <c r="K274" s="11">
        <f t="shared" si="42"/>
        <v>0.4840000000000001</v>
      </c>
      <c r="L274" s="34"/>
      <c r="M274" s="11">
        <f t="shared" si="43"/>
        <v>0</v>
      </c>
      <c r="N274" s="11">
        <f t="shared" si="44"/>
        <v>0</v>
      </c>
      <c r="O274" s="11">
        <f t="shared" si="45"/>
        <v>0</v>
      </c>
      <c r="Q274" s="154"/>
    </row>
    <row r="275" spans="1:17" s="33" customFormat="1">
      <c r="A275" s="34">
        <v>9356</v>
      </c>
      <c r="B275" s="34" t="s">
        <v>47</v>
      </c>
      <c r="C275" s="35" t="s">
        <v>24</v>
      </c>
      <c r="D275" s="37">
        <v>4000</v>
      </c>
      <c r="E275" s="38">
        <v>424</v>
      </c>
      <c r="F275" s="34">
        <f>E275-G275</f>
        <v>52</v>
      </c>
      <c r="G275" s="38">
        <v>372</v>
      </c>
      <c r="H275" s="34">
        <v>1.1000000000000001</v>
      </c>
      <c r="I275" s="34">
        <v>0.8</v>
      </c>
      <c r="J275" s="34">
        <v>0.55000000000000004</v>
      </c>
      <c r="K275" s="36">
        <f t="shared" si="42"/>
        <v>0.4840000000000001</v>
      </c>
      <c r="L275" s="34">
        <v>856</v>
      </c>
      <c r="M275" s="11">
        <f t="shared" si="43"/>
        <v>0.214</v>
      </c>
      <c r="N275" s="11">
        <f t="shared" si="44"/>
        <v>90.736000000000004</v>
      </c>
      <c r="O275" s="11">
        <f t="shared" si="45"/>
        <v>0.10357600000000002</v>
      </c>
      <c r="Q275" s="154"/>
    </row>
    <row r="276" spans="1:17" s="33" customFormat="1">
      <c r="A276" s="34">
        <v>9358</v>
      </c>
      <c r="B276" s="34" t="s">
        <v>14</v>
      </c>
      <c r="C276" s="35" t="s">
        <v>25</v>
      </c>
      <c r="D276" s="34">
        <v>1000</v>
      </c>
      <c r="E276" s="34">
        <v>830</v>
      </c>
      <c r="F276" s="34">
        <v>40</v>
      </c>
      <c r="G276" s="34">
        <v>790</v>
      </c>
      <c r="H276" s="34">
        <v>1.04</v>
      </c>
      <c r="I276" s="34">
        <v>0.84</v>
      </c>
      <c r="J276" s="34">
        <v>0.64</v>
      </c>
      <c r="K276" s="36">
        <f t="shared" si="42"/>
        <v>0.55910400000000005</v>
      </c>
      <c r="L276" s="34"/>
      <c r="M276" s="11">
        <f t="shared" si="43"/>
        <v>0</v>
      </c>
      <c r="N276" s="11">
        <f t="shared" si="44"/>
        <v>0</v>
      </c>
      <c r="O276" s="11">
        <f t="shared" si="45"/>
        <v>0</v>
      </c>
      <c r="Q276" s="154"/>
    </row>
    <row r="277" spans="1:17" s="33" customFormat="1">
      <c r="A277" s="34">
        <v>9358</v>
      </c>
      <c r="B277" s="34" t="s">
        <v>14</v>
      </c>
      <c r="C277" s="35" t="s">
        <v>26</v>
      </c>
      <c r="D277" s="34">
        <v>4000</v>
      </c>
      <c r="E277" s="34">
        <v>223</v>
      </c>
      <c r="F277" s="34">
        <v>30</v>
      </c>
      <c r="G277" s="34">
        <v>188</v>
      </c>
      <c r="H277" s="34">
        <v>0.86</v>
      </c>
      <c r="I277" s="34">
        <v>0.78</v>
      </c>
      <c r="J277" s="34">
        <v>0.74</v>
      </c>
      <c r="K277" s="36">
        <f t="shared" si="42"/>
        <v>0.49639200000000006</v>
      </c>
      <c r="L277" s="34"/>
      <c r="M277" s="11">
        <f t="shared" si="43"/>
        <v>0</v>
      </c>
      <c r="N277" s="11">
        <f t="shared" si="44"/>
        <v>0</v>
      </c>
      <c r="O277" s="11">
        <f t="shared" si="45"/>
        <v>0</v>
      </c>
      <c r="Q277" s="154"/>
    </row>
    <row r="278" spans="1:17" s="33" customFormat="1">
      <c r="A278" s="34">
        <v>9355</v>
      </c>
      <c r="B278" s="34" t="s">
        <v>15</v>
      </c>
      <c r="C278" s="35" t="s">
        <v>27</v>
      </c>
      <c r="D278" s="39">
        <v>12</v>
      </c>
      <c r="E278" s="39">
        <v>435</v>
      </c>
      <c r="F278" s="39">
        <v>39</v>
      </c>
      <c r="G278" s="39">
        <v>396</v>
      </c>
      <c r="H278" s="39">
        <v>0.86</v>
      </c>
      <c r="I278" s="39">
        <v>0.56000000000000005</v>
      </c>
      <c r="J278" s="39">
        <v>0.51</v>
      </c>
      <c r="K278" s="40">
        <f t="shared" si="42"/>
        <v>0.24561600000000003</v>
      </c>
      <c r="L278" s="34"/>
      <c r="M278" s="11">
        <f t="shared" si="43"/>
        <v>0</v>
      </c>
      <c r="N278" s="11">
        <f t="shared" si="44"/>
        <v>0</v>
      </c>
      <c r="O278" s="11">
        <f t="shared" si="45"/>
        <v>0</v>
      </c>
      <c r="P278" s="152">
        <f>SUM(L278:L282)</f>
        <v>0</v>
      </c>
      <c r="Q278" s="154"/>
    </row>
    <row r="279" spans="1:17" s="33" customFormat="1">
      <c r="A279" s="34">
        <v>9355</v>
      </c>
      <c r="B279" s="34" t="s">
        <v>15</v>
      </c>
      <c r="C279" s="35" t="s">
        <v>28</v>
      </c>
      <c r="D279" s="39">
        <v>12</v>
      </c>
      <c r="E279" s="39">
        <v>520</v>
      </c>
      <c r="F279" s="39">
        <v>40</v>
      </c>
      <c r="G279" s="39">
        <v>480</v>
      </c>
      <c r="H279" s="39">
        <v>1.03</v>
      </c>
      <c r="I279" s="39">
        <v>0.56000000000000005</v>
      </c>
      <c r="J279" s="39">
        <v>0.51</v>
      </c>
      <c r="K279" s="40">
        <f t="shared" si="42"/>
        <v>0.29416800000000004</v>
      </c>
      <c r="L279" s="34"/>
      <c r="M279" s="11">
        <f t="shared" si="43"/>
        <v>0</v>
      </c>
      <c r="N279" s="11">
        <f t="shared" si="44"/>
        <v>0</v>
      </c>
      <c r="O279" s="11">
        <f t="shared" si="45"/>
        <v>0</v>
      </c>
      <c r="P279" s="152"/>
      <c r="Q279" s="154"/>
    </row>
    <row r="280" spans="1:17" s="33" customFormat="1">
      <c r="A280" s="34">
        <v>9355</v>
      </c>
      <c r="B280" s="34" t="s">
        <v>15</v>
      </c>
      <c r="C280" s="35" t="s">
        <v>29</v>
      </c>
      <c r="D280" s="39">
        <v>12</v>
      </c>
      <c r="E280" s="39">
        <v>596</v>
      </c>
      <c r="F280" s="39">
        <v>44</v>
      </c>
      <c r="G280" s="39">
        <v>552</v>
      </c>
      <c r="H280" s="39">
        <v>1.17</v>
      </c>
      <c r="I280" s="39">
        <v>0.56000000000000005</v>
      </c>
      <c r="J280" s="39">
        <v>0.51</v>
      </c>
      <c r="K280" s="40">
        <f t="shared" si="42"/>
        <v>0.334152</v>
      </c>
      <c r="L280" s="34"/>
      <c r="M280" s="11">
        <f t="shared" si="43"/>
        <v>0</v>
      </c>
      <c r="N280" s="11">
        <f t="shared" si="44"/>
        <v>0</v>
      </c>
      <c r="O280" s="11">
        <f t="shared" si="45"/>
        <v>0</v>
      </c>
      <c r="P280" s="152"/>
      <c r="Q280" s="154"/>
    </row>
    <row r="281" spans="1:17" s="33" customFormat="1">
      <c r="A281" s="34">
        <v>9355</v>
      </c>
      <c r="B281" s="34" t="s">
        <v>15</v>
      </c>
      <c r="C281" s="35" t="s">
        <v>30</v>
      </c>
      <c r="D281" s="41">
        <v>12</v>
      </c>
      <c r="E281" s="39">
        <v>654</v>
      </c>
      <c r="F281" s="39">
        <v>42</v>
      </c>
      <c r="G281" s="39">
        <v>612</v>
      </c>
      <c r="H281" s="39">
        <v>1.2749999999999999</v>
      </c>
      <c r="I281" s="39">
        <v>0.56000000000000005</v>
      </c>
      <c r="J281" s="39">
        <v>0.51</v>
      </c>
      <c r="K281" s="40">
        <f t="shared" si="42"/>
        <v>0.36413999999999996</v>
      </c>
      <c r="L281" s="34"/>
      <c r="M281" s="11">
        <f t="shared" si="43"/>
        <v>0</v>
      </c>
      <c r="N281" s="11">
        <f t="shared" si="44"/>
        <v>0</v>
      </c>
      <c r="O281" s="11">
        <f t="shared" si="45"/>
        <v>0</v>
      </c>
      <c r="P281" s="152"/>
      <c r="Q281" s="154"/>
    </row>
    <row r="282" spans="1:17" s="33" customFormat="1">
      <c r="A282" s="34">
        <v>9355</v>
      </c>
      <c r="B282" s="34" t="s">
        <v>15</v>
      </c>
      <c r="C282" s="35" t="s">
        <v>31</v>
      </c>
      <c r="D282" s="41">
        <v>6</v>
      </c>
      <c r="E282" s="39">
        <v>410</v>
      </c>
      <c r="F282" s="39">
        <v>50</v>
      </c>
      <c r="G282" s="39">
        <v>360</v>
      </c>
      <c r="H282" s="39">
        <v>1.48</v>
      </c>
      <c r="I282" s="39">
        <v>0.56000000000000005</v>
      </c>
      <c r="J282" s="39">
        <v>0.37</v>
      </c>
      <c r="K282" s="40">
        <f t="shared" si="42"/>
        <v>0.30665600000000004</v>
      </c>
      <c r="L282" s="34"/>
      <c r="M282" s="11">
        <f t="shared" si="43"/>
        <v>0</v>
      </c>
      <c r="N282" s="11">
        <f t="shared" si="44"/>
        <v>0</v>
      </c>
      <c r="O282" s="11">
        <f t="shared" si="45"/>
        <v>0</v>
      </c>
      <c r="P282" s="152"/>
      <c r="Q282" s="154"/>
    </row>
    <row r="283" spans="1:17" s="33" customFormat="1">
      <c r="A283" s="34">
        <v>9358</v>
      </c>
      <c r="B283" s="34" t="s">
        <v>14</v>
      </c>
      <c r="C283" s="35" t="s">
        <v>32</v>
      </c>
      <c r="D283" s="38">
        <v>1000</v>
      </c>
      <c r="E283" s="38">
        <f t="shared" ref="E283:E292" si="46">G283+F283</f>
        <v>395</v>
      </c>
      <c r="F283" s="38">
        <v>40</v>
      </c>
      <c r="G283" s="38">
        <v>355</v>
      </c>
      <c r="H283" s="38">
        <v>1.05</v>
      </c>
      <c r="I283" s="38">
        <v>0.9</v>
      </c>
      <c r="J283" s="38">
        <v>0.55000000000000004</v>
      </c>
      <c r="K283" s="11">
        <f t="shared" si="42"/>
        <v>0.51975000000000005</v>
      </c>
      <c r="L283" s="34"/>
      <c r="M283" s="11">
        <f t="shared" si="43"/>
        <v>0</v>
      </c>
      <c r="N283" s="11">
        <f t="shared" si="44"/>
        <v>0</v>
      </c>
      <c r="O283" s="11">
        <f t="shared" si="45"/>
        <v>0</v>
      </c>
      <c r="Q283" s="154"/>
    </row>
    <row r="284" spans="1:17" s="33" customFormat="1">
      <c r="A284" s="34">
        <v>9358</v>
      </c>
      <c r="B284" s="34" t="s">
        <v>14</v>
      </c>
      <c r="C284" s="35" t="s">
        <v>33</v>
      </c>
      <c r="D284" s="38">
        <v>450</v>
      </c>
      <c r="E284" s="38">
        <f t="shared" si="46"/>
        <v>360</v>
      </c>
      <c r="F284" s="38">
        <v>40</v>
      </c>
      <c r="G284" s="38">
        <v>320</v>
      </c>
      <c r="H284" s="34">
        <v>1.1000000000000001</v>
      </c>
      <c r="I284" s="38">
        <v>0.9</v>
      </c>
      <c r="J284" s="34">
        <v>0.75</v>
      </c>
      <c r="K284" s="36">
        <f t="shared" si="42"/>
        <v>0.74250000000000005</v>
      </c>
      <c r="L284" s="34"/>
      <c r="M284" s="11">
        <f t="shared" si="43"/>
        <v>0</v>
      </c>
      <c r="N284" s="11">
        <f t="shared" si="44"/>
        <v>0</v>
      </c>
      <c r="O284" s="11">
        <f t="shared" si="45"/>
        <v>0</v>
      </c>
      <c r="Q284" s="154"/>
    </row>
    <row r="285" spans="1:17" s="33" customFormat="1">
      <c r="A285" s="34">
        <v>9358</v>
      </c>
      <c r="B285" s="34" t="s">
        <v>14</v>
      </c>
      <c r="C285" s="35" t="s">
        <v>34</v>
      </c>
      <c r="D285" s="38">
        <v>1000</v>
      </c>
      <c r="E285" s="38">
        <f t="shared" si="46"/>
        <v>492</v>
      </c>
      <c r="F285" s="38">
        <v>40</v>
      </c>
      <c r="G285" s="38">
        <v>452</v>
      </c>
      <c r="H285" s="38">
        <v>1.1000000000000001</v>
      </c>
      <c r="I285" s="38">
        <v>1.05</v>
      </c>
      <c r="J285" s="38">
        <v>0.55000000000000004</v>
      </c>
      <c r="K285" s="11">
        <f t="shared" si="42"/>
        <v>0.6352500000000002</v>
      </c>
      <c r="L285" s="34"/>
      <c r="M285" s="11">
        <f t="shared" si="43"/>
        <v>0</v>
      </c>
      <c r="N285" s="11">
        <f t="shared" si="44"/>
        <v>0</v>
      </c>
      <c r="O285" s="11">
        <f t="shared" si="45"/>
        <v>0</v>
      </c>
      <c r="Q285" s="154"/>
    </row>
    <row r="286" spans="1:17" s="33" customFormat="1">
      <c r="A286" s="34">
        <v>9358</v>
      </c>
      <c r="B286" s="34" t="s">
        <v>14</v>
      </c>
      <c r="C286" s="35" t="s">
        <v>35</v>
      </c>
      <c r="D286" s="38">
        <v>450</v>
      </c>
      <c r="E286" s="38">
        <f t="shared" si="46"/>
        <v>421.5</v>
      </c>
      <c r="F286" s="38">
        <v>40</v>
      </c>
      <c r="G286" s="38">
        <v>381.5</v>
      </c>
      <c r="H286" s="38">
        <v>1.05</v>
      </c>
      <c r="I286" s="38">
        <v>1.05</v>
      </c>
      <c r="J286" s="34">
        <v>0.75</v>
      </c>
      <c r="K286" s="36">
        <f t="shared" si="42"/>
        <v>0.82687500000000003</v>
      </c>
      <c r="L286" s="34"/>
      <c r="M286" s="11">
        <f t="shared" si="43"/>
        <v>0</v>
      </c>
      <c r="N286" s="11">
        <f t="shared" si="44"/>
        <v>0</v>
      </c>
      <c r="O286" s="11">
        <f t="shared" si="45"/>
        <v>0</v>
      </c>
      <c r="Q286" s="154"/>
    </row>
    <row r="287" spans="1:17" s="33" customFormat="1">
      <c r="A287" s="34">
        <v>9358</v>
      </c>
      <c r="B287" s="34" t="s">
        <v>14</v>
      </c>
      <c r="C287" s="35" t="s">
        <v>36</v>
      </c>
      <c r="D287" s="38">
        <v>1000</v>
      </c>
      <c r="E287" s="38">
        <f t="shared" si="46"/>
        <v>574</v>
      </c>
      <c r="F287" s="38">
        <v>40</v>
      </c>
      <c r="G287" s="38">
        <v>534</v>
      </c>
      <c r="H287" s="38">
        <v>1.1000000000000001</v>
      </c>
      <c r="I287" s="38">
        <v>1.2</v>
      </c>
      <c r="J287" s="38">
        <v>0.55000000000000004</v>
      </c>
      <c r="K287" s="11">
        <f t="shared" si="42"/>
        <v>0.72600000000000009</v>
      </c>
      <c r="L287" s="34"/>
      <c r="M287" s="11">
        <f t="shared" si="43"/>
        <v>0</v>
      </c>
      <c r="N287" s="11">
        <f t="shared" si="44"/>
        <v>0</v>
      </c>
      <c r="O287" s="11">
        <f t="shared" si="45"/>
        <v>0</v>
      </c>
      <c r="Q287" s="154"/>
    </row>
    <row r="288" spans="1:17" s="33" customFormat="1">
      <c r="A288" s="34">
        <v>9358</v>
      </c>
      <c r="B288" s="34" t="s">
        <v>14</v>
      </c>
      <c r="C288" s="35" t="s">
        <v>37</v>
      </c>
      <c r="D288" s="38">
        <v>450</v>
      </c>
      <c r="E288" s="38">
        <f t="shared" si="46"/>
        <v>475</v>
      </c>
      <c r="F288" s="38">
        <v>40</v>
      </c>
      <c r="G288" s="38">
        <v>435</v>
      </c>
      <c r="H288" s="38">
        <v>1.05</v>
      </c>
      <c r="I288" s="38">
        <v>1.2</v>
      </c>
      <c r="J288" s="34">
        <v>0.75</v>
      </c>
      <c r="K288" s="11">
        <f t="shared" si="42"/>
        <v>0.94500000000000006</v>
      </c>
      <c r="L288" s="34"/>
      <c r="M288" s="11">
        <f t="shared" si="43"/>
        <v>0</v>
      </c>
      <c r="N288" s="11">
        <f t="shared" si="44"/>
        <v>0</v>
      </c>
      <c r="O288" s="11">
        <f t="shared" si="45"/>
        <v>0</v>
      </c>
      <c r="Q288" s="154"/>
    </row>
    <row r="289" spans="1:17" s="33" customFormat="1">
      <c r="A289" s="34">
        <v>9358</v>
      </c>
      <c r="B289" s="34" t="s">
        <v>14</v>
      </c>
      <c r="C289" s="35" t="s">
        <v>38</v>
      </c>
      <c r="D289" s="38">
        <v>1000</v>
      </c>
      <c r="E289" s="38">
        <f t="shared" si="46"/>
        <v>645</v>
      </c>
      <c r="F289" s="38">
        <v>40</v>
      </c>
      <c r="G289" s="38">
        <v>605</v>
      </c>
      <c r="H289" s="38">
        <v>1.1000000000000001</v>
      </c>
      <c r="I289" s="38">
        <v>1.3</v>
      </c>
      <c r="J289" s="38">
        <v>0.55000000000000004</v>
      </c>
      <c r="K289" s="11">
        <f t="shared" si="42"/>
        <v>0.7865000000000002</v>
      </c>
      <c r="L289" s="34"/>
      <c r="M289" s="11">
        <f t="shared" si="43"/>
        <v>0</v>
      </c>
      <c r="N289" s="11">
        <f t="shared" si="44"/>
        <v>0</v>
      </c>
      <c r="O289" s="11">
        <f t="shared" si="45"/>
        <v>0</v>
      </c>
      <c r="Q289" s="154"/>
    </row>
    <row r="290" spans="1:17" s="33" customFormat="1">
      <c r="A290" s="34">
        <v>9358</v>
      </c>
      <c r="B290" s="34" t="s">
        <v>14</v>
      </c>
      <c r="C290" s="35" t="s">
        <v>39</v>
      </c>
      <c r="D290" s="38">
        <v>450</v>
      </c>
      <c r="E290" s="38">
        <f t="shared" si="46"/>
        <v>515</v>
      </c>
      <c r="F290" s="38">
        <v>40</v>
      </c>
      <c r="G290" s="38">
        <v>475</v>
      </c>
      <c r="H290" s="38">
        <v>1.05</v>
      </c>
      <c r="I290" s="38">
        <v>1.3</v>
      </c>
      <c r="J290" s="34">
        <v>0.75</v>
      </c>
      <c r="K290" s="11">
        <f t="shared" si="42"/>
        <v>1.0237500000000002</v>
      </c>
      <c r="L290" s="34"/>
      <c r="M290" s="11">
        <f t="shared" si="43"/>
        <v>0</v>
      </c>
      <c r="N290" s="11">
        <f t="shared" si="44"/>
        <v>0</v>
      </c>
      <c r="O290" s="11">
        <f t="shared" si="45"/>
        <v>0</v>
      </c>
      <c r="Q290" s="154"/>
    </row>
    <row r="291" spans="1:17" s="33" customFormat="1">
      <c r="A291" s="34">
        <v>9358</v>
      </c>
      <c r="B291" s="34" t="s">
        <v>14</v>
      </c>
      <c r="C291" s="35" t="s">
        <v>40</v>
      </c>
      <c r="D291" s="38">
        <v>1000</v>
      </c>
      <c r="E291" s="38">
        <f t="shared" si="46"/>
        <v>645</v>
      </c>
      <c r="F291" s="38">
        <v>40</v>
      </c>
      <c r="G291" s="38">
        <v>605</v>
      </c>
      <c r="H291" s="38">
        <v>1.1000000000000001</v>
      </c>
      <c r="I291" s="38">
        <v>1.3</v>
      </c>
      <c r="J291" s="38">
        <v>0.55000000000000004</v>
      </c>
      <c r="K291" s="11">
        <f t="shared" si="42"/>
        <v>0.7865000000000002</v>
      </c>
      <c r="L291" s="34"/>
      <c r="M291" s="11">
        <f t="shared" si="43"/>
        <v>0</v>
      </c>
      <c r="N291" s="11">
        <f t="shared" si="44"/>
        <v>0</v>
      </c>
      <c r="O291" s="11">
        <f t="shared" si="45"/>
        <v>0</v>
      </c>
      <c r="Q291" s="154"/>
    </row>
    <row r="292" spans="1:17" s="33" customFormat="1">
      <c r="A292" s="34">
        <v>9358</v>
      </c>
      <c r="B292" s="34" t="s">
        <v>14</v>
      </c>
      <c r="C292" s="35" t="s">
        <v>41</v>
      </c>
      <c r="D292" s="38">
        <v>450</v>
      </c>
      <c r="E292" s="38">
        <f t="shared" si="46"/>
        <v>515</v>
      </c>
      <c r="F292" s="38">
        <v>40</v>
      </c>
      <c r="G292" s="38">
        <v>475</v>
      </c>
      <c r="H292" s="38">
        <v>1.05</v>
      </c>
      <c r="I292" s="38">
        <v>1.3</v>
      </c>
      <c r="J292" s="34">
        <v>0.75</v>
      </c>
      <c r="K292" s="11">
        <f t="shared" si="42"/>
        <v>1.0237500000000002</v>
      </c>
      <c r="L292" s="34"/>
      <c r="M292" s="11">
        <f t="shared" si="43"/>
        <v>0</v>
      </c>
      <c r="N292" s="11">
        <f t="shared" si="44"/>
        <v>0</v>
      </c>
      <c r="O292" s="11">
        <f t="shared" si="45"/>
        <v>0</v>
      </c>
      <c r="Q292" s="154"/>
    </row>
    <row r="293" spans="1:17" s="33" customFormat="1">
      <c r="A293" s="34">
        <v>9358</v>
      </c>
      <c r="B293" s="34" t="s">
        <v>14</v>
      </c>
      <c r="C293" s="35" t="s">
        <v>22</v>
      </c>
      <c r="D293" s="37">
        <v>3000</v>
      </c>
      <c r="E293" s="38">
        <v>235</v>
      </c>
      <c r="F293" s="34">
        <v>35</v>
      </c>
      <c r="G293" s="38">
        <v>200</v>
      </c>
      <c r="H293" s="34">
        <v>1.1000000000000001</v>
      </c>
      <c r="I293" s="34">
        <v>1.1000000000000001</v>
      </c>
      <c r="J293" s="34">
        <v>1.02</v>
      </c>
      <c r="K293" s="36">
        <f t="shared" si="42"/>
        <v>1.2342000000000002</v>
      </c>
      <c r="L293" s="34"/>
      <c r="M293" s="11">
        <f t="shared" si="43"/>
        <v>0</v>
      </c>
      <c r="N293" s="11">
        <f t="shared" si="44"/>
        <v>0</v>
      </c>
      <c r="O293" s="11">
        <f t="shared" si="45"/>
        <v>0</v>
      </c>
      <c r="Q293" s="154"/>
    </row>
    <row r="294" spans="1:17" s="33" customFormat="1">
      <c r="A294" s="34">
        <v>9358</v>
      </c>
      <c r="B294" s="34" t="s">
        <v>14</v>
      </c>
      <c r="C294" s="35" t="s">
        <v>23</v>
      </c>
      <c r="D294" s="9">
        <v>1000</v>
      </c>
      <c r="E294" s="10">
        <v>646</v>
      </c>
      <c r="F294" s="10">
        <f>E294-G294</f>
        <v>40</v>
      </c>
      <c r="G294" s="10">
        <v>606</v>
      </c>
      <c r="H294" s="10">
        <v>1.1000000000000001</v>
      </c>
      <c r="I294" s="10">
        <v>0.8</v>
      </c>
      <c r="J294" s="10">
        <v>0.55000000000000004</v>
      </c>
      <c r="K294" s="11">
        <f t="shared" si="42"/>
        <v>0.4840000000000001</v>
      </c>
      <c r="L294" s="34"/>
      <c r="M294" s="11">
        <f t="shared" si="43"/>
        <v>0</v>
      </c>
      <c r="N294" s="11">
        <f t="shared" si="44"/>
        <v>0</v>
      </c>
      <c r="O294" s="11">
        <f t="shared" si="45"/>
        <v>0</v>
      </c>
      <c r="Q294" s="154"/>
    </row>
    <row r="295" spans="1:17" s="33" customFormat="1">
      <c r="A295" s="34">
        <v>9358</v>
      </c>
      <c r="B295" s="34" t="s">
        <v>14</v>
      </c>
      <c r="C295" s="35" t="s">
        <v>46</v>
      </c>
      <c r="D295" s="37">
        <v>4000</v>
      </c>
      <c r="E295" s="38">
        <v>424</v>
      </c>
      <c r="F295" s="34">
        <f>E295-G295</f>
        <v>52</v>
      </c>
      <c r="G295" s="38">
        <v>372</v>
      </c>
      <c r="H295" s="34">
        <v>1.1000000000000001</v>
      </c>
      <c r="I295" s="34">
        <v>0.8</v>
      </c>
      <c r="J295" s="34">
        <v>0.55000000000000004</v>
      </c>
      <c r="K295" s="36">
        <f t="shared" si="42"/>
        <v>0.4840000000000001</v>
      </c>
      <c r="L295" s="34"/>
      <c r="M295" s="11">
        <f t="shared" si="43"/>
        <v>0</v>
      </c>
      <c r="N295" s="11">
        <f t="shared" si="44"/>
        <v>0</v>
      </c>
      <c r="O295" s="11">
        <f t="shared" si="45"/>
        <v>0</v>
      </c>
      <c r="Q295" s="154"/>
    </row>
    <row r="296" spans="1:17" s="33" customFormat="1">
      <c r="A296" s="34">
        <v>9358</v>
      </c>
      <c r="B296" s="34" t="s">
        <v>14</v>
      </c>
      <c r="C296" s="35" t="s">
        <v>42</v>
      </c>
      <c r="D296" s="42">
        <v>1200</v>
      </c>
      <c r="E296" s="139">
        <v>666.4</v>
      </c>
      <c r="F296" s="139">
        <v>40</v>
      </c>
      <c r="G296" s="43">
        <v>588</v>
      </c>
      <c r="H296" s="141">
        <v>1</v>
      </c>
      <c r="I296" s="141">
        <v>0.75</v>
      </c>
      <c r="J296" s="141">
        <v>0.7</v>
      </c>
      <c r="K296" s="143">
        <v>0.5</v>
      </c>
      <c r="L296" s="34"/>
      <c r="M296" s="137">
        <f t="shared" si="43"/>
        <v>0</v>
      </c>
      <c r="N296" s="137">
        <f t="shared" si="44"/>
        <v>0</v>
      </c>
      <c r="O296" s="158">
        <f t="shared" si="45"/>
        <v>0</v>
      </c>
      <c r="Q296" s="154"/>
    </row>
    <row r="297" spans="1:17" s="33" customFormat="1">
      <c r="A297" s="34">
        <v>9358</v>
      </c>
      <c r="B297" s="34" t="s">
        <v>14</v>
      </c>
      <c r="C297" s="35" t="s">
        <v>43</v>
      </c>
      <c r="D297" s="42">
        <v>1200</v>
      </c>
      <c r="E297" s="140"/>
      <c r="F297" s="140"/>
      <c r="G297" s="43">
        <v>38.4</v>
      </c>
      <c r="H297" s="142"/>
      <c r="I297" s="142"/>
      <c r="J297" s="142"/>
      <c r="K297" s="144"/>
      <c r="L297" s="34"/>
      <c r="M297" s="138"/>
      <c r="N297" s="138"/>
      <c r="O297" s="159"/>
      <c r="Q297" s="154"/>
    </row>
    <row r="298" spans="1:17" s="33" customFormat="1" ht="15" thickBot="1">
      <c r="A298" s="34">
        <v>9358</v>
      </c>
      <c r="B298" s="34" t="s">
        <v>14</v>
      </c>
      <c r="C298" s="35" t="s">
        <v>60</v>
      </c>
      <c r="D298" s="42"/>
      <c r="E298" s="77"/>
      <c r="F298" s="77"/>
      <c r="G298" s="43"/>
      <c r="H298" s="78"/>
      <c r="I298" s="78"/>
      <c r="J298" s="78"/>
      <c r="K298" s="71"/>
      <c r="L298" s="34"/>
      <c r="M298" s="72"/>
      <c r="N298" s="72"/>
      <c r="O298" s="73"/>
      <c r="Q298" s="155"/>
    </row>
    <row r="299" spans="1:17">
      <c r="A299" s="5">
        <v>9355</v>
      </c>
      <c r="B299" s="5" t="s">
        <v>15</v>
      </c>
      <c r="C299" s="5" t="s">
        <v>16</v>
      </c>
      <c r="D299" s="5">
        <v>30</v>
      </c>
      <c r="E299" s="5">
        <v>669</v>
      </c>
      <c r="F299" s="5">
        <f>E299-G299</f>
        <v>53</v>
      </c>
      <c r="G299" s="5">
        <v>616</v>
      </c>
      <c r="H299" s="5">
        <v>1</v>
      </c>
      <c r="I299" s="5">
        <v>0.9</v>
      </c>
      <c r="J299" s="5">
        <v>0.73</v>
      </c>
      <c r="K299" s="5">
        <f t="shared" ref="K299:K327" si="47">H299*I299*J299</f>
        <v>0.65700000000000003</v>
      </c>
      <c r="L299" s="5">
        <v>70</v>
      </c>
      <c r="M299" s="4">
        <f t="shared" ref="M299:M328" si="48">L299/D299</f>
        <v>2.3333333333333335</v>
      </c>
      <c r="N299" s="4">
        <f t="shared" ref="N299:N328" si="49">E299*M299</f>
        <v>1561</v>
      </c>
      <c r="O299" s="4">
        <f>M299*K299</f>
        <v>1.5330000000000001</v>
      </c>
      <c r="P299" s="145">
        <f>SUM(L299:L302)</f>
        <v>70</v>
      </c>
      <c r="Q299" s="146" t="s">
        <v>56</v>
      </c>
    </row>
    <row r="300" spans="1:17">
      <c r="A300" s="5">
        <v>9355</v>
      </c>
      <c r="B300" s="5" t="s">
        <v>15</v>
      </c>
      <c r="C300" s="5" t="s">
        <v>17</v>
      </c>
      <c r="D300" s="5">
        <v>30</v>
      </c>
      <c r="E300" s="5">
        <v>669</v>
      </c>
      <c r="F300" s="5">
        <f>E300-G300</f>
        <v>53</v>
      </c>
      <c r="G300" s="5">
        <v>616</v>
      </c>
      <c r="H300" s="5">
        <v>1</v>
      </c>
      <c r="I300" s="5">
        <v>0.9</v>
      </c>
      <c r="J300" s="5">
        <v>0.73</v>
      </c>
      <c r="K300" s="5">
        <f t="shared" si="47"/>
        <v>0.65700000000000003</v>
      </c>
      <c r="L300" s="5"/>
      <c r="M300" s="4">
        <f t="shared" si="48"/>
        <v>0</v>
      </c>
      <c r="N300" s="4">
        <f t="shared" si="49"/>
        <v>0</v>
      </c>
      <c r="O300" s="4">
        <f t="shared" ref="O300:O328" si="50">M300*K300</f>
        <v>0</v>
      </c>
      <c r="P300" s="145"/>
      <c r="Q300" s="147"/>
    </row>
    <row r="301" spans="1:17">
      <c r="A301" s="5">
        <v>9355</v>
      </c>
      <c r="B301" s="5" t="s">
        <v>15</v>
      </c>
      <c r="C301" s="5" t="s">
        <v>18</v>
      </c>
      <c r="D301" s="5">
        <v>30</v>
      </c>
      <c r="E301" s="5">
        <v>669</v>
      </c>
      <c r="F301" s="5">
        <f>E301-G301</f>
        <v>53</v>
      </c>
      <c r="G301" s="5">
        <v>616</v>
      </c>
      <c r="H301" s="5">
        <v>1</v>
      </c>
      <c r="I301" s="5">
        <v>0.9</v>
      </c>
      <c r="J301" s="5">
        <v>0.73</v>
      </c>
      <c r="K301" s="5">
        <f t="shared" si="47"/>
        <v>0.65700000000000003</v>
      </c>
      <c r="L301" s="5"/>
      <c r="M301" s="4">
        <f t="shared" si="48"/>
        <v>0</v>
      </c>
      <c r="N301" s="4">
        <f t="shared" si="49"/>
        <v>0</v>
      </c>
      <c r="O301" s="4">
        <f t="shared" si="50"/>
        <v>0</v>
      </c>
      <c r="P301" s="145"/>
      <c r="Q301" s="147"/>
    </row>
    <row r="302" spans="1:17">
      <c r="A302" s="5">
        <v>9355</v>
      </c>
      <c r="B302" s="5" t="s">
        <v>15</v>
      </c>
      <c r="C302" s="5" t="s">
        <v>19</v>
      </c>
      <c r="D302" s="5">
        <v>30</v>
      </c>
      <c r="E302" s="5">
        <v>669</v>
      </c>
      <c r="F302" s="5">
        <f>E302-G302</f>
        <v>53</v>
      </c>
      <c r="G302" s="5">
        <v>616</v>
      </c>
      <c r="H302" s="5">
        <v>1</v>
      </c>
      <c r="I302" s="5">
        <v>0.9</v>
      </c>
      <c r="J302" s="5">
        <v>0.73</v>
      </c>
      <c r="K302" s="5">
        <f t="shared" si="47"/>
        <v>0.65700000000000003</v>
      </c>
      <c r="L302" s="5"/>
      <c r="M302" s="4">
        <f t="shared" si="48"/>
        <v>0</v>
      </c>
      <c r="N302" s="4">
        <f t="shared" si="49"/>
        <v>0</v>
      </c>
      <c r="O302" s="4">
        <f t="shared" si="50"/>
        <v>0</v>
      </c>
      <c r="P302" s="145"/>
      <c r="Q302" s="147"/>
    </row>
    <row r="303" spans="1:17">
      <c r="A303" s="5">
        <v>9358</v>
      </c>
      <c r="B303" s="5" t="s">
        <v>14</v>
      </c>
      <c r="C303" s="8" t="s">
        <v>20</v>
      </c>
      <c r="D303" s="5">
        <v>5000</v>
      </c>
      <c r="E303" s="5">
        <v>490</v>
      </c>
      <c r="F303" s="5">
        <v>40</v>
      </c>
      <c r="G303" s="5">
        <v>450</v>
      </c>
      <c r="H303" s="5">
        <v>1</v>
      </c>
      <c r="I303" s="5">
        <v>0.98</v>
      </c>
      <c r="J303" s="5">
        <v>0.83</v>
      </c>
      <c r="K303" s="7">
        <f t="shared" si="47"/>
        <v>0.8133999999999999</v>
      </c>
      <c r="L303" s="5">
        <v>94</v>
      </c>
      <c r="M303" s="4">
        <f t="shared" si="48"/>
        <v>1.8800000000000001E-2</v>
      </c>
      <c r="N303" s="4">
        <f t="shared" si="49"/>
        <v>9.2119999999999997</v>
      </c>
      <c r="O303" s="4">
        <f t="shared" si="50"/>
        <v>1.5291919999999999E-2</v>
      </c>
      <c r="Q303" s="147"/>
    </row>
    <row r="304" spans="1:17">
      <c r="A304" s="5">
        <v>9358</v>
      </c>
      <c r="B304" s="5" t="s">
        <v>14</v>
      </c>
      <c r="C304" s="8" t="s">
        <v>21</v>
      </c>
      <c r="D304" s="5">
        <v>360</v>
      </c>
      <c r="E304" s="5">
        <v>390</v>
      </c>
      <c r="F304" s="5">
        <v>40</v>
      </c>
      <c r="G304" s="5">
        <v>350</v>
      </c>
      <c r="H304" s="5">
        <v>1.05</v>
      </c>
      <c r="I304" s="5">
        <v>0.95</v>
      </c>
      <c r="J304" s="5">
        <v>0.55000000000000004</v>
      </c>
      <c r="K304" s="7">
        <f t="shared" si="47"/>
        <v>0.54862500000000003</v>
      </c>
      <c r="L304" s="5">
        <v>94</v>
      </c>
      <c r="M304" s="4">
        <f t="shared" si="48"/>
        <v>0.26111111111111113</v>
      </c>
      <c r="N304" s="4">
        <f t="shared" si="49"/>
        <v>101.83333333333334</v>
      </c>
      <c r="O304" s="4">
        <f t="shared" si="50"/>
        <v>0.14325208333333336</v>
      </c>
      <c r="Q304" s="147"/>
    </row>
    <row r="305" spans="1:17">
      <c r="A305" s="5">
        <v>9358</v>
      </c>
      <c r="B305" s="5" t="s">
        <v>14</v>
      </c>
      <c r="C305" s="8" t="s">
        <v>22</v>
      </c>
      <c r="D305" s="3">
        <v>3000</v>
      </c>
      <c r="E305" s="6">
        <v>235</v>
      </c>
      <c r="F305" s="5">
        <v>35</v>
      </c>
      <c r="G305" s="6">
        <v>200</v>
      </c>
      <c r="H305" s="5">
        <v>1.1000000000000001</v>
      </c>
      <c r="I305" s="5">
        <v>1.1000000000000001</v>
      </c>
      <c r="J305" s="5">
        <v>1.02</v>
      </c>
      <c r="K305" s="7">
        <f t="shared" si="47"/>
        <v>1.2342000000000002</v>
      </c>
      <c r="L305" s="5">
        <v>376</v>
      </c>
      <c r="M305" s="4">
        <f t="shared" si="48"/>
        <v>0.12533333333333332</v>
      </c>
      <c r="N305" s="4">
        <f t="shared" si="49"/>
        <v>29.45333333333333</v>
      </c>
      <c r="O305" s="4">
        <f t="shared" si="50"/>
        <v>0.1546864</v>
      </c>
      <c r="Q305" s="147"/>
    </row>
    <row r="306" spans="1:17">
      <c r="A306" s="5">
        <v>9358</v>
      </c>
      <c r="B306" s="5" t="s">
        <v>14</v>
      </c>
      <c r="C306" s="8" t="s">
        <v>23</v>
      </c>
      <c r="D306" s="44">
        <v>1000</v>
      </c>
      <c r="E306" s="45">
        <v>646</v>
      </c>
      <c r="F306" s="45">
        <f>E306-G306</f>
        <v>40</v>
      </c>
      <c r="G306" s="45">
        <v>606</v>
      </c>
      <c r="H306" s="45">
        <v>1.1000000000000001</v>
      </c>
      <c r="I306" s="45">
        <v>0.8</v>
      </c>
      <c r="J306" s="45">
        <v>0.55000000000000004</v>
      </c>
      <c r="K306" s="4">
        <f t="shared" si="47"/>
        <v>0.4840000000000001</v>
      </c>
      <c r="L306" s="5">
        <v>376</v>
      </c>
      <c r="M306" s="4">
        <f t="shared" si="48"/>
        <v>0.376</v>
      </c>
      <c r="N306" s="4">
        <f t="shared" si="49"/>
        <v>242.89599999999999</v>
      </c>
      <c r="O306" s="4">
        <f t="shared" si="50"/>
        <v>0.18198400000000003</v>
      </c>
      <c r="Q306" s="147"/>
    </row>
    <row r="307" spans="1:17">
      <c r="A307" s="5">
        <v>9356</v>
      </c>
      <c r="B307" s="5" t="s">
        <v>47</v>
      </c>
      <c r="C307" s="8" t="s">
        <v>24</v>
      </c>
      <c r="D307" s="3">
        <v>4000</v>
      </c>
      <c r="E307" s="6">
        <v>424</v>
      </c>
      <c r="F307" s="5">
        <f>E307-G307</f>
        <v>52</v>
      </c>
      <c r="G307" s="6">
        <v>372</v>
      </c>
      <c r="H307" s="5">
        <v>1.1000000000000001</v>
      </c>
      <c r="I307" s="5">
        <v>0.8</v>
      </c>
      <c r="J307" s="5">
        <v>0.55000000000000004</v>
      </c>
      <c r="K307" s="7">
        <f t="shared" si="47"/>
        <v>0.4840000000000001</v>
      </c>
      <c r="L307" s="5">
        <v>684</v>
      </c>
      <c r="M307" s="4">
        <f t="shared" si="48"/>
        <v>0.17100000000000001</v>
      </c>
      <c r="N307" s="4">
        <f t="shared" si="49"/>
        <v>72.504000000000005</v>
      </c>
      <c r="O307" s="4">
        <f t="shared" si="50"/>
        <v>8.2764000000000018E-2</v>
      </c>
      <c r="Q307" s="147"/>
    </row>
    <row r="308" spans="1:17">
      <c r="A308" s="5">
        <v>9358</v>
      </c>
      <c r="B308" s="5" t="s">
        <v>14</v>
      </c>
      <c r="C308" s="8" t="s">
        <v>25</v>
      </c>
      <c r="D308" s="5">
        <v>1000</v>
      </c>
      <c r="E308" s="5">
        <v>830</v>
      </c>
      <c r="F308" s="5">
        <v>40</v>
      </c>
      <c r="G308" s="5">
        <v>790</v>
      </c>
      <c r="H308" s="5">
        <v>1.04</v>
      </c>
      <c r="I308" s="5">
        <v>0.84</v>
      </c>
      <c r="J308" s="5">
        <v>0.64</v>
      </c>
      <c r="K308" s="7">
        <f t="shared" si="47"/>
        <v>0.55910400000000005</v>
      </c>
      <c r="L308" s="5">
        <v>188</v>
      </c>
      <c r="M308" s="4">
        <f t="shared" si="48"/>
        <v>0.188</v>
      </c>
      <c r="N308" s="4">
        <f t="shared" si="49"/>
        <v>156.04</v>
      </c>
      <c r="O308" s="4">
        <f t="shared" si="50"/>
        <v>0.10511155200000001</v>
      </c>
      <c r="Q308" s="147"/>
    </row>
    <row r="309" spans="1:17">
      <c r="A309" s="5">
        <v>9358</v>
      </c>
      <c r="B309" s="5" t="s">
        <v>14</v>
      </c>
      <c r="C309" s="8" t="s">
        <v>26</v>
      </c>
      <c r="D309" s="5">
        <v>4000</v>
      </c>
      <c r="E309" s="5">
        <v>223</v>
      </c>
      <c r="F309" s="5">
        <v>30</v>
      </c>
      <c r="G309" s="5">
        <v>188</v>
      </c>
      <c r="H309" s="5">
        <v>0.86</v>
      </c>
      <c r="I309" s="5">
        <v>0.78</v>
      </c>
      <c r="J309" s="5">
        <v>0.74</v>
      </c>
      <c r="K309" s="7">
        <f t="shared" si="47"/>
        <v>0.49639200000000006</v>
      </c>
      <c r="L309" s="5">
        <v>188</v>
      </c>
      <c r="M309" s="4">
        <f t="shared" si="48"/>
        <v>4.7E-2</v>
      </c>
      <c r="N309" s="4">
        <f t="shared" si="49"/>
        <v>10.481</v>
      </c>
      <c r="O309" s="4">
        <f t="shared" si="50"/>
        <v>2.3330424000000002E-2</v>
      </c>
      <c r="Q309" s="147"/>
    </row>
    <row r="310" spans="1:17">
      <c r="A310" s="5">
        <v>9355</v>
      </c>
      <c r="B310" s="5" t="s">
        <v>15</v>
      </c>
      <c r="C310" s="8" t="s">
        <v>27</v>
      </c>
      <c r="D310" s="12">
        <v>12</v>
      </c>
      <c r="E310" s="12">
        <v>435</v>
      </c>
      <c r="F310" s="12">
        <v>39</v>
      </c>
      <c r="G310" s="12">
        <v>396</v>
      </c>
      <c r="H310" s="12">
        <v>0.86</v>
      </c>
      <c r="I310" s="12">
        <v>0.56000000000000005</v>
      </c>
      <c r="J310" s="12">
        <v>0.51</v>
      </c>
      <c r="K310" s="13">
        <f t="shared" si="47"/>
        <v>0.24561600000000003</v>
      </c>
      <c r="L310" s="5">
        <v>34</v>
      </c>
      <c r="M310" s="4">
        <f t="shared" si="48"/>
        <v>2.8333333333333335</v>
      </c>
      <c r="N310" s="4">
        <f t="shared" si="49"/>
        <v>1232.5</v>
      </c>
      <c r="O310" s="4">
        <f t="shared" si="50"/>
        <v>0.69591200000000009</v>
      </c>
      <c r="P310" s="145">
        <f>SUM(L310:L314)</f>
        <v>77</v>
      </c>
      <c r="Q310" s="147"/>
    </row>
    <row r="311" spans="1:17">
      <c r="A311" s="5">
        <v>9355</v>
      </c>
      <c r="B311" s="5" t="s">
        <v>15</v>
      </c>
      <c r="C311" s="8" t="s">
        <v>28</v>
      </c>
      <c r="D311" s="12">
        <v>12</v>
      </c>
      <c r="E311" s="12">
        <v>520</v>
      </c>
      <c r="F311" s="12">
        <v>40</v>
      </c>
      <c r="G311" s="12">
        <v>480</v>
      </c>
      <c r="H311" s="12">
        <v>1.03</v>
      </c>
      <c r="I311" s="12">
        <v>0.56000000000000005</v>
      </c>
      <c r="J311" s="12">
        <v>0.51</v>
      </c>
      <c r="K311" s="13">
        <f t="shared" si="47"/>
        <v>0.29416800000000004</v>
      </c>
      <c r="L311" s="5">
        <v>15</v>
      </c>
      <c r="M311" s="4">
        <f t="shared" si="48"/>
        <v>1.25</v>
      </c>
      <c r="N311" s="4">
        <f t="shared" si="49"/>
        <v>650</v>
      </c>
      <c r="O311" s="4">
        <f t="shared" si="50"/>
        <v>0.36771000000000004</v>
      </c>
      <c r="P311" s="145"/>
      <c r="Q311" s="147"/>
    </row>
    <row r="312" spans="1:17">
      <c r="A312" s="5">
        <v>9355</v>
      </c>
      <c r="B312" s="5" t="s">
        <v>15</v>
      </c>
      <c r="C312" s="8" t="s">
        <v>29</v>
      </c>
      <c r="D312" s="12">
        <v>12</v>
      </c>
      <c r="E312" s="12">
        <v>596</v>
      </c>
      <c r="F312" s="12">
        <v>44</v>
      </c>
      <c r="G312" s="12">
        <v>552</v>
      </c>
      <c r="H312" s="12">
        <v>1.17</v>
      </c>
      <c r="I312" s="12">
        <v>0.56000000000000005</v>
      </c>
      <c r="J312" s="12">
        <v>0.51</v>
      </c>
      <c r="K312" s="13">
        <f t="shared" si="47"/>
        <v>0.334152</v>
      </c>
      <c r="L312" s="5">
        <v>25</v>
      </c>
      <c r="M312" s="4">
        <f t="shared" si="48"/>
        <v>2.0833333333333335</v>
      </c>
      <c r="N312" s="4">
        <f t="shared" si="49"/>
        <v>1241.6666666666667</v>
      </c>
      <c r="O312" s="4">
        <f t="shared" si="50"/>
        <v>0.69615000000000005</v>
      </c>
      <c r="P312" s="145"/>
      <c r="Q312" s="147"/>
    </row>
    <row r="313" spans="1:17">
      <c r="A313" s="5">
        <v>9355</v>
      </c>
      <c r="B313" s="5" t="s">
        <v>15</v>
      </c>
      <c r="C313" s="8" t="s">
        <v>30</v>
      </c>
      <c r="D313" s="14">
        <v>12</v>
      </c>
      <c r="E313" s="12">
        <v>654</v>
      </c>
      <c r="F313" s="12">
        <v>42</v>
      </c>
      <c r="G313" s="12">
        <v>612</v>
      </c>
      <c r="H313" s="12">
        <v>1.2749999999999999</v>
      </c>
      <c r="I313" s="12">
        <v>0.56000000000000005</v>
      </c>
      <c r="J313" s="12">
        <v>0.51</v>
      </c>
      <c r="K313" s="13">
        <f t="shared" si="47"/>
        <v>0.36413999999999996</v>
      </c>
      <c r="L313" s="5">
        <v>3</v>
      </c>
      <c r="M313" s="4">
        <f t="shared" si="48"/>
        <v>0.25</v>
      </c>
      <c r="N313" s="4">
        <f t="shared" si="49"/>
        <v>163.5</v>
      </c>
      <c r="O313" s="4">
        <f t="shared" si="50"/>
        <v>9.1034999999999991E-2</v>
      </c>
      <c r="P313" s="145"/>
      <c r="Q313" s="147"/>
    </row>
    <row r="314" spans="1:17">
      <c r="A314" s="5">
        <v>9355</v>
      </c>
      <c r="B314" s="5" t="s">
        <v>15</v>
      </c>
      <c r="C314" s="8" t="s">
        <v>31</v>
      </c>
      <c r="D314" s="14">
        <v>6</v>
      </c>
      <c r="E314" s="12">
        <v>410</v>
      </c>
      <c r="F314" s="12">
        <v>50</v>
      </c>
      <c r="G314" s="12">
        <v>360</v>
      </c>
      <c r="H314" s="12">
        <v>1.48</v>
      </c>
      <c r="I314" s="12">
        <v>0.56000000000000005</v>
      </c>
      <c r="J314" s="12">
        <v>0.37</v>
      </c>
      <c r="K314" s="13">
        <f t="shared" si="47"/>
        <v>0.30665600000000004</v>
      </c>
      <c r="L314" s="5">
        <v>0</v>
      </c>
      <c r="M314" s="4">
        <f t="shared" si="48"/>
        <v>0</v>
      </c>
      <c r="N314" s="4">
        <f t="shared" si="49"/>
        <v>0</v>
      </c>
      <c r="O314" s="4">
        <f t="shared" si="50"/>
        <v>0</v>
      </c>
      <c r="P314" s="145"/>
      <c r="Q314" s="147"/>
    </row>
    <row r="315" spans="1:17">
      <c r="A315" s="5">
        <v>9358</v>
      </c>
      <c r="B315" s="5" t="s">
        <v>14</v>
      </c>
      <c r="C315" s="8" t="s">
        <v>32</v>
      </c>
      <c r="D315" s="6">
        <v>1000</v>
      </c>
      <c r="E315" s="6">
        <f t="shared" ref="E315:E324" si="51">G315+F315</f>
        <v>395</v>
      </c>
      <c r="F315" s="6">
        <v>40</v>
      </c>
      <c r="G315" s="6">
        <v>355</v>
      </c>
      <c r="H315" s="6">
        <v>1.05</v>
      </c>
      <c r="I315" s="6">
        <v>0.9</v>
      </c>
      <c r="J315" s="6">
        <v>0.55000000000000004</v>
      </c>
      <c r="K315" s="4">
        <f t="shared" si="47"/>
        <v>0.51975000000000005</v>
      </c>
      <c r="L315" s="5">
        <v>34</v>
      </c>
      <c r="M315" s="4">
        <f t="shared" si="48"/>
        <v>3.4000000000000002E-2</v>
      </c>
      <c r="N315" s="4">
        <f t="shared" si="49"/>
        <v>13.430000000000001</v>
      </c>
      <c r="O315" s="4">
        <f t="shared" si="50"/>
        <v>1.7671500000000003E-2</v>
      </c>
      <c r="Q315" s="147"/>
    </row>
    <row r="316" spans="1:17">
      <c r="A316" s="5">
        <v>9358</v>
      </c>
      <c r="B316" s="5" t="s">
        <v>14</v>
      </c>
      <c r="C316" s="8" t="s">
        <v>33</v>
      </c>
      <c r="D316" s="6">
        <v>450</v>
      </c>
      <c r="E316" s="6">
        <f t="shared" si="51"/>
        <v>360</v>
      </c>
      <c r="F316" s="6">
        <v>40</v>
      </c>
      <c r="G316" s="6">
        <v>320</v>
      </c>
      <c r="H316" s="5">
        <v>1.1000000000000001</v>
      </c>
      <c r="I316" s="6">
        <v>0.9</v>
      </c>
      <c r="J316" s="5">
        <v>0.75</v>
      </c>
      <c r="K316" s="7">
        <f t="shared" si="47"/>
        <v>0.74250000000000005</v>
      </c>
      <c r="L316" s="5">
        <v>34</v>
      </c>
      <c r="M316" s="4">
        <f t="shared" si="48"/>
        <v>7.5555555555555556E-2</v>
      </c>
      <c r="N316" s="4">
        <f t="shared" si="49"/>
        <v>27.2</v>
      </c>
      <c r="O316" s="4">
        <f t="shared" si="50"/>
        <v>5.6100000000000004E-2</v>
      </c>
      <c r="Q316" s="147"/>
    </row>
    <row r="317" spans="1:17">
      <c r="A317" s="5">
        <v>9358</v>
      </c>
      <c r="B317" s="5" t="s">
        <v>14</v>
      </c>
      <c r="C317" s="8" t="s">
        <v>34</v>
      </c>
      <c r="D317" s="6">
        <v>1000</v>
      </c>
      <c r="E317" s="6">
        <f t="shared" si="51"/>
        <v>492</v>
      </c>
      <c r="F317" s="6">
        <v>40</v>
      </c>
      <c r="G317" s="6">
        <v>452</v>
      </c>
      <c r="H317" s="6">
        <v>1.1000000000000001</v>
      </c>
      <c r="I317" s="6">
        <v>1.05</v>
      </c>
      <c r="J317" s="6">
        <v>0.55000000000000004</v>
      </c>
      <c r="K317" s="4">
        <f t="shared" si="47"/>
        <v>0.6352500000000002</v>
      </c>
      <c r="L317" s="5">
        <v>15</v>
      </c>
      <c r="M317" s="4">
        <f t="shared" si="48"/>
        <v>1.4999999999999999E-2</v>
      </c>
      <c r="N317" s="4">
        <f t="shared" si="49"/>
        <v>7.38</v>
      </c>
      <c r="O317" s="4">
        <f t="shared" si="50"/>
        <v>9.5287500000000025E-3</v>
      </c>
      <c r="Q317" s="147"/>
    </row>
    <row r="318" spans="1:17">
      <c r="A318" s="5">
        <v>9358</v>
      </c>
      <c r="B318" s="5" t="s">
        <v>14</v>
      </c>
      <c r="C318" s="8" t="s">
        <v>35</v>
      </c>
      <c r="D318" s="6">
        <v>450</v>
      </c>
      <c r="E318" s="6">
        <f t="shared" si="51"/>
        <v>421.5</v>
      </c>
      <c r="F318" s="6">
        <v>40</v>
      </c>
      <c r="G318" s="6">
        <v>381.5</v>
      </c>
      <c r="H318" s="6">
        <v>1.05</v>
      </c>
      <c r="I318" s="6">
        <v>1.05</v>
      </c>
      <c r="J318" s="5">
        <v>0.75</v>
      </c>
      <c r="K318" s="7">
        <f t="shared" si="47"/>
        <v>0.82687500000000003</v>
      </c>
      <c r="L318" s="5">
        <v>15</v>
      </c>
      <c r="M318" s="4">
        <f t="shared" si="48"/>
        <v>3.3333333333333333E-2</v>
      </c>
      <c r="N318" s="4">
        <f t="shared" si="49"/>
        <v>14.049999999999999</v>
      </c>
      <c r="O318" s="4">
        <f t="shared" si="50"/>
        <v>2.75625E-2</v>
      </c>
      <c r="Q318" s="147"/>
    </row>
    <row r="319" spans="1:17">
      <c r="A319" s="5">
        <v>9358</v>
      </c>
      <c r="B319" s="5" t="s">
        <v>14</v>
      </c>
      <c r="C319" s="8" t="s">
        <v>36</v>
      </c>
      <c r="D319" s="6">
        <v>1000</v>
      </c>
      <c r="E319" s="6">
        <f t="shared" si="51"/>
        <v>574</v>
      </c>
      <c r="F319" s="6">
        <v>40</v>
      </c>
      <c r="G319" s="6">
        <v>534</v>
      </c>
      <c r="H319" s="6">
        <v>1.1000000000000001</v>
      </c>
      <c r="I319" s="6">
        <v>1.2</v>
      </c>
      <c r="J319" s="6">
        <v>0.55000000000000004</v>
      </c>
      <c r="K319" s="4">
        <f t="shared" si="47"/>
        <v>0.72600000000000009</v>
      </c>
      <c r="L319" s="5">
        <v>25</v>
      </c>
      <c r="M319" s="4">
        <f t="shared" si="48"/>
        <v>2.5000000000000001E-2</v>
      </c>
      <c r="N319" s="4">
        <f t="shared" si="49"/>
        <v>14.350000000000001</v>
      </c>
      <c r="O319" s="4">
        <f t="shared" si="50"/>
        <v>1.8150000000000003E-2</v>
      </c>
      <c r="Q319" s="147"/>
    </row>
    <row r="320" spans="1:17">
      <c r="A320" s="5">
        <v>9358</v>
      </c>
      <c r="B320" s="5" t="s">
        <v>14</v>
      </c>
      <c r="C320" s="8" t="s">
        <v>37</v>
      </c>
      <c r="D320" s="6">
        <v>450</v>
      </c>
      <c r="E320" s="6">
        <f t="shared" si="51"/>
        <v>475</v>
      </c>
      <c r="F320" s="6">
        <v>40</v>
      </c>
      <c r="G320" s="6">
        <v>435</v>
      </c>
      <c r="H320" s="6">
        <v>1.05</v>
      </c>
      <c r="I320" s="6">
        <v>1.2</v>
      </c>
      <c r="J320" s="5">
        <v>0.75</v>
      </c>
      <c r="K320" s="4">
        <f t="shared" si="47"/>
        <v>0.94500000000000006</v>
      </c>
      <c r="L320" s="5">
        <v>25</v>
      </c>
      <c r="M320" s="4">
        <f t="shared" si="48"/>
        <v>5.5555555555555552E-2</v>
      </c>
      <c r="N320" s="4">
        <f t="shared" si="49"/>
        <v>26.388888888888886</v>
      </c>
      <c r="O320" s="4">
        <f t="shared" si="50"/>
        <v>5.2499999999999998E-2</v>
      </c>
      <c r="Q320" s="147"/>
    </row>
    <row r="321" spans="1:17">
      <c r="A321" s="5">
        <v>9358</v>
      </c>
      <c r="B321" s="5" t="s">
        <v>14</v>
      </c>
      <c r="C321" s="8" t="s">
        <v>38</v>
      </c>
      <c r="D321" s="6">
        <v>1000</v>
      </c>
      <c r="E321" s="6">
        <f t="shared" si="51"/>
        <v>645</v>
      </c>
      <c r="F321" s="6">
        <v>40</v>
      </c>
      <c r="G321" s="6">
        <v>605</v>
      </c>
      <c r="H321" s="6">
        <v>1.1000000000000001</v>
      </c>
      <c r="I321" s="6">
        <v>1.3</v>
      </c>
      <c r="J321" s="6">
        <v>0.55000000000000004</v>
      </c>
      <c r="K321" s="4">
        <f t="shared" si="47"/>
        <v>0.7865000000000002</v>
      </c>
      <c r="L321" s="5">
        <v>3</v>
      </c>
      <c r="M321" s="4">
        <f t="shared" si="48"/>
        <v>3.0000000000000001E-3</v>
      </c>
      <c r="N321" s="4">
        <f t="shared" si="49"/>
        <v>1.9350000000000001</v>
      </c>
      <c r="O321" s="4">
        <f t="shared" si="50"/>
        <v>2.3595000000000005E-3</v>
      </c>
      <c r="Q321" s="147"/>
    </row>
    <row r="322" spans="1:17">
      <c r="A322" s="5">
        <v>9358</v>
      </c>
      <c r="B322" s="5" t="s">
        <v>14</v>
      </c>
      <c r="C322" s="8" t="s">
        <v>39</v>
      </c>
      <c r="D322" s="6">
        <v>450</v>
      </c>
      <c r="E322" s="6">
        <f t="shared" si="51"/>
        <v>515</v>
      </c>
      <c r="F322" s="6">
        <v>40</v>
      </c>
      <c r="G322" s="6">
        <v>475</v>
      </c>
      <c r="H322" s="6">
        <v>1.05</v>
      </c>
      <c r="I322" s="6">
        <v>1.3</v>
      </c>
      <c r="J322" s="5">
        <v>0.75</v>
      </c>
      <c r="K322" s="4">
        <f t="shared" si="47"/>
        <v>1.0237500000000002</v>
      </c>
      <c r="L322" s="5">
        <v>3</v>
      </c>
      <c r="M322" s="4">
        <f t="shared" si="48"/>
        <v>6.6666666666666671E-3</v>
      </c>
      <c r="N322" s="4">
        <f t="shared" si="49"/>
        <v>3.4333333333333336</v>
      </c>
      <c r="O322" s="4">
        <f t="shared" si="50"/>
        <v>6.8250000000000012E-3</v>
      </c>
      <c r="Q322" s="147"/>
    </row>
    <row r="323" spans="1:17">
      <c r="A323" s="5">
        <v>9358</v>
      </c>
      <c r="B323" s="5" t="s">
        <v>14</v>
      </c>
      <c r="C323" s="8" t="s">
        <v>40</v>
      </c>
      <c r="D323" s="6">
        <v>1000</v>
      </c>
      <c r="E323" s="6">
        <f t="shared" si="51"/>
        <v>645</v>
      </c>
      <c r="F323" s="6">
        <v>40</v>
      </c>
      <c r="G323" s="6">
        <v>605</v>
      </c>
      <c r="H323" s="6">
        <v>1.1000000000000001</v>
      </c>
      <c r="I323" s="6">
        <v>1.3</v>
      </c>
      <c r="J323" s="6">
        <v>0.55000000000000004</v>
      </c>
      <c r="K323" s="4">
        <f t="shared" si="47"/>
        <v>0.7865000000000002</v>
      </c>
      <c r="L323" s="5">
        <v>0</v>
      </c>
      <c r="M323" s="4">
        <f t="shared" si="48"/>
        <v>0</v>
      </c>
      <c r="N323" s="4">
        <f t="shared" si="49"/>
        <v>0</v>
      </c>
      <c r="O323" s="4">
        <f t="shared" si="50"/>
        <v>0</v>
      </c>
      <c r="Q323" s="147"/>
    </row>
    <row r="324" spans="1:17">
      <c r="A324" s="5">
        <v>9358</v>
      </c>
      <c r="B324" s="5" t="s">
        <v>14</v>
      </c>
      <c r="C324" s="8" t="s">
        <v>41</v>
      </c>
      <c r="D324" s="6">
        <v>450</v>
      </c>
      <c r="E324" s="6">
        <f t="shared" si="51"/>
        <v>515</v>
      </c>
      <c r="F324" s="6">
        <v>40</v>
      </c>
      <c r="G324" s="6">
        <v>475</v>
      </c>
      <c r="H324" s="6">
        <v>1.05</v>
      </c>
      <c r="I324" s="6">
        <v>1.3</v>
      </c>
      <c r="J324" s="5">
        <v>0.75</v>
      </c>
      <c r="K324" s="4">
        <f t="shared" si="47"/>
        <v>1.0237500000000002</v>
      </c>
      <c r="L324" s="5">
        <v>0</v>
      </c>
      <c r="M324" s="4">
        <f t="shared" si="48"/>
        <v>0</v>
      </c>
      <c r="N324" s="4">
        <f t="shared" si="49"/>
        <v>0</v>
      </c>
      <c r="O324" s="4">
        <f t="shared" si="50"/>
        <v>0</v>
      </c>
      <c r="Q324" s="147"/>
    </row>
    <row r="325" spans="1:17">
      <c r="A325" s="5">
        <v>9358</v>
      </c>
      <c r="B325" s="5" t="s">
        <v>14</v>
      </c>
      <c r="C325" s="8" t="s">
        <v>22</v>
      </c>
      <c r="D325" s="3">
        <v>3000</v>
      </c>
      <c r="E325" s="6">
        <v>235</v>
      </c>
      <c r="F325" s="5">
        <v>35</v>
      </c>
      <c r="G325" s="6">
        <v>200</v>
      </c>
      <c r="H325" s="5">
        <v>1.1000000000000001</v>
      </c>
      <c r="I325" s="5">
        <v>1.1000000000000001</v>
      </c>
      <c r="J325" s="5">
        <v>1.02</v>
      </c>
      <c r="K325" s="7">
        <f t="shared" si="47"/>
        <v>1.2342000000000002</v>
      </c>
      <c r="L325" s="5">
        <v>308</v>
      </c>
      <c r="M325" s="4">
        <f t="shared" si="48"/>
        <v>0.10266666666666667</v>
      </c>
      <c r="N325" s="4">
        <f t="shared" si="49"/>
        <v>24.126666666666669</v>
      </c>
      <c r="O325" s="4">
        <f t="shared" si="50"/>
        <v>0.12671120000000002</v>
      </c>
      <c r="Q325" s="147"/>
    </row>
    <row r="326" spans="1:17">
      <c r="A326" s="5">
        <v>9358</v>
      </c>
      <c r="B326" s="5" t="s">
        <v>14</v>
      </c>
      <c r="C326" s="8" t="s">
        <v>23</v>
      </c>
      <c r="D326" s="44">
        <v>1000</v>
      </c>
      <c r="E326" s="45">
        <v>646</v>
      </c>
      <c r="F326" s="45">
        <f>E326-G326</f>
        <v>40</v>
      </c>
      <c r="G326" s="45">
        <v>606</v>
      </c>
      <c r="H326" s="45">
        <v>1.1000000000000001</v>
      </c>
      <c r="I326" s="45">
        <v>0.8</v>
      </c>
      <c r="J326" s="45">
        <v>0.55000000000000004</v>
      </c>
      <c r="K326" s="4">
        <f t="shared" si="47"/>
        <v>0.4840000000000001</v>
      </c>
      <c r="L326" s="5">
        <v>308</v>
      </c>
      <c r="M326" s="4">
        <f t="shared" si="48"/>
        <v>0.308</v>
      </c>
      <c r="N326" s="4">
        <f t="shared" si="49"/>
        <v>198.96799999999999</v>
      </c>
      <c r="O326" s="4">
        <f t="shared" si="50"/>
        <v>0.14907200000000004</v>
      </c>
      <c r="Q326" s="147"/>
    </row>
    <row r="327" spans="1:17">
      <c r="A327" s="5">
        <v>9358</v>
      </c>
      <c r="B327" s="5" t="s">
        <v>14</v>
      </c>
      <c r="C327" s="8" t="s">
        <v>46</v>
      </c>
      <c r="D327" s="3">
        <v>4000</v>
      </c>
      <c r="E327" s="6">
        <v>424</v>
      </c>
      <c r="F327" s="5">
        <f>E327-G327</f>
        <v>52</v>
      </c>
      <c r="G327" s="6">
        <v>372</v>
      </c>
      <c r="H327" s="5">
        <v>1.1000000000000001</v>
      </c>
      <c r="I327" s="5">
        <v>0.8</v>
      </c>
      <c r="J327" s="5">
        <v>0.55000000000000004</v>
      </c>
      <c r="K327" s="7">
        <f t="shared" si="47"/>
        <v>0.4840000000000001</v>
      </c>
      <c r="L327" s="5">
        <v>308</v>
      </c>
      <c r="M327" s="4">
        <f t="shared" si="48"/>
        <v>7.6999999999999999E-2</v>
      </c>
      <c r="N327" s="4">
        <f t="shared" si="49"/>
        <v>32.647999999999996</v>
      </c>
      <c r="O327" s="4">
        <f t="shared" si="50"/>
        <v>3.7268000000000009E-2</v>
      </c>
      <c r="Q327" s="147"/>
    </row>
    <row r="328" spans="1:17">
      <c r="A328" s="5">
        <v>9358</v>
      </c>
      <c r="B328" s="5" t="s">
        <v>14</v>
      </c>
      <c r="C328" s="8" t="s">
        <v>42</v>
      </c>
      <c r="D328" s="15">
        <v>1200</v>
      </c>
      <c r="E328" s="131">
        <v>666.4</v>
      </c>
      <c r="F328" s="131">
        <v>40</v>
      </c>
      <c r="G328" s="16">
        <v>588</v>
      </c>
      <c r="H328" s="133">
        <v>1</v>
      </c>
      <c r="I328" s="133">
        <v>0.75</v>
      </c>
      <c r="J328" s="133">
        <v>0.7</v>
      </c>
      <c r="K328" s="135">
        <v>0.5</v>
      </c>
      <c r="L328" s="5">
        <v>308</v>
      </c>
      <c r="M328" s="148">
        <f t="shared" si="48"/>
        <v>0.25666666666666665</v>
      </c>
      <c r="N328" s="148">
        <f t="shared" si="49"/>
        <v>171.04266666666666</v>
      </c>
      <c r="O328" s="156">
        <f t="shared" si="50"/>
        <v>0.12833333333333333</v>
      </c>
      <c r="Q328" s="147"/>
    </row>
    <row r="329" spans="1:17">
      <c r="A329" s="5">
        <v>9358</v>
      </c>
      <c r="B329" s="5" t="s">
        <v>14</v>
      </c>
      <c r="C329" s="8" t="s">
        <v>43</v>
      </c>
      <c r="D329" s="15">
        <v>1200</v>
      </c>
      <c r="E329" s="132"/>
      <c r="F329" s="132"/>
      <c r="G329" s="16">
        <v>38.4</v>
      </c>
      <c r="H329" s="134"/>
      <c r="I329" s="134"/>
      <c r="J329" s="134"/>
      <c r="K329" s="136"/>
      <c r="L329" s="5">
        <v>308</v>
      </c>
      <c r="M329" s="149"/>
      <c r="N329" s="149"/>
      <c r="O329" s="157"/>
      <c r="Q329" s="147"/>
    </row>
    <row r="330" spans="1:17">
      <c r="A330" s="5">
        <v>9358</v>
      </c>
      <c r="B330" s="5" t="s">
        <v>14</v>
      </c>
      <c r="C330" s="8" t="s">
        <v>60</v>
      </c>
      <c r="D330" s="15"/>
      <c r="E330" s="81"/>
      <c r="F330" s="81"/>
      <c r="G330" s="16"/>
      <c r="H330" s="82"/>
      <c r="I330" s="82"/>
      <c r="J330" s="82"/>
      <c r="K330" s="83"/>
      <c r="L330" s="5">
        <v>308</v>
      </c>
      <c r="M330" s="84"/>
      <c r="N330" s="84"/>
      <c r="O330" s="85"/>
      <c r="Q330" s="147"/>
    </row>
    <row r="331" spans="1:17">
      <c r="A331" s="60">
        <v>9258</v>
      </c>
      <c r="B331" s="60" t="s">
        <v>14</v>
      </c>
      <c r="C331" s="87" t="s">
        <v>82</v>
      </c>
      <c r="D331" s="6">
        <v>3000</v>
      </c>
      <c r="E331" s="6">
        <v>215</v>
      </c>
      <c r="F331" s="5">
        <v>35</v>
      </c>
      <c r="G331" s="6">
        <v>180</v>
      </c>
      <c r="H331" s="5">
        <v>1.1000000000000001</v>
      </c>
      <c r="I331" s="5">
        <v>1.02</v>
      </c>
      <c r="J331" s="7">
        <v>1.2342000000000002</v>
      </c>
      <c r="K331" s="4">
        <f t="shared" ref="K331" si="52">H331*I331*J331</f>
        <v>1.3847724000000003</v>
      </c>
      <c r="L331" s="64"/>
      <c r="M331" s="61">
        <f>L331/D331</f>
        <v>0</v>
      </c>
      <c r="N331" s="61">
        <f>M331*E331</f>
        <v>0</v>
      </c>
      <c r="O331" s="62">
        <f>M331*K331</f>
        <v>0</v>
      </c>
      <c r="P331" t="s">
        <v>63</v>
      </c>
    </row>
    <row r="332" spans="1:17">
      <c r="A332" s="60">
        <v>9258</v>
      </c>
      <c r="B332" s="60" t="s">
        <v>14</v>
      </c>
      <c r="C332" s="87" t="s">
        <v>62</v>
      </c>
      <c r="D332" s="6">
        <v>3000</v>
      </c>
      <c r="E332" s="6">
        <v>215</v>
      </c>
      <c r="F332" s="5">
        <v>35</v>
      </c>
      <c r="G332" s="6">
        <v>180</v>
      </c>
      <c r="H332" s="5">
        <v>1.1000000000000001</v>
      </c>
      <c r="I332" s="5">
        <v>1.02</v>
      </c>
      <c r="J332" s="7">
        <v>1.2342000000000002</v>
      </c>
      <c r="K332" s="4">
        <f t="shared" ref="K332" si="53">H332*I332*J332</f>
        <v>1.3847724000000003</v>
      </c>
      <c r="L332" s="64">
        <v>6000</v>
      </c>
      <c r="M332" s="61">
        <f>L332/D332</f>
        <v>2</v>
      </c>
      <c r="N332" s="61">
        <f>M332*E332</f>
        <v>430</v>
      </c>
      <c r="O332" s="62">
        <f>M332*K332</f>
        <v>2.7695448000000007</v>
      </c>
    </row>
    <row r="333" spans="1:17">
      <c r="A333" s="60" t="s">
        <v>49</v>
      </c>
      <c r="B333" s="60" t="s">
        <v>14</v>
      </c>
      <c r="C333" s="61" t="s">
        <v>50</v>
      </c>
      <c r="D333" s="61">
        <v>1</v>
      </c>
      <c r="E333" s="61">
        <v>60</v>
      </c>
      <c r="F333" s="61">
        <v>0</v>
      </c>
      <c r="G333" s="61">
        <v>80</v>
      </c>
      <c r="H333" s="61">
        <v>0.78</v>
      </c>
      <c r="I333" s="61">
        <v>0.78</v>
      </c>
      <c r="J333" s="61">
        <v>0.45</v>
      </c>
      <c r="K333" s="62">
        <f>H333*I333*J333</f>
        <v>0.27378000000000002</v>
      </c>
      <c r="L333" s="64"/>
      <c r="M333" s="61">
        <f>L333/D333</f>
        <v>0</v>
      </c>
      <c r="N333" s="61">
        <f>M333*E333</f>
        <v>0</v>
      </c>
      <c r="O333" s="62">
        <f>M333*K333</f>
        <v>0</v>
      </c>
      <c r="P333" t="s">
        <v>51</v>
      </c>
    </row>
    <row r="334" spans="1:17" ht="13.8" customHeight="1">
      <c r="L334">
        <f>SUM(L171:L333)</f>
        <v>22406</v>
      </c>
      <c r="M334">
        <f t="shared" ref="M334:O334" si="54">SUM(M171:M333)</f>
        <v>41.846533333333319</v>
      </c>
      <c r="N334">
        <f t="shared" si="54"/>
        <v>22093.976444444459</v>
      </c>
      <c r="O334">
        <f t="shared" si="54"/>
        <v>20.075350123999996</v>
      </c>
    </row>
    <row r="336" spans="1:17" ht="15" thickBot="1">
      <c r="A336" t="s">
        <v>58</v>
      </c>
      <c r="B336" t="s">
        <v>59</v>
      </c>
      <c r="C336" s="86">
        <v>45777</v>
      </c>
    </row>
    <row r="337" spans="1:17" ht="42" thickBot="1">
      <c r="A337" s="1" t="s">
        <v>44</v>
      </c>
      <c r="B337" s="1" t="s">
        <v>0</v>
      </c>
      <c r="C337" s="1" t="s">
        <v>1</v>
      </c>
      <c r="D337" s="1" t="s">
        <v>2</v>
      </c>
      <c r="E337" s="1" t="s">
        <v>3</v>
      </c>
      <c r="F337" s="1" t="s">
        <v>4</v>
      </c>
      <c r="G337" s="1" t="s">
        <v>5</v>
      </c>
      <c r="H337" s="1" t="s">
        <v>6</v>
      </c>
      <c r="I337" s="1" t="s">
        <v>7</v>
      </c>
      <c r="J337" s="1" t="s">
        <v>8</v>
      </c>
      <c r="K337" s="1" t="s">
        <v>9</v>
      </c>
      <c r="L337" s="63" t="s">
        <v>10</v>
      </c>
      <c r="M337" s="2" t="s">
        <v>11</v>
      </c>
      <c r="N337" s="2" t="s">
        <v>12</v>
      </c>
      <c r="O337" s="18" t="s">
        <v>13</v>
      </c>
    </row>
    <row r="338" spans="1:17" s="90" customFormat="1">
      <c r="A338" s="88">
        <v>9355</v>
      </c>
      <c r="B338" s="88" t="s">
        <v>15</v>
      </c>
      <c r="C338" s="88" t="s">
        <v>16</v>
      </c>
      <c r="D338" s="88">
        <v>30</v>
      </c>
      <c r="E338" s="88">
        <v>669</v>
      </c>
      <c r="F338" s="88">
        <f>E338-G338</f>
        <v>53</v>
      </c>
      <c r="G338" s="88">
        <v>616</v>
      </c>
      <c r="H338" s="88">
        <v>1</v>
      </c>
      <c r="I338" s="88">
        <v>0.9</v>
      </c>
      <c r="J338" s="88">
        <v>0.73</v>
      </c>
      <c r="K338" s="88">
        <f t="shared" ref="K338:K366" si="55">H338*I338*J338</f>
        <v>0.65700000000000003</v>
      </c>
      <c r="L338" s="88"/>
      <c r="M338" s="89">
        <f t="shared" ref="M338:M367" si="56">L338/D338</f>
        <v>0</v>
      </c>
      <c r="N338" s="89">
        <f t="shared" ref="N338:N367" si="57">E338*M338</f>
        <v>0</v>
      </c>
      <c r="O338" s="89">
        <f>M338*K338</f>
        <v>0</v>
      </c>
      <c r="P338" s="180">
        <f>SUM(L338:L341)</f>
        <v>18</v>
      </c>
      <c r="Q338" s="181" t="s">
        <v>52</v>
      </c>
    </row>
    <row r="339" spans="1:17" s="90" customFormat="1">
      <c r="A339" s="88">
        <v>9355</v>
      </c>
      <c r="B339" s="88" t="s">
        <v>15</v>
      </c>
      <c r="C339" s="88" t="s">
        <v>17</v>
      </c>
      <c r="D339" s="88">
        <v>30</v>
      </c>
      <c r="E339" s="88">
        <v>669</v>
      </c>
      <c r="F339" s="88">
        <f>E339-G339</f>
        <v>53</v>
      </c>
      <c r="G339" s="88">
        <v>616</v>
      </c>
      <c r="H339" s="88">
        <v>1</v>
      </c>
      <c r="I339" s="88">
        <v>0.9</v>
      </c>
      <c r="J339" s="88">
        <v>0.73</v>
      </c>
      <c r="K339" s="88">
        <f t="shared" si="55"/>
        <v>0.65700000000000003</v>
      </c>
      <c r="L339" s="88">
        <v>6</v>
      </c>
      <c r="M339" s="89">
        <f t="shared" si="56"/>
        <v>0.2</v>
      </c>
      <c r="N339" s="89">
        <f t="shared" si="57"/>
        <v>133.80000000000001</v>
      </c>
      <c r="O339" s="89">
        <f t="shared" ref="O339:O367" si="58">M339*K339</f>
        <v>0.13140000000000002</v>
      </c>
      <c r="P339" s="180"/>
      <c r="Q339" s="182"/>
    </row>
    <row r="340" spans="1:17" s="90" customFormat="1">
      <c r="A340" s="88">
        <v>9355</v>
      </c>
      <c r="B340" s="88" t="s">
        <v>15</v>
      </c>
      <c r="C340" s="88" t="s">
        <v>18</v>
      </c>
      <c r="D340" s="88">
        <v>30</v>
      </c>
      <c r="E340" s="88">
        <v>669</v>
      </c>
      <c r="F340" s="88">
        <f>E340-G340</f>
        <v>53</v>
      </c>
      <c r="G340" s="88">
        <v>616</v>
      </c>
      <c r="H340" s="88">
        <v>1</v>
      </c>
      <c r="I340" s="88">
        <v>0.9</v>
      </c>
      <c r="J340" s="88">
        <v>0.73</v>
      </c>
      <c r="K340" s="88">
        <f t="shared" si="55"/>
        <v>0.65700000000000003</v>
      </c>
      <c r="L340" s="88">
        <v>6</v>
      </c>
      <c r="M340" s="89">
        <f t="shared" si="56"/>
        <v>0.2</v>
      </c>
      <c r="N340" s="89">
        <f t="shared" si="57"/>
        <v>133.80000000000001</v>
      </c>
      <c r="O340" s="89">
        <f t="shared" si="58"/>
        <v>0.13140000000000002</v>
      </c>
      <c r="P340" s="180"/>
      <c r="Q340" s="182"/>
    </row>
    <row r="341" spans="1:17" s="90" customFormat="1">
      <c r="A341" s="88">
        <v>9355</v>
      </c>
      <c r="B341" s="88" t="s">
        <v>15</v>
      </c>
      <c r="C341" s="88" t="s">
        <v>19</v>
      </c>
      <c r="D341" s="88">
        <v>30</v>
      </c>
      <c r="E341" s="88">
        <v>669</v>
      </c>
      <c r="F341" s="88">
        <f>E341-G341</f>
        <v>53</v>
      </c>
      <c r="G341" s="88">
        <v>616</v>
      </c>
      <c r="H341" s="88">
        <v>1</v>
      </c>
      <c r="I341" s="88">
        <v>0.9</v>
      </c>
      <c r="J341" s="88">
        <v>0.73</v>
      </c>
      <c r="K341" s="88">
        <f t="shared" si="55"/>
        <v>0.65700000000000003</v>
      </c>
      <c r="L341" s="88">
        <v>6</v>
      </c>
      <c r="M341" s="89">
        <f t="shared" si="56"/>
        <v>0.2</v>
      </c>
      <c r="N341" s="89">
        <f t="shared" si="57"/>
        <v>133.80000000000001</v>
      </c>
      <c r="O341" s="89">
        <f t="shared" si="58"/>
        <v>0.13140000000000002</v>
      </c>
      <c r="P341" s="180"/>
      <c r="Q341" s="182"/>
    </row>
    <row r="342" spans="1:17" s="90" customFormat="1">
      <c r="A342" s="88">
        <v>9358</v>
      </c>
      <c r="B342" s="88" t="s">
        <v>14</v>
      </c>
      <c r="C342" s="91" t="s">
        <v>20</v>
      </c>
      <c r="D342" s="88">
        <v>5000</v>
      </c>
      <c r="E342" s="88">
        <v>490</v>
      </c>
      <c r="F342" s="88">
        <v>40</v>
      </c>
      <c r="G342" s="88">
        <v>450</v>
      </c>
      <c r="H342" s="88">
        <v>1</v>
      </c>
      <c r="I342" s="88">
        <v>0.98</v>
      </c>
      <c r="J342" s="88">
        <v>0.83</v>
      </c>
      <c r="K342" s="92">
        <f t="shared" si="55"/>
        <v>0.8133999999999999</v>
      </c>
      <c r="L342" s="88"/>
      <c r="M342" s="89">
        <f t="shared" si="56"/>
        <v>0</v>
      </c>
      <c r="N342" s="89">
        <f t="shared" si="57"/>
        <v>0</v>
      </c>
      <c r="O342" s="89">
        <f t="shared" si="58"/>
        <v>0</v>
      </c>
      <c r="Q342" s="182"/>
    </row>
    <row r="343" spans="1:17" s="90" customFormat="1">
      <c r="A343" s="88">
        <v>9358</v>
      </c>
      <c r="B343" s="88" t="s">
        <v>14</v>
      </c>
      <c r="C343" s="91" t="s">
        <v>21</v>
      </c>
      <c r="D343" s="88">
        <v>360</v>
      </c>
      <c r="E343" s="88">
        <v>390</v>
      </c>
      <c r="F343" s="88">
        <v>40</v>
      </c>
      <c r="G343" s="88">
        <v>350</v>
      </c>
      <c r="H343" s="88">
        <v>1.05</v>
      </c>
      <c r="I343" s="88">
        <v>0.95</v>
      </c>
      <c r="J343" s="88">
        <v>0.55000000000000004</v>
      </c>
      <c r="K343" s="92">
        <f t="shared" si="55"/>
        <v>0.54862500000000003</v>
      </c>
      <c r="L343" s="88"/>
      <c r="M343" s="89">
        <f t="shared" si="56"/>
        <v>0</v>
      </c>
      <c r="N343" s="89">
        <f t="shared" si="57"/>
        <v>0</v>
      </c>
      <c r="O343" s="89">
        <f t="shared" si="58"/>
        <v>0</v>
      </c>
      <c r="Q343" s="182"/>
    </row>
    <row r="344" spans="1:17" s="90" customFormat="1">
      <c r="A344" s="88">
        <v>9358</v>
      </c>
      <c r="B344" s="88" t="s">
        <v>14</v>
      </c>
      <c r="C344" s="91" t="s">
        <v>22</v>
      </c>
      <c r="D344" s="93">
        <v>3000</v>
      </c>
      <c r="E344" s="94">
        <v>235</v>
      </c>
      <c r="F344" s="88">
        <v>35</v>
      </c>
      <c r="G344" s="94">
        <v>200</v>
      </c>
      <c r="H344" s="88">
        <v>1.1000000000000001</v>
      </c>
      <c r="I344" s="88">
        <v>1.1000000000000001</v>
      </c>
      <c r="J344" s="88">
        <v>1.02</v>
      </c>
      <c r="K344" s="92">
        <f t="shared" si="55"/>
        <v>1.2342000000000002</v>
      </c>
      <c r="L344" s="88"/>
      <c r="M344" s="89">
        <f t="shared" si="56"/>
        <v>0</v>
      </c>
      <c r="N344" s="89">
        <f t="shared" si="57"/>
        <v>0</v>
      </c>
      <c r="O344" s="89">
        <f t="shared" si="58"/>
        <v>0</v>
      </c>
      <c r="Q344" s="182"/>
    </row>
    <row r="345" spans="1:17" s="90" customFormat="1">
      <c r="A345" s="88">
        <v>9358</v>
      </c>
      <c r="B345" s="88" t="s">
        <v>14</v>
      </c>
      <c r="C345" s="91" t="s">
        <v>23</v>
      </c>
      <c r="D345" s="95">
        <v>1000</v>
      </c>
      <c r="E345" s="96">
        <v>646</v>
      </c>
      <c r="F345" s="96">
        <f>E345-G345</f>
        <v>40</v>
      </c>
      <c r="G345" s="96">
        <v>606</v>
      </c>
      <c r="H345" s="96">
        <v>1.1000000000000001</v>
      </c>
      <c r="I345" s="96">
        <v>0.8</v>
      </c>
      <c r="J345" s="96">
        <v>0.55000000000000004</v>
      </c>
      <c r="K345" s="89">
        <f t="shared" si="55"/>
        <v>0.4840000000000001</v>
      </c>
      <c r="L345" s="88"/>
      <c r="M345" s="89">
        <f t="shared" si="56"/>
        <v>0</v>
      </c>
      <c r="N345" s="89">
        <f t="shared" si="57"/>
        <v>0</v>
      </c>
      <c r="O345" s="89">
        <f t="shared" si="58"/>
        <v>0</v>
      </c>
      <c r="Q345" s="182"/>
    </row>
    <row r="346" spans="1:17" s="90" customFormat="1">
      <c r="A346" s="88">
        <v>9356</v>
      </c>
      <c r="B346" s="88" t="s">
        <v>47</v>
      </c>
      <c r="C346" s="91" t="s">
        <v>24</v>
      </c>
      <c r="D346" s="93">
        <v>4000</v>
      </c>
      <c r="E346" s="94">
        <v>424</v>
      </c>
      <c r="F346" s="88">
        <f>E346-G346</f>
        <v>52</v>
      </c>
      <c r="G346" s="94">
        <v>372</v>
      </c>
      <c r="H346" s="88">
        <v>1.1000000000000001</v>
      </c>
      <c r="I346" s="88">
        <v>0.8</v>
      </c>
      <c r="J346" s="88">
        <v>0.55000000000000004</v>
      </c>
      <c r="K346" s="92">
        <f t="shared" si="55"/>
        <v>0.4840000000000001</v>
      </c>
      <c r="L346" s="88"/>
      <c r="M346" s="89">
        <f t="shared" si="56"/>
        <v>0</v>
      </c>
      <c r="N346" s="89">
        <f t="shared" si="57"/>
        <v>0</v>
      </c>
      <c r="O346" s="89">
        <f t="shared" si="58"/>
        <v>0</v>
      </c>
      <c r="Q346" s="182"/>
    </row>
    <row r="347" spans="1:17" s="90" customFormat="1">
      <c r="A347" s="88">
        <v>9358</v>
      </c>
      <c r="B347" s="88" t="s">
        <v>14</v>
      </c>
      <c r="C347" s="91" t="s">
        <v>25</v>
      </c>
      <c r="D347" s="88">
        <v>1000</v>
      </c>
      <c r="E347" s="88">
        <v>830</v>
      </c>
      <c r="F347" s="88">
        <v>40</v>
      </c>
      <c r="G347" s="88">
        <v>790</v>
      </c>
      <c r="H347" s="88">
        <v>1.04</v>
      </c>
      <c r="I347" s="88">
        <v>0.84</v>
      </c>
      <c r="J347" s="88">
        <v>0.64</v>
      </c>
      <c r="K347" s="92">
        <f t="shared" si="55"/>
        <v>0.55910400000000005</v>
      </c>
      <c r="L347" s="88"/>
      <c r="M347" s="89">
        <f t="shared" si="56"/>
        <v>0</v>
      </c>
      <c r="N347" s="89">
        <f t="shared" si="57"/>
        <v>0</v>
      </c>
      <c r="O347" s="89">
        <f t="shared" si="58"/>
        <v>0</v>
      </c>
      <c r="Q347" s="182"/>
    </row>
    <row r="348" spans="1:17" s="90" customFormat="1">
      <c r="A348" s="88">
        <v>9358</v>
      </c>
      <c r="B348" s="88" t="s">
        <v>14</v>
      </c>
      <c r="C348" s="91" t="s">
        <v>26</v>
      </c>
      <c r="D348" s="88">
        <v>4000</v>
      </c>
      <c r="E348" s="88">
        <v>223</v>
      </c>
      <c r="F348" s="88">
        <v>30</v>
      </c>
      <c r="G348" s="88">
        <v>188</v>
      </c>
      <c r="H348" s="88">
        <v>0.86</v>
      </c>
      <c r="I348" s="88">
        <v>0.78</v>
      </c>
      <c r="J348" s="88">
        <v>0.74</v>
      </c>
      <c r="K348" s="92">
        <f t="shared" si="55"/>
        <v>0.49639200000000006</v>
      </c>
      <c r="L348" s="88"/>
      <c r="M348" s="89">
        <f t="shared" si="56"/>
        <v>0</v>
      </c>
      <c r="N348" s="89">
        <f t="shared" si="57"/>
        <v>0</v>
      </c>
      <c r="O348" s="89">
        <f t="shared" si="58"/>
        <v>0</v>
      </c>
      <c r="Q348" s="182"/>
    </row>
    <row r="349" spans="1:17" s="90" customFormat="1">
      <c r="A349" s="88">
        <v>9355</v>
      </c>
      <c r="B349" s="88" t="s">
        <v>15</v>
      </c>
      <c r="C349" s="91" t="s">
        <v>27</v>
      </c>
      <c r="D349" s="97">
        <v>12</v>
      </c>
      <c r="E349" s="97">
        <v>435</v>
      </c>
      <c r="F349" s="97">
        <v>39</v>
      </c>
      <c r="G349" s="97">
        <v>396</v>
      </c>
      <c r="H349" s="97">
        <v>0.86</v>
      </c>
      <c r="I349" s="97">
        <v>0.56000000000000005</v>
      </c>
      <c r="J349" s="97">
        <v>0.51</v>
      </c>
      <c r="K349" s="98">
        <f t="shared" si="55"/>
        <v>0.24561600000000003</v>
      </c>
      <c r="L349" s="88"/>
      <c r="M349" s="89">
        <f t="shared" si="56"/>
        <v>0</v>
      </c>
      <c r="N349" s="89">
        <f t="shared" si="57"/>
        <v>0</v>
      </c>
      <c r="O349" s="89">
        <f t="shared" si="58"/>
        <v>0</v>
      </c>
      <c r="P349" s="180">
        <f>SUM(L349:L353)</f>
        <v>0</v>
      </c>
      <c r="Q349" s="182"/>
    </row>
    <row r="350" spans="1:17" s="90" customFormat="1">
      <c r="A350" s="88">
        <v>9355</v>
      </c>
      <c r="B350" s="88" t="s">
        <v>15</v>
      </c>
      <c r="C350" s="91" t="s">
        <v>28</v>
      </c>
      <c r="D350" s="97">
        <v>12</v>
      </c>
      <c r="E350" s="97">
        <v>520</v>
      </c>
      <c r="F350" s="97">
        <v>40</v>
      </c>
      <c r="G350" s="97">
        <v>480</v>
      </c>
      <c r="H350" s="97">
        <v>1.03</v>
      </c>
      <c r="I350" s="97">
        <v>0.56000000000000005</v>
      </c>
      <c r="J350" s="97">
        <v>0.51</v>
      </c>
      <c r="K350" s="98">
        <f t="shared" si="55"/>
        <v>0.29416800000000004</v>
      </c>
      <c r="L350" s="88"/>
      <c r="M350" s="89">
        <f t="shared" si="56"/>
        <v>0</v>
      </c>
      <c r="N350" s="89">
        <f t="shared" si="57"/>
        <v>0</v>
      </c>
      <c r="O350" s="89">
        <f t="shared" si="58"/>
        <v>0</v>
      </c>
      <c r="P350" s="180"/>
      <c r="Q350" s="182"/>
    </row>
    <row r="351" spans="1:17" s="90" customFormat="1">
      <c r="A351" s="88">
        <v>9355</v>
      </c>
      <c r="B351" s="88" t="s">
        <v>15</v>
      </c>
      <c r="C351" s="91" t="s">
        <v>29</v>
      </c>
      <c r="D351" s="97">
        <v>12</v>
      </c>
      <c r="E351" s="97">
        <v>596</v>
      </c>
      <c r="F351" s="97">
        <v>44</v>
      </c>
      <c r="G351" s="97">
        <v>552</v>
      </c>
      <c r="H351" s="97">
        <v>1.17</v>
      </c>
      <c r="I351" s="97">
        <v>0.56000000000000005</v>
      </c>
      <c r="J351" s="97">
        <v>0.51</v>
      </c>
      <c r="K351" s="98">
        <f t="shared" si="55"/>
        <v>0.334152</v>
      </c>
      <c r="L351" s="88"/>
      <c r="M351" s="89">
        <f t="shared" si="56"/>
        <v>0</v>
      </c>
      <c r="N351" s="89">
        <f t="shared" si="57"/>
        <v>0</v>
      </c>
      <c r="O351" s="89">
        <f t="shared" si="58"/>
        <v>0</v>
      </c>
      <c r="P351" s="180"/>
      <c r="Q351" s="182"/>
    </row>
    <row r="352" spans="1:17" s="90" customFormat="1">
      <c r="A352" s="88">
        <v>9355</v>
      </c>
      <c r="B352" s="88" t="s">
        <v>15</v>
      </c>
      <c r="C352" s="91" t="s">
        <v>30</v>
      </c>
      <c r="D352" s="99">
        <v>12</v>
      </c>
      <c r="E352" s="97">
        <v>654</v>
      </c>
      <c r="F352" s="97">
        <v>42</v>
      </c>
      <c r="G352" s="97">
        <v>612</v>
      </c>
      <c r="H352" s="97">
        <v>1.2749999999999999</v>
      </c>
      <c r="I352" s="97">
        <v>0.56000000000000005</v>
      </c>
      <c r="J352" s="97">
        <v>0.51</v>
      </c>
      <c r="K352" s="98">
        <f t="shared" si="55"/>
        <v>0.36413999999999996</v>
      </c>
      <c r="L352" s="88"/>
      <c r="M352" s="89">
        <f t="shared" si="56"/>
        <v>0</v>
      </c>
      <c r="N352" s="89">
        <f t="shared" si="57"/>
        <v>0</v>
      </c>
      <c r="O352" s="89">
        <f t="shared" si="58"/>
        <v>0</v>
      </c>
      <c r="P352" s="180"/>
      <c r="Q352" s="182"/>
    </row>
    <row r="353" spans="1:17" s="90" customFormat="1">
      <c r="A353" s="88">
        <v>9355</v>
      </c>
      <c r="B353" s="88" t="s">
        <v>15</v>
      </c>
      <c r="C353" s="91" t="s">
        <v>31</v>
      </c>
      <c r="D353" s="99">
        <v>6</v>
      </c>
      <c r="E353" s="97">
        <v>410</v>
      </c>
      <c r="F353" s="97">
        <v>50</v>
      </c>
      <c r="G353" s="97">
        <v>360</v>
      </c>
      <c r="H353" s="97">
        <v>1.48</v>
      </c>
      <c r="I353" s="97">
        <v>0.56000000000000005</v>
      </c>
      <c r="J353" s="97">
        <v>0.37</v>
      </c>
      <c r="K353" s="98">
        <f t="shared" si="55"/>
        <v>0.30665600000000004</v>
      </c>
      <c r="L353" s="88"/>
      <c r="M353" s="89">
        <f t="shared" si="56"/>
        <v>0</v>
      </c>
      <c r="N353" s="89">
        <f t="shared" si="57"/>
        <v>0</v>
      </c>
      <c r="O353" s="89">
        <f t="shared" si="58"/>
        <v>0</v>
      </c>
      <c r="P353" s="180"/>
      <c r="Q353" s="182"/>
    </row>
    <row r="354" spans="1:17" s="90" customFormat="1">
      <c r="A354" s="88">
        <v>9358</v>
      </c>
      <c r="B354" s="88" t="s">
        <v>14</v>
      </c>
      <c r="C354" s="91" t="s">
        <v>32</v>
      </c>
      <c r="D354" s="94">
        <v>1000</v>
      </c>
      <c r="E354" s="94">
        <f t="shared" ref="E354:E363" si="59">G354+F354</f>
        <v>395</v>
      </c>
      <c r="F354" s="94">
        <v>40</v>
      </c>
      <c r="G354" s="94">
        <v>355</v>
      </c>
      <c r="H354" s="94">
        <v>1.05</v>
      </c>
      <c r="I354" s="94">
        <v>0.9</v>
      </c>
      <c r="J354" s="94">
        <v>0.55000000000000004</v>
      </c>
      <c r="K354" s="89">
        <f t="shared" si="55"/>
        <v>0.51975000000000005</v>
      </c>
      <c r="L354" s="88"/>
      <c r="M354" s="89">
        <f t="shared" si="56"/>
        <v>0</v>
      </c>
      <c r="N354" s="89">
        <f t="shared" si="57"/>
        <v>0</v>
      </c>
      <c r="O354" s="89">
        <f t="shared" si="58"/>
        <v>0</v>
      </c>
      <c r="Q354" s="182"/>
    </row>
    <row r="355" spans="1:17" s="90" customFormat="1">
      <c r="A355" s="88">
        <v>9358</v>
      </c>
      <c r="B355" s="88" t="s">
        <v>14</v>
      </c>
      <c r="C355" s="91" t="s">
        <v>33</v>
      </c>
      <c r="D355" s="94">
        <v>450</v>
      </c>
      <c r="E355" s="94">
        <f t="shared" si="59"/>
        <v>360</v>
      </c>
      <c r="F355" s="94">
        <v>40</v>
      </c>
      <c r="G355" s="94">
        <v>320</v>
      </c>
      <c r="H355" s="88">
        <v>1.1000000000000001</v>
      </c>
      <c r="I355" s="94">
        <v>0.9</v>
      </c>
      <c r="J355" s="88">
        <v>0.75</v>
      </c>
      <c r="K355" s="92">
        <f t="shared" si="55"/>
        <v>0.74250000000000005</v>
      </c>
      <c r="L355" s="88"/>
      <c r="M355" s="89">
        <f t="shared" si="56"/>
        <v>0</v>
      </c>
      <c r="N355" s="89">
        <f t="shared" si="57"/>
        <v>0</v>
      </c>
      <c r="O355" s="89">
        <f t="shared" si="58"/>
        <v>0</v>
      </c>
      <c r="Q355" s="182"/>
    </row>
    <row r="356" spans="1:17" s="90" customFormat="1">
      <c r="A356" s="88">
        <v>9358</v>
      </c>
      <c r="B356" s="88" t="s">
        <v>14</v>
      </c>
      <c r="C356" s="91" t="s">
        <v>34</v>
      </c>
      <c r="D356" s="94">
        <v>1000</v>
      </c>
      <c r="E356" s="94">
        <f t="shared" si="59"/>
        <v>492</v>
      </c>
      <c r="F356" s="94">
        <v>40</v>
      </c>
      <c r="G356" s="94">
        <v>452</v>
      </c>
      <c r="H356" s="94">
        <v>1.1000000000000001</v>
      </c>
      <c r="I356" s="94">
        <v>1.05</v>
      </c>
      <c r="J356" s="94">
        <v>0.55000000000000004</v>
      </c>
      <c r="K356" s="89">
        <f t="shared" si="55"/>
        <v>0.6352500000000002</v>
      </c>
      <c r="L356" s="88"/>
      <c r="M356" s="89">
        <f t="shared" si="56"/>
        <v>0</v>
      </c>
      <c r="N356" s="89">
        <f t="shared" si="57"/>
        <v>0</v>
      </c>
      <c r="O356" s="89">
        <f t="shared" si="58"/>
        <v>0</v>
      </c>
      <c r="Q356" s="182"/>
    </row>
    <row r="357" spans="1:17" s="90" customFormat="1">
      <c r="A357" s="88">
        <v>9358</v>
      </c>
      <c r="B357" s="88" t="s">
        <v>14</v>
      </c>
      <c r="C357" s="91" t="s">
        <v>35</v>
      </c>
      <c r="D357" s="94">
        <v>450</v>
      </c>
      <c r="E357" s="94">
        <f t="shared" si="59"/>
        <v>421.5</v>
      </c>
      <c r="F357" s="94">
        <v>40</v>
      </c>
      <c r="G357" s="94">
        <v>381.5</v>
      </c>
      <c r="H357" s="94">
        <v>1.05</v>
      </c>
      <c r="I357" s="94">
        <v>1.05</v>
      </c>
      <c r="J357" s="88">
        <v>0.75</v>
      </c>
      <c r="K357" s="92">
        <f t="shared" si="55"/>
        <v>0.82687500000000003</v>
      </c>
      <c r="L357" s="88"/>
      <c r="M357" s="89">
        <f t="shared" si="56"/>
        <v>0</v>
      </c>
      <c r="N357" s="89">
        <f t="shared" si="57"/>
        <v>0</v>
      </c>
      <c r="O357" s="89">
        <f t="shared" si="58"/>
        <v>0</v>
      </c>
      <c r="Q357" s="182"/>
    </row>
    <row r="358" spans="1:17" s="90" customFormat="1">
      <c r="A358" s="88">
        <v>9358</v>
      </c>
      <c r="B358" s="88" t="s">
        <v>14</v>
      </c>
      <c r="C358" s="91" t="s">
        <v>36</v>
      </c>
      <c r="D358" s="94">
        <v>1000</v>
      </c>
      <c r="E358" s="94">
        <f t="shared" si="59"/>
        <v>574</v>
      </c>
      <c r="F358" s="94">
        <v>40</v>
      </c>
      <c r="G358" s="94">
        <v>534</v>
      </c>
      <c r="H358" s="94">
        <v>1.1000000000000001</v>
      </c>
      <c r="I358" s="94">
        <v>1.2</v>
      </c>
      <c r="J358" s="94">
        <v>0.55000000000000004</v>
      </c>
      <c r="K358" s="89">
        <f t="shared" si="55"/>
        <v>0.72600000000000009</v>
      </c>
      <c r="L358" s="88"/>
      <c r="M358" s="89">
        <f t="shared" si="56"/>
        <v>0</v>
      </c>
      <c r="N358" s="89">
        <f t="shared" si="57"/>
        <v>0</v>
      </c>
      <c r="O358" s="89">
        <f t="shared" si="58"/>
        <v>0</v>
      </c>
      <c r="Q358" s="182"/>
    </row>
    <row r="359" spans="1:17" s="90" customFormat="1">
      <c r="A359" s="88">
        <v>9358</v>
      </c>
      <c r="B359" s="88" t="s">
        <v>14</v>
      </c>
      <c r="C359" s="91" t="s">
        <v>37</v>
      </c>
      <c r="D359" s="94">
        <v>450</v>
      </c>
      <c r="E359" s="94">
        <f t="shared" si="59"/>
        <v>475</v>
      </c>
      <c r="F359" s="94">
        <v>40</v>
      </c>
      <c r="G359" s="94">
        <v>435</v>
      </c>
      <c r="H359" s="94">
        <v>1.05</v>
      </c>
      <c r="I359" s="94">
        <v>1.2</v>
      </c>
      <c r="J359" s="88">
        <v>0.75</v>
      </c>
      <c r="K359" s="89">
        <f t="shared" si="55"/>
        <v>0.94500000000000006</v>
      </c>
      <c r="L359" s="88"/>
      <c r="M359" s="89">
        <f t="shared" si="56"/>
        <v>0</v>
      </c>
      <c r="N359" s="89">
        <f t="shared" si="57"/>
        <v>0</v>
      </c>
      <c r="O359" s="89">
        <f t="shared" si="58"/>
        <v>0</v>
      </c>
      <c r="Q359" s="182"/>
    </row>
    <row r="360" spans="1:17" s="90" customFormat="1">
      <c r="A360" s="88">
        <v>9358</v>
      </c>
      <c r="B360" s="88" t="s">
        <v>14</v>
      </c>
      <c r="C360" s="91" t="s">
        <v>38</v>
      </c>
      <c r="D360" s="94">
        <v>1000</v>
      </c>
      <c r="E360" s="94">
        <f t="shared" si="59"/>
        <v>645</v>
      </c>
      <c r="F360" s="94">
        <v>40</v>
      </c>
      <c r="G360" s="94">
        <v>605</v>
      </c>
      <c r="H360" s="94">
        <v>1.1000000000000001</v>
      </c>
      <c r="I360" s="94">
        <v>1.3</v>
      </c>
      <c r="J360" s="94">
        <v>0.55000000000000004</v>
      </c>
      <c r="K360" s="89">
        <f t="shared" si="55"/>
        <v>0.7865000000000002</v>
      </c>
      <c r="L360" s="88"/>
      <c r="M360" s="89">
        <f t="shared" si="56"/>
        <v>0</v>
      </c>
      <c r="N360" s="89">
        <f t="shared" si="57"/>
        <v>0</v>
      </c>
      <c r="O360" s="89">
        <f t="shared" si="58"/>
        <v>0</v>
      </c>
      <c r="Q360" s="182"/>
    </row>
    <row r="361" spans="1:17" s="90" customFormat="1">
      <c r="A361" s="88">
        <v>9358</v>
      </c>
      <c r="B361" s="88" t="s">
        <v>14</v>
      </c>
      <c r="C361" s="91" t="s">
        <v>39</v>
      </c>
      <c r="D361" s="94">
        <v>450</v>
      </c>
      <c r="E361" s="94">
        <f t="shared" si="59"/>
        <v>515</v>
      </c>
      <c r="F361" s="94">
        <v>40</v>
      </c>
      <c r="G361" s="94">
        <v>475</v>
      </c>
      <c r="H361" s="94">
        <v>1.05</v>
      </c>
      <c r="I361" s="94">
        <v>1.3</v>
      </c>
      <c r="J361" s="88">
        <v>0.75</v>
      </c>
      <c r="K361" s="89">
        <f t="shared" si="55"/>
        <v>1.0237500000000002</v>
      </c>
      <c r="L361" s="88"/>
      <c r="M361" s="89">
        <f t="shared" si="56"/>
        <v>0</v>
      </c>
      <c r="N361" s="89">
        <f t="shared" si="57"/>
        <v>0</v>
      </c>
      <c r="O361" s="89">
        <f t="shared" si="58"/>
        <v>0</v>
      </c>
      <c r="Q361" s="182"/>
    </row>
    <row r="362" spans="1:17" s="90" customFormat="1">
      <c r="A362" s="88">
        <v>9358</v>
      </c>
      <c r="B362" s="88" t="s">
        <v>14</v>
      </c>
      <c r="C362" s="91" t="s">
        <v>40</v>
      </c>
      <c r="D362" s="94">
        <v>1000</v>
      </c>
      <c r="E362" s="94">
        <f t="shared" si="59"/>
        <v>645</v>
      </c>
      <c r="F362" s="94">
        <v>40</v>
      </c>
      <c r="G362" s="94">
        <v>605</v>
      </c>
      <c r="H362" s="94">
        <v>1.1000000000000001</v>
      </c>
      <c r="I362" s="94">
        <v>1.3</v>
      </c>
      <c r="J362" s="94">
        <v>0.55000000000000004</v>
      </c>
      <c r="K362" s="89">
        <f t="shared" si="55"/>
        <v>0.7865000000000002</v>
      </c>
      <c r="L362" s="88"/>
      <c r="M362" s="89">
        <f t="shared" si="56"/>
        <v>0</v>
      </c>
      <c r="N362" s="89">
        <f t="shared" si="57"/>
        <v>0</v>
      </c>
      <c r="O362" s="89">
        <f t="shared" si="58"/>
        <v>0</v>
      </c>
      <c r="Q362" s="182"/>
    </row>
    <row r="363" spans="1:17" s="90" customFormat="1">
      <c r="A363" s="88">
        <v>9358</v>
      </c>
      <c r="B363" s="88" t="s">
        <v>14</v>
      </c>
      <c r="C363" s="91" t="s">
        <v>41</v>
      </c>
      <c r="D363" s="94">
        <v>450</v>
      </c>
      <c r="E363" s="94">
        <f t="shared" si="59"/>
        <v>515</v>
      </c>
      <c r="F363" s="94">
        <v>40</v>
      </c>
      <c r="G363" s="94">
        <v>475</v>
      </c>
      <c r="H363" s="94">
        <v>1.05</v>
      </c>
      <c r="I363" s="94">
        <v>1.3</v>
      </c>
      <c r="J363" s="88">
        <v>0.75</v>
      </c>
      <c r="K363" s="89">
        <f t="shared" si="55"/>
        <v>1.0237500000000002</v>
      </c>
      <c r="L363" s="88"/>
      <c r="M363" s="89">
        <f t="shared" si="56"/>
        <v>0</v>
      </c>
      <c r="N363" s="89">
        <f t="shared" si="57"/>
        <v>0</v>
      </c>
      <c r="O363" s="89">
        <f t="shared" si="58"/>
        <v>0</v>
      </c>
      <c r="Q363" s="182"/>
    </row>
    <row r="364" spans="1:17" s="90" customFormat="1">
      <c r="A364" s="88">
        <v>9358</v>
      </c>
      <c r="B364" s="88" t="s">
        <v>14</v>
      </c>
      <c r="C364" s="91" t="s">
        <v>22</v>
      </c>
      <c r="D364" s="93">
        <v>3000</v>
      </c>
      <c r="E364" s="94">
        <v>235</v>
      </c>
      <c r="F364" s="88">
        <v>35</v>
      </c>
      <c r="G364" s="94">
        <v>200</v>
      </c>
      <c r="H364" s="88">
        <v>1.1000000000000001</v>
      </c>
      <c r="I364" s="88">
        <v>1.1000000000000001</v>
      </c>
      <c r="J364" s="88">
        <v>1.02</v>
      </c>
      <c r="K364" s="92">
        <f t="shared" si="55"/>
        <v>1.2342000000000002</v>
      </c>
      <c r="L364" s="88"/>
      <c r="M364" s="89">
        <f t="shared" si="56"/>
        <v>0</v>
      </c>
      <c r="N364" s="89">
        <f t="shared" si="57"/>
        <v>0</v>
      </c>
      <c r="O364" s="89">
        <f t="shared" si="58"/>
        <v>0</v>
      </c>
      <c r="Q364" s="182"/>
    </row>
    <row r="365" spans="1:17" s="90" customFormat="1">
      <c r="A365" s="88">
        <v>9358</v>
      </c>
      <c r="B365" s="88" t="s">
        <v>14</v>
      </c>
      <c r="C365" s="91" t="s">
        <v>23</v>
      </c>
      <c r="D365" s="95">
        <v>1000</v>
      </c>
      <c r="E365" s="96">
        <v>646</v>
      </c>
      <c r="F365" s="96">
        <f>E365-G365</f>
        <v>40</v>
      </c>
      <c r="G365" s="96">
        <v>606</v>
      </c>
      <c r="H365" s="96">
        <v>1.1000000000000001</v>
      </c>
      <c r="I365" s="96">
        <v>0.8</v>
      </c>
      <c r="J365" s="96">
        <v>0.55000000000000004</v>
      </c>
      <c r="K365" s="89">
        <f t="shared" si="55"/>
        <v>0.4840000000000001</v>
      </c>
      <c r="L365" s="88"/>
      <c r="M365" s="89">
        <f t="shared" si="56"/>
        <v>0</v>
      </c>
      <c r="N365" s="89">
        <f t="shared" si="57"/>
        <v>0</v>
      </c>
      <c r="O365" s="89">
        <f t="shared" si="58"/>
        <v>0</v>
      </c>
      <c r="Q365" s="182"/>
    </row>
    <row r="366" spans="1:17" s="90" customFormat="1">
      <c r="A366" s="88">
        <v>9358</v>
      </c>
      <c r="B366" s="88" t="s">
        <v>14</v>
      </c>
      <c r="C366" s="91" t="s">
        <v>46</v>
      </c>
      <c r="D366" s="93">
        <v>4000</v>
      </c>
      <c r="E366" s="94">
        <v>424</v>
      </c>
      <c r="F366" s="88">
        <f>E366-G366</f>
        <v>52</v>
      </c>
      <c r="G366" s="94">
        <v>372</v>
      </c>
      <c r="H366" s="88">
        <v>1.1000000000000001</v>
      </c>
      <c r="I366" s="88">
        <v>0.8</v>
      </c>
      <c r="J366" s="88">
        <v>0.55000000000000004</v>
      </c>
      <c r="K366" s="92">
        <f t="shared" si="55"/>
        <v>0.4840000000000001</v>
      </c>
      <c r="L366" s="88"/>
      <c r="M366" s="89">
        <f t="shared" si="56"/>
        <v>0</v>
      </c>
      <c r="N366" s="89">
        <f t="shared" si="57"/>
        <v>0</v>
      </c>
      <c r="O366" s="89">
        <f t="shared" si="58"/>
        <v>0</v>
      </c>
      <c r="Q366" s="182"/>
    </row>
    <row r="367" spans="1:17" s="90" customFormat="1">
      <c r="A367" s="88">
        <v>9358</v>
      </c>
      <c r="B367" s="88" t="s">
        <v>14</v>
      </c>
      <c r="C367" s="91" t="s">
        <v>42</v>
      </c>
      <c r="D367" s="100">
        <v>1200</v>
      </c>
      <c r="E367" s="190">
        <v>666.4</v>
      </c>
      <c r="F367" s="190">
        <v>40</v>
      </c>
      <c r="G367" s="101">
        <v>588</v>
      </c>
      <c r="H367" s="192">
        <v>1</v>
      </c>
      <c r="I367" s="192">
        <v>0.75</v>
      </c>
      <c r="J367" s="192">
        <v>0.7</v>
      </c>
      <c r="K367" s="194">
        <v>0.5</v>
      </c>
      <c r="L367" s="88"/>
      <c r="M367" s="196">
        <f t="shared" si="56"/>
        <v>0</v>
      </c>
      <c r="N367" s="196">
        <f t="shared" si="57"/>
        <v>0</v>
      </c>
      <c r="O367" s="198">
        <f t="shared" si="58"/>
        <v>0</v>
      </c>
      <c r="Q367" s="182"/>
    </row>
    <row r="368" spans="1:17" s="90" customFormat="1">
      <c r="A368" s="88">
        <v>9358</v>
      </c>
      <c r="B368" s="88" t="s">
        <v>14</v>
      </c>
      <c r="C368" s="91" t="s">
        <v>43</v>
      </c>
      <c r="D368" s="100">
        <v>1200</v>
      </c>
      <c r="E368" s="191"/>
      <c r="F368" s="191"/>
      <c r="G368" s="101">
        <v>38.4</v>
      </c>
      <c r="H368" s="193"/>
      <c r="I368" s="193"/>
      <c r="J368" s="193"/>
      <c r="K368" s="195"/>
      <c r="L368" s="88"/>
      <c r="M368" s="197"/>
      <c r="N368" s="197"/>
      <c r="O368" s="199"/>
      <c r="Q368" s="182"/>
    </row>
    <row r="369" spans="1:17" s="90" customFormat="1" ht="15" thickBot="1">
      <c r="A369" s="88">
        <v>9358</v>
      </c>
      <c r="B369" s="88" t="s">
        <v>14</v>
      </c>
      <c r="C369" s="91" t="s">
        <v>60</v>
      </c>
      <c r="D369" s="100"/>
      <c r="E369" s="102"/>
      <c r="F369" s="102"/>
      <c r="G369" s="101"/>
      <c r="H369" s="103"/>
      <c r="I369" s="103"/>
      <c r="J369" s="103"/>
      <c r="K369" s="104"/>
      <c r="L369" s="88"/>
      <c r="M369" s="105"/>
      <c r="N369" s="105"/>
      <c r="O369" s="106"/>
      <c r="Q369" s="183"/>
    </row>
    <row r="370" spans="1:17" s="46" customFormat="1">
      <c r="A370" s="47">
        <v>9355</v>
      </c>
      <c r="B370" s="47" t="s">
        <v>15</v>
      </c>
      <c r="C370" s="47" t="s">
        <v>16</v>
      </c>
      <c r="D370" s="47">
        <v>30</v>
      </c>
      <c r="E370" s="47">
        <v>669</v>
      </c>
      <c r="F370" s="47">
        <f>E370-G370</f>
        <v>53</v>
      </c>
      <c r="G370" s="47">
        <v>616</v>
      </c>
      <c r="H370" s="47">
        <v>1</v>
      </c>
      <c r="I370" s="47">
        <v>0.9</v>
      </c>
      <c r="J370" s="47">
        <v>0.73</v>
      </c>
      <c r="K370" s="47">
        <f t="shared" ref="K370:K398" si="60">H370*I370*J370</f>
        <v>0.65700000000000003</v>
      </c>
      <c r="L370" s="47"/>
      <c r="M370" s="48">
        <f t="shared" ref="M370:M399" si="61">L370/D370</f>
        <v>0</v>
      </c>
      <c r="N370" s="48">
        <f t="shared" ref="N370:N399" si="62">E370*M370</f>
        <v>0</v>
      </c>
      <c r="O370" s="48">
        <f>M370*K370</f>
        <v>0</v>
      </c>
      <c r="P370" s="176">
        <f>SUM(L370:L373)</f>
        <v>18</v>
      </c>
      <c r="Q370" s="177" t="s">
        <v>53</v>
      </c>
    </row>
    <row r="371" spans="1:17" s="46" customFormat="1">
      <c r="A371" s="47">
        <v>9355</v>
      </c>
      <c r="B371" s="47" t="s">
        <v>15</v>
      </c>
      <c r="C371" s="47" t="s">
        <v>17</v>
      </c>
      <c r="D371" s="47">
        <v>30</v>
      </c>
      <c r="E371" s="47">
        <v>669</v>
      </c>
      <c r="F371" s="47">
        <f>E371-G371</f>
        <v>53</v>
      </c>
      <c r="G371" s="47">
        <v>616</v>
      </c>
      <c r="H371" s="47">
        <v>1</v>
      </c>
      <c r="I371" s="47">
        <v>0.9</v>
      </c>
      <c r="J371" s="47">
        <v>0.73</v>
      </c>
      <c r="K371" s="47">
        <f t="shared" si="60"/>
        <v>0.65700000000000003</v>
      </c>
      <c r="L371" s="47">
        <v>6</v>
      </c>
      <c r="M371" s="48">
        <f t="shared" si="61"/>
        <v>0.2</v>
      </c>
      <c r="N371" s="48">
        <f t="shared" si="62"/>
        <v>133.80000000000001</v>
      </c>
      <c r="O371" s="48">
        <f t="shared" ref="O371:O399" si="63">M371*K371</f>
        <v>0.13140000000000002</v>
      </c>
      <c r="P371" s="176"/>
      <c r="Q371" s="178"/>
    </row>
    <row r="372" spans="1:17" s="46" customFormat="1">
      <c r="A372" s="47">
        <v>9355</v>
      </c>
      <c r="B372" s="47" t="s">
        <v>15</v>
      </c>
      <c r="C372" s="47" t="s">
        <v>18</v>
      </c>
      <c r="D372" s="47">
        <v>30</v>
      </c>
      <c r="E372" s="47">
        <v>669</v>
      </c>
      <c r="F372" s="47">
        <f>E372-G372</f>
        <v>53</v>
      </c>
      <c r="G372" s="47">
        <v>616</v>
      </c>
      <c r="H372" s="47">
        <v>1</v>
      </c>
      <c r="I372" s="47">
        <v>0.9</v>
      </c>
      <c r="J372" s="47">
        <v>0.73</v>
      </c>
      <c r="K372" s="47">
        <f t="shared" si="60"/>
        <v>0.65700000000000003</v>
      </c>
      <c r="L372" s="47">
        <v>6</v>
      </c>
      <c r="M372" s="48">
        <f t="shared" si="61"/>
        <v>0.2</v>
      </c>
      <c r="N372" s="48">
        <f t="shared" si="62"/>
        <v>133.80000000000001</v>
      </c>
      <c r="O372" s="48">
        <f t="shared" si="63"/>
        <v>0.13140000000000002</v>
      </c>
      <c r="P372" s="176"/>
      <c r="Q372" s="178"/>
    </row>
    <row r="373" spans="1:17" s="46" customFormat="1">
      <c r="A373" s="47">
        <v>9355</v>
      </c>
      <c r="B373" s="47" t="s">
        <v>15</v>
      </c>
      <c r="C373" s="47" t="s">
        <v>19</v>
      </c>
      <c r="D373" s="47">
        <v>30</v>
      </c>
      <c r="E373" s="47">
        <v>669</v>
      </c>
      <c r="F373" s="47">
        <f>E373-G373</f>
        <v>53</v>
      </c>
      <c r="G373" s="47">
        <v>616</v>
      </c>
      <c r="H373" s="47">
        <v>1</v>
      </c>
      <c r="I373" s="47">
        <v>0.9</v>
      </c>
      <c r="J373" s="47">
        <v>0.73</v>
      </c>
      <c r="K373" s="47">
        <f t="shared" si="60"/>
        <v>0.65700000000000003</v>
      </c>
      <c r="L373" s="47">
        <v>6</v>
      </c>
      <c r="M373" s="48">
        <f t="shared" si="61"/>
        <v>0.2</v>
      </c>
      <c r="N373" s="48">
        <f t="shared" si="62"/>
        <v>133.80000000000001</v>
      </c>
      <c r="O373" s="48">
        <f t="shared" si="63"/>
        <v>0.13140000000000002</v>
      </c>
      <c r="P373" s="176"/>
      <c r="Q373" s="178"/>
    </row>
    <row r="374" spans="1:17" s="46" customFormat="1">
      <c r="A374" s="47">
        <v>9358</v>
      </c>
      <c r="B374" s="47" t="s">
        <v>14</v>
      </c>
      <c r="C374" s="49" t="s">
        <v>20</v>
      </c>
      <c r="D374" s="47">
        <v>5000</v>
      </c>
      <c r="E374" s="47">
        <v>490</v>
      </c>
      <c r="F374" s="47">
        <v>40</v>
      </c>
      <c r="G374" s="47">
        <v>450</v>
      </c>
      <c r="H374" s="47">
        <v>1</v>
      </c>
      <c r="I374" s="47">
        <v>0.98</v>
      </c>
      <c r="J374" s="47">
        <v>0.83</v>
      </c>
      <c r="K374" s="50">
        <f t="shared" si="60"/>
        <v>0.8133999999999999</v>
      </c>
      <c r="L374" s="47"/>
      <c r="M374" s="48">
        <f t="shared" si="61"/>
        <v>0</v>
      </c>
      <c r="N374" s="48">
        <f t="shared" si="62"/>
        <v>0</v>
      </c>
      <c r="O374" s="48">
        <f t="shared" si="63"/>
        <v>0</v>
      </c>
      <c r="Q374" s="178"/>
    </row>
    <row r="375" spans="1:17" s="46" customFormat="1">
      <c r="A375" s="47">
        <v>9358</v>
      </c>
      <c r="B375" s="47" t="s">
        <v>14</v>
      </c>
      <c r="C375" s="49" t="s">
        <v>21</v>
      </c>
      <c r="D375" s="47">
        <v>360</v>
      </c>
      <c r="E375" s="47">
        <v>390</v>
      </c>
      <c r="F375" s="47">
        <v>40</v>
      </c>
      <c r="G375" s="47">
        <v>350</v>
      </c>
      <c r="H375" s="47">
        <v>1.05</v>
      </c>
      <c r="I375" s="47">
        <v>0.95</v>
      </c>
      <c r="J375" s="47">
        <v>0.55000000000000004</v>
      </c>
      <c r="K375" s="50">
        <f t="shared" si="60"/>
        <v>0.54862500000000003</v>
      </c>
      <c r="L375" s="47"/>
      <c r="M375" s="48">
        <f t="shared" si="61"/>
        <v>0</v>
      </c>
      <c r="N375" s="48">
        <f t="shared" si="62"/>
        <v>0</v>
      </c>
      <c r="O375" s="48">
        <f t="shared" si="63"/>
        <v>0</v>
      </c>
      <c r="Q375" s="178"/>
    </row>
    <row r="376" spans="1:17" s="46" customFormat="1">
      <c r="A376" s="47">
        <v>9358</v>
      </c>
      <c r="B376" s="47" t="s">
        <v>14</v>
      </c>
      <c r="C376" s="49" t="s">
        <v>22</v>
      </c>
      <c r="D376" s="51">
        <v>3000</v>
      </c>
      <c r="E376" s="52">
        <v>235</v>
      </c>
      <c r="F376" s="47">
        <v>35</v>
      </c>
      <c r="G376" s="52">
        <v>200</v>
      </c>
      <c r="H376" s="47">
        <v>1.1000000000000001</v>
      </c>
      <c r="I376" s="47">
        <v>1.1000000000000001</v>
      </c>
      <c r="J376" s="47">
        <v>1.02</v>
      </c>
      <c r="K376" s="50">
        <f t="shared" si="60"/>
        <v>1.2342000000000002</v>
      </c>
      <c r="L376" s="47"/>
      <c r="M376" s="48">
        <f t="shared" si="61"/>
        <v>0</v>
      </c>
      <c r="N376" s="48">
        <f t="shared" si="62"/>
        <v>0</v>
      </c>
      <c r="O376" s="48">
        <f t="shared" si="63"/>
        <v>0</v>
      </c>
      <c r="Q376" s="178"/>
    </row>
    <row r="377" spans="1:17" s="46" customFormat="1">
      <c r="A377" s="47">
        <v>9358</v>
      </c>
      <c r="B377" s="47" t="s">
        <v>14</v>
      </c>
      <c r="C377" s="49" t="s">
        <v>23</v>
      </c>
      <c r="D377" s="53">
        <v>1000</v>
      </c>
      <c r="E377" s="54">
        <v>646</v>
      </c>
      <c r="F377" s="54">
        <f>E377-G377</f>
        <v>40</v>
      </c>
      <c r="G377" s="54">
        <v>606</v>
      </c>
      <c r="H377" s="54">
        <v>1.1000000000000001</v>
      </c>
      <c r="I377" s="54">
        <v>0.8</v>
      </c>
      <c r="J377" s="54">
        <v>0.55000000000000004</v>
      </c>
      <c r="K377" s="48">
        <f t="shared" si="60"/>
        <v>0.4840000000000001</v>
      </c>
      <c r="L377" s="47"/>
      <c r="M377" s="48">
        <f t="shared" si="61"/>
        <v>0</v>
      </c>
      <c r="N377" s="48">
        <f t="shared" si="62"/>
        <v>0</v>
      </c>
      <c r="O377" s="48">
        <f t="shared" si="63"/>
        <v>0</v>
      </c>
      <c r="Q377" s="178"/>
    </row>
    <row r="378" spans="1:17" s="46" customFormat="1">
      <c r="A378" s="47">
        <v>9356</v>
      </c>
      <c r="B378" s="47" t="s">
        <v>47</v>
      </c>
      <c r="C378" s="49" t="s">
        <v>24</v>
      </c>
      <c r="D378" s="51">
        <v>4000</v>
      </c>
      <c r="E378" s="52">
        <v>424</v>
      </c>
      <c r="F378" s="47">
        <f>E378-G378</f>
        <v>52</v>
      </c>
      <c r="G378" s="52">
        <v>372</v>
      </c>
      <c r="H378" s="47">
        <v>1.1000000000000001</v>
      </c>
      <c r="I378" s="47">
        <v>0.8</v>
      </c>
      <c r="J378" s="47">
        <v>0.55000000000000004</v>
      </c>
      <c r="K378" s="50">
        <f t="shared" si="60"/>
        <v>0.4840000000000001</v>
      </c>
      <c r="L378" s="47"/>
      <c r="M378" s="48">
        <f t="shared" si="61"/>
        <v>0</v>
      </c>
      <c r="N378" s="48">
        <f t="shared" si="62"/>
        <v>0</v>
      </c>
      <c r="O378" s="48">
        <f t="shared" si="63"/>
        <v>0</v>
      </c>
      <c r="Q378" s="178"/>
    </row>
    <row r="379" spans="1:17" s="46" customFormat="1">
      <c r="A379" s="47">
        <v>9358</v>
      </c>
      <c r="B379" s="47" t="s">
        <v>14</v>
      </c>
      <c r="C379" s="49" t="s">
        <v>25</v>
      </c>
      <c r="D379" s="47">
        <v>1000</v>
      </c>
      <c r="E379" s="47">
        <v>830</v>
      </c>
      <c r="F379" s="47">
        <v>40</v>
      </c>
      <c r="G379" s="47">
        <v>790</v>
      </c>
      <c r="H379" s="47">
        <v>1.04</v>
      </c>
      <c r="I379" s="47">
        <v>0.84</v>
      </c>
      <c r="J379" s="47">
        <v>0.64</v>
      </c>
      <c r="K379" s="50">
        <f t="shared" si="60"/>
        <v>0.55910400000000005</v>
      </c>
      <c r="L379" s="47"/>
      <c r="M379" s="48">
        <f t="shared" si="61"/>
        <v>0</v>
      </c>
      <c r="N379" s="48">
        <f t="shared" si="62"/>
        <v>0</v>
      </c>
      <c r="O379" s="48">
        <f t="shared" si="63"/>
        <v>0</v>
      </c>
      <c r="Q379" s="178"/>
    </row>
    <row r="380" spans="1:17" s="46" customFormat="1">
      <c r="A380" s="47">
        <v>9358</v>
      </c>
      <c r="B380" s="47" t="s">
        <v>14</v>
      </c>
      <c r="C380" s="49" t="s">
        <v>26</v>
      </c>
      <c r="D380" s="47">
        <v>4000</v>
      </c>
      <c r="E380" s="47">
        <v>223</v>
      </c>
      <c r="F380" s="47">
        <v>30</v>
      </c>
      <c r="G380" s="47">
        <v>188</v>
      </c>
      <c r="H380" s="47">
        <v>0.86</v>
      </c>
      <c r="I380" s="47">
        <v>0.78</v>
      </c>
      <c r="J380" s="47">
        <v>0.74</v>
      </c>
      <c r="K380" s="50">
        <f t="shared" si="60"/>
        <v>0.49639200000000006</v>
      </c>
      <c r="L380" s="47"/>
      <c r="M380" s="48">
        <f t="shared" si="61"/>
        <v>0</v>
      </c>
      <c r="N380" s="48">
        <f t="shared" si="62"/>
        <v>0</v>
      </c>
      <c r="O380" s="48">
        <f t="shared" si="63"/>
        <v>0</v>
      </c>
      <c r="Q380" s="178"/>
    </row>
    <row r="381" spans="1:17" s="46" customFormat="1">
      <c r="A381" s="47">
        <v>9355</v>
      </c>
      <c r="B381" s="47" t="s">
        <v>15</v>
      </c>
      <c r="C381" s="49" t="s">
        <v>27</v>
      </c>
      <c r="D381" s="55">
        <v>12</v>
      </c>
      <c r="E381" s="55">
        <v>435</v>
      </c>
      <c r="F381" s="55">
        <v>39</v>
      </c>
      <c r="G381" s="55">
        <v>396</v>
      </c>
      <c r="H381" s="55">
        <v>0.86</v>
      </c>
      <c r="I381" s="55">
        <v>0.56000000000000005</v>
      </c>
      <c r="J381" s="55">
        <v>0.51</v>
      </c>
      <c r="K381" s="56">
        <f t="shared" si="60"/>
        <v>0.24561600000000003</v>
      </c>
      <c r="L381" s="47"/>
      <c r="M381" s="48">
        <f t="shared" si="61"/>
        <v>0</v>
      </c>
      <c r="N381" s="48">
        <f t="shared" si="62"/>
        <v>0</v>
      </c>
      <c r="O381" s="48">
        <f t="shared" si="63"/>
        <v>0</v>
      </c>
      <c r="P381" s="176">
        <f>SUM(L381:L385)</f>
        <v>0</v>
      </c>
      <c r="Q381" s="178"/>
    </row>
    <row r="382" spans="1:17" s="46" customFormat="1">
      <c r="A382" s="47">
        <v>9355</v>
      </c>
      <c r="B382" s="47" t="s">
        <v>15</v>
      </c>
      <c r="C382" s="49" t="s">
        <v>28</v>
      </c>
      <c r="D382" s="55">
        <v>12</v>
      </c>
      <c r="E382" s="55">
        <v>520</v>
      </c>
      <c r="F382" s="55">
        <v>40</v>
      </c>
      <c r="G382" s="55">
        <v>480</v>
      </c>
      <c r="H382" s="55">
        <v>1.03</v>
      </c>
      <c r="I382" s="55">
        <v>0.56000000000000005</v>
      </c>
      <c r="J382" s="55">
        <v>0.51</v>
      </c>
      <c r="K382" s="56">
        <f t="shared" si="60"/>
        <v>0.29416800000000004</v>
      </c>
      <c r="L382" s="47"/>
      <c r="M382" s="48">
        <f t="shared" si="61"/>
        <v>0</v>
      </c>
      <c r="N382" s="48">
        <f t="shared" si="62"/>
        <v>0</v>
      </c>
      <c r="O382" s="48">
        <f t="shared" si="63"/>
        <v>0</v>
      </c>
      <c r="P382" s="176"/>
      <c r="Q382" s="178"/>
    </row>
    <row r="383" spans="1:17" s="46" customFormat="1">
      <c r="A383" s="47">
        <v>9355</v>
      </c>
      <c r="B383" s="47" t="s">
        <v>15</v>
      </c>
      <c r="C383" s="49" t="s">
        <v>29</v>
      </c>
      <c r="D383" s="55">
        <v>12</v>
      </c>
      <c r="E383" s="55">
        <v>596</v>
      </c>
      <c r="F383" s="55">
        <v>44</v>
      </c>
      <c r="G383" s="55">
        <v>552</v>
      </c>
      <c r="H383" s="55">
        <v>1.17</v>
      </c>
      <c r="I383" s="55">
        <v>0.56000000000000005</v>
      </c>
      <c r="J383" s="55">
        <v>0.51</v>
      </c>
      <c r="K383" s="56">
        <f t="shared" si="60"/>
        <v>0.334152</v>
      </c>
      <c r="L383" s="47"/>
      <c r="M383" s="48">
        <f t="shared" si="61"/>
        <v>0</v>
      </c>
      <c r="N383" s="48">
        <f t="shared" si="62"/>
        <v>0</v>
      </c>
      <c r="O383" s="48">
        <f t="shared" si="63"/>
        <v>0</v>
      </c>
      <c r="P383" s="176"/>
      <c r="Q383" s="178"/>
    </row>
    <row r="384" spans="1:17" s="46" customFormat="1">
      <c r="A384" s="47">
        <v>9355</v>
      </c>
      <c r="B384" s="47" t="s">
        <v>15</v>
      </c>
      <c r="C384" s="49" t="s">
        <v>30</v>
      </c>
      <c r="D384" s="57">
        <v>12</v>
      </c>
      <c r="E384" s="55">
        <v>654</v>
      </c>
      <c r="F384" s="55">
        <v>42</v>
      </c>
      <c r="G384" s="55">
        <v>612</v>
      </c>
      <c r="H384" s="55">
        <v>1.2749999999999999</v>
      </c>
      <c r="I384" s="55">
        <v>0.56000000000000005</v>
      </c>
      <c r="J384" s="55">
        <v>0.51</v>
      </c>
      <c r="K384" s="56">
        <f t="shared" si="60"/>
        <v>0.36413999999999996</v>
      </c>
      <c r="L384" s="47"/>
      <c r="M384" s="48">
        <f t="shared" si="61"/>
        <v>0</v>
      </c>
      <c r="N384" s="48">
        <f t="shared" si="62"/>
        <v>0</v>
      </c>
      <c r="O384" s="48">
        <f t="shared" si="63"/>
        <v>0</v>
      </c>
      <c r="P384" s="176"/>
      <c r="Q384" s="178"/>
    </row>
    <row r="385" spans="1:17" s="46" customFormat="1">
      <c r="A385" s="47">
        <v>9355</v>
      </c>
      <c r="B385" s="47" t="s">
        <v>15</v>
      </c>
      <c r="C385" s="49" t="s">
        <v>31</v>
      </c>
      <c r="D385" s="57">
        <v>6</v>
      </c>
      <c r="E385" s="55">
        <v>410</v>
      </c>
      <c r="F385" s="55">
        <v>50</v>
      </c>
      <c r="G385" s="55">
        <v>360</v>
      </c>
      <c r="H385" s="55">
        <v>1.48</v>
      </c>
      <c r="I385" s="55">
        <v>0.56000000000000005</v>
      </c>
      <c r="J385" s="55">
        <v>0.37</v>
      </c>
      <c r="K385" s="56">
        <f t="shared" si="60"/>
        <v>0.30665600000000004</v>
      </c>
      <c r="L385" s="47"/>
      <c r="M385" s="48">
        <f t="shared" si="61"/>
        <v>0</v>
      </c>
      <c r="N385" s="48">
        <f t="shared" si="62"/>
        <v>0</v>
      </c>
      <c r="O385" s="48">
        <f t="shared" si="63"/>
        <v>0</v>
      </c>
      <c r="P385" s="176"/>
      <c r="Q385" s="178"/>
    </row>
    <row r="386" spans="1:17" s="46" customFormat="1">
      <c r="A386" s="47">
        <v>9358</v>
      </c>
      <c r="B386" s="47" t="s">
        <v>14</v>
      </c>
      <c r="C386" s="49" t="s">
        <v>32</v>
      </c>
      <c r="D386" s="52">
        <v>1000</v>
      </c>
      <c r="E386" s="52">
        <f t="shared" ref="E386:E395" si="64">G386+F386</f>
        <v>395</v>
      </c>
      <c r="F386" s="52">
        <v>40</v>
      </c>
      <c r="G386" s="52">
        <v>355</v>
      </c>
      <c r="H386" s="52">
        <v>1.05</v>
      </c>
      <c r="I386" s="52">
        <v>0.9</v>
      </c>
      <c r="J386" s="52">
        <v>0.55000000000000004</v>
      </c>
      <c r="K386" s="48">
        <f t="shared" si="60"/>
        <v>0.51975000000000005</v>
      </c>
      <c r="L386" s="47"/>
      <c r="M386" s="48">
        <f t="shared" si="61"/>
        <v>0</v>
      </c>
      <c r="N386" s="48">
        <f t="shared" si="62"/>
        <v>0</v>
      </c>
      <c r="O386" s="48">
        <f t="shared" si="63"/>
        <v>0</v>
      </c>
      <c r="Q386" s="178"/>
    </row>
    <row r="387" spans="1:17" s="46" customFormat="1">
      <c r="A387" s="47">
        <v>9358</v>
      </c>
      <c r="B387" s="47" t="s">
        <v>14</v>
      </c>
      <c r="C387" s="49" t="s">
        <v>33</v>
      </c>
      <c r="D387" s="52">
        <v>450</v>
      </c>
      <c r="E387" s="52">
        <f t="shared" si="64"/>
        <v>360</v>
      </c>
      <c r="F387" s="52">
        <v>40</v>
      </c>
      <c r="G387" s="52">
        <v>320</v>
      </c>
      <c r="H387" s="47">
        <v>1.1000000000000001</v>
      </c>
      <c r="I387" s="52">
        <v>0.9</v>
      </c>
      <c r="J387" s="47">
        <v>0.75</v>
      </c>
      <c r="K387" s="50">
        <f t="shared" si="60"/>
        <v>0.74250000000000005</v>
      </c>
      <c r="L387" s="47"/>
      <c r="M387" s="48">
        <f t="shared" si="61"/>
        <v>0</v>
      </c>
      <c r="N387" s="48">
        <f t="shared" si="62"/>
        <v>0</v>
      </c>
      <c r="O387" s="48">
        <f t="shared" si="63"/>
        <v>0</v>
      </c>
      <c r="Q387" s="178"/>
    </row>
    <row r="388" spans="1:17" s="46" customFormat="1">
      <c r="A388" s="47">
        <v>9358</v>
      </c>
      <c r="B388" s="47" t="s">
        <v>14</v>
      </c>
      <c r="C388" s="49" t="s">
        <v>34</v>
      </c>
      <c r="D388" s="52">
        <v>1000</v>
      </c>
      <c r="E388" s="52">
        <f t="shared" si="64"/>
        <v>492</v>
      </c>
      <c r="F388" s="52">
        <v>40</v>
      </c>
      <c r="G388" s="52">
        <v>452</v>
      </c>
      <c r="H388" s="52">
        <v>1.1000000000000001</v>
      </c>
      <c r="I388" s="52">
        <v>1.05</v>
      </c>
      <c r="J388" s="52">
        <v>0.55000000000000004</v>
      </c>
      <c r="K388" s="48">
        <f t="shared" si="60"/>
        <v>0.6352500000000002</v>
      </c>
      <c r="L388" s="47"/>
      <c r="M388" s="48">
        <f t="shared" si="61"/>
        <v>0</v>
      </c>
      <c r="N388" s="48">
        <f t="shared" si="62"/>
        <v>0</v>
      </c>
      <c r="O388" s="48">
        <f t="shared" si="63"/>
        <v>0</v>
      </c>
      <c r="Q388" s="178"/>
    </row>
    <row r="389" spans="1:17" s="46" customFormat="1">
      <c r="A389" s="47">
        <v>9358</v>
      </c>
      <c r="B389" s="47" t="s">
        <v>14</v>
      </c>
      <c r="C389" s="49" t="s">
        <v>35</v>
      </c>
      <c r="D389" s="52">
        <v>450</v>
      </c>
      <c r="E389" s="52">
        <f t="shared" si="64"/>
        <v>421.5</v>
      </c>
      <c r="F389" s="52">
        <v>40</v>
      </c>
      <c r="G389" s="52">
        <v>381.5</v>
      </c>
      <c r="H389" s="52">
        <v>1.05</v>
      </c>
      <c r="I389" s="52">
        <v>1.05</v>
      </c>
      <c r="J389" s="47">
        <v>0.75</v>
      </c>
      <c r="K389" s="50">
        <f t="shared" si="60"/>
        <v>0.82687500000000003</v>
      </c>
      <c r="L389" s="47"/>
      <c r="M389" s="48">
        <f t="shared" si="61"/>
        <v>0</v>
      </c>
      <c r="N389" s="48">
        <f t="shared" si="62"/>
        <v>0</v>
      </c>
      <c r="O389" s="48">
        <f t="shared" si="63"/>
        <v>0</v>
      </c>
      <c r="Q389" s="178"/>
    </row>
    <row r="390" spans="1:17" s="46" customFormat="1">
      <c r="A390" s="47">
        <v>9358</v>
      </c>
      <c r="B390" s="47" t="s">
        <v>14</v>
      </c>
      <c r="C390" s="49" t="s">
        <v>36</v>
      </c>
      <c r="D390" s="52">
        <v>1000</v>
      </c>
      <c r="E390" s="52">
        <f t="shared" si="64"/>
        <v>574</v>
      </c>
      <c r="F390" s="52">
        <v>40</v>
      </c>
      <c r="G390" s="52">
        <v>534</v>
      </c>
      <c r="H390" s="52">
        <v>1.1000000000000001</v>
      </c>
      <c r="I390" s="52">
        <v>1.2</v>
      </c>
      <c r="J390" s="52">
        <v>0.55000000000000004</v>
      </c>
      <c r="K390" s="48">
        <f t="shared" si="60"/>
        <v>0.72600000000000009</v>
      </c>
      <c r="L390" s="47"/>
      <c r="M390" s="48">
        <f t="shared" si="61"/>
        <v>0</v>
      </c>
      <c r="N390" s="48">
        <f t="shared" si="62"/>
        <v>0</v>
      </c>
      <c r="O390" s="48">
        <f t="shared" si="63"/>
        <v>0</v>
      </c>
      <c r="Q390" s="178"/>
    </row>
    <row r="391" spans="1:17" s="46" customFormat="1">
      <c r="A391" s="47">
        <v>9358</v>
      </c>
      <c r="B391" s="47" t="s">
        <v>14</v>
      </c>
      <c r="C391" s="49" t="s">
        <v>37</v>
      </c>
      <c r="D391" s="52">
        <v>450</v>
      </c>
      <c r="E391" s="52">
        <f t="shared" si="64"/>
        <v>475</v>
      </c>
      <c r="F391" s="52">
        <v>40</v>
      </c>
      <c r="G391" s="52">
        <v>435</v>
      </c>
      <c r="H391" s="52">
        <v>1.05</v>
      </c>
      <c r="I391" s="52">
        <v>1.2</v>
      </c>
      <c r="J391" s="47">
        <v>0.75</v>
      </c>
      <c r="K391" s="48">
        <f t="shared" si="60"/>
        <v>0.94500000000000006</v>
      </c>
      <c r="L391" s="47"/>
      <c r="M391" s="48">
        <f t="shared" si="61"/>
        <v>0</v>
      </c>
      <c r="N391" s="48">
        <f t="shared" si="62"/>
        <v>0</v>
      </c>
      <c r="O391" s="48">
        <f t="shared" si="63"/>
        <v>0</v>
      </c>
      <c r="Q391" s="178"/>
    </row>
    <row r="392" spans="1:17" s="46" customFormat="1">
      <c r="A392" s="47">
        <v>9358</v>
      </c>
      <c r="B392" s="47" t="s">
        <v>14</v>
      </c>
      <c r="C392" s="49" t="s">
        <v>38</v>
      </c>
      <c r="D392" s="52">
        <v>1000</v>
      </c>
      <c r="E392" s="52">
        <f t="shared" si="64"/>
        <v>645</v>
      </c>
      <c r="F392" s="52">
        <v>40</v>
      </c>
      <c r="G392" s="52">
        <v>605</v>
      </c>
      <c r="H392" s="52">
        <v>1.1000000000000001</v>
      </c>
      <c r="I392" s="52">
        <v>1.3</v>
      </c>
      <c r="J392" s="52">
        <v>0.55000000000000004</v>
      </c>
      <c r="K392" s="48">
        <f t="shared" si="60"/>
        <v>0.7865000000000002</v>
      </c>
      <c r="L392" s="47"/>
      <c r="M392" s="48">
        <f t="shared" si="61"/>
        <v>0</v>
      </c>
      <c r="N392" s="48">
        <f t="shared" si="62"/>
        <v>0</v>
      </c>
      <c r="O392" s="48">
        <f t="shared" si="63"/>
        <v>0</v>
      </c>
      <c r="Q392" s="178"/>
    </row>
    <row r="393" spans="1:17" s="46" customFormat="1">
      <c r="A393" s="47">
        <v>9358</v>
      </c>
      <c r="B393" s="47" t="s">
        <v>14</v>
      </c>
      <c r="C393" s="49" t="s">
        <v>39</v>
      </c>
      <c r="D393" s="52">
        <v>450</v>
      </c>
      <c r="E393" s="52">
        <f t="shared" si="64"/>
        <v>515</v>
      </c>
      <c r="F393" s="52">
        <v>40</v>
      </c>
      <c r="G393" s="52">
        <v>475</v>
      </c>
      <c r="H393" s="52">
        <v>1.05</v>
      </c>
      <c r="I393" s="52">
        <v>1.3</v>
      </c>
      <c r="J393" s="47">
        <v>0.75</v>
      </c>
      <c r="K393" s="48">
        <f t="shared" si="60"/>
        <v>1.0237500000000002</v>
      </c>
      <c r="L393" s="47"/>
      <c r="M393" s="48">
        <f t="shared" si="61"/>
        <v>0</v>
      </c>
      <c r="N393" s="48">
        <f t="shared" si="62"/>
        <v>0</v>
      </c>
      <c r="O393" s="48">
        <f t="shared" si="63"/>
        <v>0</v>
      </c>
      <c r="Q393" s="178"/>
    </row>
    <row r="394" spans="1:17" s="46" customFormat="1">
      <c r="A394" s="47">
        <v>9358</v>
      </c>
      <c r="B394" s="47" t="s">
        <v>14</v>
      </c>
      <c r="C394" s="49" t="s">
        <v>40</v>
      </c>
      <c r="D394" s="52">
        <v>1000</v>
      </c>
      <c r="E394" s="52">
        <f t="shared" si="64"/>
        <v>645</v>
      </c>
      <c r="F394" s="52">
        <v>40</v>
      </c>
      <c r="G394" s="52">
        <v>605</v>
      </c>
      <c r="H394" s="52">
        <v>1.1000000000000001</v>
      </c>
      <c r="I394" s="52">
        <v>1.3</v>
      </c>
      <c r="J394" s="52">
        <v>0.55000000000000004</v>
      </c>
      <c r="K394" s="48">
        <f t="shared" si="60"/>
        <v>0.7865000000000002</v>
      </c>
      <c r="L394" s="47"/>
      <c r="M394" s="48">
        <f t="shared" si="61"/>
        <v>0</v>
      </c>
      <c r="N394" s="48">
        <f t="shared" si="62"/>
        <v>0</v>
      </c>
      <c r="O394" s="48">
        <f t="shared" si="63"/>
        <v>0</v>
      </c>
      <c r="Q394" s="178"/>
    </row>
    <row r="395" spans="1:17" s="46" customFormat="1">
      <c r="A395" s="47">
        <v>9358</v>
      </c>
      <c r="B395" s="47" t="s">
        <v>14</v>
      </c>
      <c r="C395" s="49" t="s">
        <v>41</v>
      </c>
      <c r="D395" s="52">
        <v>450</v>
      </c>
      <c r="E395" s="52">
        <f t="shared" si="64"/>
        <v>515</v>
      </c>
      <c r="F395" s="52">
        <v>40</v>
      </c>
      <c r="G395" s="52">
        <v>475</v>
      </c>
      <c r="H395" s="52">
        <v>1.05</v>
      </c>
      <c r="I395" s="52">
        <v>1.3</v>
      </c>
      <c r="J395" s="47">
        <v>0.75</v>
      </c>
      <c r="K395" s="48">
        <f t="shared" si="60"/>
        <v>1.0237500000000002</v>
      </c>
      <c r="L395" s="47"/>
      <c r="M395" s="48">
        <f t="shared" si="61"/>
        <v>0</v>
      </c>
      <c r="N395" s="48">
        <f t="shared" si="62"/>
        <v>0</v>
      </c>
      <c r="O395" s="48">
        <f t="shared" si="63"/>
        <v>0</v>
      </c>
      <c r="Q395" s="178"/>
    </row>
    <row r="396" spans="1:17" s="46" customFormat="1">
      <c r="A396" s="47">
        <v>9358</v>
      </c>
      <c r="B396" s="47" t="s">
        <v>14</v>
      </c>
      <c r="C396" s="49" t="s">
        <v>22</v>
      </c>
      <c r="D396" s="51">
        <v>3000</v>
      </c>
      <c r="E396" s="52">
        <v>235</v>
      </c>
      <c r="F396" s="47">
        <v>35</v>
      </c>
      <c r="G396" s="52">
        <v>200</v>
      </c>
      <c r="H396" s="47">
        <v>1.1000000000000001</v>
      </c>
      <c r="I396" s="47">
        <v>1.1000000000000001</v>
      </c>
      <c r="J396" s="47">
        <v>1.02</v>
      </c>
      <c r="K396" s="50">
        <f t="shared" si="60"/>
        <v>1.2342000000000002</v>
      </c>
      <c r="L396" s="47"/>
      <c r="M396" s="48">
        <f t="shared" si="61"/>
        <v>0</v>
      </c>
      <c r="N396" s="48">
        <f t="shared" si="62"/>
        <v>0</v>
      </c>
      <c r="O396" s="48">
        <f t="shared" si="63"/>
        <v>0</v>
      </c>
      <c r="Q396" s="178"/>
    </row>
    <row r="397" spans="1:17" s="46" customFormat="1">
      <c r="A397" s="47">
        <v>9358</v>
      </c>
      <c r="B397" s="47" t="s">
        <v>14</v>
      </c>
      <c r="C397" s="49" t="s">
        <v>23</v>
      </c>
      <c r="D397" s="53">
        <v>1000</v>
      </c>
      <c r="E397" s="54">
        <v>646</v>
      </c>
      <c r="F397" s="54">
        <f>E397-G397</f>
        <v>40</v>
      </c>
      <c r="G397" s="54">
        <v>606</v>
      </c>
      <c r="H397" s="54">
        <v>1.1000000000000001</v>
      </c>
      <c r="I397" s="54">
        <v>0.8</v>
      </c>
      <c r="J397" s="54">
        <v>0.55000000000000004</v>
      </c>
      <c r="K397" s="48">
        <f t="shared" si="60"/>
        <v>0.4840000000000001</v>
      </c>
      <c r="L397" s="47"/>
      <c r="M397" s="48">
        <f t="shared" si="61"/>
        <v>0</v>
      </c>
      <c r="N397" s="48">
        <f t="shared" si="62"/>
        <v>0</v>
      </c>
      <c r="O397" s="48">
        <f t="shared" si="63"/>
        <v>0</v>
      </c>
      <c r="Q397" s="178"/>
    </row>
    <row r="398" spans="1:17" s="46" customFormat="1">
      <c r="A398" s="47">
        <v>9358</v>
      </c>
      <c r="B398" s="47" t="s">
        <v>14</v>
      </c>
      <c r="C398" s="49" t="s">
        <v>46</v>
      </c>
      <c r="D398" s="51">
        <v>4000</v>
      </c>
      <c r="E398" s="52">
        <v>424</v>
      </c>
      <c r="F398" s="47">
        <f>E398-G398</f>
        <v>52</v>
      </c>
      <c r="G398" s="52">
        <v>372</v>
      </c>
      <c r="H398" s="47">
        <v>1.1000000000000001</v>
      </c>
      <c r="I398" s="47">
        <v>0.8</v>
      </c>
      <c r="J398" s="47">
        <v>0.55000000000000004</v>
      </c>
      <c r="K398" s="50">
        <f t="shared" si="60"/>
        <v>0.4840000000000001</v>
      </c>
      <c r="L398" s="47"/>
      <c r="M398" s="48">
        <f t="shared" si="61"/>
        <v>0</v>
      </c>
      <c r="N398" s="48">
        <f t="shared" si="62"/>
        <v>0</v>
      </c>
      <c r="O398" s="48">
        <f t="shared" si="63"/>
        <v>0</v>
      </c>
      <c r="Q398" s="178"/>
    </row>
    <row r="399" spans="1:17" s="46" customFormat="1">
      <c r="A399" s="47">
        <v>9358</v>
      </c>
      <c r="B399" s="47" t="s">
        <v>14</v>
      </c>
      <c r="C399" s="49" t="s">
        <v>42</v>
      </c>
      <c r="D399" s="58">
        <v>1200</v>
      </c>
      <c r="E399" s="162">
        <v>666.4</v>
      </c>
      <c r="F399" s="162">
        <v>40</v>
      </c>
      <c r="G399" s="59">
        <v>588</v>
      </c>
      <c r="H399" s="164">
        <v>1</v>
      </c>
      <c r="I399" s="164">
        <v>0.75</v>
      </c>
      <c r="J399" s="164">
        <v>0.7</v>
      </c>
      <c r="K399" s="166">
        <v>0.5</v>
      </c>
      <c r="L399" s="47"/>
      <c r="M399" s="174">
        <f t="shared" si="61"/>
        <v>0</v>
      </c>
      <c r="N399" s="174">
        <f t="shared" si="62"/>
        <v>0</v>
      </c>
      <c r="O399" s="184">
        <f t="shared" si="63"/>
        <v>0</v>
      </c>
      <c r="Q399" s="178"/>
    </row>
    <row r="400" spans="1:17" s="46" customFormat="1">
      <c r="A400" s="47">
        <v>9358</v>
      </c>
      <c r="B400" s="47" t="s">
        <v>14</v>
      </c>
      <c r="C400" s="49" t="s">
        <v>43</v>
      </c>
      <c r="D400" s="58">
        <v>1200</v>
      </c>
      <c r="E400" s="163"/>
      <c r="F400" s="163"/>
      <c r="G400" s="59">
        <v>38.4</v>
      </c>
      <c r="H400" s="165"/>
      <c r="I400" s="165"/>
      <c r="J400" s="165"/>
      <c r="K400" s="167"/>
      <c r="L400" s="47"/>
      <c r="M400" s="175"/>
      <c r="N400" s="175"/>
      <c r="O400" s="185"/>
      <c r="Q400" s="178"/>
    </row>
    <row r="401" spans="1:17" s="46" customFormat="1" ht="15" thickBot="1">
      <c r="A401" s="47">
        <v>9358</v>
      </c>
      <c r="B401" s="47" t="s">
        <v>14</v>
      </c>
      <c r="C401" s="49" t="s">
        <v>60</v>
      </c>
      <c r="D401" s="58"/>
      <c r="E401" s="79"/>
      <c r="F401" s="79"/>
      <c r="G401" s="59"/>
      <c r="H401" s="80"/>
      <c r="I401" s="80"/>
      <c r="J401" s="80"/>
      <c r="K401" s="74"/>
      <c r="L401" s="47"/>
      <c r="M401" s="66"/>
      <c r="N401" s="66"/>
      <c r="O401" s="67"/>
      <c r="Q401" s="179"/>
    </row>
    <row r="402" spans="1:17" s="17" customFormat="1">
      <c r="A402" s="20">
        <v>9355</v>
      </c>
      <c r="B402" s="20" t="s">
        <v>15</v>
      </c>
      <c r="C402" s="20" t="s">
        <v>16</v>
      </c>
      <c r="D402" s="20">
        <v>30</v>
      </c>
      <c r="E402" s="20">
        <v>669</v>
      </c>
      <c r="F402" s="20">
        <f>E402-G402</f>
        <v>53</v>
      </c>
      <c r="G402" s="20">
        <v>616</v>
      </c>
      <c r="H402" s="20">
        <v>1</v>
      </c>
      <c r="I402" s="20">
        <v>0.9</v>
      </c>
      <c r="J402" s="20">
        <v>0.73</v>
      </c>
      <c r="K402" s="20">
        <f t="shared" ref="K402:K430" si="65">H402*I402*J402</f>
        <v>0.65700000000000003</v>
      </c>
      <c r="L402" s="20">
        <v>102</v>
      </c>
      <c r="M402" s="23">
        <f t="shared" ref="M402:M431" si="66">L402/D402</f>
        <v>3.4</v>
      </c>
      <c r="N402" s="23">
        <f t="shared" ref="N402:N431" si="67">E402*M402</f>
        <v>2274.6</v>
      </c>
      <c r="O402" s="23">
        <f>M402*K402</f>
        <v>2.2338</v>
      </c>
      <c r="P402" s="186">
        <f>SUM(L402:L405)</f>
        <v>120</v>
      </c>
      <c r="Q402" s="187" t="s">
        <v>54</v>
      </c>
    </row>
    <row r="403" spans="1:17" s="17" customFormat="1">
      <c r="A403" s="20">
        <v>9355</v>
      </c>
      <c r="B403" s="20" t="s">
        <v>15</v>
      </c>
      <c r="C403" s="20" t="s">
        <v>17</v>
      </c>
      <c r="D403" s="20">
        <v>30</v>
      </c>
      <c r="E403" s="20">
        <v>669</v>
      </c>
      <c r="F403" s="20">
        <f>E403-G403</f>
        <v>53</v>
      </c>
      <c r="G403" s="20">
        <v>616</v>
      </c>
      <c r="H403" s="20">
        <v>1</v>
      </c>
      <c r="I403" s="20">
        <v>0.9</v>
      </c>
      <c r="J403" s="20">
        <v>0.73</v>
      </c>
      <c r="K403" s="20">
        <f t="shared" si="65"/>
        <v>0.65700000000000003</v>
      </c>
      <c r="L403" s="20">
        <v>6</v>
      </c>
      <c r="M403" s="23">
        <f t="shared" si="66"/>
        <v>0.2</v>
      </c>
      <c r="N403" s="23">
        <f t="shared" si="67"/>
        <v>133.80000000000001</v>
      </c>
      <c r="O403" s="23">
        <f t="shared" ref="O403:O431" si="68">M403*K403</f>
        <v>0.13140000000000002</v>
      </c>
      <c r="P403" s="186"/>
      <c r="Q403" s="188"/>
    </row>
    <row r="404" spans="1:17" s="17" customFormat="1">
      <c r="A404" s="20">
        <v>9355</v>
      </c>
      <c r="B404" s="20" t="s">
        <v>15</v>
      </c>
      <c r="C404" s="20" t="s">
        <v>18</v>
      </c>
      <c r="D404" s="20">
        <v>30</v>
      </c>
      <c r="E404" s="20">
        <v>669</v>
      </c>
      <c r="F404" s="20">
        <f>E404-G404</f>
        <v>53</v>
      </c>
      <c r="G404" s="20">
        <v>616</v>
      </c>
      <c r="H404" s="20">
        <v>1</v>
      </c>
      <c r="I404" s="20">
        <v>0.9</v>
      </c>
      <c r="J404" s="20">
        <v>0.73</v>
      </c>
      <c r="K404" s="20">
        <f t="shared" si="65"/>
        <v>0.65700000000000003</v>
      </c>
      <c r="L404" s="20">
        <v>6</v>
      </c>
      <c r="M404" s="23">
        <f t="shared" si="66"/>
        <v>0.2</v>
      </c>
      <c r="N404" s="23">
        <f t="shared" si="67"/>
        <v>133.80000000000001</v>
      </c>
      <c r="O404" s="23">
        <f t="shared" si="68"/>
        <v>0.13140000000000002</v>
      </c>
      <c r="P404" s="186"/>
      <c r="Q404" s="188"/>
    </row>
    <row r="405" spans="1:17" s="17" customFormat="1">
      <c r="A405" s="20">
        <v>9355</v>
      </c>
      <c r="B405" s="20" t="s">
        <v>15</v>
      </c>
      <c r="C405" s="20" t="s">
        <v>19</v>
      </c>
      <c r="D405" s="20">
        <v>30</v>
      </c>
      <c r="E405" s="20">
        <v>669</v>
      </c>
      <c r="F405" s="20">
        <f>E405-G405</f>
        <v>53</v>
      </c>
      <c r="G405" s="20">
        <v>616</v>
      </c>
      <c r="H405" s="20">
        <v>1</v>
      </c>
      <c r="I405" s="20">
        <v>0.9</v>
      </c>
      <c r="J405" s="20">
        <v>0.73</v>
      </c>
      <c r="K405" s="20">
        <f t="shared" si="65"/>
        <v>0.65700000000000003</v>
      </c>
      <c r="L405" s="20">
        <v>6</v>
      </c>
      <c r="M405" s="23">
        <f t="shared" si="66"/>
        <v>0.2</v>
      </c>
      <c r="N405" s="23">
        <f t="shared" si="67"/>
        <v>133.80000000000001</v>
      </c>
      <c r="O405" s="23">
        <f t="shared" si="68"/>
        <v>0.13140000000000002</v>
      </c>
      <c r="P405" s="186"/>
      <c r="Q405" s="188"/>
    </row>
    <row r="406" spans="1:17" s="17" customFormat="1">
      <c r="A406" s="20">
        <v>9358</v>
      </c>
      <c r="B406" s="20" t="s">
        <v>14</v>
      </c>
      <c r="C406" s="21" t="s">
        <v>20</v>
      </c>
      <c r="D406" s="20">
        <v>5000</v>
      </c>
      <c r="E406" s="20">
        <v>490</v>
      </c>
      <c r="F406" s="20">
        <v>40</v>
      </c>
      <c r="G406" s="20">
        <v>450</v>
      </c>
      <c r="H406" s="20">
        <v>1</v>
      </c>
      <c r="I406" s="20">
        <v>0.98</v>
      </c>
      <c r="J406" s="20">
        <v>0.83</v>
      </c>
      <c r="K406" s="22">
        <f t="shared" si="65"/>
        <v>0.8133999999999999</v>
      </c>
      <c r="L406" s="20">
        <v>120</v>
      </c>
      <c r="M406" s="23">
        <f t="shared" si="66"/>
        <v>2.4E-2</v>
      </c>
      <c r="N406" s="23">
        <f t="shared" si="67"/>
        <v>11.76</v>
      </c>
      <c r="O406" s="23">
        <f t="shared" si="68"/>
        <v>1.9521599999999997E-2</v>
      </c>
      <c r="Q406" s="188"/>
    </row>
    <row r="407" spans="1:17" s="17" customFormat="1">
      <c r="A407" s="20">
        <v>9358</v>
      </c>
      <c r="B407" s="20" t="s">
        <v>14</v>
      </c>
      <c r="C407" s="21" t="s">
        <v>21</v>
      </c>
      <c r="D407" s="20">
        <v>360</v>
      </c>
      <c r="E407" s="20">
        <v>390</v>
      </c>
      <c r="F407" s="20">
        <v>40</v>
      </c>
      <c r="G407" s="20">
        <v>350</v>
      </c>
      <c r="H407" s="20">
        <v>1.05</v>
      </c>
      <c r="I407" s="20">
        <v>0.95</v>
      </c>
      <c r="J407" s="20">
        <v>0.55000000000000004</v>
      </c>
      <c r="K407" s="22">
        <f t="shared" si="65"/>
        <v>0.54862500000000003</v>
      </c>
      <c r="L407" s="20">
        <v>120</v>
      </c>
      <c r="M407" s="23">
        <f t="shared" si="66"/>
        <v>0.33333333333333331</v>
      </c>
      <c r="N407" s="23">
        <f t="shared" si="67"/>
        <v>130</v>
      </c>
      <c r="O407" s="23">
        <f t="shared" si="68"/>
        <v>0.18287500000000001</v>
      </c>
      <c r="Q407" s="188"/>
    </row>
    <row r="408" spans="1:17" s="17" customFormat="1">
      <c r="A408" s="20">
        <v>9358</v>
      </c>
      <c r="B408" s="20" t="s">
        <v>14</v>
      </c>
      <c r="C408" s="21" t="s">
        <v>22</v>
      </c>
      <c r="D408" s="26">
        <v>3000</v>
      </c>
      <c r="E408" s="27">
        <v>235</v>
      </c>
      <c r="F408" s="20">
        <v>35</v>
      </c>
      <c r="G408" s="27">
        <v>200</v>
      </c>
      <c r="H408" s="20">
        <v>1.1000000000000001</v>
      </c>
      <c r="I408" s="20">
        <v>1.1000000000000001</v>
      </c>
      <c r="J408" s="20">
        <v>1.02</v>
      </c>
      <c r="K408" s="22">
        <f t="shared" si="65"/>
        <v>1.2342000000000002</v>
      </c>
      <c r="L408" s="20">
        <v>480</v>
      </c>
      <c r="M408" s="23">
        <f t="shared" si="66"/>
        <v>0.16</v>
      </c>
      <c r="N408" s="23">
        <f t="shared" si="67"/>
        <v>37.6</v>
      </c>
      <c r="O408" s="23">
        <f t="shared" si="68"/>
        <v>0.19747200000000004</v>
      </c>
      <c r="Q408" s="188"/>
    </row>
    <row r="409" spans="1:17" s="17" customFormat="1">
      <c r="A409" s="20">
        <v>9358</v>
      </c>
      <c r="B409" s="20" t="s">
        <v>14</v>
      </c>
      <c r="C409" s="21" t="s">
        <v>23</v>
      </c>
      <c r="D409" s="24">
        <v>1000</v>
      </c>
      <c r="E409" s="25">
        <v>646</v>
      </c>
      <c r="F409" s="25">
        <f>E409-G409</f>
        <v>40</v>
      </c>
      <c r="G409" s="25">
        <v>606</v>
      </c>
      <c r="H409" s="25">
        <v>1.1000000000000001</v>
      </c>
      <c r="I409" s="25">
        <v>0.8</v>
      </c>
      <c r="J409" s="25">
        <v>0.55000000000000004</v>
      </c>
      <c r="K409" s="23">
        <f t="shared" si="65"/>
        <v>0.4840000000000001</v>
      </c>
      <c r="L409" s="20">
        <v>480</v>
      </c>
      <c r="M409" s="23">
        <f t="shared" si="66"/>
        <v>0.48</v>
      </c>
      <c r="N409" s="23">
        <f t="shared" si="67"/>
        <v>310.08</v>
      </c>
      <c r="O409" s="23">
        <f t="shared" si="68"/>
        <v>0.23232000000000003</v>
      </c>
      <c r="Q409" s="188"/>
    </row>
    <row r="410" spans="1:17" s="17" customFormat="1">
      <c r="A410" s="20">
        <v>9356</v>
      </c>
      <c r="B410" s="20" t="s">
        <v>47</v>
      </c>
      <c r="C410" s="21" t="s">
        <v>24</v>
      </c>
      <c r="D410" s="26">
        <v>4000</v>
      </c>
      <c r="E410" s="27">
        <v>424</v>
      </c>
      <c r="F410" s="20">
        <f>E410-G410</f>
        <v>52</v>
      </c>
      <c r="G410" s="27">
        <v>372</v>
      </c>
      <c r="H410" s="20">
        <v>1.1000000000000001</v>
      </c>
      <c r="I410" s="20">
        <v>0.8</v>
      </c>
      <c r="J410" s="20">
        <v>0.55000000000000004</v>
      </c>
      <c r="K410" s="22">
        <f t="shared" si="65"/>
        <v>0.4840000000000001</v>
      </c>
      <c r="L410" s="20"/>
      <c r="M410" s="23">
        <f t="shared" si="66"/>
        <v>0</v>
      </c>
      <c r="N410" s="23">
        <f t="shared" si="67"/>
        <v>0</v>
      </c>
      <c r="O410" s="23">
        <f t="shared" si="68"/>
        <v>0</v>
      </c>
      <c r="Q410" s="188"/>
    </row>
    <row r="411" spans="1:17" s="17" customFormat="1">
      <c r="A411" s="20">
        <v>9358</v>
      </c>
      <c r="B411" s="20" t="s">
        <v>14</v>
      </c>
      <c r="C411" s="21" t="s">
        <v>25</v>
      </c>
      <c r="D411" s="20">
        <v>1000</v>
      </c>
      <c r="E411" s="20">
        <v>830</v>
      </c>
      <c r="F411" s="20">
        <v>40</v>
      </c>
      <c r="G411" s="20">
        <v>790</v>
      </c>
      <c r="H411" s="20">
        <v>1.04</v>
      </c>
      <c r="I411" s="20">
        <v>0.84</v>
      </c>
      <c r="J411" s="20">
        <v>0.64</v>
      </c>
      <c r="K411" s="22">
        <f t="shared" si="65"/>
        <v>0.55910400000000005</v>
      </c>
      <c r="L411" s="20">
        <v>240</v>
      </c>
      <c r="M411" s="23">
        <f t="shared" si="66"/>
        <v>0.24</v>
      </c>
      <c r="N411" s="23">
        <f t="shared" si="67"/>
        <v>199.2</v>
      </c>
      <c r="O411" s="23">
        <f t="shared" si="68"/>
        <v>0.13418496000000002</v>
      </c>
      <c r="Q411" s="188"/>
    </row>
    <row r="412" spans="1:17" s="17" customFormat="1">
      <c r="A412" s="20">
        <v>9358</v>
      </c>
      <c r="B412" s="20" t="s">
        <v>14</v>
      </c>
      <c r="C412" s="21" t="s">
        <v>26</v>
      </c>
      <c r="D412" s="20">
        <v>4000</v>
      </c>
      <c r="E412" s="20">
        <v>223</v>
      </c>
      <c r="F412" s="20">
        <v>30</v>
      </c>
      <c r="G412" s="20">
        <v>188</v>
      </c>
      <c r="H412" s="20">
        <v>0.86</v>
      </c>
      <c r="I412" s="20">
        <v>0.78</v>
      </c>
      <c r="J412" s="20">
        <v>0.74</v>
      </c>
      <c r="K412" s="22">
        <f t="shared" si="65"/>
        <v>0.49639200000000006</v>
      </c>
      <c r="L412" s="20">
        <v>240</v>
      </c>
      <c r="M412" s="23">
        <f t="shared" si="66"/>
        <v>0.06</v>
      </c>
      <c r="N412" s="23">
        <f t="shared" si="67"/>
        <v>13.379999999999999</v>
      </c>
      <c r="O412" s="23">
        <f t="shared" si="68"/>
        <v>2.9783520000000001E-2</v>
      </c>
      <c r="Q412" s="188"/>
    </row>
    <row r="413" spans="1:17" s="17" customFormat="1">
      <c r="A413" s="20">
        <v>9355</v>
      </c>
      <c r="B413" s="20" t="s">
        <v>15</v>
      </c>
      <c r="C413" s="21" t="s">
        <v>27</v>
      </c>
      <c r="D413" s="30">
        <v>12</v>
      </c>
      <c r="E413" s="30">
        <v>435</v>
      </c>
      <c r="F413" s="30">
        <v>39</v>
      </c>
      <c r="G413" s="30">
        <v>396</v>
      </c>
      <c r="H413" s="30">
        <v>0.86</v>
      </c>
      <c r="I413" s="30">
        <v>0.56000000000000005</v>
      </c>
      <c r="J413" s="30">
        <v>0.51</v>
      </c>
      <c r="K413" s="31">
        <f t="shared" si="65"/>
        <v>0.24561600000000003</v>
      </c>
      <c r="L413" s="20">
        <v>54</v>
      </c>
      <c r="M413" s="23">
        <f t="shared" si="66"/>
        <v>4.5</v>
      </c>
      <c r="N413" s="23">
        <f t="shared" si="67"/>
        <v>1957.5</v>
      </c>
      <c r="O413" s="23">
        <f t="shared" si="68"/>
        <v>1.105272</v>
      </c>
      <c r="P413" s="186">
        <f>SUM(L413:L417)</f>
        <v>94</v>
      </c>
      <c r="Q413" s="188"/>
    </row>
    <row r="414" spans="1:17" s="17" customFormat="1">
      <c r="A414" s="20">
        <v>9355</v>
      </c>
      <c r="B414" s="20" t="s">
        <v>15</v>
      </c>
      <c r="C414" s="21" t="s">
        <v>28</v>
      </c>
      <c r="D414" s="30">
        <v>12</v>
      </c>
      <c r="E414" s="30">
        <v>520</v>
      </c>
      <c r="F414" s="30">
        <v>40</v>
      </c>
      <c r="G414" s="30">
        <v>480</v>
      </c>
      <c r="H414" s="30">
        <v>1.03</v>
      </c>
      <c r="I414" s="30">
        <v>0.56000000000000005</v>
      </c>
      <c r="J414" s="30">
        <v>0.51</v>
      </c>
      <c r="K414" s="31">
        <f t="shared" si="65"/>
        <v>0.29416800000000004</v>
      </c>
      <c r="L414" s="20">
        <v>17</v>
      </c>
      <c r="M414" s="23">
        <f t="shared" si="66"/>
        <v>1.4166666666666667</v>
      </c>
      <c r="N414" s="23">
        <f t="shared" si="67"/>
        <v>736.66666666666674</v>
      </c>
      <c r="O414" s="23">
        <f t="shared" si="68"/>
        <v>0.41673800000000005</v>
      </c>
      <c r="P414" s="186"/>
      <c r="Q414" s="188"/>
    </row>
    <row r="415" spans="1:17" s="17" customFormat="1">
      <c r="A415" s="20">
        <v>9355</v>
      </c>
      <c r="B415" s="20" t="s">
        <v>15</v>
      </c>
      <c r="C415" s="21" t="s">
        <v>29</v>
      </c>
      <c r="D415" s="30">
        <v>12</v>
      </c>
      <c r="E415" s="30">
        <v>596</v>
      </c>
      <c r="F415" s="30">
        <v>44</v>
      </c>
      <c r="G415" s="30">
        <v>552</v>
      </c>
      <c r="H415" s="30">
        <v>1.17</v>
      </c>
      <c r="I415" s="30">
        <v>0.56000000000000005</v>
      </c>
      <c r="J415" s="30">
        <v>0.51</v>
      </c>
      <c r="K415" s="31">
        <f t="shared" si="65"/>
        <v>0.334152</v>
      </c>
      <c r="L415" s="20">
        <v>17</v>
      </c>
      <c r="M415" s="23">
        <f t="shared" si="66"/>
        <v>1.4166666666666667</v>
      </c>
      <c r="N415" s="23">
        <f t="shared" si="67"/>
        <v>844.33333333333337</v>
      </c>
      <c r="O415" s="23">
        <f t="shared" si="68"/>
        <v>0.47338200000000002</v>
      </c>
      <c r="P415" s="186"/>
      <c r="Q415" s="188"/>
    </row>
    <row r="416" spans="1:17" s="17" customFormat="1">
      <c r="A416" s="20">
        <v>9355</v>
      </c>
      <c r="B416" s="20" t="s">
        <v>15</v>
      </c>
      <c r="C416" s="21" t="s">
        <v>30</v>
      </c>
      <c r="D416" s="32">
        <v>12</v>
      </c>
      <c r="E416" s="30">
        <v>654</v>
      </c>
      <c r="F416" s="30">
        <v>42</v>
      </c>
      <c r="G416" s="30">
        <v>612</v>
      </c>
      <c r="H416" s="30">
        <v>1.2749999999999999</v>
      </c>
      <c r="I416" s="30">
        <v>0.56000000000000005</v>
      </c>
      <c r="J416" s="30">
        <v>0.51</v>
      </c>
      <c r="K416" s="31">
        <f t="shared" si="65"/>
        <v>0.36413999999999996</v>
      </c>
      <c r="L416" s="20">
        <v>6</v>
      </c>
      <c r="M416" s="23">
        <f t="shared" si="66"/>
        <v>0.5</v>
      </c>
      <c r="N416" s="23">
        <f t="shared" si="67"/>
        <v>327</v>
      </c>
      <c r="O416" s="23">
        <f t="shared" si="68"/>
        <v>0.18206999999999998</v>
      </c>
      <c r="P416" s="186"/>
      <c r="Q416" s="188"/>
    </row>
    <row r="417" spans="1:17" s="17" customFormat="1">
      <c r="A417" s="20">
        <v>9355</v>
      </c>
      <c r="B417" s="20" t="s">
        <v>15</v>
      </c>
      <c r="C417" s="21" t="s">
        <v>31</v>
      </c>
      <c r="D417" s="32">
        <v>6</v>
      </c>
      <c r="E417" s="30">
        <v>410</v>
      </c>
      <c r="F417" s="30">
        <v>50</v>
      </c>
      <c r="G417" s="30">
        <v>360</v>
      </c>
      <c r="H417" s="30">
        <v>1.48</v>
      </c>
      <c r="I417" s="30">
        <v>0.56000000000000005</v>
      </c>
      <c r="J417" s="30">
        <v>0.37</v>
      </c>
      <c r="K417" s="31">
        <f t="shared" si="65"/>
        <v>0.30665600000000004</v>
      </c>
      <c r="L417" s="20">
        <v>0</v>
      </c>
      <c r="M417" s="23">
        <f t="shared" si="66"/>
        <v>0</v>
      </c>
      <c r="N417" s="23">
        <f t="shared" si="67"/>
        <v>0</v>
      </c>
      <c r="O417" s="23">
        <f t="shared" si="68"/>
        <v>0</v>
      </c>
      <c r="P417" s="186"/>
      <c r="Q417" s="188"/>
    </row>
    <row r="418" spans="1:17" s="17" customFormat="1">
      <c r="A418" s="20">
        <v>9358</v>
      </c>
      <c r="B418" s="20" t="s">
        <v>14</v>
      </c>
      <c r="C418" s="21" t="s">
        <v>32</v>
      </c>
      <c r="D418" s="27">
        <v>1000</v>
      </c>
      <c r="E418" s="27">
        <f t="shared" ref="E418:E427" si="69">G418+F418</f>
        <v>395</v>
      </c>
      <c r="F418" s="27">
        <v>40</v>
      </c>
      <c r="G418" s="27">
        <v>355</v>
      </c>
      <c r="H418" s="27">
        <v>1.05</v>
      </c>
      <c r="I418" s="27">
        <v>0.9</v>
      </c>
      <c r="J418" s="27">
        <v>0.55000000000000004</v>
      </c>
      <c r="K418" s="23">
        <f t="shared" si="65"/>
        <v>0.51975000000000005</v>
      </c>
      <c r="L418" s="20">
        <v>54</v>
      </c>
      <c r="M418" s="23">
        <f t="shared" si="66"/>
        <v>5.3999999999999999E-2</v>
      </c>
      <c r="N418" s="23">
        <f t="shared" si="67"/>
        <v>21.33</v>
      </c>
      <c r="O418" s="23">
        <f t="shared" si="68"/>
        <v>2.8066500000000001E-2</v>
      </c>
      <c r="Q418" s="188"/>
    </row>
    <row r="419" spans="1:17" s="17" customFormat="1">
      <c r="A419" s="20">
        <v>9358</v>
      </c>
      <c r="B419" s="20" t="s">
        <v>14</v>
      </c>
      <c r="C419" s="21" t="s">
        <v>33</v>
      </c>
      <c r="D419" s="27">
        <v>450</v>
      </c>
      <c r="E419" s="27">
        <f t="shared" si="69"/>
        <v>360</v>
      </c>
      <c r="F419" s="27">
        <v>40</v>
      </c>
      <c r="G419" s="27">
        <v>320</v>
      </c>
      <c r="H419" s="20">
        <v>1.1000000000000001</v>
      </c>
      <c r="I419" s="27">
        <v>0.9</v>
      </c>
      <c r="J419" s="20">
        <v>0.75</v>
      </c>
      <c r="K419" s="22">
        <f t="shared" si="65"/>
        <v>0.74250000000000005</v>
      </c>
      <c r="L419" s="20">
        <v>54</v>
      </c>
      <c r="M419" s="23">
        <f t="shared" si="66"/>
        <v>0.12</v>
      </c>
      <c r="N419" s="23">
        <f t="shared" si="67"/>
        <v>43.199999999999996</v>
      </c>
      <c r="O419" s="23">
        <f t="shared" si="68"/>
        <v>8.9099999999999999E-2</v>
      </c>
      <c r="Q419" s="188"/>
    </row>
    <row r="420" spans="1:17" s="17" customFormat="1">
      <c r="A420" s="20">
        <v>9358</v>
      </c>
      <c r="B420" s="20" t="s">
        <v>14</v>
      </c>
      <c r="C420" s="21" t="s">
        <v>34</v>
      </c>
      <c r="D420" s="27">
        <v>1000</v>
      </c>
      <c r="E420" s="27">
        <f t="shared" si="69"/>
        <v>492</v>
      </c>
      <c r="F420" s="27">
        <v>40</v>
      </c>
      <c r="G420" s="27">
        <v>452</v>
      </c>
      <c r="H420" s="27">
        <v>1.1000000000000001</v>
      </c>
      <c r="I420" s="27">
        <v>1.05</v>
      </c>
      <c r="J420" s="27">
        <v>0.55000000000000004</v>
      </c>
      <c r="K420" s="23">
        <f t="shared" si="65"/>
        <v>0.6352500000000002</v>
      </c>
      <c r="L420" s="20">
        <v>17</v>
      </c>
      <c r="M420" s="23">
        <f t="shared" si="66"/>
        <v>1.7000000000000001E-2</v>
      </c>
      <c r="N420" s="23">
        <f t="shared" si="67"/>
        <v>8.3640000000000008</v>
      </c>
      <c r="O420" s="23">
        <f t="shared" si="68"/>
        <v>1.0799250000000005E-2</v>
      </c>
      <c r="Q420" s="188"/>
    </row>
    <row r="421" spans="1:17" s="17" customFormat="1">
      <c r="A421" s="20">
        <v>9358</v>
      </c>
      <c r="B421" s="20" t="s">
        <v>14</v>
      </c>
      <c r="C421" s="21" t="s">
        <v>35</v>
      </c>
      <c r="D421" s="27">
        <v>450</v>
      </c>
      <c r="E421" s="27">
        <f t="shared" si="69"/>
        <v>421.5</v>
      </c>
      <c r="F421" s="27">
        <v>40</v>
      </c>
      <c r="G421" s="27">
        <v>381.5</v>
      </c>
      <c r="H421" s="27">
        <v>1.05</v>
      </c>
      <c r="I421" s="27">
        <v>1.05</v>
      </c>
      <c r="J421" s="20">
        <v>0.75</v>
      </c>
      <c r="K421" s="22">
        <f t="shared" si="65"/>
        <v>0.82687500000000003</v>
      </c>
      <c r="L421" s="20">
        <v>17</v>
      </c>
      <c r="M421" s="23">
        <f t="shared" si="66"/>
        <v>3.7777777777777778E-2</v>
      </c>
      <c r="N421" s="23">
        <f t="shared" si="67"/>
        <v>15.923333333333334</v>
      </c>
      <c r="O421" s="23">
        <f t="shared" si="68"/>
        <v>3.1237500000000001E-2</v>
      </c>
      <c r="Q421" s="188"/>
    </row>
    <row r="422" spans="1:17" s="17" customFormat="1">
      <c r="A422" s="20">
        <v>9358</v>
      </c>
      <c r="B422" s="20" t="s">
        <v>14</v>
      </c>
      <c r="C422" s="21" t="s">
        <v>36</v>
      </c>
      <c r="D422" s="27">
        <v>1000</v>
      </c>
      <c r="E422" s="27">
        <f t="shared" si="69"/>
        <v>574</v>
      </c>
      <c r="F422" s="27">
        <v>40</v>
      </c>
      <c r="G422" s="27">
        <v>534</v>
      </c>
      <c r="H422" s="27">
        <v>1.1000000000000001</v>
      </c>
      <c r="I422" s="27">
        <v>1.2</v>
      </c>
      <c r="J422" s="27">
        <v>0.55000000000000004</v>
      </c>
      <c r="K422" s="23">
        <f t="shared" si="65"/>
        <v>0.72600000000000009</v>
      </c>
      <c r="L422" s="20">
        <v>17</v>
      </c>
      <c r="M422" s="23">
        <f t="shared" si="66"/>
        <v>1.7000000000000001E-2</v>
      </c>
      <c r="N422" s="23">
        <f t="shared" si="67"/>
        <v>9.7580000000000009</v>
      </c>
      <c r="O422" s="23">
        <f t="shared" si="68"/>
        <v>1.2342000000000002E-2</v>
      </c>
      <c r="Q422" s="188"/>
    </row>
    <row r="423" spans="1:17" s="17" customFormat="1">
      <c r="A423" s="20">
        <v>9358</v>
      </c>
      <c r="B423" s="20" t="s">
        <v>14</v>
      </c>
      <c r="C423" s="21" t="s">
        <v>37</v>
      </c>
      <c r="D423" s="27">
        <v>450</v>
      </c>
      <c r="E423" s="27">
        <f t="shared" si="69"/>
        <v>475</v>
      </c>
      <c r="F423" s="27">
        <v>40</v>
      </c>
      <c r="G423" s="27">
        <v>435</v>
      </c>
      <c r="H423" s="27">
        <v>1.05</v>
      </c>
      <c r="I423" s="27">
        <v>1.2</v>
      </c>
      <c r="J423" s="20">
        <v>0.75</v>
      </c>
      <c r="K423" s="23">
        <f t="shared" si="65"/>
        <v>0.94500000000000006</v>
      </c>
      <c r="L423" s="20">
        <v>17</v>
      </c>
      <c r="M423" s="23">
        <f t="shared" si="66"/>
        <v>3.7777777777777778E-2</v>
      </c>
      <c r="N423" s="23">
        <f t="shared" si="67"/>
        <v>17.944444444444443</v>
      </c>
      <c r="O423" s="23">
        <f t="shared" si="68"/>
        <v>3.5700000000000003E-2</v>
      </c>
      <c r="Q423" s="188"/>
    </row>
    <row r="424" spans="1:17" s="17" customFormat="1">
      <c r="A424" s="20">
        <v>9358</v>
      </c>
      <c r="B424" s="20" t="s">
        <v>14</v>
      </c>
      <c r="C424" s="21" t="s">
        <v>38</v>
      </c>
      <c r="D424" s="27">
        <v>1000</v>
      </c>
      <c r="E424" s="27">
        <f t="shared" si="69"/>
        <v>645</v>
      </c>
      <c r="F424" s="27">
        <v>40</v>
      </c>
      <c r="G424" s="27">
        <v>605</v>
      </c>
      <c r="H424" s="27">
        <v>1.1000000000000001</v>
      </c>
      <c r="I424" s="27">
        <v>1.3</v>
      </c>
      <c r="J424" s="27">
        <v>0.55000000000000004</v>
      </c>
      <c r="K424" s="23">
        <f t="shared" si="65"/>
        <v>0.7865000000000002</v>
      </c>
      <c r="L424" s="20">
        <v>6</v>
      </c>
      <c r="M424" s="23">
        <f t="shared" si="66"/>
        <v>6.0000000000000001E-3</v>
      </c>
      <c r="N424" s="23">
        <f t="shared" si="67"/>
        <v>3.87</v>
      </c>
      <c r="O424" s="23">
        <f t="shared" si="68"/>
        <v>4.719000000000001E-3</v>
      </c>
      <c r="Q424" s="188"/>
    </row>
    <row r="425" spans="1:17" s="17" customFormat="1">
      <c r="A425" s="20">
        <v>9358</v>
      </c>
      <c r="B425" s="20" t="s">
        <v>14</v>
      </c>
      <c r="C425" s="21" t="s">
        <v>39</v>
      </c>
      <c r="D425" s="27">
        <v>450</v>
      </c>
      <c r="E425" s="27">
        <f t="shared" si="69"/>
        <v>515</v>
      </c>
      <c r="F425" s="27">
        <v>40</v>
      </c>
      <c r="G425" s="27">
        <v>475</v>
      </c>
      <c r="H425" s="27">
        <v>1.05</v>
      </c>
      <c r="I425" s="27">
        <v>1.3</v>
      </c>
      <c r="J425" s="20">
        <v>0.75</v>
      </c>
      <c r="K425" s="23">
        <f t="shared" si="65"/>
        <v>1.0237500000000002</v>
      </c>
      <c r="L425" s="20">
        <v>6</v>
      </c>
      <c r="M425" s="23">
        <f t="shared" si="66"/>
        <v>1.3333333333333334E-2</v>
      </c>
      <c r="N425" s="23">
        <f t="shared" si="67"/>
        <v>6.8666666666666671</v>
      </c>
      <c r="O425" s="23">
        <f t="shared" si="68"/>
        <v>1.3650000000000002E-2</v>
      </c>
      <c r="Q425" s="188"/>
    </row>
    <row r="426" spans="1:17" s="17" customFormat="1">
      <c r="A426" s="20">
        <v>9358</v>
      </c>
      <c r="B426" s="20" t="s">
        <v>14</v>
      </c>
      <c r="C426" s="21" t="s">
        <v>40</v>
      </c>
      <c r="D426" s="27">
        <v>1000</v>
      </c>
      <c r="E426" s="27">
        <f t="shared" si="69"/>
        <v>645</v>
      </c>
      <c r="F426" s="27">
        <v>40</v>
      </c>
      <c r="G426" s="27">
        <v>605</v>
      </c>
      <c r="H426" s="27">
        <v>1.1000000000000001</v>
      </c>
      <c r="I426" s="27">
        <v>1.3</v>
      </c>
      <c r="J426" s="27">
        <v>0.55000000000000004</v>
      </c>
      <c r="K426" s="23">
        <f t="shared" si="65"/>
        <v>0.7865000000000002</v>
      </c>
      <c r="L426" s="20">
        <v>0</v>
      </c>
      <c r="M426" s="23">
        <f t="shared" si="66"/>
        <v>0</v>
      </c>
      <c r="N426" s="23">
        <f t="shared" si="67"/>
        <v>0</v>
      </c>
      <c r="O426" s="23">
        <f t="shared" si="68"/>
        <v>0</v>
      </c>
      <c r="Q426" s="188"/>
    </row>
    <row r="427" spans="1:17" s="17" customFormat="1">
      <c r="A427" s="20">
        <v>9358</v>
      </c>
      <c r="B427" s="20" t="s">
        <v>14</v>
      </c>
      <c r="C427" s="21" t="s">
        <v>41</v>
      </c>
      <c r="D427" s="27">
        <v>450</v>
      </c>
      <c r="E427" s="27">
        <f t="shared" si="69"/>
        <v>515</v>
      </c>
      <c r="F427" s="27">
        <v>40</v>
      </c>
      <c r="G427" s="27">
        <v>475</v>
      </c>
      <c r="H427" s="27">
        <v>1.05</v>
      </c>
      <c r="I427" s="27">
        <v>1.3</v>
      </c>
      <c r="J427" s="20">
        <v>0.75</v>
      </c>
      <c r="K427" s="23">
        <f t="shared" si="65"/>
        <v>1.0237500000000002</v>
      </c>
      <c r="L427" s="20">
        <v>0</v>
      </c>
      <c r="M427" s="23">
        <f t="shared" si="66"/>
        <v>0</v>
      </c>
      <c r="N427" s="23">
        <f t="shared" si="67"/>
        <v>0</v>
      </c>
      <c r="O427" s="23">
        <f t="shared" si="68"/>
        <v>0</v>
      </c>
      <c r="Q427" s="188"/>
    </row>
    <row r="428" spans="1:17" s="17" customFormat="1">
      <c r="A428" s="20">
        <v>9358</v>
      </c>
      <c r="B428" s="20" t="s">
        <v>14</v>
      </c>
      <c r="C428" s="21" t="s">
        <v>22</v>
      </c>
      <c r="D428" s="26">
        <v>3000</v>
      </c>
      <c r="E428" s="27">
        <v>235</v>
      </c>
      <c r="F428" s="20">
        <v>35</v>
      </c>
      <c r="G428" s="27">
        <v>200</v>
      </c>
      <c r="H428" s="20">
        <v>1.1000000000000001</v>
      </c>
      <c r="I428" s="20">
        <v>1.1000000000000001</v>
      </c>
      <c r="J428" s="20">
        <v>1.02</v>
      </c>
      <c r="K428" s="22">
        <f t="shared" si="65"/>
        <v>1.2342000000000002</v>
      </c>
      <c r="L428" s="20">
        <v>376</v>
      </c>
      <c r="M428" s="23">
        <f t="shared" si="66"/>
        <v>0.12533333333333332</v>
      </c>
      <c r="N428" s="23">
        <f t="shared" si="67"/>
        <v>29.45333333333333</v>
      </c>
      <c r="O428" s="23">
        <f t="shared" si="68"/>
        <v>0.1546864</v>
      </c>
      <c r="Q428" s="188"/>
    </row>
    <row r="429" spans="1:17" s="17" customFormat="1">
      <c r="A429" s="20">
        <v>9358</v>
      </c>
      <c r="B429" s="20" t="s">
        <v>14</v>
      </c>
      <c r="C429" s="21" t="s">
        <v>23</v>
      </c>
      <c r="D429" s="24">
        <v>1000</v>
      </c>
      <c r="E429" s="25">
        <v>646</v>
      </c>
      <c r="F429" s="25">
        <f>E429-G429</f>
        <v>40</v>
      </c>
      <c r="G429" s="25">
        <v>606</v>
      </c>
      <c r="H429" s="25">
        <v>1.1000000000000001</v>
      </c>
      <c r="I429" s="25">
        <v>0.8</v>
      </c>
      <c r="J429" s="25">
        <v>0.55000000000000004</v>
      </c>
      <c r="K429" s="23">
        <f t="shared" si="65"/>
        <v>0.4840000000000001</v>
      </c>
      <c r="L429" s="20">
        <v>376</v>
      </c>
      <c r="M429" s="23">
        <f t="shared" si="66"/>
        <v>0.376</v>
      </c>
      <c r="N429" s="23">
        <f t="shared" si="67"/>
        <v>242.89599999999999</v>
      </c>
      <c r="O429" s="23">
        <f t="shared" si="68"/>
        <v>0.18198400000000003</v>
      </c>
      <c r="Q429" s="188"/>
    </row>
    <row r="430" spans="1:17" s="17" customFormat="1">
      <c r="A430" s="20">
        <v>9358</v>
      </c>
      <c r="B430" s="20" t="s">
        <v>14</v>
      </c>
      <c r="C430" s="21" t="s">
        <v>46</v>
      </c>
      <c r="D430" s="26">
        <v>4000</v>
      </c>
      <c r="E430" s="27">
        <v>424</v>
      </c>
      <c r="F430" s="20">
        <f>E430-G430</f>
        <v>52</v>
      </c>
      <c r="G430" s="27">
        <v>372</v>
      </c>
      <c r="H430" s="20">
        <v>1.1000000000000001</v>
      </c>
      <c r="I430" s="20">
        <v>0.8</v>
      </c>
      <c r="J430" s="20">
        <v>0.55000000000000004</v>
      </c>
      <c r="K430" s="22">
        <f t="shared" si="65"/>
        <v>0.4840000000000001</v>
      </c>
      <c r="L430" s="20">
        <v>376</v>
      </c>
      <c r="M430" s="23">
        <f t="shared" si="66"/>
        <v>9.4E-2</v>
      </c>
      <c r="N430" s="23">
        <f t="shared" si="67"/>
        <v>39.856000000000002</v>
      </c>
      <c r="O430" s="23">
        <f t="shared" si="68"/>
        <v>4.5496000000000009E-2</v>
      </c>
      <c r="Q430" s="188"/>
    </row>
    <row r="431" spans="1:17" s="17" customFormat="1">
      <c r="A431" s="20">
        <v>9358</v>
      </c>
      <c r="B431" s="20" t="s">
        <v>14</v>
      </c>
      <c r="C431" s="21" t="s">
        <v>42</v>
      </c>
      <c r="D431" s="28">
        <v>1200</v>
      </c>
      <c r="E431" s="168">
        <v>666.4</v>
      </c>
      <c r="F431" s="168">
        <v>40</v>
      </c>
      <c r="G431" s="29">
        <v>588</v>
      </c>
      <c r="H431" s="170">
        <v>1</v>
      </c>
      <c r="I431" s="170">
        <v>0.75</v>
      </c>
      <c r="J431" s="170">
        <v>0.7</v>
      </c>
      <c r="K431" s="172">
        <v>0.5</v>
      </c>
      <c r="L431" s="20">
        <v>376</v>
      </c>
      <c r="M431" s="160">
        <f t="shared" si="66"/>
        <v>0.31333333333333335</v>
      </c>
      <c r="N431" s="160">
        <f t="shared" si="67"/>
        <v>208.80533333333335</v>
      </c>
      <c r="O431" s="150">
        <f t="shared" si="68"/>
        <v>0.15666666666666668</v>
      </c>
      <c r="Q431" s="188"/>
    </row>
    <row r="432" spans="1:17" s="17" customFormat="1">
      <c r="A432" s="20">
        <v>9358</v>
      </c>
      <c r="B432" s="20" t="s">
        <v>14</v>
      </c>
      <c r="C432" s="21" t="s">
        <v>43</v>
      </c>
      <c r="D432" s="28">
        <v>1200</v>
      </c>
      <c r="E432" s="169"/>
      <c r="F432" s="169"/>
      <c r="G432" s="29">
        <v>38.4</v>
      </c>
      <c r="H432" s="171"/>
      <c r="I432" s="171"/>
      <c r="J432" s="171"/>
      <c r="K432" s="173"/>
      <c r="L432" s="20">
        <v>376</v>
      </c>
      <c r="M432" s="161"/>
      <c r="N432" s="161"/>
      <c r="O432" s="151"/>
      <c r="Q432" s="188"/>
    </row>
    <row r="433" spans="1:17" s="17" customFormat="1" ht="15" thickBot="1">
      <c r="A433" s="20">
        <v>9358</v>
      </c>
      <c r="B433" s="20" t="s">
        <v>14</v>
      </c>
      <c r="C433" s="21" t="s">
        <v>60</v>
      </c>
      <c r="D433" s="28"/>
      <c r="E433" s="75"/>
      <c r="F433" s="75"/>
      <c r="G433" s="29"/>
      <c r="H433" s="76"/>
      <c r="I433" s="76"/>
      <c r="J433" s="76"/>
      <c r="K433" s="70"/>
      <c r="L433" s="20">
        <v>376</v>
      </c>
      <c r="M433" s="68"/>
      <c r="N433" s="68"/>
      <c r="O433" s="69"/>
      <c r="Q433" s="189"/>
    </row>
    <row r="434" spans="1:17" s="33" customFormat="1">
      <c r="A434" s="34">
        <v>9355</v>
      </c>
      <c r="B434" s="34" t="s">
        <v>15</v>
      </c>
      <c r="C434" s="34" t="s">
        <v>16</v>
      </c>
      <c r="D434" s="34">
        <v>30</v>
      </c>
      <c r="E434" s="34">
        <v>669</v>
      </c>
      <c r="F434" s="34">
        <f>E434-G434</f>
        <v>53</v>
      </c>
      <c r="G434" s="34">
        <v>616</v>
      </c>
      <c r="H434" s="34">
        <v>1</v>
      </c>
      <c r="I434" s="34">
        <v>0.9</v>
      </c>
      <c r="J434" s="34">
        <v>0.73</v>
      </c>
      <c r="K434" s="34">
        <f t="shared" ref="K434:K462" si="70">H434*I434*J434</f>
        <v>0.65700000000000003</v>
      </c>
      <c r="L434" s="34">
        <v>102</v>
      </c>
      <c r="M434" s="11">
        <f t="shared" ref="M434:M463" si="71">L434/D434</f>
        <v>3.4</v>
      </c>
      <c r="N434" s="11">
        <f t="shared" ref="N434:N463" si="72">E434*M434</f>
        <v>2274.6</v>
      </c>
      <c r="O434" s="11">
        <f>M434*K434</f>
        <v>2.2338</v>
      </c>
      <c r="P434" s="152">
        <f>SUM(L434:L437)</f>
        <v>120</v>
      </c>
      <c r="Q434" s="153" t="s">
        <v>55</v>
      </c>
    </row>
    <row r="435" spans="1:17" s="33" customFormat="1">
      <c r="A435" s="34">
        <v>9355</v>
      </c>
      <c r="B435" s="34" t="s">
        <v>15</v>
      </c>
      <c r="C435" s="34" t="s">
        <v>17</v>
      </c>
      <c r="D435" s="34">
        <v>30</v>
      </c>
      <c r="E435" s="34">
        <v>669</v>
      </c>
      <c r="F435" s="34">
        <f>E435-G435</f>
        <v>53</v>
      </c>
      <c r="G435" s="34">
        <v>616</v>
      </c>
      <c r="H435" s="34">
        <v>1</v>
      </c>
      <c r="I435" s="34">
        <v>0.9</v>
      </c>
      <c r="J435" s="34">
        <v>0.73</v>
      </c>
      <c r="K435" s="34">
        <f t="shared" si="70"/>
        <v>0.65700000000000003</v>
      </c>
      <c r="L435" s="34">
        <v>6</v>
      </c>
      <c r="M435" s="11">
        <f t="shared" si="71"/>
        <v>0.2</v>
      </c>
      <c r="N435" s="11">
        <f t="shared" si="72"/>
        <v>133.80000000000001</v>
      </c>
      <c r="O435" s="11">
        <f t="shared" ref="O435:O463" si="73">M435*K435</f>
        <v>0.13140000000000002</v>
      </c>
      <c r="P435" s="152"/>
      <c r="Q435" s="154"/>
    </row>
    <row r="436" spans="1:17" s="33" customFormat="1">
      <c r="A436" s="34">
        <v>9355</v>
      </c>
      <c r="B436" s="34" t="s">
        <v>15</v>
      </c>
      <c r="C436" s="34" t="s">
        <v>18</v>
      </c>
      <c r="D436" s="34">
        <v>30</v>
      </c>
      <c r="E436" s="34">
        <v>669</v>
      </c>
      <c r="F436" s="34">
        <f>E436-G436</f>
        <v>53</v>
      </c>
      <c r="G436" s="34">
        <v>616</v>
      </c>
      <c r="H436" s="34">
        <v>1</v>
      </c>
      <c r="I436" s="34">
        <v>0.9</v>
      </c>
      <c r="J436" s="34">
        <v>0.73</v>
      </c>
      <c r="K436" s="34">
        <f t="shared" si="70"/>
        <v>0.65700000000000003</v>
      </c>
      <c r="L436" s="34">
        <v>6</v>
      </c>
      <c r="M436" s="11">
        <f t="shared" si="71"/>
        <v>0.2</v>
      </c>
      <c r="N436" s="11">
        <f t="shared" si="72"/>
        <v>133.80000000000001</v>
      </c>
      <c r="O436" s="11">
        <f t="shared" si="73"/>
        <v>0.13140000000000002</v>
      </c>
      <c r="P436" s="152"/>
      <c r="Q436" s="154"/>
    </row>
    <row r="437" spans="1:17" s="33" customFormat="1">
      <c r="A437" s="34">
        <v>9355</v>
      </c>
      <c r="B437" s="34" t="s">
        <v>15</v>
      </c>
      <c r="C437" s="34" t="s">
        <v>19</v>
      </c>
      <c r="D437" s="34">
        <v>30</v>
      </c>
      <c r="E437" s="34">
        <v>669</v>
      </c>
      <c r="F437" s="34">
        <f>E437-G437</f>
        <v>53</v>
      </c>
      <c r="G437" s="34">
        <v>616</v>
      </c>
      <c r="H437" s="34">
        <v>1</v>
      </c>
      <c r="I437" s="34">
        <v>0.9</v>
      </c>
      <c r="J437" s="34">
        <v>0.73</v>
      </c>
      <c r="K437" s="34">
        <f t="shared" si="70"/>
        <v>0.65700000000000003</v>
      </c>
      <c r="L437" s="34">
        <v>6</v>
      </c>
      <c r="M437" s="11">
        <f t="shared" si="71"/>
        <v>0.2</v>
      </c>
      <c r="N437" s="11">
        <f t="shared" si="72"/>
        <v>133.80000000000001</v>
      </c>
      <c r="O437" s="11">
        <f t="shared" si="73"/>
        <v>0.13140000000000002</v>
      </c>
      <c r="P437" s="152"/>
      <c r="Q437" s="154"/>
    </row>
    <row r="438" spans="1:17" s="33" customFormat="1">
      <c r="A438" s="34">
        <v>9358</v>
      </c>
      <c r="B438" s="34" t="s">
        <v>14</v>
      </c>
      <c r="C438" s="35" t="s">
        <v>20</v>
      </c>
      <c r="D438" s="34">
        <v>5000</v>
      </c>
      <c r="E438" s="34">
        <v>490</v>
      </c>
      <c r="F438" s="34">
        <v>40</v>
      </c>
      <c r="G438" s="34">
        <v>450</v>
      </c>
      <c r="H438" s="34">
        <v>1</v>
      </c>
      <c r="I438" s="34">
        <v>0.98</v>
      </c>
      <c r="J438" s="34">
        <v>0.83</v>
      </c>
      <c r="K438" s="36">
        <f t="shared" si="70"/>
        <v>0.8133999999999999</v>
      </c>
      <c r="L438" s="34">
        <v>120</v>
      </c>
      <c r="M438" s="11">
        <f t="shared" si="71"/>
        <v>2.4E-2</v>
      </c>
      <c r="N438" s="11">
        <f t="shared" si="72"/>
        <v>11.76</v>
      </c>
      <c r="O438" s="11">
        <f t="shared" si="73"/>
        <v>1.9521599999999997E-2</v>
      </c>
      <c r="Q438" s="154"/>
    </row>
    <row r="439" spans="1:17" s="33" customFormat="1">
      <c r="A439" s="34">
        <v>9358</v>
      </c>
      <c r="B439" s="34" t="s">
        <v>14</v>
      </c>
      <c r="C439" s="35" t="s">
        <v>21</v>
      </c>
      <c r="D439" s="34">
        <v>360</v>
      </c>
      <c r="E439" s="34">
        <v>390</v>
      </c>
      <c r="F439" s="34">
        <v>40</v>
      </c>
      <c r="G439" s="34">
        <v>350</v>
      </c>
      <c r="H439" s="34">
        <v>1.05</v>
      </c>
      <c r="I439" s="34">
        <v>0.95</v>
      </c>
      <c r="J439" s="34">
        <v>0.55000000000000004</v>
      </c>
      <c r="K439" s="36">
        <f t="shared" si="70"/>
        <v>0.54862500000000003</v>
      </c>
      <c r="L439" s="34">
        <v>120</v>
      </c>
      <c r="M439" s="11">
        <f t="shared" si="71"/>
        <v>0.33333333333333331</v>
      </c>
      <c r="N439" s="11">
        <f t="shared" si="72"/>
        <v>130</v>
      </c>
      <c r="O439" s="11">
        <f t="shared" si="73"/>
        <v>0.18287500000000001</v>
      </c>
      <c r="Q439" s="154"/>
    </row>
    <row r="440" spans="1:17" s="33" customFormat="1">
      <c r="A440" s="34">
        <v>9358</v>
      </c>
      <c r="B440" s="34" t="s">
        <v>14</v>
      </c>
      <c r="C440" s="35" t="s">
        <v>22</v>
      </c>
      <c r="D440" s="37">
        <v>3000</v>
      </c>
      <c r="E440" s="38">
        <v>235</v>
      </c>
      <c r="F440" s="34">
        <v>35</v>
      </c>
      <c r="G440" s="38">
        <v>200</v>
      </c>
      <c r="H440" s="34">
        <v>1.1000000000000001</v>
      </c>
      <c r="I440" s="34">
        <v>1.1000000000000001</v>
      </c>
      <c r="J440" s="34">
        <v>1.02</v>
      </c>
      <c r="K440" s="36">
        <f t="shared" si="70"/>
        <v>1.2342000000000002</v>
      </c>
      <c r="L440" s="34">
        <v>480</v>
      </c>
      <c r="M440" s="11">
        <f t="shared" si="71"/>
        <v>0.16</v>
      </c>
      <c r="N440" s="11">
        <f t="shared" si="72"/>
        <v>37.6</v>
      </c>
      <c r="O440" s="11">
        <f t="shared" si="73"/>
        <v>0.19747200000000004</v>
      </c>
      <c r="Q440" s="154"/>
    </row>
    <row r="441" spans="1:17" s="33" customFormat="1">
      <c r="A441" s="34">
        <v>9358</v>
      </c>
      <c r="B441" s="34" t="s">
        <v>14</v>
      </c>
      <c r="C441" s="35" t="s">
        <v>23</v>
      </c>
      <c r="D441" s="9">
        <v>1000</v>
      </c>
      <c r="E441" s="10">
        <v>646</v>
      </c>
      <c r="F441" s="10">
        <f>E441-G441</f>
        <v>40</v>
      </c>
      <c r="G441" s="10">
        <v>606</v>
      </c>
      <c r="H441" s="10">
        <v>1.1000000000000001</v>
      </c>
      <c r="I441" s="10">
        <v>0.8</v>
      </c>
      <c r="J441" s="10">
        <v>0.55000000000000004</v>
      </c>
      <c r="K441" s="11">
        <f t="shared" si="70"/>
        <v>0.4840000000000001</v>
      </c>
      <c r="L441" s="34">
        <v>480</v>
      </c>
      <c r="M441" s="11">
        <f t="shared" si="71"/>
        <v>0.48</v>
      </c>
      <c r="N441" s="11">
        <f t="shared" si="72"/>
        <v>310.08</v>
      </c>
      <c r="O441" s="11">
        <f t="shared" si="73"/>
        <v>0.23232000000000003</v>
      </c>
      <c r="Q441" s="154"/>
    </row>
    <row r="442" spans="1:17" s="33" customFormat="1">
      <c r="A442" s="34">
        <v>9356</v>
      </c>
      <c r="B442" s="34" t="s">
        <v>47</v>
      </c>
      <c r="C442" s="35" t="s">
        <v>24</v>
      </c>
      <c r="D442" s="37">
        <v>4000</v>
      </c>
      <c r="E442" s="38">
        <v>424</v>
      </c>
      <c r="F442" s="34">
        <f>E442-G442</f>
        <v>52</v>
      </c>
      <c r="G442" s="38">
        <v>372</v>
      </c>
      <c r="H442" s="34">
        <v>1.1000000000000001</v>
      </c>
      <c r="I442" s="34">
        <v>0.8</v>
      </c>
      <c r="J442" s="34">
        <v>0.55000000000000004</v>
      </c>
      <c r="K442" s="36">
        <f t="shared" si="70"/>
        <v>0.4840000000000001</v>
      </c>
      <c r="L442" s="34"/>
      <c r="M442" s="11">
        <f t="shared" si="71"/>
        <v>0</v>
      </c>
      <c r="N442" s="11">
        <f t="shared" si="72"/>
        <v>0</v>
      </c>
      <c r="O442" s="11">
        <f t="shared" si="73"/>
        <v>0</v>
      </c>
      <c r="Q442" s="154"/>
    </row>
    <row r="443" spans="1:17" s="33" customFormat="1">
      <c r="A443" s="34">
        <v>9358</v>
      </c>
      <c r="B443" s="34" t="s">
        <v>14</v>
      </c>
      <c r="C443" s="35" t="s">
        <v>25</v>
      </c>
      <c r="D443" s="34">
        <v>1000</v>
      </c>
      <c r="E443" s="34">
        <v>830</v>
      </c>
      <c r="F443" s="34">
        <v>40</v>
      </c>
      <c r="G443" s="34">
        <v>790</v>
      </c>
      <c r="H443" s="34">
        <v>1.04</v>
      </c>
      <c r="I443" s="34">
        <v>0.84</v>
      </c>
      <c r="J443" s="34">
        <v>0.64</v>
      </c>
      <c r="K443" s="36">
        <f t="shared" si="70"/>
        <v>0.55910400000000005</v>
      </c>
      <c r="L443" s="34">
        <v>240</v>
      </c>
      <c r="M443" s="11">
        <f t="shared" si="71"/>
        <v>0.24</v>
      </c>
      <c r="N443" s="11">
        <f t="shared" si="72"/>
        <v>199.2</v>
      </c>
      <c r="O443" s="11">
        <f t="shared" si="73"/>
        <v>0.13418496000000002</v>
      </c>
      <c r="Q443" s="154"/>
    </row>
    <row r="444" spans="1:17" s="33" customFormat="1">
      <c r="A444" s="34">
        <v>9358</v>
      </c>
      <c r="B444" s="34" t="s">
        <v>14</v>
      </c>
      <c r="C444" s="35" t="s">
        <v>26</v>
      </c>
      <c r="D444" s="34">
        <v>4000</v>
      </c>
      <c r="E444" s="34">
        <v>223</v>
      </c>
      <c r="F444" s="34">
        <v>30</v>
      </c>
      <c r="G444" s="34">
        <v>188</v>
      </c>
      <c r="H444" s="34">
        <v>0.86</v>
      </c>
      <c r="I444" s="34">
        <v>0.78</v>
      </c>
      <c r="J444" s="34">
        <v>0.74</v>
      </c>
      <c r="K444" s="36">
        <f t="shared" si="70"/>
        <v>0.49639200000000006</v>
      </c>
      <c r="L444" s="34">
        <v>240</v>
      </c>
      <c r="M444" s="11">
        <f t="shared" si="71"/>
        <v>0.06</v>
      </c>
      <c r="N444" s="11">
        <f t="shared" si="72"/>
        <v>13.379999999999999</v>
      </c>
      <c r="O444" s="11">
        <f t="shared" si="73"/>
        <v>2.9783520000000001E-2</v>
      </c>
      <c r="Q444" s="154"/>
    </row>
    <row r="445" spans="1:17" s="33" customFormat="1">
      <c r="A445" s="34">
        <v>9355</v>
      </c>
      <c r="B445" s="34" t="s">
        <v>15</v>
      </c>
      <c r="C445" s="35" t="s">
        <v>27</v>
      </c>
      <c r="D445" s="39">
        <v>12</v>
      </c>
      <c r="E445" s="39">
        <v>435</v>
      </c>
      <c r="F445" s="39">
        <v>39</v>
      </c>
      <c r="G445" s="39">
        <v>396</v>
      </c>
      <c r="H445" s="39">
        <v>0.86</v>
      </c>
      <c r="I445" s="39">
        <v>0.56000000000000005</v>
      </c>
      <c r="J445" s="39">
        <v>0.51</v>
      </c>
      <c r="K445" s="40">
        <f t="shared" si="70"/>
        <v>0.24561600000000003</v>
      </c>
      <c r="L445" s="34">
        <v>54</v>
      </c>
      <c r="M445" s="11">
        <f t="shared" si="71"/>
        <v>4.5</v>
      </c>
      <c r="N445" s="11">
        <f t="shared" si="72"/>
        <v>1957.5</v>
      </c>
      <c r="O445" s="11">
        <f t="shared" si="73"/>
        <v>1.105272</v>
      </c>
      <c r="P445" s="152">
        <f>SUM(L445:L449)</f>
        <v>94</v>
      </c>
      <c r="Q445" s="154"/>
    </row>
    <row r="446" spans="1:17" s="33" customFormat="1">
      <c r="A446" s="34">
        <v>9355</v>
      </c>
      <c r="B446" s="34" t="s">
        <v>15</v>
      </c>
      <c r="C446" s="35" t="s">
        <v>28</v>
      </c>
      <c r="D446" s="39">
        <v>12</v>
      </c>
      <c r="E446" s="39">
        <v>520</v>
      </c>
      <c r="F446" s="39">
        <v>40</v>
      </c>
      <c r="G446" s="39">
        <v>480</v>
      </c>
      <c r="H446" s="39">
        <v>1.03</v>
      </c>
      <c r="I446" s="39">
        <v>0.56000000000000005</v>
      </c>
      <c r="J446" s="39">
        <v>0.51</v>
      </c>
      <c r="K446" s="40">
        <f t="shared" si="70"/>
        <v>0.29416800000000004</v>
      </c>
      <c r="L446" s="34">
        <v>17</v>
      </c>
      <c r="M446" s="11">
        <f t="shared" si="71"/>
        <v>1.4166666666666667</v>
      </c>
      <c r="N446" s="11">
        <f t="shared" si="72"/>
        <v>736.66666666666674</v>
      </c>
      <c r="O446" s="11">
        <f t="shared" si="73"/>
        <v>0.41673800000000005</v>
      </c>
      <c r="P446" s="152"/>
      <c r="Q446" s="154"/>
    </row>
    <row r="447" spans="1:17" s="33" customFormat="1">
      <c r="A447" s="34">
        <v>9355</v>
      </c>
      <c r="B447" s="34" t="s">
        <v>15</v>
      </c>
      <c r="C447" s="35" t="s">
        <v>29</v>
      </c>
      <c r="D447" s="39">
        <v>12</v>
      </c>
      <c r="E447" s="39">
        <v>596</v>
      </c>
      <c r="F447" s="39">
        <v>44</v>
      </c>
      <c r="G447" s="39">
        <v>552</v>
      </c>
      <c r="H447" s="39">
        <v>1.17</v>
      </c>
      <c r="I447" s="39">
        <v>0.56000000000000005</v>
      </c>
      <c r="J447" s="39">
        <v>0.51</v>
      </c>
      <c r="K447" s="40">
        <f t="shared" si="70"/>
        <v>0.334152</v>
      </c>
      <c r="L447" s="34">
        <v>17</v>
      </c>
      <c r="M447" s="11">
        <f t="shared" si="71"/>
        <v>1.4166666666666667</v>
      </c>
      <c r="N447" s="11">
        <f t="shared" si="72"/>
        <v>844.33333333333337</v>
      </c>
      <c r="O447" s="11">
        <f t="shared" si="73"/>
        <v>0.47338200000000002</v>
      </c>
      <c r="P447" s="152"/>
      <c r="Q447" s="154"/>
    </row>
    <row r="448" spans="1:17" s="33" customFormat="1">
      <c r="A448" s="34">
        <v>9355</v>
      </c>
      <c r="B448" s="34" t="s">
        <v>15</v>
      </c>
      <c r="C448" s="35" t="s">
        <v>30</v>
      </c>
      <c r="D448" s="41">
        <v>12</v>
      </c>
      <c r="E448" s="39">
        <v>654</v>
      </c>
      <c r="F448" s="39">
        <v>42</v>
      </c>
      <c r="G448" s="39">
        <v>612</v>
      </c>
      <c r="H448" s="39">
        <v>1.2749999999999999</v>
      </c>
      <c r="I448" s="39">
        <v>0.56000000000000005</v>
      </c>
      <c r="J448" s="39">
        <v>0.51</v>
      </c>
      <c r="K448" s="40">
        <f t="shared" si="70"/>
        <v>0.36413999999999996</v>
      </c>
      <c r="L448" s="34">
        <v>6</v>
      </c>
      <c r="M448" s="11">
        <f t="shared" si="71"/>
        <v>0.5</v>
      </c>
      <c r="N448" s="11">
        <f t="shared" si="72"/>
        <v>327</v>
      </c>
      <c r="O448" s="11">
        <f t="shared" si="73"/>
        <v>0.18206999999999998</v>
      </c>
      <c r="P448" s="152"/>
      <c r="Q448" s="154"/>
    </row>
    <row r="449" spans="1:17" s="33" customFormat="1">
      <c r="A449" s="34">
        <v>9355</v>
      </c>
      <c r="B449" s="34" t="s">
        <v>15</v>
      </c>
      <c r="C449" s="35" t="s">
        <v>31</v>
      </c>
      <c r="D449" s="41">
        <v>6</v>
      </c>
      <c r="E449" s="39">
        <v>410</v>
      </c>
      <c r="F449" s="39">
        <v>50</v>
      </c>
      <c r="G449" s="39">
        <v>360</v>
      </c>
      <c r="H449" s="39">
        <v>1.48</v>
      </c>
      <c r="I449" s="39">
        <v>0.56000000000000005</v>
      </c>
      <c r="J449" s="39">
        <v>0.37</v>
      </c>
      <c r="K449" s="40">
        <f t="shared" si="70"/>
        <v>0.30665600000000004</v>
      </c>
      <c r="L449" s="34">
        <v>0</v>
      </c>
      <c r="M449" s="11">
        <f t="shared" si="71"/>
        <v>0</v>
      </c>
      <c r="N449" s="11">
        <f t="shared" si="72"/>
        <v>0</v>
      </c>
      <c r="O449" s="11">
        <f t="shared" si="73"/>
        <v>0</v>
      </c>
      <c r="P449" s="152"/>
      <c r="Q449" s="154"/>
    </row>
    <row r="450" spans="1:17" s="33" customFormat="1">
      <c r="A450" s="34">
        <v>9358</v>
      </c>
      <c r="B450" s="34" t="s">
        <v>14</v>
      </c>
      <c r="C450" s="35" t="s">
        <v>32</v>
      </c>
      <c r="D450" s="38">
        <v>1000</v>
      </c>
      <c r="E450" s="38">
        <f t="shared" ref="E450:E459" si="74">G450+F450</f>
        <v>395</v>
      </c>
      <c r="F450" s="38">
        <v>40</v>
      </c>
      <c r="G450" s="38">
        <v>355</v>
      </c>
      <c r="H450" s="38">
        <v>1.05</v>
      </c>
      <c r="I450" s="38">
        <v>0.9</v>
      </c>
      <c r="J450" s="38">
        <v>0.55000000000000004</v>
      </c>
      <c r="K450" s="11">
        <f t="shared" si="70"/>
        <v>0.51975000000000005</v>
      </c>
      <c r="L450" s="34">
        <v>54</v>
      </c>
      <c r="M450" s="11">
        <f t="shared" si="71"/>
        <v>5.3999999999999999E-2</v>
      </c>
      <c r="N450" s="11">
        <f t="shared" si="72"/>
        <v>21.33</v>
      </c>
      <c r="O450" s="11">
        <f t="shared" si="73"/>
        <v>2.8066500000000001E-2</v>
      </c>
      <c r="Q450" s="154"/>
    </row>
    <row r="451" spans="1:17" s="33" customFormat="1">
      <c r="A451" s="34">
        <v>9358</v>
      </c>
      <c r="B451" s="34" t="s">
        <v>14</v>
      </c>
      <c r="C451" s="35" t="s">
        <v>33</v>
      </c>
      <c r="D451" s="38">
        <v>450</v>
      </c>
      <c r="E451" s="38">
        <f t="shared" si="74"/>
        <v>360</v>
      </c>
      <c r="F451" s="38">
        <v>40</v>
      </c>
      <c r="G451" s="38">
        <v>320</v>
      </c>
      <c r="H451" s="34">
        <v>1.1000000000000001</v>
      </c>
      <c r="I451" s="38">
        <v>0.9</v>
      </c>
      <c r="J451" s="34">
        <v>0.75</v>
      </c>
      <c r="K451" s="36">
        <f t="shared" si="70"/>
        <v>0.74250000000000005</v>
      </c>
      <c r="L451" s="34">
        <v>54</v>
      </c>
      <c r="M451" s="11">
        <f t="shared" si="71"/>
        <v>0.12</v>
      </c>
      <c r="N451" s="11">
        <f t="shared" si="72"/>
        <v>43.199999999999996</v>
      </c>
      <c r="O451" s="11">
        <f t="shared" si="73"/>
        <v>8.9099999999999999E-2</v>
      </c>
      <c r="Q451" s="154"/>
    </row>
    <row r="452" spans="1:17" s="33" customFormat="1">
      <c r="A452" s="34">
        <v>9358</v>
      </c>
      <c r="B452" s="34" t="s">
        <v>14</v>
      </c>
      <c r="C452" s="35" t="s">
        <v>34</v>
      </c>
      <c r="D452" s="38">
        <v>1000</v>
      </c>
      <c r="E452" s="38">
        <f t="shared" si="74"/>
        <v>492</v>
      </c>
      <c r="F452" s="38">
        <v>40</v>
      </c>
      <c r="G452" s="38">
        <v>452</v>
      </c>
      <c r="H452" s="38">
        <v>1.1000000000000001</v>
      </c>
      <c r="I452" s="38">
        <v>1.05</v>
      </c>
      <c r="J452" s="38">
        <v>0.55000000000000004</v>
      </c>
      <c r="K452" s="11">
        <f t="shared" si="70"/>
        <v>0.6352500000000002</v>
      </c>
      <c r="L452" s="34">
        <v>17</v>
      </c>
      <c r="M452" s="11">
        <f t="shared" si="71"/>
        <v>1.7000000000000001E-2</v>
      </c>
      <c r="N452" s="11">
        <f t="shared" si="72"/>
        <v>8.3640000000000008</v>
      </c>
      <c r="O452" s="11">
        <f t="shared" si="73"/>
        <v>1.0799250000000005E-2</v>
      </c>
      <c r="Q452" s="154"/>
    </row>
    <row r="453" spans="1:17" s="33" customFormat="1">
      <c r="A453" s="34">
        <v>9358</v>
      </c>
      <c r="B453" s="34" t="s">
        <v>14</v>
      </c>
      <c r="C453" s="35" t="s">
        <v>35</v>
      </c>
      <c r="D453" s="38">
        <v>450</v>
      </c>
      <c r="E453" s="38">
        <f t="shared" si="74"/>
        <v>421.5</v>
      </c>
      <c r="F453" s="38">
        <v>40</v>
      </c>
      <c r="G453" s="38">
        <v>381.5</v>
      </c>
      <c r="H453" s="38">
        <v>1.05</v>
      </c>
      <c r="I453" s="38">
        <v>1.05</v>
      </c>
      <c r="J453" s="34">
        <v>0.75</v>
      </c>
      <c r="K453" s="36">
        <f t="shared" si="70"/>
        <v>0.82687500000000003</v>
      </c>
      <c r="L453" s="34">
        <v>17</v>
      </c>
      <c r="M453" s="11">
        <f t="shared" si="71"/>
        <v>3.7777777777777778E-2</v>
      </c>
      <c r="N453" s="11">
        <f t="shared" si="72"/>
        <v>15.923333333333334</v>
      </c>
      <c r="O453" s="11">
        <f t="shared" si="73"/>
        <v>3.1237500000000001E-2</v>
      </c>
      <c r="Q453" s="154"/>
    </row>
    <row r="454" spans="1:17" s="33" customFormat="1">
      <c r="A454" s="34">
        <v>9358</v>
      </c>
      <c r="B454" s="34" t="s">
        <v>14</v>
      </c>
      <c r="C454" s="35" t="s">
        <v>36</v>
      </c>
      <c r="D454" s="38">
        <v>1000</v>
      </c>
      <c r="E454" s="38">
        <f t="shared" si="74"/>
        <v>574</v>
      </c>
      <c r="F454" s="38">
        <v>40</v>
      </c>
      <c r="G454" s="38">
        <v>534</v>
      </c>
      <c r="H454" s="38">
        <v>1.1000000000000001</v>
      </c>
      <c r="I454" s="38">
        <v>1.2</v>
      </c>
      <c r="J454" s="38">
        <v>0.55000000000000004</v>
      </c>
      <c r="K454" s="11">
        <f t="shared" si="70"/>
        <v>0.72600000000000009</v>
      </c>
      <c r="L454" s="34">
        <v>17</v>
      </c>
      <c r="M454" s="11">
        <f t="shared" si="71"/>
        <v>1.7000000000000001E-2</v>
      </c>
      <c r="N454" s="11">
        <f t="shared" si="72"/>
        <v>9.7580000000000009</v>
      </c>
      <c r="O454" s="11">
        <f t="shared" si="73"/>
        <v>1.2342000000000002E-2</v>
      </c>
      <c r="Q454" s="154"/>
    </row>
    <row r="455" spans="1:17" s="33" customFormat="1">
      <c r="A455" s="34">
        <v>9358</v>
      </c>
      <c r="B455" s="34" t="s">
        <v>14</v>
      </c>
      <c r="C455" s="35" t="s">
        <v>37</v>
      </c>
      <c r="D455" s="38">
        <v>450</v>
      </c>
      <c r="E455" s="38">
        <f t="shared" si="74"/>
        <v>475</v>
      </c>
      <c r="F455" s="38">
        <v>40</v>
      </c>
      <c r="G455" s="38">
        <v>435</v>
      </c>
      <c r="H455" s="38">
        <v>1.05</v>
      </c>
      <c r="I455" s="38">
        <v>1.2</v>
      </c>
      <c r="J455" s="34">
        <v>0.75</v>
      </c>
      <c r="K455" s="11">
        <f t="shared" si="70"/>
        <v>0.94500000000000006</v>
      </c>
      <c r="L455" s="34">
        <v>17</v>
      </c>
      <c r="M455" s="11">
        <f t="shared" si="71"/>
        <v>3.7777777777777778E-2</v>
      </c>
      <c r="N455" s="11">
        <f t="shared" si="72"/>
        <v>17.944444444444443</v>
      </c>
      <c r="O455" s="11">
        <f t="shared" si="73"/>
        <v>3.5700000000000003E-2</v>
      </c>
      <c r="Q455" s="154"/>
    </row>
    <row r="456" spans="1:17" s="33" customFormat="1">
      <c r="A456" s="34">
        <v>9358</v>
      </c>
      <c r="B456" s="34" t="s">
        <v>14</v>
      </c>
      <c r="C456" s="35" t="s">
        <v>38</v>
      </c>
      <c r="D456" s="38">
        <v>1000</v>
      </c>
      <c r="E456" s="38">
        <f t="shared" si="74"/>
        <v>645</v>
      </c>
      <c r="F456" s="38">
        <v>40</v>
      </c>
      <c r="G456" s="38">
        <v>605</v>
      </c>
      <c r="H456" s="38">
        <v>1.1000000000000001</v>
      </c>
      <c r="I456" s="38">
        <v>1.3</v>
      </c>
      <c r="J456" s="38">
        <v>0.55000000000000004</v>
      </c>
      <c r="K456" s="11">
        <f t="shared" si="70"/>
        <v>0.7865000000000002</v>
      </c>
      <c r="L456" s="34">
        <v>6</v>
      </c>
      <c r="M456" s="11">
        <f t="shared" si="71"/>
        <v>6.0000000000000001E-3</v>
      </c>
      <c r="N456" s="11">
        <f t="shared" si="72"/>
        <v>3.87</v>
      </c>
      <c r="O456" s="11">
        <f t="shared" si="73"/>
        <v>4.719000000000001E-3</v>
      </c>
      <c r="Q456" s="154"/>
    </row>
    <row r="457" spans="1:17" s="33" customFormat="1">
      <c r="A457" s="34">
        <v>9358</v>
      </c>
      <c r="B457" s="34" t="s">
        <v>14</v>
      </c>
      <c r="C457" s="35" t="s">
        <v>39</v>
      </c>
      <c r="D457" s="38">
        <v>450</v>
      </c>
      <c r="E457" s="38">
        <f t="shared" si="74"/>
        <v>515</v>
      </c>
      <c r="F457" s="38">
        <v>40</v>
      </c>
      <c r="G457" s="38">
        <v>475</v>
      </c>
      <c r="H457" s="38">
        <v>1.05</v>
      </c>
      <c r="I457" s="38">
        <v>1.3</v>
      </c>
      <c r="J457" s="34">
        <v>0.75</v>
      </c>
      <c r="K457" s="11">
        <f t="shared" si="70"/>
        <v>1.0237500000000002</v>
      </c>
      <c r="L457" s="34">
        <v>6</v>
      </c>
      <c r="M457" s="11">
        <f t="shared" si="71"/>
        <v>1.3333333333333334E-2</v>
      </c>
      <c r="N457" s="11">
        <f t="shared" si="72"/>
        <v>6.8666666666666671</v>
      </c>
      <c r="O457" s="11">
        <f t="shared" si="73"/>
        <v>1.3650000000000002E-2</v>
      </c>
      <c r="Q457" s="154"/>
    </row>
    <row r="458" spans="1:17" s="33" customFormat="1">
      <c r="A458" s="34">
        <v>9358</v>
      </c>
      <c r="B458" s="34" t="s">
        <v>14</v>
      </c>
      <c r="C458" s="35" t="s">
        <v>40</v>
      </c>
      <c r="D458" s="38">
        <v>1000</v>
      </c>
      <c r="E458" s="38">
        <f t="shared" si="74"/>
        <v>645</v>
      </c>
      <c r="F458" s="38">
        <v>40</v>
      </c>
      <c r="G458" s="38">
        <v>605</v>
      </c>
      <c r="H458" s="38">
        <v>1.1000000000000001</v>
      </c>
      <c r="I458" s="38">
        <v>1.3</v>
      </c>
      <c r="J458" s="38">
        <v>0.55000000000000004</v>
      </c>
      <c r="K458" s="11">
        <f t="shared" si="70"/>
        <v>0.7865000000000002</v>
      </c>
      <c r="L458" s="34">
        <v>0</v>
      </c>
      <c r="M458" s="11">
        <f t="shared" si="71"/>
        <v>0</v>
      </c>
      <c r="N458" s="11">
        <f t="shared" si="72"/>
        <v>0</v>
      </c>
      <c r="O458" s="11">
        <f t="shared" si="73"/>
        <v>0</v>
      </c>
      <c r="Q458" s="154"/>
    </row>
    <row r="459" spans="1:17" s="33" customFormat="1">
      <c r="A459" s="34">
        <v>9358</v>
      </c>
      <c r="B459" s="34" t="s">
        <v>14</v>
      </c>
      <c r="C459" s="35" t="s">
        <v>41</v>
      </c>
      <c r="D459" s="38">
        <v>450</v>
      </c>
      <c r="E459" s="38">
        <f t="shared" si="74"/>
        <v>515</v>
      </c>
      <c r="F459" s="38">
        <v>40</v>
      </c>
      <c r="G459" s="38">
        <v>475</v>
      </c>
      <c r="H459" s="38">
        <v>1.05</v>
      </c>
      <c r="I459" s="38">
        <v>1.3</v>
      </c>
      <c r="J459" s="34">
        <v>0.75</v>
      </c>
      <c r="K459" s="11">
        <f t="shared" si="70"/>
        <v>1.0237500000000002</v>
      </c>
      <c r="L459" s="34">
        <v>0</v>
      </c>
      <c r="M459" s="11">
        <f t="shared" si="71"/>
        <v>0</v>
      </c>
      <c r="N459" s="11">
        <f t="shared" si="72"/>
        <v>0</v>
      </c>
      <c r="O459" s="11">
        <f t="shared" si="73"/>
        <v>0</v>
      </c>
      <c r="Q459" s="154"/>
    </row>
    <row r="460" spans="1:17" s="33" customFormat="1">
      <c r="A460" s="34">
        <v>9358</v>
      </c>
      <c r="B460" s="34" t="s">
        <v>14</v>
      </c>
      <c r="C460" s="35" t="s">
        <v>22</v>
      </c>
      <c r="D460" s="37">
        <v>3000</v>
      </c>
      <c r="E460" s="38">
        <v>235</v>
      </c>
      <c r="F460" s="34">
        <v>35</v>
      </c>
      <c r="G460" s="38">
        <v>200</v>
      </c>
      <c r="H460" s="34">
        <v>1.1000000000000001</v>
      </c>
      <c r="I460" s="34">
        <v>1.1000000000000001</v>
      </c>
      <c r="J460" s="34">
        <v>1.02</v>
      </c>
      <c r="K460" s="36">
        <f t="shared" si="70"/>
        <v>1.2342000000000002</v>
      </c>
      <c r="L460" s="34">
        <v>376</v>
      </c>
      <c r="M460" s="11">
        <f t="shared" si="71"/>
        <v>0.12533333333333332</v>
      </c>
      <c r="N460" s="11">
        <f t="shared" si="72"/>
        <v>29.45333333333333</v>
      </c>
      <c r="O460" s="11">
        <f t="shared" si="73"/>
        <v>0.1546864</v>
      </c>
      <c r="Q460" s="154"/>
    </row>
    <row r="461" spans="1:17" s="33" customFormat="1">
      <c r="A461" s="34">
        <v>9358</v>
      </c>
      <c r="B461" s="34" t="s">
        <v>14</v>
      </c>
      <c r="C461" s="35" t="s">
        <v>23</v>
      </c>
      <c r="D461" s="9">
        <v>1000</v>
      </c>
      <c r="E461" s="10">
        <v>646</v>
      </c>
      <c r="F461" s="10">
        <f>E461-G461</f>
        <v>40</v>
      </c>
      <c r="G461" s="10">
        <v>606</v>
      </c>
      <c r="H461" s="10">
        <v>1.1000000000000001</v>
      </c>
      <c r="I461" s="10">
        <v>0.8</v>
      </c>
      <c r="J461" s="10">
        <v>0.55000000000000004</v>
      </c>
      <c r="K461" s="11">
        <f t="shared" si="70"/>
        <v>0.4840000000000001</v>
      </c>
      <c r="L461" s="34">
        <v>376</v>
      </c>
      <c r="M461" s="11">
        <f t="shared" si="71"/>
        <v>0.376</v>
      </c>
      <c r="N461" s="11">
        <f t="shared" si="72"/>
        <v>242.89599999999999</v>
      </c>
      <c r="O461" s="11">
        <f t="shared" si="73"/>
        <v>0.18198400000000003</v>
      </c>
      <c r="Q461" s="154"/>
    </row>
    <row r="462" spans="1:17" s="33" customFormat="1">
      <c r="A462" s="34">
        <v>9358</v>
      </c>
      <c r="B462" s="34" t="s">
        <v>14</v>
      </c>
      <c r="C462" s="35" t="s">
        <v>46</v>
      </c>
      <c r="D462" s="37">
        <v>4000</v>
      </c>
      <c r="E462" s="38">
        <v>424</v>
      </c>
      <c r="F462" s="34">
        <f>E462-G462</f>
        <v>52</v>
      </c>
      <c r="G462" s="38">
        <v>372</v>
      </c>
      <c r="H462" s="34">
        <v>1.1000000000000001</v>
      </c>
      <c r="I462" s="34">
        <v>0.8</v>
      </c>
      <c r="J462" s="34">
        <v>0.55000000000000004</v>
      </c>
      <c r="K462" s="36">
        <f t="shared" si="70"/>
        <v>0.4840000000000001</v>
      </c>
      <c r="L462" s="34">
        <v>376</v>
      </c>
      <c r="M462" s="11">
        <f t="shared" si="71"/>
        <v>9.4E-2</v>
      </c>
      <c r="N462" s="11">
        <f t="shared" si="72"/>
        <v>39.856000000000002</v>
      </c>
      <c r="O462" s="11">
        <f t="shared" si="73"/>
        <v>4.5496000000000009E-2</v>
      </c>
      <c r="Q462" s="154"/>
    </row>
    <row r="463" spans="1:17" s="33" customFormat="1">
      <c r="A463" s="34">
        <v>9358</v>
      </c>
      <c r="B463" s="34" t="s">
        <v>14</v>
      </c>
      <c r="C463" s="35" t="s">
        <v>42</v>
      </c>
      <c r="D463" s="42">
        <v>1200</v>
      </c>
      <c r="E463" s="139">
        <v>666.4</v>
      </c>
      <c r="F463" s="139">
        <v>40</v>
      </c>
      <c r="G463" s="43">
        <v>588</v>
      </c>
      <c r="H463" s="141">
        <v>1</v>
      </c>
      <c r="I463" s="141">
        <v>0.75</v>
      </c>
      <c r="J463" s="141">
        <v>0.7</v>
      </c>
      <c r="K463" s="143">
        <v>0.5</v>
      </c>
      <c r="L463" s="34">
        <v>376</v>
      </c>
      <c r="M463" s="137">
        <f t="shared" si="71"/>
        <v>0.31333333333333335</v>
      </c>
      <c r="N463" s="137">
        <f t="shared" si="72"/>
        <v>208.80533333333335</v>
      </c>
      <c r="O463" s="158">
        <f t="shared" si="73"/>
        <v>0.15666666666666668</v>
      </c>
      <c r="Q463" s="154"/>
    </row>
    <row r="464" spans="1:17" s="33" customFormat="1">
      <c r="A464" s="34">
        <v>9358</v>
      </c>
      <c r="B464" s="34" t="s">
        <v>14</v>
      </c>
      <c r="C464" s="35" t="s">
        <v>43</v>
      </c>
      <c r="D464" s="42">
        <v>1200</v>
      </c>
      <c r="E464" s="140"/>
      <c r="F464" s="140"/>
      <c r="G464" s="43">
        <v>38.4</v>
      </c>
      <c r="H464" s="142"/>
      <c r="I464" s="142"/>
      <c r="J464" s="142"/>
      <c r="K464" s="144"/>
      <c r="L464" s="34">
        <v>376</v>
      </c>
      <c r="M464" s="138"/>
      <c r="N464" s="138"/>
      <c r="O464" s="159"/>
      <c r="Q464" s="154"/>
    </row>
    <row r="465" spans="1:17" s="33" customFormat="1" ht="15" thickBot="1">
      <c r="A465" s="34">
        <v>9358</v>
      </c>
      <c r="B465" s="34" t="s">
        <v>14</v>
      </c>
      <c r="C465" s="35" t="s">
        <v>60</v>
      </c>
      <c r="D465" s="42"/>
      <c r="E465" s="77"/>
      <c r="F465" s="77"/>
      <c r="G465" s="43"/>
      <c r="H465" s="78"/>
      <c r="I465" s="78"/>
      <c r="J465" s="78"/>
      <c r="K465" s="71"/>
      <c r="L465" s="34">
        <v>376</v>
      </c>
      <c r="M465" s="72"/>
      <c r="N465" s="72"/>
      <c r="O465" s="73"/>
      <c r="Q465" s="155"/>
    </row>
    <row r="466" spans="1:17">
      <c r="A466" s="5">
        <v>9355</v>
      </c>
      <c r="B466" s="5" t="s">
        <v>15</v>
      </c>
      <c r="C466" s="5" t="s">
        <v>16</v>
      </c>
      <c r="D466" s="5">
        <v>30</v>
      </c>
      <c r="E466" s="5">
        <v>669</v>
      </c>
      <c r="F466" s="5">
        <f>E466-G466</f>
        <v>53</v>
      </c>
      <c r="G466" s="5">
        <v>616</v>
      </c>
      <c r="H466" s="5">
        <v>1</v>
      </c>
      <c r="I466" s="5">
        <v>0.9</v>
      </c>
      <c r="J466" s="5">
        <v>0.73</v>
      </c>
      <c r="K466" s="5">
        <f t="shared" ref="K466:K494" si="75">H466*I466*J466</f>
        <v>0.65700000000000003</v>
      </c>
      <c r="L466" s="5"/>
      <c r="M466" s="4">
        <f t="shared" ref="M466:M495" si="76">L466/D466</f>
        <v>0</v>
      </c>
      <c r="N466" s="4">
        <f t="shared" ref="N466:N495" si="77">E466*M466</f>
        <v>0</v>
      </c>
      <c r="O466" s="4">
        <f>M466*K466</f>
        <v>0</v>
      </c>
      <c r="P466" s="145">
        <f>SUM(L466:L469)</f>
        <v>24</v>
      </c>
      <c r="Q466" s="146" t="s">
        <v>56</v>
      </c>
    </row>
    <row r="467" spans="1:17">
      <c r="A467" s="5">
        <v>9355</v>
      </c>
      <c r="B467" s="5" t="s">
        <v>15</v>
      </c>
      <c r="C467" s="5" t="s">
        <v>17</v>
      </c>
      <c r="D467" s="5">
        <v>30</v>
      </c>
      <c r="E467" s="5">
        <v>669</v>
      </c>
      <c r="F467" s="5">
        <f>E467-G467</f>
        <v>53</v>
      </c>
      <c r="G467" s="5">
        <v>616</v>
      </c>
      <c r="H467" s="5">
        <v>1</v>
      </c>
      <c r="I467" s="5">
        <v>0.9</v>
      </c>
      <c r="J467" s="5">
        <v>0.73</v>
      </c>
      <c r="K467" s="5">
        <f t="shared" si="75"/>
        <v>0.65700000000000003</v>
      </c>
      <c r="L467" s="5">
        <v>8</v>
      </c>
      <c r="M467" s="4">
        <f t="shared" si="76"/>
        <v>0.26666666666666666</v>
      </c>
      <c r="N467" s="4">
        <f t="shared" si="77"/>
        <v>178.4</v>
      </c>
      <c r="O467" s="4">
        <f t="shared" ref="O467:O495" si="78">M467*K467</f>
        <v>0.17519999999999999</v>
      </c>
      <c r="P467" s="145"/>
      <c r="Q467" s="147"/>
    </row>
    <row r="468" spans="1:17">
      <c r="A468" s="5">
        <v>9355</v>
      </c>
      <c r="B468" s="5" t="s">
        <v>15</v>
      </c>
      <c r="C468" s="5" t="s">
        <v>18</v>
      </c>
      <c r="D468" s="5">
        <v>30</v>
      </c>
      <c r="E468" s="5">
        <v>669</v>
      </c>
      <c r="F468" s="5">
        <f>E468-G468</f>
        <v>53</v>
      </c>
      <c r="G468" s="5">
        <v>616</v>
      </c>
      <c r="H468" s="5">
        <v>1</v>
      </c>
      <c r="I468" s="5">
        <v>0.9</v>
      </c>
      <c r="J468" s="5">
        <v>0.73</v>
      </c>
      <c r="K468" s="5">
        <f t="shared" si="75"/>
        <v>0.65700000000000003</v>
      </c>
      <c r="L468" s="5">
        <v>8</v>
      </c>
      <c r="M468" s="4">
        <f t="shared" si="76"/>
        <v>0.26666666666666666</v>
      </c>
      <c r="N468" s="4">
        <f t="shared" si="77"/>
        <v>178.4</v>
      </c>
      <c r="O468" s="4">
        <f t="shared" si="78"/>
        <v>0.17519999999999999</v>
      </c>
      <c r="P468" s="145"/>
      <c r="Q468" s="147"/>
    </row>
    <row r="469" spans="1:17">
      <c r="A469" s="5">
        <v>9355</v>
      </c>
      <c r="B469" s="5" t="s">
        <v>15</v>
      </c>
      <c r="C469" s="5" t="s">
        <v>19</v>
      </c>
      <c r="D469" s="5">
        <v>30</v>
      </c>
      <c r="E469" s="5">
        <v>669</v>
      </c>
      <c r="F469" s="5">
        <f>E469-G469</f>
        <v>53</v>
      </c>
      <c r="G469" s="5">
        <v>616</v>
      </c>
      <c r="H469" s="5">
        <v>1</v>
      </c>
      <c r="I469" s="5">
        <v>0.9</v>
      </c>
      <c r="J469" s="5">
        <v>0.73</v>
      </c>
      <c r="K469" s="5">
        <f t="shared" si="75"/>
        <v>0.65700000000000003</v>
      </c>
      <c r="L469" s="5">
        <v>8</v>
      </c>
      <c r="M469" s="4">
        <f t="shared" si="76"/>
        <v>0.26666666666666666</v>
      </c>
      <c r="N469" s="4">
        <f t="shared" si="77"/>
        <v>178.4</v>
      </c>
      <c r="O469" s="4">
        <f t="shared" si="78"/>
        <v>0.17519999999999999</v>
      </c>
      <c r="P469" s="145"/>
      <c r="Q469" s="147"/>
    </row>
    <row r="470" spans="1:17">
      <c r="A470" s="5">
        <v>9358</v>
      </c>
      <c r="B470" s="5" t="s">
        <v>14</v>
      </c>
      <c r="C470" s="8" t="s">
        <v>20</v>
      </c>
      <c r="D470" s="5">
        <v>5000</v>
      </c>
      <c r="E470" s="5">
        <v>490</v>
      </c>
      <c r="F470" s="5">
        <v>40</v>
      </c>
      <c r="G470" s="5">
        <v>450</v>
      </c>
      <c r="H470" s="5">
        <v>1</v>
      </c>
      <c r="I470" s="5">
        <v>0.98</v>
      </c>
      <c r="J470" s="5">
        <v>0.83</v>
      </c>
      <c r="K470" s="7">
        <f t="shared" si="75"/>
        <v>0.8133999999999999</v>
      </c>
      <c r="L470" s="5"/>
      <c r="M470" s="4">
        <f t="shared" si="76"/>
        <v>0</v>
      </c>
      <c r="N470" s="4">
        <f t="shared" si="77"/>
        <v>0</v>
      </c>
      <c r="O470" s="4">
        <f t="shared" si="78"/>
        <v>0</v>
      </c>
      <c r="Q470" s="147"/>
    </row>
    <row r="471" spans="1:17">
      <c r="A471" s="5">
        <v>9358</v>
      </c>
      <c r="B471" s="5" t="s">
        <v>14</v>
      </c>
      <c r="C471" s="8" t="s">
        <v>21</v>
      </c>
      <c r="D471" s="5">
        <v>360</v>
      </c>
      <c r="E471" s="5">
        <v>390</v>
      </c>
      <c r="F471" s="5">
        <v>40</v>
      </c>
      <c r="G471" s="5">
        <v>350</v>
      </c>
      <c r="H471" s="5">
        <v>1.05</v>
      </c>
      <c r="I471" s="5">
        <v>0.95</v>
      </c>
      <c r="J471" s="5">
        <v>0.55000000000000004</v>
      </c>
      <c r="K471" s="7">
        <f t="shared" si="75"/>
        <v>0.54862500000000003</v>
      </c>
      <c r="L471" s="5"/>
      <c r="M471" s="4">
        <f t="shared" si="76"/>
        <v>0</v>
      </c>
      <c r="N471" s="4">
        <f t="shared" si="77"/>
        <v>0</v>
      </c>
      <c r="O471" s="4">
        <f t="shared" si="78"/>
        <v>0</v>
      </c>
      <c r="Q471" s="147"/>
    </row>
    <row r="472" spans="1:17">
      <c r="A472" s="5">
        <v>9358</v>
      </c>
      <c r="B472" s="5" t="s">
        <v>14</v>
      </c>
      <c r="C472" s="8" t="s">
        <v>22</v>
      </c>
      <c r="D472" s="3">
        <v>3000</v>
      </c>
      <c r="E472" s="6">
        <v>235</v>
      </c>
      <c r="F472" s="5">
        <v>35</v>
      </c>
      <c r="G472" s="6">
        <v>200</v>
      </c>
      <c r="H472" s="5">
        <v>1.1000000000000001</v>
      </c>
      <c r="I472" s="5">
        <v>1.1000000000000001</v>
      </c>
      <c r="J472" s="5">
        <v>1.02</v>
      </c>
      <c r="K472" s="7">
        <f t="shared" si="75"/>
        <v>1.2342000000000002</v>
      </c>
      <c r="L472" s="5"/>
      <c r="M472" s="4">
        <f t="shared" si="76"/>
        <v>0</v>
      </c>
      <c r="N472" s="4">
        <f t="shared" si="77"/>
        <v>0</v>
      </c>
      <c r="O472" s="4">
        <f t="shared" si="78"/>
        <v>0</v>
      </c>
      <c r="Q472" s="147"/>
    </row>
    <row r="473" spans="1:17">
      <c r="A473" s="5">
        <v>9358</v>
      </c>
      <c r="B473" s="5" t="s">
        <v>14</v>
      </c>
      <c r="C473" s="8" t="s">
        <v>23</v>
      </c>
      <c r="D473" s="44">
        <v>1000</v>
      </c>
      <c r="E473" s="45">
        <v>646</v>
      </c>
      <c r="F473" s="45">
        <f>E473-G473</f>
        <v>40</v>
      </c>
      <c r="G473" s="45">
        <v>606</v>
      </c>
      <c r="H473" s="45">
        <v>1.1000000000000001</v>
      </c>
      <c r="I473" s="45">
        <v>0.8</v>
      </c>
      <c r="J473" s="45">
        <v>0.55000000000000004</v>
      </c>
      <c r="K473" s="4">
        <f t="shared" si="75"/>
        <v>0.4840000000000001</v>
      </c>
      <c r="L473" s="5"/>
      <c r="M473" s="4">
        <f t="shared" si="76"/>
        <v>0</v>
      </c>
      <c r="N473" s="4">
        <f t="shared" si="77"/>
        <v>0</v>
      </c>
      <c r="O473" s="4">
        <f t="shared" si="78"/>
        <v>0</v>
      </c>
      <c r="Q473" s="147"/>
    </row>
    <row r="474" spans="1:17">
      <c r="A474" s="5">
        <v>9356</v>
      </c>
      <c r="B474" s="5" t="s">
        <v>47</v>
      </c>
      <c r="C474" s="8" t="s">
        <v>24</v>
      </c>
      <c r="D474" s="3">
        <v>4000</v>
      </c>
      <c r="E474" s="6">
        <v>424</v>
      </c>
      <c r="F474" s="5">
        <f>E474-G474</f>
        <v>52</v>
      </c>
      <c r="G474" s="6">
        <v>372</v>
      </c>
      <c r="H474" s="5">
        <v>1.1000000000000001</v>
      </c>
      <c r="I474" s="5">
        <v>0.8</v>
      </c>
      <c r="J474" s="5">
        <v>0.55000000000000004</v>
      </c>
      <c r="K474" s="7">
        <f t="shared" si="75"/>
        <v>0.4840000000000001</v>
      </c>
      <c r="L474" s="5"/>
      <c r="M474" s="4">
        <f t="shared" si="76"/>
        <v>0</v>
      </c>
      <c r="N474" s="4">
        <f t="shared" si="77"/>
        <v>0</v>
      </c>
      <c r="O474" s="4">
        <f t="shared" si="78"/>
        <v>0</v>
      </c>
      <c r="Q474" s="147"/>
    </row>
    <row r="475" spans="1:17">
      <c r="A475" s="5">
        <v>9358</v>
      </c>
      <c r="B475" s="5" t="s">
        <v>14</v>
      </c>
      <c r="C475" s="8" t="s">
        <v>25</v>
      </c>
      <c r="D475" s="5">
        <v>1000</v>
      </c>
      <c r="E475" s="5">
        <v>830</v>
      </c>
      <c r="F475" s="5">
        <v>40</v>
      </c>
      <c r="G475" s="5">
        <v>790</v>
      </c>
      <c r="H475" s="5">
        <v>1.04</v>
      </c>
      <c r="I475" s="5">
        <v>0.84</v>
      </c>
      <c r="J475" s="5">
        <v>0.64</v>
      </c>
      <c r="K475" s="7">
        <f t="shared" si="75"/>
        <v>0.55910400000000005</v>
      </c>
      <c r="L475" s="5"/>
      <c r="M475" s="4">
        <f t="shared" si="76"/>
        <v>0</v>
      </c>
      <c r="N475" s="4">
        <f t="shared" si="77"/>
        <v>0</v>
      </c>
      <c r="O475" s="4">
        <f t="shared" si="78"/>
        <v>0</v>
      </c>
      <c r="Q475" s="147"/>
    </row>
    <row r="476" spans="1:17">
      <c r="A476" s="5">
        <v>9358</v>
      </c>
      <c r="B476" s="5" t="s">
        <v>14</v>
      </c>
      <c r="C476" s="8" t="s">
        <v>26</v>
      </c>
      <c r="D476" s="5">
        <v>4000</v>
      </c>
      <c r="E476" s="5">
        <v>223</v>
      </c>
      <c r="F476" s="5">
        <v>30</v>
      </c>
      <c r="G476" s="5">
        <v>188</v>
      </c>
      <c r="H476" s="5">
        <v>0.86</v>
      </c>
      <c r="I476" s="5">
        <v>0.78</v>
      </c>
      <c r="J476" s="5">
        <v>0.74</v>
      </c>
      <c r="K476" s="7">
        <f t="shared" si="75"/>
        <v>0.49639200000000006</v>
      </c>
      <c r="L476" s="5"/>
      <c r="M476" s="4">
        <f t="shared" si="76"/>
        <v>0</v>
      </c>
      <c r="N476" s="4">
        <f t="shared" si="77"/>
        <v>0</v>
      </c>
      <c r="O476" s="4">
        <f t="shared" si="78"/>
        <v>0</v>
      </c>
      <c r="Q476" s="147"/>
    </row>
    <row r="477" spans="1:17">
      <c r="A477" s="5">
        <v>9355</v>
      </c>
      <c r="B477" s="5" t="s">
        <v>15</v>
      </c>
      <c r="C477" s="8" t="s">
        <v>27</v>
      </c>
      <c r="D477" s="12">
        <v>12</v>
      </c>
      <c r="E477" s="12">
        <v>435</v>
      </c>
      <c r="F477" s="12">
        <v>39</v>
      </c>
      <c r="G477" s="12">
        <v>396</v>
      </c>
      <c r="H477" s="12">
        <v>0.86</v>
      </c>
      <c r="I477" s="12">
        <v>0.56000000000000005</v>
      </c>
      <c r="J477" s="12">
        <v>0.51</v>
      </c>
      <c r="K477" s="13">
        <f t="shared" si="75"/>
        <v>0.24561600000000003</v>
      </c>
      <c r="L477" s="5"/>
      <c r="M477" s="4">
        <f t="shared" si="76"/>
        <v>0</v>
      </c>
      <c r="N477" s="4">
        <f t="shared" si="77"/>
        <v>0</v>
      </c>
      <c r="O477" s="4">
        <f t="shared" si="78"/>
        <v>0</v>
      </c>
      <c r="P477" s="145">
        <f>SUM(L477:L481)</f>
        <v>0</v>
      </c>
      <c r="Q477" s="147"/>
    </row>
    <row r="478" spans="1:17">
      <c r="A478" s="5">
        <v>9355</v>
      </c>
      <c r="B478" s="5" t="s">
        <v>15</v>
      </c>
      <c r="C478" s="8" t="s">
        <v>28</v>
      </c>
      <c r="D478" s="12">
        <v>12</v>
      </c>
      <c r="E478" s="12">
        <v>520</v>
      </c>
      <c r="F478" s="12">
        <v>40</v>
      </c>
      <c r="G478" s="12">
        <v>480</v>
      </c>
      <c r="H478" s="12">
        <v>1.03</v>
      </c>
      <c r="I478" s="12">
        <v>0.56000000000000005</v>
      </c>
      <c r="J478" s="12">
        <v>0.51</v>
      </c>
      <c r="K478" s="13">
        <f t="shared" si="75"/>
        <v>0.29416800000000004</v>
      </c>
      <c r="L478" s="5"/>
      <c r="M478" s="4">
        <f t="shared" si="76"/>
        <v>0</v>
      </c>
      <c r="N478" s="4">
        <f t="shared" si="77"/>
        <v>0</v>
      </c>
      <c r="O478" s="4">
        <f t="shared" si="78"/>
        <v>0</v>
      </c>
      <c r="P478" s="145"/>
      <c r="Q478" s="147"/>
    </row>
    <row r="479" spans="1:17">
      <c r="A479" s="5">
        <v>9355</v>
      </c>
      <c r="B479" s="5" t="s">
        <v>15</v>
      </c>
      <c r="C479" s="8" t="s">
        <v>29</v>
      </c>
      <c r="D479" s="12">
        <v>12</v>
      </c>
      <c r="E479" s="12">
        <v>596</v>
      </c>
      <c r="F479" s="12">
        <v>44</v>
      </c>
      <c r="G479" s="12">
        <v>552</v>
      </c>
      <c r="H479" s="12">
        <v>1.17</v>
      </c>
      <c r="I479" s="12">
        <v>0.56000000000000005</v>
      </c>
      <c r="J479" s="12">
        <v>0.51</v>
      </c>
      <c r="K479" s="13">
        <f t="shared" si="75"/>
        <v>0.334152</v>
      </c>
      <c r="L479" s="5"/>
      <c r="M479" s="4">
        <f t="shared" si="76"/>
        <v>0</v>
      </c>
      <c r="N479" s="4">
        <f t="shared" si="77"/>
        <v>0</v>
      </c>
      <c r="O479" s="4">
        <f t="shared" si="78"/>
        <v>0</v>
      </c>
      <c r="P479" s="145"/>
      <c r="Q479" s="147"/>
    </row>
    <row r="480" spans="1:17">
      <c r="A480" s="5">
        <v>9355</v>
      </c>
      <c r="B480" s="5" t="s">
        <v>15</v>
      </c>
      <c r="C480" s="8" t="s">
        <v>30</v>
      </c>
      <c r="D480" s="14">
        <v>12</v>
      </c>
      <c r="E480" s="12">
        <v>654</v>
      </c>
      <c r="F480" s="12">
        <v>42</v>
      </c>
      <c r="G480" s="12">
        <v>612</v>
      </c>
      <c r="H480" s="12">
        <v>1.2749999999999999</v>
      </c>
      <c r="I480" s="12">
        <v>0.56000000000000005</v>
      </c>
      <c r="J480" s="12">
        <v>0.51</v>
      </c>
      <c r="K480" s="13">
        <f t="shared" si="75"/>
        <v>0.36413999999999996</v>
      </c>
      <c r="L480" s="5"/>
      <c r="M480" s="4">
        <f t="shared" si="76"/>
        <v>0</v>
      </c>
      <c r="N480" s="4">
        <f t="shared" si="77"/>
        <v>0</v>
      </c>
      <c r="O480" s="4">
        <f t="shared" si="78"/>
        <v>0</v>
      </c>
      <c r="P480" s="145"/>
      <c r="Q480" s="147"/>
    </row>
    <row r="481" spans="1:17">
      <c r="A481" s="5">
        <v>9355</v>
      </c>
      <c r="B481" s="5" t="s">
        <v>15</v>
      </c>
      <c r="C481" s="8" t="s">
        <v>31</v>
      </c>
      <c r="D481" s="14">
        <v>6</v>
      </c>
      <c r="E481" s="12">
        <v>410</v>
      </c>
      <c r="F481" s="12">
        <v>50</v>
      </c>
      <c r="G481" s="12">
        <v>360</v>
      </c>
      <c r="H481" s="12">
        <v>1.48</v>
      </c>
      <c r="I481" s="12">
        <v>0.56000000000000005</v>
      </c>
      <c r="J481" s="12">
        <v>0.37</v>
      </c>
      <c r="K481" s="13">
        <f t="shared" si="75"/>
        <v>0.30665600000000004</v>
      </c>
      <c r="L481" s="5"/>
      <c r="M481" s="4">
        <f t="shared" si="76"/>
        <v>0</v>
      </c>
      <c r="N481" s="4">
        <f t="shared" si="77"/>
        <v>0</v>
      </c>
      <c r="O481" s="4">
        <f t="shared" si="78"/>
        <v>0</v>
      </c>
      <c r="P481" s="145"/>
      <c r="Q481" s="147"/>
    </row>
    <row r="482" spans="1:17">
      <c r="A482" s="5">
        <v>9358</v>
      </c>
      <c r="B482" s="5" t="s">
        <v>14</v>
      </c>
      <c r="C482" s="8" t="s">
        <v>32</v>
      </c>
      <c r="D482" s="6">
        <v>1000</v>
      </c>
      <c r="E482" s="6">
        <f t="shared" ref="E482:E491" si="79">G482+F482</f>
        <v>395</v>
      </c>
      <c r="F482" s="6">
        <v>40</v>
      </c>
      <c r="G482" s="6">
        <v>355</v>
      </c>
      <c r="H482" s="6">
        <v>1.05</v>
      </c>
      <c r="I482" s="6">
        <v>0.9</v>
      </c>
      <c r="J482" s="6">
        <v>0.55000000000000004</v>
      </c>
      <c r="K482" s="4">
        <f t="shared" si="75"/>
        <v>0.51975000000000005</v>
      </c>
      <c r="L482" s="5"/>
      <c r="M482" s="4">
        <f t="shared" si="76"/>
        <v>0</v>
      </c>
      <c r="N482" s="4">
        <f t="shared" si="77"/>
        <v>0</v>
      </c>
      <c r="O482" s="4">
        <f t="shared" si="78"/>
        <v>0</v>
      </c>
      <c r="Q482" s="147"/>
    </row>
    <row r="483" spans="1:17">
      <c r="A483" s="5">
        <v>9358</v>
      </c>
      <c r="B483" s="5" t="s">
        <v>14</v>
      </c>
      <c r="C483" s="8" t="s">
        <v>33</v>
      </c>
      <c r="D483" s="6">
        <v>450</v>
      </c>
      <c r="E483" s="6">
        <f t="shared" si="79"/>
        <v>360</v>
      </c>
      <c r="F483" s="6">
        <v>40</v>
      </c>
      <c r="G483" s="6">
        <v>320</v>
      </c>
      <c r="H483" s="5">
        <v>1.1000000000000001</v>
      </c>
      <c r="I483" s="6">
        <v>0.9</v>
      </c>
      <c r="J483" s="5">
        <v>0.75</v>
      </c>
      <c r="K483" s="7">
        <f t="shared" si="75"/>
        <v>0.74250000000000005</v>
      </c>
      <c r="L483" s="5"/>
      <c r="M483" s="4">
        <f t="shared" si="76"/>
        <v>0</v>
      </c>
      <c r="N483" s="4">
        <f t="shared" si="77"/>
        <v>0</v>
      </c>
      <c r="O483" s="4">
        <f t="shared" si="78"/>
        <v>0</v>
      </c>
      <c r="Q483" s="147"/>
    </row>
    <row r="484" spans="1:17">
      <c r="A484" s="5">
        <v>9358</v>
      </c>
      <c r="B484" s="5" t="s">
        <v>14</v>
      </c>
      <c r="C484" s="8" t="s">
        <v>34</v>
      </c>
      <c r="D484" s="6">
        <v>1000</v>
      </c>
      <c r="E484" s="6">
        <f t="shared" si="79"/>
        <v>492</v>
      </c>
      <c r="F484" s="6">
        <v>40</v>
      </c>
      <c r="G484" s="6">
        <v>452</v>
      </c>
      <c r="H484" s="6">
        <v>1.1000000000000001</v>
      </c>
      <c r="I484" s="6">
        <v>1.05</v>
      </c>
      <c r="J484" s="6">
        <v>0.55000000000000004</v>
      </c>
      <c r="K484" s="4">
        <f t="shared" si="75"/>
        <v>0.6352500000000002</v>
      </c>
      <c r="L484" s="5"/>
      <c r="M484" s="4">
        <f t="shared" si="76"/>
        <v>0</v>
      </c>
      <c r="N484" s="4">
        <f t="shared" si="77"/>
        <v>0</v>
      </c>
      <c r="O484" s="4">
        <f t="shared" si="78"/>
        <v>0</v>
      </c>
      <c r="Q484" s="147"/>
    </row>
    <row r="485" spans="1:17">
      <c r="A485" s="5">
        <v>9358</v>
      </c>
      <c r="B485" s="5" t="s">
        <v>14</v>
      </c>
      <c r="C485" s="8" t="s">
        <v>35</v>
      </c>
      <c r="D485" s="6">
        <v>450</v>
      </c>
      <c r="E485" s="6">
        <f t="shared" si="79"/>
        <v>421.5</v>
      </c>
      <c r="F485" s="6">
        <v>40</v>
      </c>
      <c r="G485" s="6">
        <v>381.5</v>
      </c>
      <c r="H485" s="6">
        <v>1.05</v>
      </c>
      <c r="I485" s="6">
        <v>1.05</v>
      </c>
      <c r="J485" s="5">
        <v>0.75</v>
      </c>
      <c r="K485" s="7">
        <f t="shared" si="75"/>
        <v>0.82687500000000003</v>
      </c>
      <c r="L485" s="5"/>
      <c r="M485" s="4">
        <f t="shared" si="76"/>
        <v>0</v>
      </c>
      <c r="N485" s="4">
        <f t="shared" si="77"/>
        <v>0</v>
      </c>
      <c r="O485" s="4">
        <f t="shared" si="78"/>
        <v>0</v>
      </c>
      <c r="Q485" s="147"/>
    </row>
    <row r="486" spans="1:17">
      <c r="A486" s="5">
        <v>9358</v>
      </c>
      <c r="B486" s="5" t="s">
        <v>14</v>
      </c>
      <c r="C486" s="8" t="s">
        <v>36</v>
      </c>
      <c r="D486" s="6">
        <v>1000</v>
      </c>
      <c r="E486" s="6">
        <f t="shared" si="79"/>
        <v>574</v>
      </c>
      <c r="F486" s="6">
        <v>40</v>
      </c>
      <c r="G486" s="6">
        <v>534</v>
      </c>
      <c r="H486" s="6">
        <v>1.1000000000000001</v>
      </c>
      <c r="I486" s="6">
        <v>1.2</v>
      </c>
      <c r="J486" s="6">
        <v>0.55000000000000004</v>
      </c>
      <c r="K486" s="4">
        <f t="shared" si="75"/>
        <v>0.72600000000000009</v>
      </c>
      <c r="L486" s="5"/>
      <c r="M486" s="4">
        <f t="shared" si="76"/>
        <v>0</v>
      </c>
      <c r="N486" s="4">
        <f t="shared" si="77"/>
        <v>0</v>
      </c>
      <c r="O486" s="4">
        <f t="shared" si="78"/>
        <v>0</v>
      </c>
      <c r="Q486" s="147"/>
    </row>
    <row r="487" spans="1:17">
      <c r="A487" s="5">
        <v>9358</v>
      </c>
      <c r="B487" s="5" t="s">
        <v>14</v>
      </c>
      <c r="C487" s="8" t="s">
        <v>37</v>
      </c>
      <c r="D487" s="6">
        <v>450</v>
      </c>
      <c r="E487" s="6">
        <f t="shared" si="79"/>
        <v>475</v>
      </c>
      <c r="F487" s="6">
        <v>40</v>
      </c>
      <c r="G487" s="6">
        <v>435</v>
      </c>
      <c r="H487" s="6">
        <v>1.05</v>
      </c>
      <c r="I487" s="6">
        <v>1.2</v>
      </c>
      <c r="J487" s="5">
        <v>0.75</v>
      </c>
      <c r="K487" s="4">
        <f t="shared" si="75"/>
        <v>0.94500000000000006</v>
      </c>
      <c r="L487" s="5"/>
      <c r="M487" s="4">
        <f t="shared" si="76"/>
        <v>0</v>
      </c>
      <c r="N487" s="4">
        <f t="shared" si="77"/>
        <v>0</v>
      </c>
      <c r="O487" s="4">
        <f t="shared" si="78"/>
        <v>0</v>
      </c>
      <c r="Q487" s="147"/>
    </row>
    <row r="488" spans="1:17">
      <c r="A488" s="5">
        <v>9358</v>
      </c>
      <c r="B488" s="5" t="s">
        <v>14</v>
      </c>
      <c r="C488" s="8" t="s">
        <v>38</v>
      </c>
      <c r="D488" s="6">
        <v>1000</v>
      </c>
      <c r="E488" s="6">
        <f t="shared" si="79"/>
        <v>645</v>
      </c>
      <c r="F488" s="6">
        <v>40</v>
      </c>
      <c r="G488" s="6">
        <v>605</v>
      </c>
      <c r="H488" s="6">
        <v>1.1000000000000001</v>
      </c>
      <c r="I488" s="6">
        <v>1.3</v>
      </c>
      <c r="J488" s="6">
        <v>0.55000000000000004</v>
      </c>
      <c r="K488" s="4">
        <f t="shared" si="75"/>
        <v>0.7865000000000002</v>
      </c>
      <c r="L488" s="5"/>
      <c r="M488" s="4">
        <f t="shared" si="76"/>
        <v>0</v>
      </c>
      <c r="N488" s="4">
        <f t="shared" si="77"/>
        <v>0</v>
      </c>
      <c r="O488" s="4">
        <f t="shared" si="78"/>
        <v>0</v>
      </c>
      <c r="Q488" s="147"/>
    </row>
    <row r="489" spans="1:17">
      <c r="A489" s="5">
        <v>9358</v>
      </c>
      <c r="B489" s="5" t="s">
        <v>14</v>
      </c>
      <c r="C489" s="8" t="s">
        <v>39</v>
      </c>
      <c r="D489" s="6">
        <v>450</v>
      </c>
      <c r="E489" s="6">
        <f t="shared" si="79"/>
        <v>515</v>
      </c>
      <c r="F489" s="6">
        <v>40</v>
      </c>
      <c r="G489" s="6">
        <v>475</v>
      </c>
      <c r="H489" s="6">
        <v>1.05</v>
      </c>
      <c r="I489" s="6">
        <v>1.3</v>
      </c>
      <c r="J489" s="5">
        <v>0.75</v>
      </c>
      <c r="K489" s="4">
        <f t="shared" si="75"/>
        <v>1.0237500000000002</v>
      </c>
      <c r="L489" s="5"/>
      <c r="M489" s="4">
        <f t="shared" si="76"/>
        <v>0</v>
      </c>
      <c r="N489" s="4">
        <f t="shared" si="77"/>
        <v>0</v>
      </c>
      <c r="O489" s="4">
        <f t="shared" si="78"/>
        <v>0</v>
      </c>
      <c r="Q489" s="147"/>
    </row>
    <row r="490" spans="1:17">
      <c r="A490" s="5">
        <v>9358</v>
      </c>
      <c r="B490" s="5" t="s">
        <v>14</v>
      </c>
      <c r="C490" s="8" t="s">
        <v>40</v>
      </c>
      <c r="D490" s="6">
        <v>1000</v>
      </c>
      <c r="E490" s="6">
        <f t="shared" si="79"/>
        <v>645</v>
      </c>
      <c r="F490" s="6">
        <v>40</v>
      </c>
      <c r="G490" s="6">
        <v>605</v>
      </c>
      <c r="H490" s="6">
        <v>1.1000000000000001</v>
      </c>
      <c r="I490" s="6">
        <v>1.3</v>
      </c>
      <c r="J490" s="6">
        <v>0.55000000000000004</v>
      </c>
      <c r="K490" s="4">
        <f t="shared" si="75"/>
        <v>0.7865000000000002</v>
      </c>
      <c r="L490" s="5"/>
      <c r="M490" s="4">
        <f t="shared" si="76"/>
        <v>0</v>
      </c>
      <c r="N490" s="4">
        <f t="shared" si="77"/>
        <v>0</v>
      </c>
      <c r="O490" s="4">
        <f t="shared" si="78"/>
        <v>0</v>
      </c>
      <c r="Q490" s="147"/>
    </row>
    <row r="491" spans="1:17">
      <c r="A491" s="5">
        <v>9358</v>
      </c>
      <c r="B491" s="5" t="s">
        <v>14</v>
      </c>
      <c r="C491" s="8" t="s">
        <v>41</v>
      </c>
      <c r="D491" s="6">
        <v>450</v>
      </c>
      <c r="E491" s="6">
        <f t="shared" si="79"/>
        <v>515</v>
      </c>
      <c r="F491" s="6">
        <v>40</v>
      </c>
      <c r="G491" s="6">
        <v>475</v>
      </c>
      <c r="H491" s="6">
        <v>1.05</v>
      </c>
      <c r="I491" s="6">
        <v>1.3</v>
      </c>
      <c r="J491" s="5">
        <v>0.75</v>
      </c>
      <c r="K491" s="4">
        <f t="shared" si="75"/>
        <v>1.0237500000000002</v>
      </c>
      <c r="L491" s="5"/>
      <c r="M491" s="4">
        <f t="shared" si="76"/>
        <v>0</v>
      </c>
      <c r="N491" s="4">
        <f t="shared" si="77"/>
        <v>0</v>
      </c>
      <c r="O491" s="4">
        <f t="shared" si="78"/>
        <v>0</v>
      </c>
      <c r="Q491" s="147"/>
    </row>
    <row r="492" spans="1:17">
      <c r="A492" s="5">
        <v>9358</v>
      </c>
      <c r="B492" s="5" t="s">
        <v>14</v>
      </c>
      <c r="C492" s="8" t="s">
        <v>22</v>
      </c>
      <c r="D492" s="3">
        <v>3000</v>
      </c>
      <c r="E492" s="6">
        <v>235</v>
      </c>
      <c r="F492" s="5">
        <v>35</v>
      </c>
      <c r="G492" s="6">
        <v>200</v>
      </c>
      <c r="H492" s="5">
        <v>1.1000000000000001</v>
      </c>
      <c r="I492" s="5">
        <v>1.1000000000000001</v>
      </c>
      <c r="J492" s="5">
        <v>1.02</v>
      </c>
      <c r="K492" s="7">
        <f t="shared" si="75"/>
        <v>1.2342000000000002</v>
      </c>
      <c r="L492" s="5"/>
      <c r="M492" s="4">
        <f t="shared" si="76"/>
        <v>0</v>
      </c>
      <c r="N492" s="4">
        <f t="shared" si="77"/>
        <v>0</v>
      </c>
      <c r="O492" s="4">
        <f t="shared" si="78"/>
        <v>0</v>
      </c>
      <c r="Q492" s="147"/>
    </row>
    <row r="493" spans="1:17">
      <c r="A493" s="5">
        <v>9358</v>
      </c>
      <c r="B493" s="5" t="s">
        <v>14</v>
      </c>
      <c r="C493" s="8" t="s">
        <v>23</v>
      </c>
      <c r="D493" s="44">
        <v>1000</v>
      </c>
      <c r="E493" s="45">
        <v>646</v>
      </c>
      <c r="F493" s="45">
        <f>E493-G493</f>
        <v>40</v>
      </c>
      <c r="G493" s="45">
        <v>606</v>
      </c>
      <c r="H493" s="45">
        <v>1.1000000000000001</v>
      </c>
      <c r="I493" s="45">
        <v>0.8</v>
      </c>
      <c r="J493" s="45">
        <v>0.55000000000000004</v>
      </c>
      <c r="K493" s="4">
        <f t="shared" si="75"/>
        <v>0.4840000000000001</v>
      </c>
      <c r="L493" s="5"/>
      <c r="M493" s="4">
        <f t="shared" si="76"/>
        <v>0</v>
      </c>
      <c r="N493" s="4">
        <f t="shared" si="77"/>
        <v>0</v>
      </c>
      <c r="O493" s="4">
        <f t="shared" si="78"/>
        <v>0</v>
      </c>
      <c r="Q493" s="147"/>
    </row>
    <row r="494" spans="1:17">
      <c r="A494" s="5">
        <v>9358</v>
      </c>
      <c r="B494" s="5" t="s">
        <v>14</v>
      </c>
      <c r="C494" s="8" t="s">
        <v>46</v>
      </c>
      <c r="D494" s="3">
        <v>4000</v>
      </c>
      <c r="E494" s="6">
        <v>424</v>
      </c>
      <c r="F494" s="5">
        <f>E494-G494</f>
        <v>52</v>
      </c>
      <c r="G494" s="6">
        <v>372</v>
      </c>
      <c r="H494" s="5">
        <v>1.1000000000000001</v>
      </c>
      <c r="I494" s="5">
        <v>0.8</v>
      </c>
      <c r="J494" s="5">
        <v>0.55000000000000004</v>
      </c>
      <c r="K494" s="7">
        <f t="shared" si="75"/>
        <v>0.4840000000000001</v>
      </c>
      <c r="L494" s="5"/>
      <c r="M494" s="4">
        <f t="shared" si="76"/>
        <v>0</v>
      </c>
      <c r="N494" s="4">
        <f t="shared" si="77"/>
        <v>0</v>
      </c>
      <c r="O494" s="4">
        <f t="shared" si="78"/>
        <v>0</v>
      </c>
      <c r="Q494" s="147"/>
    </row>
    <row r="495" spans="1:17">
      <c r="A495" s="5">
        <v>9358</v>
      </c>
      <c r="B495" s="5" t="s">
        <v>14</v>
      </c>
      <c r="C495" s="8" t="s">
        <v>42</v>
      </c>
      <c r="D495" s="15">
        <v>1200</v>
      </c>
      <c r="E495" s="131">
        <v>666.4</v>
      </c>
      <c r="F495" s="131">
        <v>40</v>
      </c>
      <c r="G495" s="16">
        <v>588</v>
      </c>
      <c r="H495" s="133">
        <v>1</v>
      </c>
      <c r="I495" s="133">
        <v>0.75</v>
      </c>
      <c r="J495" s="133">
        <v>0.7</v>
      </c>
      <c r="K495" s="135">
        <v>0.5</v>
      </c>
      <c r="L495" s="5"/>
      <c r="M495" s="148">
        <f t="shared" si="76"/>
        <v>0</v>
      </c>
      <c r="N495" s="148">
        <f t="shared" si="77"/>
        <v>0</v>
      </c>
      <c r="O495" s="156">
        <f t="shared" si="78"/>
        <v>0</v>
      </c>
      <c r="Q495" s="147"/>
    </row>
    <row r="496" spans="1:17">
      <c r="A496" s="5">
        <v>9358</v>
      </c>
      <c r="B496" s="5" t="s">
        <v>14</v>
      </c>
      <c r="C496" s="8" t="s">
        <v>43</v>
      </c>
      <c r="D496" s="15">
        <v>1200</v>
      </c>
      <c r="E496" s="132"/>
      <c r="F496" s="132"/>
      <c r="G496" s="16">
        <v>38.4</v>
      </c>
      <c r="H496" s="134"/>
      <c r="I496" s="134"/>
      <c r="J496" s="134"/>
      <c r="K496" s="136"/>
      <c r="L496" s="5"/>
      <c r="M496" s="149"/>
      <c r="N496" s="149"/>
      <c r="O496" s="157"/>
      <c r="Q496" s="147"/>
    </row>
    <row r="497" spans="1:17">
      <c r="A497" s="5">
        <v>9358</v>
      </c>
      <c r="B497" s="5" t="s">
        <v>14</v>
      </c>
      <c r="C497" s="8" t="s">
        <v>60</v>
      </c>
      <c r="D497" s="15"/>
      <c r="E497" s="81"/>
      <c r="F497" s="81"/>
      <c r="G497" s="16"/>
      <c r="H497" s="82"/>
      <c r="I497" s="82"/>
      <c r="J497" s="82"/>
      <c r="K497" s="83"/>
      <c r="L497" s="5"/>
      <c r="M497" s="84"/>
      <c r="N497" s="84"/>
      <c r="O497" s="85"/>
      <c r="Q497" s="147"/>
    </row>
    <row r="498" spans="1:17">
      <c r="A498" s="60">
        <v>9258</v>
      </c>
      <c r="B498" s="60" t="s">
        <v>14</v>
      </c>
      <c r="C498" s="87" t="s">
        <v>82</v>
      </c>
      <c r="D498" s="6">
        <v>3000</v>
      </c>
      <c r="E498" s="6">
        <v>215</v>
      </c>
      <c r="F498" s="5">
        <v>35</v>
      </c>
      <c r="G498" s="6">
        <v>180</v>
      </c>
      <c r="H498" s="5">
        <v>1.1000000000000001</v>
      </c>
      <c r="I498" s="5">
        <v>1.02</v>
      </c>
      <c r="J498" s="7">
        <v>1.2342000000000002</v>
      </c>
      <c r="K498" s="4">
        <f t="shared" ref="K498" si="80">H498*I498*J498</f>
        <v>1.3847724000000003</v>
      </c>
      <c r="L498" s="64">
        <v>9000</v>
      </c>
      <c r="M498" s="61">
        <f>L498/D498</f>
        <v>3</v>
      </c>
      <c r="N498" s="61">
        <f>M498*E498</f>
        <v>645</v>
      </c>
      <c r="O498" s="62">
        <f>M498*K498</f>
        <v>4.1543172000000013</v>
      </c>
      <c r="P498" t="s">
        <v>63</v>
      </c>
    </row>
    <row r="499" spans="1:17">
      <c r="A499" s="60">
        <v>9258</v>
      </c>
      <c r="B499" s="60" t="s">
        <v>14</v>
      </c>
      <c r="C499" s="87" t="s">
        <v>62</v>
      </c>
      <c r="D499" s="6">
        <v>3000</v>
      </c>
      <c r="E499" s="6">
        <v>215</v>
      </c>
      <c r="F499" s="5">
        <v>35</v>
      </c>
      <c r="G499" s="6">
        <v>180</v>
      </c>
      <c r="H499" s="5">
        <v>1.1000000000000001</v>
      </c>
      <c r="I499" s="5">
        <v>1.02</v>
      </c>
      <c r="J499" s="7">
        <v>1.2342000000000002</v>
      </c>
      <c r="K499" s="4">
        <f t="shared" ref="K499" si="81">H499*I499*J499</f>
        <v>1.3847724000000003</v>
      </c>
      <c r="L499" s="64">
        <v>6000</v>
      </c>
      <c r="M499" s="61">
        <f>L499/D499</f>
        <v>2</v>
      </c>
      <c r="N499" s="61">
        <f>M499*E499</f>
        <v>430</v>
      </c>
      <c r="O499" s="62">
        <f>M499*K499</f>
        <v>2.7695448000000007</v>
      </c>
      <c r="P499" t="s">
        <v>63</v>
      </c>
    </row>
    <row r="500" spans="1:17">
      <c r="A500" s="60" t="s">
        <v>49</v>
      </c>
      <c r="B500" s="60" t="s">
        <v>14</v>
      </c>
      <c r="C500" s="61" t="s">
        <v>50</v>
      </c>
      <c r="D500" s="61">
        <v>1</v>
      </c>
      <c r="E500" s="61">
        <v>60</v>
      </c>
      <c r="F500" s="61">
        <v>0</v>
      </c>
      <c r="G500" s="61">
        <v>80</v>
      </c>
      <c r="H500" s="61">
        <v>0.78</v>
      </c>
      <c r="I500" s="61">
        <v>0.78</v>
      </c>
      <c r="J500" s="61">
        <v>0.45</v>
      </c>
      <c r="K500" s="62">
        <f>H500*I500*J500</f>
        <v>0.27378000000000002</v>
      </c>
      <c r="L500" s="64">
        <v>80</v>
      </c>
      <c r="M500" s="61">
        <f>L500/D500</f>
        <v>80</v>
      </c>
      <c r="N500" s="61">
        <f>M500*E500</f>
        <v>4800</v>
      </c>
      <c r="O500" s="62">
        <f>M500*K500</f>
        <v>21.9024</v>
      </c>
      <c r="P500" t="s">
        <v>51</v>
      </c>
    </row>
    <row r="501" spans="1:17">
      <c r="L501">
        <f>SUM(L338:L500)</f>
        <v>23816</v>
      </c>
      <c r="M501">
        <f>SUM(M338:M500)</f>
        <v>115.68444444444444</v>
      </c>
      <c r="N501">
        <f>SUM(N338:N500)</f>
        <v>22996.574222222229</v>
      </c>
      <c r="O501">
        <f>SUM(O338:O500)</f>
        <v>42.872394793333328</v>
      </c>
    </row>
    <row r="506" spans="1:17" ht="15" thickBot="1">
      <c r="A506" t="s">
        <v>61</v>
      </c>
    </row>
    <row r="507" spans="1:17" ht="42" thickBot="1">
      <c r="A507" s="1" t="s">
        <v>44</v>
      </c>
      <c r="B507" s="1" t="s">
        <v>0</v>
      </c>
      <c r="C507" s="1" t="s">
        <v>1</v>
      </c>
      <c r="D507" s="1" t="s">
        <v>2</v>
      </c>
      <c r="E507" s="1" t="s">
        <v>3</v>
      </c>
      <c r="F507" s="1" t="s">
        <v>4</v>
      </c>
      <c r="G507" s="1" t="s">
        <v>5</v>
      </c>
      <c r="H507" s="1" t="s">
        <v>6</v>
      </c>
      <c r="I507" s="1" t="s">
        <v>7</v>
      </c>
      <c r="J507" s="1" t="s">
        <v>8</v>
      </c>
      <c r="K507" s="1" t="s">
        <v>9</v>
      </c>
      <c r="L507" s="63" t="s">
        <v>10</v>
      </c>
      <c r="M507" s="2" t="s">
        <v>11</v>
      </c>
      <c r="N507" s="2" t="s">
        <v>12</v>
      </c>
      <c r="O507" s="18" t="s">
        <v>13</v>
      </c>
    </row>
    <row r="508" spans="1:17" s="90" customFormat="1">
      <c r="A508" s="88">
        <v>9355</v>
      </c>
      <c r="B508" s="88" t="s">
        <v>15</v>
      </c>
      <c r="C508" s="88" t="s">
        <v>16</v>
      </c>
      <c r="D508" s="88">
        <v>30</v>
      </c>
      <c r="E508" s="88">
        <v>669</v>
      </c>
      <c r="F508" s="88">
        <f>E508-G508</f>
        <v>53</v>
      </c>
      <c r="G508" s="88">
        <v>616</v>
      </c>
      <c r="H508" s="88">
        <v>1</v>
      </c>
      <c r="I508" s="88">
        <v>0.9</v>
      </c>
      <c r="J508" s="88">
        <v>0.73</v>
      </c>
      <c r="K508" s="88">
        <f t="shared" ref="K508:K536" si="82">H508*I508*J508</f>
        <v>0.65700000000000003</v>
      </c>
      <c r="L508" s="89">
        <f>L3-L338-L171</f>
        <v>0</v>
      </c>
      <c r="M508" s="89">
        <f t="shared" ref="M508:M537" si="83">L508/D508</f>
        <v>0</v>
      </c>
      <c r="N508" s="89">
        <f t="shared" ref="N508:N537" si="84">E508*M508</f>
        <v>0</v>
      </c>
      <c r="O508" s="89">
        <f>M508*K508</f>
        <v>0</v>
      </c>
      <c r="P508" s="180">
        <f>SUM(L508:L511)</f>
        <v>0</v>
      </c>
      <c r="Q508" s="181" t="s">
        <v>52</v>
      </c>
    </row>
    <row r="509" spans="1:17" s="90" customFormat="1">
      <c r="A509" s="88">
        <v>9355</v>
      </c>
      <c r="B509" s="88" t="s">
        <v>15</v>
      </c>
      <c r="C509" s="88" t="s">
        <v>17</v>
      </c>
      <c r="D509" s="88">
        <v>30</v>
      </c>
      <c r="E509" s="88">
        <v>669</v>
      </c>
      <c r="F509" s="88">
        <f>E509-G509</f>
        <v>53</v>
      </c>
      <c r="G509" s="88">
        <v>616</v>
      </c>
      <c r="H509" s="88">
        <v>1</v>
      </c>
      <c r="I509" s="88">
        <v>0.9</v>
      </c>
      <c r="J509" s="88">
        <v>0.73</v>
      </c>
      <c r="K509" s="88">
        <f t="shared" si="82"/>
        <v>0.65700000000000003</v>
      </c>
      <c r="L509" s="89">
        <f>L4-L339-L172</f>
        <v>0</v>
      </c>
      <c r="M509" s="89">
        <f t="shared" si="83"/>
        <v>0</v>
      </c>
      <c r="N509" s="89">
        <f t="shared" si="84"/>
        <v>0</v>
      </c>
      <c r="O509" s="89">
        <f t="shared" ref="O509:O537" si="85">M509*K509</f>
        <v>0</v>
      </c>
      <c r="P509" s="180"/>
      <c r="Q509" s="182"/>
    </row>
    <row r="510" spans="1:17" s="90" customFormat="1">
      <c r="A510" s="88">
        <v>9355</v>
      </c>
      <c r="B510" s="88" t="s">
        <v>15</v>
      </c>
      <c r="C510" s="88" t="s">
        <v>18</v>
      </c>
      <c r="D510" s="88">
        <v>30</v>
      </c>
      <c r="E510" s="88">
        <v>669</v>
      </c>
      <c r="F510" s="88">
        <f>E510-G510</f>
        <v>53</v>
      </c>
      <c r="G510" s="88">
        <v>616</v>
      </c>
      <c r="H510" s="88">
        <v>1</v>
      </c>
      <c r="I510" s="88">
        <v>0.9</v>
      </c>
      <c r="J510" s="88">
        <v>0.73</v>
      </c>
      <c r="K510" s="88">
        <f t="shared" si="82"/>
        <v>0.65700000000000003</v>
      </c>
      <c r="L510" s="89">
        <f>L5-L340-L173</f>
        <v>0</v>
      </c>
      <c r="M510" s="89">
        <f t="shared" si="83"/>
        <v>0</v>
      </c>
      <c r="N510" s="89">
        <f t="shared" si="84"/>
        <v>0</v>
      </c>
      <c r="O510" s="89">
        <f t="shared" si="85"/>
        <v>0</v>
      </c>
      <c r="P510" s="180"/>
      <c r="Q510" s="182"/>
    </row>
    <row r="511" spans="1:17" s="90" customFormat="1">
      <c r="A511" s="88">
        <v>9355</v>
      </c>
      <c r="B511" s="88" t="s">
        <v>15</v>
      </c>
      <c r="C511" s="88" t="s">
        <v>19</v>
      </c>
      <c r="D511" s="88">
        <v>30</v>
      </c>
      <c r="E511" s="88">
        <v>669</v>
      </c>
      <c r="F511" s="88">
        <f>E511-G511</f>
        <v>53</v>
      </c>
      <c r="G511" s="88">
        <v>616</v>
      </c>
      <c r="H511" s="88">
        <v>1</v>
      </c>
      <c r="I511" s="88">
        <v>0.9</v>
      </c>
      <c r="J511" s="88">
        <v>0.73</v>
      </c>
      <c r="K511" s="88">
        <f t="shared" si="82"/>
        <v>0.65700000000000003</v>
      </c>
      <c r="L511" s="89">
        <f>L6-L341-L174</f>
        <v>0</v>
      </c>
      <c r="M511" s="89">
        <f t="shared" si="83"/>
        <v>0</v>
      </c>
      <c r="N511" s="89">
        <f t="shared" si="84"/>
        <v>0</v>
      </c>
      <c r="O511" s="89">
        <f t="shared" si="85"/>
        <v>0</v>
      </c>
      <c r="P511" s="180"/>
      <c r="Q511" s="182"/>
    </row>
    <row r="512" spans="1:17" s="90" customFormat="1">
      <c r="A512" s="88">
        <v>9358</v>
      </c>
      <c r="B512" s="88" t="s">
        <v>14</v>
      </c>
      <c r="C512" s="91" t="s">
        <v>20</v>
      </c>
      <c r="D512" s="88">
        <v>5000</v>
      </c>
      <c r="E512" s="88">
        <v>490</v>
      </c>
      <c r="F512" s="88">
        <v>40</v>
      </c>
      <c r="G512" s="88">
        <v>450</v>
      </c>
      <c r="H512" s="88">
        <v>1</v>
      </c>
      <c r="I512" s="88">
        <v>0.98</v>
      </c>
      <c r="J512" s="88">
        <v>0.83</v>
      </c>
      <c r="K512" s="92">
        <f t="shared" si="82"/>
        <v>0.8133999999999999</v>
      </c>
      <c r="L512" s="89">
        <f>L7-L342-L175</f>
        <v>0</v>
      </c>
      <c r="M512" s="89">
        <f t="shared" si="83"/>
        <v>0</v>
      </c>
      <c r="N512" s="89">
        <f t="shared" si="84"/>
        <v>0</v>
      </c>
      <c r="O512" s="89">
        <f t="shared" si="85"/>
        <v>0</v>
      </c>
      <c r="Q512" s="182"/>
    </row>
    <row r="513" spans="1:17" s="90" customFormat="1">
      <c r="A513" s="88">
        <v>9358</v>
      </c>
      <c r="B513" s="88" t="s">
        <v>14</v>
      </c>
      <c r="C513" s="91" t="s">
        <v>21</v>
      </c>
      <c r="D513" s="88">
        <v>360</v>
      </c>
      <c r="E513" s="88">
        <v>390</v>
      </c>
      <c r="F513" s="88">
        <v>40</v>
      </c>
      <c r="G513" s="88">
        <v>350</v>
      </c>
      <c r="H513" s="88">
        <v>1.05</v>
      </c>
      <c r="I513" s="88">
        <v>0.95</v>
      </c>
      <c r="J513" s="88">
        <v>0.55000000000000004</v>
      </c>
      <c r="K513" s="92">
        <f t="shared" si="82"/>
        <v>0.54862500000000003</v>
      </c>
      <c r="L513" s="89">
        <f>L8-L343-L176</f>
        <v>0</v>
      </c>
      <c r="M513" s="89">
        <f t="shared" si="83"/>
        <v>0</v>
      </c>
      <c r="N513" s="89">
        <f t="shared" si="84"/>
        <v>0</v>
      </c>
      <c r="O513" s="89">
        <f t="shared" si="85"/>
        <v>0</v>
      </c>
      <c r="Q513" s="182"/>
    </row>
    <row r="514" spans="1:17" s="90" customFormat="1">
      <c r="A514" s="88">
        <v>9358</v>
      </c>
      <c r="B514" s="88" t="s">
        <v>14</v>
      </c>
      <c r="C514" s="91" t="s">
        <v>22</v>
      </c>
      <c r="D514" s="93">
        <v>3000</v>
      </c>
      <c r="E514" s="94">
        <v>235</v>
      </c>
      <c r="F514" s="88">
        <v>35</v>
      </c>
      <c r="G514" s="94">
        <v>200</v>
      </c>
      <c r="H514" s="88">
        <v>1.1000000000000001</v>
      </c>
      <c r="I514" s="88">
        <v>1.1000000000000001</v>
      </c>
      <c r="J514" s="88">
        <v>1.02</v>
      </c>
      <c r="K514" s="92">
        <f t="shared" si="82"/>
        <v>1.2342000000000002</v>
      </c>
      <c r="L514" s="89">
        <f>L9-L344-L177</f>
        <v>0</v>
      </c>
      <c r="M514" s="89">
        <f t="shared" si="83"/>
        <v>0</v>
      </c>
      <c r="N514" s="89">
        <f t="shared" si="84"/>
        <v>0</v>
      </c>
      <c r="O514" s="89">
        <f t="shared" si="85"/>
        <v>0</v>
      </c>
      <c r="Q514" s="182"/>
    </row>
    <row r="515" spans="1:17" s="90" customFormat="1">
      <c r="A515" s="88">
        <v>9358</v>
      </c>
      <c r="B515" s="88" t="s">
        <v>14</v>
      </c>
      <c r="C515" s="91" t="s">
        <v>23</v>
      </c>
      <c r="D515" s="95">
        <v>1000</v>
      </c>
      <c r="E515" s="96">
        <v>646</v>
      </c>
      <c r="F515" s="96">
        <f>E515-G515</f>
        <v>40</v>
      </c>
      <c r="G515" s="96">
        <v>606</v>
      </c>
      <c r="H515" s="96">
        <v>1.1000000000000001</v>
      </c>
      <c r="I515" s="96">
        <v>0.8</v>
      </c>
      <c r="J515" s="96">
        <v>0.55000000000000004</v>
      </c>
      <c r="K515" s="89">
        <f t="shared" si="82"/>
        <v>0.4840000000000001</v>
      </c>
      <c r="L515" s="89">
        <f>L10-L345-L178</f>
        <v>0</v>
      </c>
      <c r="M515" s="89">
        <f t="shared" si="83"/>
        <v>0</v>
      </c>
      <c r="N515" s="89">
        <f t="shared" si="84"/>
        <v>0</v>
      </c>
      <c r="O515" s="89">
        <f t="shared" si="85"/>
        <v>0</v>
      </c>
      <c r="Q515" s="182"/>
    </row>
    <row r="516" spans="1:17" s="90" customFormat="1">
      <c r="A516" s="88">
        <v>9356</v>
      </c>
      <c r="B516" s="88" t="s">
        <v>47</v>
      </c>
      <c r="C516" s="91" t="s">
        <v>24</v>
      </c>
      <c r="D516" s="93">
        <v>4000</v>
      </c>
      <c r="E516" s="94">
        <v>424</v>
      </c>
      <c r="F516" s="88">
        <f>E516-G516</f>
        <v>52</v>
      </c>
      <c r="G516" s="94">
        <v>372</v>
      </c>
      <c r="H516" s="88">
        <v>1.1000000000000001</v>
      </c>
      <c r="I516" s="88">
        <v>0.8</v>
      </c>
      <c r="J516" s="88">
        <v>0.55000000000000004</v>
      </c>
      <c r="K516" s="92">
        <f t="shared" si="82"/>
        <v>0.4840000000000001</v>
      </c>
      <c r="L516" s="89">
        <f>L11-L346-L179</f>
        <v>0</v>
      </c>
      <c r="M516" s="89">
        <f t="shared" si="83"/>
        <v>0</v>
      </c>
      <c r="N516" s="89">
        <f t="shared" si="84"/>
        <v>0</v>
      </c>
      <c r="O516" s="89">
        <f t="shared" si="85"/>
        <v>0</v>
      </c>
      <c r="Q516" s="182"/>
    </row>
    <row r="517" spans="1:17" s="90" customFormat="1">
      <c r="A517" s="88">
        <v>9358</v>
      </c>
      <c r="B517" s="88" t="s">
        <v>14</v>
      </c>
      <c r="C517" s="91" t="s">
        <v>25</v>
      </c>
      <c r="D517" s="88">
        <v>1000</v>
      </c>
      <c r="E517" s="88">
        <v>830</v>
      </c>
      <c r="F517" s="88">
        <v>40</v>
      </c>
      <c r="G517" s="88">
        <v>790</v>
      </c>
      <c r="H517" s="88">
        <v>1.04</v>
      </c>
      <c r="I517" s="88">
        <v>0.84</v>
      </c>
      <c r="J517" s="88">
        <v>0.64</v>
      </c>
      <c r="K517" s="92">
        <f t="shared" si="82"/>
        <v>0.55910400000000005</v>
      </c>
      <c r="L517" s="89">
        <f>L12-L347-L180</f>
        <v>0</v>
      </c>
      <c r="M517" s="89">
        <f t="shared" si="83"/>
        <v>0</v>
      </c>
      <c r="N517" s="89">
        <f t="shared" si="84"/>
        <v>0</v>
      </c>
      <c r="O517" s="89">
        <f t="shared" si="85"/>
        <v>0</v>
      </c>
      <c r="Q517" s="182"/>
    </row>
    <row r="518" spans="1:17" s="90" customFormat="1">
      <c r="A518" s="88">
        <v>9358</v>
      </c>
      <c r="B518" s="88" t="s">
        <v>14</v>
      </c>
      <c r="C518" s="91" t="s">
        <v>26</v>
      </c>
      <c r="D518" s="88">
        <v>4000</v>
      </c>
      <c r="E518" s="88">
        <v>223</v>
      </c>
      <c r="F518" s="88">
        <v>30</v>
      </c>
      <c r="G518" s="88">
        <v>188</v>
      </c>
      <c r="H518" s="88">
        <v>0.86</v>
      </c>
      <c r="I518" s="88">
        <v>0.78</v>
      </c>
      <c r="J518" s="88">
        <v>0.74</v>
      </c>
      <c r="K518" s="92">
        <f t="shared" si="82"/>
        <v>0.49639200000000006</v>
      </c>
      <c r="L518" s="89">
        <f>L13-L348-L181</f>
        <v>0</v>
      </c>
      <c r="M518" s="89">
        <f t="shared" si="83"/>
        <v>0</v>
      </c>
      <c r="N518" s="89">
        <f t="shared" si="84"/>
        <v>0</v>
      </c>
      <c r="O518" s="89">
        <f t="shared" si="85"/>
        <v>0</v>
      </c>
      <c r="Q518" s="182"/>
    </row>
    <row r="519" spans="1:17" s="90" customFormat="1">
      <c r="A519" s="88">
        <v>9355</v>
      </c>
      <c r="B519" s="88" t="s">
        <v>15</v>
      </c>
      <c r="C519" s="91" t="s">
        <v>27</v>
      </c>
      <c r="D519" s="97">
        <v>12</v>
      </c>
      <c r="E519" s="97">
        <v>435</v>
      </c>
      <c r="F519" s="97">
        <v>39</v>
      </c>
      <c r="G519" s="97">
        <v>396</v>
      </c>
      <c r="H519" s="97">
        <v>0.86</v>
      </c>
      <c r="I519" s="97">
        <v>0.56000000000000005</v>
      </c>
      <c r="J519" s="97">
        <v>0.51</v>
      </c>
      <c r="K519" s="98">
        <f t="shared" si="82"/>
        <v>0.24561600000000003</v>
      </c>
      <c r="L519" s="89">
        <f>L14-L349-L182</f>
        <v>0</v>
      </c>
      <c r="M519" s="89">
        <f t="shared" si="83"/>
        <v>0</v>
      </c>
      <c r="N519" s="89">
        <f t="shared" si="84"/>
        <v>0</v>
      </c>
      <c r="O519" s="89">
        <f t="shared" si="85"/>
        <v>0</v>
      </c>
      <c r="P519" s="180">
        <f>SUM(L519:L523)</f>
        <v>0</v>
      </c>
      <c r="Q519" s="182"/>
    </row>
    <row r="520" spans="1:17" s="90" customFormat="1">
      <c r="A520" s="88">
        <v>9355</v>
      </c>
      <c r="B520" s="88" t="s">
        <v>15</v>
      </c>
      <c r="C520" s="91" t="s">
        <v>28</v>
      </c>
      <c r="D520" s="97">
        <v>12</v>
      </c>
      <c r="E520" s="97">
        <v>520</v>
      </c>
      <c r="F520" s="97">
        <v>40</v>
      </c>
      <c r="G520" s="97">
        <v>480</v>
      </c>
      <c r="H520" s="97">
        <v>1.03</v>
      </c>
      <c r="I520" s="97">
        <v>0.56000000000000005</v>
      </c>
      <c r="J520" s="97">
        <v>0.51</v>
      </c>
      <c r="K520" s="98">
        <f t="shared" si="82"/>
        <v>0.29416800000000004</v>
      </c>
      <c r="L520" s="89">
        <f>L15-L350-L183</f>
        <v>0</v>
      </c>
      <c r="M520" s="89">
        <f t="shared" si="83"/>
        <v>0</v>
      </c>
      <c r="N520" s="89">
        <f t="shared" si="84"/>
        <v>0</v>
      </c>
      <c r="O520" s="89">
        <f t="shared" si="85"/>
        <v>0</v>
      </c>
      <c r="P520" s="180"/>
      <c r="Q520" s="182"/>
    </row>
    <row r="521" spans="1:17" s="90" customFormat="1">
      <c r="A521" s="88">
        <v>9355</v>
      </c>
      <c r="B521" s="88" t="s">
        <v>15</v>
      </c>
      <c r="C521" s="91" t="s">
        <v>29</v>
      </c>
      <c r="D521" s="97">
        <v>12</v>
      </c>
      <c r="E521" s="97">
        <v>596</v>
      </c>
      <c r="F521" s="97">
        <v>44</v>
      </c>
      <c r="G521" s="97">
        <v>552</v>
      </c>
      <c r="H521" s="97">
        <v>1.17</v>
      </c>
      <c r="I521" s="97">
        <v>0.56000000000000005</v>
      </c>
      <c r="J521" s="97">
        <v>0.51</v>
      </c>
      <c r="K521" s="98">
        <f t="shared" si="82"/>
        <v>0.334152</v>
      </c>
      <c r="L521" s="89">
        <f>L16-L351-L184</f>
        <v>0</v>
      </c>
      <c r="M521" s="89">
        <f t="shared" si="83"/>
        <v>0</v>
      </c>
      <c r="N521" s="89">
        <f t="shared" si="84"/>
        <v>0</v>
      </c>
      <c r="O521" s="89">
        <f t="shared" si="85"/>
        <v>0</v>
      </c>
      <c r="P521" s="180"/>
      <c r="Q521" s="182"/>
    </row>
    <row r="522" spans="1:17" s="90" customFormat="1">
      <c r="A522" s="88">
        <v>9355</v>
      </c>
      <c r="B522" s="88" t="s">
        <v>15</v>
      </c>
      <c r="C522" s="91" t="s">
        <v>30</v>
      </c>
      <c r="D522" s="99">
        <v>12</v>
      </c>
      <c r="E522" s="97">
        <v>654</v>
      </c>
      <c r="F522" s="97">
        <v>42</v>
      </c>
      <c r="G522" s="97">
        <v>612</v>
      </c>
      <c r="H522" s="97">
        <v>1.2749999999999999</v>
      </c>
      <c r="I522" s="97">
        <v>0.56000000000000005</v>
      </c>
      <c r="J522" s="97">
        <v>0.51</v>
      </c>
      <c r="K522" s="98">
        <f t="shared" si="82"/>
        <v>0.36413999999999996</v>
      </c>
      <c r="L522" s="89">
        <f>L17-L352-L185</f>
        <v>0</v>
      </c>
      <c r="M522" s="89">
        <f t="shared" si="83"/>
        <v>0</v>
      </c>
      <c r="N522" s="89">
        <f t="shared" si="84"/>
        <v>0</v>
      </c>
      <c r="O522" s="89">
        <f t="shared" si="85"/>
        <v>0</v>
      </c>
      <c r="P522" s="180"/>
      <c r="Q522" s="182"/>
    </row>
    <row r="523" spans="1:17" s="90" customFormat="1">
      <c r="A523" s="88">
        <v>9355</v>
      </c>
      <c r="B523" s="88" t="s">
        <v>15</v>
      </c>
      <c r="C523" s="91" t="s">
        <v>31</v>
      </c>
      <c r="D523" s="99">
        <v>6</v>
      </c>
      <c r="E523" s="97">
        <v>410</v>
      </c>
      <c r="F523" s="97">
        <v>50</v>
      </c>
      <c r="G523" s="97">
        <v>360</v>
      </c>
      <c r="H523" s="97">
        <v>1.48</v>
      </c>
      <c r="I523" s="97">
        <v>0.56000000000000005</v>
      </c>
      <c r="J523" s="97">
        <v>0.37</v>
      </c>
      <c r="K523" s="98">
        <f t="shared" si="82"/>
        <v>0.30665600000000004</v>
      </c>
      <c r="L523" s="89">
        <f>L18-L353-L186</f>
        <v>0</v>
      </c>
      <c r="M523" s="89">
        <f t="shared" si="83"/>
        <v>0</v>
      </c>
      <c r="N523" s="89">
        <f t="shared" si="84"/>
        <v>0</v>
      </c>
      <c r="O523" s="89">
        <f t="shared" si="85"/>
        <v>0</v>
      </c>
      <c r="P523" s="180"/>
      <c r="Q523" s="182"/>
    </row>
    <row r="524" spans="1:17" s="90" customFormat="1">
      <c r="A524" s="88">
        <v>9358</v>
      </c>
      <c r="B524" s="88" t="s">
        <v>14</v>
      </c>
      <c r="C524" s="91" t="s">
        <v>32</v>
      </c>
      <c r="D524" s="94">
        <v>1000</v>
      </c>
      <c r="E524" s="94">
        <f t="shared" ref="E524:E533" si="86">G524+F524</f>
        <v>395</v>
      </c>
      <c r="F524" s="94">
        <v>40</v>
      </c>
      <c r="G524" s="94">
        <v>355</v>
      </c>
      <c r="H524" s="94">
        <v>1.05</v>
      </c>
      <c r="I524" s="94">
        <v>0.9</v>
      </c>
      <c r="J524" s="94">
        <v>0.55000000000000004</v>
      </c>
      <c r="K524" s="89">
        <f t="shared" si="82"/>
        <v>0.51975000000000005</v>
      </c>
      <c r="L524" s="89">
        <f>L19-L354-L187</f>
        <v>0</v>
      </c>
      <c r="M524" s="89">
        <f t="shared" si="83"/>
        <v>0</v>
      </c>
      <c r="N524" s="89">
        <f t="shared" si="84"/>
        <v>0</v>
      </c>
      <c r="O524" s="89">
        <f t="shared" si="85"/>
        <v>0</v>
      </c>
      <c r="Q524" s="182"/>
    </row>
    <row r="525" spans="1:17" s="90" customFormat="1">
      <c r="A525" s="88">
        <v>9358</v>
      </c>
      <c r="B525" s="88" t="s">
        <v>14</v>
      </c>
      <c r="C525" s="91" t="s">
        <v>33</v>
      </c>
      <c r="D525" s="94">
        <v>450</v>
      </c>
      <c r="E525" s="94">
        <f t="shared" si="86"/>
        <v>360</v>
      </c>
      <c r="F525" s="94">
        <v>40</v>
      </c>
      <c r="G525" s="94">
        <v>320</v>
      </c>
      <c r="H525" s="88">
        <v>1.1000000000000001</v>
      </c>
      <c r="I525" s="94">
        <v>0.9</v>
      </c>
      <c r="J525" s="88">
        <v>0.75</v>
      </c>
      <c r="K525" s="92">
        <f t="shared" si="82"/>
        <v>0.74250000000000005</v>
      </c>
      <c r="L525" s="89">
        <f>L20-L355-L188</f>
        <v>0</v>
      </c>
      <c r="M525" s="89">
        <f t="shared" si="83"/>
        <v>0</v>
      </c>
      <c r="N525" s="89">
        <f t="shared" si="84"/>
        <v>0</v>
      </c>
      <c r="O525" s="89">
        <f t="shared" si="85"/>
        <v>0</v>
      </c>
      <c r="Q525" s="182"/>
    </row>
    <row r="526" spans="1:17" s="90" customFormat="1">
      <c r="A526" s="88">
        <v>9358</v>
      </c>
      <c r="B526" s="88" t="s">
        <v>14</v>
      </c>
      <c r="C526" s="91" t="s">
        <v>34</v>
      </c>
      <c r="D526" s="94">
        <v>1000</v>
      </c>
      <c r="E526" s="94">
        <f t="shared" si="86"/>
        <v>492</v>
      </c>
      <c r="F526" s="94">
        <v>40</v>
      </c>
      <c r="G526" s="94">
        <v>452</v>
      </c>
      <c r="H526" s="94">
        <v>1.1000000000000001</v>
      </c>
      <c r="I526" s="94">
        <v>1.05</v>
      </c>
      <c r="J526" s="94">
        <v>0.55000000000000004</v>
      </c>
      <c r="K526" s="89">
        <f t="shared" si="82"/>
        <v>0.6352500000000002</v>
      </c>
      <c r="L526" s="89">
        <f>L21-L356-L189</f>
        <v>0</v>
      </c>
      <c r="M526" s="89">
        <f t="shared" si="83"/>
        <v>0</v>
      </c>
      <c r="N526" s="89">
        <f t="shared" si="84"/>
        <v>0</v>
      </c>
      <c r="O526" s="89">
        <f t="shared" si="85"/>
        <v>0</v>
      </c>
      <c r="Q526" s="182"/>
    </row>
    <row r="527" spans="1:17" s="90" customFormat="1">
      <c r="A527" s="88">
        <v>9358</v>
      </c>
      <c r="B527" s="88" t="s">
        <v>14</v>
      </c>
      <c r="C527" s="91" t="s">
        <v>35</v>
      </c>
      <c r="D527" s="94">
        <v>450</v>
      </c>
      <c r="E527" s="94">
        <f t="shared" si="86"/>
        <v>421.5</v>
      </c>
      <c r="F527" s="94">
        <v>40</v>
      </c>
      <c r="G527" s="94">
        <v>381.5</v>
      </c>
      <c r="H527" s="94">
        <v>1.05</v>
      </c>
      <c r="I527" s="94">
        <v>1.05</v>
      </c>
      <c r="J527" s="88">
        <v>0.75</v>
      </c>
      <c r="K527" s="92">
        <f t="shared" si="82"/>
        <v>0.82687500000000003</v>
      </c>
      <c r="L527" s="89">
        <f>L22-L357-L190</f>
        <v>0</v>
      </c>
      <c r="M527" s="89">
        <f t="shared" si="83"/>
        <v>0</v>
      </c>
      <c r="N527" s="89">
        <f t="shared" si="84"/>
        <v>0</v>
      </c>
      <c r="O527" s="89">
        <f t="shared" si="85"/>
        <v>0</v>
      </c>
      <c r="Q527" s="182"/>
    </row>
    <row r="528" spans="1:17" s="90" customFormat="1">
      <c r="A528" s="88">
        <v>9358</v>
      </c>
      <c r="B528" s="88" t="s">
        <v>14</v>
      </c>
      <c r="C528" s="91" t="s">
        <v>36</v>
      </c>
      <c r="D528" s="94">
        <v>1000</v>
      </c>
      <c r="E528" s="94">
        <f t="shared" si="86"/>
        <v>574</v>
      </c>
      <c r="F528" s="94">
        <v>40</v>
      </c>
      <c r="G528" s="94">
        <v>534</v>
      </c>
      <c r="H528" s="94">
        <v>1.1000000000000001</v>
      </c>
      <c r="I528" s="94">
        <v>1.2</v>
      </c>
      <c r="J528" s="94">
        <v>0.55000000000000004</v>
      </c>
      <c r="K528" s="89">
        <f t="shared" si="82"/>
        <v>0.72600000000000009</v>
      </c>
      <c r="L528" s="89">
        <f>L23-L358-L191</f>
        <v>0</v>
      </c>
      <c r="M528" s="89">
        <f t="shared" si="83"/>
        <v>0</v>
      </c>
      <c r="N528" s="89">
        <f t="shared" si="84"/>
        <v>0</v>
      </c>
      <c r="O528" s="89">
        <f t="shared" si="85"/>
        <v>0</v>
      </c>
      <c r="Q528" s="182"/>
    </row>
    <row r="529" spans="1:17" s="90" customFormat="1">
      <c r="A529" s="88">
        <v>9358</v>
      </c>
      <c r="B529" s="88" t="s">
        <v>14</v>
      </c>
      <c r="C529" s="91" t="s">
        <v>37</v>
      </c>
      <c r="D529" s="94">
        <v>450</v>
      </c>
      <c r="E529" s="94">
        <f t="shared" si="86"/>
        <v>475</v>
      </c>
      <c r="F529" s="94">
        <v>40</v>
      </c>
      <c r="G529" s="94">
        <v>435</v>
      </c>
      <c r="H529" s="94">
        <v>1.05</v>
      </c>
      <c r="I529" s="94">
        <v>1.2</v>
      </c>
      <c r="J529" s="88">
        <v>0.75</v>
      </c>
      <c r="K529" s="89">
        <f t="shared" si="82"/>
        <v>0.94500000000000006</v>
      </c>
      <c r="L529" s="89">
        <f>L24-L359-L192</f>
        <v>0</v>
      </c>
      <c r="M529" s="89">
        <f t="shared" si="83"/>
        <v>0</v>
      </c>
      <c r="N529" s="89">
        <f t="shared" si="84"/>
        <v>0</v>
      </c>
      <c r="O529" s="89">
        <f t="shared" si="85"/>
        <v>0</v>
      </c>
      <c r="Q529" s="182"/>
    </row>
    <row r="530" spans="1:17" s="90" customFormat="1">
      <c r="A530" s="88">
        <v>9358</v>
      </c>
      <c r="B530" s="88" t="s">
        <v>14</v>
      </c>
      <c r="C530" s="91" t="s">
        <v>38</v>
      </c>
      <c r="D530" s="94">
        <v>1000</v>
      </c>
      <c r="E530" s="94">
        <f t="shared" si="86"/>
        <v>645</v>
      </c>
      <c r="F530" s="94">
        <v>40</v>
      </c>
      <c r="G530" s="94">
        <v>605</v>
      </c>
      <c r="H530" s="94">
        <v>1.1000000000000001</v>
      </c>
      <c r="I530" s="94">
        <v>1.3</v>
      </c>
      <c r="J530" s="94">
        <v>0.55000000000000004</v>
      </c>
      <c r="K530" s="89">
        <f t="shared" si="82"/>
        <v>0.7865000000000002</v>
      </c>
      <c r="L530" s="89">
        <f>L25-L360-L193</f>
        <v>0</v>
      </c>
      <c r="M530" s="89">
        <f t="shared" si="83"/>
        <v>0</v>
      </c>
      <c r="N530" s="89">
        <f t="shared" si="84"/>
        <v>0</v>
      </c>
      <c r="O530" s="89">
        <f t="shared" si="85"/>
        <v>0</v>
      </c>
      <c r="Q530" s="182"/>
    </row>
    <row r="531" spans="1:17" s="90" customFormat="1">
      <c r="A531" s="88">
        <v>9358</v>
      </c>
      <c r="B531" s="88" t="s">
        <v>14</v>
      </c>
      <c r="C531" s="91" t="s">
        <v>39</v>
      </c>
      <c r="D531" s="94">
        <v>450</v>
      </c>
      <c r="E531" s="94">
        <f t="shared" si="86"/>
        <v>515</v>
      </c>
      <c r="F531" s="94">
        <v>40</v>
      </c>
      <c r="G531" s="94">
        <v>475</v>
      </c>
      <c r="H531" s="94">
        <v>1.05</v>
      </c>
      <c r="I531" s="94">
        <v>1.3</v>
      </c>
      <c r="J531" s="88">
        <v>0.75</v>
      </c>
      <c r="K531" s="89">
        <f t="shared" si="82"/>
        <v>1.0237500000000002</v>
      </c>
      <c r="L531" s="89">
        <f>L26-L361-L194</f>
        <v>0</v>
      </c>
      <c r="M531" s="89">
        <f t="shared" si="83"/>
        <v>0</v>
      </c>
      <c r="N531" s="89">
        <f t="shared" si="84"/>
        <v>0</v>
      </c>
      <c r="O531" s="89">
        <f t="shared" si="85"/>
        <v>0</v>
      </c>
      <c r="Q531" s="182"/>
    </row>
    <row r="532" spans="1:17" s="90" customFormat="1">
      <c r="A532" s="88">
        <v>9358</v>
      </c>
      <c r="B532" s="88" t="s">
        <v>14</v>
      </c>
      <c r="C532" s="91" t="s">
        <v>40</v>
      </c>
      <c r="D532" s="94">
        <v>1000</v>
      </c>
      <c r="E532" s="94">
        <f t="shared" si="86"/>
        <v>645</v>
      </c>
      <c r="F532" s="94">
        <v>40</v>
      </c>
      <c r="G532" s="94">
        <v>605</v>
      </c>
      <c r="H532" s="94">
        <v>1.1000000000000001</v>
      </c>
      <c r="I532" s="94">
        <v>1.3</v>
      </c>
      <c r="J532" s="94">
        <v>0.55000000000000004</v>
      </c>
      <c r="K532" s="89">
        <f t="shared" si="82"/>
        <v>0.7865000000000002</v>
      </c>
      <c r="L532" s="89">
        <f>L27-L362-L195</f>
        <v>0</v>
      </c>
      <c r="M532" s="89">
        <f t="shared" si="83"/>
        <v>0</v>
      </c>
      <c r="N532" s="89">
        <f t="shared" si="84"/>
        <v>0</v>
      </c>
      <c r="O532" s="89">
        <f t="shared" si="85"/>
        <v>0</v>
      </c>
      <c r="Q532" s="182"/>
    </row>
    <row r="533" spans="1:17" s="90" customFormat="1">
      <c r="A533" s="88">
        <v>9358</v>
      </c>
      <c r="B533" s="88" t="s">
        <v>14</v>
      </c>
      <c r="C533" s="91" t="s">
        <v>41</v>
      </c>
      <c r="D533" s="94">
        <v>450</v>
      </c>
      <c r="E533" s="94">
        <f t="shared" si="86"/>
        <v>515</v>
      </c>
      <c r="F533" s="94">
        <v>40</v>
      </c>
      <c r="G533" s="94">
        <v>475</v>
      </c>
      <c r="H533" s="94">
        <v>1.05</v>
      </c>
      <c r="I533" s="94">
        <v>1.3</v>
      </c>
      <c r="J533" s="88">
        <v>0.75</v>
      </c>
      <c r="K533" s="89">
        <f t="shared" si="82"/>
        <v>1.0237500000000002</v>
      </c>
      <c r="L533" s="89">
        <f>L28-L363-L196</f>
        <v>0</v>
      </c>
      <c r="M533" s="89">
        <f t="shared" si="83"/>
        <v>0</v>
      </c>
      <c r="N533" s="89">
        <f t="shared" si="84"/>
        <v>0</v>
      </c>
      <c r="O533" s="89">
        <f t="shared" si="85"/>
        <v>0</v>
      </c>
      <c r="Q533" s="182"/>
    </row>
    <row r="534" spans="1:17" s="90" customFormat="1">
      <c r="A534" s="88">
        <v>9358</v>
      </c>
      <c r="B534" s="88" t="s">
        <v>14</v>
      </c>
      <c r="C534" s="91" t="s">
        <v>22</v>
      </c>
      <c r="D534" s="93">
        <v>3000</v>
      </c>
      <c r="E534" s="94">
        <v>235</v>
      </c>
      <c r="F534" s="88">
        <v>35</v>
      </c>
      <c r="G534" s="94">
        <v>200</v>
      </c>
      <c r="H534" s="88">
        <v>1.1000000000000001</v>
      </c>
      <c r="I534" s="88">
        <v>1.1000000000000001</v>
      </c>
      <c r="J534" s="88">
        <v>1.02</v>
      </c>
      <c r="K534" s="92">
        <f t="shared" si="82"/>
        <v>1.2342000000000002</v>
      </c>
      <c r="L534" s="89">
        <f>L29-L364-L197</f>
        <v>0</v>
      </c>
      <c r="M534" s="89">
        <f t="shared" si="83"/>
        <v>0</v>
      </c>
      <c r="N534" s="89">
        <f t="shared" si="84"/>
        <v>0</v>
      </c>
      <c r="O534" s="89">
        <f t="shared" si="85"/>
        <v>0</v>
      </c>
      <c r="Q534" s="182"/>
    </row>
    <row r="535" spans="1:17" s="90" customFormat="1">
      <c r="A535" s="88">
        <v>9358</v>
      </c>
      <c r="B535" s="88" t="s">
        <v>14</v>
      </c>
      <c r="C535" s="91" t="s">
        <v>23</v>
      </c>
      <c r="D535" s="95">
        <v>1000</v>
      </c>
      <c r="E535" s="96">
        <v>646</v>
      </c>
      <c r="F535" s="96">
        <f>E535-G535</f>
        <v>40</v>
      </c>
      <c r="G535" s="96">
        <v>606</v>
      </c>
      <c r="H535" s="96">
        <v>1.1000000000000001</v>
      </c>
      <c r="I535" s="96">
        <v>0.8</v>
      </c>
      <c r="J535" s="96">
        <v>0.55000000000000004</v>
      </c>
      <c r="K535" s="89">
        <f t="shared" si="82"/>
        <v>0.4840000000000001</v>
      </c>
      <c r="L535" s="89">
        <f>L30-L365-L198</f>
        <v>0</v>
      </c>
      <c r="M535" s="89">
        <f t="shared" si="83"/>
        <v>0</v>
      </c>
      <c r="N535" s="89">
        <f t="shared" si="84"/>
        <v>0</v>
      </c>
      <c r="O535" s="89">
        <f t="shared" si="85"/>
        <v>0</v>
      </c>
      <c r="Q535" s="182"/>
    </row>
    <row r="536" spans="1:17" s="90" customFormat="1">
      <c r="A536" s="88">
        <v>9358</v>
      </c>
      <c r="B536" s="88" t="s">
        <v>14</v>
      </c>
      <c r="C536" s="91" t="s">
        <v>46</v>
      </c>
      <c r="D536" s="93">
        <v>4000</v>
      </c>
      <c r="E536" s="94">
        <v>424</v>
      </c>
      <c r="F536" s="88">
        <f>E536-G536</f>
        <v>52</v>
      </c>
      <c r="G536" s="94">
        <v>372</v>
      </c>
      <c r="H536" s="88">
        <v>1.1000000000000001</v>
      </c>
      <c r="I536" s="88">
        <v>0.8</v>
      </c>
      <c r="J536" s="88">
        <v>0.55000000000000004</v>
      </c>
      <c r="K536" s="92">
        <f t="shared" si="82"/>
        <v>0.4840000000000001</v>
      </c>
      <c r="L536" s="89">
        <f>L31-L366-L199</f>
        <v>0</v>
      </c>
      <c r="M536" s="89">
        <f t="shared" si="83"/>
        <v>0</v>
      </c>
      <c r="N536" s="89">
        <f t="shared" si="84"/>
        <v>0</v>
      </c>
      <c r="O536" s="89">
        <f t="shared" si="85"/>
        <v>0</v>
      </c>
      <c r="Q536" s="182"/>
    </row>
    <row r="537" spans="1:17" s="90" customFormat="1">
      <c r="A537" s="88">
        <v>9358</v>
      </c>
      <c r="B537" s="88" t="s">
        <v>14</v>
      </c>
      <c r="C537" s="91" t="s">
        <v>42</v>
      </c>
      <c r="D537" s="100">
        <v>1200</v>
      </c>
      <c r="E537" s="190">
        <v>666.4</v>
      </c>
      <c r="F537" s="190">
        <v>40</v>
      </c>
      <c r="G537" s="101">
        <v>588</v>
      </c>
      <c r="H537" s="192">
        <v>1</v>
      </c>
      <c r="I537" s="192">
        <v>0.75</v>
      </c>
      <c r="J537" s="192">
        <v>0.7</v>
      </c>
      <c r="K537" s="194">
        <v>0.5</v>
      </c>
      <c r="L537" s="196">
        <f>L32-L367-L200</f>
        <v>0</v>
      </c>
      <c r="M537" s="196">
        <f t="shared" si="83"/>
        <v>0</v>
      </c>
      <c r="N537" s="196">
        <f t="shared" si="84"/>
        <v>0</v>
      </c>
      <c r="O537" s="198">
        <f t="shared" si="85"/>
        <v>0</v>
      </c>
      <c r="Q537" s="182"/>
    </row>
    <row r="538" spans="1:17" s="90" customFormat="1">
      <c r="A538" s="88">
        <v>9358</v>
      </c>
      <c r="B538" s="88" t="s">
        <v>14</v>
      </c>
      <c r="C538" s="91" t="s">
        <v>43</v>
      </c>
      <c r="D538" s="100">
        <v>1200</v>
      </c>
      <c r="E538" s="191"/>
      <c r="F538" s="191"/>
      <c r="G538" s="101">
        <v>38.4</v>
      </c>
      <c r="H538" s="193"/>
      <c r="I538" s="193"/>
      <c r="J538" s="193"/>
      <c r="K538" s="195"/>
      <c r="L538" s="197">
        <f>L33-L368-L201</f>
        <v>0</v>
      </c>
      <c r="M538" s="197"/>
      <c r="N538" s="197"/>
      <c r="O538" s="199"/>
      <c r="Q538" s="182"/>
    </row>
    <row r="539" spans="1:17" s="90" customFormat="1" ht="15" thickBot="1">
      <c r="A539" s="88">
        <v>9358</v>
      </c>
      <c r="B539" s="88" t="s">
        <v>14</v>
      </c>
      <c r="C539" s="91" t="s">
        <v>60</v>
      </c>
      <c r="D539" s="100"/>
      <c r="E539" s="102"/>
      <c r="F539" s="102"/>
      <c r="G539" s="101"/>
      <c r="H539" s="103"/>
      <c r="I539" s="103"/>
      <c r="J539" s="103"/>
      <c r="K539" s="104"/>
      <c r="L539" s="105">
        <f>L34-L369-L202</f>
        <v>0</v>
      </c>
      <c r="M539" s="105"/>
      <c r="N539" s="105"/>
      <c r="O539" s="106"/>
      <c r="Q539" s="183"/>
    </row>
    <row r="540" spans="1:17" s="46" customFormat="1">
      <c r="A540" s="47">
        <v>9355</v>
      </c>
      <c r="B540" s="47" t="s">
        <v>15</v>
      </c>
      <c r="C540" s="47" t="s">
        <v>16</v>
      </c>
      <c r="D540" s="47">
        <v>30</v>
      </c>
      <c r="E540" s="47">
        <v>669</v>
      </c>
      <c r="F540" s="47">
        <f>E540-G540</f>
        <v>53</v>
      </c>
      <c r="G540" s="47">
        <v>616</v>
      </c>
      <c r="H540" s="47">
        <v>1</v>
      </c>
      <c r="I540" s="47">
        <v>0.9</v>
      </c>
      <c r="J540" s="47">
        <v>0.73</v>
      </c>
      <c r="K540" s="47">
        <f t="shared" ref="K540:K568" si="87">H540*I540*J540</f>
        <v>0.65700000000000003</v>
      </c>
      <c r="L540" s="48">
        <f>L35-L370-L203</f>
        <v>0</v>
      </c>
      <c r="M540" s="48">
        <f t="shared" ref="M540:M569" si="88">L540/D540</f>
        <v>0</v>
      </c>
      <c r="N540" s="48">
        <f t="shared" ref="N540:N569" si="89">E540*M540</f>
        <v>0</v>
      </c>
      <c r="O540" s="48">
        <f>M540*K540</f>
        <v>0</v>
      </c>
      <c r="P540" s="176">
        <f>SUM(L540:L543)</f>
        <v>0</v>
      </c>
      <c r="Q540" s="177" t="s">
        <v>53</v>
      </c>
    </row>
    <row r="541" spans="1:17" s="46" customFormat="1">
      <c r="A541" s="47">
        <v>9355</v>
      </c>
      <c r="B541" s="47" t="s">
        <v>15</v>
      </c>
      <c r="C541" s="47" t="s">
        <v>17</v>
      </c>
      <c r="D541" s="47">
        <v>30</v>
      </c>
      <c r="E541" s="47">
        <v>669</v>
      </c>
      <c r="F541" s="47">
        <f>E541-G541</f>
        <v>53</v>
      </c>
      <c r="G541" s="47">
        <v>616</v>
      </c>
      <c r="H541" s="47">
        <v>1</v>
      </c>
      <c r="I541" s="47">
        <v>0.9</v>
      </c>
      <c r="J541" s="47">
        <v>0.73</v>
      </c>
      <c r="K541" s="47">
        <f t="shared" si="87"/>
        <v>0.65700000000000003</v>
      </c>
      <c r="L541" s="48">
        <f>L36-L371-L204</f>
        <v>0</v>
      </c>
      <c r="M541" s="48">
        <f t="shared" si="88"/>
        <v>0</v>
      </c>
      <c r="N541" s="48">
        <f t="shared" si="89"/>
        <v>0</v>
      </c>
      <c r="O541" s="48">
        <f t="shared" ref="O541:O569" si="90">M541*K541</f>
        <v>0</v>
      </c>
      <c r="P541" s="176"/>
      <c r="Q541" s="178"/>
    </row>
    <row r="542" spans="1:17" s="46" customFormat="1">
      <c r="A542" s="47">
        <v>9355</v>
      </c>
      <c r="B542" s="47" t="s">
        <v>15</v>
      </c>
      <c r="C542" s="47" t="s">
        <v>18</v>
      </c>
      <c r="D542" s="47">
        <v>30</v>
      </c>
      <c r="E542" s="47">
        <v>669</v>
      </c>
      <c r="F542" s="47">
        <f>E542-G542</f>
        <v>53</v>
      </c>
      <c r="G542" s="47">
        <v>616</v>
      </c>
      <c r="H542" s="47">
        <v>1</v>
      </c>
      <c r="I542" s="47">
        <v>0.9</v>
      </c>
      <c r="J542" s="47">
        <v>0.73</v>
      </c>
      <c r="K542" s="47">
        <f t="shared" si="87"/>
        <v>0.65700000000000003</v>
      </c>
      <c r="L542" s="48">
        <f>L37-L372-L205</f>
        <v>0</v>
      </c>
      <c r="M542" s="48">
        <f t="shared" si="88"/>
        <v>0</v>
      </c>
      <c r="N542" s="48">
        <f t="shared" si="89"/>
        <v>0</v>
      </c>
      <c r="O542" s="48">
        <f t="shared" si="90"/>
        <v>0</v>
      </c>
      <c r="P542" s="176"/>
      <c r="Q542" s="178"/>
    </row>
    <row r="543" spans="1:17" s="46" customFormat="1">
      <c r="A543" s="47">
        <v>9355</v>
      </c>
      <c r="B543" s="47" t="s">
        <v>15</v>
      </c>
      <c r="C543" s="47" t="s">
        <v>19</v>
      </c>
      <c r="D543" s="47">
        <v>30</v>
      </c>
      <c r="E543" s="47">
        <v>669</v>
      </c>
      <c r="F543" s="47">
        <f>E543-G543</f>
        <v>53</v>
      </c>
      <c r="G543" s="47">
        <v>616</v>
      </c>
      <c r="H543" s="47">
        <v>1</v>
      </c>
      <c r="I543" s="47">
        <v>0.9</v>
      </c>
      <c r="J543" s="47">
        <v>0.73</v>
      </c>
      <c r="K543" s="47">
        <f t="shared" si="87"/>
        <v>0.65700000000000003</v>
      </c>
      <c r="L543" s="48">
        <f>L38-L373-L206</f>
        <v>0</v>
      </c>
      <c r="M543" s="48">
        <f t="shared" si="88"/>
        <v>0</v>
      </c>
      <c r="N543" s="48">
        <f t="shared" si="89"/>
        <v>0</v>
      </c>
      <c r="O543" s="48">
        <f t="shared" si="90"/>
        <v>0</v>
      </c>
      <c r="P543" s="176"/>
      <c r="Q543" s="178"/>
    </row>
    <row r="544" spans="1:17" s="46" customFormat="1">
      <c r="A544" s="47">
        <v>9358</v>
      </c>
      <c r="B544" s="47" t="s">
        <v>14</v>
      </c>
      <c r="C544" s="49" t="s">
        <v>20</v>
      </c>
      <c r="D544" s="47">
        <v>5000</v>
      </c>
      <c r="E544" s="47">
        <v>490</v>
      </c>
      <c r="F544" s="47">
        <v>40</v>
      </c>
      <c r="G544" s="47">
        <v>450</v>
      </c>
      <c r="H544" s="47">
        <v>1</v>
      </c>
      <c r="I544" s="47">
        <v>0.98</v>
      </c>
      <c r="J544" s="47">
        <v>0.83</v>
      </c>
      <c r="K544" s="50">
        <f t="shared" si="87"/>
        <v>0.8133999999999999</v>
      </c>
      <c r="L544" s="48">
        <f>L39-L374-L207</f>
        <v>0</v>
      </c>
      <c r="M544" s="48">
        <f t="shared" si="88"/>
        <v>0</v>
      </c>
      <c r="N544" s="48">
        <f t="shared" si="89"/>
        <v>0</v>
      </c>
      <c r="O544" s="48">
        <f t="shared" si="90"/>
        <v>0</v>
      </c>
      <c r="Q544" s="178"/>
    </row>
    <row r="545" spans="1:17" s="46" customFormat="1">
      <c r="A545" s="47">
        <v>9358</v>
      </c>
      <c r="B545" s="47" t="s">
        <v>14</v>
      </c>
      <c r="C545" s="49" t="s">
        <v>21</v>
      </c>
      <c r="D545" s="47">
        <v>360</v>
      </c>
      <c r="E545" s="47">
        <v>390</v>
      </c>
      <c r="F545" s="47">
        <v>40</v>
      </c>
      <c r="G545" s="47">
        <v>350</v>
      </c>
      <c r="H545" s="47">
        <v>1.05</v>
      </c>
      <c r="I545" s="47">
        <v>0.95</v>
      </c>
      <c r="J545" s="47">
        <v>0.55000000000000004</v>
      </c>
      <c r="K545" s="50">
        <f t="shared" si="87"/>
        <v>0.54862500000000003</v>
      </c>
      <c r="L545" s="48">
        <f>L40-L375-L208</f>
        <v>0</v>
      </c>
      <c r="M545" s="48">
        <f t="shared" si="88"/>
        <v>0</v>
      </c>
      <c r="N545" s="48">
        <f t="shared" si="89"/>
        <v>0</v>
      </c>
      <c r="O545" s="48">
        <f t="shared" si="90"/>
        <v>0</v>
      </c>
      <c r="Q545" s="178"/>
    </row>
    <row r="546" spans="1:17" s="46" customFormat="1">
      <c r="A546" s="47">
        <v>9358</v>
      </c>
      <c r="B546" s="47" t="s">
        <v>14</v>
      </c>
      <c r="C546" s="49" t="s">
        <v>22</v>
      </c>
      <c r="D546" s="51">
        <v>3000</v>
      </c>
      <c r="E546" s="52">
        <v>235</v>
      </c>
      <c r="F546" s="47">
        <v>35</v>
      </c>
      <c r="G546" s="52">
        <v>200</v>
      </c>
      <c r="H546" s="47">
        <v>1.1000000000000001</v>
      </c>
      <c r="I546" s="47">
        <v>1.1000000000000001</v>
      </c>
      <c r="J546" s="47">
        <v>1.02</v>
      </c>
      <c r="K546" s="50">
        <f t="shared" si="87"/>
        <v>1.2342000000000002</v>
      </c>
      <c r="L546" s="48">
        <f>L41-L376-L209</f>
        <v>0</v>
      </c>
      <c r="M546" s="48">
        <f t="shared" si="88"/>
        <v>0</v>
      </c>
      <c r="N546" s="48">
        <f t="shared" si="89"/>
        <v>0</v>
      </c>
      <c r="O546" s="48">
        <f t="shared" si="90"/>
        <v>0</v>
      </c>
      <c r="Q546" s="178"/>
    </row>
    <row r="547" spans="1:17" s="46" customFormat="1">
      <c r="A547" s="47">
        <v>9358</v>
      </c>
      <c r="B547" s="47" t="s">
        <v>14</v>
      </c>
      <c r="C547" s="49" t="s">
        <v>23</v>
      </c>
      <c r="D547" s="53">
        <v>1000</v>
      </c>
      <c r="E547" s="54">
        <v>646</v>
      </c>
      <c r="F547" s="54">
        <f>E547-G547</f>
        <v>40</v>
      </c>
      <c r="G547" s="54">
        <v>606</v>
      </c>
      <c r="H547" s="54">
        <v>1.1000000000000001</v>
      </c>
      <c r="I547" s="54">
        <v>0.8</v>
      </c>
      <c r="J547" s="54">
        <v>0.55000000000000004</v>
      </c>
      <c r="K547" s="48">
        <f t="shared" si="87"/>
        <v>0.4840000000000001</v>
      </c>
      <c r="L547" s="48">
        <f>L42-L377-L210</f>
        <v>0</v>
      </c>
      <c r="M547" s="48">
        <f t="shared" si="88"/>
        <v>0</v>
      </c>
      <c r="N547" s="48">
        <f t="shared" si="89"/>
        <v>0</v>
      </c>
      <c r="O547" s="48">
        <f t="shared" si="90"/>
        <v>0</v>
      </c>
      <c r="Q547" s="178"/>
    </row>
    <row r="548" spans="1:17" s="46" customFormat="1">
      <c r="A548" s="47">
        <v>9356</v>
      </c>
      <c r="B548" s="47" t="s">
        <v>47</v>
      </c>
      <c r="C548" s="49" t="s">
        <v>24</v>
      </c>
      <c r="D548" s="51">
        <v>4000</v>
      </c>
      <c r="E548" s="52">
        <v>424</v>
      </c>
      <c r="F548" s="47">
        <f>E548-G548</f>
        <v>52</v>
      </c>
      <c r="G548" s="52">
        <v>372</v>
      </c>
      <c r="H548" s="47">
        <v>1.1000000000000001</v>
      </c>
      <c r="I548" s="47">
        <v>0.8</v>
      </c>
      <c r="J548" s="47">
        <v>0.55000000000000004</v>
      </c>
      <c r="K548" s="50">
        <f t="shared" si="87"/>
        <v>0.4840000000000001</v>
      </c>
      <c r="L548" s="48">
        <f>L43-L378-L211</f>
        <v>0</v>
      </c>
      <c r="M548" s="48">
        <f t="shared" si="88"/>
        <v>0</v>
      </c>
      <c r="N548" s="48">
        <f t="shared" si="89"/>
        <v>0</v>
      </c>
      <c r="O548" s="48">
        <f t="shared" si="90"/>
        <v>0</v>
      </c>
      <c r="Q548" s="178"/>
    </row>
    <row r="549" spans="1:17" s="46" customFormat="1">
      <c r="A549" s="47">
        <v>9358</v>
      </c>
      <c r="B549" s="47" t="s">
        <v>14</v>
      </c>
      <c r="C549" s="49" t="s">
        <v>25</v>
      </c>
      <c r="D549" s="47">
        <v>1000</v>
      </c>
      <c r="E549" s="47">
        <v>830</v>
      </c>
      <c r="F549" s="47">
        <v>40</v>
      </c>
      <c r="G549" s="47">
        <v>790</v>
      </c>
      <c r="H549" s="47">
        <v>1.04</v>
      </c>
      <c r="I549" s="47">
        <v>0.84</v>
      </c>
      <c r="J549" s="47">
        <v>0.64</v>
      </c>
      <c r="K549" s="50">
        <f t="shared" si="87"/>
        <v>0.55910400000000005</v>
      </c>
      <c r="L549" s="48">
        <f>L44-L379-L212</f>
        <v>0</v>
      </c>
      <c r="M549" s="48">
        <f t="shared" si="88"/>
        <v>0</v>
      </c>
      <c r="N549" s="48">
        <f t="shared" si="89"/>
        <v>0</v>
      </c>
      <c r="O549" s="48">
        <f t="shared" si="90"/>
        <v>0</v>
      </c>
      <c r="Q549" s="178"/>
    </row>
    <row r="550" spans="1:17" s="46" customFormat="1">
      <c r="A550" s="47">
        <v>9358</v>
      </c>
      <c r="B550" s="47" t="s">
        <v>14</v>
      </c>
      <c r="C550" s="49" t="s">
        <v>26</v>
      </c>
      <c r="D550" s="47">
        <v>4000</v>
      </c>
      <c r="E550" s="47">
        <v>223</v>
      </c>
      <c r="F550" s="47">
        <v>30</v>
      </c>
      <c r="G550" s="47">
        <v>188</v>
      </c>
      <c r="H550" s="47">
        <v>0.86</v>
      </c>
      <c r="I550" s="47">
        <v>0.78</v>
      </c>
      <c r="J550" s="47">
        <v>0.74</v>
      </c>
      <c r="K550" s="50">
        <f t="shared" si="87"/>
        <v>0.49639200000000006</v>
      </c>
      <c r="L550" s="48">
        <f>L45-L380-L213</f>
        <v>0</v>
      </c>
      <c r="M550" s="48">
        <f t="shared" si="88"/>
        <v>0</v>
      </c>
      <c r="N550" s="48">
        <f t="shared" si="89"/>
        <v>0</v>
      </c>
      <c r="O550" s="48">
        <f t="shared" si="90"/>
        <v>0</v>
      </c>
      <c r="Q550" s="178"/>
    </row>
    <row r="551" spans="1:17" s="46" customFormat="1">
      <c r="A551" s="47">
        <v>9355</v>
      </c>
      <c r="B551" s="47" t="s">
        <v>15</v>
      </c>
      <c r="C551" s="49" t="s">
        <v>27</v>
      </c>
      <c r="D551" s="55">
        <v>12</v>
      </c>
      <c r="E551" s="55">
        <v>435</v>
      </c>
      <c r="F551" s="55">
        <v>39</v>
      </c>
      <c r="G551" s="55">
        <v>396</v>
      </c>
      <c r="H551" s="55">
        <v>0.86</v>
      </c>
      <c r="I551" s="55">
        <v>0.56000000000000005</v>
      </c>
      <c r="J551" s="55">
        <v>0.51</v>
      </c>
      <c r="K551" s="56">
        <f t="shared" si="87"/>
        <v>0.24561600000000003</v>
      </c>
      <c r="L551" s="48">
        <f>L46-L381-L214</f>
        <v>0</v>
      </c>
      <c r="M551" s="48">
        <f t="shared" si="88"/>
        <v>0</v>
      </c>
      <c r="N551" s="48">
        <f t="shared" si="89"/>
        <v>0</v>
      </c>
      <c r="O551" s="48">
        <f t="shared" si="90"/>
        <v>0</v>
      </c>
      <c r="P551" s="176">
        <f>SUM(L551:L555)</f>
        <v>0</v>
      </c>
      <c r="Q551" s="178"/>
    </row>
    <row r="552" spans="1:17" s="46" customFormat="1">
      <c r="A552" s="47">
        <v>9355</v>
      </c>
      <c r="B552" s="47" t="s">
        <v>15</v>
      </c>
      <c r="C552" s="49" t="s">
        <v>28</v>
      </c>
      <c r="D552" s="55">
        <v>12</v>
      </c>
      <c r="E552" s="55">
        <v>520</v>
      </c>
      <c r="F552" s="55">
        <v>40</v>
      </c>
      <c r="G552" s="55">
        <v>480</v>
      </c>
      <c r="H552" s="55">
        <v>1.03</v>
      </c>
      <c r="I552" s="55">
        <v>0.56000000000000005</v>
      </c>
      <c r="J552" s="55">
        <v>0.51</v>
      </c>
      <c r="K552" s="56">
        <f t="shared" si="87"/>
        <v>0.29416800000000004</v>
      </c>
      <c r="L552" s="48">
        <f>L47-L382-L215</f>
        <v>0</v>
      </c>
      <c r="M552" s="48">
        <f t="shared" si="88"/>
        <v>0</v>
      </c>
      <c r="N552" s="48">
        <f t="shared" si="89"/>
        <v>0</v>
      </c>
      <c r="O552" s="48">
        <f t="shared" si="90"/>
        <v>0</v>
      </c>
      <c r="P552" s="176"/>
      <c r="Q552" s="178"/>
    </row>
    <row r="553" spans="1:17" s="46" customFormat="1">
      <c r="A553" s="47">
        <v>9355</v>
      </c>
      <c r="B553" s="47" t="s">
        <v>15</v>
      </c>
      <c r="C553" s="49" t="s">
        <v>29</v>
      </c>
      <c r="D553" s="55">
        <v>12</v>
      </c>
      <c r="E553" s="55">
        <v>596</v>
      </c>
      <c r="F553" s="55">
        <v>44</v>
      </c>
      <c r="G553" s="55">
        <v>552</v>
      </c>
      <c r="H553" s="55">
        <v>1.17</v>
      </c>
      <c r="I553" s="55">
        <v>0.56000000000000005</v>
      </c>
      <c r="J553" s="55">
        <v>0.51</v>
      </c>
      <c r="K553" s="56">
        <f t="shared" si="87"/>
        <v>0.334152</v>
      </c>
      <c r="L553" s="48">
        <f>L48-L383-L216</f>
        <v>0</v>
      </c>
      <c r="M553" s="48">
        <f t="shared" si="88"/>
        <v>0</v>
      </c>
      <c r="N553" s="48">
        <f t="shared" si="89"/>
        <v>0</v>
      </c>
      <c r="O553" s="48">
        <f t="shared" si="90"/>
        <v>0</v>
      </c>
      <c r="P553" s="176"/>
      <c r="Q553" s="178"/>
    </row>
    <row r="554" spans="1:17" s="46" customFormat="1">
      <c r="A554" s="47">
        <v>9355</v>
      </c>
      <c r="B554" s="47" t="s">
        <v>15</v>
      </c>
      <c r="C554" s="49" t="s">
        <v>30</v>
      </c>
      <c r="D554" s="57">
        <v>12</v>
      </c>
      <c r="E554" s="55">
        <v>654</v>
      </c>
      <c r="F554" s="55">
        <v>42</v>
      </c>
      <c r="G554" s="55">
        <v>612</v>
      </c>
      <c r="H554" s="55">
        <v>1.2749999999999999</v>
      </c>
      <c r="I554" s="55">
        <v>0.56000000000000005</v>
      </c>
      <c r="J554" s="55">
        <v>0.51</v>
      </c>
      <c r="K554" s="56">
        <f t="shared" si="87"/>
        <v>0.36413999999999996</v>
      </c>
      <c r="L554" s="48">
        <f>L49-L384-L217</f>
        <v>0</v>
      </c>
      <c r="M554" s="48">
        <f t="shared" si="88"/>
        <v>0</v>
      </c>
      <c r="N554" s="48">
        <f t="shared" si="89"/>
        <v>0</v>
      </c>
      <c r="O554" s="48">
        <f t="shared" si="90"/>
        <v>0</v>
      </c>
      <c r="P554" s="176"/>
      <c r="Q554" s="178"/>
    </row>
    <row r="555" spans="1:17" s="46" customFormat="1">
      <c r="A555" s="47">
        <v>9355</v>
      </c>
      <c r="B555" s="47" t="s">
        <v>15</v>
      </c>
      <c r="C555" s="49" t="s">
        <v>31</v>
      </c>
      <c r="D555" s="57">
        <v>6</v>
      </c>
      <c r="E555" s="55">
        <v>410</v>
      </c>
      <c r="F555" s="55">
        <v>50</v>
      </c>
      <c r="G555" s="55">
        <v>360</v>
      </c>
      <c r="H555" s="55">
        <v>1.48</v>
      </c>
      <c r="I555" s="55">
        <v>0.56000000000000005</v>
      </c>
      <c r="J555" s="55">
        <v>0.37</v>
      </c>
      <c r="K555" s="56">
        <f t="shared" si="87"/>
        <v>0.30665600000000004</v>
      </c>
      <c r="L555" s="48">
        <f>L50-L385-L218</f>
        <v>0</v>
      </c>
      <c r="M555" s="48">
        <f t="shared" si="88"/>
        <v>0</v>
      </c>
      <c r="N555" s="48">
        <f t="shared" si="89"/>
        <v>0</v>
      </c>
      <c r="O555" s="48">
        <f t="shared" si="90"/>
        <v>0</v>
      </c>
      <c r="P555" s="176"/>
      <c r="Q555" s="178"/>
    </row>
    <row r="556" spans="1:17" s="46" customFormat="1">
      <c r="A556" s="47">
        <v>9358</v>
      </c>
      <c r="B556" s="47" t="s">
        <v>14</v>
      </c>
      <c r="C556" s="49" t="s">
        <v>32</v>
      </c>
      <c r="D556" s="52">
        <v>1000</v>
      </c>
      <c r="E556" s="52">
        <f t="shared" ref="E556:E565" si="91">G556+F556</f>
        <v>395</v>
      </c>
      <c r="F556" s="52">
        <v>40</v>
      </c>
      <c r="G556" s="52">
        <v>355</v>
      </c>
      <c r="H556" s="52">
        <v>1.05</v>
      </c>
      <c r="I556" s="52">
        <v>0.9</v>
      </c>
      <c r="J556" s="52">
        <v>0.55000000000000004</v>
      </c>
      <c r="K556" s="48">
        <f t="shared" si="87"/>
        <v>0.51975000000000005</v>
      </c>
      <c r="L556" s="48">
        <f>L51-L386-L219</f>
        <v>0</v>
      </c>
      <c r="M556" s="48">
        <f t="shared" si="88"/>
        <v>0</v>
      </c>
      <c r="N556" s="48">
        <f t="shared" si="89"/>
        <v>0</v>
      </c>
      <c r="O556" s="48">
        <f t="shared" si="90"/>
        <v>0</v>
      </c>
      <c r="Q556" s="178"/>
    </row>
    <row r="557" spans="1:17" s="46" customFormat="1">
      <c r="A557" s="47">
        <v>9358</v>
      </c>
      <c r="B557" s="47" t="s">
        <v>14</v>
      </c>
      <c r="C557" s="49" t="s">
        <v>33</v>
      </c>
      <c r="D557" s="52">
        <v>450</v>
      </c>
      <c r="E557" s="52">
        <f t="shared" si="91"/>
        <v>360</v>
      </c>
      <c r="F557" s="52">
        <v>40</v>
      </c>
      <c r="G557" s="52">
        <v>320</v>
      </c>
      <c r="H557" s="47">
        <v>1.1000000000000001</v>
      </c>
      <c r="I557" s="52">
        <v>0.9</v>
      </c>
      <c r="J557" s="47">
        <v>0.75</v>
      </c>
      <c r="K557" s="50">
        <f t="shared" si="87"/>
        <v>0.74250000000000005</v>
      </c>
      <c r="L557" s="48">
        <f>L52-L387-L220</f>
        <v>0</v>
      </c>
      <c r="M557" s="48">
        <f t="shared" si="88"/>
        <v>0</v>
      </c>
      <c r="N557" s="48">
        <f t="shared" si="89"/>
        <v>0</v>
      </c>
      <c r="O557" s="48">
        <f t="shared" si="90"/>
        <v>0</v>
      </c>
      <c r="Q557" s="178"/>
    </row>
    <row r="558" spans="1:17" s="46" customFormat="1">
      <c r="A558" s="47">
        <v>9358</v>
      </c>
      <c r="B558" s="47" t="s">
        <v>14</v>
      </c>
      <c r="C558" s="49" t="s">
        <v>34</v>
      </c>
      <c r="D558" s="52">
        <v>1000</v>
      </c>
      <c r="E558" s="52">
        <f t="shared" si="91"/>
        <v>492</v>
      </c>
      <c r="F558" s="52">
        <v>40</v>
      </c>
      <c r="G558" s="52">
        <v>452</v>
      </c>
      <c r="H558" s="52">
        <v>1.1000000000000001</v>
      </c>
      <c r="I558" s="52">
        <v>1.05</v>
      </c>
      <c r="J558" s="52">
        <v>0.55000000000000004</v>
      </c>
      <c r="K558" s="48">
        <f t="shared" si="87"/>
        <v>0.6352500000000002</v>
      </c>
      <c r="L558" s="48">
        <f>L53-L388-L221</f>
        <v>0</v>
      </c>
      <c r="M558" s="48">
        <f t="shared" si="88"/>
        <v>0</v>
      </c>
      <c r="N558" s="48">
        <f t="shared" si="89"/>
        <v>0</v>
      </c>
      <c r="O558" s="48">
        <f t="shared" si="90"/>
        <v>0</v>
      </c>
      <c r="Q558" s="178"/>
    </row>
    <row r="559" spans="1:17" s="46" customFormat="1">
      <c r="A559" s="47">
        <v>9358</v>
      </c>
      <c r="B559" s="47" t="s">
        <v>14</v>
      </c>
      <c r="C559" s="49" t="s">
        <v>35</v>
      </c>
      <c r="D559" s="52">
        <v>450</v>
      </c>
      <c r="E559" s="52">
        <f t="shared" si="91"/>
        <v>421.5</v>
      </c>
      <c r="F559" s="52">
        <v>40</v>
      </c>
      <c r="G559" s="52">
        <v>381.5</v>
      </c>
      <c r="H559" s="52">
        <v>1.05</v>
      </c>
      <c r="I559" s="52">
        <v>1.05</v>
      </c>
      <c r="J559" s="47">
        <v>0.75</v>
      </c>
      <c r="K559" s="50">
        <f t="shared" si="87"/>
        <v>0.82687500000000003</v>
      </c>
      <c r="L559" s="48">
        <f>L54-L389-L222</f>
        <v>0</v>
      </c>
      <c r="M559" s="48">
        <f t="shared" si="88"/>
        <v>0</v>
      </c>
      <c r="N559" s="48">
        <f t="shared" si="89"/>
        <v>0</v>
      </c>
      <c r="O559" s="48">
        <f t="shared" si="90"/>
        <v>0</v>
      </c>
      <c r="Q559" s="178"/>
    </row>
    <row r="560" spans="1:17" s="46" customFormat="1">
      <c r="A560" s="47">
        <v>9358</v>
      </c>
      <c r="B560" s="47" t="s">
        <v>14</v>
      </c>
      <c r="C560" s="49" t="s">
        <v>36</v>
      </c>
      <c r="D560" s="52">
        <v>1000</v>
      </c>
      <c r="E560" s="52">
        <f t="shared" si="91"/>
        <v>574</v>
      </c>
      <c r="F560" s="52">
        <v>40</v>
      </c>
      <c r="G560" s="52">
        <v>534</v>
      </c>
      <c r="H560" s="52">
        <v>1.1000000000000001</v>
      </c>
      <c r="I560" s="52">
        <v>1.2</v>
      </c>
      <c r="J560" s="52">
        <v>0.55000000000000004</v>
      </c>
      <c r="K560" s="48">
        <f t="shared" si="87"/>
        <v>0.72600000000000009</v>
      </c>
      <c r="L560" s="48">
        <f>L55-L390-L223</f>
        <v>0</v>
      </c>
      <c r="M560" s="48">
        <f t="shared" si="88"/>
        <v>0</v>
      </c>
      <c r="N560" s="48">
        <f t="shared" si="89"/>
        <v>0</v>
      </c>
      <c r="O560" s="48">
        <f t="shared" si="90"/>
        <v>0</v>
      </c>
      <c r="Q560" s="178"/>
    </row>
    <row r="561" spans="1:17" s="46" customFormat="1">
      <c r="A561" s="47">
        <v>9358</v>
      </c>
      <c r="B561" s="47" t="s">
        <v>14</v>
      </c>
      <c r="C561" s="49" t="s">
        <v>37</v>
      </c>
      <c r="D561" s="52">
        <v>450</v>
      </c>
      <c r="E561" s="52">
        <f t="shared" si="91"/>
        <v>475</v>
      </c>
      <c r="F561" s="52">
        <v>40</v>
      </c>
      <c r="G561" s="52">
        <v>435</v>
      </c>
      <c r="H561" s="52">
        <v>1.05</v>
      </c>
      <c r="I561" s="52">
        <v>1.2</v>
      </c>
      <c r="J561" s="47">
        <v>0.75</v>
      </c>
      <c r="K561" s="48">
        <f t="shared" si="87"/>
        <v>0.94500000000000006</v>
      </c>
      <c r="L561" s="48">
        <f>L56-L391-L224</f>
        <v>0</v>
      </c>
      <c r="M561" s="48">
        <f t="shared" si="88"/>
        <v>0</v>
      </c>
      <c r="N561" s="48">
        <f t="shared" si="89"/>
        <v>0</v>
      </c>
      <c r="O561" s="48">
        <f t="shared" si="90"/>
        <v>0</v>
      </c>
      <c r="Q561" s="178"/>
    </row>
    <row r="562" spans="1:17" s="46" customFormat="1">
      <c r="A562" s="47">
        <v>9358</v>
      </c>
      <c r="B562" s="47" t="s">
        <v>14</v>
      </c>
      <c r="C562" s="49" t="s">
        <v>38</v>
      </c>
      <c r="D562" s="52">
        <v>1000</v>
      </c>
      <c r="E562" s="52">
        <f t="shared" si="91"/>
        <v>645</v>
      </c>
      <c r="F562" s="52">
        <v>40</v>
      </c>
      <c r="G562" s="52">
        <v>605</v>
      </c>
      <c r="H562" s="52">
        <v>1.1000000000000001</v>
      </c>
      <c r="I562" s="52">
        <v>1.3</v>
      </c>
      <c r="J562" s="52">
        <v>0.55000000000000004</v>
      </c>
      <c r="K562" s="48">
        <f t="shared" si="87"/>
        <v>0.7865000000000002</v>
      </c>
      <c r="L562" s="48">
        <f>L57-L392-L225</f>
        <v>0</v>
      </c>
      <c r="M562" s="48">
        <f t="shared" si="88"/>
        <v>0</v>
      </c>
      <c r="N562" s="48">
        <f t="shared" si="89"/>
        <v>0</v>
      </c>
      <c r="O562" s="48">
        <f t="shared" si="90"/>
        <v>0</v>
      </c>
      <c r="Q562" s="178"/>
    </row>
    <row r="563" spans="1:17" s="46" customFormat="1">
      <c r="A563" s="47">
        <v>9358</v>
      </c>
      <c r="B563" s="47" t="s">
        <v>14</v>
      </c>
      <c r="C563" s="49" t="s">
        <v>39</v>
      </c>
      <c r="D563" s="52">
        <v>450</v>
      </c>
      <c r="E563" s="52">
        <f t="shared" si="91"/>
        <v>515</v>
      </c>
      <c r="F563" s="52">
        <v>40</v>
      </c>
      <c r="G563" s="52">
        <v>475</v>
      </c>
      <c r="H563" s="52">
        <v>1.05</v>
      </c>
      <c r="I563" s="52">
        <v>1.3</v>
      </c>
      <c r="J563" s="47">
        <v>0.75</v>
      </c>
      <c r="K563" s="48">
        <f t="shared" si="87"/>
        <v>1.0237500000000002</v>
      </c>
      <c r="L563" s="48">
        <f>L58-L393-L226</f>
        <v>0</v>
      </c>
      <c r="M563" s="48">
        <f t="shared" si="88"/>
        <v>0</v>
      </c>
      <c r="N563" s="48">
        <f t="shared" si="89"/>
        <v>0</v>
      </c>
      <c r="O563" s="48">
        <f t="shared" si="90"/>
        <v>0</v>
      </c>
      <c r="Q563" s="178"/>
    </row>
    <row r="564" spans="1:17" s="46" customFormat="1">
      <c r="A564" s="47">
        <v>9358</v>
      </c>
      <c r="B564" s="47" t="s">
        <v>14</v>
      </c>
      <c r="C564" s="49" t="s">
        <v>40</v>
      </c>
      <c r="D564" s="52">
        <v>1000</v>
      </c>
      <c r="E564" s="52">
        <f t="shared" si="91"/>
        <v>645</v>
      </c>
      <c r="F564" s="52">
        <v>40</v>
      </c>
      <c r="G564" s="52">
        <v>605</v>
      </c>
      <c r="H564" s="52">
        <v>1.1000000000000001</v>
      </c>
      <c r="I564" s="52">
        <v>1.3</v>
      </c>
      <c r="J564" s="52">
        <v>0.55000000000000004</v>
      </c>
      <c r="K564" s="48">
        <f t="shared" si="87"/>
        <v>0.7865000000000002</v>
      </c>
      <c r="L564" s="48">
        <f>L59-L394-L227</f>
        <v>0</v>
      </c>
      <c r="M564" s="48">
        <f t="shared" si="88"/>
        <v>0</v>
      </c>
      <c r="N564" s="48">
        <f t="shared" si="89"/>
        <v>0</v>
      </c>
      <c r="O564" s="48">
        <f t="shared" si="90"/>
        <v>0</v>
      </c>
      <c r="Q564" s="178"/>
    </row>
    <row r="565" spans="1:17" s="46" customFormat="1">
      <c r="A565" s="47">
        <v>9358</v>
      </c>
      <c r="B565" s="47" t="s">
        <v>14</v>
      </c>
      <c r="C565" s="49" t="s">
        <v>41</v>
      </c>
      <c r="D565" s="52">
        <v>450</v>
      </c>
      <c r="E565" s="52">
        <f t="shared" si="91"/>
        <v>515</v>
      </c>
      <c r="F565" s="52">
        <v>40</v>
      </c>
      <c r="G565" s="52">
        <v>475</v>
      </c>
      <c r="H565" s="52">
        <v>1.05</v>
      </c>
      <c r="I565" s="52">
        <v>1.3</v>
      </c>
      <c r="J565" s="47">
        <v>0.75</v>
      </c>
      <c r="K565" s="48">
        <f t="shared" si="87"/>
        <v>1.0237500000000002</v>
      </c>
      <c r="L565" s="48">
        <f>L60-L395-L228</f>
        <v>0</v>
      </c>
      <c r="M565" s="48">
        <f t="shared" si="88"/>
        <v>0</v>
      </c>
      <c r="N565" s="48">
        <f t="shared" si="89"/>
        <v>0</v>
      </c>
      <c r="O565" s="48">
        <f t="shared" si="90"/>
        <v>0</v>
      </c>
      <c r="Q565" s="178"/>
    </row>
    <row r="566" spans="1:17" s="46" customFormat="1">
      <c r="A566" s="47">
        <v>9358</v>
      </c>
      <c r="B566" s="47" t="s">
        <v>14</v>
      </c>
      <c r="C566" s="49" t="s">
        <v>22</v>
      </c>
      <c r="D566" s="51">
        <v>3000</v>
      </c>
      <c r="E566" s="52">
        <v>235</v>
      </c>
      <c r="F566" s="47">
        <v>35</v>
      </c>
      <c r="G566" s="52">
        <v>200</v>
      </c>
      <c r="H566" s="47">
        <v>1.1000000000000001</v>
      </c>
      <c r="I566" s="47">
        <v>1.1000000000000001</v>
      </c>
      <c r="J566" s="47">
        <v>1.02</v>
      </c>
      <c r="K566" s="50">
        <f t="shared" si="87"/>
        <v>1.2342000000000002</v>
      </c>
      <c r="L566" s="48">
        <f>L61-L396-L229</f>
        <v>0</v>
      </c>
      <c r="M566" s="48">
        <f t="shared" si="88"/>
        <v>0</v>
      </c>
      <c r="N566" s="48">
        <f t="shared" si="89"/>
        <v>0</v>
      </c>
      <c r="O566" s="48">
        <f t="shared" si="90"/>
        <v>0</v>
      </c>
      <c r="Q566" s="178"/>
    </row>
    <row r="567" spans="1:17" s="46" customFormat="1">
      <c r="A567" s="47">
        <v>9358</v>
      </c>
      <c r="B567" s="47" t="s">
        <v>14</v>
      </c>
      <c r="C567" s="49" t="s">
        <v>23</v>
      </c>
      <c r="D567" s="53">
        <v>1000</v>
      </c>
      <c r="E567" s="54">
        <v>646</v>
      </c>
      <c r="F567" s="54">
        <f>E567-G567</f>
        <v>40</v>
      </c>
      <c r="G567" s="54">
        <v>606</v>
      </c>
      <c r="H567" s="54">
        <v>1.1000000000000001</v>
      </c>
      <c r="I567" s="54">
        <v>0.8</v>
      </c>
      <c r="J567" s="54">
        <v>0.55000000000000004</v>
      </c>
      <c r="K567" s="48">
        <f t="shared" si="87"/>
        <v>0.4840000000000001</v>
      </c>
      <c r="L567" s="48">
        <f>L62-L397-L230</f>
        <v>0</v>
      </c>
      <c r="M567" s="48">
        <f t="shared" si="88"/>
        <v>0</v>
      </c>
      <c r="N567" s="48">
        <f t="shared" si="89"/>
        <v>0</v>
      </c>
      <c r="O567" s="48">
        <f t="shared" si="90"/>
        <v>0</v>
      </c>
      <c r="Q567" s="178"/>
    </row>
    <row r="568" spans="1:17" s="46" customFormat="1">
      <c r="A568" s="47">
        <v>9358</v>
      </c>
      <c r="B568" s="47" t="s">
        <v>14</v>
      </c>
      <c r="C568" s="49" t="s">
        <v>46</v>
      </c>
      <c r="D568" s="51">
        <v>4000</v>
      </c>
      <c r="E568" s="52">
        <v>424</v>
      </c>
      <c r="F568" s="47">
        <f>E568-G568</f>
        <v>52</v>
      </c>
      <c r="G568" s="52">
        <v>372</v>
      </c>
      <c r="H568" s="47">
        <v>1.1000000000000001</v>
      </c>
      <c r="I568" s="47">
        <v>0.8</v>
      </c>
      <c r="J568" s="47">
        <v>0.55000000000000004</v>
      </c>
      <c r="K568" s="50">
        <f t="shared" si="87"/>
        <v>0.4840000000000001</v>
      </c>
      <c r="L568" s="48">
        <f>L63-L398-L231</f>
        <v>0</v>
      </c>
      <c r="M568" s="48">
        <f t="shared" si="88"/>
        <v>0</v>
      </c>
      <c r="N568" s="48">
        <f t="shared" si="89"/>
        <v>0</v>
      </c>
      <c r="O568" s="48">
        <f t="shared" si="90"/>
        <v>0</v>
      </c>
      <c r="Q568" s="178"/>
    </row>
    <row r="569" spans="1:17" s="46" customFormat="1">
      <c r="A569" s="47">
        <v>9358</v>
      </c>
      <c r="B569" s="47" t="s">
        <v>14</v>
      </c>
      <c r="C569" s="49" t="s">
        <v>42</v>
      </c>
      <c r="D569" s="58">
        <v>1200</v>
      </c>
      <c r="E569" s="162">
        <v>666.4</v>
      </c>
      <c r="F569" s="162">
        <v>40</v>
      </c>
      <c r="G569" s="59">
        <v>588</v>
      </c>
      <c r="H569" s="164">
        <v>1</v>
      </c>
      <c r="I569" s="164">
        <v>0.75</v>
      </c>
      <c r="J569" s="164">
        <v>0.7</v>
      </c>
      <c r="K569" s="166">
        <v>0.5</v>
      </c>
      <c r="L569" s="174">
        <f>L64-L399-L232</f>
        <v>0</v>
      </c>
      <c r="M569" s="174">
        <f t="shared" si="88"/>
        <v>0</v>
      </c>
      <c r="N569" s="174">
        <f t="shared" si="89"/>
        <v>0</v>
      </c>
      <c r="O569" s="184">
        <f t="shared" si="90"/>
        <v>0</v>
      </c>
      <c r="Q569" s="178"/>
    </row>
    <row r="570" spans="1:17" s="46" customFormat="1">
      <c r="A570" s="47">
        <v>9358</v>
      </c>
      <c r="B570" s="47" t="s">
        <v>14</v>
      </c>
      <c r="C570" s="49" t="s">
        <v>43</v>
      </c>
      <c r="D570" s="58">
        <v>1200</v>
      </c>
      <c r="E570" s="163"/>
      <c r="F570" s="163"/>
      <c r="G570" s="59">
        <v>38.4</v>
      </c>
      <c r="H570" s="165"/>
      <c r="I570" s="165"/>
      <c r="J570" s="165"/>
      <c r="K570" s="167"/>
      <c r="L570" s="175">
        <f>L65-L400-L233</f>
        <v>0</v>
      </c>
      <c r="M570" s="175"/>
      <c r="N570" s="175"/>
      <c r="O570" s="185"/>
      <c r="Q570" s="178"/>
    </row>
    <row r="571" spans="1:17" s="46" customFormat="1" ht="15" thickBot="1">
      <c r="A571" s="47">
        <v>9358</v>
      </c>
      <c r="B571" s="47" t="s">
        <v>14</v>
      </c>
      <c r="C571" s="49" t="s">
        <v>60</v>
      </c>
      <c r="D571" s="58"/>
      <c r="E571" s="79"/>
      <c r="F571" s="79"/>
      <c r="G571" s="59"/>
      <c r="H571" s="80"/>
      <c r="I571" s="80"/>
      <c r="J571" s="80"/>
      <c r="K571" s="74"/>
      <c r="L571" s="66">
        <f>L66-L401-L234</f>
        <v>0</v>
      </c>
      <c r="M571" s="66"/>
      <c r="N571" s="66"/>
      <c r="O571" s="67"/>
      <c r="Q571" s="179"/>
    </row>
    <row r="572" spans="1:17" s="17" customFormat="1">
      <c r="A572" s="20">
        <v>9355</v>
      </c>
      <c r="B572" s="20" t="s">
        <v>15</v>
      </c>
      <c r="C572" s="20" t="s">
        <v>16</v>
      </c>
      <c r="D572" s="20">
        <v>30</v>
      </c>
      <c r="E572" s="20">
        <v>669</v>
      </c>
      <c r="F572" s="20">
        <f>E572-G572</f>
        <v>53</v>
      </c>
      <c r="G572" s="20">
        <v>616</v>
      </c>
      <c r="H572" s="20">
        <v>1</v>
      </c>
      <c r="I572" s="20">
        <v>0.9</v>
      </c>
      <c r="J572" s="20">
        <v>0.73</v>
      </c>
      <c r="K572" s="20">
        <f t="shared" ref="K572:K600" si="92">H572*I572*J572</f>
        <v>0.65700000000000003</v>
      </c>
      <c r="L572" s="23">
        <f>L67-L402-L235</f>
        <v>0</v>
      </c>
      <c r="M572" s="23">
        <f t="shared" ref="M572:M601" si="93">L572/D572</f>
        <v>0</v>
      </c>
      <c r="N572" s="23">
        <f t="shared" ref="N572:N601" si="94">E572*M572</f>
        <v>0</v>
      </c>
      <c r="O572" s="23">
        <f>M572*K572</f>
        <v>0</v>
      </c>
      <c r="P572" s="186">
        <f>SUM(L572:L575)</f>
        <v>0</v>
      </c>
      <c r="Q572" s="187" t="s">
        <v>54</v>
      </c>
    </row>
    <row r="573" spans="1:17" s="17" customFormat="1">
      <c r="A573" s="20">
        <v>9355</v>
      </c>
      <c r="B573" s="20" t="s">
        <v>15</v>
      </c>
      <c r="C573" s="20" t="s">
        <v>17</v>
      </c>
      <c r="D573" s="20">
        <v>30</v>
      </c>
      <c r="E573" s="20">
        <v>669</v>
      </c>
      <c r="F573" s="20">
        <f>E573-G573</f>
        <v>53</v>
      </c>
      <c r="G573" s="20">
        <v>616</v>
      </c>
      <c r="H573" s="20">
        <v>1</v>
      </c>
      <c r="I573" s="20">
        <v>0.9</v>
      </c>
      <c r="J573" s="20">
        <v>0.73</v>
      </c>
      <c r="K573" s="20">
        <f t="shared" si="92"/>
        <v>0.65700000000000003</v>
      </c>
      <c r="L573" s="23">
        <f>L68-L403-L236</f>
        <v>0</v>
      </c>
      <c r="M573" s="23">
        <f t="shared" si="93"/>
        <v>0</v>
      </c>
      <c r="N573" s="23">
        <f t="shared" si="94"/>
        <v>0</v>
      </c>
      <c r="O573" s="23">
        <f t="shared" ref="O573:O601" si="95">M573*K573</f>
        <v>0</v>
      </c>
      <c r="P573" s="186"/>
      <c r="Q573" s="188"/>
    </row>
    <row r="574" spans="1:17" s="17" customFormat="1">
      <c r="A574" s="20">
        <v>9355</v>
      </c>
      <c r="B574" s="20" t="s">
        <v>15</v>
      </c>
      <c r="C574" s="20" t="s">
        <v>18</v>
      </c>
      <c r="D574" s="20">
        <v>30</v>
      </c>
      <c r="E574" s="20">
        <v>669</v>
      </c>
      <c r="F574" s="20">
        <f>E574-G574</f>
        <v>53</v>
      </c>
      <c r="G574" s="20">
        <v>616</v>
      </c>
      <c r="H574" s="20">
        <v>1</v>
      </c>
      <c r="I574" s="20">
        <v>0.9</v>
      </c>
      <c r="J574" s="20">
        <v>0.73</v>
      </c>
      <c r="K574" s="20">
        <f t="shared" si="92"/>
        <v>0.65700000000000003</v>
      </c>
      <c r="L574" s="23">
        <f>L69-L404-L237</f>
        <v>0</v>
      </c>
      <c r="M574" s="23">
        <f t="shared" si="93"/>
        <v>0</v>
      </c>
      <c r="N574" s="23">
        <f t="shared" si="94"/>
        <v>0</v>
      </c>
      <c r="O574" s="23">
        <f t="shared" si="95"/>
        <v>0</v>
      </c>
      <c r="P574" s="186"/>
      <c r="Q574" s="188"/>
    </row>
    <row r="575" spans="1:17" s="17" customFormat="1">
      <c r="A575" s="20">
        <v>9355</v>
      </c>
      <c r="B575" s="20" t="s">
        <v>15</v>
      </c>
      <c r="C575" s="20" t="s">
        <v>19</v>
      </c>
      <c r="D575" s="20">
        <v>30</v>
      </c>
      <c r="E575" s="20">
        <v>669</v>
      </c>
      <c r="F575" s="20">
        <f>E575-G575</f>
        <v>53</v>
      </c>
      <c r="G575" s="20">
        <v>616</v>
      </c>
      <c r="H575" s="20">
        <v>1</v>
      </c>
      <c r="I575" s="20">
        <v>0.9</v>
      </c>
      <c r="J575" s="20">
        <v>0.73</v>
      </c>
      <c r="K575" s="20">
        <f t="shared" si="92"/>
        <v>0.65700000000000003</v>
      </c>
      <c r="L575" s="23">
        <f>L70-L405-L238</f>
        <v>0</v>
      </c>
      <c r="M575" s="23">
        <f t="shared" si="93"/>
        <v>0</v>
      </c>
      <c r="N575" s="23">
        <f t="shared" si="94"/>
        <v>0</v>
      </c>
      <c r="O575" s="23">
        <f t="shared" si="95"/>
        <v>0</v>
      </c>
      <c r="P575" s="186"/>
      <c r="Q575" s="188"/>
    </row>
    <row r="576" spans="1:17" s="17" customFormat="1">
      <c r="A576" s="20">
        <v>9358</v>
      </c>
      <c r="B576" s="20" t="s">
        <v>14</v>
      </c>
      <c r="C576" s="21" t="s">
        <v>20</v>
      </c>
      <c r="D576" s="20">
        <v>5000</v>
      </c>
      <c r="E576" s="20">
        <v>490</v>
      </c>
      <c r="F576" s="20">
        <v>40</v>
      </c>
      <c r="G576" s="20">
        <v>450</v>
      </c>
      <c r="H576" s="20">
        <v>1</v>
      </c>
      <c r="I576" s="20">
        <v>0.98</v>
      </c>
      <c r="J576" s="20">
        <v>0.83</v>
      </c>
      <c r="K576" s="22">
        <f t="shared" si="92"/>
        <v>0.8133999999999999</v>
      </c>
      <c r="L576" s="23">
        <f>L71-L406-L239</f>
        <v>0</v>
      </c>
      <c r="M576" s="23">
        <f t="shared" si="93"/>
        <v>0</v>
      </c>
      <c r="N576" s="23">
        <f t="shared" si="94"/>
        <v>0</v>
      </c>
      <c r="O576" s="23">
        <f t="shared" si="95"/>
        <v>0</v>
      </c>
      <c r="Q576" s="188"/>
    </row>
    <row r="577" spans="1:17" s="17" customFormat="1">
      <c r="A577" s="20">
        <v>9358</v>
      </c>
      <c r="B577" s="20" t="s">
        <v>14</v>
      </c>
      <c r="C577" s="21" t="s">
        <v>21</v>
      </c>
      <c r="D577" s="20">
        <v>360</v>
      </c>
      <c r="E577" s="20">
        <v>390</v>
      </c>
      <c r="F577" s="20">
        <v>40</v>
      </c>
      <c r="G577" s="20">
        <v>350</v>
      </c>
      <c r="H577" s="20">
        <v>1.05</v>
      </c>
      <c r="I577" s="20">
        <v>0.95</v>
      </c>
      <c r="J577" s="20">
        <v>0.55000000000000004</v>
      </c>
      <c r="K577" s="22">
        <f t="shared" si="92"/>
        <v>0.54862500000000003</v>
      </c>
      <c r="L577" s="23">
        <f>L72-L407-L240</f>
        <v>0</v>
      </c>
      <c r="M577" s="23">
        <f t="shared" si="93"/>
        <v>0</v>
      </c>
      <c r="N577" s="23">
        <f t="shared" si="94"/>
        <v>0</v>
      </c>
      <c r="O577" s="23">
        <f t="shared" si="95"/>
        <v>0</v>
      </c>
      <c r="Q577" s="188"/>
    </row>
    <row r="578" spans="1:17" s="17" customFormat="1">
      <c r="A578" s="20">
        <v>9358</v>
      </c>
      <c r="B578" s="20" t="s">
        <v>14</v>
      </c>
      <c r="C578" s="21" t="s">
        <v>22</v>
      </c>
      <c r="D578" s="26">
        <v>3000</v>
      </c>
      <c r="E578" s="27">
        <v>235</v>
      </c>
      <c r="F578" s="20">
        <v>35</v>
      </c>
      <c r="G578" s="27">
        <v>200</v>
      </c>
      <c r="H578" s="20">
        <v>1.1000000000000001</v>
      </c>
      <c r="I578" s="20">
        <v>1.1000000000000001</v>
      </c>
      <c r="J578" s="20">
        <v>1.02</v>
      </c>
      <c r="K578" s="22">
        <f t="shared" si="92"/>
        <v>1.2342000000000002</v>
      </c>
      <c r="L578" s="23">
        <f>L73-L408-L241</f>
        <v>0</v>
      </c>
      <c r="M578" s="23">
        <f t="shared" si="93"/>
        <v>0</v>
      </c>
      <c r="N578" s="23">
        <f t="shared" si="94"/>
        <v>0</v>
      </c>
      <c r="O578" s="23">
        <f t="shared" si="95"/>
        <v>0</v>
      </c>
      <c r="Q578" s="188"/>
    </row>
    <row r="579" spans="1:17" s="17" customFormat="1">
      <c r="A579" s="20">
        <v>9358</v>
      </c>
      <c r="B579" s="20" t="s">
        <v>14</v>
      </c>
      <c r="C579" s="21" t="s">
        <v>23</v>
      </c>
      <c r="D579" s="24">
        <v>1000</v>
      </c>
      <c r="E579" s="25">
        <v>646</v>
      </c>
      <c r="F579" s="25">
        <f>E579-G579</f>
        <v>40</v>
      </c>
      <c r="G579" s="25">
        <v>606</v>
      </c>
      <c r="H579" s="25">
        <v>1.1000000000000001</v>
      </c>
      <c r="I579" s="25">
        <v>0.8</v>
      </c>
      <c r="J579" s="25">
        <v>0.55000000000000004</v>
      </c>
      <c r="K579" s="23">
        <f t="shared" si="92"/>
        <v>0.4840000000000001</v>
      </c>
      <c r="L579" s="23">
        <f>L74-L409-L242</f>
        <v>0</v>
      </c>
      <c r="M579" s="23">
        <f t="shared" si="93"/>
        <v>0</v>
      </c>
      <c r="N579" s="23">
        <f t="shared" si="94"/>
        <v>0</v>
      </c>
      <c r="O579" s="23">
        <f t="shared" si="95"/>
        <v>0</v>
      </c>
      <c r="Q579" s="188"/>
    </row>
    <row r="580" spans="1:17" s="17" customFormat="1">
      <c r="A580" s="20">
        <v>9356</v>
      </c>
      <c r="B580" s="20" t="s">
        <v>47</v>
      </c>
      <c r="C580" s="21" t="s">
        <v>24</v>
      </c>
      <c r="D580" s="26">
        <v>4000</v>
      </c>
      <c r="E580" s="27">
        <v>424</v>
      </c>
      <c r="F580" s="20">
        <f>E580-G580</f>
        <v>52</v>
      </c>
      <c r="G580" s="27">
        <v>372</v>
      </c>
      <c r="H580" s="20">
        <v>1.1000000000000001</v>
      </c>
      <c r="I580" s="20">
        <v>0.8</v>
      </c>
      <c r="J580" s="20">
        <v>0.55000000000000004</v>
      </c>
      <c r="K580" s="22">
        <f t="shared" si="92"/>
        <v>0.4840000000000001</v>
      </c>
      <c r="L580" s="23">
        <f>L75-L410-L243</f>
        <v>0</v>
      </c>
      <c r="M580" s="23">
        <f t="shared" si="93"/>
        <v>0</v>
      </c>
      <c r="N580" s="23">
        <f t="shared" si="94"/>
        <v>0</v>
      </c>
      <c r="O580" s="23">
        <f t="shared" si="95"/>
        <v>0</v>
      </c>
      <c r="Q580" s="188"/>
    </row>
    <row r="581" spans="1:17" s="17" customFormat="1">
      <c r="A581" s="20">
        <v>9358</v>
      </c>
      <c r="B581" s="20" t="s">
        <v>14</v>
      </c>
      <c r="C581" s="21" t="s">
        <v>25</v>
      </c>
      <c r="D581" s="20">
        <v>1000</v>
      </c>
      <c r="E581" s="20">
        <v>830</v>
      </c>
      <c r="F581" s="20">
        <v>40</v>
      </c>
      <c r="G581" s="20">
        <v>790</v>
      </c>
      <c r="H581" s="20">
        <v>1.04</v>
      </c>
      <c r="I581" s="20">
        <v>0.84</v>
      </c>
      <c r="J581" s="20">
        <v>0.64</v>
      </c>
      <c r="K581" s="22">
        <f t="shared" si="92"/>
        <v>0.55910400000000005</v>
      </c>
      <c r="L581" s="23">
        <f>L76-L411-L244</f>
        <v>0</v>
      </c>
      <c r="M581" s="23">
        <f t="shared" si="93"/>
        <v>0</v>
      </c>
      <c r="N581" s="23">
        <f t="shared" si="94"/>
        <v>0</v>
      </c>
      <c r="O581" s="23">
        <f t="shared" si="95"/>
        <v>0</v>
      </c>
      <c r="Q581" s="188"/>
    </row>
    <row r="582" spans="1:17" s="17" customFormat="1">
      <c r="A582" s="20">
        <v>9358</v>
      </c>
      <c r="B582" s="20" t="s">
        <v>14</v>
      </c>
      <c r="C582" s="21" t="s">
        <v>26</v>
      </c>
      <c r="D582" s="20">
        <v>4000</v>
      </c>
      <c r="E582" s="20">
        <v>223</v>
      </c>
      <c r="F582" s="20">
        <v>30</v>
      </c>
      <c r="G582" s="20">
        <v>188</v>
      </c>
      <c r="H582" s="20">
        <v>0.86</v>
      </c>
      <c r="I582" s="20">
        <v>0.78</v>
      </c>
      <c r="J582" s="20">
        <v>0.74</v>
      </c>
      <c r="K582" s="22">
        <f t="shared" si="92"/>
        <v>0.49639200000000006</v>
      </c>
      <c r="L582" s="23">
        <f>L77-L412-L245</f>
        <v>0</v>
      </c>
      <c r="M582" s="23">
        <f t="shared" si="93"/>
        <v>0</v>
      </c>
      <c r="N582" s="23">
        <f t="shared" si="94"/>
        <v>0</v>
      </c>
      <c r="O582" s="23">
        <f t="shared" si="95"/>
        <v>0</v>
      </c>
      <c r="Q582" s="188"/>
    </row>
    <row r="583" spans="1:17" s="17" customFormat="1">
      <c r="A583" s="20">
        <v>9355</v>
      </c>
      <c r="B583" s="20" t="s">
        <v>15</v>
      </c>
      <c r="C583" s="21" t="s">
        <v>27</v>
      </c>
      <c r="D583" s="30">
        <v>12</v>
      </c>
      <c r="E583" s="30">
        <v>435</v>
      </c>
      <c r="F583" s="30">
        <v>39</v>
      </c>
      <c r="G583" s="30">
        <v>396</v>
      </c>
      <c r="H583" s="30">
        <v>0.86</v>
      </c>
      <c r="I583" s="30">
        <v>0.56000000000000005</v>
      </c>
      <c r="J583" s="30">
        <v>0.51</v>
      </c>
      <c r="K583" s="31">
        <f t="shared" si="92"/>
        <v>0.24561600000000003</v>
      </c>
      <c r="L583" s="23">
        <f>L78-L413-L246</f>
        <v>0</v>
      </c>
      <c r="M583" s="23">
        <f t="shared" si="93"/>
        <v>0</v>
      </c>
      <c r="N583" s="23">
        <f t="shared" si="94"/>
        <v>0</v>
      </c>
      <c r="O583" s="23">
        <f t="shared" si="95"/>
        <v>0</v>
      </c>
      <c r="P583" s="186">
        <f>SUM(L583:L587)</f>
        <v>0</v>
      </c>
      <c r="Q583" s="188"/>
    </row>
    <row r="584" spans="1:17" s="17" customFormat="1">
      <c r="A584" s="20">
        <v>9355</v>
      </c>
      <c r="B584" s="20" t="s">
        <v>15</v>
      </c>
      <c r="C584" s="21" t="s">
        <v>28</v>
      </c>
      <c r="D584" s="30">
        <v>12</v>
      </c>
      <c r="E584" s="30">
        <v>520</v>
      </c>
      <c r="F584" s="30">
        <v>40</v>
      </c>
      <c r="G584" s="30">
        <v>480</v>
      </c>
      <c r="H584" s="30">
        <v>1.03</v>
      </c>
      <c r="I584" s="30">
        <v>0.56000000000000005</v>
      </c>
      <c r="J584" s="30">
        <v>0.51</v>
      </c>
      <c r="K584" s="31">
        <f t="shared" si="92"/>
        <v>0.29416800000000004</v>
      </c>
      <c r="L584" s="23">
        <f>L79-L414-L247</f>
        <v>0</v>
      </c>
      <c r="M584" s="23">
        <f t="shared" si="93"/>
        <v>0</v>
      </c>
      <c r="N584" s="23">
        <f t="shared" si="94"/>
        <v>0</v>
      </c>
      <c r="O584" s="23">
        <f t="shared" si="95"/>
        <v>0</v>
      </c>
      <c r="P584" s="186"/>
      <c r="Q584" s="188"/>
    </row>
    <row r="585" spans="1:17" s="17" customFormat="1">
      <c r="A585" s="20">
        <v>9355</v>
      </c>
      <c r="B585" s="20" t="s">
        <v>15</v>
      </c>
      <c r="C585" s="21" t="s">
        <v>29</v>
      </c>
      <c r="D585" s="30">
        <v>12</v>
      </c>
      <c r="E585" s="30">
        <v>596</v>
      </c>
      <c r="F585" s="30">
        <v>44</v>
      </c>
      <c r="G585" s="30">
        <v>552</v>
      </c>
      <c r="H585" s="30">
        <v>1.17</v>
      </c>
      <c r="I585" s="30">
        <v>0.56000000000000005</v>
      </c>
      <c r="J585" s="30">
        <v>0.51</v>
      </c>
      <c r="K585" s="31">
        <f t="shared" si="92"/>
        <v>0.334152</v>
      </c>
      <c r="L585" s="23">
        <f>L80-L415-L248</f>
        <v>0</v>
      </c>
      <c r="M585" s="23">
        <f t="shared" si="93"/>
        <v>0</v>
      </c>
      <c r="N585" s="23">
        <f t="shared" si="94"/>
        <v>0</v>
      </c>
      <c r="O585" s="23">
        <f t="shared" si="95"/>
        <v>0</v>
      </c>
      <c r="P585" s="186"/>
      <c r="Q585" s="188"/>
    </row>
    <row r="586" spans="1:17" s="17" customFormat="1">
      <c r="A586" s="20">
        <v>9355</v>
      </c>
      <c r="B586" s="20" t="s">
        <v>15</v>
      </c>
      <c r="C586" s="21" t="s">
        <v>30</v>
      </c>
      <c r="D586" s="32">
        <v>12</v>
      </c>
      <c r="E586" s="30">
        <v>654</v>
      </c>
      <c r="F586" s="30">
        <v>42</v>
      </c>
      <c r="G586" s="30">
        <v>612</v>
      </c>
      <c r="H586" s="30">
        <v>1.2749999999999999</v>
      </c>
      <c r="I586" s="30">
        <v>0.56000000000000005</v>
      </c>
      <c r="J586" s="30">
        <v>0.51</v>
      </c>
      <c r="K586" s="31">
        <f t="shared" si="92"/>
        <v>0.36413999999999996</v>
      </c>
      <c r="L586" s="23">
        <f>L81-L416-L249</f>
        <v>0</v>
      </c>
      <c r="M586" s="23">
        <f t="shared" si="93"/>
        <v>0</v>
      </c>
      <c r="N586" s="23">
        <f t="shared" si="94"/>
        <v>0</v>
      </c>
      <c r="O586" s="23">
        <f t="shared" si="95"/>
        <v>0</v>
      </c>
      <c r="P586" s="186"/>
      <c r="Q586" s="188"/>
    </row>
    <row r="587" spans="1:17" s="17" customFormat="1">
      <c r="A587" s="20">
        <v>9355</v>
      </c>
      <c r="B587" s="20" t="s">
        <v>15</v>
      </c>
      <c r="C587" s="21" t="s">
        <v>31</v>
      </c>
      <c r="D587" s="32">
        <v>6</v>
      </c>
      <c r="E587" s="30">
        <v>410</v>
      </c>
      <c r="F587" s="30">
        <v>50</v>
      </c>
      <c r="G587" s="30">
        <v>360</v>
      </c>
      <c r="H587" s="30">
        <v>1.48</v>
      </c>
      <c r="I587" s="30">
        <v>0.56000000000000005</v>
      </c>
      <c r="J587" s="30">
        <v>0.37</v>
      </c>
      <c r="K587" s="31">
        <f t="shared" si="92"/>
        <v>0.30665600000000004</v>
      </c>
      <c r="L587" s="23">
        <f>L82-L417-L250</f>
        <v>0</v>
      </c>
      <c r="M587" s="23">
        <f t="shared" si="93"/>
        <v>0</v>
      </c>
      <c r="N587" s="23">
        <f t="shared" si="94"/>
        <v>0</v>
      </c>
      <c r="O587" s="23">
        <f t="shared" si="95"/>
        <v>0</v>
      </c>
      <c r="P587" s="186"/>
      <c r="Q587" s="188"/>
    </row>
    <row r="588" spans="1:17" s="17" customFormat="1">
      <c r="A588" s="20">
        <v>9358</v>
      </c>
      <c r="B588" s="20" t="s">
        <v>14</v>
      </c>
      <c r="C588" s="21" t="s">
        <v>32</v>
      </c>
      <c r="D588" s="27">
        <v>1000</v>
      </c>
      <c r="E588" s="27">
        <f t="shared" ref="E588:E597" si="96">G588+F588</f>
        <v>395</v>
      </c>
      <c r="F588" s="27">
        <v>40</v>
      </c>
      <c r="G588" s="27">
        <v>355</v>
      </c>
      <c r="H588" s="27">
        <v>1.05</v>
      </c>
      <c r="I588" s="27">
        <v>0.9</v>
      </c>
      <c r="J588" s="27">
        <v>0.55000000000000004</v>
      </c>
      <c r="K588" s="23">
        <f t="shared" si="92"/>
        <v>0.51975000000000005</v>
      </c>
      <c r="L588" s="23">
        <f>L83-L418-L251</f>
        <v>0</v>
      </c>
      <c r="M588" s="23">
        <f t="shared" si="93"/>
        <v>0</v>
      </c>
      <c r="N588" s="23">
        <f t="shared" si="94"/>
        <v>0</v>
      </c>
      <c r="O588" s="23">
        <f t="shared" si="95"/>
        <v>0</v>
      </c>
      <c r="Q588" s="188"/>
    </row>
    <row r="589" spans="1:17" s="17" customFormat="1">
      <c r="A589" s="20">
        <v>9358</v>
      </c>
      <c r="B589" s="20" t="s">
        <v>14</v>
      </c>
      <c r="C589" s="21" t="s">
        <v>33</v>
      </c>
      <c r="D589" s="27">
        <v>450</v>
      </c>
      <c r="E589" s="27">
        <f t="shared" si="96"/>
        <v>360</v>
      </c>
      <c r="F589" s="27">
        <v>40</v>
      </c>
      <c r="G589" s="27">
        <v>320</v>
      </c>
      <c r="H589" s="20">
        <v>1.1000000000000001</v>
      </c>
      <c r="I589" s="27">
        <v>0.9</v>
      </c>
      <c r="J589" s="20">
        <v>0.75</v>
      </c>
      <c r="K589" s="22">
        <f t="shared" si="92"/>
        <v>0.74250000000000005</v>
      </c>
      <c r="L589" s="23">
        <f>L84-L419-L252</f>
        <v>0</v>
      </c>
      <c r="M589" s="23">
        <f t="shared" si="93"/>
        <v>0</v>
      </c>
      <c r="N589" s="23">
        <f t="shared" si="94"/>
        <v>0</v>
      </c>
      <c r="O589" s="23">
        <f t="shared" si="95"/>
        <v>0</v>
      </c>
      <c r="Q589" s="188"/>
    </row>
    <row r="590" spans="1:17" s="17" customFormat="1">
      <c r="A590" s="20">
        <v>9358</v>
      </c>
      <c r="B590" s="20" t="s">
        <v>14</v>
      </c>
      <c r="C590" s="21" t="s">
        <v>34</v>
      </c>
      <c r="D590" s="27">
        <v>1000</v>
      </c>
      <c r="E590" s="27">
        <f t="shared" si="96"/>
        <v>492</v>
      </c>
      <c r="F590" s="27">
        <v>40</v>
      </c>
      <c r="G590" s="27">
        <v>452</v>
      </c>
      <c r="H590" s="27">
        <v>1.1000000000000001</v>
      </c>
      <c r="I590" s="27">
        <v>1.05</v>
      </c>
      <c r="J590" s="27">
        <v>0.55000000000000004</v>
      </c>
      <c r="K590" s="23">
        <f t="shared" si="92"/>
        <v>0.6352500000000002</v>
      </c>
      <c r="L590" s="23">
        <f>L85-L420-L253</f>
        <v>0</v>
      </c>
      <c r="M590" s="23">
        <f t="shared" si="93"/>
        <v>0</v>
      </c>
      <c r="N590" s="23">
        <f t="shared" si="94"/>
        <v>0</v>
      </c>
      <c r="O590" s="23">
        <f t="shared" si="95"/>
        <v>0</v>
      </c>
      <c r="Q590" s="188"/>
    </row>
    <row r="591" spans="1:17" s="17" customFormat="1">
      <c r="A591" s="20">
        <v>9358</v>
      </c>
      <c r="B591" s="20" t="s">
        <v>14</v>
      </c>
      <c r="C591" s="21" t="s">
        <v>35</v>
      </c>
      <c r="D591" s="27">
        <v>450</v>
      </c>
      <c r="E591" s="27">
        <f t="shared" si="96"/>
        <v>421.5</v>
      </c>
      <c r="F591" s="27">
        <v>40</v>
      </c>
      <c r="G591" s="27">
        <v>381.5</v>
      </c>
      <c r="H591" s="27">
        <v>1.05</v>
      </c>
      <c r="I591" s="27">
        <v>1.05</v>
      </c>
      <c r="J591" s="20">
        <v>0.75</v>
      </c>
      <c r="K591" s="22">
        <f t="shared" si="92"/>
        <v>0.82687500000000003</v>
      </c>
      <c r="L591" s="23">
        <f>L86-L421-L254</f>
        <v>0</v>
      </c>
      <c r="M591" s="23">
        <f t="shared" si="93"/>
        <v>0</v>
      </c>
      <c r="N591" s="23">
        <f t="shared" si="94"/>
        <v>0</v>
      </c>
      <c r="O591" s="23">
        <f t="shared" si="95"/>
        <v>0</v>
      </c>
      <c r="Q591" s="188"/>
    </row>
    <row r="592" spans="1:17" s="17" customFormat="1">
      <c r="A592" s="20">
        <v>9358</v>
      </c>
      <c r="B592" s="20" t="s">
        <v>14</v>
      </c>
      <c r="C592" s="21" t="s">
        <v>36</v>
      </c>
      <c r="D592" s="27">
        <v>1000</v>
      </c>
      <c r="E592" s="27">
        <f t="shared" si="96"/>
        <v>574</v>
      </c>
      <c r="F592" s="27">
        <v>40</v>
      </c>
      <c r="G592" s="27">
        <v>534</v>
      </c>
      <c r="H592" s="27">
        <v>1.1000000000000001</v>
      </c>
      <c r="I592" s="27">
        <v>1.2</v>
      </c>
      <c r="J592" s="27">
        <v>0.55000000000000004</v>
      </c>
      <c r="K592" s="23">
        <f t="shared" si="92"/>
        <v>0.72600000000000009</v>
      </c>
      <c r="L592" s="23">
        <f>L87-L422-L255</f>
        <v>0</v>
      </c>
      <c r="M592" s="23">
        <f t="shared" si="93"/>
        <v>0</v>
      </c>
      <c r="N592" s="23">
        <f t="shared" si="94"/>
        <v>0</v>
      </c>
      <c r="O592" s="23">
        <f t="shared" si="95"/>
        <v>0</v>
      </c>
      <c r="Q592" s="188"/>
    </row>
    <row r="593" spans="1:17" s="17" customFormat="1">
      <c r="A593" s="20">
        <v>9358</v>
      </c>
      <c r="B593" s="20" t="s">
        <v>14</v>
      </c>
      <c r="C593" s="21" t="s">
        <v>37</v>
      </c>
      <c r="D593" s="27">
        <v>450</v>
      </c>
      <c r="E593" s="27">
        <f t="shared" si="96"/>
        <v>475</v>
      </c>
      <c r="F593" s="27">
        <v>40</v>
      </c>
      <c r="G593" s="27">
        <v>435</v>
      </c>
      <c r="H593" s="27">
        <v>1.05</v>
      </c>
      <c r="I593" s="27">
        <v>1.2</v>
      </c>
      <c r="J593" s="20">
        <v>0.75</v>
      </c>
      <c r="K593" s="23">
        <f t="shared" si="92"/>
        <v>0.94500000000000006</v>
      </c>
      <c r="L593" s="23">
        <f>L88-L423-L256</f>
        <v>0</v>
      </c>
      <c r="M593" s="23">
        <f t="shared" si="93"/>
        <v>0</v>
      </c>
      <c r="N593" s="23">
        <f t="shared" si="94"/>
        <v>0</v>
      </c>
      <c r="O593" s="23">
        <f t="shared" si="95"/>
        <v>0</v>
      </c>
      <c r="Q593" s="188"/>
    </row>
    <row r="594" spans="1:17" s="17" customFormat="1">
      <c r="A594" s="20">
        <v>9358</v>
      </c>
      <c r="B594" s="20" t="s">
        <v>14</v>
      </c>
      <c r="C594" s="21" t="s">
        <v>38</v>
      </c>
      <c r="D594" s="27">
        <v>1000</v>
      </c>
      <c r="E594" s="27">
        <f t="shared" si="96"/>
        <v>645</v>
      </c>
      <c r="F594" s="27">
        <v>40</v>
      </c>
      <c r="G594" s="27">
        <v>605</v>
      </c>
      <c r="H594" s="27">
        <v>1.1000000000000001</v>
      </c>
      <c r="I594" s="27">
        <v>1.3</v>
      </c>
      <c r="J594" s="27">
        <v>0.55000000000000004</v>
      </c>
      <c r="K594" s="23">
        <f t="shared" si="92"/>
        <v>0.7865000000000002</v>
      </c>
      <c r="L594" s="23">
        <f>L89-L424-L257</f>
        <v>0</v>
      </c>
      <c r="M594" s="23">
        <f t="shared" si="93"/>
        <v>0</v>
      </c>
      <c r="N594" s="23">
        <f t="shared" si="94"/>
        <v>0</v>
      </c>
      <c r="O594" s="23">
        <f t="shared" si="95"/>
        <v>0</v>
      </c>
      <c r="Q594" s="188"/>
    </row>
    <row r="595" spans="1:17" s="17" customFormat="1">
      <c r="A595" s="20">
        <v>9358</v>
      </c>
      <c r="B595" s="20" t="s">
        <v>14</v>
      </c>
      <c r="C595" s="21" t="s">
        <v>39</v>
      </c>
      <c r="D595" s="27">
        <v>450</v>
      </c>
      <c r="E595" s="27">
        <f t="shared" si="96"/>
        <v>515</v>
      </c>
      <c r="F595" s="27">
        <v>40</v>
      </c>
      <c r="G595" s="27">
        <v>475</v>
      </c>
      <c r="H595" s="27">
        <v>1.05</v>
      </c>
      <c r="I595" s="27">
        <v>1.3</v>
      </c>
      <c r="J595" s="20">
        <v>0.75</v>
      </c>
      <c r="K595" s="23">
        <f t="shared" si="92"/>
        <v>1.0237500000000002</v>
      </c>
      <c r="L595" s="23">
        <f>L90-L425-L258</f>
        <v>0</v>
      </c>
      <c r="M595" s="23">
        <f t="shared" si="93"/>
        <v>0</v>
      </c>
      <c r="N595" s="23">
        <f t="shared" si="94"/>
        <v>0</v>
      </c>
      <c r="O595" s="23">
        <f t="shared" si="95"/>
        <v>0</v>
      </c>
      <c r="Q595" s="188"/>
    </row>
    <row r="596" spans="1:17" s="17" customFormat="1">
      <c r="A596" s="20">
        <v>9358</v>
      </c>
      <c r="B596" s="20" t="s">
        <v>14</v>
      </c>
      <c r="C596" s="21" t="s">
        <v>40</v>
      </c>
      <c r="D596" s="27">
        <v>1000</v>
      </c>
      <c r="E596" s="27">
        <f t="shared" si="96"/>
        <v>645</v>
      </c>
      <c r="F596" s="27">
        <v>40</v>
      </c>
      <c r="G596" s="27">
        <v>605</v>
      </c>
      <c r="H596" s="27">
        <v>1.1000000000000001</v>
      </c>
      <c r="I596" s="27">
        <v>1.3</v>
      </c>
      <c r="J596" s="27">
        <v>0.55000000000000004</v>
      </c>
      <c r="K596" s="23">
        <f t="shared" si="92"/>
        <v>0.7865000000000002</v>
      </c>
      <c r="L596" s="23">
        <f>L91-L426-L259</f>
        <v>0</v>
      </c>
      <c r="M596" s="23">
        <f t="shared" si="93"/>
        <v>0</v>
      </c>
      <c r="N596" s="23">
        <f t="shared" si="94"/>
        <v>0</v>
      </c>
      <c r="O596" s="23">
        <f t="shared" si="95"/>
        <v>0</v>
      </c>
      <c r="Q596" s="188"/>
    </row>
    <row r="597" spans="1:17" s="17" customFormat="1">
      <c r="A597" s="20">
        <v>9358</v>
      </c>
      <c r="B597" s="20" t="s">
        <v>14</v>
      </c>
      <c r="C597" s="21" t="s">
        <v>41</v>
      </c>
      <c r="D597" s="27">
        <v>450</v>
      </c>
      <c r="E597" s="27">
        <f t="shared" si="96"/>
        <v>515</v>
      </c>
      <c r="F597" s="27">
        <v>40</v>
      </c>
      <c r="G597" s="27">
        <v>475</v>
      </c>
      <c r="H597" s="27">
        <v>1.05</v>
      </c>
      <c r="I597" s="27">
        <v>1.3</v>
      </c>
      <c r="J597" s="20">
        <v>0.75</v>
      </c>
      <c r="K597" s="23">
        <f t="shared" si="92"/>
        <v>1.0237500000000002</v>
      </c>
      <c r="L597" s="23">
        <f>L92-L427-L260</f>
        <v>0</v>
      </c>
      <c r="M597" s="23">
        <f t="shared" si="93"/>
        <v>0</v>
      </c>
      <c r="N597" s="23">
        <f t="shared" si="94"/>
        <v>0</v>
      </c>
      <c r="O597" s="23">
        <f t="shared" si="95"/>
        <v>0</v>
      </c>
      <c r="Q597" s="188"/>
    </row>
    <row r="598" spans="1:17" s="17" customFormat="1">
      <c r="A598" s="20">
        <v>9358</v>
      </c>
      <c r="B598" s="20" t="s">
        <v>14</v>
      </c>
      <c r="C598" s="21" t="s">
        <v>22</v>
      </c>
      <c r="D598" s="26">
        <v>3000</v>
      </c>
      <c r="E598" s="27">
        <v>235</v>
      </c>
      <c r="F598" s="20">
        <v>35</v>
      </c>
      <c r="G598" s="27">
        <v>200</v>
      </c>
      <c r="H598" s="20">
        <v>1.1000000000000001</v>
      </c>
      <c r="I598" s="20">
        <v>1.1000000000000001</v>
      </c>
      <c r="J598" s="20">
        <v>1.02</v>
      </c>
      <c r="K598" s="22">
        <f t="shared" si="92"/>
        <v>1.2342000000000002</v>
      </c>
      <c r="L598" s="23">
        <f>L93-L428-L261</f>
        <v>0</v>
      </c>
      <c r="M598" s="23">
        <f t="shared" si="93"/>
        <v>0</v>
      </c>
      <c r="N598" s="23">
        <f t="shared" si="94"/>
        <v>0</v>
      </c>
      <c r="O598" s="23">
        <f t="shared" si="95"/>
        <v>0</v>
      </c>
      <c r="Q598" s="188"/>
    </row>
    <row r="599" spans="1:17" s="17" customFormat="1">
      <c r="A599" s="20">
        <v>9358</v>
      </c>
      <c r="B599" s="20" t="s">
        <v>14</v>
      </c>
      <c r="C599" s="21" t="s">
        <v>23</v>
      </c>
      <c r="D599" s="24">
        <v>1000</v>
      </c>
      <c r="E599" s="25">
        <v>646</v>
      </c>
      <c r="F599" s="25">
        <f>E599-G599</f>
        <v>40</v>
      </c>
      <c r="G599" s="25">
        <v>606</v>
      </c>
      <c r="H599" s="25">
        <v>1.1000000000000001</v>
      </c>
      <c r="I599" s="25">
        <v>0.8</v>
      </c>
      <c r="J599" s="25">
        <v>0.55000000000000004</v>
      </c>
      <c r="K599" s="23">
        <f t="shared" si="92"/>
        <v>0.4840000000000001</v>
      </c>
      <c r="L599" s="23">
        <f>L94-L429-L262</f>
        <v>0</v>
      </c>
      <c r="M599" s="23">
        <f t="shared" si="93"/>
        <v>0</v>
      </c>
      <c r="N599" s="23">
        <f t="shared" si="94"/>
        <v>0</v>
      </c>
      <c r="O599" s="23">
        <f t="shared" si="95"/>
        <v>0</v>
      </c>
      <c r="Q599" s="188"/>
    </row>
    <row r="600" spans="1:17" s="17" customFormat="1">
      <c r="A600" s="20">
        <v>9358</v>
      </c>
      <c r="B600" s="20" t="s">
        <v>14</v>
      </c>
      <c r="C600" s="21" t="s">
        <v>46</v>
      </c>
      <c r="D600" s="26">
        <v>4000</v>
      </c>
      <c r="E600" s="27">
        <v>424</v>
      </c>
      <c r="F600" s="20">
        <f>E600-G600</f>
        <v>52</v>
      </c>
      <c r="G600" s="27">
        <v>372</v>
      </c>
      <c r="H600" s="20">
        <v>1.1000000000000001</v>
      </c>
      <c r="I600" s="20">
        <v>0.8</v>
      </c>
      <c r="J600" s="20">
        <v>0.55000000000000004</v>
      </c>
      <c r="K600" s="22">
        <f t="shared" si="92"/>
        <v>0.4840000000000001</v>
      </c>
      <c r="L600" s="23">
        <f>L95-L430-L263</f>
        <v>0</v>
      </c>
      <c r="M600" s="23">
        <f t="shared" si="93"/>
        <v>0</v>
      </c>
      <c r="N600" s="23">
        <f t="shared" si="94"/>
        <v>0</v>
      </c>
      <c r="O600" s="23">
        <f t="shared" si="95"/>
        <v>0</v>
      </c>
      <c r="Q600" s="188"/>
    </row>
    <row r="601" spans="1:17" s="17" customFormat="1">
      <c r="A601" s="20">
        <v>9358</v>
      </c>
      <c r="B601" s="20" t="s">
        <v>14</v>
      </c>
      <c r="C601" s="21" t="s">
        <v>42</v>
      </c>
      <c r="D601" s="28">
        <v>1200</v>
      </c>
      <c r="E601" s="168">
        <v>666.4</v>
      </c>
      <c r="F601" s="168">
        <v>40</v>
      </c>
      <c r="G601" s="29">
        <v>588</v>
      </c>
      <c r="H601" s="170">
        <v>1</v>
      </c>
      <c r="I601" s="170">
        <v>0.75</v>
      </c>
      <c r="J601" s="170">
        <v>0.7</v>
      </c>
      <c r="K601" s="172">
        <v>0.5</v>
      </c>
      <c r="L601" s="160">
        <f>L96-L431-L264</f>
        <v>0</v>
      </c>
      <c r="M601" s="160">
        <f t="shared" si="93"/>
        <v>0</v>
      </c>
      <c r="N601" s="160">
        <f t="shared" si="94"/>
        <v>0</v>
      </c>
      <c r="O601" s="150">
        <f t="shared" si="95"/>
        <v>0</v>
      </c>
      <c r="Q601" s="188"/>
    </row>
    <row r="602" spans="1:17" s="17" customFormat="1">
      <c r="A602" s="20">
        <v>9358</v>
      </c>
      <c r="B602" s="20" t="s">
        <v>14</v>
      </c>
      <c r="C602" s="21" t="s">
        <v>43</v>
      </c>
      <c r="D602" s="28">
        <v>1200</v>
      </c>
      <c r="E602" s="169"/>
      <c r="F602" s="169"/>
      <c r="G602" s="29">
        <v>38.4</v>
      </c>
      <c r="H602" s="171"/>
      <c r="I602" s="171"/>
      <c r="J602" s="171"/>
      <c r="K602" s="173"/>
      <c r="L602" s="161">
        <f>L97-L432-L265</f>
        <v>0</v>
      </c>
      <c r="M602" s="161"/>
      <c r="N602" s="161"/>
      <c r="O602" s="151"/>
      <c r="Q602" s="188"/>
    </row>
    <row r="603" spans="1:17" s="17" customFormat="1" ht="15" thickBot="1">
      <c r="A603" s="20">
        <v>9358</v>
      </c>
      <c r="B603" s="20" t="s">
        <v>14</v>
      </c>
      <c r="C603" s="21" t="s">
        <v>60</v>
      </c>
      <c r="D603" s="28"/>
      <c r="E603" s="75"/>
      <c r="F603" s="75"/>
      <c r="G603" s="29"/>
      <c r="H603" s="76"/>
      <c r="I603" s="76"/>
      <c r="J603" s="76"/>
      <c r="K603" s="70"/>
      <c r="L603" s="68">
        <f>L98-L433-L266</f>
        <v>0</v>
      </c>
      <c r="M603" s="68"/>
      <c r="N603" s="68"/>
      <c r="O603" s="69"/>
      <c r="Q603" s="189"/>
    </row>
    <row r="604" spans="1:17" s="33" customFormat="1">
      <c r="A604" s="34">
        <v>9355</v>
      </c>
      <c r="B604" s="34" t="s">
        <v>15</v>
      </c>
      <c r="C604" s="34" t="s">
        <v>16</v>
      </c>
      <c r="D604" s="34">
        <v>30</v>
      </c>
      <c r="E604" s="34">
        <v>669</v>
      </c>
      <c r="F604" s="34">
        <f>E604-G604</f>
        <v>53</v>
      </c>
      <c r="G604" s="34">
        <v>616</v>
      </c>
      <c r="H604" s="34">
        <v>1</v>
      </c>
      <c r="I604" s="34">
        <v>0.9</v>
      </c>
      <c r="J604" s="34">
        <v>0.73</v>
      </c>
      <c r="K604" s="34">
        <f t="shared" ref="K604:K632" si="97">H604*I604*J604</f>
        <v>0.65700000000000003</v>
      </c>
      <c r="L604" s="11">
        <f>L99-L434-L267</f>
        <v>0</v>
      </c>
      <c r="M604" s="11">
        <f t="shared" ref="M604:M633" si="98">L604/D604</f>
        <v>0</v>
      </c>
      <c r="N604" s="11">
        <f t="shared" ref="N604:N633" si="99">E604*M604</f>
        <v>0</v>
      </c>
      <c r="O604" s="11">
        <f>M604*K604</f>
        <v>0</v>
      </c>
      <c r="P604" s="152">
        <f>SUM(L604:L607)</f>
        <v>0</v>
      </c>
      <c r="Q604" s="153" t="s">
        <v>55</v>
      </c>
    </row>
    <row r="605" spans="1:17" s="33" customFormat="1">
      <c r="A605" s="34">
        <v>9355</v>
      </c>
      <c r="B605" s="34" t="s">
        <v>15</v>
      </c>
      <c r="C605" s="34" t="s">
        <v>17</v>
      </c>
      <c r="D605" s="34">
        <v>30</v>
      </c>
      <c r="E605" s="34">
        <v>669</v>
      </c>
      <c r="F605" s="34">
        <f>E605-G605</f>
        <v>53</v>
      </c>
      <c r="G605" s="34">
        <v>616</v>
      </c>
      <c r="H605" s="34">
        <v>1</v>
      </c>
      <c r="I605" s="34">
        <v>0.9</v>
      </c>
      <c r="J605" s="34">
        <v>0.73</v>
      </c>
      <c r="K605" s="34">
        <f t="shared" si="97"/>
        <v>0.65700000000000003</v>
      </c>
      <c r="L605" s="11">
        <f>L100-L435-L268</f>
        <v>0</v>
      </c>
      <c r="M605" s="11">
        <f t="shared" si="98"/>
        <v>0</v>
      </c>
      <c r="N605" s="11">
        <f t="shared" si="99"/>
        <v>0</v>
      </c>
      <c r="O605" s="11">
        <f t="shared" ref="O605:O633" si="100">M605*K605</f>
        <v>0</v>
      </c>
      <c r="P605" s="152"/>
      <c r="Q605" s="154"/>
    </row>
    <row r="606" spans="1:17" s="33" customFormat="1">
      <c r="A606" s="34">
        <v>9355</v>
      </c>
      <c r="B606" s="34" t="s">
        <v>15</v>
      </c>
      <c r="C606" s="34" t="s">
        <v>18</v>
      </c>
      <c r="D606" s="34">
        <v>30</v>
      </c>
      <c r="E606" s="34">
        <v>669</v>
      </c>
      <c r="F606" s="34">
        <f>E606-G606</f>
        <v>53</v>
      </c>
      <c r="G606" s="34">
        <v>616</v>
      </c>
      <c r="H606" s="34">
        <v>1</v>
      </c>
      <c r="I606" s="34">
        <v>0.9</v>
      </c>
      <c r="J606" s="34">
        <v>0.73</v>
      </c>
      <c r="K606" s="34">
        <f t="shared" si="97"/>
        <v>0.65700000000000003</v>
      </c>
      <c r="L606" s="11">
        <f>L101-L436-L269</f>
        <v>0</v>
      </c>
      <c r="M606" s="11">
        <f t="shared" si="98"/>
        <v>0</v>
      </c>
      <c r="N606" s="11">
        <f t="shared" si="99"/>
        <v>0</v>
      </c>
      <c r="O606" s="11">
        <f t="shared" si="100"/>
        <v>0</v>
      </c>
      <c r="P606" s="152"/>
      <c r="Q606" s="154"/>
    </row>
    <row r="607" spans="1:17" s="33" customFormat="1">
      <c r="A607" s="34">
        <v>9355</v>
      </c>
      <c r="B607" s="34" t="s">
        <v>15</v>
      </c>
      <c r="C607" s="34" t="s">
        <v>19</v>
      </c>
      <c r="D607" s="34">
        <v>30</v>
      </c>
      <c r="E607" s="34">
        <v>669</v>
      </c>
      <c r="F607" s="34">
        <f>E607-G607</f>
        <v>53</v>
      </c>
      <c r="G607" s="34">
        <v>616</v>
      </c>
      <c r="H607" s="34">
        <v>1</v>
      </c>
      <c r="I607" s="34">
        <v>0.9</v>
      </c>
      <c r="J607" s="34">
        <v>0.73</v>
      </c>
      <c r="K607" s="34">
        <f t="shared" si="97"/>
        <v>0.65700000000000003</v>
      </c>
      <c r="L607" s="11">
        <f>L102-L437-L270</f>
        <v>0</v>
      </c>
      <c r="M607" s="11">
        <f t="shared" si="98"/>
        <v>0</v>
      </c>
      <c r="N607" s="11">
        <f t="shared" si="99"/>
        <v>0</v>
      </c>
      <c r="O607" s="11">
        <f t="shared" si="100"/>
        <v>0</v>
      </c>
      <c r="P607" s="152"/>
      <c r="Q607" s="154"/>
    </row>
    <row r="608" spans="1:17" s="33" customFormat="1">
      <c r="A608" s="34">
        <v>9358</v>
      </c>
      <c r="B608" s="34" t="s">
        <v>14</v>
      </c>
      <c r="C608" s="35" t="s">
        <v>20</v>
      </c>
      <c r="D608" s="34">
        <v>5000</v>
      </c>
      <c r="E608" s="34">
        <v>490</v>
      </c>
      <c r="F608" s="34">
        <v>40</v>
      </c>
      <c r="G608" s="34">
        <v>450</v>
      </c>
      <c r="H608" s="34">
        <v>1</v>
      </c>
      <c r="I608" s="34">
        <v>0.98</v>
      </c>
      <c r="J608" s="34">
        <v>0.83</v>
      </c>
      <c r="K608" s="36">
        <f t="shared" si="97"/>
        <v>0.8133999999999999</v>
      </c>
      <c r="L608" s="11">
        <f>L103-L438-L271</f>
        <v>0</v>
      </c>
      <c r="M608" s="11">
        <f t="shared" si="98"/>
        <v>0</v>
      </c>
      <c r="N608" s="11">
        <f t="shared" si="99"/>
        <v>0</v>
      </c>
      <c r="O608" s="11">
        <f t="shared" si="100"/>
        <v>0</v>
      </c>
      <c r="Q608" s="154"/>
    </row>
    <row r="609" spans="1:17" s="33" customFormat="1">
      <c r="A609" s="34">
        <v>9358</v>
      </c>
      <c r="B609" s="34" t="s">
        <v>14</v>
      </c>
      <c r="C609" s="35" t="s">
        <v>21</v>
      </c>
      <c r="D609" s="34">
        <v>360</v>
      </c>
      <c r="E609" s="34">
        <v>390</v>
      </c>
      <c r="F609" s="34">
        <v>40</v>
      </c>
      <c r="G609" s="34">
        <v>350</v>
      </c>
      <c r="H609" s="34">
        <v>1.05</v>
      </c>
      <c r="I609" s="34">
        <v>0.95</v>
      </c>
      <c r="J609" s="34">
        <v>0.55000000000000004</v>
      </c>
      <c r="K609" s="36">
        <f t="shared" si="97"/>
        <v>0.54862500000000003</v>
      </c>
      <c r="L609" s="11">
        <f>L104-L439-L272</f>
        <v>0</v>
      </c>
      <c r="M609" s="11">
        <f t="shared" si="98"/>
        <v>0</v>
      </c>
      <c r="N609" s="11">
        <f t="shared" si="99"/>
        <v>0</v>
      </c>
      <c r="O609" s="11">
        <f t="shared" si="100"/>
        <v>0</v>
      </c>
      <c r="Q609" s="154"/>
    </row>
    <row r="610" spans="1:17" s="33" customFormat="1">
      <c r="A610" s="34">
        <v>9358</v>
      </c>
      <c r="B610" s="34" t="s">
        <v>14</v>
      </c>
      <c r="C610" s="35" t="s">
        <v>22</v>
      </c>
      <c r="D610" s="37">
        <v>3000</v>
      </c>
      <c r="E610" s="38">
        <v>235</v>
      </c>
      <c r="F610" s="34">
        <v>35</v>
      </c>
      <c r="G610" s="38">
        <v>200</v>
      </c>
      <c r="H610" s="34">
        <v>1.1000000000000001</v>
      </c>
      <c r="I610" s="34">
        <v>1.1000000000000001</v>
      </c>
      <c r="J610" s="34">
        <v>1.02</v>
      </c>
      <c r="K610" s="36">
        <f t="shared" si="97"/>
        <v>1.2342000000000002</v>
      </c>
      <c r="L610" s="11">
        <f>L105-L440-L273</f>
        <v>0</v>
      </c>
      <c r="M610" s="11">
        <f t="shared" si="98"/>
        <v>0</v>
      </c>
      <c r="N610" s="11">
        <f t="shared" si="99"/>
        <v>0</v>
      </c>
      <c r="O610" s="11">
        <f t="shared" si="100"/>
        <v>0</v>
      </c>
      <c r="Q610" s="154"/>
    </row>
    <row r="611" spans="1:17" s="33" customFormat="1">
      <c r="A611" s="34">
        <v>9358</v>
      </c>
      <c r="B611" s="34" t="s">
        <v>14</v>
      </c>
      <c r="C611" s="35" t="s">
        <v>23</v>
      </c>
      <c r="D611" s="9">
        <v>1000</v>
      </c>
      <c r="E611" s="10">
        <v>646</v>
      </c>
      <c r="F611" s="10">
        <f>E611-G611</f>
        <v>40</v>
      </c>
      <c r="G611" s="10">
        <v>606</v>
      </c>
      <c r="H611" s="10">
        <v>1.1000000000000001</v>
      </c>
      <c r="I611" s="10">
        <v>0.8</v>
      </c>
      <c r="J611" s="10">
        <v>0.55000000000000004</v>
      </c>
      <c r="K611" s="11">
        <f t="shared" si="97"/>
        <v>0.4840000000000001</v>
      </c>
      <c r="L611" s="11">
        <f>L106-L441-L274</f>
        <v>0</v>
      </c>
      <c r="M611" s="11">
        <f t="shared" si="98"/>
        <v>0</v>
      </c>
      <c r="N611" s="11">
        <f t="shared" si="99"/>
        <v>0</v>
      </c>
      <c r="O611" s="11">
        <f t="shared" si="100"/>
        <v>0</v>
      </c>
      <c r="Q611" s="154"/>
    </row>
    <row r="612" spans="1:17" s="33" customFormat="1">
      <c r="A612" s="34">
        <v>9356</v>
      </c>
      <c r="B612" s="34" t="s">
        <v>47</v>
      </c>
      <c r="C612" s="35" t="s">
        <v>24</v>
      </c>
      <c r="D612" s="37">
        <v>4000</v>
      </c>
      <c r="E612" s="38">
        <v>424</v>
      </c>
      <c r="F612" s="34">
        <f>E612-G612</f>
        <v>52</v>
      </c>
      <c r="G612" s="38">
        <v>372</v>
      </c>
      <c r="H612" s="34">
        <v>1.1000000000000001</v>
      </c>
      <c r="I612" s="34">
        <v>0.8</v>
      </c>
      <c r="J612" s="34">
        <v>0.55000000000000004</v>
      </c>
      <c r="K612" s="36">
        <f t="shared" si="97"/>
        <v>0.4840000000000001</v>
      </c>
      <c r="L612" s="11">
        <f>L107-L442-L275</f>
        <v>0</v>
      </c>
      <c r="M612" s="11">
        <f t="shared" si="98"/>
        <v>0</v>
      </c>
      <c r="N612" s="11">
        <f t="shared" si="99"/>
        <v>0</v>
      </c>
      <c r="O612" s="11">
        <f t="shared" si="100"/>
        <v>0</v>
      </c>
      <c r="Q612" s="154"/>
    </row>
    <row r="613" spans="1:17" s="33" customFormat="1">
      <c r="A613" s="34">
        <v>9358</v>
      </c>
      <c r="B613" s="34" t="s">
        <v>14</v>
      </c>
      <c r="C613" s="35" t="s">
        <v>25</v>
      </c>
      <c r="D613" s="34">
        <v>1000</v>
      </c>
      <c r="E613" s="34">
        <v>830</v>
      </c>
      <c r="F613" s="34">
        <v>40</v>
      </c>
      <c r="G613" s="34">
        <v>790</v>
      </c>
      <c r="H613" s="34">
        <v>1.04</v>
      </c>
      <c r="I613" s="34">
        <v>0.84</v>
      </c>
      <c r="J613" s="34">
        <v>0.64</v>
      </c>
      <c r="K613" s="36">
        <f t="shared" si="97"/>
        <v>0.55910400000000005</v>
      </c>
      <c r="L613" s="11">
        <f>L108-L443-L276</f>
        <v>0</v>
      </c>
      <c r="M613" s="11">
        <f t="shared" si="98"/>
        <v>0</v>
      </c>
      <c r="N613" s="11">
        <f t="shared" si="99"/>
        <v>0</v>
      </c>
      <c r="O613" s="11">
        <f t="shared" si="100"/>
        <v>0</v>
      </c>
      <c r="Q613" s="154"/>
    </row>
    <row r="614" spans="1:17" s="33" customFormat="1">
      <c r="A614" s="34">
        <v>9358</v>
      </c>
      <c r="B614" s="34" t="s">
        <v>14</v>
      </c>
      <c r="C614" s="35" t="s">
        <v>26</v>
      </c>
      <c r="D614" s="34">
        <v>4000</v>
      </c>
      <c r="E614" s="34">
        <v>223</v>
      </c>
      <c r="F614" s="34">
        <v>30</v>
      </c>
      <c r="G614" s="34">
        <v>188</v>
      </c>
      <c r="H614" s="34">
        <v>0.86</v>
      </c>
      <c r="I614" s="34">
        <v>0.78</v>
      </c>
      <c r="J614" s="34">
        <v>0.74</v>
      </c>
      <c r="K614" s="36">
        <f t="shared" si="97"/>
        <v>0.49639200000000006</v>
      </c>
      <c r="L614" s="11">
        <f>L109-L444-L277</f>
        <v>0</v>
      </c>
      <c r="M614" s="11">
        <f t="shared" si="98"/>
        <v>0</v>
      </c>
      <c r="N614" s="11">
        <f t="shared" si="99"/>
        <v>0</v>
      </c>
      <c r="O614" s="11">
        <f t="shared" si="100"/>
        <v>0</v>
      </c>
      <c r="Q614" s="154"/>
    </row>
    <row r="615" spans="1:17" s="33" customFormat="1">
      <c r="A615" s="34">
        <v>9355</v>
      </c>
      <c r="B615" s="34" t="s">
        <v>15</v>
      </c>
      <c r="C615" s="35" t="s">
        <v>27</v>
      </c>
      <c r="D615" s="39">
        <v>12</v>
      </c>
      <c r="E615" s="39">
        <v>435</v>
      </c>
      <c r="F615" s="39">
        <v>39</v>
      </c>
      <c r="G615" s="39">
        <v>396</v>
      </c>
      <c r="H615" s="39">
        <v>0.86</v>
      </c>
      <c r="I615" s="39">
        <v>0.56000000000000005</v>
      </c>
      <c r="J615" s="39">
        <v>0.51</v>
      </c>
      <c r="K615" s="40">
        <f t="shared" si="97"/>
        <v>0.24561600000000003</v>
      </c>
      <c r="L615" s="11">
        <f>L110-L445-L278</f>
        <v>0</v>
      </c>
      <c r="M615" s="11">
        <f t="shared" si="98"/>
        <v>0</v>
      </c>
      <c r="N615" s="11">
        <f t="shared" si="99"/>
        <v>0</v>
      </c>
      <c r="O615" s="11">
        <f t="shared" si="100"/>
        <v>0</v>
      </c>
      <c r="P615" s="152">
        <f>SUM(L615:L619)</f>
        <v>0</v>
      </c>
      <c r="Q615" s="154"/>
    </row>
    <row r="616" spans="1:17" s="33" customFormat="1">
      <c r="A616" s="34">
        <v>9355</v>
      </c>
      <c r="B616" s="34" t="s">
        <v>15</v>
      </c>
      <c r="C616" s="35" t="s">
        <v>28</v>
      </c>
      <c r="D616" s="39">
        <v>12</v>
      </c>
      <c r="E616" s="39">
        <v>520</v>
      </c>
      <c r="F616" s="39">
        <v>40</v>
      </c>
      <c r="G616" s="39">
        <v>480</v>
      </c>
      <c r="H616" s="39">
        <v>1.03</v>
      </c>
      <c r="I616" s="39">
        <v>0.56000000000000005</v>
      </c>
      <c r="J616" s="39">
        <v>0.51</v>
      </c>
      <c r="K616" s="40">
        <f t="shared" si="97"/>
        <v>0.29416800000000004</v>
      </c>
      <c r="L616" s="11">
        <f>L111-L446-L279</f>
        <v>0</v>
      </c>
      <c r="M616" s="11">
        <f t="shared" si="98"/>
        <v>0</v>
      </c>
      <c r="N616" s="11">
        <f t="shared" si="99"/>
        <v>0</v>
      </c>
      <c r="O616" s="11">
        <f t="shared" si="100"/>
        <v>0</v>
      </c>
      <c r="P616" s="152"/>
      <c r="Q616" s="154"/>
    </row>
    <row r="617" spans="1:17" s="33" customFormat="1">
      <c r="A617" s="34">
        <v>9355</v>
      </c>
      <c r="B617" s="34" t="s">
        <v>15</v>
      </c>
      <c r="C617" s="35" t="s">
        <v>29</v>
      </c>
      <c r="D617" s="39">
        <v>12</v>
      </c>
      <c r="E617" s="39">
        <v>596</v>
      </c>
      <c r="F617" s="39">
        <v>44</v>
      </c>
      <c r="G617" s="39">
        <v>552</v>
      </c>
      <c r="H617" s="39">
        <v>1.17</v>
      </c>
      <c r="I617" s="39">
        <v>0.56000000000000005</v>
      </c>
      <c r="J617" s="39">
        <v>0.51</v>
      </c>
      <c r="K617" s="40">
        <f t="shared" si="97"/>
        <v>0.334152</v>
      </c>
      <c r="L617" s="11">
        <f>L112-L447-L280</f>
        <v>0</v>
      </c>
      <c r="M617" s="11">
        <f t="shared" si="98"/>
        <v>0</v>
      </c>
      <c r="N617" s="11">
        <f t="shared" si="99"/>
        <v>0</v>
      </c>
      <c r="O617" s="11">
        <f t="shared" si="100"/>
        <v>0</v>
      </c>
      <c r="P617" s="152"/>
      <c r="Q617" s="154"/>
    </row>
    <row r="618" spans="1:17" s="33" customFormat="1">
      <c r="A618" s="34">
        <v>9355</v>
      </c>
      <c r="B618" s="34" t="s">
        <v>15</v>
      </c>
      <c r="C618" s="35" t="s">
        <v>30</v>
      </c>
      <c r="D618" s="41">
        <v>12</v>
      </c>
      <c r="E618" s="39">
        <v>654</v>
      </c>
      <c r="F618" s="39">
        <v>42</v>
      </c>
      <c r="G618" s="39">
        <v>612</v>
      </c>
      <c r="H618" s="39">
        <v>1.2749999999999999</v>
      </c>
      <c r="I618" s="39">
        <v>0.56000000000000005</v>
      </c>
      <c r="J618" s="39">
        <v>0.51</v>
      </c>
      <c r="K618" s="40">
        <f t="shared" si="97"/>
        <v>0.36413999999999996</v>
      </c>
      <c r="L618" s="11">
        <f>L113-L448-L281</f>
        <v>0</v>
      </c>
      <c r="M618" s="11">
        <f t="shared" si="98"/>
        <v>0</v>
      </c>
      <c r="N618" s="11">
        <f t="shared" si="99"/>
        <v>0</v>
      </c>
      <c r="O618" s="11">
        <f t="shared" si="100"/>
        <v>0</v>
      </c>
      <c r="P618" s="152"/>
      <c r="Q618" s="154"/>
    </row>
    <row r="619" spans="1:17" s="33" customFormat="1">
      <c r="A619" s="34">
        <v>9355</v>
      </c>
      <c r="B619" s="34" t="s">
        <v>15</v>
      </c>
      <c r="C619" s="35" t="s">
        <v>31</v>
      </c>
      <c r="D619" s="41">
        <v>6</v>
      </c>
      <c r="E619" s="39">
        <v>410</v>
      </c>
      <c r="F619" s="39">
        <v>50</v>
      </c>
      <c r="G619" s="39">
        <v>360</v>
      </c>
      <c r="H619" s="39">
        <v>1.48</v>
      </c>
      <c r="I619" s="39">
        <v>0.56000000000000005</v>
      </c>
      <c r="J619" s="39">
        <v>0.37</v>
      </c>
      <c r="K619" s="40">
        <f t="shared" si="97"/>
        <v>0.30665600000000004</v>
      </c>
      <c r="L619" s="11">
        <f>L114-L449-L282</f>
        <v>0</v>
      </c>
      <c r="M619" s="11">
        <f t="shared" si="98"/>
        <v>0</v>
      </c>
      <c r="N619" s="11">
        <f t="shared" si="99"/>
        <v>0</v>
      </c>
      <c r="O619" s="11">
        <f t="shared" si="100"/>
        <v>0</v>
      </c>
      <c r="P619" s="152"/>
      <c r="Q619" s="154"/>
    </row>
    <row r="620" spans="1:17" s="33" customFormat="1">
      <c r="A620" s="34">
        <v>9358</v>
      </c>
      <c r="B620" s="34" t="s">
        <v>14</v>
      </c>
      <c r="C620" s="35" t="s">
        <v>32</v>
      </c>
      <c r="D620" s="38">
        <v>1000</v>
      </c>
      <c r="E620" s="38">
        <f t="shared" ref="E620:E629" si="101">G620+F620</f>
        <v>395</v>
      </c>
      <c r="F620" s="38">
        <v>40</v>
      </c>
      <c r="G620" s="38">
        <v>355</v>
      </c>
      <c r="H620" s="38">
        <v>1.05</v>
      </c>
      <c r="I620" s="38">
        <v>0.9</v>
      </c>
      <c r="J620" s="38">
        <v>0.55000000000000004</v>
      </c>
      <c r="K620" s="11">
        <f t="shared" si="97"/>
        <v>0.51975000000000005</v>
      </c>
      <c r="L620" s="11">
        <f>L115-L450-L283</f>
        <v>0</v>
      </c>
      <c r="M620" s="11">
        <f t="shared" si="98"/>
        <v>0</v>
      </c>
      <c r="N620" s="11">
        <f t="shared" si="99"/>
        <v>0</v>
      </c>
      <c r="O620" s="11">
        <f t="shared" si="100"/>
        <v>0</v>
      </c>
      <c r="Q620" s="154"/>
    </row>
    <row r="621" spans="1:17" s="33" customFormat="1">
      <c r="A621" s="34">
        <v>9358</v>
      </c>
      <c r="B621" s="34" t="s">
        <v>14</v>
      </c>
      <c r="C621" s="35" t="s">
        <v>33</v>
      </c>
      <c r="D621" s="38">
        <v>450</v>
      </c>
      <c r="E621" s="38">
        <f t="shared" si="101"/>
        <v>360</v>
      </c>
      <c r="F621" s="38">
        <v>40</v>
      </c>
      <c r="G621" s="38">
        <v>320</v>
      </c>
      <c r="H621" s="34">
        <v>1.1000000000000001</v>
      </c>
      <c r="I621" s="38">
        <v>0.9</v>
      </c>
      <c r="J621" s="34">
        <v>0.75</v>
      </c>
      <c r="K621" s="36">
        <f t="shared" si="97"/>
        <v>0.74250000000000005</v>
      </c>
      <c r="L621" s="11">
        <f>L116-L451-L284</f>
        <v>0</v>
      </c>
      <c r="M621" s="11">
        <f t="shared" si="98"/>
        <v>0</v>
      </c>
      <c r="N621" s="11">
        <f t="shared" si="99"/>
        <v>0</v>
      </c>
      <c r="O621" s="11">
        <f t="shared" si="100"/>
        <v>0</v>
      </c>
      <c r="Q621" s="154"/>
    </row>
    <row r="622" spans="1:17" s="33" customFormat="1">
      <c r="A622" s="34">
        <v>9358</v>
      </c>
      <c r="B622" s="34" t="s">
        <v>14</v>
      </c>
      <c r="C622" s="35" t="s">
        <v>34</v>
      </c>
      <c r="D622" s="38">
        <v>1000</v>
      </c>
      <c r="E622" s="38">
        <f t="shared" si="101"/>
        <v>492</v>
      </c>
      <c r="F622" s="38">
        <v>40</v>
      </c>
      <c r="G622" s="38">
        <v>452</v>
      </c>
      <c r="H622" s="38">
        <v>1.1000000000000001</v>
      </c>
      <c r="I622" s="38">
        <v>1.05</v>
      </c>
      <c r="J622" s="38">
        <v>0.55000000000000004</v>
      </c>
      <c r="K622" s="11">
        <f t="shared" si="97"/>
        <v>0.6352500000000002</v>
      </c>
      <c r="L622" s="11">
        <f>L117-L452-L285</f>
        <v>0</v>
      </c>
      <c r="M622" s="11">
        <f t="shared" si="98"/>
        <v>0</v>
      </c>
      <c r="N622" s="11">
        <f t="shared" si="99"/>
        <v>0</v>
      </c>
      <c r="O622" s="11">
        <f t="shared" si="100"/>
        <v>0</v>
      </c>
      <c r="Q622" s="154"/>
    </row>
    <row r="623" spans="1:17" s="33" customFormat="1">
      <c r="A623" s="34">
        <v>9358</v>
      </c>
      <c r="B623" s="34" t="s">
        <v>14</v>
      </c>
      <c r="C623" s="35" t="s">
        <v>35</v>
      </c>
      <c r="D623" s="38">
        <v>450</v>
      </c>
      <c r="E623" s="38">
        <f t="shared" si="101"/>
        <v>421.5</v>
      </c>
      <c r="F623" s="38">
        <v>40</v>
      </c>
      <c r="G623" s="38">
        <v>381.5</v>
      </c>
      <c r="H623" s="38">
        <v>1.05</v>
      </c>
      <c r="I623" s="38">
        <v>1.05</v>
      </c>
      <c r="J623" s="34">
        <v>0.75</v>
      </c>
      <c r="K623" s="36">
        <f t="shared" si="97"/>
        <v>0.82687500000000003</v>
      </c>
      <c r="L623" s="11">
        <f>L118-L453-L286</f>
        <v>0</v>
      </c>
      <c r="M623" s="11">
        <f t="shared" si="98"/>
        <v>0</v>
      </c>
      <c r="N623" s="11">
        <f t="shared" si="99"/>
        <v>0</v>
      </c>
      <c r="O623" s="11">
        <f t="shared" si="100"/>
        <v>0</v>
      </c>
      <c r="Q623" s="154"/>
    </row>
    <row r="624" spans="1:17" s="33" customFormat="1">
      <c r="A624" s="34">
        <v>9358</v>
      </c>
      <c r="B624" s="34" t="s">
        <v>14</v>
      </c>
      <c r="C624" s="35" t="s">
        <v>36</v>
      </c>
      <c r="D624" s="38">
        <v>1000</v>
      </c>
      <c r="E624" s="38">
        <f t="shared" si="101"/>
        <v>574</v>
      </c>
      <c r="F624" s="38">
        <v>40</v>
      </c>
      <c r="G624" s="38">
        <v>534</v>
      </c>
      <c r="H624" s="38">
        <v>1.1000000000000001</v>
      </c>
      <c r="I624" s="38">
        <v>1.2</v>
      </c>
      <c r="J624" s="38">
        <v>0.55000000000000004</v>
      </c>
      <c r="K624" s="11">
        <f t="shared" si="97"/>
        <v>0.72600000000000009</v>
      </c>
      <c r="L624" s="11">
        <f>L119-L454-L287</f>
        <v>0</v>
      </c>
      <c r="M624" s="11">
        <f t="shared" si="98"/>
        <v>0</v>
      </c>
      <c r="N624" s="11">
        <f t="shared" si="99"/>
        <v>0</v>
      </c>
      <c r="O624" s="11">
        <f t="shared" si="100"/>
        <v>0</v>
      </c>
      <c r="Q624" s="154"/>
    </row>
    <row r="625" spans="1:17" s="33" customFormat="1">
      <c r="A625" s="34">
        <v>9358</v>
      </c>
      <c r="B625" s="34" t="s">
        <v>14</v>
      </c>
      <c r="C625" s="35" t="s">
        <v>37</v>
      </c>
      <c r="D625" s="38">
        <v>450</v>
      </c>
      <c r="E625" s="38">
        <f t="shared" si="101"/>
        <v>475</v>
      </c>
      <c r="F625" s="38">
        <v>40</v>
      </c>
      <c r="G625" s="38">
        <v>435</v>
      </c>
      <c r="H625" s="38">
        <v>1.05</v>
      </c>
      <c r="I625" s="38">
        <v>1.2</v>
      </c>
      <c r="J625" s="34">
        <v>0.75</v>
      </c>
      <c r="K625" s="11">
        <f t="shared" si="97"/>
        <v>0.94500000000000006</v>
      </c>
      <c r="L625" s="11">
        <f>L120-L455-L288</f>
        <v>0</v>
      </c>
      <c r="M625" s="11">
        <f t="shared" si="98"/>
        <v>0</v>
      </c>
      <c r="N625" s="11">
        <f t="shared" si="99"/>
        <v>0</v>
      </c>
      <c r="O625" s="11">
        <f t="shared" si="100"/>
        <v>0</v>
      </c>
      <c r="Q625" s="154"/>
    </row>
    <row r="626" spans="1:17" s="33" customFormat="1">
      <c r="A626" s="34">
        <v>9358</v>
      </c>
      <c r="B626" s="34" t="s">
        <v>14</v>
      </c>
      <c r="C626" s="35" t="s">
        <v>38</v>
      </c>
      <c r="D626" s="38">
        <v>1000</v>
      </c>
      <c r="E626" s="38">
        <f t="shared" si="101"/>
        <v>645</v>
      </c>
      <c r="F626" s="38">
        <v>40</v>
      </c>
      <c r="G626" s="38">
        <v>605</v>
      </c>
      <c r="H626" s="38">
        <v>1.1000000000000001</v>
      </c>
      <c r="I626" s="38">
        <v>1.3</v>
      </c>
      <c r="J626" s="38">
        <v>0.55000000000000004</v>
      </c>
      <c r="K626" s="11">
        <f t="shared" si="97"/>
        <v>0.7865000000000002</v>
      </c>
      <c r="L626" s="11">
        <f>L121-L456-L289</f>
        <v>0</v>
      </c>
      <c r="M626" s="11">
        <f t="shared" si="98"/>
        <v>0</v>
      </c>
      <c r="N626" s="11">
        <f t="shared" si="99"/>
        <v>0</v>
      </c>
      <c r="O626" s="11">
        <f t="shared" si="100"/>
        <v>0</v>
      </c>
      <c r="Q626" s="154"/>
    </row>
    <row r="627" spans="1:17" s="33" customFormat="1">
      <c r="A627" s="34">
        <v>9358</v>
      </c>
      <c r="B627" s="34" t="s">
        <v>14</v>
      </c>
      <c r="C627" s="35" t="s">
        <v>39</v>
      </c>
      <c r="D627" s="38">
        <v>450</v>
      </c>
      <c r="E627" s="38">
        <f t="shared" si="101"/>
        <v>515</v>
      </c>
      <c r="F627" s="38">
        <v>40</v>
      </c>
      <c r="G627" s="38">
        <v>475</v>
      </c>
      <c r="H627" s="38">
        <v>1.05</v>
      </c>
      <c r="I627" s="38">
        <v>1.3</v>
      </c>
      <c r="J627" s="34">
        <v>0.75</v>
      </c>
      <c r="K627" s="11">
        <f t="shared" si="97"/>
        <v>1.0237500000000002</v>
      </c>
      <c r="L627" s="11">
        <f>L122-L457-L290</f>
        <v>0</v>
      </c>
      <c r="M627" s="11">
        <f t="shared" si="98"/>
        <v>0</v>
      </c>
      <c r="N627" s="11">
        <f t="shared" si="99"/>
        <v>0</v>
      </c>
      <c r="O627" s="11">
        <f t="shared" si="100"/>
        <v>0</v>
      </c>
      <c r="Q627" s="154"/>
    </row>
    <row r="628" spans="1:17" s="33" customFormat="1">
      <c r="A628" s="34">
        <v>9358</v>
      </c>
      <c r="B628" s="34" t="s">
        <v>14</v>
      </c>
      <c r="C628" s="35" t="s">
        <v>40</v>
      </c>
      <c r="D628" s="38">
        <v>1000</v>
      </c>
      <c r="E628" s="38">
        <f t="shared" si="101"/>
        <v>645</v>
      </c>
      <c r="F628" s="38">
        <v>40</v>
      </c>
      <c r="G628" s="38">
        <v>605</v>
      </c>
      <c r="H628" s="38">
        <v>1.1000000000000001</v>
      </c>
      <c r="I628" s="38">
        <v>1.3</v>
      </c>
      <c r="J628" s="38">
        <v>0.55000000000000004</v>
      </c>
      <c r="K628" s="11">
        <f t="shared" si="97"/>
        <v>0.7865000000000002</v>
      </c>
      <c r="L628" s="11">
        <f>L123-L458-L291</f>
        <v>0</v>
      </c>
      <c r="M628" s="11">
        <f t="shared" si="98"/>
        <v>0</v>
      </c>
      <c r="N628" s="11">
        <f t="shared" si="99"/>
        <v>0</v>
      </c>
      <c r="O628" s="11">
        <f t="shared" si="100"/>
        <v>0</v>
      </c>
      <c r="Q628" s="154"/>
    </row>
    <row r="629" spans="1:17" s="33" customFormat="1">
      <c r="A629" s="34">
        <v>9358</v>
      </c>
      <c r="B629" s="34" t="s">
        <v>14</v>
      </c>
      <c r="C629" s="35" t="s">
        <v>41</v>
      </c>
      <c r="D629" s="38">
        <v>450</v>
      </c>
      <c r="E629" s="38">
        <f t="shared" si="101"/>
        <v>515</v>
      </c>
      <c r="F629" s="38">
        <v>40</v>
      </c>
      <c r="G629" s="38">
        <v>475</v>
      </c>
      <c r="H629" s="38">
        <v>1.05</v>
      </c>
      <c r="I629" s="38">
        <v>1.3</v>
      </c>
      <c r="J629" s="34">
        <v>0.75</v>
      </c>
      <c r="K629" s="11">
        <f t="shared" si="97"/>
        <v>1.0237500000000002</v>
      </c>
      <c r="L629" s="11">
        <f>L124-L459-L292</f>
        <v>0</v>
      </c>
      <c r="M629" s="11">
        <f t="shared" si="98"/>
        <v>0</v>
      </c>
      <c r="N629" s="11">
        <f t="shared" si="99"/>
        <v>0</v>
      </c>
      <c r="O629" s="11">
        <f t="shared" si="100"/>
        <v>0</v>
      </c>
      <c r="Q629" s="154"/>
    </row>
    <row r="630" spans="1:17" s="33" customFormat="1">
      <c r="A630" s="34">
        <v>9358</v>
      </c>
      <c r="B630" s="34" t="s">
        <v>14</v>
      </c>
      <c r="C630" s="35" t="s">
        <v>22</v>
      </c>
      <c r="D630" s="37">
        <v>3000</v>
      </c>
      <c r="E630" s="38">
        <v>235</v>
      </c>
      <c r="F630" s="34">
        <v>35</v>
      </c>
      <c r="G630" s="38">
        <v>200</v>
      </c>
      <c r="H630" s="34">
        <v>1.1000000000000001</v>
      </c>
      <c r="I630" s="34">
        <v>1.1000000000000001</v>
      </c>
      <c r="J630" s="34">
        <v>1.02</v>
      </c>
      <c r="K630" s="36">
        <f t="shared" si="97"/>
        <v>1.2342000000000002</v>
      </c>
      <c r="L630" s="11">
        <f>L125-L460-L293</f>
        <v>0</v>
      </c>
      <c r="M630" s="11">
        <f t="shared" si="98"/>
        <v>0</v>
      </c>
      <c r="N630" s="11">
        <f t="shared" si="99"/>
        <v>0</v>
      </c>
      <c r="O630" s="11">
        <f t="shared" si="100"/>
        <v>0</v>
      </c>
      <c r="Q630" s="154"/>
    </row>
    <row r="631" spans="1:17" s="33" customFormat="1">
      <c r="A631" s="34">
        <v>9358</v>
      </c>
      <c r="B631" s="34" t="s">
        <v>14</v>
      </c>
      <c r="C631" s="35" t="s">
        <v>23</v>
      </c>
      <c r="D631" s="9">
        <v>1000</v>
      </c>
      <c r="E631" s="10">
        <v>646</v>
      </c>
      <c r="F631" s="10">
        <f>E631-G631</f>
        <v>40</v>
      </c>
      <c r="G631" s="10">
        <v>606</v>
      </c>
      <c r="H631" s="10">
        <v>1.1000000000000001</v>
      </c>
      <c r="I631" s="10">
        <v>0.8</v>
      </c>
      <c r="J631" s="10">
        <v>0.55000000000000004</v>
      </c>
      <c r="K631" s="11">
        <f t="shared" si="97"/>
        <v>0.4840000000000001</v>
      </c>
      <c r="L631" s="11">
        <f>L126-L461-L294</f>
        <v>0</v>
      </c>
      <c r="M631" s="11">
        <f t="shared" si="98"/>
        <v>0</v>
      </c>
      <c r="N631" s="11">
        <f t="shared" si="99"/>
        <v>0</v>
      </c>
      <c r="O631" s="11">
        <f t="shared" si="100"/>
        <v>0</v>
      </c>
      <c r="Q631" s="154"/>
    </row>
    <row r="632" spans="1:17" s="33" customFormat="1">
      <c r="A632" s="34">
        <v>9358</v>
      </c>
      <c r="B632" s="34" t="s">
        <v>14</v>
      </c>
      <c r="C632" s="35" t="s">
        <v>46</v>
      </c>
      <c r="D632" s="37">
        <v>4000</v>
      </c>
      <c r="E632" s="38">
        <v>424</v>
      </c>
      <c r="F632" s="34">
        <f>E632-G632</f>
        <v>52</v>
      </c>
      <c r="G632" s="38">
        <v>372</v>
      </c>
      <c r="H632" s="34">
        <v>1.1000000000000001</v>
      </c>
      <c r="I632" s="34">
        <v>0.8</v>
      </c>
      <c r="J632" s="34">
        <v>0.55000000000000004</v>
      </c>
      <c r="K632" s="36">
        <f t="shared" si="97"/>
        <v>0.4840000000000001</v>
      </c>
      <c r="L632" s="11">
        <f>L127-L462-L295</f>
        <v>0</v>
      </c>
      <c r="M632" s="11">
        <f t="shared" si="98"/>
        <v>0</v>
      </c>
      <c r="N632" s="11">
        <f t="shared" si="99"/>
        <v>0</v>
      </c>
      <c r="O632" s="11">
        <f t="shared" si="100"/>
        <v>0</v>
      </c>
      <c r="Q632" s="154"/>
    </row>
    <row r="633" spans="1:17" s="33" customFormat="1">
      <c r="A633" s="34">
        <v>9358</v>
      </c>
      <c r="B633" s="34" t="s">
        <v>14</v>
      </c>
      <c r="C633" s="35" t="s">
        <v>42</v>
      </c>
      <c r="D633" s="42">
        <v>1200</v>
      </c>
      <c r="E633" s="139">
        <v>666.4</v>
      </c>
      <c r="F633" s="139">
        <v>40</v>
      </c>
      <c r="G633" s="43">
        <v>588</v>
      </c>
      <c r="H633" s="141">
        <v>1</v>
      </c>
      <c r="I633" s="141">
        <v>0.75</v>
      </c>
      <c r="J633" s="141">
        <v>0.7</v>
      </c>
      <c r="K633" s="143">
        <v>0.5</v>
      </c>
      <c r="L633" s="137">
        <f>L128-L463-L296</f>
        <v>0</v>
      </c>
      <c r="M633" s="137">
        <f t="shared" si="98"/>
        <v>0</v>
      </c>
      <c r="N633" s="137">
        <f t="shared" si="99"/>
        <v>0</v>
      </c>
      <c r="O633" s="158">
        <f t="shared" si="100"/>
        <v>0</v>
      </c>
      <c r="Q633" s="154"/>
    </row>
    <row r="634" spans="1:17" s="33" customFormat="1">
      <c r="A634" s="34">
        <v>9358</v>
      </c>
      <c r="B634" s="34" t="s">
        <v>14</v>
      </c>
      <c r="C634" s="35" t="s">
        <v>43</v>
      </c>
      <c r="D634" s="42">
        <v>1200</v>
      </c>
      <c r="E634" s="140"/>
      <c r="F634" s="140"/>
      <c r="G634" s="43">
        <v>38.4</v>
      </c>
      <c r="H634" s="142"/>
      <c r="I634" s="142"/>
      <c r="J634" s="142"/>
      <c r="K634" s="144"/>
      <c r="L634" s="138">
        <f>L129-L464-L297</f>
        <v>0</v>
      </c>
      <c r="M634" s="138"/>
      <c r="N634" s="138"/>
      <c r="O634" s="159"/>
      <c r="Q634" s="154"/>
    </row>
    <row r="635" spans="1:17" s="33" customFormat="1" ht="15" thickBot="1">
      <c r="A635" s="34">
        <v>9358</v>
      </c>
      <c r="B635" s="34" t="s">
        <v>14</v>
      </c>
      <c r="C635" s="35" t="s">
        <v>60</v>
      </c>
      <c r="D635" s="42"/>
      <c r="E635" s="77"/>
      <c r="F635" s="77"/>
      <c r="G635" s="43"/>
      <c r="H635" s="78"/>
      <c r="I635" s="78"/>
      <c r="J635" s="78"/>
      <c r="K635" s="71"/>
      <c r="L635" s="72">
        <f>L130-L465-L298</f>
        <v>0</v>
      </c>
      <c r="M635" s="72"/>
      <c r="N635" s="72"/>
      <c r="O635" s="73"/>
      <c r="Q635" s="155"/>
    </row>
    <row r="636" spans="1:17">
      <c r="A636" s="5">
        <v>9355</v>
      </c>
      <c r="B636" s="5" t="s">
        <v>15</v>
      </c>
      <c r="C636" s="5" t="s">
        <v>16</v>
      </c>
      <c r="D636" s="5">
        <v>30</v>
      </c>
      <c r="E636" s="5">
        <v>669</v>
      </c>
      <c r="F636" s="5">
        <f>E636-G636</f>
        <v>53</v>
      </c>
      <c r="G636" s="5">
        <v>616</v>
      </c>
      <c r="H636" s="5">
        <v>1</v>
      </c>
      <c r="I636" s="5">
        <v>0.9</v>
      </c>
      <c r="J636" s="5">
        <v>0.73</v>
      </c>
      <c r="K636" s="5">
        <f t="shared" ref="K636:K664" si="102">H636*I636*J636</f>
        <v>0.65700000000000003</v>
      </c>
      <c r="L636" s="4">
        <f>L131-L466-L299</f>
        <v>0</v>
      </c>
      <c r="M636" s="4">
        <f t="shared" ref="M636:M665" si="103">L636/D636</f>
        <v>0</v>
      </c>
      <c r="N636" s="4">
        <f t="shared" ref="N636:N665" si="104">E636*M636</f>
        <v>0</v>
      </c>
      <c r="O636" s="4">
        <f>M636*K636</f>
        <v>0</v>
      </c>
      <c r="P636" s="145">
        <f>SUM(L636:L639)</f>
        <v>0</v>
      </c>
      <c r="Q636" s="146" t="s">
        <v>56</v>
      </c>
    </row>
    <row r="637" spans="1:17">
      <c r="A637" s="5">
        <v>9355</v>
      </c>
      <c r="B637" s="5" t="s">
        <v>15</v>
      </c>
      <c r="C637" s="5" t="s">
        <v>17</v>
      </c>
      <c r="D637" s="5">
        <v>30</v>
      </c>
      <c r="E637" s="5">
        <v>669</v>
      </c>
      <c r="F637" s="5">
        <f>E637-G637</f>
        <v>53</v>
      </c>
      <c r="G637" s="5">
        <v>616</v>
      </c>
      <c r="H637" s="5">
        <v>1</v>
      </c>
      <c r="I637" s="5">
        <v>0.9</v>
      </c>
      <c r="J637" s="5">
        <v>0.73</v>
      </c>
      <c r="K637" s="5">
        <f t="shared" si="102"/>
        <v>0.65700000000000003</v>
      </c>
      <c r="L637" s="4">
        <f>L132-L467-L300</f>
        <v>0</v>
      </c>
      <c r="M637" s="4">
        <f t="shared" si="103"/>
        <v>0</v>
      </c>
      <c r="N637" s="4">
        <f t="shared" si="104"/>
        <v>0</v>
      </c>
      <c r="O637" s="4">
        <f t="shared" ref="O637:O665" si="105">M637*K637</f>
        <v>0</v>
      </c>
      <c r="P637" s="145"/>
      <c r="Q637" s="147"/>
    </row>
    <row r="638" spans="1:17">
      <c r="A638" s="5">
        <v>9355</v>
      </c>
      <c r="B638" s="5" t="s">
        <v>15</v>
      </c>
      <c r="C638" s="5" t="s">
        <v>18</v>
      </c>
      <c r="D638" s="5">
        <v>30</v>
      </c>
      <c r="E638" s="5">
        <v>669</v>
      </c>
      <c r="F638" s="5">
        <f>E638-G638</f>
        <v>53</v>
      </c>
      <c r="G638" s="5">
        <v>616</v>
      </c>
      <c r="H638" s="5">
        <v>1</v>
      </c>
      <c r="I638" s="5">
        <v>0.9</v>
      </c>
      <c r="J638" s="5">
        <v>0.73</v>
      </c>
      <c r="K638" s="5">
        <f t="shared" si="102"/>
        <v>0.65700000000000003</v>
      </c>
      <c r="L638" s="4">
        <f>L133-L468-L301</f>
        <v>0</v>
      </c>
      <c r="M638" s="4">
        <f t="shared" si="103"/>
        <v>0</v>
      </c>
      <c r="N638" s="4">
        <f t="shared" si="104"/>
        <v>0</v>
      </c>
      <c r="O638" s="4">
        <f t="shared" si="105"/>
        <v>0</v>
      </c>
      <c r="P638" s="145"/>
      <c r="Q638" s="147"/>
    </row>
    <row r="639" spans="1:17">
      <c r="A639" s="5">
        <v>9355</v>
      </c>
      <c r="B639" s="5" t="s">
        <v>15</v>
      </c>
      <c r="C639" s="5" t="s">
        <v>19</v>
      </c>
      <c r="D639" s="5">
        <v>30</v>
      </c>
      <c r="E639" s="5">
        <v>669</v>
      </c>
      <c r="F639" s="5">
        <f>E639-G639</f>
        <v>53</v>
      </c>
      <c r="G639" s="5">
        <v>616</v>
      </c>
      <c r="H639" s="5">
        <v>1</v>
      </c>
      <c r="I639" s="5">
        <v>0.9</v>
      </c>
      <c r="J639" s="5">
        <v>0.73</v>
      </c>
      <c r="K639" s="5">
        <f t="shared" si="102"/>
        <v>0.65700000000000003</v>
      </c>
      <c r="L639" s="4">
        <f>L134-L469-L302</f>
        <v>0</v>
      </c>
      <c r="M639" s="4">
        <f t="shared" si="103"/>
        <v>0</v>
      </c>
      <c r="N639" s="4">
        <f t="shared" si="104"/>
        <v>0</v>
      </c>
      <c r="O639" s="4">
        <f t="shared" si="105"/>
        <v>0</v>
      </c>
      <c r="P639" s="145"/>
      <c r="Q639" s="147"/>
    </row>
    <row r="640" spans="1:17">
      <c r="A640" s="5">
        <v>9358</v>
      </c>
      <c r="B640" s="5" t="s">
        <v>14</v>
      </c>
      <c r="C640" s="8" t="s">
        <v>20</v>
      </c>
      <c r="D640" s="5">
        <v>5000</v>
      </c>
      <c r="E640" s="5">
        <v>490</v>
      </c>
      <c r="F640" s="5">
        <v>40</v>
      </c>
      <c r="G640" s="5">
        <v>450</v>
      </c>
      <c r="H640" s="5">
        <v>1</v>
      </c>
      <c r="I640" s="5">
        <v>0.98</v>
      </c>
      <c r="J640" s="5">
        <v>0.83</v>
      </c>
      <c r="K640" s="7">
        <f t="shared" si="102"/>
        <v>0.8133999999999999</v>
      </c>
      <c r="L640" s="4">
        <f>L135-L470-L303</f>
        <v>0</v>
      </c>
      <c r="M640" s="4">
        <f t="shared" si="103"/>
        <v>0</v>
      </c>
      <c r="N640" s="4">
        <f t="shared" si="104"/>
        <v>0</v>
      </c>
      <c r="O640" s="4">
        <f t="shared" si="105"/>
        <v>0</v>
      </c>
      <c r="Q640" s="147"/>
    </row>
    <row r="641" spans="1:17">
      <c r="A641" s="5">
        <v>9358</v>
      </c>
      <c r="B641" s="5" t="s">
        <v>14</v>
      </c>
      <c r="C641" s="8" t="s">
        <v>21</v>
      </c>
      <c r="D641" s="5">
        <v>360</v>
      </c>
      <c r="E641" s="5">
        <v>390</v>
      </c>
      <c r="F641" s="5">
        <v>40</v>
      </c>
      <c r="G641" s="5">
        <v>350</v>
      </c>
      <c r="H641" s="5">
        <v>1.05</v>
      </c>
      <c r="I641" s="5">
        <v>0.95</v>
      </c>
      <c r="J641" s="5">
        <v>0.55000000000000004</v>
      </c>
      <c r="K641" s="7">
        <f t="shared" si="102"/>
        <v>0.54862500000000003</v>
      </c>
      <c r="L641" s="4">
        <f>L136-L471-L304</f>
        <v>0</v>
      </c>
      <c r="M641" s="4">
        <f t="shared" si="103"/>
        <v>0</v>
      </c>
      <c r="N641" s="4">
        <f t="shared" si="104"/>
        <v>0</v>
      </c>
      <c r="O641" s="4">
        <f t="shared" si="105"/>
        <v>0</v>
      </c>
      <c r="Q641" s="147"/>
    </row>
    <row r="642" spans="1:17">
      <c r="A642" s="5">
        <v>9358</v>
      </c>
      <c r="B642" s="5" t="s">
        <v>14</v>
      </c>
      <c r="C642" s="8" t="s">
        <v>22</v>
      </c>
      <c r="D642" s="3">
        <v>3000</v>
      </c>
      <c r="E642" s="6">
        <v>235</v>
      </c>
      <c r="F642" s="5">
        <v>35</v>
      </c>
      <c r="G642" s="6">
        <v>200</v>
      </c>
      <c r="H642" s="5">
        <v>1.1000000000000001</v>
      </c>
      <c r="I642" s="5">
        <v>1.1000000000000001</v>
      </c>
      <c r="J642" s="5">
        <v>1.02</v>
      </c>
      <c r="K642" s="7">
        <f t="shared" si="102"/>
        <v>1.2342000000000002</v>
      </c>
      <c r="L642" s="4">
        <f>L137-L472-L305</f>
        <v>0</v>
      </c>
      <c r="M642" s="4">
        <f t="shared" si="103"/>
        <v>0</v>
      </c>
      <c r="N642" s="4">
        <f t="shared" si="104"/>
        <v>0</v>
      </c>
      <c r="O642" s="4">
        <f t="shared" si="105"/>
        <v>0</v>
      </c>
      <c r="Q642" s="147"/>
    </row>
    <row r="643" spans="1:17">
      <c r="A643" s="5">
        <v>9358</v>
      </c>
      <c r="B643" s="5" t="s">
        <v>14</v>
      </c>
      <c r="C643" s="8" t="s">
        <v>23</v>
      </c>
      <c r="D643" s="44">
        <v>1000</v>
      </c>
      <c r="E643" s="45">
        <v>646</v>
      </c>
      <c r="F643" s="45">
        <f>E643-G643</f>
        <v>40</v>
      </c>
      <c r="G643" s="45">
        <v>606</v>
      </c>
      <c r="H643" s="45">
        <v>1.1000000000000001</v>
      </c>
      <c r="I643" s="45">
        <v>0.8</v>
      </c>
      <c r="J643" s="45">
        <v>0.55000000000000004</v>
      </c>
      <c r="K643" s="4">
        <f t="shared" si="102"/>
        <v>0.4840000000000001</v>
      </c>
      <c r="L643" s="4">
        <f>L138-L473-L306</f>
        <v>0</v>
      </c>
      <c r="M643" s="4">
        <f t="shared" si="103"/>
        <v>0</v>
      </c>
      <c r="N643" s="4">
        <f t="shared" si="104"/>
        <v>0</v>
      </c>
      <c r="O643" s="4">
        <f t="shared" si="105"/>
        <v>0</v>
      </c>
      <c r="Q643" s="147"/>
    </row>
    <row r="644" spans="1:17">
      <c r="A644" s="5">
        <v>9356</v>
      </c>
      <c r="B644" s="5" t="s">
        <v>47</v>
      </c>
      <c r="C644" s="8" t="s">
        <v>24</v>
      </c>
      <c r="D644" s="3">
        <v>4000</v>
      </c>
      <c r="E644" s="6">
        <v>424</v>
      </c>
      <c r="F644" s="5">
        <f>E644-G644</f>
        <v>52</v>
      </c>
      <c r="G644" s="6">
        <v>372</v>
      </c>
      <c r="H644" s="5">
        <v>1.1000000000000001</v>
      </c>
      <c r="I644" s="5">
        <v>0.8</v>
      </c>
      <c r="J644" s="5">
        <v>0.55000000000000004</v>
      </c>
      <c r="K644" s="7">
        <f t="shared" si="102"/>
        <v>0.4840000000000001</v>
      </c>
      <c r="L644" s="4">
        <f>L139-L474-L307</f>
        <v>0</v>
      </c>
      <c r="M644" s="4">
        <f t="shared" si="103"/>
        <v>0</v>
      </c>
      <c r="N644" s="4">
        <f t="shared" si="104"/>
        <v>0</v>
      </c>
      <c r="O644" s="4">
        <f t="shared" si="105"/>
        <v>0</v>
      </c>
      <c r="Q644" s="147"/>
    </row>
    <row r="645" spans="1:17">
      <c r="A645" s="5">
        <v>9358</v>
      </c>
      <c r="B645" s="5" t="s">
        <v>14</v>
      </c>
      <c r="C645" s="8" t="s">
        <v>25</v>
      </c>
      <c r="D645" s="5">
        <v>1000</v>
      </c>
      <c r="E645" s="5">
        <v>830</v>
      </c>
      <c r="F645" s="5">
        <v>40</v>
      </c>
      <c r="G645" s="5">
        <v>790</v>
      </c>
      <c r="H645" s="5">
        <v>1.04</v>
      </c>
      <c r="I645" s="5">
        <v>0.84</v>
      </c>
      <c r="J645" s="5">
        <v>0.64</v>
      </c>
      <c r="K645" s="7">
        <f t="shared" si="102"/>
        <v>0.55910400000000005</v>
      </c>
      <c r="L645" s="4">
        <f>L140-L475-L308</f>
        <v>0</v>
      </c>
      <c r="M645" s="4">
        <f t="shared" si="103"/>
        <v>0</v>
      </c>
      <c r="N645" s="4">
        <f t="shared" si="104"/>
        <v>0</v>
      </c>
      <c r="O645" s="4">
        <f t="shared" si="105"/>
        <v>0</v>
      </c>
      <c r="Q645" s="147"/>
    </row>
    <row r="646" spans="1:17">
      <c r="A646" s="5">
        <v>9358</v>
      </c>
      <c r="B646" s="5" t="s">
        <v>14</v>
      </c>
      <c r="C646" s="8" t="s">
        <v>26</v>
      </c>
      <c r="D646" s="5">
        <v>4000</v>
      </c>
      <c r="E646" s="5">
        <v>223</v>
      </c>
      <c r="F646" s="5">
        <v>30</v>
      </c>
      <c r="G646" s="5">
        <v>188</v>
      </c>
      <c r="H646" s="5">
        <v>0.86</v>
      </c>
      <c r="I646" s="5">
        <v>0.78</v>
      </c>
      <c r="J646" s="5">
        <v>0.74</v>
      </c>
      <c r="K646" s="7">
        <f t="shared" si="102"/>
        <v>0.49639200000000006</v>
      </c>
      <c r="L646" s="4">
        <f>L141-L476-L309</f>
        <v>0</v>
      </c>
      <c r="M646" s="4">
        <f t="shared" si="103"/>
        <v>0</v>
      </c>
      <c r="N646" s="4">
        <f t="shared" si="104"/>
        <v>0</v>
      </c>
      <c r="O646" s="4">
        <f t="shared" si="105"/>
        <v>0</v>
      </c>
      <c r="Q646" s="147"/>
    </row>
    <row r="647" spans="1:17">
      <c r="A647" s="5">
        <v>9355</v>
      </c>
      <c r="B647" s="5" t="s">
        <v>15</v>
      </c>
      <c r="C647" s="8" t="s">
        <v>27</v>
      </c>
      <c r="D647" s="12">
        <v>12</v>
      </c>
      <c r="E647" s="12">
        <v>435</v>
      </c>
      <c r="F647" s="12">
        <v>39</v>
      </c>
      <c r="G647" s="12">
        <v>396</v>
      </c>
      <c r="H647" s="12">
        <v>0.86</v>
      </c>
      <c r="I647" s="12">
        <v>0.56000000000000005</v>
      </c>
      <c r="J647" s="12">
        <v>0.51</v>
      </c>
      <c r="K647" s="13">
        <f t="shared" si="102"/>
        <v>0.24561600000000003</v>
      </c>
      <c r="L647" s="4">
        <f>L142-L477-L310</f>
        <v>0</v>
      </c>
      <c r="M647" s="4">
        <f t="shared" si="103"/>
        <v>0</v>
      </c>
      <c r="N647" s="4">
        <f t="shared" si="104"/>
        <v>0</v>
      </c>
      <c r="O647" s="4">
        <f t="shared" si="105"/>
        <v>0</v>
      </c>
      <c r="P647" s="145">
        <f>SUM(L647:L651)</f>
        <v>0</v>
      </c>
      <c r="Q647" s="147"/>
    </row>
    <row r="648" spans="1:17">
      <c r="A648" s="5">
        <v>9355</v>
      </c>
      <c r="B648" s="5" t="s">
        <v>15</v>
      </c>
      <c r="C648" s="8" t="s">
        <v>28</v>
      </c>
      <c r="D648" s="12">
        <v>12</v>
      </c>
      <c r="E648" s="12">
        <v>520</v>
      </c>
      <c r="F648" s="12">
        <v>40</v>
      </c>
      <c r="G648" s="12">
        <v>480</v>
      </c>
      <c r="H648" s="12">
        <v>1.03</v>
      </c>
      <c r="I648" s="12">
        <v>0.56000000000000005</v>
      </c>
      <c r="J648" s="12">
        <v>0.51</v>
      </c>
      <c r="K648" s="13">
        <f t="shared" si="102"/>
        <v>0.29416800000000004</v>
      </c>
      <c r="L648" s="4">
        <f>L143-L478-L311</f>
        <v>0</v>
      </c>
      <c r="M648" s="4">
        <f t="shared" si="103"/>
        <v>0</v>
      </c>
      <c r="N648" s="4">
        <f t="shared" si="104"/>
        <v>0</v>
      </c>
      <c r="O648" s="4">
        <f t="shared" si="105"/>
        <v>0</v>
      </c>
      <c r="P648" s="145"/>
      <c r="Q648" s="147"/>
    </row>
    <row r="649" spans="1:17">
      <c r="A649" s="5">
        <v>9355</v>
      </c>
      <c r="B649" s="5" t="s">
        <v>15</v>
      </c>
      <c r="C649" s="8" t="s">
        <v>29</v>
      </c>
      <c r="D649" s="12">
        <v>12</v>
      </c>
      <c r="E649" s="12">
        <v>596</v>
      </c>
      <c r="F649" s="12">
        <v>44</v>
      </c>
      <c r="G649" s="12">
        <v>552</v>
      </c>
      <c r="H649" s="12">
        <v>1.17</v>
      </c>
      <c r="I649" s="12">
        <v>0.56000000000000005</v>
      </c>
      <c r="J649" s="12">
        <v>0.51</v>
      </c>
      <c r="K649" s="13">
        <f t="shared" si="102"/>
        <v>0.334152</v>
      </c>
      <c r="L649" s="4">
        <f>L144-L479-L312</f>
        <v>0</v>
      </c>
      <c r="M649" s="4">
        <f t="shared" si="103"/>
        <v>0</v>
      </c>
      <c r="N649" s="4">
        <f t="shared" si="104"/>
        <v>0</v>
      </c>
      <c r="O649" s="4">
        <f t="shared" si="105"/>
        <v>0</v>
      </c>
      <c r="P649" s="145"/>
      <c r="Q649" s="147"/>
    </row>
    <row r="650" spans="1:17">
      <c r="A650" s="5">
        <v>9355</v>
      </c>
      <c r="B650" s="5" t="s">
        <v>15</v>
      </c>
      <c r="C650" s="8" t="s">
        <v>30</v>
      </c>
      <c r="D650" s="14">
        <v>12</v>
      </c>
      <c r="E650" s="12">
        <v>654</v>
      </c>
      <c r="F650" s="12">
        <v>42</v>
      </c>
      <c r="G650" s="12">
        <v>612</v>
      </c>
      <c r="H650" s="12">
        <v>1.2749999999999999</v>
      </c>
      <c r="I650" s="12">
        <v>0.56000000000000005</v>
      </c>
      <c r="J650" s="12">
        <v>0.51</v>
      </c>
      <c r="K650" s="13">
        <f t="shared" si="102"/>
        <v>0.36413999999999996</v>
      </c>
      <c r="L650" s="4">
        <f>L145-L480-L313</f>
        <v>0</v>
      </c>
      <c r="M650" s="4">
        <f t="shared" si="103"/>
        <v>0</v>
      </c>
      <c r="N650" s="4">
        <f t="shared" si="104"/>
        <v>0</v>
      </c>
      <c r="O650" s="4">
        <f t="shared" si="105"/>
        <v>0</v>
      </c>
      <c r="P650" s="145"/>
      <c r="Q650" s="147"/>
    </row>
    <row r="651" spans="1:17">
      <c r="A651" s="5">
        <v>9355</v>
      </c>
      <c r="B651" s="5" t="s">
        <v>15</v>
      </c>
      <c r="C651" s="8" t="s">
        <v>31</v>
      </c>
      <c r="D651" s="14">
        <v>6</v>
      </c>
      <c r="E651" s="12">
        <v>410</v>
      </c>
      <c r="F651" s="12">
        <v>50</v>
      </c>
      <c r="G651" s="12">
        <v>360</v>
      </c>
      <c r="H651" s="12">
        <v>1.48</v>
      </c>
      <c r="I651" s="12">
        <v>0.56000000000000005</v>
      </c>
      <c r="J651" s="12">
        <v>0.37</v>
      </c>
      <c r="K651" s="13">
        <f t="shared" si="102"/>
        <v>0.30665600000000004</v>
      </c>
      <c r="L651" s="4">
        <f>L146-L481-L314</f>
        <v>0</v>
      </c>
      <c r="M651" s="4">
        <f t="shared" si="103"/>
        <v>0</v>
      </c>
      <c r="N651" s="4">
        <f t="shared" si="104"/>
        <v>0</v>
      </c>
      <c r="O651" s="4">
        <f t="shared" si="105"/>
        <v>0</v>
      </c>
      <c r="P651" s="145"/>
      <c r="Q651" s="147"/>
    </row>
    <row r="652" spans="1:17">
      <c r="A652" s="5">
        <v>9358</v>
      </c>
      <c r="B652" s="5" t="s">
        <v>14</v>
      </c>
      <c r="C652" s="8" t="s">
        <v>32</v>
      </c>
      <c r="D652" s="6">
        <v>1000</v>
      </c>
      <c r="E652" s="6">
        <f t="shared" ref="E652:E661" si="106">G652+F652</f>
        <v>395</v>
      </c>
      <c r="F652" s="6">
        <v>40</v>
      </c>
      <c r="G652" s="6">
        <v>355</v>
      </c>
      <c r="H652" s="6">
        <v>1.05</v>
      </c>
      <c r="I652" s="6">
        <v>0.9</v>
      </c>
      <c r="J652" s="6">
        <v>0.55000000000000004</v>
      </c>
      <c r="K652" s="4">
        <f t="shared" si="102"/>
        <v>0.51975000000000005</v>
      </c>
      <c r="L652" s="4">
        <f>L147-L482-L315</f>
        <v>0</v>
      </c>
      <c r="M652" s="4">
        <f t="shared" si="103"/>
        <v>0</v>
      </c>
      <c r="N652" s="4">
        <f t="shared" si="104"/>
        <v>0</v>
      </c>
      <c r="O652" s="4">
        <f t="shared" si="105"/>
        <v>0</v>
      </c>
      <c r="Q652" s="147"/>
    </row>
    <row r="653" spans="1:17">
      <c r="A653" s="5">
        <v>9358</v>
      </c>
      <c r="B653" s="5" t="s">
        <v>14</v>
      </c>
      <c r="C653" s="8" t="s">
        <v>33</v>
      </c>
      <c r="D653" s="6">
        <v>450</v>
      </c>
      <c r="E653" s="6">
        <f t="shared" si="106"/>
        <v>360</v>
      </c>
      <c r="F653" s="6">
        <v>40</v>
      </c>
      <c r="G653" s="6">
        <v>320</v>
      </c>
      <c r="H653" s="5">
        <v>1.1000000000000001</v>
      </c>
      <c r="I653" s="6">
        <v>0.9</v>
      </c>
      <c r="J653" s="5">
        <v>0.75</v>
      </c>
      <c r="K653" s="7">
        <f t="shared" si="102"/>
        <v>0.74250000000000005</v>
      </c>
      <c r="L653" s="4">
        <f>L148-L483-L316</f>
        <v>0</v>
      </c>
      <c r="M653" s="4">
        <f t="shared" si="103"/>
        <v>0</v>
      </c>
      <c r="N653" s="4">
        <f t="shared" si="104"/>
        <v>0</v>
      </c>
      <c r="O653" s="4">
        <f t="shared" si="105"/>
        <v>0</v>
      </c>
      <c r="Q653" s="147"/>
    </row>
    <row r="654" spans="1:17">
      <c r="A654" s="5">
        <v>9358</v>
      </c>
      <c r="B654" s="5" t="s">
        <v>14</v>
      </c>
      <c r="C654" s="8" t="s">
        <v>34</v>
      </c>
      <c r="D654" s="6">
        <v>1000</v>
      </c>
      <c r="E654" s="6">
        <f t="shared" si="106"/>
        <v>492</v>
      </c>
      <c r="F654" s="6">
        <v>40</v>
      </c>
      <c r="G654" s="6">
        <v>452</v>
      </c>
      <c r="H654" s="6">
        <v>1.1000000000000001</v>
      </c>
      <c r="I654" s="6">
        <v>1.05</v>
      </c>
      <c r="J654" s="6">
        <v>0.55000000000000004</v>
      </c>
      <c r="K654" s="4">
        <f t="shared" si="102"/>
        <v>0.6352500000000002</v>
      </c>
      <c r="L654" s="4">
        <f>L149-L484-L317</f>
        <v>0</v>
      </c>
      <c r="M654" s="4">
        <f t="shared" si="103"/>
        <v>0</v>
      </c>
      <c r="N654" s="4">
        <f t="shared" si="104"/>
        <v>0</v>
      </c>
      <c r="O654" s="4">
        <f t="shared" si="105"/>
        <v>0</v>
      </c>
      <c r="Q654" s="147"/>
    </row>
    <row r="655" spans="1:17">
      <c r="A655" s="5">
        <v>9358</v>
      </c>
      <c r="B655" s="5" t="s">
        <v>14</v>
      </c>
      <c r="C655" s="8" t="s">
        <v>35</v>
      </c>
      <c r="D655" s="6">
        <v>450</v>
      </c>
      <c r="E655" s="6">
        <f t="shared" si="106"/>
        <v>421.5</v>
      </c>
      <c r="F655" s="6">
        <v>40</v>
      </c>
      <c r="G655" s="6">
        <v>381.5</v>
      </c>
      <c r="H655" s="6">
        <v>1.05</v>
      </c>
      <c r="I655" s="6">
        <v>1.05</v>
      </c>
      <c r="J655" s="5">
        <v>0.75</v>
      </c>
      <c r="K655" s="7">
        <f t="shared" si="102"/>
        <v>0.82687500000000003</v>
      </c>
      <c r="L655" s="4">
        <f>L150-L485-L318</f>
        <v>0</v>
      </c>
      <c r="M655" s="4">
        <f t="shared" si="103"/>
        <v>0</v>
      </c>
      <c r="N655" s="4">
        <f t="shared" si="104"/>
        <v>0</v>
      </c>
      <c r="O655" s="4">
        <f t="shared" si="105"/>
        <v>0</v>
      </c>
      <c r="Q655" s="147"/>
    </row>
    <row r="656" spans="1:17">
      <c r="A656" s="5">
        <v>9358</v>
      </c>
      <c r="B656" s="5" t="s">
        <v>14</v>
      </c>
      <c r="C656" s="8" t="s">
        <v>36</v>
      </c>
      <c r="D656" s="6">
        <v>1000</v>
      </c>
      <c r="E656" s="6">
        <f t="shared" si="106"/>
        <v>574</v>
      </c>
      <c r="F656" s="6">
        <v>40</v>
      </c>
      <c r="G656" s="6">
        <v>534</v>
      </c>
      <c r="H656" s="6">
        <v>1.1000000000000001</v>
      </c>
      <c r="I656" s="6">
        <v>1.2</v>
      </c>
      <c r="J656" s="6">
        <v>0.55000000000000004</v>
      </c>
      <c r="K656" s="4">
        <f t="shared" si="102"/>
        <v>0.72600000000000009</v>
      </c>
      <c r="L656" s="4">
        <f>L151-L486-L319</f>
        <v>0</v>
      </c>
      <c r="M656" s="4">
        <f t="shared" si="103"/>
        <v>0</v>
      </c>
      <c r="N656" s="4">
        <f t="shared" si="104"/>
        <v>0</v>
      </c>
      <c r="O656" s="4">
        <f t="shared" si="105"/>
        <v>0</v>
      </c>
      <c r="Q656" s="147"/>
    </row>
    <row r="657" spans="1:17">
      <c r="A657" s="5">
        <v>9358</v>
      </c>
      <c r="B657" s="5" t="s">
        <v>14</v>
      </c>
      <c r="C657" s="8" t="s">
        <v>37</v>
      </c>
      <c r="D657" s="6">
        <v>450</v>
      </c>
      <c r="E657" s="6">
        <f t="shared" si="106"/>
        <v>475</v>
      </c>
      <c r="F657" s="6">
        <v>40</v>
      </c>
      <c r="G657" s="6">
        <v>435</v>
      </c>
      <c r="H657" s="6">
        <v>1.05</v>
      </c>
      <c r="I657" s="6">
        <v>1.2</v>
      </c>
      <c r="J657" s="5">
        <v>0.75</v>
      </c>
      <c r="K657" s="4">
        <f t="shared" si="102"/>
        <v>0.94500000000000006</v>
      </c>
      <c r="L657" s="4">
        <f>L152-L487-L320</f>
        <v>0</v>
      </c>
      <c r="M657" s="4">
        <f t="shared" si="103"/>
        <v>0</v>
      </c>
      <c r="N657" s="4">
        <f t="shared" si="104"/>
        <v>0</v>
      </c>
      <c r="O657" s="4">
        <f t="shared" si="105"/>
        <v>0</v>
      </c>
      <c r="Q657" s="147"/>
    </row>
    <row r="658" spans="1:17">
      <c r="A658" s="5">
        <v>9358</v>
      </c>
      <c r="B658" s="5" t="s">
        <v>14</v>
      </c>
      <c r="C658" s="8" t="s">
        <v>38</v>
      </c>
      <c r="D658" s="6">
        <v>1000</v>
      </c>
      <c r="E658" s="6">
        <f t="shared" si="106"/>
        <v>645</v>
      </c>
      <c r="F658" s="6">
        <v>40</v>
      </c>
      <c r="G658" s="6">
        <v>605</v>
      </c>
      <c r="H658" s="6">
        <v>1.1000000000000001</v>
      </c>
      <c r="I658" s="6">
        <v>1.3</v>
      </c>
      <c r="J658" s="6">
        <v>0.55000000000000004</v>
      </c>
      <c r="K658" s="4">
        <f t="shared" si="102"/>
        <v>0.7865000000000002</v>
      </c>
      <c r="L658" s="4">
        <f>L153-L488-L321</f>
        <v>0</v>
      </c>
      <c r="M658" s="4">
        <f t="shared" si="103"/>
        <v>0</v>
      </c>
      <c r="N658" s="4">
        <f t="shared" si="104"/>
        <v>0</v>
      </c>
      <c r="O658" s="4">
        <f t="shared" si="105"/>
        <v>0</v>
      </c>
      <c r="Q658" s="147"/>
    </row>
    <row r="659" spans="1:17">
      <c r="A659" s="5">
        <v>9358</v>
      </c>
      <c r="B659" s="5" t="s">
        <v>14</v>
      </c>
      <c r="C659" s="8" t="s">
        <v>39</v>
      </c>
      <c r="D659" s="6">
        <v>450</v>
      </c>
      <c r="E659" s="6">
        <f t="shared" si="106"/>
        <v>515</v>
      </c>
      <c r="F659" s="6">
        <v>40</v>
      </c>
      <c r="G659" s="6">
        <v>475</v>
      </c>
      <c r="H659" s="6">
        <v>1.05</v>
      </c>
      <c r="I659" s="6">
        <v>1.3</v>
      </c>
      <c r="J659" s="5">
        <v>0.75</v>
      </c>
      <c r="K659" s="4">
        <f t="shared" si="102"/>
        <v>1.0237500000000002</v>
      </c>
      <c r="L659" s="4">
        <f>L154-L489-L322</f>
        <v>0</v>
      </c>
      <c r="M659" s="4">
        <f t="shared" si="103"/>
        <v>0</v>
      </c>
      <c r="N659" s="4">
        <f t="shared" si="104"/>
        <v>0</v>
      </c>
      <c r="O659" s="4">
        <f t="shared" si="105"/>
        <v>0</v>
      </c>
      <c r="Q659" s="147"/>
    </row>
    <row r="660" spans="1:17">
      <c r="A660" s="5">
        <v>9358</v>
      </c>
      <c r="B660" s="5" t="s">
        <v>14</v>
      </c>
      <c r="C660" s="8" t="s">
        <v>40</v>
      </c>
      <c r="D660" s="6">
        <v>1000</v>
      </c>
      <c r="E660" s="6">
        <f t="shared" si="106"/>
        <v>645</v>
      </c>
      <c r="F660" s="6">
        <v>40</v>
      </c>
      <c r="G660" s="6">
        <v>605</v>
      </c>
      <c r="H660" s="6">
        <v>1.1000000000000001</v>
      </c>
      <c r="I660" s="6">
        <v>1.3</v>
      </c>
      <c r="J660" s="6">
        <v>0.55000000000000004</v>
      </c>
      <c r="K660" s="4">
        <f t="shared" si="102"/>
        <v>0.7865000000000002</v>
      </c>
      <c r="L660" s="4">
        <f>L155-L490-L323</f>
        <v>0</v>
      </c>
      <c r="M660" s="4">
        <f t="shared" si="103"/>
        <v>0</v>
      </c>
      <c r="N660" s="4">
        <f t="shared" si="104"/>
        <v>0</v>
      </c>
      <c r="O660" s="4">
        <f t="shared" si="105"/>
        <v>0</v>
      </c>
      <c r="Q660" s="147"/>
    </row>
    <row r="661" spans="1:17">
      <c r="A661" s="5">
        <v>9358</v>
      </c>
      <c r="B661" s="5" t="s">
        <v>14</v>
      </c>
      <c r="C661" s="8" t="s">
        <v>41</v>
      </c>
      <c r="D661" s="6">
        <v>450</v>
      </c>
      <c r="E661" s="6">
        <f t="shared" si="106"/>
        <v>515</v>
      </c>
      <c r="F661" s="6">
        <v>40</v>
      </c>
      <c r="G661" s="6">
        <v>475</v>
      </c>
      <c r="H661" s="6">
        <v>1.05</v>
      </c>
      <c r="I661" s="6">
        <v>1.3</v>
      </c>
      <c r="J661" s="5">
        <v>0.75</v>
      </c>
      <c r="K661" s="4">
        <f t="shared" si="102"/>
        <v>1.0237500000000002</v>
      </c>
      <c r="L661" s="4">
        <f>L156-L491-L324</f>
        <v>0</v>
      </c>
      <c r="M661" s="4">
        <f t="shared" si="103"/>
        <v>0</v>
      </c>
      <c r="N661" s="4">
        <f t="shared" si="104"/>
        <v>0</v>
      </c>
      <c r="O661" s="4">
        <f t="shared" si="105"/>
        <v>0</v>
      </c>
      <c r="Q661" s="147"/>
    </row>
    <row r="662" spans="1:17">
      <c r="A662" s="5">
        <v>9358</v>
      </c>
      <c r="B662" s="5" t="s">
        <v>14</v>
      </c>
      <c r="C662" s="8" t="s">
        <v>22</v>
      </c>
      <c r="D662" s="3">
        <v>3000</v>
      </c>
      <c r="E662" s="6">
        <v>235</v>
      </c>
      <c r="F662" s="5">
        <v>35</v>
      </c>
      <c r="G662" s="6">
        <v>200</v>
      </c>
      <c r="H662" s="5">
        <v>1.1000000000000001</v>
      </c>
      <c r="I662" s="5">
        <v>1.1000000000000001</v>
      </c>
      <c r="J662" s="5">
        <v>1.02</v>
      </c>
      <c r="K662" s="7">
        <f t="shared" si="102"/>
        <v>1.2342000000000002</v>
      </c>
      <c r="L662" s="4">
        <f>L157-L492-L325</f>
        <v>0</v>
      </c>
      <c r="M662" s="4">
        <f t="shared" si="103"/>
        <v>0</v>
      </c>
      <c r="N662" s="4">
        <f t="shared" si="104"/>
        <v>0</v>
      </c>
      <c r="O662" s="4">
        <f t="shared" si="105"/>
        <v>0</v>
      </c>
      <c r="Q662" s="147"/>
    </row>
    <row r="663" spans="1:17">
      <c r="A663" s="5">
        <v>9358</v>
      </c>
      <c r="B663" s="5" t="s">
        <v>14</v>
      </c>
      <c r="C663" s="8" t="s">
        <v>23</v>
      </c>
      <c r="D663" s="44">
        <v>1000</v>
      </c>
      <c r="E663" s="45">
        <v>646</v>
      </c>
      <c r="F663" s="45">
        <f>E663-G663</f>
        <v>40</v>
      </c>
      <c r="G663" s="45">
        <v>606</v>
      </c>
      <c r="H663" s="45">
        <v>1.1000000000000001</v>
      </c>
      <c r="I663" s="45">
        <v>0.8</v>
      </c>
      <c r="J663" s="45">
        <v>0.55000000000000004</v>
      </c>
      <c r="K663" s="4">
        <f t="shared" si="102"/>
        <v>0.4840000000000001</v>
      </c>
      <c r="L663" s="4">
        <f>L158-L493-L326</f>
        <v>0</v>
      </c>
      <c r="M663" s="4">
        <f t="shared" si="103"/>
        <v>0</v>
      </c>
      <c r="N663" s="4">
        <f t="shared" si="104"/>
        <v>0</v>
      </c>
      <c r="O663" s="4">
        <f t="shared" si="105"/>
        <v>0</v>
      </c>
      <c r="Q663" s="147"/>
    </row>
    <row r="664" spans="1:17">
      <c r="A664" s="5">
        <v>9358</v>
      </c>
      <c r="B664" s="5" t="s">
        <v>14</v>
      </c>
      <c r="C664" s="8" t="s">
        <v>46</v>
      </c>
      <c r="D664" s="3">
        <v>4000</v>
      </c>
      <c r="E664" s="6">
        <v>424</v>
      </c>
      <c r="F664" s="5">
        <f>E664-G664</f>
        <v>52</v>
      </c>
      <c r="G664" s="6">
        <v>372</v>
      </c>
      <c r="H664" s="5">
        <v>1.1000000000000001</v>
      </c>
      <c r="I664" s="5">
        <v>0.8</v>
      </c>
      <c r="J664" s="5">
        <v>0.55000000000000004</v>
      </c>
      <c r="K664" s="7">
        <f t="shared" si="102"/>
        <v>0.4840000000000001</v>
      </c>
      <c r="L664" s="4">
        <f>L159-L494-L327</f>
        <v>0</v>
      </c>
      <c r="M664" s="4">
        <f t="shared" si="103"/>
        <v>0</v>
      </c>
      <c r="N664" s="4">
        <f t="shared" si="104"/>
        <v>0</v>
      </c>
      <c r="O664" s="4">
        <f t="shared" si="105"/>
        <v>0</v>
      </c>
      <c r="Q664" s="147"/>
    </row>
    <row r="665" spans="1:17">
      <c r="A665" s="5">
        <v>9358</v>
      </c>
      <c r="B665" s="5" t="s">
        <v>14</v>
      </c>
      <c r="C665" s="8" t="s">
        <v>42</v>
      </c>
      <c r="D665" s="15">
        <v>1200</v>
      </c>
      <c r="E665" s="131">
        <v>666.4</v>
      </c>
      <c r="F665" s="131">
        <v>40</v>
      </c>
      <c r="G665" s="16">
        <v>588</v>
      </c>
      <c r="H665" s="133">
        <v>1</v>
      </c>
      <c r="I665" s="133">
        <v>0.75</v>
      </c>
      <c r="J665" s="133">
        <v>0.7</v>
      </c>
      <c r="K665" s="135">
        <v>0.5</v>
      </c>
      <c r="L665" s="148">
        <f>L160-L495-L328</f>
        <v>0</v>
      </c>
      <c r="M665" s="148">
        <f t="shared" si="103"/>
        <v>0</v>
      </c>
      <c r="N665" s="148">
        <f t="shared" si="104"/>
        <v>0</v>
      </c>
      <c r="O665" s="156">
        <f t="shared" si="105"/>
        <v>0</v>
      </c>
      <c r="Q665" s="147"/>
    </row>
    <row r="666" spans="1:17">
      <c r="A666" s="5">
        <v>9358</v>
      </c>
      <c r="B666" s="5" t="s">
        <v>14</v>
      </c>
      <c r="C666" s="8" t="s">
        <v>43</v>
      </c>
      <c r="D666" s="15">
        <v>1200</v>
      </c>
      <c r="E666" s="132"/>
      <c r="F666" s="132"/>
      <c r="G666" s="16">
        <v>38.4</v>
      </c>
      <c r="H666" s="134"/>
      <c r="I666" s="134"/>
      <c r="J666" s="134"/>
      <c r="K666" s="136"/>
      <c r="L666" s="149">
        <f>L161-L496-L329</f>
        <v>0</v>
      </c>
      <c r="M666" s="149"/>
      <c r="N666" s="149"/>
      <c r="O666" s="157"/>
      <c r="Q666" s="147"/>
    </row>
    <row r="667" spans="1:17">
      <c r="A667" s="5">
        <v>9358</v>
      </c>
      <c r="B667" s="5" t="s">
        <v>14</v>
      </c>
      <c r="C667" s="8" t="s">
        <v>60</v>
      </c>
      <c r="D667" s="15"/>
      <c r="E667" s="81"/>
      <c r="F667" s="81"/>
      <c r="G667" s="16"/>
      <c r="H667" s="82"/>
      <c r="I667" s="82"/>
      <c r="J667" s="82"/>
      <c r="K667" s="83"/>
      <c r="L667" s="84">
        <f>L162-L497-L330</f>
        <v>0</v>
      </c>
      <c r="M667" s="84"/>
      <c r="N667" s="84"/>
      <c r="O667" s="85"/>
      <c r="Q667" s="147"/>
    </row>
    <row r="668" spans="1:17">
      <c r="A668" s="60">
        <v>9258</v>
      </c>
      <c r="B668" s="60" t="s">
        <v>14</v>
      </c>
      <c r="C668" s="87" t="s">
        <v>82</v>
      </c>
      <c r="D668" s="6">
        <v>3000</v>
      </c>
      <c r="E668" s="6">
        <v>215</v>
      </c>
      <c r="F668" s="5">
        <v>35</v>
      </c>
      <c r="G668" s="6">
        <v>180</v>
      </c>
      <c r="H668" s="5">
        <v>1.1000000000000001</v>
      </c>
      <c r="I668" s="5">
        <v>1.02</v>
      </c>
      <c r="J668" s="7">
        <v>1.2342000000000002</v>
      </c>
      <c r="K668" s="4">
        <f t="shared" ref="K668" si="107">H668*I668*J668</f>
        <v>1.3847724000000003</v>
      </c>
      <c r="L668" s="84">
        <f>L163-L498-L331</f>
        <v>0</v>
      </c>
      <c r="M668" s="61">
        <f>L668/D668</f>
        <v>0</v>
      </c>
      <c r="N668" s="61">
        <f>M668*E668</f>
        <v>0</v>
      </c>
      <c r="O668" s="62">
        <f>M668*K668</f>
        <v>0</v>
      </c>
      <c r="P668" t="s">
        <v>63</v>
      </c>
    </row>
    <row r="669" spans="1:17">
      <c r="A669" s="60">
        <v>9258</v>
      </c>
      <c r="B669" s="60" t="s">
        <v>14</v>
      </c>
      <c r="C669" s="87" t="s">
        <v>62</v>
      </c>
      <c r="D669" s="6">
        <v>3000</v>
      </c>
      <c r="E669" s="6">
        <v>215</v>
      </c>
      <c r="F669" s="5">
        <v>35</v>
      </c>
      <c r="G669" s="6">
        <v>180</v>
      </c>
      <c r="H669" s="5">
        <v>1.1000000000000001</v>
      </c>
      <c r="I669" s="5">
        <v>1.02</v>
      </c>
      <c r="J669" s="7">
        <v>1.2342000000000002</v>
      </c>
      <c r="K669" s="4">
        <f t="shared" ref="K669" si="108">H669*I669*J669</f>
        <v>1.3847724000000003</v>
      </c>
      <c r="L669" s="84">
        <f>L164-L499-L332</f>
        <v>0</v>
      </c>
      <c r="M669" s="61">
        <f>L669/D669</f>
        <v>0</v>
      </c>
      <c r="N669" s="61">
        <f>M669*E669</f>
        <v>0</v>
      </c>
      <c r="O669" s="62">
        <f>M669*K669</f>
        <v>0</v>
      </c>
      <c r="P669" t="s">
        <v>63</v>
      </c>
    </row>
    <row r="670" spans="1:17">
      <c r="A670" s="60" t="s">
        <v>49</v>
      </c>
      <c r="B670" s="60" t="s">
        <v>14</v>
      </c>
      <c r="C670" s="61" t="s">
        <v>50</v>
      </c>
      <c r="D670" s="61">
        <v>1</v>
      </c>
      <c r="E670" s="61">
        <v>60</v>
      </c>
      <c r="F670" s="61">
        <v>0</v>
      </c>
      <c r="G670" s="61">
        <v>80</v>
      </c>
      <c r="H670" s="61">
        <v>0.78</v>
      </c>
      <c r="I670" s="61">
        <v>0.78</v>
      </c>
      <c r="J670" s="61">
        <v>0.45</v>
      </c>
      <c r="K670" s="62">
        <f>H670*I670*J670</f>
        <v>0.27378000000000002</v>
      </c>
      <c r="L670" s="84">
        <f>L165-L500-L333</f>
        <v>0</v>
      </c>
      <c r="M670" s="61">
        <f>L670/D670</f>
        <v>0</v>
      </c>
      <c r="N670" s="61">
        <f>M670*E670</f>
        <v>0</v>
      </c>
      <c r="O670" s="62">
        <f>M670*K670</f>
        <v>0</v>
      </c>
      <c r="P670" t="s">
        <v>51</v>
      </c>
    </row>
    <row r="671" spans="1:17" ht="13.8" customHeight="1">
      <c r="L671">
        <f>SUM(L508:L670)</f>
        <v>0</v>
      </c>
      <c r="M671">
        <f t="shared" ref="M671" si="109">SUM(M508:M670)</f>
        <v>0</v>
      </c>
      <c r="N671">
        <f t="shared" ref="N671" si="110">SUM(N508:N670)</f>
        <v>0</v>
      </c>
      <c r="O671">
        <f t="shared" ref="O671" si="111">SUM(O508:O670)</f>
        <v>0</v>
      </c>
    </row>
  </sheetData>
  <mergeCells count="245">
    <mergeCell ref="P3:P6"/>
    <mergeCell ref="Q3:Q34"/>
    <mergeCell ref="P14:P18"/>
    <mergeCell ref="E32:E33"/>
    <mergeCell ref="F32:F33"/>
    <mergeCell ref="H32:H33"/>
    <mergeCell ref="I32:I33"/>
    <mergeCell ref="J32:J33"/>
    <mergeCell ref="K32:K33"/>
    <mergeCell ref="M32:M33"/>
    <mergeCell ref="O64:O65"/>
    <mergeCell ref="P67:P70"/>
    <mergeCell ref="Q67:Q98"/>
    <mergeCell ref="P78:P82"/>
    <mergeCell ref="M96:M97"/>
    <mergeCell ref="N96:N97"/>
    <mergeCell ref="O96:O97"/>
    <mergeCell ref="N32:N33"/>
    <mergeCell ref="O32:O33"/>
    <mergeCell ref="P35:P38"/>
    <mergeCell ref="Q35:Q66"/>
    <mergeCell ref="P46:P50"/>
    <mergeCell ref="E96:E97"/>
    <mergeCell ref="F96:F97"/>
    <mergeCell ref="H96:H97"/>
    <mergeCell ref="I96:I97"/>
    <mergeCell ref="J96:J97"/>
    <mergeCell ref="K96:K97"/>
    <mergeCell ref="K64:K65"/>
    <mergeCell ref="M64:M65"/>
    <mergeCell ref="N64:N65"/>
    <mergeCell ref="E64:E65"/>
    <mergeCell ref="F64:F65"/>
    <mergeCell ref="H64:H65"/>
    <mergeCell ref="I64:I65"/>
    <mergeCell ref="J64:J65"/>
    <mergeCell ref="P99:P102"/>
    <mergeCell ref="Q99:Q130"/>
    <mergeCell ref="P110:P114"/>
    <mergeCell ref="E128:E129"/>
    <mergeCell ref="F128:F129"/>
    <mergeCell ref="H128:H129"/>
    <mergeCell ref="I128:I129"/>
    <mergeCell ref="J128:J129"/>
    <mergeCell ref="K128:K129"/>
    <mergeCell ref="M128:M129"/>
    <mergeCell ref="O160:O161"/>
    <mergeCell ref="P338:P341"/>
    <mergeCell ref="Q338:Q369"/>
    <mergeCell ref="P349:P353"/>
    <mergeCell ref="M367:M368"/>
    <mergeCell ref="N367:N368"/>
    <mergeCell ref="O367:O368"/>
    <mergeCell ref="N128:N129"/>
    <mergeCell ref="O128:O129"/>
    <mergeCell ref="P131:P134"/>
    <mergeCell ref="Q131:Q162"/>
    <mergeCell ref="P142:P146"/>
    <mergeCell ref="E367:E368"/>
    <mergeCell ref="F367:F368"/>
    <mergeCell ref="H367:H368"/>
    <mergeCell ref="I367:I368"/>
    <mergeCell ref="J367:J368"/>
    <mergeCell ref="K367:K368"/>
    <mergeCell ref="K160:K161"/>
    <mergeCell ref="M160:M161"/>
    <mergeCell ref="N160:N161"/>
    <mergeCell ref="E160:E161"/>
    <mergeCell ref="F160:F161"/>
    <mergeCell ref="H160:H161"/>
    <mergeCell ref="I160:I161"/>
    <mergeCell ref="J160:J161"/>
    <mergeCell ref="P370:P373"/>
    <mergeCell ref="Q370:Q401"/>
    <mergeCell ref="P381:P385"/>
    <mergeCell ref="E399:E400"/>
    <mergeCell ref="F399:F400"/>
    <mergeCell ref="H399:H400"/>
    <mergeCell ref="I399:I400"/>
    <mergeCell ref="J399:J400"/>
    <mergeCell ref="K399:K400"/>
    <mergeCell ref="M399:M400"/>
    <mergeCell ref="O431:O432"/>
    <mergeCell ref="P434:P437"/>
    <mergeCell ref="Q434:Q465"/>
    <mergeCell ref="P445:P449"/>
    <mergeCell ref="M463:M464"/>
    <mergeCell ref="N463:N464"/>
    <mergeCell ref="O463:O464"/>
    <mergeCell ref="N399:N400"/>
    <mergeCell ref="O399:O400"/>
    <mergeCell ref="P402:P405"/>
    <mergeCell ref="Q402:Q433"/>
    <mergeCell ref="P413:P417"/>
    <mergeCell ref="E463:E464"/>
    <mergeCell ref="F463:F464"/>
    <mergeCell ref="H463:H464"/>
    <mergeCell ref="I463:I464"/>
    <mergeCell ref="J463:J464"/>
    <mergeCell ref="K463:K464"/>
    <mergeCell ref="K431:K432"/>
    <mergeCell ref="M431:M432"/>
    <mergeCell ref="N431:N432"/>
    <mergeCell ref="E431:E432"/>
    <mergeCell ref="F431:F432"/>
    <mergeCell ref="H431:H432"/>
    <mergeCell ref="I431:I432"/>
    <mergeCell ref="J431:J432"/>
    <mergeCell ref="P466:P469"/>
    <mergeCell ref="Q466:Q497"/>
    <mergeCell ref="P477:P481"/>
    <mergeCell ref="E495:E496"/>
    <mergeCell ref="F495:F496"/>
    <mergeCell ref="H495:H496"/>
    <mergeCell ref="I495:I496"/>
    <mergeCell ref="J495:J496"/>
    <mergeCell ref="K495:K496"/>
    <mergeCell ref="M495:M496"/>
    <mergeCell ref="O200:O201"/>
    <mergeCell ref="P203:P206"/>
    <mergeCell ref="Q203:Q234"/>
    <mergeCell ref="P214:P218"/>
    <mergeCell ref="M232:M233"/>
    <mergeCell ref="N232:N233"/>
    <mergeCell ref="O232:O233"/>
    <mergeCell ref="N495:N496"/>
    <mergeCell ref="O495:O496"/>
    <mergeCell ref="P171:P174"/>
    <mergeCell ref="Q171:Q202"/>
    <mergeCell ref="P182:P186"/>
    <mergeCell ref="E232:E233"/>
    <mergeCell ref="F232:F233"/>
    <mergeCell ref="H232:H233"/>
    <mergeCell ref="I232:I233"/>
    <mergeCell ref="J232:J233"/>
    <mergeCell ref="K232:K233"/>
    <mergeCell ref="K200:K201"/>
    <mergeCell ref="M200:M201"/>
    <mergeCell ref="N200:N201"/>
    <mergeCell ref="E200:E201"/>
    <mergeCell ref="F200:F201"/>
    <mergeCell ref="H200:H201"/>
    <mergeCell ref="I200:I201"/>
    <mergeCell ref="J200:J201"/>
    <mergeCell ref="P235:P238"/>
    <mergeCell ref="Q235:Q266"/>
    <mergeCell ref="P246:P250"/>
    <mergeCell ref="E264:E265"/>
    <mergeCell ref="F264:F265"/>
    <mergeCell ref="H264:H265"/>
    <mergeCell ref="I264:I265"/>
    <mergeCell ref="J264:J265"/>
    <mergeCell ref="K264:K265"/>
    <mergeCell ref="M264:M265"/>
    <mergeCell ref="N264:N265"/>
    <mergeCell ref="O264:O265"/>
    <mergeCell ref="P267:P270"/>
    <mergeCell ref="Q267:Q298"/>
    <mergeCell ref="P278:P282"/>
    <mergeCell ref="E296:E297"/>
    <mergeCell ref="F296:F297"/>
    <mergeCell ref="H296:H297"/>
    <mergeCell ref="I296:I297"/>
    <mergeCell ref="J296:J297"/>
    <mergeCell ref="K296:K297"/>
    <mergeCell ref="M296:M297"/>
    <mergeCell ref="N296:N297"/>
    <mergeCell ref="O296:O297"/>
    <mergeCell ref="E537:E538"/>
    <mergeCell ref="F537:F538"/>
    <mergeCell ref="H537:H538"/>
    <mergeCell ref="I537:I538"/>
    <mergeCell ref="J537:J538"/>
    <mergeCell ref="K537:K538"/>
    <mergeCell ref="L537:L538"/>
    <mergeCell ref="E328:E329"/>
    <mergeCell ref="F328:F329"/>
    <mergeCell ref="H328:H329"/>
    <mergeCell ref="I328:I329"/>
    <mergeCell ref="J328:J329"/>
    <mergeCell ref="K328:K329"/>
    <mergeCell ref="P572:P575"/>
    <mergeCell ref="Q572:Q603"/>
    <mergeCell ref="P583:P587"/>
    <mergeCell ref="P299:P302"/>
    <mergeCell ref="Q299:Q330"/>
    <mergeCell ref="P310:P314"/>
    <mergeCell ref="M328:M329"/>
    <mergeCell ref="N328:N329"/>
    <mergeCell ref="O328:O329"/>
    <mergeCell ref="M537:M538"/>
    <mergeCell ref="N537:N538"/>
    <mergeCell ref="O537:O538"/>
    <mergeCell ref="L569:L570"/>
    <mergeCell ref="M569:M570"/>
    <mergeCell ref="N569:N570"/>
    <mergeCell ref="P540:P543"/>
    <mergeCell ref="Q540:Q571"/>
    <mergeCell ref="P551:P555"/>
    <mergeCell ref="P508:P511"/>
    <mergeCell ref="Q508:Q539"/>
    <mergeCell ref="P519:P523"/>
    <mergeCell ref="O569:O570"/>
    <mergeCell ref="E569:E570"/>
    <mergeCell ref="F569:F570"/>
    <mergeCell ref="H569:H570"/>
    <mergeCell ref="I569:I570"/>
    <mergeCell ref="J569:J570"/>
    <mergeCell ref="K569:K570"/>
    <mergeCell ref="E601:E602"/>
    <mergeCell ref="F601:F602"/>
    <mergeCell ref="H601:H602"/>
    <mergeCell ref="I601:I602"/>
    <mergeCell ref="J601:J602"/>
    <mergeCell ref="K601:K602"/>
    <mergeCell ref="P636:P639"/>
    <mergeCell ref="Q636:Q667"/>
    <mergeCell ref="P647:P651"/>
    <mergeCell ref="L665:L666"/>
    <mergeCell ref="M665:M666"/>
    <mergeCell ref="N665:N666"/>
    <mergeCell ref="O601:O602"/>
    <mergeCell ref="P604:P607"/>
    <mergeCell ref="Q604:Q635"/>
    <mergeCell ref="P615:P619"/>
    <mergeCell ref="O665:O666"/>
    <mergeCell ref="O633:O634"/>
    <mergeCell ref="L601:L602"/>
    <mergeCell ref="M601:M602"/>
    <mergeCell ref="N601:N602"/>
    <mergeCell ref="E665:E666"/>
    <mergeCell ref="F665:F666"/>
    <mergeCell ref="H665:H666"/>
    <mergeCell ref="I665:I666"/>
    <mergeCell ref="J665:J666"/>
    <mergeCell ref="K665:K666"/>
    <mergeCell ref="L633:L634"/>
    <mergeCell ref="M633:M634"/>
    <mergeCell ref="N633:N634"/>
    <mergeCell ref="E633:E634"/>
    <mergeCell ref="F633:F634"/>
    <mergeCell ref="H633:H634"/>
    <mergeCell ref="I633:I634"/>
    <mergeCell ref="J633:J634"/>
    <mergeCell ref="K633:K6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10B0-6447-4CDA-8F92-60ABE963F09C}">
  <dimension ref="A1:P77"/>
  <sheetViews>
    <sheetView topLeftCell="A28" zoomScale="70" zoomScaleNormal="70" workbookViewId="0">
      <selection activeCell="E80" sqref="E80"/>
    </sheetView>
  </sheetViews>
  <sheetFormatPr defaultRowHeight="14.4"/>
  <cols>
    <col min="3" max="3" width="25.33203125" bestFit="1" customWidth="1"/>
  </cols>
  <sheetData>
    <row r="1" spans="1:15" ht="41.4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3" t="s">
        <v>10</v>
      </c>
      <c r="M1" s="2" t="s">
        <v>11</v>
      </c>
      <c r="N1" s="2" t="s">
        <v>12</v>
      </c>
      <c r="O1" s="18" t="s">
        <v>13</v>
      </c>
    </row>
    <row r="2" spans="1:15" s="90" customFormat="1">
      <c r="A2" s="88">
        <v>9355</v>
      </c>
      <c r="B2" s="88" t="s">
        <v>15</v>
      </c>
      <c r="C2" s="88" t="s">
        <v>16</v>
      </c>
      <c r="D2" s="88">
        <v>30</v>
      </c>
      <c r="E2" s="88">
        <v>669</v>
      </c>
      <c r="F2" s="88">
        <f>E2-G2</f>
        <v>53</v>
      </c>
      <c r="G2" s="88">
        <v>616</v>
      </c>
      <c r="H2" s="88">
        <v>1</v>
      </c>
      <c r="I2" s="88">
        <v>0.9</v>
      </c>
      <c r="J2" s="88">
        <v>0.73</v>
      </c>
      <c r="K2" s="88">
        <f t="shared" ref="K2:K21" si="0">H2*I2*J2</f>
        <v>0.65700000000000003</v>
      </c>
      <c r="L2" s="88">
        <v>104</v>
      </c>
      <c r="M2" s="89">
        <f t="shared" ref="M2:M21" si="1">L2/D2</f>
        <v>3.4666666666666668</v>
      </c>
      <c r="N2" s="89">
        <f t="shared" ref="N2:N21" si="2">E2*M2</f>
        <v>2319.2000000000003</v>
      </c>
      <c r="O2" s="89">
        <f>M2*K2</f>
        <v>2.2776000000000001</v>
      </c>
    </row>
    <row r="3" spans="1:15" s="90" customFormat="1">
      <c r="A3" s="88">
        <v>9355</v>
      </c>
      <c r="B3" s="88" t="s">
        <v>15</v>
      </c>
      <c r="C3" s="91" t="s">
        <v>27</v>
      </c>
      <c r="D3" s="97">
        <v>12</v>
      </c>
      <c r="E3" s="97">
        <v>435</v>
      </c>
      <c r="F3" s="97">
        <v>39</v>
      </c>
      <c r="G3" s="97">
        <v>396</v>
      </c>
      <c r="H3" s="97">
        <v>0.86</v>
      </c>
      <c r="I3" s="97">
        <v>0.56000000000000005</v>
      </c>
      <c r="J3" s="97">
        <v>0.51</v>
      </c>
      <c r="K3" s="98">
        <f t="shared" si="0"/>
        <v>0.24561600000000003</v>
      </c>
      <c r="L3" s="88">
        <v>56</v>
      </c>
      <c r="M3" s="89">
        <f t="shared" si="1"/>
        <v>4.666666666666667</v>
      </c>
      <c r="N3" s="89">
        <f t="shared" si="2"/>
        <v>2030.0000000000002</v>
      </c>
      <c r="O3" s="89">
        <f t="shared" ref="O3:O6" si="3">M3*K3</f>
        <v>1.1462080000000001</v>
      </c>
    </row>
    <row r="4" spans="1:15" s="90" customFormat="1">
      <c r="A4" s="88">
        <v>9355</v>
      </c>
      <c r="B4" s="88" t="s">
        <v>15</v>
      </c>
      <c r="C4" s="91" t="s">
        <v>28</v>
      </c>
      <c r="D4" s="97">
        <v>12</v>
      </c>
      <c r="E4" s="97">
        <v>520</v>
      </c>
      <c r="F4" s="97">
        <v>40</v>
      </c>
      <c r="G4" s="97">
        <v>480</v>
      </c>
      <c r="H4" s="97">
        <v>1.03</v>
      </c>
      <c r="I4" s="97">
        <v>0.56000000000000005</v>
      </c>
      <c r="J4" s="97">
        <v>0.51</v>
      </c>
      <c r="K4" s="98">
        <f t="shared" si="0"/>
        <v>0.29416800000000004</v>
      </c>
      <c r="L4" s="88">
        <v>18</v>
      </c>
      <c r="M4" s="89">
        <f t="shared" si="1"/>
        <v>1.5</v>
      </c>
      <c r="N4" s="89">
        <f t="shared" si="2"/>
        <v>780</v>
      </c>
      <c r="O4" s="89">
        <f t="shared" si="3"/>
        <v>0.44125200000000009</v>
      </c>
    </row>
    <row r="5" spans="1:15" s="90" customFormat="1">
      <c r="A5" s="88">
        <v>9355</v>
      </c>
      <c r="B5" s="88" t="s">
        <v>15</v>
      </c>
      <c r="C5" s="91" t="s">
        <v>29</v>
      </c>
      <c r="D5" s="97">
        <v>12</v>
      </c>
      <c r="E5" s="97">
        <v>596</v>
      </c>
      <c r="F5" s="97">
        <v>44</v>
      </c>
      <c r="G5" s="97">
        <v>552</v>
      </c>
      <c r="H5" s="97">
        <v>1.17</v>
      </c>
      <c r="I5" s="97">
        <v>0.56000000000000005</v>
      </c>
      <c r="J5" s="97">
        <v>0.51</v>
      </c>
      <c r="K5" s="98">
        <f t="shared" si="0"/>
        <v>0.334152</v>
      </c>
      <c r="L5" s="88">
        <v>18</v>
      </c>
      <c r="M5" s="89">
        <f t="shared" si="1"/>
        <v>1.5</v>
      </c>
      <c r="N5" s="89">
        <f t="shared" si="2"/>
        <v>894</v>
      </c>
      <c r="O5" s="89">
        <f t="shared" si="3"/>
        <v>0.50122800000000001</v>
      </c>
    </row>
    <row r="6" spans="1:15" s="90" customFormat="1">
      <c r="A6" s="88">
        <v>9355</v>
      </c>
      <c r="B6" s="88" t="s">
        <v>15</v>
      </c>
      <c r="C6" s="91" t="s">
        <v>30</v>
      </c>
      <c r="D6" s="99">
        <v>12</v>
      </c>
      <c r="E6" s="97">
        <v>654</v>
      </c>
      <c r="F6" s="97">
        <v>42</v>
      </c>
      <c r="G6" s="97">
        <v>612</v>
      </c>
      <c r="H6" s="97">
        <v>1.2749999999999999</v>
      </c>
      <c r="I6" s="97">
        <v>0.56000000000000005</v>
      </c>
      <c r="J6" s="97">
        <v>0.51</v>
      </c>
      <c r="K6" s="98">
        <f t="shared" si="0"/>
        <v>0.36413999999999996</v>
      </c>
      <c r="L6" s="88">
        <v>7</v>
      </c>
      <c r="M6" s="89">
        <f t="shared" si="1"/>
        <v>0.58333333333333337</v>
      </c>
      <c r="N6" s="89">
        <f t="shared" si="2"/>
        <v>381.5</v>
      </c>
      <c r="O6" s="89">
        <f t="shared" si="3"/>
        <v>0.21241499999999999</v>
      </c>
    </row>
    <row r="7" spans="1:15" s="46" customFormat="1">
      <c r="A7" s="47">
        <v>9355</v>
      </c>
      <c r="B7" s="47" t="s">
        <v>15</v>
      </c>
      <c r="C7" s="47" t="s">
        <v>16</v>
      </c>
      <c r="D7" s="47">
        <v>30</v>
      </c>
      <c r="E7" s="47">
        <v>669</v>
      </c>
      <c r="F7" s="47">
        <f>E7-G7</f>
        <v>53</v>
      </c>
      <c r="G7" s="47">
        <v>616</v>
      </c>
      <c r="H7" s="47">
        <v>1</v>
      </c>
      <c r="I7" s="47">
        <v>0.9</v>
      </c>
      <c r="J7" s="47">
        <v>0.73</v>
      </c>
      <c r="K7" s="47">
        <f t="shared" si="0"/>
        <v>0.65700000000000003</v>
      </c>
      <c r="L7" s="47">
        <v>102</v>
      </c>
      <c r="M7" s="48">
        <f t="shared" si="1"/>
        <v>3.4</v>
      </c>
      <c r="N7" s="48">
        <f t="shared" si="2"/>
        <v>2274.6</v>
      </c>
      <c r="O7" s="48">
        <f>M7*K7</f>
        <v>2.2338</v>
      </c>
    </row>
    <row r="8" spans="1:15" s="46" customFormat="1">
      <c r="A8" s="47">
        <v>9355</v>
      </c>
      <c r="B8" s="47" t="s">
        <v>15</v>
      </c>
      <c r="C8" s="49" t="s">
        <v>27</v>
      </c>
      <c r="D8" s="55">
        <v>12</v>
      </c>
      <c r="E8" s="55">
        <v>435</v>
      </c>
      <c r="F8" s="55">
        <v>39</v>
      </c>
      <c r="G8" s="55">
        <v>396</v>
      </c>
      <c r="H8" s="55">
        <v>0.86</v>
      </c>
      <c r="I8" s="55">
        <v>0.56000000000000005</v>
      </c>
      <c r="J8" s="55">
        <v>0.51</v>
      </c>
      <c r="K8" s="56">
        <f t="shared" si="0"/>
        <v>0.24561600000000003</v>
      </c>
      <c r="L8" s="47">
        <v>54</v>
      </c>
      <c r="M8" s="48">
        <f t="shared" si="1"/>
        <v>4.5</v>
      </c>
      <c r="N8" s="48">
        <f t="shared" si="2"/>
        <v>1957.5</v>
      </c>
      <c r="O8" s="48">
        <f t="shared" ref="O8:O11" si="4">M8*K8</f>
        <v>1.105272</v>
      </c>
    </row>
    <row r="9" spans="1:15" s="46" customFormat="1">
      <c r="A9" s="47">
        <v>9355</v>
      </c>
      <c r="B9" s="47" t="s">
        <v>15</v>
      </c>
      <c r="C9" s="49" t="s">
        <v>28</v>
      </c>
      <c r="D9" s="55">
        <v>12</v>
      </c>
      <c r="E9" s="55">
        <v>520</v>
      </c>
      <c r="F9" s="55">
        <v>40</v>
      </c>
      <c r="G9" s="55">
        <v>480</v>
      </c>
      <c r="H9" s="55">
        <v>1.03</v>
      </c>
      <c r="I9" s="55">
        <v>0.56000000000000005</v>
      </c>
      <c r="J9" s="55">
        <v>0.51</v>
      </c>
      <c r="K9" s="56">
        <f t="shared" si="0"/>
        <v>0.29416800000000004</v>
      </c>
      <c r="L9" s="47">
        <v>17</v>
      </c>
      <c r="M9" s="48">
        <f t="shared" si="1"/>
        <v>1.4166666666666667</v>
      </c>
      <c r="N9" s="48">
        <f t="shared" si="2"/>
        <v>736.66666666666674</v>
      </c>
      <c r="O9" s="48">
        <f t="shared" si="4"/>
        <v>0.41673800000000005</v>
      </c>
    </row>
    <row r="10" spans="1:15" s="46" customFormat="1">
      <c r="A10" s="47">
        <v>9355</v>
      </c>
      <c r="B10" s="47" t="s">
        <v>15</v>
      </c>
      <c r="C10" s="49" t="s">
        <v>29</v>
      </c>
      <c r="D10" s="55">
        <v>12</v>
      </c>
      <c r="E10" s="55">
        <v>596</v>
      </c>
      <c r="F10" s="55">
        <v>44</v>
      </c>
      <c r="G10" s="55">
        <v>552</v>
      </c>
      <c r="H10" s="55">
        <v>1.17</v>
      </c>
      <c r="I10" s="55">
        <v>0.56000000000000005</v>
      </c>
      <c r="J10" s="55">
        <v>0.51</v>
      </c>
      <c r="K10" s="56">
        <f t="shared" si="0"/>
        <v>0.334152</v>
      </c>
      <c r="L10" s="47">
        <v>17</v>
      </c>
      <c r="M10" s="48">
        <f t="shared" si="1"/>
        <v>1.4166666666666667</v>
      </c>
      <c r="N10" s="48">
        <f t="shared" si="2"/>
        <v>844.33333333333337</v>
      </c>
      <c r="O10" s="48">
        <f t="shared" si="4"/>
        <v>0.47338200000000002</v>
      </c>
    </row>
    <row r="11" spans="1:15" s="46" customFormat="1">
      <c r="A11" s="47">
        <v>9355</v>
      </c>
      <c r="B11" s="47" t="s">
        <v>15</v>
      </c>
      <c r="C11" s="49" t="s">
        <v>30</v>
      </c>
      <c r="D11" s="57">
        <v>12</v>
      </c>
      <c r="E11" s="55">
        <v>654</v>
      </c>
      <c r="F11" s="55">
        <v>42</v>
      </c>
      <c r="G11" s="55">
        <v>612</v>
      </c>
      <c r="H11" s="55">
        <v>1.2749999999999999</v>
      </c>
      <c r="I11" s="55">
        <v>0.56000000000000005</v>
      </c>
      <c r="J11" s="55">
        <v>0.51</v>
      </c>
      <c r="K11" s="56">
        <f t="shared" si="0"/>
        <v>0.36413999999999996</v>
      </c>
      <c r="L11" s="47">
        <v>6</v>
      </c>
      <c r="M11" s="48">
        <f t="shared" si="1"/>
        <v>0.5</v>
      </c>
      <c r="N11" s="48">
        <f t="shared" si="2"/>
        <v>327</v>
      </c>
      <c r="O11" s="48">
        <f t="shared" si="4"/>
        <v>0.18206999999999998</v>
      </c>
    </row>
    <row r="12" spans="1:15">
      <c r="A12" s="5">
        <v>9355</v>
      </c>
      <c r="B12" s="5" t="s">
        <v>15</v>
      </c>
      <c r="C12" s="5" t="s">
        <v>16</v>
      </c>
      <c r="D12" s="5">
        <v>30</v>
      </c>
      <c r="E12" s="5">
        <v>669</v>
      </c>
      <c r="F12" s="5">
        <f>E12-G12</f>
        <v>53</v>
      </c>
      <c r="G12" s="5">
        <v>616</v>
      </c>
      <c r="H12" s="5">
        <v>1</v>
      </c>
      <c r="I12" s="5">
        <v>0.9</v>
      </c>
      <c r="J12" s="5">
        <v>0.73</v>
      </c>
      <c r="K12" s="5">
        <f t="shared" si="0"/>
        <v>0.65700000000000003</v>
      </c>
      <c r="L12" s="5">
        <v>70</v>
      </c>
      <c r="M12" s="4">
        <f t="shared" si="1"/>
        <v>2.3333333333333335</v>
      </c>
      <c r="N12" s="4">
        <f t="shared" si="2"/>
        <v>1561</v>
      </c>
      <c r="O12" s="4">
        <f>M12*K12</f>
        <v>1.5330000000000001</v>
      </c>
    </row>
    <row r="13" spans="1:15">
      <c r="A13" s="5">
        <v>9355</v>
      </c>
      <c r="B13" s="5" t="s">
        <v>15</v>
      </c>
      <c r="C13" s="8" t="s">
        <v>27</v>
      </c>
      <c r="D13" s="12">
        <v>12</v>
      </c>
      <c r="E13" s="12">
        <v>435</v>
      </c>
      <c r="F13" s="12">
        <v>39</v>
      </c>
      <c r="G13" s="12">
        <v>396</v>
      </c>
      <c r="H13" s="12">
        <v>0.86</v>
      </c>
      <c r="I13" s="12">
        <v>0.56000000000000005</v>
      </c>
      <c r="J13" s="12">
        <v>0.51</v>
      </c>
      <c r="K13" s="13">
        <f t="shared" si="0"/>
        <v>0.24561600000000003</v>
      </c>
      <c r="L13" s="5">
        <v>34</v>
      </c>
      <c r="M13" s="4">
        <f t="shared" si="1"/>
        <v>2.8333333333333335</v>
      </c>
      <c r="N13" s="4">
        <f t="shared" si="2"/>
        <v>1232.5</v>
      </c>
      <c r="O13" s="4">
        <f t="shared" ref="O13:O21" si="5">M13*K13</f>
        <v>0.69591200000000009</v>
      </c>
    </row>
    <row r="14" spans="1:15">
      <c r="A14" s="5">
        <v>9355</v>
      </c>
      <c r="B14" s="5" t="s">
        <v>15</v>
      </c>
      <c r="C14" s="8" t="s">
        <v>28</v>
      </c>
      <c r="D14" s="12">
        <v>12</v>
      </c>
      <c r="E14" s="12">
        <v>520</v>
      </c>
      <c r="F14" s="12">
        <v>40</v>
      </c>
      <c r="G14" s="12">
        <v>480</v>
      </c>
      <c r="H14" s="12">
        <v>1.03</v>
      </c>
      <c r="I14" s="12">
        <v>0.56000000000000005</v>
      </c>
      <c r="J14" s="12">
        <v>0.51</v>
      </c>
      <c r="K14" s="13">
        <f t="shared" si="0"/>
        <v>0.29416800000000004</v>
      </c>
      <c r="L14" s="5">
        <v>15</v>
      </c>
      <c r="M14" s="4">
        <f t="shared" si="1"/>
        <v>1.25</v>
      </c>
      <c r="N14" s="4">
        <f t="shared" si="2"/>
        <v>650</v>
      </c>
      <c r="O14" s="4">
        <f t="shared" si="5"/>
        <v>0.36771000000000004</v>
      </c>
    </row>
    <row r="15" spans="1:15">
      <c r="A15" s="5">
        <v>9355</v>
      </c>
      <c r="B15" s="5" t="s">
        <v>15</v>
      </c>
      <c r="C15" s="8" t="s">
        <v>29</v>
      </c>
      <c r="D15" s="12">
        <v>12</v>
      </c>
      <c r="E15" s="12">
        <v>596</v>
      </c>
      <c r="F15" s="12">
        <v>44</v>
      </c>
      <c r="G15" s="12">
        <v>552</v>
      </c>
      <c r="H15" s="12">
        <v>1.17</v>
      </c>
      <c r="I15" s="12">
        <v>0.56000000000000005</v>
      </c>
      <c r="J15" s="12">
        <v>0.51</v>
      </c>
      <c r="K15" s="13">
        <f t="shared" si="0"/>
        <v>0.334152</v>
      </c>
      <c r="L15" s="5">
        <v>25</v>
      </c>
      <c r="M15" s="4">
        <f t="shared" si="1"/>
        <v>2.0833333333333335</v>
      </c>
      <c r="N15" s="4">
        <f t="shared" si="2"/>
        <v>1241.6666666666667</v>
      </c>
      <c r="O15" s="4">
        <f t="shared" si="5"/>
        <v>0.69615000000000005</v>
      </c>
    </row>
    <row r="16" spans="1:15">
      <c r="A16" s="5">
        <v>9355</v>
      </c>
      <c r="B16" s="5" t="s">
        <v>15</v>
      </c>
      <c r="C16" s="8" t="s">
        <v>30</v>
      </c>
      <c r="D16" s="14">
        <v>12</v>
      </c>
      <c r="E16" s="12">
        <v>654</v>
      </c>
      <c r="F16" s="12">
        <v>42</v>
      </c>
      <c r="G16" s="12">
        <v>612</v>
      </c>
      <c r="H16" s="12">
        <v>1.2749999999999999</v>
      </c>
      <c r="I16" s="12">
        <v>0.56000000000000005</v>
      </c>
      <c r="J16" s="12">
        <v>0.51</v>
      </c>
      <c r="K16" s="13">
        <f t="shared" si="0"/>
        <v>0.36413999999999996</v>
      </c>
      <c r="L16" s="5">
        <v>3</v>
      </c>
      <c r="M16" s="4">
        <f t="shared" si="1"/>
        <v>0.25</v>
      </c>
      <c r="N16" s="4">
        <f t="shared" si="2"/>
        <v>163.5</v>
      </c>
      <c r="O16" s="4">
        <f t="shared" si="5"/>
        <v>9.1034999999999991E-2</v>
      </c>
    </row>
    <row r="17" spans="1:15" s="90" customFormat="1">
      <c r="A17" s="88">
        <v>9356</v>
      </c>
      <c r="B17" s="88" t="s">
        <v>47</v>
      </c>
      <c r="C17" s="91" t="s">
        <v>24</v>
      </c>
      <c r="D17" s="93">
        <v>4000</v>
      </c>
      <c r="E17" s="94">
        <v>424</v>
      </c>
      <c r="F17" s="88">
        <f>E17-G17</f>
        <v>52</v>
      </c>
      <c r="G17" s="94">
        <v>372</v>
      </c>
      <c r="H17" s="88">
        <v>1.1000000000000001</v>
      </c>
      <c r="I17" s="88">
        <v>0.8</v>
      </c>
      <c r="J17" s="88">
        <v>0.55000000000000004</v>
      </c>
      <c r="K17" s="92">
        <f t="shared" si="0"/>
        <v>0.4840000000000001</v>
      </c>
      <c r="L17" s="88">
        <v>884</v>
      </c>
      <c r="M17" s="89">
        <f t="shared" si="1"/>
        <v>0.221</v>
      </c>
      <c r="N17" s="89">
        <f t="shared" si="2"/>
        <v>93.704000000000008</v>
      </c>
      <c r="O17" s="89">
        <f t="shared" si="5"/>
        <v>0.10696400000000002</v>
      </c>
    </row>
    <row r="18" spans="1:15" s="46" customFormat="1">
      <c r="A18" s="47">
        <v>9356</v>
      </c>
      <c r="B18" s="47" t="s">
        <v>47</v>
      </c>
      <c r="C18" s="49" t="s">
        <v>24</v>
      </c>
      <c r="D18" s="51">
        <v>4000</v>
      </c>
      <c r="E18" s="52">
        <v>424</v>
      </c>
      <c r="F18" s="47">
        <f>E18-G18</f>
        <v>52</v>
      </c>
      <c r="G18" s="52">
        <v>372</v>
      </c>
      <c r="H18" s="47">
        <v>1.1000000000000001</v>
      </c>
      <c r="I18" s="47">
        <v>0.8</v>
      </c>
      <c r="J18" s="47">
        <v>0.55000000000000004</v>
      </c>
      <c r="K18" s="50">
        <f t="shared" si="0"/>
        <v>0.4840000000000001</v>
      </c>
      <c r="L18" s="47">
        <v>856</v>
      </c>
      <c r="M18" s="48">
        <f t="shared" si="1"/>
        <v>0.214</v>
      </c>
      <c r="N18" s="48">
        <f t="shared" si="2"/>
        <v>90.736000000000004</v>
      </c>
      <c r="O18" s="48">
        <f t="shared" si="5"/>
        <v>0.10357600000000002</v>
      </c>
    </row>
    <row r="19" spans="1:15" s="17" customFormat="1">
      <c r="A19" s="20">
        <v>9356</v>
      </c>
      <c r="B19" s="20" t="s">
        <v>47</v>
      </c>
      <c r="C19" s="21" t="s">
        <v>24</v>
      </c>
      <c r="D19" s="26">
        <v>4000</v>
      </c>
      <c r="E19" s="27">
        <v>424</v>
      </c>
      <c r="F19" s="20">
        <f>E19-G19</f>
        <v>52</v>
      </c>
      <c r="G19" s="27">
        <v>372</v>
      </c>
      <c r="H19" s="20">
        <v>1.1000000000000001</v>
      </c>
      <c r="I19" s="20">
        <v>0.8</v>
      </c>
      <c r="J19" s="20">
        <v>0.55000000000000004</v>
      </c>
      <c r="K19" s="22">
        <f t="shared" si="0"/>
        <v>0.4840000000000001</v>
      </c>
      <c r="L19" s="20">
        <v>856</v>
      </c>
      <c r="M19" s="23">
        <f t="shared" si="1"/>
        <v>0.214</v>
      </c>
      <c r="N19" s="23">
        <f t="shared" si="2"/>
        <v>90.736000000000004</v>
      </c>
      <c r="O19" s="23">
        <f t="shared" si="5"/>
        <v>0.10357600000000002</v>
      </c>
    </row>
    <row r="20" spans="1:15" s="33" customFormat="1">
      <c r="A20" s="34">
        <v>9356</v>
      </c>
      <c r="B20" s="34" t="s">
        <v>47</v>
      </c>
      <c r="C20" s="35" t="s">
        <v>24</v>
      </c>
      <c r="D20" s="37">
        <v>4000</v>
      </c>
      <c r="E20" s="38">
        <v>424</v>
      </c>
      <c r="F20" s="34">
        <f>E20-G20</f>
        <v>52</v>
      </c>
      <c r="G20" s="38">
        <v>372</v>
      </c>
      <c r="H20" s="34">
        <v>1.1000000000000001</v>
      </c>
      <c r="I20" s="34">
        <v>0.8</v>
      </c>
      <c r="J20" s="34">
        <v>0.55000000000000004</v>
      </c>
      <c r="K20" s="36">
        <f t="shared" si="0"/>
        <v>0.4840000000000001</v>
      </c>
      <c r="L20" s="34">
        <v>856</v>
      </c>
      <c r="M20" s="11">
        <f t="shared" si="1"/>
        <v>0.214</v>
      </c>
      <c r="N20" s="11">
        <f t="shared" si="2"/>
        <v>90.736000000000004</v>
      </c>
      <c r="O20" s="11">
        <f t="shared" si="5"/>
        <v>0.10357600000000002</v>
      </c>
    </row>
    <row r="21" spans="1:15">
      <c r="A21" s="5">
        <v>9356</v>
      </c>
      <c r="B21" s="5" t="s">
        <v>47</v>
      </c>
      <c r="C21" s="8" t="s">
        <v>24</v>
      </c>
      <c r="D21" s="3">
        <v>4000</v>
      </c>
      <c r="E21" s="6">
        <v>424</v>
      </c>
      <c r="F21" s="5">
        <f>E21-G21</f>
        <v>52</v>
      </c>
      <c r="G21" s="6">
        <v>372</v>
      </c>
      <c r="H21" s="5">
        <v>1.1000000000000001</v>
      </c>
      <c r="I21" s="5">
        <v>0.8</v>
      </c>
      <c r="J21" s="5">
        <v>0.55000000000000004</v>
      </c>
      <c r="K21" s="7">
        <f t="shared" si="0"/>
        <v>0.4840000000000001</v>
      </c>
      <c r="L21" s="5">
        <v>684</v>
      </c>
      <c r="M21" s="4">
        <f t="shared" si="1"/>
        <v>0.17100000000000001</v>
      </c>
      <c r="N21" s="4">
        <f t="shared" si="2"/>
        <v>72.504000000000005</v>
      </c>
      <c r="O21" s="4">
        <f t="shared" si="5"/>
        <v>8.2764000000000018E-2</v>
      </c>
    </row>
    <row r="22" spans="1:15" s="230" customFormat="1" ht="30" customHeight="1">
      <c r="A22" s="225">
        <v>9358</v>
      </c>
      <c r="B22" s="225" t="s">
        <v>14</v>
      </c>
      <c r="C22" s="225" t="s">
        <v>64</v>
      </c>
      <c r="D22" s="226">
        <v>396</v>
      </c>
      <c r="E22" s="227">
        <f>G22+G23+G24+45</f>
        <v>222.012</v>
      </c>
      <c r="F22" s="228"/>
      <c r="G22" s="228">
        <v>146.52000000000001</v>
      </c>
      <c r="H22" s="229">
        <v>0.68</v>
      </c>
      <c r="I22" s="229">
        <v>0.68</v>
      </c>
      <c r="J22" s="229">
        <v>0.54</v>
      </c>
      <c r="K22" s="229">
        <v>0.25</v>
      </c>
      <c r="L22" s="226">
        <v>396</v>
      </c>
      <c r="M22" s="227">
        <v>1</v>
      </c>
      <c r="N22" s="227">
        <f>E22*M22</f>
        <v>222.012</v>
      </c>
      <c r="O22" s="229">
        <f>K22*M22</f>
        <v>0.25</v>
      </c>
    </row>
    <row r="23" spans="1:15" s="230" customFormat="1" ht="30" customHeight="1">
      <c r="A23" s="225">
        <v>9358</v>
      </c>
      <c r="B23" s="225" t="s">
        <v>14</v>
      </c>
      <c r="C23" s="225" t="s">
        <v>65</v>
      </c>
      <c r="D23" s="226">
        <v>396</v>
      </c>
      <c r="E23" s="227"/>
      <c r="F23" s="228"/>
      <c r="G23" s="228">
        <v>12.672000000000001</v>
      </c>
      <c r="H23" s="229"/>
      <c r="I23" s="229"/>
      <c r="J23" s="229"/>
      <c r="K23" s="229"/>
      <c r="L23" s="226">
        <v>396</v>
      </c>
      <c r="M23" s="227"/>
      <c r="N23" s="227"/>
      <c r="O23" s="229"/>
    </row>
    <row r="24" spans="1:15" s="230" customFormat="1" ht="30" customHeight="1">
      <c r="A24" s="225">
        <v>9358</v>
      </c>
      <c r="B24" s="225" t="s">
        <v>14</v>
      </c>
      <c r="C24" s="225" t="s">
        <v>66</v>
      </c>
      <c r="D24" s="226">
        <v>396</v>
      </c>
      <c r="E24" s="227"/>
      <c r="F24" s="228"/>
      <c r="G24" s="228">
        <v>17.82</v>
      </c>
      <c r="H24" s="229"/>
      <c r="I24" s="229"/>
      <c r="J24" s="229"/>
      <c r="K24" s="229"/>
      <c r="L24" s="226">
        <v>396</v>
      </c>
      <c r="M24" s="227"/>
      <c r="N24" s="227"/>
      <c r="O24" s="229"/>
    </row>
    <row r="25" spans="1:15" s="230" customFormat="1" ht="30" customHeight="1">
      <c r="A25" s="225">
        <v>9358</v>
      </c>
      <c r="B25" s="225" t="s">
        <v>14</v>
      </c>
      <c r="C25" s="225" t="s">
        <v>67</v>
      </c>
      <c r="D25" s="226">
        <v>884</v>
      </c>
      <c r="E25" s="226">
        <f>G25+50</f>
        <v>571.55999999999995</v>
      </c>
      <c r="F25" s="228"/>
      <c r="G25" s="228">
        <v>521.55999999999995</v>
      </c>
      <c r="H25" s="101">
        <v>1.02</v>
      </c>
      <c r="I25" s="101">
        <v>0.86</v>
      </c>
      <c r="J25" s="101">
        <v>0.76</v>
      </c>
      <c r="K25" s="101">
        <f>H25*I25*J25</f>
        <v>0.66667200000000004</v>
      </c>
      <c r="L25" s="226">
        <v>884</v>
      </c>
      <c r="M25" s="226">
        <v>1</v>
      </c>
      <c r="N25" s="226">
        <f>M25*E25</f>
        <v>571.55999999999995</v>
      </c>
      <c r="O25" s="101">
        <f>K25*M25</f>
        <v>0.66667200000000004</v>
      </c>
    </row>
    <row r="26" spans="1:15" s="230" customFormat="1" ht="30" customHeight="1">
      <c r="A26" s="225">
        <v>9358</v>
      </c>
      <c r="B26" s="225" t="s">
        <v>14</v>
      </c>
      <c r="C26" s="225" t="s">
        <v>68</v>
      </c>
      <c r="D26" s="226">
        <v>122</v>
      </c>
      <c r="E26" s="190">
        <v>209</v>
      </c>
      <c r="F26" s="231"/>
      <c r="G26" s="232">
        <v>179</v>
      </c>
      <c r="H26" s="194">
        <v>1.33</v>
      </c>
      <c r="I26" s="194">
        <v>0.56999999999999995</v>
      </c>
      <c r="J26" s="194">
        <v>0.6</v>
      </c>
      <c r="K26" s="194">
        <v>0.5</v>
      </c>
      <c r="L26" s="226">
        <v>122</v>
      </c>
      <c r="M26" s="190">
        <v>1</v>
      </c>
      <c r="N26" s="190">
        <v>209</v>
      </c>
      <c r="O26" s="194">
        <f>K26*M26</f>
        <v>0.5</v>
      </c>
    </row>
    <row r="27" spans="1:15" s="230" customFormat="1" ht="30" customHeight="1">
      <c r="A27" s="225">
        <v>9358</v>
      </c>
      <c r="B27" s="225" t="s">
        <v>14</v>
      </c>
      <c r="C27" s="225" t="s">
        <v>69</v>
      </c>
      <c r="D27" s="226">
        <v>122</v>
      </c>
      <c r="E27" s="233"/>
      <c r="F27" s="234"/>
      <c r="G27" s="235"/>
      <c r="H27" s="236"/>
      <c r="I27" s="236"/>
      <c r="J27" s="236"/>
      <c r="K27" s="236"/>
      <c r="L27" s="226">
        <v>122</v>
      </c>
      <c r="M27" s="233"/>
      <c r="N27" s="233"/>
      <c r="O27" s="236"/>
    </row>
    <row r="28" spans="1:15" s="230" customFormat="1" ht="30" customHeight="1">
      <c r="A28" s="225">
        <v>9358</v>
      </c>
      <c r="B28" s="225" t="s">
        <v>14</v>
      </c>
      <c r="C28" s="225" t="s">
        <v>70</v>
      </c>
      <c r="D28" s="226">
        <v>56</v>
      </c>
      <c r="E28" s="233"/>
      <c r="F28" s="234"/>
      <c r="G28" s="235"/>
      <c r="H28" s="236"/>
      <c r="I28" s="236"/>
      <c r="J28" s="236"/>
      <c r="K28" s="236"/>
      <c r="L28" s="226">
        <v>56</v>
      </c>
      <c r="M28" s="233"/>
      <c r="N28" s="233"/>
      <c r="O28" s="236"/>
    </row>
    <row r="29" spans="1:15" s="230" customFormat="1" ht="30" customHeight="1">
      <c r="A29" s="225">
        <v>9358</v>
      </c>
      <c r="B29" s="225" t="s">
        <v>14</v>
      </c>
      <c r="C29" s="225" t="s">
        <v>71</v>
      </c>
      <c r="D29" s="226">
        <v>56</v>
      </c>
      <c r="E29" s="233"/>
      <c r="F29" s="234"/>
      <c r="G29" s="235"/>
      <c r="H29" s="236"/>
      <c r="I29" s="236"/>
      <c r="J29" s="236"/>
      <c r="K29" s="236"/>
      <c r="L29" s="226">
        <v>56</v>
      </c>
      <c r="M29" s="233"/>
      <c r="N29" s="233"/>
      <c r="O29" s="236"/>
    </row>
    <row r="30" spans="1:15" s="230" customFormat="1" ht="30" customHeight="1">
      <c r="A30" s="225">
        <v>9358</v>
      </c>
      <c r="B30" s="225" t="s">
        <v>14</v>
      </c>
      <c r="C30" s="225" t="s">
        <v>72</v>
      </c>
      <c r="D30" s="226">
        <v>18</v>
      </c>
      <c r="E30" s="233"/>
      <c r="F30" s="234"/>
      <c r="G30" s="235"/>
      <c r="H30" s="236"/>
      <c r="I30" s="236"/>
      <c r="J30" s="236"/>
      <c r="K30" s="236"/>
      <c r="L30" s="226">
        <v>18</v>
      </c>
      <c r="M30" s="233"/>
      <c r="N30" s="233"/>
      <c r="O30" s="236"/>
    </row>
    <row r="31" spans="1:15" s="230" customFormat="1" ht="30" customHeight="1">
      <c r="A31" s="225">
        <v>9358</v>
      </c>
      <c r="B31" s="225" t="s">
        <v>14</v>
      </c>
      <c r="C31" s="225" t="s">
        <v>73</v>
      </c>
      <c r="D31" s="226">
        <v>18</v>
      </c>
      <c r="E31" s="233"/>
      <c r="F31" s="234"/>
      <c r="G31" s="235"/>
      <c r="H31" s="236"/>
      <c r="I31" s="236"/>
      <c r="J31" s="236"/>
      <c r="K31" s="236"/>
      <c r="L31" s="226">
        <v>18</v>
      </c>
      <c r="M31" s="233"/>
      <c r="N31" s="233"/>
      <c r="O31" s="236"/>
    </row>
    <row r="32" spans="1:15" s="230" customFormat="1" ht="30" customHeight="1">
      <c r="A32" s="225">
        <v>9358</v>
      </c>
      <c r="B32" s="225" t="s">
        <v>14</v>
      </c>
      <c r="C32" s="225" t="s">
        <v>74</v>
      </c>
      <c r="D32" s="226">
        <v>18</v>
      </c>
      <c r="E32" s="233"/>
      <c r="F32" s="234"/>
      <c r="G32" s="235"/>
      <c r="H32" s="236"/>
      <c r="I32" s="236"/>
      <c r="J32" s="236"/>
      <c r="K32" s="236"/>
      <c r="L32" s="226">
        <v>18</v>
      </c>
      <c r="M32" s="233"/>
      <c r="N32" s="233"/>
      <c r="O32" s="236"/>
    </row>
    <row r="33" spans="1:15" s="230" customFormat="1" ht="30" customHeight="1">
      <c r="A33" s="225">
        <v>9358</v>
      </c>
      <c r="B33" s="225" t="s">
        <v>14</v>
      </c>
      <c r="C33" s="225" t="s">
        <v>75</v>
      </c>
      <c r="D33" s="226">
        <v>18</v>
      </c>
      <c r="E33" s="233"/>
      <c r="F33" s="234"/>
      <c r="G33" s="235"/>
      <c r="H33" s="236"/>
      <c r="I33" s="236"/>
      <c r="J33" s="236"/>
      <c r="K33" s="236"/>
      <c r="L33" s="226">
        <v>18</v>
      </c>
      <c r="M33" s="233"/>
      <c r="N33" s="233"/>
      <c r="O33" s="236"/>
    </row>
    <row r="34" spans="1:15" s="230" customFormat="1" ht="30" customHeight="1">
      <c r="A34" s="225">
        <v>9358</v>
      </c>
      <c r="B34" s="225" t="s">
        <v>14</v>
      </c>
      <c r="C34" s="225" t="s">
        <v>76</v>
      </c>
      <c r="D34" s="226">
        <v>7</v>
      </c>
      <c r="E34" s="233"/>
      <c r="F34" s="234"/>
      <c r="G34" s="235"/>
      <c r="H34" s="236"/>
      <c r="I34" s="236"/>
      <c r="J34" s="236"/>
      <c r="K34" s="236"/>
      <c r="L34" s="226">
        <v>7</v>
      </c>
      <c r="M34" s="233"/>
      <c r="N34" s="233"/>
      <c r="O34" s="236"/>
    </row>
    <row r="35" spans="1:15" s="230" customFormat="1" ht="30" customHeight="1">
      <c r="A35" s="225">
        <v>9358</v>
      </c>
      <c r="B35" s="225" t="s">
        <v>14</v>
      </c>
      <c r="C35" s="225" t="s">
        <v>77</v>
      </c>
      <c r="D35" s="226">
        <v>7</v>
      </c>
      <c r="E35" s="191"/>
      <c r="F35" s="237"/>
      <c r="G35" s="238"/>
      <c r="H35" s="195"/>
      <c r="I35" s="195"/>
      <c r="J35" s="195"/>
      <c r="K35" s="195"/>
      <c r="L35" s="226">
        <v>7</v>
      </c>
      <c r="M35" s="191"/>
      <c r="N35" s="191"/>
      <c r="O35" s="195"/>
    </row>
    <row r="36" spans="1:15" s="230" customFormat="1" ht="30" customHeight="1">
      <c r="A36" s="225">
        <v>9358</v>
      </c>
      <c r="B36" s="225" t="s">
        <v>14</v>
      </c>
      <c r="C36" s="225" t="s">
        <v>78</v>
      </c>
      <c r="D36" s="226">
        <v>884</v>
      </c>
      <c r="E36" s="233">
        <f>SUM(G36:G39)+50</f>
        <v>308.93599999999998</v>
      </c>
      <c r="F36" s="234"/>
      <c r="G36" s="237">
        <v>56.576000000000001</v>
      </c>
      <c r="H36" s="236">
        <v>1.05</v>
      </c>
      <c r="I36" s="236">
        <v>1.05</v>
      </c>
      <c r="J36" s="236">
        <v>0.55000000000000004</v>
      </c>
      <c r="K36" s="236">
        <f>H36*I36*J36</f>
        <v>0.60637500000000011</v>
      </c>
      <c r="L36" s="226">
        <v>884</v>
      </c>
      <c r="M36" s="233">
        <v>1</v>
      </c>
      <c r="N36" s="233">
        <f>E36</f>
        <v>308.93599999999998</v>
      </c>
      <c r="O36" s="236">
        <f>K36</f>
        <v>0.60637500000000011</v>
      </c>
    </row>
    <row r="37" spans="1:15" s="230" customFormat="1" ht="30" customHeight="1">
      <c r="A37" s="225">
        <v>9358</v>
      </c>
      <c r="B37" s="225" t="s">
        <v>14</v>
      </c>
      <c r="C37" s="225" t="s">
        <v>79</v>
      </c>
      <c r="D37" s="226">
        <v>244</v>
      </c>
      <c r="E37" s="233"/>
      <c r="F37" s="234"/>
      <c r="G37" s="237">
        <v>187.88</v>
      </c>
      <c r="H37" s="236"/>
      <c r="I37" s="236"/>
      <c r="J37" s="236"/>
      <c r="K37" s="236"/>
      <c r="L37" s="226">
        <v>244</v>
      </c>
      <c r="M37" s="233"/>
      <c r="N37" s="233"/>
      <c r="O37" s="236"/>
    </row>
    <row r="38" spans="1:15" s="230" customFormat="1" ht="30" customHeight="1">
      <c r="A38" s="225">
        <v>9358</v>
      </c>
      <c r="B38" s="225" t="s">
        <v>14</v>
      </c>
      <c r="C38" s="225" t="s">
        <v>80</v>
      </c>
      <c r="D38" s="226">
        <v>244</v>
      </c>
      <c r="E38" s="233"/>
      <c r="F38" s="234"/>
      <c r="G38" s="237">
        <v>8.5400000000000009</v>
      </c>
      <c r="H38" s="236"/>
      <c r="I38" s="236"/>
      <c r="J38" s="236"/>
      <c r="K38" s="236"/>
      <c r="L38" s="226">
        <v>244</v>
      </c>
      <c r="M38" s="233"/>
      <c r="N38" s="233"/>
      <c r="O38" s="236"/>
    </row>
    <row r="39" spans="1:15" s="230" customFormat="1" ht="30" customHeight="1">
      <c r="A39" s="225">
        <v>9358</v>
      </c>
      <c r="B39" s="225" t="s">
        <v>14</v>
      </c>
      <c r="C39" s="225" t="s">
        <v>81</v>
      </c>
      <c r="D39" s="226">
        <v>396</v>
      </c>
      <c r="E39" s="191"/>
      <c r="F39" s="237"/>
      <c r="G39" s="237">
        <v>5.9399999999999995</v>
      </c>
      <c r="H39" s="195"/>
      <c r="I39" s="195"/>
      <c r="J39" s="195"/>
      <c r="K39" s="195"/>
      <c r="L39" s="226">
        <v>396</v>
      </c>
      <c r="M39" s="191"/>
      <c r="N39" s="191"/>
      <c r="O39" s="195"/>
    </row>
    <row r="40" spans="1:15" s="244" customFormat="1" ht="30" customHeight="1">
      <c r="A40" s="239">
        <v>9358</v>
      </c>
      <c r="B40" s="239" t="s">
        <v>14</v>
      </c>
      <c r="C40" s="239" t="s">
        <v>64</v>
      </c>
      <c r="D40" s="240">
        <v>376</v>
      </c>
      <c r="E40" s="241">
        <f>G40+G41+G42+45</f>
        <v>213.072</v>
      </c>
      <c r="F40" s="242"/>
      <c r="G40" s="242">
        <v>139.12</v>
      </c>
      <c r="H40" s="243">
        <v>0.68</v>
      </c>
      <c r="I40" s="243">
        <v>0.68</v>
      </c>
      <c r="J40" s="243">
        <v>0.54</v>
      </c>
      <c r="K40" s="243">
        <v>0.25</v>
      </c>
      <c r="L40" s="240">
        <v>376</v>
      </c>
      <c r="M40" s="241">
        <v>1</v>
      </c>
      <c r="N40" s="241">
        <f>E40*M40</f>
        <v>213.072</v>
      </c>
      <c r="O40" s="243">
        <v>0.25</v>
      </c>
    </row>
    <row r="41" spans="1:15" s="244" customFormat="1" ht="30" customHeight="1">
      <c r="A41" s="239">
        <v>9358</v>
      </c>
      <c r="B41" s="239" t="s">
        <v>14</v>
      </c>
      <c r="C41" s="239" t="s">
        <v>65</v>
      </c>
      <c r="D41" s="240">
        <v>376</v>
      </c>
      <c r="E41" s="241"/>
      <c r="F41" s="242"/>
      <c r="G41" s="242">
        <v>12.032</v>
      </c>
      <c r="H41" s="243"/>
      <c r="I41" s="243"/>
      <c r="J41" s="243"/>
      <c r="K41" s="243"/>
      <c r="L41" s="240">
        <v>376</v>
      </c>
      <c r="M41" s="241"/>
      <c r="N41" s="241"/>
      <c r="O41" s="243"/>
    </row>
    <row r="42" spans="1:15" s="244" customFormat="1" ht="30" customHeight="1">
      <c r="A42" s="239">
        <v>9358</v>
      </c>
      <c r="B42" s="239" t="s">
        <v>14</v>
      </c>
      <c r="C42" s="239" t="s">
        <v>66</v>
      </c>
      <c r="D42" s="240">
        <v>376</v>
      </c>
      <c r="E42" s="241"/>
      <c r="F42" s="242"/>
      <c r="G42" s="242">
        <v>16.919999999999998</v>
      </c>
      <c r="H42" s="243"/>
      <c r="I42" s="243"/>
      <c r="J42" s="243"/>
      <c r="K42" s="243"/>
      <c r="L42" s="240">
        <v>376</v>
      </c>
      <c r="M42" s="241"/>
      <c r="N42" s="241"/>
      <c r="O42" s="243"/>
    </row>
    <row r="43" spans="1:15" s="244" customFormat="1" ht="30" customHeight="1">
      <c r="A43" s="239">
        <v>9358</v>
      </c>
      <c r="B43" s="239" t="s">
        <v>14</v>
      </c>
      <c r="C43" s="239" t="s">
        <v>67</v>
      </c>
      <c r="D43" s="240">
        <v>856</v>
      </c>
      <c r="E43" s="240">
        <v>551</v>
      </c>
      <c r="F43" s="242"/>
      <c r="G43" s="242">
        <v>501</v>
      </c>
      <c r="H43" s="59">
        <v>1.02</v>
      </c>
      <c r="I43" s="59">
        <v>0.86</v>
      </c>
      <c r="J43" s="59">
        <v>0.76</v>
      </c>
      <c r="K43" s="59">
        <f>H43*I43*J43</f>
        <v>0.66667200000000004</v>
      </c>
      <c r="L43" s="240">
        <v>856</v>
      </c>
      <c r="M43" s="240">
        <v>1</v>
      </c>
      <c r="N43" s="240">
        <f>M43*E43</f>
        <v>551</v>
      </c>
      <c r="O43" s="59">
        <f>K43*M43</f>
        <v>0.66667200000000004</v>
      </c>
    </row>
    <row r="44" spans="1:15" s="244" customFormat="1" ht="30" customHeight="1">
      <c r="A44" s="239">
        <v>9358</v>
      </c>
      <c r="B44" s="239" t="s">
        <v>14</v>
      </c>
      <c r="C44" s="239" t="s">
        <v>68</v>
      </c>
      <c r="D44" s="240">
        <v>120</v>
      </c>
      <c r="E44" s="162">
        <v>202</v>
      </c>
      <c r="F44" s="245"/>
      <c r="G44" s="246">
        <v>172</v>
      </c>
      <c r="H44" s="166">
        <v>1.33</v>
      </c>
      <c r="I44" s="166">
        <v>0.56999999999999995</v>
      </c>
      <c r="J44" s="166">
        <v>0.6</v>
      </c>
      <c r="K44" s="166">
        <v>0.5</v>
      </c>
      <c r="L44" s="240">
        <v>120</v>
      </c>
      <c r="M44" s="162">
        <v>1</v>
      </c>
      <c r="N44" s="162">
        <v>202</v>
      </c>
      <c r="O44" s="166">
        <f>K44*M44</f>
        <v>0.5</v>
      </c>
    </row>
    <row r="45" spans="1:15" s="244" customFormat="1" ht="30" customHeight="1">
      <c r="A45" s="239">
        <v>9358</v>
      </c>
      <c r="B45" s="239" t="s">
        <v>14</v>
      </c>
      <c r="C45" s="239" t="s">
        <v>69</v>
      </c>
      <c r="D45" s="240">
        <v>120</v>
      </c>
      <c r="E45" s="247"/>
      <c r="F45" s="248"/>
      <c r="G45" s="249"/>
      <c r="H45" s="250"/>
      <c r="I45" s="250"/>
      <c r="J45" s="250"/>
      <c r="K45" s="250"/>
      <c r="L45" s="240">
        <v>120</v>
      </c>
      <c r="M45" s="247"/>
      <c r="N45" s="247"/>
      <c r="O45" s="250"/>
    </row>
    <row r="46" spans="1:15" s="244" customFormat="1" ht="30" customHeight="1">
      <c r="A46" s="239">
        <v>9358</v>
      </c>
      <c r="B46" s="239" t="s">
        <v>14</v>
      </c>
      <c r="C46" s="239" t="s">
        <v>70</v>
      </c>
      <c r="D46" s="240">
        <v>54</v>
      </c>
      <c r="E46" s="247"/>
      <c r="F46" s="248"/>
      <c r="G46" s="249"/>
      <c r="H46" s="250"/>
      <c r="I46" s="250"/>
      <c r="J46" s="250"/>
      <c r="K46" s="250"/>
      <c r="L46" s="240">
        <v>54</v>
      </c>
      <c r="M46" s="247"/>
      <c r="N46" s="247"/>
      <c r="O46" s="250"/>
    </row>
    <row r="47" spans="1:15" s="244" customFormat="1" ht="30" customHeight="1">
      <c r="A47" s="239">
        <v>9358</v>
      </c>
      <c r="B47" s="239" t="s">
        <v>14</v>
      </c>
      <c r="C47" s="239" t="s">
        <v>71</v>
      </c>
      <c r="D47" s="240">
        <v>54</v>
      </c>
      <c r="E47" s="247"/>
      <c r="F47" s="248"/>
      <c r="G47" s="249"/>
      <c r="H47" s="250"/>
      <c r="I47" s="250"/>
      <c r="J47" s="250"/>
      <c r="K47" s="250"/>
      <c r="L47" s="240">
        <v>54</v>
      </c>
      <c r="M47" s="247"/>
      <c r="N47" s="247"/>
      <c r="O47" s="250"/>
    </row>
    <row r="48" spans="1:15" s="244" customFormat="1" ht="30" customHeight="1">
      <c r="A48" s="239">
        <v>9358</v>
      </c>
      <c r="B48" s="239" t="s">
        <v>14</v>
      </c>
      <c r="C48" s="239" t="s">
        <v>72</v>
      </c>
      <c r="D48" s="240">
        <v>17</v>
      </c>
      <c r="E48" s="247"/>
      <c r="F48" s="248"/>
      <c r="G48" s="249"/>
      <c r="H48" s="250"/>
      <c r="I48" s="250"/>
      <c r="J48" s="250"/>
      <c r="K48" s="250"/>
      <c r="L48" s="240">
        <v>17</v>
      </c>
      <c r="M48" s="247"/>
      <c r="N48" s="247"/>
      <c r="O48" s="250"/>
    </row>
    <row r="49" spans="1:15" s="244" customFormat="1" ht="30" customHeight="1">
      <c r="A49" s="239">
        <v>9358</v>
      </c>
      <c r="B49" s="239" t="s">
        <v>14</v>
      </c>
      <c r="C49" s="239" t="s">
        <v>73</v>
      </c>
      <c r="D49" s="240">
        <v>17</v>
      </c>
      <c r="E49" s="247"/>
      <c r="F49" s="248"/>
      <c r="G49" s="249"/>
      <c r="H49" s="250"/>
      <c r="I49" s="250"/>
      <c r="J49" s="250"/>
      <c r="K49" s="250"/>
      <c r="L49" s="240">
        <v>17</v>
      </c>
      <c r="M49" s="247"/>
      <c r="N49" s="247"/>
      <c r="O49" s="250"/>
    </row>
    <row r="50" spans="1:15" s="244" customFormat="1" ht="30" customHeight="1">
      <c r="A50" s="239">
        <v>9358</v>
      </c>
      <c r="B50" s="239" t="s">
        <v>14</v>
      </c>
      <c r="C50" s="239" t="s">
        <v>74</v>
      </c>
      <c r="D50" s="240">
        <v>17</v>
      </c>
      <c r="E50" s="247"/>
      <c r="F50" s="248"/>
      <c r="G50" s="249"/>
      <c r="H50" s="250"/>
      <c r="I50" s="250"/>
      <c r="J50" s="250"/>
      <c r="K50" s="250"/>
      <c r="L50" s="240">
        <v>17</v>
      </c>
      <c r="M50" s="247"/>
      <c r="N50" s="247"/>
      <c r="O50" s="250"/>
    </row>
    <row r="51" spans="1:15" s="244" customFormat="1" ht="30" customHeight="1">
      <c r="A51" s="239">
        <v>9358</v>
      </c>
      <c r="B51" s="239" t="s">
        <v>14</v>
      </c>
      <c r="C51" s="239" t="s">
        <v>75</v>
      </c>
      <c r="D51" s="240">
        <v>17</v>
      </c>
      <c r="E51" s="247"/>
      <c r="F51" s="248"/>
      <c r="G51" s="249"/>
      <c r="H51" s="250"/>
      <c r="I51" s="250"/>
      <c r="J51" s="250"/>
      <c r="K51" s="250"/>
      <c r="L51" s="240">
        <v>17</v>
      </c>
      <c r="M51" s="247"/>
      <c r="N51" s="247"/>
      <c r="O51" s="250"/>
    </row>
    <row r="52" spans="1:15" s="244" customFormat="1" ht="30" customHeight="1">
      <c r="A52" s="239">
        <v>9358</v>
      </c>
      <c r="B52" s="239" t="s">
        <v>14</v>
      </c>
      <c r="C52" s="239" t="s">
        <v>76</v>
      </c>
      <c r="D52" s="240">
        <v>6</v>
      </c>
      <c r="E52" s="247"/>
      <c r="F52" s="248"/>
      <c r="G52" s="249"/>
      <c r="H52" s="250"/>
      <c r="I52" s="250"/>
      <c r="J52" s="250"/>
      <c r="K52" s="250"/>
      <c r="L52" s="240">
        <v>6</v>
      </c>
      <c r="M52" s="247"/>
      <c r="N52" s="247"/>
      <c r="O52" s="250"/>
    </row>
    <row r="53" spans="1:15" s="244" customFormat="1" ht="30" customHeight="1">
      <c r="A53" s="239">
        <v>9358</v>
      </c>
      <c r="B53" s="239" t="s">
        <v>14</v>
      </c>
      <c r="C53" s="239" t="s">
        <v>77</v>
      </c>
      <c r="D53" s="240">
        <v>6</v>
      </c>
      <c r="E53" s="163"/>
      <c r="F53" s="251"/>
      <c r="G53" s="252"/>
      <c r="H53" s="167"/>
      <c r="I53" s="167"/>
      <c r="J53" s="167"/>
      <c r="K53" s="167"/>
      <c r="L53" s="240">
        <v>6</v>
      </c>
      <c r="M53" s="163"/>
      <c r="N53" s="163"/>
      <c r="O53" s="167"/>
    </row>
    <row r="54" spans="1:15" s="244" customFormat="1" ht="30" customHeight="1">
      <c r="A54" s="239">
        <v>9358</v>
      </c>
      <c r="B54" s="239" t="s">
        <v>14</v>
      </c>
      <c r="C54" s="239" t="s">
        <v>78</v>
      </c>
      <c r="D54" s="240">
        <v>856</v>
      </c>
      <c r="E54" s="247">
        <f>SUM(G54:G57)+50</f>
        <v>303.62400000000002</v>
      </c>
      <c r="F54" s="248"/>
      <c r="G54" s="251">
        <v>54.783999999999999</v>
      </c>
      <c r="H54" s="250">
        <v>1.05</v>
      </c>
      <c r="I54" s="250">
        <v>1.05</v>
      </c>
      <c r="J54" s="250">
        <v>0.55000000000000004</v>
      </c>
      <c r="K54" s="250">
        <f>H54*I54*J54</f>
        <v>0.60637500000000011</v>
      </c>
      <c r="L54" s="240">
        <v>856</v>
      </c>
      <c r="M54" s="247">
        <v>1</v>
      </c>
      <c r="N54" s="247">
        <f>E54</f>
        <v>303.62400000000002</v>
      </c>
      <c r="O54" s="250">
        <f>K54</f>
        <v>0.60637500000000011</v>
      </c>
    </row>
    <row r="55" spans="1:15" s="244" customFormat="1" ht="30" customHeight="1">
      <c r="A55" s="239">
        <v>9358</v>
      </c>
      <c r="B55" s="239" t="s">
        <v>14</v>
      </c>
      <c r="C55" s="239" t="s">
        <v>79</v>
      </c>
      <c r="D55" s="240">
        <v>240</v>
      </c>
      <c r="E55" s="247"/>
      <c r="F55" s="248"/>
      <c r="G55" s="251">
        <v>184.8</v>
      </c>
      <c r="H55" s="250"/>
      <c r="I55" s="250"/>
      <c r="J55" s="250"/>
      <c r="K55" s="250"/>
      <c r="L55" s="240">
        <v>240</v>
      </c>
      <c r="M55" s="247"/>
      <c r="N55" s="247"/>
      <c r="O55" s="250"/>
    </row>
    <row r="56" spans="1:15" s="244" customFormat="1" ht="30" customHeight="1">
      <c r="A56" s="239">
        <v>9358</v>
      </c>
      <c r="B56" s="239" t="s">
        <v>14</v>
      </c>
      <c r="C56" s="239" t="s">
        <v>80</v>
      </c>
      <c r="D56" s="240">
        <v>240</v>
      </c>
      <c r="E56" s="247"/>
      <c r="F56" s="248"/>
      <c r="G56" s="251">
        <v>8.4</v>
      </c>
      <c r="H56" s="250"/>
      <c r="I56" s="250"/>
      <c r="J56" s="250"/>
      <c r="K56" s="250"/>
      <c r="L56" s="240">
        <v>240</v>
      </c>
      <c r="M56" s="247"/>
      <c r="N56" s="247"/>
      <c r="O56" s="250"/>
    </row>
    <row r="57" spans="1:15" s="244" customFormat="1" ht="30" customHeight="1">
      <c r="A57" s="239">
        <v>9358</v>
      </c>
      <c r="B57" s="239" t="s">
        <v>14</v>
      </c>
      <c r="C57" s="239" t="s">
        <v>81</v>
      </c>
      <c r="D57" s="240">
        <v>376</v>
      </c>
      <c r="E57" s="163"/>
      <c r="F57" s="251"/>
      <c r="G57" s="251">
        <v>5.64</v>
      </c>
      <c r="H57" s="167"/>
      <c r="I57" s="167"/>
      <c r="J57" s="167"/>
      <c r="K57" s="167"/>
      <c r="L57" s="240">
        <v>376</v>
      </c>
      <c r="M57" s="163"/>
      <c r="N57" s="163"/>
      <c r="O57" s="167"/>
    </row>
    <row r="58" spans="1:15" s="126" customFormat="1" ht="30" customHeight="1">
      <c r="A58" s="110">
        <v>9358</v>
      </c>
      <c r="B58" s="110" t="s">
        <v>14</v>
      </c>
      <c r="C58" s="110" t="s">
        <v>64</v>
      </c>
      <c r="D58" s="113">
        <v>308</v>
      </c>
      <c r="E58" s="200">
        <f>G58+G59+G60+45</f>
        <v>182.67599999999999</v>
      </c>
      <c r="F58" s="123"/>
      <c r="G58" s="123">
        <v>113.96</v>
      </c>
      <c r="H58" s="201">
        <v>0.68</v>
      </c>
      <c r="I58" s="201">
        <v>0.68</v>
      </c>
      <c r="J58" s="201">
        <v>0.54</v>
      </c>
      <c r="K58" s="201">
        <v>0.25</v>
      </c>
      <c r="L58" s="113">
        <v>308</v>
      </c>
      <c r="M58" s="200">
        <v>1</v>
      </c>
      <c r="N58" s="200">
        <f>E58*M58</f>
        <v>182.67599999999999</v>
      </c>
      <c r="O58" s="201">
        <v>0.25</v>
      </c>
    </row>
    <row r="59" spans="1:15" s="126" customFormat="1" ht="30" customHeight="1">
      <c r="A59" s="110">
        <v>9358</v>
      </c>
      <c r="B59" s="110" t="s">
        <v>14</v>
      </c>
      <c r="C59" s="110" t="s">
        <v>65</v>
      </c>
      <c r="D59" s="113">
        <v>308</v>
      </c>
      <c r="E59" s="200"/>
      <c r="F59" s="123"/>
      <c r="G59" s="123">
        <v>9.8559999999999999</v>
      </c>
      <c r="H59" s="201"/>
      <c r="I59" s="201"/>
      <c r="J59" s="201"/>
      <c r="K59" s="201"/>
      <c r="L59" s="113">
        <v>308</v>
      </c>
      <c r="M59" s="200"/>
      <c r="N59" s="200"/>
      <c r="O59" s="201"/>
    </row>
    <row r="60" spans="1:15" s="126" customFormat="1" ht="30" customHeight="1">
      <c r="A60" s="110">
        <v>9358</v>
      </c>
      <c r="B60" s="110" t="s">
        <v>14</v>
      </c>
      <c r="C60" s="110" t="s">
        <v>66</v>
      </c>
      <c r="D60" s="113">
        <v>308</v>
      </c>
      <c r="E60" s="200"/>
      <c r="F60" s="123"/>
      <c r="G60" s="123">
        <v>13.86</v>
      </c>
      <c r="H60" s="201"/>
      <c r="I60" s="201"/>
      <c r="J60" s="201"/>
      <c r="K60" s="201"/>
      <c r="L60" s="113">
        <v>308</v>
      </c>
      <c r="M60" s="200"/>
      <c r="N60" s="200"/>
      <c r="O60" s="201"/>
    </row>
    <row r="61" spans="1:15" s="126" customFormat="1" ht="30" customHeight="1">
      <c r="A61" s="110">
        <v>9358</v>
      </c>
      <c r="B61" s="110" t="s">
        <v>14</v>
      </c>
      <c r="C61" s="110" t="s">
        <v>67</v>
      </c>
      <c r="D61" s="113">
        <v>684</v>
      </c>
      <c r="E61" s="113">
        <f>G61+50</f>
        <v>453.56</v>
      </c>
      <c r="F61" s="123"/>
      <c r="G61" s="123">
        <v>403.56</v>
      </c>
      <c r="H61" s="16">
        <v>1.02</v>
      </c>
      <c r="I61" s="16">
        <v>0.86</v>
      </c>
      <c r="J61" s="16">
        <v>0.61</v>
      </c>
      <c r="K61" s="16">
        <f>H61*I61*J61</f>
        <v>0.53509200000000001</v>
      </c>
      <c r="L61" s="113">
        <v>684</v>
      </c>
      <c r="M61" s="113">
        <v>1</v>
      </c>
      <c r="N61" s="113">
        <f>M61*E61</f>
        <v>453.56</v>
      </c>
      <c r="O61" s="16">
        <f>K61*M61</f>
        <v>0.53509200000000001</v>
      </c>
    </row>
    <row r="62" spans="1:15" s="129" customFormat="1" ht="28.8">
      <c r="A62" s="110">
        <v>9358</v>
      </c>
      <c r="B62" s="110" t="s">
        <v>14</v>
      </c>
      <c r="C62" s="110" t="s">
        <v>68</v>
      </c>
      <c r="D62" s="110">
        <v>94</v>
      </c>
      <c r="E62" s="131">
        <v>172</v>
      </c>
      <c r="F62" s="107"/>
      <c r="G62" s="131">
        <v>142</v>
      </c>
      <c r="H62" s="135">
        <v>1.33</v>
      </c>
      <c r="I62" s="135">
        <v>0.56999999999999995</v>
      </c>
      <c r="J62" s="135">
        <v>0.53</v>
      </c>
      <c r="K62" s="135">
        <v>0.4</v>
      </c>
      <c r="L62" s="110">
        <v>94</v>
      </c>
      <c r="M62" s="204">
        <v>1</v>
      </c>
      <c r="N62" s="131">
        <v>172</v>
      </c>
      <c r="O62" s="135">
        <v>0.4</v>
      </c>
    </row>
    <row r="63" spans="1:15" s="129" customFormat="1" ht="28.8">
      <c r="A63" s="110">
        <v>9358</v>
      </c>
      <c r="B63" s="110" t="s">
        <v>14</v>
      </c>
      <c r="C63" s="110" t="s">
        <v>69</v>
      </c>
      <c r="D63" s="110">
        <v>94</v>
      </c>
      <c r="E63" s="202"/>
      <c r="F63" s="114"/>
      <c r="G63" s="202"/>
      <c r="H63" s="203"/>
      <c r="I63" s="203"/>
      <c r="J63" s="203"/>
      <c r="K63" s="203"/>
      <c r="L63" s="110">
        <v>94</v>
      </c>
      <c r="M63" s="205"/>
      <c r="N63" s="202"/>
      <c r="O63" s="203"/>
    </row>
    <row r="64" spans="1:15" s="129" customFormat="1" ht="28.8">
      <c r="A64" s="110">
        <v>9358</v>
      </c>
      <c r="B64" s="110" t="s">
        <v>14</v>
      </c>
      <c r="C64" s="110" t="s">
        <v>70</v>
      </c>
      <c r="D64" s="110">
        <v>34</v>
      </c>
      <c r="E64" s="202"/>
      <c r="F64" s="114"/>
      <c r="G64" s="202"/>
      <c r="H64" s="203"/>
      <c r="I64" s="203"/>
      <c r="J64" s="203"/>
      <c r="K64" s="203"/>
      <c r="L64" s="110">
        <v>34</v>
      </c>
      <c r="M64" s="205"/>
      <c r="N64" s="202"/>
      <c r="O64" s="203"/>
    </row>
    <row r="65" spans="1:16" s="129" customFormat="1" ht="28.8">
      <c r="A65" s="110">
        <v>9358</v>
      </c>
      <c r="B65" s="110" t="s">
        <v>14</v>
      </c>
      <c r="C65" s="110" t="s">
        <v>71</v>
      </c>
      <c r="D65" s="110">
        <v>34</v>
      </c>
      <c r="E65" s="202"/>
      <c r="F65" s="114"/>
      <c r="G65" s="202"/>
      <c r="H65" s="203"/>
      <c r="I65" s="203"/>
      <c r="J65" s="203"/>
      <c r="K65" s="203"/>
      <c r="L65" s="110">
        <v>34</v>
      </c>
      <c r="M65" s="205"/>
      <c r="N65" s="202"/>
      <c r="O65" s="203"/>
    </row>
    <row r="66" spans="1:16" s="129" customFormat="1" ht="28.8">
      <c r="A66" s="110">
        <v>9358</v>
      </c>
      <c r="B66" s="110" t="s">
        <v>14</v>
      </c>
      <c r="C66" s="110" t="s">
        <v>72</v>
      </c>
      <c r="D66" s="110">
        <v>15</v>
      </c>
      <c r="E66" s="202"/>
      <c r="F66" s="114"/>
      <c r="G66" s="202"/>
      <c r="H66" s="203"/>
      <c r="I66" s="203"/>
      <c r="J66" s="203"/>
      <c r="K66" s="203"/>
      <c r="L66" s="110">
        <v>15</v>
      </c>
      <c r="M66" s="205"/>
      <c r="N66" s="202"/>
      <c r="O66" s="203"/>
    </row>
    <row r="67" spans="1:16" s="129" customFormat="1" ht="28.8">
      <c r="A67" s="110">
        <v>9358</v>
      </c>
      <c r="B67" s="110" t="s">
        <v>14</v>
      </c>
      <c r="C67" s="110" t="s">
        <v>73</v>
      </c>
      <c r="D67" s="110">
        <v>15</v>
      </c>
      <c r="E67" s="202"/>
      <c r="F67" s="114"/>
      <c r="G67" s="202"/>
      <c r="H67" s="203"/>
      <c r="I67" s="203"/>
      <c r="J67" s="203"/>
      <c r="K67" s="203"/>
      <c r="L67" s="110">
        <v>15</v>
      </c>
      <c r="M67" s="205"/>
      <c r="N67" s="202"/>
      <c r="O67" s="203"/>
    </row>
    <row r="68" spans="1:16" s="129" customFormat="1" ht="28.8">
      <c r="A68" s="110">
        <v>9358</v>
      </c>
      <c r="B68" s="110" t="s">
        <v>14</v>
      </c>
      <c r="C68" s="110" t="s">
        <v>74</v>
      </c>
      <c r="D68" s="110">
        <v>25</v>
      </c>
      <c r="E68" s="202"/>
      <c r="F68" s="114"/>
      <c r="G68" s="202"/>
      <c r="H68" s="203"/>
      <c r="I68" s="203"/>
      <c r="J68" s="203"/>
      <c r="K68" s="203"/>
      <c r="L68" s="110">
        <v>25</v>
      </c>
      <c r="M68" s="205"/>
      <c r="N68" s="202"/>
      <c r="O68" s="203"/>
    </row>
    <row r="69" spans="1:16" s="129" customFormat="1" ht="28.8">
      <c r="A69" s="110">
        <v>9358</v>
      </c>
      <c r="B69" s="110" t="s">
        <v>14</v>
      </c>
      <c r="C69" s="110" t="s">
        <v>75</v>
      </c>
      <c r="D69" s="110">
        <v>25</v>
      </c>
      <c r="E69" s="202"/>
      <c r="F69" s="114"/>
      <c r="G69" s="202"/>
      <c r="H69" s="203"/>
      <c r="I69" s="203"/>
      <c r="J69" s="203"/>
      <c r="K69" s="203"/>
      <c r="L69" s="110">
        <v>25</v>
      </c>
      <c r="M69" s="205"/>
      <c r="N69" s="202"/>
      <c r="O69" s="203"/>
    </row>
    <row r="70" spans="1:16" s="129" customFormat="1" ht="28.8">
      <c r="A70" s="110">
        <v>9358</v>
      </c>
      <c r="B70" s="110" t="s">
        <v>14</v>
      </c>
      <c r="C70" s="110" t="s">
        <v>76</v>
      </c>
      <c r="D70" s="110">
        <v>3</v>
      </c>
      <c r="E70" s="202"/>
      <c r="F70" s="114"/>
      <c r="G70" s="202"/>
      <c r="H70" s="203"/>
      <c r="I70" s="203"/>
      <c r="J70" s="203"/>
      <c r="K70" s="203"/>
      <c r="L70" s="110">
        <v>3</v>
      </c>
      <c r="M70" s="205"/>
      <c r="N70" s="202"/>
      <c r="O70" s="203"/>
    </row>
    <row r="71" spans="1:16" s="129" customFormat="1" ht="28.8">
      <c r="A71" s="110">
        <v>9358</v>
      </c>
      <c r="B71" s="110" t="s">
        <v>14</v>
      </c>
      <c r="C71" s="110" t="s">
        <v>77</v>
      </c>
      <c r="D71" s="110">
        <v>3</v>
      </c>
      <c r="E71" s="132"/>
      <c r="F71" s="81"/>
      <c r="G71" s="132"/>
      <c r="H71" s="136"/>
      <c r="I71" s="136"/>
      <c r="J71" s="136"/>
      <c r="K71" s="136"/>
      <c r="L71" s="110">
        <v>3</v>
      </c>
      <c r="M71" s="206"/>
      <c r="N71" s="132"/>
      <c r="O71" s="136"/>
    </row>
    <row r="72" spans="1:16" s="126" customFormat="1" ht="30" customHeight="1">
      <c r="A72" s="110">
        <v>9358</v>
      </c>
      <c r="B72" s="110" t="s">
        <v>14</v>
      </c>
      <c r="C72" s="110" t="s">
        <v>78</v>
      </c>
      <c r="D72" s="113">
        <v>684</v>
      </c>
      <c r="E72" s="202">
        <f>SUM(G72:G75)+50</f>
        <v>249.73600000000002</v>
      </c>
      <c r="F72" s="130"/>
      <c r="G72" s="124">
        <v>43.776000000000003</v>
      </c>
      <c r="H72" s="203">
        <v>1.05</v>
      </c>
      <c r="I72" s="203">
        <v>1.05</v>
      </c>
      <c r="J72" s="203">
        <v>0.55000000000000004</v>
      </c>
      <c r="K72" s="203">
        <f>H72*I72*J72</f>
        <v>0.60637500000000011</v>
      </c>
      <c r="L72" s="113">
        <v>684</v>
      </c>
      <c r="M72" s="202">
        <v>1</v>
      </c>
      <c r="N72" s="202">
        <f>E72</f>
        <v>249.73600000000002</v>
      </c>
      <c r="O72" s="203">
        <f>K72</f>
        <v>0.60637500000000011</v>
      </c>
    </row>
    <row r="73" spans="1:16" s="126" customFormat="1" ht="30" customHeight="1">
      <c r="A73" s="110">
        <v>9358</v>
      </c>
      <c r="B73" s="110" t="s">
        <v>14</v>
      </c>
      <c r="C73" s="110" t="s">
        <v>79</v>
      </c>
      <c r="D73" s="113">
        <v>188</v>
      </c>
      <c r="E73" s="202"/>
      <c r="F73" s="130"/>
      <c r="G73" s="124">
        <v>144.76</v>
      </c>
      <c r="H73" s="203"/>
      <c r="I73" s="203"/>
      <c r="J73" s="203"/>
      <c r="K73" s="203"/>
      <c r="L73" s="113">
        <v>188</v>
      </c>
      <c r="M73" s="202"/>
      <c r="N73" s="202"/>
      <c r="O73" s="203"/>
    </row>
    <row r="74" spans="1:16" s="126" customFormat="1" ht="30" customHeight="1">
      <c r="A74" s="110">
        <v>9358</v>
      </c>
      <c r="B74" s="110" t="s">
        <v>14</v>
      </c>
      <c r="C74" s="110" t="s">
        <v>80</v>
      </c>
      <c r="D74" s="113">
        <v>188</v>
      </c>
      <c r="E74" s="202"/>
      <c r="F74" s="130"/>
      <c r="G74" s="124">
        <v>6.580000000000001</v>
      </c>
      <c r="H74" s="203"/>
      <c r="I74" s="203"/>
      <c r="J74" s="203"/>
      <c r="K74" s="203"/>
      <c r="L74" s="113">
        <v>188</v>
      </c>
      <c r="M74" s="202"/>
      <c r="N74" s="202"/>
      <c r="O74" s="203"/>
    </row>
    <row r="75" spans="1:16" s="126" customFormat="1" ht="30" customHeight="1">
      <c r="A75" s="110">
        <v>9358</v>
      </c>
      <c r="B75" s="110" t="s">
        <v>14</v>
      </c>
      <c r="C75" s="110" t="s">
        <v>81</v>
      </c>
      <c r="D75" s="113">
        <v>308</v>
      </c>
      <c r="E75" s="132"/>
      <c r="F75" s="124"/>
      <c r="G75" s="124">
        <v>4.62</v>
      </c>
      <c r="H75" s="136"/>
      <c r="I75" s="136"/>
      <c r="J75" s="136"/>
      <c r="K75" s="136"/>
      <c r="L75" s="113">
        <v>308</v>
      </c>
      <c r="M75" s="132"/>
      <c r="N75" s="132"/>
      <c r="O75" s="136"/>
    </row>
    <row r="76" spans="1:16">
      <c r="A76" s="87">
        <v>9258</v>
      </c>
      <c r="B76" s="87" t="s">
        <v>14</v>
      </c>
      <c r="C76" s="87" t="s">
        <v>62</v>
      </c>
      <c r="D76" s="6">
        <v>3000</v>
      </c>
      <c r="E76" s="6">
        <v>215</v>
      </c>
      <c r="F76" s="5">
        <v>35</v>
      </c>
      <c r="G76" s="6">
        <v>180</v>
      </c>
      <c r="H76" s="6">
        <v>1.1000000000000001</v>
      </c>
      <c r="I76" s="6">
        <v>1.02</v>
      </c>
      <c r="J76" s="6">
        <v>1.2342000000000002</v>
      </c>
      <c r="K76" s="4">
        <f t="shared" ref="K76" si="6">H76*I76*J76</f>
        <v>1.3847724000000003</v>
      </c>
      <c r="L76" s="64">
        <v>6000</v>
      </c>
      <c r="M76" s="61">
        <f>L76/D76</f>
        <v>2</v>
      </c>
      <c r="N76" s="61">
        <f>M76*E76</f>
        <v>430</v>
      </c>
      <c r="O76" s="62">
        <f>M76*K76</f>
        <v>2.7695448000000007</v>
      </c>
      <c r="P76" t="s">
        <v>63</v>
      </c>
    </row>
    <row r="77" spans="1:16">
      <c r="L77">
        <f>SUM(L2:L76)</f>
        <v>22406</v>
      </c>
      <c r="M77">
        <f t="shared" ref="M77:O77" si="7">SUM(M2:M76)</f>
        <v>46.733999999999995</v>
      </c>
      <c r="N77">
        <f t="shared" si="7"/>
        <v>21901.058666666675</v>
      </c>
      <c r="O77">
        <f t="shared" si="7"/>
        <v>21.481333799999998</v>
      </c>
    </row>
  </sheetData>
  <mergeCells count="75">
    <mergeCell ref="O62:O71"/>
    <mergeCell ref="E72:E75"/>
    <mergeCell ref="H72:H75"/>
    <mergeCell ref="I72:I75"/>
    <mergeCell ref="J72:J75"/>
    <mergeCell ref="K72:K75"/>
    <mergeCell ref="M72:M75"/>
    <mergeCell ref="N72:N75"/>
    <mergeCell ref="O72:O75"/>
    <mergeCell ref="M58:M60"/>
    <mergeCell ref="N58:N60"/>
    <mergeCell ref="O58:O60"/>
    <mergeCell ref="E62:E71"/>
    <mergeCell ref="G62:G71"/>
    <mergeCell ref="H62:H71"/>
    <mergeCell ref="I62:I71"/>
    <mergeCell ref="J62:J71"/>
    <mergeCell ref="K62:K71"/>
    <mergeCell ref="M62:M71"/>
    <mergeCell ref="E58:E60"/>
    <mergeCell ref="H58:H60"/>
    <mergeCell ref="I58:I60"/>
    <mergeCell ref="J58:J60"/>
    <mergeCell ref="K58:K60"/>
    <mergeCell ref="N62:N71"/>
    <mergeCell ref="O44:O53"/>
    <mergeCell ref="E54:E57"/>
    <mergeCell ref="H54:H57"/>
    <mergeCell ref="I54:I57"/>
    <mergeCell ref="J54:J57"/>
    <mergeCell ref="K54:K57"/>
    <mergeCell ref="M54:M57"/>
    <mergeCell ref="N54:N57"/>
    <mergeCell ref="O54:O57"/>
    <mergeCell ref="M40:M42"/>
    <mergeCell ref="N40:N42"/>
    <mergeCell ref="O40:O42"/>
    <mergeCell ref="E44:E53"/>
    <mergeCell ref="G44:G53"/>
    <mergeCell ref="H44:H53"/>
    <mergeCell ref="I44:I53"/>
    <mergeCell ref="J44:J53"/>
    <mergeCell ref="K44:K53"/>
    <mergeCell ref="M44:M53"/>
    <mergeCell ref="E40:E42"/>
    <mergeCell ref="H40:H42"/>
    <mergeCell ref="I40:I42"/>
    <mergeCell ref="J40:J42"/>
    <mergeCell ref="K40:K42"/>
    <mergeCell ref="N44:N53"/>
    <mergeCell ref="O26:O35"/>
    <mergeCell ref="E36:E39"/>
    <mergeCell ref="H36:H39"/>
    <mergeCell ref="I36:I39"/>
    <mergeCell ref="J36:J39"/>
    <mergeCell ref="K36:K39"/>
    <mergeCell ref="M36:M39"/>
    <mergeCell ref="N36:N39"/>
    <mergeCell ref="O36:O39"/>
    <mergeCell ref="M22:M24"/>
    <mergeCell ref="N22:N24"/>
    <mergeCell ref="O22:O24"/>
    <mergeCell ref="E26:E35"/>
    <mergeCell ref="G26:G35"/>
    <mergeCell ref="H26:H35"/>
    <mergeCell ref="I26:I35"/>
    <mergeCell ref="J26:J35"/>
    <mergeCell ref="K26:K35"/>
    <mergeCell ref="M26:M35"/>
    <mergeCell ref="E22:E24"/>
    <mergeCell ref="H22:H24"/>
    <mergeCell ref="I22:I24"/>
    <mergeCell ref="J22:J24"/>
    <mergeCell ref="K22:K24"/>
    <mergeCell ref="N26:N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44D3-EFD6-410B-9D29-0067F7D0594B}">
  <dimension ref="A1:P66"/>
  <sheetViews>
    <sheetView tabSelected="1" topLeftCell="A57" zoomScale="85" zoomScaleNormal="85" workbookViewId="0">
      <selection activeCell="M64" sqref="M64"/>
    </sheetView>
  </sheetViews>
  <sheetFormatPr defaultRowHeight="14.4"/>
  <cols>
    <col min="1" max="1" width="11.6640625" bestFit="1" customWidth="1"/>
    <col min="3" max="3" width="23.33203125" bestFit="1" customWidth="1"/>
  </cols>
  <sheetData>
    <row r="1" spans="1:16" ht="41.4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3" t="s">
        <v>10</v>
      </c>
      <c r="M1" s="2" t="s">
        <v>11</v>
      </c>
      <c r="N1" s="2" t="s">
        <v>12</v>
      </c>
      <c r="O1" s="18" t="s">
        <v>13</v>
      </c>
    </row>
    <row r="2" spans="1:16" s="90" customFormat="1">
      <c r="A2" s="88">
        <v>9355</v>
      </c>
      <c r="B2" s="88" t="s">
        <v>15</v>
      </c>
      <c r="C2" s="88" t="s">
        <v>17</v>
      </c>
      <c r="D2" s="88">
        <v>30</v>
      </c>
      <c r="E2" s="88">
        <v>669</v>
      </c>
      <c r="F2" s="88">
        <f t="shared" ref="F2:F11" si="0">E2-G2</f>
        <v>53</v>
      </c>
      <c r="G2" s="88">
        <v>616</v>
      </c>
      <c r="H2" s="88">
        <v>1</v>
      </c>
      <c r="I2" s="88">
        <v>0.9</v>
      </c>
      <c r="J2" s="88">
        <v>0.73</v>
      </c>
      <c r="K2" s="88">
        <f t="shared" ref="K2:K7" si="1">H2*I2*J2</f>
        <v>0.65700000000000003</v>
      </c>
      <c r="L2" s="88">
        <v>6</v>
      </c>
      <c r="M2" s="89">
        <f t="shared" ref="M2:M7" si="2">L2/D2</f>
        <v>0.2</v>
      </c>
      <c r="N2" s="89">
        <f t="shared" ref="N2:N7" si="3">E2*M2</f>
        <v>133.80000000000001</v>
      </c>
      <c r="O2" s="89">
        <f t="shared" ref="O2:O7" si="4">M2*K2</f>
        <v>0.13140000000000002</v>
      </c>
      <c r="P2"/>
    </row>
    <row r="3" spans="1:16" s="90" customFormat="1">
      <c r="A3" s="88">
        <v>9355</v>
      </c>
      <c r="B3" s="88" t="s">
        <v>15</v>
      </c>
      <c r="C3" s="88" t="s">
        <v>18</v>
      </c>
      <c r="D3" s="88">
        <v>30</v>
      </c>
      <c r="E3" s="88">
        <v>669</v>
      </c>
      <c r="F3" s="88">
        <f t="shared" si="0"/>
        <v>53</v>
      </c>
      <c r="G3" s="88">
        <v>616</v>
      </c>
      <c r="H3" s="88">
        <v>1</v>
      </c>
      <c r="I3" s="88">
        <v>0.9</v>
      </c>
      <c r="J3" s="88">
        <v>0.73</v>
      </c>
      <c r="K3" s="88">
        <f t="shared" si="1"/>
        <v>0.65700000000000003</v>
      </c>
      <c r="L3" s="88">
        <v>6</v>
      </c>
      <c r="M3" s="89">
        <f t="shared" si="2"/>
        <v>0.2</v>
      </c>
      <c r="N3" s="89">
        <f t="shared" si="3"/>
        <v>133.80000000000001</v>
      </c>
      <c r="O3" s="89">
        <f t="shared" si="4"/>
        <v>0.13140000000000002</v>
      </c>
      <c r="P3"/>
    </row>
    <row r="4" spans="1:16" s="90" customFormat="1">
      <c r="A4" s="88">
        <v>9355</v>
      </c>
      <c r="B4" s="88" t="s">
        <v>15</v>
      </c>
      <c r="C4" s="88" t="s">
        <v>19</v>
      </c>
      <c r="D4" s="88">
        <v>30</v>
      </c>
      <c r="E4" s="88">
        <v>669</v>
      </c>
      <c r="F4" s="88">
        <f t="shared" si="0"/>
        <v>53</v>
      </c>
      <c r="G4" s="88">
        <v>616</v>
      </c>
      <c r="H4" s="88">
        <v>1</v>
      </c>
      <c r="I4" s="88">
        <v>0.9</v>
      </c>
      <c r="J4" s="88">
        <v>0.73</v>
      </c>
      <c r="K4" s="88">
        <f t="shared" si="1"/>
        <v>0.65700000000000003</v>
      </c>
      <c r="L4" s="88">
        <v>6</v>
      </c>
      <c r="M4" s="89">
        <f t="shared" si="2"/>
        <v>0.2</v>
      </c>
      <c r="N4" s="89">
        <f t="shared" si="3"/>
        <v>133.80000000000001</v>
      </c>
      <c r="O4" s="89">
        <f t="shared" si="4"/>
        <v>0.13140000000000002</v>
      </c>
      <c r="P4"/>
    </row>
    <row r="5" spans="1:16" s="46" customFormat="1">
      <c r="A5" s="47">
        <v>9355</v>
      </c>
      <c r="B5" s="47" t="s">
        <v>15</v>
      </c>
      <c r="C5" s="47" t="s">
        <v>17</v>
      </c>
      <c r="D5" s="47">
        <v>30</v>
      </c>
      <c r="E5" s="47">
        <v>669</v>
      </c>
      <c r="F5" s="47">
        <f t="shared" si="0"/>
        <v>53</v>
      </c>
      <c r="G5" s="47">
        <v>616</v>
      </c>
      <c r="H5" s="47">
        <v>1</v>
      </c>
      <c r="I5" s="47">
        <v>0.9</v>
      </c>
      <c r="J5" s="47">
        <v>0.73</v>
      </c>
      <c r="K5" s="47">
        <f t="shared" si="1"/>
        <v>0.65700000000000003</v>
      </c>
      <c r="L5" s="47">
        <v>6</v>
      </c>
      <c r="M5" s="48">
        <f t="shared" si="2"/>
        <v>0.2</v>
      </c>
      <c r="N5" s="48">
        <f t="shared" si="3"/>
        <v>133.80000000000001</v>
      </c>
      <c r="O5" s="48">
        <f t="shared" si="4"/>
        <v>0.13140000000000002</v>
      </c>
      <c r="P5"/>
    </row>
    <row r="6" spans="1:16" s="46" customFormat="1">
      <c r="A6" s="47">
        <v>9355</v>
      </c>
      <c r="B6" s="47" t="s">
        <v>15</v>
      </c>
      <c r="C6" s="47" t="s">
        <v>18</v>
      </c>
      <c r="D6" s="47">
        <v>30</v>
      </c>
      <c r="E6" s="47">
        <v>669</v>
      </c>
      <c r="F6" s="47">
        <f t="shared" si="0"/>
        <v>53</v>
      </c>
      <c r="G6" s="47">
        <v>616</v>
      </c>
      <c r="H6" s="47">
        <v>1</v>
      </c>
      <c r="I6" s="47">
        <v>0.9</v>
      </c>
      <c r="J6" s="47">
        <v>0.73</v>
      </c>
      <c r="K6" s="47">
        <f t="shared" si="1"/>
        <v>0.65700000000000003</v>
      </c>
      <c r="L6" s="47">
        <v>6</v>
      </c>
      <c r="M6" s="48">
        <f t="shared" si="2"/>
        <v>0.2</v>
      </c>
      <c r="N6" s="48">
        <f t="shared" si="3"/>
        <v>133.80000000000001</v>
      </c>
      <c r="O6" s="48">
        <f t="shared" si="4"/>
        <v>0.13140000000000002</v>
      </c>
      <c r="P6"/>
    </row>
    <row r="7" spans="1:16" s="46" customFormat="1">
      <c r="A7" s="47">
        <v>9355</v>
      </c>
      <c r="B7" s="47" t="s">
        <v>15</v>
      </c>
      <c r="C7" s="47" t="s">
        <v>19</v>
      </c>
      <c r="D7" s="47">
        <v>30</v>
      </c>
      <c r="E7" s="47">
        <v>669</v>
      </c>
      <c r="F7" s="47">
        <f t="shared" si="0"/>
        <v>53</v>
      </c>
      <c r="G7" s="47">
        <v>616</v>
      </c>
      <c r="H7" s="47">
        <v>1</v>
      </c>
      <c r="I7" s="47">
        <v>0.9</v>
      </c>
      <c r="J7" s="47">
        <v>0.73</v>
      </c>
      <c r="K7" s="47">
        <f t="shared" si="1"/>
        <v>0.65700000000000003</v>
      </c>
      <c r="L7" s="47">
        <v>6</v>
      </c>
      <c r="M7" s="48">
        <f t="shared" si="2"/>
        <v>0.2</v>
      </c>
      <c r="N7" s="48">
        <f t="shared" si="3"/>
        <v>133.80000000000001</v>
      </c>
      <c r="O7" s="48">
        <f t="shared" si="4"/>
        <v>0.13140000000000002</v>
      </c>
      <c r="P7"/>
    </row>
    <row r="8" spans="1:16" s="17" customFormat="1">
      <c r="A8" s="20">
        <v>9355</v>
      </c>
      <c r="B8" s="20" t="s">
        <v>15</v>
      </c>
      <c r="C8" s="20" t="s">
        <v>16</v>
      </c>
      <c r="D8" s="20">
        <v>30</v>
      </c>
      <c r="E8" s="20">
        <v>669</v>
      </c>
      <c r="F8" s="20">
        <f t="shared" si="0"/>
        <v>53</v>
      </c>
      <c r="G8" s="20">
        <v>616</v>
      </c>
      <c r="H8" s="20">
        <v>1</v>
      </c>
      <c r="I8" s="20">
        <v>0.9</v>
      </c>
      <c r="J8" s="20">
        <v>0.73</v>
      </c>
      <c r="K8" s="20">
        <f t="shared" ref="K8:K26" si="5">H8*I8*J8</f>
        <v>0.65700000000000003</v>
      </c>
      <c r="L8" s="20">
        <v>102</v>
      </c>
      <c r="M8" s="23">
        <f t="shared" ref="M8:M26" si="6">L8/D8</f>
        <v>3.4</v>
      </c>
      <c r="N8" s="23">
        <f t="shared" ref="N8:N26" si="7">E8*M8</f>
        <v>2274.6</v>
      </c>
      <c r="O8" s="23">
        <f>M8*K8</f>
        <v>2.2338</v>
      </c>
      <c r="P8"/>
    </row>
    <row r="9" spans="1:16" s="17" customFormat="1">
      <c r="A9" s="20">
        <v>9355</v>
      </c>
      <c r="B9" s="20" t="s">
        <v>15</v>
      </c>
      <c r="C9" s="20" t="s">
        <v>17</v>
      </c>
      <c r="D9" s="20">
        <v>30</v>
      </c>
      <c r="E9" s="20">
        <v>669</v>
      </c>
      <c r="F9" s="20">
        <f t="shared" si="0"/>
        <v>53</v>
      </c>
      <c r="G9" s="20">
        <v>616</v>
      </c>
      <c r="H9" s="20">
        <v>1</v>
      </c>
      <c r="I9" s="20">
        <v>0.9</v>
      </c>
      <c r="J9" s="20">
        <v>0.73</v>
      </c>
      <c r="K9" s="20">
        <f t="shared" si="5"/>
        <v>0.65700000000000003</v>
      </c>
      <c r="L9" s="20">
        <v>6</v>
      </c>
      <c r="M9" s="23">
        <f t="shared" si="6"/>
        <v>0.2</v>
      </c>
      <c r="N9" s="23">
        <f t="shared" si="7"/>
        <v>133.80000000000001</v>
      </c>
      <c r="O9" s="23">
        <f t="shared" ref="O9:O15" si="8">M9*K9</f>
        <v>0.13140000000000002</v>
      </c>
      <c r="P9"/>
    </row>
    <row r="10" spans="1:16" s="17" customFormat="1">
      <c r="A10" s="20">
        <v>9355</v>
      </c>
      <c r="B10" s="20" t="s">
        <v>15</v>
      </c>
      <c r="C10" s="20" t="s">
        <v>18</v>
      </c>
      <c r="D10" s="20">
        <v>30</v>
      </c>
      <c r="E10" s="20">
        <v>669</v>
      </c>
      <c r="F10" s="20">
        <f t="shared" si="0"/>
        <v>53</v>
      </c>
      <c r="G10" s="20">
        <v>616</v>
      </c>
      <c r="H10" s="20">
        <v>1</v>
      </c>
      <c r="I10" s="20">
        <v>0.9</v>
      </c>
      <c r="J10" s="20">
        <v>0.73</v>
      </c>
      <c r="K10" s="20">
        <f t="shared" si="5"/>
        <v>0.65700000000000003</v>
      </c>
      <c r="L10" s="20">
        <v>6</v>
      </c>
      <c r="M10" s="23">
        <f t="shared" si="6"/>
        <v>0.2</v>
      </c>
      <c r="N10" s="23">
        <f t="shared" si="7"/>
        <v>133.80000000000001</v>
      </c>
      <c r="O10" s="23">
        <f t="shared" si="8"/>
        <v>0.13140000000000002</v>
      </c>
      <c r="P10"/>
    </row>
    <row r="11" spans="1:16" s="17" customFormat="1">
      <c r="A11" s="20">
        <v>9355</v>
      </c>
      <c r="B11" s="20" t="s">
        <v>15</v>
      </c>
      <c r="C11" s="20" t="s">
        <v>19</v>
      </c>
      <c r="D11" s="20">
        <v>30</v>
      </c>
      <c r="E11" s="20">
        <v>669</v>
      </c>
      <c r="F11" s="20">
        <f t="shared" si="0"/>
        <v>53</v>
      </c>
      <c r="G11" s="20">
        <v>616</v>
      </c>
      <c r="H11" s="20">
        <v>1</v>
      </c>
      <c r="I11" s="20">
        <v>0.9</v>
      </c>
      <c r="J11" s="20">
        <v>0.73</v>
      </c>
      <c r="K11" s="20">
        <f t="shared" si="5"/>
        <v>0.65700000000000003</v>
      </c>
      <c r="L11" s="20">
        <v>6</v>
      </c>
      <c r="M11" s="23">
        <f t="shared" si="6"/>
        <v>0.2</v>
      </c>
      <c r="N11" s="23">
        <f t="shared" si="7"/>
        <v>133.80000000000001</v>
      </c>
      <c r="O11" s="23">
        <f t="shared" si="8"/>
        <v>0.13140000000000002</v>
      </c>
      <c r="P11"/>
    </row>
    <row r="12" spans="1:16" s="17" customFormat="1">
      <c r="A12" s="20">
        <v>9355</v>
      </c>
      <c r="B12" s="20" t="s">
        <v>15</v>
      </c>
      <c r="C12" s="21" t="s">
        <v>27</v>
      </c>
      <c r="D12" s="30">
        <v>12</v>
      </c>
      <c r="E12" s="30">
        <v>435</v>
      </c>
      <c r="F12" s="30">
        <v>39</v>
      </c>
      <c r="G12" s="30">
        <v>396</v>
      </c>
      <c r="H12" s="30">
        <v>0.86</v>
      </c>
      <c r="I12" s="30">
        <v>0.56000000000000005</v>
      </c>
      <c r="J12" s="30">
        <v>0.51</v>
      </c>
      <c r="K12" s="31">
        <f t="shared" si="5"/>
        <v>0.24561600000000003</v>
      </c>
      <c r="L12" s="20">
        <v>54</v>
      </c>
      <c r="M12" s="23">
        <f t="shared" si="6"/>
        <v>4.5</v>
      </c>
      <c r="N12" s="23">
        <f t="shared" si="7"/>
        <v>1957.5</v>
      </c>
      <c r="O12" s="23">
        <f t="shared" si="8"/>
        <v>1.105272</v>
      </c>
      <c r="P12"/>
    </row>
    <row r="13" spans="1:16" s="17" customFormat="1">
      <c r="A13" s="20">
        <v>9355</v>
      </c>
      <c r="B13" s="20" t="s">
        <v>15</v>
      </c>
      <c r="C13" s="21" t="s">
        <v>28</v>
      </c>
      <c r="D13" s="30">
        <v>12</v>
      </c>
      <c r="E13" s="30">
        <v>520</v>
      </c>
      <c r="F13" s="30">
        <v>40</v>
      </c>
      <c r="G13" s="30">
        <v>480</v>
      </c>
      <c r="H13" s="30">
        <v>1.03</v>
      </c>
      <c r="I13" s="30">
        <v>0.56000000000000005</v>
      </c>
      <c r="J13" s="30">
        <v>0.51</v>
      </c>
      <c r="K13" s="31">
        <f t="shared" si="5"/>
        <v>0.29416800000000004</v>
      </c>
      <c r="L13" s="20">
        <v>17</v>
      </c>
      <c r="M13" s="23">
        <f t="shared" si="6"/>
        <v>1.4166666666666667</v>
      </c>
      <c r="N13" s="23">
        <f t="shared" si="7"/>
        <v>736.66666666666674</v>
      </c>
      <c r="O13" s="23">
        <f t="shared" si="8"/>
        <v>0.41673800000000005</v>
      </c>
      <c r="P13"/>
    </row>
    <row r="14" spans="1:16" s="17" customFormat="1">
      <c r="A14" s="20">
        <v>9355</v>
      </c>
      <c r="B14" s="20" t="s">
        <v>15</v>
      </c>
      <c r="C14" s="21" t="s">
        <v>29</v>
      </c>
      <c r="D14" s="30">
        <v>12</v>
      </c>
      <c r="E14" s="30">
        <v>596</v>
      </c>
      <c r="F14" s="30">
        <v>44</v>
      </c>
      <c r="G14" s="30">
        <v>552</v>
      </c>
      <c r="H14" s="30">
        <v>1.17</v>
      </c>
      <c r="I14" s="30">
        <v>0.56000000000000005</v>
      </c>
      <c r="J14" s="30">
        <v>0.51</v>
      </c>
      <c r="K14" s="31">
        <f t="shared" si="5"/>
        <v>0.334152</v>
      </c>
      <c r="L14" s="20">
        <v>17</v>
      </c>
      <c r="M14" s="23">
        <f t="shared" si="6"/>
        <v>1.4166666666666667</v>
      </c>
      <c r="N14" s="23">
        <f t="shared" si="7"/>
        <v>844.33333333333337</v>
      </c>
      <c r="O14" s="23">
        <f t="shared" si="8"/>
        <v>0.47338200000000002</v>
      </c>
      <c r="P14"/>
    </row>
    <row r="15" spans="1:16" s="17" customFormat="1">
      <c r="A15" s="20">
        <v>9355</v>
      </c>
      <c r="B15" s="20" t="s">
        <v>15</v>
      </c>
      <c r="C15" s="21" t="s">
        <v>30</v>
      </c>
      <c r="D15" s="32">
        <v>12</v>
      </c>
      <c r="E15" s="30">
        <v>654</v>
      </c>
      <c r="F15" s="30">
        <v>42</v>
      </c>
      <c r="G15" s="30">
        <v>612</v>
      </c>
      <c r="H15" s="30">
        <v>1.2749999999999999</v>
      </c>
      <c r="I15" s="30">
        <v>0.56000000000000005</v>
      </c>
      <c r="J15" s="30">
        <v>0.51</v>
      </c>
      <c r="K15" s="31">
        <f t="shared" si="5"/>
        <v>0.36413999999999996</v>
      </c>
      <c r="L15" s="20">
        <v>6</v>
      </c>
      <c r="M15" s="23">
        <f t="shared" si="6"/>
        <v>0.5</v>
      </c>
      <c r="N15" s="23">
        <f t="shared" si="7"/>
        <v>327</v>
      </c>
      <c r="O15" s="23">
        <f t="shared" si="8"/>
        <v>0.18206999999999998</v>
      </c>
      <c r="P15"/>
    </row>
    <row r="16" spans="1:16" s="33" customFormat="1">
      <c r="A16" s="34">
        <v>9355</v>
      </c>
      <c r="B16" s="34" t="s">
        <v>15</v>
      </c>
      <c r="C16" s="34" t="s">
        <v>16</v>
      </c>
      <c r="D16" s="34">
        <v>30</v>
      </c>
      <c r="E16" s="34">
        <v>669</v>
      </c>
      <c r="F16" s="34">
        <f>E16-G16</f>
        <v>53</v>
      </c>
      <c r="G16" s="34">
        <v>616</v>
      </c>
      <c r="H16" s="34">
        <v>1</v>
      </c>
      <c r="I16" s="34">
        <v>0.9</v>
      </c>
      <c r="J16" s="34">
        <v>0.73</v>
      </c>
      <c r="K16" s="34">
        <f t="shared" si="5"/>
        <v>0.65700000000000003</v>
      </c>
      <c r="L16" s="34">
        <v>102</v>
      </c>
      <c r="M16" s="11">
        <f t="shared" si="6"/>
        <v>3.4</v>
      </c>
      <c r="N16" s="11">
        <f t="shared" si="7"/>
        <v>2274.6</v>
      </c>
      <c r="O16" s="11">
        <f>M16*K16</f>
        <v>2.2338</v>
      </c>
      <c r="P16"/>
    </row>
    <row r="17" spans="1:16" s="33" customFormat="1">
      <c r="A17" s="34">
        <v>9355</v>
      </c>
      <c r="B17" s="34" t="s">
        <v>15</v>
      </c>
      <c r="C17" s="34" t="s">
        <v>17</v>
      </c>
      <c r="D17" s="34">
        <v>30</v>
      </c>
      <c r="E17" s="34">
        <v>669</v>
      </c>
      <c r="F17" s="34">
        <f>E17-G17</f>
        <v>53</v>
      </c>
      <c r="G17" s="34">
        <v>616</v>
      </c>
      <c r="H17" s="34">
        <v>1</v>
      </c>
      <c r="I17" s="34">
        <v>0.9</v>
      </c>
      <c r="J17" s="34">
        <v>0.73</v>
      </c>
      <c r="K17" s="34">
        <f t="shared" si="5"/>
        <v>0.65700000000000003</v>
      </c>
      <c r="L17" s="34">
        <v>6</v>
      </c>
      <c r="M17" s="11">
        <f t="shared" si="6"/>
        <v>0.2</v>
      </c>
      <c r="N17" s="11">
        <f t="shared" si="7"/>
        <v>133.80000000000001</v>
      </c>
      <c r="O17" s="11">
        <f t="shared" ref="O17:O26" si="9">M17*K17</f>
        <v>0.13140000000000002</v>
      </c>
      <c r="P17"/>
    </row>
    <row r="18" spans="1:16" s="33" customFormat="1">
      <c r="A18" s="34">
        <v>9355</v>
      </c>
      <c r="B18" s="34" t="s">
        <v>15</v>
      </c>
      <c r="C18" s="34" t="s">
        <v>18</v>
      </c>
      <c r="D18" s="34">
        <v>30</v>
      </c>
      <c r="E18" s="34">
        <v>669</v>
      </c>
      <c r="F18" s="34">
        <f>E18-G18</f>
        <v>53</v>
      </c>
      <c r="G18" s="34">
        <v>616</v>
      </c>
      <c r="H18" s="34">
        <v>1</v>
      </c>
      <c r="I18" s="34">
        <v>0.9</v>
      </c>
      <c r="J18" s="34">
        <v>0.73</v>
      </c>
      <c r="K18" s="34">
        <f t="shared" si="5"/>
        <v>0.65700000000000003</v>
      </c>
      <c r="L18" s="34">
        <v>6</v>
      </c>
      <c r="M18" s="11">
        <f t="shared" si="6"/>
        <v>0.2</v>
      </c>
      <c r="N18" s="11">
        <f t="shared" si="7"/>
        <v>133.80000000000001</v>
      </c>
      <c r="O18" s="11">
        <f t="shared" si="9"/>
        <v>0.13140000000000002</v>
      </c>
      <c r="P18"/>
    </row>
    <row r="19" spans="1:16" s="33" customFormat="1">
      <c r="A19" s="34">
        <v>9355</v>
      </c>
      <c r="B19" s="34" t="s">
        <v>15</v>
      </c>
      <c r="C19" s="34" t="s">
        <v>19</v>
      </c>
      <c r="D19" s="34">
        <v>30</v>
      </c>
      <c r="E19" s="34">
        <v>669</v>
      </c>
      <c r="F19" s="34">
        <f>E19-G19</f>
        <v>53</v>
      </c>
      <c r="G19" s="34">
        <v>616</v>
      </c>
      <c r="H19" s="34">
        <v>1</v>
      </c>
      <c r="I19" s="34">
        <v>0.9</v>
      </c>
      <c r="J19" s="34">
        <v>0.73</v>
      </c>
      <c r="K19" s="34">
        <f t="shared" si="5"/>
        <v>0.65700000000000003</v>
      </c>
      <c r="L19" s="34">
        <v>6</v>
      </c>
      <c r="M19" s="11">
        <f t="shared" si="6"/>
        <v>0.2</v>
      </c>
      <c r="N19" s="11">
        <f t="shared" si="7"/>
        <v>133.80000000000001</v>
      </c>
      <c r="O19" s="11">
        <f t="shared" si="9"/>
        <v>0.13140000000000002</v>
      </c>
      <c r="P19"/>
    </row>
    <row r="20" spans="1:16" s="33" customFormat="1">
      <c r="A20" s="34">
        <v>9355</v>
      </c>
      <c r="B20" s="34" t="s">
        <v>15</v>
      </c>
      <c r="C20" s="35" t="s">
        <v>27</v>
      </c>
      <c r="D20" s="39">
        <v>12</v>
      </c>
      <c r="E20" s="39">
        <v>435</v>
      </c>
      <c r="F20" s="39">
        <v>39</v>
      </c>
      <c r="G20" s="39">
        <v>396</v>
      </c>
      <c r="H20" s="39">
        <v>0.86</v>
      </c>
      <c r="I20" s="39">
        <v>0.56000000000000005</v>
      </c>
      <c r="J20" s="39">
        <v>0.51</v>
      </c>
      <c r="K20" s="40">
        <f t="shared" si="5"/>
        <v>0.24561600000000003</v>
      </c>
      <c r="L20" s="34">
        <v>54</v>
      </c>
      <c r="M20" s="11">
        <f t="shared" si="6"/>
        <v>4.5</v>
      </c>
      <c r="N20" s="11">
        <f t="shared" si="7"/>
        <v>1957.5</v>
      </c>
      <c r="O20" s="11">
        <f t="shared" si="9"/>
        <v>1.105272</v>
      </c>
      <c r="P20"/>
    </row>
    <row r="21" spans="1:16" s="33" customFormat="1">
      <c r="A21" s="34">
        <v>9355</v>
      </c>
      <c r="B21" s="34" t="s">
        <v>15</v>
      </c>
      <c r="C21" s="35" t="s">
        <v>28</v>
      </c>
      <c r="D21" s="39">
        <v>12</v>
      </c>
      <c r="E21" s="39">
        <v>520</v>
      </c>
      <c r="F21" s="39">
        <v>40</v>
      </c>
      <c r="G21" s="39">
        <v>480</v>
      </c>
      <c r="H21" s="39">
        <v>1.03</v>
      </c>
      <c r="I21" s="39">
        <v>0.56000000000000005</v>
      </c>
      <c r="J21" s="39">
        <v>0.51</v>
      </c>
      <c r="K21" s="40">
        <f t="shared" si="5"/>
        <v>0.29416800000000004</v>
      </c>
      <c r="L21" s="34">
        <v>17</v>
      </c>
      <c r="M21" s="11">
        <f t="shared" si="6"/>
        <v>1.4166666666666667</v>
      </c>
      <c r="N21" s="11">
        <f t="shared" si="7"/>
        <v>736.66666666666674</v>
      </c>
      <c r="O21" s="11">
        <f t="shared" si="9"/>
        <v>0.41673800000000005</v>
      </c>
      <c r="P21"/>
    </row>
    <row r="22" spans="1:16" s="33" customFormat="1">
      <c r="A22" s="34">
        <v>9355</v>
      </c>
      <c r="B22" s="34" t="s">
        <v>15</v>
      </c>
      <c r="C22" s="35" t="s">
        <v>29</v>
      </c>
      <c r="D22" s="39">
        <v>12</v>
      </c>
      <c r="E22" s="39">
        <v>596</v>
      </c>
      <c r="F22" s="39">
        <v>44</v>
      </c>
      <c r="G22" s="39">
        <v>552</v>
      </c>
      <c r="H22" s="39">
        <v>1.17</v>
      </c>
      <c r="I22" s="39">
        <v>0.56000000000000005</v>
      </c>
      <c r="J22" s="39">
        <v>0.51</v>
      </c>
      <c r="K22" s="40">
        <f t="shared" si="5"/>
        <v>0.334152</v>
      </c>
      <c r="L22" s="34">
        <v>17</v>
      </c>
      <c r="M22" s="11">
        <f t="shared" si="6"/>
        <v>1.4166666666666667</v>
      </c>
      <c r="N22" s="11">
        <f t="shared" si="7"/>
        <v>844.33333333333337</v>
      </c>
      <c r="O22" s="11">
        <f t="shared" si="9"/>
        <v>0.47338200000000002</v>
      </c>
      <c r="P22"/>
    </row>
    <row r="23" spans="1:16" s="33" customFormat="1">
      <c r="A23" s="34">
        <v>9355</v>
      </c>
      <c r="B23" s="34" t="s">
        <v>15</v>
      </c>
      <c r="C23" s="35" t="s">
        <v>30</v>
      </c>
      <c r="D23" s="41">
        <v>12</v>
      </c>
      <c r="E23" s="39">
        <v>654</v>
      </c>
      <c r="F23" s="39">
        <v>42</v>
      </c>
      <c r="G23" s="39">
        <v>612</v>
      </c>
      <c r="H23" s="39">
        <v>1.2749999999999999</v>
      </c>
      <c r="I23" s="39">
        <v>0.56000000000000005</v>
      </c>
      <c r="J23" s="39">
        <v>0.51</v>
      </c>
      <c r="K23" s="40">
        <f t="shared" si="5"/>
        <v>0.36413999999999996</v>
      </c>
      <c r="L23" s="34">
        <v>6</v>
      </c>
      <c r="M23" s="11">
        <f t="shared" si="6"/>
        <v>0.5</v>
      </c>
      <c r="N23" s="11">
        <f t="shared" si="7"/>
        <v>327</v>
      </c>
      <c r="O23" s="11">
        <f t="shared" si="9"/>
        <v>0.18206999999999998</v>
      </c>
      <c r="P23"/>
    </row>
    <row r="24" spans="1:16">
      <c r="A24" s="5">
        <v>9355</v>
      </c>
      <c r="B24" s="5" t="s">
        <v>15</v>
      </c>
      <c r="C24" s="5" t="s">
        <v>17</v>
      </c>
      <c r="D24" s="5">
        <v>30</v>
      </c>
      <c r="E24" s="5">
        <v>669</v>
      </c>
      <c r="F24" s="5">
        <f>E24-G24</f>
        <v>53</v>
      </c>
      <c r="G24" s="5">
        <v>616</v>
      </c>
      <c r="H24" s="5">
        <v>1</v>
      </c>
      <c r="I24" s="5">
        <v>0.9</v>
      </c>
      <c r="J24" s="5">
        <v>0.73</v>
      </c>
      <c r="K24" s="5">
        <f t="shared" si="5"/>
        <v>0.65700000000000003</v>
      </c>
      <c r="L24" s="5">
        <v>8</v>
      </c>
      <c r="M24" s="4">
        <f t="shared" si="6"/>
        <v>0.26666666666666666</v>
      </c>
      <c r="N24" s="4">
        <f t="shared" si="7"/>
        <v>178.4</v>
      </c>
      <c r="O24" s="4">
        <f t="shared" si="9"/>
        <v>0.17519999999999999</v>
      </c>
    </row>
    <row r="25" spans="1:16">
      <c r="A25" s="5">
        <v>9355</v>
      </c>
      <c r="B25" s="5" t="s">
        <v>15</v>
      </c>
      <c r="C25" s="5" t="s">
        <v>18</v>
      </c>
      <c r="D25" s="5">
        <v>30</v>
      </c>
      <c r="E25" s="5">
        <v>669</v>
      </c>
      <c r="F25" s="5">
        <f>E25-G25</f>
        <v>53</v>
      </c>
      <c r="G25" s="5">
        <v>616</v>
      </c>
      <c r="H25" s="5">
        <v>1</v>
      </c>
      <c r="I25" s="5">
        <v>0.9</v>
      </c>
      <c r="J25" s="5">
        <v>0.73</v>
      </c>
      <c r="K25" s="5">
        <f t="shared" si="5"/>
        <v>0.65700000000000003</v>
      </c>
      <c r="L25" s="5">
        <v>8</v>
      </c>
      <c r="M25" s="4">
        <f t="shared" si="6"/>
        <v>0.26666666666666666</v>
      </c>
      <c r="N25" s="4">
        <f t="shared" si="7"/>
        <v>178.4</v>
      </c>
      <c r="O25" s="4">
        <f t="shared" si="9"/>
        <v>0.17519999999999999</v>
      </c>
    </row>
    <row r="26" spans="1:16">
      <c r="A26" s="5">
        <v>9355</v>
      </c>
      <c r="B26" s="5" t="s">
        <v>15</v>
      </c>
      <c r="C26" s="5" t="s">
        <v>19</v>
      </c>
      <c r="D26" s="5">
        <v>30</v>
      </c>
      <c r="E26" s="5">
        <v>669</v>
      </c>
      <c r="F26" s="5">
        <f>E26-G26</f>
        <v>53</v>
      </c>
      <c r="G26" s="5">
        <v>616</v>
      </c>
      <c r="H26" s="5">
        <v>1</v>
      </c>
      <c r="I26" s="5">
        <v>0.9</v>
      </c>
      <c r="J26" s="5">
        <v>0.73</v>
      </c>
      <c r="K26" s="5">
        <f t="shared" si="5"/>
        <v>0.65700000000000003</v>
      </c>
      <c r="L26" s="5">
        <v>8</v>
      </c>
      <c r="M26" s="4">
        <f t="shared" si="6"/>
        <v>0.26666666666666666</v>
      </c>
      <c r="N26" s="4">
        <f t="shared" si="7"/>
        <v>178.4</v>
      </c>
      <c r="O26" s="4">
        <f t="shared" si="9"/>
        <v>0.17519999999999999</v>
      </c>
    </row>
    <row r="27" spans="1:16" s="126" customFormat="1" ht="30" customHeight="1">
      <c r="A27" s="108">
        <v>9358</v>
      </c>
      <c r="B27" s="108" t="s">
        <v>14</v>
      </c>
      <c r="C27" s="108" t="s">
        <v>64</v>
      </c>
      <c r="D27" s="111">
        <v>376</v>
      </c>
      <c r="E27" s="207">
        <f>G27+G28+G29+45</f>
        <v>213.072</v>
      </c>
      <c r="F27" s="115"/>
      <c r="G27" s="115">
        <v>139.12</v>
      </c>
      <c r="H27" s="208">
        <v>0.68</v>
      </c>
      <c r="I27" s="208">
        <v>0.68</v>
      </c>
      <c r="J27" s="208">
        <v>0.54</v>
      </c>
      <c r="K27" s="208">
        <v>0.25</v>
      </c>
      <c r="L27" s="111">
        <v>376</v>
      </c>
      <c r="M27" s="207">
        <v>1</v>
      </c>
      <c r="N27" s="207">
        <f>E27*M27</f>
        <v>213.072</v>
      </c>
      <c r="O27" s="208">
        <v>0.25</v>
      </c>
    </row>
    <row r="28" spans="1:16" s="126" customFormat="1" ht="30" customHeight="1">
      <c r="A28" s="108">
        <v>9358</v>
      </c>
      <c r="B28" s="108" t="s">
        <v>14</v>
      </c>
      <c r="C28" s="108" t="s">
        <v>65</v>
      </c>
      <c r="D28" s="111">
        <v>376</v>
      </c>
      <c r="E28" s="207"/>
      <c r="F28" s="115"/>
      <c r="G28" s="115">
        <v>12.032</v>
      </c>
      <c r="H28" s="208"/>
      <c r="I28" s="208"/>
      <c r="J28" s="208"/>
      <c r="K28" s="208"/>
      <c r="L28" s="111">
        <v>376</v>
      </c>
      <c r="M28" s="207"/>
      <c r="N28" s="207"/>
      <c r="O28" s="208"/>
    </row>
    <row r="29" spans="1:16" s="126" customFormat="1" ht="30" customHeight="1">
      <c r="A29" s="108">
        <v>9358</v>
      </c>
      <c r="B29" s="108" t="s">
        <v>14</v>
      </c>
      <c r="C29" s="108" t="s">
        <v>66</v>
      </c>
      <c r="D29" s="111">
        <v>376</v>
      </c>
      <c r="E29" s="207"/>
      <c r="F29" s="115"/>
      <c r="G29" s="115">
        <v>16.919999999999998</v>
      </c>
      <c r="H29" s="208"/>
      <c r="I29" s="208"/>
      <c r="J29" s="208"/>
      <c r="K29" s="208"/>
      <c r="L29" s="111">
        <v>376</v>
      </c>
      <c r="M29" s="207"/>
      <c r="N29" s="207"/>
      <c r="O29" s="208"/>
    </row>
    <row r="30" spans="1:16" s="126" customFormat="1" ht="30" customHeight="1">
      <c r="A30" s="108">
        <v>9358</v>
      </c>
      <c r="B30" s="108" t="s">
        <v>14</v>
      </c>
      <c r="C30" s="108" t="s">
        <v>67</v>
      </c>
      <c r="D30" s="111">
        <v>856</v>
      </c>
      <c r="E30" s="111">
        <v>551</v>
      </c>
      <c r="F30" s="115"/>
      <c r="G30" s="115">
        <v>501</v>
      </c>
      <c r="H30" s="125">
        <v>1.02</v>
      </c>
      <c r="I30" s="125">
        <v>0.86</v>
      </c>
      <c r="J30" s="125">
        <v>0.76</v>
      </c>
      <c r="K30" s="125">
        <f>H30*I30*J30</f>
        <v>0.66667200000000004</v>
      </c>
      <c r="L30" s="111">
        <v>856</v>
      </c>
      <c r="M30" s="111">
        <v>1</v>
      </c>
      <c r="N30" s="111">
        <f>M30*E30</f>
        <v>551</v>
      </c>
      <c r="O30" s="125">
        <f>K30*M30</f>
        <v>0.66667200000000004</v>
      </c>
    </row>
    <row r="31" spans="1:16" s="126" customFormat="1" ht="30" customHeight="1">
      <c r="A31" s="108">
        <v>9358</v>
      </c>
      <c r="B31" s="108" t="s">
        <v>14</v>
      </c>
      <c r="C31" s="108" t="s">
        <v>68</v>
      </c>
      <c r="D31" s="111">
        <v>120</v>
      </c>
      <c r="E31" s="209">
        <v>202</v>
      </c>
      <c r="F31" s="116"/>
      <c r="G31" s="215">
        <v>172</v>
      </c>
      <c r="H31" s="212">
        <v>1.33</v>
      </c>
      <c r="I31" s="212">
        <v>0.56999999999999995</v>
      </c>
      <c r="J31" s="212">
        <v>0.6</v>
      </c>
      <c r="K31" s="212">
        <v>0.5</v>
      </c>
      <c r="L31" s="111">
        <v>120</v>
      </c>
      <c r="M31" s="209">
        <v>1</v>
      </c>
      <c r="N31" s="209">
        <v>202</v>
      </c>
      <c r="O31" s="212">
        <f>K31*M31</f>
        <v>0.5</v>
      </c>
    </row>
    <row r="32" spans="1:16" s="126" customFormat="1" ht="30" customHeight="1">
      <c r="A32" s="108">
        <v>9358</v>
      </c>
      <c r="B32" s="108" t="s">
        <v>14</v>
      </c>
      <c r="C32" s="108" t="s">
        <v>69</v>
      </c>
      <c r="D32" s="111">
        <v>120</v>
      </c>
      <c r="E32" s="210"/>
      <c r="F32" s="117"/>
      <c r="G32" s="216"/>
      <c r="H32" s="213"/>
      <c r="I32" s="213"/>
      <c r="J32" s="213"/>
      <c r="K32" s="213"/>
      <c r="L32" s="111">
        <v>120</v>
      </c>
      <c r="M32" s="210"/>
      <c r="N32" s="210"/>
      <c r="O32" s="213"/>
    </row>
    <row r="33" spans="1:15" s="126" customFormat="1" ht="30" customHeight="1">
      <c r="A33" s="108">
        <v>9358</v>
      </c>
      <c r="B33" s="108" t="s">
        <v>14</v>
      </c>
      <c r="C33" s="108" t="s">
        <v>70</v>
      </c>
      <c r="D33" s="111">
        <v>54</v>
      </c>
      <c r="E33" s="210"/>
      <c r="F33" s="117"/>
      <c r="G33" s="216"/>
      <c r="H33" s="213"/>
      <c r="I33" s="213"/>
      <c r="J33" s="213"/>
      <c r="K33" s="213"/>
      <c r="L33" s="111">
        <v>54</v>
      </c>
      <c r="M33" s="210"/>
      <c r="N33" s="210"/>
      <c r="O33" s="213"/>
    </row>
    <row r="34" spans="1:15" s="126" customFormat="1" ht="30" customHeight="1">
      <c r="A34" s="108">
        <v>9358</v>
      </c>
      <c r="B34" s="108" t="s">
        <v>14</v>
      </c>
      <c r="C34" s="108" t="s">
        <v>71</v>
      </c>
      <c r="D34" s="111">
        <v>54</v>
      </c>
      <c r="E34" s="210"/>
      <c r="F34" s="117"/>
      <c r="G34" s="216"/>
      <c r="H34" s="213"/>
      <c r="I34" s="213"/>
      <c r="J34" s="213"/>
      <c r="K34" s="213"/>
      <c r="L34" s="111">
        <v>54</v>
      </c>
      <c r="M34" s="210"/>
      <c r="N34" s="210"/>
      <c r="O34" s="213"/>
    </row>
    <row r="35" spans="1:15" s="126" customFormat="1" ht="30" customHeight="1">
      <c r="A35" s="108">
        <v>9358</v>
      </c>
      <c r="B35" s="108" t="s">
        <v>14</v>
      </c>
      <c r="C35" s="108" t="s">
        <v>72</v>
      </c>
      <c r="D35" s="111">
        <v>17</v>
      </c>
      <c r="E35" s="210"/>
      <c r="F35" s="117"/>
      <c r="G35" s="216"/>
      <c r="H35" s="213"/>
      <c r="I35" s="213"/>
      <c r="J35" s="213"/>
      <c r="K35" s="213"/>
      <c r="L35" s="111">
        <v>17</v>
      </c>
      <c r="M35" s="210"/>
      <c r="N35" s="210"/>
      <c r="O35" s="213"/>
    </row>
    <row r="36" spans="1:15" s="126" customFormat="1" ht="30" customHeight="1">
      <c r="A36" s="108">
        <v>9358</v>
      </c>
      <c r="B36" s="108" t="s">
        <v>14</v>
      </c>
      <c r="C36" s="108" t="s">
        <v>73</v>
      </c>
      <c r="D36" s="111">
        <v>17</v>
      </c>
      <c r="E36" s="210"/>
      <c r="F36" s="117"/>
      <c r="G36" s="216"/>
      <c r="H36" s="213"/>
      <c r="I36" s="213"/>
      <c r="J36" s="213"/>
      <c r="K36" s="213"/>
      <c r="L36" s="111">
        <v>17</v>
      </c>
      <c r="M36" s="210"/>
      <c r="N36" s="210"/>
      <c r="O36" s="213"/>
    </row>
    <row r="37" spans="1:15" s="126" customFormat="1" ht="30" customHeight="1">
      <c r="A37" s="108">
        <v>9358</v>
      </c>
      <c r="B37" s="108" t="s">
        <v>14</v>
      </c>
      <c r="C37" s="108" t="s">
        <v>74</v>
      </c>
      <c r="D37" s="111">
        <v>17</v>
      </c>
      <c r="E37" s="210"/>
      <c r="F37" s="117"/>
      <c r="G37" s="216"/>
      <c r="H37" s="213"/>
      <c r="I37" s="213"/>
      <c r="J37" s="213"/>
      <c r="K37" s="213"/>
      <c r="L37" s="111">
        <v>17</v>
      </c>
      <c r="M37" s="210"/>
      <c r="N37" s="210"/>
      <c r="O37" s="213"/>
    </row>
    <row r="38" spans="1:15" s="126" customFormat="1" ht="30" customHeight="1">
      <c r="A38" s="108">
        <v>9358</v>
      </c>
      <c r="B38" s="108" t="s">
        <v>14</v>
      </c>
      <c r="C38" s="108" t="s">
        <v>75</v>
      </c>
      <c r="D38" s="111">
        <v>17</v>
      </c>
      <c r="E38" s="210"/>
      <c r="F38" s="117"/>
      <c r="G38" s="216"/>
      <c r="H38" s="213"/>
      <c r="I38" s="213"/>
      <c r="J38" s="213"/>
      <c r="K38" s="213"/>
      <c r="L38" s="111">
        <v>17</v>
      </c>
      <c r="M38" s="210"/>
      <c r="N38" s="210"/>
      <c r="O38" s="213"/>
    </row>
    <row r="39" spans="1:15" s="126" customFormat="1" ht="30" customHeight="1">
      <c r="A39" s="108">
        <v>9358</v>
      </c>
      <c r="B39" s="108" t="s">
        <v>14</v>
      </c>
      <c r="C39" s="108" t="s">
        <v>76</v>
      </c>
      <c r="D39" s="111">
        <v>6</v>
      </c>
      <c r="E39" s="210"/>
      <c r="F39" s="117"/>
      <c r="G39" s="216"/>
      <c r="H39" s="213"/>
      <c r="I39" s="213"/>
      <c r="J39" s="213"/>
      <c r="K39" s="213"/>
      <c r="L39" s="111">
        <v>6</v>
      </c>
      <c r="M39" s="210"/>
      <c r="N39" s="210"/>
      <c r="O39" s="213"/>
    </row>
    <row r="40" spans="1:15" s="126" customFormat="1" ht="30" customHeight="1">
      <c r="A40" s="108">
        <v>9358</v>
      </c>
      <c r="B40" s="108" t="s">
        <v>14</v>
      </c>
      <c r="C40" s="108" t="s">
        <v>77</v>
      </c>
      <c r="D40" s="111">
        <v>6</v>
      </c>
      <c r="E40" s="211"/>
      <c r="F40" s="118"/>
      <c r="G40" s="217"/>
      <c r="H40" s="214"/>
      <c r="I40" s="214"/>
      <c r="J40" s="214"/>
      <c r="K40" s="214"/>
      <c r="L40" s="111">
        <v>6</v>
      </c>
      <c r="M40" s="211"/>
      <c r="N40" s="211"/>
      <c r="O40" s="214"/>
    </row>
    <row r="41" spans="1:15" s="127" customFormat="1" ht="30" customHeight="1">
      <c r="A41" s="108">
        <v>9358</v>
      </c>
      <c r="B41" s="108" t="s">
        <v>14</v>
      </c>
      <c r="C41" s="108" t="s">
        <v>78</v>
      </c>
      <c r="D41" s="111">
        <v>856</v>
      </c>
      <c r="E41" s="210">
        <f>SUM(G41:G44)+50</f>
        <v>303.62400000000002</v>
      </c>
      <c r="F41" s="117"/>
      <c r="G41" s="118">
        <v>54.783999999999999</v>
      </c>
      <c r="H41" s="213">
        <v>1.05</v>
      </c>
      <c r="I41" s="213">
        <v>1.05</v>
      </c>
      <c r="J41" s="213">
        <v>0.55000000000000004</v>
      </c>
      <c r="K41" s="213">
        <f>H41*I41*J41</f>
        <v>0.60637500000000011</v>
      </c>
      <c r="L41" s="111">
        <v>856</v>
      </c>
      <c r="M41" s="210">
        <v>1</v>
      </c>
      <c r="N41" s="210">
        <f>E41</f>
        <v>303.62400000000002</v>
      </c>
      <c r="O41" s="213">
        <f>K41</f>
        <v>0.60637500000000011</v>
      </c>
    </row>
    <row r="42" spans="1:15" s="127" customFormat="1" ht="30" customHeight="1">
      <c r="A42" s="108">
        <v>9358</v>
      </c>
      <c r="B42" s="108" t="s">
        <v>14</v>
      </c>
      <c r="C42" s="108" t="s">
        <v>79</v>
      </c>
      <c r="D42" s="111">
        <v>240</v>
      </c>
      <c r="E42" s="210"/>
      <c r="F42" s="117"/>
      <c r="G42" s="118">
        <v>184.8</v>
      </c>
      <c r="H42" s="213"/>
      <c r="I42" s="213"/>
      <c r="J42" s="213"/>
      <c r="K42" s="213"/>
      <c r="L42" s="111">
        <v>240</v>
      </c>
      <c r="M42" s="210"/>
      <c r="N42" s="210"/>
      <c r="O42" s="213"/>
    </row>
    <row r="43" spans="1:15" s="127" customFormat="1" ht="30" customHeight="1">
      <c r="A43" s="108">
        <v>9358</v>
      </c>
      <c r="B43" s="108" t="s">
        <v>14</v>
      </c>
      <c r="C43" s="108" t="s">
        <v>80</v>
      </c>
      <c r="D43" s="111">
        <v>240</v>
      </c>
      <c r="E43" s="210"/>
      <c r="F43" s="117"/>
      <c r="G43" s="118">
        <v>8.4</v>
      </c>
      <c r="H43" s="213"/>
      <c r="I43" s="213"/>
      <c r="J43" s="213"/>
      <c r="K43" s="213"/>
      <c r="L43" s="111">
        <v>240</v>
      </c>
      <c r="M43" s="210"/>
      <c r="N43" s="210"/>
      <c r="O43" s="213"/>
    </row>
    <row r="44" spans="1:15" s="127" customFormat="1" ht="30" customHeight="1">
      <c r="A44" s="108">
        <v>9358</v>
      </c>
      <c r="B44" s="108" t="s">
        <v>14</v>
      </c>
      <c r="C44" s="108" t="s">
        <v>81</v>
      </c>
      <c r="D44" s="111">
        <v>376</v>
      </c>
      <c r="E44" s="211"/>
      <c r="F44" s="118"/>
      <c r="G44" s="118">
        <v>5.64</v>
      </c>
      <c r="H44" s="214"/>
      <c r="I44" s="214"/>
      <c r="J44" s="214"/>
      <c r="K44" s="214"/>
      <c r="L44" s="111">
        <v>376</v>
      </c>
      <c r="M44" s="211"/>
      <c r="N44" s="211"/>
      <c r="O44" s="214"/>
    </row>
    <row r="45" spans="1:15" s="126" customFormat="1" ht="30" customHeight="1">
      <c r="A45" s="109">
        <v>9358</v>
      </c>
      <c r="B45" s="109" t="s">
        <v>14</v>
      </c>
      <c r="C45" s="109" t="s">
        <v>64</v>
      </c>
      <c r="D45" s="112">
        <v>376</v>
      </c>
      <c r="E45" s="219">
        <f>G45+G46+G47+45</f>
        <v>213.072</v>
      </c>
      <c r="F45" s="119"/>
      <c r="G45" s="119">
        <v>139.12</v>
      </c>
      <c r="H45" s="220">
        <v>0.68</v>
      </c>
      <c r="I45" s="220">
        <v>0.68</v>
      </c>
      <c r="J45" s="220">
        <v>0.54</v>
      </c>
      <c r="K45" s="220">
        <v>0.25</v>
      </c>
      <c r="L45" s="112">
        <v>376</v>
      </c>
      <c r="M45" s="219">
        <v>1</v>
      </c>
      <c r="N45" s="219">
        <f>E45*M45</f>
        <v>213.072</v>
      </c>
      <c r="O45" s="220">
        <v>0.25</v>
      </c>
    </row>
    <row r="46" spans="1:15" s="126" customFormat="1" ht="30" customHeight="1">
      <c r="A46" s="109">
        <v>9358</v>
      </c>
      <c r="B46" s="109" t="s">
        <v>14</v>
      </c>
      <c r="C46" s="109" t="s">
        <v>65</v>
      </c>
      <c r="D46" s="112">
        <v>376</v>
      </c>
      <c r="E46" s="219"/>
      <c r="F46" s="119"/>
      <c r="G46" s="119">
        <v>12.032</v>
      </c>
      <c r="H46" s="220"/>
      <c r="I46" s="220"/>
      <c r="J46" s="220"/>
      <c r="K46" s="220"/>
      <c r="L46" s="112">
        <v>376</v>
      </c>
      <c r="M46" s="219"/>
      <c r="N46" s="219"/>
      <c r="O46" s="220"/>
    </row>
    <row r="47" spans="1:15" s="126" customFormat="1" ht="30" customHeight="1">
      <c r="A47" s="109">
        <v>9358</v>
      </c>
      <c r="B47" s="109" t="s">
        <v>14</v>
      </c>
      <c r="C47" s="109" t="s">
        <v>66</v>
      </c>
      <c r="D47" s="112">
        <v>376</v>
      </c>
      <c r="E47" s="219"/>
      <c r="F47" s="119"/>
      <c r="G47" s="119">
        <v>16.919999999999998</v>
      </c>
      <c r="H47" s="220"/>
      <c r="I47" s="220"/>
      <c r="J47" s="220"/>
      <c r="K47" s="220"/>
      <c r="L47" s="112">
        <v>376</v>
      </c>
      <c r="M47" s="219"/>
      <c r="N47" s="219"/>
      <c r="O47" s="220"/>
    </row>
    <row r="48" spans="1:15" s="126" customFormat="1" ht="30" customHeight="1">
      <c r="A48" s="109">
        <v>9358</v>
      </c>
      <c r="B48" s="109" t="s">
        <v>14</v>
      </c>
      <c r="C48" s="109" t="s">
        <v>67</v>
      </c>
      <c r="D48" s="112">
        <v>856</v>
      </c>
      <c r="E48" s="112">
        <v>551</v>
      </c>
      <c r="F48" s="119"/>
      <c r="G48" s="119">
        <v>501</v>
      </c>
      <c r="H48" s="43">
        <v>1.02</v>
      </c>
      <c r="I48" s="43">
        <v>0.86</v>
      </c>
      <c r="J48" s="43">
        <v>0.76</v>
      </c>
      <c r="K48" s="43">
        <f>H48*I48*J48</f>
        <v>0.66667200000000004</v>
      </c>
      <c r="L48" s="112">
        <v>856</v>
      </c>
      <c r="M48" s="112">
        <v>1</v>
      </c>
      <c r="N48" s="112">
        <f>M48*E48</f>
        <v>551</v>
      </c>
      <c r="O48" s="43">
        <f>K48*M48</f>
        <v>0.66667200000000004</v>
      </c>
    </row>
    <row r="49" spans="1:16" s="128" customFormat="1" ht="30" customHeight="1">
      <c r="A49" s="109">
        <v>9358</v>
      </c>
      <c r="B49" s="109" t="s">
        <v>14</v>
      </c>
      <c r="C49" s="109" t="s">
        <v>68</v>
      </c>
      <c r="D49" s="112">
        <v>120</v>
      </c>
      <c r="E49" s="139">
        <v>202</v>
      </c>
      <c r="F49" s="120"/>
      <c r="G49" s="222">
        <v>172</v>
      </c>
      <c r="H49" s="143">
        <v>1.33</v>
      </c>
      <c r="I49" s="143">
        <v>0.56999999999999995</v>
      </c>
      <c r="J49" s="143">
        <v>0.6</v>
      </c>
      <c r="K49" s="143">
        <v>0.5</v>
      </c>
      <c r="L49" s="112">
        <v>120</v>
      </c>
      <c r="M49" s="139">
        <v>1</v>
      </c>
      <c r="N49" s="139">
        <v>202</v>
      </c>
      <c r="O49" s="143">
        <f>K49*M49</f>
        <v>0.5</v>
      </c>
    </row>
    <row r="50" spans="1:16" s="128" customFormat="1" ht="30" customHeight="1">
      <c r="A50" s="109">
        <v>9358</v>
      </c>
      <c r="B50" s="109" t="s">
        <v>14</v>
      </c>
      <c r="C50" s="109" t="s">
        <v>69</v>
      </c>
      <c r="D50" s="112">
        <v>120</v>
      </c>
      <c r="E50" s="221"/>
      <c r="F50" s="121"/>
      <c r="G50" s="223"/>
      <c r="H50" s="218"/>
      <c r="I50" s="218"/>
      <c r="J50" s="218"/>
      <c r="K50" s="218"/>
      <c r="L50" s="112">
        <v>120</v>
      </c>
      <c r="M50" s="221"/>
      <c r="N50" s="221"/>
      <c r="O50" s="218"/>
    </row>
    <row r="51" spans="1:16" s="128" customFormat="1" ht="30" customHeight="1">
      <c r="A51" s="109">
        <v>9358</v>
      </c>
      <c r="B51" s="109" t="s">
        <v>14</v>
      </c>
      <c r="C51" s="109" t="s">
        <v>70</v>
      </c>
      <c r="D51" s="112">
        <v>54</v>
      </c>
      <c r="E51" s="221"/>
      <c r="F51" s="121"/>
      <c r="G51" s="223"/>
      <c r="H51" s="218"/>
      <c r="I51" s="218"/>
      <c r="J51" s="218"/>
      <c r="K51" s="218"/>
      <c r="L51" s="112">
        <v>54</v>
      </c>
      <c r="M51" s="221"/>
      <c r="N51" s="221"/>
      <c r="O51" s="218"/>
    </row>
    <row r="52" spans="1:16" s="128" customFormat="1" ht="30" customHeight="1">
      <c r="A52" s="109">
        <v>9358</v>
      </c>
      <c r="B52" s="109" t="s">
        <v>14</v>
      </c>
      <c r="C52" s="109" t="s">
        <v>71</v>
      </c>
      <c r="D52" s="112">
        <v>54</v>
      </c>
      <c r="E52" s="221"/>
      <c r="F52" s="121"/>
      <c r="G52" s="223"/>
      <c r="H52" s="218"/>
      <c r="I52" s="218"/>
      <c r="J52" s="218"/>
      <c r="K52" s="218"/>
      <c r="L52" s="112">
        <v>54</v>
      </c>
      <c r="M52" s="221"/>
      <c r="N52" s="221"/>
      <c r="O52" s="218"/>
    </row>
    <row r="53" spans="1:16" s="128" customFormat="1" ht="30" customHeight="1">
      <c r="A53" s="109">
        <v>9358</v>
      </c>
      <c r="B53" s="109" t="s">
        <v>14</v>
      </c>
      <c r="C53" s="109" t="s">
        <v>72</v>
      </c>
      <c r="D53" s="112">
        <v>17</v>
      </c>
      <c r="E53" s="221"/>
      <c r="F53" s="121"/>
      <c r="G53" s="223"/>
      <c r="H53" s="218"/>
      <c r="I53" s="218"/>
      <c r="J53" s="218"/>
      <c r="K53" s="218"/>
      <c r="L53" s="112">
        <v>17</v>
      </c>
      <c r="M53" s="221"/>
      <c r="N53" s="221"/>
      <c r="O53" s="218"/>
    </row>
    <row r="54" spans="1:16" s="128" customFormat="1" ht="30" customHeight="1">
      <c r="A54" s="109">
        <v>9358</v>
      </c>
      <c r="B54" s="109" t="s">
        <v>14</v>
      </c>
      <c r="C54" s="109" t="s">
        <v>73</v>
      </c>
      <c r="D54" s="112">
        <v>17</v>
      </c>
      <c r="E54" s="221"/>
      <c r="F54" s="121"/>
      <c r="G54" s="223"/>
      <c r="H54" s="218"/>
      <c r="I54" s="218"/>
      <c r="J54" s="218"/>
      <c r="K54" s="218"/>
      <c r="L54" s="112">
        <v>17</v>
      </c>
      <c r="M54" s="221"/>
      <c r="N54" s="221"/>
      <c r="O54" s="218"/>
    </row>
    <row r="55" spans="1:16" s="128" customFormat="1" ht="30" customHeight="1">
      <c r="A55" s="109">
        <v>9358</v>
      </c>
      <c r="B55" s="109" t="s">
        <v>14</v>
      </c>
      <c r="C55" s="109" t="s">
        <v>74</v>
      </c>
      <c r="D55" s="112">
        <v>17</v>
      </c>
      <c r="E55" s="221"/>
      <c r="F55" s="121"/>
      <c r="G55" s="223"/>
      <c r="H55" s="218"/>
      <c r="I55" s="218"/>
      <c r="J55" s="218"/>
      <c r="K55" s="218"/>
      <c r="L55" s="112">
        <v>17</v>
      </c>
      <c r="M55" s="221"/>
      <c r="N55" s="221"/>
      <c r="O55" s="218"/>
    </row>
    <row r="56" spans="1:16" s="128" customFormat="1" ht="30" customHeight="1">
      <c r="A56" s="109">
        <v>9358</v>
      </c>
      <c r="B56" s="109" t="s">
        <v>14</v>
      </c>
      <c r="C56" s="109" t="s">
        <v>75</v>
      </c>
      <c r="D56" s="112">
        <v>17</v>
      </c>
      <c r="E56" s="221"/>
      <c r="F56" s="121"/>
      <c r="G56" s="223"/>
      <c r="H56" s="218"/>
      <c r="I56" s="218"/>
      <c r="J56" s="218"/>
      <c r="K56" s="218"/>
      <c r="L56" s="112">
        <v>17</v>
      </c>
      <c r="M56" s="221"/>
      <c r="N56" s="221"/>
      <c r="O56" s="218"/>
    </row>
    <row r="57" spans="1:16" s="128" customFormat="1" ht="30" customHeight="1">
      <c r="A57" s="109">
        <v>9358</v>
      </c>
      <c r="B57" s="109" t="s">
        <v>14</v>
      </c>
      <c r="C57" s="109" t="s">
        <v>76</v>
      </c>
      <c r="D57" s="112">
        <v>6</v>
      </c>
      <c r="E57" s="221"/>
      <c r="F57" s="121"/>
      <c r="G57" s="223"/>
      <c r="H57" s="218"/>
      <c r="I57" s="218"/>
      <c r="J57" s="218"/>
      <c r="K57" s="218"/>
      <c r="L57" s="112">
        <v>6</v>
      </c>
      <c r="M57" s="221"/>
      <c r="N57" s="221"/>
      <c r="O57" s="218"/>
    </row>
    <row r="58" spans="1:16" s="128" customFormat="1" ht="30" customHeight="1">
      <c r="A58" s="109">
        <v>9358</v>
      </c>
      <c r="B58" s="109" t="s">
        <v>14</v>
      </c>
      <c r="C58" s="109" t="s">
        <v>77</v>
      </c>
      <c r="D58" s="112">
        <v>6</v>
      </c>
      <c r="E58" s="140"/>
      <c r="F58" s="122"/>
      <c r="G58" s="224"/>
      <c r="H58" s="144"/>
      <c r="I58" s="144"/>
      <c r="J58" s="144"/>
      <c r="K58" s="144"/>
      <c r="L58" s="112">
        <v>6</v>
      </c>
      <c r="M58" s="140"/>
      <c r="N58" s="140"/>
      <c r="O58" s="144"/>
    </row>
    <row r="59" spans="1:16" s="128" customFormat="1" ht="30" customHeight="1">
      <c r="A59" s="109">
        <v>9358</v>
      </c>
      <c r="B59" s="109" t="s">
        <v>14</v>
      </c>
      <c r="C59" s="109" t="s">
        <v>78</v>
      </c>
      <c r="D59" s="112">
        <v>856</v>
      </c>
      <c r="E59" s="221">
        <f>SUM(G59:G62)+50</f>
        <v>303.62400000000002</v>
      </c>
      <c r="F59" s="121"/>
      <c r="G59" s="122">
        <v>54.783999999999999</v>
      </c>
      <c r="H59" s="218">
        <v>1.05</v>
      </c>
      <c r="I59" s="218">
        <v>1.05</v>
      </c>
      <c r="J59" s="218">
        <v>0.55000000000000004</v>
      </c>
      <c r="K59" s="218">
        <f>H59*I59*J59</f>
        <v>0.60637500000000011</v>
      </c>
      <c r="L59" s="112">
        <v>856</v>
      </c>
      <c r="M59" s="221">
        <v>1</v>
      </c>
      <c r="N59" s="221">
        <f>E59</f>
        <v>303.62400000000002</v>
      </c>
      <c r="O59" s="218">
        <f>K59</f>
        <v>0.60637500000000011</v>
      </c>
    </row>
    <row r="60" spans="1:16" s="128" customFormat="1" ht="30" customHeight="1">
      <c r="A60" s="109">
        <v>9358</v>
      </c>
      <c r="B60" s="109" t="s">
        <v>14</v>
      </c>
      <c r="C60" s="109" t="s">
        <v>79</v>
      </c>
      <c r="D60" s="112">
        <v>240</v>
      </c>
      <c r="E60" s="221"/>
      <c r="F60" s="121"/>
      <c r="G60" s="122">
        <v>184.8</v>
      </c>
      <c r="H60" s="218"/>
      <c r="I60" s="218"/>
      <c r="J60" s="218"/>
      <c r="K60" s="218"/>
      <c r="L60" s="112">
        <v>240</v>
      </c>
      <c r="M60" s="221"/>
      <c r="N60" s="221"/>
      <c r="O60" s="218"/>
    </row>
    <row r="61" spans="1:16" s="128" customFormat="1" ht="30" customHeight="1">
      <c r="A61" s="109">
        <v>9358</v>
      </c>
      <c r="B61" s="109" t="s">
        <v>14</v>
      </c>
      <c r="C61" s="109" t="s">
        <v>80</v>
      </c>
      <c r="D61" s="112">
        <v>240</v>
      </c>
      <c r="E61" s="221"/>
      <c r="F61" s="121"/>
      <c r="G61" s="122">
        <v>8.4</v>
      </c>
      <c r="H61" s="218"/>
      <c r="I61" s="218"/>
      <c r="J61" s="218"/>
      <c r="K61" s="218"/>
      <c r="L61" s="112">
        <v>240</v>
      </c>
      <c r="M61" s="221"/>
      <c r="N61" s="221"/>
      <c r="O61" s="218"/>
    </row>
    <row r="62" spans="1:16" s="128" customFormat="1" ht="30" customHeight="1">
      <c r="A62" s="109">
        <v>9358</v>
      </c>
      <c r="B62" s="109" t="s">
        <v>14</v>
      </c>
      <c r="C62" s="109" t="s">
        <v>81</v>
      </c>
      <c r="D62" s="112">
        <v>376</v>
      </c>
      <c r="E62" s="140"/>
      <c r="F62" s="122"/>
      <c r="G62" s="122">
        <v>5.64</v>
      </c>
      <c r="H62" s="144"/>
      <c r="I62" s="144"/>
      <c r="J62" s="144"/>
      <c r="K62" s="144"/>
      <c r="L62" s="112">
        <v>376</v>
      </c>
      <c r="M62" s="140"/>
      <c r="N62" s="140"/>
      <c r="O62" s="144"/>
    </row>
    <row r="63" spans="1:16">
      <c r="A63" s="87">
        <v>9258</v>
      </c>
      <c r="B63" s="87" t="s">
        <v>14</v>
      </c>
      <c r="C63" s="87" t="s">
        <v>82</v>
      </c>
      <c r="D63" s="6">
        <v>3000</v>
      </c>
      <c r="E63" s="6">
        <v>215</v>
      </c>
      <c r="F63" s="5">
        <v>35</v>
      </c>
      <c r="G63" s="6">
        <v>180</v>
      </c>
      <c r="H63" s="6">
        <v>1.1000000000000001</v>
      </c>
      <c r="I63" s="6">
        <v>1.02</v>
      </c>
      <c r="J63" s="6">
        <v>1.2342000000000002</v>
      </c>
      <c r="K63" s="4">
        <f t="shared" ref="K63" si="10">H63*I63*J63</f>
        <v>1.3847724000000003</v>
      </c>
      <c r="L63" s="64">
        <v>9000</v>
      </c>
      <c r="M63" s="61">
        <f>L63/D63</f>
        <v>3</v>
      </c>
      <c r="N63" s="61">
        <f>M63*E63</f>
        <v>645</v>
      </c>
      <c r="O63" s="62">
        <f>M63*K63</f>
        <v>4.1543172000000013</v>
      </c>
      <c r="P63" t="s">
        <v>63</v>
      </c>
    </row>
    <row r="64" spans="1:16">
      <c r="A64" s="87">
        <v>9258</v>
      </c>
      <c r="B64" s="87" t="s">
        <v>14</v>
      </c>
      <c r="C64" s="87" t="s">
        <v>62</v>
      </c>
      <c r="D64" s="6">
        <v>3000</v>
      </c>
      <c r="E64" s="6">
        <v>215</v>
      </c>
      <c r="F64" s="5">
        <v>35</v>
      </c>
      <c r="G64" s="6">
        <v>180</v>
      </c>
      <c r="H64" s="6">
        <v>1.1000000000000001</v>
      </c>
      <c r="I64" s="6">
        <v>1.02</v>
      </c>
      <c r="J64" s="6">
        <v>1.2342000000000002</v>
      </c>
      <c r="K64" s="4">
        <f t="shared" ref="K64" si="11">H64*I64*J64</f>
        <v>1.3847724000000003</v>
      </c>
      <c r="L64" s="64">
        <v>6000</v>
      </c>
      <c r="M64" s="61">
        <f>L64/D64</f>
        <v>2</v>
      </c>
      <c r="N64" s="61">
        <f>M64*E64</f>
        <v>430</v>
      </c>
      <c r="O64" s="62">
        <f>M64*K64</f>
        <v>2.7695448000000007</v>
      </c>
      <c r="P64" t="s">
        <v>63</v>
      </c>
    </row>
    <row r="65" spans="1:15">
      <c r="A65" s="61" t="s">
        <v>49</v>
      </c>
      <c r="B65" s="61" t="s">
        <v>14</v>
      </c>
      <c r="C65" s="61" t="s">
        <v>50</v>
      </c>
      <c r="D65" s="61">
        <v>1</v>
      </c>
      <c r="E65" s="61">
        <v>60</v>
      </c>
      <c r="F65" s="61">
        <v>0</v>
      </c>
      <c r="G65" s="61">
        <v>80</v>
      </c>
      <c r="H65" s="61">
        <v>0.78</v>
      </c>
      <c r="I65" s="61">
        <v>0.78</v>
      </c>
      <c r="J65" s="61">
        <v>0.45</v>
      </c>
      <c r="K65" s="62">
        <f>H65*I65*J65</f>
        <v>0.27378000000000002</v>
      </c>
      <c r="L65" s="64">
        <v>80</v>
      </c>
      <c r="M65" s="61">
        <f>L65/D65</f>
        <v>80</v>
      </c>
      <c r="N65" s="61">
        <f>M65*E65</f>
        <v>4800</v>
      </c>
      <c r="O65" s="62">
        <f>M65*K65</f>
        <v>21.9024</v>
      </c>
    </row>
    <row r="66" spans="1:15">
      <c r="L66">
        <f>SUM(L2:L65)</f>
        <v>23816</v>
      </c>
      <c r="M66">
        <f t="shared" ref="M66:O66" si="12">SUM(M2:M65)</f>
        <v>118.66666666666666</v>
      </c>
      <c r="N66">
        <f t="shared" si="12"/>
        <v>22835.391999999996</v>
      </c>
      <c r="O66">
        <f t="shared" si="12"/>
        <v>43.797280000000001</v>
      </c>
    </row>
  </sheetData>
  <mergeCells count="50">
    <mergeCell ref="O59:O62"/>
    <mergeCell ref="M49:M58"/>
    <mergeCell ref="N49:N58"/>
    <mergeCell ref="O49:O58"/>
    <mergeCell ref="E59:E62"/>
    <mergeCell ref="H59:H62"/>
    <mergeCell ref="I59:I62"/>
    <mergeCell ref="J59:J62"/>
    <mergeCell ref="K59:K62"/>
    <mergeCell ref="M59:M62"/>
    <mergeCell ref="N59:N62"/>
    <mergeCell ref="E49:E58"/>
    <mergeCell ref="G49:G58"/>
    <mergeCell ref="H49:H58"/>
    <mergeCell ref="I49:I58"/>
    <mergeCell ref="J49:J58"/>
    <mergeCell ref="K49:K58"/>
    <mergeCell ref="O41:O44"/>
    <mergeCell ref="E45:E47"/>
    <mergeCell ref="H45:H47"/>
    <mergeCell ref="I45:I47"/>
    <mergeCell ref="J45:J47"/>
    <mergeCell ref="K45:K47"/>
    <mergeCell ref="M45:M47"/>
    <mergeCell ref="N45:N47"/>
    <mergeCell ref="O45:O47"/>
    <mergeCell ref="M31:M40"/>
    <mergeCell ref="N31:N40"/>
    <mergeCell ref="O31:O40"/>
    <mergeCell ref="E41:E44"/>
    <mergeCell ref="H41:H44"/>
    <mergeCell ref="I41:I44"/>
    <mergeCell ref="J41:J44"/>
    <mergeCell ref="K41:K44"/>
    <mergeCell ref="M41:M44"/>
    <mergeCell ref="N41:N44"/>
    <mergeCell ref="E31:E40"/>
    <mergeCell ref="G31:G40"/>
    <mergeCell ref="H31:H40"/>
    <mergeCell ref="I31:I40"/>
    <mergeCell ref="J31:J40"/>
    <mergeCell ref="K31:K40"/>
    <mergeCell ref="M27:M29"/>
    <mergeCell ref="N27:N29"/>
    <mergeCell ref="O27:O29"/>
    <mergeCell ref="E27:E29"/>
    <mergeCell ref="H27:H29"/>
    <mergeCell ref="I27:I29"/>
    <mergeCell ref="J27:J29"/>
    <mergeCell ref="K27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Draft</vt:lpstr>
      <vt:lpstr>Shipment#1-1x20</vt:lpstr>
      <vt:lpstr>Shipment#2-1x40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2025-04-11T03:28:43Z</dcterms:modified>
</cp:coreProperties>
</file>