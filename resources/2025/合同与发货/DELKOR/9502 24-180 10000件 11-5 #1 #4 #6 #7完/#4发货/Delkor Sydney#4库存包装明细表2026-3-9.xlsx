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#4发货\"/>
    </mc:Choice>
  </mc:AlternateContent>
  <xr:revisionPtr revIDLastSave="0" documentId="13_ncr:1_{060E918A-A813-4715-A36A-FABDC4EE59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H5" i="1"/>
  <c r="F5" i="1" s="1"/>
  <c r="O5" i="1"/>
  <c r="M5" i="1"/>
  <c r="P5" i="1" s="1"/>
  <c r="J5" i="1"/>
  <c r="Q4" i="1"/>
  <c r="O4" i="1"/>
  <c r="M4" i="1"/>
  <c r="P4" i="1" s="1"/>
  <c r="J4" i="1"/>
  <c r="H4" i="1"/>
  <c r="F4" i="1" s="1"/>
  <c r="K6" i="1" l="1"/>
  <c r="F6" i="1" l="1"/>
  <c r="Q6" i="1"/>
  <c r="P6" i="1"/>
  <c r="O6" i="1"/>
  <c r="H6" i="1"/>
</calcChain>
</file>

<file path=xl/sharedStrings.xml><?xml version="1.0" encoding="utf-8"?>
<sst xmlns="http://schemas.openxmlformats.org/spreadsheetml/2006/main" count="30" uniqueCount="30">
  <si>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</si>
  <si>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</si>
  <si>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</si>
  <si>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</si>
  <si>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</si>
  <si>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</si>
  <si>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</si>
  <si>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</si>
  <si>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</si>
  <si>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</si>
  <si>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</si>
  <si>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</si>
  <si>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</si>
  <si>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</si>
  <si>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</si>
  <si>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</si>
  <si>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</si>
  <si>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</si>
  <si>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</si>
  <si>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</si>
  <si>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</si>
  <si>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</si>
  <si>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</si>
  <si>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</si>
  <si>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弹垫
Spring Washer</t>
  </si>
  <si>
    <t>24x180</t>
  </si>
  <si>
    <t>#4</t>
    <phoneticPr fontId="9" type="noConversion"/>
  </si>
  <si>
    <r>
      <t xml:space="preserve">1100*800*550
</t>
    </r>
    <r>
      <rPr>
        <sz val="10"/>
        <rFont val="宋体"/>
        <family val="3"/>
        <charset val="134"/>
        <scheme val="minor"/>
      </rPr>
      <t>0.48</t>
    </r>
    <phoneticPr fontId="9" type="noConversion"/>
  </si>
  <si>
    <t>1/7-2/7</t>
    <phoneticPr fontId="9" type="noConversion"/>
  </si>
  <si>
    <t>3/7-7/7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</si>
</sst>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5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8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tabSelected="1" workbookViewId="0">
      <selection activeCell="M12" sqref="M12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9" ht="30.75" customHeight="1" x14ac:dyDescent="0.15">
      <c r="A2" s="14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24</v>
      </c>
      <c r="C4" s="19">
        <v>25</v>
      </c>
      <c r="D4" s="17">
        <v>9462</v>
      </c>
      <c r="E4" s="20" t="s">
        <v>28</v>
      </c>
      <c r="F4" s="2">
        <f t="shared" ref="F4" si="0">G4*H4</f>
        <v>8000</v>
      </c>
      <c r="G4" s="15">
        <v>200</v>
      </c>
      <c r="H4" s="15">
        <f t="shared" ref="H4" si="1">I4*K4</f>
        <v>40</v>
      </c>
      <c r="I4" s="15">
        <v>20</v>
      </c>
      <c r="J4" s="15">
        <f t="shared" ref="J4" si="2">G4*I4</f>
        <v>4000</v>
      </c>
      <c r="K4" s="15">
        <v>2</v>
      </c>
      <c r="L4" s="15">
        <v>365</v>
      </c>
      <c r="M4" s="15">
        <f t="shared" ref="M4" si="3">L4+42</f>
        <v>407</v>
      </c>
      <c r="N4" s="8" t="s">
        <v>23</v>
      </c>
      <c r="O4" s="15">
        <f t="shared" ref="O4" si="4">L4*K4</f>
        <v>730</v>
      </c>
      <c r="P4" s="15">
        <f t="shared" ref="P4" si="5">M4*K4</f>
        <v>814</v>
      </c>
      <c r="Q4" s="18">
        <f>0.48*K4</f>
        <v>0.96</v>
      </c>
      <c r="R4" s="12"/>
      <c r="S4" s="12"/>
    </row>
    <row r="5" spans="1:19" ht="51.75" customHeight="1" x14ac:dyDescent="0.15">
      <c r="A5" s="15">
        <v>2</v>
      </c>
      <c r="B5" s="4" t="s">
        <v>17</v>
      </c>
      <c r="C5" s="16" t="s">
        <v>25</v>
      </c>
      <c r="D5" s="17">
        <v>9502</v>
      </c>
      <c r="E5" s="18" t="s">
        <v>29</v>
      </c>
      <c r="F5" s="2">
        <f t="shared" ref="F5" si="6">G5*H5</f>
        <v>4000</v>
      </c>
      <c r="G5" s="2">
        <v>25</v>
      </c>
      <c r="H5" s="15">
        <f t="shared" ref="H5" si="7">I5*K5</f>
        <v>160</v>
      </c>
      <c r="I5" s="2">
        <v>32</v>
      </c>
      <c r="J5" s="27">
        <f>G5*I5</f>
        <v>800</v>
      </c>
      <c r="K5" s="27">
        <v>5</v>
      </c>
      <c r="L5" s="2">
        <v>645</v>
      </c>
      <c r="M5" s="22">
        <f>L5+46</f>
        <v>691</v>
      </c>
      <c r="N5" s="21" t="s">
        <v>27</v>
      </c>
      <c r="O5" s="2">
        <f>L5*K5</f>
        <v>3225</v>
      </c>
      <c r="P5" s="15">
        <f>M5*K5</f>
        <v>3455</v>
      </c>
      <c r="Q5" s="18">
        <f>0.48*K5</f>
        <v>2.4</v>
      </c>
      <c r="R5" s="12"/>
      <c r="S5" s="12"/>
    </row>
    <row r="6" spans="1:19" ht="35.25" customHeight="1" x14ac:dyDescent="0.15">
      <c r="A6" s="26" t="s">
        <v>18</v>
      </c>
      <c r="B6" s="26"/>
      <c r="C6" s="26"/>
      <c r="D6" s="3"/>
      <c r="E6" s="1"/>
      <c r="F6" s="3">
        <f>SUM(F4:F5)</f>
        <v>12000</v>
      </c>
      <c r="G6" s="3"/>
      <c r="H6" s="3">
        <f>SUM(H4:H5)</f>
        <v>200</v>
      </c>
      <c r="I6" s="3"/>
      <c r="J6" s="3"/>
      <c r="K6" s="3">
        <f>SUM(K4:K5)</f>
        <v>7</v>
      </c>
      <c r="L6" s="3"/>
      <c r="M6" s="3"/>
      <c r="N6" s="1"/>
      <c r="O6" s="3">
        <f>SUM(O4:O5)</f>
        <v>3955</v>
      </c>
      <c r="P6" s="3">
        <f>SUM(P4:P5)</f>
        <v>4269</v>
      </c>
      <c r="Q6" s="1">
        <f>SUM(Q4:Q5)</f>
        <v>3.36</v>
      </c>
      <c r="R6" s="12"/>
    </row>
    <row r="7" spans="1:19" ht="21" customHeight="1" x14ac:dyDescent="0.15">
      <c r="A7" s="5"/>
      <c r="B7" s="5"/>
      <c r="C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9" ht="21" customHeight="1" x14ac:dyDescent="0.15">
      <c r="A8" s="5"/>
      <c r="B8" s="6" t="s">
        <v>19</v>
      </c>
      <c r="C8" s="5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3" t="s">
        <v>21</v>
      </c>
      <c r="O9" s="23"/>
      <c r="P9" s="23"/>
      <c r="Q9" s="23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3">
        <v>46090</v>
      </c>
      <c r="O10" s="23"/>
      <c r="P10" s="23"/>
      <c r="Q10" s="23"/>
    </row>
    <row r="11" spans="1:19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</sheetData>
  <mergeCells count="4">
    <mergeCell ref="N10:Q10"/>
    <mergeCell ref="A1:Q1"/>
    <mergeCell ref="A6:C6"/>
    <mergeCell ref="N9:Q9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2026-03-11T09:18:55Z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