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1-2026-TMT\"/>
    </mc:Choice>
  </mc:AlternateContent>
  <xr:revisionPtr revIDLastSave="0" documentId="13_ncr:1_{B05556D1-7CEC-4829-B43A-9B65594FF7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M33" i="1"/>
  <c r="K33" i="1"/>
  <c r="M32" i="1"/>
  <c r="N32" i="1" s="1"/>
  <c r="K32" i="1"/>
  <c r="O32" i="1" s="1"/>
  <c r="M31" i="1"/>
  <c r="N31" i="1" s="1"/>
  <c r="K31" i="1"/>
  <c r="O31" i="1" s="1"/>
  <c r="M30" i="1"/>
  <c r="N30" i="1" s="1"/>
  <c r="K30" i="1"/>
  <c r="F30" i="1"/>
  <c r="M29" i="1"/>
  <c r="K29" i="1"/>
  <c r="F29" i="1"/>
  <c r="M28" i="1"/>
  <c r="K28" i="1"/>
  <c r="F28" i="1"/>
  <c r="M27" i="1"/>
  <c r="N27" i="1" s="1"/>
  <c r="K27" i="1"/>
  <c r="F27" i="1"/>
  <c r="M26" i="1"/>
  <c r="K26" i="1"/>
  <c r="F26" i="1"/>
  <c r="M25" i="1"/>
  <c r="N25" i="1" s="1"/>
  <c r="K25" i="1"/>
  <c r="F25" i="1"/>
  <c r="M24" i="1"/>
  <c r="N24" i="1" s="1"/>
  <c r="K24" i="1"/>
  <c r="F24" i="1"/>
  <c r="M23" i="1"/>
  <c r="K23" i="1"/>
  <c r="F23" i="1"/>
  <c r="M22" i="1"/>
  <c r="K22" i="1"/>
  <c r="M21" i="1"/>
  <c r="K21" i="1"/>
  <c r="L16" i="1"/>
  <c r="M15" i="1"/>
  <c r="K15" i="1"/>
  <c r="M14" i="1"/>
  <c r="K14" i="1"/>
  <c r="M13" i="1"/>
  <c r="K13" i="1"/>
  <c r="F13" i="1"/>
  <c r="M12" i="1"/>
  <c r="K12" i="1"/>
  <c r="F12" i="1"/>
  <c r="M11" i="1"/>
  <c r="K11" i="1"/>
  <c r="F11" i="1"/>
  <c r="M10" i="1"/>
  <c r="K10" i="1"/>
  <c r="F10" i="1"/>
  <c r="M9" i="1"/>
  <c r="K9" i="1"/>
  <c r="F9" i="1"/>
  <c r="M8" i="1"/>
  <c r="K8" i="1"/>
  <c r="F8" i="1"/>
  <c r="M7" i="1"/>
  <c r="K7" i="1"/>
  <c r="F7" i="1"/>
  <c r="M6" i="1"/>
  <c r="K6" i="1"/>
  <c r="F6" i="1"/>
  <c r="M5" i="1"/>
  <c r="N5" i="1" s="1"/>
  <c r="K5" i="1"/>
  <c r="F5" i="1"/>
  <c r="M4" i="1"/>
  <c r="N4" i="1" s="1"/>
  <c r="K4" i="1"/>
  <c r="F4" i="1"/>
  <c r="M3" i="1"/>
  <c r="K3" i="1"/>
  <c r="F3" i="1"/>
  <c r="O15" i="1" l="1"/>
  <c r="O24" i="1"/>
  <c r="O21" i="1"/>
  <c r="O11" i="1"/>
  <c r="O25" i="1"/>
  <c r="O28" i="1"/>
  <c r="N15" i="1"/>
  <c r="O9" i="1"/>
  <c r="O12" i="1"/>
  <c r="O5" i="1"/>
  <c r="O6" i="1"/>
  <c r="O7" i="1"/>
  <c r="O8" i="1"/>
  <c r="O22" i="1"/>
  <c r="O13" i="1"/>
  <c r="O33" i="1"/>
  <c r="O29" i="1"/>
  <c r="O23" i="1"/>
  <c r="M16" i="1"/>
  <c r="O14" i="1"/>
  <c r="O10" i="1"/>
  <c r="N22" i="1"/>
  <c r="N6" i="1"/>
  <c r="N9" i="1"/>
  <c r="N14" i="1"/>
  <c r="N26" i="1"/>
  <c r="O26" i="1"/>
  <c r="O3" i="1"/>
  <c r="N3" i="1"/>
  <c r="N29" i="1"/>
  <c r="N12" i="1"/>
  <c r="O30" i="1"/>
  <c r="N7" i="1"/>
  <c r="O27" i="1"/>
  <c r="N33" i="1"/>
  <c r="O4" i="1"/>
  <c r="N13" i="1"/>
  <c r="N23" i="1"/>
  <c r="M34" i="1"/>
  <c r="N10" i="1"/>
  <c r="N28" i="1"/>
  <c r="N11" i="1"/>
  <c r="N21" i="1"/>
  <c r="N8" i="1"/>
  <c r="N34" i="1" l="1"/>
  <c r="O16" i="1"/>
  <c r="O34" i="1"/>
  <c r="N16" i="1"/>
</calcChain>
</file>

<file path=xl/sharedStrings.xml><?xml version="1.0" encoding="utf-8"?>
<sst xmlns="http://schemas.openxmlformats.org/spreadsheetml/2006/main" count="115" uniqueCount="57">
  <si>
    <t>40HQ</t>
  </si>
  <si>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</si>
  <si>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</si>
  <si>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</si>
  <si>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</si>
  <si>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</si>
  <si>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</si>
  <si>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</si>
  <si>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</si>
  <si>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</si>
  <si>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</si>
  <si>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</si>
  <si>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</si>
  <si>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</si>
  <si>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</si>
  <si>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</si>
  <si>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</si>
  <si>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Fosco</t>
  </si>
  <si>
    <t>9521Rev1</t>
  </si>
  <si>
    <t>Serrated Washer Ø26 x 6mm Pitch Hot Dipped Galvanising</t>
  </si>
  <si>
    <t>9522Rev1</t>
  </si>
  <si>
    <t>Serrated Washer Ø26 x 6mm Pitch Sherardising</t>
  </si>
  <si>
    <t>TMT</t>
  </si>
  <si>
    <t>Sudelan</t>
  </si>
  <si>
    <t>Ss8 GAL SCREWSPIKES 24 DIA X 165. 5.6</t>
  </si>
  <si>
    <t>S 24x 145 Long Hot Dip Galvanised Screwspikes</t>
  </si>
  <si>
    <t>27 Dia x 165 LONG HOT DIPPED GALVANISED</t>
  </si>
  <si>
    <t xml:space="preserve">Ss8 Fe6 GAL SCREWSPIKE 24 x 165 </t>
  </si>
  <si>
    <t>Fe6 Spring Wahser</t>
  </si>
  <si>
    <t>22 x 150 5.6 Grade</t>
  </si>
  <si>
    <t>26 Dia x190 Long Hex Heads 8.8 G Screwspike</t>
  </si>
  <si>
    <t>SsR 24 x 180 Hot Dipped Galvanised Screwspike</t>
  </si>
  <si>
    <t>MSP801R2</t>
  </si>
  <si>
    <t>Primary Spring (4GT / TC)</t>
  </si>
  <si>
    <t>Primary Spring (WGT, SGT &amp; 4GT / MC)</t>
  </si>
  <si>
    <t>Bush Traction Beam</t>
  </si>
  <si>
    <t>Bush Traction Rod</t>
  </si>
  <si>
    <t>Bush Anti Roll Bar Rod Bottom</t>
  </si>
  <si>
    <t>Bush Anti Roll Bar Rod Top</t>
  </si>
  <si>
    <t>Lateral Bump Stop</t>
  </si>
  <si>
    <t>Anti Roll Bar Bush Torsion</t>
  </si>
  <si>
    <t>Anti Roll Bar Pad Thrust</t>
  </si>
  <si>
    <t>Air Spring (WTP)</t>
  </si>
  <si>
    <t>MSP804R6</t>
  </si>
  <si>
    <t>Air Bellow (MS9007TMT)</t>
  </si>
  <si>
    <t>MSP00871</t>
  </si>
  <si>
    <t>Air Bellows</t>
  </si>
  <si>
    <t>Lynn</t>
  </si>
  <si>
    <t>2440 x 1050 x 5mm HDPE Sheets Black</t>
  </si>
  <si>
    <t>2440 x 1050 x 20mm HDPE Sheets Black</t>
  </si>
  <si>
    <t>MSP00886</t>
  </si>
  <si>
    <t>Conical Spring Trailer Tangara</t>
  </si>
  <si>
    <t>20GP</t>
  </si>
  <si>
    <t>X4</t>
  </si>
  <si>
    <t>MSP802R3</t>
  </si>
  <si>
    <t>Container Door</t>
  </si>
  <si>
    <t>靠集装箱门装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</si>
</sst>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;[Red]\-0.00\ "/>
    <numFmt numFmtId="165" formatCode="[$-C09]dd\-mmm\-yy;@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165" fontId="1" fillId="0" borderId="0"/>
    <xf numFmtId="0" fontId="1" fillId="0" borderId="0">
      <alignment vertical="center"/>
    </xf>
    <xf numFmtId="165" fontId="1" fillId="0" borderId="0"/>
  </cellStyleXfs>
  <cellXfs count="75">
    <xf numFmtId="0" fontId="0" fillId="0" borderId="0" xfId="0"/>
    <xf numFmtId="14" fontId="0" fillId="0" borderId="0" xfId="0" applyNumberFormat="1"/>
    <xf numFmtId="1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4" borderId="0" xfId="0" applyNumberFormat="1" applyFill="1"/>
    <xf numFmtId="0" fontId="0" fillId="0" borderId="3" xfId="0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2" fontId="7" fillId="0" borderId="1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7" fillId="0" borderId="3" xfId="2" applyNumberFormat="1" applyFon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164" fontId="0" fillId="0" borderId="3" xfId="2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/>
    <xf numFmtId="2" fontId="7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3" xfId="2" applyFont="1" applyBorder="1" applyAlignment="1">
      <alignment horizontal="center" vertical="center"/>
    </xf>
    <xf numFmtId="165" fontId="8" fillId="0" borderId="3" xfId="2" applyFont="1" applyBorder="1" applyAlignment="1">
      <alignment horizontal="center" vertical="center"/>
    </xf>
    <xf numFmtId="2" fontId="9" fillId="0" borderId="3" xfId="2" applyNumberFormat="1" applyFont="1" applyBorder="1" applyAlignment="1">
      <alignment horizontal="center" vertical="center"/>
    </xf>
    <xf numFmtId="2" fontId="8" fillId="0" borderId="3" xfId="2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2" fontId="0" fillId="4" borderId="3" xfId="0" applyNumberFormat="1" applyFill="1" applyBorder="1" applyAlignment="1">
      <alignment horizontal="center"/>
    </xf>
    <xf numFmtId="14" fontId="0" fillId="4" borderId="3" xfId="0" applyNumberFormat="1" applyFill="1" applyBorder="1"/>
    <xf numFmtId="0" fontId="3" fillId="4" borderId="3" xfId="0" applyFont="1" applyFill="1" applyBorder="1" applyAlignment="1">
      <alignment horizontal="center" vertical="center"/>
    </xf>
    <xf numFmtId="2" fontId="0" fillId="0" borderId="3" xfId="0" applyNumberFormat="1" applyBorder="1"/>
    <xf numFmtId="2" fontId="0" fillId="0" borderId="2" xfId="0" applyNumberFormat="1" applyBorder="1" applyAlignment="1">
      <alignment horizontal="center"/>
    </xf>
    <xf numFmtId="165" fontId="0" fillId="0" borderId="3" xfId="2" applyFont="1" applyBorder="1" applyAlignment="1">
      <alignment horizontal="left" vertical="center"/>
    </xf>
    <xf numFmtId="0" fontId="0" fillId="0" borderId="3" xfId="0" applyBorder="1"/>
    <xf numFmtId="14" fontId="0" fillId="0" borderId="3" xfId="0" applyNumberFormat="1" applyBorder="1"/>
    <xf numFmtId="2" fontId="0" fillId="0" borderId="0" xfId="0" applyNumberFormat="1"/>
    <xf numFmtId="0" fontId="0" fillId="0" borderId="1" xfId="0" applyBorder="1" applyAlignment="1">
      <alignment horizontal="left" vertical="center" shrinkToFit="1"/>
    </xf>
    <xf numFmtId="0" fontId="0" fillId="0" borderId="0" xfId="0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3" xfId="0" applyFill="1" applyBorder="1" applyAlignment="1">
      <alignment horizontal="center"/>
    </xf>
    <xf numFmtId="165" fontId="11" fillId="5" borderId="3" xfId="0" applyNumberFormat="1" applyFon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center" vertical="center"/>
    </xf>
    <xf numFmtId="2" fontId="0" fillId="5" borderId="3" xfId="2" applyNumberFormat="1" applyFon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2" fontId="0" fillId="5" borderId="3" xfId="1" applyNumberFormat="1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/>
    <xf numFmtId="14" fontId="0" fillId="5" borderId="0" xfId="0" applyNumberFormat="1" applyFill="1"/>
    <xf numFmtId="0" fontId="0" fillId="5" borderId="0" xfId="0" applyFill="1"/>
    <xf numFmtId="49" fontId="6" fillId="0" borderId="0" xfId="0" applyNumberFormat="1" applyFont="1" applyAlignment="1">
      <alignment horizontal="center" vertical="center"/>
    </xf>
    <xf numFmtId="2" fontId="7" fillId="0" borderId="2" xfId="2" applyNumberFormat="1" applyFont="1" applyBorder="1" applyAlignment="1">
      <alignment horizontal="center" vertical="center"/>
    </xf>
    <xf numFmtId="2" fontId="0" fillId="0" borderId="2" xfId="2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/>
    </xf>
  </cellXfs>
  <cellStyles count="5">
    <cellStyle name="Good" xfId="1" builtinId="26"/>
    <cellStyle name="Normal" xfId="0" builtinId="0"/>
    <cellStyle name="Normal 10" xfId="3" xr:uid="{50FF310B-2AAF-4951-BFE3-23218B6F8AD8}"/>
    <cellStyle name="Normal 3 2" xfId="2" xr:uid="{7DB4E7C6-F33C-4E05-96C7-C8892D99EE37}"/>
    <cellStyle name="Normal 3 2 3" xfId="4" xr:uid="{44A0C322-F465-4279-9865-53C81F9EF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topLeftCell="B14" workbookViewId="0">
      <selection activeCell="Q32" sqref="Q32"/>
    </sheetView>
  </sheetViews>
  <sheetFormatPr defaultRowHeight="14.4" x14ac:dyDescent="0.3"/>
  <cols>
    <col min="1" max="1" width="10.5546875" bestFit="1" customWidth="1"/>
    <col min="3" max="3" width="53.33203125" bestFit="1" customWidth="1"/>
    <col min="16" max="16" width="10.5546875" bestFit="1" customWidth="1"/>
  </cols>
  <sheetData>
    <row r="1" spans="1:16" x14ac:dyDescent="0.3">
      <c r="A1" s="1">
        <v>46038</v>
      </c>
      <c r="C1" t="s">
        <v>0</v>
      </c>
    </row>
    <row r="2" spans="1:16" ht="41.4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</row>
    <row r="3" spans="1:16" s="35" customFormat="1" x14ac:dyDescent="0.3">
      <c r="A3" s="35" t="s">
        <v>32</v>
      </c>
      <c r="B3" s="35" t="s">
        <v>22</v>
      </c>
      <c r="C3" s="36" t="s">
        <v>33</v>
      </c>
      <c r="D3" s="37">
        <v>8</v>
      </c>
      <c r="E3" s="37">
        <v>227</v>
      </c>
      <c r="F3" s="38">
        <f>E3-G3</f>
        <v>37</v>
      </c>
      <c r="G3" s="37">
        <v>190</v>
      </c>
      <c r="H3" s="37">
        <v>1.06</v>
      </c>
      <c r="I3" s="37">
        <v>0.55000000000000004</v>
      </c>
      <c r="J3" s="37">
        <v>0.45</v>
      </c>
      <c r="K3" s="39">
        <f t="shared" ref="K3:K8" si="0">(H3*I3)*J3</f>
        <v>0.26235000000000003</v>
      </c>
      <c r="L3" s="36">
        <v>0</v>
      </c>
      <c r="M3" s="36">
        <f t="shared" ref="M3:M8" si="1">L3/D3</f>
        <v>0</v>
      </c>
      <c r="N3" s="38">
        <f>M3*E3</f>
        <v>0</v>
      </c>
      <c r="O3" s="38">
        <f>M3*K3</f>
        <v>0</v>
      </c>
      <c r="P3" s="40">
        <v>46033</v>
      </c>
    </row>
    <row r="4" spans="1:16" s="35" customFormat="1" x14ac:dyDescent="0.3">
      <c r="A4" s="35" t="s">
        <v>32</v>
      </c>
      <c r="B4" s="35" t="s">
        <v>22</v>
      </c>
      <c r="C4" s="36" t="s">
        <v>34</v>
      </c>
      <c r="D4" s="37">
        <v>8</v>
      </c>
      <c r="E4" s="37">
        <v>227</v>
      </c>
      <c r="F4" s="38">
        <f t="shared" ref="F4:F8" si="2">E4-G4</f>
        <v>37</v>
      </c>
      <c r="G4" s="37">
        <v>190</v>
      </c>
      <c r="H4" s="37">
        <v>1.06</v>
      </c>
      <c r="I4" s="37">
        <v>0.55000000000000004</v>
      </c>
      <c r="J4" s="37">
        <v>0.45</v>
      </c>
      <c r="K4" s="39">
        <f t="shared" si="0"/>
        <v>0.26235000000000003</v>
      </c>
      <c r="L4" s="41">
        <v>120</v>
      </c>
      <c r="M4" s="36">
        <f t="shared" si="1"/>
        <v>15</v>
      </c>
      <c r="N4" s="38">
        <f t="shared" ref="N4:N8" si="3">M4*E4</f>
        <v>3405</v>
      </c>
      <c r="O4" s="38">
        <f t="shared" ref="O4:O8" si="4">M4*K4</f>
        <v>3.9352500000000004</v>
      </c>
      <c r="P4" s="40">
        <v>46033</v>
      </c>
    </row>
    <row r="5" spans="1:16" s="35" customFormat="1" x14ac:dyDescent="0.3">
      <c r="A5" s="35" t="s">
        <v>32</v>
      </c>
      <c r="B5" s="35" t="s">
        <v>22</v>
      </c>
      <c r="C5" s="36" t="s">
        <v>35</v>
      </c>
      <c r="D5" s="37">
        <v>64</v>
      </c>
      <c r="E5" s="37">
        <v>254</v>
      </c>
      <c r="F5" s="38">
        <f t="shared" si="2"/>
        <v>62</v>
      </c>
      <c r="G5" s="37">
        <v>192</v>
      </c>
      <c r="H5" s="37">
        <v>1.05</v>
      </c>
      <c r="I5" s="37">
        <v>0.8</v>
      </c>
      <c r="J5" s="37">
        <v>0.36</v>
      </c>
      <c r="K5" s="39">
        <f t="shared" si="0"/>
        <v>0.3024</v>
      </c>
      <c r="L5" s="41">
        <v>56</v>
      </c>
      <c r="M5" s="36">
        <f t="shared" si="1"/>
        <v>0.875</v>
      </c>
      <c r="N5" s="38">
        <f t="shared" si="3"/>
        <v>222.25</v>
      </c>
      <c r="O5" s="38">
        <f t="shared" si="4"/>
        <v>0.2646</v>
      </c>
      <c r="P5" s="40">
        <v>46033</v>
      </c>
    </row>
    <row r="6" spans="1:16" s="35" customFormat="1" x14ac:dyDescent="0.3">
      <c r="A6" s="35" t="s">
        <v>32</v>
      </c>
      <c r="B6" s="35" t="s">
        <v>22</v>
      </c>
      <c r="C6" s="36" t="s">
        <v>36</v>
      </c>
      <c r="D6" s="37">
        <v>64</v>
      </c>
      <c r="E6" s="37">
        <v>446</v>
      </c>
      <c r="F6" s="38">
        <f t="shared" si="2"/>
        <v>43</v>
      </c>
      <c r="G6" s="37">
        <v>403</v>
      </c>
      <c r="H6" s="37">
        <v>1.05</v>
      </c>
      <c r="I6" s="37">
        <v>0.8</v>
      </c>
      <c r="J6" s="37">
        <v>0.36</v>
      </c>
      <c r="K6" s="39">
        <f t="shared" si="0"/>
        <v>0.3024</v>
      </c>
      <c r="L6" s="41">
        <v>32</v>
      </c>
      <c r="M6" s="36">
        <f t="shared" si="1"/>
        <v>0.5</v>
      </c>
      <c r="N6" s="38">
        <f t="shared" si="3"/>
        <v>223</v>
      </c>
      <c r="O6" s="38">
        <f t="shared" si="4"/>
        <v>0.1512</v>
      </c>
      <c r="P6" s="40">
        <v>46033</v>
      </c>
    </row>
    <row r="7" spans="1:16" s="35" customFormat="1" ht="13.8" customHeight="1" x14ac:dyDescent="0.3">
      <c r="A7" s="35" t="s">
        <v>32</v>
      </c>
      <c r="B7" s="35" t="s">
        <v>22</v>
      </c>
      <c r="C7" s="36" t="s">
        <v>37</v>
      </c>
      <c r="D7" s="37">
        <v>64</v>
      </c>
      <c r="E7" s="37">
        <v>250</v>
      </c>
      <c r="F7" s="38">
        <f t="shared" si="2"/>
        <v>32</v>
      </c>
      <c r="G7" s="37">
        <v>218</v>
      </c>
      <c r="H7" s="37">
        <v>1.05</v>
      </c>
      <c r="I7" s="37">
        <v>0.8</v>
      </c>
      <c r="J7" s="37">
        <v>0.32</v>
      </c>
      <c r="K7" s="39">
        <f t="shared" si="0"/>
        <v>0.26880000000000004</v>
      </c>
      <c r="L7" s="41">
        <v>80</v>
      </c>
      <c r="M7" s="36">
        <f t="shared" si="1"/>
        <v>1.25</v>
      </c>
      <c r="N7" s="38">
        <f t="shared" si="3"/>
        <v>312.5</v>
      </c>
      <c r="O7" s="38">
        <f t="shared" si="4"/>
        <v>0.33600000000000008</v>
      </c>
      <c r="P7" s="40">
        <v>46033</v>
      </c>
    </row>
    <row r="8" spans="1:16" s="35" customFormat="1" x14ac:dyDescent="0.3">
      <c r="A8" s="35" t="s">
        <v>32</v>
      </c>
      <c r="B8" s="35" t="s">
        <v>22</v>
      </c>
      <c r="C8" s="36" t="s">
        <v>38</v>
      </c>
      <c r="D8" s="37">
        <v>64</v>
      </c>
      <c r="E8" s="37">
        <v>340</v>
      </c>
      <c r="F8" s="38">
        <f t="shared" si="2"/>
        <v>32</v>
      </c>
      <c r="G8" s="37">
        <v>308</v>
      </c>
      <c r="H8" s="37">
        <v>1.05</v>
      </c>
      <c r="I8" s="37">
        <v>0.8</v>
      </c>
      <c r="J8" s="37">
        <v>0.32</v>
      </c>
      <c r="K8" s="39">
        <f t="shared" si="0"/>
        <v>0.26880000000000004</v>
      </c>
      <c r="L8" s="41">
        <v>80</v>
      </c>
      <c r="M8" s="36">
        <f t="shared" si="1"/>
        <v>1.25</v>
      </c>
      <c r="N8" s="38">
        <f t="shared" si="3"/>
        <v>425</v>
      </c>
      <c r="O8" s="38">
        <f t="shared" si="4"/>
        <v>0.33600000000000008</v>
      </c>
      <c r="P8" s="40">
        <v>46033</v>
      </c>
    </row>
    <row r="9" spans="1:16" s="35" customFormat="1" x14ac:dyDescent="0.3">
      <c r="A9" s="35" t="s">
        <v>32</v>
      </c>
      <c r="B9" s="35" t="s">
        <v>22</v>
      </c>
      <c r="C9" s="36" t="s">
        <v>39</v>
      </c>
      <c r="D9" s="37">
        <v>50</v>
      </c>
      <c r="E9" s="37">
        <v>135</v>
      </c>
      <c r="F9" s="38">
        <f>E9-G9</f>
        <v>28</v>
      </c>
      <c r="G9" s="37">
        <v>107</v>
      </c>
      <c r="H9" s="37">
        <v>1.02</v>
      </c>
      <c r="I9" s="37">
        <v>0.47</v>
      </c>
      <c r="J9" s="37">
        <v>0.38</v>
      </c>
      <c r="K9" s="39">
        <f>(H9*I9)*J9</f>
        <v>0.182172</v>
      </c>
      <c r="L9" s="41">
        <v>150</v>
      </c>
      <c r="M9" s="38">
        <f>L9/D9</f>
        <v>3</v>
      </c>
      <c r="N9" s="38">
        <f>M9*E9</f>
        <v>405</v>
      </c>
      <c r="O9" s="38">
        <f>M9*K9</f>
        <v>0.546516</v>
      </c>
      <c r="P9" s="40">
        <v>46033</v>
      </c>
    </row>
    <row r="10" spans="1:16" s="35" customFormat="1" x14ac:dyDescent="0.3">
      <c r="A10" s="35" t="s">
        <v>32</v>
      </c>
      <c r="B10" s="35" t="s">
        <v>22</v>
      </c>
      <c r="C10" s="36" t="s">
        <v>40</v>
      </c>
      <c r="D10" s="37">
        <v>256</v>
      </c>
      <c r="E10" s="37">
        <v>428.4</v>
      </c>
      <c r="F10" s="38">
        <f t="shared" ref="F10:F13" si="5">E10-G10</f>
        <v>70</v>
      </c>
      <c r="G10" s="37">
        <v>358.4</v>
      </c>
      <c r="H10" s="37">
        <v>1.05</v>
      </c>
      <c r="I10" s="37">
        <v>0.8</v>
      </c>
      <c r="J10" s="37">
        <v>0.73</v>
      </c>
      <c r="K10" s="39">
        <f t="shared" ref="K10:K12" si="6">(H10*I10)*J10</f>
        <v>0.61320000000000008</v>
      </c>
      <c r="L10" s="41">
        <v>32</v>
      </c>
      <c r="M10" s="36">
        <f t="shared" ref="M10:M13" si="7">L10/D10</f>
        <v>0.125</v>
      </c>
      <c r="N10" s="38">
        <f t="shared" ref="N10:N13" si="8">M10*E10</f>
        <v>53.55</v>
      </c>
      <c r="O10" s="38">
        <f t="shared" ref="O10:O13" si="9">M10*K10</f>
        <v>7.665000000000001E-2</v>
      </c>
      <c r="P10" s="40">
        <v>46033</v>
      </c>
    </row>
    <row r="11" spans="1:16" s="35" customFormat="1" x14ac:dyDescent="0.3">
      <c r="A11" s="35" t="s">
        <v>32</v>
      </c>
      <c r="B11" s="35" t="s">
        <v>22</v>
      </c>
      <c r="C11" s="36" t="s">
        <v>41</v>
      </c>
      <c r="D11" s="37">
        <v>256</v>
      </c>
      <c r="E11" s="37">
        <v>338</v>
      </c>
      <c r="F11" s="38">
        <f t="shared" si="5"/>
        <v>48</v>
      </c>
      <c r="G11" s="37">
        <v>290</v>
      </c>
      <c r="H11" s="37">
        <v>1.05</v>
      </c>
      <c r="I11" s="37">
        <v>0.8</v>
      </c>
      <c r="J11" s="37">
        <v>0.55000000000000004</v>
      </c>
      <c r="K11" s="39">
        <f t="shared" si="6"/>
        <v>0.46200000000000008</v>
      </c>
      <c r="L11" s="41">
        <v>32</v>
      </c>
      <c r="M11" s="36">
        <f t="shared" si="7"/>
        <v>0.125</v>
      </c>
      <c r="N11" s="38">
        <f t="shared" si="8"/>
        <v>42.25</v>
      </c>
      <c r="O11" s="38">
        <f t="shared" si="9"/>
        <v>5.775000000000001E-2</v>
      </c>
      <c r="P11" s="40">
        <v>46033</v>
      </c>
    </row>
    <row r="12" spans="1:16" s="35" customFormat="1" x14ac:dyDescent="0.3">
      <c r="A12" s="35" t="s">
        <v>54</v>
      </c>
      <c r="B12" s="35" t="s">
        <v>22</v>
      </c>
      <c r="C12" s="36" t="s">
        <v>42</v>
      </c>
      <c r="D12" s="37">
        <v>1</v>
      </c>
      <c r="E12" s="37">
        <v>210</v>
      </c>
      <c r="F12" s="38">
        <f t="shared" si="5"/>
        <v>45</v>
      </c>
      <c r="G12" s="37">
        <v>165</v>
      </c>
      <c r="H12" s="37">
        <v>0.91</v>
      </c>
      <c r="I12" s="37">
        <v>0.91</v>
      </c>
      <c r="J12" s="37">
        <v>0.51</v>
      </c>
      <c r="K12" s="39">
        <f t="shared" si="6"/>
        <v>0.42233100000000001</v>
      </c>
      <c r="L12" s="41">
        <v>64</v>
      </c>
      <c r="M12" s="38">
        <f t="shared" si="7"/>
        <v>64</v>
      </c>
      <c r="N12" s="38">
        <f t="shared" si="8"/>
        <v>13440</v>
      </c>
      <c r="O12" s="38">
        <f t="shared" si="9"/>
        <v>27.029184000000001</v>
      </c>
      <c r="P12" s="40">
        <v>46033</v>
      </c>
    </row>
    <row r="13" spans="1:16" x14ac:dyDescent="0.3">
      <c r="A13" s="67" t="s">
        <v>43</v>
      </c>
      <c r="B13" t="s">
        <v>22</v>
      </c>
      <c r="C13" s="7" t="s">
        <v>44</v>
      </c>
      <c r="D13" s="16">
        <v>4</v>
      </c>
      <c r="E13" s="23">
        <v>109</v>
      </c>
      <c r="F13" s="23">
        <f t="shared" si="5"/>
        <v>49.5</v>
      </c>
      <c r="G13" s="23">
        <v>59.5</v>
      </c>
      <c r="H13" s="23">
        <v>0.88</v>
      </c>
      <c r="I13" s="23">
        <v>0.88</v>
      </c>
      <c r="J13" s="23">
        <v>0.83</v>
      </c>
      <c r="K13" s="6">
        <f t="shared" ref="K13:K14" si="10">H13*I13*J13</f>
        <v>0.64275199999999999</v>
      </c>
      <c r="L13" s="7">
        <v>48</v>
      </c>
      <c r="M13" s="7">
        <f t="shared" si="7"/>
        <v>12</v>
      </c>
      <c r="N13" s="45">
        <f t="shared" si="8"/>
        <v>1308</v>
      </c>
      <c r="O13" s="45">
        <f t="shared" si="9"/>
        <v>7.7130239999999999</v>
      </c>
      <c r="P13" s="1">
        <v>46035</v>
      </c>
    </row>
    <row r="14" spans="1:16" ht="14.4" customHeight="1" x14ac:dyDescent="0.3">
      <c r="A14" s="67" t="s">
        <v>45</v>
      </c>
      <c r="B14" s="68" t="s">
        <v>22</v>
      </c>
      <c r="C14" s="69" t="s">
        <v>46</v>
      </c>
      <c r="D14" s="70">
        <v>4</v>
      </c>
      <c r="E14" s="70">
        <v>80</v>
      </c>
      <c r="F14" s="70">
        <v>52</v>
      </c>
      <c r="G14" s="70">
        <v>28</v>
      </c>
      <c r="H14" s="70">
        <v>1.1499999999999999</v>
      </c>
      <c r="I14" s="70">
        <v>0.63</v>
      </c>
      <c r="J14" s="70">
        <v>0.74</v>
      </c>
      <c r="K14" s="71">
        <f t="shared" si="10"/>
        <v>0.53612999999999988</v>
      </c>
      <c r="L14" s="7">
        <v>80</v>
      </c>
      <c r="M14" s="70">
        <f>L14/D14</f>
        <v>20</v>
      </c>
      <c r="N14" s="70">
        <f>M14*E14</f>
        <v>1600</v>
      </c>
      <c r="O14" s="71">
        <f>M14*K14</f>
        <v>10.722599999999998</v>
      </c>
      <c r="P14" s="46">
        <v>45999</v>
      </c>
    </row>
    <row r="15" spans="1:16" x14ac:dyDescent="0.3">
      <c r="A15" s="10" t="s">
        <v>50</v>
      </c>
      <c r="B15" s="43" t="s">
        <v>22</v>
      </c>
      <c r="C15" s="44" t="s">
        <v>51</v>
      </c>
      <c r="D15" s="45">
        <v>8</v>
      </c>
      <c r="E15" s="16">
        <v>249</v>
      </c>
      <c r="F15" s="16">
        <v>30</v>
      </c>
      <c r="G15" s="16">
        <v>219</v>
      </c>
      <c r="H15" s="16">
        <v>0.91</v>
      </c>
      <c r="I15" s="16">
        <v>0.91</v>
      </c>
      <c r="J15" s="16">
        <v>0.49</v>
      </c>
      <c r="K15" s="6">
        <f>H15*I15*J15</f>
        <v>0.40576900000000005</v>
      </c>
      <c r="L15" s="7">
        <v>96</v>
      </c>
      <c r="M15" s="42">
        <f>L15/D15</f>
        <v>12</v>
      </c>
      <c r="N15" s="42">
        <f>M15*E15</f>
        <v>2988</v>
      </c>
      <c r="O15" s="42">
        <f>M15*K15</f>
        <v>4.8692280000000006</v>
      </c>
      <c r="P15" s="46">
        <v>46052</v>
      </c>
    </row>
    <row r="16" spans="1:16" x14ac:dyDescent="0.3">
      <c r="L16" s="47">
        <f>SUM(L3:L15)</f>
        <v>870</v>
      </c>
      <c r="M16" s="47">
        <f>SUM(M3:M15)</f>
        <v>130.125</v>
      </c>
      <c r="N16" s="47">
        <f>SUM(N3:N15)</f>
        <v>24424.55</v>
      </c>
      <c r="O16" s="47">
        <f>SUM(O3:O15)</f>
        <v>56.038001999999999</v>
      </c>
    </row>
    <row r="19" spans="1:17" x14ac:dyDescent="0.3">
      <c r="A19" s="1">
        <v>46038</v>
      </c>
      <c r="C19" t="s">
        <v>52</v>
      </c>
    </row>
    <row r="20" spans="1:17" ht="41.4" x14ac:dyDescent="0.3">
      <c r="A20" s="2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3" t="s">
        <v>9</v>
      </c>
      <c r="J20" s="3" t="s">
        <v>10</v>
      </c>
      <c r="K20" s="3" t="s">
        <v>11</v>
      </c>
      <c r="L20" s="3" t="s">
        <v>12</v>
      </c>
      <c r="M20" s="3" t="s">
        <v>13</v>
      </c>
      <c r="N20" s="3" t="s">
        <v>14</v>
      </c>
      <c r="O20" s="3" t="s">
        <v>15</v>
      </c>
      <c r="P20" s="4" t="s">
        <v>16</v>
      </c>
    </row>
    <row r="21" spans="1:17" x14ac:dyDescent="0.3">
      <c r="A21" s="62" t="s">
        <v>18</v>
      </c>
      <c r="B21" s="11" t="s">
        <v>17</v>
      </c>
      <c r="C21" s="12" t="s">
        <v>19</v>
      </c>
      <c r="D21" s="63">
        <v>5000</v>
      </c>
      <c r="E21" s="64">
        <v>500</v>
      </c>
      <c r="F21" s="64">
        <v>40</v>
      </c>
      <c r="G21" s="64">
        <v>460</v>
      </c>
      <c r="H21" s="64">
        <v>1.1000000000000001</v>
      </c>
      <c r="I21" s="64">
        <v>0.8</v>
      </c>
      <c r="J21" s="64">
        <v>0.55000000000000004</v>
      </c>
      <c r="K21" s="65">
        <f t="shared" ref="K21:K22" si="11">H21*I21*J21</f>
        <v>0.4840000000000001</v>
      </c>
      <c r="L21" s="66">
        <v>5000</v>
      </c>
      <c r="M21" s="47">
        <f t="shared" ref="M21:M30" si="12">L21/D21</f>
        <v>1</v>
      </c>
      <c r="N21" s="47">
        <f t="shared" ref="N21:N22" si="13">M21*E21</f>
        <v>500</v>
      </c>
      <c r="O21" s="47">
        <f t="shared" ref="O21:O23" si="14">M21*K21</f>
        <v>0.4840000000000001</v>
      </c>
      <c r="P21" s="1">
        <v>46053</v>
      </c>
    </row>
    <row r="22" spans="1:17" x14ac:dyDescent="0.3">
      <c r="A22" s="62" t="s">
        <v>20</v>
      </c>
      <c r="B22" s="11" t="s">
        <v>17</v>
      </c>
      <c r="C22" s="12" t="s">
        <v>21</v>
      </c>
      <c r="D22" s="63">
        <v>5000</v>
      </c>
      <c r="E22" s="64">
        <v>500</v>
      </c>
      <c r="F22" s="64">
        <v>40</v>
      </c>
      <c r="G22" s="64">
        <v>460</v>
      </c>
      <c r="H22" s="64">
        <v>1.1000000000000001</v>
      </c>
      <c r="I22" s="64">
        <v>0.8</v>
      </c>
      <c r="J22" s="64">
        <v>0.55000000000000004</v>
      </c>
      <c r="K22" s="65">
        <f t="shared" si="11"/>
        <v>0.4840000000000001</v>
      </c>
      <c r="L22" s="66">
        <v>10000</v>
      </c>
      <c r="M22" s="47">
        <f t="shared" si="12"/>
        <v>2</v>
      </c>
      <c r="N22" s="47">
        <f t="shared" si="13"/>
        <v>1000</v>
      </c>
      <c r="O22" s="47">
        <f t="shared" si="14"/>
        <v>0.96800000000000019</v>
      </c>
      <c r="P22" s="1">
        <v>46053</v>
      </c>
    </row>
    <row r="23" spans="1:17" x14ac:dyDescent="0.3">
      <c r="A23" s="13">
        <v>9429</v>
      </c>
      <c r="B23" s="18" t="s">
        <v>23</v>
      </c>
      <c r="C23" s="14" t="s">
        <v>24</v>
      </c>
      <c r="D23" s="19">
        <v>1000</v>
      </c>
      <c r="E23" s="20">
        <v>690</v>
      </c>
      <c r="F23" s="20">
        <f t="shared" ref="F23:F29" si="15">E23-G23</f>
        <v>40</v>
      </c>
      <c r="G23" s="20">
        <v>650</v>
      </c>
      <c r="H23" s="20">
        <v>1.1000000000000001</v>
      </c>
      <c r="I23" s="20">
        <v>0.8</v>
      </c>
      <c r="J23" s="20">
        <v>0.55000000000000004</v>
      </c>
      <c r="K23" s="21">
        <f t="shared" ref="K23:K30" si="16">H23*I23*J23</f>
        <v>0.4840000000000001</v>
      </c>
      <c r="L23" s="7">
        <v>1000</v>
      </c>
      <c r="M23" s="21">
        <f t="shared" si="12"/>
        <v>1</v>
      </c>
      <c r="N23" s="21">
        <f t="shared" ref="N23:N30" si="17">M23*E23</f>
        <v>690</v>
      </c>
      <c r="O23" s="21">
        <f t="shared" si="14"/>
        <v>0.4840000000000001</v>
      </c>
      <c r="P23" s="17">
        <v>45869</v>
      </c>
    </row>
    <row r="24" spans="1:17" x14ac:dyDescent="0.3">
      <c r="A24" s="5">
        <v>9431</v>
      </c>
      <c r="B24" s="16" t="s">
        <v>23</v>
      </c>
      <c r="C24" s="7" t="s">
        <v>25</v>
      </c>
      <c r="D24" s="22">
        <v>1000</v>
      </c>
      <c r="E24" s="24">
        <v>770</v>
      </c>
      <c r="F24" s="24">
        <f t="shared" si="15"/>
        <v>40</v>
      </c>
      <c r="G24" s="24">
        <v>730</v>
      </c>
      <c r="H24" s="24">
        <v>1.1000000000000001</v>
      </c>
      <c r="I24" s="24">
        <v>0.8</v>
      </c>
      <c r="J24" s="24">
        <v>0.55000000000000004</v>
      </c>
      <c r="K24" s="6">
        <f t="shared" si="16"/>
        <v>0.4840000000000001</v>
      </c>
      <c r="L24" s="7">
        <v>3000</v>
      </c>
      <c r="M24" s="25">
        <f t="shared" si="12"/>
        <v>3</v>
      </c>
      <c r="N24" s="25">
        <f t="shared" si="17"/>
        <v>2310</v>
      </c>
      <c r="O24" s="25">
        <f>K24*M24</f>
        <v>1.4520000000000004</v>
      </c>
      <c r="P24" s="9">
        <v>45869</v>
      </c>
    </row>
    <row r="25" spans="1:17" x14ac:dyDescent="0.3">
      <c r="A25" s="10">
        <v>9460</v>
      </c>
      <c r="B25" s="11" t="s">
        <v>23</v>
      </c>
      <c r="C25" s="12" t="s">
        <v>26</v>
      </c>
      <c r="D25" s="22">
        <v>700</v>
      </c>
      <c r="E25" s="23">
        <v>610</v>
      </c>
      <c r="F25" s="23">
        <f t="shared" si="15"/>
        <v>40</v>
      </c>
      <c r="G25" s="23">
        <v>570</v>
      </c>
      <c r="H25" s="23">
        <v>1.1000000000000001</v>
      </c>
      <c r="I25" s="23">
        <v>0.8</v>
      </c>
      <c r="J25" s="23">
        <v>0.55000000000000004</v>
      </c>
      <c r="K25" s="6">
        <f t="shared" si="16"/>
        <v>0.4840000000000001</v>
      </c>
      <c r="L25" s="7">
        <v>2000</v>
      </c>
      <c r="M25" s="25">
        <f t="shared" si="12"/>
        <v>2.8571428571428572</v>
      </c>
      <c r="N25" s="26">
        <f t="shared" si="17"/>
        <v>1742.8571428571429</v>
      </c>
      <c r="O25" s="26">
        <f>K25*M25</f>
        <v>1.3828571428571432</v>
      </c>
      <c r="P25" s="1">
        <v>45945</v>
      </c>
    </row>
    <row r="26" spans="1:17" x14ac:dyDescent="0.3">
      <c r="A26" s="5">
        <v>9461</v>
      </c>
      <c r="B26" s="16" t="s">
        <v>23</v>
      </c>
      <c r="C26" s="7" t="s">
        <v>27</v>
      </c>
      <c r="D26" s="27">
        <v>800</v>
      </c>
      <c r="E26" s="27">
        <v>590</v>
      </c>
      <c r="F26" s="27">
        <f t="shared" si="15"/>
        <v>49</v>
      </c>
      <c r="G26" s="27">
        <v>541</v>
      </c>
      <c r="H26" s="27">
        <v>1.1000000000000001</v>
      </c>
      <c r="I26" s="27">
        <v>0.8</v>
      </c>
      <c r="J26" s="27">
        <v>0.55000000000000004</v>
      </c>
      <c r="K26" s="27">
        <f t="shared" si="16"/>
        <v>0.4840000000000001</v>
      </c>
      <c r="L26" s="7">
        <v>4000</v>
      </c>
      <c r="M26" s="7">
        <f t="shared" si="12"/>
        <v>5</v>
      </c>
      <c r="N26" s="6">
        <f t="shared" si="17"/>
        <v>2950</v>
      </c>
      <c r="O26" s="7">
        <f>M26*K26</f>
        <v>2.4200000000000004</v>
      </c>
      <c r="P26" s="1">
        <v>45945</v>
      </c>
    </row>
    <row r="27" spans="1:17" x14ac:dyDescent="0.3">
      <c r="A27" s="5">
        <v>9462</v>
      </c>
      <c r="B27" s="28" t="s">
        <v>23</v>
      </c>
      <c r="C27" s="29" t="s">
        <v>28</v>
      </c>
      <c r="D27" s="7">
        <v>4000</v>
      </c>
      <c r="E27" s="27">
        <v>424</v>
      </c>
      <c r="F27" s="27">
        <f t="shared" si="15"/>
        <v>52</v>
      </c>
      <c r="G27" s="27">
        <v>372</v>
      </c>
      <c r="H27" s="27">
        <v>1.1000000000000001</v>
      </c>
      <c r="I27" s="27">
        <v>0.8</v>
      </c>
      <c r="J27" s="27">
        <v>0.55000000000000004</v>
      </c>
      <c r="K27" s="27">
        <f t="shared" si="16"/>
        <v>0.4840000000000001</v>
      </c>
      <c r="L27" s="7">
        <v>8000</v>
      </c>
      <c r="M27" s="6">
        <f t="shared" si="12"/>
        <v>2</v>
      </c>
      <c r="N27" s="6">
        <f t="shared" si="17"/>
        <v>848</v>
      </c>
      <c r="O27" s="6">
        <f>M27*K27</f>
        <v>0.96800000000000019</v>
      </c>
      <c r="P27" s="8">
        <v>45960</v>
      </c>
    </row>
    <row r="28" spans="1:17" ht="15.6" x14ac:dyDescent="0.3">
      <c r="A28" s="10">
        <v>9487</v>
      </c>
      <c r="B28" s="11" t="s">
        <v>23</v>
      </c>
      <c r="C28" s="30" t="s">
        <v>29</v>
      </c>
      <c r="D28" s="31">
        <v>1000</v>
      </c>
      <c r="E28" s="32">
        <v>610</v>
      </c>
      <c r="F28" s="32">
        <f t="shared" si="15"/>
        <v>40</v>
      </c>
      <c r="G28" s="32">
        <v>570</v>
      </c>
      <c r="H28" s="32">
        <v>1.1000000000000001</v>
      </c>
      <c r="I28" s="32">
        <v>0.8</v>
      </c>
      <c r="J28" s="32">
        <v>0.55000000000000004</v>
      </c>
      <c r="K28" s="33">
        <f t="shared" si="16"/>
        <v>0.4840000000000001</v>
      </c>
      <c r="L28" s="7">
        <v>3000</v>
      </c>
      <c r="M28" s="25">
        <f t="shared" si="12"/>
        <v>3</v>
      </c>
      <c r="N28" s="26">
        <f t="shared" si="17"/>
        <v>1830</v>
      </c>
      <c r="O28" s="26">
        <f t="shared" ref="O28:O29" si="18">K28*M28</f>
        <v>1.4520000000000004</v>
      </c>
      <c r="P28" s="1">
        <v>45991</v>
      </c>
    </row>
    <row r="29" spans="1:17" x14ac:dyDescent="0.3">
      <c r="A29" s="10">
        <v>9488</v>
      </c>
      <c r="B29" s="11" t="s">
        <v>23</v>
      </c>
      <c r="C29" s="34" t="s">
        <v>30</v>
      </c>
      <c r="D29" s="22">
        <v>800</v>
      </c>
      <c r="E29" s="23">
        <v>690</v>
      </c>
      <c r="F29" s="23">
        <f t="shared" si="15"/>
        <v>40</v>
      </c>
      <c r="G29" s="23">
        <v>650</v>
      </c>
      <c r="H29" s="23">
        <v>1.1000000000000001</v>
      </c>
      <c r="I29" s="23">
        <v>0.8</v>
      </c>
      <c r="J29" s="23">
        <v>0.55000000000000004</v>
      </c>
      <c r="K29" s="6">
        <f t="shared" si="16"/>
        <v>0.4840000000000001</v>
      </c>
      <c r="L29" s="7">
        <v>400</v>
      </c>
      <c r="M29" s="25">
        <f t="shared" si="12"/>
        <v>0.5</v>
      </c>
      <c r="N29" s="26">
        <f t="shared" si="17"/>
        <v>345</v>
      </c>
      <c r="O29" s="26">
        <f t="shared" si="18"/>
        <v>0.24200000000000005</v>
      </c>
      <c r="P29" s="1">
        <v>45991</v>
      </c>
    </row>
    <row r="30" spans="1:17" x14ac:dyDescent="0.3">
      <c r="A30" s="10">
        <v>9502</v>
      </c>
      <c r="B30" s="11" t="s">
        <v>23</v>
      </c>
      <c r="C30" s="48" t="s">
        <v>31</v>
      </c>
      <c r="D30" s="19">
        <v>1000</v>
      </c>
      <c r="E30" s="20">
        <v>690</v>
      </c>
      <c r="F30" s="20">
        <f>E30-G30</f>
        <v>40</v>
      </c>
      <c r="G30" s="20">
        <v>650</v>
      </c>
      <c r="H30" s="20">
        <v>1.1000000000000001</v>
      </c>
      <c r="I30" s="20">
        <v>0.8</v>
      </c>
      <c r="J30" s="20">
        <v>0.55000000000000004</v>
      </c>
      <c r="K30" s="21">
        <f t="shared" si="16"/>
        <v>0.4840000000000001</v>
      </c>
      <c r="L30" s="49">
        <v>3000</v>
      </c>
      <c r="M30" s="47">
        <f t="shared" si="12"/>
        <v>3</v>
      </c>
      <c r="N30" s="47">
        <f t="shared" si="17"/>
        <v>2070</v>
      </c>
      <c r="O30" s="47">
        <f t="shared" ref="O30" si="19">M30*K30</f>
        <v>1.4520000000000004</v>
      </c>
      <c r="P30" s="1">
        <v>46021</v>
      </c>
    </row>
    <row r="31" spans="1:17" s="61" customFormat="1" x14ac:dyDescent="0.3">
      <c r="A31" s="50">
        <v>9513</v>
      </c>
      <c r="B31" s="51" t="s">
        <v>47</v>
      </c>
      <c r="C31" s="52" t="s">
        <v>48</v>
      </c>
      <c r="D31" s="53">
        <v>72</v>
      </c>
      <c r="E31" s="53">
        <v>940</v>
      </c>
      <c r="F31" s="54">
        <v>40</v>
      </c>
      <c r="G31" s="53">
        <v>900</v>
      </c>
      <c r="H31" s="53">
        <v>2.5</v>
      </c>
      <c r="I31" s="53">
        <v>1.1000000000000001</v>
      </c>
      <c r="J31" s="55">
        <v>0.52600000000000002</v>
      </c>
      <c r="K31" s="56">
        <f t="shared" ref="K31:K32" si="20">H31*I31*J31</f>
        <v>1.4465000000000001</v>
      </c>
      <c r="L31" s="57">
        <v>432</v>
      </c>
      <c r="M31" s="58">
        <f t="shared" ref="M31:M32" si="21">L31/D31</f>
        <v>6</v>
      </c>
      <c r="N31" s="59">
        <f t="shared" ref="N31:N32" si="22">M31*E31</f>
        <v>5640</v>
      </c>
      <c r="O31" s="59">
        <f t="shared" ref="O31:O32" si="23">K31*M31</f>
        <v>8.6790000000000003</v>
      </c>
      <c r="P31" s="60">
        <v>46034</v>
      </c>
      <c r="Q31" s="61" t="s">
        <v>56</v>
      </c>
    </row>
    <row r="32" spans="1:17" s="61" customFormat="1" x14ac:dyDescent="0.3">
      <c r="A32" s="50">
        <v>9513</v>
      </c>
      <c r="B32" s="51" t="s">
        <v>47</v>
      </c>
      <c r="C32" s="52" t="s">
        <v>49</v>
      </c>
      <c r="D32" s="53">
        <v>18</v>
      </c>
      <c r="E32" s="53">
        <v>940</v>
      </c>
      <c r="F32" s="54">
        <v>40</v>
      </c>
      <c r="G32" s="53">
        <v>900</v>
      </c>
      <c r="H32" s="53">
        <v>2.5</v>
      </c>
      <c r="I32" s="53">
        <v>1.1000000000000001</v>
      </c>
      <c r="J32" s="55">
        <v>0.52600000000000002</v>
      </c>
      <c r="K32" s="56">
        <f t="shared" si="20"/>
        <v>1.4465000000000001</v>
      </c>
      <c r="L32" s="57">
        <v>36</v>
      </c>
      <c r="M32" s="58">
        <f t="shared" si="21"/>
        <v>2</v>
      </c>
      <c r="N32" s="59">
        <f t="shared" si="22"/>
        <v>1880</v>
      </c>
      <c r="O32" s="59">
        <f t="shared" si="23"/>
        <v>2.8930000000000002</v>
      </c>
      <c r="P32" s="60">
        <v>46034</v>
      </c>
      <c r="Q32" s="61" t="s">
        <v>56</v>
      </c>
    </row>
    <row r="33" spans="1:16" x14ac:dyDescent="0.3">
      <c r="A33" s="10" t="s">
        <v>50</v>
      </c>
      <c r="B33" s="43" t="s">
        <v>22</v>
      </c>
      <c r="C33" s="44" t="s">
        <v>51</v>
      </c>
      <c r="D33" s="45">
        <v>8</v>
      </c>
      <c r="E33" s="16">
        <v>249</v>
      </c>
      <c r="F33" s="16">
        <v>30</v>
      </c>
      <c r="G33" s="16">
        <v>219</v>
      </c>
      <c r="H33" s="16">
        <v>0.91</v>
      </c>
      <c r="I33" s="16">
        <v>0.91</v>
      </c>
      <c r="J33" s="16">
        <v>0.49</v>
      </c>
      <c r="K33" s="6">
        <f>H33*I33*J33</f>
        <v>0.40576900000000005</v>
      </c>
      <c r="L33" s="7">
        <v>64</v>
      </c>
      <c r="M33" s="42">
        <f>L33/D33</f>
        <v>8</v>
      </c>
      <c r="N33" s="42">
        <f>M33*E33</f>
        <v>1992</v>
      </c>
      <c r="O33" s="42">
        <f>M33*K33</f>
        <v>3.2461520000000004</v>
      </c>
      <c r="P33" s="46">
        <v>46052</v>
      </c>
    </row>
    <row r="34" spans="1:16" x14ac:dyDescent="0.3">
      <c r="L34" s="47">
        <f>SUM(L21:L33)</f>
        <v>39932</v>
      </c>
      <c r="M34" s="47">
        <f>SUM(M21:M33)</f>
        <v>39.357142857142861</v>
      </c>
      <c r="N34" s="47">
        <f>SUM(N21:N33)</f>
        <v>23797.857142857145</v>
      </c>
      <c r="O34" s="15">
        <f>SUM(O21:O33)</f>
        <v>26.12300914285715</v>
      </c>
    </row>
    <row r="37" spans="1:16" x14ac:dyDescent="0.3">
      <c r="J37" s="72">
        <v>2.5</v>
      </c>
      <c r="K37" s="72"/>
      <c r="L37" s="72"/>
      <c r="M37">
        <v>0.8</v>
      </c>
      <c r="N37">
        <v>0.8</v>
      </c>
      <c r="O37">
        <v>0.8</v>
      </c>
      <c r="P37">
        <v>0.91</v>
      </c>
    </row>
    <row r="38" spans="1:16" x14ac:dyDescent="0.3">
      <c r="I38" s="73" t="s">
        <v>55</v>
      </c>
      <c r="J38" s="74" t="s">
        <v>53</v>
      </c>
      <c r="K38" s="74"/>
      <c r="L38" s="74"/>
      <c r="M38" s="72" t="s">
        <v>53</v>
      </c>
      <c r="N38" s="72" t="s">
        <v>53</v>
      </c>
      <c r="O38" s="72" t="s">
        <v>53</v>
      </c>
      <c r="P38" s="72" t="s">
        <v>53</v>
      </c>
    </row>
    <row r="39" spans="1:16" x14ac:dyDescent="0.3">
      <c r="I39" s="73"/>
      <c r="J39" s="74"/>
      <c r="K39" s="74"/>
      <c r="L39" s="74"/>
      <c r="M39" s="72"/>
      <c r="N39" s="72"/>
      <c r="O39" s="72"/>
      <c r="P39" s="72"/>
    </row>
    <row r="40" spans="1:16" x14ac:dyDescent="0.3">
      <c r="I40" s="73"/>
      <c r="J40" s="74"/>
      <c r="K40" s="74"/>
      <c r="L40" s="74"/>
      <c r="M40" s="72"/>
      <c r="N40" s="72"/>
      <c r="O40" s="72"/>
      <c r="P40" s="72"/>
    </row>
    <row r="41" spans="1:16" x14ac:dyDescent="0.3">
      <c r="I41" s="73"/>
      <c r="J41" s="74"/>
      <c r="K41" s="74"/>
      <c r="L41" s="74"/>
      <c r="M41" s="72"/>
      <c r="N41" s="72"/>
      <c r="O41" s="72"/>
      <c r="P41" s="72"/>
    </row>
    <row r="42" spans="1:16" x14ac:dyDescent="0.3">
      <c r="I42" s="73"/>
      <c r="J42" s="74" t="s">
        <v>53</v>
      </c>
      <c r="K42" s="74"/>
      <c r="L42" s="74"/>
      <c r="M42" s="72" t="s">
        <v>53</v>
      </c>
      <c r="N42" s="72" t="s">
        <v>53</v>
      </c>
      <c r="O42" s="72" t="s">
        <v>53</v>
      </c>
      <c r="P42" s="72" t="s">
        <v>53</v>
      </c>
    </row>
    <row r="43" spans="1:16" x14ac:dyDescent="0.3">
      <c r="I43" s="73"/>
      <c r="J43" s="74"/>
      <c r="K43" s="74"/>
      <c r="L43" s="74"/>
      <c r="M43" s="72"/>
      <c r="N43" s="72"/>
      <c r="O43" s="72"/>
      <c r="P43" s="72"/>
    </row>
    <row r="44" spans="1:16" x14ac:dyDescent="0.3">
      <c r="I44" s="73"/>
      <c r="J44" s="74"/>
      <c r="K44" s="74"/>
      <c r="L44" s="74"/>
      <c r="M44" s="72"/>
      <c r="N44" s="72"/>
      <c r="O44" s="72"/>
      <c r="P44" s="72"/>
    </row>
    <row r="45" spans="1:16" x14ac:dyDescent="0.3">
      <c r="I45" s="73"/>
      <c r="J45" s="74"/>
      <c r="K45" s="74"/>
      <c r="L45" s="74"/>
      <c r="M45" s="72"/>
      <c r="N45" s="72"/>
      <c r="O45" s="72"/>
      <c r="P45" s="72"/>
    </row>
    <row r="46" spans="1:16" x14ac:dyDescent="0.3">
      <c r="J46" s="72">
        <v>2.5</v>
      </c>
      <c r="K46" s="72"/>
      <c r="L46" s="72"/>
      <c r="M46">
        <v>0.8</v>
      </c>
      <c r="N46">
        <v>0.8</v>
      </c>
      <c r="O46">
        <v>0.8</v>
      </c>
      <c r="P46">
        <v>0.91</v>
      </c>
    </row>
  </sheetData>
  <mergeCells count="13">
    <mergeCell ref="J46:L46"/>
    <mergeCell ref="P38:P41"/>
    <mergeCell ref="J42:L45"/>
    <mergeCell ref="M42:M45"/>
    <mergeCell ref="N42:N45"/>
    <mergeCell ref="O42:O45"/>
    <mergeCell ref="P42:P45"/>
    <mergeCell ref="O38:O41"/>
    <mergeCell ref="J37:L37"/>
    <mergeCell ref="I38:I45"/>
    <mergeCell ref="J38:L41"/>
    <mergeCell ref="M38:M41"/>
    <mergeCell ref="N38:N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2026-01-09T05:40:03Z</dcterms:modified>
</cp:coreProperties>
</file>