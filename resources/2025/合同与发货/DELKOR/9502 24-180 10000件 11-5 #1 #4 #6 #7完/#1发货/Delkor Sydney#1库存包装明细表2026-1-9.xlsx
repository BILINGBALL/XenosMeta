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#1发货\"/>
    </mc:Choice>
  </mc:AlternateContent>
  <xr:revisionPtr revIDLastSave="0" documentId="13_ncr:1_{96B67DC3-E9FF-41F8-B7F4-99D889B7EA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F12" i="1"/>
  <c r="Q12" i="1"/>
  <c r="O12" i="1"/>
  <c r="M12" i="1"/>
  <c r="P12" i="1" s="1"/>
  <c r="J12" i="1"/>
  <c r="Q11" i="1"/>
  <c r="O11" i="1"/>
  <c r="M11" i="1"/>
  <c r="P11" i="1" s="1"/>
  <c r="J11" i="1"/>
  <c r="H11" i="1"/>
  <c r="F11" i="1" s="1"/>
  <c r="H7" i="1"/>
  <c r="F7" i="1" s="1"/>
  <c r="J7" i="1"/>
  <c r="M7" i="1"/>
  <c r="P7" i="1" s="1"/>
  <c r="O7" i="1"/>
  <c r="Q7" i="1"/>
  <c r="H8" i="1"/>
  <c r="F8" i="1" s="1"/>
  <c r="J8" i="1"/>
  <c r="M8" i="1"/>
  <c r="P8" i="1" s="1"/>
  <c r="O8" i="1"/>
  <c r="Q8" i="1"/>
  <c r="Q9" i="1"/>
  <c r="O9" i="1"/>
  <c r="M9" i="1"/>
  <c r="P9" i="1" s="1"/>
  <c r="J9" i="1"/>
  <c r="H9" i="1"/>
  <c r="F9" i="1" s="1"/>
  <c r="Q5" i="1" l="1"/>
  <c r="O5" i="1"/>
  <c r="M5" i="1"/>
  <c r="P5" i="1" s="1"/>
  <c r="J5" i="1"/>
  <c r="H5" i="1"/>
  <c r="F5" i="1"/>
  <c r="Q10" i="1" l="1"/>
  <c r="O10" i="1"/>
  <c r="M10" i="1"/>
  <c r="P10" i="1" s="1"/>
  <c r="J10" i="1"/>
  <c r="H10" i="1"/>
  <c r="F10" i="1"/>
  <c r="Q6" i="1"/>
  <c r="O6" i="1"/>
  <c r="M6" i="1"/>
  <c r="P6" i="1" s="1"/>
  <c r="J6" i="1"/>
  <c r="H6" i="1"/>
  <c r="F6" i="1" s="1"/>
  <c r="Q4" i="1"/>
  <c r="P4" i="1"/>
  <c r="O4" i="1"/>
  <c r="J4" i="1"/>
  <c r="H4" i="1"/>
  <c r="F4" i="1" s="1"/>
  <c r="K13" i="1" l="1"/>
  <c r="F13" i="1" l="1"/>
  <c r="Q13" i="1"/>
  <c r="P13" i="1"/>
  <c r="O13" i="1"/>
  <c r="H13" i="1"/>
</calcChain>
</file>

<file path=xl/sharedStrings.xml><?xml version="1.0" encoding="utf-8"?>
<sst xmlns="http://schemas.openxmlformats.org/spreadsheetml/2006/main" count="58" uniqueCount="45">
  <si>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</si>
  <si>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</si>
  <si>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</si>
  <si>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</si>
  <si>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</si>
  <si>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</si>
  <si>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</si>
  <si>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</si>
  <si>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</si>
  <si>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</si>
  <si>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</si>
  <si>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</si>
  <si>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</si>
  <si>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</si>
  <si>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</si>
  <si>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</si>
  <si>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</si>
  <si>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</si>
  <si>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</si>
  <si>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</si>
  <si>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</si>
  <si>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</si>
  <si>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</si>
  <si>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rPr>
        <sz val="8"/>
        <color theme="1"/>
        <rFont val="宋体"/>
        <family val="3"/>
        <charset val="134"/>
        <scheme val="minor"/>
      </rP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</si>
  <si>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</si>
  <si>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26x190</t>
    <phoneticPr fontId="9" type="noConversion"/>
  </si>
  <si>
    <t>24x165</t>
  </si>
  <si>
    <t>22x150</t>
    <phoneticPr fontId="9" type="noConversion"/>
  </si>
  <si>
    <t>#1</t>
    <phoneticPr fontId="9" type="noConversion"/>
  </si>
  <si>
    <t>24x145</t>
    <phoneticPr fontId="9" type="noConversion"/>
  </si>
  <si>
    <t>螺纹道钉
配弹垫
SCREW SPIKE
with WASHER</t>
  </si>
  <si>
    <t>弹垫
Spring Washer</t>
  </si>
  <si>
    <r>
      <t xml:space="preserve">1100*800*350
</t>
    </r>
    <r>
      <rPr>
        <sz val="10"/>
        <color theme="1"/>
        <rFont val="宋体"/>
        <family val="3"/>
        <charset val="134"/>
        <scheme val="minor"/>
      </rPr>
      <t>0.31</t>
    </r>
    <phoneticPr fontId="9" type="noConversion"/>
  </si>
  <si>
    <r>
      <rPr>
        <sz val="8"/>
        <rFont val="宋体"/>
        <family val="3"/>
        <charset val="134"/>
        <scheme val="minor"/>
      </rPr>
      <t xml:space="preserve">1100*800*550
</t>
    </r>
    <r>
      <rPr>
        <sz val="10"/>
        <rFont val="宋体"/>
        <family val="3"/>
        <charset val="134"/>
        <scheme val="minor"/>
      </rPr>
      <t>0.49</t>
    </r>
  </si>
  <si>
    <t>24x180</t>
  </si>
  <si>
    <t>27x165</t>
    <phoneticPr fontId="9" type="noConversion"/>
  </si>
  <si>
    <t>1/21</t>
    <phoneticPr fontId="9" type="noConversion"/>
  </si>
  <si>
    <t>2/21-4/21</t>
    <phoneticPr fontId="9" type="noConversion"/>
  </si>
  <si>
    <t>5/21-6/21</t>
    <phoneticPr fontId="9" type="noConversion"/>
  </si>
  <si>
    <t>7/21</t>
    <phoneticPr fontId="9" type="noConversion"/>
  </si>
  <si>
    <t>8/21-12/21</t>
    <phoneticPr fontId="9" type="noConversion"/>
  </si>
  <si>
    <t>13/21-14/21</t>
    <phoneticPr fontId="9" type="noConversion"/>
  </si>
  <si>
    <t>15/21-17/21</t>
    <phoneticPr fontId="9" type="noConversion"/>
  </si>
  <si>
    <t>18/21</t>
    <phoneticPr fontId="9" type="noConversion"/>
  </si>
  <si>
    <t>19/21-21/21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</si>
</sst>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5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33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topLeftCell="A9" workbookViewId="0">
      <selection activeCell="M11" sqref="M11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4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9" ht="30.75" customHeight="1" x14ac:dyDescent="0.15">
      <c r="A2" s="14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51.75" customHeight="1" x14ac:dyDescent="0.15">
      <c r="A4" s="15">
        <v>1</v>
      </c>
      <c r="B4" s="4" t="s">
        <v>17</v>
      </c>
      <c r="C4" s="16" t="s">
        <v>26</v>
      </c>
      <c r="D4" s="17">
        <v>9429</v>
      </c>
      <c r="E4" s="32" t="s">
        <v>36</v>
      </c>
      <c r="F4" s="2">
        <f t="shared" ref="F4:F9" si="0">G4*H4</f>
        <v>1000</v>
      </c>
      <c r="G4" s="15">
        <v>25</v>
      </c>
      <c r="H4" s="15">
        <f t="shared" ref="H4:H9" si="1">I4*K4</f>
        <v>40</v>
      </c>
      <c r="I4" s="15">
        <v>40</v>
      </c>
      <c r="J4" s="15">
        <f t="shared" ref="J4:J9" si="2">G4*I4</f>
        <v>1000</v>
      </c>
      <c r="K4" s="15">
        <v>1</v>
      </c>
      <c r="L4" s="15">
        <v>600</v>
      </c>
      <c r="M4" s="15">
        <v>631</v>
      </c>
      <c r="N4" s="8" t="s">
        <v>24</v>
      </c>
      <c r="O4" s="15">
        <f t="shared" ref="O4:O9" si="3">L4*K4</f>
        <v>600</v>
      </c>
      <c r="P4" s="15">
        <f t="shared" ref="P4:P9" si="4">M4*K4</f>
        <v>631</v>
      </c>
      <c r="Q4" s="18">
        <f t="shared" ref="Q4:Q5" si="5">0.48*K4</f>
        <v>0.48</v>
      </c>
    </row>
    <row r="5" spans="1:19" ht="51.75" customHeight="1" x14ac:dyDescent="0.15">
      <c r="A5" s="15">
        <v>2</v>
      </c>
      <c r="B5" s="4" t="s">
        <v>17</v>
      </c>
      <c r="C5" s="16" t="s">
        <v>29</v>
      </c>
      <c r="D5" s="17">
        <v>9431</v>
      </c>
      <c r="E5" s="18" t="s">
        <v>37</v>
      </c>
      <c r="F5" s="2">
        <f t="shared" si="0"/>
        <v>3000</v>
      </c>
      <c r="G5" s="15">
        <v>25</v>
      </c>
      <c r="H5" s="15">
        <f t="shared" si="1"/>
        <v>120</v>
      </c>
      <c r="I5" s="15">
        <v>40</v>
      </c>
      <c r="J5" s="15">
        <f t="shared" si="2"/>
        <v>1000</v>
      </c>
      <c r="K5" s="15">
        <v>3</v>
      </c>
      <c r="L5" s="15">
        <v>730</v>
      </c>
      <c r="M5" s="15">
        <f t="shared" ref="M5" si="6">L5+42</f>
        <v>772</v>
      </c>
      <c r="N5" s="8" t="s">
        <v>24</v>
      </c>
      <c r="O5" s="15">
        <f t="shared" si="3"/>
        <v>2190</v>
      </c>
      <c r="P5" s="15">
        <f t="shared" si="4"/>
        <v>2316</v>
      </c>
      <c r="Q5" s="18">
        <f t="shared" si="5"/>
        <v>1.44</v>
      </c>
      <c r="R5" s="12"/>
      <c r="S5" s="12"/>
    </row>
    <row r="6" spans="1:19" ht="51.75" customHeight="1" x14ac:dyDescent="0.15">
      <c r="A6" s="15">
        <v>3</v>
      </c>
      <c r="B6" s="4" t="s">
        <v>17</v>
      </c>
      <c r="C6" s="16" t="s">
        <v>35</v>
      </c>
      <c r="D6" s="17">
        <v>9460</v>
      </c>
      <c r="E6" s="18" t="s">
        <v>38</v>
      </c>
      <c r="F6" s="2">
        <f t="shared" ref="F6" si="7">G6*H6</f>
        <v>1400</v>
      </c>
      <c r="G6" s="15">
        <v>20</v>
      </c>
      <c r="H6" s="15">
        <f t="shared" ref="H6" si="8">I6*K6</f>
        <v>70</v>
      </c>
      <c r="I6" s="15">
        <v>35</v>
      </c>
      <c r="J6" s="15">
        <f t="shared" ref="J6" si="9">G6*I6</f>
        <v>700</v>
      </c>
      <c r="K6" s="15">
        <v>2</v>
      </c>
      <c r="L6" s="15">
        <v>636</v>
      </c>
      <c r="M6" s="15">
        <f t="shared" ref="M6" si="10">L6+42</f>
        <v>678</v>
      </c>
      <c r="N6" s="8" t="s">
        <v>24</v>
      </c>
      <c r="O6" s="15">
        <f t="shared" ref="O6" si="11">L6*K6</f>
        <v>1272</v>
      </c>
      <c r="P6" s="15">
        <f t="shared" ref="P6" si="12">M6*K6</f>
        <v>1356</v>
      </c>
      <c r="Q6" s="18">
        <f t="shared" ref="Q6" si="13">0.48*K6</f>
        <v>0.96</v>
      </c>
      <c r="R6" s="12"/>
      <c r="S6" s="12"/>
    </row>
    <row r="7" spans="1:19" ht="51.75" customHeight="1" x14ac:dyDescent="0.15">
      <c r="A7" s="15">
        <v>4</v>
      </c>
      <c r="B7" s="4" t="s">
        <v>17</v>
      </c>
      <c r="C7" s="16" t="s">
        <v>35</v>
      </c>
      <c r="D7" s="17">
        <v>9460</v>
      </c>
      <c r="E7" s="32" t="s">
        <v>39</v>
      </c>
      <c r="F7" s="2">
        <f t="shared" ref="F7" si="14">G7*H7</f>
        <v>600</v>
      </c>
      <c r="G7" s="15">
        <v>20</v>
      </c>
      <c r="H7" s="15">
        <f t="shared" ref="H7" si="15">I7*K7</f>
        <v>30</v>
      </c>
      <c r="I7" s="15">
        <v>30</v>
      </c>
      <c r="J7" s="15">
        <f t="shared" ref="J7" si="16">G7*I7</f>
        <v>600</v>
      </c>
      <c r="K7" s="15">
        <v>1</v>
      </c>
      <c r="L7" s="15">
        <v>545</v>
      </c>
      <c r="M7" s="15">
        <f t="shared" ref="M7" si="17">L7+42</f>
        <v>587</v>
      </c>
      <c r="N7" s="8" t="s">
        <v>24</v>
      </c>
      <c r="O7" s="15">
        <f t="shared" ref="O7" si="18">L7*K7</f>
        <v>545</v>
      </c>
      <c r="P7" s="15">
        <f t="shared" ref="P7" si="19">M7*K7</f>
        <v>587</v>
      </c>
      <c r="Q7" s="18">
        <f t="shared" ref="Q7" si="20">0.48*K7</f>
        <v>0.48</v>
      </c>
    </row>
    <row r="8" spans="1:19" ht="51.75" customHeight="1" x14ac:dyDescent="0.15">
      <c r="A8" s="15">
        <v>5</v>
      </c>
      <c r="B8" s="8" t="s">
        <v>30</v>
      </c>
      <c r="C8" s="16" t="s">
        <v>26</v>
      </c>
      <c r="D8" s="19">
        <v>9461</v>
      </c>
      <c r="E8" s="18" t="s">
        <v>40</v>
      </c>
      <c r="F8" s="2">
        <f>G8*H8</f>
        <v>4000</v>
      </c>
      <c r="G8" s="15">
        <v>25</v>
      </c>
      <c r="H8" s="15">
        <f>I8*K8</f>
        <v>160</v>
      </c>
      <c r="I8" s="15">
        <v>32</v>
      </c>
      <c r="J8" s="15">
        <f>G8*I8</f>
        <v>800</v>
      </c>
      <c r="K8" s="15">
        <v>5</v>
      </c>
      <c r="L8" s="15">
        <v>544</v>
      </c>
      <c r="M8" s="15">
        <f>L8+42</f>
        <v>586</v>
      </c>
      <c r="N8" s="8" t="s">
        <v>23</v>
      </c>
      <c r="O8" s="15">
        <f>L8*K8</f>
        <v>2720</v>
      </c>
      <c r="P8" s="15">
        <f>M8*K8</f>
        <v>2930</v>
      </c>
      <c r="Q8" s="18">
        <f>0.48*K8</f>
        <v>2.4</v>
      </c>
      <c r="R8" s="12"/>
      <c r="S8" s="12"/>
    </row>
    <row r="9" spans="1:19" ht="51.75" customHeight="1" x14ac:dyDescent="0.15">
      <c r="A9" s="15">
        <v>6</v>
      </c>
      <c r="B9" s="4" t="s">
        <v>31</v>
      </c>
      <c r="C9" s="19">
        <v>25</v>
      </c>
      <c r="D9" s="17">
        <v>9462</v>
      </c>
      <c r="E9" s="20" t="s">
        <v>41</v>
      </c>
      <c r="F9" s="2">
        <f t="shared" si="0"/>
        <v>8000</v>
      </c>
      <c r="G9" s="15">
        <v>200</v>
      </c>
      <c r="H9" s="15">
        <f t="shared" si="1"/>
        <v>40</v>
      </c>
      <c r="I9" s="15">
        <v>20</v>
      </c>
      <c r="J9" s="15">
        <f t="shared" si="2"/>
        <v>4000</v>
      </c>
      <c r="K9" s="15">
        <v>2</v>
      </c>
      <c r="L9" s="15">
        <v>365</v>
      </c>
      <c r="M9" s="15">
        <f t="shared" ref="M9:M11" si="21">L9+42</f>
        <v>407</v>
      </c>
      <c r="N9" s="8" t="s">
        <v>24</v>
      </c>
      <c r="O9" s="15">
        <f t="shared" si="3"/>
        <v>730</v>
      </c>
      <c r="P9" s="15">
        <f t="shared" si="4"/>
        <v>814</v>
      </c>
      <c r="Q9" s="18">
        <f>0.48*K9</f>
        <v>0.96</v>
      </c>
      <c r="R9" s="12"/>
      <c r="S9" s="12"/>
    </row>
    <row r="10" spans="1:19" ht="51.75" customHeight="1" x14ac:dyDescent="0.15">
      <c r="A10" s="15">
        <v>7</v>
      </c>
      <c r="B10" s="4" t="s">
        <v>17</v>
      </c>
      <c r="C10" s="16" t="s">
        <v>27</v>
      </c>
      <c r="D10" s="17">
        <v>9487</v>
      </c>
      <c r="E10" s="18" t="s">
        <v>42</v>
      </c>
      <c r="F10" s="2">
        <f t="shared" ref="F10:F12" si="22">G10*H10</f>
        <v>3000</v>
      </c>
      <c r="G10" s="15">
        <v>25</v>
      </c>
      <c r="H10" s="15">
        <f t="shared" ref="H10:H12" si="23">I10*K10</f>
        <v>120</v>
      </c>
      <c r="I10" s="15">
        <v>40</v>
      </c>
      <c r="J10" s="15">
        <f t="shared" ref="J10:J11" si="24">G10*I10</f>
        <v>1000</v>
      </c>
      <c r="K10" s="15">
        <v>3</v>
      </c>
      <c r="L10" s="15">
        <v>567</v>
      </c>
      <c r="M10" s="15">
        <f t="shared" si="21"/>
        <v>609</v>
      </c>
      <c r="N10" s="8" t="s">
        <v>24</v>
      </c>
      <c r="O10" s="15">
        <f t="shared" ref="O10:O11" si="25">L10*K10</f>
        <v>1701</v>
      </c>
      <c r="P10" s="15">
        <f t="shared" ref="P10:P11" si="26">M10*K10</f>
        <v>1827</v>
      </c>
      <c r="Q10" s="18">
        <f t="shared" ref="Q10" si="27">0.48*K10</f>
        <v>1.44</v>
      </c>
    </row>
    <row r="11" spans="1:19" ht="51.75" customHeight="1" x14ac:dyDescent="0.15">
      <c r="A11" s="15">
        <v>8</v>
      </c>
      <c r="B11" s="4" t="s">
        <v>17</v>
      </c>
      <c r="C11" s="16" t="s">
        <v>25</v>
      </c>
      <c r="D11" s="17">
        <v>9488</v>
      </c>
      <c r="E11" s="32" t="s">
        <v>43</v>
      </c>
      <c r="F11" s="2">
        <f t="shared" si="22"/>
        <v>400</v>
      </c>
      <c r="G11" s="15">
        <v>25</v>
      </c>
      <c r="H11" s="15">
        <f t="shared" si="23"/>
        <v>16</v>
      </c>
      <c r="I11" s="15">
        <v>16</v>
      </c>
      <c r="J11" s="15">
        <f t="shared" si="24"/>
        <v>400</v>
      </c>
      <c r="K11" s="15">
        <v>1</v>
      </c>
      <c r="L11" s="15">
        <v>276</v>
      </c>
      <c r="M11" s="15">
        <f t="shared" si="21"/>
        <v>318</v>
      </c>
      <c r="N11" s="8" t="s">
        <v>32</v>
      </c>
      <c r="O11" s="15">
        <f t="shared" si="25"/>
        <v>276</v>
      </c>
      <c r="P11" s="15">
        <f t="shared" si="26"/>
        <v>318</v>
      </c>
      <c r="Q11" s="18">
        <f>0.31*K11</f>
        <v>0.31</v>
      </c>
      <c r="R11" s="12"/>
      <c r="S11" s="12"/>
    </row>
    <row r="12" spans="1:19" ht="51.75" customHeight="1" x14ac:dyDescent="0.15">
      <c r="A12" s="15">
        <v>9</v>
      </c>
      <c r="B12" s="4" t="s">
        <v>17</v>
      </c>
      <c r="C12" s="27" t="s">
        <v>34</v>
      </c>
      <c r="D12" s="28">
        <v>9502</v>
      </c>
      <c r="E12" s="29" t="s">
        <v>44</v>
      </c>
      <c r="F12" s="30">
        <f t="shared" si="22"/>
        <v>2400</v>
      </c>
      <c r="G12" s="30">
        <v>25</v>
      </c>
      <c r="H12" s="31">
        <f t="shared" si="23"/>
        <v>96</v>
      </c>
      <c r="I12" s="30">
        <v>32</v>
      </c>
      <c r="J12" s="30">
        <f>G12*I12</f>
        <v>800</v>
      </c>
      <c r="K12" s="30">
        <v>3</v>
      </c>
      <c r="L12" s="2">
        <v>645</v>
      </c>
      <c r="M12" s="22">
        <f>L12+46</f>
        <v>691</v>
      </c>
      <c r="N12" s="21" t="s">
        <v>33</v>
      </c>
      <c r="O12" s="2">
        <f>L12*K12</f>
        <v>1935</v>
      </c>
      <c r="P12" s="15">
        <f>M12*K12</f>
        <v>2073</v>
      </c>
      <c r="Q12" s="18">
        <f>0.49*K12</f>
        <v>1.47</v>
      </c>
      <c r="R12" s="12"/>
      <c r="S12" s="12"/>
    </row>
    <row r="13" spans="1:19" ht="35.25" customHeight="1" x14ac:dyDescent="0.15">
      <c r="A13" s="26" t="s">
        <v>18</v>
      </c>
      <c r="B13" s="26"/>
      <c r="C13" s="26"/>
      <c r="D13" s="3"/>
      <c r="E13" s="1"/>
      <c r="F13" s="3">
        <f>SUM(F4:F12)</f>
        <v>23800</v>
      </c>
      <c r="G13" s="3"/>
      <c r="H13" s="3">
        <f>SUM(H4:H12)</f>
        <v>692</v>
      </c>
      <c r="I13" s="3"/>
      <c r="J13" s="3"/>
      <c r="K13" s="3">
        <f>SUM(K4:K12)</f>
        <v>21</v>
      </c>
      <c r="L13" s="3"/>
      <c r="M13" s="3"/>
      <c r="N13" s="1"/>
      <c r="O13" s="3">
        <f>SUM(O4:O12)</f>
        <v>11969</v>
      </c>
      <c r="P13" s="3">
        <f>SUM(P4:P12)</f>
        <v>12852</v>
      </c>
      <c r="Q13" s="1">
        <f>SUM(Q4:Q12)</f>
        <v>9.9400000000000013</v>
      </c>
      <c r="R13" s="12"/>
    </row>
    <row r="14" spans="1:19" ht="21" customHeight="1" x14ac:dyDescent="0.15">
      <c r="A14" s="5"/>
      <c r="B14" s="5"/>
      <c r="C14" s="5"/>
      <c r="E14" s="9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9" ht="21" customHeight="1" x14ac:dyDescent="0.15">
      <c r="A15" s="5"/>
      <c r="B15" s="6" t="s">
        <v>19</v>
      </c>
      <c r="C15" s="5" t="s">
        <v>20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9" ht="18.75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23" t="s">
        <v>21</v>
      </c>
      <c r="O16" s="23"/>
      <c r="P16" s="23"/>
      <c r="Q16" s="23"/>
    </row>
    <row r="17" spans="1:17" ht="18.75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23">
        <v>46031</v>
      </c>
      <c r="O17" s="23"/>
      <c r="P17" s="23"/>
      <c r="Q17" s="23"/>
    </row>
    <row r="18" spans="1:17" x14ac:dyDescent="0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</sheetData>
  <mergeCells count="4">
    <mergeCell ref="N17:Q17"/>
    <mergeCell ref="A1:Q1"/>
    <mergeCell ref="A13:C13"/>
    <mergeCell ref="N16:Q16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2026-01-12T03:23:49Z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