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Sydney\Sydney#24-TMT\"/>
    </mc:Choice>
  </mc:AlternateContent>
  <xr:revisionPtr revIDLastSave="0" documentId="13_ncr:1_{28B52458-7C4F-4810-A3BF-2A28741706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Print_Area" localSheetId="0">Sheet1!$A$1:$Y$43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1" l="1"/>
  <c r="O20" i="1" s="1"/>
  <c r="K20" i="1"/>
  <c r="M19" i="1"/>
  <c r="K19" i="1"/>
  <c r="E19" i="1"/>
  <c r="N19" i="1" s="1"/>
  <c r="M18" i="1"/>
  <c r="K18" i="1"/>
  <c r="E18" i="1"/>
  <c r="N18" i="1" s="1"/>
  <c r="K17" i="1"/>
  <c r="O17" i="1" s="1"/>
  <c r="E17" i="1"/>
  <c r="N17" i="1" s="1"/>
  <c r="D43" i="1"/>
  <c r="O18" i="1" l="1"/>
  <c r="O19" i="1"/>
  <c r="N20" i="1"/>
  <c r="L27" i="1" l="1"/>
  <c r="M16" i="1"/>
  <c r="K16" i="1"/>
  <c r="E16" i="1"/>
  <c r="M15" i="1"/>
  <c r="K15" i="1"/>
  <c r="E15" i="1"/>
  <c r="M14" i="1"/>
  <c r="K14" i="1"/>
  <c r="E14" i="1"/>
  <c r="M13" i="1"/>
  <c r="K13" i="1"/>
  <c r="E13" i="1"/>
  <c r="M12" i="1"/>
  <c r="K12" i="1"/>
  <c r="E12" i="1"/>
  <c r="M11" i="1"/>
  <c r="K11" i="1"/>
  <c r="E11" i="1"/>
  <c r="M10" i="1"/>
  <c r="K10" i="1"/>
  <c r="E10" i="1"/>
  <c r="M9" i="1"/>
  <c r="K9" i="1"/>
  <c r="E9" i="1"/>
  <c r="M7" i="1"/>
  <c r="K7" i="1"/>
  <c r="E7" i="1"/>
  <c r="M6" i="1"/>
  <c r="K6" i="1"/>
  <c r="E6" i="1"/>
  <c r="M5" i="1"/>
  <c r="K5" i="1"/>
  <c r="E5" i="1"/>
  <c r="M4" i="1"/>
  <c r="K4" i="1"/>
  <c r="E4" i="1"/>
  <c r="M3" i="1"/>
  <c r="K3" i="1"/>
  <c r="E3" i="1"/>
  <c r="O3" i="1" l="1"/>
  <c r="O12" i="1"/>
  <c r="O9" i="1"/>
  <c r="O10" i="1"/>
  <c r="O11" i="1"/>
  <c r="O4" i="1"/>
  <c r="N12" i="1"/>
  <c r="O5" i="1"/>
  <c r="O13" i="1"/>
  <c r="O6" i="1"/>
  <c r="O14" i="1"/>
  <c r="O7" i="1"/>
  <c r="O15" i="1"/>
  <c r="O16" i="1"/>
  <c r="N7" i="1"/>
  <c r="N3" i="1"/>
  <c r="N13" i="1"/>
  <c r="N9" i="1"/>
  <c r="N4" i="1"/>
  <c r="N14" i="1"/>
  <c r="N10" i="1"/>
  <c r="N5" i="1"/>
  <c r="N15" i="1"/>
  <c r="N11" i="1"/>
  <c r="N6" i="1"/>
  <c r="N16" i="1"/>
  <c r="F23" i="1" l="1"/>
  <c r="K23" i="1"/>
  <c r="M23" i="1"/>
  <c r="F24" i="1"/>
  <c r="K24" i="1"/>
  <c r="M24" i="1"/>
  <c r="N24" i="1" s="1"/>
  <c r="D30" i="1"/>
  <c r="M26" i="1"/>
  <c r="K26" i="1"/>
  <c r="M25" i="1"/>
  <c r="N25" i="1" s="1"/>
  <c r="K25" i="1"/>
  <c r="F25" i="1"/>
  <c r="M22" i="1"/>
  <c r="K22" i="1"/>
  <c r="E22" i="1"/>
  <c r="M21" i="1"/>
  <c r="K21" i="1"/>
  <c r="E21" i="1"/>
  <c r="N23" i="1" l="1"/>
  <c r="M27" i="1"/>
  <c r="O23" i="1"/>
  <c r="O24" i="1"/>
  <c r="O21" i="1"/>
  <c r="O26" i="1"/>
  <c r="O22" i="1"/>
  <c r="O25" i="1"/>
  <c r="N26" i="1"/>
  <c r="N22" i="1"/>
  <c r="N21" i="1"/>
  <c r="N27" i="1" l="1"/>
  <c r="O27" i="1"/>
</calcChain>
</file>

<file path=xl/sharedStrings.xml><?xml version="1.0" encoding="utf-8"?>
<sst xmlns="http://schemas.openxmlformats.org/spreadsheetml/2006/main" count="123" uniqueCount="62">
  <si>
    <t>PO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</si>
  <si>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</si>
  <si>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</si>
  <si>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</si>
  <si>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</si>
  <si>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</si>
  <si>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</si>
  <si>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</si>
  <si>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</si>
  <si>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</si>
  <si>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</si>
  <si>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</si>
  <si>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</si>
  <si>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</si>
  <si>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</si>
  <si>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MSP901</t>
  </si>
  <si>
    <t>TMT</t>
  </si>
  <si>
    <t>Fosco</t>
  </si>
  <si>
    <t>X2</t>
  </si>
  <si>
    <t>Ux3</t>
  </si>
  <si>
    <t>UGL</t>
  </si>
  <si>
    <t>EXW DATE</t>
  </si>
  <si>
    <t>Customer Deadline</t>
  </si>
  <si>
    <t>latest EXW</t>
  </si>
  <si>
    <t>Estimated To Door</t>
  </si>
  <si>
    <t>Sudelan</t>
  </si>
  <si>
    <t>Bag</t>
  </si>
  <si>
    <t>HDPE Dowel X 165mm (Closed end)</t>
  </si>
  <si>
    <t>26 Dia x190 Long Hex Heads 8.8 G Screwspike</t>
  </si>
  <si>
    <t>22 x 150 5.6 Grade</t>
  </si>
  <si>
    <t xml:space="preserve">Ss8 Fe6 GAL SCREWSPIKE 24 x 165 </t>
  </si>
  <si>
    <t>MSP00871</t>
  </si>
  <si>
    <t>Air Bellows UGL</t>
  </si>
  <si>
    <t>40GP</t>
  </si>
  <si>
    <t>SX4</t>
  </si>
  <si>
    <t>0.61 X1</t>
  </si>
  <si>
    <t>SX3</t>
  </si>
  <si>
    <t>0.7 X1</t>
  </si>
  <si>
    <t>#2</t>
  </si>
  <si>
    <t>PGF665-CP-05</t>
  </si>
  <si>
    <t>PGF665-CP-06</t>
  </si>
  <si>
    <t>PGF666-CP-07</t>
  </si>
  <si>
    <t>PGF666-CP-08</t>
  </si>
  <si>
    <t>PGF667-CP-09</t>
  </si>
  <si>
    <t>PGF667-CP-10</t>
  </si>
  <si>
    <t>PGF668-CP-11</t>
  </si>
  <si>
    <t>PGF668-CP-12</t>
  </si>
  <si>
    <t>PGF659</t>
  </si>
  <si>
    <t>PGF660</t>
  </si>
  <si>
    <t>PGF661</t>
  </si>
  <si>
    <t>PGF662</t>
  </si>
  <si>
    <t>HDPE 165mm Dowels Open</t>
  </si>
  <si>
    <t>PGFx3</t>
  </si>
  <si>
    <t>Cx4</t>
  </si>
  <si>
    <t>PGFx2</t>
  </si>
  <si>
    <t>PGF657</t>
  </si>
  <si>
    <t>PGF658</t>
  </si>
  <si>
    <t>PGF669</t>
  </si>
  <si>
    <t>Conical Spring Trailer Tangara</t>
  </si>
  <si>
    <t>MSP00906</t>
  </si>
  <si>
    <t>Dowels x1</t>
  </si>
  <si>
    <t>Crate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</si>
</sst>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C09]dd\-mmm\-yy;@"/>
    <numFmt numFmtId="165" formatCode="0.00_ ;[Red]\-0.00\ "/>
    <numFmt numFmtId="166" formatCode="0_ "/>
    <numFmt numFmtId="167" formatCode="0.00_);[Red]\(0.00\)"/>
    <numFmt numFmtId="168" formatCode="[$-C09]dd\-mmmm\-yyyy;@"/>
    <numFmt numFmtId="169" formatCode="0.00_ "/>
    <numFmt numFmtId="170" formatCode="[$CAD]\ #,##0.00_);[Red]\([$CAD]\ #,##0.0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9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2060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79">
    <xf numFmtId="0" fontId="0" fillId="0" borderId="0" xfId="0"/>
    <xf numFmtId="0" fontId="0" fillId="0" borderId="0" xfId="0" applyAlignment="1">
      <alignment vertical="center"/>
    </xf>
    <xf numFmtId="1" fontId="2" fillId="0" borderId="0" xfId="0" applyNumberFormat="1" applyFont="1" applyAlignment="1">
      <alignment vertical="center"/>
    </xf>
    <xf numFmtId="168" fontId="4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0" fillId="0" borderId="0" xfId="0" applyAlignment="1">
      <alignment horizontal="left" vertical="top"/>
    </xf>
    <xf numFmtId="1" fontId="8" fillId="4" borderId="2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14" fontId="9" fillId="0" borderId="1" xfId="0" applyNumberFormat="1" applyFont="1" applyBorder="1" applyAlignment="1">
      <alignment horizontal="center" vertical="center"/>
    </xf>
    <xf numFmtId="0" fontId="9" fillId="0" borderId="0" xfId="0" applyFont="1"/>
    <xf numFmtId="2" fontId="2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vertical="center"/>
    </xf>
    <xf numFmtId="2" fontId="2" fillId="5" borderId="0" xfId="0" applyNumberFormat="1" applyFont="1" applyFill="1" applyAlignment="1">
      <alignment horizontal="center" vertical="center"/>
    </xf>
    <xf numFmtId="2" fontId="2" fillId="6" borderId="0" xfId="0" applyNumberFormat="1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 vertical="center"/>
    </xf>
    <xf numFmtId="166" fontId="0" fillId="0" borderId="0" xfId="0" applyNumberFormat="1"/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5" fontId="3" fillId="0" borderId="1" xfId="1" applyNumberFormat="1" applyFont="1" applyBorder="1" applyAlignment="1">
      <alignment horizontal="left" vertical="center"/>
    </xf>
    <xf numFmtId="165" fontId="3" fillId="2" borderId="1" xfId="1" applyNumberFormat="1" applyFont="1" applyFill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/>
    </xf>
    <xf numFmtId="167" fontId="2" fillId="0" borderId="1" xfId="0" applyNumberFormat="1" applyFont="1" applyBorder="1" applyAlignment="1">
      <alignment horizontal="left" vertical="center"/>
    </xf>
    <xf numFmtId="166" fontId="2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2" fontId="0" fillId="0" borderId="1" xfId="1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left" vertical="center"/>
    </xf>
    <xf numFmtId="165" fontId="3" fillId="6" borderId="1" xfId="1" applyNumberFormat="1" applyFont="1" applyFill="1" applyBorder="1" applyAlignment="1">
      <alignment horizontal="left" vertical="center"/>
    </xf>
    <xf numFmtId="165" fontId="3" fillId="5" borderId="1" xfId="1" applyNumberFormat="1" applyFont="1" applyFill="1" applyBorder="1" applyAlignment="1">
      <alignment horizontal="left" vertical="center"/>
    </xf>
    <xf numFmtId="165" fontId="3" fillId="7" borderId="1" xfId="1" applyNumberFormat="1" applyFont="1" applyFill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169" fontId="0" fillId="0" borderId="1" xfId="0" applyNumberFormat="1" applyBorder="1" applyAlignment="1">
      <alignment horizontal="left" vertical="center"/>
    </xf>
    <xf numFmtId="1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4" fontId="9" fillId="0" borderId="1" xfId="1" applyFont="1" applyBorder="1" applyAlignment="1">
      <alignment horizontal="left" vertical="center"/>
    </xf>
    <xf numFmtId="2" fontId="6" fillId="0" borderId="1" xfId="1" applyNumberFormat="1" applyFont="1" applyBorder="1" applyAlignment="1">
      <alignment horizontal="left" vertical="center"/>
    </xf>
    <xf numFmtId="2" fontId="9" fillId="0" borderId="1" xfId="1" applyNumberFormat="1" applyFont="1" applyBorder="1" applyAlignment="1">
      <alignment horizontal="left" vertical="center"/>
    </xf>
    <xf numFmtId="2" fontId="9" fillId="0" borderId="1" xfId="0" applyNumberFormat="1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left" vertical="center"/>
    </xf>
    <xf numFmtId="2" fontId="5" fillId="0" borderId="1" xfId="1" applyNumberFormat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70" fontId="2" fillId="0" borderId="0" xfId="0" applyNumberFormat="1" applyFont="1" applyAlignment="1">
      <alignment vertical="center"/>
    </xf>
    <xf numFmtId="165" fontId="3" fillId="8" borderId="1" xfId="1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5" fontId="3" fillId="9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8" fontId="11" fillId="0" borderId="0" xfId="0" applyNumberFormat="1" applyFont="1" applyAlignment="1">
      <alignment horizontal="center" vertical="center"/>
    </xf>
    <xf numFmtId="165" fontId="3" fillId="10" borderId="1" xfId="1" applyNumberFormat="1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/>
    <xf numFmtId="0" fontId="0" fillId="0" borderId="1" xfId="0" applyBorder="1" applyAlignment="1">
      <alignment vertical="center"/>
    </xf>
    <xf numFmtId="0" fontId="1" fillId="0" borderId="0" xfId="0" applyFont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2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 wrapText="1"/>
    </xf>
    <xf numFmtId="165" fontId="3" fillId="0" borderId="1" xfId="1" applyNumberFormat="1" applyFont="1" applyBorder="1" applyAlignment="1">
      <alignment horizontal="left" vertical="center"/>
    </xf>
    <xf numFmtId="165" fontId="3" fillId="6" borderId="1" xfId="1" applyNumberFormat="1" applyFont="1" applyFill="1" applyBorder="1" applyAlignment="1">
      <alignment horizontal="left" vertical="center"/>
    </xf>
    <xf numFmtId="167" fontId="2" fillId="0" borderId="1" xfId="0" applyNumberFormat="1" applyFont="1" applyBorder="1" applyAlignment="1">
      <alignment horizontal="left" vertical="center"/>
    </xf>
  </cellXfs>
  <cellStyles count="2">
    <cellStyle name="Normal" xfId="0" builtinId="0"/>
    <cellStyle name="Normal 3 2" xfId="1" xr:uid="{7AE0C618-9B2B-492B-9AFC-F0F762A6C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43"/>
  <sheetViews>
    <sheetView tabSelected="1" zoomScale="70" zoomScaleNormal="70" workbookViewId="0">
      <selection activeCell="R21" sqref="R21"/>
    </sheetView>
  </sheetViews>
  <sheetFormatPr defaultRowHeight="14.4" x14ac:dyDescent="0.3"/>
  <cols>
    <col min="1" max="1" width="16.6640625" style="5" customWidth="1"/>
    <col min="2" max="2" width="10.88671875" customWidth="1"/>
    <col min="3" max="3" width="40.77734375" style="65" bestFit="1" customWidth="1"/>
    <col min="4" max="4" width="11.5546875" style="69" bestFit="1" customWidth="1"/>
    <col min="14" max="14" width="9.77734375" bestFit="1" customWidth="1"/>
    <col min="16" max="16" width="17.21875" style="11" bestFit="1" customWidth="1"/>
    <col min="24" max="24" width="11.109375" customWidth="1"/>
  </cols>
  <sheetData>
    <row r="1" spans="1:23" x14ac:dyDescent="0.3">
      <c r="A1" s="5" t="s">
        <v>38</v>
      </c>
      <c r="C1" s="63" t="s">
        <v>33</v>
      </c>
      <c r="D1" s="66">
        <v>45953</v>
      </c>
    </row>
    <row r="2" spans="1:23" ht="55.2" x14ac:dyDescent="0.3">
      <c r="A2" s="6" t="s">
        <v>0</v>
      </c>
      <c r="B2" s="7" t="s">
        <v>1</v>
      </c>
      <c r="C2" s="64" t="s">
        <v>2</v>
      </c>
      <c r="D2" s="64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8" t="s">
        <v>21</v>
      </c>
      <c r="Q2" s="8" t="s">
        <v>22</v>
      </c>
      <c r="R2" s="8" t="s">
        <v>23</v>
      </c>
      <c r="S2" s="8" t="s">
        <v>24</v>
      </c>
    </row>
    <row r="3" spans="1:23" x14ac:dyDescent="0.3">
      <c r="A3" s="21" t="s">
        <v>15</v>
      </c>
      <c r="B3" s="21" t="s">
        <v>16</v>
      </c>
      <c r="C3" s="22" t="s">
        <v>39</v>
      </c>
      <c r="D3" s="22">
        <v>25</v>
      </c>
      <c r="E3" s="23">
        <f>SUM(F3:G3)</f>
        <v>320</v>
      </c>
      <c r="F3" s="23">
        <v>45</v>
      </c>
      <c r="G3" s="23">
        <v>275</v>
      </c>
      <c r="H3" s="23">
        <v>1.19</v>
      </c>
      <c r="I3" s="23">
        <v>0.66500000000000004</v>
      </c>
      <c r="J3" s="24">
        <v>0.78</v>
      </c>
      <c r="K3" s="23">
        <f>H3*I3*J3</f>
        <v>0.61725300000000005</v>
      </c>
      <c r="L3" s="25">
        <v>50</v>
      </c>
      <c r="M3" s="35">
        <f>L3/D3</f>
        <v>2</v>
      </c>
      <c r="N3" s="26">
        <f>M3*E3</f>
        <v>640</v>
      </c>
      <c r="O3" s="23">
        <f>M3*K3</f>
        <v>1.2345060000000001</v>
      </c>
      <c r="P3" s="3">
        <v>45942</v>
      </c>
      <c r="Q3" s="2">
        <v>4</v>
      </c>
      <c r="R3" s="1"/>
      <c r="S3" s="1"/>
      <c r="T3" s="1"/>
      <c r="U3" s="1"/>
      <c r="V3" s="1"/>
      <c r="W3" s="1"/>
    </row>
    <row r="4" spans="1:23" x14ac:dyDescent="0.3">
      <c r="A4" s="21" t="s">
        <v>15</v>
      </c>
      <c r="B4" s="21" t="s">
        <v>16</v>
      </c>
      <c r="C4" s="22" t="s">
        <v>40</v>
      </c>
      <c r="D4" s="22">
        <v>25</v>
      </c>
      <c r="E4" s="23">
        <f>SUM(F4:G4)</f>
        <v>320</v>
      </c>
      <c r="F4" s="23">
        <v>45</v>
      </c>
      <c r="G4" s="23">
        <v>275</v>
      </c>
      <c r="H4" s="23">
        <v>1.19</v>
      </c>
      <c r="I4" s="23">
        <v>0.66500000000000004</v>
      </c>
      <c r="J4" s="24">
        <v>0.78</v>
      </c>
      <c r="K4" s="23">
        <f>H4*I4*J4</f>
        <v>0.61725300000000005</v>
      </c>
      <c r="L4" s="25">
        <v>50</v>
      </c>
      <c r="M4" s="35">
        <f>L4/D4</f>
        <v>2</v>
      </c>
      <c r="N4" s="26">
        <f>M4*E4</f>
        <v>640</v>
      </c>
      <c r="O4" s="23">
        <f>M4*K4</f>
        <v>1.2345060000000001</v>
      </c>
      <c r="P4" s="3">
        <v>45942</v>
      </c>
      <c r="Q4" s="2">
        <v>4</v>
      </c>
      <c r="R4" s="1"/>
      <c r="S4" s="1"/>
      <c r="T4" s="1"/>
      <c r="U4" s="1"/>
      <c r="V4" s="1"/>
      <c r="W4" s="1"/>
    </row>
    <row r="5" spans="1:23" x14ac:dyDescent="0.3">
      <c r="A5" s="21" t="s">
        <v>15</v>
      </c>
      <c r="B5" s="21" t="s">
        <v>16</v>
      </c>
      <c r="C5" s="22" t="s">
        <v>41</v>
      </c>
      <c r="D5" s="22">
        <v>24</v>
      </c>
      <c r="E5" s="23">
        <f>SUM(F5:G5)</f>
        <v>318</v>
      </c>
      <c r="F5" s="23">
        <v>45</v>
      </c>
      <c r="G5" s="23">
        <v>273</v>
      </c>
      <c r="H5" s="23">
        <v>1.19</v>
      </c>
      <c r="I5" s="23">
        <v>0.64</v>
      </c>
      <c r="J5" s="24">
        <v>0.78</v>
      </c>
      <c r="K5" s="23">
        <f t="shared" ref="K5:K16" si="0">H5*I5*J5</f>
        <v>0.59404800000000002</v>
      </c>
      <c r="L5" s="25">
        <v>24</v>
      </c>
      <c r="M5" s="35">
        <f>L5/D5</f>
        <v>1</v>
      </c>
      <c r="N5" s="26">
        <f>M5*E5</f>
        <v>318</v>
      </c>
      <c r="O5" s="23">
        <f>M5*K5</f>
        <v>0.59404800000000002</v>
      </c>
      <c r="P5" s="3">
        <v>45942</v>
      </c>
      <c r="Q5" s="2">
        <v>4</v>
      </c>
      <c r="R5" s="1"/>
      <c r="S5" s="1"/>
      <c r="T5" s="1"/>
      <c r="U5" s="1"/>
      <c r="V5" s="1"/>
      <c r="W5" s="1"/>
    </row>
    <row r="6" spans="1:23" x14ac:dyDescent="0.3">
      <c r="A6" s="21" t="s">
        <v>15</v>
      </c>
      <c r="B6" s="21" t="s">
        <v>16</v>
      </c>
      <c r="C6" s="22" t="s">
        <v>42</v>
      </c>
      <c r="D6" s="22">
        <v>24</v>
      </c>
      <c r="E6" s="23">
        <f>SUM(F6:G6)</f>
        <v>318</v>
      </c>
      <c r="F6" s="23">
        <v>45</v>
      </c>
      <c r="G6" s="23">
        <v>273</v>
      </c>
      <c r="H6" s="23">
        <v>1.19</v>
      </c>
      <c r="I6" s="23">
        <v>0.64</v>
      </c>
      <c r="J6" s="24">
        <v>0.78</v>
      </c>
      <c r="K6" s="23">
        <f t="shared" si="0"/>
        <v>0.59404800000000002</v>
      </c>
      <c r="L6" s="25">
        <v>24</v>
      </c>
      <c r="M6" s="35">
        <f>L6/D6</f>
        <v>1</v>
      </c>
      <c r="N6" s="26">
        <f>M6*E6</f>
        <v>318</v>
      </c>
      <c r="O6" s="23">
        <f>M6*K6</f>
        <v>0.59404800000000002</v>
      </c>
      <c r="P6" s="3">
        <v>45942</v>
      </c>
      <c r="Q6" s="2">
        <v>4</v>
      </c>
      <c r="R6" s="1"/>
      <c r="S6" s="1"/>
      <c r="T6" s="1"/>
      <c r="U6" s="1"/>
      <c r="V6" s="1"/>
      <c r="W6" s="1"/>
    </row>
    <row r="7" spans="1:23" x14ac:dyDescent="0.3">
      <c r="A7" s="21" t="s">
        <v>15</v>
      </c>
      <c r="B7" s="21" t="s">
        <v>16</v>
      </c>
      <c r="C7" s="22" t="s">
        <v>43</v>
      </c>
      <c r="D7" s="22">
        <v>3</v>
      </c>
      <c r="E7" s="76">
        <f>SUM(F7:G8)</f>
        <v>92</v>
      </c>
      <c r="F7" s="76">
        <v>20</v>
      </c>
      <c r="G7" s="23">
        <v>36</v>
      </c>
      <c r="H7" s="76">
        <v>0.7</v>
      </c>
      <c r="I7" s="76">
        <v>0.61</v>
      </c>
      <c r="J7" s="76">
        <v>0.46</v>
      </c>
      <c r="K7" s="76">
        <f t="shared" si="0"/>
        <v>0.19642000000000001</v>
      </c>
      <c r="L7" s="27">
        <v>3</v>
      </c>
      <c r="M7" s="77">
        <f>L7/D7</f>
        <v>1</v>
      </c>
      <c r="N7" s="78">
        <f>M7*E7</f>
        <v>92</v>
      </c>
      <c r="O7" s="76">
        <f>M7*K7</f>
        <v>0.19642000000000001</v>
      </c>
      <c r="P7" s="3">
        <v>45942</v>
      </c>
      <c r="Q7" s="2">
        <v>4</v>
      </c>
      <c r="R7" s="1"/>
      <c r="S7" s="1"/>
      <c r="T7" s="1"/>
      <c r="U7" s="1"/>
      <c r="V7" s="1"/>
      <c r="W7" s="1"/>
    </row>
    <row r="8" spans="1:23" x14ac:dyDescent="0.3">
      <c r="A8" s="21" t="s">
        <v>15</v>
      </c>
      <c r="B8" s="21" t="s">
        <v>16</v>
      </c>
      <c r="C8" s="22" t="s">
        <v>44</v>
      </c>
      <c r="D8" s="22">
        <v>3</v>
      </c>
      <c r="E8" s="76"/>
      <c r="F8" s="76"/>
      <c r="G8" s="23">
        <v>36</v>
      </c>
      <c r="H8" s="76"/>
      <c r="I8" s="76"/>
      <c r="J8" s="76"/>
      <c r="K8" s="76"/>
      <c r="L8" s="27">
        <v>3</v>
      </c>
      <c r="M8" s="77"/>
      <c r="N8" s="78"/>
      <c r="O8" s="76"/>
      <c r="P8" s="3">
        <v>45942</v>
      </c>
      <c r="Q8" s="2">
        <v>4</v>
      </c>
      <c r="R8" s="1"/>
      <c r="S8" s="1"/>
      <c r="T8" s="1"/>
      <c r="U8" s="1"/>
      <c r="V8" s="1"/>
      <c r="W8" s="1"/>
    </row>
    <row r="9" spans="1:23" x14ac:dyDescent="0.3">
      <c r="A9" s="21" t="s">
        <v>15</v>
      </c>
      <c r="B9" s="21" t="s">
        <v>16</v>
      </c>
      <c r="C9" s="22" t="s">
        <v>45</v>
      </c>
      <c r="D9" s="22">
        <v>32</v>
      </c>
      <c r="E9" s="23">
        <f t="shared" ref="E9:E17" si="1">SUM(F9:G9)</f>
        <v>445</v>
      </c>
      <c r="F9" s="23">
        <v>55</v>
      </c>
      <c r="G9" s="23">
        <v>390</v>
      </c>
      <c r="H9" s="23">
        <v>1.1599999999999999</v>
      </c>
      <c r="I9" s="23">
        <v>1.0049999999999999</v>
      </c>
      <c r="J9" s="24">
        <v>0.78</v>
      </c>
      <c r="K9" s="23">
        <f t="shared" si="0"/>
        <v>0.9093239999999998</v>
      </c>
      <c r="L9" s="25">
        <v>32</v>
      </c>
      <c r="M9" s="36">
        <f t="shared" ref="M9:M16" si="2">L9/D9</f>
        <v>1</v>
      </c>
      <c r="N9" s="26">
        <f t="shared" ref="N9:N16" si="3">M9*E9</f>
        <v>445</v>
      </c>
      <c r="O9" s="23">
        <f t="shared" ref="O9:O17" si="4">M9*K9</f>
        <v>0.9093239999999998</v>
      </c>
      <c r="P9" s="3">
        <v>45942</v>
      </c>
      <c r="Q9" s="2">
        <v>4</v>
      </c>
      <c r="R9" s="1"/>
      <c r="S9" s="1"/>
      <c r="T9" s="1"/>
      <c r="U9" s="1"/>
      <c r="V9" s="1"/>
      <c r="W9" s="1"/>
    </row>
    <row r="10" spans="1:23" x14ac:dyDescent="0.3">
      <c r="A10" s="21" t="s">
        <v>15</v>
      </c>
      <c r="B10" s="21" t="s">
        <v>16</v>
      </c>
      <c r="C10" s="22" t="s">
        <v>46</v>
      </c>
      <c r="D10" s="22">
        <v>32</v>
      </c>
      <c r="E10" s="23">
        <f t="shared" si="1"/>
        <v>445</v>
      </c>
      <c r="F10" s="23">
        <v>55</v>
      </c>
      <c r="G10" s="23">
        <v>390</v>
      </c>
      <c r="H10" s="23">
        <v>1.1599999999999999</v>
      </c>
      <c r="I10" s="23">
        <v>1.0049999999999999</v>
      </c>
      <c r="J10" s="24">
        <v>0.78</v>
      </c>
      <c r="K10" s="23">
        <f t="shared" si="0"/>
        <v>0.9093239999999998</v>
      </c>
      <c r="L10" s="25">
        <v>32</v>
      </c>
      <c r="M10" s="36">
        <f t="shared" si="2"/>
        <v>1</v>
      </c>
      <c r="N10" s="26">
        <f t="shared" si="3"/>
        <v>445</v>
      </c>
      <c r="O10" s="23">
        <f t="shared" si="4"/>
        <v>0.9093239999999998</v>
      </c>
      <c r="P10" s="3">
        <v>45942</v>
      </c>
      <c r="Q10" s="2">
        <v>4</v>
      </c>
      <c r="R10" s="1"/>
      <c r="S10" s="1"/>
      <c r="T10" s="1"/>
      <c r="U10" s="1"/>
      <c r="V10" s="1"/>
      <c r="W10" s="1"/>
    </row>
    <row r="11" spans="1:23" x14ac:dyDescent="0.3">
      <c r="A11" s="21" t="s">
        <v>15</v>
      </c>
      <c r="B11" s="21" t="s">
        <v>16</v>
      </c>
      <c r="C11" s="22" t="s">
        <v>47</v>
      </c>
      <c r="D11" s="22">
        <v>40</v>
      </c>
      <c r="E11" s="23">
        <f t="shared" si="1"/>
        <v>460</v>
      </c>
      <c r="F11" s="23">
        <v>50</v>
      </c>
      <c r="G11" s="23">
        <v>410</v>
      </c>
      <c r="H11" s="23">
        <v>1.04</v>
      </c>
      <c r="I11" s="23">
        <v>0.94499999999999995</v>
      </c>
      <c r="J11" s="24">
        <v>0.78</v>
      </c>
      <c r="K11" s="23">
        <f t="shared" si="0"/>
        <v>0.76658400000000004</v>
      </c>
      <c r="L11" s="25">
        <v>160</v>
      </c>
      <c r="M11" s="36">
        <f t="shared" si="2"/>
        <v>4</v>
      </c>
      <c r="N11" s="26">
        <f t="shared" si="3"/>
        <v>1840</v>
      </c>
      <c r="O11" s="23">
        <f t="shared" si="4"/>
        <v>3.0663360000000002</v>
      </c>
      <c r="P11" s="3">
        <v>45944</v>
      </c>
      <c r="Q11" s="2">
        <v>2</v>
      </c>
      <c r="R11" s="1"/>
      <c r="S11" s="1"/>
      <c r="T11" s="1"/>
      <c r="U11" s="1"/>
      <c r="V11" s="1"/>
      <c r="W11" s="1"/>
    </row>
    <row r="12" spans="1:23" x14ac:dyDescent="0.3">
      <c r="A12" s="21" t="s">
        <v>15</v>
      </c>
      <c r="B12" s="21" t="s">
        <v>16</v>
      </c>
      <c r="C12" s="22" t="s">
        <v>47</v>
      </c>
      <c r="D12" s="22">
        <v>40</v>
      </c>
      <c r="E12" s="23">
        <f t="shared" si="1"/>
        <v>460</v>
      </c>
      <c r="F12" s="23">
        <v>50</v>
      </c>
      <c r="G12" s="23">
        <v>410</v>
      </c>
      <c r="H12" s="23">
        <v>1.04</v>
      </c>
      <c r="I12" s="23">
        <v>0.94499999999999995</v>
      </c>
      <c r="J12" s="24">
        <v>0.78</v>
      </c>
      <c r="K12" s="23">
        <f t="shared" si="0"/>
        <v>0.76658400000000004</v>
      </c>
      <c r="L12" s="25">
        <v>40</v>
      </c>
      <c r="M12" s="37">
        <f t="shared" si="2"/>
        <v>1</v>
      </c>
      <c r="N12" s="26">
        <f t="shared" si="3"/>
        <v>460</v>
      </c>
      <c r="O12" s="23">
        <f t="shared" si="4"/>
        <v>0.76658400000000004</v>
      </c>
      <c r="P12" s="3">
        <v>45944</v>
      </c>
      <c r="Q12" s="2">
        <v>2</v>
      </c>
      <c r="R12" s="1"/>
      <c r="S12" s="1"/>
      <c r="T12" s="1"/>
      <c r="U12" s="1"/>
      <c r="V12" s="1"/>
      <c r="W12" s="1"/>
    </row>
    <row r="13" spans="1:23" x14ac:dyDescent="0.3">
      <c r="A13" s="21" t="s">
        <v>15</v>
      </c>
      <c r="B13" s="21" t="s">
        <v>16</v>
      </c>
      <c r="C13" s="22" t="s">
        <v>48</v>
      </c>
      <c r="D13" s="22">
        <v>32</v>
      </c>
      <c r="E13" s="23">
        <f t="shared" si="1"/>
        <v>385</v>
      </c>
      <c r="F13" s="23">
        <v>45</v>
      </c>
      <c r="G13" s="23">
        <v>340</v>
      </c>
      <c r="H13" s="23">
        <v>1.04</v>
      </c>
      <c r="I13" s="23">
        <v>0.84499999999999997</v>
      </c>
      <c r="J13" s="24">
        <v>0.78</v>
      </c>
      <c r="K13" s="23">
        <f t="shared" si="0"/>
        <v>0.68546400000000007</v>
      </c>
      <c r="L13" s="25">
        <v>96</v>
      </c>
      <c r="M13" s="37">
        <f t="shared" si="2"/>
        <v>3</v>
      </c>
      <c r="N13" s="26">
        <f t="shared" si="3"/>
        <v>1155</v>
      </c>
      <c r="O13" s="23">
        <f t="shared" si="4"/>
        <v>2.0563920000000002</v>
      </c>
      <c r="P13" s="3">
        <v>45944</v>
      </c>
      <c r="Q13" s="2">
        <v>2</v>
      </c>
      <c r="R13" s="1"/>
      <c r="S13" s="1"/>
      <c r="T13" s="1"/>
      <c r="U13" s="1"/>
      <c r="V13" s="1"/>
      <c r="W13" s="1"/>
    </row>
    <row r="14" spans="1:23" x14ac:dyDescent="0.3">
      <c r="A14" s="21" t="s">
        <v>15</v>
      </c>
      <c r="B14" s="21" t="s">
        <v>16</v>
      </c>
      <c r="C14" s="22" t="s">
        <v>49</v>
      </c>
      <c r="D14" s="22">
        <v>12</v>
      </c>
      <c r="E14" s="23">
        <f t="shared" si="1"/>
        <v>165</v>
      </c>
      <c r="F14" s="23">
        <v>35</v>
      </c>
      <c r="G14" s="23">
        <v>130</v>
      </c>
      <c r="H14" s="23">
        <v>1.04</v>
      </c>
      <c r="I14" s="23">
        <v>0.7</v>
      </c>
      <c r="J14" s="23">
        <v>0.46</v>
      </c>
      <c r="K14" s="23">
        <f t="shared" si="0"/>
        <v>0.33488000000000001</v>
      </c>
      <c r="L14" s="25">
        <v>12</v>
      </c>
      <c r="M14" s="37">
        <f t="shared" si="2"/>
        <v>1</v>
      </c>
      <c r="N14" s="26">
        <f t="shared" si="3"/>
        <v>165</v>
      </c>
      <c r="O14" s="23">
        <f t="shared" si="4"/>
        <v>0.33488000000000001</v>
      </c>
      <c r="P14" s="3">
        <v>45944</v>
      </c>
      <c r="Q14" s="2">
        <v>2</v>
      </c>
      <c r="R14" s="1"/>
      <c r="S14" s="1"/>
      <c r="T14" s="1"/>
      <c r="U14" s="1"/>
      <c r="V14" s="1"/>
      <c r="W14" s="1"/>
    </row>
    <row r="15" spans="1:23" x14ac:dyDescent="0.3">
      <c r="A15" s="21" t="s">
        <v>15</v>
      </c>
      <c r="B15" s="21" t="s">
        <v>16</v>
      </c>
      <c r="C15" s="22" t="s">
        <v>50</v>
      </c>
      <c r="D15" s="22">
        <v>32</v>
      </c>
      <c r="E15" s="23">
        <f t="shared" si="1"/>
        <v>407</v>
      </c>
      <c r="F15" s="23">
        <v>55</v>
      </c>
      <c r="G15" s="23">
        <v>352</v>
      </c>
      <c r="H15" s="23">
        <v>1.04</v>
      </c>
      <c r="I15" s="23">
        <v>1.0049999999999999</v>
      </c>
      <c r="J15" s="24">
        <v>0.78</v>
      </c>
      <c r="K15" s="23">
        <f t="shared" si="0"/>
        <v>0.81525599999999998</v>
      </c>
      <c r="L15" s="25">
        <v>32</v>
      </c>
      <c r="M15" s="37">
        <f t="shared" si="2"/>
        <v>1</v>
      </c>
      <c r="N15" s="26">
        <f t="shared" si="3"/>
        <v>407</v>
      </c>
      <c r="O15" s="23">
        <f t="shared" si="4"/>
        <v>0.81525599999999998</v>
      </c>
      <c r="P15" s="3">
        <v>45944</v>
      </c>
      <c r="Q15" s="2">
        <v>2</v>
      </c>
      <c r="R15" s="1"/>
      <c r="S15" s="1"/>
      <c r="T15" s="1"/>
      <c r="U15" s="1"/>
      <c r="V15" s="1"/>
      <c r="W15" s="1"/>
    </row>
    <row r="16" spans="1:23" x14ac:dyDescent="0.3">
      <c r="A16" s="21" t="s">
        <v>15</v>
      </c>
      <c r="B16" s="21" t="s">
        <v>16</v>
      </c>
      <c r="C16" s="22" t="s">
        <v>50</v>
      </c>
      <c r="D16" s="22">
        <v>32</v>
      </c>
      <c r="E16" s="23">
        <f t="shared" si="1"/>
        <v>407</v>
      </c>
      <c r="F16" s="23">
        <v>55</v>
      </c>
      <c r="G16" s="23">
        <v>352</v>
      </c>
      <c r="H16" s="23">
        <v>1.04</v>
      </c>
      <c r="I16" s="23">
        <v>1.0049999999999999</v>
      </c>
      <c r="J16" s="24">
        <v>0.78</v>
      </c>
      <c r="K16" s="23">
        <f t="shared" si="0"/>
        <v>0.81525599999999998</v>
      </c>
      <c r="L16" s="25">
        <v>96</v>
      </c>
      <c r="M16" s="37">
        <f t="shared" si="2"/>
        <v>3</v>
      </c>
      <c r="N16" s="26">
        <f t="shared" si="3"/>
        <v>1221</v>
      </c>
      <c r="O16" s="23">
        <f t="shared" si="4"/>
        <v>2.4457680000000002</v>
      </c>
      <c r="P16" s="3">
        <v>45944</v>
      </c>
      <c r="Q16" s="2">
        <v>2</v>
      </c>
      <c r="R16" s="1"/>
      <c r="S16" s="1"/>
      <c r="T16" s="1"/>
      <c r="U16" s="1"/>
      <c r="V16" s="1"/>
      <c r="W16" s="1"/>
    </row>
    <row r="17" spans="1:29" s="49" customFormat="1" ht="13.8" customHeight="1" x14ac:dyDescent="0.3">
      <c r="A17" s="21" t="s">
        <v>15</v>
      </c>
      <c r="B17" s="21" t="s">
        <v>16</v>
      </c>
      <c r="C17" s="22" t="s">
        <v>55</v>
      </c>
      <c r="D17" s="67">
        <v>48</v>
      </c>
      <c r="E17" s="50">
        <f t="shared" si="1"/>
        <v>512</v>
      </c>
      <c r="F17" s="50">
        <v>50</v>
      </c>
      <c r="G17" s="50">
        <v>462</v>
      </c>
      <c r="H17" s="50">
        <v>1.04</v>
      </c>
      <c r="I17" s="50">
        <v>0.88500000000000001</v>
      </c>
      <c r="J17" s="50">
        <v>0.78</v>
      </c>
      <c r="K17" s="50">
        <f>H17*I17*J17</f>
        <v>0.71791199999999999</v>
      </c>
      <c r="L17" s="51">
        <v>140</v>
      </c>
      <c r="M17" s="52">
        <v>3</v>
      </c>
      <c r="N17" s="53">
        <f>M17*E17-36</f>
        <v>1500</v>
      </c>
      <c r="O17" s="53">
        <f t="shared" si="4"/>
        <v>2.1537359999999999</v>
      </c>
      <c r="P17" s="54">
        <v>45953</v>
      </c>
      <c r="Q17" s="2">
        <v>1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s="49" customFormat="1" x14ac:dyDescent="0.3">
      <c r="A18" s="21" t="s">
        <v>15</v>
      </c>
      <c r="B18" s="21" t="s">
        <v>16</v>
      </c>
      <c r="C18" s="22" t="s">
        <v>56</v>
      </c>
      <c r="D18" s="22">
        <v>36</v>
      </c>
      <c r="E18" s="53">
        <f t="shared" ref="E18" si="5">SUM(F18:G18)</f>
        <v>415</v>
      </c>
      <c r="F18" s="53">
        <v>45</v>
      </c>
      <c r="G18" s="53">
        <v>370</v>
      </c>
      <c r="H18" s="53">
        <v>1.04</v>
      </c>
      <c r="I18" s="53">
        <v>0.76500000000000001</v>
      </c>
      <c r="J18" s="53">
        <v>0.78</v>
      </c>
      <c r="K18" s="53">
        <f>H18*I18*J18</f>
        <v>0.62056800000000012</v>
      </c>
      <c r="L18" s="51">
        <v>144</v>
      </c>
      <c r="M18" s="55">
        <f>L18/D18</f>
        <v>4</v>
      </c>
      <c r="N18" s="56">
        <f>M18*E18</f>
        <v>1660</v>
      </c>
      <c r="O18" s="53">
        <f>M18*K18</f>
        <v>2.4822720000000005</v>
      </c>
      <c r="P18" s="54">
        <v>45953</v>
      </c>
      <c r="Q18" s="2">
        <v>1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s="49" customFormat="1" x14ac:dyDescent="0.3">
      <c r="A19" s="21" t="s">
        <v>15</v>
      </c>
      <c r="B19" s="21" t="s">
        <v>16</v>
      </c>
      <c r="C19" s="22" t="s">
        <v>57</v>
      </c>
      <c r="D19" s="22">
        <v>40</v>
      </c>
      <c r="E19" s="53">
        <f>SUM(F19:G19)</f>
        <v>410</v>
      </c>
      <c r="F19" s="53">
        <v>40</v>
      </c>
      <c r="G19" s="53">
        <v>370</v>
      </c>
      <c r="H19" s="53">
        <v>1.04</v>
      </c>
      <c r="I19" s="53">
        <v>0.64500000000000002</v>
      </c>
      <c r="J19" s="53">
        <v>0.78</v>
      </c>
      <c r="K19" s="53">
        <f>H19*I19*J19</f>
        <v>0.52322400000000002</v>
      </c>
      <c r="L19" s="51">
        <v>40</v>
      </c>
      <c r="M19" s="55">
        <f>L19/D19</f>
        <v>1</v>
      </c>
      <c r="N19" s="56">
        <f>M19*E19</f>
        <v>410</v>
      </c>
      <c r="O19" s="53">
        <f>M19*K19</f>
        <v>0.52322400000000002</v>
      </c>
      <c r="P19" s="54">
        <v>45953</v>
      </c>
      <c r="Q19" s="2">
        <v>1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s="1" customFormat="1" x14ac:dyDescent="0.3">
      <c r="A20" s="62" t="s">
        <v>59</v>
      </c>
      <c r="B20" s="62" t="s">
        <v>16</v>
      </c>
      <c r="C20" s="57" t="s">
        <v>58</v>
      </c>
      <c r="D20" s="68">
        <v>8</v>
      </c>
      <c r="E20" s="58">
        <v>249</v>
      </c>
      <c r="F20" s="58">
        <v>30</v>
      </c>
      <c r="G20" s="58">
        <v>219</v>
      </c>
      <c r="H20" s="58">
        <v>0.91</v>
      </c>
      <c r="I20" s="58">
        <v>0.91</v>
      </c>
      <c r="J20" s="58">
        <v>0.49</v>
      </c>
      <c r="K20" s="59">
        <f t="shared" ref="K20" si="6">H20*I20*J20</f>
        <v>0.40576900000000005</v>
      </c>
      <c r="L20" s="60">
        <v>96</v>
      </c>
      <c r="M20" s="61">
        <f t="shared" ref="M20" si="7">L20/D20</f>
        <v>12</v>
      </c>
      <c r="N20" s="61">
        <f t="shared" ref="N20" si="8">M20*E20</f>
        <v>2988</v>
      </c>
      <c r="O20" s="61">
        <f t="shared" ref="O20" si="9">M20*K20</f>
        <v>4.8692280000000006</v>
      </c>
    </row>
    <row r="21" spans="1:29" x14ac:dyDescent="0.3">
      <c r="A21" s="30">
        <v>9376</v>
      </c>
      <c r="B21" s="21" t="s">
        <v>17</v>
      </c>
      <c r="C21" s="12" t="s">
        <v>51</v>
      </c>
      <c r="D21" s="30">
        <v>6000</v>
      </c>
      <c r="E21" s="38">
        <f>G21+F21</f>
        <v>375</v>
      </c>
      <c r="F21" s="21">
        <v>15</v>
      </c>
      <c r="G21" s="38">
        <v>360</v>
      </c>
      <c r="H21" s="21">
        <v>1.1000000000000001</v>
      </c>
      <c r="I21" s="21">
        <v>1.1000000000000001</v>
      </c>
      <c r="J21" s="21">
        <v>1.8</v>
      </c>
      <c r="K21" s="39">
        <f t="shared" ref="K21:K23" si="10">H21*I21*J21</f>
        <v>2.1780000000000004</v>
      </c>
      <c r="L21" s="21">
        <v>3000</v>
      </c>
      <c r="M21" s="21">
        <f t="shared" ref="M21:M23" si="11">L21/D21</f>
        <v>0.5</v>
      </c>
      <c r="N21" s="21">
        <f t="shared" ref="N21:N23" si="12">M21*E21</f>
        <v>187.5</v>
      </c>
      <c r="O21" s="21">
        <f t="shared" ref="O21:O22" si="13">M21*K21</f>
        <v>1.0890000000000002</v>
      </c>
      <c r="P21" s="9">
        <v>45761</v>
      </c>
      <c r="Q21" t="s">
        <v>61</v>
      </c>
    </row>
    <row r="22" spans="1:29" x14ac:dyDescent="0.3">
      <c r="A22" s="30">
        <v>9440</v>
      </c>
      <c r="B22" s="21" t="s">
        <v>17</v>
      </c>
      <c r="C22" s="12" t="s">
        <v>27</v>
      </c>
      <c r="D22" s="30">
        <v>6000</v>
      </c>
      <c r="E22" s="38">
        <f>G22+F22</f>
        <v>375</v>
      </c>
      <c r="F22" s="21">
        <v>15</v>
      </c>
      <c r="G22" s="38">
        <v>360</v>
      </c>
      <c r="H22" s="21">
        <v>1.1000000000000001</v>
      </c>
      <c r="I22" s="21">
        <v>1.1000000000000001</v>
      </c>
      <c r="J22" s="21">
        <v>1.8</v>
      </c>
      <c r="K22" s="39">
        <f t="shared" si="10"/>
        <v>2.1780000000000004</v>
      </c>
      <c r="L22" s="21">
        <v>6000</v>
      </c>
      <c r="M22" s="21">
        <f t="shared" si="11"/>
        <v>1</v>
      </c>
      <c r="N22" s="21">
        <f t="shared" si="12"/>
        <v>375</v>
      </c>
      <c r="O22" s="21">
        <f t="shared" si="13"/>
        <v>2.1780000000000004</v>
      </c>
      <c r="P22" s="10">
        <v>45900</v>
      </c>
      <c r="Q22" t="s">
        <v>26</v>
      </c>
    </row>
    <row r="23" spans="1:29" s="14" customFormat="1" ht="15.6" x14ac:dyDescent="0.3">
      <c r="A23" s="40">
        <v>9387</v>
      </c>
      <c r="B23" s="41" t="s">
        <v>25</v>
      </c>
      <c r="C23" s="42" t="s">
        <v>29</v>
      </c>
      <c r="D23" s="43">
        <v>1000</v>
      </c>
      <c r="E23" s="44">
        <v>610</v>
      </c>
      <c r="F23" s="44">
        <f>E23-G23</f>
        <v>40</v>
      </c>
      <c r="G23" s="44">
        <v>570</v>
      </c>
      <c r="H23" s="44">
        <v>1.1000000000000001</v>
      </c>
      <c r="I23" s="44">
        <v>0.8</v>
      </c>
      <c r="J23" s="44">
        <v>0.55000000000000004</v>
      </c>
      <c r="K23" s="45">
        <f t="shared" si="10"/>
        <v>0.4840000000000001</v>
      </c>
      <c r="L23" s="21">
        <v>2000</v>
      </c>
      <c r="M23" s="41">
        <f t="shared" si="11"/>
        <v>2</v>
      </c>
      <c r="N23" s="45">
        <f t="shared" si="12"/>
        <v>1220</v>
      </c>
      <c r="O23" s="41">
        <f>M23*K23</f>
        <v>0.96800000000000019</v>
      </c>
      <c r="P23" s="13">
        <v>45779</v>
      </c>
    </row>
    <row r="24" spans="1:29" x14ac:dyDescent="0.3">
      <c r="A24" s="30">
        <v>9428</v>
      </c>
      <c r="B24" s="21" t="s">
        <v>25</v>
      </c>
      <c r="C24" s="21" t="s">
        <v>30</v>
      </c>
      <c r="D24" s="46">
        <v>800</v>
      </c>
      <c r="E24" s="46">
        <v>590</v>
      </c>
      <c r="F24" s="46">
        <f>E24-G24</f>
        <v>49</v>
      </c>
      <c r="G24" s="46">
        <v>541</v>
      </c>
      <c r="H24" s="46">
        <v>1.1000000000000001</v>
      </c>
      <c r="I24" s="46">
        <v>0.8</v>
      </c>
      <c r="J24" s="46">
        <v>0.55000000000000004</v>
      </c>
      <c r="K24" s="46">
        <f t="shared" ref="K24:K25" si="14">H24*I24*J24</f>
        <v>0.4840000000000001</v>
      </c>
      <c r="L24" s="21">
        <v>2400</v>
      </c>
      <c r="M24" s="21">
        <f t="shared" ref="M24" si="15">L24/D24</f>
        <v>3</v>
      </c>
      <c r="N24" s="29">
        <f t="shared" ref="N24:N25" si="16">M24*E24</f>
        <v>1770</v>
      </c>
      <c r="O24" s="21">
        <f>M24*K24</f>
        <v>1.4520000000000004</v>
      </c>
      <c r="P24" s="10">
        <v>45869</v>
      </c>
    </row>
    <row r="25" spans="1:29" x14ac:dyDescent="0.3">
      <c r="A25" s="30">
        <v>9439</v>
      </c>
      <c r="B25" s="21" t="s">
        <v>25</v>
      </c>
      <c r="C25" s="12" t="s">
        <v>28</v>
      </c>
      <c r="D25" s="47">
        <v>800</v>
      </c>
      <c r="E25" s="31">
        <v>690</v>
      </c>
      <c r="F25" s="31">
        <f>E25-G25</f>
        <v>40</v>
      </c>
      <c r="G25" s="31">
        <v>650</v>
      </c>
      <c r="H25" s="31">
        <v>1.1000000000000001</v>
      </c>
      <c r="I25" s="31">
        <v>0.8</v>
      </c>
      <c r="J25" s="31">
        <v>0.55000000000000004</v>
      </c>
      <c r="K25" s="29">
        <f t="shared" si="14"/>
        <v>0.4840000000000001</v>
      </c>
      <c r="L25" s="21">
        <v>4800</v>
      </c>
      <c r="M25" s="29">
        <f>L25/D25</f>
        <v>6</v>
      </c>
      <c r="N25" s="29">
        <f t="shared" si="16"/>
        <v>4140</v>
      </c>
      <c r="O25" s="29">
        <f t="shared" ref="O25" si="17">M25*K25</f>
        <v>2.9040000000000008</v>
      </c>
      <c r="P25" s="10">
        <v>45900</v>
      </c>
    </row>
    <row r="26" spans="1:29" x14ac:dyDescent="0.3">
      <c r="A26" s="28" t="s">
        <v>31</v>
      </c>
      <c r="B26" s="22" t="s">
        <v>16</v>
      </c>
      <c r="C26" s="32" t="s">
        <v>32</v>
      </c>
      <c r="D26" s="33">
        <v>4</v>
      </c>
      <c r="E26" s="33">
        <v>80</v>
      </c>
      <c r="F26" s="33">
        <v>52</v>
      </c>
      <c r="G26" s="33">
        <v>28</v>
      </c>
      <c r="H26" s="33">
        <v>1.1499999999999999</v>
      </c>
      <c r="I26" s="33">
        <v>0.63</v>
      </c>
      <c r="J26" s="33">
        <v>0.74</v>
      </c>
      <c r="K26" s="34">
        <f>H26*I26*J26</f>
        <v>0.53612999999999988</v>
      </c>
      <c r="L26" s="21">
        <v>60</v>
      </c>
      <c r="M26" s="48">
        <f>L26/D26</f>
        <v>15</v>
      </c>
      <c r="N26" s="33">
        <f>M26*E26</f>
        <v>1200</v>
      </c>
      <c r="O26" s="34">
        <f>M26*K26</f>
        <v>8.0419499999999982</v>
      </c>
      <c r="P26" s="11" t="s">
        <v>20</v>
      </c>
    </row>
    <row r="27" spans="1:29" x14ac:dyDescent="0.3">
      <c r="A27"/>
      <c r="L27" s="20">
        <f>SUM(L3:L26)</f>
        <v>19334</v>
      </c>
      <c r="M27" s="20">
        <f>SUM(M3:M26)</f>
        <v>69.5</v>
      </c>
      <c r="N27" s="20">
        <f>SUM(N3:N26)</f>
        <v>23596.5</v>
      </c>
      <c r="O27" s="20">
        <f>SUM(O3:O26)</f>
        <v>41.818802000000005</v>
      </c>
    </row>
    <row r="28" spans="1:29" x14ac:dyDescent="0.3">
      <c r="A28"/>
    </row>
    <row r="29" spans="1:29" s="1" customFormat="1" x14ac:dyDescent="0.3">
      <c r="C29" s="65"/>
      <c r="D29" s="70"/>
      <c r="E29" s="4" t="s">
        <v>33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11"/>
    </row>
    <row r="30" spans="1:29" s="1" customFormat="1" x14ac:dyDescent="0.3">
      <c r="C30" s="65"/>
      <c r="D30" s="72">
        <f>SUM(D31:R31)</f>
        <v>11.740000000000002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</row>
    <row r="31" spans="1:29" s="1" customFormat="1" x14ac:dyDescent="0.3">
      <c r="C31" s="65"/>
      <c r="D31" s="69">
        <v>1.1000000000000001</v>
      </c>
      <c r="E31" s="4">
        <v>0.63</v>
      </c>
      <c r="F31" s="4">
        <v>0.63</v>
      </c>
      <c r="G31" s="4">
        <v>0.63</v>
      </c>
      <c r="H31" s="4">
        <v>0.8</v>
      </c>
      <c r="I31" s="4">
        <v>0.95</v>
      </c>
      <c r="J31" s="4">
        <v>1.01</v>
      </c>
      <c r="K31" s="16">
        <v>0.64</v>
      </c>
      <c r="L31" s="16">
        <v>0.67</v>
      </c>
      <c r="M31" s="16">
        <v>0.67</v>
      </c>
      <c r="N31" s="16">
        <v>0.67</v>
      </c>
      <c r="O31" s="15">
        <v>0.63</v>
      </c>
      <c r="P31">
        <v>0.89</v>
      </c>
      <c r="Q31">
        <v>0.91</v>
      </c>
      <c r="R31">
        <v>0.91</v>
      </c>
    </row>
    <row r="32" spans="1:29" s="1" customFormat="1" x14ac:dyDescent="0.3">
      <c r="C32" s="65"/>
      <c r="D32" s="75" t="s">
        <v>60</v>
      </c>
      <c r="E32" s="73" t="s">
        <v>19</v>
      </c>
      <c r="F32" s="73" t="s">
        <v>19</v>
      </c>
      <c r="G32" s="73" t="s">
        <v>19</v>
      </c>
      <c r="H32" s="72" t="s">
        <v>34</v>
      </c>
      <c r="I32" s="17" t="s">
        <v>18</v>
      </c>
      <c r="J32" s="17" t="s">
        <v>18</v>
      </c>
      <c r="K32" s="18" t="s">
        <v>18</v>
      </c>
      <c r="L32" s="18" t="s">
        <v>18</v>
      </c>
      <c r="M32" s="18" t="s">
        <v>18</v>
      </c>
      <c r="N32" s="18" t="s">
        <v>18</v>
      </c>
      <c r="O32" s="73" t="s">
        <v>19</v>
      </c>
      <c r="P32" s="71" t="s">
        <v>52</v>
      </c>
      <c r="Q32" s="71" t="s">
        <v>53</v>
      </c>
      <c r="R32" s="71" t="s">
        <v>53</v>
      </c>
    </row>
    <row r="33" spans="1:18" s="1" customFormat="1" x14ac:dyDescent="0.3">
      <c r="C33" s="65"/>
      <c r="D33" s="75"/>
      <c r="E33" s="73"/>
      <c r="F33" s="73"/>
      <c r="G33" s="73"/>
      <c r="H33" s="72"/>
      <c r="I33" s="17"/>
      <c r="J33" s="17"/>
      <c r="K33" s="18"/>
      <c r="L33" s="18"/>
      <c r="M33" s="18" t="s">
        <v>35</v>
      </c>
      <c r="N33" s="18" t="s">
        <v>35</v>
      </c>
      <c r="O33" s="73"/>
      <c r="P33" s="71"/>
      <c r="Q33" s="71"/>
      <c r="R33" s="71"/>
    </row>
    <row r="34" spans="1:18" s="1" customFormat="1" x14ac:dyDescent="0.3">
      <c r="C34" s="65"/>
      <c r="D34" s="75"/>
      <c r="E34" s="73"/>
      <c r="F34" s="73"/>
      <c r="G34" s="73"/>
      <c r="H34" s="72"/>
      <c r="I34" s="17"/>
      <c r="J34" s="17"/>
      <c r="K34" s="18"/>
      <c r="L34" s="18"/>
      <c r="M34" s="18"/>
      <c r="N34" s="18"/>
      <c r="O34" s="73"/>
      <c r="P34" s="71"/>
      <c r="Q34" s="71"/>
      <c r="R34" s="71"/>
    </row>
    <row r="35" spans="1:18" s="1" customFormat="1" x14ac:dyDescent="0.3">
      <c r="C35" s="65"/>
      <c r="D35" s="75"/>
      <c r="E35" s="73"/>
      <c r="F35" s="73"/>
      <c r="G35" s="73"/>
      <c r="H35" s="72"/>
      <c r="I35" s="17"/>
      <c r="J35" s="17"/>
      <c r="K35" s="18"/>
      <c r="L35" s="18"/>
      <c r="M35" s="18"/>
      <c r="N35" s="18"/>
      <c r="O35" s="73"/>
      <c r="P35" s="71"/>
      <c r="Q35" s="71"/>
      <c r="R35" s="71"/>
    </row>
    <row r="36" spans="1:18" s="1" customFormat="1" x14ac:dyDescent="0.3">
      <c r="C36" s="65"/>
      <c r="D36" s="75"/>
      <c r="E36" s="73"/>
      <c r="F36" s="73"/>
      <c r="G36" s="73"/>
      <c r="H36" s="72"/>
      <c r="I36" s="17"/>
      <c r="J36" s="17"/>
      <c r="K36" s="18"/>
      <c r="L36" s="18"/>
      <c r="M36" s="18"/>
      <c r="N36" s="18"/>
      <c r="O36" s="73"/>
      <c r="P36" s="71"/>
      <c r="Q36" s="71"/>
      <c r="R36" s="71"/>
    </row>
    <row r="37" spans="1:18" s="1" customFormat="1" x14ac:dyDescent="0.3">
      <c r="C37" s="65"/>
      <c r="D37" s="74"/>
      <c r="E37" s="72" t="s">
        <v>60</v>
      </c>
      <c r="F37" s="71" t="s">
        <v>53</v>
      </c>
      <c r="G37" s="72" t="s">
        <v>36</v>
      </c>
      <c r="H37" s="72" t="s">
        <v>34</v>
      </c>
      <c r="I37" s="17" t="s">
        <v>18</v>
      </c>
      <c r="J37" s="19" t="s">
        <v>18</v>
      </c>
      <c r="K37" s="19" t="s">
        <v>18</v>
      </c>
      <c r="L37" s="19" t="s">
        <v>18</v>
      </c>
      <c r="M37" s="19" t="s">
        <v>18</v>
      </c>
      <c r="N37" s="19" t="s">
        <v>18</v>
      </c>
      <c r="O37" s="73" t="s">
        <v>19</v>
      </c>
      <c r="P37" s="71" t="s">
        <v>54</v>
      </c>
      <c r="Q37" s="71" t="s">
        <v>52</v>
      </c>
      <c r="R37" s="71"/>
    </row>
    <row r="38" spans="1:18" s="1" customFormat="1" x14ac:dyDescent="0.3">
      <c r="C38" s="65"/>
      <c r="D38" s="74"/>
      <c r="E38" s="72"/>
      <c r="F38" s="71"/>
      <c r="G38" s="72"/>
      <c r="H38" s="72"/>
      <c r="I38" s="17"/>
      <c r="J38" s="19"/>
      <c r="K38" s="19" t="s">
        <v>37</v>
      </c>
      <c r="L38" s="19"/>
      <c r="M38" s="19"/>
      <c r="N38" s="19"/>
      <c r="O38" s="73"/>
      <c r="P38" s="71"/>
      <c r="Q38" s="71"/>
      <c r="R38" s="71"/>
    </row>
    <row r="39" spans="1:18" s="1" customFormat="1" x14ac:dyDescent="0.3">
      <c r="C39" s="65"/>
      <c r="D39" s="74"/>
      <c r="E39" s="72"/>
      <c r="F39" s="71"/>
      <c r="G39" s="72"/>
      <c r="H39" s="72"/>
      <c r="I39" s="17"/>
      <c r="J39" s="19"/>
      <c r="K39" s="19"/>
      <c r="L39" s="19"/>
      <c r="M39" s="19"/>
      <c r="N39" s="19"/>
      <c r="O39" s="73"/>
      <c r="P39" s="71"/>
      <c r="Q39" s="71"/>
      <c r="R39" s="71"/>
    </row>
    <row r="40" spans="1:18" s="1" customFormat="1" x14ac:dyDescent="0.3">
      <c r="C40" s="65"/>
      <c r="D40" s="74"/>
      <c r="E40" s="72"/>
      <c r="F40" s="71"/>
      <c r="G40" s="72"/>
      <c r="H40" s="72"/>
      <c r="I40" s="17"/>
      <c r="J40" s="19"/>
      <c r="K40" s="19"/>
      <c r="L40" s="19"/>
      <c r="M40" s="19"/>
      <c r="N40" s="19"/>
      <c r="O40" s="73"/>
      <c r="P40" s="71"/>
      <c r="Q40" s="71"/>
      <c r="R40" s="71"/>
    </row>
    <row r="41" spans="1:18" s="1" customFormat="1" x14ac:dyDescent="0.3">
      <c r="C41" s="65"/>
      <c r="D41" s="74"/>
      <c r="E41" s="72"/>
      <c r="F41" s="71"/>
      <c r="G41" s="72"/>
      <c r="H41" s="72"/>
      <c r="I41" s="17"/>
      <c r="J41" s="19"/>
      <c r="K41" s="19"/>
      <c r="L41" s="19"/>
      <c r="M41" s="19"/>
      <c r="N41" s="19"/>
      <c r="O41" s="73"/>
      <c r="P41" s="71"/>
      <c r="Q41" s="71"/>
      <c r="R41" s="71"/>
    </row>
    <row r="42" spans="1:18" s="1" customFormat="1" x14ac:dyDescent="0.3">
      <c r="C42" s="65"/>
      <c r="D42" s="70"/>
      <c r="E42" s="4">
        <v>1.1000000000000001</v>
      </c>
      <c r="F42">
        <v>0.91</v>
      </c>
      <c r="G42" s="4">
        <v>0.8</v>
      </c>
      <c r="H42" s="4">
        <v>0.8</v>
      </c>
      <c r="I42" s="4">
        <v>0.95</v>
      </c>
      <c r="J42" s="4">
        <v>0.85</v>
      </c>
      <c r="K42" s="4">
        <v>0.95</v>
      </c>
      <c r="L42" s="16">
        <v>1.01</v>
      </c>
      <c r="M42" s="16">
        <v>1.01</v>
      </c>
      <c r="N42" s="16">
        <v>1.01</v>
      </c>
      <c r="O42" s="4">
        <v>0.63</v>
      </c>
      <c r="P42">
        <v>0.77</v>
      </c>
      <c r="Q42">
        <v>0.77</v>
      </c>
      <c r="R42"/>
    </row>
    <row r="43" spans="1:18" x14ac:dyDescent="0.3">
      <c r="A43"/>
      <c r="D43" s="72">
        <f>SUM(D42:R42)</f>
        <v>11.56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</sheetData>
  <mergeCells count="29">
    <mergeCell ref="K7:K8"/>
    <mergeCell ref="M7:M8"/>
    <mergeCell ref="N7:N8"/>
    <mergeCell ref="O7:O8"/>
    <mergeCell ref="E7:E8"/>
    <mergeCell ref="F7:F8"/>
    <mergeCell ref="H7:H8"/>
    <mergeCell ref="I7:I8"/>
    <mergeCell ref="J7:J8"/>
    <mergeCell ref="D30:R30"/>
    <mergeCell ref="D32:D36"/>
    <mergeCell ref="E32:E36"/>
    <mergeCell ref="F32:F36"/>
    <mergeCell ref="G32:G36"/>
    <mergeCell ref="H32:H36"/>
    <mergeCell ref="O32:O36"/>
    <mergeCell ref="P32:P36"/>
    <mergeCell ref="Q32:Q36"/>
    <mergeCell ref="R32:R36"/>
    <mergeCell ref="P37:P41"/>
    <mergeCell ref="Q37:Q41"/>
    <mergeCell ref="R37:R41"/>
    <mergeCell ref="D43:R43"/>
    <mergeCell ref="O37:O41"/>
    <mergeCell ref="D37:D41"/>
    <mergeCell ref="E37:E41"/>
    <mergeCell ref="F37:F41"/>
    <mergeCell ref="G37:G41"/>
    <mergeCell ref="H37:H41"/>
  </mergeCells>
  <pageMargins left="0.25" right="0.25" top="0.75" bottom="0.75" header="0.3" footer="0.3"/>
  <pageSetup paperSize="8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cp:lastPrinted>2025-10-13T05:46:37Z</cp:lastPrinted>
  <dcterms:created xsi:type="dcterms:W3CDTF">2015-06-05T18:17:20Z</dcterms:created>
  <dcterms:modified xsi:type="dcterms:W3CDTF">2025-10-13T06:10:57Z</dcterms:modified>
</cp:coreProperties>
</file>