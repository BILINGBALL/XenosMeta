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22#发货\"/>
    </mc:Choice>
  </mc:AlternateContent>
  <xr:revisionPtr revIDLastSave="0" documentId="13_ncr:1_{1FCB6A9F-8C91-4BE8-887F-6949896C37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P5" i="1"/>
  <c r="O5" i="1"/>
  <c r="J5" i="1"/>
  <c r="H5" i="1"/>
  <c r="F5" i="1" s="1"/>
  <c r="Q8" i="1"/>
  <c r="H8" i="1"/>
  <c r="F8" i="1" s="1"/>
  <c r="O8" i="1"/>
  <c r="P8" i="1"/>
  <c r="J8" i="1"/>
  <c r="Q6" i="1"/>
  <c r="O6" i="1"/>
  <c r="P6" i="1"/>
  <c r="J6" i="1"/>
  <c r="H6" i="1"/>
  <c r="F6" i="1" s="1"/>
  <c r="Q4" i="1" l="1"/>
  <c r="O4" i="1"/>
  <c r="P4" i="1"/>
  <c r="J4" i="1"/>
  <c r="H4" i="1"/>
  <c r="F4" i="1" s="1"/>
  <c r="Q7" i="1" l="1"/>
  <c r="O7" i="1"/>
  <c r="P7" i="1"/>
  <c r="J7" i="1"/>
  <c r="H7" i="1"/>
  <c r="F7" i="1" s="1"/>
  <c r="K9" i="1" l="1"/>
  <c r="F9" i="1" l="1"/>
  <c r="Q9" i="1"/>
  <c r="P9" i="1"/>
  <c r="O9" i="1"/>
  <c r="H9" i="1"/>
</calcChain>
</file>

<file path=xl/sharedStrings.xml><?xml version="1.0" encoding="utf-8"?>
<sst xmlns="http://schemas.openxmlformats.org/spreadsheetml/2006/main" count="43" uniqueCount="36">
  <si>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</si>
  <si>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</si>
  <si>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</si>
  <si>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</si>
  <si>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</si>
  <si>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</si>
  <si>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</si>
  <si>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</si>
  <si>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</si>
  <si>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</si>
  <si>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</si>
  <si>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</si>
  <si>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</si>
  <si>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</si>
  <si>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</si>
  <si>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</si>
  <si>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</si>
  <si>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</si>
  <si>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</si>
  <si>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</si>
  <si>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</si>
  <si>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</si>
  <si>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</si>
  <si>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</si>
  <si>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</si>
  <si>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</si>
  <si>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26x190</t>
    <phoneticPr fontId="9" type="noConversion"/>
  </si>
  <si>
    <t>螺纹道钉
配弹垫
SCREW SPIKE
with WASHER</t>
  </si>
  <si>
    <t>24x165
8.8级</t>
  </si>
  <si>
    <t>#22</t>
    <phoneticPr fontId="9" type="noConversion"/>
  </si>
  <si>
    <t>1/28-7/28</t>
    <phoneticPr fontId="9" type="noConversion"/>
  </si>
  <si>
    <t>8/28</t>
    <phoneticPr fontId="9" type="noConversion"/>
  </si>
  <si>
    <t>9/28-18/28</t>
    <phoneticPr fontId="9" type="noConversion"/>
  </si>
  <si>
    <t>19/28-23/28</t>
    <phoneticPr fontId="9" type="noConversion"/>
  </si>
  <si>
    <t>24/28-28/28</t>
    <phoneticPr fontId="9" type="noConversion"/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</si>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</sst>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7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 wrapText="1"/>
    </xf>
    <xf numFmtId="178" fontId="2" fillId="0" borderId="2" xfId="0" applyNumberFormat="1" applyFont="1" applyBorder="1" applyAlignment="1">
      <alignment horizontal="center" vertical="center" wrapText="1"/>
    </xf>
    <xf numFmtId="178" fontId="2" fillId="0" borderId="1" xfId="0" quotePrefix="1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tabSelected="1" topLeftCell="A5" workbookViewId="0">
      <selection activeCell="M7" sqref="M7"/>
    </sheetView>
  </sheetViews>
  <sheetFormatPr defaultColWidth="9" defaultRowHeight="13.5" x14ac:dyDescent="0.15"/>
  <cols>
    <col min="1" max="1" width="4.625" customWidth="1"/>
    <col min="2" max="2" width="10.5" customWidth="1"/>
    <col min="3" max="3" width="9.5" customWidth="1"/>
    <col min="4" max="4" width="9.625" customWidth="1"/>
    <col min="5" max="5" width="11.3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9" ht="30.75" customHeight="1" x14ac:dyDescent="0.15">
      <c r="A2" s="14" t="s">
        <v>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43.5" customHeight="1" x14ac:dyDescent="0.15">
      <c r="A4" s="15">
        <v>1</v>
      </c>
      <c r="B4" s="4" t="s">
        <v>17</v>
      </c>
      <c r="C4" s="16" t="s">
        <v>26</v>
      </c>
      <c r="D4" s="17">
        <v>9373</v>
      </c>
      <c r="E4" s="18" t="s">
        <v>30</v>
      </c>
      <c r="F4" s="2">
        <f t="shared" ref="F4" si="0">G4*H4</f>
        <v>5600</v>
      </c>
      <c r="G4" s="15">
        <v>25</v>
      </c>
      <c r="H4" s="15">
        <f t="shared" ref="H4" si="1">I4*K4</f>
        <v>224</v>
      </c>
      <c r="I4" s="15">
        <v>32</v>
      </c>
      <c r="J4" s="15">
        <f t="shared" ref="J4" si="2">G4*I4</f>
        <v>800</v>
      </c>
      <c r="K4" s="15">
        <v>7</v>
      </c>
      <c r="L4" s="15">
        <v>590</v>
      </c>
      <c r="M4" s="15">
        <v>631</v>
      </c>
      <c r="N4" s="8" t="s">
        <v>25</v>
      </c>
      <c r="O4" s="15">
        <f t="shared" ref="O4" si="3">L4*K4</f>
        <v>4130</v>
      </c>
      <c r="P4" s="15">
        <f t="shared" ref="P4" si="4">M4*K4</f>
        <v>4417</v>
      </c>
      <c r="Q4" s="18">
        <f>0.48*K4</f>
        <v>3.36</v>
      </c>
      <c r="R4" s="12"/>
      <c r="S4" s="12"/>
    </row>
    <row r="5" spans="1:19" ht="43.5" customHeight="1" x14ac:dyDescent="0.15">
      <c r="A5" s="15">
        <v>2</v>
      </c>
      <c r="B5" s="4" t="s">
        <v>17</v>
      </c>
      <c r="C5" s="16" t="s">
        <v>26</v>
      </c>
      <c r="D5" s="17">
        <v>9373</v>
      </c>
      <c r="E5" s="22" t="s">
        <v>31</v>
      </c>
      <c r="F5" s="2">
        <f t="shared" ref="F5" si="5">G5*H5</f>
        <v>400</v>
      </c>
      <c r="G5" s="15">
        <v>25</v>
      </c>
      <c r="H5" s="15">
        <f t="shared" ref="H5" si="6">I5*K5</f>
        <v>16</v>
      </c>
      <c r="I5" s="15">
        <v>16</v>
      </c>
      <c r="J5" s="15">
        <f t="shared" ref="J5" si="7">G5*I5</f>
        <v>400</v>
      </c>
      <c r="K5" s="15">
        <v>1</v>
      </c>
      <c r="L5" s="15">
        <v>295</v>
      </c>
      <c r="M5" s="15">
        <v>322</v>
      </c>
      <c r="N5" s="8" t="s">
        <v>35</v>
      </c>
      <c r="O5" s="15">
        <f t="shared" ref="O5" si="8">L5*K5</f>
        <v>295</v>
      </c>
      <c r="P5" s="15">
        <f t="shared" ref="P5" si="9">M5*K5</f>
        <v>322</v>
      </c>
      <c r="Q5" s="18">
        <f>0.31*K5</f>
        <v>0.31</v>
      </c>
      <c r="R5" s="12"/>
      <c r="S5" s="12"/>
    </row>
    <row r="6" spans="1:19" ht="52.5" customHeight="1" x14ac:dyDescent="0.15">
      <c r="A6" s="15">
        <v>3</v>
      </c>
      <c r="B6" s="8" t="s">
        <v>27</v>
      </c>
      <c r="C6" s="16" t="s">
        <v>23</v>
      </c>
      <c r="D6" s="19">
        <v>9428</v>
      </c>
      <c r="E6" s="18" t="s">
        <v>32</v>
      </c>
      <c r="F6" s="2">
        <f>G6*H6</f>
        <v>8000</v>
      </c>
      <c r="G6" s="15">
        <v>25</v>
      </c>
      <c r="H6" s="15">
        <f>I6*K6</f>
        <v>320</v>
      </c>
      <c r="I6" s="15">
        <v>32</v>
      </c>
      <c r="J6" s="15">
        <f>G6*I6</f>
        <v>800</v>
      </c>
      <c r="K6" s="15">
        <v>10</v>
      </c>
      <c r="L6" s="15">
        <v>544</v>
      </c>
      <c r="M6" s="15">
        <v>585</v>
      </c>
      <c r="N6" s="8" t="s">
        <v>25</v>
      </c>
      <c r="O6" s="15">
        <f>L6*K6</f>
        <v>5440</v>
      </c>
      <c r="P6" s="15">
        <f>M6*K6</f>
        <v>5850</v>
      </c>
      <c r="Q6" s="18">
        <f>0.48*K6</f>
        <v>4.8</v>
      </c>
    </row>
    <row r="7" spans="1:19" ht="43.5" customHeight="1" x14ac:dyDescent="0.15">
      <c r="A7" s="15">
        <v>4</v>
      </c>
      <c r="B7" s="4" t="s">
        <v>17</v>
      </c>
      <c r="C7" s="16" t="s">
        <v>23</v>
      </c>
      <c r="D7" s="17">
        <v>9429</v>
      </c>
      <c r="E7" s="18" t="s">
        <v>33</v>
      </c>
      <c r="F7" s="2">
        <f t="shared" ref="F7:F8" si="10">G7*H7</f>
        <v>5000</v>
      </c>
      <c r="G7" s="15">
        <v>25</v>
      </c>
      <c r="H7" s="15">
        <f t="shared" ref="H7:H8" si="11">I7*K7</f>
        <v>200</v>
      </c>
      <c r="I7" s="15">
        <v>40</v>
      </c>
      <c r="J7" s="15">
        <f t="shared" ref="J7:J8" si="12">G7*I7</f>
        <v>1000</v>
      </c>
      <c r="K7" s="15">
        <v>5</v>
      </c>
      <c r="L7" s="15">
        <v>600</v>
      </c>
      <c r="M7" s="15">
        <v>631</v>
      </c>
      <c r="N7" s="8" t="s">
        <v>24</v>
      </c>
      <c r="O7" s="15">
        <f t="shared" ref="O7:O8" si="13">L7*K7</f>
        <v>3000</v>
      </c>
      <c r="P7" s="15">
        <f t="shared" ref="P7:P8" si="14">M7*K7</f>
        <v>3155</v>
      </c>
      <c r="Q7" s="18">
        <f t="shared" ref="Q7:Q8" si="15">0.48*K7</f>
        <v>2.4</v>
      </c>
    </row>
    <row r="8" spans="1:19" ht="43.5" customHeight="1" x14ac:dyDescent="0.15">
      <c r="A8" s="15">
        <v>5</v>
      </c>
      <c r="B8" s="20" t="s">
        <v>17</v>
      </c>
      <c r="C8" s="21" t="s">
        <v>28</v>
      </c>
      <c r="D8" s="17">
        <v>9430</v>
      </c>
      <c r="E8" s="18" t="s">
        <v>34</v>
      </c>
      <c r="F8" s="2">
        <f t="shared" si="10"/>
        <v>5000</v>
      </c>
      <c r="G8" s="15">
        <v>25</v>
      </c>
      <c r="H8" s="15">
        <f t="shared" si="11"/>
        <v>200</v>
      </c>
      <c r="I8" s="15">
        <v>40</v>
      </c>
      <c r="J8" s="15">
        <f t="shared" si="12"/>
        <v>1000</v>
      </c>
      <c r="K8" s="15">
        <v>5</v>
      </c>
      <c r="L8" s="15">
        <v>600</v>
      </c>
      <c r="M8" s="15">
        <v>632</v>
      </c>
      <c r="N8" s="8" t="s">
        <v>24</v>
      </c>
      <c r="O8" s="15">
        <f t="shared" si="13"/>
        <v>3000</v>
      </c>
      <c r="P8" s="15">
        <f t="shared" si="14"/>
        <v>3160</v>
      </c>
      <c r="Q8" s="18">
        <f t="shared" si="15"/>
        <v>2.4</v>
      </c>
      <c r="R8" s="12"/>
      <c r="S8" s="12"/>
    </row>
    <row r="9" spans="1:19" ht="35.25" customHeight="1" x14ac:dyDescent="0.15">
      <c r="A9" s="26" t="s">
        <v>18</v>
      </c>
      <c r="B9" s="26"/>
      <c r="C9" s="26"/>
      <c r="D9" s="3"/>
      <c r="E9" s="1"/>
      <c r="F9" s="3">
        <f>SUM(F4:F8)</f>
        <v>24000</v>
      </c>
      <c r="G9" s="3"/>
      <c r="H9" s="3">
        <f>SUM(H4:H8)</f>
        <v>960</v>
      </c>
      <c r="I9" s="3"/>
      <c r="J9" s="3"/>
      <c r="K9" s="3">
        <f>SUM(K4:K8)</f>
        <v>28</v>
      </c>
      <c r="L9" s="3"/>
      <c r="M9" s="3"/>
      <c r="N9" s="1"/>
      <c r="O9" s="3">
        <f>SUM(O4:O8)</f>
        <v>15865</v>
      </c>
      <c r="P9" s="3">
        <f>SUM(P4:P8)</f>
        <v>16904</v>
      </c>
      <c r="Q9" s="1">
        <f>SUM(Q4:Q8)</f>
        <v>13.27</v>
      </c>
      <c r="R9" s="12"/>
    </row>
    <row r="10" spans="1:19" ht="21" customHeight="1" x14ac:dyDescent="0.15">
      <c r="A10" s="5"/>
      <c r="B10" s="5"/>
      <c r="C10" s="5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9" ht="21" customHeight="1" x14ac:dyDescent="0.15">
      <c r="A11" s="5"/>
      <c r="B11" s="6" t="s">
        <v>19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9" ht="18.75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3" t="s">
        <v>21</v>
      </c>
      <c r="O12" s="23"/>
      <c r="P12" s="23"/>
      <c r="Q12" s="23"/>
    </row>
    <row r="13" spans="1:19" ht="18.75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23">
        <v>45917</v>
      </c>
      <c r="O13" s="23"/>
      <c r="P13" s="23"/>
      <c r="Q13" s="23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4">
    <mergeCell ref="N13:Q13"/>
    <mergeCell ref="A1:Q1"/>
    <mergeCell ref="A9:C9"/>
    <mergeCell ref="N12:Q12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2025-09-17T07:17:51Z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