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22-TMT\"/>
    </mc:Choice>
  </mc:AlternateContent>
  <xr:revisionPtr revIDLastSave="0" documentId="13_ncr:1_{9441F8A7-EC85-4626-B230-50A057F11E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M7" i="1"/>
  <c r="N7" i="1" s="1"/>
  <c r="K7" i="1"/>
  <c r="M6" i="1"/>
  <c r="K6" i="1"/>
  <c r="F6" i="1"/>
  <c r="M5" i="1"/>
  <c r="K5" i="1"/>
  <c r="F5" i="1"/>
  <c r="M4" i="1"/>
  <c r="K4" i="1"/>
  <c r="F4" i="1"/>
  <c r="M3" i="1"/>
  <c r="N3" i="1" s="1"/>
  <c r="K3" i="1"/>
  <c r="F3" i="1"/>
  <c r="O6" i="1" l="1"/>
  <c r="O5" i="1"/>
  <c r="O4" i="1"/>
  <c r="O7" i="1"/>
  <c r="O3" i="1"/>
  <c r="O8" i="1" s="1"/>
  <c r="M8" i="1"/>
  <c r="N4" i="1"/>
  <c r="N5" i="1"/>
  <c r="N6" i="1"/>
  <c r="N8" i="1" l="1"/>
</calcChain>
</file>

<file path=xl/sharedStrings.xml><?xml version="1.0" encoding="utf-8"?>
<sst xmlns="http://schemas.openxmlformats.org/spreadsheetml/2006/main" count="26" uniqueCount="23">
  <si>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</si>
  <si>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</si>
  <si>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</si>
  <si>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</si>
  <si>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</si>
  <si>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</si>
  <si>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</si>
  <si>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</si>
  <si>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</si>
  <si>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</si>
  <si>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</si>
  <si>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</si>
  <si>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</si>
  <si>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</si>
  <si>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</si>
  <si>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</si>
  <si>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Sudelan</t>
  </si>
  <si>
    <t>26 Dia x190 Long Hex Heads 8.8 G Screwspike</t>
  </si>
  <si>
    <t xml:space="preserve">Ss8 Fe6 GAL SCREWSPIKE 24 x 165 </t>
  </si>
  <si>
    <t>Ss8 GAL SCREWSPIKES 24 DIA X 165. 5.6</t>
  </si>
  <si>
    <t>Ss 8 Gal 24 x 165 Screwspikes 8.8 grade</t>
  </si>
  <si>
    <t>Lynn</t>
  </si>
  <si>
    <t>2440 x 1050 x 5mm HDPE Sheets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</si>
</sst>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C09]dd\-mmm\-yy;@"/>
    <numFmt numFmtId="167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66" fontId="1" fillId="0" borderId="0"/>
  </cellStyleXfs>
  <cellXfs count="32">
    <xf numFmtId="0" fontId="0" fillId="0" borderId="0" xfId="0"/>
    <xf numFmtId="14" fontId="0" fillId="0" borderId="0" xfId="0" applyNumberFormat="1"/>
    <xf numFmtId="1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0" fillId="0" borderId="3" xfId="2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2" fontId="4" fillId="0" borderId="3" xfId="2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4" fillId="0" borderId="1" xfId="2" applyNumberFormat="1" applyFon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2" fontId="0" fillId="4" borderId="3" xfId="0" applyNumberForma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left" vertical="center"/>
    </xf>
    <xf numFmtId="2" fontId="0" fillId="4" borderId="3" xfId="2" applyNumberFormat="1" applyFont="1" applyFill="1" applyBorder="1" applyAlignment="1">
      <alignment horizontal="center" vertical="center"/>
    </xf>
    <xf numFmtId="167" fontId="0" fillId="4" borderId="3" xfId="0" applyNumberFormat="1" applyFill="1" applyBorder="1" applyAlignment="1">
      <alignment horizontal="center" vertical="center"/>
    </xf>
    <xf numFmtId="2" fontId="0" fillId="4" borderId="3" xfId="1" applyNumberFormat="1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/>
    <xf numFmtId="14" fontId="0" fillId="4" borderId="0" xfId="0" applyNumberFormat="1" applyFill="1"/>
  </cellXfs>
  <cellStyles count="3">
    <cellStyle name="Good" xfId="1" builtinId="26"/>
    <cellStyle name="Normal" xfId="0" builtinId="0"/>
    <cellStyle name="Normal 3 2" xfId="2" xr:uid="{84325F59-1791-4D08-99F9-359FD6E46A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I15" sqref="I15"/>
    </sheetView>
  </sheetViews>
  <sheetFormatPr defaultRowHeight="14.4" x14ac:dyDescent="0.3"/>
  <cols>
    <col min="1" max="1" width="10.5546875" bestFit="1" customWidth="1"/>
    <col min="3" max="3" width="53.33203125" bestFit="1" customWidth="1"/>
    <col min="16" max="16" width="10.5546875" bestFit="1" customWidth="1"/>
  </cols>
  <sheetData>
    <row r="1" spans="1:16" x14ac:dyDescent="0.3">
      <c r="A1" s="1">
        <v>45921</v>
      </c>
    </row>
    <row r="2" spans="1:16" ht="41.4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x14ac:dyDescent="0.3">
      <c r="A3" s="5">
        <v>9373</v>
      </c>
      <c r="B3" s="8" t="s">
        <v>16</v>
      </c>
      <c r="C3" s="7" t="s">
        <v>17</v>
      </c>
      <c r="D3" s="12">
        <v>800</v>
      </c>
      <c r="E3" s="10">
        <v>690</v>
      </c>
      <c r="F3" s="10">
        <f>E3-G3</f>
        <v>40</v>
      </c>
      <c r="G3" s="10">
        <v>650</v>
      </c>
      <c r="H3" s="10">
        <v>1.1000000000000001</v>
      </c>
      <c r="I3" s="10">
        <v>0.8</v>
      </c>
      <c r="J3" s="10">
        <v>0.55000000000000004</v>
      </c>
      <c r="K3" s="6">
        <f t="shared" ref="K3" si="0">H3*I3*J3</f>
        <v>0.4840000000000001</v>
      </c>
      <c r="L3" s="8">
        <v>6000</v>
      </c>
      <c r="M3" s="6">
        <f t="shared" ref="M3" si="1">L3/D3</f>
        <v>7.5</v>
      </c>
      <c r="N3" s="6">
        <f t="shared" ref="N3" si="2">M3*E3</f>
        <v>5175</v>
      </c>
      <c r="O3" s="6">
        <f t="shared" ref="O3" si="3">M3*K3</f>
        <v>3.6300000000000008</v>
      </c>
      <c r="P3" s="13">
        <v>45761</v>
      </c>
    </row>
    <row r="4" spans="1:16" x14ac:dyDescent="0.3">
      <c r="A4" s="5">
        <v>9428</v>
      </c>
      <c r="B4" s="11" t="s">
        <v>16</v>
      </c>
      <c r="C4" s="8" t="s">
        <v>18</v>
      </c>
      <c r="D4" s="9">
        <v>800</v>
      </c>
      <c r="E4" s="9">
        <v>590</v>
      </c>
      <c r="F4" s="9">
        <f>E4-G4</f>
        <v>49</v>
      </c>
      <c r="G4" s="9">
        <v>541</v>
      </c>
      <c r="H4" s="9">
        <v>1.1000000000000001</v>
      </c>
      <c r="I4" s="9">
        <v>0.8</v>
      </c>
      <c r="J4" s="9">
        <v>0.55000000000000004</v>
      </c>
      <c r="K4" s="9">
        <f t="shared" ref="K4:K7" si="4">H4*I4*J4</f>
        <v>0.4840000000000001</v>
      </c>
      <c r="L4" s="8">
        <v>8000</v>
      </c>
      <c r="M4" s="8">
        <f t="shared" ref="M4:M6" si="5">L4/D4</f>
        <v>10</v>
      </c>
      <c r="N4" s="6">
        <f t="shared" ref="N4:N7" si="6">M4*E4</f>
        <v>5900</v>
      </c>
      <c r="O4" s="8">
        <f>M4*K4</f>
        <v>4.8400000000000007</v>
      </c>
      <c r="P4" s="14">
        <v>45869</v>
      </c>
    </row>
    <row r="5" spans="1:16" x14ac:dyDescent="0.3">
      <c r="A5" s="15">
        <v>9429</v>
      </c>
      <c r="B5" s="16" t="s">
        <v>16</v>
      </c>
      <c r="C5" s="17" t="s">
        <v>19</v>
      </c>
      <c r="D5" s="18">
        <v>1000</v>
      </c>
      <c r="E5" s="19">
        <v>690</v>
      </c>
      <c r="F5" s="19">
        <f>E5-G5</f>
        <v>40</v>
      </c>
      <c r="G5" s="19">
        <v>650</v>
      </c>
      <c r="H5" s="19">
        <v>1.1000000000000001</v>
      </c>
      <c r="I5" s="19">
        <v>0.8</v>
      </c>
      <c r="J5" s="19">
        <v>0.55000000000000004</v>
      </c>
      <c r="K5" s="20">
        <f t="shared" si="4"/>
        <v>0.4840000000000001</v>
      </c>
      <c r="L5" s="8">
        <v>5000</v>
      </c>
      <c r="M5" s="20">
        <f t="shared" si="5"/>
        <v>5</v>
      </c>
      <c r="N5" s="20">
        <f t="shared" si="6"/>
        <v>3450</v>
      </c>
      <c r="O5" s="20">
        <f t="shared" ref="O5:O6" si="7">M5*K5</f>
        <v>2.4200000000000004</v>
      </c>
      <c r="P5" s="14">
        <v>45869</v>
      </c>
    </row>
    <row r="6" spans="1:16" x14ac:dyDescent="0.3">
      <c r="A6" s="5">
        <v>9430</v>
      </c>
      <c r="B6" s="11" t="s">
        <v>16</v>
      </c>
      <c r="C6" s="8" t="s">
        <v>20</v>
      </c>
      <c r="D6" s="12">
        <v>1000</v>
      </c>
      <c r="E6" s="10">
        <v>690</v>
      </c>
      <c r="F6" s="10">
        <f>E6-G6</f>
        <v>40</v>
      </c>
      <c r="G6" s="10">
        <v>650</v>
      </c>
      <c r="H6" s="10">
        <v>1.1000000000000001</v>
      </c>
      <c r="I6" s="10">
        <v>0.8</v>
      </c>
      <c r="J6" s="10">
        <v>0.55000000000000004</v>
      </c>
      <c r="K6" s="6">
        <f t="shared" si="4"/>
        <v>0.4840000000000001</v>
      </c>
      <c r="L6" s="8">
        <v>5000</v>
      </c>
      <c r="M6" s="6">
        <f t="shared" si="5"/>
        <v>5</v>
      </c>
      <c r="N6" s="6">
        <f t="shared" si="6"/>
        <v>3450</v>
      </c>
      <c r="O6" s="6">
        <f t="shared" si="7"/>
        <v>2.4200000000000004</v>
      </c>
      <c r="P6" s="13">
        <v>45869</v>
      </c>
    </row>
    <row r="7" spans="1:16" x14ac:dyDescent="0.3">
      <c r="A7" s="21">
        <v>9459</v>
      </c>
      <c r="B7" s="22" t="s">
        <v>21</v>
      </c>
      <c r="C7" s="24" t="s">
        <v>22</v>
      </c>
      <c r="D7" s="23">
        <v>72</v>
      </c>
      <c r="E7" s="23">
        <v>940</v>
      </c>
      <c r="F7" s="25">
        <v>40</v>
      </c>
      <c r="G7" s="23">
        <v>900</v>
      </c>
      <c r="H7" s="23">
        <v>2.5</v>
      </c>
      <c r="I7" s="23">
        <v>1.1000000000000001</v>
      </c>
      <c r="J7" s="26">
        <v>0.52600000000000002</v>
      </c>
      <c r="K7" s="27">
        <f t="shared" si="4"/>
        <v>1.4465000000000001</v>
      </c>
      <c r="L7" s="28">
        <v>576</v>
      </c>
      <c r="M7" s="29">
        <f t="shared" ref="M7" si="8">L7/D7</f>
        <v>8</v>
      </c>
      <c r="N7" s="30">
        <f t="shared" si="6"/>
        <v>7520</v>
      </c>
      <c r="O7" s="30">
        <f t="shared" ref="O7" si="9">K7*M7</f>
        <v>11.572000000000001</v>
      </c>
      <c r="P7" s="31">
        <v>45812</v>
      </c>
    </row>
    <row r="8" spans="1:16" x14ac:dyDescent="0.3">
      <c r="L8">
        <f>SUM(L3:L7)</f>
        <v>24576</v>
      </c>
      <c r="M8">
        <f>SUM(M3:M7)</f>
        <v>35.5</v>
      </c>
      <c r="N8">
        <f>SUM(N3:N7)</f>
        <v>25495</v>
      </c>
      <c r="O8">
        <f>SUM(O3:O7)</f>
        <v>24.882000000000005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2025-09-12T02:19:54Z</dcterms:modified>
</cp:coreProperties>
</file>