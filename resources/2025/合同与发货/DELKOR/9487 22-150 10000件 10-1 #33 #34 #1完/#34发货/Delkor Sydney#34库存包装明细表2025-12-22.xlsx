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u\Desktop\#34发货\"/>
    </mc:Choice>
  </mc:AlternateContent>
  <xr:revisionPtr revIDLastSave="0" documentId="13_ncr:1_{1D82F2FE-4B03-426D-82C6-8A984D6847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O5" i="1"/>
  <c r="M5" i="1"/>
  <c r="P5" i="1" s="1"/>
  <c r="J5" i="1"/>
  <c r="H5" i="1"/>
  <c r="F5" i="1"/>
  <c r="Q6" i="1"/>
  <c r="O6" i="1"/>
  <c r="M6" i="1"/>
  <c r="P6" i="1" s="1"/>
  <c r="J6" i="1"/>
  <c r="H6" i="1"/>
  <c r="F6" i="1" s="1"/>
  <c r="Q4" i="1"/>
  <c r="P4" i="1"/>
  <c r="O4" i="1"/>
  <c r="J4" i="1"/>
  <c r="H4" i="1"/>
  <c r="F4" i="1"/>
  <c r="Q7" i="1" l="1"/>
  <c r="O7" i="1"/>
  <c r="M7" i="1"/>
  <c r="P7" i="1" s="1"/>
  <c r="J7" i="1"/>
  <c r="H7" i="1"/>
  <c r="F7" i="1" s="1"/>
  <c r="K8" i="1" l="1"/>
  <c r="F8" i="1" l="1"/>
  <c r="Q8" i="1"/>
  <c r="P8" i="1"/>
  <c r="O8" i="1"/>
  <c r="H8" i="1"/>
</calcChain>
</file>

<file path=xl/sharedStrings.xml><?xml version="1.0" encoding="utf-8"?>
<sst xmlns="http://schemas.openxmlformats.org/spreadsheetml/2006/main" count="39" uniqueCount="34">
  <si>
    <t>柜号
No</t>
  </si>
  <si>
    <t>产品名称
Name</t>
  </si>
  <si>
    <t>型号及规格
Spec.</t>
  </si>
  <si>
    <t>合同号
PO</t>
  </si>
  <si>
    <t>箱号
Case No.</t>
  </si>
  <si>
    <t>件
Quan.</t>
  </si>
  <si>
    <t>件/袋
pcs
/bag</t>
  </si>
  <si>
    <t>袋
bags</t>
  </si>
  <si>
    <t>袋/箱
bag
/case</t>
  </si>
  <si>
    <t>件/箱
pcs
/case</t>
  </si>
  <si>
    <t>箱
CASW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</si>
  <si>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</si>
  <si>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</si>
  <si>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</si>
  <si>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</si>
  <si>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</si>
  <si>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</si>
  <si>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t>螺纹道钉
SCREW SPIKE</t>
  </si>
  <si>
    <t>合计</t>
  </si>
  <si>
    <t>备注：</t>
  </si>
  <si>
    <t>Delkor</t>
  </si>
  <si>
    <t>苏州苏德兰铁路配件有限公司</t>
  </si>
  <si>
    <t xml:space="preserve"> 包  装  明  细  表  
Delkor                            </t>
    <phoneticPr fontId="9" type="noConversion"/>
  </si>
  <si>
    <r>
      <rPr>
        <sz val="8"/>
        <color theme="1"/>
        <rFont val="宋体"/>
        <family val="3"/>
        <charset val="134"/>
        <scheme val="minor"/>
      </rP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</si>
  <si>
    <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  <phoneticPr fontId="9" type="noConversion"/>
  </si>
  <si>
    <t>26x190</t>
    <phoneticPr fontId="9" type="noConversion"/>
  </si>
  <si>
    <t>24x165</t>
  </si>
  <si>
    <t>22x150</t>
    <phoneticPr fontId="9" type="noConversion"/>
  </si>
  <si>
    <t>#34</t>
    <phoneticPr fontId="9" type="noConversion"/>
  </si>
  <si>
    <t>螺纹道钉
配弹垫
SCREW SPIKE
with WASHER</t>
  </si>
  <si>
    <t>1/12-3/12</t>
    <phoneticPr fontId="9" type="noConversion"/>
  </si>
  <si>
    <t>4/12-6/12</t>
    <phoneticPr fontId="9" type="noConversion"/>
  </si>
  <si>
    <t>7/12-8/12</t>
    <phoneticPr fontId="9" type="noConversion"/>
  </si>
  <si>
    <t>9/12-12/12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</si>
</sst>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_);[Red]\(0\)"/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176" fontId="0" fillId="0" borderId="0">
      <alignment vertical="center"/>
    </xf>
  </cellStyleXfs>
  <cellXfs count="24">
    <xf numFmtId="176" fontId="0" fillId="0" borderId="0" xfId="0">
      <alignment vertical="center"/>
    </xf>
    <xf numFmtId="178" fontId="3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176" fontId="3" fillId="0" borderId="0" xfId="0" applyFont="1" applyAlignment="1">
      <alignment horizontal="center" vertical="center"/>
    </xf>
    <xf numFmtId="176" fontId="6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 wrapText="1"/>
    </xf>
    <xf numFmtId="176" fontId="10" fillId="0" borderId="0" xfId="0" applyFont="1" applyAlignment="1">
      <alignment horizontal="center" vertical="center"/>
    </xf>
    <xf numFmtId="176" fontId="2" fillId="0" borderId="2" xfId="0" applyFont="1" applyBorder="1" applyAlignment="1">
      <alignment horizontal="center" vertical="center" wrapText="1"/>
    </xf>
    <xf numFmtId="176" fontId="3" fillId="0" borderId="2" xfId="0" applyFont="1" applyBorder="1" applyAlignment="1">
      <alignment horizontal="center" vertical="center" wrapText="1"/>
    </xf>
    <xf numFmtId="178" fontId="2" fillId="0" borderId="0" xfId="0" applyNumberFormat="1" applyFont="1">
      <alignment vertical="center"/>
    </xf>
    <xf numFmtId="176" fontId="1" fillId="0" borderId="0" xfId="0" applyFont="1" applyAlignment="1">
      <alignment horizontal="center" vertical="center"/>
    </xf>
    <xf numFmtId="176" fontId="12" fillId="0" borderId="0" xfId="0" applyFont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176" fontId="8" fillId="0" borderId="0" xfId="0" applyFont="1" applyAlignment="1">
      <alignment horizontal="right" vertical="center"/>
    </xf>
    <xf numFmtId="176" fontId="11" fillId="0" borderId="0" xfId="0" applyFont="1" applyAlignment="1">
      <alignment horizontal="center" vertical="center" wrapText="1"/>
    </xf>
    <xf numFmtId="176" fontId="1" fillId="0" borderId="0" xfId="0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9"/>
  <sheetViews>
    <sheetView tabSelected="1" topLeftCell="A4" workbookViewId="0">
      <selection activeCell="G7" sqref="G7"/>
    </sheetView>
  </sheetViews>
  <sheetFormatPr defaultColWidth="9" defaultRowHeight="13.5" x14ac:dyDescent="0.15"/>
  <cols>
    <col min="1" max="1" width="4.625" customWidth="1"/>
    <col min="2" max="2" width="8.25" customWidth="1"/>
    <col min="3" max="3" width="9.5" customWidth="1"/>
    <col min="4" max="4" width="9.625" customWidth="1"/>
    <col min="5" max="5" width="12.75" customWidth="1"/>
    <col min="6" max="6" width="8.62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</cols>
  <sheetData>
    <row r="1" spans="1:19" ht="66.75" customHeight="1" x14ac:dyDescent="0.15">
      <c r="A1" s="20" t="s">
        <v>22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9" ht="30.75" customHeight="1" x14ac:dyDescent="0.15">
      <c r="A2" s="14" t="s">
        <v>28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9" ht="39.75" customHeight="1" x14ac:dyDescent="0.1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</row>
    <row r="4" spans="1:19" ht="51.75" customHeight="1" x14ac:dyDescent="0.15">
      <c r="A4" s="15">
        <v>1</v>
      </c>
      <c r="B4" s="4" t="s">
        <v>17</v>
      </c>
      <c r="C4" s="16" t="s">
        <v>26</v>
      </c>
      <c r="D4" s="17">
        <v>9429</v>
      </c>
      <c r="E4" s="18" t="s">
        <v>30</v>
      </c>
      <c r="F4" s="2">
        <f t="shared" ref="F4:F6" si="0">G4*H4</f>
        <v>3000</v>
      </c>
      <c r="G4" s="15">
        <v>25</v>
      </c>
      <c r="H4" s="15">
        <f t="shared" ref="H4:H6" si="1">I4*K4</f>
        <v>120</v>
      </c>
      <c r="I4" s="15">
        <v>40</v>
      </c>
      <c r="J4" s="15">
        <f t="shared" ref="J4:J6" si="2">G4*I4</f>
        <v>1000</v>
      </c>
      <c r="K4" s="15">
        <v>3</v>
      </c>
      <c r="L4" s="15">
        <v>600</v>
      </c>
      <c r="M4" s="15">
        <v>631</v>
      </c>
      <c r="N4" s="8" t="s">
        <v>24</v>
      </c>
      <c r="O4" s="15">
        <f t="shared" ref="O4:O6" si="3">L4*K4</f>
        <v>1800</v>
      </c>
      <c r="P4" s="15">
        <f t="shared" ref="P4:P6" si="4">M4*K4</f>
        <v>1893</v>
      </c>
      <c r="Q4" s="18">
        <f t="shared" ref="Q4:Q6" si="5">0.48*K4</f>
        <v>1.44</v>
      </c>
    </row>
    <row r="5" spans="1:19" ht="64.5" customHeight="1" x14ac:dyDescent="0.15">
      <c r="A5" s="15">
        <v>2</v>
      </c>
      <c r="B5" s="8" t="s">
        <v>29</v>
      </c>
      <c r="C5" s="16" t="s">
        <v>26</v>
      </c>
      <c r="D5" s="23">
        <v>9461</v>
      </c>
      <c r="E5" s="18" t="s">
        <v>31</v>
      </c>
      <c r="F5" s="2">
        <f>G5*H5</f>
        <v>2400</v>
      </c>
      <c r="G5" s="15">
        <v>25</v>
      </c>
      <c r="H5" s="15">
        <f>I5*K5</f>
        <v>96</v>
      </c>
      <c r="I5" s="15">
        <v>32</v>
      </c>
      <c r="J5" s="15">
        <f>G5*I5</f>
        <v>800</v>
      </c>
      <c r="K5" s="15">
        <v>3</v>
      </c>
      <c r="L5" s="15">
        <v>544</v>
      </c>
      <c r="M5" s="15">
        <f>L5+42</f>
        <v>586</v>
      </c>
      <c r="N5" s="8" t="s">
        <v>23</v>
      </c>
      <c r="O5" s="15">
        <f>L5*K5</f>
        <v>1632</v>
      </c>
      <c r="P5" s="15">
        <f>M5*K5</f>
        <v>1758</v>
      </c>
      <c r="Q5" s="18">
        <f>0.48*K5</f>
        <v>1.44</v>
      </c>
    </row>
    <row r="6" spans="1:19" ht="51.75" customHeight="1" x14ac:dyDescent="0.15">
      <c r="A6" s="15">
        <v>3</v>
      </c>
      <c r="B6" s="4" t="s">
        <v>17</v>
      </c>
      <c r="C6" s="16" t="s">
        <v>27</v>
      </c>
      <c r="D6" s="17">
        <v>9487</v>
      </c>
      <c r="E6" s="18" t="s">
        <v>32</v>
      </c>
      <c r="F6" s="2">
        <f t="shared" si="0"/>
        <v>2000</v>
      </c>
      <c r="G6" s="15">
        <v>25</v>
      </c>
      <c r="H6" s="15">
        <f t="shared" si="1"/>
        <v>80</v>
      </c>
      <c r="I6" s="15">
        <v>40</v>
      </c>
      <c r="J6" s="15">
        <f t="shared" si="2"/>
        <v>1000</v>
      </c>
      <c r="K6" s="15">
        <v>2</v>
      </c>
      <c r="L6" s="15">
        <v>567</v>
      </c>
      <c r="M6" s="15">
        <f t="shared" ref="M6" si="6">L6+42</f>
        <v>609</v>
      </c>
      <c r="N6" s="8" t="s">
        <v>24</v>
      </c>
      <c r="O6" s="15">
        <f t="shared" si="3"/>
        <v>1134</v>
      </c>
      <c r="P6" s="15">
        <f t="shared" si="4"/>
        <v>1218</v>
      </c>
      <c r="Q6" s="18">
        <f t="shared" si="5"/>
        <v>0.96</v>
      </c>
      <c r="R6" s="12"/>
      <c r="S6" s="12"/>
    </row>
    <row r="7" spans="1:19" ht="51.75" customHeight="1" x14ac:dyDescent="0.15">
      <c r="A7" s="15">
        <v>4</v>
      </c>
      <c r="B7" s="4" t="s">
        <v>17</v>
      </c>
      <c r="C7" s="16" t="s">
        <v>25</v>
      </c>
      <c r="D7" s="17">
        <v>9488</v>
      </c>
      <c r="E7" s="18" t="s">
        <v>33</v>
      </c>
      <c r="F7" s="2">
        <f t="shared" ref="F7" si="7">G7*H7</f>
        <v>3200</v>
      </c>
      <c r="G7" s="15">
        <v>25</v>
      </c>
      <c r="H7" s="15">
        <f t="shared" ref="H7" si="8">I7*K7</f>
        <v>128</v>
      </c>
      <c r="I7" s="15">
        <v>32</v>
      </c>
      <c r="J7" s="15">
        <f t="shared" ref="J7" si="9">G7*I7</f>
        <v>800</v>
      </c>
      <c r="K7" s="15">
        <v>4</v>
      </c>
      <c r="L7" s="15">
        <v>552</v>
      </c>
      <c r="M7" s="15">
        <f t="shared" ref="M7" si="10">L7+42</f>
        <v>594</v>
      </c>
      <c r="N7" s="8" t="s">
        <v>23</v>
      </c>
      <c r="O7" s="15">
        <f t="shared" ref="O7" si="11">L7*K7</f>
        <v>2208</v>
      </c>
      <c r="P7" s="15">
        <f t="shared" ref="P7" si="12">M7*K7</f>
        <v>2376</v>
      </c>
      <c r="Q7" s="18">
        <f>0.48*K7</f>
        <v>1.92</v>
      </c>
    </row>
    <row r="8" spans="1:19" ht="35.25" customHeight="1" x14ac:dyDescent="0.15">
      <c r="A8" s="22" t="s">
        <v>18</v>
      </c>
      <c r="B8" s="22"/>
      <c r="C8" s="22"/>
      <c r="D8" s="3"/>
      <c r="E8" s="1"/>
      <c r="F8" s="3">
        <f>SUM(F4:F7)</f>
        <v>10600</v>
      </c>
      <c r="G8" s="3"/>
      <c r="H8" s="3">
        <f>SUM(H4:H7)</f>
        <v>424</v>
      </c>
      <c r="I8" s="3"/>
      <c r="J8" s="3"/>
      <c r="K8" s="3">
        <f>SUM(K4:K7)</f>
        <v>12</v>
      </c>
      <c r="L8" s="3"/>
      <c r="M8" s="3"/>
      <c r="N8" s="1"/>
      <c r="O8" s="3">
        <f>SUM(O4:O7)</f>
        <v>6774</v>
      </c>
      <c r="P8" s="3">
        <f>SUM(P4:P7)</f>
        <v>7245</v>
      </c>
      <c r="Q8" s="1">
        <f>SUM(Q4:Q7)</f>
        <v>5.76</v>
      </c>
      <c r="R8" s="12"/>
    </row>
    <row r="9" spans="1:19" ht="21" customHeight="1" x14ac:dyDescent="0.15">
      <c r="A9" s="5"/>
      <c r="B9" s="5"/>
      <c r="C9" s="5"/>
      <c r="E9" s="9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9" ht="21" customHeight="1" x14ac:dyDescent="0.15">
      <c r="A10" s="5"/>
      <c r="B10" s="6" t="s">
        <v>19</v>
      </c>
      <c r="C10" s="5" t="s">
        <v>20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9" ht="18.75" x14ac:dyDescent="0.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19" t="s">
        <v>21</v>
      </c>
      <c r="O11" s="19"/>
      <c r="P11" s="19"/>
      <c r="Q11" s="19"/>
    </row>
    <row r="12" spans="1:19" ht="18.75" x14ac:dyDescent="0.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19">
        <v>46013</v>
      </c>
      <c r="O12" s="19"/>
      <c r="P12" s="19"/>
      <c r="Q12" s="19"/>
    </row>
    <row r="13" spans="1:19" x14ac:dyDescent="0.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9" x14ac:dyDescent="0.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9" x14ac:dyDescent="0.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9" x14ac:dyDescent="0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1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</sheetData>
  <mergeCells count="4">
    <mergeCell ref="N12:Q12"/>
    <mergeCell ref="A1:Q1"/>
    <mergeCell ref="A8:C8"/>
    <mergeCell ref="N11:Q11"/>
  </mergeCells>
  <phoneticPr fontId="9" type="noConversion"/>
  <pageMargins left="0" right="0" top="0" bottom="0" header="0.31496062992125984" footer="0.31496062992125984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2025-01-13T08:08:47Z</cp:lastPrinted>
  <dcterms:created xsi:type="dcterms:W3CDTF">2006-09-13T11:21:00Z</dcterms:created>
  <dcterms:modified xsi:type="dcterms:W3CDTF">2025-12-22T08:33:38Z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F7F178623D784356B7B93CB6124DFB16_13</vt:lpwstr>
  </property>
  <property fmtid="{D5CDD505-2E9C-101B-9397-08002B2CF9AE}" pid="3" name="KSOProductBuildVer">
    <vt:lpwstr>2052-12.1.0.18240</vt:lpwstr>
  </property>
</Properties>
</file>