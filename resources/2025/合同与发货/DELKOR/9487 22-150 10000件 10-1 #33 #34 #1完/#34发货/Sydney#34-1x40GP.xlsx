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34-TMT-TBC\"/>
    </mc:Choice>
  </mc:AlternateContent>
  <xr:revisionPtr revIDLastSave="0" documentId="13_ncr:1_{479A0414-8018-4548-88F1-99354F73E1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E3" i="1"/>
  <c r="K2" i="1"/>
  <c r="E2" i="1"/>
  <c r="M4" i="1" l="1"/>
  <c r="K4" i="1"/>
  <c r="E4" i="1"/>
  <c r="M3" i="1"/>
  <c r="O4" i="1" l="1"/>
  <c r="N4" i="1"/>
  <c r="O3" i="1"/>
  <c r="N3" i="1"/>
  <c r="M6" i="1"/>
  <c r="K6" i="1"/>
  <c r="M5" i="1"/>
  <c r="K5" i="1"/>
  <c r="L18" i="1"/>
  <c r="K17" i="1"/>
  <c r="M16" i="1"/>
  <c r="K16" i="1"/>
  <c r="F16" i="1"/>
  <c r="M15" i="1"/>
  <c r="N15" i="1" s="1"/>
  <c r="K15" i="1"/>
  <c r="F15" i="1"/>
  <c r="M14" i="1"/>
  <c r="N14" i="1" s="1"/>
  <c r="K14" i="1"/>
  <c r="M13" i="1"/>
  <c r="N13" i="1" s="1"/>
  <c r="K13" i="1"/>
  <c r="M12" i="1"/>
  <c r="O12" i="1" s="1"/>
  <c r="M11" i="1"/>
  <c r="K11" i="1"/>
  <c r="M10" i="1"/>
  <c r="N10" i="1" s="1"/>
  <c r="K10" i="1"/>
  <c r="F10" i="1"/>
  <c r="M9" i="1"/>
  <c r="N9" i="1" s="1"/>
  <c r="K9" i="1"/>
  <c r="F9" i="1"/>
  <c r="M8" i="1"/>
  <c r="K8" i="1"/>
  <c r="F8" i="1"/>
  <c r="M7" i="1"/>
  <c r="K7" i="1"/>
  <c r="F7" i="1"/>
  <c r="M2" i="1"/>
  <c r="O5" i="1" l="1"/>
  <c r="O6" i="1"/>
  <c r="N6" i="1"/>
  <c r="N5" i="1"/>
  <c r="O13" i="1"/>
  <c r="O14" i="1"/>
  <c r="O11" i="1"/>
  <c r="N2" i="1"/>
  <c r="O15" i="1"/>
  <c r="O8" i="1"/>
  <c r="O16" i="1"/>
  <c r="O7" i="1"/>
  <c r="O9" i="1"/>
  <c r="N7" i="1"/>
  <c r="N8" i="1"/>
  <c r="O10" i="1"/>
  <c r="O2" i="1"/>
  <c r="M18" i="1"/>
  <c r="N12" i="1"/>
  <c r="N11" i="1"/>
  <c r="N16" i="1"/>
  <c r="O18" i="1" l="1"/>
  <c r="N18" i="1"/>
</calcChain>
</file>

<file path=xl/sharedStrings.xml><?xml version="1.0" encoding="utf-8"?>
<sst xmlns="http://schemas.openxmlformats.org/spreadsheetml/2006/main" count="58" uniqueCount="41">
  <si>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</si>
  <si>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</si>
  <si>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</si>
  <si>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</si>
  <si>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</si>
  <si>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</si>
  <si>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</si>
  <si>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</si>
  <si>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</si>
  <si>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</si>
  <si>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</si>
  <si>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</si>
  <si>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</si>
  <si>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</si>
  <si>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</si>
  <si>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</si>
  <si>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Fosco</t>
  </si>
  <si>
    <t>Sudelan</t>
  </si>
  <si>
    <t>HDPE Dowel x 165mm (OPEN END)</t>
  </si>
  <si>
    <t>TMT</t>
  </si>
  <si>
    <t>Ss8 GAL SCREWSPIKES 24 DIA X 165. 5.6</t>
  </si>
  <si>
    <t>26 Dia x190 Long Hex Heads 8.8 G Screwspike</t>
  </si>
  <si>
    <t xml:space="preserve">Ss8 Fe6 GAL SCREWSPIKE 24 x 165 </t>
  </si>
  <si>
    <t>22 x 150 5.6 Grade</t>
  </si>
  <si>
    <t>MSP00906</t>
  </si>
  <si>
    <t>Conical Spring Trailer Tangara</t>
  </si>
  <si>
    <t>Delkor Egg for Turnout Type I</t>
  </si>
  <si>
    <t>9484Rev1</t>
  </si>
  <si>
    <t>MSP00912</t>
  </si>
  <si>
    <t>Pad, Centre Bearer</t>
  </si>
  <si>
    <t>Pad, Side Bearer</t>
  </si>
  <si>
    <t>MSP801R2</t>
  </si>
  <si>
    <t>Primary Spring (4GT / TC)</t>
  </si>
  <si>
    <t>MSP00916</t>
  </si>
  <si>
    <t>Railteco</t>
  </si>
  <si>
    <t>Outer Primary Spring 4501538137</t>
  </si>
  <si>
    <t>Inner Primary Spring 4501538137</t>
  </si>
  <si>
    <t>Insulator</t>
  </si>
  <si>
    <t>Rail Pad 5mm</t>
  </si>
  <si>
    <t>实木熏蒸箱</t>
  </si>
  <si>
    <t>大尼龙袋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</si>
</sst>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0.00_ "/>
    <numFmt numFmtId="166" formatCode="[$-C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0" fontId="1" fillId="0" borderId="0">
      <alignment vertical="center"/>
    </xf>
    <xf numFmtId="166" fontId="1" fillId="0" borderId="0"/>
  </cellStyleXfs>
  <cellXfs count="41">
    <xf numFmtId="0" fontId="0" fillId="0" borderId="0" xfId="0"/>
    <xf numFmtId="1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 shrinkToFit="1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2" fontId="5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/>
    <xf numFmtId="166" fontId="6" fillId="0" borderId="3" xfId="1" applyFont="1" applyBorder="1" applyAlignment="1">
      <alignment horizontal="center" vertical="center"/>
    </xf>
    <xf numFmtId="2" fontId="7" fillId="0" borderId="3" xfId="1" applyNumberFormat="1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2" fontId="0" fillId="3" borderId="3" xfId="0" applyNumberFormat="1" applyFill="1" applyBorder="1" applyAlignment="1">
      <alignment horizontal="center" vertical="center"/>
    </xf>
    <xf numFmtId="2" fontId="0" fillId="0" borderId="3" xfId="0" applyNumberFormat="1" applyBorder="1"/>
    <xf numFmtId="14" fontId="0" fillId="0" borderId="3" xfId="0" applyNumberFormat="1" applyBorder="1"/>
    <xf numFmtId="0" fontId="3" fillId="0" borderId="3" xfId="2" applyFont="1" applyBorder="1" applyAlignment="1">
      <alignment horizontal="center" vertical="center"/>
    </xf>
    <xf numFmtId="164" fontId="8" fillId="0" borderId="3" xfId="3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14" fontId="0" fillId="4" borderId="3" xfId="0" applyNumberFormat="1" applyFill="1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2" fontId="0" fillId="3" borderId="3" xfId="0" applyNumberForma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4" fontId="0" fillId="3" borderId="3" xfId="0" applyNumberFormat="1" applyFill="1" applyBorder="1"/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4">
    <cellStyle name="Normal" xfId="0" builtinId="0"/>
    <cellStyle name="Normal 10" xfId="2" xr:uid="{7D73058C-F01C-4BE4-9AB2-8A8EAC67D524}"/>
    <cellStyle name="Normal 3 2" xfId="1" xr:uid="{0AE86286-4A7E-4CEA-B2DC-0070C2200638}"/>
    <cellStyle name="Normal 3 2 3" xfId="3" xr:uid="{28E6285D-5C3F-45BC-A0C5-76897C14C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topLeftCell="B1" workbookViewId="0">
      <selection activeCell="L24" sqref="L24"/>
    </sheetView>
  </sheetViews>
  <sheetFormatPr defaultRowHeight="14.4" x14ac:dyDescent="0.3"/>
  <cols>
    <col min="2" max="2" width="12.88671875" bestFit="1" customWidth="1"/>
    <col min="3" max="3" width="53.33203125" bestFit="1" customWidth="1"/>
    <col min="16" max="16" width="10.5546875" bestFit="1" customWidth="1"/>
  </cols>
  <sheetData>
    <row r="1" spans="1:17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7" x14ac:dyDescent="0.3">
      <c r="A2" s="4">
        <v>9509</v>
      </c>
      <c r="B2" s="9" t="s">
        <v>16</v>
      </c>
      <c r="C2" s="23" t="s">
        <v>18</v>
      </c>
      <c r="D2" s="4">
        <v>2000</v>
      </c>
      <c r="E2" s="11">
        <f>G2+F2</f>
        <v>170</v>
      </c>
      <c r="F2" s="6">
        <v>50</v>
      </c>
      <c r="G2" s="11">
        <v>120</v>
      </c>
      <c r="H2" s="6">
        <v>1.1000000000000001</v>
      </c>
      <c r="I2" s="6">
        <v>1.1000000000000001</v>
      </c>
      <c r="J2" s="6">
        <v>0.8</v>
      </c>
      <c r="K2" s="7">
        <f t="shared" ref="K2:K3" si="0">H2*I2*J2</f>
        <v>0.96800000000000019</v>
      </c>
      <c r="L2" s="6">
        <v>12000</v>
      </c>
      <c r="M2" s="12">
        <f t="shared" ref="M2" si="1">L2/D2</f>
        <v>6</v>
      </c>
      <c r="N2" s="12">
        <f t="shared" ref="N2" si="2">M2*E2</f>
        <v>1020</v>
      </c>
      <c r="O2" s="12">
        <f t="shared" ref="O2" si="3">M2*K2</f>
        <v>5.8080000000000016</v>
      </c>
      <c r="P2" s="26">
        <v>45996</v>
      </c>
      <c r="Q2" t="s">
        <v>39</v>
      </c>
    </row>
    <row r="3" spans="1:17" x14ac:dyDescent="0.3">
      <c r="A3" s="4">
        <v>9509</v>
      </c>
      <c r="B3" s="9" t="s">
        <v>16</v>
      </c>
      <c r="C3" s="23" t="s">
        <v>18</v>
      </c>
      <c r="D3" s="4">
        <v>1000</v>
      </c>
      <c r="E3" s="11">
        <f>G3+F3</f>
        <v>110</v>
      </c>
      <c r="F3" s="6">
        <v>50</v>
      </c>
      <c r="G3" s="11">
        <v>60</v>
      </c>
      <c r="H3" s="6">
        <v>1.1000000000000001</v>
      </c>
      <c r="I3" s="6">
        <v>1.1000000000000001</v>
      </c>
      <c r="J3" s="6">
        <v>0.7</v>
      </c>
      <c r="K3" s="7">
        <f t="shared" si="0"/>
        <v>0.84700000000000009</v>
      </c>
      <c r="L3" s="6">
        <v>6000</v>
      </c>
      <c r="M3" s="12">
        <f t="shared" ref="M3:M4" si="4">L3/D3</f>
        <v>6</v>
      </c>
      <c r="N3" s="12">
        <f t="shared" ref="N3:N4" si="5">M3*E3</f>
        <v>660</v>
      </c>
      <c r="O3" s="12">
        <f t="shared" ref="O3:O4" si="6">M3*K3</f>
        <v>5.0820000000000007</v>
      </c>
      <c r="P3" s="26">
        <v>45996</v>
      </c>
      <c r="Q3" t="s">
        <v>39</v>
      </c>
    </row>
    <row r="4" spans="1:17" x14ac:dyDescent="0.3">
      <c r="A4" s="4">
        <v>9509</v>
      </c>
      <c r="B4" s="9" t="s">
        <v>16</v>
      </c>
      <c r="C4" s="23" t="s">
        <v>18</v>
      </c>
      <c r="D4" s="4">
        <v>6000</v>
      </c>
      <c r="E4" s="11">
        <f>G4+F4</f>
        <v>375</v>
      </c>
      <c r="F4" s="6">
        <v>15</v>
      </c>
      <c r="G4" s="11">
        <v>360</v>
      </c>
      <c r="H4" s="6">
        <v>1.1000000000000001</v>
      </c>
      <c r="I4" s="6">
        <v>1.1000000000000001</v>
      </c>
      <c r="J4" s="6">
        <v>1.8</v>
      </c>
      <c r="K4" s="7">
        <f t="shared" ref="K4" si="7">H4*I4*J4</f>
        <v>2.1780000000000004</v>
      </c>
      <c r="L4" s="6">
        <v>12000</v>
      </c>
      <c r="M4" s="12">
        <f t="shared" si="4"/>
        <v>2</v>
      </c>
      <c r="N4" s="12">
        <f t="shared" si="5"/>
        <v>750</v>
      </c>
      <c r="O4" s="12">
        <f t="shared" si="6"/>
        <v>4.3560000000000008</v>
      </c>
      <c r="P4" s="26">
        <v>45996</v>
      </c>
      <c r="Q4" t="s">
        <v>40</v>
      </c>
    </row>
    <row r="5" spans="1:17" x14ac:dyDescent="0.3">
      <c r="A5" s="4"/>
      <c r="B5" s="9" t="s">
        <v>16</v>
      </c>
      <c r="C5" s="23" t="s">
        <v>37</v>
      </c>
      <c r="D5" s="4">
        <v>4000</v>
      </c>
      <c r="E5" s="11">
        <v>238</v>
      </c>
      <c r="F5" s="6">
        <v>50</v>
      </c>
      <c r="G5" s="11">
        <v>188</v>
      </c>
      <c r="H5" s="6">
        <v>1.05</v>
      </c>
      <c r="I5" s="6">
        <v>1.05</v>
      </c>
      <c r="J5" s="6">
        <v>0.55000000000000004</v>
      </c>
      <c r="K5" s="7">
        <f t="shared" ref="K5:K6" si="8">H5*I5*J5</f>
        <v>0.60637500000000011</v>
      </c>
      <c r="L5" s="6">
        <v>3000</v>
      </c>
      <c r="M5" s="12">
        <f t="shared" ref="M5" si="9">L5/D5</f>
        <v>0.75</v>
      </c>
      <c r="N5" s="12">
        <f t="shared" ref="N5" si="10">M5*E5</f>
        <v>178.5</v>
      </c>
      <c r="O5" s="12">
        <f t="shared" ref="O5" si="11">M5*K5</f>
        <v>0.45478125000000008</v>
      </c>
      <c r="P5" s="26">
        <v>46010</v>
      </c>
    </row>
    <row r="6" spans="1:17" x14ac:dyDescent="0.3">
      <c r="A6" s="4">
        <v>9527</v>
      </c>
      <c r="B6" s="9" t="s">
        <v>16</v>
      </c>
      <c r="C6" s="23" t="s">
        <v>38</v>
      </c>
      <c r="D6" s="4">
        <v>5000</v>
      </c>
      <c r="E6" s="11">
        <v>525</v>
      </c>
      <c r="F6" s="6">
        <v>50</v>
      </c>
      <c r="G6" s="11">
        <v>475</v>
      </c>
      <c r="H6" s="6">
        <v>1.08</v>
      </c>
      <c r="I6" s="6">
        <v>0.94</v>
      </c>
      <c r="J6" s="6">
        <v>0.72</v>
      </c>
      <c r="K6" s="7">
        <f t="shared" si="8"/>
        <v>0.73094400000000004</v>
      </c>
      <c r="L6" s="6">
        <v>10000</v>
      </c>
      <c r="M6" s="12">
        <f t="shared" ref="M6" si="12">L6/D6</f>
        <v>2</v>
      </c>
      <c r="N6" s="12">
        <f t="shared" ref="N6" si="13">M6*E6</f>
        <v>1050</v>
      </c>
      <c r="O6" s="12">
        <f t="shared" ref="O6" si="14">M6*K6</f>
        <v>1.4618880000000001</v>
      </c>
      <c r="P6" s="26">
        <v>46010</v>
      </c>
    </row>
    <row r="7" spans="1:17" x14ac:dyDescent="0.3">
      <c r="A7" s="4">
        <v>9429</v>
      </c>
      <c r="B7" s="9" t="s">
        <v>17</v>
      </c>
      <c r="C7" s="6" t="s">
        <v>20</v>
      </c>
      <c r="D7" s="14">
        <v>1000</v>
      </c>
      <c r="E7" s="15">
        <v>690</v>
      </c>
      <c r="F7" s="15">
        <f t="shared" ref="F7:F10" si="15">E7-G7</f>
        <v>40</v>
      </c>
      <c r="G7" s="15">
        <v>650</v>
      </c>
      <c r="H7" s="15">
        <v>1.1000000000000001</v>
      </c>
      <c r="I7" s="15">
        <v>0.8</v>
      </c>
      <c r="J7" s="15">
        <v>0.55000000000000004</v>
      </c>
      <c r="K7" s="5">
        <f t="shared" ref="K7:K11" si="16">H7*I7*J7</f>
        <v>0.4840000000000001</v>
      </c>
      <c r="L7" s="6">
        <v>3000</v>
      </c>
      <c r="M7" s="5">
        <f t="shared" ref="M7" si="17">L7/D7</f>
        <v>3</v>
      </c>
      <c r="N7" s="5">
        <f t="shared" ref="N7:N11" si="18">M7*E7</f>
        <v>2070</v>
      </c>
      <c r="O7" s="5">
        <f t="shared" ref="O7" si="19">M7*K7</f>
        <v>1.4520000000000004</v>
      </c>
      <c r="P7" s="16">
        <v>45869</v>
      </c>
    </row>
    <row r="8" spans="1:17" x14ac:dyDescent="0.3">
      <c r="A8" s="4">
        <v>9461</v>
      </c>
      <c r="B8" s="9" t="s">
        <v>17</v>
      </c>
      <c r="C8" s="6" t="s">
        <v>22</v>
      </c>
      <c r="D8" s="8">
        <v>800</v>
      </c>
      <c r="E8" s="8">
        <v>590</v>
      </c>
      <c r="F8" s="8">
        <f t="shared" si="15"/>
        <v>49</v>
      </c>
      <c r="G8" s="8">
        <v>541</v>
      </c>
      <c r="H8" s="8">
        <v>1.1000000000000001</v>
      </c>
      <c r="I8" s="8">
        <v>0.8</v>
      </c>
      <c r="J8" s="8">
        <v>0.55000000000000004</v>
      </c>
      <c r="K8" s="8">
        <f t="shared" si="16"/>
        <v>0.4840000000000001</v>
      </c>
      <c r="L8" s="6">
        <v>2400</v>
      </c>
      <c r="M8" s="6">
        <f t="shared" ref="M8:M11" si="20">L8/D8</f>
        <v>3</v>
      </c>
      <c r="N8" s="5">
        <f t="shared" si="18"/>
        <v>1770</v>
      </c>
      <c r="O8" s="6">
        <f>M8*K8</f>
        <v>1.4520000000000004</v>
      </c>
      <c r="P8" s="26">
        <v>45945</v>
      </c>
    </row>
    <row r="9" spans="1:17" ht="15.6" x14ac:dyDescent="0.3">
      <c r="A9" s="4">
        <v>9487</v>
      </c>
      <c r="B9" s="9" t="s">
        <v>17</v>
      </c>
      <c r="C9" s="19" t="s">
        <v>23</v>
      </c>
      <c r="D9" s="20">
        <v>1000</v>
      </c>
      <c r="E9" s="21">
        <v>610</v>
      </c>
      <c r="F9" s="21">
        <f t="shared" si="15"/>
        <v>40</v>
      </c>
      <c r="G9" s="21">
        <v>570</v>
      </c>
      <c r="H9" s="21">
        <v>1.1000000000000001</v>
      </c>
      <c r="I9" s="21">
        <v>0.8</v>
      </c>
      <c r="J9" s="21">
        <v>0.55000000000000004</v>
      </c>
      <c r="K9" s="22">
        <f t="shared" si="16"/>
        <v>0.4840000000000001</v>
      </c>
      <c r="L9" s="6">
        <v>2000</v>
      </c>
      <c r="M9" s="17">
        <f t="shared" si="20"/>
        <v>2</v>
      </c>
      <c r="N9" s="18">
        <f t="shared" si="18"/>
        <v>1220</v>
      </c>
      <c r="O9" s="18">
        <f t="shared" ref="O9:O10" si="21">K9*M9</f>
        <v>0.96800000000000019</v>
      </c>
      <c r="P9" s="26">
        <v>45991</v>
      </c>
    </row>
    <row r="10" spans="1:17" x14ac:dyDescent="0.3">
      <c r="A10" s="4">
        <v>9488</v>
      </c>
      <c r="B10" s="9" t="s">
        <v>17</v>
      </c>
      <c r="C10" s="10" t="s">
        <v>21</v>
      </c>
      <c r="D10" s="14">
        <v>800</v>
      </c>
      <c r="E10" s="15">
        <v>690</v>
      </c>
      <c r="F10" s="15">
        <f t="shared" si="15"/>
        <v>40</v>
      </c>
      <c r="G10" s="15">
        <v>650</v>
      </c>
      <c r="H10" s="15">
        <v>1.1000000000000001</v>
      </c>
      <c r="I10" s="15">
        <v>0.8</v>
      </c>
      <c r="J10" s="15">
        <v>0.55000000000000004</v>
      </c>
      <c r="K10" s="5">
        <f t="shared" si="16"/>
        <v>0.4840000000000001</v>
      </c>
      <c r="L10" s="6">
        <v>3200</v>
      </c>
      <c r="M10" s="17">
        <f t="shared" si="20"/>
        <v>4</v>
      </c>
      <c r="N10" s="18">
        <f t="shared" si="18"/>
        <v>2760</v>
      </c>
      <c r="O10" s="18">
        <f t="shared" si="21"/>
        <v>1.9360000000000004</v>
      </c>
      <c r="P10" s="26">
        <v>45991</v>
      </c>
    </row>
    <row r="11" spans="1:17" x14ac:dyDescent="0.3">
      <c r="A11" s="4" t="s">
        <v>24</v>
      </c>
      <c r="B11" s="9" t="s">
        <v>19</v>
      </c>
      <c r="C11" s="23" t="s">
        <v>25</v>
      </c>
      <c r="D11" s="12">
        <v>8</v>
      </c>
      <c r="E11" s="9">
        <v>249</v>
      </c>
      <c r="F11" s="9">
        <v>30</v>
      </c>
      <c r="G11" s="9">
        <v>219</v>
      </c>
      <c r="H11" s="9">
        <v>0.91</v>
      </c>
      <c r="I11" s="9">
        <v>0.91</v>
      </c>
      <c r="J11" s="9">
        <v>0.49</v>
      </c>
      <c r="K11" s="5">
        <f t="shared" si="16"/>
        <v>0.40576900000000005</v>
      </c>
      <c r="L11" s="6">
        <v>48</v>
      </c>
      <c r="M11" s="24">
        <f t="shared" si="20"/>
        <v>6</v>
      </c>
      <c r="N11" s="25">
        <f t="shared" si="18"/>
        <v>1494</v>
      </c>
      <c r="O11" s="25">
        <f t="shared" ref="O11" si="22">M11*K11</f>
        <v>2.4346140000000003</v>
      </c>
      <c r="P11" s="26">
        <v>45960</v>
      </c>
    </row>
    <row r="12" spans="1:17" x14ac:dyDescent="0.3">
      <c r="A12" s="4" t="s">
        <v>27</v>
      </c>
      <c r="B12" s="9" t="s">
        <v>19</v>
      </c>
      <c r="C12" s="23" t="s">
        <v>26</v>
      </c>
      <c r="D12" s="27">
        <v>12</v>
      </c>
      <c r="E12" s="28">
        <v>421</v>
      </c>
      <c r="F12" s="28">
        <v>25</v>
      </c>
      <c r="G12" s="28">
        <v>396</v>
      </c>
      <c r="H12" s="28">
        <v>0.87</v>
      </c>
      <c r="I12" s="28">
        <v>0.57999999999999996</v>
      </c>
      <c r="J12" s="28">
        <v>0.5</v>
      </c>
      <c r="K12" s="28">
        <v>0.25230000000000002</v>
      </c>
      <c r="L12" s="6">
        <v>80</v>
      </c>
      <c r="M12" s="5">
        <f t="shared" ref="M12:M14" si="23">L12/D12</f>
        <v>6.666666666666667</v>
      </c>
      <c r="N12" s="25">
        <f t="shared" ref="N12:N14" si="24">M12*E12</f>
        <v>2806.666666666667</v>
      </c>
      <c r="O12" s="18">
        <f t="shared" ref="O12:O14" si="25">K12*M12</f>
        <v>1.6820000000000002</v>
      </c>
      <c r="P12" s="31">
        <v>46012</v>
      </c>
    </row>
    <row r="13" spans="1:17" x14ac:dyDescent="0.3">
      <c r="A13" s="4" t="s">
        <v>28</v>
      </c>
      <c r="B13" s="29" t="s">
        <v>19</v>
      </c>
      <c r="C13" s="23" t="s">
        <v>29</v>
      </c>
      <c r="D13" s="6">
        <v>8</v>
      </c>
      <c r="E13" s="6">
        <v>295</v>
      </c>
      <c r="F13" s="6">
        <v>47</v>
      </c>
      <c r="G13" s="6">
        <v>248</v>
      </c>
      <c r="H13" s="6">
        <v>1.06</v>
      </c>
      <c r="I13" s="6">
        <v>0.64</v>
      </c>
      <c r="J13" s="6">
        <v>0.47</v>
      </c>
      <c r="K13" s="5">
        <f t="shared" ref="K13:K14" si="26">H13*I13*J13</f>
        <v>0.31884799999999996</v>
      </c>
      <c r="L13" s="6">
        <v>17</v>
      </c>
      <c r="M13" s="30">
        <f t="shared" si="23"/>
        <v>2.125</v>
      </c>
      <c r="N13" s="12">
        <f t="shared" si="24"/>
        <v>626.875</v>
      </c>
      <c r="O13" s="12">
        <f t="shared" si="25"/>
        <v>0.67755199999999993</v>
      </c>
      <c r="P13" s="31">
        <v>46012</v>
      </c>
    </row>
    <row r="14" spans="1:17" x14ac:dyDescent="0.3">
      <c r="A14" s="4" t="s">
        <v>28</v>
      </c>
      <c r="B14" s="29" t="s">
        <v>19</v>
      </c>
      <c r="C14" s="23" t="s">
        <v>30</v>
      </c>
      <c r="D14" s="6">
        <v>4</v>
      </c>
      <c r="E14" s="6">
        <v>235</v>
      </c>
      <c r="F14" s="6">
        <v>46</v>
      </c>
      <c r="G14" s="6">
        <v>189</v>
      </c>
      <c r="H14" s="6">
        <v>0.81</v>
      </c>
      <c r="I14" s="6">
        <v>0.73</v>
      </c>
      <c r="J14" s="6">
        <v>0.56999999999999995</v>
      </c>
      <c r="K14" s="5">
        <f t="shared" si="26"/>
        <v>0.33704099999999998</v>
      </c>
      <c r="L14" s="6">
        <v>22</v>
      </c>
      <c r="M14" s="30">
        <f t="shared" si="23"/>
        <v>5.5</v>
      </c>
      <c r="N14" s="12">
        <f t="shared" si="24"/>
        <v>1292.5</v>
      </c>
      <c r="O14" s="12">
        <f t="shared" si="25"/>
        <v>1.8537254999999999</v>
      </c>
      <c r="P14" s="31">
        <v>46012</v>
      </c>
    </row>
    <row r="15" spans="1:17" x14ac:dyDescent="0.3">
      <c r="A15" s="34" t="s">
        <v>31</v>
      </c>
      <c r="B15" s="34" t="s">
        <v>19</v>
      </c>
      <c r="C15" s="32" t="s">
        <v>32</v>
      </c>
      <c r="D15" s="33">
        <v>8</v>
      </c>
      <c r="E15" s="33">
        <v>227</v>
      </c>
      <c r="F15" s="34">
        <f>E15-G15</f>
        <v>37</v>
      </c>
      <c r="G15" s="33">
        <v>190</v>
      </c>
      <c r="H15" s="33">
        <v>1.06</v>
      </c>
      <c r="I15" s="33">
        <v>0.55000000000000004</v>
      </c>
      <c r="J15" s="33">
        <v>0.45</v>
      </c>
      <c r="K15" s="35">
        <f t="shared" ref="K15" si="27">(H15*I15)*J15</f>
        <v>0.26235000000000003</v>
      </c>
      <c r="L15" s="36">
        <v>216</v>
      </c>
      <c r="M15" s="32">
        <f>L15/D15</f>
        <v>27</v>
      </c>
      <c r="N15" s="34">
        <f>M15*E15</f>
        <v>6129</v>
      </c>
      <c r="O15" s="34">
        <f>M15*K15</f>
        <v>7.0834500000000009</v>
      </c>
      <c r="P15" s="37">
        <v>45999</v>
      </c>
    </row>
    <row r="16" spans="1:17" x14ac:dyDescent="0.3">
      <c r="A16" s="4" t="s">
        <v>33</v>
      </c>
      <c r="B16" s="9" t="s">
        <v>34</v>
      </c>
      <c r="C16" s="38" t="s">
        <v>35</v>
      </c>
      <c r="D16" s="12">
        <v>24</v>
      </c>
      <c r="E16" s="39">
        <v>1206.56</v>
      </c>
      <c r="F16" s="39">
        <f>E16-G16</f>
        <v>34.710000000000036</v>
      </c>
      <c r="G16" s="39">
        <v>1171.8499999999999</v>
      </c>
      <c r="H16" s="39">
        <v>1.286</v>
      </c>
      <c r="I16" s="39">
        <v>0.85599999999999998</v>
      </c>
      <c r="J16" s="39">
        <v>0.623</v>
      </c>
      <c r="K16" s="39">
        <f t="shared" ref="K16:K17" si="28">H16*I16*J16</f>
        <v>0.685808368</v>
      </c>
      <c r="L16" s="39">
        <v>19</v>
      </c>
      <c r="M16" s="40">
        <f>L16/D16</f>
        <v>0.79166666666666663</v>
      </c>
      <c r="N16" s="39">
        <f>M16*E16</f>
        <v>955.19333333333327</v>
      </c>
      <c r="O16" s="39">
        <f>M16*K16</f>
        <v>0.54293162466666667</v>
      </c>
      <c r="P16" s="26">
        <v>45996</v>
      </c>
    </row>
    <row r="17" spans="1:16" x14ac:dyDescent="0.3">
      <c r="A17" s="4" t="s">
        <v>33</v>
      </c>
      <c r="B17" s="9" t="s">
        <v>34</v>
      </c>
      <c r="C17" s="38" t="s">
        <v>36</v>
      </c>
      <c r="D17" s="12">
        <v>24</v>
      </c>
      <c r="E17" s="39"/>
      <c r="F17" s="39">
        <v>20</v>
      </c>
      <c r="G17" s="39">
        <v>567</v>
      </c>
      <c r="H17" s="39">
        <v>1.28</v>
      </c>
      <c r="I17" s="39">
        <v>0.64</v>
      </c>
      <c r="J17" s="39">
        <v>0.6</v>
      </c>
      <c r="K17" s="39">
        <f t="shared" si="28"/>
        <v>0.49152000000000001</v>
      </c>
      <c r="L17" s="39"/>
      <c r="M17" s="40"/>
      <c r="N17" s="39"/>
      <c r="O17" s="39"/>
      <c r="P17" s="26">
        <v>45996</v>
      </c>
    </row>
    <row r="18" spans="1:16" x14ac:dyDescent="0.3">
      <c r="L18">
        <f>SUM(L2:L17)</f>
        <v>54002</v>
      </c>
      <c r="M18" s="13">
        <f>SUM(M2:M17)</f>
        <v>76.833333333333329</v>
      </c>
      <c r="N18">
        <f>SUM(N2:N17)</f>
        <v>24782.735000000001</v>
      </c>
      <c r="O18">
        <f>SUM(O2:O17)</f>
        <v>37.244942374666664</v>
      </c>
    </row>
  </sheetData>
  <mergeCells count="11">
    <mergeCell ref="K16:K17"/>
    <mergeCell ref="L16:L17"/>
    <mergeCell ref="M16:M17"/>
    <mergeCell ref="N16:N17"/>
    <mergeCell ref="O16:O17"/>
    <mergeCell ref="E16:E17"/>
    <mergeCell ref="F16:F17"/>
    <mergeCell ref="G16:G17"/>
    <mergeCell ref="H16:H17"/>
    <mergeCell ref="I16:I17"/>
    <mergeCell ref="J16:J17"/>
  </mergeCells>
  <pageMargins left="0.70866141732283472" right="0.70866141732283472" top="0.74803149606299213" bottom="0.74803149606299213" header="0.31496062992125984" footer="0.31496062992125984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2025-12-19T04:34:38Z</cp:lastPrinted>
  <dcterms:created xsi:type="dcterms:W3CDTF">2015-06-05T18:17:20Z</dcterms:created>
  <dcterms:modified xsi:type="dcterms:W3CDTF">2025-12-19T04:35:07Z</dcterms:modified>
</cp:coreProperties>
</file>