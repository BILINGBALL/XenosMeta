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R:\Accounts\Kai's worksheet\Kai Shipping\Sydney\Sydney#33-TMT\"/>
    </mc:Choice>
  </mc:AlternateContent>
  <xr:revisionPtr revIDLastSave="0" documentId="13_ncr:1_{D94DEF73-3EC6-4866-BE34-2D07D172DA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D20" i="1"/>
  <c r="L18" i="1"/>
  <c r="K17" i="1"/>
  <c r="M16" i="1"/>
  <c r="K16" i="1"/>
  <c r="F16" i="1"/>
  <c r="M15" i="1"/>
  <c r="N15" i="1" s="1"/>
  <c r="K15" i="1"/>
  <c r="F15" i="1"/>
  <c r="M14" i="1"/>
  <c r="K14" i="1"/>
  <c r="F14" i="1"/>
  <c r="M13" i="1"/>
  <c r="K13" i="1"/>
  <c r="F13" i="1"/>
  <c r="M12" i="1"/>
  <c r="K12" i="1"/>
  <c r="F12" i="1"/>
  <c r="M11" i="1"/>
  <c r="N11" i="1" s="1"/>
  <c r="K11" i="1"/>
  <c r="O11" i="1" s="1"/>
  <c r="F11" i="1"/>
  <c r="M10" i="1"/>
  <c r="K10" i="1"/>
  <c r="F10" i="1"/>
  <c r="M9" i="1"/>
  <c r="K9" i="1"/>
  <c r="F9" i="1"/>
  <c r="M8" i="1"/>
  <c r="K8" i="1"/>
  <c r="F8" i="1"/>
  <c r="M7" i="1"/>
  <c r="K7" i="1"/>
  <c r="F7" i="1"/>
  <c r="M6" i="1"/>
  <c r="K6" i="1"/>
  <c r="M5" i="1"/>
  <c r="N5" i="1" s="1"/>
  <c r="K5" i="1"/>
  <c r="F5" i="1"/>
  <c r="M4" i="1"/>
  <c r="N4" i="1" s="1"/>
  <c r="K4" i="1"/>
  <c r="O4" i="1" s="1"/>
  <c r="F4" i="1"/>
  <c r="M3" i="1"/>
  <c r="K3" i="1"/>
  <c r="F3" i="1"/>
  <c r="C1" i="1"/>
  <c r="O3" i="1" l="1"/>
  <c r="O8" i="1"/>
  <c r="O6" i="1"/>
  <c r="O5" i="1"/>
  <c r="O12" i="1"/>
  <c r="O10" i="1"/>
  <c r="O14" i="1"/>
  <c r="N8" i="1"/>
  <c r="O9" i="1"/>
  <c r="N3" i="1"/>
  <c r="O16" i="1"/>
  <c r="N6" i="1"/>
  <c r="O13" i="1"/>
  <c r="O7" i="1"/>
  <c r="M18" i="1"/>
  <c r="N12" i="1"/>
  <c r="O15" i="1"/>
  <c r="N9" i="1"/>
  <c r="N16" i="1"/>
  <c r="N13" i="1"/>
  <c r="N10" i="1"/>
  <c r="N7" i="1"/>
  <c r="N14" i="1"/>
  <c r="O18" i="1" l="1"/>
  <c r="N18" i="1"/>
</calcChain>
</file>

<file path=xl/sharedStrings.xml><?xml version="1.0" encoding="utf-8"?>
<sst xmlns="http://schemas.openxmlformats.org/spreadsheetml/2006/main" count="74" uniqueCount="50">
  <si>
    <t>PO</t>
  </si>
  <si>
    <t>Supplier</t>
  </si>
  <si>
    <t>Description</t>
  </si>
  <si>
    <t>Qty / Package</t>
  </si>
  <si>
    <t>G.W. Kg</t>
  </si>
  <si>
    <t>Pack Weight</t>
  </si>
  <si>
    <t>N.W. Kg</t>
  </si>
  <si>
    <t>L (m)</t>
  </si>
  <si>
    <t>W (m)</t>
  </si>
  <si>
    <t>H (m)</t>
  </si>
  <si>
    <t>Volume Cbm</t>
  </si>
  <si>
    <t>Est. Qty</t>
  </si>
  <si>
    <t>Est. Packages</t>
  </si>
  <si>
    <t>Est. Weight</t>
  </si>
  <si>
    <t>Est CBM</t>
  </si>
  <si>
    <t>EXW DATE</t>
  </si>
  <si>
    <t>TMT</t>
  </si>
  <si>
    <t>MSP801R2</t>
  </si>
  <si>
    <t>Primary Spring (4GT / TC)</t>
  </si>
  <si>
    <t>Primary Spring (WGT, SGT &amp; 4GT / MC)</t>
  </si>
  <si>
    <t>Bush Traction Beam</t>
  </si>
  <si>
    <t>Bush Traction Rod</t>
  </si>
  <si>
    <t>Bush Anti Roll Bar Rod Bottom</t>
  </si>
  <si>
    <t>Bush Anti Roll Bar Rod Top</t>
  </si>
  <si>
    <t>Anti Roll Bar Bush Torsion</t>
  </si>
  <si>
    <t>Anti Roll Bar Pad Thrust</t>
  </si>
  <si>
    <t>MSP804R6</t>
  </si>
  <si>
    <t>Air Bellow (MS9007TMT)</t>
  </si>
  <si>
    <t>Railteco</t>
  </si>
  <si>
    <t>MSP00784</t>
  </si>
  <si>
    <t>Outer Primary Spring 4501538137</t>
  </si>
  <si>
    <t>Inner Primary Spring 4501538137</t>
  </si>
  <si>
    <t>Anti x2+  Bellow</t>
  </si>
  <si>
    <t>Primary Springx3    H2.3+ Bellow x1</t>
  </si>
  <si>
    <t>Primary Springx5     H2.3</t>
  </si>
  <si>
    <t>bellowx2</t>
  </si>
  <si>
    <t>Bush x5</t>
  </si>
  <si>
    <t>1x20GP</t>
  </si>
  <si>
    <t>#33</t>
  </si>
  <si>
    <t>Sudelan</t>
  </si>
  <si>
    <t>Ss8 GAL SCREWSPIKES 24 DIA X 165. 5.6</t>
  </si>
  <si>
    <t>26 Dia x190 Long Hex Heads 8.8 G Screwspike</t>
  </si>
  <si>
    <t>22 x 150 5.6 Grade</t>
  </si>
  <si>
    <t>Stock</t>
  </si>
  <si>
    <t>DEZAI/Sudelan</t>
  </si>
  <si>
    <t xml:space="preserve"> JWM500 Screw Jack</t>
  </si>
  <si>
    <t>Primary Springx3     H2.3</t>
  </si>
  <si>
    <t>ScrewspikeX4</t>
  </si>
  <si>
    <t>Outer/Inner Spring x3</t>
  </si>
  <si>
    <t>Outer/Inner Spring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</si>
</sst>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d\-mmm\-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/>
        <bgColor theme="8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/>
    <xf numFmtId="0" fontId="1" fillId="0" borderId="0">
      <alignment vertical="center"/>
    </xf>
    <xf numFmtId="164" fontId="1" fillId="0" borderId="0"/>
  </cellStyleXfs>
  <cellXfs count="5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4" fillId="0" borderId="3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0" fillId="2" borderId="0" xfId="0" applyFill="1"/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2" fontId="0" fillId="2" borderId="3" xfId="0" applyNumberForma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14" fontId="0" fillId="2" borderId="3" xfId="0" applyNumberFormat="1" applyFill="1" applyBorder="1"/>
    <xf numFmtId="0" fontId="1" fillId="2" borderId="0" xfId="0" applyFont="1" applyFill="1"/>
    <xf numFmtId="2" fontId="0" fillId="2" borderId="3" xfId="1" applyNumberFormat="1" applyFon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14" fontId="0" fillId="2" borderId="0" xfId="0" applyNumberFormat="1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2" fontId="0" fillId="0" borderId="3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4" fontId="0" fillId="0" borderId="7" xfId="0" applyNumberFormat="1" applyFill="1" applyBorder="1" applyAlignment="1">
      <alignment horizontal="center" vertical="center"/>
    </xf>
    <xf numFmtId="0" fontId="0" fillId="0" borderId="0" xfId="0" applyFill="1"/>
    <xf numFmtId="2" fontId="5" fillId="0" borderId="3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 shrinkToFit="1"/>
    </xf>
    <xf numFmtId="14" fontId="0" fillId="0" borderId="0" xfId="0" applyNumberFormat="1" applyFill="1"/>
    <xf numFmtId="1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 vertical="center"/>
    </xf>
    <xf numFmtId="1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2" fontId="5" fillId="0" borderId="3" xfId="1" applyNumberFormat="1" applyFont="1" applyFill="1" applyBorder="1" applyAlignment="1">
      <alignment horizontal="center" vertical="center"/>
    </xf>
    <xf numFmtId="2" fontId="0" fillId="0" borderId="3" xfId="1" applyNumberFormat="1" applyFont="1" applyFill="1" applyBorder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1" xfId="0" applyFill="1" applyBorder="1" applyAlignment="1">
      <alignment horizontal="center"/>
    </xf>
    <xf numFmtId="2" fontId="5" fillId="0" borderId="1" xfId="1" applyNumberFormat="1" applyFont="1" applyFill="1" applyBorder="1" applyAlignment="1">
      <alignment horizontal="center" vertical="center"/>
    </xf>
    <xf numFmtId="2" fontId="0" fillId="0" borderId="1" xfId="1" applyNumberFormat="1" applyFon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1" fillId="0" borderId="3" xfId="0" applyNumberFormat="1" applyFont="1" applyFill="1" applyBorder="1" applyAlignment="1">
      <alignment horizontal="center" vertical="center"/>
    </xf>
    <xf numFmtId="2" fontId="1" fillId="0" borderId="3" xfId="0" applyNumberFormat="1" applyFont="1" applyFill="1" applyBorder="1"/>
    <xf numFmtId="164" fontId="6" fillId="0" borderId="3" xfId="1" applyFont="1" applyFill="1" applyBorder="1" applyAlignment="1">
      <alignment horizontal="center" vertical="center"/>
    </xf>
    <xf numFmtId="2" fontId="7" fillId="0" borderId="3" xfId="1" applyNumberFormat="1" applyFont="1" applyFill="1" applyBorder="1" applyAlignment="1">
      <alignment horizontal="center" vertical="center"/>
    </xf>
    <xf numFmtId="2" fontId="6" fillId="0" borderId="3" xfId="1" applyNumberFormat="1" applyFont="1" applyFill="1" applyBorder="1" applyAlignment="1">
      <alignment horizontal="center" vertical="center"/>
    </xf>
    <xf numFmtId="2" fontId="6" fillId="0" borderId="3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</cellXfs>
  <cellStyles count="4">
    <cellStyle name="Normal" xfId="0" builtinId="0"/>
    <cellStyle name="Normal 10" xfId="2" xr:uid="{436FF21C-8BF2-4533-A24D-82AC79E4A012}"/>
    <cellStyle name="Normal 3 2" xfId="1" xr:uid="{67042F90-84FE-4EC6-8BF6-1F1421512D9E}"/>
    <cellStyle name="Normal 3 2 3" xfId="3" xr:uid="{2F24D1F7-4F63-4DE8-9D7D-BAB01FB57F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2"/>
  <sheetViews>
    <sheetView tabSelected="1" workbookViewId="0">
      <selection activeCell="O23" sqref="O23"/>
    </sheetView>
  </sheetViews>
  <sheetFormatPr defaultRowHeight="14.4" x14ac:dyDescent="0.3"/>
  <cols>
    <col min="1" max="1" width="10.5546875" bestFit="1" customWidth="1"/>
    <col min="3" max="3" width="53.33203125" bestFit="1" customWidth="1"/>
    <col min="16" max="16" width="10.5546875" bestFit="1" customWidth="1"/>
  </cols>
  <sheetData>
    <row r="1" spans="1:16" x14ac:dyDescent="0.3">
      <c r="A1" s="1">
        <v>46000</v>
      </c>
      <c r="B1" t="s">
        <v>38</v>
      </c>
      <c r="C1" s="1">
        <f>A1+30</f>
        <v>46030</v>
      </c>
      <c r="D1" t="s">
        <v>37</v>
      </c>
      <c r="M1" s="2"/>
    </row>
    <row r="2" spans="1:16" ht="41.4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5" t="s">
        <v>15</v>
      </c>
    </row>
    <row r="3" spans="1:16" s="35" customFormat="1" x14ac:dyDescent="0.3">
      <c r="A3" s="42">
        <v>9429</v>
      </c>
      <c r="B3" s="48" t="s">
        <v>39</v>
      </c>
      <c r="C3" s="43" t="s">
        <v>40</v>
      </c>
      <c r="D3" s="49">
        <v>1000</v>
      </c>
      <c r="E3" s="50">
        <v>690</v>
      </c>
      <c r="F3" s="50">
        <f t="shared" ref="F3:F5" si="0">E3-G3</f>
        <v>40</v>
      </c>
      <c r="G3" s="50">
        <v>650</v>
      </c>
      <c r="H3" s="50">
        <v>1.1000000000000001</v>
      </c>
      <c r="I3" s="50">
        <v>0.8</v>
      </c>
      <c r="J3" s="50">
        <v>0.55000000000000004</v>
      </c>
      <c r="K3" s="51">
        <f t="shared" ref="K3:K6" si="1">H3*I3*J3</f>
        <v>0.4840000000000001</v>
      </c>
      <c r="L3" s="33">
        <v>2000</v>
      </c>
      <c r="M3" s="51">
        <f t="shared" ref="M3" si="2">L3/D3</f>
        <v>2</v>
      </c>
      <c r="N3" s="51">
        <f t="shared" ref="N3:N6" si="3">M3*E3</f>
        <v>1380</v>
      </c>
      <c r="O3" s="51">
        <f t="shared" ref="O3" si="4">M3*K3</f>
        <v>0.96800000000000019</v>
      </c>
      <c r="P3" s="47">
        <v>45869</v>
      </c>
    </row>
    <row r="4" spans="1:16" s="35" customFormat="1" ht="15.6" x14ac:dyDescent="0.3">
      <c r="A4" s="39">
        <v>9487</v>
      </c>
      <c r="B4" s="40" t="s">
        <v>39</v>
      </c>
      <c r="C4" s="54" t="s">
        <v>42</v>
      </c>
      <c r="D4" s="55">
        <v>1000</v>
      </c>
      <c r="E4" s="56">
        <v>610</v>
      </c>
      <c r="F4" s="56">
        <f t="shared" si="0"/>
        <v>40</v>
      </c>
      <c r="G4" s="56">
        <v>570</v>
      </c>
      <c r="H4" s="56">
        <v>1.1000000000000001</v>
      </c>
      <c r="I4" s="56">
        <v>0.8</v>
      </c>
      <c r="J4" s="56">
        <v>0.55000000000000004</v>
      </c>
      <c r="K4" s="57">
        <f t="shared" si="1"/>
        <v>0.4840000000000001</v>
      </c>
      <c r="L4" s="44">
        <v>5000</v>
      </c>
      <c r="M4" s="52">
        <f t="shared" ref="M4:M6" si="5">L4/D4</f>
        <v>5</v>
      </c>
      <c r="N4" s="53">
        <f t="shared" si="3"/>
        <v>3050</v>
      </c>
      <c r="O4" s="53">
        <f t="shared" ref="O4:O5" si="6">K4*M4</f>
        <v>2.4200000000000004</v>
      </c>
      <c r="P4" s="38">
        <v>45991</v>
      </c>
    </row>
    <row r="5" spans="1:16" s="35" customFormat="1" ht="13.8" customHeight="1" x14ac:dyDescent="0.3">
      <c r="A5" s="39">
        <v>9488</v>
      </c>
      <c r="B5" s="40" t="s">
        <v>39</v>
      </c>
      <c r="C5" s="37" t="s">
        <v>41</v>
      </c>
      <c r="D5" s="45">
        <v>800</v>
      </c>
      <c r="E5" s="46">
        <v>690</v>
      </c>
      <c r="F5" s="46">
        <f t="shared" si="0"/>
        <v>40</v>
      </c>
      <c r="G5" s="46">
        <v>650</v>
      </c>
      <c r="H5" s="46">
        <v>1.1000000000000001</v>
      </c>
      <c r="I5" s="46">
        <v>0.8</v>
      </c>
      <c r="J5" s="46">
        <v>0.55000000000000004</v>
      </c>
      <c r="K5" s="32">
        <f t="shared" si="1"/>
        <v>0.4840000000000001</v>
      </c>
      <c r="L5" s="44">
        <v>4000</v>
      </c>
      <c r="M5" s="52">
        <f t="shared" si="5"/>
        <v>5</v>
      </c>
      <c r="N5" s="53">
        <f t="shared" si="3"/>
        <v>3450</v>
      </c>
      <c r="O5" s="53">
        <f t="shared" si="6"/>
        <v>2.4200000000000004</v>
      </c>
      <c r="P5" s="38">
        <v>45991</v>
      </c>
    </row>
    <row r="6" spans="1:16" s="35" customFormat="1" x14ac:dyDescent="0.3">
      <c r="A6" s="39" t="s">
        <v>43</v>
      </c>
      <c r="B6" s="40" t="s">
        <v>44</v>
      </c>
      <c r="C6" s="41" t="s">
        <v>45</v>
      </c>
      <c r="D6" s="35">
        <v>1</v>
      </c>
      <c r="E6" s="35">
        <v>335.2</v>
      </c>
      <c r="F6" s="35">
        <v>30</v>
      </c>
      <c r="G6" s="35">
        <v>305.2</v>
      </c>
      <c r="H6" s="35">
        <v>1.22</v>
      </c>
      <c r="I6" s="35">
        <v>0.625</v>
      </c>
      <c r="J6" s="35">
        <v>0.77</v>
      </c>
      <c r="K6" s="36">
        <f t="shared" si="1"/>
        <v>0.58712500000000001</v>
      </c>
      <c r="L6" s="33"/>
      <c r="M6" s="32">
        <f t="shared" si="5"/>
        <v>0</v>
      </c>
      <c r="N6" s="32">
        <f t="shared" si="3"/>
        <v>0</v>
      </c>
      <c r="O6" s="32">
        <f t="shared" ref="O6" si="7">M6*K6</f>
        <v>0</v>
      </c>
      <c r="P6" s="34">
        <v>45960</v>
      </c>
    </row>
    <row r="7" spans="1:16" s="13" customFormat="1" x14ac:dyDescent="0.3">
      <c r="A7" s="13" t="s">
        <v>17</v>
      </c>
      <c r="B7" s="13" t="s">
        <v>16</v>
      </c>
      <c r="C7" s="7" t="s">
        <v>18</v>
      </c>
      <c r="D7" s="14">
        <v>8</v>
      </c>
      <c r="E7" s="14">
        <v>227</v>
      </c>
      <c r="F7" s="15">
        <f>E7-G7</f>
        <v>37</v>
      </c>
      <c r="G7" s="14">
        <v>190</v>
      </c>
      <c r="H7" s="14">
        <v>1.06</v>
      </c>
      <c r="I7" s="14">
        <v>0.55000000000000004</v>
      </c>
      <c r="J7" s="14">
        <v>0.45</v>
      </c>
      <c r="K7" s="16">
        <f t="shared" ref="K7:K14" si="8">(H7*I7)*J7</f>
        <v>0.26235000000000003</v>
      </c>
      <c r="L7" s="17">
        <v>144</v>
      </c>
      <c r="M7" s="7">
        <f>L7/D7</f>
        <v>18</v>
      </c>
      <c r="N7" s="15">
        <f>M7*E7</f>
        <v>4086</v>
      </c>
      <c r="O7" s="15">
        <f>M7*K7</f>
        <v>4.7223000000000006</v>
      </c>
      <c r="P7" s="18">
        <v>45999</v>
      </c>
    </row>
    <row r="8" spans="1:16" s="13" customFormat="1" x14ac:dyDescent="0.3">
      <c r="A8" s="13" t="s">
        <v>17</v>
      </c>
      <c r="B8" s="13" t="s">
        <v>16</v>
      </c>
      <c r="C8" s="7" t="s">
        <v>19</v>
      </c>
      <c r="D8" s="14">
        <v>8</v>
      </c>
      <c r="E8" s="14">
        <v>227</v>
      </c>
      <c r="F8" s="15">
        <f t="shared" ref="F8:F15" si="9">E8-G8</f>
        <v>37</v>
      </c>
      <c r="G8" s="14">
        <v>190</v>
      </c>
      <c r="H8" s="14">
        <v>1.06</v>
      </c>
      <c r="I8" s="14">
        <v>0.55000000000000004</v>
      </c>
      <c r="J8" s="14">
        <v>0.45</v>
      </c>
      <c r="K8" s="16">
        <f t="shared" si="8"/>
        <v>0.26235000000000003</v>
      </c>
      <c r="L8" s="17">
        <v>64</v>
      </c>
      <c r="M8" s="7">
        <f t="shared" ref="M8:M15" si="10">L8/D8</f>
        <v>8</v>
      </c>
      <c r="N8" s="15">
        <f t="shared" ref="N8:N15" si="11">M8*E8</f>
        <v>1816</v>
      </c>
      <c r="O8" s="15">
        <f t="shared" ref="O8:O15" si="12">M8*K8</f>
        <v>2.0988000000000002</v>
      </c>
      <c r="P8" s="18">
        <v>45999</v>
      </c>
    </row>
    <row r="9" spans="1:16" s="13" customFormat="1" x14ac:dyDescent="0.3">
      <c r="A9" s="13" t="s">
        <v>17</v>
      </c>
      <c r="B9" s="13" t="s">
        <v>16</v>
      </c>
      <c r="C9" s="7" t="s">
        <v>20</v>
      </c>
      <c r="D9" s="14">
        <v>64</v>
      </c>
      <c r="E9" s="14">
        <v>254</v>
      </c>
      <c r="F9" s="15">
        <f t="shared" si="9"/>
        <v>62</v>
      </c>
      <c r="G9" s="14">
        <v>192</v>
      </c>
      <c r="H9" s="14">
        <v>1.05</v>
      </c>
      <c r="I9" s="14">
        <v>0.8</v>
      </c>
      <c r="J9" s="14">
        <v>0.36</v>
      </c>
      <c r="K9" s="16">
        <f t="shared" si="8"/>
        <v>0.3024</v>
      </c>
      <c r="L9" s="17">
        <v>8</v>
      </c>
      <c r="M9" s="7">
        <f t="shared" si="10"/>
        <v>0.125</v>
      </c>
      <c r="N9" s="15">
        <f t="shared" si="11"/>
        <v>31.75</v>
      </c>
      <c r="O9" s="15">
        <f t="shared" si="12"/>
        <v>3.78E-2</v>
      </c>
      <c r="P9" s="18">
        <v>45999</v>
      </c>
    </row>
    <row r="10" spans="1:16" s="13" customFormat="1" x14ac:dyDescent="0.3">
      <c r="A10" s="13" t="s">
        <v>17</v>
      </c>
      <c r="B10" s="13" t="s">
        <v>16</v>
      </c>
      <c r="C10" s="7" t="s">
        <v>21</v>
      </c>
      <c r="D10" s="14">
        <v>64</v>
      </c>
      <c r="E10" s="14">
        <v>446</v>
      </c>
      <c r="F10" s="15">
        <f t="shared" si="9"/>
        <v>43</v>
      </c>
      <c r="G10" s="14">
        <v>403</v>
      </c>
      <c r="H10" s="14">
        <v>1.05</v>
      </c>
      <c r="I10" s="14">
        <v>0.8</v>
      </c>
      <c r="J10" s="14">
        <v>0.36</v>
      </c>
      <c r="K10" s="16">
        <f t="shared" si="8"/>
        <v>0.3024</v>
      </c>
      <c r="L10" s="17">
        <v>224</v>
      </c>
      <c r="M10" s="7">
        <f t="shared" si="10"/>
        <v>3.5</v>
      </c>
      <c r="N10" s="15">
        <f t="shared" si="11"/>
        <v>1561</v>
      </c>
      <c r="O10" s="15">
        <f t="shared" si="12"/>
        <v>1.0584</v>
      </c>
      <c r="P10" s="18">
        <v>45999</v>
      </c>
    </row>
    <row r="11" spans="1:16" s="13" customFormat="1" x14ac:dyDescent="0.3">
      <c r="A11" s="13" t="s">
        <v>17</v>
      </c>
      <c r="B11" s="13" t="s">
        <v>16</v>
      </c>
      <c r="C11" s="7" t="s">
        <v>22</v>
      </c>
      <c r="D11" s="14">
        <v>64</v>
      </c>
      <c r="E11" s="14">
        <v>250</v>
      </c>
      <c r="F11" s="15">
        <f t="shared" si="9"/>
        <v>32</v>
      </c>
      <c r="G11" s="14">
        <v>218</v>
      </c>
      <c r="H11" s="14">
        <v>1.05</v>
      </c>
      <c r="I11" s="14">
        <v>0.8</v>
      </c>
      <c r="J11" s="14">
        <v>0.32</v>
      </c>
      <c r="K11" s="16">
        <f t="shared" si="8"/>
        <v>0.26880000000000004</v>
      </c>
      <c r="L11" s="17">
        <v>48</v>
      </c>
      <c r="M11" s="7">
        <f t="shared" si="10"/>
        <v>0.75</v>
      </c>
      <c r="N11" s="15">
        <f t="shared" si="11"/>
        <v>187.5</v>
      </c>
      <c r="O11" s="15">
        <f t="shared" si="12"/>
        <v>0.20160000000000003</v>
      </c>
      <c r="P11" s="18">
        <v>45999</v>
      </c>
    </row>
    <row r="12" spans="1:16" s="13" customFormat="1" x14ac:dyDescent="0.3">
      <c r="A12" s="13" t="s">
        <v>17</v>
      </c>
      <c r="B12" s="13" t="s">
        <v>16</v>
      </c>
      <c r="C12" s="7" t="s">
        <v>23</v>
      </c>
      <c r="D12" s="14">
        <v>64</v>
      </c>
      <c r="E12" s="14">
        <v>340</v>
      </c>
      <c r="F12" s="15">
        <f t="shared" si="9"/>
        <v>32</v>
      </c>
      <c r="G12" s="14">
        <v>308</v>
      </c>
      <c r="H12" s="14">
        <v>1.05</v>
      </c>
      <c r="I12" s="14">
        <v>0.8</v>
      </c>
      <c r="J12" s="14">
        <v>0.32</v>
      </c>
      <c r="K12" s="16">
        <f t="shared" si="8"/>
        <v>0.26880000000000004</v>
      </c>
      <c r="L12" s="17">
        <v>48</v>
      </c>
      <c r="M12" s="7">
        <f t="shared" si="10"/>
        <v>0.75</v>
      </c>
      <c r="N12" s="15">
        <f t="shared" si="11"/>
        <v>255</v>
      </c>
      <c r="O12" s="15">
        <f t="shared" si="12"/>
        <v>0.20160000000000003</v>
      </c>
      <c r="P12" s="18">
        <v>45999</v>
      </c>
    </row>
    <row r="13" spans="1:16" s="13" customFormat="1" x14ac:dyDescent="0.3">
      <c r="A13" s="13" t="s">
        <v>17</v>
      </c>
      <c r="B13" s="13" t="s">
        <v>16</v>
      </c>
      <c r="C13" s="7" t="s">
        <v>24</v>
      </c>
      <c r="D13" s="14">
        <v>256</v>
      </c>
      <c r="E13" s="14">
        <v>428.4</v>
      </c>
      <c r="F13" s="15">
        <f t="shared" si="9"/>
        <v>70</v>
      </c>
      <c r="G13" s="14">
        <v>358.4</v>
      </c>
      <c r="H13" s="14">
        <v>1.05</v>
      </c>
      <c r="I13" s="14">
        <v>0.8</v>
      </c>
      <c r="J13" s="14">
        <v>0.73</v>
      </c>
      <c r="K13" s="16">
        <f t="shared" si="8"/>
        <v>0.61320000000000008</v>
      </c>
      <c r="L13" s="17">
        <v>224</v>
      </c>
      <c r="M13" s="7">
        <f t="shared" si="10"/>
        <v>0.875</v>
      </c>
      <c r="N13" s="15">
        <f t="shared" si="11"/>
        <v>374.84999999999997</v>
      </c>
      <c r="O13" s="15">
        <f t="shared" si="12"/>
        <v>0.53655000000000008</v>
      </c>
      <c r="P13" s="18">
        <v>45999</v>
      </c>
    </row>
    <row r="14" spans="1:16" s="13" customFormat="1" x14ac:dyDescent="0.3">
      <c r="A14" s="13" t="s">
        <v>17</v>
      </c>
      <c r="B14" s="13" t="s">
        <v>16</v>
      </c>
      <c r="C14" s="7" t="s">
        <v>25</v>
      </c>
      <c r="D14" s="14">
        <v>256</v>
      </c>
      <c r="E14" s="14">
        <v>338</v>
      </c>
      <c r="F14" s="15">
        <f t="shared" si="9"/>
        <v>48</v>
      </c>
      <c r="G14" s="14">
        <v>290</v>
      </c>
      <c r="H14" s="14">
        <v>1.05</v>
      </c>
      <c r="I14" s="14">
        <v>0.8</v>
      </c>
      <c r="J14" s="14">
        <v>0.55000000000000004</v>
      </c>
      <c r="K14" s="16">
        <f t="shared" si="8"/>
        <v>0.46200000000000008</v>
      </c>
      <c r="L14" s="17">
        <v>224</v>
      </c>
      <c r="M14" s="7">
        <f t="shared" si="10"/>
        <v>0.875</v>
      </c>
      <c r="N14" s="15">
        <f t="shared" si="11"/>
        <v>295.75</v>
      </c>
      <c r="O14" s="15">
        <f t="shared" si="12"/>
        <v>0.40425000000000005</v>
      </c>
      <c r="P14" s="18">
        <v>45999</v>
      </c>
    </row>
    <row r="15" spans="1:16" s="13" customFormat="1" x14ac:dyDescent="0.3">
      <c r="A15" s="19" t="s">
        <v>26</v>
      </c>
      <c r="B15" s="13" t="s">
        <v>16</v>
      </c>
      <c r="C15" s="7" t="s">
        <v>27</v>
      </c>
      <c r="D15" s="14">
        <v>4</v>
      </c>
      <c r="E15" s="20">
        <v>109</v>
      </c>
      <c r="F15" s="20">
        <f t="shared" si="9"/>
        <v>49.5</v>
      </c>
      <c r="G15" s="20">
        <v>59.5</v>
      </c>
      <c r="H15" s="20">
        <v>0.88</v>
      </c>
      <c r="I15" s="20">
        <v>0.88</v>
      </c>
      <c r="J15" s="20">
        <v>0.83</v>
      </c>
      <c r="K15" s="21">
        <f t="shared" ref="K15" si="13">H15*I15*J15</f>
        <v>0.64275199999999999</v>
      </c>
      <c r="L15" s="17">
        <v>16</v>
      </c>
      <c r="M15" s="7">
        <f t="shared" si="10"/>
        <v>4</v>
      </c>
      <c r="N15" s="15">
        <f t="shared" si="11"/>
        <v>436</v>
      </c>
      <c r="O15" s="15">
        <f t="shared" si="12"/>
        <v>2.571008</v>
      </c>
      <c r="P15" s="22">
        <v>45991</v>
      </c>
    </row>
    <row r="16" spans="1:16" x14ac:dyDescent="0.3">
      <c r="A16" s="8" t="s">
        <v>29</v>
      </c>
      <c r="B16" s="6" t="s">
        <v>28</v>
      </c>
      <c r="C16" s="10" t="s">
        <v>30</v>
      </c>
      <c r="D16" s="9">
        <v>24</v>
      </c>
      <c r="E16" s="31">
        <v>1206.56</v>
      </c>
      <c r="F16" s="31">
        <f>E16-G16</f>
        <v>34.710000000000036</v>
      </c>
      <c r="G16" s="31">
        <v>1171.8499999999999</v>
      </c>
      <c r="H16" s="31">
        <v>1.286</v>
      </c>
      <c r="I16" s="31">
        <v>0.85599999999999998</v>
      </c>
      <c r="J16" s="31">
        <v>0.623</v>
      </c>
      <c r="K16" s="31">
        <f t="shared" ref="K16:K17" si="14">H16*I16*J16</f>
        <v>0.685808368</v>
      </c>
      <c r="L16" s="31">
        <v>120</v>
      </c>
      <c r="M16" s="31">
        <f>L16/D16</f>
        <v>5</v>
      </c>
      <c r="N16" s="31">
        <f>M16*E16</f>
        <v>6032.7999999999993</v>
      </c>
      <c r="O16" s="31">
        <f>M16*K16</f>
        <v>3.42904184</v>
      </c>
      <c r="P16" s="1">
        <v>45996</v>
      </c>
    </row>
    <row r="17" spans="1:21" x14ac:dyDescent="0.3">
      <c r="A17" s="8" t="s">
        <v>29</v>
      </c>
      <c r="B17" s="6" t="s">
        <v>28</v>
      </c>
      <c r="C17" s="10" t="s">
        <v>31</v>
      </c>
      <c r="D17" s="9">
        <v>24</v>
      </c>
      <c r="E17" s="31"/>
      <c r="F17" s="31">
        <v>20</v>
      </c>
      <c r="G17" s="31">
        <v>567</v>
      </c>
      <c r="H17" s="31">
        <v>1.28</v>
      </c>
      <c r="I17" s="31">
        <v>0.64</v>
      </c>
      <c r="J17" s="31">
        <v>0.6</v>
      </c>
      <c r="K17" s="31">
        <f t="shared" si="14"/>
        <v>0.49152000000000001</v>
      </c>
      <c r="L17" s="31"/>
      <c r="M17" s="31"/>
      <c r="N17" s="31"/>
      <c r="O17" s="31"/>
      <c r="P17" s="1">
        <v>45996</v>
      </c>
    </row>
    <row r="18" spans="1:21" x14ac:dyDescent="0.3">
      <c r="L18">
        <f>SUM(L3:L17)</f>
        <v>12120</v>
      </c>
      <c r="M18" s="2">
        <f>SUM(M3:M17)</f>
        <v>53.875</v>
      </c>
      <c r="N18">
        <f>SUM(N3:N17)</f>
        <v>22956.649999999998</v>
      </c>
      <c r="O18">
        <f>SUM(O3:O17)</f>
        <v>21.069349840000005</v>
      </c>
    </row>
    <row r="19" spans="1:21" x14ac:dyDescent="0.3">
      <c r="M19" s="2"/>
    </row>
    <row r="20" spans="1:21" x14ac:dyDescent="0.3">
      <c r="D20" s="24">
        <f>SUM(D21:U21)</f>
        <v>5.3199999999999994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</row>
    <row r="21" spans="1:21" x14ac:dyDescent="0.3">
      <c r="F21">
        <v>0.86</v>
      </c>
      <c r="G21">
        <v>0.88</v>
      </c>
      <c r="H21" s="11">
        <v>0.88</v>
      </c>
      <c r="I21" s="11">
        <v>0.55000000000000004</v>
      </c>
      <c r="J21" s="11">
        <v>0.55000000000000004</v>
      </c>
      <c r="K21">
        <v>0.8</v>
      </c>
      <c r="L21">
        <v>0.8</v>
      </c>
      <c r="N21" s="23"/>
      <c r="O21" s="23"/>
      <c r="P21" s="23"/>
      <c r="Q21" s="23"/>
      <c r="R21" s="23"/>
      <c r="S21" s="23"/>
      <c r="T21" s="23"/>
      <c r="U21" s="23"/>
    </row>
    <row r="22" spans="1:21" x14ac:dyDescent="0.3">
      <c r="D22" s="25"/>
      <c r="E22" s="25"/>
      <c r="F22" s="58" t="s">
        <v>48</v>
      </c>
      <c r="G22" s="28" t="s">
        <v>32</v>
      </c>
      <c r="H22" s="28" t="s">
        <v>33</v>
      </c>
      <c r="I22" s="28" t="s">
        <v>34</v>
      </c>
      <c r="J22" s="28" t="s">
        <v>34</v>
      </c>
      <c r="K22" s="58" t="s">
        <v>47</v>
      </c>
      <c r="L22" s="58" t="s">
        <v>47</v>
      </c>
      <c r="M22" s="25"/>
    </row>
    <row r="23" spans="1:21" x14ac:dyDescent="0.3">
      <c r="D23" s="26"/>
      <c r="E23" s="26"/>
      <c r="F23" s="26"/>
      <c r="G23" s="29"/>
      <c r="H23" s="29"/>
      <c r="I23" s="29"/>
      <c r="J23" s="29"/>
      <c r="K23" s="26"/>
      <c r="L23" s="26"/>
      <c r="M23" s="26"/>
    </row>
    <row r="24" spans="1:21" x14ac:dyDescent="0.3">
      <c r="D24" s="26"/>
      <c r="E24" s="26"/>
      <c r="F24" s="26"/>
      <c r="G24" s="29"/>
      <c r="H24" s="29"/>
      <c r="I24" s="29"/>
      <c r="J24" s="29"/>
      <c r="K24" s="26"/>
      <c r="L24" s="26"/>
      <c r="M24" s="26"/>
    </row>
    <row r="25" spans="1:21" x14ac:dyDescent="0.3">
      <c r="D25" s="27"/>
      <c r="E25" s="27"/>
      <c r="F25" s="27"/>
      <c r="G25" s="30"/>
      <c r="H25" s="30"/>
      <c r="I25" s="30"/>
      <c r="J25" s="30"/>
      <c r="K25" s="27"/>
      <c r="L25" s="27"/>
      <c r="M25" s="27"/>
    </row>
    <row r="26" spans="1:21" x14ac:dyDescent="0.3">
      <c r="D26" s="25"/>
      <c r="E26" s="25"/>
      <c r="F26" s="58" t="s">
        <v>49</v>
      </c>
      <c r="G26" s="28" t="s">
        <v>35</v>
      </c>
      <c r="H26" s="28" t="s">
        <v>36</v>
      </c>
      <c r="I26" s="28" t="s">
        <v>34</v>
      </c>
      <c r="J26" s="28" t="s">
        <v>34</v>
      </c>
      <c r="K26" s="28" t="s">
        <v>46</v>
      </c>
      <c r="L26" s="58" t="s">
        <v>47</v>
      </c>
      <c r="M26" s="25"/>
    </row>
    <row r="27" spans="1:21" x14ac:dyDescent="0.3">
      <c r="D27" s="26"/>
      <c r="E27" s="26"/>
      <c r="F27" s="26"/>
      <c r="G27" s="29"/>
      <c r="H27" s="29"/>
      <c r="I27" s="29"/>
      <c r="J27" s="29"/>
      <c r="K27" s="29"/>
      <c r="L27" s="26"/>
      <c r="M27" s="26"/>
    </row>
    <row r="28" spans="1:21" x14ac:dyDescent="0.3">
      <c r="D28" s="26"/>
      <c r="E28" s="26"/>
      <c r="F28" s="26"/>
      <c r="G28" s="29"/>
      <c r="H28" s="29"/>
      <c r="I28" s="29"/>
      <c r="J28" s="29"/>
      <c r="K28" s="29"/>
      <c r="L28" s="26"/>
      <c r="M28" s="26"/>
    </row>
    <row r="29" spans="1:21" x14ac:dyDescent="0.3">
      <c r="D29" s="27"/>
      <c r="E29" s="27"/>
      <c r="F29" s="27"/>
      <c r="G29" s="30"/>
      <c r="H29" s="30"/>
      <c r="I29" s="30"/>
      <c r="J29" s="30"/>
      <c r="K29" s="30"/>
      <c r="L29" s="27"/>
      <c r="M29" s="27"/>
    </row>
    <row r="30" spans="1:21" x14ac:dyDescent="0.3">
      <c r="F30">
        <v>1.286</v>
      </c>
      <c r="G30">
        <v>0.88</v>
      </c>
      <c r="H30" s="11">
        <v>0.8</v>
      </c>
      <c r="I30" s="12">
        <v>0.55000000000000004</v>
      </c>
      <c r="J30" s="12">
        <v>0.55000000000000004</v>
      </c>
      <c r="K30" s="12">
        <v>0.55000000000000004</v>
      </c>
      <c r="L30">
        <v>0.8</v>
      </c>
    </row>
    <row r="31" spans="1:21" x14ac:dyDescent="0.3">
      <c r="D31" s="24">
        <f>SUM(D30:U30)</f>
        <v>5.4159999999999995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x14ac:dyDescent="0.3">
      <c r="D32" s="23"/>
      <c r="E32" s="23"/>
      <c r="F32" s="23"/>
      <c r="G32" s="23"/>
      <c r="H32" s="23"/>
      <c r="I32" s="23"/>
      <c r="J32" s="23"/>
      <c r="K32" s="23"/>
      <c r="L32" s="23"/>
      <c r="M32" s="2"/>
      <c r="N32" s="23"/>
      <c r="O32" s="23"/>
      <c r="P32" s="23"/>
      <c r="Q32" s="23"/>
      <c r="R32" s="23"/>
      <c r="S32" s="23"/>
      <c r="T32" s="23"/>
      <c r="U32" s="23"/>
    </row>
  </sheetData>
  <mergeCells count="33">
    <mergeCell ref="D31:U31"/>
    <mergeCell ref="D26:D29"/>
    <mergeCell ref="E26:E29"/>
    <mergeCell ref="F26:F29"/>
    <mergeCell ref="G26:G29"/>
    <mergeCell ref="H26:H29"/>
    <mergeCell ref="I26:I29"/>
    <mergeCell ref="J26:J29"/>
    <mergeCell ref="K26:K29"/>
    <mergeCell ref="L26:L29"/>
    <mergeCell ref="M26:M29"/>
    <mergeCell ref="D20:S20"/>
    <mergeCell ref="D22:D25"/>
    <mergeCell ref="E22:E25"/>
    <mergeCell ref="F22:F25"/>
    <mergeCell ref="G22:G25"/>
    <mergeCell ref="H22:H25"/>
    <mergeCell ref="I22:I25"/>
    <mergeCell ref="J22:J25"/>
    <mergeCell ref="K22:K25"/>
    <mergeCell ref="L22:L25"/>
    <mergeCell ref="M22:M25"/>
    <mergeCell ref="O16:O17"/>
    <mergeCell ref="J16:J17"/>
    <mergeCell ref="K16:K17"/>
    <mergeCell ref="L16:L17"/>
    <mergeCell ref="M16:M17"/>
    <mergeCell ref="N16:N17"/>
    <mergeCell ref="E16:E17"/>
    <mergeCell ref="F16:F17"/>
    <mergeCell ref="G16:G17"/>
    <mergeCell ref="H16:H17"/>
    <mergeCell ref="I16:I17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Kai Zhu</cp:lastModifiedBy>
  <cp:lastPrinted>2025-12-04T22:34:42Z</cp:lastPrinted>
  <dcterms:created xsi:type="dcterms:W3CDTF">2015-06-05T18:17:20Z</dcterms:created>
  <dcterms:modified xsi:type="dcterms:W3CDTF">2025-12-05T05:15:13Z</dcterms:modified>
</cp:coreProperties>
</file>