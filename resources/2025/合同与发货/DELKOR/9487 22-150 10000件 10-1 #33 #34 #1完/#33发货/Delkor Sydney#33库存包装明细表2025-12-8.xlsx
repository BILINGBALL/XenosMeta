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33发货\"/>
    </mc:Choice>
  </mc:AlternateContent>
  <xr:revisionPtr revIDLastSave="0" documentId="8_{F24762E3-54AD-4BD8-9102-78C677E855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 s="1"/>
  <c r="Q4" i="1"/>
  <c r="P4" i="1"/>
  <c r="O4" i="1"/>
  <c r="J4" i="1"/>
  <c r="H4" i="1"/>
  <c r="F4" i="1"/>
  <c r="Q6" i="1" l="1"/>
  <c r="O6" i="1"/>
  <c r="M6" i="1"/>
  <c r="P6" i="1" s="1"/>
  <c r="J6" i="1"/>
  <c r="H6" i="1"/>
  <c r="F6" i="1" s="1"/>
  <c r="K7" i="1" l="1"/>
  <c r="F7" i="1" l="1"/>
  <c r="Q7" i="1"/>
  <c r="P7" i="1"/>
  <c r="O7" i="1"/>
  <c r="H7" i="1"/>
</calcChain>
</file>

<file path=xl/sharedStrings.xml><?xml version="1.0" encoding="utf-8"?>
<sst xmlns="http://schemas.openxmlformats.org/spreadsheetml/2006/main" count="35" uniqueCount="32">
  <si>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</si>
  <si>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</si>
  <si>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</si>
  <si>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</si>
  <si>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</si>
  <si>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</si>
  <si>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</si>
  <si>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</si>
  <si>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</si>
  <si>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</si>
  <si>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</si>
  <si>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</si>
  <si>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</si>
  <si>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</si>
  <si>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</si>
  <si>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</si>
  <si>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</si>
  <si>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</si>
  <si>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</si>
  <si>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</si>
  <si>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</si>
  <si>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</si>
  <si>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</si>
  <si>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</si>
  <si>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</si>
  <si>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</si>
  <si>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</si>
  <si>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22x150</t>
    <phoneticPr fontId="9" type="noConversion"/>
  </si>
  <si>
    <t>#33</t>
    <phoneticPr fontId="9" type="noConversion"/>
  </si>
  <si>
    <t>1/12-2/12</t>
    <phoneticPr fontId="9" type="noConversion"/>
  </si>
  <si>
    <t>3/12-7/12</t>
    <phoneticPr fontId="9" type="noConversion"/>
  </si>
  <si>
    <t>8/12-12/12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</si>
</sst>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3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workbookViewId="0">
      <selection activeCell="G6" sqref="G6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ht="30.75" customHeight="1" x14ac:dyDescent="0.15">
      <c r="A2" s="14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26</v>
      </c>
      <c r="D4" s="17">
        <v>9429</v>
      </c>
      <c r="E4" s="18" t="s">
        <v>29</v>
      </c>
      <c r="F4" s="2">
        <f t="shared" ref="F4:F5" si="0">G4*H4</f>
        <v>2000</v>
      </c>
      <c r="G4" s="15">
        <v>25</v>
      </c>
      <c r="H4" s="15">
        <f t="shared" ref="H4:H5" si="1">I4*K4</f>
        <v>80</v>
      </c>
      <c r="I4" s="15">
        <v>40</v>
      </c>
      <c r="J4" s="15">
        <f t="shared" ref="J4:J5" si="2">G4*I4</f>
        <v>1000</v>
      </c>
      <c r="K4" s="15">
        <v>2</v>
      </c>
      <c r="L4" s="15">
        <v>600</v>
      </c>
      <c r="M4" s="15">
        <v>631</v>
      </c>
      <c r="N4" s="8" t="s">
        <v>24</v>
      </c>
      <c r="O4" s="15">
        <f t="shared" ref="O4:O5" si="3">L4*K4</f>
        <v>1200</v>
      </c>
      <c r="P4" s="15">
        <f t="shared" ref="P4:P5" si="4">M4*K4</f>
        <v>1262</v>
      </c>
      <c r="Q4" s="18">
        <f t="shared" ref="Q4:Q5" si="5">0.48*K4</f>
        <v>0.96</v>
      </c>
    </row>
    <row r="5" spans="1:19" ht="51.75" customHeight="1" x14ac:dyDescent="0.15">
      <c r="A5" s="15">
        <v>2</v>
      </c>
      <c r="B5" s="4" t="s">
        <v>17</v>
      </c>
      <c r="C5" s="16" t="s">
        <v>27</v>
      </c>
      <c r="D5" s="17">
        <v>9487</v>
      </c>
      <c r="E5" s="18" t="s">
        <v>30</v>
      </c>
      <c r="F5" s="2">
        <f t="shared" si="0"/>
        <v>5000</v>
      </c>
      <c r="G5" s="15">
        <v>25</v>
      </c>
      <c r="H5" s="15">
        <f t="shared" si="1"/>
        <v>200</v>
      </c>
      <c r="I5" s="15">
        <v>40</v>
      </c>
      <c r="J5" s="15">
        <f t="shared" si="2"/>
        <v>1000</v>
      </c>
      <c r="K5" s="15">
        <v>5</v>
      </c>
      <c r="L5" s="15">
        <v>567</v>
      </c>
      <c r="M5" s="15">
        <f t="shared" ref="M5" si="6">L5+42</f>
        <v>609</v>
      </c>
      <c r="N5" s="8" t="s">
        <v>24</v>
      </c>
      <c r="O5" s="15">
        <f t="shared" si="3"/>
        <v>2835</v>
      </c>
      <c r="P5" s="15">
        <f t="shared" si="4"/>
        <v>3045</v>
      </c>
      <c r="Q5" s="18">
        <f t="shared" si="5"/>
        <v>2.4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25</v>
      </c>
      <c r="D6" s="17">
        <v>9488</v>
      </c>
      <c r="E6" s="18" t="s">
        <v>31</v>
      </c>
      <c r="F6" s="2">
        <f t="shared" ref="F6" si="7">G6*H6</f>
        <v>4000</v>
      </c>
      <c r="G6" s="15">
        <v>25</v>
      </c>
      <c r="H6" s="15">
        <f t="shared" ref="H6" si="8">I6*K6</f>
        <v>160</v>
      </c>
      <c r="I6" s="15">
        <v>32</v>
      </c>
      <c r="J6" s="15">
        <f t="shared" ref="J6" si="9">G6*I6</f>
        <v>800</v>
      </c>
      <c r="K6" s="15">
        <v>5</v>
      </c>
      <c r="L6" s="15">
        <v>552</v>
      </c>
      <c r="M6" s="15">
        <f t="shared" ref="M6" si="10">L6+42</f>
        <v>594</v>
      </c>
      <c r="N6" s="8" t="s">
        <v>23</v>
      </c>
      <c r="O6" s="15">
        <f t="shared" ref="O6" si="11">L6*K6</f>
        <v>2760</v>
      </c>
      <c r="P6" s="15">
        <f t="shared" ref="P6" si="12">M6*K6</f>
        <v>2970</v>
      </c>
      <c r="Q6" s="18">
        <f>0.48*K6</f>
        <v>2.4</v>
      </c>
    </row>
    <row r="7" spans="1:19" ht="35.25" customHeight="1" x14ac:dyDescent="0.15">
      <c r="A7" s="22" t="s">
        <v>18</v>
      </c>
      <c r="B7" s="22"/>
      <c r="C7" s="22"/>
      <c r="D7" s="3"/>
      <c r="E7" s="1"/>
      <c r="F7" s="3">
        <f>SUM(F4:F6)</f>
        <v>11000</v>
      </c>
      <c r="G7" s="3"/>
      <c r="H7" s="3">
        <f>SUM(H4:H6)</f>
        <v>440</v>
      </c>
      <c r="I7" s="3"/>
      <c r="J7" s="3"/>
      <c r="K7" s="3">
        <f>SUM(K4:K6)</f>
        <v>12</v>
      </c>
      <c r="L7" s="3"/>
      <c r="M7" s="3"/>
      <c r="N7" s="1"/>
      <c r="O7" s="3">
        <f>SUM(O4:O6)</f>
        <v>6795</v>
      </c>
      <c r="P7" s="3">
        <f>SUM(P4:P6)</f>
        <v>7277</v>
      </c>
      <c r="Q7" s="1">
        <f>SUM(Q4:Q6)</f>
        <v>5.76</v>
      </c>
      <c r="R7" s="12"/>
    </row>
    <row r="8" spans="1:19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9" t="s">
        <v>21</v>
      </c>
      <c r="O10" s="19"/>
      <c r="P10" s="19"/>
      <c r="Q10" s="19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9">
        <v>45999</v>
      </c>
      <c r="O11" s="19"/>
      <c r="P11" s="19"/>
      <c r="Q11" s="19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2025-12-08T02:56:44Z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