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R:\Accounts\Kai's worksheet\Kai Shipping\Sydney\Sydney#32-TMT\"/>
    </mc:Choice>
  </mc:AlternateContent>
  <xr:revisionPtr revIDLastSave="0" documentId="13_ncr:1_{34500EE0-ECB9-4064-84BE-89EDAD7C7E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E4" i="1"/>
  <c r="K5" i="1"/>
  <c r="E5" i="1"/>
  <c r="E70" i="1" l="1"/>
  <c r="C57" i="1"/>
  <c r="L55" i="1"/>
  <c r="K52" i="1"/>
  <c r="O52" i="1" s="1"/>
  <c r="G52" i="1"/>
  <c r="E52" i="1" s="1"/>
  <c r="N52" i="1" s="1"/>
  <c r="K49" i="1"/>
  <c r="O49" i="1" s="1"/>
  <c r="G49" i="1"/>
  <c r="E49" i="1" s="1"/>
  <c r="N49" i="1" s="1"/>
  <c r="G48" i="1"/>
  <c r="G47" i="1"/>
  <c r="G46" i="1"/>
  <c r="G45" i="1"/>
  <c r="G44" i="1"/>
  <c r="K43" i="1"/>
  <c r="O43" i="1" s="1"/>
  <c r="G43" i="1"/>
  <c r="G42" i="1"/>
  <c r="G41" i="1"/>
  <c r="G38" i="1"/>
  <c r="K37" i="1"/>
  <c r="O37" i="1" s="1"/>
  <c r="G37" i="1"/>
  <c r="G30" i="1"/>
  <c r="G29" i="1"/>
  <c r="K28" i="1"/>
  <c r="O28" i="1" s="1"/>
  <c r="G28" i="1"/>
  <c r="K22" i="1"/>
  <c r="O22" i="1" s="1"/>
  <c r="G22" i="1"/>
  <c r="E22" i="1" s="1"/>
  <c r="N22" i="1" s="1"/>
  <c r="G21" i="1"/>
  <c r="G20" i="1"/>
  <c r="K19" i="1"/>
  <c r="O19" i="1" s="1"/>
  <c r="E19" i="1"/>
  <c r="N19" i="1" s="1"/>
  <c r="K16" i="1"/>
  <c r="O16" i="1" s="1"/>
  <c r="E16" i="1"/>
  <c r="N16" i="1" s="1"/>
  <c r="M15" i="1"/>
  <c r="N15" i="1" s="1"/>
  <c r="K15" i="1"/>
  <c r="O15" i="1" s="1"/>
  <c r="M14" i="1"/>
  <c r="K14" i="1"/>
  <c r="M13" i="1"/>
  <c r="N13" i="1" s="1"/>
  <c r="K13" i="1"/>
  <c r="F13" i="1"/>
  <c r="M12" i="1"/>
  <c r="N12" i="1" s="1"/>
  <c r="K12" i="1"/>
  <c r="F12" i="1"/>
  <c r="M11" i="1"/>
  <c r="K11" i="1"/>
  <c r="M10" i="1"/>
  <c r="N10" i="1" s="1"/>
  <c r="K10" i="1"/>
  <c r="M9" i="1"/>
  <c r="N9" i="1" s="1"/>
  <c r="K9" i="1"/>
  <c r="O9" i="1" s="1"/>
  <c r="F9" i="1"/>
  <c r="M8" i="1"/>
  <c r="K8" i="1"/>
  <c r="F8" i="1"/>
  <c r="M7" i="1"/>
  <c r="K7" i="1"/>
  <c r="F7" i="1"/>
  <c r="M6" i="1"/>
  <c r="K6" i="1"/>
  <c r="F6" i="1"/>
  <c r="M5" i="1"/>
  <c r="M4" i="1"/>
  <c r="M3" i="1"/>
  <c r="N3" i="1" s="1"/>
  <c r="K3" i="1"/>
  <c r="F3" i="1"/>
  <c r="C1" i="1"/>
  <c r="E28" i="1" l="1"/>
  <c r="N28" i="1" s="1"/>
  <c r="E37" i="1"/>
  <c r="N37" i="1" s="1"/>
  <c r="O8" i="1"/>
  <c r="O3" i="1"/>
  <c r="E43" i="1"/>
  <c r="N43" i="1" s="1"/>
  <c r="O12" i="1"/>
  <c r="O4" i="1"/>
  <c r="O5" i="1"/>
  <c r="O11" i="1"/>
  <c r="O14" i="1"/>
  <c r="O7" i="1"/>
  <c r="O6" i="1"/>
  <c r="M55" i="1"/>
  <c r="N5" i="1"/>
  <c r="N8" i="1"/>
  <c r="O13" i="1"/>
  <c r="N7" i="1"/>
  <c r="O10" i="1"/>
  <c r="N6" i="1"/>
  <c r="N14" i="1"/>
  <c r="N4" i="1"/>
  <c r="N11" i="1"/>
  <c r="N55" i="1" l="1"/>
  <c r="O55" i="1"/>
</calcChain>
</file>

<file path=xl/sharedStrings.xml><?xml version="1.0" encoding="utf-8"?>
<sst xmlns="http://schemas.openxmlformats.org/spreadsheetml/2006/main" count="164" uniqueCount="68">
  <si>
    <t>1x40HQ</t>
  </si>
  <si>
    <t>PO</t>
  </si>
  <si>
    <t>Supplier</t>
  </si>
  <si>
    <t>Description</t>
  </si>
  <si>
    <t>Qty / Package</t>
  </si>
  <si>
    <t>G.W. Kg</t>
  </si>
  <si>
    <t>Pack Weight</t>
  </si>
  <si>
    <t>N.W. Kg</t>
  </si>
  <si>
    <t>L (m)</t>
  </si>
  <si>
    <t>W (m)</t>
  </si>
  <si>
    <t>H (m)</t>
  </si>
  <si>
    <t>Volume Cbm</t>
  </si>
  <si>
    <t>Est. Qty</t>
  </si>
  <si>
    <t>Est. Packages</t>
  </si>
  <si>
    <t>Est. Weight</t>
  </si>
  <si>
    <t>Est CBM</t>
  </si>
  <si>
    <t>EXW DATE</t>
  </si>
  <si>
    <t>Fosco</t>
  </si>
  <si>
    <t>Sudelan</t>
  </si>
  <si>
    <t>Fe6 Spring Wahser</t>
  </si>
  <si>
    <t>HDPE Dowel X 165mm (Closed end)</t>
  </si>
  <si>
    <t>TMT</t>
  </si>
  <si>
    <t>26 Dia x190 Long Hex Heads 8.8 G Screwspike</t>
  </si>
  <si>
    <t>MSP00906</t>
  </si>
  <si>
    <t>Conical Spring Trailer Tangara</t>
  </si>
  <si>
    <t>MSP00909</t>
  </si>
  <si>
    <t>Conical Spring Motor Tangara</t>
  </si>
  <si>
    <t>MSP804R6</t>
  </si>
  <si>
    <t>Air Bellow CO</t>
  </si>
  <si>
    <t>PGF660GF01</t>
  </si>
  <si>
    <t>PGF666-CP-07</t>
  </si>
  <si>
    <t>PGF666-CP-08</t>
  </si>
  <si>
    <t>PGF657GF01</t>
  </si>
  <si>
    <t>PGF663-CP-01</t>
  </si>
  <si>
    <t>PGF663-CP-02</t>
  </si>
  <si>
    <t>PGF669GF01</t>
  </si>
  <si>
    <t>PGF659GF01</t>
  </si>
  <si>
    <t>PGF670-CP-13</t>
  </si>
  <si>
    <t>PGF670-CP-14</t>
  </si>
  <si>
    <t>PGF665-CP-05</t>
  </si>
  <si>
    <t>PGF665-CP-06</t>
  </si>
  <si>
    <t>PGF658GF01</t>
  </si>
  <si>
    <t>PGF664-CP-03</t>
  </si>
  <si>
    <t>PGF664-CP-04</t>
  </si>
  <si>
    <t>MSP00914</t>
  </si>
  <si>
    <t>x4</t>
  </si>
  <si>
    <t>X4</t>
  </si>
  <si>
    <t>实木熏蒸箱</t>
  </si>
  <si>
    <t>x3</t>
  </si>
  <si>
    <t>Lynn</t>
  </si>
  <si>
    <t>2440 x 1050 x 5mm HDPE Sheets Black</t>
  </si>
  <si>
    <t>Must be loaded next to the container door</t>
  </si>
  <si>
    <t>MSP00871</t>
  </si>
  <si>
    <t>Air Bellows</t>
  </si>
  <si>
    <t>#1</t>
  </si>
  <si>
    <t>HDPE Dowel x 165mm (OPEN END)</t>
  </si>
  <si>
    <t xml:space="preserve">Ss8 Fe6 GAL SCREWSPIKE 24 x 165 </t>
  </si>
  <si>
    <t>Air Bellow (MS9007TMT)</t>
  </si>
  <si>
    <t>Bankstown</t>
  </si>
  <si>
    <t>Campsie</t>
  </si>
  <si>
    <t>Canterbury</t>
  </si>
  <si>
    <t>Dulwich Hill</t>
  </si>
  <si>
    <t>Hurlstone Park</t>
  </si>
  <si>
    <t>Lakemba</t>
  </si>
  <si>
    <t>Marrickville</t>
  </si>
  <si>
    <t>Wiley Park</t>
  </si>
  <si>
    <t>x2</t>
  </si>
  <si>
    <t>container 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</si>
</sst>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 ;[Red]\-0.00\ "/>
    <numFmt numFmtId="165" formatCode="0.00_ "/>
    <numFmt numFmtId="166" formatCode="[$-C09]dd\-mmm\-yy;@"/>
    <numFmt numFmtId="167" formatCode="0.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2060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166" fontId="1" fillId="0" borderId="0"/>
    <xf numFmtId="0" fontId="1" fillId="0" borderId="0">
      <alignment vertical="center"/>
    </xf>
    <xf numFmtId="166" fontId="1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6" fontId="0" fillId="0" borderId="3" xfId="2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2" fontId="6" fillId="0" borderId="3" xfId="2" applyNumberFormat="1" applyFont="1" applyBorder="1" applyAlignment="1">
      <alignment horizontal="center" vertical="center"/>
    </xf>
    <xf numFmtId="2" fontId="0" fillId="0" borderId="3" xfId="2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3" xfId="0" applyFont="1" applyBorder="1" applyAlignment="1">
      <alignment horizontal="center" vertical="center"/>
    </xf>
    <xf numFmtId="165" fontId="7" fillId="0" borderId="3" xfId="2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shrinkToFit="1"/>
    </xf>
    <xf numFmtId="0" fontId="0" fillId="4" borderId="3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2" fontId="0" fillId="4" borderId="3" xfId="0" applyNumberForma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2" fontId="10" fillId="0" borderId="3" xfId="2" applyNumberFormat="1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/>
    </xf>
    <xf numFmtId="0" fontId="10" fillId="0" borderId="0" xfId="0" applyFont="1"/>
    <xf numFmtId="1" fontId="10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/>
    </xf>
    <xf numFmtId="2" fontId="6" fillId="17" borderId="3" xfId="0" applyNumberFormat="1" applyFont="1" applyFill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167" fontId="6" fillId="0" borderId="3" xfId="0" applyNumberFormat="1" applyFont="1" applyBorder="1" applyAlignment="1">
      <alignment horizontal="center" vertical="center"/>
    </xf>
    <xf numFmtId="2" fontId="6" fillId="0" borderId="3" xfId="1" applyNumberFormat="1" applyFont="1" applyFill="1" applyBorder="1" applyAlignment="1">
      <alignment horizontal="center" vertical="center"/>
    </xf>
    <xf numFmtId="1" fontId="11" fillId="0" borderId="3" xfId="0" applyNumberFormat="1" applyFont="1" applyBorder="1" applyAlignment="1">
      <alignment horizontal="center" vertical="center"/>
    </xf>
    <xf numFmtId="0" fontId="6" fillId="0" borderId="0" xfId="0" applyFont="1"/>
    <xf numFmtId="164" fontId="0" fillId="0" borderId="3" xfId="0" applyNumberForma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66" fontId="11" fillId="0" borderId="3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17" borderId="6" xfId="0" applyFill="1" applyBorder="1" applyAlignment="1">
      <alignment horizontal="center"/>
    </xf>
    <xf numFmtId="0" fontId="0" fillId="17" borderId="7" xfId="0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0" fillId="17" borderId="9" xfId="0" applyFill="1" applyBorder="1" applyAlignment="1">
      <alignment horizontal="center"/>
    </xf>
    <xf numFmtId="0" fontId="0" fillId="17" borderId="10" xfId="0" applyFill="1" applyBorder="1" applyAlignment="1">
      <alignment horizontal="center"/>
    </xf>
    <xf numFmtId="0" fontId="0" fillId="17" borderId="5" xfId="0" applyFill="1" applyBorder="1" applyAlignment="1">
      <alignment horizontal="center"/>
    </xf>
    <xf numFmtId="0" fontId="0" fillId="17" borderId="1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4" fillId="0" borderId="3" xfId="0" applyNumberFormat="1" applyFont="1" applyBorder="1" applyAlignment="1">
      <alignment horizontal="center" vertical="center"/>
    </xf>
    <xf numFmtId="1" fontId="9" fillId="13" borderId="3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65" fontId="4" fillId="5" borderId="3" xfId="0" applyNumberFormat="1" applyFont="1" applyFill="1" applyBorder="1" applyAlignment="1">
      <alignment horizontal="center" vertical="center"/>
    </xf>
    <xf numFmtId="1" fontId="9" fillId="12" borderId="3" xfId="0" applyNumberFormat="1" applyFont="1" applyFill="1" applyBorder="1" applyAlignment="1">
      <alignment horizontal="center" vertical="center" wrapText="1"/>
    </xf>
    <xf numFmtId="1" fontId="8" fillId="11" borderId="3" xfId="0" applyNumberFormat="1" applyFont="1" applyFill="1" applyBorder="1" applyAlignment="1">
      <alignment horizontal="center" vertical="center" wrapText="1"/>
    </xf>
    <xf numFmtId="1" fontId="8" fillId="10" borderId="3" xfId="0" applyNumberFormat="1" applyFont="1" applyFill="1" applyBorder="1" applyAlignment="1">
      <alignment horizontal="center" vertical="center" wrapText="1"/>
    </xf>
    <xf numFmtId="1" fontId="8" fillId="9" borderId="3" xfId="0" applyNumberFormat="1" applyFont="1" applyFill="1" applyBorder="1" applyAlignment="1">
      <alignment horizontal="center" vertical="center" wrapText="1"/>
    </xf>
    <xf numFmtId="165" fontId="7" fillId="0" borderId="3" xfId="2" applyNumberFormat="1" applyFont="1" applyBorder="1" applyAlignment="1">
      <alignment horizontal="center" vertical="center"/>
    </xf>
    <xf numFmtId="1" fontId="8" fillId="8" borderId="3" xfId="0" applyNumberFormat="1" applyFont="1" applyFill="1" applyBorder="1" applyAlignment="1">
      <alignment horizontal="center" vertical="center" wrapText="1"/>
    </xf>
    <xf numFmtId="1" fontId="8" fillId="7" borderId="3" xfId="0" applyNumberFormat="1" applyFont="1" applyFill="1" applyBorder="1" applyAlignment="1">
      <alignment horizontal="center" vertical="center" wrapText="1"/>
    </xf>
    <xf numFmtId="164" fontId="7" fillId="0" borderId="3" xfId="2" applyNumberFormat="1" applyFont="1" applyBorder="1" applyAlignment="1">
      <alignment horizontal="center" vertical="center"/>
    </xf>
    <xf numFmtId="1" fontId="8" fillId="4" borderId="3" xfId="0" applyNumberFormat="1" applyFont="1" applyFill="1" applyBorder="1" applyAlignment="1">
      <alignment horizontal="center" vertical="center" wrapText="1"/>
    </xf>
    <xf numFmtId="164" fontId="7" fillId="5" borderId="3" xfId="2" applyNumberFormat="1" applyFont="1" applyFill="1" applyBorder="1" applyAlignment="1">
      <alignment horizontal="center" vertical="center"/>
    </xf>
    <xf numFmtId="165" fontId="7" fillId="5" borderId="3" xfId="2" applyNumberFormat="1" applyFont="1" applyFill="1" applyBorder="1" applyAlignment="1">
      <alignment horizontal="center" vertical="center"/>
    </xf>
  </cellXfs>
  <cellStyles count="5">
    <cellStyle name="Good" xfId="1" builtinId="26"/>
    <cellStyle name="Normal" xfId="0" builtinId="0"/>
    <cellStyle name="Normal 10" xfId="3" xr:uid="{D3B4FEB1-3897-4B3B-B0B0-025FFFE74103}"/>
    <cellStyle name="Normal 3 2" xfId="2" xr:uid="{32AF2DAD-D890-48D8-AD52-0D67F1BC72DE}"/>
    <cellStyle name="Normal 3 2 3" xfId="4" xr:uid="{1359BBA0-84A2-495A-99E5-64B2083748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70"/>
  <sheetViews>
    <sheetView tabSelected="1" topLeftCell="A6" zoomScale="85" zoomScaleNormal="85" workbookViewId="0">
      <selection activeCell="N19" sqref="N19:N21"/>
    </sheetView>
  </sheetViews>
  <sheetFormatPr defaultRowHeight="14.4" x14ac:dyDescent="0.3"/>
  <cols>
    <col min="1" max="1" width="10.77734375" style="1" bestFit="1" customWidth="1"/>
    <col min="2" max="2" width="13.44140625" style="1" bestFit="1" customWidth="1"/>
    <col min="3" max="3" width="53.33203125" style="1" bestFit="1" customWidth="1"/>
    <col min="4" max="15" width="8.88671875" style="1"/>
    <col min="16" max="16" width="10.5546875" style="1" bestFit="1" customWidth="1"/>
  </cols>
  <sheetData>
    <row r="1" spans="1:18" x14ac:dyDescent="0.3">
      <c r="A1" s="22">
        <v>45994</v>
      </c>
      <c r="B1" s="1" t="s">
        <v>54</v>
      </c>
      <c r="C1" s="22">
        <f>A1+35</f>
        <v>46029</v>
      </c>
      <c r="D1" s="1" t="s">
        <v>0</v>
      </c>
      <c r="R1" s="14"/>
    </row>
    <row r="2" spans="1:18" ht="41.4" x14ac:dyDescent="0.3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4" t="s">
        <v>16</v>
      </c>
    </row>
    <row r="3" spans="1:18" x14ac:dyDescent="0.3">
      <c r="A3" s="5">
        <v>9342</v>
      </c>
      <c r="B3" s="8" t="s">
        <v>18</v>
      </c>
      <c r="C3" s="9" t="s">
        <v>19</v>
      </c>
      <c r="D3" s="7">
        <v>4000</v>
      </c>
      <c r="E3" s="10">
        <v>424</v>
      </c>
      <c r="F3" s="10">
        <f>E3-G3</f>
        <v>52</v>
      </c>
      <c r="G3" s="10">
        <v>372</v>
      </c>
      <c r="H3" s="10">
        <v>1.1000000000000001</v>
      </c>
      <c r="I3" s="10">
        <v>0.8</v>
      </c>
      <c r="J3" s="10">
        <v>0.55000000000000004</v>
      </c>
      <c r="K3" s="10">
        <f t="shared" ref="K3:K5" si="0">H3*I3*J3</f>
        <v>0.4840000000000001</v>
      </c>
      <c r="L3" s="7">
        <v>4000</v>
      </c>
      <c r="M3" s="6">
        <f t="shared" ref="M3:M5" si="1">L3/D3</f>
        <v>1</v>
      </c>
      <c r="N3" s="6">
        <f t="shared" ref="N3:N5" si="2">M3*E3</f>
        <v>424</v>
      </c>
      <c r="O3" s="6">
        <f t="shared" ref="O3:O5" si="3">M3*K3</f>
        <v>0.4840000000000001</v>
      </c>
      <c r="P3" s="18">
        <v>45674</v>
      </c>
    </row>
    <row r="4" spans="1:18" x14ac:dyDescent="0.3">
      <c r="A4" s="5">
        <v>9440</v>
      </c>
      <c r="B4" s="7" t="s">
        <v>17</v>
      </c>
      <c r="C4" s="20" t="s">
        <v>20</v>
      </c>
      <c r="D4" s="5">
        <v>1000</v>
      </c>
      <c r="E4" s="43">
        <f>G4+F4</f>
        <v>110</v>
      </c>
      <c r="F4" s="7">
        <v>50</v>
      </c>
      <c r="G4" s="43">
        <v>60</v>
      </c>
      <c r="H4" s="7">
        <v>1.1000000000000001</v>
      </c>
      <c r="I4" s="7">
        <v>1.1000000000000001</v>
      </c>
      <c r="J4" s="7">
        <v>0.7</v>
      </c>
      <c r="K4" s="19">
        <f t="shared" si="0"/>
        <v>0.84700000000000009</v>
      </c>
      <c r="L4" s="7">
        <v>6000</v>
      </c>
      <c r="M4" s="7">
        <f t="shared" si="1"/>
        <v>6</v>
      </c>
      <c r="N4" s="7">
        <f t="shared" si="2"/>
        <v>660</v>
      </c>
      <c r="O4" s="7">
        <f t="shared" si="3"/>
        <v>5.0820000000000007</v>
      </c>
      <c r="P4" s="18">
        <v>45900</v>
      </c>
      <c r="Q4" t="s">
        <v>47</v>
      </c>
    </row>
    <row r="5" spans="1:18" x14ac:dyDescent="0.3">
      <c r="A5" s="5">
        <v>9509</v>
      </c>
      <c r="B5" s="7" t="s">
        <v>17</v>
      </c>
      <c r="C5" s="7" t="s">
        <v>55</v>
      </c>
      <c r="D5" s="5">
        <v>2000</v>
      </c>
      <c r="E5" s="43">
        <f>G5+F5</f>
        <v>170</v>
      </c>
      <c r="F5" s="7">
        <v>50</v>
      </c>
      <c r="G5" s="43">
        <v>120</v>
      </c>
      <c r="H5" s="7">
        <v>1.1000000000000001</v>
      </c>
      <c r="I5" s="7">
        <v>1.1000000000000001</v>
      </c>
      <c r="J5" s="7">
        <v>0.8</v>
      </c>
      <c r="K5" s="19">
        <f t="shared" si="0"/>
        <v>0.96800000000000019</v>
      </c>
      <c r="L5" s="7">
        <v>12000</v>
      </c>
      <c r="M5" s="7">
        <f t="shared" si="1"/>
        <v>6</v>
      </c>
      <c r="N5" s="7">
        <f t="shared" si="2"/>
        <v>1020</v>
      </c>
      <c r="O5" s="7">
        <f t="shared" si="3"/>
        <v>5.8080000000000016</v>
      </c>
      <c r="P5" s="18">
        <v>45996</v>
      </c>
      <c r="Q5" t="s">
        <v>47</v>
      </c>
    </row>
    <row r="6" spans="1:18" x14ac:dyDescent="0.3">
      <c r="A6" s="5">
        <v>9439</v>
      </c>
      <c r="B6" s="7" t="s">
        <v>18</v>
      </c>
      <c r="C6" s="20" t="s">
        <v>22</v>
      </c>
      <c r="D6" s="11">
        <v>800</v>
      </c>
      <c r="E6" s="12">
        <v>690</v>
      </c>
      <c r="F6" s="12">
        <f t="shared" ref="F6:F9" si="4">E6-G6</f>
        <v>40</v>
      </c>
      <c r="G6" s="12">
        <v>650</v>
      </c>
      <c r="H6" s="12">
        <v>1.1000000000000001</v>
      </c>
      <c r="I6" s="12">
        <v>0.8</v>
      </c>
      <c r="J6" s="12">
        <v>0.55000000000000004</v>
      </c>
      <c r="K6" s="6">
        <f t="shared" ref="K6:K10" si="5">H6*I6*J6</f>
        <v>0.4840000000000001</v>
      </c>
      <c r="L6" s="7">
        <v>400</v>
      </c>
      <c r="M6" s="6">
        <f>L6/D6</f>
        <v>0.5</v>
      </c>
      <c r="N6" s="6">
        <f t="shared" ref="N6:N10" si="6">M6*E6</f>
        <v>345</v>
      </c>
      <c r="O6" s="6">
        <f t="shared" ref="O6" si="7">M6*K6</f>
        <v>0.24200000000000005</v>
      </c>
      <c r="P6" s="18">
        <v>45900</v>
      </c>
    </row>
    <row r="7" spans="1:18" s="31" customFormat="1" x14ac:dyDescent="0.3">
      <c r="A7" s="32">
        <v>9461</v>
      </c>
      <c r="B7" s="23" t="s">
        <v>18</v>
      </c>
      <c r="C7" s="23" t="s">
        <v>56</v>
      </c>
      <c r="D7" s="30">
        <v>800</v>
      </c>
      <c r="E7" s="30">
        <v>590</v>
      </c>
      <c r="F7" s="30">
        <f t="shared" si="4"/>
        <v>49</v>
      </c>
      <c r="G7" s="30">
        <v>541</v>
      </c>
      <c r="H7" s="30">
        <v>1.1000000000000001</v>
      </c>
      <c r="I7" s="30">
        <v>0.8</v>
      </c>
      <c r="J7" s="30">
        <v>0.55000000000000004</v>
      </c>
      <c r="K7" s="30">
        <f t="shared" si="5"/>
        <v>0.4840000000000001</v>
      </c>
      <c r="L7" s="23">
        <v>4000</v>
      </c>
      <c r="M7" s="23">
        <f t="shared" ref="M7:M9" si="8">L7/D7</f>
        <v>5</v>
      </c>
      <c r="N7" s="30">
        <f t="shared" si="6"/>
        <v>2950</v>
      </c>
      <c r="O7" s="23">
        <f>M7*K7</f>
        <v>2.4200000000000004</v>
      </c>
      <c r="P7" s="45">
        <v>45945</v>
      </c>
    </row>
    <row r="8" spans="1:18" x14ac:dyDescent="0.3">
      <c r="A8" s="5">
        <v>9462</v>
      </c>
      <c r="B8" s="8" t="s">
        <v>18</v>
      </c>
      <c r="C8" s="9" t="s">
        <v>19</v>
      </c>
      <c r="D8" s="7">
        <v>4000</v>
      </c>
      <c r="E8" s="10">
        <v>424</v>
      </c>
      <c r="F8" s="10">
        <f t="shared" si="4"/>
        <v>52</v>
      </c>
      <c r="G8" s="10">
        <v>372</v>
      </c>
      <c r="H8" s="10">
        <v>1.1000000000000001</v>
      </c>
      <c r="I8" s="10">
        <v>0.8</v>
      </c>
      <c r="J8" s="10">
        <v>0.55000000000000004</v>
      </c>
      <c r="K8" s="10">
        <f t="shared" si="5"/>
        <v>0.4840000000000001</v>
      </c>
      <c r="L8" s="7">
        <v>16000</v>
      </c>
      <c r="M8" s="6">
        <f t="shared" si="8"/>
        <v>4</v>
      </c>
      <c r="N8" s="6">
        <f t="shared" si="6"/>
        <v>1696</v>
      </c>
      <c r="O8" s="6">
        <f t="shared" ref="O8" si="9">M8*K8</f>
        <v>1.9360000000000004</v>
      </c>
      <c r="P8" s="18">
        <v>45960</v>
      </c>
    </row>
    <row r="9" spans="1:18" x14ac:dyDescent="0.3">
      <c r="A9" s="5">
        <v>9488</v>
      </c>
      <c r="B9" s="7" t="s">
        <v>18</v>
      </c>
      <c r="C9" s="20" t="s">
        <v>22</v>
      </c>
      <c r="D9" s="11">
        <v>800</v>
      </c>
      <c r="E9" s="12">
        <v>690</v>
      </c>
      <c r="F9" s="12">
        <f t="shared" si="4"/>
        <v>40</v>
      </c>
      <c r="G9" s="12">
        <v>650</v>
      </c>
      <c r="H9" s="12">
        <v>1.1000000000000001</v>
      </c>
      <c r="I9" s="12">
        <v>0.8</v>
      </c>
      <c r="J9" s="12">
        <v>0.55000000000000004</v>
      </c>
      <c r="K9" s="6">
        <f t="shared" si="5"/>
        <v>0.4840000000000001</v>
      </c>
      <c r="L9" s="7">
        <v>2400</v>
      </c>
      <c r="M9" s="13">
        <f t="shared" si="8"/>
        <v>3</v>
      </c>
      <c r="N9" s="13">
        <f t="shared" si="6"/>
        <v>2070</v>
      </c>
      <c r="O9" s="13">
        <f t="shared" ref="O9" si="10">K9*M9</f>
        <v>1.4520000000000004</v>
      </c>
      <c r="P9" s="18">
        <v>45991</v>
      </c>
    </row>
    <row r="10" spans="1:18" x14ac:dyDescent="0.3">
      <c r="A10" s="5" t="s">
        <v>23</v>
      </c>
      <c r="B10" s="7" t="s">
        <v>21</v>
      </c>
      <c r="C10" s="7" t="s">
        <v>24</v>
      </c>
      <c r="D10" s="7">
        <v>8</v>
      </c>
      <c r="E10" s="7">
        <v>249</v>
      </c>
      <c r="F10" s="7">
        <v>30</v>
      </c>
      <c r="G10" s="7">
        <v>219</v>
      </c>
      <c r="H10" s="7">
        <v>0.91</v>
      </c>
      <c r="I10" s="7">
        <v>0.91</v>
      </c>
      <c r="J10" s="7">
        <v>0.49</v>
      </c>
      <c r="K10" s="6">
        <f t="shared" si="5"/>
        <v>0.40576900000000005</v>
      </c>
      <c r="L10" s="21">
        <v>48</v>
      </c>
      <c r="M10" s="24">
        <f>L10/D10</f>
        <v>6</v>
      </c>
      <c r="N10" s="6">
        <f t="shared" si="6"/>
        <v>1494</v>
      </c>
      <c r="O10" s="6">
        <f t="shared" ref="O10" si="11">M10*K10</f>
        <v>2.4346140000000003</v>
      </c>
      <c r="P10" s="18">
        <v>45960</v>
      </c>
    </row>
    <row r="11" spans="1:18" x14ac:dyDescent="0.3">
      <c r="A11" s="5" t="s">
        <v>25</v>
      </c>
      <c r="B11" s="7" t="s">
        <v>21</v>
      </c>
      <c r="C11" s="7" t="s">
        <v>26</v>
      </c>
      <c r="D11" s="7">
        <v>8</v>
      </c>
      <c r="E11" s="7">
        <v>249</v>
      </c>
      <c r="F11" s="7">
        <v>30</v>
      </c>
      <c r="G11" s="7">
        <v>219</v>
      </c>
      <c r="H11" s="7">
        <v>0.91</v>
      </c>
      <c r="I11" s="7">
        <v>0.91</v>
      </c>
      <c r="J11" s="7">
        <v>0.49</v>
      </c>
      <c r="K11" s="6">
        <f>H11*I11*J11</f>
        <v>0.40576900000000005</v>
      </c>
      <c r="L11" s="21">
        <v>16</v>
      </c>
      <c r="M11" s="24">
        <f>L11/D11</f>
        <v>2</v>
      </c>
      <c r="N11" s="6">
        <f>M11*E11</f>
        <v>498</v>
      </c>
      <c r="O11" s="6">
        <f>M11*K11</f>
        <v>0.81153800000000009</v>
      </c>
      <c r="P11" s="18">
        <v>45960</v>
      </c>
    </row>
    <row r="12" spans="1:18" s="31" customFormat="1" x14ac:dyDescent="0.3">
      <c r="A12" s="23" t="s">
        <v>27</v>
      </c>
      <c r="B12" s="23" t="s">
        <v>21</v>
      </c>
      <c r="C12" s="23" t="s">
        <v>57</v>
      </c>
      <c r="D12" s="23">
        <v>4</v>
      </c>
      <c r="E12" s="29">
        <v>109</v>
      </c>
      <c r="F12" s="29">
        <f t="shared" ref="F12:F13" si="12">E12-G12</f>
        <v>49.5</v>
      </c>
      <c r="G12" s="29">
        <v>59.5</v>
      </c>
      <c r="H12" s="29">
        <v>0.88</v>
      </c>
      <c r="I12" s="29">
        <v>0.88</v>
      </c>
      <c r="J12" s="29">
        <v>0.83</v>
      </c>
      <c r="K12" s="30">
        <f t="shared" ref="K12:K13" si="13">H12*I12*J12</f>
        <v>0.64275199999999999</v>
      </c>
      <c r="L12" s="28">
        <v>8</v>
      </c>
      <c r="M12" s="23">
        <f t="shared" ref="M12:M13" si="14">L12/D12</f>
        <v>2</v>
      </c>
      <c r="N12" s="23">
        <f t="shared" ref="N12:N13" si="15">M12*E12</f>
        <v>218</v>
      </c>
      <c r="O12" s="23">
        <f t="shared" ref="O12:O13" si="16">M12*K12</f>
        <v>1.285504</v>
      </c>
      <c r="P12" s="45">
        <v>45991</v>
      </c>
    </row>
    <row r="13" spans="1:18" ht="13.8" customHeight="1" x14ac:dyDescent="0.3">
      <c r="A13" s="46" t="s">
        <v>27</v>
      </c>
      <c r="B13" s="7" t="s">
        <v>21</v>
      </c>
      <c r="C13" s="26" t="s">
        <v>28</v>
      </c>
      <c r="D13" s="7">
        <v>4</v>
      </c>
      <c r="E13" s="12">
        <v>109</v>
      </c>
      <c r="F13" s="12">
        <f t="shared" si="12"/>
        <v>49.5</v>
      </c>
      <c r="G13" s="12">
        <v>59.5</v>
      </c>
      <c r="H13" s="12">
        <v>0.88</v>
      </c>
      <c r="I13" s="12">
        <v>0.88</v>
      </c>
      <c r="J13" s="12">
        <v>0.83</v>
      </c>
      <c r="K13" s="6">
        <f t="shared" si="13"/>
        <v>0.64275199999999999</v>
      </c>
      <c r="L13" s="27">
        <v>8</v>
      </c>
      <c r="M13" s="25">
        <f t="shared" si="14"/>
        <v>2</v>
      </c>
      <c r="N13" s="7">
        <f t="shared" si="15"/>
        <v>218</v>
      </c>
      <c r="O13" s="7">
        <f t="shared" si="16"/>
        <v>1.285504</v>
      </c>
      <c r="P13" s="18">
        <v>45999</v>
      </c>
    </row>
    <row r="14" spans="1:18" s="31" customFormat="1" x14ac:dyDescent="0.3">
      <c r="A14" s="23" t="s">
        <v>52</v>
      </c>
      <c r="B14" s="47" t="s">
        <v>21</v>
      </c>
      <c r="C14" s="33" t="s">
        <v>53</v>
      </c>
      <c r="D14" s="34">
        <v>4</v>
      </c>
      <c r="E14" s="34">
        <v>80</v>
      </c>
      <c r="F14" s="34">
        <v>52</v>
      </c>
      <c r="G14" s="34">
        <v>28</v>
      </c>
      <c r="H14" s="34">
        <v>1.1499999999999999</v>
      </c>
      <c r="I14" s="34">
        <v>0.63</v>
      </c>
      <c r="J14" s="34">
        <v>0.74</v>
      </c>
      <c r="K14" s="35">
        <f>H14*I14*J14</f>
        <v>0.53612999999999988</v>
      </c>
      <c r="L14" s="34">
        <v>120</v>
      </c>
      <c r="M14" s="36">
        <f>L14/D14</f>
        <v>30</v>
      </c>
      <c r="N14" s="34">
        <f>M14*E14</f>
        <v>2400</v>
      </c>
      <c r="O14" s="35">
        <f>M14*K14</f>
        <v>16.083899999999996</v>
      </c>
      <c r="P14" s="45">
        <v>45999</v>
      </c>
    </row>
    <row r="15" spans="1:18" s="42" customFormat="1" x14ac:dyDescent="0.3">
      <c r="A15" s="38">
        <v>9489</v>
      </c>
      <c r="B15" s="44" t="s">
        <v>49</v>
      </c>
      <c r="C15" s="48" t="s">
        <v>50</v>
      </c>
      <c r="D15" s="10">
        <v>72</v>
      </c>
      <c r="E15" s="10">
        <v>940</v>
      </c>
      <c r="F15" s="11">
        <v>40</v>
      </c>
      <c r="G15" s="10">
        <v>900</v>
      </c>
      <c r="H15" s="10">
        <v>2.5</v>
      </c>
      <c r="I15" s="10">
        <v>1.1000000000000001</v>
      </c>
      <c r="J15" s="39">
        <v>0.52600000000000002</v>
      </c>
      <c r="K15" s="40">
        <f t="shared" ref="K15" si="17">H15*I15*J15</f>
        <v>1.4465000000000001</v>
      </c>
      <c r="L15" s="41">
        <v>576</v>
      </c>
      <c r="M15" s="37">
        <f t="shared" ref="M15" si="18">L15/D15</f>
        <v>8</v>
      </c>
      <c r="N15" s="10">
        <f t="shared" ref="N15" si="19">M15*E15</f>
        <v>7520</v>
      </c>
      <c r="O15" s="10">
        <f t="shared" ref="O15" si="20">K15*M15</f>
        <v>11.572000000000001</v>
      </c>
      <c r="P15" s="49">
        <v>45991</v>
      </c>
      <c r="Q15" s="42" t="s">
        <v>51</v>
      </c>
    </row>
    <row r="16" spans="1:18" x14ac:dyDescent="0.3">
      <c r="A16" s="5" t="s">
        <v>44</v>
      </c>
      <c r="B16" s="80" t="s">
        <v>58</v>
      </c>
      <c r="C16" s="15" t="s">
        <v>29</v>
      </c>
      <c r="D16" s="15">
        <v>4</v>
      </c>
      <c r="E16" s="76">
        <f>SUM(F16:G18)</f>
        <v>101</v>
      </c>
      <c r="F16" s="76">
        <v>32</v>
      </c>
      <c r="G16" s="16">
        <v>46</v>
      </c>
      <c r="H16" s="79">
        <v>0.67</v>
      </c>
      <c r="I16" s="79">
        <v>0.62</v>
      </c>
      <c r="J16" s="79">
        <v>0.46</v>
      </c>
      <c r="K16" s="79">
        <f>H16*I16*J16</f>
        <v>0.19108400000000003</v>
      </c>
      <c r="L16" s="70">
        <v>6</v>
      </c>
      <c r="M16" s="81">
        <v>1</v>
      </c>
      <c r="N16" s="79">
        <f>E16</f>
        <v>101</v>
      </c>
      <c r="O16" s="79">
        <f>K16</f>
        <v>0.19108400000000003</v>
      </c>
      <c r="P16" s="18">
        <v>45994</v>
      </c>
    </row>
    <row r="17" spans="1:16" x14ac:dyDescent="0.3">
      <c r="A17" s="5" t="s">
        <v>44</v>
      </c>
      <c r="B17" s="80"/>
      <c r="C17" s="15" t="s">
        <v>30</v>
      </c>
      <c r="D17" s="15">
        <v>1</v>
      </c>
      <c r="E17" s="76"/>
      <c r="F17" s="76"/>
      <c r="G17" s="16">
        <v>11.5</v>
      </c>
      <c r="H17" s="79"/>
      <c r="I17" s="79"/>
      <c r="J17" s="79"/>
      <c r="K17" s="79"/>
      <c r="L17" s="70"/>
      <c r="M17" s="81"/>
      <c r="N17" s="79"/>
      <c r="O17" s="79"/>
      <c r="P17" s="18">
        <v>45994</v>
      </c>
    </row>
    <row r="18" spans="1:16" x14ac:dyDescent="0.3">
      <c r="A18" s="5" t="s">
        <v>44</v>
      </c>
      <c r="B18" s="80"/>
      <c r="C18" s="15" t="s">
        <v>31</v>
      </c>
      <c r="D18" s="15">
        <v>1</v>
      </c>
      <c r="E18" s="76"/>
      <c r="F18" s="76"/>
      <c r="G18" s="16">
        <v>11.5</v>
      </c>
      <c r="H18" s="79"/>
      <c r="I18" s="79"/>
      <c r="J18" s="79"/>
      <c r="K18" s="79"/>
      <c r="L18" s="70"/>
      <c r="M18" s="81"/>
      <c r="N18" s="79"/>
      <c r="O18" s="79"/>
      <c r="P18" s="18">
        <v>45994</v>
      </c>
    </row>
    <row r="19" spans="1:16" x14ac:dyDescent="0.3">
      <c r="A19" s="5" t="s">
        <v>44</v>
      </c>
      <c r="B19" s="78" t="s">
        <v>59</v>
      </c>
      <c r="C19" s="15" t="s">
        <v>32</v>
      </c>
      <c r="D19" s="15">
        <v>8</v>
      </c>
      <c r="E19" s="76">
        <f>SUM(F19:G21)</f>
        <v>168.4</v>
      </c>
      <c r="F19" s="76">
        <v>39.6</v>
      </c>
      <c r="G19" s="16">
        <v>86</v>
      </c>
      <c r="H19" s="79">
        <v>0.94</v>
      </c>
      <c r="I19" s="79">
        <v>0.62</v>
      </c>
      <c r="J19" s="79">
        <v>0.46</v>
      </c>
      <c r="K19" s="79">
        <f>H19*I19*J19</f>
        <v>0.26808799999999999</v>
      </c>
      <c r="L19" s="70">
        <v>12</v>
      </c>
      <c r="M19" s="82">
        <v>1</v>
      </c>
      <c r="N19" s="76">
        <f>E19</f>
        <v>168.4</v>
      </c>
      <c r="O19" s="76">
        <f>K19</f>
        <v>0.26808799999999999</v>
      </c>
      <c r="P19" s="18">
        <v>45994</v>
      </c>
    </row>
    <row r="20" spans="1:16" x14ac:dyDescent="0.3">
      <c r="A20" s="5" t="s">
        <v>44</v>
      </c>
      <c r="B20" s="78"/>
      <c r="C20" s="15" t="s">
        <v>33</v>
      </c>
      <c r="D20" s="15">
        <v>2</v>
      </c>
      <c r="E20" s="76"/>
      <c r="F20" s="76"/>
      <c r="G20" s="16">
        <f>10.7*2</f>
        <v>21.4</v>
      </c>
      <c r="H20" s="79"/>
      <c r="I20" s="79"/>
      <c r="J20" s="79"/>
      <c r="K20" s="79"/>
      <c r="L20" s="70"/>
      <c r="M20" s="82"/>
      <c r="N20" s="76"/>
      <c r="O20" s="76"/>
      <c r="P20" s="18">
        <v>45994</v>
      </c>
    </row>
    <row r="21" spans="1:16" x14ac:dyDescent="0.3">
      <c r="A21" s="5" t="s">
        <v>44</v>
      </c>
      <c r="B21" s="78"/>
      <c r="C21" s="15" t="s">
        <v>34</v>
      </c>
      <c r="D21" s="15">
        <v>2</v>
      </c>
      <c r="E21" s="76"/>
      <c r="F21" s="76"/>
      <c r="G21" s="16">
        <f>10.7*2</f>
        <v>21.4</v>
      </c>
      <c r="H21" s="79"/>
      <c r="I21" s="79"/>
      <c r="J21" s="79"/>
      <c r="K21" s="79"/>
      <c r="L21" s="70"/>
      <c r="M21" s="82"/>
      <c r="N21" s="76"/>
      <c r="O21" s="76"/>
      <c r="P21" s="18">
        <v>45994</v>
      </c>
    </row>
    <row r="22" spans="1:16" x14ac:dyDescent="0.3">
      <c r="A22" s="5" t="s">
        <v>44</v>
      </c>
      <c r="B22" s="77" t="s">
        <v>60</v>
      </c>
      <c r="C22" s="15" t="s">
        <v>35</v>
      </c>
      <c r="D22" s="15">
        <v>4</v>
      </c>
      <c r="E22" s="68">
        <f>SUM(F22:G27)</f>
        <v>169.79999999999998</v>
      </c>
      <c r="F22" s="68">
        <v>44.4</v>
      </c>
      <c r="G22" s="17">
        <f>9.3*4</f>
        <v>37.200000000000003</v>
      </c>
      <c r="H22" s="68">
        <v>1</v>
      </c>
      <c r="I22" s="70">
        <v>0.62</v>
      </c>
      <c r="J22" s="70">
        <v>0.46</v>
      </c>
      <c r="K22" s="68">
        <f>H22*I22*J22</f>
        <v>0.28520000000000001</v>
      </c>
      <c r="L22" s="70">
        <v>12</v>
      </c>
      <c r="M22" s="71">
        <v>1</v>
      </c>
      <c r="N22" s="68">
        <f>E22</f>
        <v>169.79999999999998</v>
      </c>
      <c r="O22" s="68">
        <f>K22</f>
        <v>0.28520000000000001</v>
      </c>
      <c r="P22" s="18">
        <v>45994</v>
      </c>
    </row>
    <row r="23" spans="1:16" x14ac:dyDescent="0.3">
      <c r="A23" s="5" t="s">
        <v>44</v>
      </c>
      <c r="B23" s="77"/>
      <c r="C23" s="15" t="s">
        <v>36</v>
      </c>
      <c r="D23" s="15">
        <v>4</v>
      </c>
      <c r="E23" s="68"/>
      <c r="F23" s="68"/>
      <c r="G23" s="17">
        <v>45</v>
      </c>
      <c r="H23" s="68"/>
      <c r="I23" s="70"/>
      <c r="J23" s="70"/>
      <c r="K23" s="68"/>
      <c r="L23" s="70"/>
      <c r="M23" s="71"/>
      <c r="N23" s="68"/>
      <c r="O23" s="68"/>
      <c r="P23" s="18">
        <v>45994</v>
      </c>
    </row>
    <row r="24" spans="1:16" x14ac:dyDescent="0.3">
      <c r="A24" s="5" t="s">
        <v>44</v>
      </c>
      <c r="B24" s="77"/>
      <c r="C24" s="15" t="s">
        <v>37</v>
      </c>
      <c r="D24" s="15">
        <v>1</v>
      </c>
      <c r="E24" s="68"/>
      <c r="F24" s="68"/>
      <c r="G24" s="17">
        <v>10.6</v>
      </c>
      <c r="H24" s="68"/>
      <c r="I24" s="70"/>
      <c r="J24" s="70"/>
      <c r="K24" s="68"/>
      <c r="L24" s="70"/>
      <c r="M24" s="71"/>
      <c r="N24" s="68"/>
      <c r="O24" s="68"/>
      <c r="P24" s="18">
        <v>45994</v>
      </c>
    </row>
    <row r="25" spans="1:16" x14ac:dyDescent="0.3">
      <c r="A25" s="5" t="s">
        <v>44</v>
      </c>
      <c r="B25" s="77"/>
      <c r="C25" s="15" t="s">
        <v>38</v>
      </c>
      <c r="D25" s="15">
        <v>1</v>
      </c>
      <c r="E25" s="68"/>
      <c r="F25" s="68"/>
      <c r="G25" s="17">
        <v>10.6</v>
      </c>
      <c r="H25" s="68"/>
      <c r="I25" s="70"/>
      <c r="J25" s="70"/>
      <c r="K25" s="68"/>
      <c r="L25" s="70"/>
      <c r="M25" s="71"/>
      <c r="N25" s="68"/>
      <c r="O25" s="68"/>
      <c r="P25" s="18">
        <v>45994</v>
      </c>
    </row>
    <row r="26" spans="1:16" x14ac:dyDescent="0.3">
      <c r="A26" s="5" t="s">
        <v>44</v>
      </c>
      <c r="B26" s="77"/>
      <c r="C26" s="15" t="s">
        <v>39</v>
      </c>
      <c r="D26" s="15">
        <v>1</v>
      </c>
      <c r="E26" s="68"/>
      <c r="F26" s="68"/>
      <c r="G26" s="17">
        <v>11</v>
      </c>
      <c r="H26" s="68"/>
      <c r="I26" s="70"/>
      <c r="J26" s="70"/>
      <c r="K26" s="68"/>
      <c r="L26" s="70"/>
      <c r="M26" s="71"/>
      <c r="N26" s="68"/>
      <c r="O26" s="68"/>
      <c r="P26" s="18">
        <v>45994</v>
      </c>
    </row>
    <row r="27" spans="1:16" x14ac:dyDescent="0.3">
      <c r="A27" s="5" t="s">
        <v>44</v>
      </c>
      <c r="B27" s="77"/>
      <c r="C27" s="15" t="s">
        <v>40</v>
      </c>
      <c r="D27" s="15">
        <v>1</v>
      </c>
      <c r="E27" s="68"/>
      <c r="F27" s="68"/>
      <c r="G27" s="17">
        <v>11</v>
      </c>
      <c r="H27" s="68"/>
      <c r="I27" s="70"/>
      <c r="J27" s="70"/>
      <c r="K27" s="68"/>
      <c r="L27" s="70"/>
      <c r="M27" s="71"/>
      <c r="N27" s="68"/>
      <c r="O27" s="68"/>
      <c r="P27" s="18">
        <v>45994</v>
      </c>
    </row>
    <row r="28" spans="1:16" x14ac:dyDescent="0.3">
      <c r="A28" s="5" t="s">
        <v>44</v>
      </c>
      <c r="B28" s="75" t="s">
        <v>61</v>
      </c>
      <c r="C28" s="15" t="s">
        <v>35</v>
      </c>
      <c r="D28" s="15">
        <v>4</v>
      </c>
      <c r="E28" s="68">
        <f>SUM(F28:G36)</f>
        <v>242.99999999999997</v>
      </c>
      <c r="F28" s="68">
        <v>56.9</v>
      </c>
      <c r="G28" s="17">
        <f>9.3*4</f>
        <v>37.200000000000003</v>
      </c>
      <c r="H28" s="68">
        <v>1.19</v>
      </c>
      <c r="I28" s="68">
        <v>0.77</v>
      </c>
      <c r="J28" s="68">
        <v>0.46</v>
      </c>
      <c r="K28" s="68">
        <f>H28*I28*J28</f>
        <v>0.42149800000000004</v>
      </c>
      <c r="L28" s="70">
        <v>18</v>
      </c>
      <c r="M28" s="71">
        <v>1</v>
      </c>
      <c r="N28" s="68">
        <f>E28</f>
        <v>242.99999999999997</v>
      </c>
      <c r="O28" s="68">
        <f>K28</f>
        <v>0.42149800000000004</v>
      </c>
      <c r="P28" s="18">
        <v>45994</v>
      </c>
    </row>
    <row r="29" spans="1:16" x14ac:dyDescent="0.3">
      <c r="A29" s="5" t="s">
        <v>44</v>
      </c>
      <c r="B29" s="75"/>
      <c r="C29" s="15" t="s">
        <v>32</v>
      </c>
      <c r="D29" s="15">
        <v>4</v>
      </c>
      <c r="E29" s="68"/>
      <c r="F29" s="68"/>
      <c r="G29" s="17">
        <f>10.75*4</f>
        <v>43</v>
      </c>
      <c r="H29" s="68"/>
      <c r="I29" s="68"/>
      <c r="J29" s="68"/>
      <c r="K29" s="68"/>
      <c r="L29" s="70"/>
      <c r="M29" s="71"/>
      <c r="N29" s="68"/>
      <c r="O29" s="68"/>
      <c r="P29" s="18">
        <v>45994</v>
      </c>
    </row>
    <row r="30" spans="1:16" x14ac:dyDescent="0.3">
      <c r="A30" s="5" t="s">
        <v>44</v>
      </c>
      <c r="B30" s="75"/>
      <c r="C30" s="15" t="s">
        <v>41</v>
      </c>
      <c r="D30" s="15">
        <v>4</v>
      </c>
      <c r="E30" s="68"/>
      <c r="F30" s="68"/>
      <c r="G30" s="17">
        <f>10.375*4</f>
        <v>41.5</v>
      </c>
      <c r="H30" s="68"/>
      <c r="I30" s="68"/>
      <c r="J30" s="68"/>
      <c r="K30" s="68"/>
      <c r="L30" s="70"/>
      <c r="M30" s="71"/>
      <c r="N30" s="68"/>
      <c r="O30" s="68"/>
      <c r="P30" s="18">
        <v>45994</v>
      </c>
    </row>
    <row r="31" spans="1:16" x14ac:dyDescent="0.3">
      <c r="A31" s="5" t="s">
        <v>44</v>
      </c>
      <c r="B31" s="75"/>
      <c r="C31" s="15" t="s">
        <v>37</v>
      </c>
      <c r="D31" s="15">
        <v>1</v>
      </c>
      <c r="E31" s="68"/>
      <c r="F31" s="68"/>
      <c r="G31" s="17">
        <v>10.6</v>
      </c>
      <c r="H31" s="68"/>
      <c r="I31" s="68"/>
      <c r="J31" s="68"/>
      <c r="K31" s="68"/>
      <c r="L31" s="70"/>
      <c r="M31" s="71"/>
      <c r="N31" s="68"/>
      <c r="O31" s="68"/>
      <c r="P31" s="18">
        <v>45994</v>
      </c>
    </row>
    <row r="32" spans="1:16" x14ac:dyDescent="0.3">
      <c r="A32" s="5" t="s">
        <v>44</v>
      </c>
      <c r="B32" s="75"/>
      <c r="C32" s="15" t="s">
        <v>38</v>
      </c>
      <c r="D32" s="15">
        <v>1</v>
      </c>
      <c r="E32" s="68"/>
      <c r="F32" s="68"/>
      <c r="G32" s="17">
        <v>10.6</v>
      </c>
      <c r="H32" s="68"/>
      <c r="I32" s="68"/>
      <c r="J32" s="68"/>
      <c r="K32" s="68"/>
      <c r="L32" s="70"/>
      <c r="M32" s="71"/>
      <c r="N32" s="68"/>
      <c r="O32" s="68"/>
      <c r="P32" s="18">
        <v>45994</v>
      </c>
    </row>
    <row r="33" spans="1:16" x14ac:dyDescent="0.3">
      <c r="A33" s="5" t="s">
        <v>44</v>
      </c>
      <c r="B33" s="75"/>
      <c r="C33" s="15" t="s">
        <v>33</v>
      </c>
      <c r="D33" s="15">
        <v>1</v>
      </c>
      <c r="E33" s="68"/>
      <c r="F33" s="68"/>
      <c r="G33" s="17">
        <v>10.7</v>
      </c>
      <c r="H33" s="68"/>
      <c r="I33" s="68"/>
      <c r="J33" s="68"/>
      <c r="K33" s="68"/>
      <c r="L33" s="70"/>
      <c r="M33" s="71"/>
      <c r="N33" s="68"/>
      <c r="O33" s="68"/>
      <c r="P33" s="18">
        <v>45994</v>
      </c>
    </row>
    <row r="34" spans="1:16" x14ac:dyDescent="0.3">
      <c r="A34" s="5" t="s">
        <v>44</v>
      </c>
      <c r="B34" s="75"/>
      <c r="C34" s="15" t="s">
        <v>34</v>
      </c>
      <c r="D34" s="15">
        <v>1</v>
      </c>
      <c r="E34" s="68"/>
      <c r="F34" s="68"/>
      <c r="G34" s="17">
        <v>10.7</v>
      </c>
      <c r="H34" s="68"/>
      <c r="I34" s="68"/>
      <c r="J34" s="68"/>
      <c r="K34" s="68"/>
      <c r="L34" s="70"/>
      <c r="M34" s="71"/>
      <c r="N34" s="68"/>
      <c r="O34" s="68"/>
      <c r="P34" s="18">
        <v>45994</v>
      </c>
    </row>
    <row r="35" spans="1:16" x14ac:dyDescent="0.3">
      <c r="A35" s="5" t="s">
        <v>44</v>
      </c>
      <c r="B35" s="75"/>
      <c r="C35" s="15" t="s">
        <v>42</v>
      </c>
      <c r="D35" s="15">
        <v>1</v>
      </c>
      <c r="E35" s="68"/>
      <c r="F35" s="68"/>
      <c r="G35" s="17">
        <v>10.9</v>
      </c>
      <c r="H35" s="68"/>
      <c r="I35" s="68"/>
      <c r="J35" s="68"/>
      <c r="K35" s="68"/>
      <c r="L35" s="70"/>
      <c r="M35" s="71"/>
      <c r="N35" s="68"/>
      <c r="O35" s="68"/>
      <c r="P35" s="18">
        <v>45994</v>
      </c>
    </row>
    <row r="36" spans="1:16" x14ac:dyDescent="0.3">
      <c r="A36" s="5" t="s">
        <v>44</v>
      </c>
      <c r="B36" s="75"/>
      <c r="C36" s="15" t="s">
        <v>43</v>
      </c>
      <c r="D36" s="15">
        <v>1</v>
      </c>
      <c r="E36" s="68"/>
      <c r="F36" s="68"/>
      <c r="G36" s="17">
        <v>10.9</v>
      </c>
      <c r="H36" s="68"/>
      <c r="I36" s="68"/>
      <c r="J36" s="68"/>
      <c r="K36" s="68"/>
      <c r="L36" s="70"/>
      <c r="M36" s="71"/>
      <c r="N36" s="68"/>
      <c r="O36" s="68"/>
      <c r="P36" s="18">
        <v>45994</v>
      </c>
    </row>
    <row r="37" spans="1:16" x14ac:dyDescent="0.3">
      <c r="A37" s="5" t="s">
        <v>44</v>
      </c>
      <c r="B37" s="74" t="s">
        <v>62</v>
      </c>
      <c r="C37" s="15" t="s">
        <v>35</v>
      </c>
      <c r="D37" s="15">
        <v>4</v>
      </c>
      <c r="E37" s="68">
        <f>SUM(F37:G42)</f>
        <v>241</v>
      </c>
      <c r="F37" s="68">
        <v>53.8</v>
      </c>
      <c r="G37" s="17">
        <f>9.3*4</f>
        <v>37.200000000000003</v>
      </c>
      <c r="H37" s="68">
        <v>1.19</v>
      </c>
      <c r="I37" s="68">
        <v>0.69</v>
      </c>
      <c r="J37" s="68">
        <v>0.46</v>
      </c>
      <c r="K37" s="68">
        <f>H37*I37*J37</f>
        <v>0.37770599999999999</v>
      </c>
      <c r="L37" s="70">
        <v>18</v>
      </c>
      <c r="M37" s="71">
        <v>1</v>
      </c>
      <c r="N37" s="68">
        <f>E37</f>
        <v>241</v>
      </c>
      <c r="O37" s="68">
        <f>K37</f>
        <v>0.37770599999999999</v>
      </c>
      <c r="P37" s="18">
        <v>45994</v>
      </c>
    </row>
    <row r="38" spans="1:16" x14ac:dyDescent="0.3">
      <c r="A38" s="5" t="s">
        <v>44</v>
      </c>
      <c r="B38" s="74"/>
      <c r="C38" s="15" t="s">
        <v>32</v>
      </c>
      <c r="D38" s="15">
        <v>8</v>
      </c>
      <c r="E38" s="68"/>
      <c r="F38" s="68"/>
      <c r="G38" s="17">
        <f>10.75*8</f>
        <v>86</v>
      </c>
      <c r="H38" s="68"/>
      <c r="I38" s="68"/>
      <c r="J38" s="68"/>
      <c r="K38" s="68"/>
      <c r="L38" s="70"/>
      <c r="M38" s="71"/>
      <c r="N38" s="68"/>
      <c r="O38" s="68"/>
      <c r="P38" s="18">
        <v>45994</v>
      </c>
    </row>
    <row r="39" spans="1:16" x14ac:dyDescent="0.3">
      <c r="A39" s="5" t="s">
        <v>44</v>
      </c>
      <c r="B39" s="74"/>
      <c r="C39" s="15" t="s">
        <v>37</v>
      </c>
      <c r="D39" s="15">
        <v>1</v>
      </c>
      <c r="E39" s="68"/>
      <c r="F39" s="68"/>
      <c r="G39" s="17">
        <v>10.6</v>
      </c>
      <c r="H39" s="68"/>
      <c r="I39" s="68"/>
      <c r="J39" s="68"/>
      <c r="K39" s="68"/>
      <c r="L39" s="70"/>
      <c r="M39" s="71"/>
      <c r="N39" s="68"/>
      <c r="O39" s="68"/>
      <c r="P39" s="18">
        <v>45994</v>
      </c>
    </row>
    <row r="40" spans="1:16" x14ac:dyDescent="0.3">
      <c r="A40" s="5" t="s">
        <v>44</v>
      </c>
      <c r="B40" s="74"/>
      <c r="C40" s="15" t="s">
        <v>38</v>
      </c>
      <c r="D40" s="15">
        <v>1</v>
      </c>
      <c r="E40" s="68"/>
      <c r="F40" s="68"/>
      <c r="G40" s="17">
        <v>10.6</v>
      </c>
      <c r="H40" s="68"/>
      <c r="I40" s="68"/>
      <c r="J40" s="68"/>
      <c r="K40" s="68"/>
      <c r="L40" s="70"/>
      <c r="M40" s="71"/>
      <c r="N40" s="68"/>
      <c r="O40" s="68"/>
      <c r="P40" s="18">
        <v>45994</v>
      </c>
    </row>
    <row r="41" spans="1:16" x14ac:dyDescent="0.3">
      <c r="A41" s="5" t="s">
        <v>44</v>
      </c>
      <c r="B41" s="74"/>
      <c r="C41" s="15" t="s">
        <v>33</v>
      </c>
      <c r="D41" s="15">
        <v>2</v>
      </c>
      <c r="E41" s="68"/>
      <c r="F41" s="68"/>
      <c r="G41" s="17">
        <f>10.7*2</f>
        <v>21.4</v>
      </c>
      <c r="H41" s="68"/>
      <c r="I41" s="68"/>
      <c r="J41" s="68"/>
      <c r="K41" s="68"/>
      <c r="L41" s="70"/>
      <c r="M41" s="71"/>
      <c r="N41" s="68"/>
      <c r="O41" s="68"/>
      <c r="P41" s="18">
        <v>45994</v>
      </c>
    </row>
    <row r="42" spans="1:16" x14ac:dyDescent="0.3">
      <c r="A42" s="5" t="s">
        <v>44</v>
      </c>
      <c r="B42" s="74"/>
      <c r="C42" s="15" t="s">
        <v>34</v>
      </c>
      <c r="D42" s="15">
        <v>2</v>
      </c>
      <c r="E42" s="68"/>
      <c r="F42" s="68"/>
      <c r="G42" s="17">
        <f>10.7*2</f>
        <v>21.4</v>
      </c>
      <c r="H42" s="68"/>
      <c r="I42" s="68"/>
      <c r="J42" s="68"/>
      <c r="K42" s="68"/>
      <c r="L42" s="70"/>
      <c r="M42" s="71"/>
      <c r="N42" s="68"/>
      <c r="O42" s="68"/>
      <c r="P42" s="18">
        <v>45994</v>
      </c>
    </row>
    <row r="43" spans="1:16" x14ac:dyDescent="0.3">
      <c r="A43" s="5" t="s">
        <v>44</v>
      </c>
      <c r="B43" s="73" t="s">
        <v>63</v>
      </c>
      <c r="C43" s="15" t="s">
        <v>35</v>
      </c>
      <c r="D43" s="15">
        <v>12</v>
      </c>
      <c r="E43" s="68">
        <f>SUM(F43:G48)</f>
        <v>518</v>
      </c>
      <c r="F43" s="68">
        <v>85.2</v>
      </c>
      <c r="G43" s="17">
        <f>9.3*12</f>
        <v>111.60000000000001</v>
      </c>
      <c r="H43" s="68">
        <v>1.19</v>
      </c>
      <c r="I43" s="68">
        <v>0.85</v>
      </c>
      <c r="J43" s="68">
        <v>0.78</v>
      </c>
      <c r="K43" s="68">
        <f>H43*I43*J43</f>
        <v>0.78896999999999995</v>
      </c>
      <c r="L43" s="70">
        <v>42</v>
      </c>
      <c r="M43" s="71">
        <v>1</v>
      </c>
      <c r="N43" s="68">
        <f>E43</f>
        <v>518</v>
      </c>
      <c r="O43" s="68">
        <f>K43</f>
        <v>0.78896999999999995</v>
      </c>
      <c r="P43" s="18">
        <v>45994</v>
      </c>
    </row>
    <row r="44" spans="1:16" x14ac:dyDescent="0.3">
      <c r="A44" s="5" t="s">
        <v>44</v>
      </c>
      <c r="B44" s="73"/>
      <c r="C44" s="15" t="s">
        <v>32</v>
      </c>
      <c r="D44" s="15">
        <v>16</v>
      </c>
      <c r="E44" s="68"/>
      <c r="F44" s="68"/>
      <c r="G44" s="17">
        <f>10.75*16</f>
        <v>172</v>
      </c>
      <c r="H44" s="68"/>
      <c r="I44" s="68"/>
      <c r="J44" s="68"/>
      <c r="K44" s="68"/>
      <c r="L44" s="70"/>
      <c r="M44" s="71"/>
      <c r="N44" s="68"/>
      <c r="O44" s="68"/>
      <c r="P44" s="18">
        <v>45994</v>
      </c>
    </row>
    <row r="45" spans="1:16" x14ac:dyDescent="0.3">
      <c r="A45" s="5" t="s">
        <v>44</v>
      </c>
      <c r="B45" s="73"/>
      <c r="C45" s="15" t="s">
        <v>37</v>
      </c>
      <c r="D45" s="15">
        <v>3</v>
      </c>
      <c r="E45" s="68"/>
      <c r="F45" s="68"/>
      <c r="G45" s="17">
        <f>10.6*3</f>
        <v>31.799999999999997</v>
      </c>
      <c r="H45" s="68"/>
      <c r="I45" s="68"/>
      <c r="J45" s="68"/>
      <c r="K45" s="68"/>
      <c r="L45" s="70"/>
      <c r="M45" s="71"/>
      <c r="N45" s="68"/>
      <c r="O45" s="68"/>
      <c r="P45" s="18">
        <v>45994</v>
      </c>
    </row>
    <row r="46" spans="1:16" x14ac:dyDescent="0.3">
      <c r="A46" s="5" t="s">
        <v>44</v>
      </c>
      <c r="B46" s="73"/>
      <c r="C46" s="15" t="s">
        <v>38</v>
      </c>
      <c r="D46" s="15">
        <v>3</v>
      </c>
      <c r="E46" s="68"/>
      <c r="F46" s="68"/>
      <c r="G46" s="17">
        <f>10.6*3</f>
        <v>31.799999999999997</v>
      </c>
      <c r="H46" s="68"/>
      <c r="I46" s="68"/>
      <c r="J46" s="68"/>
      <c r="K46" s="68"/>
      <c r="L46" s="70"/>
      <c r="M46" s="71"/>
      <c r="N46" s="68"/>
      <c r="O46" s="68"/>
      <c r="P46" s="18">
        <v>45994</v>
      </c>
    </row>
    <row r="47" spans="1:16" x14ac:dyDescent="0.3">
      <c r="A47" s="5" t="s">
        <v>44</v>
      </c>
      <c r="B47" s="73"/>
      <c r="C47" s="15" t="s">
        <v>33</v>
      </c>
      <c r="D47" s="15">
        <v>4</v>
      </c>
      <c r="E47" s="68"/>
      <c r="F47" s="68"/>
      <c r="G47" s="17">
        <f>10.7*4</f>
        <v>42.8</v>
      </c>
      <c r="H47" s="68"/>
      <c r="I47" s="68"/>
      <c r="J47" s="68"/>
      <c r="K47" s="68"/>
      <c r="L47" s="70"/>
      <c r="M47" s="71"/>
      <c r="N47" s="68"/>
      <c r="O47" s="68"/>
      <c r="P47" s="18">
        <v>45994</v>
      </c>
    </row>
    <row r="48" spans="1:16" x14ac:dyDescent="0.3">
      <c r="A48" s="5" t="s">
        <v>44</v>
      </c>
      <c r="B48" s="73"/>
      <c r="C48" s="15" t="s">
        <v>34</v>
      </c>
      <c r="D48" s="15">
        <v>4</v>
      </c>
      <c r="E48" s="68"/>
      <c r="F48" s="68"/>
      <c r="G48" s="17">
        <f>10.7*4</f>
        <v>42.8</v>
      </c>
      <c r="H48" s="68"/>
      <c r="I48" s="68"/>
      <c r="J48" s="68"/>
      <c r="K48" s="68"/>
      <c r="L48" s="70"/>
      <c r="M48" s="71"/>
      <c r="N48" s="68"/>
      <c r="O48" s="68"/>
      <c r="P48" s="18">
        <v>45994</v>
      </c>
    </row>
    <row r="49" spans="1:18" x14ac:dyDescent="0.3">
      <c r="A49" s="5" t="s">
        <v>44</v>
      </c>
      <c r="B49" s="72" t="s">
        <v>64</v>
      </c>
      <c r="C49" s="15" t="s">
        <v>35</v>
      </c>
      <c r="D49" s="15">
        <v>4</v>
      </c>
      <c r="E49" s="68">
        <f>SUM(F49:G51)</f>
        <v>86</v>
      </c>
      <c r="F49" s="68">
        <v>27.6</v>
      </c>
      <c r="G49" s="17">
        <f>9.3*4</f>
        <v>37.200000000000003</v>
      </c>
      <c r="H49" s="68">
        <v>0.62</v>
      </c>
      <c r="I49" s="68">
        <v>0.43</v>
      </c>
      <c r="J49" s="68">
        <v>0.46</v>
      </c>
      <c r="K49" s="68">
        <f>H49*I49*J49</f>
        <v>0.12263600000000001</v>
      </c>
      <c r="L49" s="70">
        <v>6</v>
      </c>
      <c r="M49" s="71">
        <v>1</v>
      </c>
      <c r="N49" s="68">
        <f>E49</f>
        <v>86</v>
      </c>
      <c r="O49" s="68">
        <f>K49</f>
        <v>0.12263600000000001</v>
      </c>
      <c r="P49" s="18">
        <v>45994</v>
      </c>
    </row>
    <row r="50" spans="1:18" x14ac:dyDescent="0.3">
      <c r="A50" s="5" t="s">
        <v>44</v>
      </c>
      <c r="B50" s="72"/>
      <c r="C50" s="15" t="s">
        <v>37</v>
      </c>
      <c r="D50" s="15">
        <v>1</v>
      </c>
      <c r="E50" s="68"/>
      <c r="F50" s="68"/>
      <c r="G50" s="17">
        <v>10.6</v>
      </c>
      <c r="H50" s="68"/>
      <c r="I50" s="68"/>
      <c r="J50" s="68"/>
      <c r="K50" s="68"/>
      <c r="L50" s="70"/>
      <c r="M50" s="71"/>
      <c r="N50" s="68"/>
      <c r="O50" s="68"/>
      <c r="P50" s="18">
        <v>45994</v>
      </c>
    </row>
    <row r="51" spans="1:18" x14ac:dyDescent="0.3">
      <c r="A51" s="5" t="s">
        <v>44</v>
      </c>
      <c r="B51" s="72"/>
      <c r="C51" s="15" t="s">
        <v>38</v>
      </c>
      <c r="D51" s="15">
        <v>1</v>
      </c>
      <c r="E51" s="68"/>
      <c r="F51" s="68"/>
      <c r="G51" s="17">
        <v>10.6</v>
      </c>
      <c r="H51" s="68"/>
      <c r="I51" s="68"/>
      <c r="J51" s="68"/>
      <c r="K51" s="68"/>
      <c r="L51" s="70"/>
      <c r="M51" s="71"/>
      <c r="N51" s="68"/>
      <c r="O51" s="68"/>
      <c r="P51" s="18">
        <v>45994</v>
      </c>
    </row>
    <row r="52" spans="1:18" x14ac:dyDescent="0.3">
      <c r="A52" s="5" t="s">
        <v>44</v>
      </c>
      <c r="B52" s="69" t="s">
        <v>65</v>
      </c>
      <c r="C52" s="15" t="s">
        <v>41</v>
      </c>
      <c r="D52" s="15">
        <v>4</v>
      </c>
      <c r="E52" s="68">
        <f>SUM(F52:G54)</f>
        <v>93.000000000000014</v>
      </c>
      <c r="F52" s="68">
        <v>29.7</v>
      </c>
      <c r="G52" s="17">
        <f>10.375*4</f>
        <v>41.5</v>
      </c>
      <c r="H52" s="68">
        <v>0.62</v>
      </c>
      <c r="I52" s="68">
        <v>0.55000000000000004</v>
      </c>
      <c r="J52" s="68">
        <v>0.46</v>
      </c>
      <c r="K52" s="68">
        <f>H52*I52*J52</f>
        <v>0.15686000000000003</v>
      </c>
      <c r="L52" s="70">
        <v>6</v>
      </c>
      <c r="M52" s="71">
        <v>1</v>
      </c>
      <c r="N52" s="68">
        <f>E52</f>
        <v>93.000000000000014</v>
      </c>
      <c r="O52" s="68">
        <f>K52</f>
        <v>0.15686000000000003</v>
      </c>
      <c r="P52" s="18">
        <v>45994</v>
      </c>
    </row>
    <row r="53" spans="1:18" x14ac:dyDescent="0.3">
      <c r="A53" s="5" t="s">
        <v>44</v>
      </c>
      <c r="B53" s="69"/>
      <c r="C53" s="15" t="s">
        <v>42</v>
      </c>
      <c r="D53" s="15">
        <v>1</v>
      </c>
      <c r="E53" s="68"/>
      <c r="F53" s="68"/>
      <c r="G53" s="17">
        <v>10.9</v>
      </c>
      <c r="H53" s="68"/>
      <c r="I53" s="68"/>
      <c r="J53" s="68"/>
      <c r="K53" s="68"/>
      <c r="L53" s="70"/>
      <c r="M53" s="71"/>
      <c r="N53" s="68"/>
      <c r="O53" s="68"/>
      <c r="P53" s="18">
        <v>45994</v>
      </c>
    </row>
    <row r="54" spans="1:18" x14ac:dyDescent="0.3">
      <c r="A54" s="5" t="s">
        <v>44</v>
      </c>
      <c r="B54" s="69"/>
      <c r="C54" s="15" t="s">
        <v>43</v>
      </c>
      <c r="D54" s="15">
        <v>1</v>
      </c>
      <c r="E54" s="68"/>
      <c r="F54" s="68"/>
      <c r="G54" s="17">
        <v>10.9</v>
      </c>
      <c r="H54" s="68"/>
      <c r="I54" s="68"/>
      <c r="J54" s="68"/>
      <c r="K54" s="68"/>
      <c r="L54" s="70"/>
      <c r="M54" s="71"/>
      <c r="N54" s="68"/>
      <c r="O54" s="68"/>
      <c r="P54" s="18">
        <v>45994</v>
      </c>
    </row>
    <row r="55" spans="1:18" x14ac:dyDescent="0.3">
      <c r="L55" s="1">
        <f>SUM(L3:L54)</f>
        <v>45696</v>
      </c>
      <c r="M55" s="1">
        <f>SUM(M3:M54)</f>
        <v>83.5</v>
      </c>
      <c r="N55" s="1">
        <f>SUM(N3:N54)</f>
        <v>23133.200000000001</v>
      </c>
      <c r="O55" s="1">
        <f>SUM(O3:O54)</f>
        <v>53.509102000000006</v>
      </c>
    </row>
    <row r="56" spans="1:18" ht="13.8" customHeight="1" x14ac:dyDescent="0.3"/>
    <row r="57" spans="1:18" x14ac:dyDescent="0.3">
      <c r="C57" s="62">
        <f>SUM(C58:R58)</f>
        <v>11.870000000000001</v>
      </c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</row>
    <row r="58" spans="1:18" x14ac:dyDescent="0.3">
      <c r="C58" s="1">
        <v>0.8</v>
      </c>
      <c r="D58" s="1">
        <v>0.63</v>
      </c>
      <c r="E58" s="1">
        <v>0.63</v>
      </c>
      <c r="F58" s="1">
        <v>1.1000000000000001</v>
      </c>
      <c r="G58" s="1">
        <v>1.1000000000000001</v>
      </c>
      <c r="H58" s="1">
        <v>0.8</v>
      </c>
      <c r="I58" s="1">
        <v>0.88</v>
      </c>
      <c r="J58" s="1">
        <v>0.91</v>
      </c>
      <c r="K58" s="1">
        <v>0.63</v>
      </c>
      <c r="L58" s="1">
        <v>0.63</v>
      </c>
      <c r="M58" s="1">
        <v>0.63</v>
      </c>
      <c r="N58" s="1">
        <v>0.63</v>
      </c>
      <c r="O58" s="61">
        <v>2.5</v>
      </c>
      <c r="P58" s="61"/>
      <c r="Q58" s="61"/>
    </row>
    <row r="59" spans="1:18" ht="14.4" customHeight="1" x14ac:dyDescent="0.3">
      <c r="C59" s="63" t="s">
        <v>45</v>
      </c>
      <c r="D59" s="51" t="s">
        <v>48</v>
      </c>
      <c r="E59" s="51" t="s">
        <v>48</v>
      </c>
      <c r="F59" s="64" t="s">
        <v>48</v>
      </c>
      <c r="G59" s="64" t="s">
        <v>48</v>
      </c>
      <c r="H59" s="63" t="s">
        <v>45</v>
      </c>
      <c r="I59" s="65" t="s">
        <v>66</v>
      </c>
      <c r="J59" s="66" t="s">
        <v>46</v>
      </c>
      <c r="K59" s="51" t="s">
        <v>48</v>
      </c>
      <c r="L59" s="51" t="s">
        <v>48</v>
      </c>
      <c r="M59" s="51" t="s">
        <v>48</v>
      </c>
      <c r="N59" s="51" t="s">
        <v>48</v>
      </c>
      <c r="O59" s="52" t="s">
        <v>45</v>
      </c>
      <c r="P59" s="53"/>
      <c r="Q59" s="54"/>
      <c r="R59" s="67" t="s">
        <v>67</v>
      </c>
    </row>
    <row r="60" spans="1:18" x14ac:dyDescent="0.3">
      <c r="C60" s="63"/>
      <c r="D60" s="51"/>
      <c r="E60" s="51"/>
      <c r="F60" s="64"/>
      <c r="G60" s="64"/>
      <c r="H60" s="63"/>
      <c r="I60" s="65"/>
      <c r="J60" s="66"/>
      <c r="K60" s="51"/>
      <c r="L60" s="51"/>
      <c r="M60" s="51"/>
      <c r="N60" s="51"/>
      <c r="O60" s="55"/>
      <c r="P60" s="56"/>
      <c r="Q60" s="57"/>
      <c r="R60" s="67"/>
    </row>
    <row r="61" spans="1:18" x14ac:dyDescent="0.3">
      <c r="C61" s="63"/>
      <c r="D61" s="51"/>
      <c r="E61" s="51"/>
      <c r="F61" s="64"/>
      <c r="G61" s="64"/>
      <c r="H61" s="63"/>
      <c r="I61" s="65"/>
      <c r="J61" s="66"/>
      <c r="K61" s="51"/>
      <c r="L61" s="51"/>
      <c r="M61" s="51"/>
      <c r="N61" s="51"/>
      <c r="O61" s="55"/>
      <c r="P61" s="56"/>
      <c r="Q61" s="57"/>
      <c r="R61" s="67"/>
    </row>
    <row r="62" spans="1:18" x14ac:dyDescent="0.3">
      <c r="C62" s="63"/>
      <c r="D62" s="51"/>
      <c r="E62" s="51"/>
      <c r="F62" s="64"/>
      <c r="G62" s="64"/>
      <c r="H62" s="63"/>
      <c r="I62" s="65"/>
      <c r="J62" s="66"/>
      <c r="K62" s="51"/>
      <c r="L62" s="51"/>
      <c r="M62" s="51"/>
      <c r="N62" s="51"/>
      <c r="O62" s="55"/>
      <c r="P62" s="56"/>
      <c r="Q62" s="57"/>
      <c r="R62" s="67"/>
    </row>
    <row r="63" spans="1:18" x14ac:dyDescent="0.3">
      <c r="C63" s="63"/>
      <c r="D63" s="51"/>
      <c r="E63" s="51"/>
      <c r="F63" s="64"/>
      <c r="G63" s="64"/>
      <c r="H63" s="63"/>
      <c r="I63" s="65"/>
      <c r="J63" s="66"/>
      <c r="K63" s="51"/>
      <c r="L63" s="51"/>
      <c r="M63" s="51"/>
      <c r="N63" s="51"/>
      <c r="O63" s="58"/>
      <c r="P63" s="59"/>
      <c r="Q63" s="60"/>
      <c r="R63" s="67"/>
    </row>
    <row r="64" spans="1:18" ht="14.4" customHeight="1" x14ac:dyDescent="0.3">
      <c r="D64" s="51" t="s">
        <v>48</v>
      </c>
      <c r="E64" s="63" t="s">
        <v>66</v>
      </c>
      <c r="F64" s="64" t="s">
        <v>48</v>
      </c>
      <c r="G64" s="64" t="s">
        <v>48</v>
      </c>
      <c r="H64" s="63" t="s">
        <v>45</v>
      </c>
      <c r="I64" s="66" t="s">
        <v>46</v>
      </c>
      <c r="J64" s="50" t="s">
        <v>45</v>
      </c>
      <c r="K64" s="50" t="s">
        <v>45</v>
      </c>
      <c r="L64" s="51" t="s">
        <v>48</v>
      </c>
      <c r="M64" s="51" t="s">
        <v>48</v>
      </c>
      <c r="N64" s="51" t="s">
        <v>48</v>
      </c>
      <c r="O64" s="52" t="s">
        <v>45</v>
      </c>
      <c r="P64" s="53"/>
      <c r="Q64" s="54"/>
      <c r="R64" s="67"/>
    </row>
    <row r="65" spans="4:18" x14ac:dyDescent="0.3">
      <c r="D65" s="51"/>
      <c r="E65" s="63"/>
      <c r="F65" s="64"/>
      <c r="G65" s="64"/>
      <c r="H65" s="63"/>
      <c r="I65" s="66"/>
      <c r="J65" s="50"/>
      <c r="K65" s="50"/>
      <c r="L65" s="51"/>
      <c r="M65" s="51"/>
      <c r="N65" s="51"/>
      <c r="O65" s="55"/>
      <c r="P65" s="56"/>
      <c r="Q65" s="57"/>
      <c r="R65" s="67"/>
    </row>
    <row r="66" spans="4:18" x14ac:dyDescent="0.3">
      <c r="D66" s="51"/>
      <c r="E66" s="63"/>
      <c r="F66" s="64"/>
      <c r="G66" s="64"/>
      <c r="H66" s="63"/>
      <c r="I66" s="66"/>
      <c r="J66" s="50"/>
      <c r="K66" s="50"/>
      <c r="L66" s="51"/>
      <c r="M66" s="51"/>
      <c r="N66" s="51"/>
      <c r="O66" s="55"/>
      <c r="P66" s="56"/>
      <c r="Q66" s="57"/>
      <c r="R66" s="67"/>
    </row>
    <row r="67" spans="4:18" x14ac:dyDescent="0.3">
      <c r="D67" s="51"/>
      <c r="E67" s="63"/>
      <c r="F67" s="64"/>
      <c r="G67" s="64"/>
      <c r="H67" s="63"/>
      <c r="I67" s="66"/>
      <c r="J67" s="50"/>
      <c r="K67" s="50"/>
      <c r="L67" s="51"/>
      <c r="M67" s="51"/>
      <c r="N67" s="51"/>
      <c r="O67" s="55"/>
      <c r="P67" s="56"/>
      <c r="Q67" s="57"/>
      <c r="R67" s="67"/>
    </row>
    <row r="68" spans="4:18" x14ac:dyDescent="0.3">
      <c r="D68" s="51"/>
      <c r="E68" s="63"/>
      <c r="F68" s="64"/>
      <c r="G68" s="64"/>
      <c r="H68" s="63"/>
      <c r="I68" s="66"/>
      <c r="J68" s="50"/>
      <c r="K68" s="50"/>
      <c r="L68" s="51"/>
      <c r="M68" s="51"/>
      <c r="N68" s="51"/>
      <c r="O68" s="58"/>
      <c r="P68" s="59"/>
      <c r="Q68" s="60"/>
      <c r="R68" s="67"/>
    </row>
    <row r="69" spans="4:18" x14ac:dyDescent="0.3">
      <c r="D69" s="1">
        <v>0.63</v>
      </c>
      <c r="E69" s="1">
        <v>0.88</v>
      </c>
      <c r="F69" s="1">
        <v>1.1000000000000001</v>
      </c>
      <c r="G69" s="1">
        <v>1.1000000000000001</v>
      </c>
      <c r="H69" s="1">
        <v>0.8</v>
      </c>
      <c r="I69" s="1">
        <v>0.91</v>
      </c>
      <c r="J69" s="7">
        <v>0.62</v>
      </c>
      <c r="K69" s="1">
        <v>0.85</v>
      </c>
      <c r="L69" s="1">
        <v>0.63</v>
      </c>
      <c r="M69" s="1">
        <v>0.63</v>
      </c>
      <c r="N69" s="1">
        <v>0.63</v>
      </c>
      <c r="O69" s="61">
        <v>2.5</v>
      </c>
      <c r="P69" s="61"/>
      <c r="Q69" s="61"/>
    </row>
    <row r="70" spans="4:18" x14ac:dyDescent="0.3">
      <c r="E70" s="62">
        <f>SUM(D69:R69)</f>
        <v>11.280000000000001</v>
      </c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</row>
  </sheetData>
  <mergeCells count="118">
    <mergeCell ref="J16:J18"/>
    <mergeCell ref="K16:K18"/>
    <mergeCell ref="L16:L18"/>
    <mergeCell ref="M16:M18"/>
    <mergeCell ref="N16:N18"/>
    <mergeCell ref="O16:O18"/>
    <mergeCell ref="B16:B18"/>
    <mergeCell ref="E16:E18"/>
    <mergeCell ref="F16:F18"/>
    <mergeCell ref="H16:H18"/>
    <mergeCell ref="I16:I18"/>
    <mergeCell ref="N37:N42"/>
    <mergeCell ref="O37:O42"/>
    <mergeCell ref="N43:N48"/>
    <mergeCell ref="O43:O48"/>
    <mergeCell ref="N49:N51"/>
    <mergeCell ref="O49:O51"/>
    <mergeCell ref="N28:N36"/>
    <mergeCell ref="O28:O36"/>
    <mergeCell ref="B19:B21"/>
    <mergeCell ref="E19:E21"/>
    <mergeCell ref="F19:F21"/>
    <mergeCell ref="H19:H21"/>
    <mergeCell ref="I19:I21"/>
    <mergeCell ref="J19:J21"/>
    <mergeCell ref="K19:K21"/>
    <mergeCell ref="L19:L21"/>
    <mergeCell ref="M19:M21"/>
    <mergeCell ref="N19:N21"/>
    <mergeCell ref="O19:O21"/>
    <mergeCell ref="B22:B27"/>
    <mergeCell ref="E22:E27"/>
    <mergeCell ref="F22:F27"/>
    <mergeCell ref="H22:H27"/>
    <mergeCell ref="I22:I27"/>
    <mergeCell ref="J22:J27"/>
    <mergeCell ref="K22:K27"/>
    <mergeCell ref="L22:L27"/>
    <mergeCell ref="M22:M27"/>
    <mergeCell ref="N22:N27"/>
    <mergeCell ref="O22:O27"/>
    <mergeCell ref="B28:B36"/>
    <mergeCell ref="E28:E36"/>
    <mergeCell ref="F28:F36"/>
    <mergeCell ref="H28:H36"/>
    <mergeCell ref="I28:I36"/>
    <mergeCell ref="J28:J36"/>
    <mergeCell ref="K28:K36"/>
    <mergeCell ref="L28:L36"/>
    <mergeCell ref="M28:M36"/>
    <mergeCell ref="B37:B42"/>
    <mergeCell ref="E37:E42"/>
    <mergeCell ref="F37:F42"/>
    <mergeCell ref="H37:H42"/>
    <mergeCell ref="I37:I42"/>
    <mergeCell ref="J37:J42"/>
    <mergeCell ref="K37:K42"/>
    <mergeCell ref="L37:L42"/>
    <mergeCell ref="M37:M42"/>
    <mergeCell ref="B43:B48"/>
    <mergeCell ref="E43:E48"/>
    <mergeCell ref="F43:F48"/>
    <mergeCell ref="H43:H48"/>
    <mergeCell ref="I43:I48"/>
    <mergeCell ref="J43:J48"/>
    <mergeCell ref="K43:K48"/>
    <mergeCell ref="L43:L48"/>
    <mergeCell ref="M43:M48"/>
    <mergeCell ref="B49:B51"/>
    <mergeCell ref="E49:E51"/>
    <mergeCell ref="F49:F51"/>
    <mergeCell ref="H49:H51"/>
    <mergeCell ref="I49:I51"/>
    <mergeCell ref="J49:J51"/>
    <mergeCell ref="K49:K51"/>
    <mergeCell ref="L49:L51"/>
    <mergeCell ref="M49:M51"/>
    <mergeCell ref="E64:E68"/>
    <mergeCell ref="F64:F68"/>
    <mergeCell ref="G64:G68"/>
    <mergeCell ref="H64:H68"/>
    <mergeCell ref="I64:I68"/>
    <mergeCell ref="J64:J68"/>
    <mergeCell ref="N52:N54"/>
    <mergeCell ref="O52:O54"/>
    <mergeCell ref="B52:B54"/>
    <mergeCell ref="E52:E54"/>
    <mergeCell ref="F52:F54"/>
    <mergeCell ref="H52:H54"/>
    <mergeCell ref="I52:I54"/>
    <mergeCell ref="J52:J54"/>
    <mergeCell ref="K52:K54"/>
    <mergeCell ref="L52:L54"/>
    <mergeCell ref="M52:M54"/>
    <mergeCell ref="K64:K68"/>
    <mergeCell ref="L64:L68"/>
    <mergeCell ref="M64:M68"/>
    <mergeCell ref="N64:N68"/>
    <mergeCell ref="O64:Q68"/>
    <mergeCell ref="O69:Q69"/>
    <mergeCell ref="E70:R70"/>
    <mergeCell ref="C57:R57"/>
    <mergeCell ref="O58:Q58"/>
    <mergeCell ref="C59:C63"/>
    <mergeCell ref="D59:D63"/>
    <mergeCell ref="E59:E63"/>
    <mergeCell ref="F59:F63"/>
    <mergeCell ref="G59:G63"/>
    <mergeCell ref="H59:H63"/>
    <mergeCell ref="I59:I63"/>
    <mergeCell ref="J59:J63"/>
    <mergeCell ref="K59:K63"/>
    <mergeCell ref="L59:L63"/>
    <mergeCell ref="M59:M63"/>
    <mergeCell ref="N59:N63"/>
    <mergeCell ref="O59:Q63"/>
    <mergeCell ref="R59:R68"/>
    <mergeCell ref="D64:D68"/>
  </mergeCells>
  <pageMargins left="0.70866141732283472" right="0.70866141732283472" top="0.74803149606299213" bottom="0.74803149606299213" header="0.31496062992125984" footer="0.31496062992125984"/>
  <pageSetup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Kai Zhu</cp:lastModifiedBy>
  <cp:lastPrinted>2025-12-02T04:15:37Z</cp:lastPrinted>
  <dcterms:created xsi:type="dcterms:W3CDTF">2015-06-05T18:17:20Z</dcterms:created>
  <dcterms:modified xsi:type="dcterms:W3CDTF">2025-12-02T04:59:45Z</dcterms:modified>
</cp:coreProperties>
</file>