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#32发货\"/>
    </mc:Choice>
  </mc:AlternateContent>
  <xr:revisionPtr revIDLastSave="0" documentId="13_ncr:1_{9EC5D1C1-7ACE-43CA-84C5-3CFE10E019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O6" i="1"/>
  <c r="M6" i="1"/>
  <c r="J6" i="1"/>
  <c r="H6" i="1"/>
  <c r="F6" i="1"/>
  <c r="Q5" i="1" l="1"/>
  <c r="M5" i="1"/>
  <c r="P5" i="1" s="1"/>
  <c r="Q7" i="1"/>
  <c r="O7" i="1"/>
  <c r="M7" i="1"/>
  <c r="P7" i="1" s="1"/>
  <c r="J7" i="1"/>
  <c r="H7" i="1"/>
  <c r="F7" i="1" s="1"/>
  <c r="O5" i="1"/>
  <c r="J5" i="1"/>
  <c r="H5" i="1"/>
  <c r="F5" i="1" s="1"/>
  <c r="Q8" i="1"/>
  <c r="O8" i="1"/>
  <c r="M8" i="1"/>
  <c r="P8" i="1" s="1"/>
  <c r="J8" i="1"/>
  <c r="H8" i="1"/>
  <c r="F8" i="1" s="1"/>
  <c r="Q4" i="1"/>
  <c r="O4" i="1"/>
  <c r="M4" i="1"/>
  <c r="P4" i="1" s="1"/>
  <c r="J4" i="1"/>
  <c r="H4" i="1"/>
  <c r="F4" i="1" s="1"/>
  <c r="K9" i="1" l="1"/>
  <c r="F9" i="1" l="1"/>
  <c r="Q9" i="1"/>
  <c r="P9" i="1"/>
  <c r="O9" i="1"/>
  <c r="H9" i="1"/>
</calcChain>
</file>

<file path=xl/sharedStrings.xml><?xml version="1.0" encoding="utf-8"?>
<sst xmlns="http://schemas.openxmlformats.org/spreadsheetml/2006/main" count="40" uniqueCount="35">
  <si>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</si>
  <si>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</si>
  <si>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</si>
  <si>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</si>
  <si>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</si>
  <si>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</si>
  <si>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</si>
  <si>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</si>
  <si>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</si>
  <si>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</si>
  <si>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</si>
  <si>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</si>
  <si>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</si>
  <si>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</si>
  <si>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</si>
  <si>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</si>
  <si>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</si>
  <si>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</si>
  <si>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</si>
  <si>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</si>
  <si>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</si>
  <si>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</si>
  <si>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</si>
  <si>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</si>
  <si>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弹垫
Spring Washer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</si>
  <si>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</si>
  <si>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</si>
  <si>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9" type="noConversion"/>
  </si>
  <si>
    <t>螺纹道钉
配弹垫
SCREW SPIKE
with WASHER</t>
  </si>
  <si>
    <t>24x165</t>
  </si>
  <si>
    <t>1/14</t>
    <phoneticPr fontId="9" type="noConversion"/>
  </si>
  <si>
    <t>2/14</t>
    <phoneticPr fontId="9" type="noConversion"/>
  </si>
  <si>
    <t>3/14-7/14</t>
    <phoneticPr fontId="9" type="noConversion"/>
  </si>
  <si>
    <t>8/14-11/14</t>
    <phoneticPr fontId="9" type="noConversion"/>
  </si>
  <si>
    <t>12/14-14/14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</si>
</sst>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7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tabSelected="1" topLeftCell="A3" workbookViewId="0">
      <selection activeCell="N14" sqref="N14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9" ht="30.75" customHeight="1" x14ac:dyDescent="0.15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40.5" customHeight="1" x14ac:dyDescent="0.15">
      <c r="A4" s="15">
        <v>1</v>
      </c>
      <c r="B4" s="4" t="s">
        <v>24</v>
      </c>
      <c r="C4" s="20">
        <v>25</v>
      </c>
      <c r="D4" s="17">
        <v>9342</v>
      </c>
      <c r="E4" s="21" t="s">
        <v>30</v>
      </c>
      <c r="F4" s="2">
        <f t="shared" ref="F4:F8" si="0">G4*H4</f>
        <v>4000</v>
      </c>
      <c r="G4" s="15">
        <v>200</v>
      </c>
      <c r="H4" s="15">
        <f t="shared" ref="H4:H8" si="1">I4*K4</f>
        <v>20</v>
      </c>
      <c r="I4" s="15">
        <v>20</v>
      </c>
      <c r="J4" s="15">
        <f t="shared" ref="J4:J8" si="2">G4*I4</f>
        <v>4000</v>
      </c>
      <c r="K4" s="15">
        <v>1</v>
      </c>
      <c r="L4" s="15">
        <v>365</v>
      </c>
      <c r="M4" s="15">
        <f t="shared" ref="M4" si="3">L4+42</f>
        <v>407</v>
      </c>
      <c r="N4" s="8" t="s">
        <v>25</v>
      </c>
      <c r="O4" s="15">
        <f t="shared" ref="O4:O5" si="4">L4*K4</f>
        <v>365</v>
      </c>
      <c r="P4" s="15">
        <f t="shared" ref="P4:P5" si="5">M4*K4</f>
        <v>407</v>
      </c>
      <c r="Q4" s="19">
        <f>0.48*K4</f>
        <v>0.48</v>
      </c>
      <c r="R4" s="12"/>
      <c r="S4" s="12"/>
    </row>
    <row r="5" spans="1:19" ht="43.5" customHeight="1" x14ac:dyDescent="0.15">
      <c r="A5" s="15">
        <v>2</v>
      </c>
      <c r="B5" s="4" t="s">
        <v>17</v>
      </c>
      <c r="C5" s="16" t="s">
        <v>26</v>
      </c>
      <c r="D5" s="17">
        <v>9439</v>
      </c>
      <c r="E5" s="22" t="s">
        <v>31</v>
      </c>
      <c r="F5" s="2">
        <f t="shared" ref="F5:F7" si="6">G5*H5</f>
        <v>400</v>
      </c>
      <c r="G5" s="15">
        <v>25</v>
      </c>
      <c r="H5" s="15">
        <f t="shared" ref="H5:H7" si="7">I5*K5</f>
        <v>16</v>
      </c>
      <c r="I5" s="15">
        <v>16</v>
      </c>
      <c r="J5" s="15">
        <f t="shared" ref="J5:J7" si="8">G5*I5</f>
        <v>400</v>
      </c>
      <c r="K5" s="15">
        <v>1</v>
      </c>
      <c r="L5" s="15">
        <v>276</v>
      </c>
      <c r="M5" s="15">
        <f>L5+30</f>
        <v>306</v>
      </c>
      <c r="N5" s="8" t="s">
        <v>27</v>
      </c>
      <c r="O5" s="15">
        <f t="shared" si="4"/>
        <v>276</v>
      </c>
      <c r="P5" s="15">
        <f t="shared" si="5"/>
        <v>306</v>
      </c>
      <c r="Q5" s="19">
        <f>0.31*K5</f>
        <v>0.31</v>
      </c>
    </row>
    <row r="6" spans="1:19" ht="64.5" customHeight="1" x14ac:dyDescent="0.15">
      <c r="A6" s="15">
        <v>3</v>
      </c>
      <c r="B6" s="8" t="s">
        <v>28</v>
      </c>
      <c r="C6" s="16" t="s">
        <v>29</v>
      </c>
      <c r="D6" s="20">
        <v>9461</v>
      </c>
      <c r="E6" s="19" t="s">
        <v>32</v>
      </c>
      <c r="F6" s="2">
        <f>G6*H6</f>
        <v>4000</v>
      </c>
      <c r="G6" s="15">
        <v>25</v>
      </c>
      <c r="H6" s="15">
        <f>I6*K6</f>
        <v>160</v>
      </c>
      <c r="I6" s="15">
        <v>32</v>
      </c>
      <c r="J6" s="15">
        <f>G6*I6</f>
        <v>800</v>
      </c>
      <c r="K6" s="15">
        <v>5</v>
      </c>
      <c r="L6" s="15">
        <v>544</v>
      </c>
      <c r="M6" s="15">
        <f>L6+42</f>
        <v>586</v>
      </c>
      <c r="N6" s="8" t="s">
        <v>23</v>
      </c>
      <c r="O6" s="15">
        <f>L6*K6</f>
        <v>2720</v>
      </c>
      <c r="P6" s="15">
        <f>M6*K6</f>
        <v>2930</v>
      </c>
      <c r="Q6" s="19">
        <f>0.48*K6</f>
        <v>2.4</v>
      </c>
    </row>
    <row r="7" spans="1:19" ht="40.5" customHeight="1" x14ac:dyDescent="0.15">
      <c r="A7" s="15">
        <v>4</v>
      </c>
      <c r="B7" s="4" t="s">
        <v>24</v>
      </c>
      <c r="C7" s="20">
        <v>25</v>
      </c>
      <c r="D7" s="17">
        <v>9462</v>
      </c>
      <c r="E7" s="18" t="s">
        <v>33</v>
      </c>
      <c r="F7" s="2">
        <f t="shared" si="6"/>
        <v>16000</v>
      </c>
      <c r="G7" s="15">
        <v>200</v>
      </c>
      <c r="H7" s="15">
        <f t="shared" si="7"/>
        <v>80</v>
      </c>
      <c r="I7" s="15">
        <v>20</v>
      </c>
      <c r="J7" s="15">
        <f t="shared" si="8"/>
        <v>4000</v>
      </c>
      <c r="K7" s="15">
        <v>4</v>
      </c>
      <c r="L7" s="15">
        <v>365</v>
      </c>
      <c r="M7" s="15">
        <f t="shared" ref="M7" si="9">L7+42</f>
        <v>407</v>
      </c>
      <c r="N7" s="8" t="s">
        <v>25</v>
      </c>
      <c r="O7" s="15">
        <f t="shared" ref="O7" si="10">L7*K7</f>
        <v>1460</v>
      </c>
      <c r="P7" s="15">
        <f t="shared" ref="P7" si="11">M7*K7</f>
        <v>1628</v>
      </c>
      <c r="Q7" s="19">
        <f>0.48*K7</f>
        <v>1.92</v>
      </c>
      <c r="R7" s="12"/>
      <c r="S7" s="12"/>
    </row>
    <row r="8" spans="1:19" ht="43.5" customHeight="1" x14ac:dyDescent="0.15">
      <c r="A8" s="15">
        <v>5</v>
      </c>
      <c r="B8" s="4" t="s">
        <v>17</v>
      </c>
      <c r="C8" s="16" t="s">
        <v>26</v>
      </c>
      <c r="D8" s="17">
        <v>9488</v>
      </c>
      <c r="E8" s="19" t="s">
        <v>34</v>
      </c>
      <c r="F8" s="2">
        <f t="shared" si="0"/>
        <v>2400</v>
      </c>
      <c r="G8" s="15">
        <v>25</v>
      </c>
      <c r="H8" s="15">
        <f t="shared" si="1"/>
        <v>96</v>
      </c>
      <c r="I8" s="15">
        <v>32</v>
      </c>
      <c r="J8" s="15">
        <f t="shared" si="2"/>
        <v>800</v>
      </c>
      <c r="K8" s="15">
        <v>3</v>
      </c>
      <c r="L8" s="15">
        <v>552</v>
      </c>
      <c r="M8" s="15">
        <f t="shared" ref="M8" si="12">L8+42</f>
        <v>594</v>
      </c>
      <c r="N8" s="8" t="s">
        <v>23</v>
      </c>
      <c r="O8" s="15">
        <f t="shared" ref="O8" si="13">L8*K8</f>
        <v>1656</v>
      </c>
      <c r="P8" s="15">
        <f t="shared" ref="P8" si="14">M8*K8</f>
        <v>1782</v>
      </c>
      <c r="Q8" s="19">
        <f>0.48*K8</f>
        <v>1.44</v>
      </c>
    </row>
    <row r="9" spans="1:19" ht="35.25" customHeight="1" x14ac:dyDescent="0.15">
      <c r="A9" s="26" t="s">
        <v>18</v>
      </c>
      <c r="B9" s="26"/>
      <c r="C9" s="26"/>
      <c r="D9" s="3"/>
      <c r="E9" s="1"/>
      <c r="F9" s="3">
        <f>SUM(F4:F8)</f>
        <v>26800</v>
      </c>
      <c r="G9" s="3"/>
      <c r="H9" s="3">
        <f>SUM(H4:H8)</f>
        <v>372</v>
      </c>
      <c r="I9" s="3"/>
      <c r="J9" s="3"/>
      <c r="K9" s="3">
        <f>SUM(K4:K8)</f>
        <v>14</v>
      </c>
      <c r="L9" s="3"/>
      <c r="M9" s="3"/>
      <c r="N9" s="1"/>
      <c r="O9" s="3">
        <f>SUM(O4:O8)</f>
        <v>6477</v>
      </c>
      <c r="P9" s="3">
        <f>SUM(P4:P8)</f>
        <v>7053</v>
      </c>
      <c r="Q9" s="1">
        <f>SUM(Q4:Q8)</f>
        <v>6.5499999999999989</v>
      </c>
      <c r="R9" s="12"/>
    </row>
    <row r="10" spans="1:19" ht="21" customHeight="1" x14ac:dyDescent="0.15">
      <c r="A10" s="5"/>
      <c r="B10" s="5"/>
      <c r="C10" s="5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9" ht="21" customHeight="1" x14ac:dyDescent="0.15">
      <c r="A11" s="5"/>
      <c r="B11" s="6" t="s">
        <v>19</v>
      </c>
      <c r="C11" s="5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9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3" t="s">
        <v>21</v>
      </c>
      <c r="O12" s="23"/>
      <c r="P12" s="23"/>
      <c r="Q12" s="23"/>
    </row>
    <row r="13" spans="1:19" ht="18.7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3">
        <v>45992</v>
      </c>
      <c r="O13" s="23"/>
      <c r="P13" s="23"/>
      <c r="Q13" s="23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</sheetData>
  <mergeCells count="4">
    <mergeCell ref="N13:Q13"/>
    <mergeCell ref="A1:Q1"/>
    <mergeCell ref="A9:C9"/>
    <mergeCell ref="N12:Q12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2025-12-02T06:38:09Z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