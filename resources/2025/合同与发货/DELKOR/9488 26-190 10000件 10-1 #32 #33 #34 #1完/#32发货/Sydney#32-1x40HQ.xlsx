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32-TMT\"/>
    </mc:Choice>
  </mc:AlternateContent>
  <xr:revisionPtr revIDLastSave="0" documentId="13_ncr:1_{30DCA3BF-4FA4-4113-8E3F-A81DD1A032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O4" i="1" s="1"/>
  <c r="K4" i="1"/>
  <c r="E4" i="1"/>
  <c r="M5" i="1"/>
  <c r="O5" i="1" s="1"/>
  <c r="K5" i="1"/>
  <c r="E5" i="1"/>
  <c r="E78" i="1"/>
  <c r="E65" i="1"/>
  <c r="L62" i="1"/>
  <c r="M61" i="1"/>
  <c r="K61" i="1"/>
  <c r="F61" i="1"/>
  <c r="M60" i="1"/>
  <c r="K60" i="1"/>
  <c r="F60" i="1"/>
  <c r="M59" i="1"/>
  <c r="K59" i="1"/>
  <c r="F59" i="1"/>
  <c r="M58" i="1"/>
  <c r="K58" i="1"/>
  <c r="F58" i="1"/>
  <c r="M57" i="1"/>
  <c r="K57" i="1"/>
  <c r="F57" i="1"/>
  <c r="M56" i="1"/>
  <c r="K56" i="1"/>
  <c r="F56" i="1"/>
  <c r="M54" i="1"/>
  <c r="O54" i="1" s="1"/>
  <c r="K54" i="1"/>
  <c r="F54" i="1"/>
  <c r="M52" i="1"/>
  <c r="O52" i="1" s="1"/>
  <c r="K52" i="1"/>
  <c r="F52" i="1"/>
  <c r="M51" i="1"/>
  <c r="N51" i="1" s="1"/>
  <c r="K51" i="1"/>
  <c r="O51" i="1" s="1"/>
  <c r="F51" i="1"/>
  <c r="K48" i="1"/>
  <c r="O48" i="1" s="1"/>
  <c r="G48" i="1"/>
  <c r="E48" i="1"/>
  <c r="N48" i="1" s="1"/>
  <c r="K45" i="1"/>
  <c r="O45" i="1" s="1"/>
  <c r="G45" i="1"/>
  <c r="E45" i="1" s="1"/>
  <c r="N45" i="1" s="1"/>
  <c r="G44" i="1"/>
  <c r="G43" i="1"/>
  <c r="G42" i="1"/>
  <c r="G41" i="1"/>
  <c r="G40" i="1"/>
  <c r="K39" i="1"/>
  <c r="O39" i="1" s="1"/>
  <c r="G39" i="1"/>
  <c r="G38" i="1"/>
  <c r="G37" i="1"/>
  <c r="G34" i="1"/>
  <c r="K33" i="1"/>
  <c r="O33" i="1" s="1"/>
  <c r="G33" i="1"/>
  <c r="G26" i="1"/>
  <c r="G25" i="1"/>
  <c r="K24" i="1"/>
  <c r="O24" i="1" s="1"/>
  <c r="G24" i="1"/>
  <c r="K18" i="1"/>
  <c r="O18" i="1" s="1"/>
  <c r="G18" i="1"/>
  <c r="E18" i="1"/>
  <c r="N18" i="1" s="1"/>
  <c r="G17" i="1"/>
  <c r="G16" i="1"/>
  <c r="K15" i="1"/>
  <c r="O15" i="1" s="1"/>
  <c r="K12" i="1"/>
  <c r="O12" i="1" s="1"/>
  <c r="E12" i="1"/>
  <c r="N12" i="1" s="1"/>
  <c r="M11" i="1"/>
  <c r="K11" i="1"/>
  <c r="F11" i="1"/>
  <c r="M10" i="1"/>
  <c r="K10" i="1"/>
  <c r="M9" i="1"/>
  <c r="N9" i="1" s="1"/>
  <c r="K9" i="1"/>
  <c r="M8" i="1"/>
  <c r="N8" i="1" s="1"/>
  <c r="K8" i="1"/>
  <c r="F8" i="1"/>
  <c r="M7" i="1"/>
  <c r="K7" i="1"/>
  <c r="F7" i="1"/>
  <c r="M6" i="1"/>
  <c r="K6" i="1"/>
  <c r="F6" i="1"/>
  <c r="M3" i="1"/>
  <c r="K3" i="1"/>
  <c r="F3" i="1"/>
  <c r="N4" i="1" l="1"/>
  <c r="N5" i="1"/>
  <c r="E33" i="1"/>
  <c r="N33" i="1" s="1"/>
  <c r="O8" i="1"/>
  <c r="E24" i="1"/>
  <c r="N24" i="1" s="1"/>
  <c r="E15" i="1"/>
  <c r="N15" i="1" s="1"/>
  <c r="O57" i="1"/>
  <c r="E39" i="1"/>
  <c r="N39" i="1" s="1"/>
  <c r="O59" i="1"/>
  <c r="O61" i="1"/>
  <c r="O60" i="1"/>
  <c r="O58" i="1"/>
  <c r="M62" i="1"/>
  <c r="O6" i="1"/>
  <c r="O10" i="1"/>
  <c r="O11" i="1"/>
  <c r="O3" i="1"/>
  <c r="O7" i="1"/>
  <c r="O56" i="1"/>
  <c r="N58" i="1"/>
  <c r="N60" i="1"/>
  <c r="N61" i="1"/>
  <c r="N52" i="1"/>
  <c r="O9" i="1"/>
  <c r="N59" i="1"/>
  <c r="N7" i="1"/>
  <c r="N10" i="1"/>
  <c r="N54" i="1"/>
  <c r="N56" i="1"/>
  <c r="N6" i="1"/>
  <c r="N11" i="1"/>
  <c r="N57" i="1"/>
  <c r="N3" i="1"/>
  <c r="O62" i="1" l="1"/>
  <c r="N62" i="1"/>
</calcChain>
</file>

<file path=xl/sharedStrings.xml><?xml version="1.0" encoding="utf-8"?>
<sst xmlns="http://schemas.openxmlformats.org/spreadsheetml/2006/main" count="179" uniqueCount="79">
  <si>
    <t>Sydney#32</t>
  </si>
  <si>
    <t>1x40HQ</t>
  </si>
  <si>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</si>
  <si>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</si>
  <si>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</si>
  <si>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</si>
  <si>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</si>
  <si>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</si>
  <si>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</si>
  <si>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</si>
  <si>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</si>
  <si>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</si>
  <si>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</si>
  <si>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</si>
  <si>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</si>
  <si>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</si>
  <si>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</si>
  <si>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</si>
  <si>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Fosco</t>
  </si>
  <si>
    <t>Sudelan</t>
  </si>
  <si>
    <t>Fe6 Spring Wahser</t>
  </si>
  <si>
    <t>HDPE Dowel X 165mm (Closed end)</t>
  </si>
  <si>
    <t>TMT</t>
  </si>
  <si>
    <t>26 Dia x190 Long Hex Heads 8.8 G Screwspike</t>
  </si>
  <si>
    <t>MSP00906</t>
  </si>
  <si>
    <t>Conical Spring Trailer Tangara</t>
  </si>
  <si>
    <t>MSP00909</t>
  </si>
  <si>
    <t>Conical Spring Motor Tangara</t>
  </si>
  <si>
    <t>MSP804R6</t>
  </si>
  <si>
    <t>Air Bellow CO</t>
  </si>
  <si>
    <t>Railteco</t>
  </si>
  <si>
    <t>PGF660GF01</t>
  </si>
  <si>
    <t>PGF666-CP-07</t>
  </si>
  <si>
    <t>PGF666-CP-08</t>
  </si>
  <si>
    <t>PGF657GF01</t>
  </si>
  <si>
    <t>PGF663-CP-01</t>
  </si>
  <si>
    <t>PGF663-CP-02</t>
  </si>
  <si>
    <t>PGF669GF01</t>
  </si>
  <si>
    <t>PGF659GF01</t>
  </si>
  <si>
    <t>PGF670-CP-13</t>
  </si>
  <si>
    <t>PGF670-CP-14</t>
  </si>
  <si>
    <t>PGF665-CP-05</t>
  </si>
  <si>
    <t>PGF665-CP-06</t>
  </si>
  <si>
    <t>PGF658GF01</t>
  </si>
  <si>
    <t>PGF664-CP-03</t>
  </si>
  <si>
    <t>PGF664-CP-04</t>
  </si>
  <si>
    <t>MSP00894</t>
  </si>
  <si>
    <t>Axle Box Casting to Drawing # P230-01488</t>
  </si>
  <si>
    <t>Tie Bar Casting Detail to Drawing # P230-01496</t>
  </si>
  <si>
    <t>Tie Bar Casting OH to Drawing # P230-01515</t>
  </si>
  <si>
    <t>Lower Spring Seat to Drawing # P230-01561</t>
  </si>
  <si>
    <t>Upper Spring Seat to Drawing # P230-01562</t>
  </si>
  <si>
    <t>MSP00892</t>
  </si>
  <si>
    <t>Single Guide Link Assembly</t>
  </si>
  <si>
    <t xml:space="preserve">Double Guide Link Assembly </t>
  </si>
  <si>
    <t>Traction Cap Casting Detail</t>
  </si>
  <si>
    <t>Traction Centre</t>
  </si>
  <si>
    <t>Middle Guide Link Bracket Casting</t>
  </si>
  <si>
    <t>Guide Link Bracket</t>
  </si>
  <si>
    <t>MSP00914</t>
  </si>
  <si>
    <t>Bankstown   TMT</t>
  </si>
  <si>
    <t>Campsie    TMT</t>
  </si>
  <si>
    <t>Canterbury   TMT</t>
  </si>
  <si>
    <t>Dulwich Hill   TMT</t>
  </si>
  <si>
    <t>Hurlstone Park             TMT</t>
  </si>
  <si>
    <t>Lakemba     TMT</t>
  </si>
  <si>
    <t>Marrickville   TMT</t>
  </si>
  <si>
    <t>Wiley Park    TMT</t>
  </si>
  <si>
    <t>X2</t>
  </si>
  <si>
    <t>x4</t>
  </si>
  <si>
    <t>X4</t>
  </si>
  <si>
    <t>x3+1+1</t>
  </si>
  <si>
    <t>1.27x2+4x1.16</t>
  </si>
  <si>
    <t>x3+1.16x2</t>
  </si>
  <si>
    <t>x3+2x1.16x2</t>
  </si>
  <si>
    <t>x6</t>
  </si>
  <si>
    <t>x2+4</t>
  </si>
  <si>
    <t>实木熏蒸箱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</si>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</sst>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;[Red]\-0.00\ "/>
    <numFmt numFmtId="165" formatCode="0.00_ "/>
    <numFmt numFmtId="166" formatCode="[$-C09]d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166" fontId="1" fillId="0" borderId="0"/>
    <xf numFmtId="0" fontId="1" fillId="0" borderId="0">
      <alignment vertical="center"/>
    </xf>
    <xf numFmtId="166" fontId="1" fillId="0" borderId="0"/>
  </cellStyleXfs>
  <cellXfs count="10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3" xfId="2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 shrinkToFit="1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/>
    <xf numFmtId="2" fontId="6" fillId="0" borderId="3" xfId="2" applyNumberFormat="1" applyFon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0" fillId="0" borderId="1" xfId="0" applyNumberFormat="1" applyBorder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1" fillId="0" borderId="3" xfId="0" applyNumberFormat="1" applyFont="1" applyBorder="1"/>
    <xf numFmtId="0" fontId="0" fillId="0" borderId="3" xfId="0" applyBorder="1" applyAlignment="1">
      <alignment horizontal="left" vertical="center"/>
    </xf>
    <xf numFmtId="2" fontId="0" fillId="4" borderId="3" xfId="0" applyNumberFormat="1" applyFill="1" applyBorder="1" applyAlignment="1">
      <alignment horizontal="center" vertical="center"/>
    </xf>
    <xf numFmtId="2" fontId="0" fillId="0" borderId="3" xfId="0" applyNumberFormat="1" applyBorder="1"/>
    <xf numFmtId="14" fontId="0" fillId="0" borderId="3" xfId="0" applyNumberFormat="1" applyBorder="1"/>
    <xf numFmtId="0" fontId="0" fillId="6" borderId="0" xfId="0" applyFill="1"/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3" fillId="6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4" fontId="0" fillId="6" borderId="3" xfId="0" applyNumberFormat="1" applyFill="1" applyBorder="1"/>
    <xf numFmtId="0" fontId="1" fillId="6" borderId="0" xfId="0" applyFont="1" applyFill="1"/>
    <xf numFmtId="2" fontId="0" fillId="6" borderId="3" xfId="2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2" fontId="0" fillId="0" borderId="3" xfId="1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5" fontId="7" fillId="0" borderId="1" xfId="2" applyNumberFormat="1" applyFont="1" applyBorder="1" applyAlignment="1">
      <alignment horizontal="center" vertical="center"/>
    </xf>
    <xf numFmtId="165" fontId="7" fillId="0" borderId="3" xfId="2" applyNumberFormat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7" fillId="5" borderId="1" xfId="2" applyNumberFormat="1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 wrapText="1"/>
    </xf>
    <xf numFmtId="165" fontId="7" fillId="0" borderId="2" xfId="2" applyNumberFormat="1" applyFont="1" applyBorder="1" applyAlignment="1">
      <alignment horizontal="center" vertical="center"/>
    </xf>
    <xf numFmtId="164" fontId="7" fillId="0" borderId="2" xfId="2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7" fillId="5" borderId="2" xfId="2" applyNumberFormat="1" applyFont="1" applyFill="1" applyBorder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 wrapText="1"/>
    </xf>
    <xf numFmtId="165" fontId="7" fillId="0" borderId="5" xfId="2" applyNumberFormat="1" applyFont="1" applyBorder="1" applyAlignment="1">
      <alignment horizontal="center" vertical="center"/>
    </xf>
    <xf numFmtId="164" fontId="7" fillId="0" borderId="5" xfId="2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7" fillId="5" borderId="5" xfId="2" applyNumberFormat="1" applyFont="1" applyFill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 wrapText="1"/>
    </xf>
    <xf numFmtId="165" fontId="7" fillId="0" borderId="3" xfId="2" applyNumberFormat="1" applyFont="1" applyBorder="1" applyAlignment="1">
      <alignment horizontal="center" vertical="center"/>
    </xf>
    <xf numFmtId="164" fontId="7" fillId="0" borderId="3" xfId="2" applyNumberFormat="1" applyFont="1" applyBorder="1" applyAlignment="1">
      <alignment horizontal="center" vertical="center"/>
    </xf>
    <xf numFmtId="165" fontId="7" fillId="5" borderId="3" xfId="2" applyNumberFormat="1" applyFont="1" applyFill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 wrapText="1"/>
    </xf>
    <xf numFmtId="1" fontId="8" fillId="8" borderId="5" xfId="0" applyNumberFormat="1" applyFont="1" applyFill="1" applyBorder="1" applyAlignment="1">
      <alignment horizontal="center" vertical="center" wrapText="1"/>
    </xf>
    <xf numFmtId="1" fontId="8" fillId="9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1" fontId="8" fillId="10" borderId="3" xfId="0" applyNumberFormat="1" applyFont="1" applyFill="1" applyBorder="1" applyAlignment="1">
      <alignment horizontal="center" vertical="center" wrapText="1"/>
    </xf>
    <xf numFmtId="1" fontId="8" fillId="11" borderId="3" xfId="0" applyNumberFormat="1" applyFont="1" applyFill="1" applyBorder="1" applyAlignment="1">
      <alignment horizontal="center" vertical="center" wrapText="1"/>
    </xf>
    <xf numFmtId="1" fontId="8" fillId="12" borderId="3" xfId="0" applyNumberFormat="1" applyFont="1" applyFill="1" applyBorder="1" applyAlignment="1">
      <alignment horizontal="center" vertical="center" wrapText="1"/>
    </xf>
    <xf numFmtId="1" fontId="9" fillId="13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" fontId="9" fillId="14" borderId="3" xfId="0" applyNumberFormat="1" applyFont="1" applyFill="1" applyBorder="1" applyAlignment="1">
      <alignment horizontal="center" vertical="center" wrapText="1"/>
    </xf>
    <xf numFmtId="1" fontId="0" fillId="15" borderId="0" xfId="0" applyNumberFormat="1" applyFill="1" applyAlignment="1">
      <alignment horizontal="center" vertical="center"/>
    </xf>
    <xf numFmtId="0" fontId="0" fillId="15" borderId="3" xfId="0" applyFill="1" applyBorder="1" applyAlignment="1">
      <alignment horizontal="center"/>
    </xf>
    <xf numFmtId="166" fontId="0" fillId="15" borderId="3" xfId="2" applyFont="1" applyFill="1" applyBorder="1" applyAlignment="1">
      <alignment horizontal="center" vertical="center"/>
    </xf>
    <xf numFmtId="2" fontId="1" fillId="15" borderId="3" xfId="0" applyNumberFormat="1" applyFont="1" applyFill="1" applyBorder="1" applyAlignment="1">
      <alignment horizontal="center" vertical="center"/>
    </xf>
    <xf numFmtId="2" fontId="1" fillId="15" borderId="3" xfId="0" applyNumberFormat="1" applyFont="1" applyFill="1" applyBorder="1"/>
    <xf numFmtId="14" fontId="0" fillId="15" borderId="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15" borderId="5" xfId="0" applyNumberForma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1" fontId="0" fillId="15" borderId="3" xfId="0" applyNumberFormat="1" applyFill="1" applyBorder="1" applyAlignment="1">
      <alignment horizontal="center" vertical="center"/>
    </xf>
    <xf numFmtId="2" fontId="0" fillId="15" borderId="3" xfId="0" applyNumberFormat="1" applyFill="1" applyBorder="1" applyAlignment="1">
      <alignment horizontal="center" vertical="center"/>
    </xf>
    <xf numFmtId="2" fontId="0" fillId="15" borderId="3" xfId="0" applyNumberFormat="1" applyFill="1" applyBorder="1"/>
    <xf numFmtId="0" fontId="0" fillId="15" borderId="0" xfId="0" applyFill="1"/>
    <xf numFmtId="0" fontId="0" fillId="0" borderId="0" xfId="0" applyAlignment="1">
      <alignment horizontal="center"/>
    </xf>
    <xf numFmtId="0" fontId="0" fillId="1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3" xfId="0" applyFill="1" applyBorder="1" applyAlignment="1">
      <alignment horizontal="center" wrapText="1"/>
    </xf>
    <xf numFmtId="0" fontId="0" fillId="15" borderId="3" xfId="0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5" borderId="0" xfId="0" applyFill="1" applyAlignment="1">
      <alignment horizontal="center"/>
    </xf>
  </cellXfs>
  <cellStyles count="5">
    <cellStyle name="Good" xfId="1" builtinId="26"/>
    <cellStyle name="Normal" xfId="0" builtinId="0"/>
    <cellStyle name="Normal 10" xfId="3" xr:uid="{D3B4FEB1-3897-4B3B-B0B0-025FFFE74103}"/>
    <cellStyle name="Normal 3 2" xfId="2" xr:uid="{32AF2DAD-D890-48D8-AD52-0D67F1BC72DE}"/>
    <cellStyle name="Normal 3 2 3" xfId="4" xr:uid="{1359BBA0-84A2-495A-99E5-64B2083748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workbookViewId="0">
      <selection activeCell="L12" sqref="L12:L14"/>
    </sheetView>
  </sheetViews>
  <sheetFormatPr defaultRowHeight="14.4" x14ac:dyDescent="0.3"/>
  <cols>
    <col min="1" max="1" width="9.6640625" bestFit="1" customWidth="1"/>
    <col min="2" max="2" width="13.44140625" bestFit="1" customWidth="1"/>
    <col min="3" max="3" width="53.33203125" bestFit="1" customWidth="1"/>
    <col min="16" max="16" width="10.5546875" bestFit="1" customWidth="1"/>
  </cols>
  <sheetData>
    <row r="1" spans="1:17" x14ac:dyDescent="0.3">
      <c r="A1" s="1">
        <v>45994</v>
      </c>
      <c r="B1" t="s">
        <v>0</v>
      </c>
      <c r="C1" s="1"/>
      <c r="D1" t="s">
        <v>1</v>
      </c>
      <c r="M1" s="2"/>
    </row>
    <row r="2" spans="1:17" ht="41.4" x14ac:dyDescent="0.3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5" t="s">
        <v>17</v>
      </c>
    </row>
    <row r="3" spans="1:17" x14ac:dyDescent="0.3">
      <c r="A3" s="6">
        <v>9342</v>
      </c>
      <c r="B3" s="11" t="s">
        <v>19</v>
      </c>
      <c r="C3" s="12" t="s">
        <v>20</v>
      </c>
      <c r="D3" s="9">
        <v>4000</v>
      </c>
      <c r="E3" s="13">
        <v>424</v>
      </c>
      <c r="F3" s="13">
        <f>E3-G3</f>
        <v>52</v>
      </c>
      <c r="G3" s="13">
        <v>372</v>
      </c>
      <c r="H3" s="13">
        <v>1.1000000000000001</v>
      </c>
      <c r="I3" s="13">
        <v>0.8</v>
      </c>
      <c r="J3" s="13">
        <v>0.55000000000000004</v>
      </c>
      <c r="K3" s="13">
        <f t="shared" ref="K3:K5" si="0">H3*I3*J3</f>
        <v>0.4840000000000001</v>
      </c>
      <c r="L3" s="9">
        <v>4000</v>
      </c>
      <c r="M3" s="7">
        <f t="shared" ref="M3:M5" si="1">L3/D3</f>
        <v>1</v>
      </c>
      <c r="N3" s="7">
        <f t="shared" ref="N3:N5" si="2">M3*E3</f>
        <v>424</v>
      </c>
      <c r="O3" s="7">
        <f t="shared" ref="O3:O5" si="3">M3*K3</f>
        <v>0.4840000000000001</v>
      </c>
      <c r="P3" s="10">
        <v>45674</v>
      </c>
    </row>
    <row r="4" spans="1:17" x14ac:dyDescent="0.3">
      <c r="A4" s="6">
        <v>9440</v>
      </c>
      <c r="B4" s="14" t="s">
        <v>18</v>
      </c>
      <c r="C4" s="15" t="s">
        <v>21</v>
      </c>
      <c r="D4" s="6">
        <v>2000</v>
      </c>
      <c r="E4" s="16">
        <f>G4+F4</f>
        <v>170</v>
      </c>
      <c r="F4" s="9">
        <v>50</v>
      </c>
      <c r="G4" s="16">
        <v>120</v>
      </c>
      <c r="H4" s="9">
        <v>1.1000000000000001</v>
      </c>
      <c r="I4" s="9">
        <v>1.1000000000000001</v>
      </c>
      <c r="J4" s="9">
        <v>0.8</v>
      </c>
      <c r="K4" s="17">
        <f t="shared" si="0"/>
        <v>0.96800000000000019</v>
      </c>
      <c r="L4" s="9">
        <v>12000</v>
      </c>
      <c r="M4" s="36">
        <f t="shared" si="1"/>
        <v>6</v>
      </c>
      <c r="N4" s="18">
        <f t="shared" si="2"/>
        <v>1020</v>
      </c>
      <c r="O4" s="18">
        <f t="shared" si="3"/>
        <v>5.8080000000000016</v>
      </c>
      <c r="P4" s="1">
        <v>45900</v>
      </c>
      <c r="Q4" t="s">
        <v>77</v>
      </c>
    </row>
    <row r="5" spans="1:17" x14ac:dyDescent="0.3">
      <c r="A5" s="6">
        <v>9440</v>
      </c>
      <c r="B5" s="14" t="s">
        <v>18</v>
      </c>
      <c r="C5" s="15" t="s">
        <v>21</v>
      </c>
      <c r="D5" s="6">
        <v>1000</v>
      </c>
      <c r="E5" s="16">
        <f>G5+F5</f>
        <v>110</v>
      </c>
      <c r="F5" s="9">
        <v>50</v>
      </c>
      <c r="G5" s="16">
        <v>60</v>
      </c>
      <c r="H5" s="9">
        <v>1.1000000000000001</v>
      </c>
      <c r="I5" s="9">
        <v>1.1000000000000001</v>
      </c>
      <c r="J5" s="9">
        <v>0.7</v>
      </c>
      <c r="K5" s="17">
        <f t="shared" si="0"/>
        <v>0.84700000000000009</v>
      </c>
      <c r="L5" s="9">
        <v>6000</v>
      </c>
      <c r="M5" s="36">
        <f t="shared" si="1"/>
        <v>6</v>
      </c>
      <c r="N5" s="18">
        <f t="shared" si="2"/>
        <v>660</v>
      </c>
      <c r="O5" s="18">
        <f t="shared" si="3"/>
        <v>5.0820000000000007</v>
      </c>
      <c r="P5" s="1">
        <v>45900</v>
      </c>
      <c r="Q5" t="s">
        <v>77</v>
      </c>
    </row>
    <row r="6" spans="1:17" x14ac:dyDescent="0.3">
      <c r="A6" s="22">
        <v>9439</v>
      </c>
      <c r="B6" s="23" t="s">
        <v>19</v>
      </c>
      <c r="C6" s="15" t="s">
        <v>23</v>
      </c>
      <c r="D6" s="19">
        <v>800</v>
      </c>
      <c r="E6" s="20">
        <v>690</v>
      </c>
      <c r="F6" s="20">
        <f t="shared" ref="F6:F8" si="4">E6-G6</f>
        <v>40</v>
      </c>
      <c r="G6" s="20">
        <v>650</v>
      </c>
      <c r="H6" s="20">
        <v>1.1000000000000001</v>
      </c>
      <c r="I6" s="20">
        <v>0.8</v>
      </c>
      <c r="J6" s="20">
        <v>0.55000000000000004</v>
      </c>
      <c r="K6" s="7">
        <f t="shared" ref="K6:K9" si="5">H6*I6*J6</f>
        <v>0.4840000000000001</v>
      </c>
      <c r="L6" s="9">
        <v>400</v>
      </c>
      <c r="M6" s="24">
        <f>L6/D6</f>
        <v>0.5</v>
      </c>
      <c r="N6" s="26">
        <f t="shared" ref="N6:N9" si="6">M6*E6</f>
        <v>345</v>
      </c>
      <c r="O6" s="26">
        <f t="shared" ref="O6" si="7">M6*K6</f>
        <v>0.24200000000000005</v>
      </c>
      <c r="P6" s="1">
        <v>45900</v>
      </c>
    </row>
    <row r="7" spans="1:17" ht="13.8" customHeight="1" x14ac:dyDescent="0.3">
      <c r="A7" s="6">
        <v>9462</v>
      </c>
      <c r="B7" s="11" t="s">
        <v>19</v>
      </c>
      <c r="C7" s="12" t="s">
        <v>20</v>
      </c>
      <c r="D7" s="9">
        <v>4000</v>
      </c>
      <c r="E7" s="13">
        <v>424</v>
      </c>
      <c r="F7" s="13">
        <f t="shared" si="4"/>
        <v>52</v>
      </c>
      <c r="G7" s="13">
        <v>372</v>
      </c>
      <c r="H7" s="13">
        <v>1.1000000000000001</v>
      </c>
      <c r="I7" s="13">
        <v>0.8</v>
      </c>
      <c r="J7" s="13">
        <v>0.55000000000000004</v>
      </c>
      <c r="K7" s="13">
        <f t="shared" si="5"/>
        <v>0.4840000000000001</v>
      </c>
      <c r="L7" s="9">
        <v>16000</v>
      </c>
      <c r="M7" s="7">
        <f t="shared" ref="M7:M8" si="8">L7/D7</f>
        <v>4</v>
      </c>
      <c r="N7" s="7">
        <f t="shared" si="6"/>
        <v>1696</v>
      </c>
      <c r="O7" s="7">
        <f t="shared" ref="O7" si="9">M7*K7</f>
        <v>1.9360000000000004</v>
      </c>
      <c r="P7" s="10">
        <v>45960</v>
      </c>
    </row>
    <row r="8" spans="1:17" x14ac:dyDescent="0.3">
      <c r="A8" s="27">
        <v>9488</v>
      </c>
      <c r="B8" s="28" t="s">
        <v>19</v>
      </c>
      <c r="C8" s="15" t="s">
        <v>23</v>
      </c>
      <c r="D8" s="19">
        <v>800</v>
      </c>
      <c r="E8" s="20">
        <v>690</v>
      </c>
      <c r="F8" s="20">
        <f t="shared" si="4"/>
        <v>40</v>
      </c>
      <c r="G8" s="20">
        <v>650</v>
      </c>
      <c r="H8" s="20">
        <v>1.1000000000000001</v>
      </c>
      <c r="I8" s="20">
        <v>0.8</v>
      </c>
      <c r="J8" s="20">
        <v>0.55000000000000004</v>
      </c>
      <c r="K8" s="7">
        <f t="shared" si="5"/>
        <v>0.4840000000000001</v>
      </c>
      <c r="L8" s="2">
        <v>2400</v>
      </c>
      <c r="M8" s="25">
        <f t="shared" si="8"/>
        <v>3</v>
      </c>
      <c r="N8" s="29">
        <f t="shared" si="6"/>
        <v>2070</v>
      </c>
      <c r="O8" s="29">
        <f t="shared" ref="O8" si="10">K8*M8</f>
        <v>1.4520000000000004</v>
      </c>
      <c r="P8" s="1">
        <v>45991</v>
      </c>
    </row>
    <row r="9" spans="1:17" x14ac:dyDescent="0.3">
      <c r="A9" s="6" t="s">
        <v>24</v>
      </c>
      <c r="B9" s="14" t="s">
        <v>22</v>
      </c>
      <c r="C9" s="30" t="s">
        <v>25</v>
      </c>
      <c r="D9" s="18">
        <v>8</v>
      </c>
      <c r="E9" s="14">
        <v>249</v>
      </c>
      <c r="F9" s="14">
        <v>30</v>
      </c>
      <c r="G9" s="14">
        <v>219</v>
      </c>
      <c r="H9" s="14">
        <v>0.91</v>
      </c>
      <c r="I9" s="14">
        <v>0.91</v>
      </c>
      <c r="J9" s="14">
        <v>0.49</v>
      </c>
      <c r="K9" s="7">
        <f t="shared" si="5"/>
        <v>0.40576900000000005</v>
      </c>
      <c r="L9" s="8">
        <v>48</v>
      </c>
      <c r="M9" s="31">
        <f>L9/D9</f>
        <v>6</v>
      </c>
      <c r="N9" s="32">
        <f t="shared" si="6"/>
        <v>1494</v>
      </c>
      <c r="O9" s="32">
        <f t="shared" ref="O9" si="11">M9*K9</f>
        <v>2.4346140000000003</v>
      </c>
      <c r="P9" s="33">
        <v>45960</v>
      </c>
    </row>
    <row r="10" spans="1:17" x14ac:dyDescent="0.3">
      <c r="A10" s="6" t="s">
        <v>26</v>
      </c>
      <c r="B10" s="14" t="s">
        <v>22</v>
      </c>
      <c r="C10" s="30" t="s">
        <v>27</v>
      </c>
      <c r="D10" s="18">
        <v>8</v>
      </c>
      <c r="E10" s="14">
        <v>249</v>
      </c>
      <c r="F10" s="14">
        <v>30</v>
      </c>
      <c r="G10" s="14">
        <v>219</v>
      </c>
      <c r="H10" s="14">
        <v>0.91</v>
      </c>
      <c r="I10" s="14">
        <v>0.91</v>
      </c>
      <c r="J10" s="14">
        <v>0.49</v>
      </c>
      <c r="K10" s="7">
        <f>H10*I10*J10</f>
        <v>0.40576900000000005</v>
      </c>
      <c r="L10" s="8">
        <v>16</v>
      </c>
      <c r="M10" s="31">
        <f>L10/D10</f>
        <v>2</v>
      </c>
      <c r="N10" s="32">
        <f>M10*E10</f>
        <v>498</v>
      </c>
      <c r="O10" s="32">
        <f>M10*K10</f>
        <v>0.81153800000000009</v>
      </c>
      <c r="P10" s="33">
        <v>45960</v>
      </c>
    </row>
    <row r="11" spans="1:17" ht="17.399999999999999" customHeight="1" x14ac:dyDescent="0.3">
      <c r="A11" s="40" t="s">
        <v>28</v>
      </c>
      <c r="B11" s="34" t="s">
        <v>22</v>
      </c>
      <c r="C11" s="43" t="s">
        <v>29</v>
      </c>
      <c r="D11" s="35">
        <v>4</v>
      </c>
      <c r="E11" s="41">
        <v>109</v>
      </c>
      <c r="F11" s="41">
        <f t="shared" ref="F11" si="12">E11-G11</f>
        <v>49.5</v>
      </c>
      <c r="G11" s="41">
        <v>59.5</v>
      </c>
      <c r="H11" s="41">
        <v>0.88</v>
      </c>
      <c r="I11" s="41">
        <v>0.88</v>
      </c>
      <c r="J11" s="41">
        <v>0.83</v>
      </c>
      <c r="K11" s="42">
        <f t="shared" ref="K11" si="13">H11*I11*J11</f>
        <v>0.64275199999999999</v>
      </c>
      <c r="L11" s="37">
        <v>8</v>
      </c>
      <c r="M11" s="38">
        <f t="shared" ref="M11" si="14">L11/D11</f>
        <v>2</v>
      </c>
      <c r="N11" s="36">
        <f t="shared" ref="N11" si="15">M11*E11</f>
        <v>218</v>
      </c>
      <c r="O11" s="36">
        <f t="shared" ref="O11" si="16">M11*K11</f>
        <v>1.285504</v>
      </c>
      <c r="P11" s="39">
        <v>45999</v>
      </c>
    </row>
    <row r="12" spans="1:17" x14ac:dyDescent="0.3">
      <c r="A12" s="27" t="s">
        <v>59</v>
      </c>
      <c r="B12" s="45" t="s">
        <v>60</v>
      </c>
      <c r="C12" s="46" t="s">
        <v>31</v>
      </c>
      <c r="D12" s="47">
        <v>4</v>
      </c>
      <c r="E12" s="48">
        <f>SUM(F12:G14)</f>
        <v>101</v>
      </c>
      <c r="F12" s="48">
        <v>32</v>
      </c>
      <c r="G12" s="49">
        <v>46</v>
      </c>
      <c r="H12" s="50">
        <v>0.67</v>
      </c>
      <c r="I12" s="50">
        <v>0.62</v>
      </c>
      <c r="J12" s="50">
        <v>0.46</v>
      </c>
      <c r="K12" s="50">
        <f>H12*I12*J12</f>
        <v>0.19108400000000003</v>
      </c>
      <c r="L12" s="51">
        <v>6</v>
      </c>
      <c r="M12" s="52">
        <v>1</v>
      </c>
      <c r="N12" s="50">
        <f>E12</f>
        <v>101</v>
      </c>
      <c r="O12" s="50">
        <f>K12</f>
        <v>0.19108400000000003</v>
      </c>
      <c r="P12" s="1">
        <v>45994</v>
      </c>
    </row>
    <row r="13" spans="1:17" x14ac:dyDescent="0.3">
      <c r="A13" s="27" t="s">
        <v>59</v>
      </c>
      <c r="B13" s="53"/>
      <c r="C13" s="46" t="s">
        <v>32</v>
      </c>
      <c r="D13" s="47">
        <v>1</v>
      </c>
      <c r="E13" s="54"/>
      <c r="F13" s="54"/>
      <c r="G13" s="49">
        <v>11.5</v>
      </c>
      <c r="H13" s="55"/>
      <c r="I13" s="55"/>
      <c r="J13" s="55"/>
      <c r="K13" s="55"/>
      <c r="L13" s="56"/>
      <c r="M13" s="57"/>
      <c r="N13" s="55"/>
      <c r="O13" s="55"/>
      <c r="P13" s="1">
        <v>45994</v>
      </c>
    </row>
    <row r="14" spans="1:17" x14ac:dyDescent="0.3">
      <c r="A14" s="27" t="s">
        <v>59</v>
      </c>
      <c r="B14" s="58"/>
      <c r="C14" s="46" t="s">
        <v>33</v>
      </c>
      <c r="D14" s="47">
        <v>1</v>
      </c>
      <c r="E14" s="59"/>
      <c r="F14" s="59"/>
      <c r="G14" s="49">
        <v>11.5</v>
      </c>
      <c r="H14" s="60"/>
      <c r="I14" s="60"/>
      <c r="J14" s="60"/>
      <c r="K14" s="60"/>
      <c r="L14" s="61"/>
      <c r="M14" s="62"/>
      <c r="N14" s="60"/>
      <c r="O14" s="60"/>
      <c r="P14" s="1">
        <v>45994</v>
      </c>
    </row>
    <row r="15" spans="1:17" x14ac:dyDescent="0.3">
      <c r="A15" s="27" t="s">
        <v>59</v>
      </c>
      <c r="B15" s="63" t="s">
        <v>61</v>
      </c>
      <c r="C15" s="46" t="s">
        <v>34</v>
      </c>
      <c r="D15" s="47">
        <v>8</v>
      </c>
      <c r="E15" s="64">
        <f>SUM(F15:G17)</f>
        <v>168.4</v>
      </c>
      <c r="F15" s="64">
        <v>39.6</v>
      </c>
      <c r="G15" s="49">
        <v>86</v>
      </c>
      <c r="H15" s="65">
        <v>0.94</v>
      </c>
      <c r="I15" s="65">
        <v>0.62</v>
      </c>
      <c r="J15" s="65">
        <v>0.46</v>
      </c>
      <c r="K15" s="65">
        <f>H15*I15*J15</f>
        <v>0.26808799999999999</v>
      </c>
      <c r="L15" s="51">
        <v>12</v>
      </c>
      <c r="M15" s="66">
        <v>1</v>
      </c>
      <c r="N15" s="64">
        <f>E15</f>
        <v>168.4</v>
      </c>
      <c r="O15" s="64">
        <f>K15</f>
        <v>0.26808799999999999</v>
      </c>
      <c r="P15" s="1">
        <v>45994</v>
      </c>
    </row>
    <row r="16" spans="1:17" x14ac:dyDescent="0.3">
      <c r="A16" s="27" t="s">
        <v>59</v>
      </c>
      <c r="B16" s="67"/>
      <c r="C16" s="46" t="s">
        <v>35</v>
      </c>
      <c r="D16" s="47">
        <v>2</v>
      </c>
      <c r="E16" s="64"/>
      <c r="F16" s="64"/>
      <c r="G16" s="49">
        <f>10.7*2</f>
        <v>21.4</v>
      </c>
      <c r="H16" s="65"/>
      <c r="I16" s="65"/>
      <c r="J16" s="65"/>
      <c r="K16" s="65"/>
      <c r="L16" s="56"/>
      <c r="M16" s="66"/>
      <c r="N16" s="64"/>
      <c r="O16" s="64"/>
      <c r="P16" s="1">
        <v>45994</v>
      </c>
    </row>
    <row r="17" spans="1:16" x14ac:dyDescent="0.3">
      <c r="A17" s="27" t="s">
        <v>59</v>
      </c>
      <c r="B17" s="68"/>
      <c r="C17" s="46" t="s">
        <v>36</v>
      </c>
      <c r="D17" s="47">
        <v>2</v>
      </c>
      <c r="E17" s="64"/>
      <c r="F17" s="64"/>
      <c r="G17" s="49">
        <f>10.7*2</f>
        <v>21.4</v>
      </c>
      <c r="H17" s="65"/>
      <c r="I17" s="65"/>
      <c r="J17" s="65"/>
      <c r="K17" s="65"/>
      <c r="L17" s="61"/>
      <c r="M17" s="66"/>
      <c r="N17" s="64"/>
      <c r="O17" s="64"/>
      <c r="P17" s="1">
        <v>45994</v>
      </c>
    </row>
    <row r="18" spans="1:16" x14ac:dyDescent="0.3">
      <c r="A18" s="27" t="s">
        <v>59</v>
      </c>
      <c r="B18" s="69" t="s">
        <v>62</v>
      </c>
      <c r="C18" s="70" t="s">
        <v>37</v>
      </c>
      <c r="D18" s="47">
        <v>4</v>
      </c>
      <c r="E18" s="71">
        <f>SUM(F18:G23)</f>
        <v>169.79999999999998</v>
      </c>
      <c r="F18" s="71">
        <v>44.4</v>
      </c>
      <c r="G18" s="72">
        <f>9.3*4</f>
        <v>37.200000000000003</v>
      </c>
      <c r="H18" s="71">
        <v>1</v>
      </c>
      <c r="I18" s="73">
        <v>0.62</v>
      </c>
      <c r="J18" s="73">
        <v>0.46</v>
      </c>
      <c r="K18" s="71">
        <f>H18*I18*J18</f>
        <v>0.28520000000000001</v>
      </c>
      <c r="L18" s="51">
        <v>12</v>
      </c>
      <c r="M18" s="74">
        <v>1</v>
      </c>
      <c r="N18" s="71">
        <f>E18</f>
        <v>169.79999999999998</v>
      </c>
      <c r="O18" s="71">
        <f>K18</f>
        <v>0.28520000000000001</v>
      </c>
      <c r="P18" s="1">
        <v>45994</v>
      </c>
    </row>
    <row r="19" spans="1:16" x14ac:dyDescent="0.3">
      <c r="A19" s="27" t="s">
        <v>59</v>
      </c>
      <c r="B19" s="69"/>
      <c r="C19" s="70" t="s">
        <v>38</v>
      </c>
      <c r="D19" s="47">
        <v>4</v>
      </c>
      <c r="E19" s="71"/>
      <c r="F19" s="71"/>
      <c r="G19" s="72">
        <v>45</v>
      </c>
      <c r="H19" s="71"/>
      <c r="I19" s="73"/>
      <c r="J19" s="73"/>
      <c r="K19" s="71"/>
      <c r="L19" s="56"/>
      <c r="M19" s="74"/>
      <c r="N19" s="71"/>
      <c r="O19" s="71"/>
      <c r="P19" s="1">
        <v>45994</v>
      </c>
    </row>
    <row r="20" spans="1:16" x14ac:dyDescent="0.3">
      <c r="A20" s="27" t="s">
        <v>59</v>
      </c>
      <c r="B20" s="69"/>
      <c r="C20" s="70" t="s">
        <v>39</v>
      </c>
      <c r="D20" s="47">
        <v>1</v>
      </c>
      <c r="E20" s="71"/>
      <c r="F20" s="71"/>
      <c r="G20" s="72">
        <v>10.6</v>
      </c>
      <c r="H20" s="71"/>
      <c r="I20" s="73"/>
      <c r="J20" s="73"/>
      <c r="K20" s="71"/>
      <c r="L20" s="56"/>
      <c r="M20" s="74"/>
      <c r="N20" s="71"/>
      <c r="O20" s="71"/>
      <c r="P20" s="1">
        <v>45994</v>
      </c>
    </row>
    <row r="21" spans="1:16" x14ac:dyDescent="0.3">
      <c r="A21" s="27" t="s">
        <v>59</v>
      </c>
      <c r="B21" s="69"/>
      <c r="C21" s="70" t="s">
        <v>40</v>
      </c>
      <c r="D21" s="47">
        <v>1</v>
      </c>
      <c r="E21" s="71"/>
      <c r="F21" s="71"/>
      <c r="G21" s="72">
        <v>10.6</v>
      </c>
      <c r="H21" s="71"/>
      <c r="I21" s="73"/>
      <c r="J21" s="73"/>
      <c r="K21" s="71"/>
      <c r="L21" s="56"/>
      <c r="M21" s="74"/>
      <c r="N21" s="71"/>
      <c r="O21" s="71"/>
      <c r="P21" s="1">
        <v>45994</v>
      </c>
    </row>
    <row r="22" spans="1:16" x14ac:dyDescent="0.3">
      <c r="A22" s="27" t="s">
        <v>59</v>
      </c>
      <c r="B22" s="69"/>
      <c r="C22" s="70" t="s">
        <v>41</v>
      </c>
      <c r="D22" s="47">
        <v>1</v>
      </c>
      <c r="E22" s="71"/>
      <c r="F22" s="71"/>
      <c r="G22" s="72">
        <v>11</v>
      </c>
      <c r="H22" s="71"/>
      <c r="I22" s="73"/>
      <c r="J22" s="73"/>
      <c r="K22" s="71"/>
      <c r="L22" s="56"/>
      <c r="M22" s="74"/>
      <c r="N22" s="71"/>
      <c r="O22" s="71"/>
      <c r="P22" s="1">
        <v>45994</v>
      </c>
    </row>
    <row r="23" spans="1:16" x14ac:dyDescent="0.3">
      <c r="A23" s="27" t="s">
        <v>59</v>
      </c>
      <c r="B23" s="69"/>
      <c r="C23" s="70" t="s">
        <v>42</v>
      </c>
      <c r="D23" s="47">
        <v>1</v>
      </c>
      <c r="E23" s="71"/>
      <c r="F23" s="71"/>
      <c r="G23" s="72">
        <v>11</v>
      </c>
      <c r="H23" s="71"/>
      <c r="I23" s="73"/>
      <c r="J23" s="73"/>
      <c r="K23" s="71"/>
      <c r="L23" s="61"/>
      <c r="M23" s="74"/>
      <c r="N23" s="71"/>
      <c r="O23" s="71"/>
      <c r="P23" s="1">
        <v>45994</v>
      </c>
    </row>
    <row r="24" spans="1:16" x14ac:dyDescent="0.3">
      <c r="A24" s="27" t="s">
        <v>59</v>
      </c>
      <c r="B24" s="75" t="s">
        <v>63</v>
      </c>
      <c r="C24" s="70" t="s">
        <v>37</v>
      </c>
      <c r="D24" s="47">
        <v>4</v>
      </c>
      <c r="E24" s="71">
        <f>SUM(F24:G32)</f>
        <v>242.99999999999997</v>
      </c>
      <c r="F24" s="71">
        <v>56.9</v>
      </c>
      <c r="G24" s="72">
        <f>9.3*4</f>
        <v>37.200000000000003</v>
      </c>
      <c r="H24" s="71">
        <v>1.19</v>
      </c>
      <c r="I24" s="71">
        <v>0.77</v>
      </c>
      <c r="J24" s="71">
        <v>0.46</v>
      </c>
      <c r="K24" s="71">
        <f>H24*I24*J24</f>
        <v>0.42149800000000004</v>
      </c>
      <c r="L24" s="51">
        <v>18</v>
      </c>
      <c r="M24" s="74">
        <v>1</v>
      </c>
      <c r="N24" s="71">
        <f>E24</f>
        <v>242.99999999999997</v>
      </c>
      <c r="O24" s="71">
        <f>K24</f>
        <v>0.42149800000000004</v>
      </c>
      <c r="P24" s="1">
        <v>45994</v>
      </c>
    </row>
    <row r="25" spans="1:16" x14ac:dyDescent="0.3">
      <c r="A25" s="27" t="s">
        <v>59</v>
      </c>
      <c r="B25" s="75"/>
      <c r="C25" s="70" t="s">
        <v>34</v>
      </c>
      <c r="D25" s="47">
        <v>4</v>
      </c>
      <c r="E25" s="71"/>
      <c r="F25" s="71"/>
      <c r="G25" s="72">
        <f>10.75*4</f>
        <v>43</v>
      </c>
      <c r="H25" s="71"/>
      <c r="I25" s="71"/>
      <c r="J25" s="71"/>
      <c r="K25" s="71"/>
      <c r="L25" s="56"/>
      <c r="M25" s="74"/>
      <c r="N25" s="71"/>
      <c r="O25" s="71"/>
      <c r="P25" s="1">
        <v>45994</v>
      </c>
    </row>
    <row r="26" spans="1:16" x14ac:dyDescent="0.3">
      <c r="A26" s="27" t="s">
        <v>59</v>
      </c>
      <c r="B26" s="75"/>
      <c r="C26" s="70" t="s">
        <v>43</v>
      </c>
      <c r="D26" s="47">
        <v>4</v>
      </c>
      <c r="E26" s="71"/>
      <c r="F26" s="71"/>
      <c r="G26" s="72">
        <f>10.375*4</f>
        <v>41.5</v>
      </c>
      <c r="H26" s="71"/>
      <c r="I26" s="71"/>
      <c r="J26" s="71"/>
      <c r="K26" s="71"/>
      <c r="L26" s="56"/>
      <c r="M26" s="74"/>
      <c r="N26" s="71"/>
      <c r="O26" s="71"/>
      <c r="P26" s="1">
        <v>45994</v>
      </c>
    </row>
    <row r="27" spans="1:16" x14ac:dyDescent="0.3">
      <c r="A27" s="27" t="s">
        <v>59</v>
      </c>
      <c r="B27" s="75"/>
      <c r="C27" s="70" t="s">
        <v>39</v>
      </c>
      <c r="D27" s="47">
        <v>1</v>
      </c>
      <c r="E27" s="71"/>
      <c r="F27" s="71"/>
      <c r="G27" s="72">
        <v>10.6</v>
      </c>
      <c r="H27" s="71"/>
      <c r="I27" s="71"/>
      <c r="J27" s="71"/>
      <c r="K27" s="71"/>
      <c r="L27" s="56"/>
      <c r="M27" s="74"/>
      <c r="N27" s="71"/>
      <c r="O27" s="71"/>
      <c r="P27" s="1">
        <v>45994</v>
      </c>
    </row>
    <row r="28" spans="1:16" x14ac:dyDescent="0.3">
      <c r="A28" s="27" t="s">
        <v>59</v>
      </c>
      <c r="B28" s="75"/>
      <c r="C28" s="70" t="s">
        <v>40</v>
      </c>
      <c r="D28" s="47">
        <v>1</v>
      </c>
      <c r="E28" s="71"/>
      <c r="F28" s="71"/>
      <c r="G28" s="72">
        <v>10.6</v>
      </c>
      <c r="H28" s="71"/>
      <c r="I28" s="71"/>
      <c r="J28" s="71"/>
      <c r="K28" s="71"/>
      <c r="L28" s="56"/>
      <c r="M28" s="74"/>
      <c r="N28" s="71"/>
      <c r="O28" s="71"/>
      <c r="P28" s="1">
        <v>45994</v>
      </c>
    </row>
    <row r="29" spans="1:16" x14ac:dyDescent="0.3">
      <c r="A29" s="27" t="s">
        <v>59</v>
      </c>
      <c r="B29" s="75"/>
      <c r="C29" s="46" t="s">
        <v>35</v>
      </c>
      <c r="D29" s="47">
        <v>1</v>
      </c>
      <c r="E29" s="71"/>
      <c r="F29" s="71"/>
      <c r="G29" s="72">
        <v>10.7</v>
      </c>
      <c r="H29" s="71"/>
      <c r="I29" s="71"/>
      <c r="J29" s="71"/>
      <c r="K29" s="71"/>
      <c r="L29" s="56"/>
      <c r="M29" s="74"/>
      <c r="N29" s="71"/>
      <c r="O29" s="71"/>
      <c r="P29" s="1">
        <v>45994</v>
      </c>
    </row>
    <row r="30" spans="1:16" x14ac:dyDescent="0.3">
      <c r="A30" s="27" t="s">
        <v>59</v>
      </c>
      <c r="B30" s="75"/>
      <c r="C30" s="46" t="s">
        <v>36</v>
      </c>
      <c r="D30" s="47">
        <v>1</v>
      </c>
      <c r="E30" s="71"/>
      <c r="F30" s="71"/>
      <c r="G30" s="72">
        <v>10.7</v>
      </c>
      <c r="H30" s="71"/>
      <c r="I30" s="71"/>
      <c r="J30" s="71"/>
      <c r="K30" s="71"/>
      <c r="L30" s="56"/>
      <c r="M30" s="74"/>
      <c r="N30" s="71"/>
      <c r="O30" s="71"/>
      <c r="P30" s="1">
        <v>45994</v>
      </c>
    </row>
    <row r="31" spans="1:16" x14ac:dyDescent="0.3">
      <c r="A31" s="27" t="s">
        <v>59</v>
      </c>
      <c r="B31" s="75"/>
      <c r="C31" s="70" t="s">
        <v>44</v>
      </c>
      <c r="D31" s="47">
        <v>1</v>
      </c>
      <c r="E31" s="71"/>
      <c r="F31" s="71"/>
      <c r="G31" s="72">
        <v>10.9</v>
      </c>
      <c r="H31" s="71"/>
      <c r="I31" s="71"/>
      <c r="J31" s="71"/>
      <c r="K31" s="71"/>
      <c r="L31" s="56"/>
      <c r="M31" s="74"/>
      <c r="N31" s="71"/>
      <c r="O31" s="71"/>
      <c r="P31" s="1">
        <v>45994</v>
      </c>
    </row>
    <row r="32" spans="1:16" x14ac:dyDescent="0.3">
      <c r="A32" s="27" t="s">
        <v>59</v>
      </c>
      <c r="B32" s="75"/>
      <c r="C32" s="70" t="s">
        <v>45</v>
      </c>
      <c r="D32" s="47">
        <v>1</v>
      </c>
      <c r="E32" s="71"/>
      <c r="F32" s="71"/>
      <c r="G32" s="72">
        <v>10.9</v>
      </c>
      <c r="H32" s="71"/>
      <c r="I32" s="71"/>
      <c r="J32" s="71"/>
      <c r="K32" s="71"/>
      <c r="L32" s="61"/>
      <c r="M32" s="74"/>
      <c r="N32" s="71"/>
      <c r="O32" s="71"/>
      <c r="P32" s="1">
        <v>45994</v>
      </c>
    </row>
    <row r="33" spans="1:16" x14ac:dyDescent="0.3">
      <c r="A33" s="27" t="s">
        <v>59</v>
      </c>
      <c r="B33" s="76" t="s">
        <v>64</v>
      </c>
      <c r="C33" s="70" t="s">
        <v>37</v>
      </c>
      <c r="D33" s="47">
        <v>4</v>
      </c>
      <c r="E33" s="71">
        <f>SUM(F33:G38)</f>
        <v>241</v>
      </c>
      <c r="F33" s="71">
        <v>53.8</v>
      </c>
      <c r="G33" s="72">
        <f>9.3*4</f>
        <v>37.200000000000003</v>
      </c>
      <c r="H33" s="71">
        <v>1.19</v>
      </c>
      <c r="I33" s="71">
        <v>0.69</v>
      </c>
      <c r="J33" s="71">
        <v>0.46</v>
      </c>
      <c r="K33" s="71">
        <f>H33*I33*J33</f>
        <v>0.37770599999999999</v>
      </c>
      <c r="L33" s="51">
        <v>18</v>
      </c>
      <c r="M33" s="74">
        <v>1</v>
      </c>
      <c r="N33" s="71">
        <f>E33</f>
        <v>241</v>
      </c>
      <c r="O33" s="71">
        <f>K33</f>
        <v>0.37770599999999999</v>
      </c>
      <c r="P33" s="1">
        <v>45994</v>
      </c>
    </row>
    <row r="34" spans="1:16" x14ac:dyDescent="0.3">
      <c r="A34" s="27" t="s">
        <v>59</v>
      </c>
      <c r="B34" s="76"/>
      <c r="C34" s="70" t="s">
        <v>34</v>
      </c>
      <c r="D34" s="47">
        <v>8</v>
      </c>
      <c r="E34" s="71"/>
      <c r="F34" s="71"/>
      <c r="G34" s="72">
        <f>10.75*8</f>
        <v>86</v>
      </c>
      <c r="H34" s="71"/>
      <c r="I34" s="71"/>
      <c r="J34" s="71"/>
      <c r="K34" s="71"/>
      <c r="L34" s="56"/>
      <c r="M34" s="74"/>
      <c r="N34" s="71"/>
      <c r="O34" s="71"/>
      <c r="P34" s="1">
        <v>45994</v>
      </c>
    </row>
    <row r="35" spans="1:16" x14ac:dyDescent="0.3">
      <c r="A35" s="27" t="s">
        <v>59</v>
      </c>
      <c r="B35" s="76"/>
      <c r="C35" s="70" t="s">
        <v>39</v>
      </c>
      <c r="D35" s="47">
        <v>1</v>
      </c>
      <c r="E35" s="71"/>
      <c r="F35" s="71"/>
      <c r="G35" s="72">
        <v>10.6</v>
      </c>
      <c r="H35" s="71"/>
      <c r="I35" s="71"/>
      <c r="J35" s="71"/>
      <c r="K35" s="71"/>
      <c r="L35" s="56"/>
      <c r="M35" s="74"/>
      <c r="N35" s="71"/>
      <c r="O35" s="71"/>
      <c r="P35" s="1">
        <v>45994</v>
      </c>
    </row>
    <row r="36" spans="1:16" x14ac:dyDescent="0.3">
      <c r="A36" s="27" t="s">
        <v>59</v>
      </c>
      <c r="B36" s="76"/>
      <c r="C36" s="70" t="s">
        <v>40</v>
      </c>
      <c r="D36" s="47">
        <v>1</v>
      </c>
      <c r="E36" s="71"/>
      <c r="F36" s="71"/>
      <c r="G36" s="72">
        <v>10.6</v>
      </c>
      <c r="H36" s="71"/>
      <c r="I36" s="71"/>
      <c r="J36" s="71"/>
      <c r="K36" s="71"/>
      <c r="L36" s="56"/>
      <c r="M36" s="74"/>
      <c r="N36" s="71"/>
      <c r="O36" s="71"/>
      <c r="P36" s="1">
        <v>45994</v>
      </c>
    </row>
    <row r="37" spans="1:16" x14ac:dyDescent="0.3">
      <c r="A37" s="27" t="s">
        <v>59</v>
      </c>
      <c r="B37" s="76"/>
      <c r="C37" s="46" t="s">
        <v>35</v>
      </c>
      <c r="D37" s="47">
        <v>2</v>
      </c>
      <c r="E37" s="71"/>
      <c r="F37" s="71"/>
      <c r="G37" s="72">
        <f>10.7*2</f>
        <v>21.4</v>
      </c>
      <c r="H37" s="71"/>
      <c r="I37" s="71"/>
      <c r="J37" s="71"/>
      <c r="K37" s="71"/>
      <c r="L37" s="56"/>
      <c r="M37" s="74"/>
      <c r="N37" s="71"/>
      <c r="O37" s="71"/>
      <c r="P37" s="1">
        <v>45994</v>
      </c>
    </row>
    <row r="38" spans="1:16" x14ac:dyDescent="0.3">
      <c r="A38" s="27" t="s">
        <v>59</v>
      </c>
      <c r="B38" s="76"/>
      <c r="C38" s="46" t="s">
        <v>36</v>
      </c>
      <c r="D38" s="47">
        <v>2</v>
      </c>
      <c r="E38" s="71"/>
      <c r="F38" s="71"/>
      <c r="G38" s="72">
        <f>10.7*2</f>
        <v>21.4</v>
      </c>
      <c r="H38" s="71"/>
      <c r="I38" s="71"/>
      <c r="J38" s="71"/>
      <c r="K38" s="71"/>
      <c r="L38" s="61"/>
      <c r="M38" s="74"/>
      <c r="N38" s="71"/>
      <c r="O38" s="71"/>
      <c r="P38" s="1">
        <v>45994</v>
      </c>
    </row>
    <row r="39" spans="1:16" x14ac:dyDescent="0.3">
      <c r="A39" s="27" t="s">
        <v>59</v>
      </c>
      <c r="B39" s="77" t="s">
        <v>65</v>
      </c>
      <c r="C39" s="70" t="s">
        <v>37</v>
      </c>
      <c r="D39" s="47">
        <v>12</v>
      </c>
      <c r="E39" s="71">
        <f>SUM(F39:G44)</f>
        <v>518</v>
      </c>
      <c r="F39" s="71">
        <v>85.2</v>
      </c>
      <c r="G39" s="72">
        <f>9.3*12</f>
        <v>111.60000000000001</v>
      </c>
      <c r="H39" s="71">
        <v>1.19</v>
      </c>
      <c r="I39" s="71">
        <v>0.85</v>
      </c>
      <c r="J39" s="71">
        <v>0.78</v>
      </c>
      <c r="K39" s="71">
        <f>H39*I39*J39</f>
        <v>0.78896999999999995</v>
      </c>
      <c r="L39" s="51">
        <v>42</v>
      </c>
      <c r="M39" s="74">
        <v>1</v>
      </c>
      <c r="N39" s="71">
        <f>E39</f>
        <v>518</v>
      </c>
      <c r="O39" s="71">
        <f>K39</f>
        <v>0.78896999999999995</v>
      </c>
      <c r="P39" s="1">
        <v>45994</v>
      </c>
    </row>
    <row r="40" spans="1:16" x14ac:dyDescent="0.3">
      <c r="A40" s="27" t="s">
        <v>59</v>
      </c>
      <c r="B40" s="77"/>
      <c r="C40" s="70" t="s">
        <v>34</v>
      </c>
      <c r="D40" s="47">
        <v>16</v>
      </c>
      <c r="E40" s="71"/>
      <c r="F40" s="71"/>
      <c r="G40" s="72">
        <f>10.75*16</f>
        <v>172</v>
      </c>
      <c r="H40" s="71"/>
      <c r="I40" s="71"/>
      <c r="J40" s="71"/>
      <c r="K40" s="71"/>
      <c r="L40" s="56"/>
      <c r="M40" s="74"/>
      <c r="N40" s="71"/>
      <c r="O40" s="71"/>
      <c r="P40" s="1">
        <v>45994</v>
      </c>
    </row>
    <row r="41" spans="1:16" x14ac:dyDescent="0.3">
      <c r="A41" s="27" t="s">
        <v>59</v>
      </c>
      <c r="B41" s="77"/>
      <c r="C41" s="70" t="s">
        <v>39</v>
      </c>
      <c r="D41" s="47">
        <v>3</v>
      </c>
      <c r="E41" s="71"/>
      <c r="F41" s="71"/>
      <c r="G41" s="72">
        <f>10.6*3</f>
        <v>31.799999999999997</v>
      </c>
      <c r="H41" s="71"/>
      <c r="I41" s="71"/>
      <c r="J41" s="71"/>
      <c r="K41" s="71"/>
      <c r="L41" s="56"/>
      <c r="M41" s="74"/>
      <c r="N41" s="71"/>
      <c r="O41" s="71"/>
      <c r="P41" s="1">
        <v>45994</v>
      </c>
    </row>
    <row r="42" spans="1:16" x14ac:dyDescent="0.3">
      <c r="A42" s="27" t="s">
        <v>59</v>
      </c>
      <c r="B42" s="77"/>
      <c r="C42" s="70" t="s">
        <v>40</v>
      </c>
      <c r="D42" s="47">
        <v>3</v>
      </c>
      <c r="E42" s="71"/>
      <c r="F42" s="71"/>
      <c r="G42" s="72">
        <f>10.6*3</f>
        <v>31.799999999999997</v>
      </c>
      <c r="H42" s="71"/>
      <c r="I42" s="71"/>
      <c r="J42" s="71"/>
      <c r="K42" s="71"/>
      <c r="L42" s="56"/>
      <c r="M42" s="74"/>
      <c r="N42" s="71"/>
      <c r="O42" s="71"/>
      <c r="P42" s="1">
        <v>45994</v>
      </c>
    </row>
    <row r="43" spans="1:16" x14ac:dyDescent="0.3">
      <c r="A43" s="27" t="s">
        <v>59</v>
      </c>
      <c r="B43" s="77"/>
      <c r="C43" s="70" t="s">
        <v>35</v>
      </c>
      <c r="D43" s="47">
        <v>4</v>
      </c>
      <c r="E43" s="71"/>
      <c r="F43" s="71"/>
      <c r="G43" s="72">
        <f>10.7*4</f>
        <v>42.8</v>
      </c>
      <c r="H43" s="71"/>
      <c r="I43" s="71"/>
      <c r="J43" s="71"/>
      <c r="K43" s="71"/>
      <c r="L43" s="56"/>
      <c r="M43" s="74"/>
      <c r="N43" s="71"/>
      <c r="O43" s="71"/>
      <c r="P43" s="1">
        <v>45994</v>
      </c>
    </row>
    <row r="44" spans="1:16" x14ac:dyDescent="0.3">
      <c r="A44" s="27" t="s">
        <v>59</v>
      </c>
      <c r="B44" s="77"/>
      <c r="C44" s="70" t="s">
        <v>36</v>
      </c>
      <c r="D44" s="47">
        <v>4</v>
      </c>
      <c r="E44" s="71"/>
      <c r="F44" s="71"/>
      <c r="G44" s="72">
        <f>10.7*4</f>
        <v>42.8</v>
      </c>
      <c r="H44" s="71"/>
      <c r="I44" s="71"/>
      <c r="J44" s="71"/>
      <c r="K44" s="71"/>
      <c r="L44" s="61"/>
      <c r="M44" s="74"/>
      <c r="N44" s="71"/>
      <c r="O44" s="71"/>
      <c r="P44" s="1">
        <v>45994</v>
      </c>
    </row>
    <row r="45" spans="1:16" x14ac:dyDescent="0.3">
      <c r="A45" s="27" t="s">
        <v>59</v>
      </c>
      <c r="B45" s="78" t="s">
        <v>66</v>
      </c>
      <c r="C45" s="79" t="s">
        <v>37</v>
      </c>
      <c r="D45" s="47">
        <v>4</v>
      </c>
      <c r="E45" s="71">
        <f>SUM(F45:G47)</f>
        <v>86</v>
      </c>
      <c r="F45" s="71">
        <v>27.6</v>
      </c>
      <c r="G45" s="72">
        <f>9.3*4</f>
        <v>37.200000000000003</v>
      </c>
      <c r="H45" s="71">
        <v>0.62</v>
      </c>
      <c r="I45" s="71">
        <v>0.43</v>
      </c>
      <c r="J45" s="71">
        <v>0.46</v>
      </c>
      <c r="K45" s="71">
        <f>H45*I45*J45</f>
        <v>0.12263600000000001</v>
      </c>
      <c r="L45" s="51">
        <v>6</v>
      </c>
      <c r="M45" s="74">
        <v>1</v>
      </c>
      <c r="N45" s="71">
        <f>E45</f>
        <v>86</v>
      </c>
      <c r="O45" s="71">
        <f>K45</f>
        <v>0.12263600000000001</v>
      </c>
      <c r="P45" s="1">
        <v>45994</v>
      </c>
    </row>
    <row r="46" spans="1:16" x14ac:dyDescent="0.3">
      <c r="A46" s="27" t="s">
        <v>59</v>
      </c>
      <c r="B46" s="78"/>
      <c r="C46" s="79" t="s">
        <v>39</v>
      </c>
      <c r="D46" s="47">
        <v>1</v>
      </c>
      <c r="E46" s="71"/>
      <c r="F46" s="71"/>
      <c r="G46" s="72">
        <v>10.6</v>
      </c>
      <c r="H46" s="71"/>
      <c r="I46" s="71"/>
      <c r="J46" s="71"/>
      <c r="K46" s="71"/>
      <c r="L46" s="56"/>
      <c r="M46" s="74"/>
      <c r="N46" s="71"/>
      <c r="O46" s="71"/>
      <c r="P46" s="1">
        <v>45994</v>
      </c>
    </row>
    <row r="47" spans="1:16" x14ac:dyDescent="0.3">
      <c r="A47" s="27" t="s">
        <v>59</v>
      </c>
      <c r="B47" s="78"/>
      <c r="C47" s="79" t="s">
        <v>40</v>
      </c>
      <c r="D47" s="47">
        <v>1</v>
      </c>
      <c r="E47" s="71"/>
      <c r="F47" s="71"/>
      <c r="G47" s="72">
        <v>10.6</v>
      </c>
      <c r="H47" s="71"/>
      <c r="I47" s="71"/>
      <c r="J47" s="71"/>
      <c r="K47" s="71"/>
      <c r="L47" s="61"/>
      <c r="M47" s="74"/>
      <c r="N47" s="71"/>
      <c r="O47" s="71"/>
      <c r="P47" s="1">
        <v>45994</v>
      </c>
    </row>
    <row r="48" spans="1:16" x14ac:dyDescent="0.3">
      <c r="A48" s="27" t="s">
        <v>59</v>
      </c>
      <c r="B48" s="80" t="s">
        <v>67</v>
      </c>
      <c r="C48" s="79" t="s">
        <v>43</v>
      </c>
      <c r="D48" s="47">
        <v>4</v>
      </c>
      <c r="E48" s="71">
        <f>SUM(F48:G50)</f>
        <v>93.000000000000014</v>
      </c>
      <c r="F48" s="71">
        <v>29.7</v>
      </c>
      <c r="G48" s="72">
        <f>10.375*4</f>
        <v>41.5</v>
      </c>
      <c r="H48" s="71">
        <v>0.62</v>
      </c>
      <c r="I48" s="71">
        <v>0.55000000000000004</v>
      </c>
      <c r="J48" s="71">
        <v>0.46</v>
      </c>
      <c r="K48" s="71">
        <f>H48*I48*J48</f>
        <v>0.15686000000000003</v>
      </c>
      <c r="L48" s="51">
        <v>6</v>
      </c>
      <c r="M48" s="74">
        <v>1</v>
      </c>
      <c r="N48" s="71">
        <f>E48</f>
        <v>93.000000000000014</v>
      </c>
      <c r="O48" s="71">
        <f>K48</f>
        <v>0.15686000000000003</v>
      </c>
      <c r="P48" s="1">
        <v>45994</v>
      </c>
    </row>
    <row r="49" spans="1:18" x14ac:dyDescent="0.3">
      <c r="A49" s="27" t="s">
        <v>59</v>
      </c>
      <c r="B49" s="80"/>
      <c r="C49" s="79" t="s">
        <v>44</v>
      </c>
      <c r="D49" s="47">
        <v>1</v>
      </c>
      <c r="E49" s="71"/>
      <c r="F49" s="71"/>
      <c r="G49" s="72">
        <v>10.9</v>
      </c>
      <c r="H49" s="71"/>
      <c r="I49" s="71"/>
      <c r="J49" s="71"/>
      <c r="K49" s="71"/>
      <c r="L49" s="56"/>
      <c r="M49" s="74"/>
      <c r="N49" s="71"/>
      <c r="O49" s="71"/>
      <c r="P49" s="1">
        <v>45994</v>
      </c>
    </row>
    <row r="50" spans="1:18" x14ac:dyDescent="0.3">
      <c r="A50" s="27" t="s">
        <v>59</v>
      </c>
      <c r="B50" s="80"/>
      <c r="C50" s="79" t="s">
        <v>45</v>
      </c>
      <c r="D50" s="47">
        <v>1</v>
      </c>
      <c r="E50" s="71"/>
      <c r="F50" s="71"/>
      <c r="G50" s="72">
        <v>10.9</v>
      </c>
      <c r="H50" s="71"/>
      <c r="I50" s="71"/>
      <c r="J50" s="71"/>
      <c r="K50" s="71"/>
      <c r="L50" s="61"/>
      <c r="M50" s="74"/>
      <c r="N50" s="71"/>
      <c r="O50" s="71"/>
      <c r="P50" s="1">
        <v>45994</v>
      </c>
    </row>
    <row r="51" spans="1:18" x14ac:dyDescent="0.3">
      <c r="A51" s="81" t="s">
        <v>46</v>
      </c>
      <c r="B51" s="82" t="s">
        <v>30</v>
      </c>
      <c r="C51" s="83" t="s">
        <v>47</v>
      </c>
      <c r="D51" s="9">
        <v>8</v>
      </c>
      <c r="E51" s="9">
        <v>755</v>
      </c>
      <c r="F51" s="9">
        <f>E51-G51</f>
        <v>102</v>
      </c>
      <c r="G51" s="9">
        <v>653</v>
      </c>
      <c r="H51" s="9">
        <v>1.74</v>
      </c>
      <c r="I51" s="9">
        <v>1.25</v>
      </c>
      <c r="J51" s="9">
        <v>0.69</v>
      </c>
      <c r="K51" s="44">
        <f t="shared" ref="K51:K52" si="17">H51*I51*J51</f>
        <v>1.5007499999999998</v>
      </c>
      <c r="L51" s="9">
        <v>72</v>
      </c>
      <c r="M51" s="84">
        <f t="shared" ref="M51" si="18">L51/D51</f>
        <v>9</v>
      </c>
      <c r="N51" s="85">
        <f t="shared" ref="N51" si="19">M51*E51</f>
        <v>6795</v>
      </c>
      <c r="O51" s="85">
        <f t="shared" ref="O51" si="20">K51*M51</f>
        <v>13.506749999999998</v>
      </c>
      <c r="P51" s="86">
        <v>45991</v>
      </c>
    </row>
    <row r="52" spans="1:18" x14ac:dyDescent="0.3">
      <c r="A52" s="81" t="s">
        <v>46</v>
      </c>
      <c r="B52" s="82" t="s">
        <v>30</v>
      </c>
      <c r="C52" s="83" t="s">
        <v>48</v>
      </c>
      <c r="D52" s="9">
        <v>9</v>
      </c>
      <c r="E52" s="87">
        <v>579</v>
      </c>
      <c r="F52" s="87">
        <f>E52-G52</f>
        <v>52</v>
      </c>
      <c r="G52" s="87">
        <v>527</v>
      </c>
      <c r="H52" s="87">
        <v>1.27</v>
      </c>
      <c r="I52" s="87">
        <v>0.87</v>
      </c>
      <c r="J52" s="87">
        <v>0.58499999999999996</v>
      </c>
      <c r="K52" s="87">
        <f t="shared" si="17"/>
        <v>0.64636649999999995</v>
      </c>
      <c r="L52" s="9">
        <v>19</v>
      </c>
      <c r="M52" s="88">
        <f>L52/D52</f>
        <v>2.1111111111111112</v>
      </c>
      <c r="N52" s="88">
        <f>M52*E52</f>
        <v>1222.3333333333333</v>
      </c>
      <c r="O52" s="88">
        <f>M52*J52</f>
        <v>1.2349999999999999</v>
      </c>
      <c r="P52" s="86">
        <v>45991</v>
      </c>
    </row>
    <row r="53" spans="1:18" x14ac:dyDescent="0.3">
      <c r="A53" s="81" t="s">
        <v>46</v>
      </c>
      <c r="B53" s="82" t="s">
        <v>30</v>
      </c>
      <c r="C53" s="83" t="s">
        <v>49</v>
      </c>
      <c r="D53" s="9">
        <v>9</v>
      </c>
      <c r="E53" s="89"/>
      <c r="F53" s="89"/>
      <c r="G53" s="89"/>
      <c r="H53" s="89"/>
      <c r="I53" s="89"/>
      <c r="J53" s="89"/>
      <c r="K53" s="89"/>
      <c r="L53" s="9">
        <v>19</v>
      </c>
      <c r="M53" s="90"/>
      <c r="N53" s="90"/>
      <c r="O53" s="90"/>
      <c r="P53" s="86">
        <v>45991</v>
      </c>
    </row>
    <row r="54" spans="1:18" x14ac:dyDescent="0.3">
      <c r="A54" s="81" t="s">
        <v>46</v>
      </c>
      <c r="B54" s="82" t="s">
        <v>30</v>
      </c>
      <c r="C54" s="83" t="s">
        <v>50</v>
      </c>
      <c r="D54" s="91">
        <v>56</v>
      </c>
      <c r="E54" s="92">
        <v>438</v>
      </c>
      <c r="F54" s="92">
        <f>E54-G54</f>
        <v>64</v>
      </c>
      <c r="G54" s="92">
        <v>374</v>
      </c>
      <c r="H54" s="92">
        <v>1.01</v>
      </c>
      <c r="I54" s="92">
        <v>0.77500000000000002</v>
      </c>
      <c r="J54" s="92">
        <v>0.625</v>
      </c>
      <c r="K54" s="92">
        <f t="shared" ref="K54" si="21">H54*I54*J54</f>
        <v>0.48921875000000004</v>
      </c>
      <c r="L54" s="91">
        <v>56</v>
      </c>
      <c r="M54" s="88">
        <f>L54/D54</f>
        <v>1</v>
      </c>
      <c r="N54" s="88">
        <f>M54*E54</f>
        <v>438</v>
      </c>
      <c r="O54" s="88">
        <f>M54*J54</f>
        <v>0.625</v>
      </c>
      <c r="P54" s="86">
        <v>45991</v>
      </c>
    </row>
    <row r="55" spans="1:18" x14ac:dyDescent="0.3">
      <c r="A55" s="81" t="s">
        <v>46</v>
      </c>
      <c r="B55" s="82" t="s">
        <v>30</v>
      </c>
      <c r="C55" s="83" t="s">
        <v>51</v>
      </c>
      <c r="D55" s="91">
        <v>55</v>
      </c>
      <c r="E55" s="93"/>
      <c r="F55" s="93"/>
      <c r="G55" s="93"/>
      <c r="H55" s="93"/>
      <c r="I55" s="93"/>
      <c r="J55" s="93"/>
      <c r="K55" s="93"/>
      <c r="L55" s="91">
        <v>55</v>
      </c>
      <c r="M55" s="90"/>
      <c r="N55" s="90"/>
      <c r="O55" s="90"/>
      <c r="P55" s="86">
        <v>45991</v>
      </c>
    </row>
    <row r="56" spans="1:18" x14ac:dyDescent="0.3">
      <c r="A56" s="94" t="s">
        <v>52</v>
      </c>
      <c r="B56" s="82" t="s">
        <v>22</v>
      </c>
      <c r="C56" s="83" t="s">
        <v>53</v>
      </c>
      <c r="D56" s="91">
        <v>7</v>
      </c>
      <c r="E56" s="91">
        <v>212.6</v>
      </c>
      <c r="F56" s="91">
        <f>E56-G56</f>
        <v>32</v>
      </c>
      <c r="G56" s="91">
        <v>180.6</v>
      </c>
      <c r="H56" s="91">
        <v>1.1499999999999999</v>
      </c>
      <c r="I56" s="91">
        <v>0.75</v>
      </c>
      <c r="J56" s="91">
        <v>0.34</v>
      </c>
      <c r="K56" s="95">
        <f t="shared" ref="K56:K61" si="22">H56*I56*J56</f>
        <v>0.29325000000000001</v>
      </c>
      <c r="L56" s="91">
        <v>24</v>
      </c>
      <c r="M56" s="95">
        <f t="shared" ref="M56:M61" si="23">L56/D56</f>
        <v>3.4285714285714284</v>
      </c>
      <c r="N56" s="96">
        <f t="shared" ref="N56:N61" si="24">M56*E56</f>
        <v>728.91428571428571</v>
      </c>
      <c r="O56" s="96">
        <f t="shared" ref="O56:O61" si="25">M56*K56</f>
        <v>1.0054285714285713</v>
      </c>
      <c r="P56" s="86">
        <v>45991</v>
      </c>
    </row>
    <row r="57" spans="1:18" x14ac:dyDescent="0.3">
      <c r="A57" s="94" t="s">
        <v>52</v>
      </c>
      <c r="B57" s="82" t="s">
        <v>22</v>
      </c>
      <c r="C57" s="83" t="s">
        <v>54</v>
      </c>
      <c r="D57" s="91">
        <v>4</v>
      </c>
      <c r="E57" s="91">
        <v>223.6</v>
      </c>
      <c r="F57" s="91">
        <f t="shared" ref="F57:F61" si="26">E57-G57</f>
        <v>30</v>
      </c>
      <c r="G57" s="91">
        <v>193.6</v>
      </c>
      <c r="H57" s="91">
        <v>1.1599999999999999</v>
      </c>
      <c r="I57" s="91">
        <v>0.72</v>
      </c>
      <c r="J57" s="91">
        <v>0.28999999999999998</v>
      </c>
      <c r="K57" s="95">
        <f t="shared" si="22"/>
        <v>0.24220799999999998</v>
      </c>
      <c r="L57" s="91">
        <v>48</v>
      </c>
      <c r="M57" s="95">
        <f t="shared" si="23"/>
        <v>12</v>
      </c>
      <c r="N57" s="96">
        <f t="shared" si="24"/>
        <v>2683.2</v>
      </c>
      <c r="O57" s="96">
        <f t="shared" si="25"/>
        <v>2.9064959999999997</v>
      </c>
      <c r="P57" s="86">
        <v>45991</v>
      </c>
    </row>
    <row r="58" spans="1:18" x14ac:dyDescent="0.3">
      <c r="A58" s="6" t="s">
        <v>52</v>
      </c>
      <c r="B58" s="14" t="s">
        <v>22</v>
      </c>
      <c r="C58" s="12" t="s">
        <v>55</v>
      </c>
      <c r="D58" s="9">
        <v>4</v>
      </c>
      <c r="E58" s="9">
        <v>516.20000000000005</v>
      </c>
      <c r="F58" s="9">
        <f t="shared" si="26"/>
        <v>51.000000000000057</v>
      </c>
      <c r="G58" s="9">
        <v>465.2</v>
      </c>
      <c r="H58" s="9">
        <v>1.32</v>
      </c>
      <c r="I58" s="9">
        <v>0.84</v>
      </c>
      <c r="J58" s="9">
        <v>0.48</v>
      </c>
      <c r="K58" s="7">
        <f t="shared" si="22"/>
        <v>0.53222400000000003</v>
      </c>
      <c r="L58" s="9">
        <v>0</v>
      </c>
      <c r="M58" s="7">
        <f t="shared" si="23"/>
        <v>0</v>
      </c>
      <c r="N58" s="32">
        <f t="shared" si="24"/>
        <v>0</v>
      </c>
      <c r="O58" s="32">
        <f t="shared" si="25"/>
        <v>0</v>
      </c>
      <c r="P58" s="21">
        <v>45991</v>
      </c>
    </row>
    <row r="59" spans="1:18" x14ac:dyDescent="0.3">
      <c r="A59" s="94" t="s">
        <v>52</v>
      </c>
      <c r="B59" s="82" t="s">
        <v>22</v>
      </c>
      <c r="C59" s="83" t="s">
        <v>56</v>
      </c>
      <c r="D59" s="91">
        <v>9</v>
      </c>
      <c r="E59" s="91">
        <v>541</v>
      </c>
      <c r="F59" s="91">
        <f t="shared" si="26"/>
        <v>37</v>
      </c>
      <c r="G59" s="91">
        <v>504</v>
      </c>
      <c r="H59" s="91">
        <v>1.06</v>
      </c>
      <c r="I59" s="91">
        <v>0.79</v>
      </c>
      <c r="J59" s="91">
        <v>0.38</v>
      </c>
      <c r="K59" s="95">
        <f t="shared" si="22"/>
        <v>0.31821199999999999</v>
      </c>
      <c r="L59" s="91">
        <v>5</v>
      </c>
      <c r="M59" s="95">
        <f t="shared" si="23"/>
        <v>0.55555555555555558</v>
      </c>
      <c r="N59" s="96">
        <f t="shared" si="24"/>
        <v>300.55555555555554</v>
      </c>
      <c r="O59" s="96">
        <f t="shared" si="25"/>
        <v>0.17678444444444444</v>
      </c>
      <c r="P59" s="86">
        <v>45991</v>
      </c>
    </row>
    <row r="60" spans="1:18" x14ac:dyDescent="0.3">
      <c r="A60" s="94" t="s">
        <v>52</v>
      </c>
      <c r="B60" s="82" t="s">
        <v>22</v>
      </c>
      <c r="C60" s="83" t="s">
        <v>57</v>
      </c>
      <c r="D60" s="91">
        <v>9</v>
      </c>
      <c r="E60" s="91">
        <v>352</v>
      </c>
      <c r="F60" s="91">
        <f t="shared" si="26"/>
        <v>46</v>
      </c>
      <c r="G60" s="91">
        <v>306</v>
      </c>
      <c r="H60" s="91">
        <v>1.1399999999999999</v>
      </c>
      <c r="I60" s="91">
        <v>0.9</v>
      </c>
      <c r="J60" s="91">
        <v>0.44</v>
      </c>
      <c r="K60" s="95">
        <f t="shared" si="22"/>
        <v>0.45144000000000001</v>
      </c>
      <c r="L60" s="91">
        <v>24</v>
      </c>
      <c r="M60" s="95">
        <f t="shared" si="23"/>
        <v>2.6666666666666665</v>
      </c>
      <c r="N60" s="96">
        <f t="shared" si="24"/>
        <v>938.66666666666663</v>
      </c>
      <c r="O60" s="96">
        <f t="shared" si="25"/>
        <v>1.20384</v>
      </c>
      <c r="P60" s="86">
        <v>45991</v>
      </c>
    </row>
    <row r="61" spans="1:18" x14ac:dyDescent="0.3">
      <c r="A61" s="94" t="s">
        <v>52</v>
      </c>
      <c r="B61" s="82" t="s">
        <v>22</v>
      </c>
      <c r="C61" s="83" t="s">
        <v>58</v>
      </c>
      <c r="D61" s="91">
        <v>9</v>
      </c>
      <c r="E61" s="91">
        <v>388</v>
      </c>
      <c r="F61" s="91">
        <f t="shared" si="26"/>
        <v>46</v>
      </c>
      <c r="G61" s="91">
        <v>342</v>
      </c>
      <c r="H61" s="91">
        <v>1.1399999999999999</v>
      </c>
      <c r="I61" s="91">
        <v>0.9</v>
      </c>
      <c r="J61" s="91">
        <v>0.44</v>
      </c>
      <c r="K61" s="95">
        <f t="shared" si="22"/>
        <v>0.45144000000000001</v>
      </c>
      <c r="L61" s="91">
        <v>48</v>
      </c>
      <c r="M61" s="95">
        <f t="shared" si="23"/>
        <v>5.333333333333333</v>
      </c>
      <c r="N61" s="96">
        <f t="shared" si="24"/>
        <v>2069.333333333333</v>
      </c>
      <c r="O61" s="96">
        <f t="shared" si="25"/>
        <v>2.40768</v>
      </c>
      <c r="P61" s="86">
        <v>45991</v>
      </c>
    </row>
    <row r="62" spans="1:18" x14ac:dyDescent="0.3">
      <c r="L62">
        <f>SUM(L3:L61)</f>
        <v>41362</v>
      </c>
      <c r="M62" s="2">
        <f>SUM(M3:M61)</f>
        <v>74.595238095238102</v>
      </c>
      <c r="N62">
        <f>SUM(N3:N61)</f>
        <v>25221.203174603172</v>
      </c>
      <c r="O62">
        <f>SUM(O3:O61)</f>
        <v>45.214677015873015</v>
      </c>
    </row>
    <row r="64" spans="1:18" ht="13.8" customHeight="1" x14ac:dyDescent="0.3">
      <c r="M64" s="2"/>
      <c r="R64" s="97"/>
    </row>
    <row r="65" spans="5:18" x14ac:dyDescent="0.3">
      <c r="E65" s="98">
        <f>SUM(E66:R66)</f>
        <v>11.75</v>
      </c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</row>
    <row r="66" spans="5:18" x14ac:dyDescent="0.3">
      <c r="E66">
        <v>1.1000000000000001</v>
      </c>
      <c r="F66">
        <v>1.1000000000000001</v>
      </c>
      <c r="G66">
        <v>0.72</v>
      </c>
      <c r="H66">
        <v>0.8</v>
      </c>
      <c r="I66">
        <v>0.88</v>
      </c>
      <c r="J66">
        <v>0.91</v>
      </c>
      <c r="K66">
        <v>0.72</v>
      </c>
      <c r="L66">
        <v>0.87</v>
      </c>
      <c r="M66" s="2">
        <v>1.25</v>
      </c>
      <c r="N66">
        <v>1.25</v>
      </c>
      <c r="O66">
        <v>1.25</v>
      </c>
      <c r="P66">
        <v>0.9</v>
      </c>
    </row>
    <row r="67" spans="5:18" ht="14.4" customHeight="1" x14ac:dyDescent="0.3">
      <c r="E67" s="98" t="s">
        <v>78</v>
      </c>
      <c r="F67" s="98" t="s">
        <v>78</v>
      </c>
      <c r="G67" s="99" t="s">
        <v>68</v>
      </c>
      <c r="H67" s="98" t="s">
        <v>69</v>
      </c>
      <c r="I67" s="100" t="s">
        <v>68</v>
      </c>
      <c r="J67" s="101" t="s">
        <v>70</v>
      </c>
      <c r="K67" s="102" t="s">
        <v>71</v>
      </c>
      <c r="L67" s="103" t="s">
        <v>72</v>
      </c>
      <c r="M67" s="104" t="s">
        <v>73</v>
      </c>
      <c r="N67" s="103" t="s">
        <v>74</v>
      </c>
      <c r="O67" s="103" t="s">
        <v>74</v>
      </c>
      <c r="P67" s="102" t="s">
        <v>75</v>
      </c>
      <c r="Q67" s="105"/>
      <c r="R67" s="98"/>
    </row>
    <row r="68" spans="5:18" x14ac:dyDescent="0.3">
      <c r="E68" s="98"/>
      <c r="F68" s="98"/>
      <c r="G68" s="99"/>
      <c r="H68" s="98"/>
      <c r="I68" s="100"/>
      <c r="J68" s="101"/>
      <c r="K68" s="102"/>
      <c r="L68" s="103"/>
      <c r="M68" s="104"/>
      <c r="N68" s="103"/>
      <c r="O68" s="103"/>
      <c r="P68" s="102"/>
      <c r="Q68" s="105"/>
      <c r="R68" s="98"/>
    </row>
    <row r="69" spans="5:18" x14ac:dyDescent="0.3">
      <c r="E69" s="98"/>
      <c r="F69" s="98"/>
      <c r="G69" s="99"/>
      <c r="H69" s="98"/>
      <c r="I69" s="100"/>
      <c r="J69" s="101"/>
      <c r="K69" s="102"/>
      <c r="L69" s="103"/>
      <c r="M69" s="104"/>
      <c r="N69" s="103"/>
      <c r="O69" s="103"/>
      <c r="P69" s="102"/>
      <c r="Q69" s="105"/>
      <c r="R69" s="98"/>
    </row>
    <row r="70" spans="5:18" x14ac:dyDescent="0.3">
      <c r="E70" s="98"/>
      <c r="F70" s="98"/>
      <c r="G70" s="99"/>
      <c r="H70" s="98"/>
      <c r="I70" s="100"/>
      <c r="J70" s="101"/>
      <c r="K70" s="102"/>
      <c r="L70" s="103"/>
      <c r="M70" s="104"/>
      <c r="N70" s="103"/>
      <c r="O70" s="103"/>
      <c r="P70" s="102"/>
      <c r="Q70" s="105"/>
      <c r="R70" s="98"/>
    </row>
    <row r="71" spans="5:18" x14ac:dyDescent="0.3">
      <c r="E71" s="98"/>
      <c r="F71" s="98"/>
      <c r="G71" s="99"/>
      <c r="H71" s="98"/>
      <c r="I71" s="100"/>
      <c r="J71" s="101"/>
      <c r="K71" s="102"/>
      <c r="L71" s="103"/>
      <c r="M71" s="104"/>
      <c r="N71" s="103"/>
      <c r="O71" s="103"/>
      <c r="P71" s="102"/>
      <c r="Q71" s="105"/>
      <c r="R71" s="98"/>
    </row>
    <row r="72" spans="5:18" ht="14.4" customHeight="1" x14ac:dyDescent="0.3">
      <c r="E72" s="98"/>
      <c r="F72" s="98" t="s">
        <v>78</v>
      </c>
      <c r="G72" s="98" t="s">
        <v>78</v>
      </c>
      <c r="H72" s="98" t="s">
        <v>69</v>
      </c>
      <c r="I72" s="101" t="s">
        <v>70</v>
      </c>
      <c r="J72" s="106" t="s">
        <v>69</v>
      </c>
      <c r="K72" s="106" t="s">
        <v>69</v>
      </c>
      <c r="L72" s="103"/>
      <c r="M72" s="104"/>
      <c r="N72" s="103"/>
      <c r="O72" s="103"/>
      <c r="P72" s="102" t="s">
        <v>76</v>
      </c>
      <c r="Q72" s="105"/>
      <c r="R72" s="98"/>
    </row>
    <row r="73" spans="5:18" x14ac:dyDescent="0.3">
      <c r="E73" s="98"/>
      <c r="F73" s="98"/>
      <c r="G73" s="98"/>
      <c r="H73" s="98"/>
      <c r="I73" s="101"/>
      <c r="J73" s="106"/>
      <c r="K73" s="106"/>
      <c r="L73" s="103"/>
      <c r="M73" s="104"/>
      <c r="N73" s="103"/>
      <c r="O73" s="103"/>
      <c r="P73" s="102"/>
      <c r="Q73" s="105"/>
      <c r="R73" s="98"/>
    </row>
    <row r="74" spans="5:18" x14ac:dyDescent="0.3">
      <c r="E74" s="98"/>
      <c r="F74" s="98"/>
      <c r="G74" s="98"/>
      <c r="H74" s="98"/>
      <c r="I74" s="101"/>
      <c r="J74" s="106"/>
      <c r="K74" s="106"/>
      <c r="L74" s="103"/>
      <c r="M74" s="104"/>
      <c r="N74" s="103"/>
      <c r="O74" s="103"/>
      <c r="P74" s="102"/>
      <c r="Q74" s="105"/>
      <c r="R74" s="98"/>
    </row>
    <row r="75" spans="5:18" x14ac:dyDescent="0.3">
      <c r="E75" s="98"/>
      <c r="F75" s="98"/>
      <c r="G75" s="98"/>
      <c r="H75" s="98"/>
      <c r="I75" s="101"/>
      <c r="J75" s="106"/>
      <c r="K75" s="106"/>
      <c r="L75" s="103"/>
      <c r="M75" s="104"/>
      <c r="N75" s="103"/>
      <c r="O75" s="103"/>
      <c r="P75" s="102"/>
      <c r="Q75" s="105"/>
      <c r="R75" s="98"/>
    </row>
    <row r="76" spans="5:18" x14ac:dyDescent="0.3">
      <c r="E76" s="98"/>
      <c r="F76" s="98"/>
      <c r="G76" s="98"/>
      <c r="H76" s="98"/>
      <c r="I76" s="101"/>
      <c r="J76" s="106"/>
      <c r="K76" s="106"/>
      <c r="L76" s="103"/>
      <c r="M76" s="104"/>
      <c r="N76" s="103"/>
      <c r="O76" s="103"/>
      <c r="P76" s="102"/>
      <c r="Q76" s="105"/>
      <c r="R76" s="98"/>
    </row>
    <row r="77" spans="5:18" x14ac:dyDescent="0.3">
      <c r="F77">
        <v>1.1000000000000001</v>
      </c>
      <c r="G77">
        <v>1.1000000000000001</v>
      </c>
      <c r="H77">
        <v>0.8</v>
      </c>
      <c r="I77">
        <v>0.91</v>
      </c>
      <c r="J77" s="14">
        <v>0.62</v>
      </c>
      <c r="K77">
        <v>0.85</v>
      </c>
      <c r="L77">
        <v>0.87</v>
      </c>
      <c r="M77" s="2">
        <v>1.25</v>
      </c>
      <c r="N77">
        <v>1.25</v>
      </c>
      <c r="O77">
        <v>1.25</v>
      </c>
      <c r="P77">
        <v>0.9</v>
      </c>
    </row>
    <row r="78" spans="5:18" x14ac:dyDescent="0.3">
      <c r="E78" s="98">
        <f>SUM(E77:R77)</f>
        <v>10.9</v>
      </c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</row>
    <row r="79" spans="5:18" x14ac:dyDescent="0.3">
      <c r="M79" s="2"/>
      <c r="R79" s="97"/>
    </row>
  </sheetData>
  <mergeCells count="134">
    <mergeCell ref="Q72:Q76"/>
    <mergeCell ref="R72:R76"/>
    <mergeCell ref="E78:R78"/>
    <mergeCell ref="Q67:Q71"/>
    <mergeCell ref="R67:R71"/>
    <mergeCell ref="E72:E76"/>
    <mergeCell ref="F72:F76"/>
    <mergeCell ref="G72:G76"/>
    <mergeCell ref="H72:H76"/>
    <mergeCell ref="I72:I76"/>
    <mergeCell ref="J72:J76"/>
    <mergeCell ref="K72:K76"/>
    <mergeCell ref="P72:P76"/>
    <mergeCell ref="K67:K71"/>
    <mergeCell ref="L67:L76"/>
    <mergeCell ref="M67:M76"/>
    <mergeCell ref="N67:N76"/>
    <mergeCell ref="O67:O76"/>
    <mergeCell ref="P67:P71"/>
    <mergeCell ref="E67:E71"/>
    <mergeCell ref="F67:F71"/>
    <mergeCell ref="G67:G71"/>
    <mergeCell ref="H67:H71"/>
    <mergeCell ref="I67:I71"/>
    <mergeCell ref="J67:J71"/>
    <mergeCell ref="E65:R65"/>
    <mergeCell ref="J54:J55"/>
    <mergeCell ref="K54:K55"/>
    <mergeCell ref="M54:M55"/>
    <mergeCell ref="N54:N55"/>
    <mergeCell ref="O54:O55"/>
    <mergeCell ref="J52:J53"/>
    <mergeCell ref="K52:K53"/>
    <mergeCell ref="M52:M53"/>
    <mergeCell ref="N52:N53"/>
    <mergeCell ref="O52:O53"/>
    <mergeCell ref="E54:E55"/>
    <mergeCell ref="F54:F55"/>
    <mergeCell ref="G54:G55"/>
    <mergeCell ref="H54:H55"/>
    <mergeCell ref="I54:I55"/>
    <mergeCell ref="K48:K50"/>
    <mergeCell ref="L48:L50"/>
    <mergeCell ref="M48:M50"/>
    <mergeCell ref="N48:N50"/>
    <mergeCell ref="O48:O50"/>
    <mergeCell ref="E52:E53"/>
    <mergeCell ref="F52:F53"/>
    <mergeCell ref="G52:G53"/>
    <mergeCell ref="H52:H53"/>
    <mergeCell ref="I52:I53"/>
    <mergeCell ref="B48:B50"/>
    <mergeCell ref="E48:E50"/>
    <mergeCell ref="F48:F50"/>
    <mergeCell ref="H48:H50"/>
    <mergeCell ref="I48:I50"/>
    <mergeCell ref="J48:J50"/>
    <mergeCell ref="J45:J47"/>
    <mergeCell ref="K45:K47"/>
    <mergeCell ref="L45:L47"/>
    <mergeCell ref="M45:M47"/>
    <mergeCell ref="N45:N47"/>
    <mergeCell ref="O45:O47"/>
    <mergeCell ref="K39:K44"/>
    <mergeCell ref="L39:L44"/>
    <mergeCell ref="M39:M44"/>
    <mergeCell ref="N39:N44"/>
    <mergeCell ref="O39:O44"/>
    <mergeCell ref="B45:B47"/>
    <mergeCell ref="E45:E47"/>
    <mergeCell ref="F45:F47"/>
    <mergeCell ref="H45:H47"/>
    <mergeCell ref="I45:I47"/>
    <mergeCell ref="B39:B44"/>
    <mergeCell ref="E39:E44"/>
    <mergeCell ref="F39:F44"/>
    <mergeCell ref="H39:H44"/>
    <mergeCell ref="I39:I44"/>
    <mergeCell ref="J39:J44"/>
    <mergeCell ref="J33:J38"/>
    <mergeCell ref="K33:K38"/>
    <mergeCell ref="L33:L38"/>
    <mergeCell ref="M33:M38"/>
    <mergeCell ref="N33:N38"/>
    <mergeCell ref="O33:O38"/>
    <mergeCell ref="K24:K32"/>
    <mergeCell ref="L24:L32"/>
    <mergeCell ref="M24:M32"/>
    <mergeCell ref="N24:N32"/>
    <mergeCell ref="O24:O32"/>
    <mergeCell ref="B33:B38"/>
    <mergeCell ref="E33:E38"/>
    <mergeCell ref="F33:F38"/>
    <mergeCell ref="H33:H38"/>
    <mergeCell ref="I33:I38"/>
    <mergeCell ref="B24:B32"/>
    <mergeCell ref="E24:E32"/>
    <mergeCell ref="F24:F32"/>
    <mergeCell ref="H24:H32"/>
    <mergeCell ref="I24:I32"/>
    <mergeCell ref="J24:J32"/>
    <mergeCell ref="J18:J23"/>
    <mergeCell ref="K18:K23"/>
    <mergeCell ref="L18:L23"/>
    <mergeCell ref="M18:M23"/>
    <mergeCell ref="N18:N23"/>
    <mergeCell ref="O18:O23"/>
    <mergeCell ref="K15:K17"/>
    <mergeCell ref="L15:L17"/>
    <mergeCell ref="M15:M17"/>
    <mergeCell ref="N15:N17"/>
    <mergeCell ref="O15:O17"/>
    <mergeCell ref="B18:B23"/>
    <mergeCell ref="E18:E23"/>
    <mergeCell ref="F18:F23"/>
    <mergeCell ref="H18:H23"/>
    <mergeCell ref="I18:I23"/>
    <mergeCell ref="B15:B17"/>
    <mergeCell ref="E15:E17"/>
    <mergeCell ref="F15:F17"/>
    <mergeCell ref="H15:H17"/>
    <mergeCell ref="I15:I17"/>
    <mergeCell ref="J15:J17"/>
    <mergeCell ref="J12:J14"/>
    <mergeCell ref="K12:K14"/>
    <mergeCell ref="L12:L14"/>
    <mergeCell ref="M12:M14"/>
    <mergeCell ref="N12:N14"/>
    <mergeCell ref="O12:O14"/>
    <mergeCell ref="B12:B14"/>
    <mergeCell ref="E12:E14"/>
    <mergeCell ref="F12:F14"/>
    <mergeCell ref="H12:H14"/>
    <mergeCell ref="I12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2025-11-25T05:19:24Z</dcterms:modified>
</cp:coreProperties>
</file>