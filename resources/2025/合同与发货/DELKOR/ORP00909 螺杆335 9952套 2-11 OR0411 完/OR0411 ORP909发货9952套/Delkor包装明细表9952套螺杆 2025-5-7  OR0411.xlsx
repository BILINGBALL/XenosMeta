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u\Desktop\OR0411 ORP909发货9952套\"/>
    </mc:Choice>
  </mc:AlternateContent>
  <xr:revisionPtr revIDLastSave="0" documentId="13_ncr:1_{DF3C3695-E037-465B-ADD9-7C75430198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" l="1"/>
  <c r="O5" i="1"/>
  <c r="M5" i="1"/>
  <c r="P5" i="1" s="1"/>
  <c r="J5" i="1"/>
  <c r="H5" i="1"/>
  <c r="F5" i="1"/>
  <c r="Q4" i="1"/>
  <c r="O4" i="1"/>
  <c r="M4" i="1"/>
  <c r="P4" i="1" s="1"/>
  <c r="J4" i="1"/>
  <c r="H4" i="1"/>
  <c r="F4" i="1" s="1"/>
  <c r="Q7" i="1"/>
  <c r="O7" i="1"/>
  <c r="M7" i="1"/>
  <c r="P7" i="1" s="1"/>
  <c r="J7" i="1"/>
  <c r="H7" i="1"/>
  <c r="F7" i="1" s="1"/>
  <c r="Q6" i="1"/>
  <c r="O6" i="1"/>
  <c r="M6" i="1"/>
  <c r="P6" i="1" s="1"/>
  <c r="J6" i="1"/>
  <c r="H6" i="1"/>
  <c r="F6" i="1" s="1"/>
  <c r="J9" i="1"/>
  <c r="Q8" i="1"/>
  <c r="O8" i="1"/>
  <c r="M8" i="1"/>
  <c r="P8" i="1" s="1"/>
  <c r="J8" i="1"/>
  <c r="J11" i="1"/>
  <c r="F11" i="1"/>
  <c r="Q10" i="1"/>
  <c r="O10" i="1"/>
  <c r="M10" i="1"/>
  <c r="P10" i="1" s="1"/>
  <c r="J10" i="1"/>
  <c r="F10" i="1"/>
  <c r="Q3" i="1" l="1"/>
  <c r="O3" i="1"/>
  <c r="M3" i="1"/>
  <c r="P3" i="1" s="1"/>
  <c r="J3" i="1"/>
  <c r="H3" i="1"/>
  <c r="F3" i="1" s="1"/>
  <c r="K12" i="1"/>
  <c r="O12" i="1" l="1"/>
  <c r="H12" i="1"/>
  <c r="Q12" i="1"/>
  <c r="P12" i="1"/>
  <c r="F12" i="1"/>
</calcChain>
</file>

<file path=xl/sharedStrings.xml><?xml version="1.0" encoding="utf-8"?>
<sst xmlns="http://schemas.openxmlformats.org/spreadsheetml/2006/main" count="63" uniqueCount="35">
  <si>
    <t>序号
No</t>
  </si>
  <si>
    <t>产品名称
Name</t>
  </si>
  <si>
    <t>型号及规格
Spec.</t>
  </si>
  <si>
    <t>合同号
PO</t>
  </si>
  <si>
    <t>箱号
Case No.</t>
  </si>
  <si>
    <t>套
Quan.</t>
  </si>
  <si>
    <t>套/袋
pcs
/bag</t>
  </si>
  <si>
    <t>袋
bags</t>
  </si>
  <si>
    <t>袋/箱
bag
/case</t>
  </si>
  <si>
    <t>套/箱
pcs
/case</t>
  </si>
  <si>
    <t>箱
CASW</t>
  </si>
  <si>
    <t>净重/箱
NW/CASE
（KG）</t>
  </si>
  <si>
    <t>毛重/箱
GW/CASE
（KG）</t>
  </si>
  <si>
    <t>体积/箱 m³
M³/CASE</t>
  </si>
  <si>
    <t>总净重
NW
（KG）</t>
  </si>
  <si>
    <t>总毛重
GW
(KG）</t>
  </si>
  <si>
    <t>总体积
M³</t>
  </si>
  <si>
    <r>
      <rPr>
        <sz val="8"/>
        <color theme="1"/>
        <rFont val="宋体"/>
        <family val="3"/>
        <charset val="134"/>
        <scheme val="minor"/>
      </rPr>
      <t xml:space="preserve">1100*800*550
</t>
    </r>
    <r>
      <rPr>
        <sz val="10"/>
        <color theme="1"/>
        <rFont val="宋体"/>
        <family val="3"/>
        <charset val="134"/>
        <scheme val="minor"/>
      </rPr>
      <t>0.49</t>
    </r>
  </si>
  <si>
    <t>合计</t>
  </si>
  <si>
    <t>备注：</t>
  </si>
  <si>
    <t>Delker</t>
  </si>
  <si>
    <t>苏州苏德兰铁路配件有限公司</t>
  </si>
  <si>
    <t>M24X335</t>
    <phoneticPr fontId="9" type="noConversion"/>
  </si>
  <si>
    <t>螺杆配双螺母配平垫弹垫
Thread Rod Assembly</t>
    <phoneticPr fontId="9" type="noConversion"/>
  </si>
  <si>
    <t>1套报关资料</t>
    <phoneticPr fontId="9" type="noConversion"/>
  </si>
  <si>
    <t>ORP00909</t>
  </si>
  <si>
    <t>ORP00909</t>
    <phoneticPr fontId="9" type="noConversion"/>
  </si>
  <si>
    <t xml:space="preserve"> 包  装  明  细  表 OR0411                            </t>
    <phoneticPr fontId="9" type="noConversion"/>
  </si>
  <si>
    <t>1 de 9~3 de 9</t>
    <phoneticPr fontId="9" type="noConversion"/>
  </si>
  <si>
    <t>7 de 9~9 de 9</t>
    <phoneticPr fontId="9" type="noConversion"/>
  </si>
  <si>
    <t>4 de 9~6 de 9</t>
    <phoneticPr fontId="9" type="noConversion"/>
  </si>
  <si>
    <t>1 de 6~3 de 6</t>
    <phoneticPr fontId="9" type="noConversion"/>
  </si>
  <si>
    <t>4 de 6~6 de 6</t>
    <phoneticPr fontId="9" type="noConversion"/>
  </si>
  <si>
    <t>1 de 2</t>
    <phoneticPr fontId="9" type="noConversion"/>
  </si>
  <si>
    <t>2 de 2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</si>
</sst>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800]dddd\,\ mmmm\ dd\,\ yyyy"/>
    <numFmt numFmtId="177" formatCode="0_);[Red]\(0\)"/>
    <numFmt numFmtId="178" formatCode="0.00_);[Red]\(0.00\)"/>
  </numFmts>
  <fonts count="10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1">
    <xf numFmtId="176" fontId="0" fillId="0" borderId="0">
      <alignment vertical="center"/>
    </xf>
  </cellStyleXfs>
  <cellXfs count="68">
    <xf numFmtId="176" fontId="0" fillId="0" borderId="0" xfId="0">
      <alignment vertical="center"/>
    </xf>
    <xf numFmtId="176" fontId="2" fillId="0" borderId="1" xfId="0" applyFont="1" applyBorder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 vertical="center"/>
    </xf>
    <xf numFmtId="178" fontId="2" fillId="0" borderId="3" xfId="0" applyNumberFormat="1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176" fontId="2" fillId="0" borderId="0" xfId="0" applyFont="1" applyAlignment="1">
      <alignment horizontal="center" vertical="center"/>
    </xf>
    <xf numFmtId="176" fontId="5" fillId="0" borderId="0" xfId="0" applyFont="1" applyAlignment="1">
      <alignment horizontal="center" vertical="center"/>
    </xf>
    <xf numFmtId="176" fontId="0" fillId="0" borderId="0" xfId="0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178" fontId="3" fillId="0" borderId="5" xfId="0" applyNumberFormat="1" applyFont="1" applyBorder="1" applyAlignment="1">
      <alignment horizontal="center" vertical="center" wrapText="1"/>
    </xf>
    <xf numFmtId="177" fontId="4" fillId="0" borderId="5" xfId="0" applyNumberFormat="1" applyFont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177" fontId="4" fillId="0" borderId="7" xfId="0" applyNumberFormat="1" applyFont="1" applyBorder="1" applyAlignment="1">
      <alignment horizontal="center" vertical="center"/>
    </xf>
    <xf numFmtId="177" fontId="2" fillId="0" borderId="7" xfId="0" applyNumberFormat="1" applyFont="1" applyBorder="1" applyAlignment="1">
      <alignment horizontal="center" vertical="center"/>
    </xf>
    <xf numFmtId="177" fontId="2" fillId="0" borderId="8" xfId="0" applyNumberFormat="1" applyFont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 wrapText="1"/>
    </xf>
    <xf numFmtId="176" fontId="8" fillId="0" borderId="0" xfId="0" applyFont="1">
      <alignment vertical="center"/>
    </xf>
    <xf numFmtId="176" fontId="8" fillId="0" borderId="10" xfId="0" applyFont="1" applyBorder="1">
      <alignment vertical="center"/>
    </xf>
    <xf numFmtId="177" fontId="2" fillId="0" borderId="6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 wrapText="1"/>
    </xf>
    <xf numFmtId="178" fontId="3" fillId="0" borderId="2" xfId="0" applyNumberFormat="1" applyFont="1" applyBorder="1" applyAlignment="1">
      <alignment horizontal="center" vertical="center" wrapText="1"/>
    </xf>
    <xf numFmtId="178" fontId="2" fillId="0" borderId="2" xfId="0" applyNumberFormat="1" applyFont="1" applyBorder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177" fontId="4" fillId="0" borderId="2" xfId="0" applyNumberFormat="1" applyFont="1" applyBorder="1" applyAlignment="1">
      <alignment horizontal="center" vertical="center"/>
    </xf>
    <xf numFmtId="178" fontId="6" fillId="0" borderId="2" xfId="0" applyNumberFormat="1" applyFont="1" applyBorder="1" applyAlignment="1">
      <alignment horizontal="center" vertical="center" wrapText="1"/>
    </xf>
    <xf numFmtId="178" fontId="2" fillId="0" borderId="2" xfId="0" applyNumberFormat="1" applyFont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178" fontId="6" fillId="0" borderId="5" xfId="0" applyNumberFormat="1" applyFont="1" applyBorder="1" applyAlignment="1">
      <alignment horizontal="center" vertical="center" wrapText="1"/>
    </xf>
    <xf numFmtId="178" fontId="2" fillId="0" borderId="5" xfId="0" applyNumberFormat="1" applyFont="1" applyBorder="1" applyAlignment="1">
      <alignment horizontal="center" vertical="center"/>
    </xf>
    <xf numFmtId="176" fontId="8" fillId="0" borderId="11" xfId="0" applyFont="1" applyBorder="1">
      <alignment vertical="center"/>
    </xf>
    <xf numFmtId="176" fontId="8" fillId="0" borderId="12" xfId="0" applyFont="1" applyBorder="1">
      <alignment vertical="center"/>
    </xf>
    <xf numFmtId="178" fontId="2" fillId="0" borderId="1" xfId="0" applyNumberFormat="1" applyFont="1" applyBorder="1" applyAlignment="1">
      <alignment horizontal="center" vertical="center"/>
    </xf>
    <xf numFmtId="176" fontId="8" fillId="0" borderId="9" xfId="0" applyFont="1" applyBorder="1">
      <alignment vertical="center"/>
    </xf>
    <xf numFmtId="177" fontId="2" fillId="0" borderId="4" xfId="0" applyNumberFormat="1" applyFont="1" applyBorder="1" applyAlignment="1">
      <alignment horizontal="center" vertical="center"/>
    </xf>
    <xf numFmtId="177" fontId="2" fillId="0" borderId="13" xfId="0" applyNumberFormat="1" applyFont="1" applyBorder="1" applyAlignment="1">
      <alignment horizontal="center" vertical="center"/>
    </xf>
    <xf numFmtId="176" fontId="1" fillId="0" borderId="0" xfId="0" applyFont="1" applyAlignment="1">
      <alignment horizontal="center" vertical="center" wrapText="1"/>
    </xf>
    <xf numFmtId="176" fontId="1" fillId="0" borderId="0" xfId="0" applyFont="1" applyAlignment="1">
      <alignment horizontal="center" vertical="center"/>
    </xf>
    <xf numFmtId="178" fontId="2" fillId="0" borderId="3" xfId="0" applyNumberFormat="1" applyFont="1" applyBorder="1" applyAlignment="1">
      <alignment horizontal="center" vertical="center"/>
    </xf>
    <xf numFmtId="176" fontId="7" fillId="0" borderId="0" xfId="0" applyFont="1" applyAlignment="1">
      <alignment horizontal="right" vertical="center"/>
    </xf>
    <xf numFmtId="49" fontId="2" fillId="3" borderId="5" xfId="0" applyNumberFormat="1" applyFont="1" applyFill="1" applyBorder="1" applyAlignment="1">
      <alignment horizontal="center" vertical="center" wrapText="1"/>
    </xf>
    <xf numFmtId="49" fontId="2" fillId="3" borderId="7" xfId="0" applyNumberFormat="1" applyFont="1" applyFill="1" applyBorder="1" applyAlignment="1">
      <alignment horizontal="center" vertical="center" wrapText="1"/>
    </xf>
    <xf numFmtId="177" fontId="2" fillId="0" borderId="5" xfId="0" applyNumberFormat="1" applyFont="1" applyBorder="1" applyAlignment="1">
      <alignment horizontal="center" vertical="center"/>
    </xf>
    <xf numFmtId="177" fontId="2" fillId="0" borderId="7" xfId="0" applyNumberFormat="1" applyFont="1" applyBorder="1" applyAlignment="1">
      <alignment horizontal="center" vertical="center"/>
    </xf>
    <xf numFmtId="178" fontId="6" fillId="0" borderId="5" xfId="0" applyNumberFormat="1" applyFont="1" applyBorder="1" applyAlignment="1">
      <alignment horizontal="center" vertical="center" wrapText="1"/>
    </xf>
    <xf numFmtId="178" fontId="6" fillId="0" borderId="7" xfId="0" applyNumberFormat="1" applyFont="1" applyBorder="1" applyAlignment="1">
      <alignment horizontal="center" vertical="center" wrapText="1"/>
    </xf>
    <xf numFmtId="178" fontId="2" fillId="0" borderId="5" xfId="0" applyNumberFormat="1" applyFont="1" applyBorder="1" applyAlignment="1">
      <alignment horizontal="center" vertical="center"/>
    </xf>
    <xf numFmtId="178" fontId="2" fillId="0" borderId="7" xfId="0" applyNumberFormat="1" applyFont="1" applyBorder="1" applyAlignment="1">
      <alignment horizontal="center" vertical="center"/>
    </xf>
    <xf numFmtId="178" fontId="3" fillId="0" borderId="5" xfId="0" applyNumberFormat="1" applyFont="1" applyBorder="1" applyAlignment="1">
      <alignment horizontal="center" vertical="center" wrapText="1"/>
    </xf>
    <xf numFmtId="178" fontId="3" fillId="0" borderId="7" xfId="0" applyNumberFormat="1" applyFont="1" applyBorder="1" applyAlignment="1">
      <alignment horizontal="center" vertical="center" wrapText="1"/>
    </xf>
    <xf numFmtId="178" fontId="2" fillId="0" borderId="5" xfId="0" applyNumberFormat="1" applyFont="1" applyBorder="1" applyAlignment="1">
      <alignment horizontal="center" vertical="center" wrapText="1"/>
    </xf>
    <xf numFmtId="178" fontId="2" fillId="0" borderId="7" xfId="0" applyNumberFormat="1" applyFont="1" applyBorder="1" applyAlignment="1">
      <alignment horizontal="center" vertical="center" wrapText="1"/>
    </xf>
    <xf numFmtId="177" fontId="2" fillId="0" borderId="5" xfId="0" applyNumberFormat="1" applyFont="1" applyBorder="1" applyAlignment="1">
      <alignment horizontal="center" vertical="center" wrapText="1"/>
    </xf>
    <xf numFmtId="177" fontId="2" fillId="0" borderId="7" xfId="0" applyNumberFormat="1" applyFont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177" fontId="4" fillId="0" borderId="5" xfId="0" applyNumberFormat="1" applyFont="1" applyBorder="1" applyAlignment="1">
      <alignment horizontal="center" vertical="center"/>
    </xf>
    <xf numFmtId="177" fontId="4" fillId="0" borderId="7" xfId="0" applyNumberFormat="1" applyFont="1" applyBorder="1" applyAlignment="1">
      <alignment horizontal="center" vertical="center"/>
    </xf>
    <xf numFmtId="176" fontId="8" fillId="0" borderId="14" xfId="0" applyFont="1" applyBorder="1" applyAlignment="1">
      <alignment horizontal="center" vertical="center"/>
    </xf>
    <xf numFmtId="176" fontId="8" fillId="0" borderId="15" xfId="0" applyFont="1" applyBorder="1" applyAlignment="1">
      <alignment horizontal="center" vertical="center"/>
    </xf>
    <xf numFmtId="176" fontId="8" fillId="0" borderId="16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3"/>
  <sheetViews>
    <sheetView tabSelected="1" topLeftCell="A5" workbookViewId="0">
      <selection activeCell="L10" sqref="L10:L11"/>
    </sheetView>
  </sheetViews>
  <sheetFormatPr defaultColWidth="9" defaultRowHeight="13.5" x14ac:dyDescent="0.15"/>
  <cols>
    <col min="1" max="1" width="4.625" customWidth="1"/>
    <col min="2" max="2" width="18.25" customWidth="1"/>
    <col min="3" max="3" width="9.5" customWidth="1"/>
    <col min="4" max="4" width="9.625" customWidth="1"/>
    <col min="5" max="5" width="13.875" customWidth="1"/>
    <col min="6" max="6" width="7.375" customWidth="1"/>
    <col min="7" max="7" width="5.75" customWidth="1"/>
    <col min="8" max="8" width="5.625" customWidth="1"/>
    <col min="9" max="9" width="7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  <col min="15" max="16" width="9.375" customWidth="1"/>
    <col min="17" max="17" width="9.125" customWidth="1"/>
    <col min="18" max="18" width="15.625" customWidth="1"/>
  </cols>
  <sheetData>
    <row r="1" spans="1:19" ht="36.950000000000003" customHeight="1" x14ac:dyDescent="0.15">
      <c r="A1" s="43" t="s">
        <v>27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</row>
    <row r="2" spans="1:19" ht="45.95" customHeight="1" thickBo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 spans="1:19" ht="32.25" customHeight="1" x14ac:dyDescent="0.15">
      <c r="A3" s="8">
        <v>1</v>
      </c>
      <c r="B3" s="9" t="s">
        <v>23</v>
      </c>
      <c r="C3" s="15" t="s">
        <v>22</v>
      </c>
      <c r="D3" s="33" t="s">
        <v>26</v>
      </c>
      <c r="E3" s="34" t="s">
        <v>28</v>
      </c>
      <c r="F3" s="10">
        <f>G3*H3</f>
        <v>1800</v>
      </c>
      <c r="G3" s="11">
        <v>15</v>
      </c>
      <c r="H3" s="11">
        <f>I3*K3</f>
        <v>120</v>
      </c>
      <c r="I3" s="11">
        <v>40</v>
      </c>
      <c r="J3" s="11">
        <f t="shared" ref="J3:J5" si="0">G3*I3</f>
        <v>600</v>
      </c>
      <c r="K3" s="11">
        <v>3</v>
      </c>
      <c r="L3" s="11">
        <v>680</v>
      </c>
      <c r="M3" s="11">
        <f t="shared" ref="M3:M8" si="1">L3+42</f>
        <v>722</v>
      </c>
      <c r="N3" s="35" t="s">
        <v>17</v>
      </c>
      <c r="O3" s="11">
        <f t="shared" ref="O3:O8" si="2">L3*K3</f>
        <v>2040</v>
      </c>
      <c r="P3" s="11">
        <f t="shared" ref="P3:P8" si="3">M3*K3</f>
        <v>2166</v>
      </c>
      <c r="Q3" s="36">
        <f t="shared" ref="Q3:Q8" si="4">0.49*K3</f>
        <v>1.47</v>
      </c>
      <c r="R3" s="37" t="s">
        <v>24</v>
      </c>
    </row>
    <row r="4" spans="1:19" ht="32.25" customHeight="1" x14ac:dyDescent="0.15">
      <c r="A4" s="14">
        <v>2</v>
      </c>
      <c r="B4" s="26" t="s">
        <v>23</v>
      </c>
      <c r="C4" s="27" t="s">
        <v>22</v>
      </c>
      <c r="D4" s="28" t="s">
        <v>26</v>
      </c>
      <c r="E4" s="29" t="s">
        <v>30</v>
      </c>
      <c r="F4" s="30">
        <f>G4*H4</f>
        <v>1800</v>
      </c>
      <c r="G4" s="2">
        <v>15</v>
      </c>
      <c r="H4" s="2">
        <f>I4*K4</f>
        <v>120</v>
      </c>
      <c r="I4" s="2">
        <v>40</v>
      </c>
      <c r="J4" s="2">
        <f t="shared" si="0"/>
        <v>600</v>
      </c>
      <c r="K4" s="2">
        <v>3</v>
      </c>
      <c r="L4" s="2">
        <v>680</v>
      </c>
      <c r="M4" s="2">
        <f t="shared" si="1"/>
        <v>722</v>
      </c>
      <c r="N4" s="31" t="s">
        <v>17</v>
      </c>
      <c r="O4" s="2">
        <f t="shared" si="2"/>
        <v>2040</v>
      </c>
      <c r="P4" s="2">
        <f t="shared" si="3"/>
        <v>2166</v>
      </c>
      <c r="Q4" s="32">
        <f t="shared" si="4"/>
        <v>1.47</v>
      </c>
      <c r="R4" s="38" t="s">
        <v>24</v>
      </c>
    </row>
    <row r="5" spans="1:19" ht="32.25" customHeight="1" thickBot="1" x14ac:dyDescent="0.2">
      <c r="A5" s="18">
        <v>3</v>
      </c>
      <c r="B5" s="19" t="s">
        <v>23</v>
      </c>
      <c r="C5" s="20" t="s">
        <v>22</v>
      </c>
      <c r="D5" s="21" t="s">
        <v>26</v>
      </c>
      <c r="E5" s="22" t="s">
        <v>29</v>
      </c>
      <c r="F5" s="23">
        <f>G5*H5</f>
        <v>1800</v>
      </c>
      <c r="G5" s="24">
        <v>15</v>
      </c>
      <c r="H5" s="24">
        <f>I5*K5</f>
        <v>120</v>
      </c>
      <c r="I5" s="24">
        <v>40</v>
      </c>
      <c r="J5" s="24">
        <f t="shared" si="0"/>
        <v>600</v>
      </c>
      <c r="K5" s="24">
        <v>3</v>
      </c>
      <c r="L5" s="24">
        <v>680</v>
      </c>
      <c r="M5" s="24">
        <f t="shared" si="1"/>
        <v>722</v>
      </c>
      <c r="N5" s="25" t="s">
        <v>17</v>
      </c>
      <c r="O5" s="24">
        <f t="shared" si="2"/>
        <v>2040</v>
      </c>
      <c r="P5" s="24">
        <f t="shared" si="3"/>
        <v>2166</v>
      </c>
      <c r="Q5" s="39">
        <f t="shared" si="4"/>
        <v>1.47</v>
      </c>
      <c r="R5" s="40" t="s">
        <v>24</v>
      </c>
    </row>
    <row r="6" spans="1:19" ht="32.25" customHeight="1" x14ac:dyDescent="0.15">
      <c r="A6" s="8">
        <v>4</v>
      </c>
      <c r="B6" s="9" t="s">
        <v>23</v>
      </c>
      <c r="C6" s="15" t="s">
        <v>22</v>
      </c>
      <c r="D6" s="33" t="s">
        <v>26</v>
      </c>
      <c r="E6" s="34" t="s">
        <v>31</v>
      </c>
      <c r="F6" s="10">
        <f>G6*H6</f>
        <v>1800</v>
      </c>
      <c r="G6" s="11">
        <v>15</v>
      </c>
      <c r="H6" s="11">
        <f>I6*K6</f>
        <v>120</v>
      </c>
      <c r="I6" s="11">
        <v>40</v>
      </c>
      <c r="J6" s="11">
        <f t="shared" ref="J6" si="5">G6*I6</f>
        <v>600</v>
      </c>
      <c r="K6" s="11">
        <v>3</v>
      </c>
      <c r="L6" s="11">
        <v>680</v>
      </c>
      <c r="M6" s="11">
        <f t="shared" si="1"/>
        <v>722</v>
      </c>
      <c r="N6" s="35" t="s">
        <v>17</v>
      </c>
      <c r="O6" s="11">
        <f t="shared" si="2"/>
        <v>2040</v>
      </c>
      <c r="P6" s="11">
        <f t="shared" si="3"/>
        <v>2166</v>
      </c>
      <c r="Q6" s="36">
        <f t="shared" si="4"/>
        <v>1.47</v>
      </c>
      <c r="R6" s="37" t="s">
        <v>24</v>
      </c>
    </row>
    <row r="7" spans="1:19" ht="32.25" customHeight="1" thickBot="1" x14ac:dyDescent="0.2">
      <c r="A7" s="18">
        <v>5</v>
      </c>
      <c r="B7" s="19" t="s">
        <v>23</v>
      </c>
      <c r="C7" s="20" t="s">
        <v>22</v>
      </c>
      <c r="D7" s="21" t="s">
        <v>26</v>
      </c>
      <c r="E7" s="22" t="s">
        <v>32</v>
      </c>
      <c r="F7" s="23">
        <f>G7*H7</f>
        <v>1800</v>
      </c>
      <c r="G7" s="24">
        <v>15</v>
      </c>
      <c r="H7" s="24">
        <f>I7*K7</f>
        <v>120</v>
      </c>
      <c r="I7" s="24">
        <v>40</v>
      </c>
      <c r="J7" s="24">
        <f t="shared" ref="J7" si="6">G7*I7</f>
        <v>600</v>
      </c>
      <c r="K7" s="24">
        <v>3</v>
      </c>
      <c r="L7" s="24">
        <v>680</v>
      </c>
      <c r="M7" s="24">
        <f t="shared" si="1"/>
        <v>722</v>
      </c>
      <c r="N7" s="25" t="s">
        <v>17</v>
      </c>
      <c r="O7" s="24">
        <f t="shared" si="2"/>
        <v>2040</v>
      </c>
      <c r="P7" s="24">
        <f t="shared" si="3"/>
        <v>2166</v>
      </c>
      <c r="Q7" s="39">
        <f t="shared" si="4"/>
        <v>1.47</v>
      </c>
      <c r="R7" s="40" t="s">
        <v>24</v>
      </c>
    </row>
    <row r="8" spans="1:19" ht="27.75" customHeight="1" x14ac:dyDescent="0.15">
      <c r="A8" s="41">
        <v>6</v>
      </c>
      <c r="B8" s="55" t="s">
        <v>23</v>
      </c>
      <c r="C8" s="57" t="s">
        <v>22</v>
      </c>
      <c r="D8" s="59" t="s">
        <v>25</v>
      </c>
      <c r="E8" s="61" t="s">
        <v>33</v>
      </c>
      <c r="F8" s="63">
        <v>306</v>
      </c>
      <c r="G8" s="11">
        <v>15</v>
      </c>
      <c r="H8" s="11">
        <v>20</v>
      </c>
      <c r="I8" s="11">
        <v>20</v>
      </c>
      <c r="J8" s="11">
        <f t="shared" ref="J8:J9" si="7">G8*I8</f>
        <v>300</v>
      </c>
      <c r="K8" s="49">
        <v>1</v>
      </c>
      <c r="L8" s="49">
        <v>233</v>
      </c>
      <c r="M8" s="49">
        <f t="shared" si="1"/>
        <v>275</v>
      </c>
      <c r="N8" s="51" t="s">
        <v>17</v>
      </c>
      <c r="O8" s="49">
        <f t="shared" si="2"/>
        <v>233</v>
      </c>
      <c r="P8" s="49">
        <f t="shared" si="3"/>
        <v>275</v>
      </c>
      <c r="Q8" s="53">
        <f t="shared" si="4"/>
        <v>0.49</v>
      </c>
      <c r="R8" s="65" t="s">
        <v>24</v>
      </c>
    </row>
    <row r="9" spans="1:19" ht="27.75" customHeight="1" thickBot="1" x14ac:dyDescent="0.2">
      <c r="A9" s="42"/>
      <c r="B9" s="56"/>
      <c r="C9" s="58"/>
      <c r="D9" s="60"/>
      <c r="E9" s="62"/>
      <c r="F9" s="64"/>
      <c r="G9" s="13">
        <v>6</v>
      </c>
      <c r="H9" s="13">
        <v>1</v>
      </c>
      <c r="I9" s="13">
        <v>1</v>
      </c>
      <c r="J9" s="13">
        <f t="shared" si="7"/>
        <v>6</v>
      </c>
      <c r="K9" s="50"/>
      <c r="L9" s="50"/>
      <c r="M9" s="50"/>
      <c r="N9" s="52"/>
      <c r="O9" s="50"/>
      <c r="P9" s="50"/>
      <c r="Q9" s="54"/>
      <c r="R9" s="66"/>
    </row>
    <row r="10" spans="1:19" ht="30" customHeight="1" x14ac:dyDescent="0.15">
      <c r="A10" s="41">
        <v>7</v>
      </c>
      <c r="B10" s="55" t="s">
        <v>23</v>
      </c>
      <c r="C10" s="57" t="s">
        <v>22</v>
      </c>
      <c r="D10" s="59" t="s">
        <v>25</v>
      </c>
      <c r="E10" s="47" t="s">
        <v>34</v>
      </c>
      <c r="F10" s="10">
        <f>G10*H10</f>
        <v>630</v>
      </c>
      <c r="G10" s="11">
        <v>15</v>
      </c>
      <c r="H10" s="11">
        <v>42</v>
      </c>
      <c r="I10" s="11">
        <v>42</v>
      </c>
      <c r="J10" s="11">
        <f>G10*I10</f>
        <v>630</v>
      </c>
      <c r="K10" s="49">
        <v>1</v>
      </c>
      <c r="L10" s="49">
        <v>730</v>
      </c>
      <c r="M10" s="49">
        <f>L10+42</f>
        <v>772</v>
      </c>
      <c r="N10" s="51" t="s">
        <v>17</v>
      </c>
      <c r="O10" s="49">
        <f>L10*K10</f>
        <v>730</v>
      </c>
      <c r="P10" s="49">
        <f>M10*K10</f>
        <v>772</v>
      </c>
      <c r="Q10" s="53">
        <f>0.49*K10</f>
        <v>0.49</v>
      </c>
      <c r="R10" s="66"/>
      <c r="S10" s="16"/>
    </row>
    <row r="11" spans="1:19" ht="30" customHeight="1" thickBot="1" x14ac:dyDescent="0.2">
      <c r="A11" s="42"/>
      <c r="B11" s="56"/>
      <c r="C11" s="58"/>
      <c r="D11" s="60"/>
      <c r="E11" s="48"/>
      <c r="F11" s="12">
        <f t="shared" ref="F11" si="8">G11*H11</f>
        <v>16</v>
      </c>
      <c r="G11" s="13">
        <v>16</v>
      </c>
      <c r="H11" s="13">
        <v>1</v>
      </c>
      <c r="I11" s="13">
        <v>1</v>
      </c>
      <c r="J11" s="13">
        <f t="shared" ref="J11" si="9">G11*I11</f>
        <v>16</v>
      </c>
      <c r="K11" s="50"/>
      <c r="L11" s="50"/>
      <c r="M11" s="50"/>
      <c r="N11" s="52"/>
      <c r="O11" s="50"/>
      <c r="P11" s="50"/>
      <c r="Q11" s="54"/>
      <c r="R11" s="67"/>
      <c r="S11" s="16"/>
    </row>
    <row r="12" spans="1:19" ht="41.1" customHeight="1" x14ac:dyDescent="0.15">
      <c r="A12" s="45" t="s">
        <v>18</v>
      </c>
      <c r="B12" s="45"/>
      <c r="C12" s="45"/>
      <c r="D12" s="4"/>
      <c r="E12" s="3"/>
      <c r="F12" s="4">
        <f>SUM(F3:F11)</f>
        <v>9952</v>
      </c>
      <c r="G12" s="4"/>
      <c r="H12" s="4">
        <f>SUM(H3:H11)</f>
        <v>664</v>
      </c>
      <c r="I12" s="4"/>
      <c r="J12" s="4"/>
      <c r="K12" s="4">
        <f>SUM(K3:K11)</f>
        <v>17</v>
      </c>
      <c r="L12" s="4"/>
      <c r="M12" s="4"/>
      <c r="N12" s="4"/>
      <c r="O12" s="4">
        <f>SUM(O3:O11)</f>
        <v>11163</v>
      </c>
      <c r="P12" s="4">
        <f>SUM(P3:P11)</f>
        <v>11877</v>
      </c>
      <c r="Q12" s="3">
        <f>SUM(Q3:Q11)</f>
        <v>8.33</v>
      </c>
      <c r="R12" s="17"/>
    </row>
    <row r="13" spans="1:19" ht="21" customHeight="1" x14ac:dyDescent="0.1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9" ht="21" customHeight="1" x14ac:dyDescent="0.15">
      <c r="A14" s="5"/>
      <c r="B14" s="6" t="s">
        <v>19</v>
      </c>
      <c r="C14" s="5" t="s">
        <v>20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9" ht="18.75" x14ac:dyDescent="0.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46" t="s">
        <v>21</v>
      </c>
      <c r="O15" s="46"/>
      <c r="P15" s="46"/>
      <c r="Q15" s="46"/>
    </row>
    <row r="16" spans="1:19" ht="18.75" x14ac:dyDescent="0.1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46">
        <v>45784</v>
      </c>
      <c r="O16" s="46"/>
      <c r="P16" s="46"/>
      <c r="Q16" s="46"/>
    </row>
    <row r="17" spans="1:17" x14ac:dyDescent="0.1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x14ac:dyDescent="0.1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 x14ac:dyDescent="0.1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1:17" x14ac:dyDescent="0.1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1:17" x14ac:dyDescent="0.1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x14ac:dyDescent="0.1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1:17" x14ac:dyDescent="0.1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</sheetData>
  <mergeCells count="30">
    <mergeCell ref="B10:B11"/>
    <mergeCell ref="C10:C11"/>
    <mergeCell ref="D10:D11"/>
    <mergeCell ref="F8:F9"/>
    <mergeCell ref="K8:K9"/>
    <mergeCell ref="L8:L9"/>
    <mergeCell ref="M8:M9"/>
    <mergeCell ref="N8:N9"/>
    <mergeCell ref="O8:O9"/>
    <mergeCell ref="P8:P9"/>
    <mergeCell ref="Q8:Q9"/>
    <mergeCell ref="O10:O11"/>
    <mergeCell ref="P10:P11"/>
    <mergeCell ref="R8:R11"/>
    <mergeCell ref="A10:A11"/>
    <mergeCell ref="A1:Q1"/>
    <mergeCell ref="A12:C12"/>
    <mergeCell ref="N15:Q15"/>
    <mergeCell ref="N16:Q16"/>
    <mergeCell ref="E10:E11"/>
    <mergeCell ref="K10:K11"/>
    <mergeCell ref="L10:L11"/>
    <mergeCell ref="M10:M11"/>
    <mergeCell ref="N10:N11"/>
    <mergeCell ref="Q10:Q11"/>
    <mergeCell ref="A8:A9"/>
    <mergeCell ref="B8:B9"/>
    <mergeCell ref="C8:C9"/>
    <mergeCell ref="D8:D9"/>
    <mergeCell ref="E8:E9"/>
  </mergeCells>
  <phoneticPr fontId="9" type="noConversion"/>
  <pageMargins left="0.7" right="0.7" top="0.75" bottom="0.75" header="0.3" footer="0.3"/>
  <pageSetup paperSize="9" scale="81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2025-05-07T08:06:51Z</cp:lastPrinted>
  <dcterms:created xsi:type="dcterms:W3CDTF">2006-09-13T11:21:00Z</dcterms:created>
  <dcterms:modified xsi:type="dcterms:W3CDTF">2025-05-07T08:08:32Z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F788CE42AB4E457986BB9E7F48EE1CD4_13</vt:lpwstr>
  </property>
  <property fmtid="{D5CDD505-2E9C-101B-9397-08002B2CF9AE}" pid="3" name="KSOProductBuildVer">
    <vt:lpwstr>2052-12.1.0.16729</vt:lpwstr>
  </property>
</Properties>
</file>