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OR0411 ORP909发货9952套\第一批 5400套 3\"/>
    </mc:Choice>
  </mc:AlternateContent>
  <xr:revisionPtr revIDLastSave="0" documentId="8_{206F0D74-71D0-4266-A9AA-46B34B3635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O5" i="1"/>
  <c r="M5" i="1"/>
  <c r="P5" i="1" s="1"/>
  <c r="J5" i="1"/>
  <c r="H5" i="1"/>
  <c r="F5" i="1"/>
  <c r="Q4" i="1"/>
  <c r="O4" i="1"/>
  <c r="M4" i="1"/>
  <c r="P4" i="1" s="1"/>
  <c r="J4" i="1"/>
  <c r="H4" i="1"/>
  <c r="F4" i="1" s="1"/>
  <c r="Q3" i="1" l="1"/>
  <c r="O3" i="1"/>
  <c r="M3" i="1"/>
  <c r="P3" i="1" s="1"/>
  <c r="J3" i="1"/>
  <c r="H3" i="1"/>
  <c r="F3" i="1" s="1"/>
  <c r="K6" i="1"/>
  <c r="O6" i="1" l="1"/>
  <c r="H6" i="1"/>
  <c r="Q6" i="1"/>
  <c r="P6" i="1"/>
  <c r="F6" i="1"/>
</calcChain>
</file>

<file path=xl/sharedStrings.xml><?xml version="1.0" encoding="utf-8"?>
<sst xmlns="http://schemas.openxmlformats.org/spreadsheetml/2006/main" count="40" uniqueCount="30">
  <si>
    <t>序号
No</t>
  </si>
  <si>
    <t>产品名称
Name</t>
  </si>
  <si>
    <t>型号及规格
Spec.</t>
  </si>
  <si>
    <t>合同号
PO</t>
  </si>
  <si>
    <t>箱号
Case No.</t>
  </si>
  <si>
    <t>套
Quan.</t>
  </si>
  <si>
    <t>套/袋
pcs
/bag</t>
  </si>
  <si>
    <t>袋
bags</t>
  </si>
  <si>
    <t>袋/箱
bag
/case</t>
  </si>
  <si>
    <t>套/箱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</si>
  <si>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</si>
  <si>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</si>
  <si>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</si>
  <si>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</si>
  <si>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</si>
  <si>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</si>
  <si>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</si>
  <si>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0.49</t>
    </r>
  </si>
  <si>
    <t>合计</t>
  </si>
  <si>
    <t>备注：</t>
  </si>
  <si>
    <t>Delker</t>
  </si>
  <si>
    <t>苏州苏德兰铁路配件有限公司</t>
  </si>
  <si>
    <t>M24X335</t>
    <phoneticPr fontId="9" type="noConversion"/>
  </si>
  <si>
    <t>螺杆配双螺母配平垫弹垫
Thread Rod Assembly</t>
    <phoneticPr fontId="9" type="noConversion"/>
  </si>
  <si>
    <t>1套报关资料</t>
    <phoneticPr fontId="9" type="noConversion"/>
  </si>
  <si>
    <t>ORP00909</t>
    <phoneticPr fontId="9" type="noConversion"/>
  </si>
  <si>
    <t>1 de 9~3 de 9</t>
    <phoneticPr fontId="9" type="noConversion"/>
  </si>
  <si>
    <t>7 de 9~9 de 9</t>
    <phoneticPr fontId="9" type="noConversion"/>
  </si>
  <si>
    <t>4 de 9~6 de 9</t>
    <phoneticPr fontId="9" type="noConversion"/>
  </si>
  <si>
    <t xml:space="preserve"> 包  装  明  细  表 OR0411  #5                          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</si>
</sst>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0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33">
    <xf numFmtId="176" fontId="0" fillId="0" borderId="0" xfId="0">
      <alignment vertical="center"/>
    </xf>
    <xf numFmtId="176" fontId="2" fillId="0" borderId="1" xfId="0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0" xfId="0" applyFont="1" applyAlignment="1">
      <alignment horizontal="center" vertical="center"/>
    </xf>
    <xf numFmtId="176" fontId="5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 wrapText="1"/>
    </xf>
    <xf numFmtId="176" fontId="8" fillId="0" borderId="8" xfId="0" applyFont="1" applyBorder="1">
      <alignment vertical="center"/>
    </xf>
    <xf numFmtId="178" fontId="3" fillId="0" borderId="2" xfId="0" applyNumberFormat="1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78" fontId="6" fillId="0" borderId="5" xfId="0" applyNumberFormat="1" applyFont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/>
    </xf>
    <xf numFmtId="176" fontId="8" fillId="0" borderId="9" xfId="0" applyFont="1" applyBorder="1">
      <alignment vertical="center"/>
    </xf>
    <xf numFmtId="176" fontId="8" fillId="0" borderId="10" xfId="0" applyFont="1" applyBorder="1">
      <alignment vertical="center"/>
    </xf>
    <xf numFmtId="176" fontId="8" fillId="0" borderId="7" xfId="0" applyFont="1" applyBorder="1">
      <alignment vertical="center"/>
    </xf>
    <xf numFmtId="176" fontId="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6" fontId="7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7"/>
  <sheetViews>
    <sheetView tabSelected="1" topLeftCell="A2" workbookViewId="0">
      <selection activeCell="B7" sqref="B7"/>
    </sheetView>
  </sheetViews>
  <sheetFormatPr defaultColWidth="9" defaultRowHeight="13.5" x14ac:dyDescent="0.15"/>
  <cols>
    <col min="1" max="1" width="4.625" customWidth="1"/>
    <col min="2" max="2" width="18.25" customWidth="1"/>
    <col min="3" max="3" width="9.5" customWidth="1"/>
    <col min="4" max="4" width="9.625" customWidth="1"/>
    <col min="5" max="5" width="13.875" customWidth="1"/>
    <col min="6" max="6" width="7.37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  <col min="18" max="18" width="15.625" customWidth="1"/>
  </cols>
  <sheetData>
    <row r="1" spans="1:18" ht="36.950000000000003" customHeight="1" x14ac:dyDescent="0.15">
      <c r="A1" s="29" t="s">
        <v>29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8" ht="45.95" customHeight="1" thickBo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8" ht="32.25" customHeight="1" x14ac:dyDescent="0.15">
      <c r="A3" s="8">
        <v>1</v>
      </c>
      <c r="B3" s="9" t="s">
        <v>23</v>
      </c>
      <c r="C3" s="13" t="s">
        <v>22</v>
      </c>
      <c r="D3" s="22" t="s">
        <v>25</v>
      </c>
      <c r="E3" s="23" t="s">
        <v>26</v>
      </c>
      <c r="F3" s="10">
        <f>G3*H3</f>
        <v>1800</v>
      </c>
      <c r="G3" s="11">
        <v>15</v>
      </c>
      <c r="H3" s="11">
        <f>I3*K3</f>
        <v>120</v>
      </c>
      <c r="I3" s="11">
        <v>40</v>
      </c>
      <c r="J3" s="11">
        <f t="shared" ref="J3:J5" si="0">G3*I3</f>
        <v>600</v>
      </c>
      <c r="K3" s="11">
        <v>3</v>
      </c>
      <c r="L3" s="11">
        <v>680</v>
      </c>
      <c r="M3" s="11">
        <f t="shared" ref="M3:M5" si="1">L3+42</f>
        <v>722</v>
      </c>
      <c r="N3" s="24" t="s">
        <v>17</v>
      </c>
      <c r="O3" s="11">
        <f t="shared" ref="O3:O5" si="2">L3*K3</f>
        <v>2040</v>
      </c>
      <c r="P3" s="11">
        <f t="shared" ref="P3:P5" si="3">M3*K3</f>
        <v>2166</v>
      </c>
      <c r="Q3" s="25">
        <f t="shared" ref="Q3:Q5" si="4">0.49*K3</f>
        <v>1.47</v>
      </c>
      <c r="R3" s="26" t="s">
        <v>24</v>
      </c>
    </row>
    <row r="4" spans="1:18" ht="32.25" customHeight="1" x14ac:dyDescent="0.15">
      <c r="A4" s="12">
        <v>2</v>
      </c>
      <c r="B4" s="15" t="s">
        <v>23</v>
      </c>
      <c r="C4" s="16" t="s">
        <v>22</v>
      </c>
      <c r="D4" s="17" t="s">
        <v>25</v>
      </c>
      <c r="E4" s="18" t="s">
        <v>28</v>
      </c>
      <c r="F4" s="19">
        <f>G4*H4</f>
        <v>1800</v>
      </c>
      <c r="G4" s="2">
        <v>15</v>
      </c>
      <c r="H4" s="2">
        <f>I4*K4</f>
        <v>120</v>
      </c>
      <c r="I4" s="2">
        <v>40</v>
      </c>
      <c r="J4" s="2">
        <f t="shared" si="0"/>
        <v>600</v>
      </c>
      <c r="K4" s="2">
        <v>3</v>
      </c>
      <c r="L4" s="2">
        <v>680</v>
      </c>
      <c r="M4" s="2">
        <f t="shared" si="1"/>
        <v>722</v>
      </c>
      <c r="N4" s="20" t="s">
        <v>17</v>
      </c>
      <c r="O4" s="2">
        <f t="shared" si="2"/>
        <v>2040</v>
      </c>
      <c r="P4" s="2">
        <f t="shared" si="3"/>
        <v>2166</v>
      </c>
      <c r="Q4" s="21">
        <f t="shared" si="4"/>
        <v>1.47</v>
      </c>
      <c r="R4" s="27" t="s">
        <v>24</v>
      </c>
    </row>
    <row r="5" spans="1:18" ht="32.25" customHeight="1" x14ac:dyDescent="0.15">
      <c r="A5" s="2">
        <v>3</v>
      </c>
      <c r="B5" s="15" t="s">
        <v>23</v>
      </c>
      <c r="C5" s="16" t="s">
        <v>22</v>
      </c>
      <c r="D5" s="17" t="s">
        <v>25</v>
      </c>
      <c r="E5" s="18" t="s">
        <v>27</v>
      </c>
      <c r="F5" s="19">
        <f>G5*H5</f>
        <v>1800</v>
      </c>
      <c r="G5" s="2">
        <v>15</v>
      </c>
      <c r="H5" s="2">
        <f>I5*K5</f>
        <v>120</v>
      </c>
      <c r="I5" s="2">
        <v>40</v>
      </c>
      <c r="J5" s="2">
        <f t="shared" si="0"/>
        <v>600</v>
      </c>
      <c r="K5" s="2">
        <v>3</v>
      </c>
      <c r="L5" s="2">
        <v>680</v>
      </c>
      <c r="M5" s="2">
        <f t="shared" si="1"/>
        <v>722</v>
      </c>
      <c r="N5" s="20" t="s">
        <v>17</v>
      </c>
      <c r="O5" s="2">
        <f t="shared" si="2"/>
        <v>2040</v>
      </c>
      <c r="P5" s="2">
        <f t="shared" si="3"/>
        <v>2166</v>
      </c>
      <c r="Q5" s="21">
        <f t="shared" si="4"/>
        <v>1.47</v>
      </c>
      <c r="R5" s="28" t="s">
        <v>24</v>
      </c>
    </row>
    <row r="6" spans="1:18" ht="41.1" customHeight="1" x14ac:dyDescent="0.15">
      <c r="A6" s="31" t="s">
        <v>18</v>
      </c>
      <c r="B6" s="31"/>
      <c r="C6" s="31"/>
      <c r="D6" s="4"/>
      <c r="E6" s="3"/>
      <c r="F6" s="4">
        <f>SUM(F3:F5)</f>
        <v>5400</v>
      </c>
      <c r="G6" s="4"/>
      <c r="H6" s="4">
        <f>SUM(H3:H5)</f>
        <v>360</v>
      </c>
      <c r="I6" s="4"/>
      <c r="J6" s="4"/>
      <c r="K6" s="4">
        <f>SUM(K3:K5)</f>
        <v>9</v>
      </c>
      <c r="L6" s="4"/>
      <c r="M6" s="4"/>
      <c r="N6" s="4"/>
      <c r="O6" s="4">
        <f>SUM(O3:O5)</f>
        <v>6120</v>
      </c>
      <c r="P6" s="4">
        <f>SUM(P3:P5)</f>
        <v>6498</v>
      </c>
      <c r="Q6" s="3">
        <f>SUM(Q3:Q5)</f>
        <v>4.41</v>
      </c>
      <c r="R6" s="14"/>
    </row>
    <row r="7" spans="1:18" ht="21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8" ht="21" customHeight="1" x14ac:dyDescent="0.15">
      <c r="A8" s="5"/>
      <c r="B8" s="6" t="s">
        <v>19</v>
      </c>
      <c r="C8" s="5" t="s">
        <v>20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8" ht="18.75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32" t="s">
        <v>21</v>
      </c>
      <c r="O9" s="32"/>
      <c r="P9" s="32"/>
      <c r="Q9" s="32"/>
    </row>
    <row r="10" spans="1:18" ht="18.75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32">
        <v>45784</v>
      </c>
      <c r="O10" s="32"/>
      <c r="P10" s="32"/>
      <c r="Q10" s="32"/>
    </row>
    <row r="11" spans="1:18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8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8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8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8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8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</sheetData>
  <mergeCells count="4">
    <mergeCell ref="A1:Q1"/>
    <mergeCell ref="A6:C6"/>
    <mergeCell ref="N9:Q9"/>
    <mergeCell ref="N10:Q10"/>
  </mergeCells>
  <phoneticPr fontId="9" type="noConversion"/>
  <pageMargins left="0.7" right="0.7" top="0.75" bottom="0.75" header="0.3" footer="0.3"/>
  <pageSetup paperSize="9" scale="81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2025-05-07T08:06:51Z</cp:lastPrinted>
  <dcterms:created xsi:type="dcterms:W3CDTF">2006-09-13T11:21:00Z</dcterms:created>
  <dcterms:modified xsi:type="dcterms:W3CDTF">2025-05-08T07:02:22Z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F788CE42AB4E457986BB9E7F48EE1CD4_13</vt:lpwstr>
  </property>
  <property fmtid="{D5CDD505-2E9C-101B-9397-08002B2CF9AE}" pid="3" name="KSOProductBuildVer">
    <vt:lpwstr>2052-12.1.0.16729</vt:lpwstr>
  </property>
</Properties>
</file>