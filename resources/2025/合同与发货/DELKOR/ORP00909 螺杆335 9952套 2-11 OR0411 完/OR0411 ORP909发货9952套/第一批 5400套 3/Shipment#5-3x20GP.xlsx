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OR0411-Acosta\Shipment#5-Shanghai\"/>
    </mc:Choice>
  </mc:AlternateContent>
  <xr:revisionPtr revIDLastSave="0" documentId="13_ncr:1_{F0E011BC-D3F1-4D92-A8FE-B3A5E67A25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GG8 Thread Rod" sheetId="6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" i="60" l="1"/>
  <c r="N49" i="60"/>
  <c r="O49" i="60" s="1"/>
  <c r="L49" i="60"/>
  <c r="H48" i="60"/>
  <c r="H47" i="60"/>
  <c r="N46" i="60"/>
  <c r="L46" i="60"/>
  <c r="H46" i="60"/>
  <c r="F46" i="60"/>
  <c r="O46" i="60" s="1"/>
  <c r="H45" i="60"/>
  <c r="N44" i="60"/>
  <c r="L44" i="60"/>
  <c r="P44" i="60" s="1"/>
  <c r="H44" i="60"/>
  <c r="F44" i="60" s="1"/>
  <c r="N43" i="60"/>
  <c r="O43" i="60" s="1"/>
  <c r="L43" i="60"/>
  <c r="P43" i="60" s="1"/>
  <c r="H43" i="60"/>
  <c r="N42" i="60"/>
  <c r="O42" i="60" s="1"/>
  <c r="L42" i="60"/>
  <c r="P42" i="60" s="1"/>
  <c r="H42" i="60"/>
  <c r="N41" i="60"/>
  <c r="L41" i="60"/>
  <c r="H41" i="60"/>
  <c r="F41" i="60" s="1"/>
  <c r="N40" i="60"/>
  <c r="L40" i="60"/>
  <c r="H40" i="60"/>
  <c r="F40" i="60" s="1"/>
  <c r="M31" i="60"/>
  <c r="N30" i="60"/>
  <c r="P30" i="60" s="1"/>
  <c r="L30" i="60"/>
  <c r="H29" i="60"/>
  <c r="H28" i="60"/>
  <c r="N27" i="60"/>
  <c r="L27" i="60"/>
  <c r="P27" i="60" s="1"/>
  <c r="H27" i="60"/>
  <c r="F27" i="60"/>
  <c r="O27" i="60" s="1"/>
  <c r="H26" i="60"/>
  <c r="F25" i="60" s="1"/>
  <c r="N25" i="60"/>
  <c r="P25" i="60" s="1"/>
  <c r="L25" i="60"/>
  <c r="H25" i="60"/>
  <c r="N24" i="60"/>
  <c r="O24" i="60" s="1"/>
  <c r="L24" i="60"/>
  <c r="P24" i="60" s="1"/>
  <c r="H24" i="60"/>
  <c r="N23" i="60"/>
  <c r="O23" i="60" s="1"/>
  <c r="L23" i="60"/>
  <c r="P23" i="60" s="1"/>
  <c r="H23" i="60"/>
  <c r="N22" i="60"/>
  <c r="O22" i="60" s="1"/>
  <c r="L22" i="60"/>
  <c r="H22" i="60"/>
  <c r="F22" i="60"/>
  <c r="N21" i="60"/>
  <c r="N31" i="60" s="1"/>
  <c r="L21" i="60"/>
  <c r="H21" i="60"/>
  <c r="F21" i="60"/>
  <c r="P46" i="60" l="1"/>
  <c r="P41" i="60"/>
  <c r="P22" i="60"/>
  <c r="O30" i="60"/>
  <c r="N50" i="60"/>
  <c r="O21" i="60"/>
  <c r="O25" i="60"/>
  <c r="P21" i="60"/>
  <c r="P31" i="60" s="1"/>
  <c r="O44" i="60"/>
  <c r="O40" i="60"/>
  <c r="P49" i="60"/>
  <c r="P40" i="60"/>
  <c r="P50" i="60" s="1"/>
  <c r="O41" i="60"/>
  <c r="H6" i="60"/>
  <c r="L6" i="60"/>
  <c r="N6" i="60"/>
  <c r="O6" i="60" s="1"/>
  <c r="N12" i="60"/>
  <c r="L12" i="60"/>
  <c r="H11" i="60"/>
  <c r="H10" i="60"/>
  <c r="M13" i="60"/>
  <c r="L9" i="60"/>
  <c r="H9" i="60"/>
  <c r="H8" i="60"/>
  <c r="N7" i="60"/>
  <c r="L7" i="60"/>
  <c r="H7" i="60"/>
  <c r="N5" i="60"/>
  <c r="O5" i="60" s="1"/>
  <c r="L5" i="60"/>
  <c r="H5" i="60"/>
  <c r="N4" i="60"/>
  <c r="L4" i="60"/>
  <c r="H4" i="60"/>
  <c r="F4" i="60" s="1"/>
  <c r="N3" i="60"/>
  <c r="L3" i="60"/>
  <c r="H3" i="60"/>
  <c r="F3" i="60"/>
  <c r="O31" i="60" l="1"/>
  <c r="F7" i="60"/>
  <c r="O50" i="60"/>
  <c r="P6" i="60"/>
  <c r="P7" i="60"/>
  <c r="P4" i="60"/>
  <c r="P5" i="60"/>
  <c r="F9" i="60"/>
  <c r="O7" i="60"/>
  <c r="O12" i="60"/>
  <c r="P12" i="60"/>
  <c r="O4" i="60"/>
  <c r="N9" i="60"/>
  <c r="P9" i="60" s="1"/>
  <c r="O3" i="60"/>
  <c r="P3" i="60"/>
  <c r="P13" i="60" l="1"/>
  <c r="N13" i="60"/>
  <c r="O9" i="60"/>
  <c r="O13" i="60" s="1"/>
</calcChain>
</file>

<file path=xl/sharedStrings.xml><?xml version="1.0" encoding="utf-8"?>
<sst xmlns="http://schemas.openxmlformats.org/spreadsheetml/2006/main" count="141" uniqueCount="33">
  <si>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</si>
  <si>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</si>
  <si>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</si>
  <si>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</si>
  <si>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</si>
  <si>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</si>
  <si>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</si>
  <si>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</si>
  <si>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</si>
  <si>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</si>
  <si>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Packages</t>
  </si>
  <si>
    <t>Est. Weight</t>
  </si>
  <si>
    <t>Est CBM</t>
  </si>
  <si>
    <t>TMT</t>
  </si>
  <si>
    <t>Fosco</t>
  </si>
  <si>
    <t>SKL12 clip RC13-01</t>
  </si>
  <si>
    <t>Rail pad RP404</t>
  </si>
  <si>
    <t>T-bolt TB22-55</t>
  </si>
  <si>
    <t>Nut M22</t>
  </si>
  <si>
    <t>Sudelan</t>
  </si>
  <si>
    <t>Threaded Rod Assembly</t>
  </si>
  <si>
    <t>Unit Net Weight</t>
  </si>
  <si>
    <t>CONTRACT QTY</t>
  </si>
  <si>
    <t>EGGx8</t>
  </si>
  <si>
    <t>Base pad BP426*10mm</t>
  </si>
  <si>
    <t>Flat washer W6 M22</t>
  </si>
  <si>
    <t>#1</t>
  </si>
  <si>
    <t>#2</t>
  </si>
  <si>
    <t>#3</t>
  </si>
  <si>
    <t>PO</t>
  </si>
  <si>
    <t>ORP908R1</t>
  </si>
  <si>
    <t>ORP00910</t>
  </si>
  <si>
    <t>ORP00909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</si>
</sst>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C09]dd\-mmm\-yy;@"/>
    <numFmt numFmtId="165" formatCode="0.00_ ;[Red]\-0.00\ "/>
    <numFmt numFmtId="166" formatCode="0_ "/>
    <numFmt numFmtId="167" formatCode="0.0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1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2" fillId="0" borderId="0">
      <alignment vertical="center"/>
    </xf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shrinkToFit="1"/>
    </xf>
    <xf numFmtId="166" fontId="0" fillId="2" borderId="1" xfId="0" applyNumberForma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2B000000}"/>
    <cellStyle name="Normal 3 2" xfId="1" xr:uid="{00000000-0005-0000-0000-000023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7595-2BCA-4820-8490-A9879B2B7F4E}">
  <dimension ref="A1:P50"/>
  <sheetViews>
    <sheetView tabSelected="1" topLeftCell="A26" workbookViewId="0">
      <selection activeCell="A39" sqref="A39:A49"/>
    </sheetView>
  </sheetViews>
  <sheetFormatPr defaultRowHeight="14.4"/>
  <cols>
    <col min="3" max="3" width="20.5546875" bestFit="1" customWidth="1"/>
  </cols>
  <sheetData>
    <row r="1" spans="1:16">
      <c r="B1" t="s">
        <v>26</v>
      </c>
    </row>
    <row r="2" spans="1:16" ht="41.4">
      <c r="A2" s="1" t="s">
        <v>29</v>
      </c>
      <c r="B2" s="1" t="s">
        <v>0</v>
      </c>
      <c r="C2" s="1" t="s">
        <v>1</v>
      </c>
      <c r="D2" s="1" t="s">
        <v>21</v>
      </c>
      <c r="E2" s="3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22</v>
      </c>
      <c r="N2" s="1" t="s">
        <v>10</v>
      </c>
      <c r="O2" s="4" t="s">
        <v>11</v>
      </c>
      <c r="P2" s="1" t="s">
        <v>12</v>
      </c>
    </row>
    <row r="3" spans="1:16">
      <c r="A3" s="5" t="s">
        <v>30</v>
      </c>
      <c r="B3" s="5" t="s">
        <v>13</v>
      </c>
      <c r="C3" s="5" t="s">
        <v>23</v>
      </c>
      <c r="D3" s="5">
        <v>16.8</v>
      </c>
      <c r="E3" s="6">
        <v>36</v>
      </c>
      <c r="F3" s="7">
        <f>H3+G3</f>
        <v>637.80000000000007</v>
      </c>
      <c r="G3" s="7">
        <v>33</v>
      </c>
      <c r="H3" s="7">
        <f>D3*E3</f>
        <v>604.80000000000007</v>
      </c>
      <c r="I3" s="7">
        <v>0.98</v>
      </c>
      <c r="J3" s="7">
        <v>0.88</v>
      </c>
      <c r="K3" s="7">
        <v>0.7</v>
      </c>
      <c r="L3" s="8">
        <f t="shared" ref="L3:L7" si="0">I3*J3*K3</f>
        <v>0.60367999999999988</v>
      </c>
      <c r="M3" s="9">
        <v>900</v>
      </c>
      <c r="N3" s="5">
        <f>M3/E3</f>
        <v>25</v>
      </c>
      <c r="O3" s="10">
        <f t="shared" ref="O3:O4" si="1">N3*F3</f>
        <v>15945.000000000002</v>
      </c>
      <c r="P3" s="11">
        <f>N3*L3</f>
        <v>15.091999999999997</v>
      </c>
    </row>
    <row r="4" spans="1:16">
      <c r="A4" s="5" t="s">
        <v>30</v>
      </c>
      <c r="B4" s="5" t="s">
        <v>13</v>
      </c>
      <c r="C4" s="5" t="s">
        <v>23</v>
      </c>
      <c r="D4" s="5">
        <v>16.8</v>
      </c>
      <c r="E4" s="6">
        <v>22</v>
      </c>
      <c r="F4" s="7">
        <f>H4+G4</f>
        <v>402.6</v>
      </c>
      <c r="G4" s="7">
        <v>33</v>
      </c>
      <c r="H4" s="7">
        <f>D4*E4</f>
        <v>369.6</v>
      </c>
      <c r="I4" s="7">
        <v>0.98</v>
      </c>
      <c r="J4" s="7">
        <v>0.88</v>
      </c>
      <c r="K4" s="7">
        <v>0.55000000000000004</v>
      </c>
      <c r="L4" s="8">
        <f t="shared" si="0"/>
        <v>0.47432000000000002</v>
      </c>
      <c r="M4" s="9">
        <v>0</v>
      </c>
      <c r="N4" s="5">
        <f>M4/E4</f>
        <v>0</v>
      </c>
      <c r="O4" s="10">
        <f t="shared" si="1"/>
        <v>0</v>
      </c>
      <c r="P4" s="11">
        <f>N4*L4</f>
        <v>0</v>
      </c>
    </row>
    <row r="5" spans="1:16">
      <c r="A5" s="5" t="s">
        <v>31</v>
      </c>
      <c r="B5" s="5" t="s">
        <v>14</v>
      </c>
      <c r="C5" s="12" t="s">
        <v>15</v>
      </c>
      <c r="D5" s="12">
        <v>0.52</v>
      </c>
      <c r="E5" s="5">
        <v>1250</v>
      </c>
      <c r="F5" s="13">
        <v>659</v>
      </c>
      <c r="G5" s="5">
        <v>35</v>
      </c>
      <c r="H5" s="7">
        <f>E5*D5</f>
        <v>650</v>
      </c>
      <c r="I5" s="5">
        <v>1.04</v>
      </c>
      <c r="J5" s="5">
        <v>0.97</v>
      </c>
      <c r="K5" s="5">
        <v>0.57999999999999996</v>
      </c>
      <c r="L5" s="14">
        <f t="shared" si="0"/>
        <v>0.58510399999999996</v>
      </c>
      <c r="M5" s="6">
        <v>1250</v>
      </c>
      <c r="N5" s="5">
        <f>M5/E5</f>
        <v>1</v>
      </c>
      <c r="O5" s="15">
        <f>N5*F5</f>
        <v>659</v>
      </c>
      <c r="P5" s="16">
        <f t="shared" ref="P5:P7" si="2">L5*N5</f>
        <v>0.58510399999999996</v>
      </c>
    </row>
    <row r="6" spans="1:16">
      <c r="A6" s="5" t="s">
        <v>31</v>
      </c>
      <c r="B6" s="5" t="s">
        <v>14</v>
      </c>
      <c r="C6" s="12" t="s">
        <v>15</v>
      </c>
      <c r="D6" s="12">
        <v>0.52</v>
      </c>
      <c r="E6" s="5">
        <v>550</v>
      </c>
      <c r="F6" s="13">
        <v>659</v>
      </c>
      <c r="G6" s="5">
        <v>35</v>
      </c>
      <c r="H6" s="7">
        <f>E6*D6</f>
        <v>286</v>
      </c>
      <c r="I6" s="5">
        <v>1.04</v>
      </c>
      <c r="J6" s="5">
        <v>0.97</v>
      </c>
      <c r="K6" s="5">
        <v>0.57999999999999996</v>
      </c>
      <c r="L6" s="14">
        <f t="shared" si="0"/>
        <v>0.58510399999999996</v>
      </c>
      <c r="M6" s="6">
        <v>550</v>
      </c>
      <c r="N6" s="5">
        <f>M6/E6</f>
        <v>1</v>
      </c>
      <c r="O6" s="15">
        <f>N6*F6</f>
        <v>659</v>
      </c>
      <c r="P6" s="16">
        <f t="shared" si="2"/>
        <v>0.58510399999999996</v>
      </c>
    </row>
    <row r="7" spans="1:16">
      <c r="A7" s="5" t="s">
        <v>31</v>
      </c>
      <c r="B7" s="5" t="s">
        <v>14</v>
      </c>
      <c r="C7" s="12" t="s">
        <v>16</v>
      </c>
      <c r="D7" s="12">
        <v>0.11</v>
      </c>
      <c r="E7" s="5">
        <v>450</v>
      </c>
      <c r="F7" s="27">
        <f>H7+G7+H8</f>
        <v>747.5</v>
      </c>
      <c r="G7" s="20">
        <v>50</v>
      </c>
      <c r="H7" s="7">
        <f t="shared" ref="H7:H11" si="3">D7*E7</f>
        <v>49.5</v>
      </c>
      <c r="I7" s="20">
        <v>0.97</v>
      </c>
      <c r="J7" s="20">
        <v>0.95</v>
      </c>
      <c r="K7" s="20">
        <v>1.08</v>
      </c>
      <c r="L7" s="20">
        <f t="shared" si="0"/>
        <v>0.9952200000000001</v>
      </c>
      <c r="M7" s="6">
        <v>900</v>
      </c>
      <c r="N7" s="20">
        <f>M7/E7</f>
        <v>2</v>
      </c>
      <c r="O7" s="20">
        <f>N7*F7</f>
        <v>1495</v>
      </c>
      <c r="P7" s="20">
        <f t="shared" si="2"/>
        <v>1.9904400000000002</v>
      </c>
    </row>
    <row r="8" spans="1:16" ht="26.4" customHeight="1">
      <c r="A8" s="5" t="s">
        <v>31</v>
      </c>
      <c r="B8" s="5" t="s">
        <v>14</v>
      </c>
      <c r="C8" s="12" t="s">
        <v>24</v>
      </c>
      <c r="D8" s="12">
        <v>1.44</v>
      </c>
      <c r="E8" s="5">
        <v>450</v>
      </c>
      <c r="F8" s="28"/>
      <c r="G8" s="21"/>
      <c r="H8" s="7">
        <f t="shared" si="3"/>
        <v>648</v>
      </c>
      <c r="I8" s="21"/>
      <c r="J8" s="21"/>
      <c r="K8" s="21"/>
      <c r="L8" s="21"/>
      <c r="M8" s="6">
        <v>900</v>
      </c>
      <c r="N8" s="21"/>
      <c r="O8" s="21"/>
      <c r="P8" s="21"/>
    </row>
    <row r="9" spans="1:16">
      <c r="A9" s="5" t="s">
        <v>31</v>
      </c>
      <c r="B9" s="5" t="s">
        <v>14</v>
      </c>
      <c r="C9" s="12" t="s">
        <v>17</v>
      </c>
      <c r="D9" s="12">
        <v>0.39</v>
      </c>
      <c r="E9" s="5">
        <v>900</v>
      </c>
      <c r="F9" s="22">
        <f>G9+H9+H10+H11</f>
        <v>536.6</v>
      </c>
      <c r="G9" s="23">
        <v>65</v>
      </c>
      <c r="H9" s="7">
        <f t="shared" si="3"/>
        <v>351</v>
      </c>
      <c r="I9" s="23">
        <v>0.88</v>
      </c>
      <c r="J9" s="23">
        <v>0.8</v>
      </c>
      <c r="K9" s="23">
        <v>0.75</v>
      </c>
      <c r="L9" s="24">
        <f t="shared" ref="L9" si="4">I9*J9*K9</f>
        <v>0.52800000000000002</v>
      </c>
      <c r="M9" s="6">
        <v>1800</v>
      </c>
      <c r="N9" s="23">
        <f>M9/E9</f>
        <v>2</v>
      </c>
      <c r="O9" s="25">
        <f t="shared" ref="O9" si="5">F9*N9</f>
        <v>1073.2</v>
      </c>
      <c r="P9" s="26">
        <f t="shared" ref="P9" si="6">L9*N9</f>
        <v>1.056</v>
      </c>
    </row>
    <row r="10" spans="1:16">
      <c r="A10" s="5" t="s">
        <v>31</v>
      </c>
      <c r="B10" s="5" t="s">
        <v>14</v>
      </c>
      <c r="C10" s="12" t="s">
        <v>25</v>
      </c>
      <c r="D10" s="12">
        <v>0.05</v>
      </c>
      <c r="E10" s="5">
        <v>900</v>
      </c>
      <c r="F10" s="22"/>
      <c r="G10" s="23"/>
      <c r="H10" s="7">
        <f t="shared" si="3"/>
        <v>45</v>
      </c>
      <c r="I10" s="23"/>
      <c r="J10" s="23"/>
      <c r="K10" s="23"/>
      <c r="L10" s="24"/>
      <c r="M10" s="6">
        <v>1800</v>
      </c>
      <c r="N10" s="23"/>
      <c r="O10" s="25"/>
      <c r="P10" s="26"/>
    </row>
    <row r="11" spans="1:16">
      <c r="A11" s="5" t="s">
        <v>31</v>
      </c>
      <c r="B11" s="5" t="s">
        <v>14</v>
      </c>
      <c r="C11" s="12" t="s">
        <v>18</v>
      </c>
      <c r="D11" s="12">
        <v>8.4000000000000005E-2</v>
      </c>
      <c r="E11" s="5">
        <v>900</v>
      </c>
      <c r="F11" s="22"/>
      <c r="G11" s="23"/>
      <c r="H11" s="7">
        <f t="shared" si="3"/>
        <v>75.600000000000009</v>
      </c>
      <c r="I11" s="23"/>
      <c r="J11" s="23"/>
      <c r="K11" s="23"/>
      <c r="L11" s="24"/>
      <c r="M11" s="6">
        <v>1800</v>
      </c>
      <c r="N11" s="23"/>
      <c r="O11" s="25"/>
      <c r="P11" s="26"/>
    </row>
    <row r="12" spans="1:16">
      <c r="A12" s="11" t="s">
        <v>32</v>
      </c>
      <c r="B12" s="11" t="s">
        <v>19</v>
      </c>
      <c r="C12" s="17" t="s">
        <v>20</v>
      </c>
      <c r="D12" s="18"/>
      <c r="E12" s="5">
        <v>600</v>
      </c>
      <c r="F12" s="7">
        <v>720</v>
      </c>
      <c r="G12" s="5">
        <v>68</v>
      </c>
      <c r="H12" s="7">
        <v>680</v>
      </c>
      <c r="I12" s="5">
        <v>1.1000000000000001</v>
      </c>
      <c r="J12" s="5">
        <v>0.8</v>
      </c>
      <c r="K12" s="5">
        <v>0.55000000000000004</v>
      </c>
      <c r="L12" s="8">
        <f t="shared" ref="L12" si="7">I12*J12*K12</f>
        <v>0.4840000000000001</v>
      </c>
      <c r="M12" s="6">
        <v>1800</v>
      </c>
      <c r="N12" s="5">
        <f t="shared" ref="N12" si="8">M12/E12</f>
        <v>3</v>
      </c>
      <c r="O12" s="19">
        <f t="shared" ref="O12" si="9">N12*F12</f>
        <v>2160</v>
      </c>
      <c r="P12" s="16">
        <f t="shared" ref="P12" si="10">N12*L12</f>
        <v>1.4520000000000004</v>
      </c>
    </row>
    <row r="13" spans="1:16">
      <c r="M13" s="2">
        <f>SUM(M3:M12)</f>
        <v>11700</v>
      </c>
      <c r="N13" s="2">
        <f>SUM(N3:N12)</f>
        <v>34</v>
      </c>
      <c r="O13" s="2">
        <f>SUM(O3:O12)</f>
        <v>21991.200000000001</v>
      </c>
      <c r="P13" s="2">
        <f>SUM(P3:P12)</f>
        <v>20.760648</v>
      </c>
    </row>
    <row r="19" spans="1:16">
      <c r="B19" t="s">
        <v>27</v>
      </c>
    </row>
    <row r="20" spans="1:16" ht="41.4">
      <c r="A20" s="1" t="s">
        <v>29</v>
      </c>
      <c r="B20" s="1" t="s">
        <v>0</v>
      </c>
      <c r="C20" s="1" t="s">
        <v>1</v>
      </c>
      <c r="D20" s="1" t="s">
        <v>21</v>
      </c>
      <c r="E20" s="3" t="s">
        <v>2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7</v>
      </c>
      <c r="K20" s="1" t="s">
        <v>8</v>
      </c>
      <c r="L20" s="1" t="s">
        <v>9</v>
      </c>
      <c r="M20" s="1" t="s">
        <v>22</v>
      </c>
      <c r="N20" s="1" t="s">
        <v>10</v>
      </c>
      <c r="O20" s="4" t="s">
        <v>11</v>
      </c>
      <c r="P20" s="1" t="s">
        <v>12</v>
      </c>
    </row>
    <row r="21" spans="1:16">
      <c r="A21" s="5" t="s">
        <v>30</v>
      </c>
      <c r="B21" s="5" t="s">
        <v>13</v>
      </c>
      <c r="C21" s="5" t="s">
        <v>23</v>
      </c>
      <c r="D21" s="5">
        <v>16.8</v>
      </c>
      <c r="E21" s="6">
        <v>36</v>
      </c>
      <c r="F21" s="7">
        <f>H21+G21</f>
        <v>637.80000000000007</v>
      </c>
      <c r="G21" s="7">
        <v>33</v>
      </c>
      <c r="H21" s="7">
        <f>D21*E21</f>
        <v>604.80000000000007</v>
      </c>
      <c r="I21" s="7">
        <v>0.98</v>
      </c>
      <c r="J21" s="7">
        <v>0.88</v>
      </c>
      <c r="K21" s="7">
        <v>0.7</v>
      </c>
      <c r="L21" s="8">
        <f t="shared" ref="L21:L25" si="11">I21*J21*K21</f>
        <v>0.60367999999999988</v>
      </c>
      <c r="M21" s="9">
        <v>900</v>
      </c>
      <c r="N21" s="5">
        <f>M21/E21</f>
        <v>25</v>
      </c>
      <c r="O21" s="10">
        <f t="shared" ref="O21:O22" si="12">N21*F21</f>
        <v>15945.000000000002</v>
      </c>
      <c r="P21" s="11">
        <f>N21*L21</f>
        <v>15.091999999999997</v>
      </c>
    </row>
    <row r="22" spans="1:16">
      <c r="A22" s="5" t="s">
        <v>30</v>
      </c>
      <c r="B22" s="5" t="s">
        <v>13</v>
      </c>
      <c r="C22" s="5" t="s">
        <v>23</v>
      </c>
      <c r="D22" s="5">
        <v>16.8</v>
      </c>
      <c r="E22" s="6">
        <v>22</v>
      </c>
      <c r="F22" s="7">
        <f>H22+G22</f>
        <v>402.6</v>
      </c>
      <c r="G22" s="7">
        <v>33</v>
      </c>
      <c r="H22" s="7">
        <f>D22*E22</f>
        <v>369.6</v>
      </c>
      <c r="I22" s="7">
        <v>0.98</v>
      </c>
      <c r="J22" s="7">
        <v>0.88</v>
      </c>
      <c r="K22" s="7">
        <v>0.55000000000000004</v>
      </c>
      <c r="L22" s="8">
        <f t="shared" si="11"/>
        <v>0.47432000000000002</v>
      </c>
      <c r="M22" s="9">
        <v>0</v>
      </c>
      <c r="N22" s="5">
        <f>M22/E22</f>
        <v>0</v>
      </c>
      <c r="O22" s="10">
        <f t="shared" si="12"/>
        <v>0</v>
      </c>
      <c r="P22" s="11">
        <f>N22*L22</f>
        <v>0</v>
      </c>
    </row>
    <row r="23" spans="1:16">
      <c r="A23" s="5" t="s">
        <v>31</v>
      </c>
      <c r="B23" s="5" t="s">
        <v>14</v>
      </c>
      <c r="C23" s="12" t="s">
        <v>15</v>
      </c>
      <c r="D23" s="12">
        <v>0.52</v>
      </c>
      <c r="E23" s="5">
        <v>1250</v>
      </c>
      <c r="F23" s="13">
        <v>659</v>
      </c>
      <c r="G23" s="5">
        <v>35</v>
      </c>
      <c r="H23" s="7">
        <f>E23*D23</f>
        <v>650</v>
      </c>
      <c r="I23" s="5">
        <v>1.04</v>
      </c>
      <c r="J23" s="5">
        <v>0.97</v>
      </c>
      <c r="K23" s="5">
        <v>0.57999999999999996</v>
      </c>
      <c r="L23" s="14">
        <f t="shared" si="11"/>
        <v>0.58510399999999996</v>
      </c>
      <c r="M23" s="6">
        <v>1250</v>
      </c>
      <c r="N23" s="5">
        <f>M23/E23</f>
        <v>1</v>
      </c>
      <c r="O23" s="15">
        <f>N23*F23</f>
        <v>659</v>
      </c>
      <c r="P23" s="16">
        <f t="shared" ref="P23:P25" si="13">L23*N23</f>
        <v>0.58510399999999996</v>
      </c>
    </row>
    <row r="24" spans="1:16">
      <c r="A24" s="5" t="s">
        <v>31</v>
      </c>
      <c r="B24" s="5" t="s">
        <v>14</v>
      </c>
      <c r="C24" s="12" t="s">
        <v>15</v>
      </c>
      <c r="D24" s="12">
        <v>0.52</v>
      </c>
      <c r="E24" s="5">
        <v>550</v>
      </c>
      <c r="F24" s="13">
        <v>659</v>
      </c>
      <c r="G24" s="5">
        <v>35</v>
      </c>
      <c r="H24" s="7">
        <f>E24*D24</f>
        <v>286</v>
      </c>
      <c r="I24" s="5">
        <v>1.04</v>
      </c>
      <c r="J24" s="5">
        <v>0.97</v>
      </c>
      <c r="K24" s="5">
        <v>0.57999999999999996</v>
      </c>
      <c r="L24" s="14">
        <f t="shared" si="11"/>
        <v>0.58510399999999996</v>
      </c>
      <c r="M24" s="6">
        <v>550</v>
      </c>
      <c r="N24" s="5">
        <f>M24/E24</f>
        <v>1</v>
      </c>
      <c r="O24" s="15">
        <f>N24*F24</f>
        <v>659</v>
      </c>
      <c r="P24" s="16">
        <f t="shared" si="13"/>
        <v>0.58510399999999996</v>
      </c>
    </row>
    <row r="25" spans="1:16">
      <c r="A25" s="5" t="s">
        <v>31</v>
      </c>
      <c r="B25" s="5" t="s">
        <v>14</v>
      </c>
      <c r="C25" s="12" t="s">
        <v>16</v>
      </c>
      <c r="D25" s="12">
        <v>0.11</v>
      </c>
      <c r="E25" s="5">
        <v>450</v>
      </c>
      <c r="F25" s="27">
        <f>H25+G25+H26</f>
        <v>747.5</v>
      </c>
      <c r="G25" s="20">
        <v>50</v>
      </c>
      <c r="H25" s="7">
        <f t="shared" ref="H25:H29" si="14">D25*E25</f>
        <v>49.5</v>
      </c>
      <c r="I25" s="20">
        <v>0.97</v>
      </c>
      <c r="J25" s="20">
        <v>0.95</v>
      </c>
      <c r="K25" s="20">
        <v>1.08</v>
      </c>
      <c r="L25" s="20">
        <f t="shared" si="11"/>
        <v>0.9952200000000001</v>
      </c>
      <c r="M25" s="6">
        <v>900</v>
      </c>
      <c r="N25" s="20">
        <f>M25/E25</f>
        <v>2</v>
      </c>
      <c r="O25" s="20">
        <f>N25*F25</f>
        <v>1495</v>
      </c>
      <c r="P25" s="20">
        <f t="shared" si="13"/>
        <v>1.9904400000000002</v>
      </c>
    </row>
    <row r="26" spans="1:16">
      <c r="A26" s="5" t="s">
        <v>31</v>
      </c>
      <c r="B26" s="5" t="s">
        <v>14</v>
      </c>
      <c r="C26" s="12" t="s">
        <v>24</v>
      </c>
      <c r="D26" s="12">
        <v>1.44</v>
      </c>
      <c r="E26" s="5">
        <v>450</v>
      </c>
      <c r="F26" s="28"/>
      <c r="G26" s="21"/>
      <c r="H26" s="7">
        <f t="shared" si="14"/>
        <v>648</v>
      </c>
      <c r="I26" s="21"/>
      <c r="J26" s="21"/>
      <c r="K26" s="21"/>
      <c r="L26" s="21"/>
      <c r="M26" s="6">
        <v>900</v>
      </c>
      <c r="N26" s="21"/>
      <c r="O26" s="21"/>
      <c r="P26" s="21"/>
    </row>
    <row r="27" spans="1:16">
      <c r="A27" s="5" t="s">
        <v>31</v>
      </c>
      <c r="B27" s="5" t="s">
        <v>14</v>
      </c>
      <c r="C27" s="12" t="s">
        <v>17</v>
      </c>
      <c r="D27" s="12">
        <v>0.39</v>
      </c>
      <c r="E27" s="5">
        <v>900</v>
      </c>
      <c r="F27" s="22">
        <f>G27+H27+H28+H29</f>
        <v>536.6</v>
      </c>
      <c r="G27" s="23">
        <v>65</v>
      </c>
      <c r="H27" s="7">
        <f t="shared" si="14"/>
        <v>351</v>
      </c>
      <c r="I27" s="23">
        <v>0.88</v>
      </c>
      <c r="J27" s="23">
        <v>0.8</v>
      </c>
      <c r="K27" s="23">
        <v>0.75</v>
      </c>
      <c r="L27" s="24">
        <f t="shared" ref="L27" si="15">I27*J27*K27</f>
        <v>0.52800000000000002</v>
      </c>
      <c r="M27" s="6">
        <v>1800</v>
      </c>
      <c r="N27" s="23">
        <f>M27/E27</f>
        <v>2</v>
      </c>
      <c r="O27" s="25">
        <f t="shared" ref="O27" si="16">F27*N27</f>
        <v>1073.2</v>
      </c>
      <c r="P27" s="26">
        <f t="shared" ref="P27" si="17">L27*N27</f>
        <v>1.056</v>
      </c>
    </row>
    <row r="28" spans="1:16">
      <c r="A28" s="5" t="s">
        <v>31</v>
      </c>
      <c r="B28" s="5" t="s">
        <v>14</v>
      </c>
      <c r="C28" s="12" t="s">
        <v>25</v>
      </c>
      <c r="D28" s="12">
        <v>0.05</v>
      </c>
      <c r="E28" s="5">
        <v>900</v>
      </c>
      <c r="F28" s="22"/>
      <c r="G28" s="23"/>
      <c r="H28" s="7">
        <f t="shared" si="14"/>
        <v>45</v>
      </c>
      <c r="I28" s="23"/>
      <c r="J28" s="23"/>
      <c r="K28" s="23"/>
      <c r="L28" s="24"/>
      <c r="M28" s="6">
        <v>1800</v>
      </c>
      <c r="N28" s="23"/>
      <c r="O28" s="25"/>
      <c r="P28" s="26"/>
    </row>
    <row r="29" spans="1:16">
      <c r="A29" s="5" t="s">
        <v>31</v>
      </c>
      <c r="B29" s="5" t="s">
        <v>14</v>
      </c>
      <c r="C29" s="12" t="s">
        <v>18</v>
      </c>
      <c r="D29" s="12">
        <v>8.4000000000000005E-2</v>
      </c>
      <c r="E29" s="5">
        <v>900</v>
      </c>
      <c r="F29" s="22"/>
      <c r="G29" s="23"/>
      <c r="H29" s="7">
        <f t="shared" si="14"/>
        <v>75.600000000000009</v>
      </c>
      <c r="I29" s="23"/>
      <c r="J29" s="23"/>
      <c r="K29" s="23"/>
      <c r="L29" s="24"/>
      <c r="M29" s="6">
        <v>1800</v>
      </c>
      <c r="N29" s="23"/>
      <c r="O29" s="25"/>
      <c r="P29" s="26"/>
    </row>
    <row r="30" spans="1:16">
      <c r="A30" s="11" t="s">
        <v>32</v>
      </c>
      <c r="B30" s="11" t="s">
        <v>19</v>
      </c>
      <c r="C30" s="17" t="s">
        <v>20</v>
      </c>
      <c r="D30" s="18"/>
      <c r="E30" s="5">
        <v>600</v>
      </c>
      <c r="F30" s="7">
        <v>720</v>
      </c>
      <c r="G30" s="5">
        <v>68</v>
      </c>
      <c r="H30" s="7">
        <v>680</v>
      </c>
      <c r="I30" s="5">
        <v>1.1000000000000001</v>
      </c>
      <c r="J30" s="5">
        <v>0.8</v>
      </c>
      <c r="K30" s="5">
        <v>0.55000000000000004</v>
      </c>
      <c r="L30" s="8">
        <f t="shared" ref="L30" si="18">I30*J30*K30</f>
        <v>0.4840000000000001</v>
      </c>
      <c r="M30" s="6">
        <v>1800</v>
      </c>
      <c r="N30" s="5">
        <f t="shared" ref="N30" si="19">M30/E30</f>
        <v>3</v>
      </c>
      <c r="O30" s="19">
        <f t="shared" ref="O30" si="20">N30*F30</f>
        <v>2160</v>
      </c>
      <c r="P30" s="16">
        <f t="shared" ref="P30" si="21">N30*L30</f>
        <v>1.4520000000000004</v>
      </c>
    </row>
    <row r="31" spans="1:16">
      <c r="M31" s="2">
        <f>SUM(M21:M30)</f>
        <v>11700</v>
      </c>
      <c r="N31" s="2">
        <f>SUM(N21:N30)</f>
        <v>34</v>
      </c>
      <c r="O31" s="2">
        <f>SUM(O21:O30)</f>
        <v>21991.200000000001</v>
      </c>
      <c r="P31" s="2">
        <f>SUM(P21:P30)</f>
        <v>20.760648</v>
      </c>
    </row>
    <row r="38" spans="1:16">
      <c r="B38" t="s">
        <v>28</v>
      </c>
    </row>
    <row r="39" spans="1:16" ht="41.4">
      <c r="A39" s="1" t="s">
        <v>29</v>
      </c>
      <c r="B39" s="1" t="s">
        <v>0</v>
      </c>
      <c r="C39" s="1" t="s">
        <v>1</v>
      </c>
      <c r="D39" s="1" t="s">
        <v>21</v>
      </c>
      <c r="E39" s="3" t="s">
        <v>2</v>
      </c>
      <c r="F39" s="1" t="s">
        <v>3</v>
      </c>
      <c r="G39" s="1" t="s">
        <v>4</v>
      </c>
      <c r="H39" s="1" t="s">
        <v>5</v>
      </c>
      <c r="I39" s="1" t="s">
        <v>6</v>
      </c>
      <c r="J39" s="1" t="s">
        <v>7</v>
      </c>
      <c r="K39" s="1" t="s">
        <v>8</v>
      </c>
      <c r="L39" s="1" t="s">
        <v>9</v>
      </c>
      <c r="M39" s="1" t="s">
        <v>22</v>
      </c>
      <c r="N39" s="1" t="s">
        <v>10</v>
      </c>
      <c r="O39" s="4" t="s">
        <v>11</v>
      </c>
      <c r="P39" s="1" t="s">
        <v>12</v>
      </c>
    </row>
    <row r="40" spans="1:16">
      <c r="A40" s="5" t="s">
        <v>30</v>
      </c>
      <c r="B40" s="5" t="s">
        <v>13</v>
      </c>
      <c r="C40" s="5" t="s">
        <v>23</v>
      </c>
      <c r="D40" s="5">
        <v>16.8</v>
      </c>
      <c r="E40" s="6">
        <v>36</v>
      </c>
      <c r="F40" s="7">
        <f>H40+G40</f>
        <v>637.80000000000007</v>
      </c>
      <c r="G40" s="7">
        <v>33</v>
      </c>
      <c r="H40" s="7">
        <f>D40*E40</f>
        <v>604.80000000000007</v>
      </c>
      <c r="I40" s="7">
        <v>0.98</v>
      </c>
      <c r="J40" s="7">
        <v>0.88</v>
      </c>
      <c r="K40" s="7">
        <v>0.7</v>
      </c>
      <c r="L40" s="8">
        <f t="shared" ref="L40:L44" si="22">I40*J40*K40</f>
        <v>0.60367999999999988</v>
      </c>
      <c r="M40" s="9">
        <v>900</v>
      </c>
      <c r="N40" s="5">
        <f>M40/E40</f>
        <v>25</v>
      </c>
      <c r="O40" s="10">
        <f t="shared" ref="O40:O41" si="23">N40*F40</f>
        <v>15945.000000000002</v>
      </c>
      <c r="P40" s="11">
        <f>N40*L40</f>
        <v>15.091999999999997</v>
      </c>
    </row>
    <row r="41" spans="1:16">
      <c r="A41" s="5" t="s">
        <v>30</v>
      </c>
      <c r="B41" s="5" t="s">
        <v>13</v>
      </c>
      <c r="C41" s="5" t="s">
        <v>23</v>
      </c>
      <c r="D41" s="5">
        <v>16.8</v>
      </c>
      <c r="E41" s="6">
        <v>22</v>
      </c>
      <c r="F41" s="7">
        <f>H41+G41</f>
        <v>402.6</v>
      </c>
      <c r="G41" s="7">
        <v>33</v>
      </c>
      <c r="H41" s="7">
        <f>D41*E41</f>
        <v>369.6</v>
      </c>
      <c r="I41" s="7">
        <v>0.98</v>
      </c>
      <c r="J41" s="7">
        <v>0.88</v>
      </c>
      <c r="K41" s="7">
        <v>0.55000000000000004</v>
      </c>
      <c r="L41" s="8">
        <f t="shared" si="22"/>
        <v>0.47432000000000002</v>
      </c>
      <c r="M41" s="9">
        <v>0</v>
      </c>
      <c r="N41" s="5">
        <f>M41/E41</f>
        <v>0</v>
      </c>
      <c r="O41" s="10">
        <f t="shared" si="23"/>
        <v>0</v>
      </c>
      <c r="P41" s="11">
        <f>N41*L41</f>
        <v>0</v>
      </c>
    </row>
    <row r="42" spans="1:16">
      <c r="A42" s="5" t="s">
        <v>31</v>
      </c>
      <c r="B42" s="5" t="s">
        <v>14</v>
      </c>
      <c r="C42" s="12" t="s">
        <v>15</v>
      </c>
      <c r="D42" s="12">
        <v>0.52</v>
      </c>
      <c r="E42" s="5">
        <v>1250</v>
      </c>
      <c r="F42" s="13">
        <v>659</v>
      </c>
      <c r="G42" s="5">
        <v>35</v>
      </c>
      <c r="H42" s="7">
        <f>E42*D42</f>
        <v>650</v>
      </c>
      <c r="I42" s="5">
        <v>1.04</v>
      </c>
      <c r="J42" s="5">
        <v>0.97</v>
      </c>
      <c r="K42" s="5">
        <v>0.57999999999999996</v>
      </c>
      <c r="L42" s="14">
        <f t="shared" si="22"/>
        <v>0.58510399999999996</v>
      </c>
      <c r="M42" s="6">
        <v>1250</v>
      </c>
      <c r="N42" s="5">
        <f>M42/E42</f>
        <v>1</v>
      </c>
      <c r="O42" s="15">
        <f>N42*F42</f>
        <v>659</v>
      </c>
      <c r="P42" s="16">
        <f t="shared" ref="P42:P44" si="24">L42*N42</f>
        <v>0.58510399999999996</v>
      </c>
    </row>
    <row r="43" spans="1:16">
      <c r="A43" s="5" t="s">
        <v>31</v>
      </c>
      <c r="B43" s="5" t="s">
        <v>14</v>
      </c>
      <c r="C43" s="12" t="s">
        <v>15</v>
      </c>
      <c r="D43" s="12">
        <v>0.52</v>
      </c>
      <c r="E43" s="5">
        <v>550</v>
      </c>
      <c r="F43" s="13">
        <v>659</v>
      </c>
      <c r="G43" s="5">
        <v>35</v>
      </c>
      <c r="H43" s="7">
        <f>E43*D43</f>
        <v>286</v>
      </c>
      <c r="I43" s="5">
        <v>1.04</v>
      </c>
      <c r="J43" s="5">
        <v>0.97</v>
      </c>
      <c r="K43" s="5">
        <v>0.57999999999999996</v>
      </c>
      <c r="L43" s="14">
        <f t="shared" si="22"/>
        <v>0.58510399999999996</v>
      </c>
      <c r="M43" s="6">
        <v>550</v>
      </c>
      <c r="N43" s="5">
        <f>M43/E43</f>
        <v>1</v>
      </c>
      <c r="O43" s="15">
        <f>N43*F43</f>
        <v>659</v>
      </c>
      <c r="P43" s="16">
        <f t="shared" si="24"/>
        <v>0.58510399999999996</v>
      </c>
    </row>
    <row r="44" spans="1:16">
      <c r="A44" s="5" t="s">
        <v>31</v>
      </c>
      <c r="B44" s="5" t="s">
        <v>14</v>
      </c>
      <c r="C44" s="12" t="s">
        <v>16</v>
      </c>
      <c r="D44" s="12">
        <v>0.11</v>
      </c>
      <c r="E44" s="5">
        <v>450</v>
      </c>
      <c r="F44" s="27">
        <f>H44+G44+H45</f>
        <v>747.5</v>
      </c>
      <c r="G44" s="20">
        <v>50</v>
      </c>
      <c r="H44" s="7">
        <f t="shared" ref="H44:H48" si="25">D44*E44</f>
        <v>49.5</v>
      </c>
      <c r="I44" s="20">
        <v>0.97</v>
      </c>
      <c r="J44" s="20">
        <v>0.95</v>
      </c>
      <c r="K44" s="20">
        <v>1.08</v>
      </c>
      <c r="L44" s="20">
        <f t="shared" si="22"/>
        <v>0.9952200000000001</v>
      </c>
      <c r="M44" s="6">
        <v>900</v>
      </c>
      <c r="N44" s="20">
        <f>M44/E44</f>
        <v>2</v>
      </c>
      <c r="O44" s="20">
        <f>N44*F44</f>
        <v>1495</v>
      </c>
      <c r="P44" s="20">
        <f t="shared" si="24"/>
        <v>1.9904400000000002</v>
      </c>
    </row>
    <row r="45" spans="1:16">
      <c r="A45" s="5" t="s">
        <v>31</v>
      </c>
      <c r="B45" s="5" t="s">
        <v>14</v>
      </c>
      <c r="C45" s="12" t="s">
        <v>24</v>
      </c>
      <c r="D45" s="12">
        <v>1.44</v>
      </c>
      <c r="E45" s="5">
        <v>450</v>
      </c>
      <c r="F45" s="28"/>
      <c r="G45" s="21"/>
      <c r="H45" s="7">
        <f t="shared" si="25"/>
        <v>648</v>
      </c>
      <c r="I45" s="21"/>
      <c r="J45" s="21"/>
      <c r="K45" s="21"/>
      <c r="L45" s="21"/>
      <c r="M45" s="6">
        <v>900</v>
      </c>
      <c r="N45" s="21"/>
      <c r="O45" s="21"/>
      <c r="P45" s="21"/>
    </row>
    <row r="46" spans="1:16">
      <c r="A46" s="5" t="s">
        <v>31</v>
      </c>
      <c r="B46" s="5" t="s">
        <v>14</v>
      </c>
      <c r="C46" s="12" t="s">
        <v>17</v>
      </c>
      <c r="D46" s="12">
        <v>0.39</v>
      </c>
      <c r="E46" s="5">
        <v>900</v>
      </c>
      <c r="F46" s="22">
        <f>G46+H46+H47+H48</f>
        <v>536.6</v>
      </c>
      <c r="G46" s="23">
        <v>65</v>
      </c>
      <c r="H46" s="7">
        <f t="shared" si="25"/>
        <v>351</v>
      </c>
      <c r="I46" s="23">
        <v>0.88</v>
      </c>
      <c r="J46" s="23">
        <v>0.8</v>
      </c>
      <c r="K46" s="23">
        <v>0.75</v>
      </c>
      <c r="L46" s="24">
        <f t="shared" ref="L46" si="26">I46*J46*K46</f>
        <v>0.52800000000000002</v>
      </c>
      <c r="M46" s="6">
        <v>1800</v>
      </c>
      <c r="N46" s="23">
        <f>M46/E46</f>
        <v>2</v>
      </c>
      <c r="O46" s="25">
        <f t="shared" ref="O46" si="27">F46*N46</f>
        <v>1073.2</v>
      </c>
      <c r="P46" s="26">
        <f t="shared" ref="P46" si="28">L46*N46</f>
        <v>1.056</v>
      </c>
    </row>
    <row r="47" spans="1:16">
      <c r="A47" s="5" t="s">
        <v>31</v>
      </c>
      <c r="B47" s="5" t="s">
        <v>14</v>
      </c>
      <c r="C47" s="12" t="s">
        <v>25</v>
      </c>
      <c r="D47" s="12">
        <v>0.05</v>
      </c>
      <c r="E47" s="5">
        <v>900</v>
      </c>
      <c r="F47" s="22"/>
      <c r="G47" s="23"/>
      <c r="H47" s="7">
        <f t="shared" si="25"/>
        <v>45</v>
      </c>
      <c r="I47" s="23"/>
      <c r="J47" s="23"/>
      <c r="K47" s="23"/>
      <c r="L47" s="24"/>
      <c r="M47" s="6">
        <v>1800</v>
      </c>
      <c r="N47" s="23"/>
      <c r="O47" s="25"/>
      <c r="P47" s="26"/>
    </row>
    <row r="48" spans="1:16">
      <c r="A48" s="5" t="s">
        <v>31</v>
      </c>
      <c r="B48" s="5" t="s">
        <v>14</v>
      </c>
      <c r="C48" s="12" t="s">
        <v>18</v>
      </c>
      <c r="D48" s="12">
        <v>8.4000000000000005E-2</v>
      </c>
      <c r="E48" s="5">
        <v>900</v>
      </c>
      <c r="F48" s="22"/>
      <c r="G48" s="23"/>
      <c r="H48" s="7">
        <f t="shared" si="25"/>
        <v>75.600000000000009</v>
      </c>
      <c r="I48" s="23"/>
      <c r="J48" s="23"/>
      <c r="K48" s="23"/>
      <c r="L48" s="24"/>
      <c r="M48" s="6">
        <v>1800</v>
      </c>
      <c r="N48" s="23"/>
      <c r="O48" s="25"/>
      <c r="P48" s="26"/>
    </row>
    <row r="49" spans="1:16">
      <c r="A49" s="11" t="s">
        <v>32</v>
      </c>
      <c r="B49" s="11" t="s">
        <v>19</v>
      </c>
      <c r="C49" s="17" t="s">
        <v>20</v>
      </c>
      <c r="D49" s="18"/>
      <c r="E49" s="5">
        <v>600</v>
      </c>
      <c r="F49" s="7">
        <v>720</v>
      </c>
      <c r="G49" s="5">
        <v>68</v>
      </c>
      <c r="H49" s="7">
        <v>680</v>
      </c>
      <c r="I49" s="5">
        <v>1.1000000000000001</v>
      </c>
      <c r="J49" s="5">
        <v>0.8</v>
      </c>
      <c r="K49" s="5">
        <v>0.55000000000000004</v>
      </c>
      <c r="L49" s="8">
        <f t="shared" ref="L49" si="29">I49*J49*K49</f>
        <v>0.4840000000000001</v>
      </c>
      <c r="M49" s="6">
        <v>1800</v>
      </c>
      <c r="N49" s="5">
        <f t="shared" ref="N49" si="30">M49/E49</f>
        <v>3</v>
      </c>
      <c r="O49" s="19">
        <f t="shared" ref="O49" si="31">N49*F49</f>
        <v>2160</v>
      </c>
      <c r="P49" s="16">
        <f t="shared" ref="P49" si="32">N49*L49</f>
        <v>1.4520000000000004</v>
      </c>
    </row>
    <row r="50" spans="1:16">
      <c r="M50" s="2">
        <f>SUM(M40:M49)</f>
        <v>11700</v>
      </c>
      <c r="N50" s="2">
        <f>SUM(N40:N49)</f>
        <v>34</v>
      </c>
      <c r="O50" s="2">
        <f>SUM(O40:O49)</f>
        <v>21991.200000000001</v>
      </c>
      <c r="P50" s="2">
        <f>SUM(P40:P49)</f>
        <v>20.760648</v>
      </c>
    </row>
  </sheetData>
  <mergeCells count="54">
    <mergeCell ref="L9:L11"/>
    <mergeCell ref="N9:N11"/>
    <mergeCell ref="F7:F8"/>
    <mergeCell ref="G7:G8"/>
    <mergeCell ref="I7:I8"/>
    <mergeCell ref="J7:J8"/>
    <mergeCell ref="K7:K8"/>
    <mergeCell ref="L7:L8"/>
    <mergeCell ref="F9:F11"/>
    <mergeCell ref="G9:G11"/>
    <mergeCell ref="I9:I11"/>
    <mergeCell ref="J9:J11"/>
    <mergeCell ref="K9:K11"/>
    <mergeCell ref="O9:O11"/>
    <mergeCell ref="P9:P11"/>
    <mergeCell ref="N7:N8"/>
    <mergeCell ref="O7:O8"/>
    <mergeCell ref="P7:P8"/>
    <mergeCell ref="P25:P26"/>
    <mergeCell ref="F27:F29"/>
    <mergeCell ref="G27:G29"/>
    <mergeCell ref="I27:I29"/>
    <mergeCell ref="J27:J29"/>
    <mergeCell ref="K27:K29"/>
    <mergeCell ref="L27:L29"/>
    <mergeCell ref="N27:N29"/>
    <mergeCell ref="O27:O29"/>
    <mergeCell ref="P27:P29"/>
    <mergeCell ref="F25:F26"/>
    <mergeCell ref="G25:G26"/>
    <mergeCell ref="I25:I26"/>
    <mergeCell ref="J25:J26"/>
    <mergeCell ref="K25:K26"/>
    <mergeCell ref="J44:J45"/>
    <mergeCell ref="K44:K45"/>
    <mergeCell ref="L25:L26"/>
    <mergeCell ref="N25:N26"/>
    <mergeCell ref="O25:O26"/>
    <mergeCell ref="L44:L45"/>
    <mergeCell ref="N44:N45"/>
    <mergeCell ref="O44:O45"/>
    <mergeCell ref="P44:P45"/>
    <mergeCell ref="F46:F48"/>
    <mergeCell ref="G46:G48"/>
    <mergeCell ref="I46:I48"/>
    <mergeCell ref="J46:J48"/>
    <mergeCell ref="K46:K48"/>
    <mergeCell ref="L46:L48"/>
    <mergeCell ref="N46:N48"/>
    <mergeCell ref="O46:O48"/>
    <mergeCell ref="P46:P48"/>
    <mergeCell ref="F44:F45"/>
    <mergeCell ref="G44:G45"/>
    <mergeCell ref="I44:I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EGG8 Thread 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2025-02-21T05:35:07Z</cp:lastPrinted>
  <dcterms:created xsi:type="dcterms:W3CDTF">2015-06-05T18:17:00Z</dcterms:created>
  <dcterms:modified xsi:type="dcterms:W3CDTF">2025-04-30T06:36:21Z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0C7022505C524D0EA440EBBE40455052_13</vt:lpwstr>
  </property>
  <property fmtid="{D5CDD505-2E9C-101B-9397-08002B2CF9AE}" pid="3" name="KSOProductBuildVer">
    <vt:lpwstr>2052-11.1.0.15319</vt:lpwstr>
  </property>
</Properties>
</file>