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OR0411 ORP909发货9952套\第二批 952套 2\"/>
    </mc:Choice>
  </mc:AlternateContent>
  <xr:revisionPtr revIDLastSave="0" documentId="13_ncr:1_{D736A8BC-9923-46CF-BAB4-AB5554C223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P3" i="1" s="1"/>
  <c r="Q3" i="1"/>
  <c r="J4" i="1"/>
  <c r="O3" i="1"/>
  <c r="J3" i="1"/>
  <c r="J6" i="1"/>
  <c r="F6" i="1"/>
  <c r="Q5" i="1"/>
  <c r="O5" i="1"/>
  <c r="M5" i="1"/>
  <c r="P5" i="1" s="1"/>
  <c r="J5" i="1"/>
  <c r="F5" i="1"/>
  <c r="K7" i="1" l="1"/>
  <c r="O7" i="1" l="1"/>
  <c r="H7" i="1"/>
  <c r="Q7" i="1"/>
  <c r="P7" i="1"/>
  <c r="F7" i="1"/>
</calcChain>
</file>

<file path=xl/sharedStrings.xml><?xml version="1.0" encoding="utf-8"?>
<sst xmlns="http://schemas.openxmlformats.org/spreadsheetml/2006/main" count="33" uniqueCount="30">
  <si>
    <t>序号
No</t>
  </si>
  <si>
    <t>产品名称
Name</t>
  </si>
  <si>
    <t>型号及规格
Spec.</t>
  </si>
  <si>
    <t>合同号
PO</t>
  </si>
  <si>
    <t>箱号
Case No.</t>
  </si>
  <si>
    <t>套
Quan.</t>
  </si>
  <si>
    <t>套/袋
pcs
/bag</t>
  </si>
  <si>
    <t>袋
bags</t>
  </si>
  <si>
    <t>袋/箱
bag
/case</t>
  </si>
  <si>
    <t>套/箱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</si>
  <si>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</si>
  <si>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</si>
  <si>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</si>
  <si>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</si>
  <si>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</si>
  <si>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</si>
  <si>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</si>
  <si>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0.49</t>
    </r>
  </si>
  <si>
    <t>合计</t>
  </si>
  <si>
    <t>备注：</t>
  </si>
  <si>
    <t>Delker</t>
  </si>
  <si>
    <t>苏州苏德兰铁路配件有限公司</t>
  </si>
  <si>
    <t>M24X335</t>
    <phoneticPr fontId="9" type="noConversion"/>
  </si>
  <si>
    <t>螺杆配双螺母配平垫弹垫
Thread Rod Assembly</t>
    <phoneticPr fontId="9" type="noConversion"/>
  </si>
  <si>
    <t>1套报关资料</t>
    <phoneticPr fontId="9" type="noConversion"/>
  </si>
  <si>
    <t>ORP00909</t>
  </si>
  <si>
    <t>1 de 2</t>
    <phoneticPr fontId="9" type="noConversion"/>
  </si>
  <si>
    <t>2 de 2</t>
    <phoneticPr fontId="9" type="noConversion"/>
  </si>
  <si>
    <t xml:space="preserve"> 包  装  明  细  表 OR0411  发深圳                          </t>
    <phoneticPr fontId="9" type="noConversion"/>
  </si>
  <si>
    <r>
      <t xml:space="preserve">1100*800*350
</t>
    </r>
    <r>
      <rPr>
        <sz val="10"/>
        <color theme="1"/>
        <rFont val="宋体"/>
        <family val="3"/>
        <charset val="134"/>
        <scheme val="minor"/>
      </rPr>
      <t>0.31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</si>
</sst>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176" fontId="0" fillId="0" borderId="0">
      <alignment vertical="center"/>
    </xf>
  </cellStyleXfs>
  <cellXfs count="42">
    <xf numFmtId="176" fontId="0" fillId="0" borderId="0" xfId="0">
      <alignment vertical="center"/>
    </xf>
    <xf numFmtId="176" fontId="2" fillId="0" borderId="1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6" fontId="8" fillId="0" borderId="0" xfId="0" applyFont="1">
      <alignment vertical="center"/>
    </xf>
    <xf numFmtId="176" fontId="8" fillId="0" borderId="6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6" fontId="8" fillId="0" borderId="8" xfId="0" applyFont="1" applyBorder="1" applyAlignment="1">
      <alignment horizontal="center" vertical="center"/>
    </xf>
    <xf numFmtId="176" fontId="8" fillId="0" borderId="9" xfId="0" applyFont="1" applyBorder="1" applyAlignment="1">
      <alignment horizontal="center" vertical="center"/>
    </xf>
    <xf numFmtId="176" fontId="8" fillId="0" borderId="10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8" fontId="6" fillId="2" borderId="4" xfId="0" applyNumberFormat="1" applyFont="1" applyFill="1" applyBorder="1" applyAlignment="1">
      <alignment horizontal="center" vertical="center" wrapText="1"/>
    </xf>
    <xf numFmtId="178" fontId="6" fillId="2" borderId="5" xfId="0" applyNumberFormat="1" applyFont="1" applyFill="1" applyBorder="1" applyAlignment="1">
      <alignment horizontal="center" vertical="center" wrapText="1"/>
    </xf>
    <xf numFmtId="178" fontId="3" fillId="0" borderId="4" xfId="0" applyNumberFormat="1" applyFont="1" applyBorder="1" applyAlignment="1">
      <alignment horizontal="center" vertical="center" wrapText="1"/>
    </xf>
    <xf numFmtId="178" fontId="3" fillId="0" borderId="5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6" fontId="7" fillId="0" borderId="0" xfId="0" applyFont="1" applyAlignment="1">
      <alignment horizontal="right"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178" fontId="6" fillId="0" borderId="4" xfId="0" applyNumberFormat="1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tabSelected="1" workbookViewId="0">
      <selection activeCell="E7" sqref="E7"/>
    </sheetView>
  </sheetViews>
  <sheetFormatPr defaultColWidth="9" defaultRowHeight="13.5" x14ac:dyDescent="0.15"/>
  <cols>
    <col min="1" max="1" width="4.625" customWidth="1"/>
    <col min="2" max="2" width="18.25" customWidth="1"/>
    <col min="3" max="3" width="9.5" customWidth="1"/>
    <col min="4" max="4" width="9.625" customWidth="1"/>
    <col min="5" max="5" width="13.875" customWidth="1"/>
    <col min="6" max="6" width="7.37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  <col min="18" max="18" width="15.625" customWidth="1"/>
  </cols>
  <sheetData>
    <row r="1" spans="1:19" ht="36.950000000000003" customHeight="1" x14ac:dyDescent="0.15">
      <c r="A1" s="30" t="s">
        <v>28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9" ht="45.9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9" ht="27.75" customHeight="1" x14ac:dyDescent="0.15">
      <c r="A3" s="18">
        <v>1</v>
      </c>
      <c r="B3" s="22" t="s">
        <v>23</v>
      </c>
      <c r="C3" s="24" t="s">
        <v>22</v>
      </c>
      <c r="D3" s="26" t="s">
        <v>25</v>
      </c>
      <c r="E3" s="40" t="s">
        <v>26</v>
      </c>
      <c r="F3" s="28">
        <v>306</v>
      </c>
      <c r="G3" s="8">
        <v>15</v>
      </c>
      <c r="H3" s="8">
        <v>20</v>
      </c>
      <c r="I3" s="8">
        <v>20</v>
      </c>
      <c r="J3" s="8">
        <f t="shared" ref="J3:J4" si="0">G3*I3</f>
        <v>300</v>
      </c>
      <c r="K3" s="13">
        <v>1</v>
      </c>
      <c r="L3" s="13">
        <v>233</v>
      </c>
      <c r="M3" s="13">
        <f>L3+30</f>
        <v>263</v>
      </c>
      <c r="N3" s="20" t="s">
        <v>29</v>
      </c>
      <c r="O3" s="13">
        <f t="shared" ref="O3" si="1">L3*K3</f>
        <v>233</v>
      </c>
      <c r="P3" s="13">
        <f t="shared" ref="P3" si="2">M3*K3</f>
        <v>263</v>
      </c>
      <c r="Q3" s="38">
        <f>0.31*K3</f>
        <v>0.31</v>
      </c>
      <c r="R3" s="15" t="s">
        <v>24</v>
      </c>
    </row>
    <row r="4" spans="1:19" ht="27.75" customHeight="1" thickBot="1" x14ac:dyDescent="0.2">
      <c r="A4" s="19"/>
      <c r="B4" s="23"/>
      <c r="C4" s="25"/>
      <c r="D4" s="27"/>
      <c r="E4" s="41"/>
      <c r="F4" s="29"/>
      <c r="G4" s="10">
        <v>6</v>
      </c>
      <c r="H4" s="10">
        <v>1</v>
      </c>
      <c r="I4" s="10">
        <v>1</v>
      </c>
      <c r="J4" s="10">
        <f t="shared" si="0"/>
        <v>6</v>
      </c>
      <c r="K4" s="14"/>
      <c r="L4" s="14"/>
      <c r="M4" s="14"/>
      <c r="N4" s="21"/>
      <c r="O4" s="14"/>
      <c r="P4" s="14"/>
      <c r="Q4" s="39"/>
      <c r="R4" s="16"/>
    </row>
    <row r="5" spans="1:19" ht="30" customHeight="1" x14ac:dyDescent="0.15">
      <c r="A5" s="18">
        <v>2</v>
      </c>
      <c r="B5" s="22" t="s">
        <v>23</v>
      </c>
      <c r="C5" s="24" t="s">
        <v>22</v>
      </c>
      <c r="D5" s="26" t="s">
        <v>25</v>
      </c>
      <c r="E5" s="34" t="s">
        <v>27</v>
      </c>
      <c r="F5" s="7">
        <f>G5*H5</f>
        <v>630</v>
      </c>
      <c r="G5" s="8">
        <v>15</v>
      </c>
      <c r="H5" s="8">
        <v>42</v>
      </c>
      <c r="I5" s="8">
        <v>42</v>
      </c>
      <c r="J5" s="8">
        <f>G5*I5</f>
        <v>630</v>
      </c>
      <c r="K5" s="13">
        <v>1</v>
      </c>
      <c r="L5" s="13">
        <v>730</v>
      </c>
      <c r="M5" s="13">
        <f>L5+42</f>
        <v>772</v>
      </c>
      <c r="N5" s="36" t="s">
        <v>17</v>
      </c>
      <c r="O5" s="13">
        <f>L5*K5</f>
        <v>730</v>
      </c>
      <c r="P5" s="13">
        <f>M5*K5</f>
        <v>772</v>
      </c>
      <c r="Q5" s="38">
        <f>0.49*K5</f>
        <v>0.49</v>
      </c>
      <c r="R5" s="16"/>
      <c r="S5" s="11"/>
    </row>
    <row r="6" spans="1:19" ht="30" customHeight="1" thickBot="1" x14ac:dyDescent="0.2">
      <c r="A6" s="19"/>
      <c r="B6" s="23"/>
      <c r="C6" s="25"/>
      <c r="D6" s="27"/>
      <c r="E6" s="35"/>
      <c r="F6" s="9">
        <f t="shared" ref="F6" si="3">G6*H6</f>
        <v>16</v>
      </c>
      <c r="G6" s="10">
        <v>16</v>
      </c>
      <c r="H6" s="10">
        <v>1</v>
      </c>
      <c r="I6" s="10">
        <v>1</v>
      </c>
      <c r="J6" s="10">
        <f t="shared" ref="J6" si="4">G6*I6</f>
        <v>16</v>
      </c>
      <c r="K6" s="14"/>
      <c r="L6" s="14"/>
      <c r="M6" s="14"/>
      <c r="N6" s="37"/>
      <c r="O6" s="14"/>
      <c r="P6" s="14"/>
      <c r="Q6" s="39"/>
      <c r="R6" s="17"/>
      <c r="S6" s="11"/>
    </row>
    <row r="7" spans="1:19" ht="41.1" customHeight="1" x14ac:dyDescent="0.15">
      <c r="A7" s="32" t="s">
        <v>18</v>
      </c>
      <c r="B7" s="32"/>
      <c r="C7" s="32"/>
      <c r="D7" s="3"/>
      <c r="E7" s="2"/>
      <c r="F7" s="3">
        <f>SUM(F3:F6)</f>
        <v>952</v>
      </c>
      <c r="G7" s="3"/>
      <c r="H7" s="3">
        <f>SUM(H3:H6)</f>
        <v>64</v>
      </c>
      <c r="I7" s="3"/>
      <c r="J7" s="3"/>
      <c r="K7" s="3">
        <f>SUM(K3:K6)</f>
        <v>2</v>
      </c>
      <c r="L7" s="3"/>
      <c r="M7" s="3"/>
      <c r="N7" s="3"/>
      <c r="O7" s="3">
        <f>SUM(O3:O6)</f>
        <v>963</v>
      </c>
      <c r="P7" s="3">
        <f>SUM(P3:P6)</f>
        <v>1035</v>
      </c>
      <c r="Q7" s="2">
        <f>SUM(Q3:Q6)</f>
        <v>0.8</v>
      </c>
      <c r="R7" s="12"/>
    </row>
    <row r="8" spans="1:19" ht="21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9" ht="21" customHeight="1" x14ac:dyDescent="0.15">
      <c r="A9" s="4"/>
      <c r="B9" s="5" t="s">
        <v>19</v>
      </c>
      <c r="C9" s="4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9" ht="18.75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33" t="s">
        <v>21</v>
      </c>
      <c r="O10" s="33"/>
      <c r="P10" s="33"/>
      <c r="Q10" s="33"/>
    </row>
    <row r="11" spans="1:19" ht="18.75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33">
        <v>45784</v>
      </c>
      <c r="O11" s="33"/>
      <c r="P11" s="33"/>
      <c r="Q11" s="33"/>
    </row>
    <row r="12" spans="1:19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9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9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9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9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</sheetData>
  <mergeCells count="30">
    <mergeCell ref="A1:Q1"/>
    <mergeCell ref="A7:C7"/>
    <mergeCell ref="N10:Q10"/>
    <mergeCell ref="N11:Q11"/>
    <mergeCell ref="E5:E6"/>
    <mergeCell ref="K5:K6"/>
    <mergeCell ref="L5:L6"/>
    <mergeCell ref="M5:M6"/>
    <mergeCell ref="N5:N6"/>
    <mergeCell ref="Q5:Q6"/>
    <mergeCell ref="A3:A4"/>
    <mergeCell ref="B3:B4"/>
    <mergeCell ref="C3:C4"/>
    <mergeCell ref="D3:D4"/>
    <mergeCell ref="E3:E4"/>
    <mergeCell ref="Q3:Q4"/>
    <mergeCell ref="O5:O6"/>
    <mergeCell ref="P5:P6"/>
    <mergeCell ref="R3:R6"/>
    <mergeCell ref="A5:A6"/>
    <mergeCell ref="L3:L4"/>
    <mergeCell ref="M3:M4"/>
    <mergeCell ref="N3:N4"/>
    <mergeCell ref="O3:O4"/>
    <mergeCell ref="P3:P4"/>
    <mergeCell ref="B5:B6"/>
    <mergeCell ref="C5:C6"/>
    <mergeCell ref="D5:D6"/>
    <mergeCell ref="F3:F4"/>
    <mergeCell ref="K3:K4"/>
  </mergeCells>
  <phoneticPr fontId="9" type="noConversion"/>
  <pageMargins left="0.7" right="0.7" top="0.75" bottom="0.75" header="0.3" footer="0.3"/>
  <pageSetup paperSize="9" scale="8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2025-05-07T08:06:51Z</cp:lastPrinted>
  <dcterms:created xsi:type="dcterms:W3CDTF">2006-09-13T11:21:00Z</dcterms:created>
  <dcterms:modified xsi:type="dcterms:W3CDTF">2025-05-08T07:43:10Z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F788CE42AB4E457986BB9E7F48EE1CD4_13</vt:lpwstr>
  </property>
  <property fmtid="{D5CDD505-2E9C-101B-9397-08002B2CF9AE}" pid="3" name="KSOProductBuildVer">
    <vt:lpwstr>2052-12.1.0.16729</vt:lpwstr>
  </property>
</Properties>
</file>