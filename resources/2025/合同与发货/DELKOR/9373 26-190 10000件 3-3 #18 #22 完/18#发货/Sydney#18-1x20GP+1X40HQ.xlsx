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EC404DA7-19C4-47DA-81A3-6A85484943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  <c r="F53" i="1"/>
  <c r="L50" i="1"/>
  <c r="M48" i="1"/>
  <c r="K48" i="1"/>
  <c r="F48" i="1"/>
  <c r="M47" i="1"/>
  <c r="N47" i="1" s="1"/>
  <c r="K47" i="1"/>
  <c r="F47" i="1"/>
  <c r="M46" i="1"/>
  <c r="K46" i="1"/>
  <c r="F46" i="1"/>
  <c r="R45" i="1"/>
  <c r="S45" i="1" s="1"/>
  <c r="M45" i="1"/>
  <c r="K45" i="1"/>
  <c r="M44" i="1"/>
  <c r="N44" i="1" s="1"/>
  <c r="K44" i="1"/>
  <c r="F44" i="1"/>
  <c r="M43" i="1"/>
  <c r="K43" i="1"/>
  <c r="F43" i="1"/>
  <c r="D36" i="1"/>
  <c r="D25" i="1"/>
  <c r="L22" i="1"/>
  <c r="M21" i="1"/>
  <c r="K21" i="1"/>
  <c r="M20" i="1"/>
  <c r="K20" i="1"/>
  <c r="F20" i="1"/>
  <c r="M19" i="1"/>
  <c r="K19" i="1"/>
  <c r="F19" i="1"/>
  <c r="M18" i="1"/>
  <c r="K18" i="1"/>
  <c r="F18" i="1"/>
  <c r="M17" i="1"/>
  <c r="K17" i="1"/>
  <c r="F17" i="1"/>
  <c r="M16" i="1"/>
  <c r="N16" i="1" s="1"/>
  <c r="K16" i="1"/>
  <c r="F16" i="1"/>
  <c r="M15" i="1"/>
  <c r="K15" i="1"/>
  <c r="F15" i="1"/>
  <c r="M14" i="1"/>
  <c r="N14" i="1" s="1"/>
  <c r="K14" i="1"/>
  <c r="F14" i="1"/>
  <c r="M13" i="1"/>
  <c r="K13" i="1"/>
  <c r="F13" i="1"/>
  <c r="M12" i="1"/>
  <c r="K12" i="1"/>
  <c r="F12" i="1"/>
  <c r="M11" i="1"/>
  <c r="K11" i="1"/>
  <c r="F11" i="1"/>
  <c r="M10" i="1"/>
  <c r="K10" i="1"/>
  <c r="F10" i="1"/>
  <c r="M9" i="1"/>
  <c r="K9" i="1"/>
  <c r="F9" i="1"/>
  <c r="M8" i="1"/>
  <c r="N8" i="1" s="1"/>
  <c r="K8" i="1"/>
  <c r="M7" i="1"/>
  <c r="N7" i="1" s="1"/>
  <c r="K7" i="1"/>
  <c r="O7" i="1" s="1"/>
  <c r="R6" i="1"/>
  <c r="S6" i="1" s="1"/>
  <c r="M6" i="1"/>
  <c r="N6" i="1" s="1"/>
  <c r="K6" i="1"/>
  <c r="R5" i="1"/>
  <c r="S5" i="1" s="1"/>
  <c r="M5" i="1"/>
  <c r="N5" i="1" s="1"/>
  <c r="K5" i="1"/>
  <c r="R4" i="1"/>
  <c r="S4" i="1" s="1"/>
  <c r="M4" i="1"/>
  <c r="N4" i="1" s="1"/>
  <c r="K4" i="1"/>
  <c r="O4" i="1" s="1"/>
  <c r="R3" i="1"/>
  <c r="S3" i="1" s="1"/>
  <c r="M3" i="1"/>
  <c r="N3" i="1" s="1"/>
  <c r="K3" i="1"/>
  <c r="O6" i="1" l="1"/>
  <c r="O47" i="1"/>
  <c r="O43" i="1"/>
  <c r="O48" i="1"/>
  <c r="O21" i="1"/>
  <c r="N48" i="1"/>
  <c r="O45" i="1"/>
  <c r="O3" i="1"/>
  <c r="N43" i="1"/>
  <c r="M50" i="1"/>
  <c r="O46" i="1"/>
  <c r="O15" i="1"/>
  <c r="O5" i="1"/>
  <c r="O44" i="1"/>
  <c r="N46" i="1"/>
  <c r="N45" i="1"/>
  <c r="O10" i="1"/>
  <c r="O13" i="1"/>
  <c r="M22" i="1"/>
  <c r="O9" i="1"/>
  <c r="N9" i="1"/>
  <c r="O16" i="1"/>
  <c r="O17" i="1"/>
  <c r="O11" i="1"/>
  <c r="O18" i="1"/>
  <c r="O12" i="1"/>
  <c r="O19" i="1"/>
  <c r="O20" i="1"/>
  <c r="O8" i="1"/>
  <c r="N21" i="1"/>
  <c r="N18" i="1"/>
  <c r="O14" i="1"/>
  <c r="N10" i="1"/>
  <c r="N19" i="1"/>
  <c r="N15" i="1"/>
  <c r="N11" i="1"/>
  <c r="N20" i="1"/>
  <c r="N12" i="1"/>
  <c r="N17" i="1"/>
  <c r="N13" i="1"/>
  <c r="O50" i="1" l="1"/>
  <c r="N50" i="1"/>
  <c r="O22" i="1"/>
  <c r="N22" i="1"/>
</calcChain>
</file>

<file path=xl/sharedStrings.xml><?xml version="1.0" encoding="utf-8"?>
<sst xmlns="http://schemas.openxmlformats.org/spreadsheetml/2006/main" count="161" uniqueCount="72">
  <si>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</si>
  <si>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</si>
  <si>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</si>
  <si>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</si>
  <si>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</si>
  <si>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</si>
  <si>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</si>
  <si>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</si>
  <si>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</si>
  <si>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</si>
  <si>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</si>
  <si>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</si>
  <si>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</si>
  <si>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</si>
  <si>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</si>
  <si>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</si>
  <si>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Customer Deadline</t>
  </si>
  <si>
    <t>latest EXW</t>
  </si>
  <si>
    <t>Estimated To Door</t>
  </si>
  <si>
    <t>Sudelan</t>
  </si>
  <si>
    <t>TMT</t>
  </si>
  <si>
    <t>Ss8 GAL  24 DIA X 165. 5.6 Screwspike</t>
  </si>
  <si>
    <t>26 Dia x190 Long Hex Heads 8.8 G Screwspike</t>
  </si>
  <si>
    <t>MSP00874</t>
  </si>
  <si>
    <t>Conical Spring Trailer Tangara</t>
  </si>
  <si>
    <t xml:space="preserve">Ss8 Fe6 GAL SCREWSPIKE 24 x 165 </t>
  </si>
  <si>
    <t>Ss8 GAL SCREWSPIKES 24 DIA X 165. 5.6</t>
  </si>
  <si>
    <t>Ss 8 Gal 24 x 165 Screwspikes 8.8 grade</t>
  </si>
  <si>
    <t>MSP00885</t>
  </si>
  <si>
    <t>Bush Traction Link</t>
  </si>
  <si>
    <t>MSP00895</t>
  </si>
  <si>
    <t>Pad, Centre Bearer</t>
  </si>
  <si>
    <t>Pad, Side Bearer</t>
  </si>
  <si>
    <t>MSP00887</t>
  </si>
  <si>
    <t>Secondary Spring</t>
  </si>
  <si>
    <t>PGF Sample</t>
  </si>
  <si>
    <t>FFU Sample</t>
  </si>
  <si>
    <t>MSP801R2</t>
  </si>
  <si>
    <t>Primary Spring (4GT / TC)</t>
  </si>
  <si>
    <t>Primary Spring (WGT, SGT &amp; 4GT / MC)</t>
  </si>
  <si>
    <t>Bush Traction Beam</t>
  </si>
  <si>
    <t>Bush Traction Rod</t>
  </si>
  <si>
    <t>Bush Anti Roll Bar Rod Bottom</t>
  </si>
  <si>
    <t>Bush Anti Roll Bar Rod Top</t>
  </si>
  <si>
    <t>Lateral Bump Stop</t>
  </si>
  <si>
    <t>Anti Roll Bar Bush Torsion</t>
  </si>
  <si>
    <t>Anti Roll Bar Pad Thrust</t>
  </si>
  <si>
    <t>MSP804R6</t>
  </si>
  <si>
    <t>Air Bellow (MS9007TMT)</t>
  </si>
  <si>
    <t>Downer</t>
  </si>
  <si>
    <t>Air Bellow CO</t>
  </si>
  <si>
    <t>MSP00871</t>
  </si>
  <si>
    <t>Air Bellows</t>
  </si>
  <si>
    <t>UGL</t>
  </si>
  <si>
    <t>Samples+ Ux1</t>
  </si>
  <si>
    <t>Bush Anti x1+Anti Roll Bar Torsion x2  H 2.61</t>
  </si>
  <si>
    <t>Primary Spring X4 + Bush Traction Bean x1                        H 2.47</t>
  </si>
  <si>
    <t>Primary Springx5     H2.3</t>
  </si>
  <si>
    <t>Ux3</t>
  </si>
  <si>
    <t>DX3</t>
  </si>
  <si>
    <t>Side pad x4</t>
  </si>
  <si>
    <t>Side pad x1</t>
  </si>
  <si>
    <t>Secondary Spring x5</t>
  </si>
  <si>
    <t xml:space="preserve"> Bush Traction Rodx4 +   Bush Antix3   H 2.43</t>
  </si>
  <si>
    <t>Bush Traction x2+Centre pad x3+ Secondary Spring x1</t>
  </si>
  <si>
    <r>
      <t>1X40</t>
    </r>
    <r>
      <rPr>
        <b/>
        <sz val="11"/>
        <color theme="1"/>
        <rFont val="等线"/>
        <family val="2"/>
        <scheme val="minor"/>
      </rPr>
      <t>HQ</t>
    </r>
  </si>
  <si>
    <t>Conical x4</t>
  </si>
  <si>
    <t>SSx4</t>
  </si>
  <si>
    <t>Conical x3+SSx1</t>
  </si>
  <si>
    <t>1X20GP</t>
  </si>
  <si>
    <t>MSP905R1</t>
  </si>
  <si>
    <t>Sliding Plate MS9008-2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</si>
</sst>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;[Red]\-0.00\ "/>
    <numFmt numFmtId="177" formatCode="[$-C09]dd\-mmm\-yy;@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002060"/>
      <name val="Arial"/>
      <family val="2"/>
    </font>
    <font>
      <sz val="1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1"/>
      <name val="Calibri"/>
      <family val="2"/>
    </font>
    <font>
      <b/>
      <sz val="11"/>
      <color rgb="FFFF0000"/>
      <name val="等线"/>
      <family val="2"/>
      <scheme val="minor"/>
    </font>
    <font>
      <sz val="11"/>
      <color rgb="FF000000"/>
      <name val="Arial"/>
      <family val="2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77" fontId="1" fillId="0" borderId="0"/>
  </cellStyleXfs>
  <cellXfs count="92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3" fillId="0" borderId="3" xfId="1" applyNumberFormat="1" applyFont="1" applyBorder="1" applyAlignment="1">
      <alignment horizontal="center" vertical="center"/>
    </xf>
    <xf numFmtId="14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77" fontId="0" fillId="0" borderId="3" xfId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7" fontId="0" fillId="0" borderId="0" xfId="1" applyFont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0" borderId="0" xfId="0" applyFont="1"/>
    <xf numFmtId="0" fontId="7" fillId="5" borderId="3" xfId="0" applyFont="1" applyFill="1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0" fillId="5" borderId="3" xfId="0" applyFill="1" applyBorder="1" applyAlignment="1">
      <alignment horizontal="center" vertical="center" wrapText="1"/>
    </xf>
    <xf numFmtId="2" fontId="0" fillId="5" borderId="3" xfId="1" applyNumberFormat="1" applyFon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2">
    <cellStyle name="Normal 3 2" xfId="1" xr:uid="{201259D6-F9FB-44BF-8ED6-C71790A25359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abSelected="1" topLeftCell="A40" workbookViewId="0">
      <selection activeCell="P56" sqref="P56"/>
    </sheetView>
  </sheetViews>
  <sheetFormatPr defaultRowHeight="14.25" x14ac:dyDescent="0.2"/>
  <cols>
    <col min="1" max="2" width="10.5" bestFit="1" customWidth="1"/>
    <col min="3" max="3" width="53.375" bestFit="1" customWidth="1"/>
    <col min="16" max="16" width="22.25" bestFit="1" customWidth="1"/>
    <col min="17" max="19" width="10.5" bestFit="1" customWidth="1"/>
  </cols>
  <sheetData>
    <row r="1" spans="1:19" x14ac:dyDescent="0.2">
      <c r="A1" t="s">
        <v>65</v>
      </c>
      <c r="B1" s="13">
        <v>45891</v>
      </c>
    </row>
    <row r="2" spans="1:19" ht="45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3" t="s">
        <v>15</v>
      </c>
      <c r="Q2" s="3" t="s">
        <v>16</v>
      </c>
      <c r="R2" s="3" t="s">
        <v>17</v>
      </c>
      <c r="S2" s="3" t="s">
        <v>18</v>
      </c>
    </row>
    <row r="3" spans="1:19" x14ac:dyDescent="0.2">
      <c r="A3" s="11" t="s">
        <v>28</v>
      </c>
      <c r="B3" s="27" t="s">
        <v>20</v>
      </c>
      <c r="C3" s="28" t="s">
        <v>29</v>
      </c>
      <c r="D3" s="29">
        <v>24</v>
      </c>
      <c r="E3" s="30">
        <v>266</v>
      </c>
      <c r="F3" s="8">
        <v>33</v>
      </c>
      <c r="G3" s="30">
        <v>233</v>
      </c>
      <c r="H3" s="30">
        <v>1.1000000000000001</v>
      </c>
      <c r="I3" s="30">
        <v>0.6</v>
      </c>
      <c r="J3" s="30">
        <v>0.38</v>
      </c>
      <c r="K3" s="31">
        <f t="shared" ref="K3:K8" si="0">H3*I3*J3</f>
        <v>0.25080000000000002</v>
      </c>
      <c r="L3" s="15">
        <v>48</v>
      </c>
      <c r="M3" s="32">
        <f>L3/D3</f>
        <v>2</v>
      </c>
      <c r="N3" s="32">
        <f>M3*E3</f>
        <v>532</v>
      </c>
      <c r="O3" s="32">
        <f t="shared" ref="O3:O8" si="1">K3*M3</f>
        <v>0.50160000000000005</v>
      </c>
      <c r="P3" s="33">
        <v>45884</v>
      </c>
      <c r="Q3" s="13">
        <v>45932</v>
      </c>
      <c r="R3" s="17">
        <f t="shared" ref="R3:R6" si="2">Q3-3-4-21-4-3</f>
        <v>45897</v>
      </c>
      <c r="S3" s="17">
        <f t="shared" ref="S3:S6" si="3">R3+30</f>
        <v>45927</v>
      </c>
    </row>
    <row r="4" spans="1:19" x14ac:dyDescent="0.2">
      <c r="A4" s="10" t="s">
        <v>30</v>
      </c>
      <c r="B4" s="34" t="s">
        <v>20</v>
      </c>
      <c r="C4" s="6" t="s">
        <v>31</v>
      </c>
      <c r="D4" s="6">
        <v>8</v>
      </c>
      <c r="E4" s="6">
        <v>295</v>
      </c>
      <c r="F4" s="6">
        <v>47</v>
      </c>
      <c r="G4" s="6">
        <v>248</v>
      </c>
      <c r="H4" s="6">
        <v>1.06</v>
      </c>
      <c r="I4" s="6">
        <v>0.64</v>
      </c>
      <c r="J4" s="6">
        <v>0.47</v>
      </c>
      <c r="K4" s="4">
        <f t="shared" si="0"/>
        <v>0.31884799999999996</v>
      </c>
      <c r="L4" s="35">
        <v>20</v>
      </c>
      <c r="M4" s="6">
        <f t="shared" ref="M4:M8" si="4">L4/D4</f>
        <v>2.5</v>
      </c>
      <c r="N4" s="6">
        <f t="shared" ref="N4:N8" si="5">M4*E4</f>
        <v>737.5</v>
      </c>
      <c r="O4" s="6">
        <f t="shared" si="1"/>
        <v>0.79711999999999994</v>
      </c>
      <c r="P4" s="36">
        <v>45891</v>
      </c>
      <c r="Q4" s="13">
        <v>45926</v>
      </c>
      <c r="R4" s="17">
        <f t="shared" si="2"/>
        <v>45891</v>
      </c>
      <c r="S4" s="17">
        <f t="shared" si="3"/>
        <v>45921</v>
      </c>
    </row>
    <row r="5" spans="1:19" x14ac:dyDescent="0.2">
      <c r="A5" s="10" t="s">
        <v>30</v>
      </c>
      <c r="B5" s="34" t="s">
        <v>20</v>
      </c>
      <c r="C5" s="6" t="s">
        <v>32</v>
      </c>
      <c r="D5" s="6">
        <v>4</v>
      </c>
      <c r="E5" s="6">
        <v>235</v>
      </c>
      <c r="F5" s="6">
        <v>46</v>
      </c>
      <c r="G5" s="6">
        <v>189</v>
      </c>
      <c r="H5" s="6">
        <v>0.81</v>
      </c>
      <c r="I5" s="6">
        <v>0.73</v>
      </c>
      <c r="J5" s="6">
        <v>0.56999999999999995</v>
      </c>
      <c r="K5" s="4">
        <f t="shared" si="0"/>
        <v>0.33704099999999998</v>
      </c>
      <c r="L5" s="35">
        <v>20</v>
      </c>
      <c r="M5" s="6">
        <f t="shared" si="4"/>
        <v>5</v>
      </c>
      <c r="N5" s="6">
        <f t="shared" si="5"/>
        <v>1175</v>
      </c>
      <c r="O5" s="6">
        <f t="shared" si="1"/>
        <v>1.6852049999999998</v>
      </c>
      <c r="P5" s="36">
        <v>45891</v>
      </c>
      <c r="Q5" s="13">
        <v>45926</v>
      </c>
      <c r="R5" s="17">
        <f t="shared" si="2"/>
        <v>45891</v>
      </c>
      <c r="S5" s="17">
        <f t="shared" si="3"/>
        <v>45921</v>
      </c>
    </row>
    <row r="6" spans="1:19" x14ac:dyDescent="0.2">
      <c r="A6" s="10" t="s">
        <v>33</v>
      </c>
      <c r="B6" s="34" t="s">
        <v>20</v>
      </c>
      <c r="C6" s="6" t="s">
        <v>34</v>
      </c>
      <c r="D6" s="6">
        <v>4</v>
      </c>
      <c r="E6" s="6">
        <v>210</v>
      </c>
      <c r="F6" s="6">
        <v>45</v>
      </c>
      <c r="G6" s="6">
        <v>165</v>
      </c>
      <c r="H6" s="6">
        <v>0.85</v>
      </c>
      <c r="I6" s="6">
        <v>0.66</v>
      </c>
      <c r="J6" s="6">
        <v>0.5</v>
      </c>
      <c r="K6" s="4">
        <f t="shared" si="0"/>
        <v>0.28050000000000003</v>
      </c>
      <c r="L6" s="35">
        <v>24</v>
      </c>
      <c r="M6" s="6">
        <f t="shared" si="4"/>
        <v>6</v>
      </c>
      <c r="N6" s="6">
        <f t="shared" si="5"/>
        <v>1260</v>
      </c>
      <c r="O6" s="6">
        <f t="shared" si="1"/>
        <v>1.6830000000000003</v>
      </c>
      <c r="P6" s="37">
        <v>45868</v>
      </c>
      <c r="Q6" s="13">
        <v>45929</v>
      </c>
      <c r="R6" s="17">
        <f t="shared" si="2"/>
        <v>45894</v>
      </c>
      <c r="S6" s="17">
        <f t="shared" si="3"/>
        <v>45924</v>
      </c>
    </row>
    <row r="7" spans="1:19" x14ac:dyDescent="0.2">
      <c r="A7" s="11"/>
      <c r="B7" s="38" t="s">
        <v>20</v>
      </c>
      <c r="C7" s="6" t="s">
        <v>35</v>
      </c>
      <c r="D7" s="6">
        <v>1</v>
      </c>
      <c r="E7" s="6">
        <v>23</v>
      </c>
      <c r="F7" s="6">
        <v>3</v>
      </c>
      <c r="G7" s="6">
        <v>20</v>
      </c>
      <c r="H7" s="6">
        <v>1.04</v>
      </c>
      <c r="I7" s="6">
        <v>0.24</v>
      </c>
      <c r="J7" s="6">
        <v>0.19</v>
      </c>
      <c r="K7" s="4">
        <f t="shared" si="0"/>
        <v>4.7424000000000001E-2</v>
      </c>
      <c r="L7" s="39">
        <v>1</v>
      </c>
      <c r="M7" s="6">
        <f t="shared" si="4"/>
        <v>1</v>
      </c>
      <c r="N7" s="6">
        <f t="shared" si="5"/>
        <v>23</v>
      </c>
      <c r="O7" s="6">
        <f t="shared" si="1"/>
        <v>4.7424000000000001E-2</v>
      </c>
      <c r="P7" s="37"/>
      <c r="Q7" s="13"/>
      <c r="R7" s="7"/>
      <c r="S7" s="7"/>
    </row>
    <row r="8" spans="1:19" x14ac:dyDescent="0.2">
      <c r="A8" s="11"/>
      <c r="B8" s="38" t="s">
        <v>20</v>
      </c>
      <c r="C8" s="6" t="s">
        <v>36</v>
      </c>
      <c r="D8" s="6">
        <v>1</v>
      </c>
      <c r="E8" s="6">
        <v>120</v>
      </c>
      <c r="F8" s="6">
        <v>30</v>
      </c>
      <c r="G8" s="6">
        <v>90</v>
      </c>
      <c r="H8" s="6">
        <v>1.47</v>
      </c>
      <c r="I8" s="6">
        <v>0.47</v>
      </c>
      <c r="J8" s="6">
        <v>0.52</v>
      </c>
      <c r="K8" s="4">
        <f t="shared" si="0"/>
        <v>0.35926799999999998</v>
      </c>
      <c r="L8" s="39">
        <v>1</v>
      </c>
      <c r="M8" s="6">
        <f t="shared" si="4"/>
        <v>1</v>
      </c>
      <c r="N8" s="6">
        <f t="shared" si="5"/>
        <v>120</v>
      </c>
      <c r="O8" s="6">
        <f t="shared" si="1"/>
        <v>0.35926799999999998</v>
      </c>
      <c r="P8" s="37"/>
      <c r="Q8" s="13"/>
      <c r="R8" s="7"/>
      <c r="S8" s="7"/>
    </row>
    <row r="9" spans="1:19" x14ac:dyDescent="0.2">
      <c r="A9" s="14" t="s">
        <v>37</v>
      </c>
      <c r="B9" s="14" t="s">
        <v>20</v>
      </c>
      <c r="C9" s="35" t="s">
        <v>38</v>
      </c>
      <c r="D9" s="35">
        <v>8</v>
      </c>
      <c r="E9" s="40">
        <v>190</v>
      </c>
      <c r="F9" s="35">
        <f>E9-G9</f>
        <v>27.439999999999998</v>
      </c>
      <c r="G9" s="40">
        <v>162.56</v>
      </c>
      <c r="H9" s="35">
        <v>1.06</v>
      </c>
      <c r="I9" s="35">
        <v>0.55000000000000004</v>
      </c>
      <c r="J9" s="40">
        <v>0.46</v>
      </c>
      <c r="K9" s="41">
        <f t="shared" ref="K9:K18" si="6">(H9*I9)*J9</f>
        <v>0.26818000000000003</v>
      </c>
      <c r="L9" s="42">
        <v>256</v>
      </c>
      <c r="M9" s="35">
        <f>L9/D9</f>
        <v>32</v>
      </c>
      <c r="N9" s="35">
        <f>M9*E9</f>
        <v>6080</v>
      </c>
      <c r="O9" s="35">
        <f>M9*K9</f>
        <v>8.5817600000000009</v>
      </c>
      <c r="P9" s="35"/>
    </row>
    <row r="10" spans="1:19" x14ac:dyDescent="0.2">
      <c r="A10" s="14" t="s">
        <v>37</v>
      </c>
      <c r="B10" s="14" t="s">
        <v>20</v>
      </c>
      <c r="C10" s="35" t="s">
        <v>39</v>
      </c>
      <c r="D10" s="35">
        <v>8</v>
      </c>
      <c r="E10" s="40">
        <v>192</v>
      </c>
      <c r="F10" s="35">
        <f t="shared" ref="F10:F20" si="7">E10-G10</f>
        <v>27.840000000000003</v>
      </c>
      <c r="G10" s="40">
        <v>164.16</v>
      </c>
      <c r="H10" s="35">
        <v>1.06</v>
      </c>
      <c r="I10" s="35">
        <v>0.55000000000000004</v>
      </c>
      <c r="J10" s="40">
        <v>0.46</v>
      </c>
      <c r="K10" s="41">
        <f t="shared" si="6"/>
        <v>0.26818000000000003</v>
      </c>
      <c r="L10" s="42">
        <v>256</v>
      </c>
      <c r="M10" s="35">
        <f t="shared" ref="M10:M20" si="8">L10/D10</f>
        <v>32</v>
      </c>
      <c r="N10" s="35">
        <f t="shared" ref="N10:N20" si="9">M10*E10</f>
        <v>6144</v>
      </c>
      <c r="O10" s="35">
        <f t="shared" ref="O10:O20" si="10">M10*K10</f>
        <v>8.5817600000000009</v>
      </c>
      <c r="P10" s="35"/>
    </row>
    <row r="11" spans="1:19" x14ac:dyDescent="0.2">
      <c r="A11" s="14" t="s">
        <v>37</v>
      </c>
      <c r="B11" s="14" t="s">
        <v>20</v>
      </c>
      <c r="C11" s="35" t="s">
        <v>40</v>
      </c>
      <c r="D11" s="35">
        <v>64</v>
      </c>
      <c r="E11" s="40">
        <v>196</v>
      </c>
      <c r="F11" s="35">
        <f t="shared" si="7"/>
        <v>44.960000000000008</v>
      </c>
      <c r="G11" s="40">
        <v>151.04</v>
      </c>
      <c r="H11" s="40">
        <v>1.06</v>
      </c>
      <c r="I11" s="35">
        <v>0.8</v>
      </c>
      <c r="J11" s="35">
        <v>0.63</v>
      </c>
      <c r="K11" s="41">
        <f t="shared" si="6"/>
        <v>0.53424000000000005</v>
      </c>
      <c r="L11" s="42">
        <v>64</v>
      </c>
      <c r="M11" s="35">
        <f t="shared" si="8"/>
        <v>1</v>
      </c>
      <c r="N11" s="35">
        <f t="shared" si="9"/>
        <v>196</v>
      </c>
      <c r="O11" s="35">
        <f t="shared" si="10"/>
        <v>0.53424000000000005</v>
      </c>
      <c r="P11" s="35"/>
    </row>
    <row r="12" spans="1:19" x14ac:dyDescent="0.2">
      <c r="A12" s="14" t="s">
        <v>37</v>
      </c>
      <c r="B12" s="14" t="s">
        <v>20</v>
      </c>
      <c r="C12" s="35" t="s">
        <v>41</v>
      </c>
      <c r="D12" s="35">
        <v>64</v>
      </c>
      <c r="E12" s="40">
        <v>348</v>
      </c>
      <c r="F12" s="35">
        <f t="shared" si="7"/>
        <v>32.480000000000018</v>
      </c>
      <c r="G12" s="40">
        <v>315.52</v>
      </c>
      <c r="H12" s="40">
        <v>1.06</v>
      </c>
      <c r="I12" s="35">
        <v>0.8</v>
      </c>
      <c r="J12" s="35">
        <v>0.36</v>
      </c>
      <c r="K12" s="41">
        <f t="shared" si="6"/>
        <v>0.30528</v>
      </c>
      <c r="L12" s="43">
        <v>256</v>
      </c>
      <c r="M12" s="35">
        <f t="shared" si="8"/>
        <v>4</v>
      </c>
      <c r="N12" s="35">
        <f t="shared" si="9"/>
        <v>1392</v>
      </c>
      <c r="O12" s="35">
        <f t="shared" si="10"/>
        <v>1.22112</v>
      </c>
      <c r="P12" s="35"/>
    </row>
    <row r="13" spans="1:19" x14ac:dyDescent="0.2">
      <c r="A13" s="14" t="s">
        <v>37</v>
      </c>
      <c r="B13" s="14" t="s">
        <v>20</v>
      </c>
      <c r="C13" s="35" t="s">
        <v>42</v>
      </c>
      <c r="D13" s="35">
        <v>64</v>
      </c>
      <c r="E13" s="40">
        <v>324</v>
      </c>
      <c r="F13" s="35">
        <f t="shared" si="7"/>
        <v>30.879999999999995</v>
      </c>
      <c r="G13" s="40">
        <v>293.12</v>
      </c>
      <c r="H13" s="40">
        <v>1.06</v>
      </c>
      <c r="I13" s="35">
        <v>0.8</v>
      </c>
      <c r="J13" s="40">
        <v>0.33</v>
      </c>
      <c r="K13" s="41">
        <f t="shared" si="6"/>
        <v>0.27984000000000003</v>
      </c>
      <c r="L13" s="43">
        <v>128</v>
      </c>
      <c r="M13" s="35">
        <f t="shared" si="8"/>
        <v>2</v>
      </c>
      <c r="N13" s="35">
        <f t="shared" si="9"/>
        <v>648</v>
      </c>
      <c r="O13" s="35">
        <f t="shared" si="10"/>
        <v>0.55968000000000007</v>
      </c>
      <c r="P13" s="35"/>
    </row>
    <row r="14" spans="1:19" x14ac:dyDescent="0.2">
      <c r="A14" s="14" t="s">
        <v>37</v>
      </c>
      <c r="B14" s="14" t="s">
        <v>20</v>
      </c>
      <c r="C14" s="35" t="s">
        <v>43</v>
      </c>
      <c r="D14" s="35">
        <v>64</v>
      </c>
      <c r="E14" s="40">
        <v>235</v>
      </c>
      <c r="F14" s="35">
        <f t="shared" si="7"/>
        <v>35.319999999999993</v>
      </c>
      <c r="G14" s="40">
        <v>199.68</v>
      </c>
      <c r="H14" s="40">
        <v>1.06</v>
      </c>
      <c r="I14" s="35">
        <v>0.8</v>
      </c>
      <c r="J14" s="40">
        <v>0.33</v>
      </c>
      <c r="K14" s="41">
        <f t="shared" si="6"/>
        <v>0.27984000000000003</v>
      </c>
      <c r="L14" s="43">
        <v>128</v>
      </c>
      <c r="M14" s="35">
        <f t="shared" si="8"/>
        <v>2</v>
      </c>
      <c r="N14" s="35">
        <f t="shared" si="9"/>
        <v>470</v>
      </c>
      <c r="O14" s="35">
        <f t="shared" si="10"/>
        <v>0.55968000000000007</v>
      </c>
      <c r="P14" s="35"/>
    </row>
    <row r="15" spans="1:19" x14ac:dyDescent="0.2">
      <c r="A15" s="14" t="s">
        <v>37</v>
      </c>
      <c r="B15" s="14" t="s">
        <v>20</v>
      </c>
      <c r="C15" s="35" t="s">
        <v>44</v>
      </c>
      <c r="D15" s="35">
        <v>50</v>
      </c>
      <c r="E15" s="40">
        <v>128</v>
      </c>
      <c r="F15" s="35">
        <f t="shared" si="7"/>
        <v>23.5</v>
      </c>
      <c r="G15" s="40">
        <v>104.5</v>
      </c>
      <c r="H15" s="40">
        <v>1.03</v>
      </c>
      <c r="I15" s="35">
        <v>0.47</v>
      </c>
      <c r="J15" s="35">
        <v>0.38</v>
      </c>
      <c r="K15" s="41">
        <f t="shared" si="6"/>
        <v>0.18395799999999998</v>
      </c>
      <c r="L15" s="44"/>
      <c r="M15" s="35">
        <f t="shared" si="8"/>
        <v>0</v>
      </c>
      <c r="N15" s="35">
        <f t="shared" si="9"/>
        <v>0</v>
      </c>
      <c r="O15" s="35">
        <f t="shared" si="10"/>
        <v>0</v>
      </c>
      <c r="P15" s="35"/>
    </row>
    <row r="16" spans="1:19" x14ac:dyDescent="0.2">
      <c r="A16" s="14" t="s">
        <v>37</v>
      </c>
      <c r="B16" s="14" t="s">
        <v>20</v>
      </c>
      <c r="C16" s="35" t="s">
        <v>44</v>
      </c>
      <c r="D16" s="35">
        <v>4</v>
      </c>
      <c r="E16" s="40">
        <v>20</v>
      </c>
      <c r="F16" s="35">
        <f t="shared" si="7"/>
        <v>16.600000000000001</v>
      </c>
      <c r="G16" s="40">
        <v>3.4</v>
      </c>
      <c r="H16" s="40">
        <v>0.4</v>
      </c>
      <c r="I16" s="35">
        <v>0.25</v>
      </c>
      <c r="J16" s="35">
        <v>0.23</v>
      </c>
      <c r="K16" s="41">
        <f t="shared" si="6"/>
        <v>2.3000000000000003E-2</v>
      </c>
      <c r="L16" s="44"/>
      <c r="M16" s="35">
        <f t="shared" si="8"/>
        <v>0</v>
      </c>
      <c r="N16" s="35">
        <f t="shared" si="9"/>
        <v>0</v>
      </c>
      <c r="O16" s="35">
        <f t="shared" si="10"/>
        <v>0</v>
      </c>
      <c r="P16" s="35"/>
    </row>
    <row r="17" spans="1:21" x14ac:dyDescent="0.2">
      <c r="A17" s="14" t="s">
        <v>37</v>
      </c>
      <c r="B17" s="14" t="s">
        <v>20</v>
      </c>
      <c r="C17" s="35" t="s">
        <v>45</v>
      </c>
      <c r="D17" s="35">
        <v>256</v>
      </c>
      <c r="E17" s="40">
        <v>386</v>
      </c>
      <c r="F17" s="35">
        <f t="shared" si="7"/>
        <v>50.639999999999986</v>
      </c>
      <c r="G17" s="40">
        <v>335.36</v>
      </c>
      <c r="H17" s="40">
        <v>1.06</v>
      </c>
      <c r="I17" s="35">
        <v>0.8</v>
      </c>
      <c r="J17" s="40">
        <v>0.74</v>
      </c>
      <c r="K17" s="41">
        <f t="shared" si="6"/>
        <v>0.62752000000000008</v>
      </c>
      <c r="L17" s="45">
        <v>256</v>
      </c>
      <c r="M17" s="35">
        <f t="shared" si="8"/>
        <v>1</v>
      </c>
      <c r="N17" s="35">
        <f t="shared" si="9"/>
        <v>386</v>
      </c>
      <c r="O17" s="35">
        <f t="shared" si="10"/>
        <v>0.62752000000000008</v>
      </c>
      <c r="P17" s="35"/>
    </row>
    <row r="18" spans="1:21" x14ac:dyDescent="0.2">
      <c r="A18" s="14" t="s">
        <v>37</v>
      </c>
      <c r="B18" s="14" t="s">
        <v>20</v>
      </c>
      <c r="C18" s="35" t="s">
        <v>46</v>
      </c>
      <c r="D18" s="35">
        <v>256</v>
      </c>
      <c r="E18" s="40">
        <v>324</v>
      </c>
      <c r="F18" s="35">
        <f t="shared" si="7"/>
        <v>44.95999999999998</v>
      </c>
      <c r="G18" s="40">
        <v>279.04000000000002</v>
      </c>
      <c r="H18" s="40">
        <v>1.06</v>
      </c>
      <c r="I18" s="35">
        <v>0.8</v>
      </c>
      <c r="J18" s="35">
        <v>0.55000000000000004</v>
      </c>
      <c r="K18" s="41">
        <f t="shared" si="6"/>
        <v>0.46640000000000009</v>
      </c>
      <c r="L18" s="45">
        <v>256</v>
      </c>
      <c r="M18" s="35">
        <f t="shared" si="8"/>
        <v>1</v>
      </c>
      <c r="N18" s="35">
        <f t="shared" si="9"/>
        <v>324</v>
      </c>
      <c r="O18" s="35">
        <f t="shared" si="10"/>
        <v>0.46640000000000009</v>
      </c>
      <c r="P18" s="35"/>
    </row>
    <row r="19" spans="1:21" x14ac:dyDescent="0.2">
      <c r="A19" s="46" t="s">
        <v>47</v>
      </c>
      <c r="B19" t="s">
        <v>20</v>
      </c>
      <c r="C19" s="6" t="s">
        <v>48</v>
      </c>
      <c r="D19" s="6">
        <v>4</v>
      </c>
      <c r="E19" s="9">
        <v>109</v>
      </c>
      <c r="F19" s="9">
        <f t="shared" si="7"/>
        <v>49.5</v>
      </c>
      <c r="G19" s="9">
        <v>59.5</v>
      </c>
      <c r="H19" s="9">
        <v>0.88</v>
      </c>
      <c r="I19" s="9">
        <v>0.88</v>
      </c>
      <c r="J19" s="9">
        <v>0.83</v>
      </c>
      <c r="K19" s="4">
        <f t="shared" ref="K19:K20" si="11">H19*I19*J19</f>
        <v>0.64275199999999999</v>
      </c>
      <c r="L19" s="47">
        <v>24</v>
      </c>
      <c r="M19" s="6">
        <f t="shared" si="8"/>
        <v>6</v>
      </c>
      <c r="N19" s="6">
        <f t="shared" si="9"/>
        <v>654</v>
      </c>
      <c r="O19" s="6">
        <f t="shared" si="10"/>
        <v>3.8565119999999999</v>
      </c>
      <c r="P19" s="8" t="s">
        <v>49</v>
      </c>
    </row>
    <row r="20" spans="1:21" s="49" customFormat="1" x14ac:dyDescent="0.2">
      <c r="A20" s="48" t="s">
        <v>47</v>
      </c>
      <c r="B20" s="49" t="s">
        <v>20</v>
      </c>
      <c r="C20" s="50" t="s">
        <v>50</v>
      </c>
      <c r="D20" s="16">
        <v>4</v>
      </c>
      <c r="E20" s="51">
        <v>109</v>
      </c>
      <c r="F20" s="51">
        <f t="shared" si="7"/>
        <v>49.5</v>
      </c>
      <c r="G20" s="51">
        <v>59.5</v>
      </c>
      <c r="H20" s="51">
        <v>0.88</v>
      </c>
      <c r="I20" s="51">
        <v>0.88</v>
      </c>
      <c r="J20" s="51">
        <v>0.83</v>
      </c>
      <c r="K20" s="52">
        <f t="shared" si="11"/>
        <v>0.64275199999999999</v>
      </c>
      <c r="L20" s="53">
        <v>24</v>
      </c>
      <c r="M20" s="16">
        <f t="shared" si="8"/>
        <v>6</v>
      </c>
      <c r="N20" s="16">
        <f t="shared" si="9"/>
        <v>654</v>
      </c>
      <c r="O20" s="16">
        <f t="shared" si="10"/>
        <v>3.8565119999999999</v>
      </c>
      <c r="P20" s="54" t="s">
        <v>49</v>
      </c>
    </row>
    <row r="21" spans="1:21" ht="15" x14ac:dyDescent="0.2">
      <c r="A21" s="46" t="s">
        <v>51</v>
      </c>
      <c r="B21" s="55" t="s">
        <v>20</v>
      </c>
      <c r="C21" s="56" t="s">
        <v>52</v>
      </c>
      <c r="D21" s="57">
        <v>4</v>
      </c>
      <c r="E21" s="57">
        <v>80</v>
      </c>
      <c r="F21" s="57">
        <v>52</v>
      </c>
      <c r="G21" s="57">
        <v>28</v>
      </c>
      <c r="H21" s="57">
        <v>1.1499999999999999</v>
      </c>
      <c r="I21" s="57">
        <v>0.63</v>
      </c>
      <c r="J21" s="57">
        <v>0.74</v>
      </c>
      <c r="K21" s="58">
        <f>H21*I21*J21</f>
        <v>0.53612999999999988</v>
      </c>
      <c r="L21" s="57">
        <v>120</v>
      </c>
      <c r="M21" s="57">
        <f>L21/D21</f>
        <v>30</v>
      </c>
      <c r="N21" s="57">
        <f>M21*E21</f>
        <v>2400</v>
      </c>
      <c r="O21" s="58">
        <f>M21*K21</f>
        <v>16.083899999999996</v>
      </c>
      <c r="P21" s="8" t="s">
        <v>53</v>
      </c>
    </row>
    <row r="22" spans="1:21" x14ac:dyDescent="0.2">
      <c r="C22" s="8"/>
      <c r="D22" s="8"/>
      <c r="E22" s="8"/>
      <c r="F22" s="8"/>
      <c r="G22" s="8"/>
      <c r="H22" s="8"/>
      <c r="I22" s="8"/>
      <c r="J22" s="8"/>
      <c r="K22" s="8"/>
      <c r="L22" s="8">
        <f>SUM(L3:L21)</f>
        <v>1882</v>
      </c>
      <c r="M22" s="8">
        <f>SUM(M3:M21)</f>
        <v>134.5</v>
      </c>
      <c r="N22" s="54">
        <f>SUM(N3:N21)</f>
        <v>23195.5</v>
      </c>
      <c r="O22" s="8">
        <f>SUM(O3:O21)</f>
        <v>50.002701000000002</v>
      </c>
      <c r="P22" s="8"/>
    </row>
    <row r="23" spans="1:21" x14ac:dyDescent="0.2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21" x14ac:dyDescent="0.2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21" x14ac:dyDescent="0.2">
      <c r="C25" s="8"/>
      <c r="D25" s="62">
        <f>SUM(D26:U26)</f>
        <v>11.730000000000002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</row>
    <row r="26" spans="1:21" ht="15" customHeight="1" x14ac:dyDescent="0.2">
      <c r="C26" s="8"/>
      <c r="D26" s="8">
        <v>0.63</v>
      </c>
      <c r="E26" s="8">
        <v>0.88</v>
      </c>
      <c r="F26" s="8">
        <v>0.8</v>
      </c>
      <c r="G26" s="59">
        <v>0.55000000000000004</v>
      </c>
      <c r="H26" s="59">
        <v>0.55000000000000004</v>
      </c>
      <c r="I26" s="59">
        <v>0.55000000000000004</v>
      </c>
      <c r="J26" s="59">
        <v>0.55000000000000004</v>
      </c>
      <c r="K26" s="59">
        <v>0.55000000000000004</v>
      </c>
      <c r="L26" s="59">
        <v>0.55000000000000004</v>
      </c>
      <c r="M26" s="8">
        <v>0.63</v>
      </c>
      <c r="N26" s="8">
        <v>0.63</v>
      </c>
      <c r="O26" s="8">
        <v>0.63</v>
      </c>
      <c r="P26" s="8">
        <v>0.63</v>
      </c>
      <c r="Q26">
        <v>0.63</v>
      </c>
      <c r="R26">
        <v>0.63</v>
      </c>
      <c r="S26" s="8">
        <v>0.88</v>
      </c>
      <c r="T26">
        <v>0.73</v>
      </c>
      <c r="U26">
        <v>0.73</v>
      </c>
    </row>
    <row r="27" spans="1:21" ht="14.45" customHeight="1" x14ac:dyDescent="0.2">
      <c r="C27" s="8"/>
      <c r="D27" s="64" t="s">
        <v>54</v>
      </c>
      <c r="E27" s="67" t="s">
        <v>55</v>
      </c>
      <c r="F27" s="70" t="s">
        <v>56</v>
      </c>
      <c r="G27" s="73" t="s">
        <v>57</v>
      </c>
      <c r="H27" s="73" t="s">
        <v>57</v>
      </c>
      <c r="I27" s="73" t="s">
        <v>57</v>
      </c>
      <c r="J27" s="73" t="s">
        <v>57</v>
      </c>
      <c r="K27" s="73" t="s">
        <v>57</v>
      </c>
      <c r="L27" s="73" t="s">
        <v>57</v>
      </c>
      <c r="M27" s="74" t="s">
        <v>58</v>
      </c>
      <c r="N27" s="77" t="s">
        <v>58</v>
      </c>
      <c r="O27" s="77" t="s">
        <v>58</v>
      </c>
      <c r="P27" s="77" t="s">
        <v>58</v>
      </c>
      <c r="Q27" s="77" t="s">
        <v>58</v>
      </c>
      <c r="R27" s="77" t="s">
        <v>58</v>
      </c>
      <c r="S27" s="78" t="s">
        <v>59</v>
      </c>
      <c r="T27" s="79" t="s">
        <v>60</v>
      </c>
      <c r="U27" s="79" t="s">
        <v>61</v>
      </c>
    </row>
    <row r="28" spans="1:21" x14ac:dyDescent="0.2">
      <c r="C28" s="8"/>
      <c r="D28" s="65"/>
      <c r="E28" s="68"/>
      <c r="F28" s="71"/>
      <c r="G28" s="71"/>
      <c r="H28" s="71"/>
      <c r="I28" s="71"/>
      <c r="J28" s="71"/>
      <c r="K28" s="71"/>
      <c r="L28" s="71"/>
      <c r="M28" s="75"/>
      <c r="N28" s="77"/>
      <c r="O28" s="77"/>
      <c r="P28" s="77"/>
      <c r="Q28" s="77"/>
      <c r="R28" s="77"/>
      <c r="S28" s="78"/>
      <c r="T28" s="80"/>
      <c r="U28" s="80"/>
    </row>
    <row r="29" spans="1:21" x14ac:dyDescent="0.2">
      <c r="C29" s="8"/>
      <c r="D29" s="65"/>
      <c r="E29" s="68"/>
      <c r="F29" s="71"/>
      <c r="G29" s="71"/>
      <c r="H29" s="71"/>
      <c r="I29" s="71"/>
      <c r="J29" s="71"/>
      <c r="K29" s="71"/>
      <c r="L29" s="71"/>
      <c r="M29" s="75"/>
      <c r="N29" s="77"/>
      <c r="O29" s="77"/>
      <c r="P29" s="77"/>
      <c r="Q29" s="77"/>
      <c r="R29" s="77"/>
      <c r="S29" s="78"/>
      <c r="T29" s="80"/>
      <c r="U29" s="80"/>
    </row>
    <row r="30" spans="1:21" x14ac:dyDescent="0.2">
      <c r="C30" s="8"/>
      <c r="D30" s="65"/>
      <c r="E30" s="69"/>
      <c r="F30" s="72"/>
      <c r="G30" s="72"/>
      <c r="H30" s="72"/>
      <c r="I30" s="72"/>
      <c r="J30" s="72"/>
      <c r="K30" s="72"/>
      <c r="L30" s="72"/>
      <c r="M30" s="76"/>
      <c r="N30" s="77"/>
      <c r="O30" s="77"/>
      <c r="P30" s="77"/>
      <c r="Q30" s="77"/>
      <c r="R30" s="77"/>
      <c r="S30" s="78"/>
      <c r="T30" s="81"/>
      <c r="U30" s="81"/>
    </row>
    <row r="31" spans="1:21" ht="14.45" customHeight="1" x14ac:dyDescent="0.2">
      <c r="C31" s="8"/>
      <c r="D31" s="65"/>
      <c r="E31" s="82" t="s">
        <v>62</v>
      </c>
      <c r="F31" s="83" t="s">
        <v>63</v>
      </c>
      <c r="G31" s="73" t="s">
        <v>57</v>
      </c>
      <c r="H31" s="73" t="s">
        <v>57</v>
      </c>
      <c r="I31" s="73" t="s">
        <v>57</v>
      </c>
      <c r="J31" s="73" t="s">
        <v>57</v>
      </c>
      <c r="K31" s="73" t="s">
        <v>57</v>
      </c>
      <c r="L31" s="73" t="s">
        <v>57</v>
      </c>
      <c r="M31" s="74" t="s">
        <v>58</v>
      </c>
      <c r="N31" s="86" t="s">
        <v>59</v>
      </c>
      <c r="O31" s="86" t="s">
        <v>59</v>
      </c>
      <c r="P31" s="77" t="s">
        <v>58</v>
      </c>
      <c r="Q31" s="77" t="s">
        <v>58</v>
      </c>
      <c r="R31" s="77" t="s">
        <v>58</v>
      </c>
      <c r="S31" s="78" t="s">
        <v>59</v>
      </c>
      <c r="T31" s="77"/>
      <c r="U31" s="89" t="s">
        <v>64</v>
      </c>
    </row>
    <row r="32" spans="1:21" x14ac:dyDescent="0.2">
      <c r="C32" s="8"/>
      <c r="D32" s="65"/>
      <c r="E32" s="65"/>
      <c r="F32" s="84"/>
      <c r="G32" s="71"/>
      <c r="H32" s="71"/>
      <c r="I32" s="71"/>
      <c r="J32" s="71"/>
      <c r="K32" s="71"/>
      <c r="L32" s="71"/>
      <c r="M32" s="75"/>
      <c r="N32" s="87"/>
      <c r="O32" s="87"/>
      <c r="P32" s="77"/>
      <c r="Q32" s="77"/>
      <c r="R32" s="77"/>
      <c r="S32" s="78"/>
      <c r="T32" s="77"/>
      <c r="U32" s="90"/>
    </row>
    <row r="33" spans="1:21" x14ac:dyDescent="0.2">
      <c r="C33" s="8"/>
      <c r="D33" s="65"/>
      <c r="E33" s="65"/>
      <c r="F33" s="84"/>
      <c r="G33" s="71"/>
      <c r="H33" s="71"/>
      <c r="I33" s="71"/>
      <c r="J33" s="71"/>
      <c r="K33" s="71"/>
      <c r="L33" s="71"/>
      <c r="M33" s="75"/>
      <c r="N33" s="87"/>
      <c r="O33" s="87"/>
      <c r="P33" s="77"/>
      <c r="Q33" s="77"/>
      <c r="R33" s="77"/>
      <c r="S33" s="78"/>
      <c r="T33" s="77"/>
      <c r="U33" s="90"/>
    </row>
    <row r="34" spans="1:21" x14ac:dyDescent="0.2">
      <c r="C34" s="8"/>
      <c r="D34" s="66"/>
      <c r="E34" s="66"/>
      <c r="F34" s="85"/>
      <c r="G34" s="72"/>
      <c r="H34" s="72"/>
      <c r="I34" s="72"/>
      <c r="J34" s="72"/>
      <c r="K34" s="72"/>
      <c r="L34" s="72"/>
      <c r="M34" s="76"/>
      <c r="N34" s="88"/>
      <c r="O34" s="88"/>
      <c r="P34" s="77"/>
      <c r="Q34" s="77"/>
      <c r="R34" s="77"/>
      <c r="S34" s="78"/>
      <c r="T34" s="77"/>
      <c r="U34" s="91"/>
    </row>
    <row r="35" spans="1:21" x14ac:dyDescent="0.2">
      <c r="C35" s="8"/>
      <c r="D35" s="8">
        <v>0.63</v>
      </c>
      <c r="E35" s="8">
        <v>0.66</v>
      </c>
      <c r="F35" s="8">
        <v>0.8</v>
      </c>
      <c r="G35" s="60">
        <v>0.55000000000000004</v>
      </c>
      <c r="H35" s="60">
        <v>0.55000000000000004</v>
      </c>
      <c r="I35" s="60">
        <v>0.55000000000000004</v>
      </c>
      <c r="J35" s="60">
        <v>0.55000000000000004</v>
      </c>
      <c r="K35" s="60">
        <v>0.55000000000000004</v>
      </c>
      <c r="L35" s="60">
        <v>0.55000000000000004</v>
      </c>
      <c r="M35" s="8">
        <v>0.63</v>
      </c>
      <c r="N35" s="8">
        <v>0.88</v>
      </c>
      <c r="O35" s="8">
        <v>0.88</v>
      </c>
      <c r="P35" s="8">
        <v>0.63</v>
      </c>
      <c r="Q35">
        <v>0.63</v>
      </c>
      <c r="R35">
        <v>0.63</v>
      </c>
      <c r="S35" s="8">
        <v>0.88</v>
      </c>
      <c r="T35" s="8"/>
      <c r="U35">
        <v>0.66</v>
      </c>
    </row>
    <row r="36" spans="1:21" x14ac:dyDescent="0.2">
      <c r="C36" s="8"/>
      <c r="D36" s="62">
        <f>SUM(D35:U35)</f>
        <v>11.21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</row>
    <row r="37" spans="1:21" x14ac:dyDescent="0.2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41" spans="1:21" x14ac:dyDescent="0.2">
      <c r="A41" t="s">
        <v>69</v>
      </c>
      <c r="B41" s="13">
        <v>45891</v>
      </c>
    </row>
    <row r="42" spans="1:21" ht="45" x14ac:dyDescent="0.2">
      <c r="A42" s="1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3" t="s">
        <v>15</v>
      </c>
      <c r="Q42" s="3" t="s">
        <v>16</v>
      </c>
      <c r="R42" s="3" t="s">
        <v>17</v>
      </c>
      <c r="S42" s="3" t="s">
        <v>18</v>
      </c>
    </row>
    <row r="43" spans="1:21" x14ac:dyDescent="0.2">
      <c r="A43" s="10">
        <v>9373</v>
      </c>
      <c r="B43" s="6" t="s">
        <v>19</v>
      </c>
      <c r="C43" s="5" t="s">
        <v>22</v>
      </c>
      <c r="D43" s="12">
        <v>800</v>
      </c>
      <c r="E43" s="9">
        <v>690</v>
      </c>
      <c r="F43" s="9">
        <f>E43-G43</f>
        <v>40</v>
      </c>
      <c r="G43" s="9">
        <v>650</v>
      </c>
      <c r="H43" s="9">
        <v>1.1000000000000001</v>
      </c>
      <c r="I43" s="9">
        <v>0.8</v>
      </c>
      <c r="J43" s="9">
        <v>0.55000000000000004</v>
      </c>
      <c r="K43" s="4">
        <f t="shared" ref="K43:K45" si="12">H43*I43*J43</f>
        <v>0.4840000000000001</v>
      </c>
      <c r="L43" s="6">
        <v>4000</v>
      </c>
      <c r="M43" s="4">
        <f t="shared" ref="M43:M45" si="13">L43/D43</f>
        <v>5</v>
      </c>
      <c r="N43" s="4">
        <f t="shared" ref="N43:N45" si="14">M43*E43</f>
        <v>3450</v>
      </c>
      <c r="O43" s="4">
        <f t="shared" ref="O43:O45" si="15">M43*K43</f>
        <v>2.4200000000000004</v>
      </c>
      <c r="P43" s="17">
        <v>45761</v>
      </c>
    </row>
    <row r="44" spans="1:21" x14ac:dyDescent="0.2">
      <c r="A44" s="10">
        <v>9374</v>
      </c>
      <c r="B44" s="6" t="s">
        <v>19</v>
      </c>
      <c r="C44" s="5" t="s">
        <v>21</v>
      </c>
      <c r="D44" s="12">
        <v>1000</v>
      </c>
      <c r="E44" s="9">
        <v>690</v>
      </c>
      <c r="F44" s="9">
        <f>E44-G44</f>
        <v>40</v>
      </c>
      <c r="G44" s="9">
        <v>650</v>
      </c>
      <c r="H44" s="9">
        <v>1.1000000000000001</v>
      </c>
      <c r="I44" s="9">
        <v>0.8</v>
      </c>
      <c r="J44" s="9">
        <v>0.55000000000000004</v>
      </c>
      <c r="K44" s="4">
        <f t="shared" si="12"/>
        <v>0.4840000000000001</v>
      </c>
      <c r="L44" s="6">
        <v>2000</v>
      </c>
      <c r="M44" s="4">
        <f t="shared" si="13"/>
        <v>2</v>
      </c>
      <c r="N44" s="4">
        <f t="shared" si="14"/>
        <v>1380</v>
      </c>
      <c r="O44" s="4">
        <f t="shared" si="15"/>
        <v>0.96800000000000019</v>
      </c>
      <c r="P44" s="17">
        <v>45761</v>
      </c>
    </row>
    <row r="45" spans="1:21" x14ac:dyDescent="0.2">
      <c r="A45" s="10" t="s">
        <v>23</v>
      </c>
      <c r="B45" s="6" t="s">
        <v>20</v>
      </c>
      <c r="C45" s="18" t="s">
        <v>24</v>
      </c>
      <c r="D45" s="6">
        <v>8</v>
      </c>
      <c r="E45" s="6">
        <v>249</v>
      </c>
      <c r="F45" s="6">
        <v>30</v>
      </c>
      <c r="G45" s="6">
        <v>219</v>
      </c>
      <c r="H45" s="6">
        <v>0.91</v>
      </c>
      <c r="I45" s="6">
        <v>0.91</v>
      </c>
      <c r="J45" s="6">
        <v>0.49</v>
      </c>
      <c r="K45" s="4">
        <f t="shared" si="12"/>
        <v>0.40576900000000005</v>
      </c>
      <c r="L45" s="6">
        <v>248</v>
      </c>
      <c r="M45" s="4">
        <f t="shared" si="13"/>
        <v>31</v>
      </c>
      <c r="N45" s="4">
        <f t="shared" si="14"/>
        <v>7719</v>
      </c>
      <c r="O45" s="4">
        <f t="shared" si="15"/>
        <v>12.578839000000002</v>
      </c>
      <c r="P45" s="17">
        <v>45884</v>
      </c>
      <c r="Q45" s="13">
        <v>45939</v>
      </c>
      <c r="R45" s="17">
        <f>Q45-3-4-21-4-3</f>
        <v>45904</v>
      </c>
      <c r="S45" s="17">
        <f>R45+30</f>
        <v>45934</v>
      </c>
    </row>
    <row r="46" spans="1:21" x14ac:dyDescent="0.2">
      <c r="A46" s="10">
        <v>9428</v>
      </c>
      <c r="B46" s="20" t="s">
        <v>19</v>
      </c>
      <c r="C46" s="6" t="s">
        <v>25</v>
      </c>
      <c r="D46" s="19">
        <v>800</v>
      </c>
      <c r="E46" s="19">
        <v>590</v>
      </c>
      <c r="F46" s="19">
        <f>E46-G46</f>
        <v>49</v>
      </c>
      <c r="G46" s="19">
        <v>541</v>
      </c>
      <c r="H46" s="19">
        <v>1.1000000000000001</v>
      </c>
      <c r="I46" s="19">
        <v>0.8</v>
      </c>
      <c r="J46" s="19">
        <v>0.55000000000000004</v>
      </c>
      <c r="K46" s="19">
        <f t="shared" ref="K46:K48" si="16">H46*I46*J46</f>
        <v>0.4840000000000001</v>
      </c>
      <c r="L46" s="6">
        <v>7200</v>
      </c>
      <c r="M46" s="6">
        <f t="shared" ref="M46:M48" si="17">L46/D46</f>
        <v>9</v>
      </c>
      <c r="N46" s="4">
        <f t="shared" ref="N46:N48" si="18">M46*E46</f>
        <v>5310</v>
      </c>
      <c r="O46" s="6">
        <f>M46*K46</f>
        <v>4.3560000000000008</v>
      </c>
      <c r="P46" s="7">
        <v>45869</v>
      </c>
    </row>
    <row r="47" spans="1:21" x14ac:dyDescent="0.2">
      <c r="A47" s="21">
        <v>9429</v>
      </c>
      <c r="B47" s="22" t="s">
        <v>19</v>
      </c>
      <c r="C47" s="23" t="s">
        <v>26</v>
      </c>
      <c r="D47" s="24">
        <v>1000</v>
      </c>
      <c r="E47" s="25">
        <v>690</v>
      </c>
      <c r="F47" s="25">
        <f>E47-G47</f>
        <v>40</v>
      </c>
      <c r="G47" s="25">
        <v>650</v>
      </c>
      <c r="H47" s="25">
        <v>1.1000000000000001</v>
      </c>
      <c r="I47" s="25">
        <v>0.8</v>
      </c>
      <c r="J47" s="25">
        <v>0.55000000000000004</v>
      </c>
      <c r="K47" s="26">
        <f t="shared" si="16"/>
        <v>0.4840000000000001</v>
      </c>
      <c r="L47" s="6">
        <v>3000</v>
      </c>
      <c r="M47" s="26">
        <f t="shared" si="17"/>
        <v>3</v>
      </c>
      <c r="N47" s="26">
        <f t="shared" si="18"/>
        <v>2070</v>
      </c>
      <c r="O47" s="26">
        <f t="shared" ref="O47:O48" si="19">M47*K47</f>
        <v>1.4520000000000004</v>
      </c>
      <c r="P47" s="7">
        <v>45869</v>
      </c>
    </row>
    <row r="48" spans="1:21" x14ac:dyDescent="0.2">
      <c r="A48" s="10">
        <v>9430</v>
      </c>
      <c r="B48" s="20" t="s">
        <v>19</v>
      </c>
      <c r="C48" s="6" t="s">
        <v>27</v>
      </c>
      <c r="D48" s="12">
        <v>1000</v>
      </c>
      <c r="E48" s="9">
        <v>690</v>
      </c>
      <c r="F48" s="9">
        <f>E48-G48</f>
        <v>40</v>
      </c>
      <c r="G48" s="9">
        <v>650</v>
      </c>
      <c r="H48" s="9">
        <v>1.1000000000000001</v>
      </c>
      <c r="I48" s="9">
        <v>0.8</v>
      </c>
      <c r="J48" s="9">
        <v>0.55000000000000004</v>
      </c>
      <c r="K48" s="4">
        <f t="shared" si="16"/>
        <v>0.4840000000000001</v>
      </c>
      <c r="L48" s="6">
        <v>2000</v>
      </c>
      <c r="M48" s="4">
        <f t="shared" si="17"/>
        <v>2</v>
      </c>
      <c r="N48" s="4">
        <f t="shared" si="18"/>
        <v>1380</v>
      </c>
      <c r="O48" s="4">
        <f t="shared" si="19"/>
        <v>0.96800000000000019</v>
      </c>
      <c r="P48" s="17">
        <v>45869</v>
      </c>
    </row>
    <row r="49" spans="1:19" ht="13.9" customHeight="1" x14ac:dyDescent="0.2">
      <c r="A49" s="11" t="s">
        <v>70</v>
      </c>
      <c r="B49" s="20" t="s">
        <v>20</v>
      </c>
      <c r="C49" s="18" t="s">
        <v>71</v>
      </c>
      <c r="D49" s="6"/>
      <c r="E49" s="6"/>
      <c r="F49" s="6"/>
      <c r="G49" s="6"/>
      <c r="H49" s="6"/>
      <c r="I49" s="6"/>
      <c r="J49" s="6"/>
      <c r="K49" s="4"/>
      <c r="L49" s="61"/>
      <c r="M49" s="4"/>
      <c r="N49" s="4"/>
      <c r="O49" s="4"/>
      <c r="P49" s="17">
        <v>45891</v>
      </c>
      <c r="Q49" s="13"/>
      <c r="R49" s="7"/>
      <c r="S49" s="7"/>
    </row>
    <row r="50" spans="1:19" x14ac:dyDescent="0.2">
      <c r="C50" s="8"/>
      <c r="D50" s="8"/>
      <c r="E50" s="8"/>
      <c r="F50" s="8"/>
      <c r="G50" s="8"/>
      <c r="H50" s="8"/>
      <c r="I50" s="8"/>
      <c r="J50" s="8"/>
      <c r="K50" s="8"/>
      <c r="L50" s="8">
        <f>SUM(L43:L49)</f>
        <v>18448</v>
      </c>
      <c r="M50" s="8">
        <f>SUM(M43:M49)</f>
        <v>52</v>
      </c>
      <c r="N50" s="8">
        <f>SUM(N43:N49)</f>
        <v>21309</v>
      </c>
      <c r="O50" s="8">
        <f>SUM(O43:O49)</f>
        <v>22.742839000000007</v>
      </c>
      <c r="P50" s="8"/>
    </row>
    <row r="51" spans="1:19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9" x14ac:dyDescent="0.2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9" x14ac:dyDescent="0.2">
      <c r="F53" s="62">
        <f>SUM(F54:O54)</f>
        <v>5.46</v>
      </c>
      <c r="G53" s="62"/>
      <c r="H53" s="62"/>
      <c r="I53" s="62"/>
      <c r="J53" s="62"/>
      <c r="K53" s="62"/>
      <c r="L53" s="62"/>
      <c r="M53" s="62"/>
      <c r="N53" s="62"/>
      <c r="O53" s="62"/>
    </row>
    <row r="54" spans="1:19" x14ac:dyDescent="0.2">
      <c r="J54">
        <v>0.91</v>
      </c>
      <c r="K54">
        <v>0.91</v>
      </c>
      <c r="L54">
        <v>0.91</v>
      </c>
      <c r="M54">
        <v>0.91</v>
      </c>
      <c r="N54">
        <v>0.91</v>
      </c>
      <c r="O54">
        <v>0.91</v>
      </c>
    </row>
    <row r="55" spans="1:19" x14ac:dyDescent="0.2">
      <c r="F55" s="62"/>
      <c r="G55" s="62"/>
      <c r="H55" s="62"/>
      <c r="I55" s="62"/>
      <c r="J55" s="62" t="s">
        <v>66</v>
      </c>
      <c r="K55" s="62" t="s">
        <v>66</v>
      </c>
      <c r="L55" s="62" t="s">
        <v>66</v>
      </c>
      <c r="M55" s="62" t="s">
        <v>66</v>
      </c>
      <c r="N55" s="62" t="s">
        <v>66</v>
      </c>
      <c r="O55" s="62" t="s">
        <v>66</v>
      </c>
    </row>
    <row r="56" spans="1:19" x14ac:dyDescent="0.2"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19" x14ac:dyDescent="0.2"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19" x14ac:dyDescent="0.2"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19" x14ac:dyDescent="0.2"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19" x14ac:dyDescent="0.2">
      <c r="F60" s="62"/>
      <c r="G60" s="62"/>
      <c r="H60" s="62"/>
      <c r="I60" s="62" t="s">
        <v>67</v>
      </c>
      <c r="J60" s="62" t="s">
        <v>67</v>
      </c>
      <c r="K60" s="62" t="s">
        <v>67</v>
      </c>
      <c r="L60" s="62" t="s">
        <v>67</v>
      </c>
      <c r="M60" s="62" t="s">
        <v>67</v>
      </c>
      <c r="N60" s="63" t="s">
        <v>68</v>
      </c>
      <c r="O60" s="62" t="s">
        <v>66</v>
      </c>
    </row>
    <row r="61" spans="1:19" x14ac:dyDescent="0.2">
      <c r="F61" s="62"/>
      <c r="G61" s="62"/>
      <c r="H61" s="62"/>
      <c r="I61" s="62"/>
      <c r="J61" s="62"/>
      <c r="K61" s="62"/>
      <c r="L61" s="62"/>
      <c r="M61" s="62"/>
      <c r="N61" s="63"/>
      <c r="O61" s="62"/>
    </row>
    <row r="62" spans="1:19" x14ac:dyDescent="0.2">
      <c r="F62" s="62"/>
      <c r="G62" s="62"/>
      <c r="H62" s="62"/>
      <c r="I62" s="62"/>
      <c r="J62" s="62"/>
      <c r="K62" s="62"/>
      <c r="L62" s="62"/>
      <c r="M62" s="62"/>
      <c r="N62" s="63"/>
      <c r="O62" s="62"/>
    </row>
    <row r="63" spans="1:19" x14ac:dyDescent="0.2">
      <c r="F63" s="62"/>
      <c r="G63" s="62"/>
      <c r="H63" s="62"/>
      <c r="I63" s="62"/>
      <c r="J63" s="62"/>
      <c r="K63" s="62"/>
      <c r="L63" s="62"/>
      <c r="M63" s="62"/>
      <c r="N63" s="63"/>
      <c r="O63" s="62"/>
    </row>
    <row r="64" spans="1:19" x14ac:dyDescent="0.2">
      <c r="F64" s="62"/>
      <c r="G64" s="62"/>
      <c r="H64" s="62"/>
      <c r="I64" s="62"/>
      <c r="J64" s="62"/>
      <c r="K64" s="62"/>
      <c r="L64" s="62"/>
      <c r="M64" s="62"/>
      <c r="N64" s="63"/>
      <c r="O64" s="62"/>
    </row>
    <row r="65" spans="6:15" x14ac:dyDescent="0.2">
      <c r="I65">
        <v>0.8</v>
      </c>
      <c r="J65">
        <v>0.8</v>
      </c>
      <c r="K65">
        <v>0.8</v>
      </c>
      <c r="L65">
        <v>0.8</v>
      </c>
      <c r="M65">
        <v>0.8</v>
      </c>
      <c r="N65">
        <v>0.91</v>
      </c>
      <c r="O65">
        <v>0.91</v>
      </c>
    </row>
    <row r="66" spans="6:15" x14ac:dyDescent="0.2">
      <c r="F66" s="62">
        <f>SUM(F65:O65)</f>
        <v>5.82</v>
      </c>
      <c r="G66" s="62"/>
      <c r="H66" s="62"/>
      <c r="I66" s="62"/>
      <c r="J66" s="62"/>
      <c r="K66" s="62"/>
      <c r="L66" s="62"/>
      <c r="M66" s="62"/>
      <c r="N66" s="62"/>
      <c r="O66" s="62"/>
    </row>
  </sheetData>
  <mergeCells count="59">
    <mergeCell ref="F53:O53"/>
    <mergeCell ref="F55:F59"/>
    <mergeCell ref="G55:G59"/>
    <mergeCell ref="H55:H59"/>
    <mergeCell ref="I55:I59"/>
    <mergeCell ref="J55:J59"/>
    <mergeCell ref="K55:K59"/>
    <mergeCell ref="L55:L59"/>
    <mergeCell ref="M55:M59"/>
    <mergeCell ref="N55:N59"/>
    <mergeCell ref="R31:R34"/>
    <mergeCell ref="S31:S34"/>
    <mergeCell ref="T31:T34"/>
    <mergeCell ref="U31:U34"/>
    <mergeCell ref="D36:S36"/>
    <mergeCell ref="S27:S30"/>
    <mergeCell ref="T27:T30"/>
    <mergeCell ref="U27:U30"/>
    <mergeCell ref="E31:E34"/>
    <mergeCell ref="F31:F34"/>
    <mergeCell ref="G31:G34"/>
    <mergeCell ref="H31:H34"/>
    <mergeCell ref="I31:I34"/>
    <mergeCell ref="J31:J34"/>
    <mergeCell ref="K31:K34"/>
    <mergeCell ref="L31:L34"/>
    <mergeCell ref="M31:M34"/>
    <mergeCell ref="N31:N34"/>
    <mergeCell ref="O31:O34"/>
    <mergeCell ref="P31:P34"/>
    <mergeCell ref="Q31:Q34"/>
    <mergeCell ref="D25:S25"/>
    <mergeCell ref="D27:D34"/>
    <mergeCell ref="E27:E30"/>
    <mergeCell ref="F27:F30"/>
    <mergeCell ref="G27:G30"/>
    <mergeCell ref="H27:H30"/>
    <mergeCell ref="I27:I30"/>
    <mergeCell ref="J27:J30"/>
    <mergeCell ref="K27:K30"/>
    <mergeCell ref="L27:L30"/>
    <mergeCell ref="M27:M30"/>
    <mergeCell ref="N27:N30"/>
    <mergeCell ref="O27:O30"/>
    <mergeCell ref="P27:P30"/>
    <mergeCell ref="Q27:Q30"/>
    <mergeCell ref="R27:R30"/>
    <mergeCell ref="F66:O66"/>
    <mergeCell ref="O55:O59"/>
    <mergeCell ref="F60:F64"/>
    <mergeCell ref="G60:G64"/>
    <mergeCell ref="H60:H64"/>
    <mergeCell ref="I60:I64"/>
    <mergeCell ref="J60:J64"/>
    <mergeCell ref="K60:K64"/>
    <mergeCell ref="L60:L64"/>
    <mergeCell ref="M60:M64"/>
    <mergeCell ref="N60:N64"/>
    <mergeCell ref="O60:O6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dcterms:created xsi:type="dcterms:W3CDTF">2015-06-05T18:17:20Z</dcterms:created>
  <dcterms:modified xsi:type="dcterms:W3CDTF">2025-08-07T04:00:12Z</dcterms:modified>
</cp:coreProperties>
</file>