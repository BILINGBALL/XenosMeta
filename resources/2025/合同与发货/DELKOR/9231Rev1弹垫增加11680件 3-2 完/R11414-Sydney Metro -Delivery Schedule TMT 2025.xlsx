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\Desktop\"/>
    </mc:Choice>
  </mc:AlternateContent>
  <xr:revisionPtr revIDLastSave="0" documentId="13_ncr:1_{B0A8F35F-8137-4CF8-BEFE-A8F494326FE1}" xr6:coauthVersionLast="47" xr6:coauthVersionMax="47" xr10:uidLastSave="{00000000-0000-0000-0000-000000000000}"/>
  <bookViews>
    <workbookView xWindow="-120" yWindow="-120" windowWidth="20730" windowHeight="11160" xr2:uid="{001827C2-DDAC-4C24-966B-3186AE22540A}"/>
  </bookViews>
  <sheets>
    <sheet name="Sheet1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64" i="4" l="1"/>
  <c r="F64" i="4"/>
  <c r="E64" i="4"/>
  <c r="D64" i="4"/>
  <c r="Q59" i="4"/>
  <c r="V59" i="4" s="1"/>
  <c r="Z59" i="4" s="1"/>
  <c r="P55" i="4"/>
  <c r="P57" i="4" s="1"/>
  <c r="Q57" i="4" s="1"/>
  <c r="V57" i="4" s="1"/>
  <c r="Z57" i="4" s="1"/>
  <c r="Q53" i="4"/>
  <c r="V53" i="4" s="1"/>
  <c r="Z53" i="4" s="1"/>
  <c r="Q51" i="4"/>
  <c r="V51" i="4" s="1"/>
  <c r="Z51" i="4" s="1"/>
  <c r="Q47" i="4"/>
  <c r="V47" i="4" s="1"/>
  <c r="Z47" i="4" s="1"/>
  <c r="P45" i="4"/>
  <c r="Q45" i="4" s="1"/>
  <c r="V45" i="4" s="1"/>
  <c r="Z45" i="4" s="1"/>
  <c r="Q44" i="4"/>
  <c r="V44" i="4" s="1"/>
  <c r="Z44" i="4" s="1"/>
  <c r="V42" i="4"/>
  <c r="Z42" i="4" s="1"/>
  <c r="V41" i="4"/>
  <c r="Z41" i="4" s="1"/>
  <c r="Z38" i="4"/>
  <c r="Z37" i="4"/>
  <c r="D70" i="4"/>
  <c r="D69" i="4"/>
  <c r="D68" i="4"/>
  <c r="Q55" i="4" l="1"/>
  <c r="V55" i="4" s="1"/>
  <c r="Z55" i="4" s="1"/>
  <c r="P64" i="4"/>
  <c r="O63" i="4"/>
  <c r="N63" i="4"/>
  <c r="M63" i="4"/>
  <c r="L63" i="4"/>
  <c r="K63" i="4"/>
  <c r="J63" i="4"/>
  <c r="I63" i="4"/>
  <c r="H63" i="4"/>
  <c r="G63" i="4"/>
  <c r="F63" i="4"/>
  <c r="E63" i="4"/>
  <c r="D63" i="4"/>
  <c r="V33" i="4"/>
  <c r="Z33" i="4" s="1"/>
  <c r="Z32" i="4"/>
  <c r="Z30" i="4"/>
  <c r="Z28" i="4"/>
  <c r="V25" i="4"/>
  <c r="Z25" i="4" s="1"/>
  <c r="Z24" i="4"/>
  <c r="Z22" i="4"/>
  <c r="Z20" i="4"/>
  <c r="Z16" i="4"/>
  <c r="Z15" i="4"/>
  <c r="Z12" i="4"/>
  <c r="Q12" i="4"/>
  <c r="Z10" i="4"/>
  <c r="Z8" i="4"/>
  <c r="Z6" i="4"/>
  <c r="O64" i="4" l="1"/>
  <c r="H64" i="4"/>
  <c r="I64" i="4"/>
  <c r="J64" i="4"/>
  <c r="K64" i="4"/>
  <c r="L64" i="4"/>
  <c r="M64" i="4"/>
  <c r="N64" i="4"/>
</calcChain>
</file>

<file path=xl/sharedStrings.xml><?xml version="1.0" encoding="utf-8"?>
<sst xmlns="http://schemas.openxmlformats.org/spreadsheetml/2006/main" count="178" uniqueCount="79">
  <si>
    <t>Project Delivery Schedule - R11414 Sydney Metro Airport</t>
  </si>
  <si>
    <t>Shipment #</t>
  </si>
  <si>
    <t>Container 
#</t>
  </si>
  <si>
    <t>Container Size</t>
  </si>
  <si>
    <t>RF167 Egg 7.8kN/mm (M2-167)</t>
  </si>
  <si>
    <t>Ss8 150mm Screwspike (M2-2110)</t>
  </si>
  <si>
    <t>Dowels 135mm (M2-2302N)</t>
  </si>
  <si>
    <t>Plastic Caps (M2-9013)</t>
  </si>
  <si>
    <t>Fe6 Spring Washer (M2-2203)</t>
  </si>
  <si>
    <t>HDPE 3mm Basepad (BP402) (M2-3007-3)</t>
  </si>
  <si>
    <t>HDPE 5mm Rail Seat Pad (RP408) (M2-3710)</t>
  </si>
  <si>
    <t>Rail Clip (M2-9001C)</t>
  </si>
  <si>
    <t>Insulator (M2-9021C)</t>
  </si>
  <si>
    <t>EXW DATE</t>
  </si>
  <si>
    <t>ETD Port</t>
  </si>
  <si>
    <t>Actual Departure Date</t>
  </si>
  <si>
    <t>Shipping Line</t>
  </si>
  <si>
    <t>VESSEL NAME / VOYAGE</t>
  </si>
  <si>
    <t>BILL OF LADING NO.</t>
  </si>
  <si>
    <t>ETA Sydney Port</t>
  </si>
  <si>
    <t>Actual Arrival Sydney Port</t>
  </si>
  <si>
    <t>CONTAINER NUMBER</t>
  </si>
  <si>
    <t>Destination</t>
  </si>
  <si>
    <t>ETA Site</t>
  </si>
  <si>
    <t>SAMPLES</t>
  </si>
  <si>
    <t>N/A</t>
  </si>
  <si>
    <t>DHL Air Courier</t>
  </si>
  <si>
    <t>4577566744</t>
  </si>
  <si>
    <t>MITTAGONG</t>
  </si>
  <si>
    <t>TBA</t>
  </si>
  <si>
    <t>Ex Delkor</t>
  </si>
  <si>
    <t>GRAFTON</t>
  </si>
  <si>
    <t>20'</t>
  </si>
  <si>
    <t>OOCL Brazil V.OAJHYS1NL</t>
  </si>
  <si>
    <t>OOLU2151979390</t>
  </si>
  <si>
    <t>CBHU4452090</t>
  </si>
  <si>
    <t>FCIU5463517</t>
  </si>
  <si>
    <t>OOCL CANADA 108S</t>
  </si>
  <si>
    <t>OOLU2152350030</t>
  </si>
  <si>
    <t>CSNU1067436</t>
  </si>
  <si>
    <t>SEGU2940889</t>
  </si>
  <si>
    <t>CMA CGM FIORDLAND / 231S</t>
  </si>
  <si>
    <t>SHA47987840</t>
  </si>
  <si>
    <t>CBHU4384919</t>
  </si>
  <si>
    <t>CSLU1060141</t>
  </si>
  <si>
    <t>OOCL BEIJING 114S</t>
  </si>
  <si>
    <t>OOLU2152769370</t>
  </si>
  <si>
    <t>CSNU1569753</t>
  </si>
  <si>
    <t>DFSU1329870</t>
  </si>
  <si>
    <t>CSNU1286460</t>
  </si>
  <si>
    <t>ANL GIPPSLAND V.078S</t>
  </si>
  <si>
    <t>HAKU0033590</t>
  </si>
  <si>
    <t>SITE</t>
  </si>
  <si>
    <t xml:space="preserve">OOCL BRAZIL 24043S </t>
  </si>
  <si>
    <t>OOLU2153147770</t>
  </si>
  <si>
    <t>CSLU2236071</t>
  </si>
  <si>
    <t>FCIU5010953</t>
  </si>
  <si>
    <t>OOLU1705163</t>
  </si>
  <si>
    <t>CBHU4336211</t>
  </si>
  <si>
    <t>MSC REBECCA III V.KN443</t>
  </si>
  <si>
    <t>MSMU2323945</t>
  </si>
  <si>
    <t>MSDU2797573</t>
  </si>
  <si>
    <t>ORDER TOTALS</t>
  </si>
  <si>
    <t>DELIVERY TOTALS</t>
  </si>
  <si>
    <t>RF167 Egg 10kN/mm (M2-TBA)</t>
  </si>
  <si>
    <t>RF167 Egg 12kN/mm (M2-TBA)</t>
  </si>
  <si>
    <t>RF167 Egg 20kN/mm (M2-TBA)</t>
  </si>
  <si>
    <t>OOCL MIAMI</t>
  </si>
  <si>
    <t>CMAU1804604</t>
  </si>
  <si>
    <t>HJCU2119856</t>
  </si>
  <si>
    <t>OOCL CANADA</t>
  </si>
  <si>
    <t>OOLU1468760</t>
  </si>
  <si>
    <t>TEMU3398172</t>
  </si>
  <si>
    <t>9230Rev1</t>
  </si>
  <si>
    <t>9280Rev1</t>
  </si>
  <si>
    <t>Ss8 x 150mm</t>
  </si>
  <si>
    <t>Nylon Dowel 135mm</t>
  </si>
  <si>
    <t>HDPE Base Pad</t>
  </si>
  <si>
    <t>MITTAGONG/SITE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</si>
</sst>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_(* #,##0.00_);_(* \(#,##0.00\);_(* &quot;-&quot;??_);_(@_)"/>
    <numFmt numFmtId="177" formatCode="_(* #,##0_);_(* \(#,##0\);_(* &quot;-&quot;??_);_(@_)"/>
    <numFmt numFmtId="178" formatCode="[$-C09]dd\-mmm\-yy;@"/>
    <numFmt numFmtId="179" formatCode="[$-409]d\-mmm\-yy;@"/>
    <numFmt numFmtId="180" formatCode="#,##0_ ;[Red]\-#,##0\ "/>
  </numFmts>
  <fonts count="12" x14ac:knownFonts="1">
    <font>
      <sz val="10"/>
      <name val="Arial"/>
      <family val="2"/>
    </font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b/>
      <sz val="10"/>
      <name val="Arial"/>
      <family val="2"/>
    </font>
    <font>
      <b/>
      <u/>
      <sz val="36"/>
      <color theme="1"/>
      <name val="Arial Rounded MT Bold"/>
      <family val="2"/>
    </font>
    <font>
      <b/>
      <u/>
      <sz val="36"/>
      <color theme="1"/>
      <name val="等线"/>
      <family val="2"/>
      <scheme val="minor"/>
    </font>
    <font>
      <b/>
      <sz val="14"/>
      <color theme="1"/>
      <name val="Arial Rounded MT Bold"/>
      <family val="2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0070C0"/>
      <name val="Arial"/>
      <family val="2"/>
    </font>
    <font>
      <b/>
      <sz val="10"/>
      <color rgb="FFFF0000"/>
      <name val="Arial"/>
      <family val="2"/>
    </font>
    <font>
      <sz val="9"/>
      <name val="宋体"/>
      <family val="3"/>
      <charset val="13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A8E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hair">
        <color auto="1"/>
      </bottom>
      <diagonal/>
    </border>
    <border>
      <left/>
      <right style="medium">
        <color auto="1"/>
      </right>
      <top style="hair">
        <color auto="1"/>
      </top>
      <bottom style="hair">
        <color auto="1"/>
      </bottom>
      <diagonal/>
    </border>
    <border>
      <left/>
      <right style="medium">
        <color auto="1"/>
      </right>
      <top/>
      <bottom style="hair">
        <color auto="1"/>
      </bottom>
      <diagonal/>
    </border>
    <border>
      <left style="medium">
        <color auto="1"/>
      </left>
      <right/>
      <top style="hair">
        <color auto="1"/>
      </top>
      <bottom style="medium">
        <color auto="1"/>
      </bottom>
      <diagonal/>
    </border>
    <border>
      <left/>
      <right style="medium">
        <color auto="1"/>
      </right>
      <top style="hair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</borders>
  <cellStyleXfs count="3">
    <xf numFmtId="0" fontId="0" fillId="0" borderId="0"/>
    <xf numFmtId="0" fontId="1" fillId="0" borderId="0">
      <alignment vertical="center"/>
    </xf>
    <xf numFmtId="176" fontId="1" fillId="0" borderId="0" applyFont="0" applyFill="0" applyBorder="0" applyAlignment="0" applyProtection="0"/>
  </cellStyleXfs>
  <cellXfs count="133">
    <xf numFmtId="0" fontId="0" fillId="0" borderId="0" xfId="0"/>
    <xf numFmtId="0" fontId="0" fillId="3" borderId="0" xfId="0" applyFill="1"/>
    <xf numFmtId="0" fontId="6" fillId="0" borderId="0" xfId="1" applyFont="1" applyAlignment="1">
      <alignment horizontal="center" vertical="center"/>
    </xf>
    <xf numFmtId="178" fontId="6" fillId="0" borderId="0" xfId="1" applyNumberFormat="1" applyFont="1" applyAlignment="1">
      <alignment horizontal="center" vertical="center"/>
    </xf>
    <xf numFmtId="179" fontId="6" fillId="0" borderId="0" xfId="1" applyNumberFormat="1" applyFont="1" applyAlignment="1">
      <alignment horizontal="center" vertical="center"/>
    </xf>
    <xf numFmtId="177" fontId="7" fillId="4" borderId="1" xfId="2" applyNumberFormat="1" applyFont="1" applyFill="1" applyBorder="1" applyAlignment="1">
      <alignment horizontal="center" vertical="center" wrapText="1"/>
    </xf>
    <xf numFmtId="177" fontId="7" fillId="4" borderId="2" xfId="2" applyNumberFormat="1" applyFont="1" applyFill="1" applyBorder="1" applyAlignment="1">
      <alignment horizontal="center" vertical="center" wrapText="1"/>
    </xf>
    <xf numFmtId="178" fontId="7" fillId="5" borderId="2" xfId="1" applyNumberFormat="1" applyFont="1" applyFill="1" applyBorder="1" applyAlignment="1">
      <alignment horizontal="center" vertical="center" wrapText="1"/>
    </xf>
    <xf numFmtId="179" fontId="7" fillId="5" borderId="2" xfId="1" applyNumberFormat="1" applyFont="1" applyFill="1" applyBorder="1" applyAlignment="1">
      <alignment horizontal="center" vertical="center" wrapText="1"/>
    </xf>
    <xf numFmtId="179" fontId="7" fillId="5" borderId="2" xfId="2" applyNumberFormat="1" applyFont="1" applyFill="1" applyBorder="1" applyAlignment="1">
      <alignment horizontal="center" vertical="center" wrapText="1"/>
    </xf>
    <xf numFmtId="0" fontId="7" fillId="5" borderId="2" xfId="1" applyFont="1" applyFill="1" applyBorder="1" applyAlignment="1">
      <alignment horizontal="center" vertical="center" wrapText="1"/>
    </xf>
    <xf numFmtId="0" fontId="8" fillId="6" borderId="3" xfId="1" applyFont="1" applyFill="1" applyBorder="1" applyAlignment="1">
      <alignment horizontal="center" vertical="center"/>
    </xf>
    <xf numFmtId="177" fontId="8" fillId="6" borderId="4" xfId="2" applyNumberFormat="1" applyFont="1" applyFill="1" applyBorder="1" applyAlignment="1">
      <alignment horizontal="center" vertical="center"/>
    </xf>
    <xf numFmtId="177" fontId="8" fillId="6" borderId="5" xfId="2" applyNumberFormat="1" applyFont="1" applyFill="1" applyBorder="1" applyAlignment="1">
      <alignment horizontal="center" vertical="center"/>
    </xf>
    <xf numFmtId="177" fontId="8" fillId="6" borderId="5" xfId="2" applyNumberFormat="1" applyFont="1" applyFill="1" applyBorder="1" applyAlignment="1">
      <alignment horizontal="center" vertical="center" wrapText="1"/>
    </xf>
    <xf numFmtId="178" fontId="3" fillId="6" borderId="4" xfId="1" applyNumberFormat="1" applyFont="1" applyFill="1" applyBorder="1" applyAlignment="1">
      <alignment horizontal="center" vertical="center"/>
    </xf>
    <xf numFmtId="178" fontId="3" fillId="6" borderId="4" xfId="1" quotePrefix="1" applyNumberFormat="1" applyFont="1" applyFill="1" applyBorder="1" applyAlignment="1">
      <alignment horizontal="center" vertical="center"/>
    </xf>
    <xf numFmtId="0" fontId="8" fillId="6" borderId="4" xfId="1" applyFont="1" applyFill="1" applyBorder="1" applyAlignment="1">
      <alignment horizontal="center" vertical="center"/>
    </xf>
    <xf numFmtId="177" fontId="8" fillId="7" borderId="5" xfId="2" applyNumberFormat="1" applyFont="1" applyFill="1" applyBorder="1" applyAlignment="1">
      <alignment horizontal="center" vertical="center"/>
    </xf>
    <xf numFmtId="177" fontId="8" fillId="7" borderId="5" xfId="2" applyNumberFormat="1" applyFont="1" applyFill="1" applyBorder="1" applyAlignment="1">
      <alignment horizontal="center" vertical="center" wrapText="1"/>
    </xf>
    <xf numFmtId="178" fontId="3" fillId="7" borderId="4" xfId="1" applyNumberFormat="1" applyFont="1" applyFill="1" applyBorder="1" applyAlignment="1">
      <alignment horizontal="center" vertical="center"/>
    </xf>
    <xf numFmtId="178" fontId="9" fillId="7" borderId="4" xfId="1" applyNumberFormat="1" applyFont="1" applyFill="1" applyBorder="1" applyAlignment="1">
      <alignment horizontal="center" vertical="center"/>
    </xf>
    <xf numFmtId="178" fontId="3" fillId="7" borderId="6" xfId="1" applyNumberFormat="1" applyFont="1" applyFill="1" applyBorder="1" applyAlignment="1">
      <alignment horizontal="center" vertical="center"/>
    </xf>
    <xf numFmtId="178" fontId="9" fillId="7" borderId="6" xfId="1" applyNumberFormat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178" fontId="3" fillId="7" borderId="5" xfId="1" applyNumberFormat="1" applyFont="1" applyFill="1" applyBorder="1" applyAlignment="1">
      <alignment horizontal="center" vertical="center"/>
    </xf>
    <xf numFmtId="177" fontId="8" fillId="3" borderId="5" xfId="2" applyNumberFormat="1" applyFont="1" applyFill="1" applyBorder="1" applyAlignment="1">
      <alignment horizontal="center" vertical="center"/>
    </xf>
    <xf numFmtId="177" fontId="8" fillId="3" borderId="5" xfId="2" applyNumberFormat="1" applyFont="1" applyFill="1" applyBorder="1" applyAlignment="1">
      <alignment horizontal="center" vertical="center" wrapText="1"/>
    </xf>
    <xf numFmtId="0" fontId="3" fillId="3" borderId="5" xfId="1" applyFont="1" applyFill="1" applyBorder="1" applyAlignment="1">
      <alignment horizontal="center" vertical="center"/>
    </xf>
    <xf numFmtId="178" fontId="3" fillId="2" borderId="5" xfId="1" applyNumberFormat="1" applyFont="1" applyFill="1" applyBorder="1" applyAlignment="1">
      <alignment horizontal="center" vertical="center"/>
    </xf>
    <xf numFmtId="178" fontId="3" fillId="3" borderId="4" xfId="1" applyNumberFormat="1" applyFont="1" applyFill="1" applyBorder="1" applyAlignment="1">
      <alignment horizontal="center" vertical="center"/>
    </xf>
    <xf numFmtId="178" fontId="3" fillId="3" borderId="5" xfId="1" applyNumberFormat="1" applyFont="1" applyFill="1" applyBorder="1" applyAlignment="1">
      <alignment horizontal="center" vertical="center"/>
    </xf>
    <xf numFmtId="177" fontId="8" fillId="3" borderId="6" xfId="2" applyNumberFormat="1" applyFont="1" applyFill="1" applyBorder="1" applyAlignment="1">
      <alignment horizontal="center" vertical="center" wrapText="1"/>
    </xf>
    <xf numFmtId="0" fontId="8" fillId="8" borderId="5" xfId="1" applyFont="1" applyFill="1" applyBorder="1" applyAlignment="1">
      <alignment horizontal="center" vertical="center"/>
    </xf>
    <xf numFmtId="177" fontId="8" fillId="8" borderId="5" xfId="2" applyNumberFormat="1" applyFont="1" applyFill="1" applyBorder="1" applyAlignment="1">
      <alignment horizontal="center" vertical="center"/>
    </xf>
    <xf numFmtId="177" fontId="8" fillId="8" borderId="5" xfId="2" applyNumberFormat="1" applyFont="1" applyFill="1" applyBorder="1" applyAlignment="1">
      <alignment horizontal="center" vertical="center" wrapText="1"/>
    </xf>
    <xf numFmtId="177" fontId="8" fillId="2" borderId="5" xfId="2" applyNumberFormat="1" applyFont="1" applyFill="1" applyBorder="1" applyAlignment="1">
      <alignment horizontal="center" vertical="center" wrapText="1"/>
    </xf>
    <xf numFmtId="178" fontId="3" fillId="8" borderId="5" xfId="1" applyNumberFormat="1" applyFont="1" applyFill="1" applyBorder="1" applyAlignment="1">
      <alignment horizontal="center" vertical="center"/>
    </xf>
    <xf numFmtId="178" fontId="3" fillId="8" borderId="4" xfId="1" applyNumberFormat="1" applyFont="1" applyFill="1" applyBorder="1" applyAlignment="1">
      <alignment horizontal="center" vertical="center"/>
    </xf>
    <xf numFmtId="177" fontId="8" fillId="0" borderId="5" xfId="2" applyNumberFormat="1" applyFont="1" applyFill="1" applyBorder="1" applyAlignment="1">
      <alignment horizontal="center" vertical="center"/>
    </xf>
    <xf numFmtId="177" fontId="8" fillId="0" borderId="5" xfId="2" applyNumberFormat="1" applyFont="1" applyFill="1" applyBorder="1" applyAlignment="1">
      <alignment horizontal="center" vertical="center" wrapText="1"/>
    </xf>
    <xf numFmtId="178" fontId="3" fillId="0" borderId="4" xfId="1" applyNumberFormat="1" applyFont="1" applyBorder="1" applyAlignment="1">
      <alignment horizontal="center" vertical="center"/>
    </xf>
    <xf numFmtId="177" fontId="8" fillId="0" borderId="6" xfId="2" applyNumberFormat="1" applyFont="1" applyFill="1" applyBorder="1" applyAlignment="1">
      <alignment horizontal="center" vertical="center" wrapText="1"/>
    </xf>
    <xf numFmtId="0" fontId="8" fillId="0" borderId="3" xfId="1" applyFont="1" applyBorder="1" applyAlignment="1">
      <alignment horizontal="center" vertical="center"/>
    </xf>
    <xf numFmtId="0" fontId="8" fillId="0" borderId="9" xfId="1" applyFont="1" applyBorder="1" applyAlignment="1">
      <alignment horizontal="center" vertical="center"/>
    </xf>
    <xf numFmtId="0" fontId="8" fillId="0" borderId="12" xfId="1" applyFont="1" applyBorder="1" applyAlignment="1">
      <alignment horizontal="center" vertical="center"/>
    </xf>
    <xf numFmtId="177" fontId="8" fillId="0" borderId="13" xfId="2" applyNumberFormat="1" applyFont="1" applyFill="1" applyBorder="1" applyAlignment="1">
      <alignment horizontal="center" vertical="center" wrapText="1"/>
    </xf>
    <xf numFmtId="178" fontId="3" fillId="0" borderId="14" xfId="1" applyNumberFormat="1" applyFont="1" applyBorder="1" applyAlignment="1">
      <alignment horizontal="center" vertical="center"/>
    </xf>
    <xf numFmtId="178" fontId="3" fillId="2" borderId="4" xfId="1" applyNumberFormat="1" applyFont="1" applyFill="1" applyBorder="1" applyAlignment="1">
      <alignment horizontal="center" vertical="center"/>
    </xf>
    <xf numFmtId="177" fontId="8" fillId="2" borderId="5" xfId="2" applyNumberFormat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177" fontId="6" fillId="0" borderId="0" xfId="2" applyNumberFormat="1" applyFont="1" applyAlignment="1">
      <alignment horizontal="center" vertical="center"/>
    </xf>
    <xf numFmtId="0" fontId="8" fillId="0" borderId="0" xfId="0" applyFont="1"/>
    <xf numFmtId="0" fontId="0" fillId="7" borderId="0" xfId="0" applyFill="1"/>
    <xf numFmtId="0" fontId="0" fillId="8" borderId="0" xfId="0" applyFill="1"/>
    <xf numFmtId="177" fontId="8" fillId="9" borderId="5" xfId="2" applyNumberFormat="1" applyFont="1" applyFill="1" applyBorder="1" applyAlignment="1">
      <alignment horizontal="center" vertical="center"/>
    </xf>
    <xf numFmtId="177" fontId="8" fillId="9" borderId="5" xfId="2" applyNumberFormat="1" applyFont="1" applyFill="1" applyBorder="1" applyAlignment="1">
      <alignment horizontal="center" vertical="center" wrapText="1"/>
    </xf>
    <xf numFmtId="178" fontId="3" fillId="9" borderId="4" xfId="1" applyNumberFormat="1" applyFont="1" applyFill="1" applyBorder="1" applyAlignment="1">
      <alignment horizontal="center" vertical="center"/>
    </xf>
    <xf numFmtId="0" fontId="0" fillId="9" borderId="0" xfId="0" applyFill="1"/>
    <xf numFmtId="0" fontId="8" fillId="10" borderId="5" xfId="1" applyFont="1" applyFill="1" applyBorder="1" applyAlignment="1">
      <alignment horizontal="center" vertical="center"/>
    </xf>
    <xf numFmtId="177" fontId="8" fillId="10" borderId="5" xfId="2" applyNumberFormat="1" applyFont="1" applyFill="1" applyBorder="1" applyAlignment="1">
      <alignment horizontal="center" vertical="center"/>
    </xf>
    <xf numFmtId="177" fontId="8" fillId="10" borderId="5" xfId="2" applyNumberFormat="1" applyFont="1" applyFill="1" applyBorder="1" applyAlignment="1">
      <alignment horizontal="center" vertical="center" wrapText="1"/>
    </xf>
    <xf numFmtId="178" fontId="10" fillId="10" borderId="5" xfId="1" applyNumberFormat="1" applyFont="1" applyFill="1" applyBorder="1" applyAlignment="1">
      <alignment horizontal="center" vertical="center"/>
    </xf>
    <xf numFmtId="178" fontId="3" fillId="10" borderId="5" xfId="1" applyNumberFormat="1" applyFont="1" applyFill="1" applyBorder="1" applyAlignment="1">
      <alignment horizontal="center" vertical="center"/>
    </xf>
    <xf numFmtId="178" fontId="3" fillId="10" borderId="4" xfId="1" applyNumberFormat="1" applyFont="1" applyFill="1" applyBorder="1" applyAlignment="1">
      <alignment horizontal="center" vertical="center"/>
    </xf>
    <xf numFmtId="0" fontId="0" fillId="10" borderId="0" xfId="0" applyFill="1"/>
    <xf numFmtId="0" fontId="8" fillId="11" borderId="5" xfId="1" applyFont="1" applyFill="1" applyBorder="1" applyAlignment="1">
      <alignment horizontal="center" vertical="center"/>
    </xf>
    <xf numFmtId="177" fontId="8" fillId="11" borderId="5" xfId="2" applyNumberFormat="1" applyFont="1" applyFill="1" applyBorder="1" applyAlignment="1">
      <alignment horizontal="center" vertical="center" wrapText="1"/>
    </xf>
    <xf numFmtId="177" fontId="8" fillId="11" borderId="5" xfId="2" applyNumberFormat="1" applyFont="1" applyFill="1" applyBorder="1" applyAlignment="1">
      <alignment horizontal="center" vertical="center"/>
    </xf>
    <xf numFmtId="178" fontId="3" fillId="11" borderId="5" xfId="1" applyNumberFormat="1" applyFont="1" applyFill="1" applyBorder="1" applyAlignment="1">
      <alignment horizontal="center" vertical="center"/>
    </xf>
    <xf numFmtId="178" fontId="3" fillId="11" borderId="4" xfId="1" applyNumberFormat="1" applyFont="1" applyFill="1" applyBorder="1" applyAlignment="1">
      <alignment horizontal="center" vertical="center"/>
    </xf>
    <xf numFmtId="0" fontId="0" fillId="11" borderId="0" xfId="0" applyFill="1"/>
    <xf numFmtId="0" fontId="0" fillId="2" borderId="0" xfId="0" applyFill="1"/>
    <xf numFmtId="0" fontId="8" fillId="10" borderId="6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2" fillId="0" borderId="0" xfId="0" applyNumberFormat="1" applyFont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8" fontId="3" fillId="2" borderId="5" xfId="1" applyNumberFormat="1" applyFont="1" applyFill="1" applyBorder="1">
      <alignment vertical="center"/>
    </xf>
    <xf numFmtId="178" fontId="3" fillId="10" borderId="5" xfId="1" applyNumberFormat="1" applyFont="1" applyFill="1" applyBorder="1">
      <alignment vertical="center"/>
    </xf>
    <xf numFmtId="178" fontId="3" fillId="2" borderId="6" xfId="1" applyNumberFormat="1" applyFont="1" applyFill="1" applyBorder="1">
      <alignment vertical="center"/>
    </xf>
    <xf numFmtId="3" fontId="8" fillId="2" borderId="5" xfId="2" applyNumberFormat="1" applyFont="1" applyFill="1" applyBorder="1" applyAlignment="1">
      <alignment horizontal="center" vertical="center" wrapText="1"/>
    </xf>
    <xf numFmtId="0" fontId="8" fillId="10" borderId="4" xfId="1" applyFont="1" applyFill="1" applyBorder="1" applyAlignment="1">
      <alignment horizontal="center" vertical="center"/>
    </xf>
    <xf numFmtId="0" fontId="8" fillId="10" borderId="5" xfId="1" applyFont="1" applyFill="1" applyBorder="1" applyAlignment="1">
      <alignment horizontal="center" vertical="center"/>
    </xf>
    <xf numFmtId="178" fontId="3" fillId="10" borderId="4" xfId="1" applyNumberFormat="1" applyFont="1" applyFill="1" applyBorder="1" applyAlignment="1">
      <alignment horizontal="center" vertical="center"/>
    </xf>
    <xf numFmtId="178" fontId="3" fillId="10" borderId="5" xfId="1" applyNumberFormat="1" applyFont="1" applyFill="1" applyBorder="1" applyAlignment="1">
      <alignment horizontal="center" vertical="center"/>
    </xf>
    <xf numFmtId="178" fontId="3" fillId="0" borderId="5" xfId="1" applyNumberFormat="1" applyFont="1" applyBorder="1" applyAlignment="1">
      <alignment horizontal="center" vertical="center" wrapText="1"/>
    </xf>
    <xf numFmtId="178" fontId="3" fillId="0" borderId="5" xfId="1" applyNumberFormat="1" applyFont="1" applyBorder="1" applyAlignment="1">
      <alignment horizontal="center" vertical="center"/>
    </xf>
    <xf numFmtId="178" fontId="3" fillId="3" borderId="5" xfId="1" applyNumberFormat="1" applyFont="1" applyFill="1" applyBorder="1" applyAlignment="1">
      <alignment horizontal="center" vertical="center"/>
    </xf>
    <xf numFmtId="0" fontId="8" fillId="0" borderId="4" xfId="1" applyFont="1" applyBorder="1" applyAlignment="1">
      <alignment horizontal="center" vertical="center"/>
    </xf>
    <xf numFmtId="0" fontId="8" fillId="0" borderId="6" xfId="1" applyFont="1" applyBorder="1" applyAlignment="1">
      <alignment horizontal="center" vertical="center"/>
    </xf>
    <xf numFmtId="178" fontId="3" fillId="0" borderId="4" xfId="1" applyNumberFormat="1" applyFont="1" applyBorder="1" applyAlignment="1">
      <alignment horizontal="center" vertical="center"/>
    </xf>
    <xf numFmtId="178" fontId="3" fillId="0" borderId="6" xfId="1" applyNumberFormat="1" applyFont="1" applyBorder="1" applyAlignment="1">
      <alignment horizontal="center" vertical="center"/>
    </xf>
    <xf numFmtId="0" fontId="8" fillId="3" borderId="4" xfId="1" applyFont="1" applyFill="1" applyBorder="1" applyAlignment="1">
      <alignment horizontal="center" vertical="center"/>
    </xf>
    <xf numFmtId="0" fontId="8" fillId="3" borderId="5" xfId="1" applyFont="1" applyFill="1" applyBorder="1" applyAlignment="1">
      <alignment horizontal="center" vertical="center"/>
    </xf>
    <xf numFmtId="178" fontId="3" fillId="9" borderId="4" xfId="1" applyNumberFormat="1" applyFont="1" applyFill="1" applyBorder="1" applyAlignment="1">
      <alignment horizontal="center" vertical="center"/>
    </xf>
    <xf numFmtId="178" fontId="3" fillId="9" borderId="6" xfId="1" applyNumberFormat="1" applyFont="1" applyFill="1" applyBorder="1" applyAlignment="1">
      <alignment horizontal="center" vertical="center"/>
    </xf>
    <xf numFmtId="178" fontId="3" fillId="3" borderId="4" xfId="1" applyNumberFormat="1" applyFont="1" applyFill="1" applyBorder="1" applyAlignment="1">
      <alignment horizontal="center" vertical="center"/>
    </xf>
    <xf numFmtId="178" fontId="3" fillId="3" borderId="6" xfId="1" applyNumberFormat="1" applyFont="1" applyFill="1" applyBorder="1" applyAlignment="1">
      <alignment horizontal="center" vertical="center"/>
    </xf>
    <xf numFmtId="0" fontId="8" fillId="3" borderId="6" xfId="1" applyFont="1" applyFill="1" applyBorder="1" applyAlignment="1">
      <alignment horizontal="center" vertical="center"/>
    </xf>
    <xf numFmtId="0" fontId="8" fillId="9" borderId="4" xfId="1" applyFont="1" applyFill="1" applyBorder="1" applyAlignment="1">
      <alignment horizontal="center" vertical="center"/>
    </xf>
    <xf numFmtId="0" fontId="8" fillId="9" borderId="6" xfId="1" applyFont="1" applyFill="1" applyBorder="1" applyAlignment="1">
      <alignment horizontal="center" vertical="center"/>
    </xf>
    <xf numFmtId="178" fontId="3" fillId="7" borderId="4" xfId="1" applyNumberFormat="1" applyFont="1" applyFill="1" applyBorder="1" applyAlignment="1">
      <alignment horizontal="center" vertical="center"/>
    </xf>
    <xf numFmtId="178" fontId="3" fillId="7" borderId="5" xfId="1" applyNumberFormat="1" applyFont="1" applyFill="1" applyBorder="1" applyAlignment="1">
      <alignment horizontal="center" vertical="center"/>
    </xf>
    <xf numFmtId="178" fontId="3" fillId="9" borderId="5" xfId="1" applyNumberFormat="1" applyFont="1" applyFill="1" applyBorder="1" applyAlignment="1">
      <alignment horizontal="center" vertical="center"/>
    </xf>
    <xf numFmtId="178" fontId="3" fillId="7" borderId="6" xfId="1" applyNumberFormat="1" applyFont="1" applyFill="1" applyBorder="1" applyAlignment="1">
      <alignment horizontal="center" vertical="center"/>
    </xf>
    <xf numFmtId="178" fontId="3" fillId="2" borderId="4" xfId="1" applyNumberFormat="1" applyFont="1" applyFill="1" applyBorder="1" applyAlignment="1">
      <alignment horizontal="center" vertical="center"/>
    </xf>
    <xf numFmtId="178" fontId="3" fillId="2" borderId="5" xfId="1" applyNumberFormat="1" applyFont="1" applyFill="1" applyBorder="1" applyAlignment="1">
      <alignment horizontal="center" vertical="center"/>
    </xf>
    <xf numFmtId="178" fontId="3" fillId="2" borderId="6" xfId="1" applyNumberFormat="1" applyFont="1" applyFill="1" applyBorder="1" applyAlignment="1">
      <alignment horizontal="center" vertical="center"/>
    </xf>
    <xf numFmtId="0" fontId="8" fillId="0" borderId="7" xfId="1" applyFont="1" applyBorder="1" applyAlignment="1">
      <alignment horizontal="center" vertical="center"/>
    </xf>
    <xf numFmtId="0" fontId="8" fillId="0" borderId="8" xfId="1" applyFont="1" applyBorder="1" applyAlignment="1">
      <alignment horizontal="center" vertical="center"/>
    </xf>
    <xf numFmtId="0" fontId="8" fillId="0" borderId="10" xfId="1" applyFont="1" applyBorder="1" applyAlignment="1">
      <alignment horizontal="center" vertical="center"/>
    </xf>
    <xf numFmtId="0" fontId="8" fillId="0" borderId="11" xfId="1" applyFont="1" applyBorder="1" applyAlignment="1">
      <alignment horizontal="center" vertical="center"/>
    </xf>
    <xf numFmtId="0" fontId="8" fillId="0" borderId="5" xfId="1" applyFont="1" applyBorder="1" applyAlignment="1">
      <alignment horizontal="center" vertical="center"/>
    </xf>
    <xf numFmtId="178" fontId="3" fillId="10" borderId="5" xfId="1" applyNumberFormat="1" applyFont="1" applyFill="1" applyBorder="1" applyAlignment="1">
      <alignment horizontal="center" vertical="center" wrapText="1"/>
    </xf>
    <xf numFmtId="0" fontId="8" fillId="2" borderId="5" xfId="1" applyFont="1" applyFill="1" applyBorder="1" applyAlignment="1">
      <alignment horizontal="center" vertical="center"/>
    </xf>
    <xf numFmtId="0" fontId="8" fillId="2" borderId="6" xfId="1" applyFont="1" applyFill="1" applyBorder="1" applyAlignment="1">
      <alignment horizontal="center" vertical="center"/>
    </xf>
    <xf numFmtId="0" fontId="8" fillId="9" borderId="5" xfId="1" applyFont="1" applyFill="1" applyBorder="1" applyAlignment="1">
      <alignment horizontal="center" vertical="center"/>
    </xf>
    <xf numFmtId="0" fontId="8" fillId="5" borderId="5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3" borderId="6" xfId="1" applyFont="1" applyFill="1" applyBorder="1" applyAlignment="1">
      <alignment horizontal="center" vertical="center"/>
    </xf>
    <xf numFmtId="0" fontId="8" fillId="5" borderId="4" xfId="1" applyFont="1" applyFill="1" applyBorder="1" applyAlignment="1">
      <alignment horizontal="center" vertical="center"/>
    </xf>
    <xf numFmtId="0" fontId="8" fillId="5" borderId="6" xfId="1" applyFont="1" applyFill="1" applyBorder="1" applyAlignment="1">
      <alignment horizontal="center" vertical="center"/>
    </xf>
    <xf numFmtId="178" fontId="9" fillId="7" borderId="4" xfId="1" applyNumberFormat="1" applyFont="1" applyFill="1" applyBorder="1" applyAlignment="1">
      <alignment horizontal="center" vertical="center"/>
    </xf>
    <xf numFmtId="178" fontId="9" fillId="7" borderId="6" xfId="1" applyNumberFormat="1" applyFont="1" applyFill="1" applyBorder="1" applyAlignment="1">
      <alignment horizontal="center" vertical="center"/>
    </xf>
    <xf numFmtId="0" fontId="3" fillId="5" borderId="4" xfId="1" applyFont="1" applyFill="1" applyBorder="1" applyAlignment="1">
      <alignment horizontal="center" vertical="center"/>
    </xf>
    <xf numFmtId="0" fontId="3" fillId="5" borderId="5" xfId="1" applyFont="1" applyFill="1" applyBorder="1" applyAlignment="1">
      <alignment horizontal="center" vertical="center"/>
    </xf>
    <xf numFmtId="0" fontId="3" fillId="5" borderId="6" xfId="1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4" fillId="0" borderId="0" xfId="1" applyFont="1" applyAlignment="1">
      <alignment horizontal="center" vertical="center" wrapText="1"/>
    </xf>
    <xf numFmtId="0" fontId="5" fillId="0" borderId="0" xfId="1" applyFont="1" applyAlignment="1">
      <alignment horizontal="center" vertical="center" wrapText="1"/>
    </xf>
    <xf numFmtId="177" fontId="10" fillId="12" borderId="5" xfId="2" applyNumberFormat="1" applyFont="1" applyFill="1" applyBorder="1" applyAlignment="1">
      <alignment horizontal="center" vertical="center" wrapText="1"/>
    </xf>
  </cellXfs>
  <cellStyles count="3">
    <cellStyle name="Comma 2" xfId="2" xr:uid="{DECF0AF3-314F-4CA2-9F07-24B81E8292AE}"/>
    <cellStyle name="Normal 2" xfId="1" xr:uid="{425FCF5C-6B7B-4161-A404-876DB88E90D3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24F7EA-FD83-437A-9FCD-ED4F455EB284}">
  <dimension ref="A1:Z70"/>
  <sheetViews>
    <sheetView tabSelected="1" topLeftCell="A44" zoomScaleNormal="100" workbookViewId="0">
      <selection activeCell="K58" sqref="K58"/>
    </sheetView>
  </sheetViews>
  <sheetFormatPr defaultRowHeight="12.75" x14ac:dyDescent="0.2"/>
  <cols>
    <col min="1" max="1" width="17.7109375" style="74" bestFit="1" customWidth="1"/>
    <col min="2" max="3" width="10.42578125" style="74" bestFit="1" customWidth="1"/>
    <col min="4" max="4" width="11" style="74" bestFit="1" customWidth="1"/>
    <col min="5" max="7" width="11" style="74" customWidth="1"/>
    <col min="8" max="8" width="11.7109375" style="74" bestFit="1" customWidth="1"/>
    <col min="9" max="9" width="10.7109375" style="74" customWidth="1"/>
    <col min="10" max="10" width="12.42578125" style="74" customWidth="1"/>
    <col min="11" max="11" width="10" style="74" customWidth="1"/>
    <col min="12" max="12" width="10.7109375" style="74" customWidth="1"/>
    <col min="13" max="13" width="11.85546875" style="74" bestFit="1" customWidth="1"/>
    <col min="14" max="14" width="11.140625" style="74" customWidth="1"/>
    <col min="15" max="15" width="12" style="74" customWidth="1"/>
    <col min="16" max="16" width="10.7109375" style="74" bestFit="1" customWidth="1"/>
    <col min="17" max="17" width="10.28515625" style="74" bestFit="1" customWidth="1"/>
    <col min="18" max="19" width="16.140625" style="74" customWidth="1"/>
    <col min="20" max="20" width="26" style="74" customWidth="1"/>
    <col min="21" max="22" width="16" style="74" bestFit="1" customWidth="1"/>
    <col min="23" max="23" width="13.85546875" style="74" customWidth="1"/>
    <col min="24" max="24" width="17.140625" style="74" customWidth="1"/>
    <col min="25" max="25" width="16.5703125" style="74" bestFit="1" customWidth="1"/>
    <col min="26" max="26" width="10.28515625" style="74" bestFit="1" customWidth="1"/>
  </cols>
  <sheetData>
    <row r="1" spans="1:26" ht="45" x14ac:dyDescent="0.2">
      <c r="A1" s="130" t="s">
        <v>0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  <c r="R1" s="131"/>
      <c r="S1" s="131"/>
      <c r="T1" s="131"/>
      <c r="U1" s="131"/>
      <c r="V1" s="131"/>
      <c r="W1" s="131"/>
      <c r="X1" s="131"/>
      <c r="Y1" s="131"/>
      <c r="Z1" s="131"/>
    </row>
    <row r="2" spans="1:26" ht="18.75" thickBot="1" x14ac:dyDescent="0.25">
      <c r="A2" s="2"/>
      <c r="B2" s="2"/>
      <c r="C2" s="2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3"/>
      <c r="Q2" s="3"/>
      <c r="R2" s="4"/>
      <c r="S2" s="4"/>
      <c r="T2" s="4"/>
      <c r="U2" s="4"/>
      <c r="V2" s="4"/>
      <c r="W2" s="4"/>
      <c r="X2" s="2"/>
      <c r="Y2" s="3"/>
      <c r="Z2" s="3"/>
    </row>
    <row r="3" spans="1:26" s="52" customFormat="1" ht="64.5" thickBot="1" x14ac:dyDescent="0.25">
      <c r="A3" s="5" t="s">
        <v>1</v>
      </c>
      <c r="B3" s="6" t="s">
        <v>2</v>
      </c>
      <c r="C3" s="6" t="s">
        <v>3</v>
      </c>
      <c r="D3" s="6" t="s">
        <v>4</v>
      </c>
      <c r="E3" s="6" t="s">
        <v>64</v>
      </c>
      <c r="F3" s="6" t="s">
        <v>65</v>
      </c>
      <c r="G3" s="6" t="s">
        <v>66</v>
      </c>
      <c r="H3" s="6" t="s">
        <v>5</v>
      </c>
      <c r="I3" s="6" t="s">
        <v>6</v>
      </c>
      <c r="J3" s="6" t="s">
        <v>7</v>
      </c>
      <c r="K3" s="6" t="s">
        <v>8</v>
      </c>
      <c r="L3" s="6" t="s">
        <v>9</v>
      </c>
      <c r="M3" s="6" t="s">
        <v>10</v>
      </c>
      <c r="N3" s="6" t="s">
        <v>11</v>
      </c>
      <c r="O3" s="6" t="s">
        <v>12</v>
      </c>
      <c r="P3" s="7" t="s">
        <v>13</v>
      </c>
      <c r="Q3" s="7" t="s">
        <v>14</v>
      </c>
      <c r="R3" s="8" t="s">
        <v>15</v>
      </c>
      <c r="S3" s="8" t="s">
        <v>16</v>
      </c>
      <c r="T3" s="8" t="s">
        <v>17</v>
      </c>
      <c r="U3" s="8" t="s">
        <v>18</v>
      </c>
      <c r="V3" s="8" t="s">
        <v>19</v>
      </c>
      <c r="W3" s="9" t="s">
        <v>20</v>
      </c>
      <c r="X3" s="10" t="s">
        <v>21</v>
      </c>
      <c r="Y3" s="8" t="s">
        <v>22</v>
      </c>
      <c r="Z3" s="8" t="s">
        <v>23</v>
      </c>
    </row>
    <row r="4" spans="1:26" s="52" customFormat="1" x14ac:dyDescent="0.2">
      <c r="A4" s="11" t="s">
        <v>24</v>
      </c>
      <c r="B4" s="12" t="s">
        <v>25</v>
      </c>
      <c r="C4" s="13" t="s">
        <v>25</v>
      </c>
      <c r="D4" s="14">
        <v>2</v>
      </c>
      <c r="E4" s="14"/>
      <c r="F4" s="14"/>
      <c r="G4" s="14"/>
      <c r="H4" s="14">
        <v>4</v>
      </c>
      <c r="I4" s="14">
        <v>8</v>
      </c>
      <c r="J4" s="14">
        <v>8</v>
      </c>
      <c r="K4" s="14">
        <v>4</v>
      </c>
      <c r="L4" s="14">
        <v>2</v>
      </c>
      <c r="M4" s="14">
        <v>0</v>
      </c>
      <c r="N4" s="14">
        <v>0</v>
      </c>
      <c r="O4" s="14">
        <v>0</v>
      </c>
      <c r="P4" s="15">
        <v>45483</v>
      </c>
      <c r="Q4" s="15">
        <v>45489</v>
      </c>
      <c r="R4" s="15">
        <v>45489</v>
      </c>
      <c r="S4" s="15"/>
      <c r="T4" s="15" t="s">
        <v>26</v>
      </c>
      <c r="U4" s="16" t="s">
        <v>27</v>
      </c>
      <c r="V4" s="15">
        <v>45489</v>
      </c>
      <c r="W4" s="15">
        <v>45489</v>
      </c>
      <c r="X4" s="15" t="s">
        <v>25</v>
      </c>
      <c r="Y4" s="15" t="s">
        <v>28</v>
      </c>
      <c r="Z4" s="15" t="s">
        <v>29</v>
      </c>
    </row>
    <row r="5" spans="1:26" s="52" customFormat="1" x14ac:dyDescent="0.2">
      <c r="A5" s="17" t="s">
        <v>24</v>
      </c>
      <c r="B5" s="12" t="s">
        <v>25</v>
      </c>
      <c r="C5" s="13" t="s">
        <v>25</v>
      </c>
      <c r="D5" s="14">
        <v>0</v>
      </c>
      <c r="E5" s="14"/>
      <c r="F5" s="14"/>
      <c r="G5" s="14"/>
      <c r="H5" s="14">
        <v>0</v>
      </c>
      <c r="I5" s="14">
        <v>100</v>
      </c>
      <c r="J5" s="14">
        <v>0</v>
      </c>
      <c r="K5" s="14">
        <v>0</v>
      </c>
      <c r="L5" s="14">
        <v>0</v>
      </c>
      <c r="M5" s="14">
        <v>0</v>
      </c>
      <c r="N5" s="14">
        <v>0</v>
      </c>
      <c r="O5" s="14">
        <v>0</v>
      </c>
      <c r="P5" s="15">
        <v>45509</v>
      </c>
      <c r="Q5" s="15" t="s">
        <v>25</v>
      </c>
      <c r="R5" s="15">
        <v>45509</v>
      </c>
      <c r="S5" s="15"/>
      <c r="T5" s="15" t="s">
        <v>30</v>
      </c>
      <c r="U5" s="16" t="s">
        <v>25</v>
      </c>
      <c r="V5" s="15" t="s">
        <v>25</v>
      </c>
      <c r="W5" s="15" t="s">
        <v>25</v>
      </c>
      <c r="X5" s="15" t="s">
        <v>25</v>
      </c>
      <c r="Y5" s="15" t="s">
        <v>31</v>
      </c>
      <c r="Z5" s="15">
        <v>45510</v>
      </c>
    </row>
    <row r="6" spans="1:26" s="53" customFormat="1" x14ac:dyDescent="0.2">
      <c r="A6" s="121">
        <v>1</v>
      </c>
      <c r="B6" s="18">
        <v>1</v>
      </c>
      <c r="C6" s="18" t="s">
        <v>32</v>
      </c>
      <c r="D6" s="18"/>
      <c r="E6" s="18"/>
      <c r="F6" s="18"/>
      <c r="G6" s="18"/>
      <c r="H6" s="19">
        <v>24000</v>
      </c>
      <c r="I6" s="19">
        <v>38400</v>
      </c>
      <c r="J6" s="19">
        <v>0</v>
      </c>
      <c r="K6" s="19">
        <v>32000</v>
      </c>
      <c r="L6" s="19">
        <v>0</v>
      </c>
      <c r="M6" s="19">
        <v>0</v>
      </c>
      <c r="N6" s="19">
        <v>0</v>
      </c>
      <c r="O6" s="19">
        <v>0</v>
      </c>
      <c r="P6" s="102">
        <v>45522</v>
      </c>
      <c r="Q6" s="102">
        <v>45542</v>
      </c>
      <c r="R6" s="123">
        <v>45542</v>
      </c>
      <c r="S6" s="21"/>
      <c r="T6" s="123" t="s">
        <v>33</v>
      </c>
      <c r="U6" s="102" t="s">
        <v>34</v>
      </c>
      <c r="V6" s="102">
        <v>45565</v>
      </c>
      <c r="W6" s="102"/>
      <c r="X6" s="20" t="s">
        <v>35</v>
      </c>
      <c r="Y6" s="102" t="s">
        <v>28</v>
      </c>
      <c r="Z6" s="102">
        <f>+V6+7</f>
        <v>45572</v>
      </c>
    </row>
    <row r="7" spans="1:26" s="53" customFormat="1" x14ac:dyDescent="0.2">
      <c r="A7" s="122"/>
      <c r="B7" s="19">
        <v>2</v>
      </c>
      <c r="C7" s="18" t="s">
        <v>32</v>
      </c>
      <c r="D7" s="19">
        <v>1260</v>
      </c>
      <c r="E7" s="19"/>
      <c r="F7" s="19"/>
      <c r="G7" s="19"/>
      <c r="H7" s="19"/>
      <c r="I7" s="19"/>
      <c r="J7" s="19">
        <v>0</v>
      </c>
      <c r="K7" s="19"/>
      <c r="L7" s="19">
        <v>18000</v>
      </c>
      <c r="M7" s="19">
        <v>0</v>
      </c>
      <c r="N7" s="19">
        <v>0</v>
      </c>
      <c r="O7" s="19">
        <v>0</v>
      </c>
      <c r="P7" s="105"/>
      <c r="Q7" s="105"/>
      <c r="R7" s="124"/>
      <c r="S7" s="23"/>
      <c r="T7" s="124"/>
      <c r="U7" s="105"/>
      <c r="V7" s="105"/>
      <c r="W7" s="105"/>
      <c r="X7" s="20" t="s">
        <v>36</v>
      </c>
      <c r="Y7" s="105"/>
      <c r="Z7" s="105"/>
    </row>
    <row r="8" spans="1:26" s="53" customFormat="1" x14ac:dyDescent="0.2">
      <c r="A8" s="121">
        <v>2</v>
      </c>
      <c r="B8" s="18">
        <v>3</v>
      </c>
      <c r="C8" s="18" t="s">
        <v>32</v>
      </c>
      <c r="D8" s="18">
        <v>1680</v>
      </c>
      <c r="E8" s="18"/>
      <c r="F8" s="18"/>
      <c r="G8" s="18"/>
      <c r="H8" s="19"/>
      <c r="I8" s="19"/>
      <c r="J8" s="19"/>
      <c r="K8" s="19"/>
      <c r="L8" s="19"/>
      <c r="M8" s="19">
        <v>0</v>
      </c>
      <c r="N8" s="19">
        <v>0</v>
      </c>
      <c r="O8" s="19">
        <v>0</v>
      </c>
      <c r="P8" s="102">
        <v>45538</v>
      </c>
      <c r="Q8" s="102">
        <v>45558</v>
      </c>
      <c r="R8" s="20"/>
      <c r="S8" s="20"/>
      <c r="T8" s="128" t="s">
        <v>37</v>
      </c>
      <c r="U8" s="128" t="s">
        <v>38</v>
      </c>
      <c r="V8" s="102">
        <v>45575</v>
      </c>
      <c r="W8" s="20"/>
      <c r="X8" s="20" t="s">
        <v>39</v>
      </c>
      <c r="Y8" s="102" t="s">
        <v>28</v>
      </c>
      <c r="Z8" s="102">
        <f>V8+7</f>
        <v>45582</v>
      </c>
    </row>
    <row r="9" spans="1:26" s="53" customFormat="1" x14ac:dyDescent="0.2">
      <c r="A9" s="122"/>
      <c r="B9" s="18">
        <v>4</v>
      </c>
      <c r="C9" s="18" t="s">
        <v>32</v>
      </c>
      <c r="D9" s="18">
        <v>1680</v>
      </c>
      <c r="E9" s="18"/>
      <c r="F9" s="18"/>
      <c r="G9" s="18"/>
      <c r="H9" s="19"/>
      <c r="I9" s="19"/>
      <c r="J9" s="19"/>
      <c r="K9" s="19"/>
      <c r="L9" s="19"/>
      <c r="M9" s="19">
        <v>0</v>
      </c>
      <c r="N9" s="19">
        <v>0</v>
      </c>
      <c r="O9" s="19">
        <v>0</v>
      </c>
      <c r="P9" s="105"/>
      <c r="Q9" s="105"/>
      <c r="R9" s="22"/>
      <c r="S9" s="22"/>
      <c r="T9" s="129"/>
      <c r="U9" s="129"/>
      <c r="V9" s="105"/>
      <c r="W9" s="22"/>
      <c r="X9" s="20" t="s">
        <v>40</v>
      </c>
      <c r="Y9" s="105"/>
      <c r="Z9" s="105"/>
    </row>
    <row r="10" spans="1:26" s="53" customFormat="1" x14ac:dyDescent="0.2">
      <c r="A10" s="121">
        <v>3</v>
      </c>
      <c r="B10" s="19">
        <v>5</v>
      </c>
      <c r="C10" s="18" t="s">
        <v>32</v>
      </c>
      <c r="D10" s="19">
        <v>1680</v>
      </c>
      <c r="E10" s="19"/>
      <c r="F10" s="19"/>
      <c r="G10" s="19"/>
      <c r="H10" s="19"/>
      <c r="I10" s="19"/>
      <c r="J10" s="19"/>
      <c r="K10" s="19"/>
      <c r="L10" s="19"/>
      <c r="M10" s="19">
        <v>0</v>
      </c>
      <c r="N10" s="19">
        <v>0</v>
      </c>
      <c r="O10" s="19">
        <v>0</v>
      </c>
      <c r="P10" s="102">
        <v>45548</v>
      </c>
      <c r="Q10" s="102">
        <v>45567</v>
      </c>
      <c r="R10" s="102"/>
      <c r="S10" s="20"/>
      <c r="T10" s="102" t="s">
        <v>41</v>
      </c>
      <c r="U10" s="102" t="s">
        <v>42</v>
      </c>
      <c r="V10" s="102">
        <v>45590</v>
      </c>
      <c r="W10" s="20"/>
      <c r="X10" s="20" t="s">
        <v>43</v>
      </c>
      <c r="Y10" s="102" t="s">
        <v>28</v>
      </c>
      <c r="Z10" s="102">
        <f>+V10+7</f>
        <v>45597</v>
      </c>
    </row>
    <row r="11" spans="1:26" s="53" customFormat="1" x14ac:dyDescent="0.2">
      <c r="A11" s="122"/>
      <c r="B11" s="18">
        <v>6</v>
      </c>
      <c r="C11" s="18" t="s">
        <v>32</v>
      </c>
      <c r="D11" s="18">
        <v>1680</v>
      </c>
      <c r="E11" s="18"/>
      <c r="F11" s="18"/>
      <c r="G11" s="18"/>
      <c r="H11" s="19"/>
      <c r="I11" s="19"/>
      <c r="J11" s="19"/>
      <c r="K11" s="19"/>
      <c r="L11" s="19"/>
      <c r="M11" s="19">
        <v>0</v>
      </c>
      <c r="N11" s="19">
        <v>0</v>
      </c>
      <c r="O11" s="19">
        <v>0</v>
      </c>
      <c r="P11" s="105"/>
      <c r="Q11" s="105"/>
      <c r="R11" s="105"/>
      <c r="S11" s="22"/>
      <c r="T11" s="105"/>
      <c r="U11" s="105"/>
      <c r="V11" s="105"/>
      <c r="W11" s="22"/>
      <c r="X11" s="20" t="s">
        <v>44</v>
      </c>
      <c r="Y11" s="105"/>
      <c r="Z11" s="105"/>
    </row>
    <row r="12" spans="1:26" s="53" customFormat="1" x14ac:dyDescent="0.2">
      <c r="A12" s="125">
        <v>4</v>
      </c>
      <c r="B12" s="19">
        <v>7</v>
      </c>
      <c r="C12" s="18" t="s">
        <v>32</v>
      </c>
      <c r="D12" s="19">
        <v>1680</v>
      </c>
      <c r="E12" s="19"/>
      <c r="F12" s="19"/>
      <c r="G12" s="19"/>
      <c r="H12" s="19"/>
      <c r="I12" s="19"/>
      <c r="J12" s="19"/>
      <c r="K12" s="19"/>
      <c r="L12" s="19"/>
      <c r="M12" s="19">
        <v>0</v>
      </c>
      <c r="N12" s="19">
        <v>0</v>
      </c>
      <c r="O12" s="19">
        <v>0</v>
      </c>
      <c r="P12" s="102">
        <v>45563</v>
      </c>
      <c r="Q12" s="102">
        <f t="shared" ref="Q12" si="0">P12+7</f>
        <v>45570</v>
      </c>
      <c r="R12" s="102"/>
      <c r="S12" s="20"/>
      <c r="T12" s="102" t="s">
        <v>45</v>
      </c>
      <c r="U12" s="102" t="s">
        <v>46</v>
      </c>
      <c r="V12" s="102">
        <v>45598</v>
      </c>
      <c r="W12" s="20"/>
      <c r="X12" s="20" t="s">
        <v>47</v>
      </c>
      <c r="Y12" s="102" t="s">
        <v>28</v>
      </c>
      <c r="Z12" s="102">
        <f t="shared" ref="Z12:Z33" si="1">V12+7</f>
        <v>45605</v>
      </c>
    </row>
    <row r="13" spans="1:26" s="53" customFormat="1" x14ac:dyDescent="0.2">
      <c r="A13" s="126"/>
      <c r="B13" s="18">
        <v>8</v>
      </c>
      <c r="C13" s="18" t="s">
        <v>32</v>
      </c>
      <c r="D13" s="18">
        <v>1680</v>
      </c>
      <c r="E13" s="18"/>
      <c r="F13" s="18"/>
      <c r="G13" s="18"/>
      <c r="H13" s="19"/>
      <c r="I13" s="19"/>
      <c r="J13" s="19"/>
      <c r="K13" s="19"/>
      <c r="L13" s="19"/>
      <c r="M13" s="19">
        <v>0</v>
      </c>
      <c r="N13" s="19">
        <v>0</v>
      </c>
      <c r="O13" s="19">
        <v>0</v>
      </c>
      <c r="P13" s="103"/>
      <c r="Q13" s="103"/>
      <c r="R13" s="103"/>
      <c r="S13" s="25"/>
      <c r="T13" s="103"/>
      <c r="U13" s="103"/>
      <c r="V13" s="103"/>
      <c r="W13" s="20"/>
      <c r="X13" s="20" t="s">
        <v>48</v>
      </c>
      <c r="Y13" s="103"/>
      <c r="Z13" s="103"/>
    </row>
    <row r="14" spans="1:26" s="53" customFormat="1" x14ac:dyDescent="0.2">
      <c r="A14" s="127"/>
      <c r="B14" s="19">
        <v>9</v>
      </c>
      <c r="C14" s="18" t="s">
        <v>32</v>
      </c>
      <c r="D14" s="19"/>
      <c r="E14" s="19"/>
      <c r="F14" s="19"/>
      <c r="G14" s="19"/>
      <c r="H14" s="19">
        <v>24000</v>
      </c>
      <c r="I14" s="19">
        <v>38400</v>
      </c>
      <c r="J14" s="19">
        <v>0</v>
      </c>
      <c r="K14" s="19">
        <v>32000</v>
      </c>
      <c r="L14" s="19"/>
      <c r="M14" s="19">
        <v>0</v>
      </c>
      <c r="N14" s="19">
        <v>0</v>
      </c>
      <c r="O14" s="19">
        <v>0</v>
      </c>
      <c r="P14" s="103"/>
      <c r="Q14" s="103"/>
      <c r="R14" s="103"/>
      <c r="S14" s="25"/>
      <c r="T14" s="103"/>
      <c r="U14" s="103"/>
      <c r="V14" s="103"/>
      <c r="W14" s="25"/>
      <c r="X14" s="20" t="s">
        <v>49</v>
      </c>
      <c r="Y14" s="103"/>
      <c r="Z14" s="103"/>
    </row>
    <row r="15" spans="1:26" s="1" customFormat="1" x14ac:dyDescent="0.2">
      <c r="A15" s="24">
        <v>5</v>
      </c>
      <c r="B15" s="27">
        <v>10</v>
      </c>
      <c r="C15" s="26" t="s">
        <v>32</v>
      </c>
      <c r="D15" s="27">
        <v>120</v>
      </c>
      <c r="E15" s="27"/>
      <c r="F15" s="27"/>
      <c r="G15" s="27"/>
      <c r="H15" s="27">
        <v>0</v>
      </c>
      <c r="I15" s="27">
        <v>4800</v>
      </c>
      <c r="J15" s="27">
        <v>0</v>
      </c>
      <c r="K15" s="27">
        <v>0</v>
      </c>
      <c r="L15" s="27">
        <v>0</v>
      </c>
      <c r="M15" s="27">
        <v>26000</v>
      </c>
      <c r="N15" s="27">
        <v>13000</v>
      </c>
      <c r="O15" s="27">
        <v>23944</v>
      </c>
      <c r="P15" s="31">
        <v>45565</v>
      </c>
      <c r="Q15" s="30">
        <v>45582</v>
      </c>
      <c r="R15" s="31"/>
      <c r="S15" s="31"/>
      <c r="T15" s="31" t="s">
        <v>50</v>
      </c>
      <c r="U15" s="28">
        <v>24101062</v>
      </c>
      <c r="V15" s="29">
        <v>45601</v>
      </c>
      <c r="W15" s="31"/>
      <c r="X15" s="30" t="s">
        <v>51</v>
      </c>
      <c r="Y15" s="31" t="s">
        <v>52</v>
      </c>
      <c r="Z15" s="31">
        <f>V15+7</f>
        <v>45608</v>
      </c>
    </row>
    <row r="16" spans="1:26" s="1" customFormat="1" x14ac:dyDescent="0.2">
      <c r="A16" s="121">
        <v>6</v>
      </c>
      <c r="B16" s="32">
        <v>11</v>
      </c>
      <c r="C16" s="26" t="s">
        <v>32</v>
      </c>
      <c r="D16" s="32">
        <v>0</v>
      </c>
      <c r="E16" s="32"/>
      <c r="F16" s="32"/>
      <c r="G16" s="32"/>
      <c r="H16" s="32">
        <v>0</v>
      </c>
      <c r="I16" s="32">
        <v>0</v>
      </c>
      <c r="J16" s="32">
        <v>0</v>
      </c>
      <c r="K16" s="32">
        <v>0</v>
      </c>
      <c r="L16" s="32">
        <v>0</v>
      </c>
      <c r="M16" s="32"/>
      <c r="N16" s="32">
        <v>13000</v>
      </c>
      <c r="O16" s="32">
        <v>8000</v>
      </c>
      <c r="P16" s="97">
        <v>45574</v>
      </c>
      <c r="Q16" s="97">
        <v>45584</v>
      </c>
      <c r="R16" s="30"/>
      <c r="S16" s="30"/>
      <c r="T16" s="97" t="s">
        <v>53</v>
      </c>
      <c r="U16" s="97" t="s">
        <v>54</v>
      </c>
      <c r="V16" s="106">
        <v>45611</v>
      </c>
      <c r="W16" s="30"/>
      <c r="X16" s="30" t="s">
        <v>55</v>
      </c>
      <c r="Y16" s="30" t="s">
        <v>52</v>
      </c>
      <c r="Z16" s="97">
        <f t="shared" si="1"/>
        <v>45618</v>
      </c>
    </row>
    <row r="17" spans="1:26" s="1" customFormat="1" x14ac:dyDescent="0.2">
      <c r="A17" s="118"/>
      <c r="B17" s="27">
        <v>12</v>
      </c>
      <c r="C17" s="26" t="s">
        <v>32</v>
      </c>
      <c r="D17" s="27">
        <v>1680</v>
      </c>
      <c r="E17" s="27"/>
      <c r="F17" s="27"/>
      <c r="G17" s="27"/>
      <c r="H17" s="27"/>
      <c r="I17" s="27"/>
      <c r="J17" s="27"/>
      <c r="K17" s="27"/>
      <c r="L17" s="27"/>
      <c r="M17" s="27">
        <v>0</v>
      </c>
      <c r="N17" s="27">
        <v>0</v>
      </c>
      <c r="O17" s="27">
        <v>0</v>
      </c>
      <c r="P17" s="88"/>
      <c r="Q17" s="88"/>
      <c r="R17" s="30"/>
      <c r="S17" s="30"/>
      <c r="T17" s="88"/>
      <c r="U17" s="88"/>
      <c r="V17" s="107"/>
      <c r="W17" s="30"/>
      <c r="X17" s="30" t="s">
        <v>56</v>
      </c>
      <c r="Y17" s="97" t="s">
        <v>28</v>
      </c>
      <c r="Z17" s="88"/>
    </row>
    <row r="18" spans="1:26" s="1" customFormat="1" x14ac:dyDescent="0.2">
      <c r="A18" s="118"/>
      <c r="B18" s="26">
        <v>13</v>
      </c>
      <c r="C18" s="26" t="s">
        <v>32</v>
      </c>
      <c r="D18" s="26"/>
      <c r="E18" s="26"/>
      <c r="F18" s="26"/>
      <c r="G18" s="26"/>
      <c r="H18" s="27">
        <v>24000</v>
      </c>
      <c r="I18" s="27">
        <v>38400</v>
      </c>
      <c r="J18" s="27">
        <v>0</v>
      </c>
      <c r="K18" s="27">
        <v>32000</v>
      </c>
      <c r="L18" s="27"/>
      <c r="M18" s="27">
        <v>0</v>
      </c>
      <c r="N18" s="27">
        <v>0</v>
      </c>
      <c r="O18" s="27">
        <v>0</v>
      </c>
      <c r="P18" s="88"/>
      <c r="Q18" s="88"/>
      <c r="R18" s="30"/>
      <c r="S18" s="30"/>
      <c r="T18" s="88"/>
      <c r="U18" s="88"/>
      <c r="V18" s="107"/>
      <c r="W18" s="30"/>
      <c r="X18" s="30" t="s">
        <v>57</v>
      </c>
      <c r="Y18" s="88"/>
      <c r="Z18" s="88"/>
    </row>
    <row r="19" spans="1:26" s="1" customFormat="1" x14ac:dyDescent="0.2">
      <c r="A19" s="118"/>
      <c r="B19" s="27">
        <v>14</v>
      </c>
      <c r="C19" s="26" t="s">
        <v>32</v>
      </c>
      <c r="D19" s="27">
        <v>1260</v>
      </c>
      <c r="E19" s="27"/>
      <c r="F19" s="27"/>
      <c r="G19" s="27"/>
      <c r="H19" s="27"/>
      <c r="I19" s="27"/>
      <c r="J19" s="27"/>
      <c r="K19" s="27"/>
      <c r="L19" s="27">
        <v>18000</v>
      </c>
      <c r="M19" s="27">
        <v>0</v>
      </c>
      <c r="N19" s="27">
        <v>0</v>
      </c>
      <c r="O19" s="27">
        <v>0</v>
      </c>
      <c r="P19" s="98"/>
      <c r="Q19" s="98"/>
      <c r="R19" s="30"/>
      <c r="S19" s="30"/>
      <c r="T19" s="98"/>
      <c r="U19" s="98"/>
      <c r="V19" s="108"/>
      <c r="W19" s="30"/>
      <c r="X19" s="30" t="s">
        <v>58</v>
      </c>
      <c r="Y19" s="98"/>
      <c r="Z19" s="98"/>
    </row>
    <row r="20" spans="1:26" s="1" customFormat="1" x14ac:dyDescent="0.2">
      <c r="A20" s="118">
        <v>7</v>
      </c>
      <c r="B20" s="26">
        <v>15</v>
      </c>
      <c r="C20" s="26" t="s">
        <v>32</v>
      </c>
      <c r="D20" s="26">
        <v>1680</v>
      </c>
      <c r="E20" s="26"/>
      <c r="F20" s="26"/>
      <c r="G20" s="26"/>
      <c r="H20" s="27"/>
      <c r="I20" s="27"/>
      <c r="J20" s="27"/>
      <c r="K20" s="27"/>
      <c r="L20" s="27"/>
      <c r="M20" s="27">
        <v>0</v>
      </c>
      <c r="N20" s="27">
        <v>0</v>
      </c>
      <c r="O20" s="27">
        <v>0</v>
      </c>
      <c r="P20" s="97">
        <v>45588</v>
      </c>
      <c r="Q20" s="97">
        <v>45600</v>
      </c>
      <c r="R20" s="30"/>
      <c r="S20" s="30"/>
      <c r="T20" s="97" t="s">
        <v>59</v>
      </c>
      <c r="U20" s="119">
        <v>24101100</v>
      </c>
      <c r="V20" s="106">
        <v>45616</v>
      </c>
      <c r="W20" s="30"/>
      <c r="X20" s="30" t="s">
        <v>60</v>
      </c>
      <c r="Y20" s="97" t="s">
        <v>28</v>
      </c>
      <c r="Z20" s="97">
        <f t="shared" si="1"/>
        <v>45623</v>
      </c>
    </row>
    <row r="21" spans="1:26" s="1" customFormat="1" x14ac:dyDescent="0.2">
      <c r="A21" s="118"/>
      <c r="B21" s="27">
        <v>16</v>
      </c>
      <c r="C21" s="26" t="s">
        <v>32</v>
      </c>
      <c r="D21" s="27">
        <v>1692</v>
      </c>
      <c r="E21" s="27"/>
      <c r="F21" s="27"/>
      <c r="G21" s="27"/>
      <c r="H21" s="27"/>
      <c r="I21" s="27"/>
      <c r="J21" s="27"/>
      <c r="K21" s="27"/>
      <c r="L21" s="27"/>
      <c r="M21" s="27">
        <v>0</v>
      </c>
      <c r="N21" s="27">
        <v>0</v>
      </c>
      <c r="O21" s="27">
        <v>0</v>
      </c>
      <c r="P21" s="98"/>
      <c r="Q21" s="98"/>
      <c r="R21" s="30"/>
      <c r="S21" s="30"/>
      <c r="T21" s="98"/>
      <c r="U21" s="120"/>
      <c r="V21" s="108"/>
      <c r="W21" s="30"/>
      <c r="X21" s="30" t="s">
        <v>61</v>
      </c>
      <c r="Y21" s="98"/>
      <c r="Z21" s="98"/>
    </row>
    <row r="22" spans="1:26" s="1" customFormat="1" x14ac:dyDescent="0.2">
      <c r="A22" s="118">
        <v>8</v>
      </c>
      <c r="B22" s="26">
        <v>17</v>
      </c>
      <c r="C22" s="26" t="s">
        <v>32</v>
      </c>
      <c r="D22" s="26">
        <v>1680</v>
      </c>
      <c r="E22" s="26"/>
      <c r="F22" s="26"/>
      <c r="G22" s="26"/>
      <c r="H22" s="27"/>
      <c r="I22" s="27"/>
      <c r="J22" s="27"/>
      <c r="K22" s="27"/>
      <c r="L22" s="27"/>
      <c r="M22" s="27">
        <v>0</v>
      </c>
      <c r="N22" s="27">
        <v>0</v>
      </c>
      <c r="O22" s="27">
        <v>0</v>
      </c>
      <c r="P22" s="97">
        <v>45602</v>
      </c>
      <c r="Q22" s="97">
        <v>45619</v>
      </c>
      <c r="R22" s="30"/>
      <c r="S22" s="30"/>
      <c r="T22" s="97"/>
      <c r="U22" s="97"/>
      <c r="V22" s="106">
        <v>45634</v>
      </c>
      <c r="W22" s="30"/>
      <c r="X22" s="30"/>
      <c r="Y22" s="97" t="s">
        <v>28</v>
      </c>
      <c r="Z22" s="97">
        <f t="shared" si="1"/>
        <v>45641</v>
      </c>
    </row>
    <row r="23" spans="1:26" s="1" customFormat="1" x14ac:dyDescent="0.2">
      <c r="A23" s="118"/>
      <c r="B23" s="27">
        <v>18</v>
      </c>
      <c r="C23" s="26" t="s">
        <v>32</v>
      </c>
      <c r="D23" s="27">
        <v>1680</v>
      </c>
      <c r="E23" s="27"/>
      <c r="F23" s="27"/>
      <c r="G23" s="27"/>
      <c r="H23" s="27"/>
      <c r="I23" s="27"/>
      <c r="J23" s="27"/>
      <c r="K23" s="27"/>
      <c r="L23" s="27"/>
      <c r="M23" s="27">
        <v>0</v>
      </c>
      <c r="N23" s="27">
        <v>0</v>
      </c>
      <c r="O23" s="27">
        <v>0</v>
      </c>
      <c r="P23" s="98"/>
      <c r="Q23" s="98"/>
      <c r="R23" s="30"/>
      <c r="S23" s="30"/>
      <c r="T23" s="98"/>
      <c r="U23" s="98"/>
      <c r="V23" s="108"/>
      <c r="W23" s="30"/>
      <c r="X23" s="30"/>
      <c r="Y23" s="98"/>
      <c r="Z23" s="98"/>
    </row>
    <row r="24" spans="1:26" s="54" customFormat="1" x14ac:dyDescent="0.2">
      <c r="A24" s="33">
        <v>9</v>
      </c>
      <c r="B24" s="35">
        <v>19</v>
      </c>
      <c r="C24" s="34" t="s">
        <v>32</v>
      </c>
      <c r="D24" s="35"/>
      <c r="E24" s="35"/>
      <c r="F24" s="35"/>
      <c r="G24" s="35"/>
      <c r="H24" s="35"/>
      <c r="I24" s="35"/>
      <c r="J24" s="35"/>
      <c r="K24" s="35"/>
      <c r="L24" s="35"/>
      <c r="M24" s="36"/>
      <c r="N24" s="36">
        <v>26000</v>
      </c>
      <c r="O24" s="36">
        <v>24000</v>
      </c>
      <c r="P24" s="37">
        <v>45606</v>
      </c>
      <c r="Q24" s="37">
        <v>45619</v>
      </c>
      <c r="R24" s="38"/>
      <c r="S24" s="38"/>
      <c r="T24" s="38"/>
      <c r="U24" s="38"/>
      <c r="V24" s="37">
        <v>45631</v>
      </c>
      <c r="W24" s="38"/>
      <c r="X24" s="38"/>
      <c r="Y24" s="37" t="s">
        <v>52</v>
      </c>
      <c r="Z24" s="37">
        <f>V24+7</f>
        <v>45638</v>
      </c>
    </row>
    <row r="25" spans="1:26" s="58" customFormat="1" x14ac:dyDescent="0.2">
      <c r="A25" s="117">
        <v>10</v>
      </c>
      <c r="B25" s="55">
        <v>20</v>
      </c>
      <c r="C25" s="55" t="s">
        <v>32</v>
      </c>
      <c r="D25" s="55">
        <v>1680</v>
      </c>
      <c r="E25" s="55"/>
      <c r="F25" s="55"/>
      <c r="G25" s="55"/>
      <c r="H25" s="56"/>
      <c r="I25" s="56"/>
      <c r="J25" s="56"/>
      <c r="K25" s="56"/>
      <c r="L25" s="56"/>
      <c r="M25" s="56">
        <v>0</v>
      </c>
      <c r="N25" s="56">
        <v>0</v>
      </c>
      <c r="O25" s="56">
        <v>0</v>
      </c>
      <c r="P25" s="95">
        <v>45628</v>
      </c>
      <c r="Q25" s="95">
        <v>45643</v>
      </c>
      <c r="R25" s="57"/>
      <c r="S25" s="57"/>
      <c r="T25" s="95"/>
      <c r="U25" s="57"/>
      <c r="V25" s="95">
        <f>Q25+18</f>
        <v>45661</v>
      </c>
      <c r="W25" s="57"/>
      <c r="X25" s="57"/>
      <c r="Y25" s="95" t="s">
        <v>28</v>
      </c>
      <c r="Z25" s="95">
        <f t="shared" si="1"/>
        <v>45668</v>
      </c>
    </row>
    <row r="26" spans="1:26" s="58" customFormat="1" x14ac:dyDescent="0.2">
      <c r="A26" s="117"/>
      <c r="B26" s="56">
        <v>21</v>
      </c>
      <c r="C26" s="55" t="s">
        <v>32</v>
      </c>
      <c r="D26" s="56"/>
      <c r="E26" s="56"/>
      <c r="F26" s="56"/>
      <c r="G26" s="56"/>
      <c r="H26" s="56">
        <v>24000</v>
      </c>
      <c r="I26" s="56">
        <v>38400</v>
      </c>
      <c r="J26" s="56">
        <v>0</v>
      </c>
      <c r="K26" s="56">
        <v>31944</v>
      </c>
      <c r="L26" s="56"/>
      <c r="M26" s="56">
        <v>0</v>
      </c>
      <c r="N26" s="56">
        <v>0</v>
      </c>
      <c r="O26" s="56">
        <v>0</v>
      </c>
      <c r="P26" s="104"/>
      <c r="Q26" s="104"/>
      <c r="R26" s="57"/>
      <c r="S26" s="57"/>
      <c r="T26" s="104"/>
      <c r="U26" s="57"/>
      <c r="V26" s="104"/>
      <c r="W26" s="57"/>
      <c r="X26" s="57"/>
      <c r="Y26" s="104"/>
      <c r="Z26" s="104"/>
    </row>
    <row r="27" spans="1:26" s="58" customFormat="1" x14ac:dyDescent="0.2">
      <c r="A27" s="101"/>
      <c r="B27" s="55">
        <v>22</v>
      </c>
      <c r="C27" s="55" t="s">
        <v>32</v>
      </c>
      <c r="D27" s="55">
        <v>1680</v>
      </c>
      <c r="E27" s="55"/>
      <c r="F27" s="55"/>
      <c r="G27" s="55"/>
      <c r="H27" s="56"/>
      <c r="I27" s="56"/>
      <c r="J27" s="56"/>
      <c r="K27" s="56"/>
      <c r="L27" s="56"/>
      <c r="M27" s="56">
        <v>0</v>
      </c>
      <c r="N27" s="56">
        <v>0</v>
      </c>
      <c r="O27" s="56">
        <v>0</v>
      </c>
      <c r="P27" s="96"/>
      <c r="Q27" s="96"/>
      <c r="R27" s="57"/>
      <c r="S27" s="57"/>
      <c r="T27" s="96"/>
      <c r="U27" s="57"/>
      <c r="V27" s="96"/>
      <c r="W27" s="57"/>
      <c r="X27" s="57"/>
      <c r="Y27" s="96"/>
      <c r="Z27" s="96"/>
    </row>
    <row r="28" spans="1:26" s="58" customFormat="1" x14ac:dyDescent="0.2">
      <c r="A28" s="100">
        <v>11</v>
      </c>
      <c r="B28" s="56">
        <v>23</v>
      </c>
      <c r="C28" s="55" t="s">
        <v>32</v>
      </c>
      <c r="D28" s="56">
        <v>1680</v>
      </c>
      <c r="E28" s="56"/>
      <c r="F28" s="56"/>
      <c r="G28" s="56"/>
      <c r="H28" s="56"/>
      <c r="I28" s="56"/>
      <c r="J28" s="56"/>
      <c r="K28" s="56"/>
      <c r="L28" s="56"/>
      <c r="M28" s="56">
        <v>0</v>
      </c>
      <c r="N28" s="56">
        <v>0</v>
      </c>
      <c r="O28" s="56">
        <v>0</v>
      </c>
      <c r="P28" s="95">
        <v>45635</v>
      </c>
      <c r="Q28" s="95">
        <v>45646</v>
      </c>
      <c r="R28" s="57"/>
      <c r="S28" s="57"/>
      <c r="T28" s="95" t="s">
        <v>67</v>
      </c>
      <c r="U28" s="57" t="s">
        <v>68</v>
      </c>
      <c r="V28" s="95">
        <v>45661</v>
      </c>
      <c r="W28" s="57"/>
      <c r="X28" s="57"/>
      <c r="Y28" s="95" t="s">
        <v>28</v>
      </c>
      <c r="Z28" s="95">
        <f t="shared" si="1"/>
        <v>45668</v>
      </c>
    </row>
    <row r="29" spans="1:26" s="58" customFormat="1" x14ac:dyDescent="0.2">
      <c r="A29" s="101"/>
      <c r="B29" s="55">
        <v>24</v>
      </c>
      <c r="C29" s="55" t="s">
        <v>32</v>
      </c>
      <c r="D29" s="55">
        <v>1680</v>
      </c>
      <c r="E29" s="55"/>
      <c r="F29" s="55"/>
      <c r="G29" s="55"/>
      <c r="H29" s="56"/>
      <c r="I29" s="56"/>
      <c r="J29" s="56"/>
      <c r="K29" s="56"/>
      <c r="L29" s="56"/>
      <c r="M29" s="56">
        <v>0</v>
      </c>
      <c r="N29" s="56">
        <v>0</v>
      </c>
      <c r="O29" s="56">
        <v>0</v>
      </c>
      <c r="P29" s="96"/>
      <c r="Q29" s="96"/>
      <c r="R29" s="57"/>
      <c r="S29" s="57"/>
      <c r="T29" s="96"/>
      <c r="U29" s="57" t="s">
        <v>69</v>
      </c>
      <c r="V29" s="96"/>
      <c r="W29" s="57"/>
      <c r="X29" s="57"/>
      <c r="Y29" s="96"/>
      <c r="Z29" s="96"/>
    </row>
    <row r="30" spans="1:26" s="1" customFormat="1" x14ac:dyDescent="0.2">
      <c r="A30" s="93">
        <v>12</v>
      </c>
      <c r="B30" s="27">
        <v>25</v>
      </c>
      <c r="C30" s="26" t="s">
        <v>32</v>
      </c>
      <c r="D30" s="27">
        <v>1680</v>
      </c>
      <c r="E30" s="27"/>
      <c r="F30" s="27"/>
      <c r="G30" s="27"/>
      <c r="H30" s="27"/>
      <c r="I30" s="27"/>
      <c r="J30" s="27"/>
      <c r="K30" s="27"/>
      <c r="L30" s="27"/>
      <c r="M30" s="27">
        <v>0</v>
      </c>
      <c r="N30" s="27">
        <v>0</v>
      </c>
      <c r="O30" s="27">
        <v>0</v>
      </c>
      <c r="P30" s="97">
        <v>45646</v>
      </c>
      <c r="Q30" s="97">
        <v>45654</v>
      </c>
      <c r="R30" s="30"/>
      <c r="S30" s="30"/>
      <c r="T30" s="97" t="s">
        <v>70</v>
      </c>
      <c r="U30" s="30" t="s">
        <v>71</v>
      </c>
      <c r="V30" s="97">
        <v>45667</v>
      </c>
      <c r="W30" s="30"/>
      <c r="X30" s="30"/>
      <c r="Y30" s="97" t="s">
        <v>28</v>
      </c>
      <c r="Z30" s="97">
        <f t="shared" si="1"/>
        <v>45674</v>
      </c>
    </row>
    <row r="31" spans="1:26" s="1" customFormat="1" x14ac:dyDescent="0.2">
      <c r="A31" s="99"/>
      <c r="B31" s="26">
        <v>26</v>
      </c>
      <c r="C31" s="26" t="s">
        <v>32</v>
      </c>
      <c r="D31" s="26">
        <v>1680</v>
      </c>
      <c r="E31" s="26"/>
      <c r="F31" s="26"/>
      <c r="G31" s="26"/>
      <c r="H31" s="27"/>
      <c r="I31" s="27"/>
      <c r="J31" s="27"/>
      <c r="K31" s="27"/>
      <c r="L31" s="27"/>
      <c r="M31" s="27">
        <v>0</v>
      </c>
      <c r="N31" s="27">
        <v>0</v>
      </c>
      <c r="O31" s="27">
        <v>0</v>
      </c>
      <c r="P31" s="98"/>
      <c r="Q31" s="98"/>
      <c r="R31" s="30"/>
      <c r="S31" s="30"/>
      <c r="T31" s="98"/>
      <c r="U31" s="30" t="s">
        <v>72</v>
      </c>
      <c r="V31" s="98"/>
      <c r="W31" s="30"/>
      <c r="X31" s="30"/>
      <c r="Y31" s="98"/>
      <c r="Z31" s="98"/>
    </row>
    <row r="32" spans="1:26" s="65" customFormat="1" x14ac:dyDescent="0.2">
      <c r="A32" s="59">
        <v>13</v>
      </c>
      <c r="B32" s="60">
        <v>27</v>
      </c>
      <c r="C32" s="60" t="s">
        <v>32</v>
      </c>
      <c r="D32" s="60"/>
      <c r="E32" s="60"/>
      <c r="F32" s="60"/>
      <c r="G32" s="60"/>
      <c r="H32" s="61"/>
      <c r="I32" s="61"/>
      <c r="J32" s="61"/>
      <c r="K32" s="61"/>
      <c r="L32" s="61"/>
      <c r="M32" s="61">
        <v>14000</v>
      </c>
      <c r="N32" s="61">
        <v>26000</v>
      </c>
      <c r="O32" s="61">
        <v>24000</v>
      </c>
      <c r="P32" s="62">
        <v>45703</v>
      </c>
      <c r="Q32" s="63">
        <v>45715</v>
      </c>
      <c r="R32" s="64"/>
      <c r="S32" s="64"/>
      <c r="T32" s="64"/>
      <c r="U32" s="64"/>
      <c r="V32" s="63">
        <v>45733</v>
      </c>
      <c r="W32" s="64"/>
      <c r="X32" s="64"/>
      <c r="Y32" s="63" t="s">
        <v>52</v>
      </c>
      <c r="Z32" s="63">
        <f>V32+7</f>
        <v>45740</v>
      </c>
    </row>
    <row r="33" spans="1:26" s="1" customFormat="1" x14ac:dyDescent="0.2">
      <c r="A33" s="93">
        <v>14</v>
      </c>
      <c r="B33" s="27">
        <v>28</v>
      </c>
      <c r="C33" s="26" t="s">
        <v>32</v>
      </c>
      <c r="D33" s="27">
        <v>1680</v>
      </c>
      <c r="E33" s="27"/>
      <c r="F33" s="27"/>
      <c r="G33" s="27"/>
      <c r="H33" s="27"/>
      <c r="I33" s="27"/>
      <c r="J33" s="27"/>
      <c r="K33" s="27"/>
      <c r="L33" s="27"/>
      <c r="M33" s="27">
        <v>0</v>
      </c>
      <c r="N33" s="27">
        <v>0</v>
      </c>
      <c r="O33" s="27">
        <v>0</v>
      </c>
      <c r="P33" s="97">
        <v>45667</v>
      </c>
      <c r="Q33" s="97">
        <v>45684</v>
      </c>
      <c r="R33" s="30"/>
      <c r="S33" s="30"/>
      <c r="T33" s="30"/>
      <c r="U33" s="30"/>
      <c r="V33" s="97">
        <f>Q33+19</f>
        <v>45703</v>
      </c>
      <c r="W33" s="30"/>
      <c r="X33" s="30"/>
      <c r="Y33" s="97" t="s">
        <v>28</v>
      </c>
      <c r="Z33" s="97">
        <f t="shared" si="1"/>
        <v>45710</v>
      </c>
    </row>
    <row r="34" spans="1:26" s="1" customFormat="1" x14ac:dyDescent="0.2">
      <c r="A34" s="94"/>
      <c r="B34" s="26">
        <v>29</v>
      </c>
      <c r="C34" s="26" t="s">
        <v>32</v>
      </c>
      <c r="D34" s="26">
        <v>426</v>
      </c>
      <c r="E34" s="26"/>
      <c r="F34" s="26"/>
      <c r="G34" s="26"/>
      <c r="H34" s="27">
        <v>16000</v>
      </c>
      <c r="I34" s="27">
        <v>38400</v>
      </c>
      <c r="J34" s="27"/>
      <c r="K34" s="27"/>
      <c r="L34" s="27"/>
      <c r="M34" s="27">
        <v>0</v>
      </c>
      <c r="N34" s="27">
        <v>0</v>
      </c>
      <c r="O34" s="27">
        <v>0</v>
      </c>
      <c r="P34" s="88"/>
      <c r="Q34" s="88"/>
      <c r="R34" s="30"/>
      <c r="S34" s="30"/>
      <c r="T34" s="30"/>
      <c r="U34" s="30"/>
      <c r="V34" s="88"/>
      <c r="W34" s="30"/>
      <c r="X34" s="30"/>
      <c r="Y34" s="88"/>
      <c r="Z34" s="88"/>
    </row>
    <row r="35" spans="1:26" s="1" customFormat="1" x14ac:dyDescent="0.2">
      <c r="A35" s="94"/>
      <c r="B35" s="27">
        <v>30</v>
      </c>
      <c r="C35" s="26" t="s">
        <v>32</v>
      </c>
      <c r="D35" s="27">
        <v>1680</v>
      </c>
      <c r="E35" s="27"/>
      <c r="F35" s="27"/>
      <c r="G35" s="27"/>
      <c r="H35" s="27"/>
      <c r="I35" s="27"/>
      <c r="J35" s="27"/>
      <c r="K35" s="27"/>
      <c r="L35" s="27"/>
      <c r="M35" s="27">
        <v>0</v>
      </c>
      <c r="N35" s="27">
        <v>0</v>
      </c>
      <c r="O35" s="27">
        <v>0</v>
      </c>
      <c r="P35" s="98"/>
      <c r="Q35" s="98"/>
      <c r="R35" s="30"/>
      <c r="S35" s="30"/>
      <c r="T35" s="30"/>
      <c r="U35" s="30"/>
      <c r="V35" s="98"/>
      <c r="W35" s="30"/>
      <c r="X35" s="30"/>
      <c r="Y35" s="98"/>
      <c r="Z35" s="98"/>
    </row>
    <row r="36" spans="1:26" s="71" customFormat="1" x14ac:dyDescent="0.2">
      <c r="A36" s="66"/>
      <c r="B36" s="67">
        <v>31</v>
      </c>
      <c r="C36" s="68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9"/>
      <c r="Q36" s="69"/>
      <c r="R36" s="70"/>
      <c r="S36" s="70"/>
      <c r="T36" s="70"/>
      <c r="U36" s="70"/>
      <c r="V36" s="69"/>
      <c r="W36" s="70"/>
      <c r="X36" s="70"/>
      <c r="Y36" s="69"/>
      <c r="Z36" s="69"/>
    </row>
    <row r="37" spans="1:26" s="1" customFormat="1" x14ac:dyDescent="0.2">
      <c r="A37" s="50">
        <v>15</v>
      </c>
      <c r="B37" s="26">
        <v>31</v>
      </c>
      <c r="C37" s="26" t="s">
        <v>32</v>
      </c>
      <c r="D37" s="26">
        <v>1260</v>
      </c>
      <c r="E37" s="26">
        <v>0</v>
      </c>
      <c r="F37" s="26">
        <v>0</v>
      </c>
      <c r="G37" s="26">
        <v>0</v>
      </c>
      <c r="H37" s="27"/>
      <c r="I37" s="27"/>
      <c r="J37" s="27"/>
      <c r="K37" s="27"/>
      <c r="L37" s="27">
        <v>18000</v>
      </c>
      <c r="M37" s="27">
        <v>0</v>
      </c>
      <c r="N37" s="27">
        <v>0</v>
      </c>
      <c r="O37" s="27">
        <v>0</v>
      </c>
      <c r="P37" s="30">
        <v>45727</v>
      </c>
      <c r="Q37" s="30">
        <v>45737</v>
      </c>
      <c r="R37" s="30"/>
      <c r="S37" s="30"/>
      <c r="T37" s="30"/>
      <c r="U37" s="30"/>
      <c r="V37" s="30">
        <v>45753</v>
      </c>
      <c r="W37" s="30"/>
      <c r="X37" s="30"/>
      <c r="Y37" s="30" t="s">
        <v>28</v>
      </c>
      <c r="Z37" s="30">
        <f t="shared" ref="Z37:Z44" si="2">V37+7</f>
        <v>45760</v>
      </c>
    </row>
    <row r="38" spans="1:26" s="1" customFormat="1" x14ac:dyDescent="0.2">
      <c r="A38" s="94">
        <v>16</v>
      </c>
      <c r="B38" s="26">
        <v>32</v>
      </c>
      <c r="C38" s="26" t="s">
        <v>32</v>
      </c>
      <c r="D38" s="26">
        <v>720</v>
      </c>
      <c r="E38" s="26">
        <v>0</v>
      </c>
      <c r="F38" s="26">
        <v>0</v>
      </c>
      <c r="G38" s="26">
        <v>0</v>
      </c>
      <c r="H38" s="26">
        <v>15944</v>
      </c>
      <c r="I38" s="26">
        <v>38400</v>
      </c>
      <c r="J38" s="27"/>
      <c r="K38" s="27"/>
      <c r="L38" s="27"/>
      <c r="M38" s="27">
        <v>0</v>
      </c>
      <c r="N38" s="27">
        <v>0</v>
      </c>
      <c r="O38" s="27">
        <v>0</v>
      </c>
      <c r="P38" s="88">
        <v>45740</v>
      </c>
      <c r="Q38" s="88">
        <v>45749</v>
      </c>
      <c r="R38" s="30"/>
      <c r="S38" s="30"/>
      <c r="T38" s="30"/>
      <c r="U38" s="30"/>
      <c r="V38" s="88">
        <v>45765</v>
      </c>
      <c r="W38" s="30"/>
      <c r="X38" s="30"/>
      <c r="Y38" s="30" t="s">
        <v>28</v>
      </c>
      <c r="Z38" s="88">
        <f>V38+7</f>
        <v>45772</v>
      </c>
    </row>
    <row r="39" spans="1:26" s="1" customFormat="1" x14ac:dyDescent="0.2">
      <c r="A39" s="94"/>
      <c r="B39" s="27">
        <v>33</v>
      </c>
      <c r="C39" s="26" t="s">
        <v>32</v>
      </c>
      <c r="D39" s="27">
        <v>1680</v>
      </c>
      <c r="E39" s="26">
        <v>0</v>
      </c>
      <c r="F39" s="26">
        <v>0</v>
      </c>
      <c r="G39" s="26">
        <v>0</v>
      </c>
      <c r="H39" s="27"/>
      <c r="I39" s="27"/>
      <c r="J39" s="27"/>
      <c r="K39" s="27"/>
      <c r="L39" s="27"/>
      <c r="M39" s="27">
        <v>0</v>
      </c>
      <c r="N39" s="27">
        <v>0</v>
      </c>
      <c r="O39" s="27">
        <v>0</v>
      </c>
      <c r="P39" s="88"/>
      <c r="Q39" s="88"/>
      <c r="R39" s="30"/>
      <c r="S39" s="30"/>
      <c r="T39" s="30"/>
      <c r="U39" s="30"/>
      <c r="V39" s="88"/>
      <c r="W39" s="30"/>
      <c r="X39" s="30"/>
      <c r="Y39" s="30" t="s">
        <v>28</v>
      </c>
      <c r="Z39" s="88"/>
    </row>
    <row r="40" spans="1:26" s="1" customFormat="1" x14ac:dyDescent="0.2">
      <c r="A40" s="94"/>
      <c r="B40" s="36">
        <v>34</v>
      </c>
      <c r="C40" s="49" t="s">
        <v>32</v>
      </c>
      <c r="D40" s="36"/>
      <c r="E40" s="49">
        <v>0</v>
      </c>
      <c r="F40" s="49">
        <v>0</v>
      </c>
      <c r="G40" s="49">
        <v>0</v>
      </c>
      <c r="H40" s="36"/>
      <c r="I40" s="36"/>
      <c r="J40" s="36"/>
      <c r="K40" s="36"/>
      <c r="L40" s="36"/>
      <c r="M40" s="36">
        <v>14000</v>
      </c>
      <c r="N40" s="36">
        <v>26000</v>
      </c>
      <c r="O40" s="36">
        <v>28000</v>
      </c>
      <c r="P40" s="88"/>
      <c r="Q40" s="88"/>
      <c r="R40" s="48"/>
      <c r="S40" s="48"/>
      <c r="T40" s="48"/>
      <c r="U40" s="48"/>
      <c r="V40" s="88"/>
      <c r="W40" s="48"/>
      <c r="X40" s="48"/>
      <c r="Y40" s="29" t="s">
        <v>52</v>
      </c>
      <c r="Z40" s="88"/>
    </row>
    <row r="41" spans="1:26" s="65" customFormat="1" x14ac:dyDescent="0.2">
      <c r="A41" s="76">
        <v>17</v>
      </c>
      <c r="B41" s="27">
        <v>35</v>
      </c>
      <c r="C41" s="26" t="s">
        <v>32</v>
      </c>
      <c r="D41" s="27">
        <v>1680</v>
      </c>
      <c r="E41" s="26">
        <v>0</v>
      </c>
      <c r="F41" s="26">
        <v>0</v>
      </c>
      <c r="G41" s="26">
        <v>0</v>
      </c>
      <c r="H41" s="27"/>
      <c r="I41" s="27"/>
      <c r="J41" s="27"/>
      <c r="K41" s="27"/>
      <c r="L41" s="27"/>
      <c r="M41" s="27">
        <v>0</v>
      </c>
      <c r="N41" s="27">
        <v>0</v>
      </c>
      <c r="O41" s="27">
        <v>0</v>
      </c>
      <c r="P41" s="31">
        <v>45744</v>
      </c>
      <c r="Q41" s="30">
        <v>45751</v>
      </c>
      <c r="R41" s="30"/>
      <c r="S41" s="30"/>
      <c r="T41" s="30"/>
      <c r="U41" s="30"/>
      <c r="V41" s="30">
        <f>Q41+15</f>
        <v>45766</v>
      </c>
      <c r="W41" s="30"/>
      <c r="X41" s="30"/>
      <c r="Y41" s="30" t="s">
        <v>28</v>
      </c>
      <c r="Z41" s="30">
        <f t="shared" si="2"/>
        <v>45773</v>
      </c>
    </row>
    <row r="42" spans="1:26" x14ac:dyDescent="0.2">
      <c r="A42" s="93">
        <v>18</v>
      </c>
      <c r="B42" s="27">
        <v>36</v>
      </c>
      <c r="C42" s="26" t="s">
        <v>32</v>
      </c>
      <c r="D42" s="27">
        <v>1680</v>
      </c>
      <c r="E42" s="26">
        <v>0</v>
      </c>
      <c r="F42" s="26">
        <v>0</v>
      </c>
      <c r="G42" s="26">
        <v>0</v>
      </c>
      <c r="H42" s="27"/>
      <c r="I42" s="27"/>
      <c r="J42" s="27"/>
      <c r="K42" s="27"/>
      <c r="L42" s="27"/>
      <c r="M42" s="27">
        <v>0</v>
      </c>
      <c r="N42" s="27">
        <v>0</v>
      </c>
      <c r="O42" s="27">
        <v>0</v>
      </c>
      <c r="P42" s="88">
        <v>45750</v>
      </c>
      <c r="Q42" s="88">
        <v>45758</v>
      </c>
      <c r="R42" s="30"/>
      <c r="S42" s="30"/>
      <c r="T42" s="30"/>
      <c r="U42" s="30"/>
      <c r="V42" s="88">
        <f>Q42+15</f>
        <v>45773</v>
      </c>
      <c r="W42" s="30"/>
      <c r="X42" s="30"/>
      <c r="Y42" s="30" t="s">
        <v>28</v>
      </c>
      <c r="Z42" s="88">
        <f>V42+7</f>
        <v>45780</v>
      </c>
    </row>
    <row r="43" spans="1:26" x14ac:dyDescent="0.2">
      <c r="A43" s="94"/>
      <c r="B43" s="27">
        <v>37</v>
      </c>
      <c r="C43" s="26" t="s">
        <v>32</v>
      </c>
      <c r="D43" s="27">
        <v>1680</v>
      </c>
      <c r="E43" s="27">
        <v>0</v>
      </c>
      <c r="F43" s="27">
        <v>0</v>
      </c>
      <c r="G43" s="27">
        <v>0</v>
      </c>
      <c r="H43" s="27"/>
      <c r="I43" s="27"/>
      <c r="J43" s="27"/>
      <c r="K43" s="27"/>
      <c r="L43" s="27"/>
      <c r="M43" s="27">
        <v>0</v>
      </c>
      <c r="N43" s="27">
        <v>0</v>
      </c>
      <c r="O43" s="27">
        <v>0</v>
      </c>
      <c r="P43" s="88"/>
      <c r="Q43" s="88"/>
      <c r="R43" s="30"/>
      <c r="S43" s="30"/>
      <c r="T43" s="30"/>
      <c r="U43" s="30"/>
      <c r="V43" s="88"/>
      <c r="W43" s="30"/>
      <c r="X43" s="30"/>
      <c r="Y43" s="30" t="s">
        <v>28</v>
      </c>
      <c r="Z43" s="88"/>
    </row>
    <row r="44" spans="1:26" s="65" customFormat="1" x14ac:dyDescent="0.2">
      <c r="A44" s="73">
        <v>19</v>
      </c>
      <c r="B44" s="60">
        <v>38</v>
      </c>
      <c r="C44" s="60" t="s">
        <v>32</v>
      </c>
      <c r="D44" s="60">
        <v>1680</v>
      </c>
      <c r="E44" s="60">
        <v>0</v>
      </c>
      <c r="F44" s="60">
        <v>0</v>
      </c>
      <c r="G44" s="60">
        <v>0</v>
      </c>
      <c r="H44" s="61"/>
      <c r="I44" s="61"/>
      <c r="J44" s="61"/>
      <c r="K44" s="61"/>
      <c r="L44" s="61"/>
      <c r="M44" s="61">
        <v>0</v>
      </c>
      <c r="N44" s="61">
        <v>0</v>
      </c>
      <c r="O44" s="61">
        <v>0</v>
      </c>
      <c r="P44" s="63">
        <v>45755</v>
      </c>
      <c r="Q44" s="64">
        <f t="shared" ref="Q44" si="3">P44+7</f>
        <v>45762</v>
      </c>
      <c r="R44" s="64"/>
      <c r="S44" s="64"/>
      <c r="T44" s="64"/>
      <c r="U44" s="64"/>
      <c r="V44" s="64">
        <f t="shared" ref="V44" si="4">Q44+21</f>
        <v>45783</v>
      </c>
      <c r="W44" s="64"/>
      <c r="X44" s="64"/>
      <c r="Y44" s="64" t="s">
        <v>28</v>
      </c>
      <c r="Z44" s="64">
        <f t="shared" si="2"/>
        <v>45790</v>
      </c>
    </row>
    <row r="45" spans="1:26" x14ac:dyDescent="0.2">
      <c r="A45" s="89">
        <v>20</v>
      </c>
      <c r="B45" s="40">
        <v>39</v>
      </c>
      <c r="C45" s="39" t="s">
        <v>32</v>
      </c>
      <c r="D45" s="40">
        <v>1680</v>
      </c>
      <c r="E45" s="40">
        <v>0</v>
      </c>
      <c r="F45" s="40">
        <v>0</v>
      </c>
      <c r="G45" s="40">
        <v>0</v>
      </c>
      <c r="H45" s="40"/>
      <c r="I45" s="40"/>
      <c r="J45" s="40"/>
      <c r="K45" s="40"/>
      <c r="L45" s="40"/>
      <c r="M45" s="40">
        <v>0</v>
      </c>
      <c r="N45" s="40">
        <v>0</v>
      </c>
      <c r="O45" s="40">
        <v>0</v>
      </c>
      <c r="P45" s="91">
        <f>P44+7</f>
        <v>45762</v>
      </c>
      <c r="Q45" s="87">
        <f>P45+7</f>
        <v>45769</v>
      </c>
      <c r="R45" s="41"/>
      <c r="S45" s="41"/>
      <c r="T45" s="41"/>
      <c r="U45" s="41"/>
      <c r="V45" s="87">
        <f>Q45+21</f>
        <v>45790</v>
      </c>
      <c r="W45" s="41"/>
      <c r="X45" s="41"/>
      <c r="Y45" s="41" t="s">
        <v>28</v>
      </c>
      <c r="Z45" s="87">
        <f>V45+7</f>
        <v>45797</v>
      </c>
    </row>
    <row r="46" spans="1:26" x14ac:dyDescent="0.2">
      <c r="A46" s="90"/>
      <c r="B46" s="39">
        <v>40</v>
      </c>
      <c r="C46" s="39" t="s">
        <v>32</v>
      </c>
      <c r="D46" s="39">
        <v>1680</v>
      </c>
      <c r="E46" s="39">
        <v>0</v>
      </c>
      <c r="F46" s="39">
        <v>0</v>
      </c>
      <c r="G46" s="39">
        <v>0</v>
      </c>
      <c r="H46" s="40"/>
      <c r="I46" s="40"/>
      <c r="J46" s="40"/>
      <c r="K46" s="40"/>
      <c r="L46" s="40"/>
      <c r="M46" s="40">
        <v>0</v>
      </c>
      <c r="N46" s="40">
        <v>0</v>
      </c>
      <c r="O46" s="40">
        <v>0</v>
      </c>
      <c r="P46" s="92"/>
      <c r="Q46" s="87"/>
      <c r="R46" s="41"/>
      <c r="S46" s="41"/>
      <c r="T46" s="41"/>
      <c r="U46" s="41"/>
      <c r="V46" s="87"/>
      <c r="W46" s="41"/>
      <c r="X46" s="41"/>
      <c r="Y46" s="41" t="s">
        <v>28</v>
      </c>
      <c r="Z46" s="87"/>
    </row>
    <row r="47" spans="1:26" s="65" customFormat="1" x14ac:dyDescent="0.2">
      <c r="A47" s="82">
        <v>21</v>
      </c>
      <c r="B47" s="61">
        <v>41</v>
      </c>
      <c r="C47" s="60"/>
      <c r="D47" s="61">
        <v>1680</v>
      </c>
      <c r="E47" s="60"/>
      <c r="F47" s="60"/>
      <c r="G47" s="60"/>
      <c r="H47" s="61"/>
      <c r="I47" s="61"/>
      <c r="J47" s="61"/>
      <c r="K47" s="61"/>
      <c r="L47" s="61"/>
      <c r="M47" s="61"/>
      <c r="N47" s="61"/>
      <c r="O47" s="61"/>
      <c r="P47" s="84">
        <v>45776</v>
      </c>
      <c r="Q47" s="84">
        <f>P47+7</f>
        <v>45783</v>
      </c>
      <c r="R47" s="64"/>
      <c r="S47" s="64"/>
      <c r="T47" s="64"/>
      <c r="U47" s="64"/>
      <c r="V47" s="84">
        <f>Q47+21</f>
        <v>45804</v>
      </c>
      <c r="W47" s="64"/>
      <c r="X47" s="64"/>
      <c r="Y47" s="64" t="s">
        <v>28</v>
      </c>
      <c r="Z47" s="84">
        <f>V47+7</f>
        <v>45811</v>
      </c>
    </row>
    <row r="48" spans="1:26" x14ac:dyDescent="0.2">
      <c r="A48" s="83"/>
      <c r="B48" s="60">
        <v>42</v>
      </c>
      <c r="C48" s="60" t="s">
        <v>32</v>
      </c>
      <c r="D48" s="60">
        <v>1440</v>
      </c>
      <c r="E48" s="60">
        <v>0</v>
      </c>
      <c r="F48" s="60">
        <v>0</v>
      </c>
      <c r="G48" s="60">
        <v>0</v>
      </c>
      <c r="H48" s="61"/>
      <c r="I48" s="61"/>
      <c r="J48" s="61"/>
      <c r="K48" s="61"/>
      <c r="L48" s="61">
        <v>9972</v>
      </c>
      <c r="M48" s="61">
        <v>0</v>
      </c>
      <c r="N48" s="61">
        <v>0</v>
      </c>
      <c r="O48" s="61">
        <v>0</v>
      </c>
      <c r="P48" s="85"/>
      <c r="Q48" s="85"/>
      <c r="R48" s="64"/>
      <c r="S48" s="64"/>
      <c r="T48" s="64"/>
      <c r="U48" s="64"/>
      <c r="V48" s="85"/>
      <c r="W48" s="64"/>
      <c r="X48" s="64"/>
      <c r="Y48" s="64" t="s">
        <v>28</v>
      </c>
      <c r="Z48" s="85"/>
    </row>
    <row r="49" spans="1:26" x14ac:dyDescent="0.2">
      <c r="A49" s="83"/>
      <c r="B49" s="61">
        <v>43</v>
      </c>
      <c r="C49" s="60" t="s">
        <v>32</v>
      </c>
      <c r="D49" s="61">
        <v>1680</v>
      </c>
      <c r="E49" s="60">
        <v>0</v>
      </c>
      <c r="F49" s="60">
        <v>0</v>
      </c>
      <c r="G49" s="60">
        <v>0</v>
      </c>
      <c r="H49" s="61"/>
      <c r="I49" s="61"/>
      <c r="J49" s="61"/>
      <c r="K49" s="61"/>
      <c r="L49" s="61"/>
      <c r="M49" s="61"/>
      <c r="N49" s="61"/>
      <c r="O49" s="61"/>
      <c r="P49" s="85"/>
      <c r="Q49" s="85"/>
      <c r="R49" s="64"/>
      <c r="S49" s="64"/>
      <c r="T49" s="64"/>
      <c r="U49" s="64"/>
      <c r="V49" s="85"/>
      <c r="W49" s="64"/>
      <c r="X49" s="64"/>
      <c r="Y49" s="64" t="s">
        <v>28</v>
      </c>
      <c r="Z49" s="85"/>
    </row>
    <row r="50" spans="1:26" s="72" customFormat="1" x14ac:dyDescent="0.2">
      <c r="A50" s="83"/>
      <c r="B50" s="36">
        <v>44</v>
      </c>
      <c r="C50" s="49" t="s">
        <v>32</v>
      </c>
      <c r="D50" s="36"/>
      <c r="E50" s="36">
        <v>0</v>
      </c>
      <c r="F50" s="36">
        <v>0</v>
      </c>
      <c r="G50" s="36">
        <v>0</v>
      </c>
      <c r="H50" s="36"/>
      <c r="I50" s="36"/>
      <c r="J50" s="36"/>
      <c r="K50" s="36"/>
      <c r="L50" s="36"/>
      <c r="M50" s="36">
        <v>9972</v>
      </c>
      <c r="N50" s="36">
        <v>23944</v>
      </c>
      <c r="O50" s="36">
        <v>20000</v>
      </c>
      <c r="P50" s="85"/>
      <c r="Q50" s="85"/>
      <c r="R50" s="48"/>
      <c r="S50" s="48"/>
      <c r="T50" s="48"/>
      <c r="U50" s="48"/>
      <c r="V50" s="78"/>
      <c r="W50" s="48"/>
      <c r="X50" s="48"/>
      <c r="Y50" s="29" t="s">
        <v>52</v>
      </c>
      <c r="Z50" s="78"/>
    </row>
    <row r="51" spans="1:26" s="65" customFormat="1" x14ac:dyDescent="0.2">
      <c r="A51" s="113">
        <v>22</v>
      </c>
      <c r="B51" s="40">
        <v>45</v>
      </c>
      <c r="C51" s="39" t="s">
        <v>32</v>
      </c>
      <c r="D51" s="40">
        <v>1680</v>
      </c>
      <c r="E51" s="39">
        <v>0</v>
      </c>
      <c r="F51" s="39">
        <v>0</v>
      </c>
      <c r="G51" s="39">
        <v>0</v>
      </c>
      <c r="H51" s="40"/>
      <c r="I51" s="40"/>
      <c r="J51" s="40"/>
      <c r="K51" s="40"/>
      <c r="L51" s="40"/>
      <c r="M51" s="40"/>
      <c r="N51" s="40"/>
      <c r="O51" s="40"/>
      <c r="P51" s="86">
        <v>45790</v>
      </c>
      <c r="Q51" s="86">
        <f>P51+7</f>
        <v>45797</v>
      </c>
      <c r="R51" s="41"/>
      <c r="S51" s="41"/>
      <c r="T51" s="41"/>
      <c r="U51" s="41"/>
      <c r="V51" s="86">
        <f>Q51+21</f>
        <v>45818</v>
      </c>
      <c r="W51" s="41"/>
      <c r="X51" s="41"/>
      <c r="Y51" s="41" t="s">
        <v>28</v>
      </c>
      <c r="Z51" s="86">
        <f>V51+7</f>
        <v>45825</v>
      </c>
    </row>
    <row r="52" spans="1:26" s="65" customFormat="1" x14ac:dyDescent="0.2">
      <c r="A52" s="113"/>
      <c r="B52" s="40">
        <v>46</v>
      </c>
      <c r="C52" s="39" t="s">
        <v>32</v>
      </c>
      <c r="D52" s="40">
        <v>1680</v>
      </c>
      <c r="E52" s="39">
        <v>0</v>
      </c>
      <c r="F52" s="39">
        <v>0</v>
      </c>
      <c r="G52" s="39">
        <v>0</v>
      </c>
      <c r="H52" s="40"/>
      <c r="I52" s="40"/>
      <c r="J52" s="40"/>
      <c r="K52" s="40"/>
      <c r="L52" s="40"/>
      <c r="M52" s="40">
        <v>0</v>
      </c>
      <c r="N52" s="40">
        <v>0</v>
      </c>
      <c r="O52" s="40">
        <v>0</v>
      </c>
      <c r="P52" s="86"/>
      <c r="Q52" s="86"/>
      <c r="R52" s="41"/>
      <c r="S52" s="41"/>
      <c r="T52" s="41"/>
      <c r="U52" s="41"/>
      <c r="V52" s="86"/>
      <c r="W52" s="41"/>
      <c r="X52" s="41"/>
      <c r="Y52" s="41" t="s">
        <v>28</v>
      </c>
      <c r="Z52" s="86"/>
    </row>
    <row r="53" spans="1:26" x14ac:dyDescent="0.2">
      <c r="A53" s="83">
        <v>23</v>
      </c>
      <c r="B53" s="60">
        <v>47</v>
      </c>
      <c r="C53" s="60" t="s">
        <v>32</v>
      </c>
      <c r="D53" s="60">
        <v>1680</v>
      </c>
      <c r="E53" s="60">
        <v>0</v>
      </c>
      <c r="F53" s="60">
        <v>0</v>
      </c>
      <c r="G53" s="60">
        <v>0</v>
      </c>
      <c r="H53" s="61"/>
      <c r="I53" s="61"/>
      <c r="J53" s="61"/>
      <c r="K53" s="61"/>
      <c r="L53" s="61"/>
      <c r="M53" s="61">
        <v>0</v>
      </c>
      <c r="N53" s="61">
        <v>0</v>
      </c>
      <c r="O53" s="61">
        <v>0</v>
      </c>
      <c r="P53" s="114">
        <v>45804</v>
      </c>
      <c r="Q53" s="114">
        <f>P53+7</f>
        <v>45811</v>
      </c>
      <c r="R53" s="64"/>
      <c r="S53" s="64"/>
      <c r="T53" s="64"/>
      <c r="U53" s="64"/>
      <c r="V53" s="85">
        <f>Q53+21</f>
        <v>45832</v>
      </c>
      <c r="W53" s="64"/>
      <c r="X53" s="64"/>
      <c r="Y53" s="64" t="s">
        <v>28</v>
      </c>
      <c r="Z53" s="85">
        <f>V53+7</f>
        <v>45839</v>
      </c>
    </row>
    <row r="54" spans="1:26" s="65" customFormat="1" x14ac:dyDescent="0.2">
      <c r="A54" s="83"/>
      <c r="B54" s="60">
        <v>48</v>
      </c>
      <c r="C54" s="60" t="s">
        <v>32</v>
      </c>
      <c r="D54" s="60">
        <v>1680</v>
      </c>
      <c r="E54" s="60">
        <v>0</v>
      </c>
      <c r="F54" s="60">
        <v>0</v>
      </c>
      <c r="G54" s="60">
        <v>0</v>
      </c>
      <c r="H54" s="61"/>
      <c r="I54" s="61"/>
      <c r="J54" s="61"/>
      <c r="K54" s="61"/>
      <c r="L54" s="61"/>
      <c r="M54" s="61">
        <v>0</v>
      </c>
      <c r="N54" s="61">
        <v>0</v>
      </c>
      <c r="O54" s="61">
        <v>0</v>
      </c>
      <c r="P54" s="114"/>
      <c r="Q54" s="114"/>
      <c r="R54" s="64"/>
      <c r="S54" s="64"/>
      <c r="T54" s="64"/>
      <c r="U54" s="64"/>
      <c r="V54" s="85"/>
      <c r="W54" s="64"/>
      <c r="X54" s="64"/>
      <c r="Y54" s="64" t="s">
        <v>28</v>
      </c>
      <c r="Z54" s="85"/>
    </row>
    <row r="55" spans="1:26" s="65" customFormat="1" x14ac:dyDescent="0.2">
      <c r="A55" s="113">
        <v>24</v>
      </c>
      <c r="B55" s="40">
        <v>49</v>
      </c>
      <c r="C55" s="39" t="s">
        <v>32</v>
      </c>
      <c r="D55" s="40">
        <v>650</v>
      </c>
      <c r="E55" s="40">
        <v>1034</v>
      </c>
      <c r="F55" s="40"/>
      <c r="G55" s="40">
        <v>0</v>
      </c>
      <c r="H55" s="40"/>
      <c r="I55" s="40"/>
      <c r="J55" s="40"/>
      <c r="K55" s="40"/>
      <c r="L55" s="40"/>
      <c r="M55" s="40">
        <v>0</v>
      </c>
      <c r="N55" s="40">
        <v>0</v>
      </c>
      <c r="O55" s="40">
        <v>0</v>
      </c>
      <c r="P55" s="86">
        <f>P53+7</f>
        <v>45811</v>
      </c>
      <c r="Q55" s="87">
        <f>P55+7</f>
        <v>45818</v>
      </c>
      <c r="R55" s="41"/>
      <c r="S55" s="41"/>
      <c r="T55" s="41"/>
      <c r="U55" s="41"/>
      <c r="V55" s="87">
        <f>Q55+21</f>
        <v>45839</v>
      </c>
      <c r="W55" s="41"/>
      <c r="X55" s="41"/>
      <c r="Y55" s="41" t="s">
        <v>28</v>
      </c>
      <c r="Z55" s="87">
        <f>V55+7</f>
        <v>45846</v>
      </c>
    </row>
    <row r="56" spans="1:26" x14ac:dyDescent="0.2">
      <c r="A56" s="113"/>
      <c r="B56" s="39">
        <v>50</v>
      </c>
      <c r="C56" s="39" t="s">
        <v>32</v>
      </c>
      <c r="D56" s="39"/>
      <c r="E56" s="39"/>
      <c r="F56" s="39">
        <v>256</v>
      </c>
      <c r="G56" s="39">
        <v>1004</v>
      </c>
      <c r="H56" s="40"/>
      <c r="I56" s="40">
        <v>28800</v>
      </c>
      <c r="J56" s="40"/>
      <c r="K56" s="40"/>
      <c r="L56" s="40"/>
      <c r="M56" s="40">
        <v>0</v>
      </c>
      <c r="N56" s="40">
        <v>0</v>
      </c>
      <c r="O56" s="40">
        <v>0</v>
      </c>
      <c r="P56" s="86"/>
      <c r="Q56" s="87"/>
      <c r="R56" s="41"/>
      <c r="S56" s="41"/>
      <c r="T56" s="41"/>
      <c r="U56" s="41"/>
      <c r="V56" s="87"/>
      <c r="W56" s="41"/>
      <c r="X56" s="41"/>
      <c r="Y56" s="41" t="s">
        <v>28</v>
      </c>
      <c r="Z56" s="87"/>
    </row>
    <row r="57" spans="1:26" s="65" customFormat="1" x14ac:dyDescent="0.2">
      <c r="A57" s="83">
        <v>25</v>
      </c>
      <c r="B57" s="61">
        <v>51</v>
      </c>
      <c r="C57" s="60" t="s">
        <v>32</v>
      </c>
      <c r="D57" s="61"/>
      <c r="E57" s="61"/>
      <c r="F57" s="61">
        <v>0</v>
      </c>
      <c r="G57" s="61">
        <v>1680</v>
      </c>
      <c r="H57" s="61"/>
      <c r="I57" s="61"/>
      <c r="J57" s="61"/>
      <c r="K57" s="61"/>
      <c r="L57" s="61"/>
      <c r="M57" s="61">
        <v>0</v>
      </c>
      <c r="N57" s="61">
        <v>0</v>
      </c>
      <c r="O57" s="61">
        <v>0</v>
      </c>
      <c r="P57" s="85">
        <f>P55+10</f>
        <v>45821</v>
      </c>
      <c r="Q57" s="85">
        <f>P57+7</f>
        <v>45828</v>
      </c>
      <c r="R57" s="64"/>
      <c r="S57" s="64"/>
      <c r="T57" s="64"/>
      <c r="U57" s="64"/>
      <c r="V57" s="79">
        <f>Q57+21</f>
        <v>45849</v>
      </c>
      <c r="W57" s="64"/>
      <c r="X57" s="64"/>
      <c r="Y57" s="64" t="s">
        <v>28</v>
      </c>
      <c r="Z57" s="79">
        <f>V57+7</f>
        <v>45856</v>
      </c>
    </row>
    <row r="58" spans="1:26" s="65" customFormat="1" x14ac:dyDescent="0.2">
      <c r="A58" s="83"/>
      <c r="B58" s="61">
        <v>52</v>
      </c>
      <c r="C58" s="60" t="s">
        <v>32</v>
      </c>
      <c r="D58" s="61">
        <v>0</v>
      </c>
      <c r="E58" s="61"/>
      <c r="F58" s="61"/>
      <c r="G58" s="61">
        <v>1080</v>
      </c>
      <c r="H58" s="61">
        <v>8468</v>
      </c>
      <c r="I58" s="61">
        <v>8824</v>
      </c>
      <c r="J58" s="61"/>
      <c r="K58" s="132">
        <v>8468</v>
      </c>
      <c r="L58" s="61">
        <v>4234</v>
      </c>
      <c r="M58" s="61">
        <v>0</v>
      </c>
      <c r="N58" s="61">
        <v>0</v>
      </c>
      <c r="O58" s="61">
        <v>0</v>
      </c>
      <c r="P58" s="85"/>
      <c r="Q58" s="85"/>
      <c r="R58" s="64"/>
      <c r="S58" s="64"/>
      <c r="T58" s="64"/>
      <c r="U58" s="64"/>
      <c r="V58" s="79"/>
      <c r="W58" s="64"/>
      <c r="X58" s="64"/>
      <c r="Y58" s="64" t="s">
        <v>28</v>
      </c>
      <c r="Z58" s="79"/>
    </row>
    <row r="59" spans="1:26" s="72" customFormat="1" x14ac:dyDescent="0.2">
      <c r="A59" s="115">
        <v>26</v>
      </c>
      <c r="B59" s="36">
        <v>53</v>
      </c>
      <c r="C59" s="49" t="s">
        <v>32</v>
      </c>
      <c r="D59" s="49"/>
      <c r="E59" s="49">
        <v>0</v>
      </c>
      <c r="F59" s="49">
        <v>0</v>
      </c>
      <c r="G59" s="49">
        <v>1680</v>
      </c>
      <c r="H59" s="36"/>
      <c r="I59" s="36"/>
      <c r="J59" s="36"/>
      <c r="K59" s="36"/>
      <c r="L59" s="36"/>
      <c r="M59" s="36">
        <v>0</v>
      </c>
      <c r="N59" s="36">
        <v>0</v>
      </c>
      <c r="O59" s="36">
        <v>0</v>
      </c>
      <c r="P59" s="107">
        <v>45827</v>
      </c>
      <c r="Q59" s="107">
        <f>P59+7</f>
        <v>45834</v>
      </c>
      <c r="R59" s="48"/>
      <c r="S59" s="48"/>
      <c r="T59" s="48"/>
      <c r="U59" s="48"/>
      <c r="V59" s="29">
        <f>Q59+21</f>
        <v>45855</v>
      </c>
      <c r="W59" s="48"/>
      <c r="X59" s="48"/>
      <c r="Y59" s="48" t="s">
        <v>28</v>
      </c>
      <c r="Z59" s="80">
        <f>V59+7</f>
        <v>45862</v>
      </c>
    </row>
    <row r="60" spans="1:26" x14ac:dyDescent="0.2">
      <c r="A60" s="116"/>
      <c r="B60" s="36">
        <v>54</v>
      </c>
      <c r="C60" s="49" t="s">
        <v>32</v>
      </c>
      <c r="D60" s="36">
        <v>0</v>
      </c>
      <c r="E60" s="36">
        <v>0</v>
      </c>
      <c r="F60" s="36">
        <v>0</v>
      </c>
      <c r="G60" s="36">
        <v>564</v>
      </c>
      <c r="H60" s="36"/>
      <c r="I60" s="36"/>
      <c r="J60" s="36"/>
      <c r="K60" s="36"/>
      <c r="L60" s="36"/>
      <c r="M60" s="81">
        <v>4234</v>
      </c>
      <c r="N60" s="81">
        <v>8468</v>
      </c>
      <c r="O60" s="81">
        <v>8468</v>
      </c>
      <c r="P60" s="108"/>
      <c r="Q60" s="108"/>
      <c r="R60" s="48"/>
      <c r="S60" s="48"/>
      <c r="T60" s="48"/>
      <c r="U60" s="48"/>
      <c r="V60" s="72"/>
      <c r="W60" s="48"/>
      <c r="X60" s="48"/>
      <c r="Y60" s="48" t="s">
        <v>78</v>
      </c>
      <c r="Z60" s="29"/>
    </row>
    <row r="61" spans="1:26" x14ac:dyDescent="0.2">
      <c r="A61" s="43"/>
      <c r="B61" s="42"/>
      <c r="C61" s="39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1"/>
      <c r="Q61" s="41"/>
      <c r="R61" s="41"/>
      <c r="S61" s="41"/>
      <c r="T61" s="41"/>
      <c r="U61" s="41"/>
      <c r="V61" s="41"/>
      <c r="W61" s="41"/>
      <c r="X61" s="41"/>
      <c r="Y61" s="41"/>
      <c r="Z61" s="41"/>
    </row>
    <row r="62" spans="1:26" x14ac:dyDescent="0.2">
      <c r="A62" s="109" t="s">
        <v>62</v>
      </c>
      <c r="B62" s="110"/>
      <c r="C62" s="44"/>
      <c r="D62" s="42">
        <v>62204</v>
      </c>
      <c r="E62" s="42">
        <v>1056</v>
      </c>
      <c r="F62" s="42">
        <v>294</v>
      </c>
      <c r="G62" s="42">
        <v>6258</v>
      </c>
      <c r="H62" s="42">
        <v>139624</v>
      </c>
      <c r="I62" s="42">
        <v>279248</v>
      </c>
      <c r="J62" s="42">
        <v>139624</v>
      </c>
      <c r="K62" s="42">
        <v>139624</v>
      </c>
      <c r="L62" s="42">
        <v>69812</v>
      </c>
      <c r="M62" s="42">
        <v>69812</v>
      </c>
      <c r="N62" s="42">
        <v>139624</v>
      </c>
      <c r="O62" s="42">
        <v>139624</v>
      </c>
      <c r="P62" s="41"/>
      <c r="Q62" s="41"/>
      <c r="R62" s="41"/>
      <c r="S62" s="41"/>
      <c r="T62" s="41"/>
      <c r="U62" s="41"/>
      <c r="V62" s="41"/>
      <c r="W62" s="41"/>
      <c r="X62" s="41"/>
      <c r="Y62" s="41"/>
      <c r="Z62" s="41"/>
    </row>
    <row r="63" spans="1:26" ht="13.5" thickBot="1" x14ac:dyDescent="0.25">
      <c r="A63" s="111" t="s">
        <v>63</v>
      </c>
      <c r="B63" s="112"/>
      <c r="C63" s="45"/>
      <c r="D63" s="46">
        <f t="shared" ref="D63:O63" si="5">SUM(D6:D61)</f>
        <v>60908</v>
      </c>
      <c r="E63" s="46">
        <f t="shared" si="5"/>
        <v>1034</v>
      </c>
      <c r="F63" s="46">
        <f t="shared" si="5"/>
        <v>256</v>
      </c>
      <c r="G63" s="46">
        <f t="shared" si="5"/>
        <v>6008</v>
      </c>
      <c r="H63" s="46">
        <f t="shared" si="5"/>
        <v>136412</v>
      </c>
      <c r="I63" s="46">
        <f t="shared" si="5"/>
        <v>272824</v>
      </c>
      <c r="J63" s="46">
        <f t="shared" si="5"/>
        <v>0</v>
      </c>
      <c r="K63" s="46">
        <f t="shared" si="5"/>
        <v>136412</v>
      </c>
      <c r="L63" s="46">
        <f t="shared" si="5"/>
        <v>68206</v>
      </c>
      <c r="M63" s="46">
        <f t="shared" si="5"/>
        <v>68206</v>
      </c>
      <c r="N63" s="46">
        <f t="shared" si="5"/>
        <v>136412</v>
      </c>
      <c r="O63" s="46">
        <f t="shared" si="5"/>
        <v>136412</v>
      </c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</row>
    <row r="64" spans="1:26" ht="14.25" x14ac:dyDescent="0.2">
      <c r="D64" s="75">
        <f t="shared" ref="D64:G64" si="6">+D63-D62</f>
        <v>-1296</v>
      </c>
      <c r="E64" s="75">
        <f t="shared" si="6"/>
        <v>-22</v>
      </c>
      <c r="F64" s="75">
        <f t="shared" si="6"/>
        <v>-38</v>
      </c>
      <c r="G64" s="75">
        <f t="shared" si="6"/>
        <v>-250</v>
      </c>
      <c r="H64" s="75">
        <f t="shared" ref="H64:P64" si="7">+H63-H62</f>
        <v>-3212</v>
      </c>
      <c r="I64" s="75">
        <f t="shared" si="7"/>
        <v>-6424</v>
      </c>
      <c r="J64" s="75">
        <f t="shared" si="7"/>
        <v>-139624</v>
      </c>
      <c r="K64" s="75">
        <f t="shared" si="7"/>
        <v>-3212</v>
      </c>
      <c r="L64" s="75">
        <f t="shared" si="7"/>
        <v>-1606</v>
      </c>
      <c r="M64" s="75">
        <f t="shared" si="7"/>
        <v>-1606</v>
      </c>
      <c r="N64" s="75">
        <f t="shared" si="7"/>
        <v>-3212</v>
      </c>
      <c r="O64" s="75">
        <f t="shared" si="7"/>
        <v>-3212</v>
      </c>
      <c r="P64" s="75">
        <f t="shared" si="7"/>
        <v>0</v>
      </c>
    </row>
    <row r="67" spans="1:4" x14ac:dyDescent="0.2">
      <c r="B67" s="74" t="s">
        <v>73</v>
      </c>
      <c r="C67" s="74" t="s">
        <v>74</v>
      </c>
    </row>
    <row r="68" spans="1:4" x14ac:dyDescent="0.2">
      <c r="A68" s="74" t="s">
        <v>75</v>
      </c>
      <c r="B68" s="77">
        <v>48000</v>
      </c>
      <c r="C68" s="77">
        <v>88412</v>
      </c>
      <c r="D68" s="77">
        <f>SUM(B68:C68)</f>
        <v>136412</v>
      </c>
    </row>
    <row r="69" spans="1:4" x14ac:dyDescent="0.2">
      <c r="A69" s="74" t="s">
        <v>76</v>
      </c>
      <c r="B69" s="77">
        <v>76800</v>
      </c>
      <c r="C69" s="77">
        <v>196024</v>
      </c>
      <c r="D69" s="77">
        <f t="shared" ref="D69:D70" si="8">SUM(B69:C69)</f>
        <v>272824</v>
      </c>
    </row>
    <row r="70" spans="1:4" x14ac:dyDescent="0.2">
      <c r="A70" s="74" t="s">
        <v>77</v>
      </c>
      <c r="B70" s="77">
        <v>18000</v>
      </c>
      <c r="C70" s="77">
        <v>50206</v>
      </c>
      <c r="D70" s="77">
        <f t="shared" si="8"/>
        <v>68206</v>
      </c>
    </row>
  </sheetData>
  <mergeCells count="131">
    <mergeCell ref="W6:W7"/>
    <mergeCell ref="A1:Z1"/>
    <mergeCell ref="P6:P7"/>
    <mergeCell ref="U6:U7"/>
    <mergeCell ref="Y6:Y7"/>
    <mergeCell ref="Z6:Z7"/>
    <mergeCell ref="A8:A9"/>
    <mergeCell ref="Q8:Q9"/>
    <mergeCell ref="V8:V9"/>
    <mergeCell ref="Y8:Y9"/>
    <mergeCell ref="Z8:Z9"/>
    <mergeCell ref="T28:T29"/>
    <mergeCell ref="V10:V11"/>
    <mergeCell ref="A6:A7"/>
    <mergeCell ref="Q6:Q7"/>
    <mergeCell ref="R6:R7"/>
    <mergeCell ref="T6:T7"/>
    <mergeCell ref="V6:V7"/>
    <mergeCell ref="A16:A19"/>
    <mergeCell ref="Q16:Q19"/>
    <mergeCell ref="P12:P14"/>
    <mergeCell ref="T12:T14"/>
    <mergeCell ref="U12:U14"/>
    <mergeCell ref="A12:A14"/>
    <mergeCell ref="Q12:Q14"/>
    <mergeCell ref="R12:R14"/>
    <mergeCell ref="A10:A11"/>
    <mergeCell ref="Q10:Q11"/>
    <mergeCell ref="R10:R11"/>
    <mergeCell ref="P8:P9"/>
    <mergeCell ref="T8:T9"/>
    <mergeCell ref="U8:U9"/>
    <mergeCell ref="P10:P11"/>
    <mergeCell ref="T10:T11"/>
    <mergeCell ref="U10:U11"/>
    <mergeCell ref="A25:A27"/>
    <mergeCell ref="V25:V27"/>
    <mergeCell ref="V20:V21"/>
    <mergeCell ref="A22:A23"/>
    <mergeCell ref="Q22:Q23"/>
    <mergeCell ref="V22:V23"/>
    <mergeCell ref="A20:A21"/>
    <mergeCell ref="Q20:Q21"/>
    <mergeCell ref="P22:P23"/>
    <mergeCell ref="T22:T23"/>
    <mergeCell ref="P20:P21"/>
    <mergeCell ref="T20:T21"/>
    <mergeCell ref="U20:U21"/>
    <mergeCell ref="A62:B62"/>
    <mergeCell ref="A63:B63"/>
    <mergeCell ref="A51:A52"/>
    <mergeCell ref="P51:P52"/>
    <mergeCell ref="Q51:Q52"/>
    <mergeCell ref="V51:V52"/>
    <mergeCell ref="A53:A54"/>
    <mergeCell ref="P53:P54"/>
    <mergeCell ref="Q53:Q54"/>
    <mergeCell ref="V53:V54"/>
    <mergeCell ref="A55:A56"/>
    <mergeCell ref="P55:P56"/>
    <mergeCell ref="Q55:Q56"/>
    <mergeCell ref="V55:V56"/>
    <mergeCell ref="A57:A58"/>
    <mergeCell ref="P57:P58"/>
    <mergeCell ref="Q57:Q58"/>
    <mergeCell ref="A59:A60"/>
    <mergeCell ref="P59:P60"/>
    <mergeCell ref="Q59:Q60"/>
    <mergeCell ref="Y10:Y11"/>
    <mergeCell ref="Z10:Z11"/>
    <mergeCell ref="Y12:Y14"/>
    <mergeCell ref="Z12:Z14"/>
    <mergeCell ref="P16:P19"/>
    <mergeCell ref="T16:T19"/>
    <mergeCell ref="U16:U19"/>
    <mergeCell ref="V16:V19"/>
    <mergeCell ref="Z16:Z19"/>
    <mergeCell ref="Y17:Y19"/>
    <mergeCell ref="Y20:Y21"/>
    <mergeCell ref="Z20:Z21"/>
    <mergeCell ref="V12:V14"/>
    <mergeCell ref="U22:U23"/>
    <mergeCell ref="Y22:Y23"/>
    <mergeCell ref="Z22:Z23"/>
    <mergeCell ref="P25:P27"/>
    <mergeCell ref="Q25:Q27"/>
    <mergeCell ref="T25:T27"/>
    <mergeCell ref="Y25:Y27"/>
    <mergeCell ref="Z25:Z27"/>
    <mergeCell ref="Y28:Y29"/>
    <mergeCell ref="Z28:Z29"/>
    <mergeCell ref="Y30:Y31"/>
    <mergeCell ref="Z30:Z31"/>
    <mergeCell ref="P33:P35"/>
    <mergeCell ref="Q33:Q35"/>
    <mergeCell ref="Y33:Y35"/>
    <mergeCell ref="Z33:Z35"/>
    <mergeCell ref="A38:A40"/>
    <mergeCell ref="P38:P40"/>
    <mergeCell ref="Q38:Q40"/>
    <mergeCell ref="V38:V40"/>
    <mergeCell ref="Z38:Z40"/>
    <mergeCell ref="A33:A35"/>
    <mergeCell ref="V33:V35"/>
    <mergeCell ref="A30:A31"/>
    <mergeCell ref="V30:V31"/>
    <mergeCell ref="A28:A29"/>
    <mergeCell ref="V28:V29"/>
    <mergeCell ref="P30:P31"/>
    <mergeCell ref="Q30:Q31"/>
    <mergeCell ref="T30:T31"/>
    <mergeCell ref="P28:P29"/>
    <mergeCell ref="Q28:Q29"/>
    <mergeCell ref="A47:A50"/>
    <mergeCell ref="P47:P50"/>
    <mergeCell ref="Q47:Q50"/>
    <mergeCell ref="V47:V49"/>
    <mergeCell ref="Z47:Z49"/>
    <mergeCell ref="Z51:Z52"/>
    <mergeCell ref="Z53:Z54"/>
    <mergeCell ref="Z55:Z56"/>
    <mergeCell ref="Z42:Z43"/>
    <mergeCell ref="A45:A46"/>
    <mergeCell ref="P45:P46"/>
    <mergeCell ref="Q45:Q46"/>
    <mergeCell ref="V45:V46"/>
    <mergeCell ref="Z45:Z46"/>
    <mergeCell ref="A42:A43"/>
    <mergeCell ref="V42:V43"/>
    <mergeCell ref="P42:P43"/>
    <mergeCell ref="Q42:Q43"/>
  </mergeCells>
  <phoneticPr fontId="1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56E316B3436943885E51B9BB8721E4" ma:contentTypeVersion="19" ma:contentTypeDescription="Create a new document." ma:contentTypeScope="" ma:versionID="9b36a9964d2a40ca7dff0a542ba9881d">
  <xsd:schema xmlns:xsd="http://www.w3.org/2001/XMLSchema" xmlns:xs="http://www.w3.org/2001/XMLSchema" xmlns:p="http://schemas.microsoft.com/office/2006/metadata/properties" xmlns:ns2="bce3326b-54a1-4016-853f-ee4483aa8247" xmlns:ns3="2d7a3f7f-8fe2-41fb-994e-0c9663fe38e7" targetNamespace="http://schemas.microsoft.com/office/2006/metadata/properties" ma:root="true" ma:fieldsID="1b4da6c8ff4cbfade2039c1f65150f13" ns2:_="" ns3:_="">
    <xsd:import namespace="bce3326b-54a1-4016-853f-ee4483aa8247"/>
    <xsd:import namespace="2d7a3f7f-8fe2-41fb-994e-0c9663fe38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_Flow_SignoffStatu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326b-54a1-4016-853f-ee4483aa82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Flow_SignoffStatus" ma:index="24" nillable="true" ma:displayName="Sign-off status" ma:internalName="Sign_x002d_off_x0020_status">
      <xsd:simpleType>
        <xsd:restriction base="dms:Text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7a3f7f-8fe2-41fb-994e-0c9663fe38e7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027d61a1-e6c1-41aa-bc06-f10d6e0e0e49}" ma:internalName="TaxCatchAll" ma:showField="CatchAllData" ma:web="2d7a3f7f-8fe2-41fb-994e-0c9663fe38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e3326b-54a1-4016-853f-ee4483aa8247">
      <Terms xmlns="http://schemas.microsoft.com/office/infopath/2007/PartnerControls"/>
    </lcf76f155ced4ddcb4097134ff3c332f>
    <TaxCatchAll xmlns="2d7a3f7f-8fe2-41fb-994e-0c9663fe38e7" xsi:nil="true"/>
    <_Flow_SignoffStatus xmlns="bce3326b-54a1-4016-853f-ee4483aa8247" xsi:nil="true"/>
  </documentManagement>
</p:properties>
</file>

<file path=customXml/itemProps1.xml><?xml version="1.0" encoding="utf-8"?>
<ds:datastoreItem xmlns:ds="http://schemas.openxmlformats.org/officeDocument/2006/customXml" ds:itemID="{3AE483FC-3FC3-4046-8A9B-33FC9D59DF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60119B3-2260-40B2-97DC-074EE36759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e3326b-54a1-4016-853f-ee4483aa8247"/>
    <ds:schemaRef ds:uri="2d7a3f7f-8fe2-41fb-994e-0c9663fe38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12F308-1848-4DEB-BB2C-ACFAF1EE75FD}">
  <ds:schemaRefs>
    <ds:schemaRef ds:uri="http://schemas.microsoft.com/office/2006/metadata/properties"/>
    <ds:schemaRef ds:uri="http://schemas.microsoft.com/office/infopath/2007/PartnerControls"/>
    <ds:schemaRef ds:uri="bce3326b-54a1-4016-853f-ee4483aa8247"/>
    <ds:schemaRef ds:uri="2d7a3f7f-8fe2-41fb-994e-0c9663fe38e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 Lewtas (RPP)</dc:creator>
  <cp:lastModifiedBy>lu@sudelan.cn</cp:lastModifiedBy>
  <cp:lastPrinted>2024-08-30T05:55:37Z</cp:lastPrinted>
  <dcterms:created xsi:type="dcterms:W3CDTF">2024-08-15T07:45:59Z</dcterms:created>
  <dcterms:modified xsi:type="dcterms:W3CDTF">2025-03-27T02:52:04Z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0x0101003156E316B3436943885E51B9BB8721E4</vt:lpwstr>
  </property>
  <property fmtid="{D5CDD505-2E9C-101B-9397-08002B2CF9AE}" pid="3" name="MediaServiceImageTags">
    <vt:lpwstr/>
  </property>
</Properties>
</file>