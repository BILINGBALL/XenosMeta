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Accounts\Kai's worksheet\Kai Shipping\R11414-Sydney Metro Airport\"/>
    </mc:Choice>
  </mc:AlternateContent>
  <xr:revisionPtr revIDLastSave="0" documentId="13_ncr:1_{6648BF09-B99D-40D6-860F-92E224C04DA8}" xr6:coauthVersionLast="47" xr6:coauthVersionMax="47" xr10:uidLastSave="{00000000-0000-0000-0000-000000000000}"/>
  <bookViews>
    <workbookView xWindow="-108" yWindow="-108" windowWidth="23256" windowHeight="13896" activeTab="2" xr2:uid="{001827C2-DDAC-4C24-966B-3186AE22540A}"/>
  </bookViews>
  <sheets>
    <sheet name="Master Schedule Updated " sheetId="5" r:id="rId1"/>
    <sheet name="TMT Schedule Updated" sheetId="11" r:id="rId2"/>
    <sheet name="Container Updated" sheetId="6" r:id="rId3"/>
  </sheets>
  <externalReferences>
    <externalReference r:id="rId4"/>
    <externalReference r:id="rId5"/>
  </externalReferences>
  <definedNames>
    <definedName name="_xlnm.Print_Area" localSheetId="2">'Container Updated'!$T$208:$T$230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0" i="5" l="1"/>
  <c r="V60" i="5" s="1"/>
  <c r="Z60" i="5" s="1"/>
  <c r="Q57" i="5"/>
  <c r="V57" i="5" s="1"/>
  <c r="Z57" i="5" s="1"/>
  <c r="Q56" i="5"/>
  <c r="V56" i="5" s="1"/>
  <c r="Z56" i="5" s="1"/>
  <c r="Q54" i="5"/>
  <c r="V54" i="5" s="1"/>
  <c r="Z54" i="5" s="1"/>
  <c r="V53" i="5"/>
  <c r="Z53" i="5" s="1"/>
  <c r="Q53" i="5"/>
  <c r="Q51" i="5"/>
  <c r="V51" i="5" s="1"/>
  <c r="Z51" i="5" s="1"/>
  <c r="Q48" i="5"/>
  <c r="V48" i="5" s="1"/>
  <c r="Z48" i="5" s="1"/>
  <c r="Q47" i="5"/>
  <c r="V47" i="5" s="1"/>
  <c r="Z47" i="5" s="1"/>
  <c r="Q45" i="5"/>
  <c r="V45" i="5" s="1"/>
  <c r="Z45" i="5" s="1"/>
  <c r="Q44" i="5"/>
  <c r="V44" i="5" s="1"/>
  <c r="Z44" i="5" s="1"/>
  <c r="Q41" i="5"/>
  <c r="V41" i="5" s="1"/>
  <c r="Z41" i="5" s="1"/>
  <c r="Q38" i="5"/>
  <c r="V38" i="5" s="1"/>
  <c r="Z38" i="5" s="1"/>
  <c r="AB139" i="11"/>
  <c r="AA139" i="11"/>
  <c r="Z139" i="11"/>
  <c r="Y139" i="11"/>
  <c r="X139" i="11"/>
  <c r="W139" i="11"/>
  <c r="V139" i="11"/>
  <c r="U139" i="11"/>
  <c r="M139" i="11"/>
  <c r="M327" i="6" l="1"/>
  <c r="N326" i="6"/>
  <c r="L326" i="6"/>
  <c r="G326" i="6"/>
  <c r="N325" i="6"/>
  <c r="O325" i="6" s="1"/>
  <c r="L325" i="6"/>
  <c r="G325" i="6"/>
  <c r="N324" i="6"/>
  <c r="L324" i="6"/>
  <c r="G324" i="6"/>
  <c r="E324" i="6"/>
  <c r="N323" i="6"/>
  <c r="L323" i="6"/>
  <c r="G323" i="6"/>
  <c r="E323" i="6"/>
  <c r="N322" i="6"/>
  <c r="L322" i="6"/>
  <c r="G322" i="6"/>
  <c r="E322" i="6"/>
  <c r="N321" i="6"/>
  <c r="L321" i="6"/>
  <c r="G321" i="6"/>
  <c r="E321" i="6"/>
  <c r="N320" i="6"/>
  <c r="L320" i="6"/>
  <c r="G320" i="6"/>
  <c r="E320" i="6"/>
  <c r="N319" i="6"/>
  <c r="L319" i="6"/>
  <c r="G319" i="6"/>
  <c r="E319" i="6"/>
  <c r="D139" i="11"/>
  <c r="G312" i="6"/>
  <c r="G311" i="6"/>
  <c r="G308" i="6"/>
  <c r="G310" i="6"/>
  <c r="E310" i="6" s="1"/>
  <c r="V3" i="11"/>
  <c r="V2" i="11"/>
  <c r="P65" i="5"/>
  <c r="D65" i="5"/>
  <c r="H63" i="5" s="1"/>
  <c r="G64" i="5"/>
  <c r="F64" i="5"/>
  <c r="E64" i="5"/>
  <c r="AF96" i="11"/>
  <c r="AF110" i="11" s="1"/>
  <c r="AF138" i="11" s="1"/>
  <c r="N309" i="6"/>
  <c r="R138" i="11"/>
  <c r="Q138" i="11"/>
  <c r="P138" i="11"/>
  <c r="O138" i="11"/>
  <c r="N138" i="11"/>
  <c r="L138" i="11"/>
  <c r="K138" i="11"/>
  <c r="R131" i="11"/>
  <c r="Q131" i="11"/>
  <c r="P131" i="11"/>
  <c r="O131" i="11"/>
  <c r="N131" i="11"/>
  <c r="L131" i="11"/>
  <c r="K131" i="11"/>
  <c r="R124" i="11"/>
  <c r="Q124" i="11"/>
  <c r="P124" i="11"/>
  <c r="O124" i="11"/>
  <c r="N124" i="11"/>
  <c r="L124" i="11"/>
  <c r="K124" i="11"/>
  <c r="R117" i="11"/>
  <c r="Q117" i="11"/>
  <c r="P117" i="11"/>
  <c r="O117" i="11"/>
  <c r="N117" i="11"/>
  <c r="L117" i="11"/>
  <c r="K117" i="11"/>
  <c r="R110" i="11"/>
  <c r="Q110" i="11"/>
  <c r="P110" i="11"/>
  <c r="O110" i="11"/>
  <c r="N110" i="11"/>
  <c r="L110" i="11"/>
  <c r="K110" i="11"/>
  <c r="R103" i="11"/>
  <c r="Q103" i="11"/>
  <c r="P103" i="11"/>
  <c r="O103" i="11"/>
  <c r="N103" i="11"/>
  <c r="L103" i="11"/>
  <c r="K103" i="11"/>
  <c r="R96" i="11"/>
  <c r="Q96" i="11"/>
  <c r="P96" i="11"/>
  <c r="O96" i="11"/>
  <c r="N96" i="11"/>
  <c r="L96" i="11"/>
  <c r="K96" i="11"/>
  <c r="R89" i="11"/>
  <c r="Q89" i="11"/>
  <c r="P89" i="11"/>
  <c r="O89" i="11"/>
  <c r="N89" i="11"/>
  <c r="L89" i="11"/>
  <c r="K89" i="11"/>
  <c r="R82" i="11"/>
  <c r="Q82" i="11"/>
  <c r="P82" i="11"/>
  <c r="O82" i="11"/>
  <c r="N82" i="11"/>
  <c r="L82" i="11"/>
  <c r="K82" i="11"/>
  <c r="R75" i="11"/>
  <c r="Q75" i="11"/>
  <c r="P75" i="11"/>
  <c r="O75" i="11"/>
  <c r="N75" i="11"/>
  <c r="L75" i="11"/>
  <c r="K75" i="11"/>
  <c r="R68" i="11"/>
  <c r="Q68" i="11"/>
  <c r="P68" i="11"/>
  <c r="O68" i="11"/>
  <c r="N68" i="11"/>
  <c r="L68" i="11"/>
  <c r="K68" i="11"/>
  <c r="R61" i="11"/>
  <c r="Q61" i="11"/>
  <c r="P61" i="11"/>
  <c r="O61" i="11"/>
  <c r="N61" i="11"/>
  <c r="L61" i="11"/>
  <c r="K61" i="11"/>
  <c r="R54" i="11"/>
  <c r="Q54" i="11"/>
  <c r="P54" i="11"/>
  <c r="O54" i="11"/>
  <c r="N54" i="11"/>
  <c r="L54" i="11"/>
  <c r="K54" i="11"/>
  <c r="R47" i="11"/>
  <c r="Q47" i="11"/>
  <c r="P47" i="11"/>
  <c r="O47" i="11"/>
  <c r="N47" i="11"/>
  <c r="L47" i="11"/>
  <c r="K47" i="11"/>
  <c r="R40" i="11"/>
  <c r="Q40" i="11"/>
  <c r="P40" i="11"/>
  <c r="O40" i="11"/>
  <c r="N40" i="11"/>
  <c r="L40" i="11"/>
  <c r="K40" i="11"/>
  <c r="R33" i="11"/>
  <c r="Q33" i="11"/>
  <c r="P33" i="11"/>
  <c r="O33" i="11"/>
  <c r="N33" i="11"/>
  <c r="L33" i="11"/>
  <c r="K33" i="11"/>
  <c r="R26" i="11"/>
  <c r="Q26" i="11"/>
  <c r="P26" i="11"/>
  <c r="O26" i="11"/>
  <c r="N26" i="11"/>
  <c r="L26" i="11"/>
  <c r="K26" i="11"/>
  <c r="R19" i="11"/>
  <c r="Q19" i="11"/>
  <c r="P19" i="11"/>
  <c r="O19" i="11"/>
  <c r="N19" i="11"/>
  <c r="L19" i="11"/>
  <c r="K19" i="11"/>
  <c r="AF12" i="11"/>
  <c r="AF19" i="11" s="1"/>
  <c r="AF61" i="11" s="1"/>
  <c r="M63" i="5" l="1"/>
  <c r="I63" i="5"/>
  <c r="K63" i="5"/>
  <c r="N63" i="5"/>
  <c r="L63" i="5"/>
  <c r="J63" i="5"/>
  <c r="O63" i="5"/>
  <c r="O323" i="6"/>
  <c r="P324" i="6"/>
  <c r="P321" i="6"/>
  <c r="P322" i="6"/>
  <c r="L327" i="6"/>
  <c r="P319" i="6"/>
  <c r="P320" i="6"/>
  <c r="P326" i="6"/>
  <c r="P323" i="6"/>
  <c r="O320" i="6"/>
  <c r="O324" i="6"/>
  <c r="O321" i="6"/>
  <c r="P325" i="6"/>
  <c r="O322" i="6"/>
  <c r="O326" i="6"/>
  <c r="O319" i="6"/>
  <c r="N327" i="6"/>
  <c r="R12" i="11"/>
  <c r="R139" i="11" s="1"/>
  <c r="Q12" i="11"/>
  <c r="Q139" i="11" s="1"/>
  <c r="P12" i="11"/>
  <c r="P139" i="11" s="1"/>
  <c r="O12" i="11"/>
  <c r="O139" i="11" s="1"/>
  <c r="N12" i="11"/>
  <c r="N139" i="11" s="1"/>
  <c r="L12" i="11"/>
  <c r="L139" i="11" s="1"/>
  <c r="K12" i="11"/>
  <c r="K139" i="11" s="1"/>
  <c r="AB3" i="11"/>
  <c r="AA3" i="11"/>
  <c r="Z3" i="11"/>
  <c r="Y3" i="11"/>
  <c r="X3" i="11"/>
  <c r="U3" i="11"/>
  <c r="AB2" i="11"/>
  <c r="AA2" i="11"/>
  <c r="Z2" i="11"/>
  <c r="Y2" i="11"/>
  <c r="X2" i="11"/>
  <c r="X7" i="11" s="1"/>
  <c r="U2" i="11"/>
  <c r="J64" i="5"/>
  <c r="J65" i="5" s="1"/>
  <c r="I64" i="5"/>
  <c r="M313" i="6"/>
  <c r="N312" i="6"/>
  <c r="L312" i="6"/>
  <c r="N311" i="6"/>
  <c r="L311" i="6"/>
  <c r="N310" i="6"/>
  <c r="L310" i="6"/>
  <c r="L309" i="6"/>
  <c r="P309" i="6" s="1"/>
  <c r="G309" i="6"/>
  <c r="E309" i="6" s="1"/>
  <c r="N308" i="6"/>
  <c r="L308" i="6"/>
  <c r="P308" i="6" s="1"/>
  <c r="E308" i="6"/>
  <c r="N307" i="6"/>
  <c r="L307" i="6"/>
  <c r="G307" i="6"/>
  <c r="E307" i="6" s="1"/>
  <c r="N306" i="6"/>
  <c r="L306" i="6"/>
  <c r="G306" i="6"/>
  <c r="E306" i="6" s="1"/>
  <c r="N305" i="6"/>
  <c r="L305" i="6"/>
  <c r="G305" i="6"/>
  <c r="E305" i="6"/>
  <c r="H139" i="11"/>
  <c r="I12" i="11"/>
  <c r="I19" i="11" s="1"/>
  <c r="I26" i="11" s="1"/>
  <c r="A113" i="11"/>
  <c r="G113" i="11" s="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I65" i="5" l="1"/>
  <c r="AG12" i="11"/>
  <c r="AG19" i="11" s="1"/>
  <c r="AG61" i="11" s="1"/>
  <c r="AG96" i="11" s="1"/>
  <c r="AG110" i="11" s="1"/>
  <c r="AG138" i="11" s="1"/>
  <c r="P310" i="6"/>
  <c r="P327" i="6"/>
  <c r="O327" i="6"/>
  <c r="P311" i="6"/>
  <c r="L313" i="6"/>
  <c r="P306" i="6"/>
  <c r="O308" i="6"/>
  <c r="P307" i="6"/>
  <c r="P312" i="6"/>
  <c r="P305" i="6"/>
  <c r="V7" i="11"/>
  <c r="AE12" i="11" s="1"/>
  <c r="AE19" i="11" s="1"/>
  <c r="AE61" i="11" s="1"/>
  <c r="AE96" i="11" s="1"/>
  <c r="AE110" i="11" s="1"/>
  <c r="AE138" i="11" s="1"/>
  <c r="AB7" i="11"/>
  <c r="AK12" i="11" s="1"/>
  <c r="AK19" i="11" s="1"/>
  <c r="AK61" i="11" s="1"/>
  <c r="AK96" i="11" s="1"/>
  <c r="AK110" i="11" s="1"/>
  <c r="AK138" i="11" s="1"/>
  <c r="U7" i="11"/>
  <c r="AD12" i="11" s="1"/>
  <c r="AD19" i="11" s="1"/>
  <c r="AD61" i="11" s="1"/>
  <c r="AD96" i="11" s="1"/>
  <c r="AD110" i="11" s="1"/>
  <c r="AD138" i="11" s="1"/>
  <c r="Z7" i="11"/>
  <c r="AI12" i="11" s="1"/>
  <c r="AI19" i="11" s="1"/>
  <c r="AI61" i="11" s="1"/>
  <c r="AI96" i="11" s="1"/>
  <c r="AI110" i="11" s="1"/>
  <c r="AI138" i="11" s="1"/>
  <c r="Y7" i="11"/>
  <c r="AH12" i="11" s="1"/>
  <c r="AH19" i="11" s="1"/>
  <c r="AH61" i="11" s="1"/>
  <c r="AH96" i="11" s="1"/>
  <c r="AH110" i="11" s="1"/>
  <c r="AH138" i="11" s="1"/>
  <c r="AA7" i="11"/>
  <c r="AJ12" i="11" s="1"/>
  <c r="AJ19" i="11" s="1"/>
  <c r="AJ61" i="11" s="1"/>
  <c r="AJ96" i="11" s="1"/>
  <c r="AJ110" i="11" s="1"/>
  <c r="AJ138" i="11" s="1"/>
  <c r="A114" i="11"/>
  <c r="A115" i="11" s="1"/>
  <c r="A116" i="11" s="1"/>
  <c r="A117" i="11" s="1"/>
  <c r="G117" i="11" s="1"/>
  <c r="N313" i="6"/>
  <c r="O305" i="6"/>
  <c r="O309" i="6"/>
  <c r="O310" i="6"/>
  <c r="O306" i="6"/>
  <c r="O311" i="6"/>
  <c r="O307" i="6"/>
  <c r="O312" i="6"/>
  <c r="P313" i="6" l="1"/>
  <c r="G114" i="11"/>
  <c r="G115" i="11"/>
  <c r="A118" i="11"/>
  <c r="A119" i="11" s="1"/>
  <c r="G116" i="11"/>
  <c r="O313" i="6"/>
  <c r="I33" i="11"/>
  <c r="I40" i="11" s="1"/>
  <c r="G118" i="11" l="1"/>
  <c r="I47" i="11"/>
  <c r="I54" i="11" s="1"/>
  <c r="A120" i="11"/>
  <c r="G119" i="11"/>
  <c r="I61" i="11" l="1"/>
  <c r="I68" i="11" s="1"/>
  <c r="I75" i="11" s="1"/>
  <c r="I82" i="11" s="1"/>
  <c r="I89" i="11" s="1"/>
  <c r="I96" i="11" s="1"/>
  <c r="I103" i="11" s="1"/>
  <c r="A121" i="11"/>
  <c r="G120" i="11"/>
  <c r="I110" i="11" l="1"/>
  <c r="I117" i="11" s="1"/>
  <c r="I124" i="11" s="1"/>
  <c r="I131" i="11" s="1"/>
  <c r="I138" i="11" s="1"/>
  <c r="A122" i="11"/>
  <c r="G121" i="11"/>
  <c r="A123" i="11" l="1"/>
  <c r="G122" i="11"/>
  <c r="A124" i="11" l="1"/>
  <c r="G123" i="11"/>
  <c r="A125" i="11" l="1"/>
  <c r="G124" i="11"/>
  <c r="A126" i="11" l="1"/>
  <c r="G125" i="11"/>
  <c r="A127" i="11" l="1"/>
  <c r="G126" i="11"/>
  <c r="A128" i="11" l="1"/>
  <c r="G127" i="11"/>
  <c r="C97" i="1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91" i="11"/>
  <c r="C92" i="11" s="1"/>
  <c r="C93" i="11" s="1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V33" i="5"/>
  <c r="V25" i="5"/>
  <c r="A129" i="11" l="1"/>
  <c r="G128" i="11"/>
  <c r="C13" i="1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139" i="11" s="1"/>
  <c r="F12" i="1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A130" i="11" l="1"/>
  <c r="G129" i="11"/>
  <c r="A131" i="11" l="1"/>
  <c r="G130" i="11"/>
  <c r="A132" i="11" l="1"/>
  <c r="G131" i="11"/>
  <c r="A133" i="11" l="1"/>
  <c r="G132" i="11"/>
  <c r="M294" i="6"/>
  <c r="N293" i="6"/>
  <c r="L293" i="6"/>
  <c r="N292" i="6"/>
  <c r="L292" i="6"/>
  <c r="N291" i="6"/>
  <c r="L291" i="6"/>
  <c r="N290" i="6"/>
  <c r="L290" i="6"/>
  <c r="G290" i="6"/>
  <c r="E290" i="6" s="1"/>
  <c r="N289" i="6"/>
  <c r="L289" i="6"/>
  <c r="E289" i="6"/>
  <c r="N288" i="6"/>
  <c r="L288" i="6"/>
  <c r="G288" i="6"/>
  <c r="E288" i="6" s="1"/>
  <c r="N287" i="6"/>
  <c r="L287" i="6"/>
  <c r="G287" i="6"/>
  <c r="E287" i="6" s="1"/>
  <c r="N286" i="6"/>
  <c r="L286" i="6"/>
  <c r="G286" i="6"/>
  <c r="E286" i="6"/>
  <c r="H284" i="6"/>
  <c r="G284" i="6" s="1"/>
  <c r="F284" i="6" s="1"/>
  <c r="M278" i="6"/>
  <c r="N277" i="6"/>
  <c r="L277" i="6"/>
  <c r="N276" i="6"/>
  <c r="O276" i="6" s="1"/>
  <c r="L276" i="6"/>
  <c r="P276" i="6" s="1"/>
  <c r="N275" i="6"/>
  <c r="L275" i="6"/>
  <c r="N274" i="6"/>
  <c r="L274" i="6"/>
  <c r="G274" i="6"/>
  <c r="E274" i="6" s="1"/>
  <c r="N273" i="6"/>
  <c r="L273" i="6"/>
  <c r="E273" i="6"/>
  <c r="N272" i="6"/>
  <c r="L272" i="6"/>
  <c r="G272" i="6"/>
  <c r="E272" i="6" s="1"/>
  <c r="N271" i="6"/>
  <c r="L271" i="6"/>
  <c r="G271" i="6"/>
  <c r="E271" i="6" s="1"/>
  <c r="N270" i="6"/>
  <c r="L270" i="6"/>
  <c r="G270" i="6"/>
  <c r="E270" i="6" s="1"/>
  <c r="H268" i="6"/>
  <c r="G268" i="6" s="1"/>
  <c r="F268" i="6" s="1"/>
  <c r="M263" i="6"/>
  <c r="N262" i="6"/>
  <c r="L262" i="6"/>
  <c r="N261" i="6"/>
  <c r="O261" i="6" s="1"/>
  <c r="L261" i="6"/>
  <c r="P261" i="6" s="1"/>
  <c r="N260" i="6"/>
  <c r="L260" i="6"/>
  <c r="N259" i="6"/>
  <c r="L259" i="6"/>
  <c r="G259" i="6"/>
  <c r="E259" i="6" s="1"/>
  <c r="N258" i="6"/>
  <c r="L258" i="6"/>
  <c r="E258" i="6"/>
  <c r="N257" i="6"/>
  <c r="L257" i="6"/>
  <c r="G257" i="6"/>
  <c r="E257" i="6" s="1"/>
  <c r="N256" i="6"/>
  <c r="L256" i="6"/>
  <c r="G256" i="6"/>
  <c r="E256" i="6" s="1"/>
  <c r="N255" i="6"/>
  <c r="L255" i="6"/>
  <c r="G255" i="6"/>
  <c r="E255" i="6" s="1"/>
  <c r="H253" i="6"/>
  <c r="G253" i="6" s="1"/>
  <c r="F253" i="6" s="1"/>
  <c r="M248" i="6"/>
  <c r="N247" i="6"/>
  <c r="O247" i="6" s="1"/>
  <c r="L247" i="6"/>
  <c r="N246" i="6"/>
  <c r="L246" i="6"/>
  <c r="N245" i="6"/>
  <c r="L245" i="6"/>
  <c r="N244" i="6"/>
  <c r="L244" i="6"/>
  <c r="P244" i="6" s="1"/>
  <c r="G244" i="6"/>
  <c r="E244" i="6"/>
  <c r="N243" i="6"/>
  <c r="L243" i="6"/>
  <c r="E243" i="6"/>
  <c r="N242" i="6"/>
  <c r="L242" i="6"/>
  <c r="G242" i="6"/>
  <c r="E242" i="6"/>
  <c r="N241" i="6"/>
  <c r="L241" i="6"/>
  <c r="G241" i="6"/>
  <c r="E241" i="6" s="1"/>
  <c r="N240" i="6"/>
  <c r="L240" i="6"/>
  <c r="G240" i="6"/>
  <c r="E240" i="6" s="1"/>
  <c r="H238" i="6"/>
  <c r="G238" i="6" s="1"/>
  <c r="F238" i="6" s="1"/>
  <c r="M233" i="6"/>
  <c r="N232" i="6"/>
  <c r="L232" i="6"/>
  <c r="N231" i="6"/>
  <c r="L231" i="6"/>
  <c r="N230" i="6"/>
  <c r="O230" i="6" s="1"/>
  <c r="L230" i="6"/>
  <c r="N229" i="6"/>
  <c r="L229" i="6"/>
  <c r="G229" i="6"/>
  <c r="E229" i="6"/>
  <c r="N228" i="6"/>
  <c r="L228" i="6"/>
  <c r="E228" i="6"/>
  <c r="N227" i="6"/>
  <c r="L227" i="6"/>
  <c r="G227" i="6"/>
  <c r="E227" i="6" s="1"/>
  <c r="N226" i="6"/>
  <c r="L226" i="6"/>
  <c r="G226" i="6"/>
  <c r="E226" i="6" s="1"/>
  <c r="N225" i="6"/>
  <c r="L225" i="6"/>
  <c r="G225" i="6"/>
  <c r="E225" i="6" s="1"/>
  <c r="H223" i="6"/>
  <c r="G223" i="6" s="1"/>
  <c r="F223" i="6" s="1"/>
  <c r="M218" i="6"/>
  <c r="N217" i="6"/>
  <c r="L217" i="6"/>
  <c r="N216" i="6"/>
  <c r="L216" i="6"/>
  <c r="N215" i="6"/>
  <c r="L215" i="6"/>
  <c r="N214" i="6"/>
  <c r="L214" i="6"/>
  <c r="G214" i="6"/>
  <c r="E214" i="6"/>
  <c r="N213" i="6"/>
  <c r="L213" i="6"/>
  <c r="E213" i="6"/>
  <c r="N212" i="6"/>
  <c r="L212" i="6"/>
  <c r="G212" i="6"/>
  <c r="E212" i="6" s="1"/>
  <c r="N211" i="6"/>
  <c r="L211" i="6"/>
  <c r="G211" i="6"/>
  <c r="E211" i="6" s="1"/>
  <c r="N210" i="6"/>
  <c r="L210" i="6"/>
  <c r="G210" i="6"/>
  <c r="E210" i="6" s="1"/>
  <c r="F208" i="6"/>
  <c r="G208" i="6" s="1"/>
  <c r="H208" i="6" s="1"/>
  <c r="M203" i="6"/>
  <c r="N202" i="6"/>
  <c r="L202" i="6"/>
  <c r="N201" i="6"/>
  <c r="L201" i="6"/>
  <c r="N200" i="6"/>
  <c r="O200" i="6" s="1"/>
  <c r="L200" i="6"/>
  <c r="N199" i="6"/>
  <c r="L199" i="6"/>
  <c r="G199" i="6"/>
  <c r="E199" i="6" s="1"/>
  <c r="N198" i="6"/>
  <c r="L198" i="6"/>
  <c r="E198" i="6"/>
  <c r="N197" i="6"/>
  <c r="L197" i="6"/>
  <c r="G197" i="6"/>
  <c r="E197" i="6"/>
  <c r="N196" i="6"/>
  <c r="L196" i="6"/>
  <c r="G196" i="6"/>
  <c r="E196" i="6" s="1"/>
  <c r="N195" i="6"/>
  <c r="L195" i="6"/>
  <c r="G195" i="6"/>
  <c r="E195" i="6" s="1"/>
  <c r="G193" i="6"/>
  <c r="H193" i="6" s="1"/>
  <c r="I193" i="6" s="1"/>
  <c r="M188" i="6"/>
  <c r="N187" i="6"/>
  <c r="L187" i="6"/>
  <c r="N186" i="6"/>
  <c r="L186" i="6"/>
  <c r="N185" i="6"/>
  <c r="L185" i="6"/>
  <c r="N184" i="6"/>
  <c r="L184" i="6"/>
  <c r="G184" i="6"/>
  <c r="E184" i="6" s="1"/>
  <c r="N183" i="6"/>
  <c r="L183" i="6"/>
  <c r="G183" i="6"/>
  <c r="E183" i="6" s="1"/>
  <c r="N182" i="6"/>
  <c r="L182" i="6"/>
  <c r="G182" i="6"/>
  <c r="E182" i="6" s="1"/>
  <c r="N181" i="6"/>
  <c r="L181" i="6"/>
  <c r="G181" i="6"/>
  <c r="E181" i="6" s="1"/>
  <c r="N180" i="6"/>
  <c r="L180" i="6"/>
  <c r="G180" i="6"/>
  <c r="E180" i="6"/>
  <c r="M173" i="6"/>
  <c r="N172" i="6"/>
  <c r="O172" i="6" s="1"/>
  <c r="L172" i="6"/>
  <c r="N171" i="6"/>
  <c r="O171" i="6" s="1"/>
  <c r="L171" i="6"/>
  <c r="N170" i="6"/>
  <c r="L170" i="6"/>
  <c r="N169" i="6"/>
  <c r="L169" i="6"/>
  <c r="G169" i="6"/>
  <c r="E169" i="6" s="1"/>
  <c r="N168" i="6"/>
  <c r="L168" i="6"/>
  <c r="G168" i="6"/>
  <c r="E168" i="6" s="1"/>
  <c r="N167" i="6"/>
  <c r="L167" i="6"/>
  <c r="G167" i="6"/>
  <c r="E167" i="6" s="1"/>
  <c r="N166" i="6"/>
  <c r="L166" i="6"/>
  <c r="G166" i="6"/>
  <c r="E166" i="6" s="1"/>
  <c r="N165" i="6"/>
  <c r="L165" i="6"/>
  <c r="G165" i="6"/>
  <c r="E165" i="6" s="1"/>
  <c r="M158" i="6"/>
  <c r="N157" i="6"/>
  <c r="L157" i="6"/>
  <c r="N156" i="6"/>
  <c r="O156" i="6" s="1"/>
  <c r="L156" i="6"/>
  <c r="N155" i="6"/>
  <c r="L155" i="6"/>
  <c r="N154" i="6"/>
  <c r="L154" i="6"/>
  <c r="G154" i="6"/>
  <c r="E154" i="6" s="1"/>
  <c r="N153" i="6"/>
  <c r="L153" i="6"/>
  <c r="G153" i="6"/>
  <c r="E153" i="6" s="1"/>
  <c r="N152" i="6"/>
  <c r="L152" i="6"/>
  <c r="G152" i="6"/>
  <c r="E152" i="6" s="1"/>
  <c r="N151" i="6"/>
  <c r="L151" i="6"/>
  <c r="G151" i="6"/>
  <c r="E151" i="6"/>
  <c r="N150" i="6"/>
  <c r="L150" i="6"/>
  <c r="G150" i="6"/>
  <c r="E150" i="6" s="1"/>
  <c r="M143" i="6"/>
  <c r="N142" i="6"/>
  <c r="L142" i="6"/>
  <c r="N141" i="6"/>
  <c r="L141" i="6"/>
  <c r="N140" i="6"/>
  <c r="L140" i="6"/>
  <c r="N139" i="6"/>
  <c r="L139" i="6"/>
  <c r="G139" i="6"/>
  <c r="E139" i="6" s="1"/>
  <c r="N138" i="6"/>
  <c r="L138" i="6"/>
  <c r="G138" i="6"/>
  <c r="E138" i="6" s="1"/>
  <c r="N137" i="6"/>
  <c r="L137" i="6"/>
  <c r="G137" i="6"/>
  <c r="E137" i="6"/>
  <c r="N136" i="6"/>
  <c r="L136" i="6"/>
  <c r="G136" i="6"/>
  <c r="E136" i="6" s="1"/>
  <c r="N135" i="6"/>
  <c r="L135" i="6"/>
  <c r="G135" i="6"/>
  <c r="E135" i="6" s="1"/>
  <c r="M128" i="6"/>
  <c r="N127" i="6"/>
  <c r="L127" i="6"/>
  <c r="N126" i="6"/>
  <c r="L126" i="6"/>
  <c r="N125" i="6"/>
  <c r="L125" i="6"/>
  <c r="N124" i="6"/>
  <c r="L124" i="6"/>
  <c r="G124" i="6"/>
  <c r="E124" i="6"/>
  <c r="N123" i="6"/>
  <c r="L123" i="6"/>
  <c r="G123" i="6"/>
  <c r="E123" i="6"/>
  <c r="N122" i="6"/>
  <c r="L122" i="6"/>
  <c r="G122" i="6"/>
  <c r="E122" i="6" s="1"/>
  <c r="N121" i="6"/>
  <c r="L121" i="6"/>
  <c r="G121" i="6"/>
  <c r="E121" i="6" s="1"/>
  <c r="N120" i="6"/>
  <c r="L120" i="6"/>
  <c r="G120" i="6"/>
  <c r="E120" i="6" s="1"/>
  <c r="M113" i="6"/>
  <c r="N112" i="6"/>
  <c r="L112" i="6"/>
  <c r="N111" i="6"/>
  <c r="L111" i="6"/>
  <c r="N110" i="6"/>
  <c r="L110" i="6"/>
  <c r="N109" i="6"/>
  <c r="L109" i="6"/>
  <c r="G109" i="6"/>
  <c r="E109" i="6"/>
  <c r="N108" i="6"/>
  <c r="L108" i="6"/>
  <c r="G108" i="6"/>
  <c r="E108" i="6"/>
  <c r="N107" i="6"/>
  <c r="L107" i="6"/>
  <c r="G107" i="6"/>
  <c r="E107" i="6" s="1"/>
  <c r="N106" i="6"/>
  <c r="L106" i="6"/>
  <c r="G106" i="6"/>
  <c r="E106" i="6" s="1"/>
  <c r="N105" i="6"/>
  <c r="L105" i="6"/>
  <c r="G105" i="6"/>
  <c r="E105" i="6" s="1"/>
  <c r="M98" i="6"/>
  <c r="N97" i="6"/>
  <c r="L97" i="6"/>
  <c r="N96" i="6"/>
  <c r="L96" i="6"/>
  <c r="N95" i="6"/>
  <c r="O95" i="6" s="1"/>
  <c r="L95" i="6"/>
  <c r="N94" i="6"/>
  <c r="L94" i="6"/>
  <c r="G94" i="6"/>
  <c r="E94" i="6"/>
  <c r="N93" i="6"/>
  <c r="L93" i="6"/>
  <c r="G93" i="6"/>
  <c r="E93" i="6" s="1"/>
  <c r="N92" i="6"/>
  <c r="L92" i="6"/>
  <c r="G92" i="6"/>
  <c r="E92" i="6" s="1"/>
  <c r="N91" i="6"/>
  <c r="L91" i="6"/>
  <c r="G91" i="6"/>
  <c r="E91" i="6"/>
  <c r="O91" i="6" s="1"/>
  <c r="N90" i="6"/>
  <c r="L90" i="6"/>
  <c r="G90" i="6"/>
  <c r="E90" i="6"/>
  <c r="M83" i="6"/>
  <c r="N82" i="6"/>
  <c r="O82" i="6" s="1"/>
  <c r="L82" i="6"/>
  <c r="N81" i="6"/>
  <c r="O81" i="6" s="1"/>
  <c r="L81" i="6"/>
  <c r="N80" i="6"/>
  <c r="L80" i="6"/>
  <c r="N79" i="6"/>
  <c r="L79" i="6"/>
  <c r="G79" i="6"/>
  <c r="E79" i="6" s="1"/>
  <c r="N78" i="6"/>
  <c r="L78" i="6"/>
  <c r="G78" i="6"/>
  <c r="E78" i="6" s="1"/>
  <c r="N77" i="6"/>
  <c r="L77" i="6"/>
  <c r="G77" i="6"/>
  <c r="E77" i="6" s="1"/>
  <c r="N76" i="6"/>
  <c r="L76" i="6"/>
  <c r="G76" i="6"/>
  <c r="E76" i="6" s="1"/>
  <c r="N75" i="6"/>
  <c r="L75" i="6"/>
  <c r="G75" i="6"/>
  <c r="E75" i="6" s="1"/>
  <c r="M68" i="6"/>
  <c r="N67" i="6"/>
  <c r="O67" i="6" s="1"/>
  <c r="L67" i="6"/>
  <c r="N66" i="6"/>
  <c r="O66" i="6" s="1"/>
  <c r="L66" i="6"/>
  <c r="N65" i="6"/>
  <c r="L65" i="6"/>
  <c r="N64" i="6"/>
  <c r="L64" i="6"/>
  <c r="G64" i="6"/>
  <c r="E64" i="6" s="1"/>
  <c r="N63" i="6"/>
  <c r="L63" i="6"/>
  <c r="G63" i="6"/>
  <c r="E63" i="6" s="1"/>
  <c r="N62" i="6"/>
  <c r="L62" i="6"/>
  <c r="G62" i="6"/>
  <c r="E62" i="6"/>
  <c r="O62" i="6" s="1"/>
  <c r="N61" i="6"/>
  <c r="L61" i="6"/>
  <c r="G61" i="6"/>
  <c r="E61" i="6" s="1"/>
  <c r="N60" i="6"/>
  <c r="L60" i="6"/>
  <c r="G60" i="6"/>
  <c r="E60" i="6" s="1"/>
  <c r="M53" i="6"/>
  <c r="N52" i="6"/>
  <c r="L52" i="6"/>
  <c r="N51" i="6"/>
  <c r="L51" i="6"/>
  <c r="N50" i="6"/>
  <c r="O50" i="6" s="1"/>
  <c r="L50" i="6"/>
  <c r="N49" i="6"/>
  <c r="L49" i="6"/>
  <c r="G49" i="6"/>
  <c r="E49" i="6"/>
  <c r="N48" i="6"/>
  <c r="L48" i="6"/>
  <c r="G48" i="6"/>
  <c r="E48" i="6" s="1"/>
  <c r="N47" i="6"/>
  <c r="L47" i="6"/>
  <c r="G47" i="6"/>
  <c r="E47" i="6" s="1"/>
  <c r="N46" i="6"/>
  <c r="L46" i="6"/>
  <c r="G46" i="6"/>
  <c r="E46" i="6"/>
  <c r="N45" i="6"/>
  <c r="L45" i="6"/>
  <c r="G45" i="6"/>
  <c r="E45" i="6" s="1"/>
  <c r="M38" i="6"/>
  <c r="N37" i="6"/>
  <c r="O37" i="6" s="1"/>
  <c r="L37" i="6"/>
  <c r="N36" i="6"/>
  <c r="O36" i="6" s="1"/>
  <c r="L36" i="6"/>
  <c r="N35" i="6"/>
  <c r="O35" i="6" s="1"/>
  <c r="L35" i="6"/>
  <c r="N34" i="6"/>
  <c r="L34" i="6"/>
  <c r="G34" i="6"/>
  <c r="E34" i="6" s="1"/>
  <c r="N33" i="6"/>
  <c r="L33" i="6"/>
  <c r="G33" i="6"/>
  <c r="E33" i="6" s="1"/>
  <c r="O33" i="6" s="1"/>
  <c r="N32" i="6"/>
  <c r="L32" i="6"/>
  <c r="G32" i="6"/>
  <c r="E32" i="6"/>
  <c r="N31" i="6"/>
  <c r="L31" i="6"/>
  <c r="G31" i="6"/>
  <c r="E31" i="6" s="1"/>
  <c r="N30" i="6"/>
  <c r="L30" i="6"/>
  <c r="G30" i="6"/>
  <c r="E30" i="6" s="1"/>
  <c r="M23" i="6"/>
  <c r="N22" i="6"/>
  <c r="L22" i="6"/>
  <c r="N21" i="6"/>
  <c r="L21" i="6"/>
  <c r="N20" i="6"/>
  <c r="L20" i="6"/>
  <c r="N19" i="6"/>
  <c r="L19" i="6"/>
  <c r="G19" i="6"/>
  <c r="E19" i="6" s="1"/>
  <c r="N18" i="6"/>
  <c r="L18" i="6"/>
  <c r="G18" i="6"/>
  <c r="E18" i="6" s="1"/>
  <c r="N17" i="6"/>
  <c r="L17" i="6"/>
  <c r="G17" i="6"/>
  <c r="E17" i="6" s="1"/>
  <c r="N16" i="6"/>
  <c r="L16" i="6"/>
  <c r="G16" i="6"/>
  <c r="E16" i="6" s="1"/>
  <c r="N15" i="6"/>
  <c r="L15" i="6"/>
  <c r="G15" i="6"/>
  <c r="E15" i="6"/>
  <c r="M9" i="6"/>
  <c r="R9" i="6" s="1"/>
  <c r="L9" i="6"/>
  <c r="M8" i="6"/>
  <c r="L8" i="6"/>
  <c r="M7" i="6"/>
  <c r="N7" i="6" s="1"/>
  <c r="L7" i="6"/>
  <c r="M6" i="6"/>
  <c r="R6" i="6" s="1"/>
  <c r="L6" i="6"/>
  <c r="G6" i="6"/>
  <c r="E6" i="6"/>
  <c r="M5" i="6"/>
  <c r="N5" i="6" s="1"/>
  <c r="L5" i="6"/>
  <c r="G5" i="6"/>
  <c r="E5" i="6" s="1"/>
  <c r="M4" i="6"/>
  <c r="N4" i="6" s="1"/>
  <c r="L4" i="6"/>
  <c r="G4" i="6"/>
  <c r="E4" i="6" s="1"/>
  <c r="M3" i="6"/>
  <c r="R3" i="6" s="1"/>
  <c r="L3" i="6"/>
  <c r="G3" i="6"/>
  <c r="E3" i="6" s="1"/>
  <c r="R2" i="6"/>
  <c r="N2" i="6"/>
  <c r="L2" i="6"/>
  <c r="G2" i="6"/>
  <c r="E2" i="6" s="1"/>
  <c r="Q32" i="5"/>
  <c r="V32" i="5" s="1"/>
  <c r="Z32" i="5" s="1"/>
  <c r="Z24" i="5"/>
  <c r="O196" i="6" l="1"/>
  <c r="O120" i="6"/>
  <c r="P196" i="6"/>
  <c r="O274" i="6"/>
  <c r="P277" i="6"/>
  <c r="O151" i="6"/>
  <c r="P139" i="6"/>
  <c r="P19" i="6"/>
  <c r="P229" i="6"/>
  <c r="A134" i="11"/>
  <c r="G133" i="11"/>
  <c r="N158" i="6"/>
  <c r="P271" i="6"/>
  <c r="P79" i="6"/>
  <c r="P67" i="6"/>
  <c r="P45" i="6"/>
  <c r="P157" i="6"/>
  <c r="N83" i="6"/>
  <c r="P124" i="6"/>
  <c r="P22" i="6"/>
  <c r="P49" i="6"/>
  <c r="P125" i="6"/>
  <c r="P135" i="6"/>
  <c r="P138" i="6"/>
  <c r="O153" i="6"/>
  <c r="O214" i="6"/>
  <c r="P77" i="6"/>
  <c r="P91" i="6"/>
  <c r="P214" i="6"/>
  <c r="P287" i="6"/>
  <c r="P31" i="6"/>
  <c r="P197" i="6"/>
  <c r="L83" i="6"/>
  <c r="P247" i="6"/>
  <c r="P240" i="6"/>
  <c r="P260" i="6"/>
  <c r="O228" i="6"/>
  <c r="O256" i="6"/>
  <c r="P183" i="6"/>
  <c r="O168" i="6"/>
  <c r="O182" i="6"/>
  <c r="P120" i="6"/>
  <c r="P35" i="6"/>
  <c r="L113" i="6"/>
  <c r="P172" i="6"/>
  <c r="N248" i="6"/>
  <c r="P217" i="6"/>
  <c r="O17" i="6"/>
  <c r="P141" i="6"/>
  <c r="O108" i="6"/>
  <c r="P198" i="6"/>
  <c r="P167" i="6"/>
  <c r="P155" i="6"/>
  <c r="O19" i="6"/>
  <c r="O45" i="6"/>
  <c r="P97" i="6"/>
  <c r="P200" i="6"/>
  <c r="P213" i="6"/>
  <c r="O244" i="6"/>
  <c r="P256" i="6"/>
  <c r="P275" i="6"/>
  <c r="P82" i="6"/>
  <c r="P92" i="6"/>
  <c r="P61" i="6"/>
  <c r="P48" i="6"/>
  <c r="P185" i="6"/>
  <c r="O229" i="6"/>
  <c r="P17" i="6"/>
  <c r="P153" i="6"/>
  <c r="O135" i="6"/>
  <c r="O18" i="6"/>
  <c r="O287" i="6"/>
  <c r="P243" i="6"/>
  <c r="P78" i="6"/>
  <c r="P33" i="6"/>
  <c r="P111" i="6"/>
  <c r="P137" i="6"/>
  <c r="P151" i="6"/>
  <c r="P182" i="6"/>
  <c r="P289" i="6"/>
  <c r="P126" i="6"/>
  <c r="P228" i="6"/>
  <c r="O139" i="6"/>
  <c r="L248" i="6"/>
  <c r="P93" i="6"/>
  <c r="P62" i="6"/>
  <c r="P36" i="6"/>
  <c r="O49" i="6"/>
  <c r="O77" i="6"/>
  <c r="L233" i="6"/>
  <c r="L68" i="6"/>
  <c r="L143" i="6"/>
  <c r="P274" i="6"/>
  <c r="O124" i="6"/>
  <c r="L263" i="6"/>
  <c r="O34" i="6"/>
  <c r="O210" i="6"/>
  <c r="P293" i="6"/>
  <c r="P166" i="6"/>
  <c r="P272" i="6"/>
  <c r="P186" i="6"/>
  <c r="O242" i="6"/>
  <c r="P242" i="6"/>
  <c r="O63" i="6"/>
  <c r="P108" i="6"/>
  <c r="N233" i="6"/>
  <c r="P136" i="6"/>
  <c r="P232" i="6"/>
  <c r="O15" i="6"/>
  <c r="N53" i="6"/>
  <c r="P60" i="6"/>
  <c r="P105" i="6"/>
  <c r="P112" i="6"/>
  <c r="P202" i="6"/>
  <c r="P227" i="6"/>
  <c r="P257" i="6"/>
  <c r="L278" i="6"/>
  <c r="P80" i="6"/>
  <c r="P215" i="6"/>
  <c r="P292" i="6"/>
  <c r="P81" i="6"/>
  <c r="P75" i="6"/>
  <c r="P107" i="6"/>
  <c r="P210" i="6"/>
  <c r="O186" i="6"/>
  <c r="P95" i="6"/>
  <c r="P187" i="6"/>
  <c r="P230" i="6"/>
  <c r="P212" i="6"/>
  <c r="P262" i="6"/>
  <c r="P109" i="6"/>
  <c r="P168" i="6"/>
  <c r="P52" i="6"/>
  <c r="P15" i="6"/>
  <c r="P246" i="6"/>
  <c r="P270" i="6"/>
  <c r="P290" i="6"/>
  <c r="R7" i="6"/>
  <c r="N9" i="6"/>
  <c r="R4" i="6"/>
  <c r="R5" i="6"/>
  <c r="P110" i="6"/>
  <c r="O110" i="6"/>
  <c r="P64" i="6"/>
  <c r="O64" i="6"/>
  <c r="N68" i="6"/>
  <c r="L188" i="6"/>
  <c r="P20" i="6"/>
  <c r="P5" i="6"/>
  <c r="O5" i="6"/>
  <c r="O111" i="6"/>
  <c r="P201" i="6"/>
  <c r="O201" i="6"/>
  <c r="P226" i="6"/>
  <c r="P288" i="6"/>
  <c r="O288" i="6"/>
  <c r="P169" i="6"/>
  <c r="O169" i="6"/>
  <c r="O48" i="6"/>
  <c r="N113" i="6"/>
  <c r="P106" i="6"/>
  <c r="O106" i="6"/>
  <c r="O2" i="6"/>
  <c r="P152" i="6"/>
  <c r="O31" i="6"/>
  <c r="O93" i="6"/>
  <c r="P127" i="6"/>
  <c r="O127" i="6"/>
  <c r="N173" i="6"/>
  <c r="P184" i="6"/>
  <c r="O184" i="6"/>
  <c r="P140" i="6"/>
  <c r="O140" i="6"/>
  <c r="N188" i="6"/>
  <c r="P180" i="6"/>
  <c r="O180" i="6"/>
  <c r="P241" i="6"/>
  <c r="O47" i="6"/>
  <c r="P122" i="6"/>
  <c r="O122" i="6"/>
  <c r="O225" i="6"/>
  <c r="P258" i="6"/>
  <c r="P225" i="6"/>
  <c r="O258" i="6"/>
  <c r="M10" i="6"/>
  <c r="P231" i="6"/>
  <c r="L173" i="6"/>
  <c r="N203" i="6"/>
  <c r="O226" i="6"/>
  <c r="O231" i="6"/>
  <c r="O20" i="6"/>
  <c r="P2" i="6"/>
  <c r="P170" i="6"/>
  <c r="O78" i="6"/>
  <c r="P94" i="6"/>
  <c r="O136" i="6"/>
  <c r="O141" i="6"/>
  <c r="P165" i="6"/>
  <c r="O215" i="6"/>
  <c r="P21" i="6"/>
  <c r="O21" i="6"/>
  <c r="L23" i="6"/>
  <c r="L98" i="6"/>
  <c r="O198" i="6"/>
  <c r="O290" i="6"/>
  <c r="N23" i="6"/>
  <c r="P16" i="6"/>
  <c r="P90" i="6"/>
  <c r="N98" i="6"/>
  <c r="O216" i="6"/>
  <c r="P216" i="6"/>
  <c r="O16" i="6"/>
  <c r="P50" i="6"/>
  <c r="O90" i="6"/>
  <c r="O125" i="6"/>
  <c r="L218" i="6"/>
  <c r="N3" i="6"/>
  <c r="P154" i="6"/>
  <c r="N218" i="6"/>
  <c r="P211" i="6"/>
  <c r="P245" i="6"/>
  <c r="O245" i="6"/>
  <c r="O262" i="6"/>
  <c r="O272" i="6"/>
  <c r="P291" i="6"/>
  <c r="O291" i="6"/>
  <c r="P7" i="6"/>
  <c r="O7" i="6"/>
  <c r="P51" i="6"/>
  <c r="O51" i="6"/>
  <c r="O79" i="6"/>
  <c r="L128" i="6"/>
  <c r="O137" i="6"/>
  <c r="L38" i="6"/>
  <c r="N128" i="6"/>
  <c r="L158" i="6"/>
  <c r="O183" i="6"/>
  <c r="O199" i="6"/>
  <c r="O240" i="6"/>
  <c r="N38" i="6"/>
  <c r="P34" i="6"/>
  <c r="P63" i="6"/>
  <c r="O75" i="6"/>
  <c r="O121" i="6"/>
  <c r="O126" i="6"/>
  <c r="O150" i="6"/>
  <c r="L203" i="6"/>
  <c r="P46" i="6"/>
  <c r="O165" i="6"/>
  <c r="O277" i="6"/>
  <c r="N6" i="6"/>
  <c r="P142" i="6"/>
  <c r="O142" i="6"/>
  <c r="P96" i="6"/>
  <c r="O96" i="6"/>
  <c r="O211" i="6"/>
  <c r="O46" i="6"/>
  <c r="L294" i="6"/>
  <c r="R8" i="6"/>
  <c r="N8" i="6"/>
  <c r="O30" i="6"/>
  <c r="P121" i="6"/>
  <c r="P195" i="6"/>
  <c r="O257" i="6"/>
  <c r="N263" i="6"/>
  <c r="O273" i="6"/>
  <c r="P273" i="6"/>
  <c r="N294" i="6"/>
  <c r="P286" i="6"/>
  <c r="O286" i="6"/>
  <c r="P30" i="6"/>
  <c r="P181" i="6"/>
  <c r="P32" i="6"/>
  <c r="O154" i="6"/>
  <c r="O170" i="6"/>
  <c r="P4" i="6"/>
  <c r="O4" i="6"/>
  <c r="O32" i="6"/>
  <c r="O60" i="6"/>
  <c r="O107" i="6"/>
  <c r="O112" i="6"/>
  <c r="P150" i="6"/>
  <c r="O243" i="6"/>
  <c r="O275" i="6"/>
  <c r="P65" i="6"/>
  <c r="O76" i="6"/>
  <c r="O97" i="6"/>
  <c r="O166" i="6"/>
  <c r="O187" i="6"/>
  <c r="O202" i="6"/>
  <c r="O217" i="6"/>
  <c r="P259" i="6"/>
  <c r="O292" i="6"/>
  <c r="O22" i="6"/>
  <c r="L53" i="6"/>
  <c r="O65" i="6"/>
  <c r="O92" i="6"/>
  <c r="P123" i="6"/>
  <c r="O155" i="6"/>
  <c r="O212" i="6"/>
  <c r="N143" i="6"/>
  <c r="O197" i="6"/>
  <c r="P255" i="6"/>
  <c r="O255" i="6"/>
  <c r="N278" i="6"/>
  <c r="O61" i="6"/>
  <c r="P156" i="6"/>
  <c r="O271" i="6"/>
  <c r="O241" i="6"/>
  <c r="O259" i="6"/>
  <c r="O293" i="6"/>
  <c r="O152" i="6"/>
  <c r="O181" i="6"/>
  <c r="O195" i="6"/>
  <c r="P37" i="6"/>
  <c r="O105" i="6"/>
  <c r="O232" i="6"/>
  <c r="P18" i="6"/>
  <c r="P47" i="6"/>
  <c r="P76" i="6"/>
  <c r="O157" i="6"/>
  <c r="P171" i="6"/>
  <c r="P199" i="6"/>
  <c r="O246" i="6"/>
  <c r="O52" i="6"/>
  <c r="P66" i="6"/>
  <c r="O109" i="6"/>
  <c r="O138" i="6"/>
  <c r="O167" i="6"/>
  <c r="O260" i="6"/>
  <c r="O270" i="6"/>
  <c r="O289" i="6"/>
  <c r="O94" i="6"/>
  <c r="O123" i="6"/>
  <c r="O185" i="6"/>
  <c r="O213" i="6"/>
  <c r="O227" i="6"/>
  <c r="O80" i="6"/>
  <c r="Z15" i="5"/>
  <c r="P68" i="6" l="1"/>
  <c r="A135" i="11"/>
  <c r="G134" i="11"/>
  <c r="P23" i="6"/>
  <c r="P278" i="6"/>
  <c r="P113" i="6"/>
  <c r="P203" i="6"/>
  <c r="O128" i="6"/>
  <c r="O218" i="6"/>
  <c r="P188" i="6"/>
  <c r="P248" i="6"/>
  <c r="P143" i="6"/>
  <c r="O98" i="6"/>
  <c r="P83" i="6"/>
  <c r="O233" i="6"/>
  <c r="P218" i="6"/>
  <c r="O143" i="6"/>
  <c r="P128" i="6"/>
  <c r="O38" i="6"/>
  <c r="O23" i="6"/>
  <c r="O9" i="6"/>
  <c r="P9" i="6"/>
  <c r="O188" i="6"/>
  <c r="O68" i="6"/>
  <c r="O113" i="6"/>
  <c r="P8" i="6"/>
  <c r="O8" i="6"/>
  <c r="O53" i="6"/>
  <c r="O203" i="6"/>
  <c r="P6" i="6"/>
  <c r="O6" i="6"/>
  <c r="P98" i="6"/>
  <c r="P38" i="6"/>
  <c r="O173" i="6"/>
  <c r="O294" i="6"/>
  <c r="O278" i="6"/>
  <c r="P294" i="6"/>
  <c r="P53" i="6"/>
  <c r="P233" i="6"/>
  <c r="O83" i="6"/>
  <c r="O263" i="6"/>
  <c r="P263" i="6"/>
  <c r="P158" i="6"/>
  <c r="O248" i="6"/>
  <c r="P3" i="6"/>
  <c r="O3" i="6"/>
  <c r="N10" i="6"/>
  <c r="P173" i="6"/>
  <c r="O158" i="6"/>
  <c r="A136" i="11" l="1"/>
  <c r="G135" i="11"/>
  <c r="P10" i="6"/>
  <c r="O10" i="6"/>
  <c r="A137" i="11" l="1"/>
  <c r="G136" i="11"/>
  <c r="A138" i="11" l="1"/>
  <c r="G138" i="11" s="1"/>
  <c r="G137" i="11"/>
  <c r="O64" i="5" l="1"/>
  <c r="O65" i="5" s="1"/>
  <c r="N64" i="5"/>
  <c r="N65" i="5" s="1"/>
  <c r="M64" i="5"/>
  <c r="M65" i="5" s="1"/>
  <c r="L64" i="5"/>
  <c r="L65" i="5" s="1"/>
  <c r="K64" i="5"/>
  <c r="K65" i="5" s="1"/>
  <c r="H64" i="5"/>
  <c r="H65" i="5" s="1"/>
  <c r="D64" i="5"/>
  <c r="Q42" i="5"/>
  <c r="V42" i="5" s="1"/>
  <c r="Z42" i="5" s="1"/>
  <c r="Q37" i="5"/>
  <c r="V37" i="5" s="1"/>
  <c r="Z37" i="5" s="1"/>
  <c r="Z33" i="5"/>
  <c r="Z30" i="5"/>
  <c r="Z28" i="5"/>
  <c r="Z25" i="5"/>
  <c r="Z22" i="5"/>
  <c r="Z20" i="5"/>
  <c r="Z16" i="5"/>
  <c r="Q12" i="5"/>
  <c r="Z12" i="5" s="1"/>
  <c r="Z10" i="5"/>
  <c r="Z8" i="5"/>
  <c r="Z6" i="5"/>
</calcChain>
</file>

<file path=xl/sharedStrings.xml><?xml version="1.0" encoding="utf-8"?>
<sst xmlns="http://schemas.openxmlformats.org/spreadsheetml/2006/main" count="1218" uniqueCount="136">
  <si>
    <t>Fe6 Spring Washer</t>
  </si>
  <si>
    <t>Project Delivery Schedule - R11414 Sydney Metro Airport</t>
  </si>
  <si>
    <t>Shipment #</t>
  </si>
  <si>
    <t>Container 
#</t>
  </si>
  <si>
    <t>Container Size</t>
  </si>
  <si>
    <t>RF167 Egg 7.8kN/mm (M2-167)</t>
  </si>
  <si>
    <t>Ss8 150mm Screwspike (M2-2110)</t>
  </si>
  <si>
    <t>Dowels 135mm (M2-2302N)</t>
  </si>
  <si>
    <t>Plastic Caps (M2-9013)</t>
  </si>
  <si>
    <t>Fe6 Spring Washer (M2-2203)</t>
  </si>
  <si>
    <t>HDPE 3mm Basepad (BP402) (M2-3007-3)</t>
  </si>
  <si>
    <t>HDPE 5mm Rail Seat Pad (RP408) (M2-3710)</t>
  </si>
  <si>
    <t>Rail Clip (M2-9001C)</t>
  </si>
  <si>
    <t>Insulator (M2-9021C)</t>
  </si>
  <si>
    <t>EXW DATE</t>
  </si>
  <si>
    <t>ETD Port</t>
  </si>
  <si>
    <t>Actual Departure Date</t>
  </si>
  <si>
    <t>VESSEL NAME / VOYAGE</t>
  </si>
  <si>
    <t>BILL OF LADING NO.</t>
  </si>
  <si>
    <t>ETA Sydney Port</t>
  </si>
  <si>
    <t>Actual Arrival Sydney Port</t>
  </si>
  <si>
    <t>CONTAINER NUMBER</t>
  </si>
  <si>
    <t>Destination</t>
  </si>
  <si>
    <t>ETA Site</t>
  </si>
  <si>
    <t>SAMPLES</t>
  </si>
  <si>
    <t>N/A</t>
  </si>
  <si>
    <t>DHL Air Courier</t>
  </si>
  <si>
    <t>4577566744</t>
  </si>
  <si>
    <t>MITTAGONG</t>
  </si>
  <si>
    <t>TBA</t>
  </si>
  <si>
    <t>Ex Delkor</t>
  </si>
  <si>
    <t>GRAFTON</t>
  </si>
  <si>
    <t>20'</t>
  </si>
  <si>
    <t>OOCL Brazil V.OAJHYS1NL</t>
  </si>
  <si>
    <t>#4</t>
  </si>
  <si>
    <t>#5</t>
  </si>
  <si>
    <t>SITE</t>
  </si>
  <si>
    <t>ORDER TOTALS</t>
  </si>
  <si>
    <t>DELIVERY TOTALS</t>
  </si>
  <si>
    <t>PO</t>
  </si>
  <si>
    <t>Supplier</t>
  </si>
  <si>
    <t>Description</t>
  </si>
  <si>
    <t>Qty / Package</t>
  </si>
  <si>
    <t>G.W. Kg</t>
  </si>
  <si>
    <t>Pack Weight</t>
  </si>
  <si>
    <t>N.W. Kg</t>
  </si>
  <si>
    <t>Unit Weight</t>
  </si>
  <si>
    <t>L (m)</t>
  </si>
  <si>
    <t>W (m)</t>
  </si>
  <si>
    <t>H (m)</t>
  </si>
  <si>
    <t>Volume Cbm</t>
  </si>
  <si>
    <t>CONTRACT QTY</t>
  </si>
  <si>
    <t>Est. Packages</t>
  </si>
  <si>
    <t>Est. Weight</t>
  </si>
  <si>
    <t>Est CBM</t>
  </si>
  <si>
    <t>Site</t>
  </si>
  <si>
    <t>TMT</t>
  </si>
  <si>
    <t>RF167  egg baseplate with 2 serrated washers</t>
  </si>
  <si>
    <t>TO MITTAGONG</t>
  </si>
  <si>
    <t>20GP</t>
  </si>
  <si>
    <t>Fosco</t>
  </si>
  <si>
    <t>Screwspike Ss8-150</t>
  </si>
  <si>
    <t>HDPE 3mm Base Pad for RF167</t>
  </si>
  <si>
    <t>HDPE Rail Seat Pad</t>
  </si>
  <si>
    <t>TO SITE</t>
  </si>
  <si>
    <t>135mm Dowels</t>
  </si>
  <si>
    <t>Insulator</t>
  </si>
  <si>
    <t>Rail Clips</t>
  </si>
  <si>
    <t>Sudelan</t>
  </si>
  <si>
    <t>TTL</t>
  </si>
  <si>
    <t>#1</t>
  </si>
  <si>
    <t>FOSCO</t>
  </si>
  <si>
    <t>SUDELAN</t>
  </si>
  <si>
    <t>#2</t>
  </si>
  <si>
    <t>#3</t>
  </si>
  <si>
    <t>#6</t>
  </si>
  <si>
    <t>#7</t>
  </si>
  <si>
    <t>#8</t>
  </si>
  <si>
    <t>#9</t>
  </si>
  <si>
    <t>#10</t>
  </si>
  <si>
    <t>#11</t>
  </si>
  <si>
    <t>#12</t>
  </si>
  <si>
    <t>TO MITTAGONG/SITE</t>
  </si>
  <si>
    <t>Balance</t>
  </si>
  <si>
    <t>OOLU2151979390</t>
  </si>
  <si>
    <t>CBHU4452090</t>
  </si>
  <si>
    <t>FCIU5463517</t>
  </si>
  <si>
    <t>OOLU2152350030</t>
  </si>
  <si>
    <t>CSNU1067436</t>
  </si>
  <si>
    <t>SEGU2940889</t>
  </si>
  <si>
    <t>OOCL CANADA 108S</t>
  </si>
  <si>
    <t>SHA47987840</t>
  </si>
  <si>
    <t>CMA CGM FIORDLAND / 231S</t>
  </si>
  <si>
    <t>CBHU4384919</t>
  </si>
  <si>
    <t>CSLU1060141</t>
  </si>
  <si>
    <t>Shipping Line</t>
  </si>
  <si>
    <t>165mm Dowels</t>
  </si>
  <si>
    <t>OOCL BEIJING 114S</t>
  </si>
  <si>
    <t>OOLU2152769370</t>
  </si>
  <si>
    <t>ANL GIPPSLAND V.078S</t>
  </si>
  <si>
    <t>OOLU2153147770</t>
  </si>
  <si>
    <t xml:space="preserve">OOCL BRAZIL 24043S </t>
  </si>
  <si>
    <t>CSLU2236071</t>
  </si>
  <si>
    <t>OOLU1705163</t>
  </si>
  <si>
    <t>CBHU4336211</t>
  </si>
  <si>
    <t>FCIU5010953</t>
  </si>
  <si>
    <t>MSMU2323945</t>
  </si>
  <si>
    <t>MSDU2797573</t>
  </si>
  <si>
    <t>MSC REBECCA III V.KN443</t>
  </si>
  <si>
    <t>CSNU1569753</t>
  </si>
  <si>
    <t>DFSU1329870</t>
  </si>
  <si>
    <t>CSNU1286460</t>
  </si>
  <si>
    <t>HAKU0033590</t>
  </si>
  <si>
    <t>OOCL MIAMI</t>
  </si>
  <si>
    <t>OOCL CANADA</t>
  </si>
  <si>
    <t>CMAU1804604</t>
  </si>
  <si>
    <t>HJCU2119856</t>
  </si>
  <si>
    <t>OOLU1468760</t>
  </si>
  <si>
    <t>TEMU3398172</t>
  </si>
  <si>
    <t>日产能</t>
  </si>
  <si>
    <t>累计数</t>
  </si>
  <si>
    <t>Shipped</t>
  </si>
  <si>
    <t>10kN</t>
  </si>
  <si>
    <t>15kN</t>
  </si>
  <si>
    <t>20kN</t>
  </si>
  <si>
    <t>Customer Consumption</t>
  </si>
  <si>
    <t>ETA</t>
  </si>
  <si>
    <t>Updated Container Configuration</t>
  </si>
  <si>
    <t>RF167 Egg 10kN/mm (M2-TBA)</t>
  </si>
  <si>
    <t>RF167 Egg 12kN/mm (M2-TBA)</t>
  </si>
  <si>
    <t>RF167 Egg 20kN/mm (M2-TBA)</t>
  </si>
  <si>
    <t>Parts on the way</t>
  </si>
  <si>
    <t>Basplate delivered</t>
  </si>
  <si>
    <t>Baseplate in Stock</t>
  </si>
  <si>
    <t>Parts delivered</t>
  </si>
  <si>
    <t>Parts 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</si>
</sst>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_(* #,##0.00_);_(* \(#,##0.00\);_(* &quot;-&quot;??_);_(@_)"/>
    <numFmt numFmtId="167" formatCode="_(* #,##0_);_(* \(#,##0\);_(* &quot;-&quot;??_);_(@_)"/>
    <numFmt numFmtId="168" formatCode="[$-C09]dd\-mmm\-yy;@"/>
    <numFmt numFmtId="169" formatCode="[$-409]d\-mmm\-yy;@"/>
    <numFmt numFmtId="170" formatCode="0.00_ ;[Red]\-0.00\ "/>
    <numFmt numFmtId="171" formatCode="0.00_ "/>
    <numFmt numFmtId="176" formatCode="#,##0_ ;[Red]\-#,##0\ 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36"/>
      <color theme="1"/>
      <name val="Arial Rounded MT Bold"/>
      <family val="2"/>
    </font>
    <font>
      <b/>
      <u/>
      <sz val="36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1"/>
      <color rgb="FF00206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A8E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>
      <alignment vertical="center"/>
    </xf>
    <xf numFmtId="166" fontId="4" fillId="0" borderId="0" applyFont="0" applyFill="0" applyBorder="0" applyAlignment="0" applyProtection="0"/>
    <xf numFmtId="168" fontId="3" fillId="0" borderId="0"/>
  </cellStyleXfs>
  <cellXfs count="192">
    <xf numFmtId="0" fontId="0" fillId="0" borderId="0" xfId="0"/>
    <xf numFmtId="14" fontId="0" fillId="0" borderId="0" xfId="0" applyNumberFormat="1"/>
    <xf numFmtId="0" fontId="0" fillId="3" borderId="0" xfId="0" applyFill="1"/>
    <xf numFmtId="0" fontId="9" fillId="0" borderId="0" xfId="1" applyFont="1" applyAlignment="1">
      <alignment horizontal="center" vertical="center"/>
    </xf>
    <xf numFmtId="168" fontId="9" fillId="0" borderId="0" xfId="1" applyNumberFormat="1" applyFont="1" applyAlignment="1">
      <alignment horizontal="center" vertical="center"/>
    </xf>
    <xf numFmtId="169" fontId="9" fillId="0" borderId="0" xfId="1" applyNumberFormat="1" applyFont="1" applyAlignment="1">
      <alignment horizontal="center" vertical="center"/>
    </xf>
    <xf numFmtId="167" fontId="10" fillId="4" borderId="2" xfId="2" applyNumberFormat="1" applyFont="1" applyFill="1" applyBorder="1" applyAlignment="1">
      <alignment horizontal="center" vertical="center" wrapText="1"/>
    </xf>
    <xf numFmtId="167" fontId="10" fillId="4" borderId="3" xfId="2" applyNumberFormat="1" applyFont="1" applyFill="1" applyBorder="1" applyAlignment="1">
      <alignment horizontal="center" vertical="center" wrapText="1"/>
    </xf>
    <xf numFmtId="168" fontId="10" fillId="5" borderId="3" xfId="1" applyNumberFormat="1" applyFont="1" applyFill="1" applyBorder="1" applyAlignment="1">
      <alignment horizontal="center" vertical="center" wrapText="1"/>
    </xf>
    <xf numFmtId="169" fontId="10" fillId="5" borderId="3" xfId="1" applyNumberFormat="1" applyFont="1" applyFill="1" applyBorder="1" applyAlignment="1">
      <alignment horizontal="center" vertical="center" wrapText="1"/>
    </xf>
    <xf numFmtId="169" fontId="10" fillId="5" borderId="3" xfId="2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1" fillId="0" borderId="0" xfId="0" applyFont="1"/>
    <xf numFmtId="0" fontId="11" fillId="6" borderId="4" xfId="1" applyFont="1" applyFill="1" applyBorder="1" applyAlignment="1">
      <alignment horizontal="center" vertical="center"/>
    </xf>
    <xf numFmtId="167" fontId="11" fillId="6" borderId="5" xfId="2" applyNumberFormat="1" applyFont="1" applyFill="1" applyBorder="1" applyAlignment="1">
      <alignment horizontal="center" vertical="center"/>
    </xf>
    <xf numFmtId="167" fontId="11" fillId="6" borderId="6" xfId="2" applyNumberFormat="1" applyFont="1" applyFill="1" applyBorder="1" applyAlignment="1">
      <alignment horizontal="center" vertical="center"/>
    </xf>
    <xf numFmtId="167" fontId="11" fillId="6" borderId="6" xfId="2" applyNumberFormat="1" applyFont="1" applyFill="1" applyBorder="1" applyAlignment="1">
      <alignment horizontal="center" vertical="center" wrapText="1"/>
    </xf>
    <xf numFmtId="168" fontId="6" fillId="6" borderId="5" xfId="1" applyNumberFormat="1" applyFont="1" applyFill="1" applyBorder="1" applyAlignment="1">
      <alignment horizontal="center" vertical="center"/>
    </xf>
    <xf numFmtId="168" fontId="6" fillId="6" borderId="5" xfId="1" quotePrefix="1" applyNumberFormat="1" applyFont="1" applyFill="1" applyBorder="1" applyAlignment="1">
      <alignment horizontal="center" vertical="center"/>
    </xf>
    <xf numFmtId="0" fontId="11" fillId="6" borderId="5" xfId="1" applyFont="1" applyFill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 wrapText="1"/>
    </xf>
    <xf numFmtId="168" fontId="6" fillId="0" borderId="5" xfId="1" applyNumberFormat="1" applyFont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 wrapText="1"/>
    </xf>
    <xf numFmtId="168" fontId="6" fillId="0" borderId="15" xfId="1" applyNumberFormat="1" applyFont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 wrapText="1"/>
    </xf>
    <xf numFmtId="49" fontId="13" fillId="7" borderId="1" xfId="0" applyNumberFormat="1" applyFont="1" applyFill="1" applyBorder="1" applyAlignment="1">
      <alignment horizontal="center" vertical="center" wrapText="1"/>
    </xf>
    <xf numFmtId="49" fontId="13" fillId="7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1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11" fillId="3" borderId="6" xfId="2" applyNumberFormat="1" applyFont="1" applyFill="1" applyBorder="1" applyAlignment="1">
      <alignment horizontal="center" vertical="center"/>
    </xf>
    <xf numFmtId="167" fontId="11" fillId="3" borderId="6" xfId="2" applyNumberFormat="1" applyFont="1" applyFill="1" applyBorder="1" applyAlignment="1">
      <alignment horizontal="center" vertical="center" wrapText="1"/>
    </xf>
    <xf numFmtId="168" fontId="6" fillId="3" borderId="5" xfId="1" applyNumberFormat="1" applyFont="1" applyFill="1" applyBorder="1" applyAlignment="1">
      <alignment horizontal="center" vertical="center"/>
    </xf>
    <xf numFmtId="167" fontId="11" fillId="8" borderId="6" xfId="2" applyNumberFormat="1" applyFont="1" applyFill="1" applyBorder="1" applyAlignment="1">
      <alignment horizontal="center" vertical="center"/>
    </xf>
    <xf numFmtId="167" fontId="11" fillId="8" borderId="6" xfId="2" applyNumberFormat="1" applyFont="1" applyFill="1" applyBorder="1" applyAlignment="1">
      <alignment horizontal="center" vertical="center" wrapText="1"/>
    </xf>
    <xf numFmtId="168" fontId="6" fillId="8" borderId="5" xfId="1" applyNumberFormat="1" applyFont="1" applyFill="1" applyBorder="1" applyAlignment="1">
      <alignment horizontal="center" vertical="center"/>
    </xf>
    <xf numFmtId="14" fontId="0" fillId="2" borderId="0" xfId="0" applyNumberFormat="1" applyFill="1"/>
    <xf numFmtId="168" fontId="6" fillId="0" borderId="6" xfId="1" applyNumberFormat="1" applyFont="1" applyBorder="1" applyAlignment="1">
      <alignment horizontal="center" vertical="center"/>
    </xf>
    <xf numFmtId="168" fontId="6" fillId="8" borderId="6" xfId="1" applyNumberFormat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168" fontId="6" fillId="3" borderId="6" xfId="1" applyNumberFormat="1" applyFont="1" applyFill="1" applyBorder="1" applyAlignment="1">
      <alignment horizontal="center" vertical="center"/>
    </xf>
    <xf numFmtId="0" fontId="11" fillId="8" borderId="6" xfId="1" applyFont="1" applyFill="1" applyBorder="1" applyAlignment="1">
      <alignment horizontal="center" vertical="center"/>
    </xf>
    <xf numFmtId="0" fontId="0" fillId="8" borderId="0" xfId="0" applyFill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167" fontId="11" fillId="3" borderId="7" xfId="2" applyNumberFormat="1" applyFont="1" applyFill="1" applyBorder="1" applyAlignment="1">
      <alignment horizontal="center" vertical="center" wrapText="1"/>
    </xf>
    <xf numFmtId="167" fontId="11" fillId="9" borderId="6" xfId="2" applyNumberFormat="1" applyFont="1" applyFill="1" applyBorder="1" applyAlignment="1">
      <alignment horizontal="center" vertical="center"/>
    </xf>
    <xf numFmtId="167" fontId="11" fillId="9" borderId="6" xfId="2" applyNumberFormat="1" applyFont="1" applyFill="1" applyBorder="1" applyAlignment="1">
      <alignment horizontal="center" vertical="center" wrapText="1"/>
    </xf>
    <xf numFmtId="168" fontId="6" fillId="9" borderId="5" xfId="1" applyNumberFormat="1" applyFont="1" applyFill="1" applyBorder="1" applyAlignment="1">
      <alignment horizontal="center" vertical="center"/>
    </xf>
    <xf numFmtId="0" fontId="0" fillId="9" borderId="0" xfId="0" applyFill="1"/>
    <xf numFmtId="168" fontId="6" fillId="9" borderId="6" xfId="1" applyNumberFormat="1" applyFont="1" applyFill="1" applyBorder="1" applyAlignment="1">
      <alignment horizontal="center" vertical="center"/>
    </xf>
    <xf numFmtId="168" fontId="6" fillId="9" borderId="7" xfId="1" applyNumberFormat="1" applyFont="1" applyFill="1" applyBorder="1" applyAlignment="1">
      <alignment horizontal="center" vertical="center"/>
    </xf>
    <xf numFmtId="168" fontId="12" fillId="9" borderId="5" xfId="1" applyNumberFormat="1" applyFont="1" applyFill="1" applyBorder="1" applyAlignment="1">
      <alignment horizontal="center" vertical="center"/>
    </xf>
    <xf numFmtId="168" fontId="12" fillId="9" borderId="7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7" fontId="11" fillId="2" borderId="6" xfId="2" applyNumberFormat="1" applyFont="1" applyFill="1" applyBorder="1" applyAlignment="1">
      <alignment horizontal="center" vertical="center" wrapText="1"/>
    </xf>
    <xf numFmtId="0" fontId="0" fillId="2" borderId="0" xfId="0" applyFill="1"/>
    <xf numFmtId="168" fontId="6" fillId="2" borderId="6" xfId="1" applyNumberFormat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167" fontId="11" fillId="10" borderId="6" xfId="2" applyNumberFormat="1" applyFont="1" applyFill="1" applyBorder="1" applyAlignment="1">
      <alignment horizontal="center" vertical="center"/>
    </xf>
    <xf numFmtId="167" fontId="11" fillId="10" borderId="6" xfId="2" applyNumberFormat="1" applyFont="1" applyFill="1" applyBorder="1" applyAlignment="1">
      <alignment horizontal="center" vertical="center" wrapText="1"/>
    </xf>
    <xf numFmtId="168" fontId="6" fillId="10" borderId="5" xfId="1" applyNumberFormat="1" applyFont="1" applyFill="1" applyBorder="1" applyAlignment="1">
      <alignment horizontal="center" vertical="center"/>
    </xf>
    <xf numFmtId="0" fontId="0" fillId="10" borderId="0" xfId="0" applyFill="1"/>
    <xf numFmtId="168" fontId="6" fillId="2" borderId="5" xfId="1" applyNumberFormat="1" applyFont="1" applyFill="1" applyBorder="1" applyAlignment="1">
      <alignment horizontal="center" vertical="center"/>
    </xf>
    <xf numFmtId="168" fontId="6" fillId="0" borderId="6" xfId="1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1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67" fontId="11" fillId="2" borderId="6" xfId="2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 wrapText="1"/>
    </xf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 wrapText="1"/>
    </xf>
    <xf numFmtId="0" fontId="0" fillId="15" borderId="0" xfId="0" applyFill="1" applyAlignment="1">
      <alignment vertical="center"/>
    </xf>
    <xf numFmtId="14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0" xfId="0" applyNumberFormat="1" applyBorder="1" applyAlignment="1">
      <alignment vertical="center"/>
    </xf>
    <xf numFmtId="0" fontId="0" fillId="15" borderId="20" xfId="0" applyFill="1" applyBorder="1" applyAlignment="1">
      <alignment vertical="center"/>
    </xf>
    <xf numFmtId="0" fontId="0" fillId="13" borderId="20" xfId="0" applyFill="1" applyBorder="1" applyAlignment="1">
      <alignment vertical="center"/>
    </xf>
    <xf numFmtId="0" fontId="0" fillId="14" borderId="20" xfId="0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4" fontId="0" fillId="12" borderId="16" xfId="0" applyNumberForma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14" fontId="0" fillId="12" borderId="17" xfId="0" applyNumberFormat="1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14" fontId="0" fillId="12" borderId="18" xfId="0" applyNumberFormat="1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14" fontId="0" fillId="11" borderId="16" xfId="0" applyNumberForma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shrinkToFit="1"/>
    </xf>
    <xf numFmtId="170" fontId="0" fillId="3" borderId="1" xfId="0" applyNumberFormat="1" applyFill="1" applyBorder="1" applyAlignment="1">
      <alignment horizontal="center" vertical="center"/>
    </xf>
    <xf numFmtId="171" fontId="0" fillId="3" borderId="1" xfId="0" applyNumberForma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7" fontId="11" fillId="16" borderId="6" xfId="2" applyNumberFormat="1" applyFont="1" applyFill="1" applyBorder="1" applyAlignment="1">
      <alignment horizontal="center" vertical="center"/>
    </xf>
    <xf numFmtId="167" fontId="11" fillId="16" borderId="6" xfId="2" applyNumberFormat="1" applyFont="1" applyFill="1" applyBorder="1" applyAlignment="1">
      <alignment horizontal="center" vertical="center" wrapText="1"/>
    </xf>
    <xf numFmtId="168" fontId="6" fillId="16" borderId="5" xfId="1" applyNumberFormat="1" applyFont="1" applyFill="1" applyBorder="1" applyAlignment="1">
      <alignment horizontal="center" vertical="center"/>
    </xf>
    <xf numFmtId="0" fontId="0" fillId="16" borderId="0" xfId="0" applyFill="1"/>
    <xf numFmtId="168" fontId="6" fillId="16" borderId="6" xfId="1" applyNumberFormat="1" applyFont="1" applyFill="1" applyBorder="1" applyAlignment="1">
      <alignment horizontal="center" vertical="center"/>
    </xf>
    <xf numFmtId="0" fontId="11" fillId="16" borderId="5" xfId="1" applyFont="1" applyFill="1" applyBorder="1" applyAlignment="1">
      <alignment horizontal="center" vertical="center"/>
    </xf>
    <xf numFmtId="0" fontId="11" fillId="16" borderId="6" xfId="1" applyFont="1" applyFill="1" applyBorder="1" applyAlignment="1">
      <alignment horizontal="center" vertical="center"/>
    </xf>
    <xf numFmtId="168" fontId="15" fillId="16" borderId="6" xfId="1" applyNumberFormat="1" applyFont="1" applyFill="1" applyBorder="1" applyAlignment="1">
      <alignment horizontal="center" vertical="center"/>
    </xf>
    <xf numFmtId="168" fontId="6" fillId="16" borderId="7" xfId="1" applyNumberFormat="1" applyFont="1" applyFill="1" applyBorder="1" applyAlignment="1">
      <alignment horizontal="center" vertical="center"/>
    </xf>
    <xf numFmtId="0" fontId="11" fillId="16" borderId="7" xfId="1" applyFont="1" applyFill="1" applyBorder="1" applyAlignment="1">
      <alignment horizontal="center" vertical="center"/>
    </xf>
    <xf numFmtId="167" fontId="9" fillId="0" borderId="0" xfId="2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11" fillId="11" borderId="6" xfId="1" applyFont="1" applyFill="1" applyBorder="1" applyAlignment="1">
      <alignment horizontal="center" vertical="center"/>
    </xf>
    <xf numFmtId="167" fontId="11" fillId="11" borderId="6" xfId="2" applyNumberFormat="1" applyFont="1" applyFill="1" applyBorder="1" applyAlignment="1">
      <alignment horizontal="center" vertical="center" wrapText="1"/>
    </xf>
    <xf numFmtId="167" fontId="11" fillId="11" borderId="6" xfId="2" applyNumberFormat="1" applyFont="1" applyFill="1" applyBorder="1" applyAlignment="1">
      <alignment horizontal="center" vertical="center"/>
    </xf>
    <xf numFmtId="168" fontId="6" fillId="11" borderId="6" xfId="1" applyNumberFormat="1" applyFont="1" applyFill="1" applyBorder="1" applyAlignment="1">
      <alignment horizontal="center" vertical="center"/>
    </xf>
    <xf numFmtId="168" fontId="6" fillId="11" borderId="5" xfId="1" applyNumberFormat="1" applyFont="1" applyFill="1" applyBorder="1" applyAlignment="1">
      <alignment horizontal="center" vertical="center"/>
    </xf>
    <xf numFmtId="0" fontId="0" fillId="11" borderId="0" xfId="0" applyFill="1"/>
    <xf numFmtId="0" fontId="11" fillId="5" borderId="5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11" fillId="3" borderId="6" xfId="1" applyFont="1" applyFill="1" applyBorder="1" applyAlignment="1">
      <alignment horizontal="center" vertical="center"/>
    </xf>
    <xf numFmtId="168" fontId="6" fillId="3" borderId="5" xfId="1" applyNumberFormat="1" applyFont="1" applyFill="1" applyBorder="1" applyAlignment="1">
      <alignment horizontal="center" vertical="center"/>
    </xf>
    <xf numFmtId="168" fontId="6" fillId="3" borderId="6" xfId="1" applyNumberFormat="1" applyFont="1" applyFill="1" applyBorder="1" applyAlignment="1">
      <alignment horizontal="center" vertical="center"/>
    </xf>
    <xf numFmtId="168" fontId="6" fillId="3" borderId="7" xfId="1" applyNumberFormat="1" applyFont="1" applyFill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168" fontId="6" fillId="0" borderId="6" xfId="1" applyNumberFormat="1" applyFont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10" borderId="5" xfId="1" applyFont="1" applyFill="1" applyBorder="1" applyAlignment="1">
      <alignment horizontal="center" vertical="center"/>
    </xf>
    <xf numFmtId="0" fontId="11" fillId="10" borderId="7" xfId="1" applyFont="1" applyFill="1" applyBorder="1" applyAlignment="1">
      <alignment horizontal="center" vertical="center"/>
    </xf>
    <xf numFmtId="168" fontId="6" fillId="10" borderId="5" xfId="1" applyNumberFormat="1" applyFont="1" applyFill="1" applyBorder="1" applyAlignment="1">
      <alignment horizontal="center" vertical="center"/>
    </xf>
    <xf numFmtId="168" fontId="6" fillId="10" borderId="7" xfId="1" applyNumberFormat="1" applyFont="1" applyFill="1" applyBorder="1" applyAlignment="1">
      <alignment horizontal="center" vertical="center"/>
    </xf>
    <xf numFmtId="0" fontId="11" fillId="10" borderId="6" xfId="1" applyFont="1" applyFill="1" applyBorder="1" applyAlignment="1">
      <alignment horizontal="center" vertical="center"/>
    </xf>
    <xf numFmtId="168" fontId="6" fillId="10" borderId="6" xfId="1" applyNumberFormat="1" applyFont="1" applyFill="1" applyBorder="1" applyAlignment="1">
      <alignment horizontal="center" vertical="center"/>
    </xf>
    <xf numFmtId="0" fontId="11" fillId="5" borderId="6" xfId="1" applyFont="1" applyFill="1" applyBorder="1" applyAlignment="1">
      <alignment horizontal="center" vertical="center"/>
    </xf>
    <xf numFmtId="168" fontId="6" fillId="2" borderId="5" xfId="1" applyNumberFormat="1" applyFont="1" applyFill="1" applyBorder="1" applyAlignment="1">
      <alignment horizontal="center" vertical="center"/>
    </xf>
    <xf numFmtId="168" fontId="6" fillId="2" borderId="7" xfId="1" applyNumberFormat="1" applyFont="1" applyFill="1" applyBorder="1" applyAlignment="1">
      <alignment horizontal="center" vertical="center"/>
    </xf>
    <xf numFmtId="168" fontId="6" fillId="2" borderId="6" xfId="1" applyNumberFormat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168" fontId="6" fillId="9" borderId="5" xfId="1" applyNumberFormat="1" applyFont="1" applyFill="1" applyBorder="1" applyAlignment="1">
      <alignment horizontal="center" vertical="center"/>
    </xf>
    <xf numFmtId="168" fontId="6" fillId="9" borderId="7" xfId="1" applyNumberFormat="1" applyFont="1" applyFill="1" applyBorder="1" applyAlignment="1">
      <alignment horizontal="center" vertical="center"/>
    </xf>
    <xf numFmtId="168" fontId="12" fillId="9" borderId="5" xfId="1" applyNumberFormat="1" applyFont="1" applyFill="1" applyBorder="1" applyAlignment="1">
      <alignment horizontal="center" vertical="center"/>
    </xf>
    <xf numFmtId="168" fontId="12" fillId="9" borderId="7" xfId="1" applyNumberFormat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168" fontId="6" fillId="9" borderId="6" xfId="1" applyNumberFormat="1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168" fontId="6" fillId="0" borderId="5" xfId="1" applyNumberFormat="1" applyFont="1" applyBorder="1" applyAlignment="1">
      <alignment horizontal="center" vertical="center"/>
    </xf>
    <xf numFmtId="168" fontId="6" fillId="0" borderId="7" xfId="1" applyNumberFormat="1" applyFont="1" applyBorder="1" applyAlignment="1">
      <alignment horizontal="center" vertical="center"/>
    </xf>
    <xf numFmtId="0" fontId="11" fillId="16" borderId="6" xfId="1" applyFont="1" applyFill="1" applyBorder="1" applyAlignment="1">
      <alignment horizontal="center" vertical="center"/>
    </xf>
    <xf numFmtId="168" fontId="6" fillId="16" borderId="6" xfId="1" applyNumberFormat="1" applyFont="1" applyFill="1" applyBorder="1" applyAlignment="1">
      <alignment horizontal="center" vertical="center" wrapText="1"/>
    </xf>
    <xf numFmtId="168" fontId="6" fillId="16" borderId="6" xfId="1" applyNumberFormat="1" applyFont="1" applyFill="1" applyBorder="1" applyAlignment="1">
      <alignment horizontal="center" vertical="center"/>
    </xf>
    <xf numFmtId="0" fontId="11" fillId="16" borderId="7" xfId="1" applyFont="1" applyFill="1" applyBorder="1" applyAlignment="1">
      <alignment horizontal="center" vertical="center"/>
    </xf>
    <xf numFmtId="168" fontId="6" fillId="16" borderId="7" xfId="1" applyNumberFormat="1" applyFont="1" applyFill="1" applyBorder="1" applyAlignment="1">
      <alignment horizontal="center" vertical="center"/>
    </xf>
  </cellXfs>
  <cellStyles count="4">
    <cellStyle name="Comma 2" xfId="2" xr:uid="{71552CA8-2AEE-4683-872E-C1FC553883DD}"/>
    <cellStyle name="Normal" xfId="0" builtinId="0"/>
    <cellStyle name="Normal 2" xfId="1" xr:uid="{6E5230E3-71EA-41DA-810F-48BBB8EE077F}"/>
    <cellStyle name="Normal 3 2" xfId="3" xr:uid="{421796E3-95D3-4B68-89F4-E20B5FABD2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Accounts\Kai's%20worksheet\Kai%20Shipping\R11414-Sydney%20Metro%20Airport\Delivery%20Schedule%20First%20Draft%20rev5-Sydney%20Airport.xlsx" TargetMode="External"/><Relationship Id="rId1" Type="http://schemas.openxmlformats.org/officeDocument/2006/relationships/externalLinkPath" Target="Delivery%20Schedule%20First%20Draft%20rev5-Sydney%20Air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Accounts\Kai's%20worksheet\Kai%20Shipping\R11414-Sydney%20Metro%20Airport\Tunnel%20Gauge%20Holding%20Program%20Kai%20Rev1.xlsx" TargetMode="External"/><Relationship Id="rId1" Type="http://schemas.openxmlformats.org/officeDocument/2006/relationships/externalLinkPath" Target="Tunnel%20Gauge%20Holding%20Program%20Kai%20Re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GG Production Schedule"/>
      <sheetName val="Master Schedule"/>
      <sheetName val="Packing Information"/>
      <sheetName val="Container Config"/>
    </sheetNames>
    <sheetDataSet>
      <sheetData sheetId="0"/>
      <sheetData sheetId="1"/>
      <sheetData sheetId="2">
        <row r="6">
          <cell r="F6">
            <v>255888</v>
          </cell>
        </row>
        <row r="7">
          <cell r="F7">
            <v>127944</v>
          </cell>
        </row>
        <row r="8">
          <cell r="F8">
            <v>63972</v>
          </cell>
        </row>
        <row r="9">
          <cell r="F9">
            <v>127944</v>
          </cell>
        </row>
        <row r="12">
          <cell r="F12">
            <v>63972</v>
          </cell>
        </row>
        <row r="13">
          <cell r="F13">
            <v>127944</v>
          </cell>
        </row>
        <row r="14">
          <cell r="F14">
            <v>127944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9_08_24"/>
    </sheetNames>
    <sheetDataSet>
      <sheetData sheetId="0">
        <row r="4">
          <cell r="F4" t="str">
            <v>Cumulative Deliveries</v>
          </cell>
          <cell r="K4" t="str">
            <v>Cumulative Production</v>
          </cell>
          <cell r="M4" t="str">
            <v>Stockpile</v>
          </cell>
        </row>
        <row r="5">
          <cell r="F5">
            <v>0</v>
          </cell>
          <cell r="K5">
            <v>0</v>
          </cell>
          <cell r="M5">
            <v>0</v>
          </cell>
        </row>
        <row r="6">
          <cell r="F6">
            <v>0</v>
          </cell>
          <cell r="K6">
            <v>0</v>
          </cell>
          <cell r="M6">
            <v>0</v>
          </cell>
        </row>
        <row r="7">
          <cell r="F7">
            <v>0</v>
          </cell>
          <cell r="K7">
            <v>0</v>
          </cell>
          <cell r="M7">
            <v>0</v>
          </cell>
        </row>
        <row r="8">
          <cell r="F8">
            <v>0</v>
          </cell>
          <cell r="K8">
            <v>0</v>
          </cell>
          <cell r="M8">
            <v>0</v>
          </cell>
        </row>
        <row r="9">
          <cell r="F9">
            <v>0</v>
          </cell>
          <cell r="K9">
            <v>0</v>
          </cell>
          <cell r="M9">
            <v>0</v>
          </cell>
        </row>
        <row r="10">
          <cell r="F10">
            <v>0</v>
          </cell>
          <cell r="K10">
            <v>0</v>
          </cell>
          <cell r="M10">
            <v>0</v>
          </cell>
        </row>
        <row r="11">
          <cell r="F11">
            <v>0</v>
          </cell>
          <cell r="K11">
            <v>0</v>
          </cell>
          <cell r="M11">
            <v>0</v>
          </cell>
        </row>
        <row r="12">
          <cell r="F12">
            <v>0</v>
          </cell>
          <cell r="K12">
            <v>0</v>
          </cell>
          <cell r="M12">
            <v>0</v>
          </cell>
        </row>
        <row r="13">
          <cell r="F13">
            <v>0</v>
          </cell>
          <cell r="K13">
            <v>0</v>
          </cell>
          <cell r="M13">
            <v>0</v>
          </cell>
        </row>
        <row r="14">
          <cell r="F14">
            <v>0</v>
          </cell>
          <cell r="K14">
            <v>0</v>
          </cell>
          <cell r="M14">
            <v>0</v>
          </cell>
        </row>
        <row r="15">
          <cell r="F15">
            <v>0</v>
          </cell>
          <cell r="K15">
            <v>0</v>
          </cell>
          <cell r="M15">
            <v>0</v>
          </cell>
        </row>
        <row r="16">
          <cell r="F16">
            <v>0</v>
          </cell>
          <cell r="K16">
            <v>0</v>
          </cell>
          <cell r="M16">
            <v>0</v>
          </cell>
        </row>
        <row r="17">
          <cell r="F17">
            <v>0</v>
          </cell>
          <cell r="K17">
            <v>0</v>
          </cell>
          <cell r="M17">
            <v>0</v>
          </cell>
        </row>
        <row r="18">
          <cell r="F18">
            <v>0</v>
          </cell>
          <cell r="K18">
            <v>0</v>
          </cell>
          <cell r="M18">
            <v>0</v>
          </cell>
        </row>
        <row r="19">
          <cell r="F19">
            <v>0</v>
          </cell>
          <cell r="K19">
            <v>0</v>
          </cell>
          <cell r="M19">
            <v>0</v>
          </cell>
        </row>
        <row r="20">
          <cell r="F20">
            <v>0</v>
          </cell>
          <cell r="K20">
            <v>0</v>
          </cell>
          <cell r="M20">
            <v>0</v>
          </cell>
        </row>
        <row r="21">
          <cell r="F21">
            <v>0</v>
          </cell>
          <cell r="K21">
            <v>0</v>
          </cell>
          <cell r="M21">
            <v>0</v>
          </cell>
        </row>
        <row r="22">
          <cell r="F22">
            <v>0</v>
          </cell>
          <cell r="K22">
            <v>0</v>
          </cell>
          <cell r="M22">
            <v>0</v>
          </cell>
        </row>
        <row r="23">
          <cell r="F23">
            <v>0</v>
          </cell>
          <cell r="K23">
            <v>0</v>
          </cell>
          <cell r="M23">
            <v>0</v>
          </cell>
        </row>
        <row r="24">
          <cell r="F24">
            <v>0</v>
          </cell>
          <cell r="K24">
            <v>0</v>
          </cell>
          <cell r="M24">
            <v>0</v>
          </cell>
        </row>
        <row r="25">
          <cell r="F25">
            <v>0</v>
          </cell>
          <cell r="K25">
            <v>0</v>
          </cell>
          <cell r="M25">
            <v>0</v>
          </cell>
        </row>
        <row r="26">
          <cell r="F26">
            <v>0</v>
          </cell>
          <cell r="K26">
            <v>270</v>
          </cell>
          <cell r="M26">
            <v>270</v>
          </cell>
        </row>
        <row r="27">
          <cell r="F27">
            <v>0</v>
          </cell>
          <cell r="K27">
            <v>660</v>
          </cell>
          <cell r="M27">
            <v>660</v>
          </cell>
        </row>
        <row r="28">
          <cell r="F28">
            <v>0</v>
          </cell>
          <cell r="K28">
            <v>1260</v>
          </cell>
          <cell r="M28">
            <v>1260</v>
          </cell>
        </row>
        <row r="29">
          <cell r="F29">
            <v>0</v>
          </cell>
          <cell r="K29">
            <v>2040</v>
          </cell>
          <cell r="M29">
            <v>2040</v>
          </cell>
        </row>
        <row r="30">
          <cell r="F30">
            <v>0</v>
          </cell>
          <cell r="K30">
            <v>2820</v>
          </cell>
          <cell r="M30">
            <v>2820</v>
          </cell>
        </row>
        <row r="31">
          <cell r="F31">
            <v>0</v>
          </cell>
          <cell r="K31">
            <v>3600</v>
          </cell>
          <cell r="M31">
            <v>3600</v>
          </cell>
        </row>
        <row r="32">
          <cell r="F32">
            <v>0</v>
          </cell>
          <cell r="K32">
            <v>4380</v>
          </cell>
          <cell r="M32">
            <v>4380</v>
          </cell>
        </row>
        <row r="33">
          <cell r="F33">
            <v>565</v>
          </cell>
          <cell r="K33">
            <v>5160</v>
          </cell>
          <cell r="M33">
            <v>4595</v>
          </cell>
        </row>
        <row r="34">
          <cell r="F34">
            <v>1130</v>
          </cell>
          <cell r="K34">
            <v>5940</v>
          </cell>
          <cell r="M34">
            <v>4810</v>
          </cell>
        </row>
        <row r="35">
          <cell r="F35">
            <v>1695</v>
          </cell>
          <cell r="K35">
            <v>6720</v>
          </cell>
          <cell r="M35">
            <v>5025</v>
          </cell>
        </row>
        <row r="36">
          <cell r="F36">
            <v>2260</v>
          </cell>
          <cell r="K36">
            <v>7500</v>
          </cell>
          <cell r="M36">
            <v>5240</v>
          </cell>
        </row>
        <row r="37">
          <cell r="F37">
            <v>2825</v>
          </cell>
          <cell r="K37">
            <v>8280</v>
          </cell>
          <cell r="M37">
            <v>5455</v>
          </cell>
        </row>
        <row r="38">
          <cell r="F38">
            <v>3390</v>
          </cell>
          <cell r="K38">
            <v>9060</v>
          </cell>
          <cell r="M38">
            <v>5670</v>
          </cell>
        </row>
        <row r="39">
          <cell r="F39">
            <v>3955</v>
          </cell>
          <cell r="K39">
            <v>9060</v>
          </cell>
          <cell r="M39">
            <v>5105</v>
          </cell>
        </row>
        <row r="40">
          <cell r="F40">
            <v>4520</v>
          </cell>
          <cell r="K40">
            <v>9060</v>
          </cell>
          <cell r="M40">
            <v>4540</v>
          </cell>
        </row>
        <row r="41">
          <cell r="F41">
            <v>5747</v>
          </cell>
          <cell r="K41">
            <v>10020</v>
          </cell>
          <cell r="M41">
            <v>4273</v>
          </cell>
        </row>
        <row r="42">
          <cell r="F42">
            <v>6974</v>
          </cell>
          <cell r="K42">
            <v>10980</v>
          </cell>
          <cell r="M42">
            <v>4006</v>
          </cell>
        </row>
        <row r="43">
          <cell r="F43">
            <v>8201</v>
          </cell>
          <cell r="K43">
            <v>11940</v>
          </cell>
          <cell r="M43">
            <v>3739</v>
          </cell>
        </row>
        <row r="44">
          <cell r="F44">
            <v>9428</v>
          </cell>
          <cell r="K44">
            <v>12900</v>
          </cell>
          <cell r="M44">
            <v>3472</v>
          </cell>
        </row>
        <row r="45">
          <cell r="F45">
            <v>10655</v>
          </cell>
          <cell r="K45">
            <v>13860</v>
          </cell>
          <cell r="M45">
            <v>3205</v>
          </cell>
        </row>
        <row r="46">
          <cell r="F46">
            <v>11882</v>
          </cell>
          <cell r="K46">
            <v>14820</v>
          </cell>
          <cell r="M46">
            <v>2938</v>
          </cell>
        </row>
        <row r="47">
          <cell r="F47">
            <v>13109</v>
          </cell>
          <cell r="K47">
            <v>15780</v>
          </cell>
          <cell r="M47">
            <v>2671</v>
          </cell>
        </row>
        <row r="48">
          <cell r="F48">
            <v>14336</v>
          </cell>
          <cell r="K48">
            <v>16740</v>
          </cell>
          <cell r="M48">
            <v>2404</v>
          </cell>
        </row>
        <row r="49">
          <cell r="F49">
            <v>15563</v>
          </cell>
          <cell r="K49">
            <v>17700</v>
          </cell>
          <cell r="M49">
            <v>2137</v>
          </cell>
        </row>
        <row r="50">
          <cell r="F50">
            <v>16790</v>
          </cell>
          <cell r="K50">
            <v>18660</v>
          </cell>
          <cell r="M50">
            <v>1870</v>
          </cell>
        </row>
        <row r="51">
          <cell r="F51">
            <v>18017</v>
          </cell>
          <cell r="K51">
            <v>19620</v>
          </cell>
          <cell r="M51">
            <v>1603</v>
          </cell>
        </row>
        <row r="52">
          <cell r="F52">
            <v>19244</v>
          </cell>
          <cell r="K52">
            <v>20580</v>
          </cell>
          <cell r="M52">
            <v>1336</v>
          </cell>
        </row>
        <row r="53">
          <cell r="F53">
            <v>20471</v>
          </cell>
          <cell r="K53">
            <v>21540</v>
          </cell>
          <cell r="M53">
            <v>1069</v>
          </cell>
        </row>
        <row r="54">
          <cell r="F54">
            <v>21698</v>
          </cell>
          <cell r="K54">
            <v>22500</v>
          </cell>
          <cell r="M54">
            <v>802</v>
          </cell>
        </row>
        <row r="55">
          <cell r="F55">
            <v>22925</v>
          </cell>
          <cell r="K55">
            <v>23460</v>
          </cell>
          <cell r="M55">
            <v>535</v>
          </cell>
        </row>
        <row r="56">
          <cell r="F56">
            <v>24152</v>
          </cell>
          <cell r="K56">
            <v>24420</v>
          </cell>
          <cell r="M56">
            <v>268</v>
          </cell>
        </row>
        <row r="57">
          <cell r="F57">
            <v>25376</v>
          </cell>
          <cell r="K57">
            <v>25380</v>
          </cell>
          <cell r="M57">
            <v>4</v>
          </cell>
        </row>
        <row r="58">
          <cell r="F58">
            <v>26038</v>
          </cell>
          <cell r="K58">
            <v>26340</v>
          </cell>
          <cell r="M58">
            <v>302</v>
          </cell>
        </row>
        <row r="59">
          <cell r="F59">
            <v>26700</v>
          </cell>
          <cell r="K59">
            <v>27300</v>
          </cell>
          <cell r="M59">
            <v>600</v>
          </cell>
        </row>
        <row r="60">
          <cell r="F60">
            <v>27362</v>
          </cell>
          <cell r="K60">
            <v>28260</v>
          </cell>
          <cell r="M60">
            <v>898</v>
          </cell>
        </row>
        <row r="61">
          <cell r="F61">
            <v>28024</v>
          </cell>
          <cell r="K61">
            <v>29220</v>
          </cell>
          <cell r="M61">
            <v>1196</v>
          </cell>
        </row>
        <row r="62">
          <cell r="F62">
            <v>28686</v>
          </cell>
          <cell r="K62">
            <v>30180</v>
          </cell>
          <cell r="M62">
            <v>1494</v>
          </cell>
        </row>
        <row r="63">
          <cell r="F63">
            <v>29348</v>
          </cell>
          <cell r="K63">
            <v>31140</v>
          </cell>
          <cell r="M63">
            <v>1792</v>
          </cell>
        </row>
        <row r="64">
          <cell r="F64">
            <v>30010</v>
          </cell>
          <cell r="K64">
            <v>31986</v>
          </cell>
          <cell r="M64">
            <v>1976</v>
          </cell>
        </row>
        <row r="65">
          <cell r="F65">
            <v>30672</v>
          </cell>
          <cell r="K65">
            <v>31986</v>
          </cell>
          <cell r="M65">
            <v>1314</v>
          </cell>
        </row>
        <row r="66">
          <cell r="F66">
            <v>31334</v>
          </cell>
          <cell r="K66">
            <v>31986</v>
          </cell>
          <cell r="M66">
            <v>652</v>
          </cell>
        </row>
        <row r="67">
          <cell r="F67">
            <v>31986</v>
          </cell>
          <cell r="K67">
            <v>31986</v>
          </cell>
          <cell r="M67">
            <v>0</v>
          </cell>
        </row>
        <row r="68">
          <cell r="F68">
            <v>31986</v>
          </cell>
          <cell r="K68">
            <v>31986</v>
          </cell>
          <cell r="M68">
            <v>0</v>
          </cell>
        </row>
        <row r="69">
          <cell r="F69">
            <v>31986</v>
          </cell>
          <cell r="K69">
            <v>31986</v>
          </cell>
          <cell r="M69">
            <v>0</v>
          </cell>
        </row>
        <row r="70">
          <cell r="F70">
            <v>31986</v>
          </cell>
          <cell r="K70">
            <v>31986</v>
          </cell>
          <cell r="M7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659D-6A7D-46FF-A3FE-6A8D84E0AA0D}">
  <dimension ref="A1:Z65"/>
  <sheetViews>
    <sheetView topLeftCell="F4" zoomScale="70" zoomScaleNormal="70" workbookViewId="0">
      <selection activeCell="AA4" sqref="AA1:AA1048576"/>
    </sheetView>
  </sheetViews>
  <sheetFormatPr defaultRowHeight="13.2" x14ac:dyDescent="0.25"/>
  <cols>
    <col min="1" max="1" width="11.88671875" style="40" bestFit="1" customWidth="1"/>
    <col min="2" max="3" width="10.44140625" style="40" bestFit="1" customWidth="1"/>
    <col min="4" max="4" width="11" style="40" bestFit="1" customWidth="1"/>
    <col min="5" max="7" width="11" style="40" customWidth="1"/>
    <col min="8" max="8" width="11.6640625" style="40" bestFit="1" customWidth="1"/>
    <col min="9" max="9" width="10.6640625" style="40" customWidth="1"/>
    <col min="10" max="10" width="12.44140625" style="40" customWidth="1"/>
    <col min="11" max="11" width="10" style="40" customWidth="1"/>
    <col min="12" max="12" width="10.6640625" style="40" customWidth="1"/>
    <col min="13" max="13" width="11.88671875" style="40" bestFit="1" customWidth="1"/>
    <col min="14" max="14" width="11.109375" style="40" customWidth="1"/>
    <col min="15" max="15" width="12" style="40" customWidth="1"/>
    <col min="16" max="16" width="10.6640625" style="40" bestFit="1" customWidth="1"/>
    <col min="17" max="17" width="10.33203125" style="40" bestFit="1" customWidth="1"/>
    <col min="18" max="19" width="16.109375" style="40" customWidth="1"/>
    <col min="20" max="20" width="26" style="40" customWidth="1"/>
    <col min="21" max="22" width="16" style="40" bestFit="1" customWidth="1"/>
    <col min="23" max="23" width="13.88671875" style="40" customWidth="1"/>
    <col min="24" max="24" width="17.109375" style="40" customWidth="1"/>
    <col min="25" max="25" width="16.5546875" style="40" bestFit="1" customWidth="1"/>
    <col min="26" max="26" width="10.33203125" style="40" bestFit="1" customWidth="1"/>
  </cols>
  <sheetData>
    <row r="1" spans="1:26" ht="46.2" x14ac:dyDescent="0.25">
      <c r="A1" s="173" t="s">
        <v>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spans="1:26" ht="18" thickBot="1" x14ac:dyDescent="0.3">
      <c r="A2" s="3"/>
      <c r="B2" s="3"/>
      <c r="C2" s="3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4"/>
      <c r="Q2" s="4"/>
      <c r="R2" s="5"/>
      <c r="S2" s="5"/>
      <c r="T2" s="5"/>
      <c r="U2" s="5"/>
      <c r="V2" s="5"/>
      <c r="W2" s="5"/>
      <c r="X2" s="3"/>
      <c r="Y2" s="4"/>
      <c r="Z2" s="4"/>
    </row>
    <row r="3" spans="1:26" s="12" customFormat="1" ht="75" customHeight="1" thickBot="1" x14ac:dyDescent="0.3">
      <c r="A3" s="6" t="s">
        <v>2</v>
      </c>
      <c r="B3" s="7" t="s">
        <v>3</v>
      </c>
      <c r="C3" s="7" t="s">
        <v>4</v>
      </c>
      <c r="D3" s="7" t="s">
        <v>5</v>
      </c>
      <c r="E3" s="7" t="s">
        <v>128</v>
      </c>
      <c r="F3" s="7" t="s">
        <v>129</v>
      </c>
      <c r="G3" s="7" t="s">
        <v>130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8" t="s">
        <v>14</v>
      </c>
      <c r="Q3" s="8" t="s">
        <v>15</v>
      </c>
      <c r="R3" s="9" t="s">
        <v>16</v>
      </c>
      <c r="S3" s="9" t="s">
        <v>95</v>
      </c>
      <c r="T3" s="9" t="s">
        <v>17</v>
      </c>
      <c r="U3" s="9" t="s">
        <v>18</v>
      </c>
      <c r="V3" s="9" t="s">
        <v>19</v>
      </c>
      <c r="W3" s="10" t="s">
        <v>20</v>
      </c>
      <c r="X3" s="11" t="s">
        <v>21</v>
      </c>
      <c r="Y3" s="9" t="s">
        <v>22</v>
      </c>
      <c r="Z3" s="9" t="s">
        <v>23</v>
      </c>
    </row>
    <row r="4" spans="1:26" s="12" customFormat="1" x14ac:dyDescent="0.25">
      <c r="A4" s="13" t="s">
        <v>24</v>
      </c>
      <c r="B4" s="14" t="s">
        <v>25</v>
      </c>
      <c r="C4" s="15" t="s">
        <v>25</v>
      </c>
      <c r="D4" s="16">
        <v>2</v>
      </c>
      <c r="E4" s="16"/>
      <c r="F4" s="16"/>
      <c r="G4" s="16"/>
      <c r="H4" s="16">
        <v>4</v>
      </c>
      <c r="I4" s="16">
        <v>8</v>
      </c>
      <c r="J4" s="16">
        <v>8</v>
      </c>
      <c r="K4" s="16">
        <v>4</v>
      </c>
      <c r="L4" s="16">
        <v>2</v>
      </c>
      <c r="M4" s="16">
        <v>0</v>
      </c>
      <c r="N4" s="16">
        <v>0</v>
      </c>
      <c r="O4" s="16">
        <v>0</v>
      </c>
      <c r="P4" s="17">
        <v>45483</v>
      </c>
      <c r="Q4" s="17">
        <v>45489</v>
      </c>
      <c r="R4" s="17">
        <v>45489</v>
      </c>
      <c r="S4" s="17"/>
      <c r="T4" s="17" t="s">
        <v>26</v>
      </c>
      <c r="U4" s="18" t="s">
        <v>27</v>
      </c>
      <c r="V4" s="17">
        <v>45489</v>
      </c>
      <c r="W4" s="17">
        <v>45489</v>
      </c>
      <c r="X4" s="17" t="s">
        <v>25</v>
      </c>
      <c r="Y4" s="17" t="s">
        <v>28</v>
      </c>
      <c r="Z4" s="17" t="s">
        <v>29</v>
      </c>
    </row>
    <row r="5" spans="1:26" s="12" customFormat="1" x14ac:dyDescent="0.25">
      <c r="A5" s="19" t="s">
        <v>24</v>
      </c>
      <c r="B5" s="14" t="s">
        <v>25</v>
      </c>
      <c r="C5" s="15" t="s">
        <v>25</v>
      </c>
      <c r="D5" s="16">
        <v>0</v>
      </c>
      <c r="E5" s="16"/>
      <c r="F5" s="16"/>
      <c r="G5" s="16"/>
      <c r="H5" s="16">
        <v>0</v>
      </c>
      <c r="I5" s="16">
        <v>100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7">
        <v>45509</v>
      </c>
      <c r="Q5" s="17" t="s">
        <v>25</v>
      </c>
      <c r="R5" s="17">
        <v>45509</v>
      </c>
      <c r="S5" s="17"/>
      <c r="T5" s="17" t="s">
        <v>30</v>
      </c>
      <c r="U5" s="18" t="s">
        <v>25</v>
      </c>
      <c r="V5" s="17" t="s">
        <v>25</v>
      </c>
      <c r="W5" s="17" t="s">
        <v>25</v>
      </c>
      <c r="X5" s="17" t="s">
        <v>25</v>
      </c>
      <c r="Y5" s="17" t="s">
        <v>31</v>
      </c>
      <c r="Z5" s="17">
        <v>45510</v>
      </c>
    </row>
    <row r="6" spans="1:26" s="61" customFormat="1" x14ac:dyDescent="0.25">
      <c r="A6" s="145">
        <v>1</v>
      </c>
      <c r="B6" s="58">
        <v>1</v>
      </c>
      <c r="C6" s="58" t="s">
        <v>32</v>
      </c>
      <c r="D6" s="58"/>
      <c r="E6" s="58"/>
      <c r="F6" s="58"/>
      <c r="G6" s="58"/>
      <c r="H6" s="59">
        <v>24000</v>
      </c>
      <c r="I6" s="59">
        <v>38400</v>
      </c>
      <c r="J6" s="59">
        <v>0</v>
      </c>
      <c r="K6" s="59">
        <v>32000</v>
      </c>
      <c r="L6" s="59">
        <v>0</v>
      </c>
      <c r="M6" s="59">
        <v>0</v>
      </c>
      <c r="N6" s="59">
        <v>0</v>
      </c>
      <c r="O6" s="59">
        <v>0</v>
      </c>
      <c r="P6" s="175">
        <v>45522</v>
      </c>
      <c r="Q6" s="175">
        <v>45542</v>
      </c>
      <c r="R6" s="177">
        <v>45542</v>
      </c>
      <c r="S6" s="64"/>
      <c r="T6" s="177" t="s">
        <v>33</v>
      </c>
      <c r="U6" s="175" t="s">
        <v>84</v>
      </c>
      <c r="V6" s="175">
        <v>45565</v>
      </c>
      <c r="W6" s="175"/>
      <c r="X6" s="60" t="s">
        <v>85</v>
      </c>
      <c r="Y6" s="175" t="s">
        <v>28</v>
      </c>
      <c r="Z6" s="175">
        <f>+V6+7</f>
        <v>45572</v>
      </c>
    </row>
    <row r="7" spans="1:26" s="61" customFormat="1" x14ac:dyDescent="0.25">
      <c r="A7" s="146"/>
      <c r="B7" s="59">
        <v>2</v>
      </c>
      <c r="C7" s="58" t="s">
        <v>32</v>
      </c>
      <c r="D7" s="59">
        <v>1260</v>
      </c>
      <c r="E7" s="59"/>
      <c r="F7" s="59"/>
      <c r="G7" s="59"/>
      <c r="H7" s="59"/>
      <c r="I7" s="59"/>
      <c r="J7" s="59">
        <v>0</v>
      </c>
      <c r="K7" s="59"/>
      <c r="L7" s="59">
        <v>18000</v>
      </c>
      <c r="M7" s="59">
        <v>0</v>
      </c>
      <c r="N7" s="59">
        <v>0</v>
      </c>
      <c r="O7" s="59">
        <v>0</v>
      </c>
      <c r="P7" s="176"/>
      <c r="Q7" s="176"/>
      <c r="R7" s="178"/>
      <c r="S7" s="65"/>
      <c r="T7" s="178"/>
      <c r="U7" s="176"/>
      <c r="V7" s="176"/>
      <c r="W7" s="176"/>
      <c r="X7" s="60" t="s">
        <v>86</v>
      </c>
      <c r="Y7" s="176"/>
      <c r="Z7" s="176"/>
    </row>
    <row r="8" spans="1:26" s="61" customFormat="1" x14ac:dyDescent="0.25">
      <c r="A8" s="145">
        <v>2</v>
      </c>
      <c r="B8" s="58">
        <v>3</v>
      </c>
      <c r="C8" s="58" t="s">
        <v>32</v>
      </c>
      <c r="D8" s="58">
        <v>1680</v>
      </c>
      <c r="E8" s="58"/>
      <c r="F8" s="58"/>
      <c r="G8" s="58"/>
      <c r="H8" s="59"/>
      <c r="I8" s="59"/>
      <c r="J8" s="59"/>
      <c r="K8" s="59"/>
      <c r="L8" s="59"/>
      <c r="M8" s="59">
        <v>0</v>
      </c>
      <c r="N8" s="59">
        <v>0</v>
      </c>
      <c r="O8" s="59">
        <v>0</v>
      </c>
      <c r="P8" s="175">
        <v>45538</v>
      </c>
      <c r="Q8" s="175">
        <v>45558</v>
      </c>
      <c r="R8" s="60"/>
      <c r="S8" s="60"/>
      <c r="T8" s="183" t="s">
        <v>90</v>
      </c>
      <c r="U8" s="183" t="s">
        <v>87</v>
      </c>
      <c r="V8" s="175">
        <v>45575</v>
      </c>
      <c r="W8" s="60"/>
      <c r="X8" s="60" t="s">
        <v>88</v>
      </c>
      <c r="Y8" s="175" t="s">
        <v>28</v>
      </c>
      <c r="Z8" s="175">
        <f>V8+7</f>
        <v>45582</v>
      </c>
    </row>
    <row r="9" spans="1:26" s="61" customFormat="1" x14ac:dyDescent="0.25">
      <c r="A9" s="146"/>
      <c r="B9" s="58">
        <v>4</v>
      </c>
      <c r="C9" s="58" t="s">
        <v>32</v>
      </c>
      <c r="D9" s="58">
        <v>1680</v>
      </c>
      <c r="E9" s="58"/>
      <c r="F9" s="58"/>
      <c r="G9" s="58"/>
      <c r="H9" s="59"/>
      <c r="I9" s="59"/>
      <c r="J9" s="59"/>
      <c r="K9" s="59"/>
      <c r="L9" s="59"/>
      <c r="M9" s="59">
        <v>0</v>
      </c>
      <c r="N9" s="59">
        <v>0</v>
      </c>
      <c r="O9" s="59">
        <v>0</v>
      </c>
      <c r="P9" s="176"/>
      <c r="Q9" s="176"/>
      <c r="R9" s="63"/>
      <c r="S9" s="63"/>
      <c r="T9" s="184"/>
      <c r="U9" s="184"/>
      <c r="V9" s="176"/>
      <c r="W9" s="63"/>
      <c r="X9" s="60" t="s">
        <v>89</v>
      </c>
      <c r="Y9" s="176"/>
      <c r="Z9" s="176"/>
    </row>
    <row r="10" spans="1:26" s="61" customFormat="1" x14ac:dyDescent="0.25">
      <c r="A10" s="145">
        <v>3</v>
      </c>
      <c r="B10" s="59">
        <v>5</v>
      </c>
      <c r="C10" s="58" t="s">
        <v>32</v>
      </c>
      <c r="D10" s="59">
        <v>1680</v>
      </c>
      <c r="E10" s="59"/>
      <c r="F10" s="59"/>
      <c r="G10" s="59"/>
      <c r="H10" s="59"/>
      <c r="I10" s="59"/>
      <c r="J10" s="59"/>
      <c r="K10" s="59"/>
      <c r="L10" s="59"/>
      <c r="M10" s="59">
        <v>0</v>
      </c>
      <c r="N10" s="59">
        <v>0</v>
      </c>
      <c r="O10" s="59">
        <v>0</v>
      </c>
      <c r="P10" s="175">
        <v>45548</v>
      </c>
      <c r="Q10" s="175">
        <v>45567</v>
      </c>
      <c r="R10" s="175"/>
      <c r="S10" s="60"/>
      <c r="T10" s="175" t="s">
        <v>92</v>
      </c>
      <c r="U10" s="175" t="s">
        <v>91</v>
      </c>
      <c r="V10" s="175">
        <v>45590</v>
      </c>
      <c r="W10" s="60"/>
      <c r="X10" s="60" t="s">
        <v>93</v>
      </c>
      <c r="Y10" s="175" t="s">
        <v>28</v>
      </c>
      <c r="Z10" s="175">
        <f>+V10+7</f>
        <v>45597</v>
      </c>
    </row>
    <row r="11" spans="1:26" s="61" customFormat="1" ht="9" customHeight="1" x14ac:dyDescent="0.25">
      <c r="A11" s="146"/>
      <c r="B11" s="58">
        <v>6</v>
      </c>
      <c r="C11" s="58" t="s">
        <v>32</v>
      </c>
      <c r="D11" s="58">
        <v>1680</v>
      </c>
      <c r="E11" s="58"/>
      <c r="F11" s="58"/>
      <c r="G11" s="58"/>
      <c r="H11" s="59"/>
      <c r="I11" s="59"/>
      <c r="J11" s="59"/>
      <c r="K11" s="59"/>
      <c r="L11" s="59"/>
      <c r="M11" s="59">
        <v>0</v>
      </c>
      <c r="N11" s="59">
        <v>0</v>
      </c>
      <c r="O11" s="59">
        <v>0</v>
      </c>
      <c r="P11" s="176"/>
      <c r="Q11" s="176"/>
      <c r="R11" s="176"/>
      <c r="S11" s="63"/>
      <c r="T11" s="176"/>
      <c r="U11" s="176"/>
      <c r="V11" s="176"/>
      <c r="W11" s="63"/>
      <c r="X11" s="60" t="s">
        <v>94</v>
      </c>
      <c r="Y11" s="176"/>
      <c r="Z11" s="176"/>
    </row>
    <row r="12" spans="1:26" s="61" customFormat="1" x14ac:dyDescent="0.25">
      <c r="A12" s="179">
        <v>4</v>
      </c>
      <c r="B12" s="59">
        <v>7</v>
      </c>
      <c r="C12" s="58" t="s">
        <v>32</v>
      </c>
      <c r="D12" s="59">
        <v>1680</v>
      </c>
      <c r="E12" s="59"/>
      <c r="F12" s="59"/>
      <c r="G12" s="59"/>
      <c r="H12" s="59"/>
      <c r="I12" s="59"/>
      <c r="J12" s="59"/>
      <c r="K12" s="59"/>
      <c r="L12" s="59"/>
      <c r="M12" s="59">
        <v>0</v>
      </c>
      <c r="N12" s="59">
        <v>0</v>
      </c>
      <c r="O12" s="59">
        <v>0</v>
      </c>
      <c r="P12" s="175">
        <v>45563</v>
      </c>
      <c r="Q12" s="175">
        <f t="shared" ref="Q12:Q47" si="0">P12+7</f>
        <v>45570</v>
      </c>
      <c r="R12" s="175"/>
      <c r="S12" s="60"/>
      <c r="T12" s="175" t="s">
        <v>97</v>
      </c>
      <c r="U12" s="175" t="s">
        <v>98</v>
      </c>
      <c r="V12" s="175">
        <v>45598</v>
      </c>
      <c r="W12" s="60"/>
      <c r="X12" s="60" t="s">
        <v>109</v>
      </c>
      <c r="Y12" s="175" t="s">
        <v>28</v>
      </c>
      <c r="Z12" s="175">
        <f t="shared" ref="Z12:Z47" si="1">V12+7</f>
        <v>45605</v>
      </c>
    </row>
    <row r="13" spans="1:26" s="61" customFormat="1" x14ac:dyDescent="0.25">
      <c r="A13" s="180"/>
      <c r="B13" s="58">
        <v>8</v>
      </c>
      <c r="C13" s="58" t="s">
        <v>32</v>
      </c>
      <c r="D13" s="58">
        <v>1680</v>
      </c>
      <c r="E13" s="58"/>
      <c r="F13" s="58"/>
      <c r="G13" s="58"/>
      <c r="H13" s="59"/>
      <c r="I13" s="59"/>
      <c r="J13" s="59"/>
      <c r="K13" s="59"/>
      <c r="L13" s="59"/>
      <c r="M13" s="59">
        <v>0</v>
      </c>
      <c r="N13" s="59">
        <v>0</v>
      </c>
      <c r="O13" s="59">
        <v>0</v>
      </c>
      <c r="P13" s="182"/>
      <c r="Q13" s="182"/>
      <c r="R13" s="182"/>
      <c r="S13" s="62"/>
      <c r="T13" s="182"/>
      <c r="U13" s="182"/>
      <c r="V13" s="182"/>
      <c r="W13" s="60"/>
      <c r="X13" s="60" t="s">
        <v>110</v>
      </c>
      <c r="Y13" s="182"/>
      <c r="Z13" s="182"/>
    </row>
    <row r="14" spans="1:26" s="61" customFormat="1" x14ac:dyDescent="0.25">
      <c r="A14" s="181"/>
      <c r="B14" s="59">
        <v>9</v>
      </c>
      <c r="C14" s="58" t="s">
        <v>32</v>
      </c>
      <c r="D14" s="59"/>
      <c r="E14" s="59"/>
      <c r="F14" s="59"/>
      <c r="G14" s="59"/>
      <c r="H14" s="59">
        <v>24000</v>
      </c>
      <c r="I14" s="59">
        <v>38400</v>
      </c>
      <c r="J14" s="59">
        <v>0</v>
      </c>
      <c r="K14" s="59">
        <v>32000</v>
      </c>
      <c r="L14" s="59"/>
      <c r="M14" s="59">
        <v>0</v>
      </c>
      <c r="N14" s="59">
        <v>0</v>
      </c>
      <c r="O14" s="59">
        <v>0</v>
      </c>
      <c r="P14" s="182"/>
      <c r="Q14" s="182"/>
      <c r="R14" s="182"/>
      <c r="S14" s="62"/>
      <c r="T14" s="182"/>
      <c r="U14" s="182"/>
      <c r="V14" s="182"/>
      <c r="W14" s="62"/>
      <c r="X14" s="60" t="s">
        <v>111</v>
      </c>
      <c r="Y14" s="182"/>
      <c r="Z14" s="182"/>
    </row>
    <row r="15" spans="1:26" s="2" customFormat="1" x14ac:dyDescent="0.25">
      <c r="A15" s="70">
        <v>5</v>
      </c>
      <c r="B15" s="42">
        <v>10</v>
      </c>
      <c r="C15" s="41" t="s">
        <v>32</v>
      </c>
      <c r="D15" s="42">
        <v>120</v>
      </c>
      <c r="E15" s="42"/>
      <c r="F15" s="42"/>
      <c r="G15" s="42"/>
      <c r="H15" s="42">
        <v>0</v>
      </c>
      <c r="I15" s="42">
        <v>4800</v>
      </c>
      <c r="J15" s="42">
        <v>0</v>
      </c>
      <c r="K15" s="42">
        <v>0</v>
      </c>
      <c r="L15" s="42">
        <v>0</v>
      </c>
      <c r="M15" s="42">
        <v>26000</v>
      </c>
      <c r="N15" s="42">
        <v>13000</v>
      </c>
      <c r="O15" s="42">
        <v>23944</v>
      </c>
      <c r="P15" s="51">
        <v>45565</v>
      </c>
      <c r="Q15" s="43">
        <v>45582</v>
      </c>
      <c r="R15" s="51"/>
      <c r="S15" s="51"/>
      <c r="T15" s="51" t="s">
        <v>99</v>
      </c>
      <c r="U15" s="50">
        <v>24101062</v>
      </c>
      <c r="V15" s="69">
        <v>45601</v>
      </c>
      <c r="W15" s="51"/>
      <c r="X15" s="43" t="s">
        <v>112</v>
      </c>
      <c r="Y15" s="51" t="s">
        <v>36</v>
      </c>
      <c r="Z15" s="51">
        <f>V15+7</f>
        <v>45608</v>
      </c>
    </row>
    <row r="16" spans="1:26" s="2" customFormat="1" ht="12" customHeight="1" x14ac:dyDescent="0.25">
      <c r="A16" s="145">
        <v>6</v>
      </c>
      <c r="B16" s="57">
        <v>11</v>
      </c>
      <c r="C16" s="41" t="s">
        <v>32</v>
      </c>
      <c r="D16" s="57">
        <v>0</v>
      </c>
      <c r="E16" s="57"/>
      <c r="F16" s="57"/>
      <c r="G16" s="57"/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/>
      <c r="N16" s="57">
        <v>13000</v>
      </c>
      <c r="O16" s="57">
        <v>8000</v>
      </c>
      <c r="P16" s="155">
        <v>45574</v>
      </c>
      <c r="Q16" s="155">
        <v>45584</v>
      </c>
      <c r="R16" s="43"/>
      <c r="S16" s="43"/>
      <c r="T16" s="155" t="s">
        <v>101</v>
      </c>
      <c r="U16" s="155" t="s">
        <v>100</v>
      </c>
      <c r="V16" s="168">
        <v>45611</v>
      </c>
      <c r="W16" s="43"/>
      <c r="X16" s="43" t="s">
        <v>102</v>
      </c>
      <c r="Y16" s="43" t="s">
        <v>36</v>
      </c>
      <c r="Z16" s="155">
        <f t="shared" si="1"/>
        <v>45618</v>
      </c>
    </row>
    <row r="17" spans="1:26" s="2" customFormat="1" ht="12" customHeight="1" x14ac:dyDescent="0.25">
      <c r="A17" s="167"/>
      <c r="B17" s="42">
        <v>12</v>
      </c>
      <c r="C17" s="41" t="s">
        <v>32</v>
      </c>
      <c r="D17" s="42">
        <v>1680</v>
      </c>
      <c r="E17" s="42"/>
      <c r="F17" s="42"/>
      <c r="G17" s="42"/>
      <c r="H17" s="42"/>
      <c r="I17" s="42"/>
      <c r="J17" s="42"/>
      <c r="K17" s="42"/>
      <c r="L17" s="42"/>
      <c r="M17" s="42">
        <v>0</v>
      </c>
      <c r="N17" s="42">
        <v>0</v>
      </c>
      <c r="O17" s="42">
        <v>0</v>
      </c>
      <c r="P17" s="156"/>
      <c r="Q17" s="156"/>
      <c r="R17" s="43"/>
      <c r="S17" s="43"/>
      <c r="T17" s="156"/>
      <c r="U17" s="156"/>
      <c r="V17" s="170"/>
      <c r="W17" s="43"/>
      <c r="X17" s="43" t="s">
        <v>105</v>
      </c>
      <c r="Y17" s="155" t="s">
        <v>28</v>
      </c>
      <c r="Z17" s="156"/>
    </row>
    <row r="18" spans="1:26" s="2" customFormat="1" ht="12" customHeight="1" x14ac:dyDescent="0.25">
      <c r="A18" s="167"/>
      <c r="B18" s="41">
        <v>13</v>
      </c>
      <c r="C18" s="41" t="s">
        <v>32</v>
      </c>
      <c r="D18" s="41"/>
      <c r="E18" s="41"/>
      <c r="F18" s="41"/>
      <c r="G18" s="41"/>
      <c r="H18" s="42">
        <v>24000</v>
      </c>
      <c r="I18" s="42">
        <v>38400</v>
      </c>
      <c r="J18" s="42">
        <v>0</v>
      </c>
      <c r="K18" s="42">
        <v>32000</v>
      </c>
      <c r="L18" s="42"/>
      <c r="M18" s="42">
        <v>0</v>
      </c>
      <c r="N18" s="42">
        <v>0</v>
      </c>
      <c r="O18" s="42">
        <v>0</v>
      </c>
      <c r="P18" s="156"/>
      <c r="Q18" s="156"/>
      <c r="R18" s="43"/>
      <c r="S18" s="43"/>
      <c r="T18" s="156"/>
      <c r="U18" s="156"/>
      <c r="V18" s="170"/>
      <c r="W18" s="43"/>
      <c r="X18" s="43" t="s">
        <v>103</v>
      </c>
      <c r="Y18" s="156"/>
      <c r="Z18" s="156"/>
    </row>
    <row r="19" spans="1:26" s="2" customFormat="1" ht="10.5" customHeight="1" x14ac:dyDescent="0.25">
      <c r="A19" s="167"/>
      <c r="B19" s="42">
        <v>14</v>
      </c>
      <c r="C19" s="41" t="s">
        <v>32</v>
      </c>
      <c r="D19" s="42">
        <v>1260</v>
      </c>
      <c r="E19" s="42"/>
      <c r="F19" s="42"/>
      <c r="G19" s="42"/>
      <c r="H19" s="42"/>
      <c r="I19" s="42"/>
      <c r="J19" s="42"/>
      <c r="K19" s="42"/>
      <c r="L19" s="42">
        <v>18000</v>
      </c>
      <c r="M19" s="42">
        <v>0</v>
      </c>
      <c r="N19" s="42">
        <v>0</v>
      </c>
      <c r="O19" s="42">
        <v>0</v>
      </c>
      <c r="P19" s="157"/>
      <c r="Q19" s="157"/>
      <c r="R19" s="43"/>
      <c r="S19" s="43"/>
      <c r="T19" s="157"/>
      <c r="U19" s="157"/>
      <c r="V19" s="169"/>
      <c r="W19" s="43"/>
      <c r="X19" s="43" t="s">
        <v>104</v>
      </c>
      <c r="Y19" s="157"/>
      <c r="Z19" s="157"/>
    </row>
    <row r="20" spans="1:26" s="2" customFormat="1" ht="12" customHeight="1" x14ac:dyDescent="0.25">
      <c r="A20" s="167">
        <v>7</v>
      </c>
      <c r="B20" s="41">
        <v>15</v>
      </c>
      <c r="C20" s="41" t="s">
        <v>32</v>
      </c>
      <c r="D20" s="41">
        <v>1680</v>
      </c>
      <c r="E20" s="41"/>
      <c r="F20" s="41"/>
      <c r="G20" s="41"/>
      <c r="H20" s="42"/>
      <c r="I20" s="42"/>
      <c r="J20" s="42"/>
      <c r="K20" s="42"/>
      <c r="L20" s="42"/>
      <c r="M20" s="42">
        <v>0</v>
      </c>
      <c r="N20" s="42">
        <v>0</v>
      </c>
      <c r="O20" s="42">
        <v>0</v>
      </c>
      <c r="P20" s="155">
        <v>45588</v>
      </c>
      <c r="Q20" s="155">
        <v>45600</v>
      </c>
      <c r="R20" s="43"/>
      <c r="S20" s="43"/>
      <c r="T20" s="155" t="s">
        <v>108</v>
      </c>
      <c r="U20" s="171">
        <v>24101100</v>
      </c>
      <c r="V20" s="168">
        <v>45616</v>
      </c>
      <c r="W20" s="43"/>
      <c r="X20" s="43" t="s">
        <v>106</v>
      </c>
      <c r="Y20" s="155" t="s">
        <v>28</v>
      </c>
      <c r="Z20" s="155">
        <f t="shared" si="1"/>
        <v>45623</v>
      </c>
    </row>
    <row r="21" spans="1:26" s="2" customFormat="1" ht="12" customHeight="1" x14ac:dyDescent="0.25">
      <c r="A21" s="167"/>
      <c r="B21" s="42">
        <v>16</v>
      </c>
      <c r="C21" s="41" t="s">
        <v>32</v>
      </c>
      <c r="D21" s="42">
        <v>1692</v>
      </c>
      <c r="E21" s="42"/>
      <c r="F21" s="42"/>
      <c r="G21" s="42"/>
      <c r="H21" s="42"/>
      <c r="I21" s="42"/>
      <c r="J21" s="42"/>
      <c r="K21" s="42"/>
      <c r="L21" s="42"/>
      <c r="M21" s="42">
        <v>0</v>
      </c>
      <c r="N21" s="42">
        <v>0</v>
      </c>
      <c r="O21" s="42">
        <v>0</v>
      </c>
      <c r="P21" s="157"/>
      <c r="Q21" s="157"/>
      <c r="R21" s="43"/>
      <c r="S21" s="43"/>
      <c r="T21" s="157"/>
      <c r="U21" s="172"/>
      <c r="V21" s="169"/>
      <c r="W21" s="43"/>
      <c r="X21" s="43" t="s">
        <v>107</v>
      </c>
      <c r="Y21" s="157"/>
      <c r="Z21" s="157"/>
    </row>
    <row r="22" spans="1:26" s="2" customFormat="1" x14ac:dyDescent="0.25">
      <c r="A22" s="167">
        <v>8</v>
      </c>
      <c r="B22" s="41">
        <v>17</v>
      </c>
      <c r="C22" s="41" t="s">
        <v>32</v>
      </c>
      <c r="D22" s="41">
        <v>1680</v>
      </c>
      <c r="E22" s="41"/>
      <c r="F22" s="41"/>
      <c r="G22" s="41"/>
      <c r="H22" s="42"/>
      <c r="I22" s="42"/>
      <c r="J22" s="42"/>
      <c r="K22" s="42"/>
      <c r="L22" s="42"/>
      <c r="M22" s="42">
        <v>0</v>
      </c>
      <c r="N22" s="42">
        <v>0</v>
      </c>
      <c r="O22" s="42">
        <v>0</v>
      </c>
      <c r="P22" s="155">
        <v>45602</v>
      </c>
      <c r="Q22" s="155">
        <v>45619</v>
      </c>
      <c r="R22" s="43"/>
      <c r="S22" s="43"/>
      <c r="T22" s="155"/>
      <c r="U22" s="155"/>
      <c r="V22" s="168">
        <v>45634</v>
      </c>
      <c r="W22" s="43"/>
      <c r="X22" s="43"/>
      <c r="Y22" s="155" t="s">
        <v>28</v>
      </c>
      <c r="Z22" s="155">
        <f t="shared" si="1"/>
        <v>45641</v>
      </c>
    </row>
    <row r="23" spans="1:26" s="2" customFormat="1" ht="13.5" customHeight="1" x14ac:dyDescent="0.25">
      <c r="A23" s="167"/>
      <c r="B23" s="42">
        <v>18</v>
      </c>
      <c r="C23" s="41" t="s">
        <v>32</v>
      </c>
      <c r="D23" s="42">
        <v>1680</v>
      </c>
      <c r="E23" s="42"/>
      <c r="F23" s="42"/>
      <c r="G23" s="42"/>
      <c r="H23" s="42"/>
      <c r="I23" s="42"/>
      <c r="J23" s="42"/>
      <c r="K23" s="42"/>
      <c r="L23" s="42"/>
      <c r="M23" s="42">
        <v>0</v>
      </c>
      <c r="N23" s="42">
        <v>0</v>
      </c>
      <c r="O23" s="42">
        <v>0</v>
      </c>
      <c r="P23" s="157"/>
      <c r="Q23" s="157"/>
      <c r="R23" s="43"/>
      <c r="S23" s="43"/>
      <c r="T23" s="157"/>
      <c r="U23" s="157"/>
      <c r="V23" s="169"/>
      <c r="W23" s="43"/>
      <c r="X23" s="43"/>
      <c r="Y23" s="157"/>
      <c r="Z23" s="157"/>
    </row>
    <row r="24" spans="1:26" s="53" customFormat="1" x14ac:dyDescent="0.25">
      <c r="A24" s="52">
        <v>9</v>
      </c>
      <c r="B24" s="45">
        <v>19</v>
      </c>
      <c r="C24" s="44" t="s">
        <v>32</v>
      </c>
      <c r="D24" s="45"/>
      <c r="E24" s="45"/>
      <c r="F24" s="45"/>
      <c r="G24" s="45"/>
      <c r="H24" s="45"/>
      <c r="I24" s="45"/>
      <c r="J24" s="45"/>
      <c r="K24" s="45"/>
      <c r="L24" s="45"/>
      <c r="M24" s="67"/>
      <c r="N24" s="67">
        <v>26000</v>
      </c>
      <c r="O24" s="67">
        <v>24000</v>
      </c>
      <c r="P24" s="49">
        <v>45606</v>
      </c>
      <c r="Q24" s="49">
        <v>45619</v>
      </c>
      <c r="R24" s="46"/>
      <c r="S24" s="46"/>
      <c r="T24" s="46"/>
      <c r="U24" s="46"/>
      <c r="V24" s="49">
        <v>45631</v>
      </c>
      <c r="W24" s="46"/>
      <c r="X24" s="46"/>
      <c r="Y24" s="49" t="s">
        <v>36</v>
      </c>
      <c r="Z24" s="49">
        <f>V24+7</f>
        <v>45638</v>
      </c>
    </row>
    <row r="25" spans="1:26" s="74" customFormat="1" ht="12.6" customHeight="1" x14ac:dyDescent="0.25">
      <c r="A25" s="165">
        <v>10</v>
      </c>
      <c r="B25" s="71">
        <v>20</v>
      </c>
      <c r="C25" s="71" t="s">
        <v>32</v>
      </c>
      <c r="D25" s="71">
        <v>1680</v>
      </c>
      <c r="E25" s="71"/>
      <c r="F25" s="71"/>
      <c r="G25" s="71"/>
      <c r="H25" s="72"/>
      <c r="I25" s="72"/>
      <c r="J25" s="72"/>
      <c r="K25" s="72"/>
      <c r="L25" s="72"/>
      <c r="M25" s="72">
        <v>0</v>
      </c>
      <c r="N25" s="72">
        <v>0</v>
      </c>
      <c r="O25" s="72">
        <v>0</v>
      </c>
      <c r="P25" s="163">
        <v>45628</v>
      </c>
      <c r="Q25" s="163">
        <v>45643</v>
      </c>
      <c r="R25" s="73"/>
      <c r="S25" s="73"/>
      <c r="T25" s="163"/>
      <c r="U25" s="73"/>
      <c r="V25" s="163">
        <f>Q25+18</f>
        <v>45661</v>
      </c>
      <c r="W25" s="73"/>
      <c r="X25" s="73"/>
      <c r="Y25" s="163" t="s">
        <v>28</v>
      </c>
      <c r="Z25" s="163">
        <f t="shared" si="1"/>
        <v>45668</v>
      </c>
    </row>
    <row r="26" spans="1:26" s="74" customFormat="1" ht="12" customHeight="1" x14ac:dyDescent="0.25">
      <c r="A26" s="165"/>
      <c r="B26" s="72">
        <v>21</v>
      </c>
      <c r="C26" s="71" t="s">
        <v>32</v>
      </c>
      <c r="D26" s="72"/>
      <c r="E26" s="72"/>
      <c r="F26" s="72"/>
      <c r="G26" s="72"/>
      <c r="H26" s="72">
        <v>24000</v>
      </c>
      <c r="I26" s="72">
        <v>38400</v>
      </c>
      <c r="J26" s="72">
        <v>0</v>
      </c>
      <c r="K26" s="72">
        <v>31944</v>
      </c>
      <c r="L26" s="72"/>
      <c r="M26" s="72">
        <v>0</v>
      </c>
      <c r="N26" s="72">
        <v>0</v>
      </c>
      <c r="O26" s="72">
        <v>0</v>
      </c>
      <c r="P26" s="166"/>
      <c r="Q26" s="166"/>
      <c r="R26" s="73"/>
      <c r="S26" s="73"/>
      <c r="T26" s="166"/>
      <c r="U26" s="73"/>
      <c r="V26" s="166"/>
      <c r="W26" s="73"/>
      <c r="X26" s="73"/>
      <c r="Y26" s="166"/>
      <c r="Z26" s="166"/>
    </row>
    <row r="27" spans="1:26" s="74" customFormat="1" x14ac:dyDescent="0.25">
      <c r="A27" s="162"/>
      <c r="B27" s="71">
        <v>22</v>
      </c>
      <c r="C27" s="71" t="s">
        <v>32</v>
      </c>
      <c r="D27" s="71">
        <v>1680</v>
      </c>
      <c r="E27" s="71"/>
      <c r="F27" s="71"/>
      <c r="G27" s="71"/>
      <c r="H27" s="72"/>
      <c r="I27" s="72"/>
      <c r="J27" s="72"/>
      <c r="K27" s="72"/>
      <c r="L27" s="72"/>
      <c r="M27" s="72">
        <v>0</v>
      </c>
      <c r="N27" s="72">
        <v>0</v>
      </c>
      <c r="O27" s="72">
        <v>0</v>
      </c>
      <c r="P27" s="164"/>
      <c r="Q27" s="164"/>
      <c r="R27" s="73"/>
      <c r="S27" s="73"/>
      <c r="T27" s="164"/>
      <c r="U27" s="73"/>
      <c r="V27" s="164"/>
      <c r="W27" s="73"/>
      <c r="X27" s="73"/>
      <c r="Y27" s="164"/>
      <c r="Z27" s="164"/>
    </row>
    <row r="28" spans="1:26" s="74" customFormat="1" x14ac:dyDescent="0.25">
      <c r="A28" s="161">
        <v>11</v>
      </c>
      <c r="B28" s="72">
        <v>23</v>
      </c>
      <c r="C28" s="71" t="s">
        <v>32</v>
      </c>
      <c r="D28" s="72">
        <v>1680</v>
      </c>
      <c r="E28" s="72"/>
      <c r="F28" s="72"/>
      <c r="G28" s="72"/>
      <c r="H28" s="72"/>
      <c r="I28" s="72"/>
      <c r="J28" s="72"/>
      <c r="K28" s="72"/>
      <c r="L28" s="72"/>
      <c r="M28" s="72">
        <v>0</v>
      </c>
      <c r="N28" s="72">
        <v>0</v>
      </c>
      <c r="O28" s="72">
        <v>0</v>
      </c>
      <c r="P28" s="163">
        <v>45635</v>
      </c>
      <c r="Q28" s="163">
        <v>45646</v>
      </c>
      <c r="R28" s="73"/>
      <c r="S28" s="73"/>
      <c r="T28" s="163" t="s">
        <v>113</v>
      </c>
      <c r="U28" s="73" t="s">
        <v>115</v>
      </c>
      <c r="V28" s="163">
        <v>45661</v>
      </c>
      <c r="W28" s="73"/>
      <c r="X28" s="73"/>
      <c r="Y28" s="163" t="s">
        <v>28</v>
      </c>
      <c r="Z28" s="163">
        <f t="shared" si="1"/>
        <v>45668</v>
      </c>
    </row>
    <row r="29" spans="1:26" s="74" customFormat="1" x14ac:dyDescent="0.25">
      <c r="A29" s="162"/>
      <c r="B29" s="71">
        <v>24</v>
      </c>
      <c r="C29" s="71" t="s">
        <v>32</v>
      </c>
      <c r="D29" s="71">
        <v>1680</v>
      </c>
      <c r="E29" s="71"/>
      <c r="F29" s="71"/>
      <c r="G29" s="71"/>
      <c r="H29" s="72"/>
      <c r="I29" s="72"/>
      <c r="J29" s="72"/>
      <c r="K29" s="72"/>
      <c r="L29" s="72"/>
      <c r="M29" s="72">
        <v>0</v>
      </c>
      <c r="N29" s="72">
        <v>0</v>
      </c>
      <c r="O29" s="72">
        <v>0</v>
      </c>
      <c r="P29" s="164"/>
      <c r="Q29" s="164"/>
      <c r="R29" s="73"/>
      <c r="S29" s="73"/>
      <c r="T29" s="164"/>
      <c r="U29" s="73" t="s">
        <v>116</v>
      </c>
      <c r="V29" s="164"/>
      <c r="W29" s="73"/>
      <c r="X29" s="73"/>
      <c r="Y29" s="164"/>
      <c r="Z29" s="164"/>
    </row>
    <row r="30" spans="1:26" s="2" customFormat="1" x14ac:dyDescent="0.25">
      <c r="A30" s="153">
        <v>12</v>
      </c>
      <c r="B30" s="42">
        <v>25</v>
      </c>
      <c r="C30" s="41" t="s">
        <v>32</v>
      </c>
      <c r="D30" s="42">
        <v>1680</v>
      </c>
      <c r="E30" s="42"/>
      <c r="F30" s="42"/>
      <c r="G30" s="42"/>
      <c r="H30" s="42"/>
      <c r="I30" s="42"/>
      <c r="J30" s="42"/>
      <c r="K30" s="42"/>
      <c r="L30" s="42"/>
      <c r="M30" s="42">
        <v>0</v>
      </c>
      <c r="N30" s="42">
        <v>0</v>
      </c>
      <c r="O30" s="42">
        <v>0</v>
      </c>
      <c r="P30" s="155">
        <v>45646</v>
      </c>
      <c r="Q30" s="155">
        <v>45654</v>
      </c>
      <c r="R30" s="43"/>
      <c r="S30" s="43"/>
      <c r="T30" s="155" t="s">
        <v>114</v>
      </c>
      <c r="U30" s="43" t="s">
        <v>117</v>
      </c>
      <c r="V30" s="155">
        <v>45667</v>
      </c>
      <c r="W30" s="43"/>
      <c r="X30" s="43"/>
      <c r="Y30" s="155" t="s">
        <v>28</v>
      </c>
      <c r="Z30" s="155">
        <f t="shared" si="1"/>
        <v>45674</v>
      </c>
    </row>
    <row r="31" spans="1:26" s="2" customFormat="1" x14ac:dyDescent="0.25">
      <c r="A31" s="160"/>
      <c r="B31" s="41">
        <v>26</v>
      </c>
      <c r="C31" s="41" t="s">
        <v>32</v>
      </c>
      <c r="D31" s="41">
        <v>1680</v>
      </c>
      <c r="E31" s="41"/>
      <c r="F31" s="41"/>
      <c r="G31" s="41"/>
      <c r="H31" s="42"/>
      <c r="I31" s="42"/>
      <c r="J31" s="42"/>
      <c r="K31" s="42"/>
      <c r="L31" s="42"/>
      <c r="M31" s="42">
        <v>0</v>
      </c>
      <c r="N31" s="42">
        <v>0</v>
      </c>
      <c r="O31" s="42">
        <v>0</v>
      </c>
      <c r="P31" s="157"/>
      <c r="Q31" s="157"/>
      <c r="R31" s="43"/>
      <c r="S31" s="43"/>
      <c r="T31" s="157"/>
      <c r="U31" s="43" t="s">
        <v>118</v>
      </c>
      <c r="V31" s="157"/>
      <c r="W31" s="43"/>
      <c r="X31" s="43"/>
      <c r="Y31" s="157"/>
      <c r="Z31" s="157"/>
    </row>
    <row r="32" spans="1:26" s="129" customFormat="1" x14ac:dyDescent="0.25">
      <c r="A32" s="132">
        <v>13</v>
      </c>
      <c r="B32" s="126">
        <v>27</v>
      </c>
      <c r="C32" s="126" t="s">
        <v>32</v>
      </c>
      <c r="D32" s="126"/>
      <c r="E32" s="126"/>
      <c r="F32" s="126"/>
      <c r="G32" s="126"/>
      <c r="H32" s="127"/>
      <c r="I32" s="127"/>
      <c r="J32" s="127"/>
      <c r="K32" s="127"/>
      <c r="L32" s="127"/>
      <c r="M32" s="127">
        <v>14000</v>
      </c>
      <c r="N32" s="127">
        <v>26000</v>
      </c>
      <c r="O32" s="127">
        <v>24000</v>
      </c>
      <c r="P32" s="133">
        <v>45703</v>
      </c>
      <c r="Q32" s="130">
        <f>P32+7</f>
        <v>45710</v>
      </c>
      <c r="R32" s="128"/>
      <c r="S32" s="128"/>
      <c r="T32" s="128"/>
      <c r="U32" s="128"/>
      <c r="V32" s="130">
        <f>Q32+21</f>
        <v>45731</v>
      </c>
      <c r="W32" s="128"/>
      <c r="X32" s="128"/>
      <c r="Y32" s="130" t="s">
        <v>36</v>
      </c>
      <c r="Z32" s="130">
        <f>V32+7</f>
        <v>45738</v>
      </c>
    </row>
    <row r="33" spans="1:26" s="2" customFormat="1" ht="12.6" customHeight="1" x14ac:dyDescent="0.25">
      <c r="A33" s="153">
        <v>14</v>
      </c>
      <c r="B33" s="42">
        <v>28</v>
      </c>
      <c r="C33" s="41" t="s">
        <v>32</v>
      </c>
      <c r="D33" s="42">
        <v>1680</v>
      </c>
      <c r="E33" s="42"/>
      <c r="F33" s="42"/>
      <c r="G33" s="42"/>
      <c r="H33" s="42"/>
      <c r="I33" s="42"/>
      <c r="J33" s="42"/>
      <c r="K33" s="42"/>
      <c r="L33" s="42"/>
      <c r="M33" s="42">
        <v>0</v>
      </c>
      <c r="N33" s="42">
        <v>0</v>
      </c>
      <c r="O33" s="42">
        <v>0</v>
      </c>
      <c r="P33" s="155">
        <v>45667</v>
      </c>
      <c r="Q33" s="155">
        <v>45684</v>
      </c>
      <c r="R33" s="43"/>
      <c r="S33" s="43"/>
      <c r="T33" s="43"/>
      <c r="U33" s="43"/>
      <c r="V33" s="155">
        <f>Q33+19</f>
        <v>45703</v>
      </c>
      <c r="W33" s="43"/>
      <c r="X33" s="43"/>
      <c r="Y33" s="155" t="s">
        <v>28</v>
      </c>
      <c r="Z33" s="155">
        <f t="shared" si="1"/>
        <v>45710</v>
      </c>
    </row>
    <row r="34" spans="1:26" s="2" customFormat="1" x14ac:dyDescent="0.25">
      <c r="A34" s="154"/>
      <c r="B34" s="41">
        <v>29</v>
      </c>
      <c r="C34" s="41" t="s">
        <v>32</v>
      </c>
      <c r="D34" s="41">
        <v>426</v>
      </c>
      <c r="E34" s="41"/>
      <c r="F34" s="41"/>
      <c r="G34" s="41"/>
      <c r="H34" s="42">
        <v>16000</v>
      </c>
      <c r="I34" s="42">
        <v>38400</v>
      </c>
      <c r="J34" s="42"/>
      <c r="K34" s="42"/>
      <c r="L34" s="42"/>
      <c r="M34" s="42">
        <v>0</v>
      </c>
      <c r="N34" s="42">
        <v>0</v>
      </c>
      <c r="O34" s="42">
        <v>0</v>
      </c>
      <c r="P34" s="156"/>
      <c r="Q34" s="156"/>
      <c r="R34" s="43"/>
      <c r="S34" s="43"/>
      <c r="T34" s="43"/>
      <c r="U34" s="43"/>
      <c r="V34" s="156"/>
      <c r="W34" s="43"/>
      <c r="X34" s="43"/>
      <c r="Y34" s="156"/>
      <c r="Z34" s="156"/>
    </row>
    <row r="35" spans="1:26" s="2" customFormat="1" x14ac:dyDescent="0.25">
      <c r="A35" s="154"/>
      <c r="B35" s="42">
        <v>30</v>
      </c>
      <c r="C35" s="41" t="s">
        <v>32</v>
      </c>
      <c r="D35" s="42">
        <v>1680</v>
      </c>
      <c r="E35" s="42"/>
      <c r="F35" s="42"/>
      <c r="G35" s="42"/>
      <c r="H35" s="42"/>
      <c r="I35" s="42"/>
      <c r="J35" s="42"/>
      <c r="K35" s="42"/>
      <c r="L35" s="42"/>
      <c r="M35" s="42">
        <v>0</v>
      </c>
      <c r="N35" s="42">
        <v>0</v>
      </c>
      <c r="O35" s="42">
        <v>0</v>
      </c>
      <c r="P35" s="157"/>
      <c r="Q35" s="157"/>
      <c r="R35" s="43"/>
      <c r="S35" s="43"/>
      <c r="T35" s="43"/>
      <c r="U35" s="43"/>
      <c r="V35" s="157"/>
      <c r="W35" s="43"/>
      <c r="X35" s="43"/>
      <c r="Y35" s="157"/>
      <c r="Z35" s="157"/>
    </row>
    <row r="36" spans="1:26" s="144" customFormat="1" x14ac:dyDescent="0.25">
      <c r="A36" s="139"/>
      <c r="B36" s="140">
        <v>31</v>
      </c>
      <c r="C36" s="141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2"/>
      <c r="Q36" s="142"/>
      <c r="R36" s="143"/>
      <c r="S36" s="143"/>
      <c r="T36" s="143"/>
      <c r="U36" s="143"/>
      <c r="V36" s="142"/>
      <c r="W36" s="143"/>
      <c r="X36" s="143"/>
      <c r="Y36" s="142"/>
      <c r="Z36" s="142"/>
    </row>
    <row r="37" spans="1:26" s="129" customFormat="1" x14ac:dyDescent="0.25">
      <c r="A37" s="132">
        <v>15</v>
      </c>
      <c r="B37" s="126">
        <v>32</v>
      </c>
      <c r="C37" s="126" t="s">
        <v>32</v>
      </c>
      <c r="D37" s="126">
        <v>1260</v>
      </c>
      <c r="E37" s="126">
        <v>0</v>
      </c>
      <c r="F37" s="126">
        <v>0</v>
      </c>
      <c r="G37" s="126">
        <v>0</v>
      </c>
      <c r="H37" s="127"/>
      <c r="I37" s="127"/>
      <c r="J37" s="127"/>
      <c r="K37" s="127"/>
      <c r="L37" s="127">
        <v>18000</v>
      </c>
      <c r="M37" s="127">
        <v>0</v>
      </c>
      <c r="N37" s="127">
        <v>0</v>
      </c>
      <c r="O37" s="127">
        <v>0</v>
      </c>
      <c r="P37" s="128">
        <v>45727</v>
      </c>
      <c r="Q37" s="128">
        <f t="shared" si="0"/>
        <v>45734</v>
      </c>
      <c r="R37" s="128"/>
      <c r="S37" s="128"/>
      <c r="T37" s="128"/>
      <c r="U37" s="128"/>
      <c r="V37" s="128">
        <f t="shared" ref="V37:V47" si="2">Q37+21</f>
        <v>45755</v>
      </c>
      <c r="W37" s="128"/>
      <c r="X37" s="128"/>
      <c r="Y37" s="128" t="s">
        <v>28</v>
      </c>
      <c r="Z37" s="128">
        <f t="shared" si="1"/>
        <v>45762</v>
      </c>
    </row>
    <row r="38" spans="1:26" x14ac:dyDescent="0.25">
      <c r="A38" s="158">
        <v>16</v>
      </c>
      <c r="B38" s="20">
        <v>33</v>
      </c>
      <c r="C38" s="20" t="s">
        <v>32</v>
      </c>
      <c r="D38" s="20">
        <v>720</v>
      </c>
      <c r="E38" s="20">
        <v>0</v>
      </c>
      <c r="F38" s="20">
        <v>0</v>
      </c>
      <c r="G38" s="20">
        <v>0</v>
      </c>
      <c r="H38" s="20">
        <v>15944</v>
      </c>
      <c r="I38" s="20">
        <v>38400</v>
      </c>
      <c r="J38" s="21"/>
      <c r="K38" s="21"/>
      <c r="L38" s="21"/>
      <c r="M38" s="21">
        <v>0</v>
      </c>
      <c r="N38" s="21">
        <v>0</v>
      </c>
      <c r="O38" s="21">
        <v>0</v>
      </c>
      <c r="P38" s="159">
        <v>45734</v>
      </c>
      <c r="Q38" s="159">
        <f>P38+7</f>
        <v>45741</v>
      </c>
      <c r="R38" s="22"/>
      <c r="S38" s="22"/>
      <c r="T38" s="22"/>
      <c r="U38" s="22"/>
      <c r="V38" s="159">
        <f>Q38+21</f>
        <v>45762</v>
      </c>
      <c r="W38" s="22"/>
      <c r="X38" s="22"/>
      <c r="Y38" s="22" t="s">
        <v>28</v>
      </c>
      <c r="Z38" s="159">
        <f>V38+7</f>
        <v>45769</v>
      </c>
    </row>
    <row r="39" spans="1:26" x14ac:dyDescent="0.25">
      <c r="A39" s="158"/>
      <c r="B39" s="21">
        <v>34</v>
      </c>
      <c r="C39" s="20" t="s">
        <v>32</v>
      </c>
      <c r="D39" s="21">
        <v>1680</v>
      </c>
      <c r="E39" s="20">
        <v>0</v>
      </c>
      <c r="F39" s="20">
        <v>0</v>
      </c>
      <c r="G39" s="20">
        <v>0</v>
      </c>
      <c r="H39" s="21"/>
      <c r="I39" s="21"/>
      <c r="J39" s="21"/>
      <c r="K39" s="21"/>
      <c r="L39" s="21"/>
      <c r="M39" s="21">
        <v>0</v>
      </c>
      <c r="N39" s="21">
        <v>0</v>
      </c>
      <c r="O39" s="21">
        <v>0</v>
      </c>
      <c r="P39" s="159"/>
      <c r="Q39" s="159"/>
      <c r="R39" s="22"/>
      <c r="S39" s="22"/>
      <c r="T39" s="22"/>
      <c r="U39" s="22"/>
      <c r="V39" s="159"/>
      <c r="W39" s="22"/>
      <c r="X39" s="22"/>
      <c r="Y39" s="22" t="s">
        <v>28</v>
      </c>
      <c r="Z39" s="159"/>
    </row>
    <row r="40" spans="1:26" s="68" customFormat="1" x14ac:dyDescent="0.25">
      <c r="A40" s="158"/>
      <c r="B40" s="67">
        <v>35</v>
      </c>
      <c r="C40" s="88" t="s">
        <v>32</v>
      </c>
      <c r="D40" s="67"/>
      <c r="E40" s="88">
        <v>0</v>
      </c>
      <c r="F40" s="88">
        <v>0</v>
      </c>
      <c r="G40" s="88">
        <v>0</v>
      </c>
      <c r="H40" s="67"/>
      <c r="I40" s="67"/>
      <c r="J40" s="67"/>
      <c r="K40" s="67"/>
      <c r="L40" s="67"/>
      <c r="M40" s="67">
        <v>14000</v>
      </c>
      <c r="N40" s="67">
        <v>26000</v>
      </c>
      <c r="O40" s="67">
        <v>28000</v>
      </c>
      <c r="P40" s="159"/>
      <c r="Q40" s="159"/>
      <c r="R40" s="75"/>
      <c r="S40" s="75"/>
      <c r="T40" s="75"/>
      <c r="U40" s="75"/>
      <c r="V40" s="159"/>
      <c r="W40" s="75"/>
      <c r="X40" s="75"/>
      <c r="Y40" s="69" t="s">
        <v>36</v>
      </c>
      <c r="Z40" s="159"/>
    </row>
    <row r="41" spans="1:26" s="129" customFormat="1" x14ac:dyDescent="0.25">
      <c r="A41" s="135">
        <v>17</v>
      </c>
      <c r="B41" s="127">
        <v>36</v>
      </c>
      <c r="C41" s="126" t="s">
        <v>32</v>
      </c>
      <c r="D41" s="127">
        <v>1680</v>
      </c>
      <c r="E41" s="126">
        <v>0</v>
      </c>
      <c r="F41" s="126">
        <v>0</v>
      </c>
      <c r="G41" s="126">
        <v>0</v>
      </c>
      <c r="H41" s="127"/>
      <c r="I41" s="127"/>
      <c r="J41" s="127"/>
      <c r="K41" s="127"/>
      <c r="L41" s="127"/>
      <c r="M41" s="127">
        <v>0</v>
      </c>
      <c r="N41" s="127">
        <v>0</v>
      </c>
      <c r="O41" s="127">
        <v>0</v>
      </c>
      <c r="P41" s="130">
        <v>45740</v>
      </c>
      <c r="Q41" s="128">
        <f t="shared" si="0"/>
        <v>45747</v>
      </c>
      <c r="R41" s="128"/>
      <c r="S41" s="128"/>
      <c r="T41" s="128"/>
      <c r="U41" s="128"/>
      <c r="V41" s="128">
        <f t="shared" si="2"/>
        <v>45768</v>
      </c>
      <c r="W41" s="128"/>
      <c r="X41" s="128"/>
      <c r="Y41" s="128" t="s">
        <v>28</v>
      </c>
      <c r="Z41" s="128">
        <f t="shared" si="1"/>
        <v>45775</v>
      </c>
    </row>
    <row r="42" spans="1:26" x14ac:dyDescent="0.25">
      <c r="A42" s="151">
        <v>18</v>
      </c>
      <c r="B42" s="21">
        <v>37</v>
      </c>
      <c r="C42" s="20" t="s">
        <v>32</v>
      </c>
      <c r="D42" s="21">
        <v>1680</v>
      </c>
      <c r="E42" s="20">
        <v>0</v>
      </c>
      <c r="F42" s="20">
        <v>0</v>
      </c>
      <c r="G42" s="20">
        <v>0</v>
      </c>
      <c r="H42" s="21"/>
      <c r="I42" s="21"/>
      <c r="J42" s="21"/>
      <c r="K42" s="21"/>
      <c r="L42" s="21"/>
      <c r="M42" s="21">
        <v>0</v>
      </c>
      <c r="N42" s="21">
        <v>0</v>
      </c>
      <c r="O42" s="21">
        <v>0</v>
      </c>
      <c r="P42" s="159">
        <v>45748</v>
      </c>
      <c r="Q42" s="159">
        <f>P42+7</f>
        <v>45755</v>
      </c>
      <c r="R42" s="22"/>
      <c r="S42" s="22"/>
      <c r="T42" s="22"/>
      <c r="U42" s="22"/>
      <c r="V42" s="159">
        <f>Q42+21</f>
        <v>45776</v>
      </c>
      <c r="W42" s="22"/>
      <c r="X42" s="22"/>
      <c r="Y42" s="22" t="s">
        <v>28</v>
      </c>
      <c r="Z42" s="159">
        <f>V42+7</f>
        <v>45783</v>
      </c>
    </row>
    <row r="43" spans="1:26" x14ac:dyDescent="0.25">
      <c r="A43" s="158"/>
      <c r="B43" s="21">
        <v>38</v>
      </c>
      <c r="C43" s="20" t="s">
        <v>32</v>
      </c>
      <c r="D43" s="21">
        <v>1680</v>
      </c>
      <c r="E43" s="21">
        <v>0</v>
      </c>
      <c r="F43" s="21">
        <v>0</v>
      </c>
      <c r="G43" s="21">
        <v>0</v>
      </c>
      <c r="H43" s="21"/>
      <c r="I43" s="21"/>
      <c r="J43" s="21"/>
      <c r="K43" s="21"/>
      <c r="L43" s="21"/>
      <c r="M43" s="21">
        <v>0</v>
      </c>
      <c r="N43" s="21">
        <v>0</v>
      </c>
      <c r="O43" s="21">
        <v>0</v>
      </c>
      <c r="P43" s="159"/>
      <c r="Q43" s="159"/>
      <c r="R43" s="22"/>
      <c r="S43" s="22"/>
      <c r="T43" s="22"/>
      <c r="U43" s="22"/>
      <c r="V43" s="159"/>
      <c r="W43" s="22"/>
      <c r="X43" s="22"/>
      <c r="Y43" s="22" t="s">
        <v>28</v>
      </c>
      <c r="Z43" s="159"/>
    </row>
    <row r="44" spans="1:26" s="129" customFormat="1" x14ac:dyDescent="0.25">
      <c r="A44" s="135">
        <v>19</v>
      </c>
      <c r="B44" s="126">
        <v>39</v>
      </c>
      <c r="C44" s="126" t="s">
        <v>32</v>
      </c>
      <c r="D44" s="126">
        <v>1680</v>
      </c>
      <c r="E44" s="126">
        <v>0</v>
      </c>
      <c r="F44" s="126">
        <v>0</v>
      </c>
      <c r="G44" s="126">
        <v>0</v>
      </c>
      <c r="H44" s="127"/>
      <c r="I44" s="127"/>
      <c r="J44" s="127"/>
      <c r="K44" s="127"/>
      <c r="L44" s="127"/>
      <c r="M44" s="127">
        <v>0</v>
      </c>
      <c r="N44" s="127">
        <v>0</v>
      </c>
      <c r="O44" s="127">
        <v>0</v>
      </c>
      <c r="P44" s="134">
        <v>45754</v>
      </c>
      <c r="Q44" s="128">
        <f t="shared" si="0"/>
        <v>45761</v>
      </c>
      <c r="R44" s="128"/>
      <c r="S44" s="128"/>
      <c r="T44" s="128"/>
      <c r="U44" s="128"/>
      <c r="V44" s="128">
        <f t="shared" si="2"/>
        <v>45782</v>
      </c>
      <c r="W44" s="128"/>
      <c r="X44" s="128"/>
      <c r="Y44" s="128" t="s">
        <v>28</v>
      </c>
      <c r="Z44" s="128">
        <f t="shared" si="1"/>
        <v>45789</v>
      </c>
    </row>
    <row r="45" spans="1:26" x14ac:dyDescent="0.25">
      <c r="A45" s="151">
        <v>20</v>
      </c>
      <c r="B45" s="21">
        <v>40</v>
      </c>
      <c r="C45" s="20" t="s">
        <v>32</v>
      </c>
      <c r="D45" s="21">
        <v>1680</v>
      </c>
      <c r="E45" s="21">
        <v>0</v>
      </c>
      <c r="F45" s="21">
        <v>0</v>
      </c>
      <c r="G45" s="21">
        <v>0</v>
      </c>
      <c r="H45" s="21"/>
      <c r="I45" s="21"/>
      <c r="J45" s="21"/>
      <c r="K45" s="21"/>
      <c r="L45" s="21"/>
      <c r="M45" s="21">
        <v>0</v>
      </c>
      <c r="N45" s="21">
        <v>0</v>
      </c>
      <c r="O45" s="21">
        <v>0</v>
      </c>
      <c r="P45" s="185">
        <v>45762</v>
      </c>
      <c r="Q45" s="159">
        <f>P45+7</f>
        <v>45769</v>
      </c>
      <c r="R45" s="22"/>
      <c r="S45" s="22"/>
      <c r="T45" s="22"/>
      <c r="U45" s="22"/>
      <c r="V45" s="159">
        <f>Q45+21</f>
        <v>45790</v>
      </c>
      <c r="W45" s="22"/>
      <c r="X45" s="22"/>
      <c r="Y45" s="22" t="s">
        <v>28</v>
      </c>
      <c r="Z45" s="159">
        <f>V45+7</f>
        <v>45797</v>
      </c>
    </row>
    <row r="46" spans="1:26" x14ac:dyDescent="0.25">
      <c r="A46" s="152"/>
      <c r="B46" s="20">
        <v>41</v>
      </c>
      <c r="C46" s="20" t="s">
        <v>32</v>
      </c>
      <c r="D46" s="20">
        <v>1680</v>
      </c>
      <c r="E46" s="20">
        <v>0</v>
      </c>
      <c r="F46" s="20">
        <v>0</v>
      </c>
      <c r="G46" s="20">
        <v>0</v>
      </c>
      <c r="H46" s="21"/>
      <c r="I46" s="21"/>
      <c r="J46" s="21"/>
      <c r="K46" s="21"/>
      <c r="L46" s="21"/>
      <c r="M46" s="21">
        <v>0</v>
      </c>
      <c r="N46" s="21">
        <v>0</v>
      </c>
      <c r="O46" s="21">
        <v>0</v>
      </c>
      <c r="P46" s="186"/>
      <c r="Q46" s="159"/>
      <c r="R46" s="22"/>
      <c r="S46" s="22"/>
      <c r="T46" s="22"/>
      <c r="U46" s="22"/>
      <c r="V46" s="159"/>
      <c r="W46" s="22"/>
      <c r="X46" s="22"/>
      <c r="Y46" s="22" t="s">
        <v>28</v>
      </c>
      <c r="Z46" s="159"/>
    </row>
    <row r="47" spans="1:26" s="129" customFormat="1" x14ac:dyDescent="0.25">
      <c r="A47" s="131">
        <v>21</v>
      </c>
      <c r="B47" s="127">
        <v>42</v>
      </c>
      <c r="C47" s="126"/>
      <c r="D47" s="127">
        <v>1680</v>
      </c>
      <c r="E47" s="126"/>
      <c r="F47" s="126"/>
      <c r="G47" s="126"/>
      <c r="H47" s="127"/>
      <c r="I47" s="127"/>
      <c r="J47" s="127"/>
      <c r="K47" s="127"/>
      <c r="L47" s="127"/>
      <c r="M47" s="127"/>
      <c r="N47" s="127"/>
      <c r="O47" s="127"/>
      <c r="P47" s="130">
        <v>45768</v>
      </c>
      <c r="Q47" s="128">
        <f t="shared" si="0"/>
        <v>45775</v>
      </c>
      <c r="R47" s="128"/>
      <c r="S47" s="128"/>
      <c r="T47" s="128"/>
      <c r="U47" s="128"/>
      <c r="V47" s="128">
        <f t="shared" si="2"/>
        <v>45796</v>
      </c>
      <c r="W47" s="128"/>
      <c r="X47" s="128"/>
      <c r="Y47" s="128" t="s">
        <v>28</v>
      </c>
      <c r="Z47" s="128">
        <f t="shared" si="1"/>
        <v>45803</v>
      </c>
    </row>
    <row r="48" spans="1:26" x14ac:dyDescent="0.25">
      <c r="A48" s="151">
        <v>22</v>
      </c>
      <c r="B48" s="20">
        <v>43</v>
      </c>
      <c r="C48" s="20" t="s">
        <v>32</v>
      </c>
      <c r="D48" s="20">
        <v>1440</v>
      </c>
      <c r="E48" s="20">
        <v>0</v>
      </c>
      <c r="F48" s="20">
        <v>0</v>
      </c>
      <c r="G48" s="20">
        <v>0</v>
      </c>
      <c r="H48" s="21"/>
      <c r="I48" s="21"/>
      <c r="J48" s="21"/>
      <c r="K48" s="21"/>
      <c r="L48" s="21">
        <v>9972</v>
      </c>
      <c r="M48" s="21">
        <v>0</v>
      </c>
      <c r="N48" s="21">
        <v>0</v>
      </c>
      <c r="O48" s="21">
        <v>0</v>
      </c>
      <c r="P48" s="185">
        <v>45776</v>
      </c>
      <c r="Q48" s="159">
        <f>P48+7</f>
        <v>45783</v>
      </c>
      <c r="R48" s="22"/>
      <c r="S48" s="22"/>
      <c r="T48" s="22"/>
      <c r="U48" s="22"/>
      <c r="V48" s="159">
        <f>Q48+21</f>
        <v>45804</v>
      </c>
      <c r="W48" s="22"/>
      <c r="X48" s="22"/>
      <c r="Y48" s="22" t="s">
        <v>28</v>
      </c>
      <c r="Z48" s="159">
        <f>V48+7</f>
        <v>45811</v>
      </c>
    </row>
    <row r="49" spans="1:26" x14ac:dyDescent="0.25">
      <c r="A49" s="158"/>
      <c r="B49" s="21">
        <v>44</v>
      </c>
      <c r="C49" s="20" t="s">
        <v>32</v>
      </c>
      <c r="D49" s="21">
        <v>1680</v>
      </c>
      <c r="E49" s="20">
        <v>0</v>
      </c>
      <c r="F49" s="20">
        <v>0</v>
      </c>
      <c r="G49" s="20">
        <v>0</v>
      </c>
      <c r="H49" s="21"/>
      <c r="I49" s="21"/>
      <c r="J49" s="21"/>
      <c r="K49" s="21"/>
      <c r="L49" s="21"/>
      <c r="M49" s="21"/>
      <c r="N49" s="21"/>
      <c r="O49" s="21"/>
      <c r="P49" s="159"/>
      <c r="Q49" s="159"/>
      <c r="R49" s="22"/>
      <c r="S49" s="22"/>
      <c r="T49" s="22"/>
      <c r="U49" s="22"/>
      <c r="V49" s="159"/>
      <c r="W49" s="22"/>
      <c r="X49" s="22"/>
      <c r="Y49" s="22" t="s">
        <v>28</v>
      </c>
      <c r="Z49" s="159"/>
    </row>
    <row r="50" spans="1:26" s="68" customFormat="1" x14ac:dyDescent="0.25">
      <c r="A50" s="158"/>
      <c r="B50" s="67">
        <v>45</v>
      </c>
      <c r="C50" s="88" t="s">
        <v>32</v>
      </c>
      <c r="D50" s="67"/>
      <c r="E50" s="67">
        <v>0</v>
      </c>
      <c r="F50" s="67">
        <v>0</v>
      </c>
      <c r="G50" s="67">
        <v>0</v>
      </c>
      <c r="H50" s="67"/>
      <c r="I50" s="67"/>
      <c r="J50" s="67"/>
      <c r="K50" s="67"/>
      <c r="L50" s="67"/>
      <c r="M50" s="67">
        <v>9972</v>
      </c>
      <c r="N50" s="67">
        <v>23944</v>
      </c>
      <c r="O50" s="67">
        <v>20000</v>
      </c>
      <c r="P50" s="159"/>
      <c r="Q50" s="159"/>
      <c r="R50" s="75"/>
      <c r="S50" s="75"/>
      <c r="T50" s="75"/>
      <c r="U50" s="75"/>
      <c r="V50" s="159"/>
      <c r="W50" s="75"/>
      <c r="X50" s="75"/>
      <c r="Y50" s="69" t="s">
        <v>36</v>
      </c>
      <c r="Z50" s="159"/>
    </row>
    <row r="51" spans="1:26" s="129" customFormat="1" x14ac:dyDescent="0.25">
      <c r="A51" s="187">
        <v>23</v>
      </c>
      <c r="B51" s="127">
        <v>46</v>
      </c>
      <c r="C51" s="126" t="s">
        <v>32</v>
      </c>
      <c r="D51" s="127">
        <v>1680</v>
      </c>
      <c r="E51" s="126">
        <v>0</v>
      </c>
      <c r="F51" s="126">
        <v>0</v>
      </c>
      <c r="G51" s="126">
        <v>0</v>
      </c>
      <c r="H51" s="127"/>
      <c r="I51" s="127"/>
      <c r="J51" s="127"/>
      <c r="K51" s="127"/>
      <c r="L51" s="127"/>
      <c r="M51" s="127"/>
      <c r="N51" s="127"/>
      <c r="O51" s="127"/>
      <c r="P51" s="188">
        <v>45790</v>
      </c>
      <c r="Q51" s="188">
        <f>P51+7</f>
        <v>45797</v>
      </c>
      <c r="R51" s="128"/>
      <c r="S51" s="128"/>
      <c r="T51" s="128"/>
      <c r="U51" s="128"/>
      <c r="V51" s="188">
        <f>Q51+21</f>
        <v>45818</v>
      </c>
      <c r="W51" s="128"/>
      <c r="X51" s="128"/>
      <c r="Y51" s="128" t="s">
        <v>28</v>
      </c>
      <c r="Z51" s="188">
        <f>V51+7</f>
        <v>45825</v>
      </c>
    </row>
    <row r="52" spans="1:26" s="129" customFormat="1" x14ac:dyDescent="0.25">
      <c r="A52" s="187"/>
      <c r="B52" s="127">
        <v>47</v>
      </c>
      <c r="C52" s="126" t="s">
        <v>32</v>
      </c>
      <c r="D52" s="127">
        <v>1680</v>
      </c>
      <c r="E52" s="126">
        <v>0</v>
      </c>
      <c r="F52" s="126">
        <v>0</v>
      </c>
      <c r="G52" s="126">
        <v>0</v>
      </c>
      <c r="H52" s="127"/>
      <c r="I52" s="127"/>
      <c r="J52" s="127"/>
      <c r="K52" s="127"/>
      <c r="L52" s="127"/>
      <c r="M52" s="127">
        <v>0</v>
      </c>
      <c r="N52" s="127">
        <v>0</v>
      </c>
      <c r="O52" s="127">
        <v>0</v>
      </c>
      <c r="P52" s="188"/>
      <c r="Q52" s="188"/>
      <c r="R52" s="128"/>
      <c r="S52" s="128"/>
      <c r="T52" s="128"/>
      <c r="U52" s="128"/>
      <c r="V52" s="188"/>
      <c r="W52" s="128"/>
      <c r="X52" s="128"/>
      <c r="Y52" s="128" t="s">
        <v>28</v>
      </c>
      <c r="Z52" s="188"/>
    </row>
    <row r="53" spans="1:26" x14ac:dyDescent="0.25">
      <c r="A53" s="56">
        <v>24</v>
      </c>
      <c r="B53" s="20">
        <v>48</v>
      </c>
      <c r="C53" s="20" t="s">
        <v>32</v>
      </c>
      <c r="D53" s="20">
        <v>1680</v>
      </c>
      <c r="E53" s="20">
        <v>0</v>
      </c>
      <c r="F53" s="20">
        <v>0</v>
      </c>
      <c r="G53" s="20">
        <v>0</v>
      </c>
      <c r="H53" s="21"/>
      <c r="I53" s="21"/>
      <c r="J53" s="21"/>
      <c r="K53" s="21"/>
      <c r="L53" s="21"/>
      <c r="M53" s="21">
        <v>0</v>
      </c>
      <c r="N53" s="21">
        <v>0</v>
      </c>
      <c r="O53" s="21">
        <v>0</v>
      </c>
      <c r="P53" s="76">
        <v>45796</v>
      </c>
      <c r="Q53" s="48">
        <f>P53+7</f>
        <v>45803</v>
      </c>
      <c r="R53" s="22"/>
      <c r="S53" s="22"/>
      <c r="T53" s="22"/>
      <c r="U53" s="22"/>
      <c r="V53" s="48">
        <f>Q53+21</f>
        <v>45824</v>
      </c>
      <c r="W53" s="22"/>
      <c r="X53" s="22"/>
      <c r="Y53" s="22" t="s">
        <v>28</v>
      </c>
      <c r="Z53" s="48">
        <f>V53+7</f>
        <v>45831</v>
      </c>
    </row>
    <row r="54" spans="1:26" s="129" customFormat="1" x14ac:dyDescent="0.25">
      <c r="A54" s="187">
        <v>25</v>
      </c>
      <c r="B54" s="126">
        <v>49</v>
      </c>
      <c r="C54" s="126" t="s">
        <v>32</v>
      </c>
      <c r="D54" s="126">
        <v>1680</v>
      </c>
      <c r="E54" s="126">
        <v>0</v>
      </c>
      <c r="F54" s="126">
        <v>0</v>
      </c>
      <c r="G54" s="126">
        <v>0</v>
      </c>
      <c r="H54" s="127"/>
      <c r="I54" s="127"/>
      <c r="J54" s="127"/>
      <c r="K54" s="127"/>
      <c r="L54" s="127"/>
      <c r="M54" s="127">
        <v>0</v>
      </c>
      <c r="N54" s="127">
        <v>0</v>
      </c>
      <c r="O54" s="127">
        <v>0</v>
      </c>
      <c r="P54" s="189">
        <v>45804</v>
      </c>
      <c r="Q54" s="188">
        <f>P54+7</f>
        <v>45811</v>
      </c>
      <c r="R54" s="128"/>
      <c r="S54" s="128"/>
      <c r="T54" s="128"/>
      <c r="U54" s="128"/>
      <c r="V54" s="188">
        <f>Q54+21</f>
        <v>45832</v>
      </c>
      <c r="W54" s="128"/>
      <c r="X54" s="128"/>
      <c r="Y54" s="128" t="s">
        <v>28</v>
      </c>
      <c r="Z54" s="188">
        <f>V54+7</f>
        <v>45839</v>
      </c>
    </row>
    <row r="55" spans="1:26" s="129" customFormat="1" x14ac:dyDescent="0.25">
      <c r="A55" s="187"/>
      <c r="B55" s="127">
        <v>50</v>
      </c>
      <c r="C55" s="126" t="s">
        <v>32</v>
      </c>
      <c r="D55" s="127">
        <v>1680</v>
      </c>
      <c r="E55" s="127">
        <v>0</v>
      </c>
      <c r="F55" s="127">
        <v>0</v>
      </c>
      <c r="G55" s="127">
        <v>0</v>
      </c>
      <c r="H55" s="127"/>
      <c r="I55" s="127"/>
      <c r="J55" s="127"/>
      <c r="K55" s="127"/>
      <c r="L55" s="127"/>
      <c r="M55" s="127">
        <v>0</v>
      </c>
      <c r="N55" s="127">
        <v>0</v>
      </c>
      <c r="O55" s="127">
        <v>0</v>
      </c>
      <c r="P55" s="189"/>
      <c r="Q55" s="188"/>
      <c r="R55" s="128"/>
      <c r="S55" s="128"/>
      <c r="T55" s="128"/>
      <c r="U55" s="128"/>
      <c r="V55" s="188"/>
      <c r="W55" s="128"/>
      <c r="X55" s="128"/>
      <c r="Y55" s="128" t="s">
        <v>28</v>
      </c>
      <c r="Z55" s="188"/>
    </row>
    <row r="56" spans="1:26" x14ac:dyDescent="0.25">
      <c r="A56" s="56">
        <v>26</v>
      </c>
      <c r="B56" s="20">
        <v>51</v>
      </c>
      <c r="C56" s="20" t="s">
        <v>32</v>
      </c>
      <c r="D56" s="20">
        <v>266</v>
      </c>
      <c r="E56" s="20">
        <v>700</v>
      </c>
      <c r="F56" s="21">
        <v>294</v>
      </c>
      <c r="G56" s="20">
        <v>0</v>
      </c>
      <c r="H56" s="21"/>
      <c r="I56" s="21">
        <v>20688</v>
      </c>
      <c r="J56" s="21"/>
      <c r="K56" s="21"/>
      <c r="L56" s="21"/>
      <c r="M56" s="21">
        <v>0</v>
      </c>
      <c r="N56" s="21">
        <v>0</v>
      </c>
      <c r="O56" s="21">
        <v>0</v>
      </c>
      <c r="P56" s="48">
        <v>45810</v>
      </c>
      <c r="Q56" s="48">
        <f>P56+7</f>
        <v>45817</v>
      </c>
      <c r="R56" s="22"/>
      <c r="S56" s="22"/>
      <c r="T56" s="22"/>
      <c r="U56" s="22"/>
      <c r="V56" s="48">
        <f>Q56+21</f>
        <v>45838</v>
      </c>
      <c r="W56" s="22"/>
      <c r="X56" s="22"/>
      <c r="Y56" s="22" t="s">
        <v>28</v>
      </c>
      <c r="Z56" s="48">
        <f>V56+7</f>
        <v>45845</v>
      </c>
    </row>
    <row r="57" spans="1:26" s="129" customFormat="1" ht="12.6" customHeight="1" x14ac:dyDescent="0.25">
      <c r="A57" s="187">
        <v>27</v>
      </c>
      <c r="B57" s="127">
        <v>52</v>
      </c>
      <c r="C57" s="126" t="s">
        <v>32</v>
      </c>
      <c r="D57" s="127"/>
      <c r="E57" s="127">
        <v>356</v>
      </c>
      <c r="F57" s="127">
        <v>0</v>
      </c>
      <c r="G57" s="127">
        <v>1324</v>
      </c>
      <c r="H57" s="127"/>
      <c r="I57" s="127"/>
      <c r="J57" s="127"/>
      <c r="K57" s="127"/>
      <c r="L57" s="127"/>
      <c r="M57" s="127">
        <v>0</v>
      </c>
      <c r="N57" s="127">
        <v>0</v>
      </c>
      <c r="O57" s="127">
        <v>0</v>
      </c>
      <c r="P57" s="189">
        <v>45820</v>
      </c>
      <c r="Q57" s="189">
        <f>P57+7</f>
        <v>45827</v>
      </c>
      <c r="R57" s="128"/>
      <c r="S57" s="128"/>
      <c r="T57" s="128"/>
      <c r="U57" s="128"/>
      <c r="V57" s="189">
        <f>Q57+21</f>
        <v>45848</v>
      </c>
      <c r="W57" s="128"/>
      <c r="X57" s="128"/>
      <c r="Y57" s="128" t="s">
        <v>28</v>
      </c>
      <c r="Z57" s="189">
        <f>V57+7</f>
        <v>45855</v>
      </c>
    </row>
    <row r="58" spans="1:26" s="129" customFormat="1" x14ac:dyDescent="0.25">
      <c r="A58" s="187"/>
      <c r="B58" s="127">
        <v>53</v>
      </c>
      <c r="C58" s="126" t="s">
        <v>32</v>
      </c>
      <c r="D58" s="127">
        <v>0</v>
      </c>
      <c r="E58" s="127"/>
      <c r="F58" s="127"/>
      <c r="G58" s="127">
        <v>660</v>
      </c>
      <c r="H58" s="127">
        <v>11680</v>
      </c>
      <c r="I58" s="127">
        <v>23360</v>
      </c>
      <c r="J58" s="127"/>
      <c r="K58" s="127">
        <v>11680</v>
      </c>
      <c r="L58" s="127">
        <v>5840</v>
      </c>
      <c r="M58" s="127">
        <v>0</v>
      </c>
      <c r="N58" s="127">
        <v>0</v>
      </c>
      <c r="O58" s="127">
        <v>0</v>
      </c>
      <c r="P58" s="189"/>
      <c r="Q58" s="189"/>
      <c r="R58" s="128"/>
      <c r="S58" s="128"/>
      <c r="T58" s="128"/>
      <c r="U58" s="128"/>
      <c r="V58" s="189"/>
      <c r="W58" s="128"/>
      <c r="X58" s="128"/>
      <c r="Y58" s="128" t="s">
        <v>28</v>
      </c>
      <c r="Z58" s="189"/>
    </row>
    <row r="59" spans="1:26" s="68" customFormat="1" x14ac:dyDescent="0.25">
      <c r="A59" s="190"/>
      <c r="B59" s="67">
        <v>54</v>
      </c>
      <c r="C59" s="88" t="s">
        <v>32</v>
      </c>
      <c r="D59" s="67">
        <v>0</v>
      </c>
      <c r="E59" s="67">
        <v>0</v>
      </c>
      <c r="F59" s="67">
        <v>0</v>
      </c>
      <c r="G59" s="67">
        <v>914</v>
      </c>
      <c r="H59" s="67"/>
      <c r="I59" s="67"/>
      <c r="J59" s="67"/>
      <c r="K59" s="67"/>
      <c r="L59" s="67"/>
      <c r="M59" s="67">
        <v>5840</v>
      </c>
      <c r="N59" s="67">
        <v>11680</v>
      </c>
      <c r="O59" s="67">
        <v>11680</v>
      </c>
      <c r="P59" s="191"/>
      <c r="Q59" s="191"/>
      <c r="R59" s="75"/>
      <c r="S59" s="75"/>
      <c r="T59" s="75"/>
      <c r="U59" s="75"/>
      <c r="V59" s="191"/>
      <c r="W59" s="75"/>
      <c r="X59" s="75"/>
      <c r="Y59" s="75" t="s">
        <v>36</v>
      </c>
      <c r="Z59" s="191"/>
    </row>
    <row r="60" spans="1:26" x14ac:dyDescent="0.25">
      <c r="A60" s="151">
        <v>28</v>
      </c>
      <c r="B60" s="21">
        <v>55</v>
      </c>
      <c r="C60" s="20" t="s">
        <v>32</v>
      </c>
      <c r="D60" s="21">
        <v>0</v>
      </c>
      <c r="E60" s="21">
        <v>0</v>
      </c>
      <c r="F60" s="21">
        <v>0</v>
      </c>
      <c r="G60" s="21">
        <v>1680</v>
      </c>
      <c r="H60" s="21"/>
      <c r="I60" s="21"/>
      <c r="J60" s="21"/>
      <c r="K60" s="21"/>
      <c r="L60" s="21"/>
      <c r="M60" s="21"/>
      <c r="N60" s="21"/>
      <c r="O60" s="21"/>
      <c r="P60" s="185">
        <v>45827</v>
      </c>
      <c r="Q60" s="159">
        <f>P60+7</f>
        <v>45834</v>
      </c>
      <c r="R60" s="22"/>
      <c r="S60" s="22"/>
      <c r="T60" s="22"/>
      <c r="U60" s="22"/>
      <c r="V60" s="159">
        <f>Q60+21</f>
        <v>45855</v>
      </c>
      <c r="W60" s="22"/>
      <c r="X60" s="22"/>
      <c r="Y60" s="22" t="s">
        <v>28</v>
      </c>
      <c r="Z60" s="159">
        <f>V60+7</f>
        <v>45862</v>
      </c>
    </row>
    <row r="61" spans="1:26" x14ac:dyDescent="0.25">
      <c r="A61" s="152"/>
      <c r="B61" s="21">
        <v>56</v>
      </c>
      <c r="C61" s="20" t="s">
        <v>32</v>
      </c>
      <c r="D61" s="21">
        <v>0</v>
      </c>
      <c r="E61" s="21">
        <v>0</v>
      </c>
      <c r="F61" s="21">
        <v>0</v>
      </c>
      <c r="G61" s="21">
        <v>1680</v>
      </c>
      <c r="H61" s="21"/>
      <c r="I61" s="21"/>
      <c r="J61" s="21"/>
      <c r="K61" s="21"/>
      <c r="L61" s="21"/>
      <c r="M61" s="21"/>
      <c r="N61" s="21"/>
      <c r="O61" s="21"/>
      <c r="P61" s="186"/>
      <c r="Q61" s="159"/>
      <c r="R61" s="22"/>
      <c r="S61" s="22"/>
      <c r="T61" s="22"/>
      <c r="U61" s="22"/>
      <c r="V61" s="159"/>
      <c r="W61" s="22"/>
      <c r="X61" s="22"/>
      <c r="Y61" s="22" t="s">
        <v>28</v>
      </c>
      <c r="Z61" s="159"/>
    </row>
    <row r="62" spans="1:26" x14ac:dyDescent="0.25">
      <c r="A62" s="24"/>
      <c r="B62" s="23"/>
      <c r="C62" s="20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x14ac:dyDescent="0.25">
      <c r="A63" s="147" t="s">
        <v>37</v>
      </c>
      <c r="B63" s="148"/>
      <c r="C63" s="25"/>
      <c r="D63" s="23">
        <v>62204</v>
      </c>
      <c r="E63" s="23">
        <v>1056</v>
      </c>
      <c r="F63" s="23">
        <v>294</v>
      </c>
      <c r="G63" s="23">
        <v>6258</v>
      </c>
      <c r="H63" s="23">
        <f>D65*2</f>
        <v>139624</v>
      </c>
      <c r="I63" s="23">
        <f>D65*4</f>
        <v>279248</v>
      </c>
      <c r="J63" s="23">
        <f>D65*2</f>
        <v>139624</v>
      </c>
      <c r="K63" s="23">
        <f>D65*2</f>
        <v>139624</v>
      </c>
      <c r="L63" s="23">
        <f>D65</f>
        <v>69812</v>
      </c>
      <c r="M63" s="23">
        <f>D65</f>
        <v>69812</v>
      </c>
      <c r="N63" s="23">
        <f>D65*2</f>
        <v>139624</v>
      </c>
      <c r="O63" s="23">
        <f>D65*2</f>
        <v>139624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3.8" thickBot="1" x14ac:dyDescent="0.3">
      <c r="A64" s="149" t="s">
        <v>38</v>
      </c>
      <c r="B64" s="150"/>
      <c r="C64" s="26"/>
      <c r="D64" s="27">
        <f t="shared" ref="D64:O64" si="3">SUM(D6:D62)</f>
        <v>62204</v>
      </c>
      <c r="E64" s="27">
        <f t="shared" si="3"/>
        <v>1056</v>
      </c>
      <c r="F64" s="27">
        <f t="shared" si="3"/>
        <v>294</v>
      </c>
      <c r="G64" s="27">
        <f t="shared" si="3"/>
        <v>6258</v>
      </c>
      <c r="H64" s="27">
        <f t="shared" si="3"/>
        <v>139624</v>
      </c>
      <c r="I64" s="27">
        <f t="shared" si="3"/>
        <v>279248</v>
      </c>
      <c r="J64" s="27">
        <f t="shared" si="3"/>
        <v>0</v>
      </c>
      <c r="K64" s="27">
        <f t="shared" si="3"/>
        <v>139624</v>
      </c>
      <c r="L64" s="27">
        <f t="shared" si="3"/>
        <v>69812</v>
      </c>
      <c r="M64" s="27">
        <f t="shared" si="3"/>
        <v>69812</v>
      </c>
      <c r="N64" s="27">
        <f t="shared" si="3"/>
        <v>139624</v>
      </c>
      <c r="O64" s="27">
        <f t="shared" si="3"/>
        <v>139624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4:16" ht="14.4" x14ac:dyDescent="0.25">
      <c r="D65" s="137">
        <f>SUM(D63:G63)</f>
        <v>69812</v>
      </c>
      <c r="E65" s="137"/>
      <c r="F65" s="137"/>
      <c r="G65" s="137"/>
      <c r="H65" s="138">
        <f t="shared" ref="H65:P65" si="4">+H64-H63</f>
        <v>0</v>
      </c>
      <c r="I65" s="138">
        <f t="shared" si="4"/>
        <v>0</v>
      </c>
      <c r="J65" s="138">
        <f t="shared" si="4"/>
        <v>-139624</v>
      </c>
      <c r="K65" s="138">
        <f t="shared" si="4"/>
        <v>0</v>
      </c>
      <c r="L65" s="138">
        <f t="shared" si="4"/>
        <v>0</v>
      </c>
      <c r="M65" s="138">
        <f t="shared" si="4"/>
        <v>0</v>
      </c>
      <c r="N65" s="138">
        <f t="shared" si="4"/>
        <v>0</v>
      </c>
      <c r="O65" s="138">
        <f t="shared" si="4"/>
        <v>0</v>
      </c>
      <c r="P65" s="138">
        <f t="shared" si="4"/>
        <v>0</v>
      </c>
    </row>
  </sheetData>
  <mergeCells count="130">
    <mergeCell ref="A57:A59"/>
    <mergeCell ref="P57:P59"/>
    <mergeCell ref="Q57:Q59"/>
    <mergeCell ref="V57:V59"/>
    <mergeCell ref="Z57:Z59"/>
    <mergeCell ref="A60:A61"/>
    <mergeCell ref="P60:P61"/>
    <mergeCell ref="Q60:Q61"/>
    <mergeCell ref="V60:V61"/>
    <mergeCell ref="Z60:Z61"/>
    <mergeCell ref="A51:A52"/>
    <mergeCell ref="P51:P52"/>
    <mergeCell ref="Q51:Q52"/>
    <mergeCell ref="V51:V52"/>
    <mergeCell ref="Z51:Z52"/>
    <mergeCell ref="A54:A55"/>
    <mergeCell ref="P54:P55"/>
    <mergeCell ref="Q54:Q55"/>
    <mergeCell ref="Z54:Z55"/>
    <mergeCell ref="V54:V55"/>
    <mergeCell ref="P45:P46"/>
    <mergeCell ref="Q45:Q46"/>
    <mergeCell ref="V45:V46"/>
    <mergeCell ref="Z45:Z46"/>
    <mergeCell ref="A48:A50"/>
    <mergeCell ref="P48:P50"/>
    <mergeCell ref="Q48:Q50"/>
    <mergeCell ref="V48:V50"/>
    <mergeCell ref="Z48:Z50"/>
    <mergeCell ref="Z10:Z11"/>
    <mergeCell ref="A12:A14"/>
    <mergeCell ref="P12:P14"/>
    <mergeCell ref="P8:P9"/>
    <mergeCell ref="Q8:Q9"/>
    <mergeCell ref="V8:V9"/>
    <mergeCell ref="Y8:Y9"/>
    <mergeCell ref="Z8:Z9"/>
    <mergeCell ref="U8:U9"/>
    <mergeCell ref="T8:T9"/>
    <mergeCell ref="R10:R11"/>
    <mergeCell ref="T10:T11"/>
    <mergeCell ref="U10:U11"/>
    <mergeCell ref="R12:R14"/>
    <mergeCell ref="T12:T14"/>
    <mergeCell ref="U12:U14"/>
    <mergeCell ref="Q12:Q14"/>
    <mergeCell ref="V12:V14"/>
    <mergeCell ref="Y12:Y14"/>
    <mergeCell ref="Z12:Z14"/>
    <mergeCell ref="A1:Z1"/>
    <mergeCell ref="A6:A7"/>
    <mergeCell ref="P6:P7"/>
    <mergeCell ref="Q6:Q7"/>
    <mergeCell ref="R6:R7"/>
    <mergeCell ref="T6:T7"/>
    <mergeCell ref="U6:U7"/>
    <mergeCell ref="V6:V7"/>
    <mergeCell ref="W6:W7"/>
    <mergeCell ref="Y6:Y7"/>
    <mergeCell ref="Z6:Z7"/>
    <mergeCell ref="Z22:Z23"/>
    <mergeCell ref="T25:T27"/>
    <mergeCell ref="A20:A21"/>
    <mergeCell ref="P20:P21"/>
    <mergeCell ref="Q20:Q21"/>
    <mergeCell ref="V20:V21"/>
    <mergeCell ref="Y20:Y21"/>
    <mergeCell ref="Z20:Z21"/>
    <mergeCell ref="A16:A19"/>
    <mergeCell ref="P16:P19"/>
    <mergeCell ref="Q16:Q19"/>
    <mergeCell ref="V16:V19"/>
    <mergeCell ref="Z16:Z19"/>
    <mergeCell ref="T16:T19"/>
    <mergeCell ref="U16:U19"/>
    <mergeCell ref="T20:T21"/>
    <mergeCell ref="U20:U21"/>
    <mergeCell ref="T22:T23"/>
    <mergeCell ref="U22:U23"/>
    <mergeCell ref="Y17:Y19"/>
    <mergeCell ref="Z28:Z29"/>
    <mergeCell ref="T28:T29"/>
    <mergeCell ref="T30:T31"/>
    <mergeCell ref="A25:A27"/>
    <mergeCell ref="P25:P27"/>
    <mergeCell ref="Q25:Q27"/>
    <mergeCell ref="V25:V27"/>
    <mergeCell ref="Y25:Y27"/>
    <mergeCell ref="Z25:Z27"/>
    <mergeCell ref="Z33:Z35"/>
    <mergeCell ref="A38:A40"/>
    <mergeCell ref="Z38:Z40"/>
    <mergeCell ref="A42:A43"/>
    <mergeCell ref="P42:P43"/>
    <mergeCell ref="Q42:Q43"/>
    <mergeCell ref="V42:V43"/>
    <mergeCell ref="Z42:Z43"/>
    <mergeCell ref="A30:A31"/>
    <mergeCell ref="P30:P31"/>
    <mergeCell ref="Q30:Q31"/>
    <mergeCell ref="V30:V31"/>
    <mergeCell ref="Y30:Y31"/>
    <mergeCell ref="Z30:Z31"/>
    <mergeCell ref="P38:P40"/>
    <mergeCell ref="Q38:Q40"/>
    <mergeCell ref="V38:V40"/>
    <mergeCell ref="A8:A9"/>
    <mergeCell ref="A63:B63"/>
    <mergeCell ref="A64:B64"/>
    <mergeCell ref="A45:A46"/>
    <mergeCell ref="A33:A35"/>
    <mergeCell ref="P33:P35"/>
    <mergeCell ref="Q33:Q35"/>
    <mergeCell ref="V33:V35"/>
    <mergeCell ref="Y33:Y35"/>
    <mergeCell ref="A28:A29"/>
    <mergeCell ref="P28:P29"/>
    <mergeCell ref="Q28:Q29"/>
    <mergeCell ref="V28:V29"/>
    <mergeCell ref="Y28:Y29"/>
    <mergeCell ref="A22:A23"/>
    <mergeCell ref="P22:P23"/>
    <mergeCell ref="Q22:Q23"/>
    <mergeCell ref="V22:V23"/>
    <mergeCell ref="Y22:Y23"/>
    <mergeCell ref="A10:A11"/>
    <mergeCell ref="P10:P11"/>
    <mergeCell ref="Q10:Q11"/>
    <mergeCell ref="V10:V11"/>
    <mergeCell ref="Y10:Y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D59F-513C-4F46-93F8-51121921ADA8}">
  <dimension ref="A1:AK151"/>
  <sheetViews>
    <sheetView topLeftCell="A82" workbookViewId="0">
      <selection activeCell="E115" sqref="E115"/>
    </sheetView>
  </sheetViews>
  <sheetFormatPr defaultColWidth="8.77734375" defaultRowHeight="13.2" x14ac:dyDescent="0.25"/>
  <cols>
    <col min="1" max="1" width="10.5546875" style="77" bestFit="1" customWidth="1"/>
    <col min="2" max="6" width="8.77734375" style="77"/>
    <col min="7" max="7" width="10.109375" style="77" bestFit="1" customWidth="1"/>
    <col min="8" max="8" width="20.109375" style="77" bestFit="1" customWidth="1"/>
    <col min="9" max="9" width="8.77734375" style="77"/>
    <col min="10" max="10" width="13.44140625" style="77" customWidth="1"/>
    <col min="11" max="11" width="12.33203125" style="97" customWidth="1"/>
    <col min="12" max="12" width="12.21875" style="97" customWidth="1"/>
    <col min="13" max="13" width="9.6640625" style="97" customWidth="1"/>
    <col min="14" max="14" width="14.88671875" style="97" customWidth="1"/>
    <col min="15" max="15" width="16.88671875" style="97" customWidth="1"/>
    <col min="16" max="16" width="11.88671875" style="97" customWidth="1"/>
    <col min="17" max="18" width="8.77734375" style="97"/>
    <col min="19" max="19" width="22.109375" style="77" bestFit="1" customWidth="1"/>
    <col min="20" max="20" width="13.44140625" style="77" customWidth="1"/>
    <col min="21" max="21" width="12.33203125" style="93" customWidth="1"/>
    <col min="22" max="22" width="12.21875" style="93" customWidth="1"/>
    <col min="23" max="23" width="9.6640625" style="93" customWidth="1"/>
    <col min="24" max="24" width="14.88671875" style="93" customWidth="1"/>
    <col min="25" max="25" width="16.88671875" style="93" customWidth="1"/>
    <col min="26" max="26" width="11.88671875" style="93" customWidth="1"/>
    <col min="27" max="28" width="8.77734375" style="93"/>
    <col min="29" max="29" width="8.77734375" style="77"/>
    <col min="30" max="37" width="8.77734375" style="95"/>
    <col min="38" max="16384" width="8.77734375" style="77"/>
  </cols>
  <sheetData>
    <row r="1" spans="1:37" ht="79.2" x14ac:dyDescent="0.25">
      <c r="A1" s="32"/>
      <c r="B1" s="32" t="s">
        <v>119</v>
      </c>
      <c r="C1" s="32" t="s">
        <v>120</v>
      </c>
      <c r="D1" s="77" t="s">
        <v>121</v>
      </c>
      <c r="F1" s="77" t="s">
        <v>83</v>
      </c>
      <c r="G1" s="77" t="s">
        <v>126</v>
      </c>
      <c r="H1" s="77" t="s">
        <v>125</v>
      </c>
      <c r="I1" s="77" t="s">
        <v>83</v>
      </c>
      <c r="J1" s="91" t="s">
        <v>5</v>
      </c>
      <c r="K1" s="96" t="s">
        <v>6</v>
      </c>
      <c r="L1" s="96" t="s">
        <v>7</v>
      </c>
      <c r="M1" s="96" t="s">
        <v>8</v>
      </c>
      <c r="N1" s="96" t="s">
        <v>9</v>
      </c>
      <c r="O1" s="96" t="s">
        <v>10</v>
      </c>
      <c r="P1" s="96" t="s">
        <v>11</v>
      </c>
      <c r="Q1" s="96" t="s">
        <v>12</v>
      </c>
      <c r="R1" s="96" t="s">
        <v>13</v>
      </c>
      <c r="T1" s="91" t="s">
        <v>5</v>
      </c>
      <c r="U1" s="92" t="s">
        <v>6</v>
      </c>
      <c r="V1" s="92" t="s">
        <v>7</v>
      </c>
      <c r="W1" s="92" t="s">
        <v>8</v>
      </c>
      <c r="X1" s="92" t="s">
        <v>9</v>
      </c>
      <c r="Y1" s="92" t="s">
        <v>10</v>
      </c>
      <c r="Z1" s="92" t="s">
        <v>11</v>
      </c>
      <c r="AA1" s="92" t="s">
        <v>12</v>
      </c>
      <c r="AB1" s="92" t="s">
        <v>13</v>
      </c>
      <c r="AC1" s="91" t="s">
        <v>83</v>
      </c>
      <c r="AD1" s="94" t="s">
        <v>6</v>
      </c>
      <c r="AE1" s="94" t="s">
        <v>7</v>
      </c>
      <c r="AF1" s="94" t="s">
        <v>8</v>
      </c>
      <c r="AG1" s="94" t="s">
        <v>9</v>
      </c>
      <c r="AH1" s="94" t="s">
        <v>10</v>
      </c>
      <c r="AI1" s="94" t="s">
        <v>11</v>
      </c>
      <c r="AJ1" s="94" t="s">
        <v>12</v>
      </c>
      <c r="AK1" s="94" t="s">
        <v>13</v>
      </c>
    </row>
    <row r="2" spans="1:37" x14ac:dyDescent="0.25">
      <c r="A2" s="78">
        <v>45717</v>
      </c>
      <c r="B2" s="32">
        <v>140</v>
      </c>
      <c r="C2" s="32">
        <f>140</f>
        <v>140</v>
      </c>
      <c r="S2" s="77" t="s">
        <v>132</v>
      </c>
      <c r="T2" s="77">
        <v>34452</v>
      </c>
      <c r="U2" s="93">
        <f>$T$2*2</f>
        <v>68904</v>
      </c>
      <c r="V2" s="93">
        <f>$T$2*4</f>
        <v>137808</v>
      </c>
      <c r="X2" s="93">
        <f>$T$2*2</f>
        <v>68904</v>
      </c>
      <c r="Y2" s="93">
        <f>$T$2*1</f>
        <v>34452</v>
      </c>
      <c r="Z2" s="93">
        <f>$T$2*1</f>
        <v>34452</v>
      </c>
      <c r="AA2" s="93">
        <f>$T$2*2</f>
        <v>68904</v>
      </c>
      <c r="AB2" s="93">
        <f>$T$2*2</f>
        <v>68904</v>
      </c>
    </row>
    <row r="3" spans="1:37" x14ac:dyDescent="0.25">
      <c r="A3" s="78">
        <v>45718</v>
      </c>
      <c r="B3" s="32">
        <v>140</v>
      </c>
      <c r="C3" s="32">
        <f t="shared" ref="C3:C66" si="0">C2+B3</f>
        <v>280</v>
      </c>
      <c r="S3" s="77" t="s">
        <v>133</v>
      </c>
      <c r="T3" s="77">
        <v>546</v>
      </c>
      <c r="U3" s="93">
        <f>$T$3*2</f>
        <v>1092</v>
      </c>
      <c r="V3" s="93">
        <f>$T$3*4</f>
        <v>2184</v>
      </c>
      <c r="X3" s="93">
        <f>$T$3*2</f>
        <v>1092</v>
      </c>
      <c r="Y3" s="93">
        <f>$T$3*1</f>
        <v>546</v>
      </c>
      <c r="Z3" s="93">
        <f>$T$3*1</f>
        <v>546</v>
      </c>
      <c r="AA3" s="93">
        <f>$T$3*2</f>
        <v>1092</v>
      </c>
      <c r="AB3" s="93">
        <f>$T$3*2</f>
        <v>1092</v>
      </c>
    </row>
    <row r="4" spans="1:37" x14ac:dyDescent="0.25">
      <c r="A4" s="78">
        <v>45719</v>
      </c>
      <c r="B4" s="32">
        <v>140</v>
      </c>
      <c r="C4" s="32">
        <f t="shared" si="0"/>
        <v>420</v>
      </c>
      <c r="S4" s="77" t="s">
        <v>134</v>
      </c>
      <c r="U4" s="93">
        <v>96000</v>
      </c>
      <c r="V4" s="93">
        <v>158400</v>
      </c>
      <c r="X4" s="93">
        <v>127944</v>
      </c>
      <c r="Y4" s="93">
        <v>36000</v>
      </c>
    </row>
    <row r="5" spans="1:37" x14ac:dyDescent="0.25">
      <c r="A5" s="78">
        <v>45720</v>
      </c>
      <c r="B5" s="32">
        <v>140</v>
      </c>
      <c r="C5" s="32">
        <f t="shared" si="0"/>
        <v>560</v>
      </c>
      <c r="S5" s="77" t="s">
        <v>135</v>
      </c>
      <c r="U5" s="93">
        <v>16000</v>
      </c>
      <c r="V5" s="93">
        <v>38400</v>
      </c>
      <c r="Z5" s="93">
        <v>26000</v>
      </c>
      <c r="AA5" s="93">
        <v>52000</v>
      </c>
      <c r="AB5" s="93">
        <v>55944</v>
      </c>
    </row>
    <row r="6" spans="1:37" x14ac:dyDescent="0.25">
      <c r="A6" s="78">
        <v>45721</v>
      </c>
      <c r="B6" s="32">
        <v>140</v>
      </c>
      <c r="C6" s="32">
        <f t="shared" si="0"/>
        <v>700</v>
      </c>
      <c r="S6" s="77" t="s">
        <v>131</v>
      </c>
      <c r="Z6" s="93">
        <v>14000</v>
      </c>
      <c r="AA6" s="93">
        <v>26000</v>
      </c>
      <c r="AB6" s="93">
        <v>24000</v>
      </c>
    </row>
    <row r="7" spans="1:37" x14ac:dyDescent="0.25">
      <c r="A7" s="78">
        <v>45722</v>
      </c>
      <c r="B7" s="32">
        <v>140</v>
      </c>
      <c r="C7" s="32">
        <f t="shared" si="0"/>
        <v>840</v>
      </c>
      <c r="S7" s="77" t="s">
        <v>83</v>
      </c>
      <c r="U7" s="93">
        <f>U4+U5+U6-U2-U3</f>
        <v>42004</v>
      </c>
      <c r="V7" s="93">
        <f>V4+V5+V6-V2-V3</f>
        <v>56808</v>
      </c>
      <c r="X7" s="93">
        <f>X4+X5+X6-X2-X3</f>
        <v>57948</v>
      </c>
      <c r="Y7" s="93">
        <f>Y4+Y5+Y6-Y2-Y3</f>
        <v>1002</v>
      </c>
      <c r="Z7" s="93">
        <f>Z4+Z5+Z6-Z2-Z3</f>
        <v>5002</v>
      </c>
      <c r="AA7" s="93">
        <f>AA4+AA5+AA6-AA2-AA3</f>
        <v>8004</v>
      </c>
      <c r="AB7" s="93">
        <f>AB4+AB5+AB6-AB2-AB3</f>
        <v>9948</v>
      </c>
    </row>
    <row r="8" spans="1:37" x14ac:dyDescent="0.25">
      <c r="A8" s="78">
        <v>45723</v>
      </c>
      <c r="B8" s="32">
        <v>140</v>
      </c>
      <c r="C8" s="32">
        <f t="shared" si="0"/>
        <v>980</v>
      </c>
    </row>
    <row r="9" spans="1:37" x14ac:dyDescent="0.25">
      <c r="A9" s="78">
        <v>45724</v>
      </c>
      <c r="B9" s="32">
        <v>140</v>
      </c>
      <c r="C9" s="32">
        <f t="shared" si="0"/>
        <v>1120</v>
      </c>
    </row>
    <row r="10" spans="1:37" x14ac:dyDescent="0.25">
      <c r="A10" s="78">
        <v>45725</v>
      </c>
      <c r="B10" s="32">
        <v>0</v>
      </c>
      <c r="C10" s="32">
        <f t="shared" si="0"/>
        <v>1120</v>
      </c>
    </row>
    <row r="11" spans="1:37" ht="13.8" thickBot="1" x14ac:dyDescent="0.3">
      <c r="A11" s="98">
        <v>45726</v>
      </c>
      <c r="B11" s="99">
        <v>280</v>
      </c>
      <c r="C11" s="99">
        <f t="shared" si="0"/>
        <v>1400</v>
      </c>
    </row>
    <row r="12" spans="1:37" s="104" customFormat="1" ht="13.8" thickBot="1" x14ac:dyDescent="0.3">
      <c r="A12" s="102">
        <v>45727</v>
      </c>
      <c r="B12" s="103">
        <v>280</v>
      </c>
      <c r="C12" s="110">
        <f t="shared" si="0"/>
        <v>1680</v>
      </c>
      <c r="D12" s="104">
        <v>1260</v>
      </c>
      <c r="E12" s="104">
        <v>15</v>
      </c>
      <c r="F12" s="104">
        <f>C12-D12</f>
        <v>420</v>
      </c>
      <c r="G12" s="105">
        <f>A12+35</f>
        <v>45762</v>
      </c>
      <c r="H12" s="104">
        <v>1920</v>
      </c>
      <c r="I12" s="104">
        <f>D12-H12</f>
        <v>-660</v>
      </c>
      <c r="K12" s="106">
        <f>H12*2</f>
        <v>3840</v>
      </c>
      <c r="L12" s="106">
        <f>H12*4</f>
        <v>7680</v>
      </c>
      <c r="M12" s="106"/>
      <c r="N12" s="106">
        <f>H12*2</f>
        <v>3840</v>
      </c>
      <c r="O12" s="106">
        <f>H12</f>
        <v>1920</v>
      </c>
      <c r="P12" s="106">
        <f>H12</f>
        <v>1920</v>
      </c>
      <c r="Q12" s="106">
        <f>H12*2</f>
        <v>3840</v>
      </c>
      <c r="R12" s="106">
        <f>H12*2</f>
        <v>3840</v>
      </c>
      <c r="U12" s="107"/>
      <c r="V12" s="107"/>
      <c r="W12" s="107"/>
      <c r="X12" s="107"/>
      <c r="Y12" s="107">
        <v>18000</v>
      </c>
      <c r="Z12" s="107"/>
      <c r="AA12" s="107"/>
      <c r="AB12" s="107"/>
      <c r="AD12" s="108">
        <f t="shared" ref="AD12:AK12" si="1">U7+U12-K12</f>
        <v>38164</v>
      </c>
      <c r="AE12" s="108">
        <f t="shared" si="1"/>
        <v>49128</v>
      </c>
      <c r="AF12" s="108">
        <f t="shared" si="1"/>
        <v>0</v>
      </c>
      <c r="AG12" s="108">
        <f t="shared" si="1"/>
        <v>54108</v>
      </c>
      <c r="AH12" s="108">
        <f t="shared" si="1"/>
        <v>17082</v>
      </c>
      <c r="AI12" s="108">
        <f t="shared" si="1"/>
        <v>3082</v>
      </c>
      <c r="AJ12" s="108">
        <f t="shared" si="1"/>
        <v>4164</v>
      </c>
      <c r="AK12" s="108">
        <f t="shared" si="1"/>
        <v>6108</v>
      </c>
    </row>
    <row r="13" spans="1:37" x14ac:dyDescent="0.25">
      <c r="A13" s="100">
        <v>45728</v>
      </c>
      <c r="B13" s="101">
        <v>280</v>
      </c>
      <c r="C13" s="101">
        <f t="shared" si="0"/>
        <v>1960</v>
      </c>
      <c r="F13" s="77">
        <f t="shared" ref="F13:F44" si="2">F12+B13-D13</f>
        <v>700</v>
      </c>
      <c r="G13" s="89">
        <f t="shared" ref="G13:G76" si="3">A13+35</f>
        <v>45763</v>
      </c>
    </row>
    <row r="14" spans="1:37" x14ac:dyDescent="0.25">
      <c r="A14" s="78">
        <v>45729</v>
      </c>
      <c r="B14" s="32">
        <v>280</v>
      </c>
      <c r="C14" s="32">
        <f t="shared" si="0"/>
        <v>2240</v>
      </c>
      <c r="F14" s="77">
        <f t="shared" si="2"/>
        <v>980</v>
      </c>
      <c r="G14" s="89">
        <f t="shared" si="3"/>
        <v>45764</v>
      </c>
    </row>
    <row r="15" spans="1:37" x14ac:dyDescent="0.25">
      <c r="A15" s="78">
        <v>45730</v>
      </c>
      <c r="B15" s="32">
        <v>280</v>
      </c>
      <c r="C15" s="32">
        <f t="shared" si="0"/>
        <v>2520</v>
      </c>
      <c r="F15" s="77">
        <f t="shared" si="2"/>
        <v>1260</v>
      </c>
      <c r="G15" s="89">
        <f t="shared" si="3"/>
        <v>45765</v>
      </c>
    </row>
    <row r="16" spans="1:37" x14ac:dyDescent="0.25">
      <c r="A16" s="78">
        <v>45731</v>
      </c>
      <c r="B16" s="32">
        <v>280</v>
      </c>
      <c r="C16" s="32">
        <f t="shared" si="0"/>
        <v>2800</v>
      </c>
      <c r="F16" s="77">
        <f t="shared" si="2"/>
        <v>1540</v>
      </c>
      <c r="G16" s="89">
        <f t="shared" si="3"/>
        <v>45766</v>
      </c>
    </row>
    <row r="17" spans="1:37" x14ac:dyDescent="0.25">
      <c r="A17" s="78">
        <v>45732</v>
      </c>
      <c r="B17" s="32">
        <v>0</v>
      </c>
      <c r="C17" s="32">
        <f t="shared" si="0"/>
        <v>2800</v>
      </c>
      <c r="F17" s="77">
        <f t="shared" si="2"/>
        <v>1540</v>
      </c>
      <c r="G17" s="89">
        <f t="shared" si="3"/>
        <v>45767</v>
      </c>
    </row>
    <row r="18" spans="1:37" ht="13.8" thickBot="1" x14ac:dyDescent="0.3">
      <c r="A18" s="98">
        <v>45733</v>
      </c>
      <c r="B18" s="99">
        <v>420</v>
      </c>
      <c r="C18" s="99">
        <f t="shared" si="0"/>
        <v>3220</v>
      </c>
      <c r="F18" s="77">
        <f t="shared" si="2"/>
        <v>1960</v>
      </c>
      <c r="G18" s="89">
        <f t="shared" si="3"/>
        <v>45768</v>
      </c>
    </row>
    <row r="19" spans="1:37" s="104" customFormat="1" ht="13.8" thickBot="1" x14ac:dyDescent="0.3">
      <c r="A19" s="102">
        <v>45734</v>
      </c>
      <c r="B19" s="103">
        <v>420</v>
      </c>
      <c r="C19" s="103">
        <f t="shared" si="0"/>
        <v>3640</v>
      </c>
      <c r="D19" s="104">
        <v>2400</v>
      </c>
      <c r="E19" s="104">
        <v>16</v>
      </c>
      <c r="F19" s="104">
        <f t="shared" si="2"/>
        <v>-20</v>
      </c>
      <c r="G19" s="105">
        <f t="shared" si="3"/>
        <v>45769</v>
      </c>
      <c r="H19" s="104">
        <v>1920</v>
      </c>
      <c r="I19" s="104">
        <f>I12+D19-H19</f>
        <v>-180</v>
      </c>
      <c r="K19" s="106">
        <f>H19*2</f>
        <v>3840</v>
      </c>
      <c r="L19" s="106">
        <f>H19*4</f>
        <v>7680</v>
      </c>
      <c r="M19" s="106"/>
      <c r="N19" s="106">
        <f>H19*2</f>
        <v>3840</v>
      </c>
      <c r="O19" s="106">
        <f>H19</f>
        <v>1920</v>
      </c>
      <c r="P19" s="106">
        <f>H19</f>
        <v>1920</v>
      </c>
      <c r="Q19" s="106">
        <f>H19*2</f>
        <v>3840</v>
      </c>
      <c r="R19" s="106">
        <f>H19*2</f>
        <v>3840</v>
      </c>
      <c r="U19" s="107">
        <v>15944</v>
      </c>
      <c r="V19" s="107">
        <v>38400</v>
      </c>
      <c r="W19" s="107"/>
      <c r="X19" s="107"/>
      <c r="Y19" s="107"/>
      <c r="Z19" s="107">
        <v>14000</v>
      </c>
      <c r="AA19" s="107">
        <v>26000</v>
      </c>
      <c r="AB19" s="107">
        <v>28000</v>
      </c>
      <c r="AD19" s="108">
        <f t="shared" ref="AD19:AK19" si="4">AD12+U19-K19</f>
        <v>50268</v>
      </c>
      <c r="AE19" s="108">
        <f t="shared" si="4"/>
        <v>79848</v>
      </c>
      <c r="AF19" s="108">
        <f t="shared" si="4"/>
        <v>0</v>
      </c>
      <c r="AG19" s="108">
        <f t="shared" si="4"/>
        <v>50268</v>
      </c>
      <c r="AH19" s="108">
        <f t="shared" si="4"/>
        <v>15162</v>
      </c>
      <c r="AI19" s="108">
        <f t="shared" si="4"/>
        <v>15162</v>
      </c>
      <c r="AJ19" s="108">
        <f t="shared" si="4"/>
        <v>26324</v>
      </c>
      <c r="AK19" s="108">
        <f t="shared" si="4"/>
        <v>30268</v>
      </c>
    </row>
    <row r="20" spans="1:37" x14ac:dyDescent="0.25">
      <c r="A20" s="100">
        <v>45735</v>
      </c>
      <c r="B20" s="101">
        <v>420</v>
      </c>
      <c r="C20" s="101">
        <f t="shared" si="0"/>
        <v>4060</v>
      </c>
      <c r="F20" s="77">
        <f t="shared" si="2"/>
        <v>400</v>
      </c>
      <c r="G20" s="89">
        <f t="shared" si="3"/>
        <v>45770</v>
      </c>
    </row>
    <row r="21" spans="1:37" x14ac:dyDescent="0.25">
      <c r="A21" s="78">
        <v>45736</v>
      </c>
      <c r="B21" s="32">
        <v>420</v>
      </c>
      <c r="C21" s="32">
        <f t="shared" si="0"/>
        <v>4480</v>
      </c>
      <c r="F21" s="77">
        <f t="shared" si="2"/>
        <v>820</v>
      </c>
      <c r="G21" s="89">
        <f t="shared" si="3"/>
        <v>45771</v>
      </c>
    </row>
    <row r="22" spans="1:37" x14ac:dyDescent="0.25">
      <c r="A22" s="78">
        <v>45737</v>
      </c>
      <c r="B22" s="32">
        <v>420</v>
      </c>
      <c r="C22" s="32">
        <f t="shared" si="0"/>
        <v>4900</v>
      </c>
      <c r="F22" s="77">
        <f t="shared" si="2"/>
        <v>1240</v>
      </c>
      <c r="G22" s="89">
        <f t="shared" si="3"/>
        <v>45772</v>
      </c>
    </row>
    <row r="23" spans="1:37" x14ac:dyDescent="0.25">
      <c r="A23" s="78">
        <v>45738</v>
      </c>
      <c r="B23" s="32">
        <v>420</v>
      </c>
      <c r="C23" s="32">
        <f t="shared" si="0"/>
        <v>5320</v>
      </c>
      <c r="F23" s="77">
        <f t="shared" si="2"/>
        <v>1660</v>
      </c>
      <c r="G23" s="89">
        <f t="shared" si="3"/>
        <v>45773</v>
      </c>
    </row>
    <row r="24" spans="1:37" x14ac:dyDescent="0.25">
      <c r="A24" s="78">
        <v>45739</v>
      </c>
      <c r="B24" s="32">
        <v>0</v>
      </c>
      <c r="C24" s="32">
        <f t="shared" si="0"/>
        <v>5320</v>
      </c>
      <c r="F24" s="77">
        <f t="shared" si="2"/>
        <v>1660</v>
      </c>
      <c r="G24" s="89">
        <f t="shared" si="3"/>
        <v>45774</v>
      </c>
    </row>
    <row r="25" spans="1:37" x14ac:dyDescent="0.25">
      <c r="A25" s="78">
        <v>45740</v>
      </c>
      <c r="B25" s="32">
        <v>420</v>
      </c>
      <c r="C25" s="32">
        <f t="shared" si="0"/>
        <v>5740</v>
      </c>
      <c r="D25" s="77">
        <v>1680</v>
      </c>
      <c r="E25" s="77">
        <v>17</v>
      </c>
      <c r="F25" s="77">
        <f t="shared" si="2"/>
        <v>400</v>
      </c>
      <c r="G25" s="89">
        <f t="shared" si="3"/>
        <v>45775</v>
      </c>
    </row>
    <row r="26" spans="1:37" x14ac:dyDescent="0.25">
      <c r="A26" s="78">
        <v>45741</v>
      </c>
      <c r="B26" s="32">
        <v>420</v>
      </c>
      <c r="C26" s="32">
        <f t="shared" si="0"/>
        <v>6160</v>
      </c>
      <c r="F26" s="77">
        <f t="shared" si="2"/>
        <v>820</v>
      </c>
      <c r="G26" s="89">
        <f t="shared" si="3"/>
        <v>45776</v>
      </c>
      <c r="H26" s="77">
        <v>1920</v>
      </c>
      <c r="I26" s="77">
        <f>I19-H26+D25</f>
        <v>-420</v>
      </c>
      <c r="K26" s="97">
        <f>H26*2</f>
        <v>3840</v>
      </c>
      <c r="L26" s="97">
        <f>H26*4</f>
        <v>7680</v>
      </c>
      <c r="N26" s="97">
        <f>H26*2</f>
        <v>3840</v>
      </c>
      <c r="O26" s="97">
        <f>H26</f>
        <v>1920</v>
      </c>
      <c r="P26" s="97">
        <f>H26</f>
        <v>1920</v>
      </c>
      <c r="Q26" s="97">
        <f>H26*2</f>
        <v>3840</v>
      </c>
      <c r="R26" s="97">
        <f>H26*2</f>
        <v>3840</v>
      </c>
    </row>
    <row r="27" spans="1:37" x14ac:dyDescent="0.25">
      <c r="A27" s="78">
        <v>45742</v>
      </c>
      <c r="B27" s="32">
        <v>420</v>
      </c>
      <c r="C27" s="32">
        <f t="shared" si="0"/>
        <v>6580</v>
      </c>
      <c r="F27" s="77">
        <f t="shared" si="2"/>
        <v>1240</v>
      </c>
      <c r="G27" s="89">
        <f t="shared" si="3"/>
        <v>45777</v>
      </c>
    </row>
    <row r="28" spans="1:37" x14ac:dyDescent="0.25">
      <c r="A28" s="78">
        <v>45743</v>
      </c>
      <c r="B28" s="32">
        <v>420</v>
      </c>
      <c r="C28" s="32">
        <f t="shared" si="0"/>
        <v>7000</v>
      </c>
      <c r="F28" s="77">
        <f t="shared" si="2"/>
        <v>1660</v>
      </c>
      <c r="G28" s="89">
        <f t="shared" si="3"/>
        <v>45778</v>
      </c>
    </row>
    <row r="29" spans="1:37" x14ac:dyDescent="0.25">
      <c r="A29" s="78">
        <v>45744</v>
      </c>
      <c r="B29" s="32">
        <v>420</v>
      </c>
      <c r="C29" s="32">
        <f t="shared" si="0"/>
        <v>7420</v>
      </c>
      <c r="F29" s="77">
        <f t="shared" si="2"/>
        <v>2080</v>
      </c>
      <c r="G29" s="89">
        <f t="shared" si="3"/>
        <v>45779</v>
      </c>
    </row>
    <row r="30" spans="1:37" x14ac:dyDescent="0.25">
      <c r="A30" s="78">
        <v>45745</v>
      </c>
      <c r="B30" s="32">
        <v>420</v>
      </c>
      <c r="C30" s="32">
        <f t="shared" si="0"/>
        <v>7840</v>
      </c>
      <c r="F30" s="77">
        <f t="shared" si="2"/>
        <v>2500</v>
      </c>
      <c r="G30" s="89">
        <f t="shared" si="3"/>
        <v>45780</v>
      </c>
    </row>
    <row r="31" spans="1:37" x14ac:dyDescent="0.25">
      <c r="A31" s="78">
        <v>45746</v>
      </c>
      <c r="B31" s="32">
        <v>0</v>
      </c>
      <c r="C31" s="32">
        <f t="shared" si="0"/>
        <v>7840</v>
      </c>
      <c r="F31" s="77">
        <f t="shared" si="2"/>
        <v>2500</v>
      </c>
      <c r="G31" s="89">
        <f t="shared" si="3"/>
        <v>45781</v>
      </c>
    </row>
    <row r="32" spans="1:37" x14ac:dyDescent="0.25">
      <c r="A32" s="78">
        <v>45747</v>
      </c>
      <c r="B32" s="32">
        <v>420</v>
      </c>
      <c r="C32" s="32">
        <f t="shared" si="0"/>
        <v>8260</v>
      </c>
      <c r="F32" s="77">
        <f t="shared" si="2"/>
        <v>2920</v>
      </c>
      <c r="G32" s="89">
        <f t="shared" si="3"/>
        <v>45782</v>
      </c>
    </row>
    <row r="33" spans="1:18" x14ac:dyDescent="0.25">
      <c r="A33" s="78">
        <v>45748</v>
      </c>
      <c r="B33" s="32">
        <v>420</v>
      </c>
      <c r="C33" s="32">
        <f t="shared" si="0"/>
        <v>8680</v>
      </c>
      <c r="D33" s="77">
        <v>3360</v>
      </c>
      <c r="E33" s="77">
        <v>18</v>
      </c>
      <c r="F33" s="77">
        <f t="shared" si="2"/>
        <v>-20</v>
      </c>
      <c r="G33" s="89">
        <f t="shared" si="3"/>
        <v>45783</v>
      </c>
      <c r="H33" s="77">
        <v>1920</v>
      </c>
      <c r="I33" s="77">
        <f>I26+D33-H33</f>
        <v>1020</v>
      </c>
      <c r="K33" s="97">
        <f>H33*2</f>
        <v>3840</v>
      </c>
      <c r="L33" s="97">
        <f>H33*4</f>
        <v>7680</v>
      </c>
      <c r="N33" s="97">
        <f>H33*2</f>
        <v>3840</v>
      </c>
      <c r="O33" s="97">
        <f>H33</f>
        <v>1920</v>
      </c>
      <c r="P33" s="97">
        <f>H33</f>
        <v>1920</v>
      </c>
      <c r="Q33" s="97">
        <f>H33*2</f>
        <v>3840</v>
      </c>
      <c r="R33" s="97">
        <f>H33*2</f>
        <v>3840</v>
      </c>
    </row>
    <row r="34" spans="1:18" x14ac:dyDescent="0.25">
      <c r="A34" s="78">
        <v>45749</v>
      </c>
      <c r="B34" s="32">
        <v>420</v>
      </c>
      <c r="C34" s="32">
        <f t="shared" si="0"/>
        <v>9100</v>
      </c>
      <c r="F34" s="77">
        <f t="shared" si="2"/>
        <v>400</v>
      </c>
      <c r="G34" s="89">
        <f t="shared" si="3"/>
        <v>45784</v>
      </c>
    </row>
    <row r="35" spans="1:18" x14ac:dyDescent="0.25">
      <c r="A35" s="78">
        <v>45750</v>
      </c>
      <c r="B35" s="32">
        <v>420</v>
      </c>
      <c r="C35" s="32">
        <f t="shared" si="0"/>
        <v>9520</v>
      </c>
      <c r="F35" s="77">
        <f t="shared" si="2"/>
        <v>820</v>
      </c>
      <c r="G35" s="89">
        <f t="shared" si="3"/>
        <v>45785</v>
      </c>
    </row>
    <row r="36" spans="1:18" x14ac:dyDescent="0.25">
      <c r="A36" s="78">
        <v>45751</v>
      </c>
      <c r="B36" s="32">
        <v>420</v>
      </c>
      <c r="C36" s="32">
        <f t="shared" si="0"/>
        <v>9940</v>
      </c>
      <c r="F36" s="77">
        <f t="shared" si="2"/>
        <v>1240</v>
      </c>
      <c r="G36" s="89">
        <f t="shared" si="3"/>
        <v>45786</v>
      </c>
    </row>
    <row r="37" spans="1:18" x14ac:dyDescent="0.25">
      <c r="A37" s="78">
        <v>45752</v>
      </c>
      <c r="B37" s="32">
        <v>420</v>
      </c>
      <c r="C37" s="32">
        <f t="shared" si="0"/>
        <v>10360</v>
      </c>
      <c r="F37" s="77">
        <f t="shared" si="2"/>
        <v>1660</v>
      </c>
      <c r="G37" s="89">
        <f t="shared" si="3"/>
        <v>45787</v>
      </c>
    </row>
    <row r="38" spans="1:18" x14ac:dyDescent="0.25">
      <c r="A38" s="78">
        <v>45753</v>
      </c>
      <c r="B38" s="32">
        <v>0</v>
      </c>
      <c r="C38" s="32">
        <f t="shared" si="0"/>
        <v>10360</v>
      </c>
      <c r="F38" s="77">
        <f t="shared" si="2"/>
        <v>1660</v>
      </c>
      <c r="G38" s="89">
        <f t="shared" si="3"/>
        <v>45788</v>
      </c>
    </row>
    <row r="39" spans="1:18" x14ac:dyDescent="0.25">
      <c r="A39" s="78">
        <v>45754</v>
      </c>
      <c r="B39" s="32">
        <v>420</v>
      </c>
      <c r="C39" s="32">
        <f t="shared" si="0"/>
        <v>10780</v>
      </c>
      <c r="D39" s="77">
        <v>1680</v>
      </c>
      <c r="E39" s="77">
        <v>19</v>
      </c>
      <c r="F39" s="77">
        <f t="shared" si="2"/>
        <v>400</v>
      </c>
      <c r="G39" s="89">
        <f t="shared" si="3"/>
        <v>45789</v>
      </c>
    </row>
    <row r="40" spans="1:18" x14ac:dyDescent="0.25">
      <c r="A40" s="78">
        <v>45755</v>
      </c>
      <c r="B40" s="32">
        <v>420</v>
      </c>
      <c r="C40" s="32">
        <f t="shared" si="0"/>
        <v>11200</v>
      </c>
      <c r="F40" s="77">
        <f t="shared" si="2"/>
        <v>820</v>
      </c>
      <c r="G40" s="89">
        <f t="shared" si="3"/>
        <v>45790</v>
      </c>
      <c r="H40" s="77">
        <v>1920</v>
      </c>
      <c r="I40" s="77">
        <f>I33+D39-H40</f>
        <v>780</v>
      </c>
      <c r="K40" s="97">
        <f>H40*2</f>
        <v>3840</v>
      </c>
      <c r="L40" s="97">
        <f>H40*4</f>
        <v>7680</v>
      </c>
      <c r="N40" s="97">
        <f>H40*2</f>
        <v>3840</v>
      </c>
      <c r="O40" s="97">
        <f>H40</f>
        <v>1920</v>
      </c>
      <c r="P40" s="97">
        <f>H40</f>
        <v>1920</v>
      </c>
      <c r="Q40" s="97">
        <f>H40*2</f>
        <v>3840</v>
      </c>
      <c r="R40" s="97">
        <f>H40*2</f>
        <v>3840</v>
      </c>
    </row>
    <row r="41" spans="1:18" x14ac:dyDescent="0.25">
      <c r="A41" s="78">
        <v>45756</v>
      </c>
      <c r="B41" s="32">
        <v>420</v>
      </c>
      <c r="C41" s="32">
        <f t="shared" si="0"/>
        <v>11620</v>
      </c>
      <c r="F41" s="77">
        <f t="shared" si="2"/>
        <v>1240</v>
      </c>
      <c r="G41" s="89">
        <f t="shared" si="3"/>
        <v>45791</v>
      </c>
    </row>
    <row r="42" spans="1:18" x14ac:dyDescent="0.25">
      <c r="A42" s="78">
        <v>45757</v>
      </c>
      <c r="B42" s="32">
        <v>420</v>
      </c>
      <c r="C42" s="32">
        <f t="shared" si="0"/>
        <v>12040</v>
      </c>
      <c r="F42" s="77">
        <f t="shared" si="2"/>
        <v>1660</v>
      </c>
      <c r="G42" s="89">
        <f t="shared" si="3"/>
        <v>45792</v>
      </c>
    </row>
    <row r="43" spans="1:18" x14ac:dyDescent="0.25">
      <c r="A43" s="78">
        <v>45758</v>
      </c>
      <c r="B43" s="32">
        <v>420</v>
      </c>
      <c r="C43" s="32">
        <f t="shared" si="0"/>
        <v>12460</v>
      </c>
      <c r="F43" s="77">
        <f t="shared" si="2"/>
        <v>2080</v>
      </c>
      <c r="G43" s="89">
        <f t="shared" si="3"/>
        <v>45793</v>
      </c>
    </row>
    <row r="44" spans="1:18" x14ac:dyDescent="0.25">
      <c r="A44" s="78">
        <v>45759</v>
      </c>
      <c r="B44" s="32">
        <v>420</v>
      </c>
      <c r="C44" s="32">
        <f t="shared" si="0"/>
        <v>12880</v>
      </c>
      <c r="F44" s="77">
        <f t="shared" si="2"/>
        <v>2500</v>
      </c>
      <c r="G44" s="89">
        <f t="shared" si="3"/>
        <v>45794</v>
      </c>
    </row>
    <row r="45" spans="1:18" x14ac:dyDescent="0.25">
      <c r="A45" s="78">
        <v>45760</v>
      </c>
      <c r="B45" s="32">
        <v>0</v>
      </c>
      <c r="C45" s="32">
        <f t="shared" si="0"/>
        <v>12880</v>
      </c>
      <c r="F45" s="77">
        <f t="shared" ref="F45:F76" si="5">F44+B45-D45</f>
        <v>2500</v>
      </c>
      <c r="G45" s="89">
        <f t="shared" si="3"/>
        <v>45795</v>
      </c>
    </row>
    <row r="46" spans="1:18" x14ac:dyDescent="0.25">
      <c r="A46" s="78">
        <v>45761</v>
      </c>
      <c r="B46" s="32">
        <v>420</v>
      </c>
      <c r="C46" s="32">
        <f t="shared" si="0"/>
        <v>13300</v>
      </c>
      <c r="F46" s="77">
        <f t="shared" si="5"/>
        <v>2920</v>
      </c>
      <c r="G46" s="89">
        <f t="shared" si="3"/>
        <v>45796</v>
      </c>
    </row>
    <row r="47" spans="1:18" x14ac:dyDescent="0.25">
      <c r="A47" s="78">
        <v>45762</v>
      </c>
      <c r="B47" s="32">
        <v>420</v>
      </c>
      <c r="C47" s="32">
        <f t="shared" si="0"/>
        <v>13720</v>
      </c>
      <c r="D47" s="77">
        <v>3360</v>
      </c>
      <c r="E47" s="77">
        <v>20</v>
      </c>
      <c r="F47" s="77">
        <f t="shared" si="5"/>
        <v>-20</v>
      </c>
      <c r="G47" s="89">
        <f t="shared" si="3"/>
        <v>45797</v>
      </c>
      <c r="H47" s="77">
        <v>1920</v>
      </c>
      <c r="I47" s="77">
        <f>I40+D47-H47</f>
        <v>2220</v>
      </c>
      <c r="K47" s="97">
        <f>H47*2</f>
        <v>3840</v>
      </c>
      <c r="L47" s="97">
        <f>H47*4</f>
        <v>7680</v>
      </c>
      <c r="N47" s="97">
        <f>H47*2</f>
        <v>3840</v>
      </c>
      <c r="O47" s="97">
        <f>H47</f>
        <v>1920</v>
      </c>
      <c r="P47" s="97">
        <f>H47</f>
        <v>1920</v>
      </c>
      <c r="Q47" s="97">
        <f>H47*2</f>
        <v>3840</v>
      </c>
      <c r="R47" s="97">
        <f>H47*2</f>
        <v>3840</v>
      </c>
    </row>
    <row r="48" spans="1:18" x14ac:dyDescent="0.25">
      <c r="A48" s="78">
        <v>45763</v>
      </c>
      <c r="B48" s="32">
        <v>420</v>
      </c>
      <c r="C48" s="32">
        <f t="shared" si="0"/>
        <v>14140</v>
      </c>
      <c r="F48" s="77">
        <f t="shared" si="5"/>
        <v>400</v>
      </c>
      <c r="G48" s="89">
        <f t="shared" si="3"/>
        <v>45798</v>
      </c>
    </row>
    <row r="49" spans="1:37" x14ac:dyDescent="0.25">
      <c r="A49" s="78">
        <v>45764</v>
      </c>
      <c r="B49" s="32">
        <v>420</v>
      </c>
      <c r="C49" s="32">
        <f t="shared" si="0"/>
        <v>14560</v>
      </c>
      <c r="F49" s="77">
        <f t="shared" si="5"/>
        <v>820</v>
      </c>
      <c r="G49" s="89">
        <f t="shared" si="3"/>
        <v>45799</v>
      </c>
    </row>
    <row r="50" spans="1:37" x14ac:dyDescent="0.25">
      <c r="A50" s="78">
        <v>45765</v>
      </c>
      <c r="B50" s="32">
        <v>420</v>
      </c>
      <c r="C50" s="32">
        <f t="shared" si="0"/>
        <v>14980</v>
      </c>
      <c r="F50" s="77">
        <f t="shared" si="5"/>
        <v>1240</v>
      </c>
      <c r="G50" s="89">
        <f t="shared" si="3"/>
        <v>45800</v>
      </c>
    </row>
    <row r="51" spans="1:37" x14ac:dyDescent="0.25">
      <c r="A51" s="78">
        <v>45766</v>
      </c>
      <c r="B51" s="32">
        <v>420</v>
      </c>
      <c r="C51" s="32">
        <f t="shared" si="0"/>
        <v>15400</v>
      </c>
      <c r="F51" s="77">
        <f t="shared" si="5"/>
        <v>1660</v>
      </c>
      <c r="G51" s="89">
        <f t="shared" si="3"/>
        <v>45801</v>
      </c>
    </row>
    <row r="52" spans="1:37" x14ac:dyDescent="0.25">
      <c r="A52" s="78">
        <v>45767</v>
      </c>
      <c r="B52" s="32">
        <v>0</v>
      </c>
      <c r="C52" s="32">
        <f t="shared" si="0"/>
        <v>15400</v>
      </c>
      <c r="F52" s="77">
        <f t="shared" si="5"/>
        <v>1660</v>
      </c>
      <c r="G52" s="89">
        <f t="shared" si="3"/>
        <v>45802</v>
      </c>
    </row>
    <row r="53" spans="1:37" x14ac:dyDescent="0.25">
      <c r="A53" s="78">
        <v>45768</v>
      </c>
      <c r="B53" s="32">
        <v>420</v>
      </c>
      <c r="C53" s="32">
        <f t="shared" si="0"/>
        <v>15820</v>
      </c>
      <c r="D53" s="77">
        <v>1680</v>
      </c>
      <c r="E53" s="77">
        <v>21</v>
      </c>
      <c r="F53" s="77">
        <f t="shared" si="5"/>
        <v>400</v>
      </c>
      <c r="G53" s="89">
        <f t="shared" si="3"/>
        <v>45803</v>
      </c>
    </row>
    <row r="54" spans="1:37" ht="13.8" customHeight="1" x14ac:dyDescent="0.25">
      <c r="A54" s="78">
        <v>45769</v>
      </c>
      <c r="B54" s="32">
        <v>420</v>
      </c>
      <c r="C54" s="32">
        <f t="shared" si="0"/>
        <v>16240</v>
      </c>
      <c r="F54" s="77">
        <f t="shared" si="5"/>
        <v>820</v>
      </c>
      <c r="G54" s="89">
        <f t="shared" si="3"/>
        <v>45804</v>
      </c>
      <c r="H54" s="77">
        <v>1920</v>
      </c>
      <c r="I54" s="77">
        <f>I47+D53-H54</f>
        <v>1980</v>
      </c>
      <c r="K54" s="97">
        <f>H54*2</f>
        <v>3840</v>
      </c>
      <c r="L54" s="97">
        <f>H54*4</f>
        <v>7680</v>
      </c>
      <c r="N54" s="97">
        <f>H54*2</f>
        <v>3840</v>
      </c>
      <c r="O54" s="97">
        <f>H54</f>
        <v>1920</v>
      </c>
      <c r="P54" s="97">
        <f>H54</f>
        <v>1920</v>
      </c>
      <c r="Q54" s="97">
        <f>H54*2</f>
        <v>3840</v>
      </c>
      <c r="R54" s="97">
        <f>H54*2</f>
        <v>3840</v>
      </c>
    </row>
    <row r="55" spans="1:37" x14ac:dyDescent="0.25">
      <c r="A55" s="78">
        <v>45770</v>
      </c>
      <c r="B55" s="32">
        <v>420</v>
      </c>
      <c r="C55" s="32">
        <f t="shared" si="0"/>
        <v>16660</v>
      </c>
      <c r="F55" s="77">
        <f t="shared" si="5"/>
        <v>1240</v>
      </c>
      <c r="G55" s="89">
        <f t="shared" si="3"/>
        <v>45805</v>
      </c>
    </row>
    <row r="56" spans="1:37" x14ac:dyDescent="0.25">
      <c r="A56" s="78">
        <v>45771</v>
      </c>
      <c r="B56" s="32">
        <v>420</v>
      </c>
      <c r="C56" s="32">
        <f t="shared" si="0"/>
        <v>17080</v>
      </c>
      <c r="F56" s="77">
        <f t="shared" si="5"/>
        <v>1660</v>
      </c>
      <c r="G56" s="89">
        <f t="shared" si="3"/>
        <v>45806</v>
      </c>
    </row>
    <row r="57" spans="1:37" x14ac:dyDescent="0.25">
      <c r="A57" s="78">
        <v>45772</v>
      </c>
      <c r="B57" s="32">
        <v>420</v>
      </c>
      <c r="C57" s="32">
        <f t="shared" si="0"/>
        <v>17500</v>
      </c>
      <c r="F57" s="77">
        <f t="shared" si="5"/>
        <v>2080</v>
      </c>
      <c r="G57" s="89">
        <f t="shared" si="3"/>
        <v>45807</v>
      </c>
    </row>
    <row r="58" spans="1:37" x14ac:dyDescent="0.25">
      <c r="A58" s="78">
        <v>45773</v>
      </c>
      <c r="B58" s="32">
        <v>420</v>
      </c>
      <c r="C58" s="32">
        <f t="shared" si="0"/>
        <v>17920</v>
      </c>
      <c r="F58" s="77">
        <f t="shared" si="5"/>
        <v>2500</v>
      </c>
      <c r="G58" s="89">
        <f t="shared" si="3"/>
        <v>45808</v>
      </c>
    </row>
    <row r="59" spans="1:37" x14ac:dyDescent="0.25">
      <c r="A59" s="78">
        <v>45774</v>
      </c>
      <c r="B59" s="32">
        <v>0</v>
      </c>
      <c r="C59" s="32">
        <f t="shared" si="0"/>
        <v>17920</v>
      </c>
      <c r="F59" s="77">
        <f t="shared" si="5"/>
        <v>2500</v>
      </c>
      <c r="G59" s="89">
        <f t="shared" si="3"/>
        <v>45809</v>
      </c>
    </row>
    <row r="60" spans="1:37" ht="13.8" thickBot="1" x14ac:dyDescent="0.3">
      <c r="A60" s="98">
        <v>45775</v>
      </c>
      <c r="B60" s="99">
        <v>420</v>
      </c>
      <c r="C60" s="99">
        <f t="shared" si="0"/>
        <v>18340</v>
      </c>
      <c r="F60" s="77">
        <f t="shared" si="5"/>
        <v>2920</v>
      </c>
      <c r="G60" s="89">
        <f t="shared" si="3"/>
        <v>45810</v>
      </c>
    </row>
    <row r="61" spans="1:37" s="104" customFormat="1" ht="13.8" thickBot="1" x14ac:dyDescent="0.3">
      <c r="A61" s="102">
        <v>45776</v>
      </c>
      <c r="B61" s="103">
        <v>420</v>
      </c>
      <c r="C61" s="103">
        <f t="shared" si="0"/>
        <v>18760</v>
      </c>
      <c r="D61" s="104">
        <v>3120</v>
      </c>
      <c r="E61" s="104">
        <v>22</v>
      </c>
      <c r="F61" s="104">
        <f t="shared" si="5"/>
        <v>220</v>
      </c>
      <c r="G61" s="105">
        <f t="shared" si="3"/>
        <v>45811</v>
      </c>
      <c r="H61" s="104">
        <v>1920</v>
      </c>
      <c r="I61" s="104">
        <f>I54+D61-H61</f>
        <v>3180</v>
      </c>
      <c r="K61" s="106">
        <f>H61*2</f>
        <v>3840</v>
      </c>
      <c r="L61" s="106">
        <f>H61*4</f>
        <v>7680</v>
      </c>
      <c r="M61" s="106"/>
      <c r="N61" s="106">
        <f>H61*2</f>
        <v>3840</v>
      </c>
      <c r="O61" s="106">
        <f>H61</f>
        <v>1920</v>
      </c>
      <c r="P61" s="106">
        <f>H61</f>
        <v>1920</v>
      </c>
      <c r="Q61" s="106">
        <f>H61*2</f>
        <v>3840</v>
      </c>
      <c r="R61" s="106">
        <f>H61*2</f>
        <v>3840</v>
      </c>
      <c r="U61" s="107"/>
      <c r="V61" s="107"/>
      <c r="W61" s="107"/>
      <c r="X61" s="107"/>
      <c r="Y61" s="107">
        <v>9972</v>
      </c>
      <c r="Z61" s="107">
        <v>9972</v>
      </c>
      <c r="AA61" s="107">
        <v>23944</v>
      </c>
      <c r="AB61" s="107">
        <v>20000</v>
      </c>
      <c r="AD61" s="108">
        <f t="shared" ref="AD61:AK61" si="6">AD19+U61-K61-K54-K47-K40-K33-K26</f>
        <v>27228</v>
      </c>
      <c r="AE61" s="108">
        <f t="shared" si="6"/>
        <v>33768</v>
      </c>
      <c r="AF61" s="108">
        <f t="shared" si="6"/>
        <v>0</v>
      </c>
      <c r="AG61" s="108">
        <f t="shared" si="6"/>
        <v>27228</v>
      </c>
      <c r="AH61" s="108">
        <f t="shared" si="6"/>
        <v>13614</v>
      </c>
      <c r="AI61" s="108">
        <f t="shared" si="6"/>
        <v>13614</v>
      </c>
      <c r="AJ61" s="108">
        <f t="shared" si="6"/>
        <v>27228</v>
      </c>
      <c r="AK61" s="108">
        <f t="shared" si="6"/>
        <v>27228</v>
      </c>
    </row>
    <row r="62" spans="1:37" x14ac:dyDescent="0.25">
      <c r="A62" s="100">
        <v>45777</v>
      </c>
      <c r="B62" s="101">
        <v>420</v>
      </c>
      <c r="C62" s="101">
        <f t="shared" si="0"/>
        <v>19180</v>
      </c>
      <c r="F62" s="77">
        <f t="shared" si="5"/>
        <v>640</v>
      </c>
      <c r="G62" s="89">
        <f t="shared" si="3"/>
        <v>45812</v>
      </c>
    </row>
    <row r="63" spans="1:37" x14ac:dyDescent="0.25">
      <c r="A63" s="78">
        <v>45778</v>
      </c>
      <c r="B63" s="32">
        <v>0</v>
      </c>
      <c r="C63" s="32">
        <f t="shared" si="0"/>
        <v>19180</v>
      </c>
      <c r="F63" s="77">
        <f t="shared" si="5"/>
        <v>640</v>
      </c>
      <c r="G63" s="89">
        <f t="shared" si="3"/>
        <v>45813</v>
      </c>
    </row>
    <row r="64" spans="1:37" x14ac:dyDescent="0.25">
      <c r="A64" s="78">
        <v>45779</v>
      </c>
      <c r="B64" s="32">
        <v>0</v>
      </c>
      <c r="C64" s="32">
        <f t="shared" si="0"/>
        <v>19180</v>
      </c>
      <c r="F64" s="77">
        <f t="shared" si="5"/>
        <v>640</v>
      </c>
      <c r="G64" s="89">
        <f t="shared" si="3"/>
        <v>45814</v>
      </c>
    </row>
    <row r="65" spans="1:18" x14ac:dyDescent="0.25">
      <c r="A65" s="78">
        <v>45780</v>
      </c>
      <c r="B65" s="32">
        <v>0</v>
      </c>
      <c r="C65" s="32">
        <f t="shared" si="0"/>
        <v>19180</v>
      </c>
      <c r="F65" s="77">
        <f t="shared" si="5"/>
        <v>640</v>
      </c>
      <c r="G65" s="89">
        <f t="shared" si="3"/>
        <v>45815</v>
      </c>
    </row>
    <row r="66" spans="1:18" x14ac:dyDescent="0.25">
      <c r="A66" s="78">
        <v>45781</v>
      </c>
      <c r="B66" s="32">
        <v>0</v>
      </c>
      <c r="C66" s="32">
        <f t="shared" si="0"/>
        <v>19180</v>
      </c>
      <c r="F66" s="77">
        <f t="shared" si="5"/>
        <v>640</v>
      </c>
      <c r="G66" s="89">
        <f t="shared" si="3"/>
        <v>45816</v>
      </c>
    </row>
    <row r="67" spans="1:18" x14ac:dyDescent="0.25">
      <c r="A67" s="98">
        <v>45782</v>
      </c>
      <c r="B67" s="99">
        <v>0</v>
      </c>
      <c r="C67" s="99">
        <f t="shared" ref="C67:C81" si="7">C66+B67</f>
        <v>19180</v>
      </c>
      <c r="F67" s="77">
        <f t="shared" si="5"/>
        <v>640</v>
      </c>
      <c r="G67" s="89">
        <f t="shared" si="3"/>
        <v>45817</v>
      </c>
    </row>
    <row r="68" spans="1:18" x14ac:dyDescent="0.25">
      <c r="A68" s="109">
        <v>45783</v>
      </c>
      <c r="B68" s="40">
        <v>420</v>
      </c>
      <c r="C68" s="40">
        <f t="shared" si="7"/>
        <v>19600</v>
      </c>
      <c r="F68" s="77">
        <f t="shared" si="5"/>
        <v>1060</v>
      </c>
      <c r="G68" s="89">
        <f t="shared" si="3"/>
        <v>45818</v>
      </c>
      <c r="H68" s="77">
        <v>1920</v>
      </c>
      <c r="I68" s="77">
        <f>I61-H68</f>
        <v>1260</v>
      </c>
      <c r="K68" s="97">
        <f>H68*2</f>
        <v>3840</v>
      </c>
      <c r="L68" s="97">
        <f>H68*4</f>
        <v>7680</v>
      </c>
      <c r="N68" s="97">
        <f>H68*2</f>
        <v>3840</v>
      </c>
      <c r="O68" s="97">
        <f>H68</f>
        <v>1920</v>
      </c>
      <c r="P68" s="97">
        <f>H68</f>
        <v>1920</v>
      </c>
      <c r="Q68" s="97">
        <f>H68*2</f>
        <v>3840</v>
      </c>
      <c r="R68" s="97">
        <f>H68*2</f>
        <v>3840</v>
      </c>
    </row>
    <row r="69" spans="1:18" x14ac:dyDescent="0.25">
      <c r="A69" s="100">
        <v>45784</v>
      </c>
      <c r="B69" s="101">
        <v>420</v>
      </c>
      <c r="C69" s="101">
        <f t="shared" si="7"/>
        <v>20020</v>
      </c>
      <c r="F69" s="77">
        <f t="shared" si="5"/>
        <v>1480</v>
      </c>
      <c r="G69" s="89">
        <f t="shared" si="3"/>
        <v>45819</v>
      </c>
    </row>
    <row r="70" spans="1:18" x14ac:dyDescent="0.25">
      <c r="A70" s="78">
        <v>45785</v>
      </c>
      <c r="B70" s="32">
        <v>420</v>
      </c>
      <c r="C70" s="32">
        <f t="shared" si="7"/>
        <v>20440</v>
      </c>
      <c r="F70" s="77">
        <f t="shared" si="5"/>
        <v>1900</v>
      </c>
      <c r="G70" s="89">
        <f t="shared" si="3"/>
        <v>45820</v>
      </c>
    </row>
    <row r="71" spans="1:18" x14ac:dyDescent="0.25">
      <c r="A71" s="78">
        <v>45786</v>
      </c>
      <c r="B71" s="32">
        <v>420</v>
      </c>
      <c r="C71" s="32">
        <f t="shared" si="7"/>
        <v>20860</v>
      </c>
      <c r="F71" s="77">
        <f t="shared" si="5"/>
        <v>2320</v>
      </c>
      <c r="G71" s="89">
        <f t="shared" si="3"/>
        <v>45821</v>
      </c>
    </row>
    <row r="72" spans="1:18" x14ac:dyDescent="0.25">
      <c r="A72" s="78">
        <v>45787</v>
      </c>
      <c r="B72" s="32">
        <v>420</v>
      </c>
      <c r="C72" s="32">
        <f t="shared" si="7"/>
        <v>21280</v>
      </c>
      <c r="F72" s="77">
        <f t="shared" si="5"/>
        <v>2740</v>
      </c>
      <c r="G72" s="89">
        <f t="shared" si="3"/>
        <v>45822</v>
      </c>
    </row>
    <row r="73" spans="1:18" x14ac:dyDescent="0.25">
      <c r="A73" s="78">
        <v>45788</v>
      </c>
      <c r="B73" s="32">
        <v>0</v>
      </c>
      <c r="C73" s="32">
        <f t="shared" si="7"/>
        <v>21280</v>
      </c>
      <c r="F73" s="77">
        <f t="shared" si="5"/>
        <v>2740</v>
      </c>
      <c r="G73" s="89">
        <f t="shared" si="3"/>
        <v>45823</v>
      </c>
    </row>
    <row r="74" spans="1:18" x14ac:dyDescent="0.25">
      <c r="A74" s="78">
        <v>45789</v>
      </c>
      <c r="B74" s="32">
        <v>420</v>
      </c>
      <c r="C74" s="32">
        <f t="shared" si="7"/>
        <v>21700</v>
      </c>
      <c r="F74" s="77">
        <f t="shared" si="5"/>
        <v>3160</v>
      </c>
      <c r="G74" s="89">
        <f t="shared" si="3"/>
        <v>45824</v>
      </c>
    </row>
    <row r="75" spans="1:18" x14ac:dyDescent="0.25">
      <c r="A75" s="78">
        <v>45790</v>
      </c>
      <c r="B75" s="32">
        <v>420</v>
      </c>
      <c r="C75" s="32">
        <f t="shared" si="7"/>
        <v>22120</v>
      </c>
      <c r="D75" s="77">
        <v>3360</v>
      </c>
      <c r="E75" s="77">
        <v>23</v>
      </c>
      <c r="F75" s="77">
        <f t="shared" si="5"/>
        <v>220</v>
      </c>
      <c r="G75" s="89">
        <f t="shared" si="3"/>
        <v>45825</v>
      </c>
      <c r="H75" s="77">
        <v>1920</v>
      </c>
      <c r="I75" s="77">
        <f>I68+D75-H75</f>
        <v>2700</v>
      </c>
      <c r="K75" s="97">
        <f>H75*2</f>
        <v>3840</v>
      </c>
      <c r="L75" s="97">
        <f>H75*4</f>
        <v>7680</v>
      </c>
      <c r="N75" s="97">
        <f>H75*2</f>
        <v>3840</v>
      </c>
      <c r="O75" s="97">
        <f>H75</f>
        <v>1920</v>
      </c>
      <c r="P75" s="97">
        <f>H75</f>
        <v>1920</v>
      </c>
      <c r="Q75" s="97">
        <f>H75*2</f>
        <v>3840</v>
      </c>
      <c r="R75" s="97">
        <f>H75*2</f>
        <v>3840</v>
      </c>
    </row>
    <row r="76" spans="1:18" x14ac:dyDescent="0.25">
      <c r="A76" s="78">
        <v>45791</v>
      </c>
      <c r="B76" s="32">
        <v>420</v>
      </c>
      <c r="C76" s="32">
        <f t="shared" si="7"/>
        <v>22540</v>
      </c>
      <c r="F76" s="77">
        <f t="shared" si="5"/>
        <v>640</v>
      </c>
      <c r="G76" s="89">
        <f t="shared" si="3"/>
        <v>45826</v>
      </c>
    </row>
    <row r="77" spans="1:18" x14ac:dyDescent="0.25">
      <c r="A77" s="78">
        <v>45792</v>
      </c>
      <c r="B77" s="32">
        <v>420</v>
      </c>
      <c r="C77" s="32">
        <f t="shared" si="7"/>
        <v>22960</v>
      </c>
      <c r="F77" s="77">
        <f t="shared" ref="F77:F112" si="8">F76+B77-D77</f>
        <v>1060</v>
      </c>
      <c r="G77" s="89">
        <f t="shared" ref="G77:G138" si="9">A77+35</f>
        <v>45827</v>
      </c>
    </row>
    <row r="78" spans="1:18" x14ac:dyDescent="0.25">
      <c r="A78" s="78">
        <v>45793</v>
      </c>
      <c r="B78" s="32">
        <v>420</v>
      </c>
      <c r="C78" s="32">
        <f t="shared" si="7"/>
        <v>23380</v>
      </c>
      <c r="F78" s="77">
        <f t="shared" si="8"/>
        <v>1480</v>
      </c>
      <c r="G78" s="89">
        <f t="shared" si="9"/>
        <v>45828</v>
      </c>
    </row>
    <row r="79" spans="1:18" x14ac:dyDescent="0.25">
      <c r="A79" s="78">
        <v>45794</v>
      </c>
      <c r="B79" s="32">
        <v>420</v>
      </c>
      <c r="C79" s="32">
        <f t="shared" si="7"/>
        <v>23800</v>
      </c>
      <c r="F79" s="77">
        <f t="shared" si="8"/>
        <v>1900</v>
      </c>
      <c r="G79" s="89">
        <f t="shared" si="9"/>
        <v>45829</v>
      </c>
    </row>
    <row r="80" spans="1:18" x14ac:dyDescent="0.25">
      <c r="A80" s="78">
        <v>45795</v>
      </c>
      <c r="B80" s="32">
        <v>0</v>
      </c>
      <c r="C80" s="32">
        <f t="shared" si="7"/>
        <v>23800</v>
      </c>
      <c r="F80" s="77">
        <f t="shared" si="8"/>
        <v>1900</v>
      </c>
      <c r="G80" s="89">
        <f t="shared" si="9"/>
        <v>45830</v>
      </c>
    </row>
    <row r="81" spans="1:37" x14ac:dyDescent="0.25">
      <c r="A81" s="78">
        <v>45796</v>
      </c>
      <c r="B81" s="32">
        <v>420</v>
      </c>
      <c r="C81" s="32">
        <f t="shared" si="7"/>
        <v>24220</v>
      </c>
      <c r="D81" s="77">
        <v>1680</v>
      </c>
      <c r="E81" s="77">
        <v>24</v>
      </c>
      <c r="F81" s="77">
        <f t="shared" si="8"/>
        <v>640</v>
      </c>
      <c r="G81" s="89">
        <f t="shared" si="9"/>
        <v>45831</v>
      </c>
    </row>
    <row r="82" spans="1:37" x14ac:dyDescent="0.25">
      <c r="A82" s="78">
        <v>45797</v>
      </c>
      <c r="B82" s="32">
        <v>420</v>
      </c>
      <c r="C82" s="32">
        <f>C81+B82</f>
        <v>24640</v>
      </c>
      <c r="F82" s="77">
        <f t="shared" si="8"/>
        <v>1060</v>
      </c>
      <c r="G82" s="89">
        <f t="shared" si="9"/>
        <v>45832</v>
      </c>
      <c r="H82" s="77">
        <v>1920</v>
      </c>
      <c r="I82" s="77">
        <f>I75+D81-H82</f>
        <v>2460</v>
      </c>
      <c r="K82" s="97">
        <f>H82*2</f>
        <v>3840</v>
      </c>
      <c r="L82" s="97">
        <f>H82*4</f>
        <v>7680</v>
      </c>
      <c r="N82" s="97">
        <f>H82*2</f>
        <v>3840</v>
      </c>
      <c r="O82" s="97">
        <f>H82</f>
        <v>1920</v>
      </c>
      <c r="P82" s="97">
        <f>H82</f>
        <v>1920</v>
      </c>
      <c r="Q82" s="97">
        <f>H82*2</f>
        <v>3840</v>
      </c>
      <c r="R82" s="97">
        <f>H82*2</f>
        <v>3840</v>
      </c>
    </row>
    <row r="83" spans="1:37" x14ac:dyDescent="0.25">
      <c r="A83" s="78">
        <v>45798</v>
      </c>
      <c r="B83" s="32">
        <v>420</v>
      </c>
      <c r="C83" s="32">
        <f>C82+B83</f>
        <v>25060</v>
      </c>
      <c r="F83" s="77">
        <f t="shared" si="8"/>
        <v>1480</v>
      </c>
      <c r="G83" s="89">
        <f t="shared" si="9"/>
        <v>45833</v>
      </c>
    </row>
    <row r="84" spans="1:37" x14ac:dyDescent="0.25">
      <c r="A84" s="78">
        <v>45799</v>
      </c>
      <c r="B84" s="32">
        <v>420</v>
      </c>
      <c r="C84" s="32">
        <f>C83+B84</f>
        <v>25480</v>
      </c>
      <c r="F84" s="77">
        <f t="shared" si="8"/>
        <v>1900</v>
      </c>
      <c r="G84" s="89">
        <f t="shared" si="9"/>
        <v>45834</v>
      </c>
    </row>
    <row r="85" spans="1:37" x14ac:dyDescent="0.25">
      <c r="A85" s="78">
        <v>45800</v>
      </c>
      <c r="B85" s="32">
        <v>420</v>
      </c>
      <c r="C85" s="32">
        <f>C84+B85</f>
        <v>25900</v>
      </c>
      <c r="F85" s="77">
        <f t="shared" si="8"/>
        <v>2320</v>
      </c>
      <c r="G85" s="89">
        <f t="shared" si="9"/>
        <v>45835</v>
      </c>
    </row>
    <row r="86" spans="1:37" x14ac:dyDescent="0.25">
      <c r="A86" s="78">
        <v>45801</v>
      </c>
      <c r="B86" s="32">
        <v>420</v>
      </c>
      <c r="C86" s="32">
        <f t="shared" ref="C86:C90" si="10">C85+B86</f>
        <v>26320</v>
      </c>
      <c r="F86" s="77">
        <f t="shared" si="8"/>
        <v>2740</v>
      </c>
      <c r="G86" s="89">
        <f t="shared" si="9"/>
        <v>45836</v>
      </c>
    </row>
    <row r="87" spans="1:37" x14ac:dyDescent="0.25">
      <c r="A87" s="78">
        <v>45802</v>
      </c>
      <c r="B87" s="32">
        <v>0</v>
      </c>
      <c r="C87" s="32">
        <f t="shared" si="10"/>
        <v>26320</v>
      </c>
      <c r="F87" s="77">
        <f t="shared" si="8"/>
        <v>2740</v>
      </c>
      <c r="G87" s="89">
        <f t="shared" si="9"/>
        <v>45837</v>
      </c>
    </row>
    <row r="88" spans="1:37" x14ac:dyDescent="0.25">
      <c r="A88" s="78">
        <v>45803</v>
      </c>
      <c r="B88" s="32">
        <v>420</v>
      </c>
      <c r="C88" s="32">
        <f t="shared" si="10"/>
        <v>26740</v>
      </c>
      <c r="F88" s="77">
        <f t="shared" si="8"/>
        <v>3160</v>
      </c>
      <c r="G88" s="89">
        <f t="shared" si="9"/>
        <v>45838</v>
      </c>
    </row>
    <row r="89" spans="1:37" x14ac:dyDescent="0.25">
      <c r="A89" s="78">
        <v>45804</v>
      </c>
      <c r="B89" s="32">
        <v>420</v>
      </c>
      <c r="C89" s="32">
        <f t="shared" si="10"/>
        <v>27160</v>
      </c>
      <c r="D89" s="77">
        <v>3360</v>
      </c>
      <c r="E89" s="77">
        <v>25</v>
      </c>
      <c r="F89" s="77">
        <f t="shared" si="8"/>
        <v>220</v>
      </c>
      <c r="G89" s="89">
        <f t="shared" si="9"/>
        <v>45839</v>
      </c>
      <c r="H89" s="77">
        <v>1920</v>
      </c>
      <c r="I89" s="77">
        <f>I82+D89-H89</f>
        <v>3900</v>
      </c>
      <c r="K89" s="97">
        <f>H89*2</f>
        <v>3840</v>
      </c>
      <c r="L89" s="97">
        <f>H89*4</f>
        <v>7680</v>
      </c>
      <c r="N89" s="97">
        <f>H89*2</f>
        <v>3840</v>
      </c>
      <c r="O89" s="97">
        <f>H89</f>
        <v>1920</v>
      </c>
      <c r="P89" s="97">
        <f>H89</f>
        <v>1920</v>
      </c>
      <c r="Q89" s="97">
        <f>H89*2</f>
        <v>3840</v>
      </c>
      <c r="R89" s="97">
        <f>H89*2</f>
        <v>3840</v>
      </c>
    </row>
    <row r="90" spans="1:37" x14ac:dyDescent="0.25">
      <c r="A90" s="78">
        <v>45805</v>
      </c>
      <c r="B90" s="32">
        <v>46</v>
      </c>
      <c r="C90" s="32">
        <f t="shared" si="10"/>
        <v>27206</v>
      </c>
      <c r="F90" s="77">
        <f t="shared" si="8"/>
        <v>266</v>
      </c>
      <c r="G90" s="89">
        <f t="shared" si="9"/>
        <v>45840</v>
      </c>
    </row>
    <row r="91" spans="1:37" x14ac:dyDescent="0.25">
      <c r="A91" s="80">
        <v>45806</v>
      </c>
      <c r="B91" s="81">
        <v>420</v>
      </c>
      <c r="C91" s="81">
        <f>B91</f>
        <v>420</v>
      </c>
      <c r="F91" s="77">
        <f t="shared" si="8"/>
        <v>686</v>
      </c>
      <c r="G91" s="89">
        <f t="shared" si="9"/>
        <v>45841</v>
      </c>
    </row>
    <row r="92" spans="1:37" x14ac:dyDescent="0.25">
      <c r="A92" s="80">
        <v>45807</v>
      </c>
      <c r="B92" s="81">
        <v>420</v>
      </c>
      <c r="C92" s="81">
        <f>C91+B92</f>
        <v>840</v>
      </c>
      <c r="F92" s="77">
        <f t="shared" si="8"/>
        <v>1106</v>
      </c>
      <c r="G92" s="89">
        <f t="shared" si="9"/>
        <v>45842</v>
      </c>
    </row>
    <row r="93" spans="1:37" x14ac:dyDescent="0.25">
      <c r="A93" s="80">
        <v>45808</v>
      </c>
      <c r="B93" s="81">
        <v>216</v>
      </c>
      <c r="C93" s="81">
        <f>C92+B93</f>
        <v>1056</v>
      </c>
      <c r="F93" s="77">
        <f t="shared" si="8"/>
        <v>1322</v>
      </c>
      <c r="G93" s="89">
        <f t="shared" si="9"/>
        <v>45843</v>
      </c>
    </row>
    <row r="94" spans="1:37" x14ac:dyDescent="0.25">
      <c r="A94" s="78">
        <v>45809</v>
      </c>
      <c r="B94" s="32"/>
      <c r="C94" s="32"/>
      <c r="F94" s="77">
        <f t="shared" si="8"/>
        <v>1322</v>
      </c>
      <c r="G94" s="89">
        <f t="shared" si="9"/>
        <v>45844</v>
      </c>
    </row>
    <row r="95" spans="1:37" ht="13.8" customHeight="1" thickBot="1" x14ac:dyDescent="0.3">
      <c r="A95" s="117">
        <v>45810</v>
      </c>
      <c r="B95" s="118">
        <v>294</v>
      </c>
      <c r="C95" s="118">
        <v>294</v>
      </c>
      <c r="D95" s="77">
        <v>1260</v>
      </c>
      <c r="E95" s="77">
        <v>26</v>
      </c>
      <c r="F95" s="77">
        <f t="shared" si="8"/>
        <v>356</v>
      </c>
      <c r="G95" s="89">
        <f t="shared" si="9"/>
        <v>45845</v>
      </c>
    </row>
    <row r="96" spans="1:37" s="104" customFormat="1" ht="13.8" thickBot="1" x14ac:dyDescent="0.3">
      <c r="A96" s="115">
        <v>45811</v>
      </c>
      <c r="B96" s="116">
        <v>420</v>
      </c>
      <c r="C96" s="116">
        <v>420</v>
      </c>
      <c r="F96" s="104">
        <f t="shared" si="8"/>
        <v>776</v>
      </c>
      <c r="G96" s="105">
        <f t="shared" si="9"/>
        <v>45846</v>
      </c>
      <c r="H96" s="104">
        <v>1920</v>
      </c>
      <c r="I96" s="104">
        <f>I89+D95-H96</f>
        <v>3240</v>
      </c>
      <c r="K96" s="106">
        <f>H96*2</f>
        <v>3840</v>
      </c>
      <c r="L96" s="106">
        <f>H96*4</f>
        <v>7680</v>
      </c>
      <c r="M96" s="106"/>
      <c r="N96" s="106">
        <f>H96*2</f>
        <v>3840</v>
      </c>
      <c r="O96" s="106">
        <f>H96</f>
        <v>1920</v>
      </c>
      <c r="P96" s="106">
        <f>H96</f>
        <v>1920</v>
      </c>
      <c r="Q96" s="106">
        <f>H96*2</f>
        <v>3840</v>
      </c>
      <c r="R96" s="106">
        <f>H96*2</f>
        <v>3840</v>
      </c>
      <c r="U96" s="107"/>
      <c r="V96" s="107">
        <v>20688</v>
      </c>
      <c r="W96" s="107"/>
      <c r="X96" s="107"/>
      <c r="Y96" s="107"/>
      <c r="Z96" s="107"/>
      <c r="AA96" s="107"/>
      <c r="AB96" s="107"/>
      <c r="AD96" s="108">
        <f t="shared" ref="AD96:AK96" si="11">AD61+U96-K68-K75-K82-K89-K96</f>
        <v>8028</v>
      </c>
      <c r="AE96" s="108">
        <f t="shared" si="11"/>
        <v>16056</v>
      </c>
      <c r="AF96" s="108">
        <f t="shared" si="11"/>
        <v>0</v>
      </c>
      <c r="AG96" s="108">
        <f t="shared" si="11"/>
        <v>8028</v>
      </c>
      <c r="AH96" s="108">
        <f t="shared" si="11"/>
        <v>4014</v>
      </c>
      <c r="AI96" s="108">
        <f t="shared" si="11"/>
        <v>4014</v>
      </c>
      <c r="AJ96" s="108">
        <f t="shared" si="11"/>
        <v>8028</v>
      </c>
      <c r="AK96" s="108">
        <f t="shared" si="11"/>
        <v>8028</v>
      </c>
    </row>
    <row r="97" spans="1:37" x14ac:dyDescent="0.25">
      <c r="A97" s="113">
        <v>45812</v>
      </c>
      <c r="B97" s="114">
        <v>420</v>
      </c>
      <c r="C97" s="114">
        <f>C96+B97</f>
        <v>840</v>
      </c>
      <c r="F97" s="77">
        <f t="shared" si="8"/>
        <v>1196</v>
      </c>
      <c r="G97" s="89">
        <f t="shared" si="9"/>
        <v>45847</v>
      </c>
    </row>
    <row r="98" spans="1:37" x14ac:dyDescent="0.25">
      <c r="A98" s="85">
        <v>45813</v>
      </c>
      <c r="B98" s="86">
        <v>420</v>
      </c>
      <c r="C98" s="86">
        <f>C97+B98</f>
        <v>1260</v>
      </c>
      <c r="F98" s="77">
        <f t="shared" si="8"/>
        <v>1616</v>
      </c>
      <c r="G98" s="89">
        <f t="shared" si="9"/>
        <v>45848</v>
      </c>
    </row>
    <row r="99" spans="1:37" x14ac:dyDescent="0.25">
      <c r="A99" s="85">
        <v>45814</v>
      </c>
      <c r="B99" s="86">
        <v>420</v>
      </c>
      <c r="C99" s="86">
        <f>C98+B99</f>
        <v>1680</v>
      </c>
      <c r="F99" s="77">
        <f t="shared" si="8"/>
        <v>2036</v>
      </c>
      <c r="G99" s="89">
        <f t="shared" si="9"/>
        <v>45849</v>
      </c>
    </row>
    <row r="100" spans="1:37" x14ac:dyDescent="0.25">
      <c r="A100" s="85">
        <v>45815</v>
      </c>
      <c r="B100" s="86">
        <v>420</v>
      </c>
      <c r="C100" s="86">
        <f t="shared" ref="C100:C112" si="12">C99+B100</f>
        <v>2100</v>
      </c>
      <c r="F100" s="77">
        <f t="shared" si="8"/>
        <v>2456</v>
      </c>
      <c r="G100" s="89">
        <f t="shared" si="9"/>
        <v>45850</v>
      </c>
    </row>
    <row r="101" spans="1:37" x14ac:dyDescent="0.25">
      <c r="A101" s="85">
        <v>45816</v>
      </c>
      <c r="B101" s="87"/>
      <c r="C101" s="86">
        <f t="shared" si="12"/>
        <v>2100</v>
      </c>
      <c r="F101" s="77">
        <f t="shared" si="8"/>
        <v>2456</v>
      </c>
      <c r="G101" s="89">
        <f t="shared" si="9"/>
        <v>45851</v>
      </c>
    </row>
    <row r="102" spans="1:37" x14ac:dyDescent="0.25">
      <c r="A102" s="85">
        <v>45817</v>
      </c>
      <c r="B102" s="86">
        <v>420</v>
      </c>
      <c r="C102" s="86">
        <f t="shared" si="12"/>
        <v>2520</v>
      </c>
      <c r="F102" s="77">
        <f t="shared" si="8"/>
        <v>2876</v>
      </c>
      <c r="G102" s="89">
        <f t="shared" si="9"/>
        <v>45852</v>
      </c>
    </row>
    <row r="103" spans="1:37" x14ac:dyDescent="0.25">
      <c r="A103" s="85">
        <v>45818</v>
      </c>
      <c r="B103" s="86">
        <v>420</v>
      </c>
      <c r="C103" s="86">
        <f t="shared" si="12"/>
        <v>2940</v>
      </c>
      <c r="F103" s="77">
        <f t="shared" si="8"/>
        <v>3296</v>
      </c>
      <c r="G103" s="89">
        <f t="shared" si="9"/>
        <v>45853</v>
      </c>
      <c r="H103" s="77">
        <v>1920</v>
      </c>
      <c r="I103" s="77">
        <f>I96+D102-H103</f>
        <v>1320</v>
      </c>
      <c r="K103" s="97">
        <f>H103*2</f>
        <v>3840</v>
      </c>
      <c r="L103" s="97">
        <f>H103*4</f>
        <v>7680</v>
      </c>
      <c r="N103" s="97">
        <f>H103*2</f>
        <v>3840</v>
      </c>
      <c r="O103" s="97">
        <f>H103</f>
        <v>1920</v>
      </c>
      <c r="P103" s="97">
        <f>H103</f>
        <v>1920</v>
      </c>
      <c r="Q103" s="97">
        <f>H103*2</f>
        <v>3840</v>
      </c>
      <c r="R103" s="97">
        <f>H103*2</f>
        <v>3840</v>
      </c>
    </row>
    <row r="104" spans="1:37" x14ac:dyDescent="0.25">
      <c r="A104" s="85">
        <v>45819</v>
      </c>
      <c r="B104" s="86">
        <v>420</v>
      </c>
      <c r="C104" s="86">
        <f t="shared" si="12"/>
        <v>3360</v>
      </c>
      <c r="F104" s="77">
        <f t="shared" si="8"/>
        <v>3716</v>
      </c>
      <c r="G104" s="89">
        <f t="shared" si="9"/>
        <v>45854</v>
      </c>
    </row>
    <row r="105" spans="1:37" x14ac:dyDescent="0.25">
      <c r="A105" s="85">
        <v>45820</v>
      </c>
      <c r="B105" s="86">
        <v>420</v>
      </c>
      <c r="C105" s="86">
        <f t="shared" si="12"/>
        <v>3780</v>
      </c>
      <c r="D105" s="77">
        <v>3254</v>
      </c>
      <c r="E105" s="77">
        <v>27</v>
      </c>
      <c r="F105" s="77">
        <f t="shared" si="8"/>
        <v>882</v>
      </c>
      <c r="G105" s="89">
        <f t="shared" si="9"/>
        <v>45855</v>
      </c>
    </row>
    <row r="106" spans="1:37" x14ac:dyDescent="0.25">
      <c r="A106" s="85">
        <v>45821</v>
      </c>
      <c r="B106" s="86">
        <v>420</v>
      </c>
      <c r="C106" s="86">
        <f t="shared" si="12"/>
        <v>4200</v>
      </c>
      <c r="F106" s="77">
        <f t="shared" si="8"/>
        <v>1302</v>
      </c>
      <c r="G106" s="89">
        <f t="shared" si="9"/>
        <v>45856</v>
      </c>
    </row>
    <row r="107" spans="1:37" x14ac:dyDescent="0.25">
      <c r="A107" s="85">
        <v>45822</v>
      </c>
      <c r="B107" s="86">
        <v>420</v>
      </c>
      <c r="C107" s="86">
        <f t="shared" si="12"/>
        <v>4620</v>
      </c>
      <c r="F107" s="77">
        <f t="shared" si="8"/>
        <v>1722</v>
      </c>
      <c r="G107" s="89">
        <f t="shared" si="9"/>
        <v>45857</v>
      </c>
    </row>
    <row r="108" spans="1:37" x14ac:dyDescent="0.25">
      <c r="A108" s="85">
        <v>45823</v>
      </c>
      <c r="B108" s="86"/>
      <c r="C108" s="86">
        <f t="shared" si="12"/>
        <v>4620</v>
      </c>
      <c r="F108" s="77">
        <f t="shared" si="8"/>
        <v>1722</v>
      </c>
      <c r="G108" s="89">
        <f t="shared" si="9"/>
        <v>45858</v>
      </c>
    </row>
    <row r="109" spans="1:37" ht="13.8" thickBot="1" x14ac:dyDescent="0.3">
      <c r="A109" s="111">
        <v>45824</v>
      </c>
      <c r="B109" s="112">
        <v>420</v>
      </c>
      <c r="C109" s="112">
        <f t="shared" si="12"/>
        <v>5040</v>
      </c>
      <c r="F109" s="77">
        <f t="shared" si="8"/>
        <v>2142</v>
      </c>
      <c r="G109" s="89">
        <f t="shared" si="9"/>
        <v>45859</v>
      </c>
    </row>
    <row r="110" spans="1:37" s="104" customFormat="1" ht="13.8" thickBot="1" x14ac:dyDescent="0.3">
      <c r="A110" s="115">
        <v>45825</v>
      </c>
      <c r="B110" s="116">
        <v>420</v>
      </c>
      <c r="C110" s="116">
        <f t="shared" si="12"/>
        <v>5460</v>
      </c>
      <c r="F110" s="104">
        <f t="shared" si="8"/>
        <v>2562</v>
      </c>
      <c r="G110" s="105">
        <f t="shared" si="9"/>
        <v>45860</v>
      </c>
      <c r="H110" s="104">
        <v>1920</v>
      </c>
      <c r="I110" s="104">
        <f>I103+D105-H110</f>
        <v>2654</v>
      </c>
      <c r="K110" s="106">
        <f>H110*2</f>
        <v>3840</v>
      </c>
      <c r="L110" s="106">
        <f>H110*4</f>
        <v>7680</v>
      </c>
      <c r="M110" s="106"/>
      <c r="N110" s="106">
        <f>H110*2</f>
        <v>3840</v>
      </c>
      <c r="O110" s="106">
        <f>H110</f>
        <v>1920</v>
      </c>
      <c r="P110" s="106">
        <f>H110</f>
        <v>1920</v>
      </c>
      <c r="Q110" s="106">
        <f>H110*2</f>
        <v>3840</v>
      </c>
      <c r="R110" s="106">
        <f>H110*2</f>
        <v>3840</v>
      </c>
      <c r="U110" s="107">
        <v>11680</v>
      </c>
      <c r="V110" s="107">
        <v>23360</v>
      </c>
      <c r="W110" s="107"/>
      <c r="X110" s="107">
        <v>11680</v>
      </c>
      <c r="Y110" s="107">
        <v>5840</v>
      </c>
      <c r="Z110" s="107">
        <v>5840</v>
      </c>
      <c r="AA110" s="107">
        <v>11680</v>
      </c>
      <c r="AB110" s="107">
        <v>11680</v>
      </c>
      <c r="AD110" s="108">
        <f t="shared" ref="AD110:AK110" si="13">AD96+U110-K103-K110</f>
        <v>12028</v>
      </c>
      <c r="AE110" s="108">
        <f t="shared" si="13"/>
        <v>24056</v>
      </c>
      <c r="AF110" s="108">
        <f t="shared" si="13"/>
        <v>0</v>
      </c>
      <c r="AG110" s="108">
        <f t="shared" si="13"/>
        <v>12028</v>
      </c>
      <c r="AH110" s="108">
        <f t="shared" si="13"/>
        <v>6014</v>
      </c>
      <c r="AI110" s="108">
        <f t="shared" si="13"/>
        <v>6014</v>
      </c>
      <c r="AJ110" s="108">
        <f t="shared" si="13"/>
        <v>12028</v>
      </c>
      <c r="AK110" s="108">
        <f t="shared" si="13"/>
        <v>12028</v>
      </c>
    </row>
    <row r="111" spans="1:37" x14ac:dyDescent="0.25">
      <c r="A111" s="113">
        <v>45826</v>
      </c>
      <c r="B111" s="114">
        <v>420</v>
      </c>
      <c r="C111" s="114">
        <f t="shared" si="12"/>
        <v>5880</v>
      </c>
      <c r="F111" s="77">
        <f t="shared" si="8"/>
        <v>2982</v>
      </c>
      <c r="G111" s="89">
        <f t="shared" si="9"/>
        <v>45861</v>
      </c>
    </row>
    <row r="112" spans="1:37" x14ac:dyDescent="0.25">
      <c r="A112" s="85">
        <v>45827</v>
      </c>
      <c r="B112" s="86">
        <v>378</v>
      </c>
      <c r="C112" s="86">
        <f t="shared" si="12"/>
        <v>6258</v>
      </c>
      <c r="D112" s="77">
        <v>3360</v>
      </c>
      <c r="E112" s="77">
        <v>28</v>
      </c>
      <c r="F112" s="77">
        <f t="shared" si="8"/>
        <v>0</v>
      </c>
      <c r="G112" s="89">
        <f t="shared" si="9"/>
        <v>45862</v>
      </c>
    </row>
    <row r="113" spans="1:18" x14ac:dyDescent="0.25">
      <c r="A113" s="78">
        <f>A112+1</f>
        <v>45828</v>
      </c>
      <c r="G113" s="89">
        <f t="shared" si="9"/>
        <v>45863</v>
      </c>
    </row>
    <row r="114" spans="1:18" x14ac:dyDescent="0.25">
      <c r="A114" s="78">
        <f t="shared" ref="A114:A138" si="14">A113+1</f>
        <v>45829</v>
      </c>
      <c r="G114" s="89">
        <f t="shared" si="9"/>
        <v>45864</v>
      </c>
    </row>
    <row r="115" spans="1:18" x14ac:dyDescent="0.25">
      <c r="A115" s="78">
        <f t="shared" si="14"/>
        <v>45830</v>
      </c>
      <c r="G115" s="89">
        <f t="shared" si="9"/>
        <v>45865</v>
      </c>
    </row>
    <row r="116" spans="1:18" x14ac:dyDescent="0.25">
      <c r="A116" s="78">
        <f t="shared" si="14"/>
        <v>45831</v>
      </c>
      <c r="G116" s="89">
        <f t="shared" si="9"/>
        <v>45866</v>
      </c>
    </row>
    <row r="117" spans="1:18" x14ac:dyDescent="0.25">
      <c r="A117" s="78">
        <f t="shared" si="14"/>
        <v>45832</v>
      </c>
      <c r="G117" s="89">
        <f t="shared" si="9"/>
        <v>45867</v>
      </c>
      <c r="H117" s="77">
        <v>1920</v>
      </c>
      <c r="I117" s="77">
        <f>I110+D112-H117</f>
        <v>4094</v>
      </c>
      <c r="K117" s="97">
        <f>H117*2</f>
        <v>3840</v>
      </c>
      <c r="L117" s="97">
        <f>H117*4</f>
        <v>7680</v>
      </c>
      <c r="N117" s="97">
        <f>H117*2</f>
        <v>3840</v>
      </c>
      <c r="O117" s="97">
        <f>H117</f>
        <v>1920</v>
      </c>
      <c r="P117" s="97">
        <f>H117</f>
        <v>1920</v>
      </c>
      <c r="Q117" s="97">
        <f>H117*2</f>
        <v>3840</v>
      </c>
      <c r="R117" s="97">
        <f>H117*2</f>
        <v>3840</v>
      </c>
    </row>
    <row r="118" spans="1:18" x14ac:dyDescent="0.25">
      <c r="A118" s="78">
        <f t="shared" si="14"/>
        <v>45833</v>
      </c>
      <c r="G118" s="89">
        <f t="shared" si="9"/>
        <v>45868</v>
      </c>
    </row>
    <row r="119" spans="1:18" x14ac:dyDescent="0.25">
      <c r="A119" s="78">
        <f t="shared" si="14"/>
        <v>45834</v>
      </c>
      <c r="G119" s="89">
        <f t="shared" si="9"/>
        <v>45869</v>
      </c>
    </row>
    <row r="120" spans="1:18" x14ac:dyDescent="0.25">
      <c r="A120" s="78">
        <f t="shared" si="14"/>
        <v>45835</v>
      </c>
      <c r="G120" s="89">
        <f t="shared" si="9"/>
        <v>45870</v>
      </c>
    </row>
    <row r="121" spans="1:18" x14ac:dyDescent="0.25">
      <c r="A121" s="78">
        <f t="shared" si="14"/>
        <v>45836</v>
      </c>
      <c r="G121" s="89">
        <f t="shared" si="9"/>
        <v>45871</v>
      </c>
    </row>
    <row r="122" spans="1:18" x14ac:dyDescent="0.25">
      <c r="A122" s="78">
        <f t="shared" si="14"/>
        <v>45837</v>
      </c>
      <c r="G122" s="89">
        <f t="shared" si="9"/>
        <v>45872</v>
      </c>
    </row>
    <row r="123" spans="1:18" x14ac:dyDescent="0.25">
      <c r="A123" s="78">
        <f t="shared" si="14"/>
        <v>45838</v>
      </c>
      <c r="G123" s="89">
        <f t="shared" si="9"/>
        <v>45873</v>
      </c>
    </row>
    <row r="124" spans="1:18" x14ac:dyDescent="0.25">
      <c r="A124" s="78">
        <f t="shared" si="14"/>
        <v>45839</v>
      </c>
      <c r="G124" s="89">
        <f t="shared" si="9"/>
        <v>45874</v>
      </c>
      <c r="H124" s="77">
        <v>1920</v>
      </c>
      <c r="I124" s="77">
        <f>I117-H124</f>
        <v>2174</v>
      </c>
      <c r="K124" s="97">
        <f>H124*2</f>
        <v>3840</v>
      </c>
      <c r="L124" s="97">
        <f>H124*4</f>
        <v>7680</v>
      </c>
      <c r="N124" s="97">
        <f>H124*2</f>
        <v>3840</v>
      </c>
      <c r="O124" s="97">
        <f>H124</f>
        <v>1920</v>
      </c>
      <c r="P124" s="97">
        <f>H124</f>
        <v>1920</v>
      </c>
      <c r="Q124" s="97">
        <f>H124*2</f>
        <v>3840</v>
      </c>
      <c r="R124" s="97">
        <f>H124*2</f>
        <v>3840</v>
      </c>
    </row>
    <row r="125" spans="1:18" x14ac:dyDescent="0.25">
      <c r="A125" s="78">
        <f t="shared" si="14"/>
        <v>45840</v>
      </c>
      <c r="G125" s="89">
        <f t="shared" si="9"/>
        <v>45875</v>
      </c>
    </row>
    <row r="126" spans="1:18" x14ac:dyDescent="0.25">
      <c r="A126" s="78">
        <f t="shared" si="14"/>
        <v>45841</v>
      </c>
      <c r="G126" s="89">
        <f t="shared" si="9"/>
        <v>45876</v>
      </c>
    </row>
    <row r="127" spans="1:18" x14ac:dyDescent="0.25">
      <c r="A127" s="78">
        <f t="shared" si="14"/>
        <v>45842</v>
      </c>
      <c r="G127" s="89">
        <f t="shared" si="9"/>
        <v>45877</v>
      </c>
    </row>
    <row r="128" spans="1:18" x14ac:dyDescent="0.25">
      <c r="A128" s="78">
        <f t="shared" si="14"/>
        <v>45843</v>
      </c>
      <c r="G128" s="89">
        <f t="shared" si="9"/>
        <v>45878</v>
      </c>
    </row>
    <row r="129" spans="1:37" x14ac:dyDescent="0.25">
      <c r="A129" s="78">
        <f t="shared" si="14"/>
        <v>45844</v>
      </c>
      <c r="G129" s="89">
        <f t="shared" si="9"/>
        <v>45879</v>
      </c>
    </row>
    <row r="130" spans="1:37" x14ac:dyDescent="0.25">
      <c r="A130" s="78">
        <f t="shared" si="14"/>
        <v>45845</v>
      </c>
      <c r="G130" s="89">
        <f t="shared" si="9"/>
        <v>45880</v>
      </c>
    </row>
    <row r="131" spans="1:37" x14ac:dyDescent="0.25">
      <c r="A131" s="78">
        <f t="shared" si="14"/>
        <v>45846</v>
      </c>
      <c r="G131" s="89">
        <f t="shared" si="9"/>
        <v>45881</v>
      </c>
      <c r="H131" s="77">
        <v>1920</v>
      </c>
      <c r="I131" s="77">
        <f>I124-H131</f>
        <v>254</v>
      </c>
      <c r="K131" s="97">
        <f>H131*2</f>
        <v>3840</v>
      </c>
      <c r="L131" s="97">
        <f>H131*4</f>
        <v>7680</v>
      </c>
      <c r="N131" s="97">
        <f>H131*2</f>
        <v>3840</v>
      </c>
      <c r="O131" s="97">
        <f>H131</f>
        <v>1920</v>
      </c>
      <c r="P131" s="97">
        <f>H131</f>
        <v>1920</v>
      </c>
      <c r="Q131" s="97">
        <f>H131*2</f>
        <v>3840</v>
      </c>
      <c r="R131" s="97">
        <f>H131*2</f>
        <v>3840</v>
      </c>
    </row>
    <row r="132" spans="1:37" x14ac:dyDescent="0.25">
      <c r="A132" s="78">
        <f t="shared" si="14"/>
        <v>45847</v>
      </c>
      <c r="G132" s="89">
        <f t="shared" si="9"/>
        <v>45882</v>
      </c>
    </row>
    <row r="133" spans="1:37" x14ac:dyDescent="0.25">
      <c r="A133" s="78">
        <f t="shared" si="14"/>
        <v>45848</v>
      </c>
      <c r="G133" s="89">
        <f t="shared" si="9"/>
        <v>45883</v>
      </c>
    </row>
    <row r="134" spans="1:37" x14ac:dyDescent="0.25">
      <c r="A134" s="78">
        <f t="shared" si="14"/>
        <v>45849</v>
      </c>
      <c r="G134" s="89">
        <f t="shared" si="9"/>
        <v>45884</v>
      </c>
    </row>
    <row r="135" spans="1:37" x14ac:dyDescent="0.25">
      <c r="A135" s="78">
        <f t="shared" si="14"/>
        <v>45850</v>
      </c>
      <c r="G135" s="89">
        <f t="shared" si="9"/>
        <v>45885</v>
      </c>
    </row>
    <row r="136" spans="1:37" x14ac:dyDescent="0.25">
      <c r="A136" s="78">
        <f t="shared" si="14"/>
        <v>45851</v>
      </c>
      <c r="G136" s="89">
        <f t="shared" si="9"/>
        <v>45886</v>
      </c>
    </row>
    <row r="137" spans="1:37" x14ac:dyDescent="0.25">
      <c r="A137" s="78">
        <f t="shared" si="14"/>
        <v>45852</v>
      </c>
      <c r="G137" s="89">
        <f t="shared" si="9"/>
        <v>45887</v>
      </c>
    </row>
    <row r="138" spans="1:37" ht="13.8" customHeight="1" x14ac:dyDescent="0.25">
      <c r="A138" s="78">
        <f t="shared" si="14"/>
        <v>45853</v>
      </c>
      <c r="G138" s="89">
        <f t="shared" si="9"/>
        <v>45888</v>
      </c>
      <c r="H138" s="77">
        <v>254</v>
      </c>
      <c r="I138" s="77">
        <f>I131-H138</f>
        <v>0</v>
      </c>
      <c r="K138" s="97">
        <f>H138*2</f>
        <v>508</v>
      </c>
      <c r="L138" s="97">
        <f>H138*4</f>
        <v>1016</v>
      </c>
      <c r="N138" s="97">
        <f>H138*2</f>
        <v>508</v>
      </c>
      <c r="O138" s="97">
        <f>H138</f>
        <v>254</v>
      </c>
      <c r="P138" s="97">
        <f>H138</f>
        <v>254</v>
      </c>
      <c r="Q138" s="97">
        <f>H138*2</f>
        <v>508</v>
      </c>
      <c r="R138" s="97">
        <f>H138*2</f>
        <v>508</v>
      </c>
      <c r="AD138" s="95">
        <f t="shared" ref="AD138:AK138" si="15">AD110-K117-K124-K131-K138</f>
        <v>0</v>
      </c>
      <c r="AE138" s="95">
        <f t="shared" si="15"/>
        <v>0</v>
      </c>
      <c r="AF138" s="95">
        <f t="shared" si="15"/>
        <v>0</v>
      </c>
      <c r="AG138" s="95">
        <f t="shared" si="15"/>
        <v>0</v>
      </c>
      <c r="AH138" s="95">
        <f t="shared" si="15"/>
        <v>0</v>
      </c>
      <c r="AI138" s="95">
        <f t="shared" si="15"/>
        <v>0</v>
      </c>
      <c r="AJ138" s="95">
        <f t="shared" si="15"/>
        <v>0</v>
      </c>
      <c r="AK138" s="95">
        <f t="shared" si="15"/>
        <v>0</v>
      </c>
    </row>
    <row r="139" spans="1:37" x14ac:dyDescent="0.25">
      <c r="C139" s="77">
        <f>C90+C93+C95+C112</f>
        <v>34814</v>
      </c>
      <c r="D139" s="77">
        <f>SUM(D12:D138)</f>
        <v>34814</v>
      </c>
      <c r="H139" s="77">
        <f>SUM(H12:H138)</f>
        <v>34814</v>
      </c>
      <c r="K139" s="77">
        <f t="shared" ref="K139" si="16">SUM(K12:K138)</f>
        <v>69628</v>
      </c>
      <c r="L139" s="77">
        <f t="shared" ref="L139" si="17">SUM(L12:L138)</f>
        <v>139256</v>
      </c>
      <c r="M139" s="77">
        <f t="shared" ref="M139" si="18">SUM(M12:M138)</f>
        <v>0</v>
      </c>
      <c r="N139" s="77">
        <f t="shared" ref="N139" si="19">SUM(N12:N138)</f>
        <v>69628</v>
      </c>
      <c r="O139" s="77">
        <f t="shared" ref="O139" si="20">SUM(O12:O138)</f>
        <v>34814</v>
      </c>
      <c r="P139" s="77">
        <f t="shared" ref="P139" si="21">SUM(P12:P138)</f>
        <v>34814</v>
      </c>
      <c r="Q139" s="77">
        <f t="shared" ref="Q139" si="22">SUM(Q12:Q138)</f>
        <v>69628</v>
      </c>
      <c r="R139" s="77">
        <f t="shared" ref="R139" si="23">SUM(R12:R138)</f>
        <v>69628</v>
      </c>
      <c r="U139" s="77">
        <f>SUM(U7:U138)</f>
        <v>69628</v>
      </c>
      <c r="V139" s="77">
        <f t="shared" ref="V139:AB139" si="24">SUM(V7:V138)</f>
        <v>139256</v>
      </c>
      <c r="W139" s="77">
        <f t="shared" si="24"/>
        <v>0</v>
      </c>
      <c r="X139" s="77">
        <f t="shared" si="24"/>
        <v>69628</v>
      </c>
      <c r="Y139" s="77">
        <f t="shared" si="24"/>
        <v>34814</v>
      </c>
      <c r="Z139" s="77">
        <f t="shared" si="24"/>
        <v>34814</v>
      </c>
      <c r="AA139" s="77">
        <f t="shared" si="24"/>
        <v>69628</v>
      </c>
      <c r="AB139" s="77">
        <f t="shared" si="24"/>
        <v>69628</v>
      </c>
    </row>
    <row r="147" spans="1:2" x14ac:dyDescent="0.25">
      <c r="A147" s="82"/>
      <c r="B147" s="77" t="s">
        <v>122</v>
      </c>
    </row>
    <row r="149" spans="1:2" x14ac:dyDescent="0.25">
      <c r="A149" s="83"/>
      <c r="B149" s="77" t="s">
        <v>123</v>
      </c>
    </row>
    <row r="151" spans="1:2" x14ac:dyDescent="0.25">
      <c r="A151" s="84"/>
      <c r="B151" s="77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DEC3-1A13-4ED3-9B6F-3268C74BEF3D}">
  <sheetPr>
    <pageSetUpPr fitToPage="1"/>
  </sheetPr>
  <dimension ref="A1:R327"/>
  <sheetViews>
    <sheetView tabSelected="1" topLeftCell="A304" workbookViewId="0">
      <selection activeCell="E326" sqref="E326"/>
    </sheetView>
  </sheetViews>
  <sheetFormatPr defaultColWidth="10.33203125" defaultRowHeight="13.2" x14ac:dyDescent="0.25"/>
  <cols>
    <col min="2" max="2" width="9.88671875" customWidth="1"/>
    <col min="3" max="3" width="47.33203125" customWidth="1"/>
    <col min="13" max="13" width="10.88671875" customWidth="1"/>
    <col min="17" max="17" width="16.6640625" customWidth="1"/>
  </cols>
  <sheetData>
    <row r="1" spans="1:18" ht="27.6" x14ac:dyDescent="0.25">
      <c r="A1" s="29" t="s">
        <v>39</v>
      </c>
      <c r="B1" s="30" t="s">
        <v>40</v>
      </c>
      <c r="C1" s="31" t="s">
        <v>41</v>
      </c>
      <c r="D1" s="29" t="s">
        <v>42</v>
      </c>
      <c r="E1" s="30" t="s">
        <v>43</v>
      </c>
      <c r="F1" s="30" t="s">
        <v>44</v>
      </c>
      <c r="G1" s="30" t="s">
        <v>45</v>
      </c>
      <c r="H1" s="30" t="s">
        <v>46</v>
      </c>
      <c r="I1" s="30" t="s">
        <v>47</v>
      </c>
      <c r="J1" s="30" t="s">
        <v>48</v>
      </c>
      <c r="K1" s="30" t="s">
        <v>49</v>
      </c>
      <c r="L1" s="30" t="s">
        <v>50</v>
      </c>
      <c r="M1" s="30" t="s">
        <v>51</v>
      </c>
      <c r="N1" s="30" t="s">
        <v>52</v>
      </c>
      <c r="O1" s="30" t="s">
        <v>53</v>
      </c>
      <c r="P1" s="30" t="s">
        <v>54</v>
      </c>
      <c r="Q1" s="30" t="s">
        <v>55</v>
      </c>
    </row>
    <row r="2" spans="1:18" ht="14.4" x14ac:dyDescent="0.25">
      <c r="A2" s="32"/>
      <c r="B2" s="32" t="s">
        <v>56</v>
      </c>
      <c r="C2" s="32" t="s">
        <v>57</v>
      </c>
      <c r="D2" s="33">
        <v>60</v>
      </c>
      <c r="E2" s="34">
        <f>G2+F2</f>
        <v>907</v>
      </c>
      <c r="F2" s="34">
        <v>61</v>
      </c>
      <c r="G2" s="34">
        <f>D2*H2</f>
        <v>846</v>
      </c>
      <c r="H2" s="34">
        <v>14.1</v>
      </c>
      <c r="I2" s="34">
        <v>1.0249999999999999</v>
      </c>
      <c r="J2" s="34">
        <v>1.0049999999999999</v>
      </c>
      <c r="K2" s="34">
        <v>0.75</v>
      </c>
      <c r="L2" s="35">
        <f t="shared" ref="L2:L9" si="0">I2*J2*K2</f>
        <v>0.77259374999999975</v>
      </c>
      <c r="M2" s="36">
        <v>63972</v>
      </c>
      <c r="N2" s="32">
        <f t="shared" ref="N2:N9" si="1">M2/D2</f>
        <v>1066.2</v>
      </c>
      <c r="O2" s="32">
        <f t="shared" ref="O2:O9" si="2">N2*E2</f>
        <v>967043.4</v>
      </c>
      <c r="P2" s="32">
        <f>N2*L2</f>
        <v>823.73945624999976</v>
      </c>
      <c r="Q2" s="32" t="s">
        <v>58</v>
      </c>
      <c r="R2">
        <f>M2-M15-M30-M45-M60-M75-M90-M105-M120-M135-M150-M165-M180*33-M195-M286</f>
        <v>0</v>
      </c>
    </row>
    <row r="3" spans="1:18" ht="14.4" x14ac:dyDescent="0.25">
      <c r="A3" s="32"/>
      <c r="B3" s="32" t="s">
        <v>60</v>
      </c>
      <c r="C3" s="37" t="s">
        <v>61</v>
      </c>
      <c r="D3" s="33">
        <v>1000</v>
      </c>
      <c r="E3" s="34">
        <f t="shared" ref="E3:E6" si="3">G3+F3</f>
        <v>610</v>
      </c>
      <c r="F3" s="32">
        <v>40</v>
      </c>
      <c r="G3" s="34">
        <f t="shared" ref="G3:G6" si="4">D3*H3</f>
        <v>570</v>
      </c>
      <c r="H3" s="34">
        <v>0.56999999999999995</v>
      </c>
      <c r="I3" s="32">
        <v>1.1000000000000001</v>
      </c>
      <c r="J3" s="32">
        <v>0.8</v>
      </c>
      <c r="K3" s="32">
        <v>0.55000000000000004</v>
      </c>
      <c r="L3" s="38">
        <f t="shared" si="0"/>
        <v>0.4840000000000001</v>
      </c>
      <c r="M3" s="36">
        <f>'[1]Packing Information'!F7</f>
        <v>127944</v>
      </c>
      <c r="N3" s="32">
        <f t="shared" si="1"/>
        <v>127.944</v>
      </c>
      <c r="O3" s="32">
        <f t="shared" si="2"/>
        <v>78045.84</v>
      </c>
      <c r="P3" s="32">
        <f t="shared" ref="P3:P9" si="5">N3*L3</f>
        <v>61.924896000000011</v>
      </c>
      <c r="Q3" s="32" t="s">
        <v>58</v>
      </c>
      <c r="R3">
        <f>M3-M16-M31-M46-M61-M76-M91-M106-M121-M136-M151-M166-M196</f>
        <v>0</v>
      </c>
    </row>
    <row r="4" spans="1:18" ht="14.4" x14ac:dyDescent="0.25">
      <c r="A4" s="32"/>
      <c r="B4" s="32" t="s">
        <v>60</v>
      </c>
      <c r="C4" s="37" t="s">
        <v>62</v>
      </c>
      <c r="D4" s="33">
        <v>3000</v>
      </c>
      <c r="E4" s="34">
        <f t="shared" si="3"/>
        <v>940</v>
      </c>
      <c r="F4" s="32">
        <v>40</v>
      </c>
      <c r="G4" s="34">
        <f t="shared" si="4"/>
        <v>900</v>
      </c>
      <c r="H4" s="34">
        <v>0.3</v>
      </c>
      <c r="I4" s="32">
        <v>1.1299999999999999</v>
      </c>
      <c r="J4" s="32">
        <v>1.08</v>
      </c>
      <c r="K4" s="32">
        <v>1.08</v>
      </c>
      <c r="L4" s="38">
        <f t="shared" si="0"/>
        <v>1.3180320000000001</v>
      </c>
      <c r="M4" s="36">
        <f>'[1]Packing Information'!F8</f>
        <v>63972</v>
      </c>
      <c r="N4" s="32">
        <f t="shared" si="1"/>
        <v>21.324000000000002</v>
      </c>
      <c r="O4" s="32">
        <f t="shared" si="2"/>
        <v>20044.560000000001</v>
      </c>
      <c r="P4" s="32">
        <f t="shared" si="5"/>
        <v>28.105714368000005</v>
      </c>
      <c r="Q4" s="32" t="s">
        <v>58</v>
      </c>
      <c r="R4">
        <f>M4-M17-M32-M47-M62-M77-M92-M107-M122-M137-M152-M167-M197</f>
        <v>0</v>
      </c>
    </row>
    <row r="5" spans="1:18" ht="14.4" x14ac:dyDescent="0.25">
      <c r="A5" s="32"/>
      <c r="B5" s="32" t="s">
        <v>60</v>
      </c>
      <c r="C5" s="37" t="s">
        <v>63</v>
      </c>
      <c r="D5" s="33">
        <v>8600</v>
      </c>
      <c r="E5" s="34">
        <f t="shared" si="3"/>
        <v>814</v>
      </c>
      <c r="F5" s="32">
        <v>40</v>
      </c>
      <c r="G5" s="34">
        <f t="shared" si="4"/>
        <v>774</v>
      </c>
      <c r="H5" s="34">
        <v>0.09</v>
      </c>
      <c r="I5" s="32">
        <v>1.1499999999999999</v>
      </c>
      <c r="J5" s="32">
        <v>0.99</v>
      </c>
      <c r="K5" s="32">
        <v>1.08</v>
      </c>
      <c r="L5" s="38">
        <f t="shared" si="0"/>
        <v>1.2295799999999999</v>
      </c>
      <c r="M5" s="36">
        <f>'[1]Packing Information'!F12</f>
        <v>63972</v>
      </c>
      <c r="N5" s="32">
        <f t="shared" si="1"/>
        <v>7.438604651162791</v>
      </c>
      <c r="O5" s="32">
        <f t="shared" si="2"/>
        <v>6055.0241860465121</v>
      </c>
      <c r="P5" s="32">
        <f t="shared" si="5"/>
        <v>9.1463595069767436</v>
      </c>
      <c r="Q5" s="32" t="s">
        <v>64</v>
      </c>
      <c r="R5">
        <f>M5-M18-M33-M48-M63-M78-M93-M108-M123-M138-M153-M168-M198-M213-M228-M243-M258-M273</f>
        <v>0</v>
      </c>
    </row>
    <row r="6" spans="1:18" ht="14.4" x14ac:dyDescent="0.25">
      <c r="A6" s="32"/>
      <c r="B6" s="32" t="s">
        <v>60</v>
      </c>
      <c r="C6" s="37" t="s">
        <v>65</v>
      </c>
      <c r="D6" s="33">
        <v>4800</v>
      </c>
      <c r="E6" s="34">
        <f t="shared" si="3"/>
        <v>472</v>
      </c>
      <c r="F6" s="32">
        <v>40</v>
      </c>
      <c r="G6" s="34">
        <f t="shared" si="4"/>
        <v>432</v>
      </c>
      <c r="H6" s="34">
        <v>0.09</v>
      </c>
      <c r="I6" s="32">
        <v>1.1100000000000001</v>
      </c>
      <c r="J6" s="32">
        <v>1.1000000000000001</v>
      </c>
      <c r="K6" s="32">
        <v>1.05</v>
      </c>
      <c r="L6" s="38">
        <f t="shared" si="0"/>
        <v>1.2820500000000004</v>
      </c>
      <c r="M6" s="36">
        <f>'[1]Packing Information'!F6</f>
        <v>255888</v>
      </c>
      <c r="N6" s="32">
        <f t="shared" si="1"/>
        <v>53.31</v>
      </c>
      <c r="O6" s="32">
        <f t="shared" si="2"/>
        <v>25162.32</v>
      </c>
      <c r="P6" s="32">
        <f t="shared" si="5"/>
        <v>68.346085500000015</v>
      </c>
      <c r="Q6" s="32" t="s">
        <v>58</v>
      </c>
      <c r="R6">
        <f>M6-M19-M34-M49-M64-M79-M94-M109-M124-M139-M154-M169-M199-M214-M229-M244-M259-M274</f>
        <v>-57000</v>
      </c>
    </row>
    <row r="7" spans="1:18" ht="14.4" x14ac:dyDescent="0.25">
      <c r="A7" s="39"/>
      <c r="B7" s="32" t="s">
        <v>60</v>
      </c>
      <c r="C7" s="32" t="s">
        <v>66</v>
      </c>
      <c r="D7" s="32">
        <v>4000</v>
      </c>
      <c r="E7" s="32">
        <v>223</v>
      </c>
      <c r="F7" s="32">
        <v>30</v>
      </c>
      <c r="G7" s="32">
        <v>188</v>
      </c>
      <c r="H7" s="32">
        <v>0.05</v>
      </c>
      <c r="I7" s="32">
        <v>1.05</v>
      </c>
      <c r="J7" s="32">
        <v>1.05</v>
      </c>
      <c r="K7" s="32">
        <v>0.55000000000000004</v>
      </c>
      <c r="L7" s="38">
        <f t="shared" si="0"/>
        <v>0.60637500000000011</v>
      </c>
      <c r="M7" s="36">
        <f>'[1]Packing Information'!F14</f>
        <v>127944</v>
      </c>
      <c r="N7" s="32">
        <f t="shared" si="1"/>
        <v>31.986000000000001</v>
      </c>
      <c r="O7" s="32">
        <f t="shared" si="2"/>
        <v>7132.8779999999997</v>
      </c>
      <c r="P7" s="32">
        <f t="shared" si="5"/>
        <v>19.395510750000003</v>
      </c>
      <c r="Q7" s="32" t="s">
        <v>64</v>
      </c>
      <c r="R7">
        <f>M7-M20-M35-M50-M65-M80-M95-M110-M125-M140-M155-M170-M200-M215-M230-M245-M260-M275</f>
        <v>0</v>
      </c>
    </row>
    <row r="8" spans="1:18" ht="14.4" x14ac:dyDescent="0.25">
      <c r="A8" s="40"/>
      <c r="B8" s="32" t="s">
        <v>60</v>
      </c>
      <c r="C8" s="32" t="s">
        <v>67</v>
      </c>
      <c r="D8" s="32">
        <v>1000</v>
      </c>
      <c r="E8" s="32">
        <v>830</v>
      </c>
      <c r="F8" s="32">
        <v>40</v>
      </c>
      <c r="G8" s="32">
        <v>790</v>
      </c>
      <c r="H8" s="32">
        <v>0.79</v>
      </c>
      <c r="I8" s="32">
        <v>1.1000000000000001</v>
      </c>
      <c r="J8" s="32">
        <v>0.88</v>
      </c>
      <c r="K8" s="32">
        <v>0.74</v>
      </c>
      <c r="L8" s="38">
        <f t="shared" si="0"/>
        <v>0.71632000000000007</v>
      </c>
      <c r="M8" s="36">
        <f>'[1]Packing Information'!F13</f>
        <v>127944</v>
      </c>
      <c r="N8" s="32">
        <f t="shared" si="1"/>
        <v>127.944</v>
      </c>
      <c r="O8" s="32">
        <f t="shared" si="2"/>
        <v>106193.52</v>
      </c>
      <c r="P8" s="32">
        <f t="shared" si="5"/>
        <v>91.648846080000013</v>
      </c>
      <c r="Q8" s="32" t="s">
        <v>64</v>
      </c>
      <c r="R8">
        <f>M8-M21-M36-M51-M66-M81-M96-M111-M126-M141-M156-M171-M201-M216-M231-M246-M261-M276</f>
        <v>0</v>
      </c>
    </row>
    <row r="9" spans="1:18" ht="14.4" x14ac:dyDescent="0.25">
      <c r="A9" s="39"/>
      <c r="B9" s="39" t="s">
        <v>68</v>
      </c>
      <c r="C9" s="39" t="s">
        <v>0</v>
      </c>
      <c r="D9" s="35">
        <v>4000</v>
      </c>
      <c r="E9" s="35">
        <v>424</v>
      </c>
      <c r="F9" s="35">
        <v>40</v>
      </c>
      <c r="G9" s="35">
        <v>372</v>
      </c>
      <c r="H9" s="35">
        <v>0.1</v>
      </c>
      <c r="I9" s="35">
        <v>1.1000000000000001</v>
      </c>
      <c r="J9" s="35">
        <v>0.8</v>
      </c>
      <c r="K9" s="35">
        <v>0.55000000000000004</v>
      </c>
      <c r="L9" s="38">
        <f t="shared" si="0"/>
        <v>0.4840000000000001</v>
      </c>
      <c r="M9" s="36">
        <f>'[1]Packing Information'!F9</f>
        <v>127944</v>
      </c>
      <c r="N9" s="32">
        <f t="shared" si="1"/>
        <v>31.986000000000001</v>
      </c>
      <c r="O9" s="32">
        <f t="shared" si="2"/>
        <v>13562.064</v>
      </c>
      <c r="P9" s="32">
        <f t="shared" si="5"/>
        <v>15.481224000000003</v>
      </c>
      <c r="Q9" s="32" t="s">
        <v>58</v>
      </c>
      <c r="R9">
        <f>M9-M22-M37-M52-M67-M82-M97-M112-M127-M142-M157-M172-M202-M217-M232-M247-M262-M277</f>
        <v>0</v>
      </c>
    </row>
    <row r="10" spans="1:18" x14ac:dyDescent="0.25">
      <c r="L10" t="s">
        <v>69</v>
      </c>
      <c r="M10">
        <f>SUM(M2:M9)</f>
        <v>959580</v>
      </c>
      <c r="N10">
        <f>SUM(N2:N9)</f>
        <v>1468.1326046511631</v>
      </c>
      <c r="O10">
        <f>SUM(O2:O9)</f>
        <v>1223239.6061860467</v>
      </c>
      <c r="P10">
        <f t="shared" ref="P10" si="6">SUM(P2:P9)</f>
        <v>1117.7880924549765</v>
      </c>
    </row>
    <row r="11" spans="1:18" x14ac:dyDescent="0.25">
      <c r="O11" s="40"/>
    </row>
    <row r="13" spans="1:18" ht="14.4" x14ac:dyDescent="0.3">
      <c r="A13" t="s">
        <v>70</v>
      </c>
      <c r="B13" t="s">
        <v>59</v>
      </c>
      <c r="C13" s="32" t="s">
        <v>58</v>
      </c>
      <c r="D13" t="s">
        <v>71</v>
      </c>
      <c r="F13" s="54" t="s">
        <v>72</v>
      </c>
    </row>
    <row r="14" spans="1:18" ht="27.6" x14ac:dyDescent="0.25">
      <c r="A14" s="29" t="s">
        <v>39</v>
      </c>
      <c r="B14" s="30" t="s">
        <v>40</v>
      </c>
      <c r="C14" s="31" t="s">
        <v>41</v>
      </c>
      <c r="D14" s="29" t="s">
        <v>42</v>
      </c>
      <c r="E14" s="30" t="s">
        <v>43</v>
      </c>
      <c r="F14" s="30" t="s">
        <v>44</v>
      </c>
      <c r="G14" s="30" t="s">
        <v>45</v>
      </c>
      <c r="H14" s="30" t="s">
        <v>46</v>
      </c>
      <c r="I14" s="30" t="s">
        <v>47</v>
      </c>
      <c r="J14" s="30" t="s">
        <v>48</v>
      </c>
      <c r="K14" s="30" t="s">
        <v>49</v>
      </c>
      <c r="L14" s="30" t="s">
        <v>50</v>
      </c>
      <c r="M14" s="30" t="s">
        <v>51</v>
      </c>
      <c r="N14" s="30" t="s">
        <v>52</v>
      </c>
      <c r="O14" s="30" t="s">
        <v>53</v>
      </c>
      <c r="P14" s="30" t="s">
        <v>54</v>
      </c>
      <c r="Q14" s="30" t="s">
        <v>55</v>
      </c>
    </row>
    <row r="15" spans="1:18" ht="14.4" x14ac:dyDescent="0.25">
      <c r="A15" s="32"/>
      <c r="B15" s="32" t="s">
        <v>56</v>
      </c>
      <c r="C15" s="32" t="s">
        <v>57</v>
      </c>
      <c r="D15" s="33">
        <v>60</v>
      </c>
      <c r="E15" s="34">
        <f>G15+F15</f>
        <v>907</v>
      </c>
      <c r="F15" s="34">
        <v>61</v>
      </c>
      <c r="G15" s="34">
        <f>D15*H15</f>
        <v>846</v>
      </c>
      <c r="H15" s="34">
        <v>14.1</v>
      </c>
      <c r="I15" s="34">
        <v>1.0249999999999999</v>
      </c>
      <c r="J15" s="34">
        <v>1.0049999999999999</v>
      </c>
      <c r="K15" s="34">
        <v>0.75</v>
      </c>
      <c r="L15" s="35">
        <f t="shared" ref="L15:L22" si="7">I15*J15*K15</f>
        <v>0.77259374999999975</v>
      </c>
      <c r="M15" s="36"/>
      <c r="N15" s="32">
        <f t="shared" ref="N15:N22" si="8">M15/D15</f>
        <v>0</v>
      </c>
      <c r="O15" s="32">
        <f t="shared" ref="O15:O22" si="9">N15*E15</f>
        <v>0</v>
      </c>
      <c r="P15" s="32">
        <f t="shared" ref="P15:P22" si="10">N15*L15</f>
        <v>0</v>
      </c>
      <c r="Q15" s="32" t="s">
        <v>58</v>
      </c>
    </row>
    <row r="16" spans="1:18" ht="14.4" x14ac:dyDescent="0.25">
      <c r="A16" s="32"/>
      <c r="B16" s="32" t="s">
        <v>60</v>
      </c>
      <c r="C16" s="37" t="s">
        <v>61</v>
      </c>
      <c r="D16" s="33">
        <v>1000</v>
      </c>
      <c r="E16" s="34">
        <f t="shared" ref="E16:E19" si="11">G16+F16</f>
        <v>610</v>
      </c>
      <c r="F16" s="32">
        <v>40</v>
      </c>
      <c r="G16" s="34">
        <f t="shared" ref="G16:G19" si="12">D16*H16</f>
        <v>570</v>
      </c>
      <c r="H16" s="34">
        <v>0.56999999999999995</v>
      </c>
      <c r="I16" s="32">
        <v>1.1000000000000001</v>
      </c>
      <c r="J16" s="32">
        <v>0.8</v>
      </c>
      <c r="K16" s="32">
        <v>0.55000000000000004</v>
      </c>
      <c r="L16" s="38">
        <f t="shared" si="7"/>
        <v>0.4840000000000001</v>
      </c>
      <c r="M16" s="36">
        <v>24000</v>
      </c>
      <c r="N16" s="32">
        <f t="shared" si="8"/>
        <v>24</v>
      </c>
      <c r="O16" s="32">
        <f t="shared" si="9"/>
        <v>14640</v>
      </c>
      <c r="P16" s="32">
        <f t="shared" si="10"/>
        <v>11.616000000000003</v>
      </c>
      <c r="Q16" s="32" t="s">
        <v>58</v>
      </c>
    </row>
    <row r="17" spans="1:17" ht="14.4" x14ac:dyDescent="0.25">
      <c r="A17" s="32"/>
      <c r="B17" s="32" t="s">
        <v>60</v>
      </c>
      <c r="C17" s="37" t="s">
        <v>62</v>
      </c>
      <c r="D17" s="33">
        <v>3000</v>
      </c>
      <c r="E17" s="34">
        <f t="shared" si="11"/>
        <v>940</v>
      </c>
      <c r="F17" s="32">
        <v>40</v>
      </c>
      <c r="G17" s="34">
        <f t="shared" si="12"/>
        <v>900</v>
      </c>
      <c r="H17" s="34">
        <v>0.3</v>
      </c>
      <c r="I17" s="32">
        <v>1.1299999999999999</v>
      </c>
      <c r="J17" s="32">
        <v>1.08</v>
      </c>
      <c r="K17" s="32">
        <v>1.08</v>
      </c>
      <c r="L17" s="38">
        <f t="shared" si="7"/>
        <v>1.3180320000000001</v>
      </c>
      <c r="M17" s="36"/>
      <c r="N17" s="32">
        <f t="shared" si="8"/>
        <v>0</v>
      </c>
      <c r="O17" s="32">
        <f t="shared" si="9"/>
        <v>0</v>
      </c>
      <c r="P17" s="32">
        <f t="shared" si="10"/>
        <v>0</v>
      </c>
      <c r="Q17" s="32" t="s">
        <v>58</v>
      </c>
    </row>
    <row r="18" spans="1:17" ht="14.4" x14ac:dyDescent="0.25">
      <c r="A18" s="32"/>
      <c r="B18" s="32" t="s">
        <v>60</v>
      </c>
      <c r="C18" s="37" t="s">
        <v>63</v>
      </c>
      <c r="D18" s="33">
        <v>8600</v>
      </c>
      <c r="E18" s="34">
        <f t="shared" si="11"/>
        <v>814</v>
      </c>
      <c r="F18" s="32">
        <v>40</v>
      </c>
      <c r="G18" s="34">
        <f t="shared" si="12"/>
        <v>774</v>
      </c>
      <c r="H18" s="34">
        <v>0.09</v>
      </c>
      <c r="I18" s="32">
        <v>1.1499999999999999</v>
      </c>
      <c r="J18" s="32">
        <v>0.99</v>
      </c>
      <c r="K18" s="32">
        <v>1.08</v>
      </c>
      <c r="L18" s="38">
        <f t="shared" si="7"/>
        <v>1.2295799999999999</v>
      </c>
      <c r="M18" s="36"/>
      <c r="N18" s="32">
        <f t="shared" si="8"/>
        <v>0</v>
      </c>
      <c r="O18" s="32">
        <f t="shared" si="9"/>
        <v>0</v>
      </c>
      <c r="P18" s="32">
        <f t="shared" si="10"/>
        <v>0</v>
      </c>
      <c r="Q18" s="32" t="s">
        <v>64</v>
      </c>
    </row>
    <row r="19" spans="1:17" ht="14.4" x14ac:dyDescent="0.25">
      <c r="A19" s="32"/>
      <c r="B19" s="32" t="s">
        <v>60</v>
      </c>
      <c r="C19" s="37" t="s">
        <v>65</v>
      </c>
      <c r="D19" s="33">
        <v>4800</v>
      </c>
      <c r="E19" s="34">
        <f t="shared" si="11"/>
        <v>472</v>
      </c>
      <c r="F19" s="32">
        <v>40</v>
      </c>
      <c r="G19" s="34">
        <f t="shared" si="12"/>
        <v>432</v>
      </c>
      <c r="H19" s="34">
        <v>0.09</v>
      </c>
      <c r="I19" s="32">
        <v>1.1100000000000001</v>
      </c>
      <c r="J19" s="32">
        <v>1.1000000000000001</v>
      </c>
      <c r="K19" s="32">
        <v>1.05</v>
      </c>
      <c r="L19" s="38">
        <f t="shared" si="7"/>
        <v>1.2820500000000004</v>
      </c>
      <c r="M19" s="36">
        <v>38400</v>
      </c>
      <c r="N19" s="32">
        <f t="shared" si="8"/>
        <v>8</v>
      </c>
      <c r="O19" s="32">
        <f t="shared" si="9"/>
        <v>3776</v>
      </c>
      <c r="P19" s="32">
        <f t="shared" si="10"/>
        <v>10.256400000000003</v>
      </c>
      <c r="Q19" s="32" t="s">
        <v>58</v>
      </c>
    </row>
    <row r="20" spans="1:17" ht="14.4" x14ac:dyDescent="0.25">
      <c r="A20" s="39"/>
      <c r="B20" s="32" t="s">
        <v>60</v>
      </c>
      <c r="C20" s="32" t="s">
        <v>66</v>
      </c>
      <c r="D20" s="32">
        <v>4000</v>
      </c>
      <c r="E20" s="32">
        <v>223</v>
      </c>
      <c r="F20" s="32">
        <v>30</v>
      </c>
      <c r="G20" s="32">
        <v>188</v>
      </c>
      <c r="H20" s="32">
        <v>0.05</v>
      </c>
      <c r="I20" s="32">
        <v>1.05</v>
      </c>
      <c r="J20" s="32">
        <v>1.05</v>
      </c>
      <c r="K20" s="32">
        <v>0.55000000000000004</v>
      </c>
      <c r="L20" s="38">
        <f t="shared" si="7"/>
        <v>0.60637500000000011</v>
      </c>
      <c r="M20" s="36"/>
      <c r="N20" s="32">
        <f t="shared" si="8"/>
        <v>0</v>
      </c>
      <c r="O20" s="32">
        <f t="shared" si="9"/>
        <v>0</v>
      </c>
      <c r="P20" s="32">
        <f t="shared" si="10"/>
        <v>0</v>
      </c>
      <c r="Q20" s="32" t="s">
        <v>64</v>
      </c>
    </row>
    <row r="21" spans="1:17" ht="14.4" x14ac:dyDescent="0.25">
      <c r="A21" s="40"/>
      <c r="B21" s="32" t="s">
        <v>60</v>
      </c>
      <c r="C21" s="32" t="s">
        <v>67</v>
      </c>
      <c r="D21" s="32">
        <v>1000</v>
      </c>
      <c r="E21" s="32">
        <v>830</v>
      </c>
      <c r="F21" s="32">
        <v>40</v>
      </c>
      <c r="G21" s="32">
        <v>790</v>
      </c>
      <c r="H21" s="32">
        <v>0.79</v>
      </c>
      <c r="I21" s="32">
        <v>1.1000000000000001</v>
      </c>
      <c r="J21" s="32">
        <v>0.88</v>
      </c>
      <c r="K21" s="32">
        <v>0.74</v>
      </c>
      <c r="L21" s="38">
        <f t="shared" si="7"/>
        <v>0.71632000000000007</v>
      </c>
      <c r="M21" s="36"/>
      <c r="N21" s="32">
        <f t="shared" si="8"/>
        <v>0</v>
      </c>
      <c r="O21" s="32">
        <f t="shared" si="9"/>
        <v>0</v>
      </c>
      <c r="P21" s="32">
        <f t="shared" si="10"/>
        <v>0</v>
      </c>
      <c r="Q21" s="32" t="s">
        <v>64</v>
      </c>
    </row>
    <row r="22" spans="1:17" ht="14.4" x14ac:dyDescent="0.25">
      <c r="A22" s="39"/>
      <c r="B22" s="39" t="s">
        <v>68</v>
      </c>
      <c r="C22" s="39" t="s">
        <v>0</v>
      </c>
      <c r="D22" s="35">
        <v>4000</v>
      </c>
      <c r="E22" s="35">
        <v>424</v>
      </c>
      <c r="F22" s="35">
        <v>40</v>
      </c>
      <c r="G22" s="35">
        <v>372</v>
      </c>
      <c r="H22" s="35">
        <v>0.1</v>
      </c>
      <c r="I22" s="35">
        <v>1.1000000000000001</v>
      </c>
      <c r="J22" s="35">
        <v>0.8</v>
      </c>
      <c r="K22" s="35">
        <v>0.55000000000000004</v>
      </c>
      <c r="L22" s="38">
        <f t="shared" si="7"/>
        <v>0.4840000000000001</v>
      </c>
      <c r="M22" s="36">
        <v>32000</v>
      </c>
      <c r="N22" s="32">
        <f t="shared" si="8"/>
        <v>8</v>
      </c>
      <c r="O22" s="32">
        <f t="shared" si="9"/>
        <v>3392</v>
      </c>
      <c r="P22" s="32">
        <f t="shared" si="10"/>
        <v>3.8720000000000008</v>
      </c>
      <c r="Q22" s="32" t="s">
        <v>58</v>
      </c>
    </row>
    <row r="23" spans="1:17" x14ac:dyDescent="0.25">
      <c r="L23">
        <f>SUM(L15:L22)</f>
        <v>6.8929507500000007</v>
      </c>
      <c r="M23">
        <f t="shared" ref="M23:P23" si="13">SUM(M15:M22)</f>
        <v>94400</v>
      </c>
      <c r="N23">
        <f t="shared" si="13"/>
        <v>40</v>
      </c>
      <c r="O23">
        <f t="shared" si="13"/>
        <v>21808</v>
      </c>
      <c r="P23">
        <f t="shared" si="13"/>
        <v>25.744400000000006</v>
      </c>
    </row>
    <row r="28" spans="1:17" ht="14.4" x14ac:dyDescent="0.3">
      <c r="A28" t="s">
        <v>73</v>
      </c>
      <c r="B28" t="s">
        <v>59</v>
      </c>
      <c r="C28" s="32" t="s">
        <v>58</v>
      </c>
      <c r="D28" t="s">
        <v>71</v>
      </c>
      <c r="F28" s="54" t="s">
        <v>72</v>
      </c>
    </row>
    <row r="29" spans="1:17" ht="27.6" x14ac:dyDescent="0.25">
      <c r="A29" s="29" t="s">
        <v>39</v>
      </c>
      <c r="B29" s="30" t="s">
        <v>40</v>
      </c>
      <c r="C29" s="31" t="s">
        <v>41</v>
      </c>
      <c r="D29" s="29" t="s">
        <v>42</v>
      </c>
      <c r="E29" s="30" t="s">
        <v>43</v>
      </c>
      <c r="F29" s="30" t="s">
        <v>44</v>
      </c>
      <c r="G29" s="30" t="s">
        <v>45</v>
      </c>
      <c r="H29" s="30" t="s">
        <v>46</v>
      </c>
      <c r="I29" s="30" t="s">
        <v>47</v>
      </c>
      <c r="J29" s="30" t="s">
        <v>48</v>
      </c>
      <c r="K29" s="30" t="s">
        <v>49</v>
      </c>
      <c r="L29" s="30" t="s">
        <v>50</v>
      </c>
      <c r="M29" s="30" t="s">
        <v>51</v>
      </c>
      <c r="N29" s="30" t="s">
        <v>52</v>
      </c>
      <c r="O29" s="30" t="s">
        <v>53</v>
      </c>
      <c r="P29" s="30" t="s">
        <v>54</v>
      </c>
      <c r="Q29" s="30" t="s">
        <v>55</v>
      </c>
    </row>
    <row r="30" spans="1:17" ht="14.4" x14ac:dyDescent="0.25">
      <c r="A30" s="32"/>
      <c r="B30" s="32" t="s">
        <v>56</v>
      </c>
      <c r="C30" s="32" t="s">
        <v>57</v>
      </c>
      <c r="D30" s="33">
        <v>60</v>
      </c>
      <c r="E30" s="34">
        <f>G30+F30</f>
        <v>907</v>
      </c>
      <c r="F30" s="34">
        <v>61</v>
      </c>
      <c r="G30" s="34">
        <f>D30*H30</f>
        <v>846</v>
      </c>
      <c r="H30" s="34">
        <v>14.1</v>
      </c>
      <c r="I30" s="34">
        <v>1.0249999999999999</v>
      </c>
      <c r="J30" s="34">
        <v>1.0049999999999999</v>
      </c>
      <c r="K30" s="34">
        <v>0.75</v>
      </c>
      <c r="L30" s="35">
        <f t="shared" ref="L30:L37" si="14">I30*J30*K30</f>
        <v>0.77259374999999975</v>
      </c>
      <c r="M30" s="36"/>
      <c r="N30" s="32">
        <f t="shared" ref="N30:N37" si="15">M30/D30</f>
        <v>0</v>
      </c>
      <c r="O30" s="32">
        <f t="shared" ref="O30:O37" si="16">N30*E30</f>
        <v>0</v>
      </c>
      <c r="P30" s="32">
        <f t="shared" ref="P30:P37" si="17">N30*L30</f>
        <v>0</v>
      </c>
      <c r="Q30" s="32" t="s">
        <v>58</v>
      </c>
    </row>
    <row r="31" spans="1:17" ht="14.4" x14ac:dyDescent="0.25">
      <c r="A31" s="32"/>
      <c r="B31" s="32" t="s">
        <v>60</v>
      </c>
      <c r="C31" s="37" t="s">
        <v>61</v>
      </c>
      <c r="D31" s="33">
        <v>1000</v>
      </c>
      <c r="E31" s="34">
        <f t="shared" ref="E31:E34" si="18">G31+F31</f>
        <v>610</v>
      </c>
      <c r="F31" s="32">
        <v>40</v>
      </c>
      <c r="G31" s="34">
        <f t="shared" ref="G31:G34" si="19">D31*H31</f>
        <v>570</v>
      </c>
      <c r="H31" s="34">
        <v>0.56999999999999995</v>
      </c>
      <c r="I31" s="32">
        <v>1.1000000000000001</v>
      </c>
      <c r="J31" s="32">
        <v>0.8</v>
      </c>
      <c r="K31" s="32">
        <v>0.55000000000000004</v>
      </c>
      <c r="L31" s="38">
        <f t="shared" si="14"/>
        <v>0.4840000000000001</v>
      </c>
      <c r="M31" s="36">
        <v>24000</v>
      </c>
      <c r="N31" s="32">
        <f t="shared" si="15"/>
        <v>24</v>
      </c>
      <c r="O31" s="32">
        <f t="shared" si="16"/>
        <v>14640</v>
      </c>
      <c r="P31" s="32">
        <f t="shared" si="17"/>
        <v>11.616000000000003</v>
      </c>
      <c r="Q31" s="32" t="s">
        <v>58</v>
      </c>
    </row>
    <row r="32" spans="1:17" ht="14.4" x14ac:dyDescent="0.25">
      <c r="A32" s="32"/>
      <c r="B32" s="32" t="s">
        <v>60</v>
      </c>
      <c r="C32" s="37" t="s">
        <v>62</v>
      </c>
      <c r="D32" s="33">
        <v>3000</v>
      </c>
      <c r="E32" s="34">
        <f t="shared" si="18"/>
        <v>940</v>
      </c>
      <c r="F32" s="32">
        <v>40</v>
      </c>
      <c r="G32" s="34">
        <f t="shared" si="19"/>
        <v>900</v>
      </c>
      <c r="H32" s="34">
        <v>0.3</v>
      </c>
      <c r="I32" s="32">
        <v>1.1299999999999999</v>
      </c>
      <c r="J32" s="32">
        <v>1.08</v>
      </c>
      <c r="K32" s="32">
        <v>1.08</v>
      </c>
      <c r="L32" s="38">
        <f t="shared" si="14"/>
        <v>1.3180320000000001</v>
      </c>
      <c r="M32" s="36"/>
      <c r="N32" s="32">
        <f t="shared" si="15"/>
        <v>0</v>
      </c>
      <c r="O32" s="32">
        <f t="shared" si="16"/>
        <v>0</v>
      </c>
      <c r="P32" s="32">
        <f t="shared" si="17"/>
        <v>0</v>
      </c>
      <c r="Q32" s="32" t="s">
        <v>58</v>
      </c>
    </row>
    <row r="33" spans="1:17" ht="14.4" x14ac:dyDescent="0.25">
      <c r="A33" s="32"/>
      <c r="B33" s="32" t="s">
        <v>60</v>
      </c>
      <c r="C33" s="37" t="s">
        <v>63</v>
      </c>
      <c r="D33" s="33">
        <v>8600</v>
      </c>
      <c r="E33" s="34">
        <f t="shared" si="18"/>
        <v>814</v>
      </c>
      <c r="F33" s="32">
        <v>40</v>
      </c>
      <c r="G33" s="34">
        <f t="shared" si="19"/>
        <v>774</v>
      </c>
      <c r="H33" s="34">
        <v>0.09</v>
      </c>
      <c r="I33" s="32">
        <v>1.1499999999999999</v>
      </c>
      <c r="J33" s="32">
        <v>0.99</v>
      </c>
      <c r="K33" s="32">
        <v>1.08</v>
      </c>
      <c r="L33" s="38">
        <f t="shared" si="14"/>
        <v>1.2295799999999999</v>
      </c>
      <c r="M33" s="36"/>
      <c r="N33" s="32">
        <f t="shared" si="15"/>
        <v>0</v>
      </c>
      <c r="O33" s="32">
        <f t="shared" si="16"/>
        <v>0</v>
      </c>
      <c r="P33" s="32">
        <f t="shared" si="17"/>
        <v>0</v>
      </c>
      <c r="Q33" s="32" t="s">
        <v>64</v>
      </c>
    </row>
    <row r="34" spans="1:17" ht="14.4" x14ac:dyDescent="0.25">
      <c r="A34" s="32"/>
      <c r="B34" s="32" t="s">
        <v>60</v>
      </c>
      <c r="C34" s="37" t="s">
        <v>65</v>
      </c>
      <c r="D34" s="33">
        <v>4800</v>
      </c>
      <c r="E34" s="34">
        <f t="shared" si="18"/>
        <v>472</v>
      </c>
      <c r="F34" s="32">
        <v>40</v>
      </c>
      <c r="G34" s="34">
        <f t="shared" si="19"/>
        <v>432</v>
      </c>
      <c r="H34" s="34">
        <v>0.09</v>
      </c>
      <c r="I34" s="32">
        <v>1.1100000000000001</v>
      </c>
      <c r="J34" s="32">
        <v>1.1000000000000001</v>
      </c>
      <c r="K34" s="32">
        <v>1.05</v>
      </c>
      <c r="L34" s="38">
        <f t="shared" si="14"/>
        <v>1.2820500000000004</v>
      </c>
      <c r="M34" s="36">
        <v>38400</v>
      </c>
      <c r="N34" s="32">
        <f t="shared" si="15"/>
        <v>8</v>
      </c>
      <c r="O34" s="32">
        <f t="shared" si="16"/>
        <v>3776</v>
      </c>
      <c r="P34" s="32">
        <f t="shared" si="17"/>
        <v>10.256400000000003</v>
      </c>
      <c r="Q34" s="32" t="s">
        <v>58</v>
      </c>
    </row>
    <row r="35" spans="1:17" ht="14.4" x14ac:dyDescent="0.25">
      <c r="A35" s="39"/>
      <c r="B35" s="32" t="s">
        <v>60</v>
      </c>
      <c r="C35" s="32" t="s">
        <v>66</v>
      </c>
      <c r="D35" s="32">
        <v>4000</v>
      </c>
      <c r="E35" s="32">
        <v>223</v>
      </c>
      <c r="F35" s="32">
        <v>30</v>
      </c>
      <c r="G35" s="32">
        <v>188</v>
      </c>
      <c r="H35" s="32">
        <v>0.05</v>
      </c>
      <c r="I35" s="32">
        <v>1.05</v>
      </c>
      <c r="J35" s="32">
        <v>1.05</v>
      </c>
      <c r="K35" s="32">
        <v>0.55000000000000004</v>
      </c>
      <c r="L35" s="38">
        <f t="shared" si="14"/>
        <v>0.60637500000000011</v>
      </c>
      <c r="M35" s="36"/>
      <c r="N35" s="32">
        <f t="shared" si="15"/>
        <v>0</v>
      </c>
      <c r="O35" s="32">
        <f t="shared" si="16"/>
        <v>0</v>
      </c>
      <c r="P35" s="32">
        <f t="shared" si="17"/>
        <v>0</v>
      </c>
      <c r="Q35" s="32" t="s">
        <v>64</v>
      </c>
    </row>
    <row r="36" spans="1:17" ht="14.4" x14ac:dyDescent="0.25">
      <c r="A36" s="40"/>
      <c r="B36" s="32" t="s">
        <v>60</v>
      </c>
      <c r="C36" s="32" t="s">
        <v>67</v>
      </c>
      <c r="D36" s="32">
        <v>1000</v>
      </c>
      <c r="E36" s="32">
        <v>830</v>
      </c>
      <c r="F36" s="32">
        <v>40</v>
      </c>
      <c r="G36" s="32">
        <v>790</v>
      </c>
      <c r="H36" s="32">
        <v>0.79</v>
      </c>
      <c r="I36" s="32">
        <v>1.1000000000000001</v>
      </c>
      <c r="J36" s="32">
        <v>0.88</v>
      </c>
      <c r="K36" s="32">
        <v>0.74</v>
      </c>
      <c r="L36" s="38">
        <f t="shared" si="14"/>
        <v>0.71632000000000007</v>
      </c>
      <c r="M36" s="36"/>
      <c r="N36" s="32">
        <f t="shared" si="15"/>
        <v>0</v>
      </c>
      <c r="O36" s="32">
        <f t="shared" si="16"/>
        <v>0</v>
      </c>
      <c r="P36" s="32">
        <f t="shared" si="17"/>
        <v>0</v>
      </c>
      <c r="Q36" s="32" t="s">
        <v>64</v>
      </c>
    </row>
    <row r="37" spans="1:17" ht="14.4" x14ac:dyDescent="0.25">
      <c r="A37" s="39"/>
      <c r="B37" s="39" t="s">
        <v>68</v>
      </c>
      <c r="C37" s="39" t="s">
        <v>0</v>
      </c>
      <c r="D37" s="35">
        <v>4000</v>
      </c>
      <c r="E37" s="35">
        <v>424</v>
      </c>
      <c r="F37" s="35">
        <v>40</v>
      </c>
      <c r="G37" s="35">
        <v>372</v>
      </c>
      <c r="H37" s="35">
        <v>0.1</v>
      </c>
      <c r="I37" s="35">
        <v>1.1000000000000001</v>
      </c>
      <c r="J37" s="35">
        <v>0.8</v>
      </c>
      <c r="K37" s="35">
        <v>0.55000000000000004</v>
      </c>
      <c r="L37" s="38">
        <f t="shared" si="14"/>
        <v>0.4840000000000001</v>
      </c>
      <c r="M37" s="36">
        <v>32000</v>
      </c>
      <c r="N37" s="32">
        <f t="shared" si="15"/>
        <v>8</v>
      </c>
      <c r="O37" s="32">
        <f t="shared" si="16"/>
        <v>3392</v>
      </c>
      <c r="P37" s="32">
        <f t="shared" si="17"/>
        <v>3.8720000000000008</v>
      </c>
      <c r="Q37" s="32" t="s">
        <v>58</v>
      </c>
    </row>
    <row r="38" spans="1:17" x14ac:dyDescent="0.25">
      <c r="L38">
        <f>SUM(L30:L37)</f>
        <v>6.8929507500000007</v>
      </c>
      <c r="M38">
        <f t="shared" ref="M38:P38" si="20">SUM(M30:M37)</f>
        <v>94400</v>
      </c>
      <c r="N38">
        <f t="shared" si="20"/>
        <v>40</v>
      </c>
      <c r="O38">
        <f t="shared" si="20"/>
        <v>21808</v>
      </c>
      <c r="P38">
        <f t="shared" si="20"/>
        <v>25.744400000000006</v>
      </c>
    </row>
    <row r="43" spans="1:17" ht="14.4" x14ac:dyDescent="0.3">
      <c r="A43" t="s">
        <v>74</v>
      </c>
      <c r="B43" t="s">
        <v>59</v>
      </c>
      <c r="C43" s="32" t="s">
        <v>58</v>
      </c>
      <c r="D43" t="s">
        <v>71</v>
      </c>
      <c r="F43" s="54" t="s">
        <v>72</v>
      </c>
    </row>
    <row r="44" spans="1:17" ht="27.6" x14ac:dyDescent="0.25">
      <c r="A44" s="29" t="s">
        <v>39</v>
      </c>
      <c r="B44" s="30" t="s">
        <v>40</v>
      </c>
      <c r="C44" s="31" t="s">
        <v>41</v>
      </c>
      <c r="D44" s="29" t="s">
        <v>42</v>
      </c>
      <c r="E44" s="30" t="s">
        <v>43</v>
      </c>
      <c r="F44" s="30" t="s">
        <v>44</v>
      </c>
      <c r="G44" s="30" t="s">
        <v>45</v>
      </c>
      <c r="H44" s="30" t="s">
        <v>46</v>
      </c>
      <c r="I44" s="30" t="s">
        <v>47</v>
      </c>
      <c r="J44" s="30" t="s">
        <v>48</v>
      </c>
      <c r="K44" s="30" t="s">
        <v>49</v>
      </c>
      <c r="L44" s="30" t="s">
        <v>50</v>
      </c>
      <c r="M44" s="30" t="s">
        <v>51</v>
      </c>
      <c r="N44" s="30" t="s">
        <v>52</v>
      </c>
      <c r="O44" s="30" t="s">
        <v>53</v>
      </c>
      <c r="P44" s="30" t="s">
        <v>54</v>
      </c>
      <c r="Q44" s="30" t="s">
        <v>55</v>
      </c>
    </row>
    <row r="45" spans="1:17" ht="14.4" x14ac:dyDescent="0.25">
      <c r="A45" s="32"/>
      <c r="B45" s="32" t="s">
        <v>56</v>
      </c>
      <c r="C45" s="32" t="s">
        <v>57</v>
      </c>
      <c r="D45" s="33">
        <v>60</v>
      </c>
      <c r="E45" s="34">
        <f>G45+F45</f>
        <v>907</v>
      </c>
      <c r="F45" s="34">
        <v>61</v>
      </c>
      <c r="G45" s="34">
        <f>D45*H45</f>
        <v>846</v>
      </c>
      <c r="H45" s="34">
        <v>14.1</v>
      </c>
      <c r="I45" s="34">
        <v>1.0249999999999999</v>
      </c>
      <c r="J45" s="34">
        <v>1.0049999999999999</v>
      </c>
      <c r="K45" s="34">
        <v>0.75</v>
      </c>
      <c r="L45" s="35">
        <f t="shared" ref="L45:L52" si="21">I45*J45*K45</f>
        <v>0.77259374999999975</v>
      </c>
      <c r="M45" s="36"/>
      <c r="N45" s="32">
        <f t="shared" ref="N45:N52" si="22">M45/D45</f>
        <v>0</v>
      </c>
      <c r="O45" s="32">
        <f t="shared" ref="O45:O52" si="23">N45*E45</f>
        <v>0</v>
      </c>
      <c r="P45" s="32">
        <f t="shared" ref="P45:P52" si="24">N45*L45</f>
        <v>0</v>
      </c>
      <c r="Q45" s="32" t="s">
        <v>58</v>
      </c>
    </row>
    <row r="46" spans="1:17" ht="14.4" x14ac:dyDescent="0.25">
      <c r="A46" s="32"/>
      <c r="B46" s="32" t="s">
        <v>60</v>
      </c>
      <c r="C46" s="37" t="s">
        <v>61</v>
      </c>
      <c r="D46" s="33">
        <v>1000</v>
      </c>
      <c r="E46" s="34">
        <f t="shared" ref="E46:E49" si="25">G46+F46</f>
        <v>610</v>
      </c>
      <c r="F46" s="32">
        <v>40</v>
      </c>
      <c r="G46" s="34">
        <f t="shared" ref="G46:G49" si="26">D46*H46</f>
        <v>570</v>
      </c>
      <c r="H46" s="34">
        <v>0.56999999999999995</v>
      </c>
      <c r="I46" s="32">
        <v>1.1000000000000001</v>
      </c>
      <c r="J46" s="32">
        <v>0.8</v>
      </c>
      <c r="K46" s="32">
        <v>0.55000000000000004</v>
      </c>
      <c r="L46" s="38">
        <f t="shared" si="21"/>
        <v>0.4840000000000001</v>
      </c>
      <c r="M46" s="36">
        <v>24000</v>
      </c>
      <c r="N46" s="32">
        <f t="shared" si="22"/>
        <v>24</v>
      </c>
      <c r="O46" s="32">
        <f t="shared" si="23"/>
        <v>14640</v>
      </c>
      <c r="P46" s="32">
        <f t="shared" si="24"/>
        <v>11.616000000000003</v>
      </c>
      <c r="Q46" s="32" t="s">
        <v>58</v>
      </c>
    </row>
    <row r="47" spans="1:17" ht="14.4" x14ac:dyDescent="0.25">
      <c r="A47" s="32"/>
      <c r="B47" s="32" t="s">
        <v>60</v>
      </c>
      <c r="C47" s="37" t="s">
        <v>62</v>
      </c>
      <c r="D47" s="33">
        <v>3000</v>
      </c>
      <c r="E47" s="34">
        <f t="shared" si="25"/>
        <v>940</v>
      </c>
      <c r="F47" s="32">
        <v>40</v>
      </c>
      <c r="G47" s="34">
        <f t="shared" si="26"/>
        <v>900</v>
      </c>
      <c r="H47" s="34">
        <v>0.3</v>
      </c>
      <c r="I47" s="32">
        <v>1.1299999999999999</v>
      </c>
      <c r="J47" s="32">
        <v>1.08</v>
      </c>
      <c r="K47" s="32">
        <v>1.08</v>
      </c>
      <c r="L47" s="38">
        <f t="shared" si="21"/>
        <v>1.3180320000000001</v>
      </c>
      <c r="M47" s="36"/>
      <c r="N47" s="32">
        <f t="shared" si="22"/>
        <v>0</v>
      </c>
      <c r="O47" s="32">
        <f t="shared" si="23"/>
        <v>0</v>
      </c>
      <c r="P47" s="32">
        <f t="shared" si="24"/>
        <v>0</v>
      </c>
      <c r="Q47" s="32" t="s">
        <v>58</v>
      </c>
    </row>
    <row r="48" spans="1:17" ht="14.4" x14ac:dyDescent="0.25">
      <c r="A48" s="32"/>
      <c r="B48" s="32" t="s">
        <v>60</v>
      </c>
      <c r="C48" s="37" t="s">
        <v>63</v>
      </c>
      <c r="D48" s="33">
        <v>8600</v>
      </c>
      <c r="E48" s="34">
        <f t="shared" si="25"/>
        <v>814</v>
      </c>
      <c r="F48" s="32">
        <v>40</v>
      </c>
      <c r="G48" s="34">
        <f t="shared" si="26"/>
        <v>774</v>
      </c>
      <c r="H48" s="34">
        <v>0.09</v>
      </c>
      <c r="I48" s="32">
        <v>1.1499999999999999</v>
      </c>
      <c r="J48" s="32">
        <v>0.99</v>
      </c>
      <c r="K48" s="32">
        <v>1.08</v>
      </c>
      <c r="L48" s="38">
        <f t="shared" si="21"/>
        <v>1.2295799999999999</v>
      </c>
      <c r="M48" s="36"/>
      <c r="N48" s="32">
        <f t="shared" si="22"/>
        <v>0</v>
      </c>
      <c r="O48" s="32">
        <f t="shared" si="23"/>
        <v>0</v>
      </c>
      <c r="P48" s="32">
        <f t="shared" si="24"/>
        <v>0</v>
      </c>
      <c r="Q48" s="32" t="s">
        <v>64</v>
      </c>
    </row>
    <row r="49" spans="1:17" ht="14.4" x14ac:dyDescent="0.25">
      <c r="A49" s="32"/>
      <c r="B49" s="32" t="s">
        <v>60</v>
      </c>
      <c r="C49" s="37" t="s">
        <v>65</v>
      </c>
      <c r="D49" s="33">
        <v>4800</v>
      </c>
      <c r="E49" s="34">
        <f t="shared" si="25"/>
        <v>472</v>
      </c>
      <c r="F49" s="32">
        <v>40</v>
      </c>
      <c r="G49" s="34">
        <f t="shared" si="26"/>
        <v>432</v>
      </c>
      <c r="H49" s="34">
        <v>0.09</v>
      </c>
      <c r="I49" s="32">
        <v>1.1100000000000001</v>
      </c>
      <c r="J49" s="32">
        <v>1.1000000000000001</v>
      </c>
      <c r="K49" s="32">
        <v>1.05</v>
      </c>
      <c r="L49" s="38">
        <f t="shared" si="21"/>
        <v>1.2820500000000004</v>
      </c>
      <c r="M49" s="36">
        <v>38400</v>
      </c>
      <c r="N49" s="32">
        <f t="shared" si="22"/>
        <v>8</v>
      </c>
      <c r="O49" s="32">
        <f t="shared" si="23"/>
        <v>3776</v>
      </c>
      <c r="P49" s="32">
        <f t="shared" si="24"/>
        <v>10.256400000000003</v>
      </c>
      <c r="Q49" s="32" t="s">
        <v>58</v>
      </c>
    </row>
    <row r="50" spans="1:17" ht="14.4" x14ac:dyDescent="0.25">
      <c r="A50" s="39"/>
      <c r="B50" s="32" t="s">
        <v>60</v>
      </c>
      <c r="C50" s="32" t="s">
        <v>66</v>
      </c>
      <c r="D50" s="32">
        <v>4000</v>
      </c>
      <c r="E50" s="32">
        <v>223</v>
      </c>
      <c r="F50" s="32">
        <v>30</v>
      </c>
      <c r="G50" s="32">
        <v>188</v>
      </c>
      <c r="H50" s="32">
        <v>0.05</v>
      </c>
      <c r="I50" s="32">
        <v>1.05</v>
      </c>
      <c r="J50" s="32">
        <v>1.05</v>
      </c>
      <c r="K50" s="32">
        <v>0.55000000000000004</v>
      </c>
      <c r="L50" s="38">
        <f t="shared" si="21"/>
        <v>0.60637500000000011</v>
      </c>
      <c r="M50" s="36"/>
      <c r="N50" s="32">
        <f t="shared" si="22"/>
        <v>0</v>
      </c>
      <c r="O50" s="32">
        <f t="shared" si="23"/>
        <v>0</v>
      </c>
      <c r="P50" s="32">
        <f t="shared" si="24"/>
        <v>0</v>
      </c>
      <c r="Q50" s="32" t="s">
        <v>64</v>
      </c>
    </row>
    <row r="51" spans="1:17" ht="14.4" x14ac:dyDescent="0.25">
      <c r="A51" s="40"/>
      <c r="B51" s="32" t="s">
        <v>60</v>
      </c>
      <c r="C51" s="32" t="s">
        <v>67</v>
      </c>
      <c r="D51" s="32">
        <v>1000</v>
      </c>
      <c r="E51" s="32">
        <v>830</v>
      </c>
      <c r="F51" s="32">
        <v>40</v>
      </c>
      <c r="G51" s="32">
        <v>790</v>
      </c>
      <c r="H51" s="32">
        <v>0.79</v>
      </c>
      <c r="I51" s="32">
        <v>1.1000000000000001</v>
      </c>
      <c r="J51" s="32">
        <v>0.88</v>
      </c>
      <c r="K51" s="32">
        <v>0.74</v>
      </c>
      <c r="L51" s="38">
        <f t="shared" si="21"/>
        <v>0.71632000000000007</v>
      </c>
      <c r="M51" s="36"/>
      <c r="N51" s="32">
        <f t="shared" si="22"/>
        <v>0</v>
      </c>
      <c r="O51" s="32">
        <f t="shared" si="23"/>
        <v>0</v>
      </c>
      <c r="P51" s="32">
        <f t="shared" si="24"/>
        <v>0</v>
      </c>
      <c r="Q51" s="32" t="s">
        <v>64</v>
      </c>
    </row>
    <row r="52" spans="1:17" ht="14.4" x14ac:dyDescent="0.25">
      <c r="A52" s="39"/>
      <c r="B52" s="39" t="s">
        <v>68</v>
      </c>
      <c r="C52" s="39" t="s">
        <v>0</v>
      </c>
      <c r="D52" s="35">
        <v>4000</v>
      </c>
      <c r="E52" s="35">
        <v>424</v>
      </c>
      <c r="F52" s="35">
        <v>40</v>
      </c>
      <c r="G52" s="35">
        <v>372</v>
      </c>
      <c r="H52" s="35">
        <v>0.1</v>
      </c>
      <c r="I52" s="35">
        <v>1.1000000000000001</v>
      </c>
      <c r="J52" s="35">
        <v>0.8</v>
      </c>
      <c r="K52" s="35">
        <v>0.55000000000000004</v>
      </c>
      <c r="L52" s="38">
        <f t="shared" si="21"/>
        <v>0.4840000000000001</v>
      </c>
      <c r="M52" s="36">
        <v>32000</v>
      </c>
      <c r="N52" s="32">
        <f t="shared" si="22"/>
        <v>8</v>
      </c>
      <c r="O52" s="32">
        <f t="shared" si="23"/>
        <v>3392</v>
      </c>
      <c r="P52" s="32">
        <f t="shared" si="24"/>
        <v>3.8720000000000008</v>
      </c>
      <c r="Q52" s="32" t="s">
        <v>58</v>
      </c>
    </row>
    <row r="53" spans="1:17" x14ac:dyDescent="0.25">
      <c r="L53">
        <f>SUM(L45:L52)</f>
        <v>6.8929507500000007</v>
      </c>
      <c r="M53">
        <f t="shared" ref="M53:P53" si="27">SUM(M45:M52)</f>
        <v>94400</v>
      </c>
      <c r="N53">
        <f t="shared" si="27"/>
        <v>40</v>
      </c>
      <c r="O53">
        <f t="shared" si="27"/>
        <v>21808</v>
      </c>
      <c r="P53">
        <f t="shared" si="27"/>
        <v>25.744400000000006</v>
      </c>
    </row>
    <row r="58" spans="1:17" ht="14.4" x14ac:dyDescent="0.3">
      <c r="A58" t="s">
        <v>34</v>
      </c>
      <c r="B58" t="s">
        <v>59</v>
      </c>
      <c r="C58" s="32" t="s">
        <v>58</v>
      </c>
      <c r="D58" t="s">
        <v>71</v>
      </c>
      <c r="F58" s="54" t="s">
        <v>72</v>
      </c>
    </row>
    <row r="59" spans="1:17" ht="27.6" x14ac:dyDescent="0.25">
      <c r="A59" s="29" t="s">
        <v>39</v>
      </c>
      <c r="B59" s="30" t="s">
        <v>40</v>
      </c>
      <c r="C59" s="31" t="s">
        <v>41</v>
      </c>
      <c r="D59" s="29" t="s">
        <v>42</v>
      </c>
      <c r="E59" s="30" t="s">
        <v>43</v>
      </c>
      <c r="F59" s="30" t="s">
        <v>44</v>
      </c>
      <c r="G59" s="30" t="s">
        <v>45</v>
      </c>
      <c r="H59" s="30" t="s">
        <v>46</v>
      </c>
      <c r="I59" s="30" t="s">
        <v>47</v>
      </c>
      <c r="J59" s="30" t="s">
        <v>48</v>
      </c>
      <c r="K59" s="30" t="s">
        <v>49</v>
      </c>
      <c r="L59" s="30" t="s">
        <v>50</v>
      </c>
      <c r="M59" s="30" t="s">
        <v>51</v>
      </c>
      <c r="N59" s="30" t="s">
        <v>52</v>
      </c>
      <c r="O59" s="30" t="s">
        <v>53</v>
      </c>
      <c r="P59" s="30" t="s">
        <v>54</v>
      </c>
      <c r="Q59" s="30" t="s">
        <v>55</v>
      </c>
    </row>
    <row r="60" spans="1:17" ht="14.4" x14ac:dyDescent="0.25">
      <c r="A60" s="32"/>
      <c r="B60" s="32" t="s">
        <v>56</v>
      </c>
      <c r="C60" s="32" t="s">
        <v>57</v>
      </c>
      <c r="D60" s="33">
        <v>60</v>
      </c>
      <c r="E60" s="34">
        <f>G60+F60</f>
        <v>907</v>
      </c>
      <c r="F60" s="34">
        <v>61</v>
      </c>
      <c r="G60" s="34">
        <f>D60*H60</f>
        <v>846</v>
      </c>
      <c r="H60" s="34">
        <v>14.1</v>
      </c>
      <c r="I60" s="34">
        <v>1.0249999999999999</v>
      </c>
      <c r="J60" s="34">
        <v>1.0049999999999999</v>
      </c>
      <c r="K60" s="34">
        <v>0.75</v>
      </c>
      <c r="L60" s="35">
        <f t="shared" ref="L60:L67" si="28">I60*J60*K60</f>
        <v>0.77259374999999975</v>
      </c>
      <c r="M60" s="36"/>
      <c r="N60" s="32">
        <f t="shared" ref="N60:N67" si="29">M60/D60</f>
        <v>0</v>
      </c>
      <c r="O60" s="32">
        <f t="shared" ref="O60:O67" si="30">N60*E60</f>
        <v>0</v>
      </c>
      <c r="P60" s="32">
        <f t="shared" ref="P60:P67" si="31">N60*L60</f>
        <v>0</v>
      </c>
      <c r="Q60" s="32" t="s">
        <v>58</v>
      </c>
    </row>
    <row r="61" spans="1:17" ht="14.4" x14ac:dyDescent="0.25">
      <c r="A61" s="32"/>
      <c r="B61" s="32" t="s">
        <v>60</v>
      </c>
      <c r="C61" s="37" t="s">
        <v>61</v>
      </c>
      <c r="D61" s="33">
        <v>1000</v>
      </c>
      <c r="E61" s="34">
        <f t="shared" ref="E61:E64" si="32">G61+F61</f>
        <v>610</v>
      </c>
      <c r="F61" s="32">
        <v>40</v>
      </c>
      <c r="G61" s="34">
        <f t="shared" ref="G61:G64" si="33">D61*H61</f>
        <v>570</v>
      </c>
      <c r="H61" s="34">
        <v>0.56999999999999995</v>
      </c>
      <c r="I61" s="32">
        <v>1.1000000000000001</v>
      </c>
      <c r="J61" s="32">
        <v>0.8</v>
      </c>
      <c r="K61" s="32">
        <v>0.55000000000000004</v>
      </c>
      <c r="L61" s="38">
        <f t="shared" si="28"/>
        <v>0.4840000000000001</v>
      </c>
      <c r="M61" s="36">
        <v>24000</v>
      </c>
      <c r="N61" s="32">
        <f t="shared" si="29"/>
        <v>24</v>
      </c>
      <c r="O61" s="32">
        <f t="shared" si="30"/>
        <v>14640</v>
      </c>
      <c r="P61" s="32">
        <f t="shared" si="31"/>
        <v>11.616000000000003</v>
      </c>
      <c r="Q61" s="32" t="s">
        <v>58</v>
      </c>
    </row>
    <row r="62" spans="1:17" ht="14.4" x14ac:dyDescent="0.25">
      <c r="A62" s="32"/>
      <c r="B62" s="32" t="s">
        <v>60</v>
      </c>
      <c r="C62" s="37" t="s">
        <v>62</v>
      </c>
      <c r="D62" s="33">
        <v>3000</v>
      </c>
      <c r="E62" s="34">
        <f t="shared" si="32"/>
        <v>940</v>
      </c>
      <c r="F62" s="32">
        <v>40</v>
      </c>
      <c r="G62" s="34">
        <f t="shared" si="33"/>
        <v>900</v>
      </c>
      <c r="H62" s="34">
        <v>0.3</v>
      </c>
      <c r="I62" s="32">
        <v>1.1299999999999999</v>
      </c>
      <c r="J62" s="32">
        <v>1.08</v>
      </c>
      <c r="K62" s="32">
        <v>1.08</v>
      </c>
      <c r="L62" s="38">
        <f t="shared" si="28"/>
        <v>1.3180320000000001</v>
      </c>
      <c r="M62" s="36"/>
      <c r="N62" s="32">
        <f t="shared" si="29"/>
        <v>0</v>
      </c>
      <c r="O62" s="32">
        <f t="shared" si="30"/>
        <v>0</v>
      </c>
      <c r="P62" s="32">
        <f t="shared" si="31"/>
        <v>0</v>
      </c>
      <c r="Q62" s="32" t="s">
        <v>58</v>
      </c>
    </row>
    <row r="63" spans="1:17" ht="14.4" x14ac:dyDescent="0.25">
      <c r="A63" s="32"/>
      <c r="B63" s="32" t="s">
        <v>60</v>
      </c>
      <c r="C63" s="37" t="s">
        <v>63</v>
      </c>
      <c r="D63" s="33">
        <v>8600</v>
      </c>
      <c r="E63" s="34">
        <f t="shared" si="32"/>
        <v>814</v>
      </c>
      <c r="F63" s="32">
        <v>40</v>
      </c>
      <c r="G63" s="34">
        <f t="shared" si="33"/>
        <v>774</v>
      </c>
      <c r="H63" s="34">
        <v>0.09</v>
      </c>
      <c r="I63" s="32">
        <v>1.1499999999999999</v>
      </c>
      <c r="J63" s="32">
        <v>0.99</v>
      </c>
      <c r="K63" s="32">
        <v>1.08</v>
      </c>
      <c r="L63" s="38">
        <f t="shared" si="28"/>
        <v>1.2295799999999999</v>
      </c>
      <c r="M63" s="36"/>
      <c r="N63" s="32">
        <f t="shared" si="29"/>
        <v>0</v>
      </c>
      <c r="O63" s="32">
        <f t="shared" si="30"/>
        <v>0</v>
      </c>
      <c r="P63" s="32">
        <f t="shared" si="31"/>
        <v>0</v>
      </c>
      <c r="Q63" s="32" t="s">
        <v>64</v>
      </c>
    </row>
    <row r="64" spans="1:17" ht="14.4" x14ac:dyDescent="0.25">
      <c r="A64" s="32"/>
      <c r="B64" s="32" t="s">
        <v>60</v>
      </c>
      <c r="C64" s="37" t="s">
        <v>65</v>
      </c>
      <c r="D64" s="33">
        <v>4800</v>
      </c>
      <c r="E64" s="34">
        <f t="shared" si="32"/>
        <v>472</v>
      </c>
      <c r="F64" s="32">
        <v>40</v>
      </c>
      <c r="G64" s="34">
        <f t="shared" si="33"/>
        <v>432</v>
      </c>
      <c r="H64" s="34">
        <v>0.09</v>
      </c>
      <c r="I64" s="32">
        <v>1.1100000000000001</v>
      </c>
      <c r="J64" s="32">
        <v>1.1000000000000001</v>
      </c>
      <c r="K64" s="32">
        <v>1.05</v>
      </c>
      <c r="L64" s="38">
        <f t="shared" si="28"/>
        <v>1.2820500000000004</v>
      </c>
      <c r="M64" s="36">
        <v>38400</v>
      </c>
      <c r="N64" s="32">
        <f t="shared" si="29"/>
        <v>8</v>
      </c>
      <c r="O64" s="32">
        <f t="shared" si="30"/>
        <v>3776</v>
      </c>
      <c r="P64" s="32">
        <f t="shared" si="31"/>
        <v>10.256400000000003</v>
      </c>
      <c r="Q64" s="32" t="s">
        <v>58</v>
      </c>
    </row>
    <row r="65" spans="1:17" ht="14.4" x14ac:dyDescent="0.25">
      <c r="A65" s="39"/>
      <c r="B65" s="32" t="s">
        <v>60</v>
      </c>
      <c r="C65" s="32" t="s">
        <v>66</v>
      </c>
      <c r="D65" s="32">
        <v>4000</v>
      </c>
      <c r="E65" s="32">
        <v>223</v>
      </c>
      <c r="F65" s="32">
        <v>30</v>
      </c>
      <c r="G65" s="32">
        <v>188</v>
      </c>
      <c r="H65" s="32">
        <v>0.05</v>
      </c>
      <c r="I65" s="32">
        <v>1.05</v>
      </c>
      <c r="J65" s="32">
        <v>1.05</v>
      </c>
      <c r="K65" s="32">
        <v>0.55000000000000004</v>
      </c>
      <c r="L65" s="38">
        <f t="shared" si="28"/>
        <v>0.60637500000000011</v>
      </c>
      <c r="M65" s="36"/>
      <c r="N65" s="32">
        <f t="shared" si="29"/>
        <v>0</v>
      </c>
      <c r="O65" s="32">
        <f t="shared" si="30"/>
        <v>0</v>
      </c>
      <c r="P65" s="32">
        <f t="shared" si="31"/>
        <v>0</v>
      </c>
      <c r="Q65" s="32" t="s">
        <v>64</v>
      </c>
    </row>
    <row r="66" spans="1:17" ht="14.4" x14ac:dyDescent="0.25">
      <c r="A66" s="40"/>
      <c r="B66" s="32" t="s">
        <v>60</v>
      </c>
      <c r="C66" s="32" t="s">
        <v>67</v>
      </c>
      <c r="D66" s="32">
        <v>1000</v>
      </c>
      <c r="E66" s="32">
        <v>830</v>
      </c>
      <c r="F66" s="32">
        <v>40</v>
      </c>
      <c r="G66" s="32">
        <v>790</v>
      </c>
      <c r="H66" s="32">
        <v>0.79</v>
      </c>
      <c r="I66" s="32">
        <v>1.1000000000000001</v>
      </c>
      <c r="J66" s="32">
        <v>0.88</v>
      </c>
      <c r="K66" s="32">
        <v>0.74</v>
      </c>
      <c r="L66" s="38">
        <f t="shared" si="28"/>
        <v>0.71632000000000007</v>
      </c>
      <c r="M66" s="36"/>
      <c r="N66" s="32">
        <f t="shared" si="29"/>
        <v>0</v>
      </c>
      <c r="O66" s="32">
        <f t="shared" si="30"/>
        <v>0</v>
      </c>
      <c r="P66" s="32">
        <f t="shared" si="31"/>
        <v>0</v>
      </c>
      <c r="Q66" s="32" t="s">
        <v>64</v>
      </c>
    </row>
    <row r="67" spans="1:17" ht="14.4" x14ac:dyDescent="0.25">
      <c r="A67" s="39"/>
      <c r="B67" s="39" t="s">
        <v>68</v>
      </c>
      <c r="C67" s="39" t="s">
        <v>0</v>
      </c>
      <c r="D67" s="35">
        <v>4000</v>
      </c>
      <c r="E67" s="35">
        <v>424</v>
      </c>
      <c r="F67" s="35">
        <v>40</v>
      </c>
      <c r="G67" s="35">
        <v>372</v>
      </c>
      <c r="H67" s="35">
        <v>0.1</v>
      </c>
      <c r="I67" s="35">
        <v>1.1000000000000001</v>
      </c>
      <c r="J67" s="35">
        <v>0.8</v>
      </c>
      <c r="K67" s="35">
        <v>0.55000000000000004</v>
      </c>
      <c r="L67" s="38">
        <f t="shared" si="28"/>
        <v>0.4840000000000001</v>
      </c>
      <c r="M67" s="36">
        <v>31944</v>
      </c>
      <c r="N67" s="32">
        <f t="shared" si="29"/>
        <v>7.9859999999999998</v>
      </c>
      <c r="O67" s="32">
        <f t="shared" si="30"/>
        <v>3386.0639999999999</v>
      </c>
      <c r="P67" s="32">
        <f t="shared" si="31"/>
        <v>3.8652240000000009</v>
      </c>
      <c r="Q67" s="32" t="s">
        <v>58</v>
      </c>
    </row>
    <row r="68" spans="1:17" x14ac:dyDescent="0.25">
      <c r="L68">
        <f>SUM(L60:L67)</f>
        <v>6.8929507500000007</v>
      </c>
      <c r="M68">
        <f t="shared" ref="M68:P68" si="34">SUM(M60:M67)</f>
        <v>94344</v>
      </c>
      <c r="N68">
        <f t="shared" si="34"/>
        <v>39.985999999999997</v>
      </c>
      <c r="O68">
        <f t="shared" si="34"/>
        <v>21802.063999999998</v>
      </c>
      <c r="P68">
        <f t="shared" si="34"/>
        <v>25.737624000000007</v>
      </c>
    </row>
    <row r="73" spans="1:17" ht="14.4" x14ac:dyDescent="0.3">
      <c r="A73" t="s">
        <v>35</v>
      </c>
      <c r="B73" t="s">
        <v>59</v>
      </c>
      <c r="C73" s="32" t="s">
        <v>58</v>
      </c>
      <c r="D73" t="s">
        <v>71</v>
      </c>
      <c r="E73" s="54" t="s">
        <v>56</v>
      </c>
    </row>
    <row r="74" spans="1:17" ht="27.6" x14ac:dyDescent="0.25">
      <c r="A74" s="29" t="s">
        <v>39</v>
      </c>
      <c r="B74" s="30" t="s">
        <v>40</v>
      </c>
      <c r="C74" s="31" t="s">
        <v>41</v>
      </c>
      <c r="D74" s="29" t="s">
        <v>42</v>
      </c>
      <c r="E74" s="30" t="s">
        <v>43</v>
      </c>
      <c r="F74" s="30" t="s">
        <v>44</v>
      </c>
      <c r="G74" s="30" t="s">
        <v>45</v>
      </c>
      <c r="H74" s="30" t="s">
        <v>46</v>
      </c>
      <c r="I74" s="30" t="s">
        <v>47</v>
      </c>
      <c r="J74" s="30" t="s">
        <v>48</v>
      </c>
      <c r="K74" s="30" t="s">
        <v>49</v>
      </c>
      <c r="L74" s="30" t="s">
        <v>50</v>
      </c>
      <c r="M74" s="30" t="s">
        <v>51</v>
      </c>
      <c r="N74" s="30" t="s">
        <v>52</v>
      </c>
      <c r="O74" s="30" t="s">
        <v>53</v>
      </c>
      <c r="P74" s="30" t="s">
        <v>54</v>
      </c>
      <c r="Q74" s="30" t="s">
        <v>55</v>
      </c>
    </row>
    <row r="75" spans="1:17" ht="14.4" x14ac:dyDescent="0.25">
      <c r="A75" s="32"/>
      <c r="B75" s="32" t="s">
        <v>56</v>
      </c>
      <c r="C75" s="32" t="s">
        <v>57</v>
      </c>
      <c r="D75" s="33">
        <v>60</v>
      </c>
      <c r="E75" s="34">
        <f>G75+F75</f>
        <v>907</v>
      </c>
      <c r="F75" s="34">
        <v>61</v>
      </c>
      <c r="G75" s="34">
        <f>D75*H75</f>
        <v>846</v>
      </c>
      <c r="H75" s="34">
        <v>14.1</v>
      </c>
      <c r="I75" s="34">
        <v>1.0249999999999999</v>
      </c>
      <c r="J75" s="34">
        <v>1.0049999999999999</v>
      </c>
      <c r="K75" s="34">
        <v>0.75</v>
      </c>
      <c r="L75" s="35">
        <f t="shared" ref="L75:L82" si="35">I75*J75*K75</f>
        <v>0.77259374999999975</v>
      </c>
      <c r="M75" s="36">
        <v>720</v>
      </c>
      <c r="N75" s="32">
        <f t="shared" ref="N75:N82" si="36">M75/D75</f>
        <v>12</v>
      </c>
      <c r="O75" s="32">
        <f t="shared" ref="O75:O82" si="37">N75*E75</f>
        <v>10884</v>
      </c>
      <c r="P75" s="32">
        <f t="shared" ref="P75:P82" si="38">N75*L75</f>
        <v>9.2711249999999978</v>
      </c>
      <c r="Q75" s="32" t="s">
        <v>58</v>
      </c>
    </row>
    <row r="76" spans="1:17" ht="14.4" x14ac:dyDescent="0.25">
      <c r="A76" s="32"/>
      <c r="B76" s="32" t="s">
        <v>60</v>
      </c>
      <c r="C76" s="37" t="s">
        <v>61</v>
      </c>
      <c r="D76" s="33">
        <v>1000</v>
      </c>
      <c r="E76" s="34">
        <f t="shared" ref="E76:E79" si="39">G76+F76</f>
        <v>610</v>
      </c>
      <c r="F76" s="32">
        <v>40</v>
      </c>
      <c r="G76" s="34">
        <f t="shared" ref="G76:G79" si="40">D76*H76</f>
        <v>570</v>
      </c>
      <c r="H76" s="34">
        <v>0.56999999999999995</v>
      </c>
      <c r="I76" s="32">
        <v>1.1000000000000001</v>
      </c>
      <c r="J76" s="32">
        <v>0.8</v>
      </c>
      <c r="K76" s="32">
        <v>0.55000000000000004</v>
      </c>
      <c r="L76" s="38">
        <f t="shared" si="35"/>
        <v>0.4840000000000001</v>
      </c>
      <c r="M76" s="36">
        <v>16000</v>
      </c>
      <c r="N76" s="32">
        <f t="shared" si="36"/>
        <v>16</v>
      </c>
      <c r="O76" s="32">
        <f t="shared" si="37"/>
        <v>9760</v>
      </c>
      <c r="P76" s="32">
        <f t="shared" si="38"/>
        <v>7.7440000000000015</v>
      </c>
      <c r="Q76" s="32" t="s">
        <v>58</v>
      </c>
    </row>
    <row r="77" spans="1:17" ht="14.4" x14ac:dyDescent="0.25">
      <c r="A77" s="32"/>
      <c r="B77" s="32" t="s">
        <v>60</v>
      </c>
      <c r="C77" s="37" t="s">
        <v>62</v>
      </c>
      <c r="D77" s="33">
        <v>3000</v>
      </c>
      <c r="E77" s="34">
        <f t="shared" si="39"/>
        <v>940</v>
      </c>
      <c r="F77" s="32">
        <v>40</v>
      </c>
      <c r="G77" s="34">
        <f t="shared" si="40"/>
        <v>900</v>
      </c>
      <c r="H77" s="34">
        <v>0.3</v>
      </c>
      <c r="I77" s="32">
        <v>1.1299999999999999</v>
      </c>
      <c r="J77" s="32">
        <v>1.08</v>
      </c>
      <c r="K77" s="32">
        <v>1.08</v>
      </c>
      <c r="L77" s="38">
        <f t="shared" si="35"/>
        <v>1.3180320000000001</v>
      </c>
      <c r="M77" s="36"/>
      <c r="N77" s="32">
        <f t="shared" si="36"/>
        <v>0</v>
      </c>
      <c r="O77" s="32">
        <f t="shared" si="37"/>
        <v>0</v>
      </c>
      <c r="P77" s="32">
        <f t="shared" si="38"/>
        <v>0</v>
      </c>
      <c r="Q77" s="32" t="s">
        <v>58</v>
      </c>
    </row>
    <row r="78" spans="1:17" ht="14.4" x14ac:dyDescent="0.25">
      <c r="A78" s="32"/>
      <c r="B78" s="32" t="s">
        <v>60</v>
      </c>
      <c r="C78" s="37" t="s">
        <v>63</v>
      </c>
      <c r="D78" s="33">
        <v>8600</v>
      </c>
      <c r="E78" s="34">
        <f t="shared" si="39"/>
        <v>814</v>
      </c>
      <c r="F78" s="32">
        <v>40</v>
      </c>
      <c r="G78" s="34">
        <f t="shared" si="40"/>
        <v>774</v>
      </c>
      <c r="H78" s="34">
        <v>0.09</v>
      </c>
      <c r="I78" s="32">
        <v>1.1499999999999999</v>
      </c>
      <c r="J78" s="32">
        <v>0.99</v>
      </c>
      <c r="K78" s="32">
        <v>1.08</v>
      </c>
      <c r="L78" s="38">
        <f t="shared" si="35"/>
        <v>1.2295799999999999</v>
      </c>
      <c r="M78" s="36"/>
      <c r="N78" s="32">
        <f t="shared" si="36"/>
        <v>0</v>
      </c>
      <c r="O78" s="32">
        <f t="shared" si="37"/>
        <v>0</v>
      </c>
      <c r="P78" s="32">
        <f t="shared" si="38"/>
        <v>0</v>
      </c>
      <c r="Q78" s="32" t="s">
        <v>64</v>
      </c>
    </row>
    <row r="79" spans="1:17" ht="14.4" x14ac:dyDescent="0.25">
      <c r="A79" s="32"/>
      <c r="B79" s="32" t="s">
        <v>60</v>
      </c>
      <c r="C79" s="37" t="s">
        <v>65</v>
      </c>
      <c r="D79" s="33">
        <v>4800</v>
      </c>
      <c r="E79" s="34">
        <f t="shared" si="39"/>
        <v>472</v>
      </c>
      <c r="F79" s="32">
        <v>40</v>
      </c>
      <c r="G79" s="34">
        <f t="shared" si="40"/>
        <v>432</v>
      </c>
      <c r="H79" s="34">
        <v>0.09</v>
      </c>
      <c r="I79" s="32">
        <v>1.1100000000000001</v>
      </c>
      <c r="J79" s="32">
        <v>1.1000000000000001</v>
      </c>
      <c r="K79" s="32">
        <v>1.05</v>
      </c>
      <c r="L79" s="38">
        <f t="shared" si="35"/>
        <v>1.2820500000000004</v>
      </c>
      <c r="M79" s="36">
        <v>38400</v>
      </c>
      <c r="N79" s="32">
        <f t="shared" si="36"/>
        <v>8</v>
      </c>
      <c r="O79" s="32">
        <f t="shared" si="37"/>
        <v>3776</v>
      </c>
      <c r="P79" s="32">
        <f t="shared" si="38"/>
        <v>10.256400000000003</v>
      </c>
      <c r="Q79" s="32" t="s">
        <v>58</v>
      </c>
    </row>
    <row r="80" spans="1:17" ht="14.4" x14ac:dyDescent="0.25">
      <c r="A80" s="39"/>
      <c r="B80" s="32" t="s">
        <v>60</v>
      </c>
      <c r="C80" s="32" t="s">
        <v>66</v>
      </c>
      <c r="D80" s="32">
        <v>4000</v>
      </c>
      <c r="E80" s="32">
        <v>223</v>
      </c>
      <c r="F80" s="32">
        <v>30</v>
      </c>
      <c r="G80" s="32">
        <v>188</v>
      </c>
      <c r="H80" s="32">
        <v>0.05</v>
      </c>
      <c r="I80" s="32">
        <v>1.05</v>
      </c>
      <c r="J80" s="32">
        <v>1.05</v>
      </c>
      <c r="K80" s="32">
        <v>0.55000000000000004</v>
      </c>
      <c r="L80" s="38">
        <f t="shared" si="35"/>
        <v>0.60637500000000011</v>
      </c>
      <c r="M80" s="36"/>
      <c r="N80" s="32">
        <f t="shared" si="36"/>
        <v>0</v>
      </c>
      <c r="O80" s="32">
        <f t="shared" si="37"/>
        <v>0</v>
      </c>
      <c r="P80" s="32">
        <f t="shared" si="38"/>
        <v>0</v>
      </c>
      <c r="Q80" s="32" t="s">
        <v>64</v>
      </c>
    </row>
    <row r="81" spans="1:17" ht="14.4" x14ac:dyDescent="0.25">
      <c r="A81" s="40"/>
      <c r="B81" s="32" t="s">
        <v>60</v>
      </c>
      <c r="C81" s="32" t="s">
        <v>67</v>
      </c>
      <c r="D81" s="32">
        <v>1000</v>
      </c>
      <c r="E81" s="32">
        <v>830</v>
      </c>
      <c r="F81" s="32">
        <v>40</v>
      </c>
      <c r="G81" s="32">
        <v>790</v>
      </c>
      <c r="H81" s="32">
        <v>0.79</v>
      </c>
      <c r="I81" s="32">
        <v>1.1000000000000001</v>
      </c>
      <c r="J81" s="32">
        <v>0.88</v>
      </c>
      <c r="K81" s="32">
        <v>0.74</v>
      </c>
      <c r="L81" s="38">
        <f t="shared" si="35"/>
        <v>0.71632000000000007</v>
      </c>
      <c r="M81" s="36"/>
      <c r="N81" s="32">
        <f t="shared" si="36"/>
        <v>0</v>
      </c>
      <c r="O81" s="32">
        <f t="shared" si="37"/>
        <v>0</v>
      </c>
      <c r="P81" s="32">
        <f t="shared" si="38"/>
        <v>0</v>
      </c>
      <c r="Q81" s="32" t="s">
        <v>64</v>
      </c>
    </row>
    <row r="82" spans="1:17" ht="14.4" x14ac:dyDescent="0.25">
      <c r="A82" s="39"/>
      <c r="B82" s="39" t="s">
        <v>68</v>
      </c>
      <c r="C82" s="39" t="s">
        <v>0</v>
      </c>
      <c r="D82" s="35">
        <v>4000</v>
      </c>
      <c r="E82" s="35">
        <v>424</v>
      </c>
      <c r="F82" s="35">
        <v>40</v>
      </c>
      <c r="G82" s="35">
        <v>372</v>
      </c>
      <c r="H82" s="35">
        <v>0.1</v>
      </c>
      <c r="I82" s="35">
        <v>1.1000000000000001</v>
      </c>
      <c r="J82" s="35">
        <v>0.8</v>
      </c>
      <c r="K82" s="35">
        <v>0.55000000000000004</v>
      </c>
      <c r="L82" s="38">
        <f t="shared" si="35"/>
        <v>0.4840000000000001</v>
      </c>
      <c r="M82" s="36"/>
      <c r="N82" s="32">
        <f t="shared" si="36"/>
        <v>0</v>
      </c>
      <c r="O82" s="32">
        <f t="shared" si="37"/>
        <v>0</v>
      </c>
      <c r="P82" s="32">
        <f t="shared" si="38"/>
        <v>0</v>
      </c>
      <c r="Q82" s="32" t="s">
        <v>58</v>
      </c>
    </row>
    <row r="83" spans="1:17" x14ac:dyDescent="0.25">
      <c r="L83">
        <f>SUM(L75:L82)</f>
        <v>6.8929507500000007</v>
      </c>
      <c r="M83">
        <f t="shared" ref="M83:P83" si="41">SUM(M75:M82)</f>
        <v>55120</v>
      </c>
      <c r="N83">
        <f t="shared" si="41"/>
        <v>36</v>
      </c>
      <c r="O83">
        <f t="shared" si="41"/>
        <v>24420</v>
      </c>
      <c r="P83">
        <f t="shared" si="41"/>
        <v>27.271525</v>
      </c>
    </row>
    <row r="88" spans="1:17" ht="14.4" x14ac:dyDescent="0.3">
      <c r="A88" t="s">
        <v>75</v>
      </c>
      <c r="B88" t="s">
        <v>59</v>
      </c>
      <c r="C88" s="32" t="s">
        <v>58</v>
      </c>
      <c r="D88" t="s">
        <v>71</v>
      </c>
      <c r="E88" s="54" t="s">
        <v>56</v>
      </c>
    </row>
    <row r="89" spans="1:17" ht="27.6" x14ac:dyDescent="0.25">
      <c r="A89" s="29" t="s">
        <v>39</v>
      </c>
      <c r="B89" s="30" t="s">
        <v>40</v>
      </c>
      <c r="C89" s="31" t="s">
        <v>41</v>
      </c>
      <c r="D89" s="29" t="s">
        <v>42</v>
      </c>
      <c r="E89" s="30" t="s">
        <v>43</v>
      </c>
      <c r="F89" s="30" t="s">
        <v>44</v>
      </c>
      <c r="G89" s="30" t="s">
        <v>45</v>
      </c>
      <c r="H89" s="30" t="s">
        <v>46</v>
      </c>
      <c r="I89" s="30" t="s">
        <v>47</v>
      </c>
      <c r="J89" s="30" t="s">
        <v>48</v>
      </c>
      <c r="K89" s="30" t="s">
        <v>49</v>
      </c>
      <c r="L89" s="30" t="s">
        <v>50</v>
      </c>
      <c r="M89" s="30" t="s">
        <v>51</v>
      </c>
      <c r="N89" s="30" t="s">
        <v>52</v>
      </c>
      <c r="O89" s="30" t="s">
        <v>53</v>
      </c>
      <c r="P89" s="30" t="s">
        <v>54</v>
      </c>
      <c r="Q89" s="30" t="s">
        <v>55</v>
      </c>
    </row>
    <row r="90" spans="1:17" ht="14.4" x14ac:dyDescent="0.25">
      <c r="A90" s="32"/>
      <c r="B90" s="32" t="s">
        <v>56</v>
      </c>
      <c r="C90" s="32" t="s">
        <v>57</v>
      </c>
      <c r="D90" s="33">
        <v>60</v>
      </c>
      <c r="E90" s="34">
        <f>G90+F90</f>
        <v>907</v>
      </c>
      <c r="F90" s="34">
        <v>61</v>
      </c>
      <c r="G90" s="34">
        <f>D90*H90</f>
        <v>846</v>
      </c>
      <c r="H90" s="34">
        <v>14.1</v>
      </c>
      <c r="I90" s="34">
        <v>1.0249999999999999</v>
      </c>
      <c r="J90" s="34">
        <v>1.0049999999999999</v>
      </c>
      <c r="K90" s="34">
        <v>0.75</v>
      </c>
      <c r="L90" s="35">
        <f t="shared" ref="L90:L97" si="42">I90*J90*K90</f>
        <v>0.77259374999999975</v>
      </c>
      <c r="M90" s="36">
        <v>720</v>
      </c>
      <c r="N90" s="32">
        <f t="shared" ref="N90:N97" si="43">M90/D90</f>
        <v>12</v>
      </c>
      <c r="O90" s="32">
        <f t="shared" ref="O90:O97" si="44">N90*E90</f>
        <v>10884</v>
      </c>
      <c r="P90" s="32">
        <f t="shared" ref="P90:P97" si="45">N90*L90</f>
        <v>9.2711249999999978</v>
      </c>
      <c r="Q90" s="32" t="s">
        <v>58</v>
      </c>
    </row>
    <row r="91" spans="1:17" ht="14.4" x14ac:dyDescent="0.25">
      <c r="A91" s="32"/>
      <c r="B91" s="32" t="s">
        <v>60</v>
      </c>
      <c r="C91" s="37" t="s">
        <v>61</v>
      </c>
      <c r="D91" s="33">
        <v>1000</v>
      </c>
      <c r="E91" s="34">
        <f t="shared" ref="E91:E94" si="46">G91+F91</f>
        <v>610</v>
      </c>
      <c r="F91" s="32">
        <v>40</v>
      </c>
      <c r="G91" s="34">
        <f t="shared" ref="G91:G94" si="47">D91*H91</f>
        <v>570</v>
      </c>
      <c r="H91" s="34">
        <v>0.56999999999999995</v>
      </c>
      <c r="I91" s="32">
        <v>1.1000000000000001</v>
      </c>
      <c r="J91" s="32">
        <v>0.8</v>
      </c>
      <c r="K91" s="32">
        <v>0.55000000000000004</v>
      </c>
      <c r="L91" s="38">
        <f t="shared" si="42"/>
        <v>0.4840000000000001</v>
      </c>
      <c r="M91" s="36">
        <v>15944</v>
      </c>
      <c r="N91" s="32">
        <f t="shared" si="43"/>
        <v>15.944000000000001</v>
      </c>
      <c r="O91" s="32">
        <f t="shared" si="44"/>
        <v>9725.84</v>
      </c>
      <c r="P91" s="32">
        <f t="shared" si="45"/>
        <v>7.716896000000002</v>
      </c>
      <c r="Q91" s="32" t="s">
        <v>58</v>
      </c>
    </row>
    <row r="92" spans="1:17" ht="14.4" x14ac:dyDescent="0.25">
      <c r="A92" s="32"/>
      <c r="B92" s="32" t="s">
        <v>60</v>
      </c>
      <c r="C92" s="37" t="s">
        <v>62</v>
      </c>
      <c r="D92" s="33">
        <v>3000</v>
      </c>
      <c r="E92" s="34">
        <f t="shared" si="46"/>
        <v>940</v>
      </c>
      <c r="F92" s="32">
        <v>40</v>
      </c>
      <c r="G92" s="34">
        <f t="shared" si="47"/>
        <v>900</v>
      </c>
      <c r="H92" s="34">
        <v>0.3</v>
      </c>
      <c r="I92" s="32">
        <v>1.1299999999999999</v>
      </c>
      <c r="J92" s="32">
        <v>1.08</v>
      </c>
      <c r="K92" s="32">
        <v>1.08</v>
      </c>
      <c r="L92" s="38">
        <f t="shared" si="42"/>
        <v>1.3180320000000001</v>
      </c>
      <c r="M92" s="36"/>
      <c r="N92" s="32">
        <f t="shared" si="43"/>
        <v>0</v>
      </c>
      <c r="O92" s="32">
        <f t="shared" si="44"/>
        <v>0</v>
      </c>
      <c r="P92" s="32">
        <f t="shared" si="45"/>
        <v>0</v>
      </c>
      <c r="Q92" s="32" t="s">
        <v>58</v>
      </c>
    </row>
    <row r="93" spans="1:17" ht="14.4" x14ac:dyDescent="0.25">
      <c r="A93" s="32"/>
      <c r="B93" s="32" t="s">
        <v>60</v>
      </c>
      <c r="C93" s="37" t="s">
        <v>63</v>
      </c>
      <c r="D93" s="33">
        <v>8600</v>
      </c>
      <c r="E93" s="34">
        <f t="shared" si="46"/>
        <v>814</v>
      </c>
      <c r="F93" s="32">
        <v>40</v>
      </c>
      <c r="G93" s="34">
        <f t="shared" si="47"/>
        <v>774</v>
      </c>
      <c r="H93" s="34">
        <v>0.09</v>
      </c>
      <c r="I93" s="32">
        <v>1.1499999999999999</v>
      </c>
      <c r="J93" s="32">
        <v>0.99</v>
      </c>
      <c r="K93" s="32">
        <v>1.08</v>
      </c>
      <c r="L93" s="38">
        <f t="shared" si="42"/>
        <v>1.2295799999999999</v>
      </c>
      <c r="M93" s="36"/>
      <c r="N93" s="32">
        <f t="shared" si="43"/>
        <v>0</v>
      </c>
      <c r="O93" s="32">
        <f t="shared" si="44"/>
        <v>0</v>
      </c>
      <c r="P93" s="32">
        <f t="shared" si="45"/>
        <v>0</v>
      </c>
      <c r="Q93" s="32" t="s">
        <v>64</v>
      </c>
    </row>
    <row r="94" spans="1:17" ht="14.4" x14ac:dyDescent="0.25">
      <c r="A94" s="32"/>
      <c r="B94" s="32" t="s">
        <v>60</v>
      </c>
      <c r="C94" s="37" t="s">
        <v>65</v>
      </c>
      <c r="D94" s="33">
        <v>4800</v>
      </c>
      <c r="E94" s="34">
        <f t="shared" si="46"/>
        <v>472</v>
      </c>
      <c r="F94" s="32">
        <v>40</v>
      </c>
      <c r="G94" s="34">
        <f t="shared" si="47"/>
        <v>432</v>
      </c>
      <c r="H94" s="34">
        <v>0.09</v>
      </c>
      <c r="I94" s="32">
        <v>1.1100000000000001</v>
      </c>
      <c r="J94" s="32">
        <v>1.1000000000000001</v>
      </c>
      <c r="K94" s="32">
        <v>1.05</v>
      </c>
      <c r="L94" s="38">
        <f t="shared" si="42"/>
        <v>1.2820500000000004</v>
      </c>
      <c r="M94" s="36">
        <v>38400</v>
      </c>
      <c r="N94" s="32">
        <f t="shared" si="43"/>
        <v>8</v>
      </c>
      <c r="O94" s="32">
        <f t="shared" si="44"/>
        <v>3776</v>
      </c>
      <c r="P94" s="32">
        <f t="shared" si="45"/>
        <v>10.256400000000003</v>
      </c>
      <c r="Q94" s="32" t="s">
        <v>58</v>
      </c>
    </row>
    <row r="95" spans="1:17" ht="14.4" x14ac:dyDescent="0.25">
      <c r="A95" s="39"/>
      <c r="B95" s="32" t="s">
        <v>60</v>
      </c>
      <c r="C95" s="32" t="s">
        <v>66</v>
      </c>
      <c r="D95" s="32">
        <v>4000</v>
      </c>
      <c r="E95" s="32">
        <v>223</v>
      </c>
      <c r="F95" s="32">
        <v>30</v>
      </c>
      <c r="G95" s="32">
        <v>188</v>
      </c>
      <c r="H95" s="32">
        <v>0.05</v>
      </c>
      <c r="I95" s="32">
        <v>1.05</v>
      </c>
      <c r="J95" s="32">
        <v>1.05</v>
      </c>
      <c r="K95" s="32">
        <v>0.55000000000000004</v>
      </c>
      <c r="L95" s="38">
        <f t="shared" si="42"/>
        <v>0.60637500000000011</v>
      </c>
      <c r="M95" s="36"/>
      <c r="N95" s="32">
        <f t="shared" si="43"/>
        <v>0</v>
      </c>
      <c r="O95" s="32">
        <f t="shared" si="44"/>
        <v>0</v>
      </c>
      <c r="P95" s="32">
        <f t="shared" si="45"/>
        <v>0</v>
      </c>
      <c r="Q95" s="32" t="s">
        <v>64</v>
      </c>
    </row>
    <row r="96" spans="1:17" ht="14.4" x14ac:dyDescent="0.25">
      <c r="A96" s="40"/>
      <c r="B96" s="32" t="s">
        <v>60</v>
      </c>
      <c r="C96" s="32" t="s">
        <v>67</v>
      </c>
      <c r="D96" s="32">
        <v>1000</v>
      </c>
      <c r="E96" s="32">
        <v>830</v>
      </c>
      <c r="F96" s="32">
        <v>40</v>
      </c>
      <c r="G96" s="32">
        <v>790</v>
      </c>
      <c r="H96" s="32">
        <v>0.79</v>
      </c>
      <c r="I96" s="32">
        <v>1.1000000000000001</v>
      </c>
      <c r="J96" s="32">
        <v>0.88</v>
      </c>
      <c r="K96" s="32">
        <v>0.74</v>
      </c>
      <c r="L96" s="38">
        <f t="shared" si="42"/>
        <v>0.71632000000000007</v>
      </c>
      <c r="M96" s="36"/>
      <c r="N96" s="32">
        <f t="shared" si="43"/>
        <v>0</v>
      </c>
      <c r="O96" s="32">
        <f t="shared" si="44"/>
        <v>0</v>
      </c>
      <c r="P96" s="32">
        <f t="shared" si="45"/>
        <v>0</v>
      </c>
      <c r="Q96" s="32" t="s">
        <v>64</v>
      </c>
    </row>
    <row r="97" spans="1:17" ht="14.4" x14ac:dyDescent="0.25">
      <c r="A97" s="39"/>
      <c r="B97" s="39" t="s">
        <v>68</v>
      </c>
      <c r="C97" s="39" t="s">
        <v>0</v>
      </c>
      <c r="D97" s="35">
        <v>4000</v>
      </c>
      <c r="E97" s="35">
        <v>424</v>
      </c>
      <c r="F97" s="35">
        <v>40</v>
      </c>
      <c r="G97" s="35">
        <v>372</v>
      </c>
      <c r="H97" s="35">
        <v>0.1</v>
      </c>
      <c r="I97" s="35">
        <v>1.1000000000000001</v>
      </c>
      <c r="J97" s="35">
        <v>0.8</v>
      </c>
      <c r="K97" s="35">
        <v>0.55000000000000004</v>
      </c>
      <c r="L97" s="38">
        <f t="shared" si="42"/>
        <v>0.4840000000000001</v>
      </c>
      <c r="M97" s="36">
        <v>0</v>
      </c>
      <c r="N97" s="32">
        <f t="shared" si="43"/>
        <v>0</v>
      </c>
      <c r="O97" s="32">
        <f t="shared" si="44"/>
        <v>0</v>
      </c>
      <c r="P97" s="32">
        <f t="shared" si="45"/>
        <v>0</v>
      </c>
      <c r="Q97" s="32" t="s">
        <v>58</v>
      </c>
    </row>
    <row r="98" spans="1:17" x14ac:dyDescent="0.25">
      <c r="L98">
        <f>SUM(L90:L97)</f>
        <v>6.8929507500000007</v>
      </c>
      <c r="M98">
        <f t="shared" ref="M98:P98" si="48">SUM(M90:M97)</f>
        <v>55064</v>
      </c>
      <c r="N98">
        <f t="shared" si="48"/>
        <v>35.944000000000003</v>
      </c>
      <c r="O98">
        <f t="shared" si="48"/>
        <v>24385.84</v>
      </c>
      <c r="P98">
        <f t="shared" si="48"/>
        <v>27.244421000000003</v>
      </c>
    </row>
    <row r="103" spans="1:17" ht="14.4" x14ac:dyDescent="0.3">
      <c r="A103" t="s">
        <v>76</v>
      </c>
      <c r="B103" t="s">
        <v>59</v>
      </c>
      <c r="C103" s="32" t="s">
        <v>58</v>
      </c>
      <c r="D103" t="s">
        <v>71</v>
      </c>
      <c r="E103" s="54" t="s">
        <v>56</v>
      </c>
    </row>
    <row r="104" spans="1:17" ht="27.6" x14ac:dyDescent="0.25">
      <c r="A104" s="29" t="s">
        <v>39</v>
      </c>
      <c r="B104" s="30" t="s">
        <v>40</v>
      </c>
      <c r="C104" s="31" t="s">
        <v>41</v>
      </c>
      <c r="D104" s="29" t="s">
        <v>42</v>
      </c>
      <c r="E104" s="30" t="s">
        <v>43</v>
      </c>
      <c r="F104" s="30" t="s">
        <v>44</v>
      </c>
      <c r="G104" s="30" t="s">
        <v>45</v>
      </c>
      <c r="H104" s="30" t="s">
        <v>46</v>
      </c>
      <c r="I104" s="30" t="s">
        <v>47</v>
      </c>
      <c r="J104" s="30" t="s">
        <v>48</v>
      </c>
      <c r="K104" s="30" t="s">
        <v>49</v>
      </c>
      <c r="L104" s="30" t="s">
        <v>50</v>
      </c>
      <c r="M104" s="30" t="s">
        <v>51</v>
      </c>
      <c r="N104" s="30" t="s">
        <v>52</v>
      </c>
      <c r="O104" s="30" t="s">
        <v>53</v>
      </c>
      <c r="P104" s="30" t="s">
        <v>54</v>
      </c>
      <c r="Q104" s="30" t="s">
        <v>55</v>
      </c>
    </row>
    <row r="105" spans="1:17" ht="14.4" x14ac:dyDescent="0.25">
      <c r="A105" s="32"/>
      <c r="B105" s="32" t="s">
        <v>56</v>
      </c>
      <c r="C105" s="32" t="s">
        <v>57</v>
      </c>
      <c r="D105" s="33">
        <v>60</v>
      </c>
      <c r="E105" s="34">
        <f>G105+F105</f>
        <v>907</v>
      </c>
      <c r="F105" s="34">
        <v>61</v>
      </c>
      <c r="G105" s="34">
        <f>D105*H105</f>
        <v>846</v>
      </c>
      <c r="H105" s="34">
        <v>14.1</v>
      </c>
      <c r="I105" s="34">
        <v>1.0249999999999999</v>
      </c>
      <c r="J105" s="34">
        <v>1.0049999999999999</v>
      </c>
      <c r="K105" s="34">
        <v>0.75</v>
      </c>
      <c r="L105" s="35">
        <f t="shared" ref="L105:L112" si="49">I105*J105*K105</f>
        <v>0.77259374999999975</v>
      </c>
      <c r="M105" s="36">
        <v>1260</v>
      </c>
      <c r="N105" s="32">
        <f t="shared" ref="N105:N112" si="50">M105/D105</f>
        <v>21</v>
      </c>
      <c r="O105" s="32">
        <f t="shared" ref="O105:O112" si="51">N105*E105</f>
        <v>19047</v>
      </c>
      <c r="P105" s="32">
        <f t="shared" ref="P105:P112" si="52">N105*L105</f>
        <v>16.224468749999996</v>
      </c>
      <c r="Q105" s="32" t="s">
        <v>58</v>
      </c>
    </row>
    <row r="106" spans="1:17" ht="14.4" x14ac:dyDescent="0.25">
      <c r="A106" s="32"/>
      <c r="B106" s="32" t="s">
        <v>60</v>
      </c>
      <c r="C106" s="37" t="s">
        <v>61</v>
      </c>
      <c r="D106" s="33">
        <v>1000</v>
      </c>
      <c r="E106" s="34">
        <f t="shared" ref="E106:E109" si="53">G106+F106</f>
        <v>610</v>
      </c>
      <c r="F106" s="32">
        <v>40</v>
      </c>
      <c r="G106" s="34">
        <f t="shared" ref="G106:G109" si="54">D106*H106</f>
        <v>570</v>
      </c>
      <c r="H106" s="34">
        <v>0.56999999999999995</v>
      </c>
      <c r="I106" s="32">
        <v>1.1000000000000001</v>
      </c>
      <c r="J106" s="32">
        <v>0.8</v>
      </c>
      <c r="K106" s="32">
        <v>0.55000000000000004</v>
      </c>
      <c r="L106" s="38">
        <f t="shared" si="49"/>
        <v>0.4840000000000001</v>
      </c>
      <c r="M106" s="36"/>
      <c r="N106" s="32">
        <f t="shared" si="50"/>
        <v>0</v>
      </c>
      <c r="O106" s="32">
        <f t="shared" si="51"/>
        <v>0</v>
      </c>
      <c r="P106" s="32">
        <f t="shared" si="52"/>
        <v>0</v>
      </c>
      <c r="Q106" s="32" t="s">
        <v>58</v>
      </c>
    </row>
    <row r="107" spans="1:17" ht="14.4" x14ac:dyDescent="0.25">
      <c r="A107" s="32"/>
      <c r="B107" s="32" t="s">
        <v>60</v>
      </c>
      <c r="C107" s="37" t="s">
        <v>62</v>
      </c>
      <c r="D107" s="33">
        <v>3000</v>
      </c>
      <c r="E107" s="34">
        <f t="shared" si="53"/>
        <v>940</v>
      </c>
      <c r="F107" s="32">
        <v>40</v>
      </c>
      <c r="G107" s="34">
        <f t="shared" si="54"/>
        <v>900</v>
      </c>
      <c r="H107" s="34">
        <v>0.3</v>
      </c>
      <c r="I107" s="32">
        <v>1.1299999999999999</v>
      </c>
      <c r="J107" s="32">
        <v>1.08</v>
      </c>
      <c r="K107" s="32">
        <v>1.08</v>
      </c>
      <c r="L107" s="38">
        <f t="shared" si="49"/>
        <v>1.3180320000000001</v>
      </c>
      <c r="M107" s="36">
        <v>0</v>
      </c>
      <c r="N107" s="32">
        <f t="shared" si="50"/>
        <v>0</v>
      </c>
      <c r="O107" s="32">
        <f t="shared" si="51"/>
        <v>0</v>
      </c>
      <c r="P107" s="32">
        <f t="shared" si="52"/>
        <v>0</v>
      </c>
      <c r="Q107" s="32" t="s">
        <v>58</v>
      </c>
    </row>
    <row r="108" spans="1:17" ht="14.4" x14ac:dyDescent="0.25">
      <c r="A108" s="32"/>
      <c r="B108" s="32" t="s">
        <v>60</v>
      </c>
      <c r="C108" s="37" t="s">
        <v>63</v>
      </c>
      <c r="D108" s="33">
        <v>8600</v>
      </c>
      <c r="E108" s="34">
        <f t="shared" si="53"/>
        <v>814</v>
      </c>
      <c r="F108" s="32">
        <v>40</v>
      </c>
      <c r="G108" s="34">
        <f t="shared" si="54"/>
        <v>774</v>
      </c>
      <c r="H108" s="34">
        <v>0.09</v>
      </c>
      <c r="I108" s="32">
        <v>1.1499999999999999</v>
      </c>
      <c r="J108" s="32">
        <v>0.99</v>
      </c>
      <c r="K108" s="32">
        <v>1.08</v>
      </c>
      <c r="L108" s="38">
        <f t="shared" si="49"/>
        <v>1.2295799999999999</v>
      </c>
      <c r="M108" s="36"/>
      <c r="N108" s="32">
        <f t="shared" si="50"/>
        <v>0</v>
      </c>
      <c r="O108" s="32">
        <f t="shared" si="51"/>
        <v>0</v>
      </c>
      <c r="P108" s="32">
        <f t="shared" si="52"/>
        <v>0</v>
      </c>
      <c r="Q108" s="32" t="s">
        <v>64</v>
      </c>
    </row>
    <row r="109" spans="1:17" ht="14.4" x14ac:dyDescent="0.25">
      <c r="A109" s="32"/>
      <c r="B109" s="32" t="s">
        <v>60</v>
      </c>
      <c r="C109" s="37" t="s">
        <v>65</v>
      </c>
      <c r="D109" s="33">
        <v>4800</v>
      </c>
      <c r="E109" s="34">
        <f t="shared" si="53"/>
        <v>472</v>
      </c>
      <c r="F109" s="32">
        <v>40</v>
      </c>
      <c r="G109" s="34">
        <f t="shared" si="54"/>
        <v>432</v>
      </c>
      <c r="H109" s="34">
        <v>0.09</v>
      </c>
      <c r="I109" s="32">
        <v>1.1100000000000001</v>
      </c>
      <c r="J109" s="32">
        <v>1.1000000000000001</v>
      </c>
      <c r="K109" s="32">
        <v>1.05</v>
      </c>
      <c r="L109" s="38">
        <f t="shared" si="49"/>
        <v>1.2820500000000004</v>
      </c>
      <c r="M109" s="36">
        <v>20688</v>
      </c>
      <c r="N109" s="32">
        <f t="shared" si="50"/>
        <v>4.3099999999999996</v>
      </c>
      <c r="O109" s="32">
        <f t="shared" si="51"/>
        <v>2034.3199999999997</v>
      </c>
      <c r="P109" s="32">
        <f t="shared" si="52"/>
        <v>5.5256355000000008</v>
      </c>
      <c r="Q109" s="32" t="s">
        <v>58</v>
      </c>
    </row>
    <row r="110" spans="1:17" ht="14.4" x14ac:dyDescent="0.25">
      <c r="A110" s="39"/>
      <c r="B110" s="32" t="s">
        <v>60</v>
      </c>
      <c r="C110" s="32" t="s">
        <v>66</v>
      </c>
      <c r="D110" s="32">
        <v>4000</v>
      </c>
      <c r="E110" s="32">
        <v>223</v>
      </c>
      <c r="F110" s="32">
        <v>30</v>
      </c>
      <c r="G110" s="32">
        <v>188</v>
      </c>
      <c r="H110" s="32">
        <v>0.05</v>
      </c>
      <c r="I110" s="32">
        <v>1.05</v>
      </c>
      <c r="J110" s="32">
        <v>1.05</v>
      </c>
      <c r="K110" s="32">
        <v>0.55000000000000004</v>
      </c>
      <c r="L110" s="38">
        <f t="shared" si="49"/>
        <v>0.60637500000000011</v>
      </c>
      <c r="M110" s="36"/>
      <c r="N110" s="32">
        <f t="shared" si="50"/>
        <v>0</v>
      </c>
      <c r="O110" s="32">
        <f t="shared" si="51"/>
        <v>0</v>
      </c>
      <c r="P110" s="32">
        <f t="shared" si="52"/>
        <v>0</v>
      </c>
      <c r="Q110" s="32" t="s">
        <v>64</v>
      </c>
    </row>
    <row r="111" spans="1:17" ht="14.4" x14ac:dyDescent="0.25">
      <c r="A111" s="40"/>
      <c r="B111" s="32" t="s">
        <v>60</v>
      </c>
      <c r="C111" s="32" t="s">
        <v>67</v>
      </c>
      <c r="D111" s="32">
        <v>1000</v>
      </c>
      <c r="E111" s="32">
        <v>830</v>
      </c>
      <c r="F111" s="32">
        <v>40</v>
      </c>
      <c r="G111" s="32">
        <v>790</v>
      </c>
      <c r="H111" s="32">
        <v>0.79</v>
      </c>
      <c r="I111" s="32">
        <v>1.1000000000000001</v>
      </c>
      <c r="J111" s="32">
        <v>0.88</v>
      </c>
      <c r="K111" s="32">
        <v>0.74</v>
      </c>
      <c r="L111" s="38">
        <f t="shared" si="49"/>
        <v>0.71632000000000007</v>
      </c>
      <c r="M111" s="36"/>
      <c r="N111" s="32">
        <f t="shared" si="50"/>
        <v>0</v>
      </c>
      <c r="O111" s="32">
        <f t="shared" si="51"/>
        <v>0</v>
      </c>
      <c r="P111" s="32">
        <f t="shared" si="52"/>
        <v>0</v>
      </c>
      <c r="Q111" s="32" t="s">
        <v>64</v>
      </c>
    </row>
    <row r="112" spans="1:17" ht="14.4" x14ac:dyDescent="0.25">
      <c r="A112" s="39"/>
      <c r="B112" s="39" t="s">
        <v>68</v>
      </c>
      <c r="C112" s="39" t="s">
        <v>0</v>
      </c>
      <c r="D112" s="35">
        <v>4000</v>
      </c>
      <c r="E112" s="35">
        <v>424</v>
      </c>
      <c r="F112" s="35">
        <v>40</v>
      </c>
      <c r="G112" s="35">
        <v>372</v>
      </c>
      <c r="H112" s="35">
        <v>0.1</v>
      </c>
      <c r="I112" s="35">
        <v>1.1000000000000001</v>
      </c>
      <c r="J112" s="35">
        <v>0.8</v>
      </c>
      <c r="K112" s="35">
        <v>0.55000000000000004</v>
      </c>
      <c r="L112" s="38">
        <f t="shared" si="49"/>
        <v>0.4840000000000001</v>
      </c>
      <c r="M112" s="36"/>
      <c r="N112" s="32">
        <f t="shared" si="50"/>
        <v>0</v>
      </c>
      <c r="O112" s="32">
        <f t="shared" si="51"/>
        <v>0</v>
      </c>
      <c r="P112" s="32">
        <f t="shared" si="52"/>
        <v>0</v>
      </c>
      <c r="Q112" s="32" t="s">
        <v>58</v>
      </c>
    </row>
    <row r="113" spans="1:17" x14ac:dyDescent="0.25">
      <c r="L113">
        <f>SUM(L105:L112)</f>
        <v>6.8929507500000007</v>
      </c>
      <c r="M113">
        <f t="shared" ref="M113:P113" si="55">SUM(M105:M112)</f>
        <v>21948</v>
      </c>
      <c r="N113">
        <f t="shared" si="55"/>
        <v>25.31</v>
      </c>
      <c r="O113">
        <f t="shared" si="55"/>
        <v>21081.32</v>
      </c>
      <c r="P113">
        <f t="shared" si="55"/>
        <v>21.750104249999996</v>
      </c>
    </row>
    <row r="118" spans="1:17" x14ac:dyDescent="0.25">
      <c r="A118" t="s">
        <v>77</v>
      </c>
      <c r="B118" t="s">
        <v>59</v>
      </c>
      <c r="C118" s="32" t="s">
        <v>58</v>
      </c>
      <c r="D118" t="s">
        <v>71</v>
      </c>
      <c r="E118" t="s">
        <v>56</v>
      </c>
    </row>
    <row r="119" spans="1:17" ht="27.6" x14ac:dyDescent="0.25">
      <c r="A119" s="29" t="s">
        <v>39</v>
      </c>
      <c r="B119" s="30" t="s">
        <v>40</v>
      </c>
      <c r="C119" s="31" t="s">
        <v>41</v>
      </c>
      <c r="D119" s="29" t="s">
        <v>42</v>
      </c>
      <c r="E119" s="30" t="s">
        <v>43</v>
      </c>
      <c r="F119" s="30" t="s">
        <v>44</v>
      </c>
      <c r="G119" s="30" t="s">
        <v>45</v>
      </c>
      <c r="H119" s="30" t="s">
        <v>46</v>
      </c>
      <c r="I119" s="30" t="s">
        <v>47</v>
      </c>
      <c r="J119" s="30" t="s">
        <v>48</v>
      </c>
      <c r="K119" s="30" t="s">
        <v>49</v>
      </c>
      <c r="L119" s="30" t="s">
        <v>50</v>
      </c>
      <c r="M119" s="30" t="s">
        <v>51</v>
      </c>
      <c r="N119" s="30" t="s">
        <v>52</v>
      </c>
      <c r="O119" s="30" t="s">
        <v>53</v>
      </c>
      <c r="P119" s="30" t="s">
        <v>54</v>
      </c>
      <c r="Q119" s="30" t="s">
        <v>55</v>
      </c>
    </row>
    <row r="120" spans="1:17" ht="14.4" x14ac:dyDescent="0.25">
      <c r="A120" s="32"/>
      <c r="B120" s="32" t="s">
        <v>56</v>
      </c>
      <c r="C120" s="32" t="s">
        <v>57</v>
      </c>
      <c r="D120" s="33">
        <v>60</v>
      </c>
      <c r="E120" s="34">
        <f>G120+F120</f>
        <v>907</v>
      </c>
      <c r="F120" s="34">
        <v>61</v>
      </c>
      <c r="G120" s="34">
        <f>D120*H120</f>
        <v>846</v>
      </c>
      <c r="H120" s="34">
        <v>14.1</v>
      </c>
      <c r="I120" s="34">
        <v>1.0249999999999999</v>
      </c>
      <c r="J120" s="34">
        <v>1.0049999999999999</v>
      </c>
      <c r="K120" s="34">
        <v>0.75</v>
      </c>
      <c r="L120" s="35">
        <f t="shared" ref="L120:L127" si="56">I120*J120*K120</f>
        <v>0.77259374999999975</v>
      </c>
      <c r="M120" s="36">
        <v>1260</v>
      </c>
      <c r="N120" s="32">
        <f t="shared" ref="N120:N127" si="57">M120/D120</f>
        <v>21</v>
      </c>
      <c r="O120" s="32">
        <f t="shared" ref="O120:O127" si="58">N120*E120</f>
        <v>19047</v>
      </c>
      <c r="P120" s="32">
        <f t="shared" ref="P120:P127" si="59">N120*L120</f>
        <v>16.224468749999996</v>
      </c>
      <c r="Q120" s="32" t="s">
        <v>58</v>
      </c>
    </row>
    <row r="121" spans="1:17" ht="14.4" x14ac:dyDescent="0.25">
      <c r="A121" s="32"/>
      <c r="B121" s="32" t="s">
        <v>60</v>
      </c>
      <c r="C121" s="37" t="s">
        <v>61</v>
      </c>
      <c r="D121" s="33">
        <v>1000</v>
      </c>
      <c r="E121" s="34">
        <f t="shared" ref="E121:E124" si="60">G121+F121</f>
        <v>610</v>
      </c>
      <c r="F121" s="32">
        <v>40</v>
      </c>
      <c r="G121" s="34">
        <f t="shared" ref="G121:G124" si="61">D121*H121</f>
        <v>570</v>
      </c>
      <c r="H121" s="34">
        <v>0.56999999999999995</v>
      </c>
      <c r="I121" s="32">
        <v>1.1000000000000001</v>
      </c>
      <c r="J121" s="32">
        <v>0.8</v>
      </c>
      <c r="K121" s="32">
        <v>0.55000000000000004</v>
      </c>
      <c r="L121" s="38">
        <f t="shared" si="56"/>
        <v>0.4840000000000001</v>
      </c>
      <c r="M121" s="36"/>
      <c r="N121" s="32">
        <f t="shared" si="57"/>
        <v>0</v>
      </c>
      <c r="O121" s="32">
        <f t="shared" si="58"/>
        <v>0</v>
      </c>
      <c r="P121" s="32">
        <f t="shared" si="59"/>
        <v>0</v>
      </c>
      <c r="Q121" s="32" t="s">
        <v>58</v>
      </c>
    </row>
    <row r="122" spans="1:17" ht="14.4" x14ac:dyDescent="0.25">
      <c r="A122" s="32"/>
      <c r="B122" s="32" t="s">
        <v>60</v>
      </c>
      <c r="C122" s="37" t="s">
        <v>62</v>
      </c>
      <c r="D122" s="33">
        <v>3000</v>
      </c>
      <c r="E122" s="34">
        <f t="shared" si="60"/>
        <v>940</v>
      </c>
      <c r="F122" s="32">
        <v>40</v>
      </c>
      <c r="G122" s="34">
        <f t="shared" si="61"/>
        <v>900</v>
      </c>
      <c r="H122" s="34">
        <v>0.3</v>
      </c>
      <c r="I122" s="32">
        <v>1.1299999999999999</v>
      </c>
      <c r="J122" s="32">
        <v>1.08</v>
      </c>
      <c r="K122" s="32">
        <v>1.08</v>
      </c>
      <c r="L122" s="38">
        <f t="shared" si="56"/>
        <v>1.3180320000000001</v>
      </c>
      <c r="M122" s="36">
        <v>18000</v>
      </c>
      <c r="N122" s="32">
        <f t="shared" si="57"/>
        <v>6</v>
      </c>
      <c r="O122" s="32">
        <f t="shared" si="58"/>
        <v>5640</v>
      </c>
      <c r="P122" s="32">
        <f t="shared" si="59"/>
        <v>7.9081920000000006</v>
      </c>
      <c r="Q122" s="32" t="s">
        <v>58</v>
      </c>
    </row>
    <row r="123" spans="1:17" ht="14.4" x14ac:dyDescent="0.25">
      <c r="A123" s="32"/>
      <c r="B123" s="32" t="s">
        <v>60</v>
      </c>
      <c r="C123" s="37" t="s">
        <v>63</v>
      </c>
      <c r="D123" s="33">
        <v>8600</v>
      </c>
      <c r="E123" s="34">
        <f t="shared" si="60"/>
        <v>814</v>
      </c>
      <c r="F123" s="32">
        <v>40</v>
      </c>
      <c r="G123" s="34">
        <f t="shared" si="61"/>
        <v>774</v>
      </c>
      <c r="H123" s="34">
        <v>0.09</v>
      </c>
      <c r="I123" s="32">
        <v>1.1499999999999999</v>
      </c>
      <c r="J123" s="32">
        <v>0.99</v>
      </c>
      <c r="K123" s="32">
        <v>1.08</v>
      </c>
      <c r="L123" s="38">
        <f t="shared" si="56"/>
        <v>1.2295799999999999</v>
      </c>
      <c r="M123" s="36"/>
      <c r="N123" s="32">
        <f t="shared" si="57"/>
        <v>0</v>
      </c>
      <c r="O123" s="32">
        <f t="shared" si="58"/>
        <v>0</v>
      </c>
      <c r="P123" s="32">
        <f t="shared" si="59"/>
        <v>0</v>
      </c>
      <c r="Q123" s="32" t="s">
        <v>64</v>
      </c>
    </row>
    <row r="124" spans="1:17" ht="14.4" x14ac:dyDescent="0.25">
      <c r="A124" s="32"/>
      <c r="B124" s="32" t="s">
        <v>60</v>
      </c>
      <c r="C124" s="37" t="s">
        <v>65</v>
      </c>
      <c r="D124" s="33">
        <v>4800</v>
      </c>
      <c r="E124" s="34">
        <f t="shared" si="60"/>
        <v>472</v>
      </c>
      <c r="F124" s="32">
        <v>40</v>
      </c>
      <c r="G124" s="34">
        <f t="shared" si="61"/>
        <v>432</v>
      </c>
      <c r="H124" s="34">
        <v>0.09</v>
      </c>
      <c r="I124" s="32">
        <v>1.1100000000000001</v>
      </c>
      <c r="J124" s="32">
        <v>1.1000000000000001</v>
      </c>
      <c r="K124" s="32">
        <v>1.05</v>
      </c>
      <c r="L124" s="38">
        <f t="shared" si="56"/>
        <v>1.2820500000000004</v>
      </c>
      <c r="M124" s="36"/>
      <c r="N124" s="32">
        <f t="shared" si="57"/>
        <v>0</v>
      </c>
      <c r="O124" s="32">
        <f t="shared" si="58"/>
        <v>0</v>
      </c>
      <c r="P124" s="32">
        <f t="shared" si="59"/>
        <v>0</v>
      </c>
      <c r="Q124" s="32" t="s">
        <v>58</v>
      </c>
    </row>
    <row r="125" spans="1:17" ht="15.75" customHeight="1" x14ac:dyDescent="0.25">
      <c r="A125" s="39"/>
      <c r="B125" s="32" t="s">
        <v>60</v>
      </c>
      <c r="C125" s="32" t="s">
        <v>66</v>
      </c>
      <c r="D125" s="32">
        <v>4000</v>
      </c>
      <c r="E125" s="32">
        <v>223</v>
      </c>
      <c r="F125" s="32">
        <v>30</v>
      </c>
      <c r="G125" s="32">
        <v>188</v>
      </c>
      <c r="H125" s="32">
        <v>0.05</v>
      </c>
      <c r="I125" s="32">
        <v>1.05</v>
      </c>
      <c r="J125" s="32">
        <v>1.05</v>
      </c>
      <c r="K125" s="32">
        <v>0.55000000000000004</v>
      </c>
      <c r="L125" s="38">
        <f t="shared" si="56"/>
        <v>0.60637500000000011</v>
      </c>
      <c r="M125" s="36"/>
      <c r="N125" s="32">
        <f t="shared" si="57"/>
        <v>0</v>
      </c>
      <c r="O125" s="32">
        <f t="shared" si="58"/>
        <v>0</v>
      </c>
      <c r="P125" s="32">
        <f t="shared" si="59"/>
        <v>0</v>
      </c>
      <c r="Q125" s="32" t="s">
        <v>64</v>
      </c>
    </row>
    <row r="126" spans="1:17" ht="14.4" x14ac:dyDescent="0.25">
      <c r="A126" s="40"/>
      <c r="B126" s="32" t="s">
        <v>60</v>
      </c>
      <c r="C126" s="32" t="s">
        <v>67</v>
      </c>
      <c r="D126" s="32">
        <v>1000</v>
      </c>
      <c r="E126" s="32">
        <v>830</v>
      </c>
      <c r="F126" s="32">
        <v>40</v>
      </c>
      <c r="G126" s="32">
        <v>790</v>
      </c>
      <c r="H126" s="32">
        <v>0.79</v>
      </c>
      <c r="I126" s="32">
        <v>1.1000000000000001</v>
      </c>
      <c r="J126" s="32">
        <v>0.88</v>
      </c>
      <c r="K126" s="32">
        <v>0.74</v>
      </c>
      <c r="L126" s="38">
        <f t="shared" si="56"/>
        <v>0.71632000000000007</v>
      </c>
      <c r="M126" s="36"/>
      <c r="N126" s="32">
        <f t="shared" si="57"/>
        <v>0</v>
      </c>
      <c r="O126" s="32">
        <f t="shared" si="58"/>
        <v>0</v>
      </c>
      <c r="P126" s="32">
        <f t="shared" si="59"/>
        <v>0</v>
      </c>
      <c r="Q126" s="32" t="s">
        <v>64</v>
      </c>
    </row>
    <row r="127" spans="1:17" ht="14.4" x14ac:dyDescent="0.25">
      <c r="A127" s="39"/>
      <c r="B127" s="39" t="s">
        <v>68</v>
      </c>
      <c r="C127" s="39" t="s">
        <v>0</v>
      </c>
      <c r="D127" s="35">
        <v>4000</v>
      </c>
      <c r="E127" s="35">
        <v>424</v>
      </c>
      <c r="F127" s="35">
        <v>40</v>
      </c>
      <c r="G127" s="35">
        <v>372</v>
      </c>
      <c r="H127" s="35">
        <v>0.1</v>
      </c>
      <c r="I127" s="35">
        <v>1.1000000000000001</v>
      </c>
      <c r="J127" s="35">
        <v>0.8</v>
      </c>
      <c r="K127" s="35">
        <v>0.55000000000000004</v>
      </c>
      <c r="L127" s="38">
        <f t="shared" si="56"/>
        <v>0.4840000000000001</v>
      </c>
      <c r="M127" s="36"/>
      <c r="N127" s="32">
        <f t="shared" si="57"/>
        <v>0</v>
      </c>
      <c r="O127" s="32">
        <f t="shared" si="58"/>
        <v>0</v>
      </c>
      <c r="P127" s="32">
        <f t="shared" si="59"/>
        <v>0</v>
      </c>
      <c r="Q127" s="32" t="s">
        <v>58</v>
      </c>
    </row>
    <row r="128" spans="1:17" x14ac:dyDescent="0.25">
      <c r="L128">
        <f>SUM(L120:L127)</f>
        <v>6.8929507500000007</v>
      </c>
      <c r="M128">
        <f t="shared" ref="M128:P128" si="62">SUM(M120:M127)</f>
        <v>19260</v>
      </c>
      <c r="N128">
        <f t="shared" si="62"/>
        <v>27</v>
      </c>
      <c r="O128">
        <f t="shared" si="62"/>
        <v>24687</v>
      </c>
      <c r="P128">
        <f t="shared" si="62"/>
        <v>24.132660749999996</v>
      </c>
    </row>
    <row r="133" spans="1:17" x14ac:dyDescent="0.25">
      <c r="A133" t="s">
        <v>78</v>
      </c>
      <c r="B133" t="s">
        <v>59</v>
      </c>
      <c r="C133" s="32" t="s">
        <v>58</v>
      </c>
      <c r="D133" t="s">
        <v>71</v>
      </c>
      <c r="E133" t="s">
        <v>56</v>
      </c>
    </row>
    <row r="134" spans="1:17" ht="27.6" x14ac:dyDescent="0.25">
      <c r="A134" s="29" t="s">
        <v>39</v>
      </c>
      <c r="B134" s="30" t="s">
        <v>40</v>
      </c>
      <c r="C134" s="31" t="s">
        <v>41</v>
      </c>
      <c r="D134" s="29" t="s">
        <v>42</v>
      </c>
      <c r="E134" s="30" t="s">
        <v>43</v>
      </c>
      <c r="F134" s="30" t="s">
        <v>44</v>
      </c>
      <c r="G134" s="30" t="s">
        <v>45</v>
      </c>
      <c r="H134" s="30" t="s">
        <v>46</v>
      </c>
      <c r="I134" s="30" t="s">
        <v>47</v>
      </c>
      <c r="J134" s="30" t="s">
        <v>48</v>
      </c>
      <c r="K134" s="30" t="s">
        <v>49</v>
      </c>
      <c r="L134" s="30" t="s">
        <v>50</v>
      </c>
      <c r="M134" s="30" t="s">
        <v>51</v>
      </c>
      <c r="N134" s="30" t="s">
        <v>52</v>
      </c>
      <c r="O134" s="30" t="s">
        <v>53</v>
      </c>
      <c r="P134" s="30" t="s">
        <v>54</v>
      </c>
      <c r="Q134" s="30" t="s">
        <v>55</v>
      </c>
    </row>
    <row r="135" spans="1:17" ht="14.4" x14ac:dyDescent="0.25">
      <c r="A135" s="32"/>
      <c r="B135" s="32" t="s">
        <v>56</v>
      </c>
      <c r="C135" s="32" t="s">
        <v>57</v>
      </c>
      <c r="D135" s="33">
        <v>60</v>
      </c>
      <c r="E135" s="34">
        <f>G135+F135</f>
        <v>907</v>
      </c>
      <c r="F135" s="34">
        <v>61</v>
      </c>
      <c r="G135" s="34">
        <f>D135*H135</f>
        <v>846</v>
      </c>
      <c r="H135" s="34">
        <v>14.1</v>
      </c>
      <c r="I135" s="34">
        <v>1.0249999999999999</v>
      </c>
      <c r="J135" s="34">
        <v>1.0049999999999999</v>
      </c>
      <c r="K135" s="34">
        <v>0.75</v>
      </c>
      <c r="L135" s="35">
        <f t="shared" ref="L135:L142" si="63">I135*J135*K135</f>
        <v>0.77259374999999975</v>
      </c>
      <c r="M135" s="36">
        <v>1260</v>
      </c>
      <c r="N135" s="32">
        <f t="shared" ref="N135:N142" si="64">M135/D135</f>
        <v>21</v>
      </c>
      <c r="O135" s="32">
        <f t="shared" ref="O135:O142" si="65">N135*E135</f>
        <v>19047</v>
      </c>
      <c r="P135" s="32">
        <f t="shared" ref="P135:P142" si="66">N135*L135</f>
        <v>16.224468749999996</v>
      </c>
      <c r="Q135" s="32" t="s">
        <v>58</v>
      </c>
    </row>
    <row r="136" spans="1:17" ht="14.4" x14ac:dyDescent="0.25">
      <c r="A136" s="32"/>
      <c r="B136" s="32" t="s">
        <v>60</v>
      </c>
      <c r="C136" s="37" t="s">
        <v>61</v>
      </c>
      <c r="D136" s="33">
        <v>1000</v>
      </c>
      <c r="E136" s="34">
        <f t="shared" ref="E136:E139" si="67">G136+F136</f>
        <v>610</v>
      </c>
      <c r="F136" s="32">
        <v>40</v>
      </c>
      <c r="G136" s="34">
        <f t="shared" ref="G136:G139" si="68">D136*H136</f>
        <v>570</v>
      </c>
      <c r="H136" s="34">
        <v>0.56999999999999995</v>
      </c>
      <c r="I136" s="32">
        <v>1.1000000000000001</v>
      </c>
      <c r="J136" s="32">
        <v>0.8</v>
      </c>
      <c r="K136" s="32">
        <v>0.55000000000000004</v>
      </c>
      <c r="L136" s="38">
        <f t="shared" si="63"/>
        <v>0.4840000000000001</v>
      </c>
      <c r="M136" s="36"/>
      <c r="N136" s="32">
        <f t="shared" si="64"/>
        <v>0</v>
      </c>
      <c r="O136" s="32">
        <f t="shared" si="65"/>
        <v>0</v>
      </c>
      <c r="P136" s="32">
        <f t="shared" si="66"/>
        <v>0</v>
      </c>
      <c r="Q136" s="32" t="s">
        <v>58</v>
      </c>
    </row>
    <row r="137" spans="1:17" ht="14.4" x14ac:dyDescent="0.25">
      <c r="A137" s="32"/>
      <c r="B137" s="32" t="s">
        <v>60</v>
      </c>
      <c r="C137" s="37" t="s">
        <v>62</v>
      </c>
      <c r="D137" s="33">
        <v>3000</v>
      </c>
      <c r="E137" s="34">
        <f t="shared" si="67"/>
        <v>940</v>
      </c>
      <c r="F137" s="32">
        <v>40</v>
      </c>
      <c r="G137" s="34">
        <f t="shared" si="68"/>
        <v>900</v>
      </c>
      <c r="H137" s="34">
        <v>0.3</v>
      </c>
      <c r="I137" s="32">
        <v>1.1299999999999999</v>
      </c>
      <c r="J137" s="32">
        <v>1.08</v>
      </c>
      <c r="K137" s="32">
        <v>1.08</v>
      </c>
      <c r="L137" s="38">
        <f t="shared" si="63"/>
        <v>1.3180320000000001</v>
      </c>
      <c r="M137" s="36">
        <v>18000</v>
      </c>
      <c r="N137" s="32">
        <f t="shared" si="64"/>
        <v>6</v>
      </c>
      <c r="O137" s="32">
        <f t="shared" si="65"/>
        <v>5640</v>
      </c>
      <c r="P137" s="32">
        <f t="shared" si="66"/>
        <v>7.9081920000000006</v>
      </c>
      <c r="Q137" s="32" t="s">
        <v>58</v>
      </c>
    </row>
    <row r="138" spans="1:17" ht="14.4" x14ac:dyDescent="0.25">
      <c r="A138" s="32"/>
      <c r="B138" s="32" t="s">
        <v>60</v>
      </c>
      <c r="C138" s="37" t="s">
        <v>63</v>
      </c>
      <c r="D138" s="33">
        <v>8600</v>
      </c>
      <c r="E138" s="34">
        <f t="shared" si="67"/>
        <v>814</v>
      </c>
      <c r="F138" s="32">
        <v>40</v>
      </c>
      <c r="G138" s="34">
        <f t="shared" si="68"/>
        <v>774</v>
      </c>
      <c r="H138" s="34">
        <v>0.09</v>
      </c>
      <c r="I138" s="32">
        <v>1.1499999999999999</v>
      </c>
      <c r="J138" s="32">
        <v>0.99</v>
      </c>
      <c r="K138" s="32">
        <v>1.08</v>
      </c>
      <c r="L138" s="38">
        <f t="shared" si="63"/>
        <v>1.2295799999999999</v>
      </c>
      <c r="M138" s="36"/>
      <c r="N138" s="32">
        <f t="shared" si="64"/>
        <v>0</v>
      </c>
      <c r="O138" s="32">
        <f t="shared" si="65"/>
        <v>0</v>
      </c>
      <c r="P138" s="32">
        <f t="shared" si="66"/>
        <v>0</v>
      </c>
      <c r="Q138" s="32" t="s">
        <v>64</v>
      </c>
    </row>
    <row r="139" spans="1:17" ht="14.4" x14ac:dyDescent="0.25">
      <c r="A139" s="32"/>
      <c r="B139" s="32" t="s">
        <v>60</v>
      </c>
      <c r="C139" s="37" t="s">
        <v>65</v>
      </c>
      <c r="D139" s="33">
        <v>4800</v>
      </c>
      <c r="E139" s="34">
        <f t="shared" si="67"/>
        <v>472</v>
      </c>
      <c r="F139" s="32">
        <v>40</v>
      </c>
      <c r="G139" s="34">
        <f t="shared" si="68"/>
        <v>432</v>
      </c>
      <c r="H139" s="34">
        <v>0.09</v>
      </c>
      <c r="I139" s="32">
        <v>1.1100000000000001</v>
      </c>
      <c r="J139" s="32">
        <v>1.1000000000000001</v>
      </c>
      <c r="K139" s="32">
        <v>1.05</v>
      </c>
      <c r="L139" s="38">
        <f t="shared" si="63"/>
        <v>1.2820500000000004</v>
      </c>
      <c r="M139" s="36"/>
      <c r="N139" s="32">
        <f t="shared" si="64"/>
        <v>0</v>
      </c>
      <c r="O139" s="32">
        <f t="shared" si="65"/>
        <v>0</v>
      </c>
      <c r="P139" s="32">
        <f t="shared" si="66"/>
        <v>0</v>
      </c>
      <c r="Q139" s="32" t="s">
        <v>58</v>
      </c>
    </row>
    <row r="140" spans="1:17" ht="14.4" x14ac:dyDescent="0.25">
      <c r="A140" s="39"/>
      <c r="B140" s="32" t="s">
        <v>60</v>
      </c>
      <c r="C140" s="32" t="s">
        <v>66</v>
      </c>
      <c r="D140" s="32">
        <v>4000</v>
      </c>
      <c r="E140" s="32">
        <v>223</v>
      </c>
      <c r="F140" s="32">
        <v>30</v>
      </c>
      <c r="G140" s="32">
        <v>188</v>
      </c>
      <c r="H140" s="32">
        <v>0.05</v>
      </c>
      <c r="I140" s="32">
        <v>1.05</v>
      </c>
      <c r="J140" s="32">
        <v>1.05</v>
      </c>
      <c r="K140" s="32">
        <v>0.55000000000000004</v>
      </c>
      <c r="L140" s="38">
        <f t="shared" si="63"/>
        <v>0.60637500000000011</v>
      </c>
      <c r="M140" s="36"/>
      <c r="N140" s="32">
        <f t="shared" si="64"/>
        <v>0</v>
      </c>
      <c r="O140" s="32">
        <f t="shared" si="65"/>
        <v>0</v>
      </c>
      <c r="P140" s="32">
        <f t="shared" si="66"/>
        <v>0</v>
      </c>
      <c r="Q140" s="32" t="s">
        <v>64</v>
      </c>
    </row>
    <row r="141" spans="1:17" ht="14.4" x14ac:dyDescent="0.25">
      <c r="A141" s="40"/>
      <c r="B141" s="32" t="s">
        <v>60</v>
      </c>
      <c r="C141" s="32" t="s">
        <v>67</v>
      </c>
      <c r="D141" s="32">
        <v>1000</v>
      </c>
      <c r="E141" s="32">
        <v>830</v>
      </c>
      <c r="F141" s="32">
        <v>40</v>
      </c>
      <c r="G141" s="32">
        <v>790</v>
      </c>
      <c r="H141" s="32">
        <v>0.79</v>
      </c>
      <c r="I141" s="32">
        <v>1.1000000000000001</v>
      </c>
      <c r="J141" s="32">
        <v>0.88</v>
      </c>
      <c r="K141" s="32">
        <v>0.74</v>
      </c>
      <c r="L141" s="38">
        <f t="shared" si="63"/>
        <v>0.71632000000000007</v>
      </c>
      <c r="M141" s="36"/>
      <c r="N141" s="32">
        <f t="shared" si="64"/>
        <v>0</v>
      </c>
      <c r="O141" s="32">
        <f t="shared" si="65"/>
        <v>0</v>
      </c>
      <c r="P141" s="32">
        <f t="shared" si="66"/>
        <v>0</v>
      </c>
      <c r="Q141" s="32" t="s">
        <v>64</v>
      </c>
    </row>
    <row r="142" spans="1:17" ht="14.4" x14ac:dyDescent="0.25">
      <c r="A142" s="39"/>
      <c r="B142" s="39" t="s">
        <v>68</v>
      </c>
      <c r="C142" s="39" t="s">
        <v>0</v>
      </c>
      <c r="D142" s="35">
        <v>4000</v>
      </c>
      <c r="E142" s="35">
        <v>424</v>
      </c>
      <c r="F142" s="35">
        <v>40</v>
      </c>
      <c r="G142" s="35">
        <v>372</v>
      </c>
      <c r="H142" s="35">
        <v>0.1</v>
      </c>
      <c r="I142" s="35">
        <v>1.1000000000000001</v>
      </c>
      <c r="J142" s="35">
        <v>0.8</v>
      </c>
      <c r="K142" s="35">
        <v>0.55000000000000004</v>
      </c>
      <c r="L142" s="38">
        <f t="shared" si="63"/>
        <v>0.4840000000000001</v>
      </c>
      <c r="M142" s="36"/>
      <c r="N142" s="32">
        <f t="shared" si="64"/>
        <v>0</v>
      </c>
      <c r="O142" s="32">
        <f t="shared" si="65"/>
        <v>0</v>
      </c>
      <c r="P142" s="32">
        <f t="shared" si="66"/>
        <v>0</v>
      </c>
      <c r="Q142" s="32" t="s">
        <v>58</v>
      </c>
    </row>
    <row r="143" spans="1:17" x14ac:dyDescent="0.25">
      <c r="L143">
        <f>SUM(L135:L142)</f>
        <v>6.8929507500000007</v>
      </c>
      <c r="M143">
        <f t="shared" ref="M143:P143" si="69">SUM(M135:M142)</f>
        <v>19260</v>
      </c>
      <c r="N143">
        <f t="shared" si="69"/>
        <v>27</v>
      </c>
      <c r="O143">
        <f t="shared" si="69"/>
        <v>24687</v>
      </c>
      <c r="P143">
        <f t="shared" si="69"/>
        <v>24.132660749999996</v>
      </c>
    </row>
    <row r="148" spans="1:17" x14ac:dyDescent="0.25">
      <c r="A148" t="s">
        <v>79</v>
      </c>
      <c r="B148" t="s">
        <v>59</v>
      </c>
      <c r="C148" s="32" t="s">
        <v>58</v>
      </c>
      <c r="D148" t="s">
        <v>71</v>
      </c>
      <c r="E148" t="s">
        <v>56</v>
      </c>
    </row>
    <row r="149" spans="1:17" ht="27.6" x14ac:dyDescent="0.25">
      <c r="A149" s="29" t="s">
        <v>39</v>
      </c>
      <c r="B149" s="30" t="s">
        <v>40</v>
      </c>
      <c r="C149" s="31" t="s">
        <v>41</v>
      </c>
      <c r="D149" s="29" t="s">
        <v>42</v>
      </c>
      <c r="E149" s="30" t="s">
        <v>43</v>
      </c>
      <c r="F149" s="30" t="s">
        <v>44</v>
      </c>
      <c r="G149" s="30" t="s">
        <v>45</v>
      </c>
      <c r="H149" s="30" t="s">
        <v>46</v>
      </c>
      <c r="I149" s="30" t="s">
        <v>47</v>
      </c>
      <c r="J149" s="30" t="s">
        <v>48</v>
      </c>
      <c r="K149" s="30" t="s">
        <v>49</v>
      </c>
      <c r="L149" s="30" t="s">
        <v>50</v>
      </c>
      <c r="M149" s="30" t="s">
        <v>51</v>
      </c>
      <c r="N149" s="30" t="s">
        <v>52</v>
      </c>
      <c r="O149" s="30" t="s">
        <v>53</v>
      </c>
      <c r="P149" s="30" t="s">
        <v>54</v>
      </c>
      <c r="Q149" s="30" t="s">
        <v>55</v>
      </c>
    </row>
    <row r="150" spans="1:17" ht="14.4" x14ac:dyDescent="0.25">
      <c r="A150" s="32"/>
      <c r="B150" s="32" t="s">
        <v>56</v>
      </c>
      <c r="C150" s="32" t="s">
        <v>57</v>
      </c>
      <c r="D150" s="33">
        <v>60</v>
      </c>
      <c r="E150" s="34">
        <f>G150+F150</f>
        <v>907</v>
      </c>
      <c r="F150" s="34">
        <v>61</v>
      </c>
      <c r="G150" s="34">
        <f>D150*H150</f>
        <v>846</v>
      </c>
      <c r="H150" s="34">
        <v>14.1</v>
      </c>
      <c r="I150" s="34">
        <v>1.0249999999999999</v>
      </c>
      <c r="J150" s="34">
        <v>1.0049999999999999</v>
      </c>
      <c r="K150" s="34">
        <v>0.75</v>
      </c>
      <c r="L150" s="35">
        <f t="shared" ref="L150:L157" si="70">I150*J150*K150</f>
        <v>0.77259374999999975</v>
      </c>
      <c r="M150" s="36">
        <v>1260</v>
      </c>
      <c r="N150" s="32">
        <f t="shared" ref="N150:N157" si="71">M150/D150</f>
        <v>21</v>
      </c>
      <c r="O150" s="32">
        <f t="shared" ref="O150:O157" si="72">N150*E150</f>
        <v>19047</v>
      </c>
      <c r="P150" s="32">
        <f t="shared" ref="P150:P157" si="73">N150*L150</f>
        <v>16.224468749999996</v>
      </c>
      <c r="Q150" s="32" t="s">
        <v>58</v>
      </c>
    </row>
    <row r="151" spans="1:17" ht="14.4" x14ac:dyDescent="0.25">
      <c r="A151" s="32"/>
      <c r="B151" s="32" t="s">
        <v>60</v>
      </c>
      <c r="C151" s="37" t="s">
        <v>61</v>
      </c>
      <c r="D151" s="33">
        <v>1000</v>
      </c>
      <c r="E151" s="34">
        <f t="shared" ref="E151:E154" si="74">G151+F151</f>
        <v>610</v>
      </c>
      <c r="F151" s="32">
        <v>40</v>
      </c>
      <c r="G151" s="34">
        <f t="shared" ref="G151:G154" si="75">D151*H151</f>
        <v>570</v>
      </c>
      <c r="H151" s="34">
        <v>0.56999999999999995</v>
      </c>
      <c r="I151" s="32">
        <v>1.1000000000000001</v>
      </c>
      <c r="J151" s="32">
        <v>0.8</v>
      </c>
      <c r="K151" s="32">
        <v>0.55000000000000004</v>
      </c>
      <c r="L151" s="38">
        <f t="shared" si="70"/>
        <v>0.4840000000000001</v>
      </c>
      <c r="M151" s="36"/>
      <c r="N151" s="32">
        <f t="shared" si="71"/>
        <v>0</v>
      </c>
      <c r="O151" s="32">
        <f t="shared" si="72"/>
        <v>0</v>
      </c>
      <c r="P151" s="32">
        <f t="shared" si="73"/>
        <v>0</v>
      </c>
      <c r="Q151" s="32" t="s">
        <v>58</v>
      </c>
    </row>
    <row r="152" spans="1:17" ht="14.4" x14ac:dyDescent="0.25">
      <c r="A152" s="32"/>
      <c r="B152" s="32" t="s">
        <v>60</v>
      </c>
      <c r="C152" s="37" t="s">
        <v>62</v>
      </c>
      <c r="D152" s="33">
        <v>3000</v>
      </c>
      <c r="E152" s="34">
        <f t="shared" si="74"/>
        <v>940</v>
      </c>
      <c r="F152" s="32">
        <v>40</v>
      </c>
      <c r="G152" s="34">
        <f t="shared" si="75"/>
        <v>900</v>
      </c>
      <c r="H152" s="34">
        <v>0.3</v>
      </c>
      <c r="I152" s="32">
        <v>1.1299999999999999</v>
      </c>
      <c r="J152" s="32">
        <v>1.08</v>
      </c>
      <c r="K152" s="32">
        <v>1.08</v>
      </c>
      <c r="L152" s="38">
        <f t="shared" si="70"/>
        <v>1.3180320000000001</v>
      </c>
      <c r="M152" s="36">
        <v>18000</v>
      </c>
      <c r="N152" s="32">
        <f t="shared" si="71"/>
        <v>6</v>
      </c>
      <c r="O152" s="32">
        <f t="shared" si="72"/>
        <v>5640</v>
      </c>
      <c r="P152" s="32">
        <f t="shared" si="73"/>
        <v>7.9081920000000006</v>
      </c>
      <c r="Q152" s="32" t="s">
        <v>58</v>
      </c>
    </row>
    <row r="153" spans="1:17" ht="14.4" x14ac:dyDescent="0.25">
      <c r="A153" s="32"/>
      <c r="B153" s="32" t="s">
        <v>60</v>
      </c>
      <c r="C153" s="37" t="s">
        <v>63</v>
      </c>
      <c r="D153" s="33">
        <v>8600</v>
      </c>
      <c r="E153" s="34">
        <f t="shared" si="74"/>
        <v>814</v>
      </c>
      <c r="F153" s="32">
        <v>40</v>
      </c>
      <c r="G153" s="34">
        <f t="shared" si="75"/>
        <v>774</v>
      </c>
      <c r="H153" s="34">
        <v>0.09</v>
      </c>
      <c r="I153" s="32">
        <v>1.1499999999999999</v>
      </c>
      <c r="J153" s="32">
        <v>0.99</v>
      </c>
      <c r="K153" s="32">
        <v>1.08</v>
      </c>
      <c r="L153" s="38">
        <f t="shared" si="70"/>
        <v>1.2295799999999999</v>
      </c>
      <c r="M153" s="36"/>
      <c r="N153" s="32">
        <f t="shared" si="71"/>
        <v>0</v>
      </c>
      <c r="O153" s="32">
        <f t="shared" si="72"/>
        <v>0</v>
      </c>
      <c r="P153" s="32">
        <f t="shared" si="73"/>
        <v>0</v>
      </c>
      <c r="Q153" s="32" t="s">
        <v>64</v>
      </c>
    </row>
    <row r="154" spans="1:17" ht="14.4" x14ac:dyDescent="0.25">
      <c r="A154" s="32"/>
      <c r="B154" s="32" t="s">
        <v>60</v>
      </c>
      <c r="C154" s="37" t="s">
        <v>65</v>
      </c>
      <c r="D154" s="33">
        <v>4800</v>
      </c>
      <c r="E154" s="34">
        <f t="shared" si="74"/>
        <v>472</v>
      </c>
      <c r="F154" s="32">
        <v>40</v>
      </c>
      <c r="G154" s="34">
        <f t="shared" si="75"/>
        <v>432</v>
      </c>
      <c r="H154" s="34">
        <v>0.09</v>
      </c>
      <c r="I154" s="32">
        <v>1.1100000000000001</v>
      </c>
      <c r="J154" s="32">
        <v>1.1000000000000001</v>
      </c>
      <c r="K154" s="32">
        <v>1.05</v>
      </c>
      <c r="L154" s="38">
        <f t="shared" si="70"/>
        <v>1.2820500000000004</v>
      </c>
      <c r="M154" s="36"/>
      <c r="N154" s="32">
        <f t="shared" si="71"/>
        <v>0</v>
      </c>
      <c r="O154" s="32">
        <f t="shared" si="72"/>
        <v>0</v>
      </c>
      <c r="P154" s="32">
        <f t="shared" si="73"/>
        <v>0</v>
      </c>
      <c r="Q154" s="32" t="s">
        <v>58</v>
      </c>
    </row>
    <row r="155" spans="1:17" ht="14.4" x14ac:dyDescent="0.25">
      <c r="A155" s="39"/>
      <c r="B155" s="32" t="s">
        <v>60</v>
      </c>
      <c r="C155" s="32" t="s">
        <v>66</v>
      </c>
      <c r="D155" s="32">
        <v>4000</v>
      </c>
      <c r="E155" s="32">
        <v>223</v>
      </c>
      <c r="F155" s="32">
        <v>30</v>
      </c>
      <c r="G155" s="32">
        <v>188</v>
      </c>
      <c r="H155" s="32">
        <v>0.05</v>
      </c>
      <c r="I155" s="32">
        <v>1.05</v>
      </c>
      <c r="J155" s="32">
        <v>1.05</v>
      </c>
      <c r="K155" s="32">
        <v>0.55000000000000004</v>
      </c>
      <c r="L155" s="38">
        <f t="shared" si="70"/>
        <v>0.60637500000000011</v>
      </c>
      <c r="M155" s="36"/>
      <c r="N155" s="32">
        <f t="shared" si="71"/>
        <v>0</v>
      </c>
      <c r="O155" s="32">
        <f t="shared" si="72"/>
        <v>0</v>
      </c>
      <c r="P155" s="32">
        <f t="shared" si="73"/>
        <v>0</v>
      </c>
      <c r="Q155" s="32" t="s">
        <v>64</v>
      </c>
    </row>
    <row r="156" spans="1:17" ht="14.4" x14ac:dyDescent="0.25">
      <c r="A156" s="40"/>
      <c r="B156" s="32" t="s">
        <v>60</v>
      </c>
      <c r="C156" s="32" t="s">
        <v>67</v>
      </c>
      <c r="D156" s="32">
        <v>1000</v>
      </c>
      <c r="E156" s="32">
        <v>830</v>
      </c>
      <c r="F156" s="32">
        <v>40</v>
      </c>
      <c r="G156" s="32">
        <v>790</v>
      </c>
      <c r="H156" s="32">
        <v>0.79</v>
      </c>
      <c r="I156" s="32">
        <v>1.1000000000000001</v>
      </c>
      <c r="J156" s="32">
        <v>0.88</v>
      </c>
      <c r="K156" s="32">
        <v>0.74</v>
      </c>
      <c r="L156" s="38">
        <f t="shared" si="70"/>
        <v>0.71632000000000007</v>
      </c>
      <c r="M156" s="36"/>
      <c r="N156" s="32">
        <f t="shared" si="71"/>
        <v>0</v>
      </c>
      <c r="O156" s="32">
        <f t="shared" si="72"/>
        <v>0</v>
      </c>
      <c r="P156" s="32">
        <f t="shared" si="73"/>
        <v>0</v>
      </c>
      <c r="Q156" s="32" t="s">
        <v>64</v>
      </c>
    </row>
    <row r="157" spans="1:17" ht="14.4" x14ac:dyDescent="0.25">
      <c r="A157" s="39"/>
      <c r="B157" s="39" t="s">
        <v>68</v>
      </c>
      <c r="C157" s="39" t="s">
        <v>0</v>
      </c>
      <c r="D157" s="35">
        <v>4000</v>
      </c>
      <c r="E157" s="35">
        <v>424</v>
      </c>
      <c r="F157" s="35">
        <v>40</v>
      </c>
      <c r="G157" s="35">
        <v>372</v>
      </c>
      <c r="H157" s="35">
        <v>0.1</v>
      </c>
      <c r="I157" s="35">
        <v>1.1000000000000001</v>
      </c>
      <c r="J157" s="35">
        <v>0.8</v>
      </c>
      <c r="K157" s="35">
        <v>0.55000000000000004</v>
      </c>
      <c r="L157" s="38">
        <f t="shared" si="70"/>
        <v>0.4840000000000001</v>
      </c>
      <c r="M157" s="36"/>
      <c r="N157" s="32">
        <f t="shared" si="71"/>
        <v>0</v>
      </c>
      <c r="O157" s="32">
        <f t="shared" si="72"/>
        <v>0</v>
      </c>
      <c r="P157" s="32">
        <f t="shared" si="73"/>
        <v>0</v>
      </c>
      <c r="Q157" s="32" t="s">
        <v>58</v>
      </c>
    </row>
    <row r="158" spans="1:17" x14ac:dyDescent="0.25">
      <c r="L158">
        <f>SUM(L150:L157)</f>
        <v>6.8929507500000007</v>
      </c>
      <c r="M158">
        <f t="shared" ref="M158:P158" si="76">SUM(M150:M157)</f>
        <v>19260</v>
      </c>
      <c r="N158">
        <f t="shared" si="76"/>
        <v>27</v>
      </c>
      <c r="O158">
        <f t="shared" si="76"/>
        <v>24687</v>
      </c>
      <c r="P158">
        <f t="shared" si="76"/>
        <v>24.132660749999996</v>
      </c>
    </row>
    <row r="163" spans="1:17" x14ac:dyDescent="0.25">
      <c r="A163" t="s">
        <v>80</v>
      </c>
      <c r="B163" t="s">
        <v>59</v>
      </c>
      <c r="C163" s="32" t="s">
        <v>58</v>
      </c>
      <c r="D163" t="s">
        <v>71</v>
      </c>
      <c r="E163" t="s">
        <v>56</v>
      </c>
    </row>
    <row r="164" spans="1:17" ht="27.6" x14ac:dyDescent="0.25">
      <c r="A164" s="29" t="s">
        <v>39</v>
      </c>
      <c r="B164" s="30" t="s">
        <v>40</v>
      </c>
      <c r="C164" s="31" t="s">
        <v>41</v>
      </c>
      <c r="D164" s="29" t="s">
        <v>42</v>
      </c>
      <c r="E164" s="30" t="s">
        <v>43</v>
      </c>
      <c r="F164" s="30" t="s">
        <v>44</v>
      </c>
      <c r="G164" s="30" t="s">
        <v>45</v>
      </c>
      <c r="H164" s="30" t="s">
        <v>46</v>
      </c>
      <c r="I164" s="30" t="s">
        <v>47</v>
      </c>
      <c r="J164" s="30" t="s">
        <v>48</v>
      </c>
      <c r="K164" s="30" t="s">
        <v>49</v>
      </c>
      <c r="L164" s="30" t="s">
        <v>50</v>
      </c>
      <c r="M164" s="30" t="s">
        <v>51</v>
      </c>
      <c r="N164" s="30" t="s">
        <v>52</v>
      </c>
      <c r="O164" s="30" t="s">
        <v>53</v>
      </c>
      <c r="P164" s="30" t="s">
        <v>54</v>
      </c>
      <c r="Q164" s="30" t="s">
        <v>55</v>
      </c>
    </row>
    <row r="165" spans="1:17" ht="14.4" x14ac:dyDescent="0.25">
      <c r="A165" s="32"/>
      <c r="B165" s="32" t="s">
        <v>56</v>
      </c>
      <c r="C165" s="32" t="s">
        <v>57</v>
      </c>
      <c r="D165" s="33">
        <v>60</v>
      </c>
      <c r="E165" s="34">
        <f>G165+F165</f>
        <v>907</v>
      </c>
      <c r="F165" s="34">
        <v>61</v>
      </c>
      <c r="G165" s="34">
        <f>D165*H165</f>
        <v>846</v>
      </c>
      <c r="H165" s="34">
        <v>14.1</v>
      </c>
      <c r="I165" s="34">
        <v>1.0249999999999999</v>
      </c>
      <c r="J165" s="34">
        <v>1.0049999999999999</v>
      </c>
      <c r="K165" s="34">
        <v>0.75</v>
      </c>
      <c r="L165" s="35">
        <f t="shared" ref="L165:L172" si="77">I165*J165*K165</f>
        <v>0.77259374999999975</v>
      </c>
      <c r="M165" s="36">
        <v>1440</v>
      </c>
      <c r="N165" s="32">
        <f t="shared" ref="N165:N172" si="78">M165/D165</f>
        <v>24</v>
      </c>
      <c r="O165" s="32">
        <f t="shared" ref="O165:O172" si="79">N165*E165</f>
        <v>21768</v>
      </c>
      <c r="P165" s="32">
        <f t="shared" ref="P165:P172" si="80">N165*L165</f>
        <v>18.542249999999996</v>
      </c>
      <c r="Q165" s="32" t="s">
        <v>58</v>
      </c>
    </row>
    <row r="166" spans="1:17" ht="14.4" x14ac:dyDescent="0.25">
      <c r="A166" s="32"/>
      <c r="B166" s="32" t="s">
        <v>60</v>
      </c>
      <c r="C166" s="37" t="s">
        <v>61</v>
      </c>
      <c r="D166" s="33">
        <v>1000</v>
      </c>
      <c r="E166" s="34">
        <f t="shared" ref="E166:E169" si="81">G166+F166</f>
        <v>610</v>
      </c>
      <c r="F166" s="32">
        <v>40</v>
      </c>
      <c r="G166" s="34">
        <f t="shared" ref="G166:G169" si="82">D166*H166</f>
        <v>570</v>
      </c>
      <c r="H166" s="34">
        <v>0.56999999999999995</v>
      </c>
      <c r="I166" s="32">
        <v>1.1000000000000001</v>
      </c>
      <c r="J166" s="32">
        <v>0.8</v>
      </c>
      <c r="K166" s="32">
        <v>0.55000000000000004</v>
      </c>
      <c r="L166" s="38">
        <f t="shared" si="77"/>
        <v>0.4840000000000001</v>
      </c>
      <c r="M166" s="36"/>
      <c r="N166" s="32">
        <f t="shared" si="78"/>
        <v>0</v>
      </c>
      <c r="O166" s="32">
        <f t="shared" si="79"/>
        <v>0</v>
      </c>
      <c r="P166" s="32">
        <f t="shared" si="80"/>
        <v>0</v>
      </c>
      <c r="Q166" s="32" t="s">
        <v>58</v>
      </c>
    </row>
    <row r="167" spans="1:17" ht="14.4" x14ac:dyDescent="0.25">
      <c r="A167" s="32"/>
      <c r="B167" s="32" t="s">
        <v>60</v>
      </c>
      <c r="C167" s="37" t="s">
        <v>62</v>
      </c>
      <c r="D167" s="33">
        <v>3000</v>
      </c>
      <c r="E167" s="34">
        <f t="shared" si="81"/>
        <v>940</v>
      </c>
      <c r="F167" s="32">
        <v>40</v>
      </c>
      <c r="G167" s="34">
        <f t="shared" si="82"/>
        <v>900</v>
      </c>
      <c r="H167" s="34">
        <v>0.3</v>
      </c>
      <c r="I167" s="32">
        <v>1.1299999999999999</v>
      </c>
      <c r="J167" s="32">
        <v>1.08</v>
      </c>
      <c r="K167" s="32">
        <v>1.08</v>
      </c>
      <c r="L167" s="38">
        <f t="shared" si="77"/>
        <v>1.3180320000000001</v>
      </c>
      <c r="M167" s="36">
        <v>9972</v>
      </c>
      <c r="N167" s="32">
        <f t="shared" si="78"/>
        <v>3.3239999999999998</v>
      </c>
      <c r="O167" s="32">
        <f t="shared" si="79"/>
        <v>3124.56</v>
      </c>
      <c r="P167" s="32">
        <f t="shared" si="80"/>
        <v>4.3811383680000002</v>
      </c>
      <c r="Q167" s="32" t="s">
        <v>58</v>
      </c>
    </row>
    <row r="168" spans="1:17" ht="14.4" x14ac:dyDescent="0.25">
      <c r="A168" s="32"/>
      <c r="B168" s="32" t="s">
        <v>60</v>
      </c>
      <c r="C168" s="37" t="s">
        <v>63</v>
      </c>
      <c r="D168" s="33">
        <v>8600</v>
      </c>
      <c r="E168" s="34">
        <f t="shared" si="81"/>
        <v>814</v>
      </c>
      <c r="F168" s="32">
        <v>40</v>
      </c>
      <c r="G168" s="34">
        <f t="shared" si="82"/>
        <v>774</v>
      </c>
      <c r="H168" s="34">
        <v>0.09</v>
      </c>
      <c r="I168" s="32">
        <v>1.1499999999999999</v>
      </c>
      <c r="J168" s="32">
        <v>0.99</v>
      </c>
      <c r="K168" s="32">
        <v>1.08</v>
      </c>
      <c r="L168" s="38">
        <f t="shared" si="77"/>
        <v>1.2295799999999999</v>
      </c>
      <c r="M168" s="36"/>
      <c r="N168" s="32">
        <f t="shared" si="78"/>
        <v>0</v>
      </c>
      <c r="O168" s="32">
        <f t="shared" si="79"/>
        <v>0</v>
      </c>
      <c r="P168" s="32">
        <f t="shared" si="80"/>
        <v>0</v>
      </c>
      <c r="Q168" s="32" t="s">
        <v>64</v>
      </c>
    </row>
    <row r="169" spans="1:17" ht="14.4" x14ac:dyDescent="0.25">
      <c r="A169" s="32"/>
      <c r="B169" s="32" t="s">
        <v>60</v>
      </c>
      <c r="C169" s="37" t="s">
        <v>65</v>
      </c>
      <c r="D169" s="33">
        <v>4800</v>
      </c>
      <c r="E169" s="34">
        <f t="shared" si="81"/>
        <v>472</v>
      </c>
      <c r="F169" s="32">
        <v>40</v>
      </c>
      <c r="G169" s="34">
        <f t="shared" si="82"/>
        <v>432</v>
      </c>
      <c r="H169" s="34">
        <v>0.09</v>
      </c>
      <c r="I169" s="32">
        <v>1.1100000000000001</v>
      </c>
      <c r="J169" s="32">
        <v>1.1000000000000001</v>
      </c>
      <c r="K169" s="32">
        <v>1.05</v>
      </c>
      <c r="L169" s="38">
        <f t="shared" si="77"/>
        <v>1.2820500000000004</v>
      </c>
      <c r="M169" s="36"/>
      <c r="N169" s="32">
        <f t="shared" si="78"/>
        <v>0</v>
      </c>
      <c r="O169" s="32">
        <f t="shared" si="79"/>
        <v>0</v>
      </c>
      <c r="P169" s="32">
        <f t="shared" si="80"/>
        <v>0</v>
      </c>
      <c r="Q169" s="32" t="s">
        <v>58</v>
      </c>
    </row>
    <row r="170" spans="1:17" ht="14.4" x14ac:dyDescent="0.25">
      <c r="A170" s="39"/>
      <c r="B170" s="32" t="s">
        <v>60</v>
      </c>
      <c r="C170" s="32" t="s">
        <v>66</v>
      </c>
      <c r="D170" s="32">
        <v>4000</v>
      </c>
      <c r="E170" s="32">
        <v>223</v>
      </c>
      <c r="F170" s="32">
        <v>30</v>
      </c>
      <c r="G170" s="32">
        <v>188</v>
      </c>
      <c r="H170" s="32">
        <v>0.05</v>
      </c>
      <c r="I170" s="32">
        <v>1.05</v>
      </c>
      <c r="J170" s="32">
        <v>1.05</v>
      </c>
      <c r="K170" s="32">
        <v>0.55000000000000004</v>
      </c>
      <c r="L170" s="38">
        <f t="shared" si="77"/>
        <v>0.60637500000000011</v>
      </c>
      <c r="M170" s="36"/>
      <c r="N170" s="32">
        <f t="shared" si="78"/>
        <v>0</v>
      </c>
      <c r="O170" s="32">
        <f t="shared" si="79"/>
        <v>0</v>
      </c>
      <c r="P170" s="32">
        <f t="shared" si="80"/>
        <v>0</v>
      </c>
      <c r="Q170" s="32" t="s">
        <v>64</v>
      </c>
    </row>
    <row r="171" spans="1:17" ht="14.4" x14ac:dyDescent="0.25">
      <c r="A171" s="40"/>
      <c r="B171" s="32" t="s">
        <v>60</v>
      </c>
      <c r="C171" s="32" t="s">
        <v>67</v>
      </c>
      <c r="D171" s="32">
        <v>1000</v>
      </c>
      <c r="E171" s="32">
        <v>830</v>
      </c>
      <c r="F171" s="32">
        <v>40</v>
      </c>
      <c r="G171" s="32">
        <v>790</v>
      </c>
      <c r="H171" s="32">
        <v>0.79</v>
      </c>
      <c r="I171" s="32">
        <v>1.1000000000000001</v>
      </c>
      <c r="J171" s="32">
        <v>0.88</v>
      </c>
      <c r="K171" s="32">
        <v>0.74</v>
      </c>
      <c r="L171" s="38">
        <f t="shared" si="77"/>
        <v>0.71632000000000007</v>
      </c>
      <c r="M171" s="36"/>
      <c r="N171" s="32">
        <f t="shared" si="78"/>
        <v>0</v>
      </c>
      <c r="O171" s="32">
        <f t="shared" si="79"/>
        <v>0</v>
      </c>
      <c r="P171" s="32">
        <f t="shared" si="80"/>
        <v>0</v>
      </c>
      <c r="Q171" s="32" t="s">
        <v>64</v>
      </c>
    </row>
    <row r="172" spans="1:17" ht="14.4" x14ac:dyDescent="0.25">
      <c r="A172" s="39"/>
      <c r="B172" s="39" t="s">
        <v>68</v>
      </c>
      <c r="C172" s="39" t="s">
        <v>0</v>
      </c>
      <c r="D172" s="35">
        <v>4000</v>
      </c>
      <c r="E172" s="35">
        <v>424</v>
      </c>
      <c r="F172" s="35">
        <v>40</v>
      </c>
      <c r="G172" s="35">
        <v>372</v>
      </c>
      <c r="H172" s="35">
        <v>0.1</v>
      </c>
      <c r="I172" s="35">
        <v>1.1000000000000001</v>
      </c>
      <c r="J172" s="35">
        <v>0.8</v>
      </c>
      <c r="K172" s="35">
        <v>0.55000000000000004</v>
      </c>
      <c r="L172" s="38">
        <f t="shared" si="77"/>
        <v>0.4840000000000001</v>
      </c>
      <c r="M172" s="36"/>
      <c r="N172" s="32">
        <f t="shared" si="78"/>
        <v>0</v>
      </c>
      <c r="O172" s="32">
        <f t="shared" si="79"/>
        <v>0</v>
      </c>
      <c r="P172" s="32">
        <f t="shared" si="80"/>
        <v>0</v>
      </c>
      <c r="Q172" s="32" t="s">
        <v>58</v>
      </c>
    </row>
    <row r="173" spans="1:17" x14ac:dyDescent="0.25">
      <c r="L173">
        <f>SUM(L165:L172)</f>
        <v>6.8929507500000007</v>
      </c>
      <c r="M173">
        <f t="shared" ref="M173:P173" si="83">SUM(M165:M172)</f>
        <v>11412</v>
      </c>
      <c r="N173">
        <f t="shared" si="83"/>
        <v>27.323999999999998</v>
      </c>
      <c r="O173">
        <f t="shared" si="83"/>
        <v>24892.560000000001</v>
      </c>
      <c r="P173">
        <f t="shared" si="83"/>
        <v>22.923388367999998</v>
      </c>
    </row>
    <row r="178" spans="1:17" x14ac:dyDescent="0.25">
      <c r="A178" t="s">
        <v>81</v>
      </c>
      <c r="B178" t="s">
        <v>59</v>
      </c>
      <c r="C178" s="32" t="s">
        <v>58</v>
      </c>
      <c r="E178" t="s">
        <v>56</v>
      </c>
    </row>
    <row r="179" spans="1:17" ht="27.6" x14ac:dyDescent="0.25">
      <c r="A179" s="29" t="s">
        <v>39</v>
      </c>
      <c r="B179" s="30" t="s">
        <v>40</v>
      </c>
      <c r="C179" s="31" t="s">
        <v>41</v>
      </c>
      <c r="D179" s="29" t="s">
        <v>42</v>
      </c>
      <c r="E179" s="30" t="s">
        <v>43</v>
      </c>
      <c r="F179" s="30" t="s">
        <v>44</v>
      </c>
      <c r="G179" s="30" t="s">
        <v>45</v>
      </c>
      <c r="H179" s="30" t="s">
        <v>46</v>
      </c>
      <c r="I179" s="30" t="s">
        <v>47</v>
      </c>
      <c r="J179" s="30" t="s">
        <v>48</v>
      </c>
      <c r="K179" s="30" t="s">
        <v>49</v>
      </c>
      <c r="L179" s="30" t="s">
        <v>50</v>
      </c>
      <c r="M179" s="30" t="s">
        <v>51</v>
      </c>
      <c r="N179" s="30" t="s">
        <v>52</v>
      </c>
      <c r="O179" s="30" t="s">
        <v>53</v>
      </c>
      <c r="P179" s="30" t="s">
        <v>54</v>
      </c>
      <c r="Q179" s="30" t="s">
        <v>55</v>
      </c>
    </row>
    <row r="180" spans="1:17" ht="14.4" x14ac:dyDescent="0.25">
      <c r="A180" s="32"/>
      <c r="B180" s="32" t="s">
        <v>56</v>
      </c>
      <c r="C180" s="32" t="s">
        <v>57</v>
      </c>
      <c r="D180" s="33">
        <v>60</v>
      </c>
      <c r="E180" s="34">
        <f>G180+F180</f>
        <v>907</v>
      </c>
      <c r="F180" s="34">
        <v>61</v>
      </c>
      <c r="G180" s="34">
        <f>D180*H180</f>
        <v>846</v>
      </c>
      <c r="H180" s="34">
        <v>14.1</v>
      </c>
      <c r="I180" s="34">
        <v>1.0249999999999999</v>
      </c>
      <c r="J180" s="34">
        <v>1.0049999999999999</v>
      </c>
      <c r="K180" s="34">
        <v>0.75</v>
      </c>
      <c r="L180" s="35">
        <f t="shared" ref="L180:L187" si="84">I180*J180*K180</f>
        <v>0.77259374999999975</v>
      </c>
      <c r="M180" s="36">
        <v>1680</v>
      </c>
      <c r="N180" s="32">
        <f t="shared" ref="N180:N187" si="85">M180/D180</f>
        <v>28</v>
      </c>
      <c r="O180" s="32">
        <f t="shared" ref="O180:O187" si="86">N180*E180</f>
        <v>25396</v>
      </c>
      <c r="P180" s="32">
        <f t="shared" ref="P180:P187" si="87">N180*L180</f>
        <v>21.632624999999994</v>
      </c>
      <c r="Q180" s="32" t="s">
        <v>58</v>
      </c>
    </row>
    <row r="181" spans="1:17" ht="14.4" x14ac:dyDescent="0.25">
      <c r="A181" s="32"/>
      <c r="B181" s="32" t="s">
        <v>60</v>
      </c>
      <c r="C181" s="37" t="s">
        <v>61</v>
      </c>
      <c r="D181" s="33">
        <v>1000</v>
      </c>
      <c r="E181" s="34">
        <f t="shared" ref="E181:E184" si="88">G181+F181</f>
        <v>610</v>
      </c>
      <c r="F181" s="32">
        <v>40</v>
      </c>
      <c r="G181" s="34">
        <f t="shared" ref="G181:G184" si="89">D181*H181</f>
        <v>570</v>
      </c>
      <c r="H181" s="34">
        <v>0.56999999999999995</v>
      </c>
      <c r="I181" s="32">
        <v>1.1000000000000001</v>
      </c>
      <c r="J181" s="32">
        <v>0.8</v>
      </c>
      <c r="K181" s="32">
        <v>0.55000000000000004</v>
      </c>
      <c r="L181" s="38">
        <f t="shared" si="84"/>
        <v>0.4840000000000001</v>
      </c>
      <c r="M181" s="36"/>
      <c r="N181" s="32">
        <f t="shared" si="85"/>
        <v>0</v>
      </c>
      <c r="O181" s="32">
        <f t="shared" si="86"/>
        <v>0</v>
      </c>
      <c r="P181" s="32">
        <f t="shared" si="87"/>
        <v>0</v>
      </c>
      <c r="Q181" s="32" t="s">
        <v>58</v>
      </c>
    </row>
    <row r="182" spans="1:17" ht="14.4" x14ac:dyDescent="0.25">
      <c r="A182" s="32"/>
      <c r="B182" s="32" t="s">
        <v>60</v>
      </c>
      <c r="C182" s="37" t="s">
        <v>62</v>
      </c>
      <c r="D182" s="33">
        <v>3000</v>
      </c>
      <c r="E182" s="34">
        <f t="shared" si="88"/>
        <v>940</v>
      </c>
      <c r="F182" s="32">
        <v>40</v>
      </c>
      <c r="G182" s="34">
        <f t="shared" si="89"/>
        <v>900</v>
      </c>
      <c r="H182" s="34">
        <v>0.3</v>
      </c>
      <c r="I182" s="32">
        <v>1.1299999999999999</v>
      </c>
      <c r="J182" s="32">
        <v>1.08</v>
      </c>
      <c r="K182" s="32">
        <v>1.08</v>
      </c>
      <c r="L182" s="38">
        <f t="shared" si="84"/>
        <v>1.3180320000000001</v>
      </c>
      <c r="M182" s="36"/>
      <c r="N182" s="32">
        <f t="shared" si="85"/>
        <v>0</v>
      </c>
      <c r="O182" s="32">
        <f t="shared" si="86"/>
        <v>0</v>
      </c>
      <c r="P182" s="32">
        <f t="shared" si="87"/>
        <v>0</v>
      </c>
      <c r="Q182" s="32" t="s">
        <v>58</v>
      </c>
    </row>
    <row r="183" spans="1:17" ht="14.4" x14ac:dyDescent="0.25">
      <c r="A183" s="32"/>
      <c r="B183" s="32" t="s">
        <v>60</v>
      </c>
      <c r="C183" s="37" t="s">
        <v>63</v>
      </c>
      <c r="D183" s="33">
        <v>8600</v>
      </c>
      <c r="E183" s="34">
        <f t="shared" si="88"/>
        <v>814</v>
      </c>
      <c r="F183" s="32">
        <v>40</v>
      </c>
      <c r="G183" s="34">
        <f t="shared" si="89"/>
        <v>774</v>
      </c>
      <c r="H183" s="34">
        <v>0.09</v>
      </c>
      <c r="I183" s="32">
        <v>1.1499999999999999</v>
      </c>
      <c r="J183" s="32">
        <v>0.99</v>
      </c>
      <c r="K183" s="32">
        <v>1.08</v>
      </c>
      <c r="L183" s="38">
        <f t="shared" si="84"/>
        <v>1.2295799999999999</v>
      </c>
      <c r="M183" s="36"/>
      <c r="N183" s="32">
        <f t="shared" si="85"/>
        <v>0</v>
      </c>
      <c r="O183" s="32">
        <f t="shared" si="86"/>
        <v>0</v>
      </c>
      <c r="P183" s="32">
        <f t="shared" si="87"/>
        <v>0</v>
      </c>
      <c r="Q183" s="32" t="s">
        <v>64</v>
      </c>
    </row>
    <row r="184" spans="1:17" ht="14.4" x14ac:dyDescent="0.25">
      <c r="A184" s="32"/>
      <c r="B184" s="32" t="s">
        <v>60</v>
      </c>
      <c r="C184" s="37" t="s">
        <v>65</v>
      </c>
      <c r="D184" s="33">
        <v>4800</v>
      </c>
      <c r="E184" s="34">
        <f t="shared" si="88"/>
        <v>472</v>
      </c>
      <c r="F184" s="32">
        <v>40</v>
      </c>
      <c r="G184" s="34">
        <f t="shared" si="89"/>
        <v>432</v>
      </c>
      <c r="H184" s="34">
        <v>0.09</v>
      </c>
      <c r="I184" s="32">
        <v>1.1100000000000001</v>
      </c>
      <c r="J184" s="32">
        <v>1.1000000000000001</v>
      </c>
      <c r="K184" s="32">
        <v>1.05</v>
      </c>
      <c r="L184" s="38">
        <f t="shared" si="84"/>
        <v>1.2820500000000004</v>
      </c>
      <c r="M184" s="36"/>
      <c r="N184" s="32">
        <f t="shared" si="85"/>
        <v>0</v>
      </c>
      <c r="O184" s="32">
        <f t="shared" si="86"/>
        <v>0</v>
      </c>
      <c r="P184" s="32">
        <f t="shared" si="87"/>
        <v>0</v>
      </c>
      <c r="Q184" s="32" t="s">
        <v>58</v>
      </c>
    </row>
    <row r="185" spans="1:17" ht="14.4" x14ac:dyDescent="0.25">
      <c r="A185" s="39"/>
      <c r="B185" s="32" t="s">
        <v>60</v>
      </c>
      <c r="C185" s="32" t="s">
        <v>66</v>
      </c>
      <c r="D185" s="32">
        <v>4000</v>
      </c>
      <c r="E185" s="32">
        <v>223</v>
      </c>
      <c r="F185" s="32">
        <v>30</v>
      </c>
      <c r="G185" s="32">
        <v>188</v>
      </c>
      <c r="H185" s="32">
        <v>0.05</v>
      </c>
      <c r="I185" s="32">
        <v>1.05</v>
      </c>
      <c r="J185" s="32">
        <v>1.05</v>
      </c>
      <c r="K185" s="32">
        <v>0.55000000000000004</v>
      </c>
      <c r="L185" s="38">
        <f t="shared" si="84"/>
        <v>0.60637500000000011</v>
      </c>
      <c r="M185" s="36">
        <v>0</v>
      </c>
      <c r="N185" s="32">
        <f t="shared" si="85"/>
        <v>0</v>
      </c>
      <c r="O185" s="32">
        <f t="shared" si="86"/>
        <v>0</v>
      </c>
      <c r="P185" s="32">
        <f t="shared" si="87"/>
        <v>0</v>
      </c>
      <c r="Q185" s="32" t="s">
        <v>64</v>
      </c>
    </row>
    <row r="186" spans="1:17" ht="14.4" x14ac:dyDescent="0.25">
      <c r="A186" s="40"/>
      <c r="B186" s="32" t="s">
        <v>60</v>
      </c>
      <c r="C186" s="32" t="s">
        <v>67</v>
      </c>
      <c r="D186" s="32">
        <v>1000</v>
      </c>
      <c r="E186" s="32">
        <v>830</v>
      </c>
      <c r="F186" s="32">
        <v>40</v>
      </c>
      <c r="G186" s="32">
        <v>790</v>
      </c>
      <c r="H186" s="32">
        <v>0.79</v>
      </c>
      <c r="I186" s="32">
        <v>1.1000000000000001</v>
      </c>
      <c r="J186" s="32">
        <v>0.88</v>
      </c>
      <c r="K186" s="32">
        <v>0.74</v>
      </c>
      <c r="L186" s="38">
        <f t="shared" si="84"/>
        <v>0.71632000000000007</v>
      </c>
      <c r="M186" s="36">
        <v>0</v>
      </c>
      <c r="N186" s="32">
        <f t="shared" si="85"/>
        <v>0</v>
      </c>
      <c r="O186" s="32">
        <f t="shared" si="86"/>
        <v>0</v>
      </c>
      <c r="P186" s="32">
        <f t="shared" si="87"/>
        <v>0</v>
      </c>
      <c r="Q186" s="32" t="s">
        <v>64</v>
      </c>
    </row>
    <row r="187" spans="1:17" ht="14.4" x14ac:dyDescent="0.25">
      <c r="A187" s="39"/>
      <c r="B187" s="39" t="s">
        <v>68</v>
      </c>
      <c r="C187" s="39" t="s">
        <v>0</v>
      </c>
      <c r="D187" s="35">
        <v>4000</v>
      </c>
      <c r="E187" s="35">
        <v>424</v>
      </c>
      <c r="F187" s="35">
        <v>40</v>
      </c>
      <c r="G187" s="35">
        <v>372</v>
      </c>
      <c r="H187" s="35">
        <v>0.1</v>
      </c>
      <c r="I187" s="35">
        <v>1.1000000000000001</v>
      </c>
      <c r="J187" s="35">
        <v>0.8</v>
      </c>
      <c r="K187" s="35">
        <v>0.55000000000000004</v>
      </c>
      <c r="L187" s="38">
        <f t="shared" si="84"/>
        <v>0.4840000000000001</v>
      </c>
      <c r="M187" s="36"/>
      <c r="N187" s="32">
        <f t="shared" si="85"/>
        <v>0</v>
      </c>
      <c r="O187" s="32">
        <f t="shared" si="86"/>
        <v>0</v>
      </c>
      <c r="P187" s="32">
        <f t="shared" si="87"/>
        <v>0</v>
      </c>
      <c r="Q187" s="32" t="s">
        <v>58</v>
      </c>
    </row>
    <row r="188" spans="1:17" x14ac:dyDescent="0.25">
      <c r="L188">
        <f>SUM(L180:L187)</f>
        <v>6.8929507500000007</v>
      </c>
      <c r="M188">
        <f t="shared" ref="M188:P188" si="90">SUM(M180:M187)</f>
        <v>1680</v>
      </c>
      <c r="N188">
        <f t="shared" si="90"/>
        <v>28</v>
      </c>
      <c r="O188">
        <f t="shared" si="90"/>
        <v>25396</v>
      </c>
      <c r="P188">
        <f t="shared" si="90"/>
        <v>21.632624999999994</v>
      </c>
    </row>
    <row r="193" spans="1:17" ht="14.4" x14ac:dyDescent="0.25">
      <c r="A193" t="s">
        <v>70</v>
      </c>
      <c r="B193" t="s">
        <v>59</v>
      </c>
      <c r="C193" s="55" t="s">
        <v>82</v>
      </c>
      <c r="D193" t="s">
        <v>71</v>
      </c>
      <c r="E193" t="s">
        <v>56</v>
      </c>
      <c r="F193" s="1">
        <v>45565</v>
      </c>
      <c r="G193" s="1">
        <f>F193+10</f>
        <v>45575</v>
      </c>
      <c r="H193" s="1">
        <f>G193+18</f>
        <v>45593</v>
      </c>
      <c r="I193" s="1">
        <f>H193+10</f>
        <v>45603</v>
      </c>
      <c r="L193" s="1">
        <v>45607</v>
      </c>
    </row>
    <row r="194" spans="1:17" ht="27.6" x14ac:dyDescent="0.25">
      <c r="A194" s="29" t="s">
        <v>39</v>
      </c>
      <c r="B194" s="30" t="s">
        <v>40</v>
      </c>
      <c r="C194" s="31" t="s">
        <v>41</v>
      </c>
      <c r="D194" s="29" t="s">
        <v>42</v>
      </c>
      <c r="E194" s="30" t="s">
        <v>43</v>
      </c>
      <c r="F194" s="30" t="s">
        <v>44</v>
      </c>
      <c r="G194" s="30" t="s">
        <v>45</v>
      </c>
      <c r="H194" s="30" t="s">
        <v>46</v>
      </c>
      <c r="I194" s="30" t="s">
        <v>47</v>
      </c>
      <c r="J194" s="30" t="s">
        <v>48</v>
      </c>
      <c r="K194" s="30" t="s">
        <v>49</v>
      </c>
      <c r="L194" s="30" t="s">
        <v>50</v>
      </c>
      <c r="M194" s="30" t="s">
        <v>51</v>
      </c>
      <c r="N194" s="30" t="s">
        <v>52</v>
      </c>
      <c r="O194" s="30" t="s">
        <v>53</v>
      </c>
      <c r="P194" s="30" t="s">
        <v>54</v>
      </c>
      <c r="Q194" s="30" t="s">
        <v>55</v>
      </c>
    </row>
    <row r="195" spans="1:17" ht="14.4" x14ac:dyDescent="0.25">
      <c r="A195" s="32"/>
      <c r="B195" s="32" t="s">
        <v>56</v>
      </c>
      <c r="C195" s="32" t="s">
        <v>57</v>
      </c>
      <c r="D195" s="33">
        <v>60</v>
      </c>
      <c r="E195" s="34">
        <f>G195+F195</f>
        <v>907</v>
      </c>
      <c r="F195" s="34">
        <v>61</v>
      </c>
      <c r="G195" s="34">
        <f>D195*H195</f>
        <v>846</v>
      </c>
      <c r="H195" s="34">
        <v>14.1</v>
      </c>
      <c r="I195" s="34">
        <v>1.0249999999999999</v>
      </c>
      <c r="J195" s="34">
        <v>1.0049999999999999</v>
      </c>
      <c r="K195" s="34">
        <v>0.75</v>
      </c>
      <c r="L195" s="35">
        <f t="shared" ref="L195:L202" si="91">I195*J195*K195</f>
        <v>0.77259374999999975</v>
      </c>
      <c r="M195" s="36">
        <v>120</v>
      </c>
      <c r="N195" s="32">
        <f t="shared" ref="N195:N202" si="92">M195/D195</f>
        <v>2</v>
      </c>
      <c r="O195" s="32">
        <f t="shared" ref="O195:O202" si="93">N195*E195</f>
        <v>1814</v>
      </c>
      <c r="P195" s="32">
        <f t="shared" ref="P195:P202" si="94">N195*L195</f>
        <v>1.5451874999999995</v>
      </c>
      <c r="Q195" s="32" t="s">
        <v>58</v>
      </c>
    </row>
    <row r="196" spans="1:17" ht="14.4" x14ac:dyDescent="0.25">
      <c r="A196" s="33">
        <v>8952</v>
      </c>
      <c r="B196" s="32" t="s">
        <v>60</v>
      </c>
      <c r="C196" s="37" t="s">
        <v>61</v>
      </c>
      <c r="D196" s="33">
        <v>1000</v>
      </c>
      <c r="E196" s="34">
        <f t="shared" ref="E196:E199" si="95">G196+F196</f>
        <v>610</v>
      </c>
      <c r="F196" s="32">
        <v>40</v>
      </c>
      <c r="G196" s="34">
        <f t="shared" ref="G196:G199" si="96">D196*H196</f>
        <v>570</v>
      </c>
      <c r="H196" s="34">
        <v>0.56999999999999995</v>
      </c>
      <c r="I196" s="32">
        <v>1.1000000000000001</v>
      </c>
      <c r="J196" s="32">
        <v>0.8</v>
      </c>
      <c r="K196" s="32">
        <v>0.55000000000000004</v>
      </c>
      <c r="L196" s="38">
        <f t="shared" si="91"/>
        <v>0.4840000000000001</v>
      </c>
      <c r="M196" s="36"/>
      <c r="N196" s="32">
        <f t="shared" si="92"/>
        <v>0</v>
      </c>
      <c r="O196" s="32">
        <f t="shared" si="93"/>
        <v>0</v>
      </c>
      <c r="P196" s="32">
        <f t="shared" si="94"/>
        <v>0</v>
      </c>
      <c r="Q196" s="32" t="s">
        <v>58</v>
      </c>
    </row>
    <row r="197" spans="1:17" ht="14.4" x14ac:dyDescent="0.25">
      <c r="A197" s="32"/>
      <c r="B197" s="32" t="s">
        <v>60</v>
      </c>
      <c r="C197" s="37" t="s">
        <v>62</v>
      </c>
      <c r="D197" s="33">
        <v>3000</v>
      </c>
      <c r="E197" s="34">
        <f t="shared" si="95"/>
        <v>940</v>
      </c>
      <c r="F197" s="32">
        <v>40</v>
      </c>
      <c r="G197" s="34">
        <f t="shared" si="96"/>
        <v>900</v>
      </c>
      <c r="H197" s="34">
        <v>0.3</v>
      </c>
      <c r="I197" s="32">
        <v>1.1299999999999999</v>
      </c>
      <c r="J197" s="32">
        <v>1.08</v>
      </c>
      <c r="K197" s="32">
        <v>1.08</v>
      </c>
      <c r="L197" s="38">
        <f t="shared" si="91"/>
        <v>1.3180320000000001</v>
      </c>
      <c r="M197" s="36"/>
      <c r="N197" s="32">
        <f t="shared" si="92"/>
        <v>0</v>
      </c>
      <c r="O197" s="32">
        <f t="shared" si="93"/>
        <v>0</v>
      </c>
      <c r="P197" s="32">
        <f t="shared" si="94"/>
        <v>0</v>
      </c>
      <c r="Q197" s="32" t="s">
        <v>58</v>
      </c>
    </row>
    <row r="198" spans="1:17" ht="14.4" x14ac:dyDescent="0.25">
      <c r="A198" s="32"/>
      <c r="B198" s="32" t="s">
        <v>60</v>
      </c>
      <c r="C198" s="37" t="s">
        <v>63</v>
      </c>
      <c r="D198" s="33">
        <v>2000</v>
      </c>
      <c r="E198" s="34">
        <f t="shared" si="95"/>
        <v>224</v>
      </c>
      <c r="F198" s="32">
        <v>30</v>
      </c>
      <c r="G198" s="34">
        <v>194</v>
      </c>
      <c r="H198" s="34">
        <v>0.09</v>
      </c>
      <c r="I198" s="32">
        <v>0.76</v>
      </c>
      <c r="J198" s="32">
        <v>0.62</v>
      </c>
      <c r="K198" s="32">
        <v>0.66</v>
      </c>
      <c r="L198" s="38">
        <f t="shared" si="91"/>
        <v>0.31099200000000005</v>
      </c>
      <c r="M198" s="36">
        <v>26000</v>
      </c>
      <c r="N198" s="32">
        <f t="shared" si="92"/>
        <v>13</v>
      </c>
      <c r="O198" s="32">
        <f t="shared" si="93"/>
        <v>2912</v>
      </c>
      <c r="P198" s="32">
        <f t="shared" si="94"/>
        <v>4.0428960000000007</v>
      </c>
      <c r="Q198" s="32" t="s">
        <v>64</v>
      </c>
    </row>
    <row r="199" spans="1:17" ht="14.4" x14ac:dyDescent="0.25">
      <c r="A199" s="33">
        <v>9258</v>
      </c>
      <c r="B199" s="32" t="s">
        <v>60</v>
      </c>
      <c r="C199" s="37" t="s">
        <v>65</v>
      </c>
      <c r="D199" s="33">
        <v>4800</v>
      </c>
      <c r="E199" s="34">
        <f t="shared" si="95"/>
        <v>472</v>
      </c>
      <c r="F199" s="32">
        <v>40</v>
      </c>
      <c r="G199" s="34">
        <f t="shared" si="96"/>
        <v>432</v>
      </c>
      <c r="H199" s="34">
        <v>0.09</v>
      </c>
      <c r="I199" s="32">
        <v>1.1100000000000001</v>
      </c>
      <c r="J199" s="32">
        <v>1.1000000000000001</v>
      </c>
      <c r="K199" s="32">
        <v>1.05</v>
      </c>
      <c r="L199" s="38">
        <f t="shared" si="91"/>
        <v>1.2820500000000004</v>
      </c>
      <c r="M199" s="36">
        <v>4800</v>
      </c>
      <c r="N199" s="32">
        <f t="shared" si="92"/>
        <v>1</v>
      </c>
      <c r="O199" s="32">
        <f t="shared" si="93"/>
        <v>472</v>
      </c>
      <c r="P199" s="32">
        <f t="shared" si="94"/>
        <v>1.2820500000000004</v>
      </c>
      <c r="Q199" s="32" t="s">
        <v>58</v>
      </c>
    </row>
    <row r="200" spans="1:17" ht="14.4" x14ac:dyDescent="0.25">
      <c r="A200" s="39"/>
      <c r="B200" s="32" t="s">
        <v>60</v>
      </c>
      <c r="C200" s="32" t="s">
        <v>66</v>
      </c>
      <c r="D200" s="32">
        <v>4000</v>
      </c>
      <c r="E200" s="32">
        <v>223</v>
      </c>
      <c r="F200" s="32">
        <v>30</v>
      </c>
      <c r="G200" s="32">
        <v>188</v>
      </c>
      <c r="H200" s="32">
        <v>0.05</v>
      </c>
      <c r="I200" s="32">
        <v>1.05</v>
      </c>
      <c r="J200" s="32">
        <v>1.05</v>
      </c>
      <c r="K200" s="32">
        <v>0.55000000000000004</v>
      </c>
      <c r="L200" s="38">
        <f t="shared" si="91"/>
        <v>0.60637500000000011</v>
      </c>
      <c r="M200" s="36">
        <v>23944</v>
      </c>
      <c r="N200" s="32">
        <f t="shared" si="92"/>
        <v>5.9859999999999998</v>
      </c>
      <c r="O200" s="32">
        <f t="shared" si="93"/>
        <v>1334.8779999999999</v>
      </c>
      <c r="P200" s="32">
        <f t="shared" si="94"/>
        <v>3.6297607500000004</v>
      </c>
      <c r="Q200" s="32" t="s">
        <v>64</v>
      </c>
    </row>
    <row r="201" spans="1:17" ht="14.4" x14ac:dyDescent="0.25">
      <c r="A201" s="40"/>
      <c r="B201" s="32" t="s">
        <v>60</v>
      </c>
      <c r="C201" s="32" t="s">
        <v>67</v>
      </c>
      <c r="D201" s="32">
        <v>1000</v>
      </c>
      <c r="E201" s="32">
        <v>830</v>
      </c>
      <c r="F201" s="32">
        <v>40</v>
      </c>
      <c r="G201" s="32">
        <v>790</v>
      </c>
      <c r="H201" s="32">
        <v>0.79</v>
      </c>
      <c r="I201" s="32">
        <v>1.1000000000000001</v>
      </c>
      <c r="J201" s="32">
        <v>0.88</v>
      </c>
      <c r="K201" s="32">
        <v>0.74</v>
      </c>
      <c r="L201" s="38">
        <f t="shared" si="91"/>
        <v>0.71632000000000007</v>
      </c>
      <c r="M201" s="36">
        <v>13000</v>
      </c>
      <c r="N201" s="32">
        <f t="shared" si="92"/>
        <v>13</v>
      </c>
      <c r="O201" s="32">
        <f t="shared" si="93"/>
        <v>10790</v>
      </c>
      <c r="P201" s="32">
        <f t="shared" si="94"/>
        <v>9.3121600000000004</v>
      </c>
      <c r="Q201" s="32" t="s">
        <v>64</v>
      </c>
    </row>
    <row r="202" spans="1:17" ht="14.4" x14ac:dyDescent="0.25">
      <c r="A202" s="39"/>
      <c r="B202" s="39" t="s">
        <v>68</v>
      </c>
      <c r="C202" s="39" t="s">
        <v>0</v>
      </c>
      <c r="D202" s="35">
        <v>4000</v>
      </c>
      <c r="E202" s="35">
        <v>424</v>
      </c>
      <c r="F202" s="35">
        <v>40</v>
      </c>
      <c r="G202" s="35">
        <v>372</v>
      </c>
      <c r="H202" s="35">
        <v>0.1</v>
      </c>
      <c r="I202" s="35">
        <v>1.1000000000000001</v>
      </c>
      <c r="J202" s="35">
        <v>0.8</v>
      </c>
      <c r="K202" s="35">
        <v>0.55000000000000004</v>
      </c>
      <c r="L202" s="38">
        <f t="shared" si="91"/>
        <v>0.4840000000000001</v>
      </c>
      <c r="M202" s="36"/>
      <c r="N202" s="32">
        <f t="shared" si="92"/>
        <v>0</v>
      </c>
      <c r="O202" s="32">
        <f t="shared" si="93"/>
        <v>0</v>
      </c>
      <c r="P202" s="32">
        <f t="shared" si="94"/>
        <v>0</v>
      </c>
      <c r="Q202" s="32" t="s">
        <v>58</v>
      </c>
    </row>
    <row r="203" spans="1:17" x14ac:dyDescent="0.25">
      <c r="L203">
        <f>SUM(L195:L202)</f>
        <v>5.9743627500000009</v>
      </c>
      <c r="M203">
        <f t="shared" ref="M203:P203" si="97">SUM(M195:M202)</f>
        <v>67864</v>
      </c>
      <c r="N203">
        <f t="shared" si="97"/>
        <v>34.986000000000004</v>
      </c>
      <c r="O203">
        <f t="shared" si="97"/>
        <v>17322.878000000001</v>
      </c>
      <c r="P203" s="2">
        <f t="shared" si="97"/>
        <v>19.812054250000003</v>
      </c>
    </row>
    <row r="208" spans="1:17" x14ac:dyDescent="0.25">
      <c r="A208" t="s">
        <v>73</v>
      </c>
      <c r="B208" t="s">
        <v>59</v>
      </c>
      <c r="C208" s="32" t="s">
        <v>64</v>
      </c>
      <c r="D208" t="s">
        <v>71</v>
      </c>
      <c r="E208" s="1">
        <v>45580</v>
      </c>
      <c r="F208" s="1">
        <f>E208+10</f>
        <v>45590</v>
      </c>
      <c r="G208" s="1">
        <f>F208+18</f>
        <v>45608</v>
      </c>
      <c r="H208" s="1">
        <f>G208+10</f>
        <v>45618</v>
      </c>
      <c r="L208" s="1">
        <v>45635</v>
      </c>
    </row>
    <row r="209" spans="1:17" ht="27.6" x14ac:dyDescent="0.25">
      <c r="A209" s="29" t="s">
        <v>39</v>
      </c>
      <c r="B209" s="30" t="s">
        <v>40</v>
      </c>
      <c r="C209" s="31" t="s">
        <v>41</v>
      </c>
      <c r="D209" s="29" t="s">
        <v>42</v>
      </c>
      <c r="E209" s="30" t="s">
        <v>43</v>
      </c>
      <c r="F209" s="30" t="s">
        <v>44</v>
      </c>
      <c r="G209" s="30" t="s">
        <v>45</v>
      </c>
      <c r="H209" s="30" t="s">
        <v>46</v>
      </c>
      <c r="I209" s="30" t="s">
        <v>47</v>
      </c>
      <c r="J209" s="30" t="s">
        <v>48</v>
      </c>
      <c r="K209" s="30" t="s">
        <v>49</v>
      </c>
      <c r="L209" s="30" t="s">
        <v>50</v>
      </c>
      <c r="M209" s="30" t="s">
        <v>51</v>
      </c>
      <c r="N209" s="30" t="s">
        <v>52</v>
      </c>
      <c r="O209" s="30" t="s">
        <v>53</v>
      </c>
      <c r="P209" s="30" t="s">
        <v>54</v>
      </c>
      <c r="Q209" s="30" t="s">
        <v>55</v>
      </c>
    </row>
    <row r="210" spans="1:17" ht="14.4" x14ac:dyDescent="0.25">
      <c r="A210" s="32"/>
      <c r="B210" s="32" t="s">
        <v>56</v>
      </c>
      <c r="C210" s="32" t="s">
        <v>57</v>
      </c>
      <c r="D210" s="33">
        <v>60</v>
      </c>
      <c r="E210" s="34">
        <f>G210+F210</f>
        <v>907</v>
      </c>
      <c r="F210" s="34">
        <v>61</v>
      </c>
      <c r="G210" s="34">
        <f>D210*H210</f>
        <v>846</v>
      </c>
      <c r="H210" s="34">
        <v>14.1</v>
      </c>
      <c r="I210" s="34">
        <v>1.0249999999999999</v>
      </c>
      <c r="J210" s="34">
        <v>1.0049999999999999</v>
      </c>
      <c r="K210" s="34">
        <v>0.75</v>
      </c>
      <c r="L210" s="35">
        <f t="shared" ref="L210:L217" si="98">I210*J210*K210</f>
        <v>0.77259374999999975</v>
      </c>
      <c r="M210" s="36"/>
      <c r="N210" s="32">
        <f t="shared" ref="N210:N217" si="99">M210/D210</f>
        <v>0</v>
      </c>
      <c r="O210" s="32">
        <f t="shared" ref="O210:O217" si="100">N210*E210</f>
        <v>0</v>
      </c>
      <c r="P210" s="32">
        <f t="shared" ref="P210:P217" si="101">N210*L210</f>
        <v>0</v>
      </c>
      <c r="Q210" s="32" t="s">
        <v>58</v>
      </c>
    </row>
    <row r="211" spans="1:17" ht="14.4" x14ac:dyDescent="0.25">
      <c r="A211" s="33">
        <v>8952</v>
      </c>
      <c r="B211" s="32" t="s">
        <v>60</v>
      </c>
      <c r="C211" s="37" t="s">
        <v>61</v>
      </c>
      <c r="D211" s="33">
        <v>1000</v>
      </c>
      <c r="E211" s="34">
        <f t="shared" ref="E211:E214" si="102">G211+F211</f>
        <v>610</v>
      </c>
      <c r="F211" s="32">
        <v>40</v>
      </c>
      <c r="G211" s="34">
        <f t="shared" ref="G211:G214" si="103">D211*H211</f>
        <v>570</v>
      </c>
      <c r="H211" s="34">
        <v>0.56999999999999995</v>
      </c>
      <c r="I211" s="32">
        <v>1.1000000000000001</v>
      </c>
      <c r="J211" s="32">
        <v>0.8</v>
      </c>
      <c r="K211" s="32">
        <v>0.55000000000000004</v>
      </c>
      <c r="L211" s="38">
        <f t="shared" si="98"/>
        <v>0.4840000000000001</v>
      </c>
      <c r="M211" s="36"/>
      <c r="N211" s="32">
        <f t="shared" si="99"/>
        <v>0</v>
      </c>
      <c r="O211" s="32">
        <f t="shared" si="100"/>
        <v>0</v>
      </c>
      <c r="P211" s="32">
        <f t="shared" si="101"/>
        <v>0</v>
      </c>
      <c r="Q211" s="32" t="s">
        <v>58</v>
      </c>
    </row>
    <row r="212" spans="1:17" ht="14.4" x14ac:dyDescent="0.25">
      <c r="A212" s="32"/>
      <c r="B212" s="32" t="s">
        <v>60</v>
      </c>
      <c r="C212" s="37" t="s">
        <v>62</v>
      </c>
      <c r="D212" s="33">
        <v>3000</v>
      </c>
      <c r="E212" s="34">
        <f t="shared" si="102"/>
        <v>940</v>
      </c>
      <c r="F212" s="32">
        <v>40</v>
      </c>
      <c r="G212" s="34">
        <f t="shared" si="103"/>
        <v>900</v>
      </c>
      <c r="H212" s="34">
        <v>0.3</v>
      </c>
      <c r="I212" s="32">
        <v>1.1299999999999999</v>
      </c>
      <c r="J212" s="32">
        <v>1.08</v>
      </c>
      <c r="K212" s="32">
        <v>1.08</v>
      </c>
      <c r="L212" s="38">
        <f t="shared" si="98"/>
        <v>1.3180320000000001</v>
      </c>
      <c r="M212" s="36"/>
      <c r="N212" s="32">
        <f t="shared" si="99"/>
        <v>0</v>
      </c>
      <c r="O212" s="32">
        <f t="shared" si="100"/>
        <v>0</v>
      </c>
      <c r="P212" s="32">
        <f t="shared" si="101"/>
        <v>0</v>
      </c>
      <c r="Q212" s="32" t="s">
        <v>58</v>
      </c>
    </row>
    <row r="213" spans="1:17" ht="14.4" x14ac:dyDescent="0.25">
      <c r="A213" s="32"/>
      <c r="B213" s="32" t="s">
        <v>60</v>
      </c>
      <c r="C213" s="37" t="s">
        <v>63</v>
      </c>
      <c r="D213" s="33">
        <v>2000</v>
      </c>
      <c r="E213" s="34">
        <f t="shared" si="102"/>
        <v>224</v>
      </c>
      <c r="F213" s="32">
        <v>30</v>
      </c>
      <c r="G213" s="34">
        <v>194</v>
      </c>
      <c r="H213" s="34">
        <v>0.09</v>
      </c>
      <c r="I213" s="32">
        <v>0.76</v>
      </c>
      <c r="J213" s="32">
        <v>0.62</v>
      </c>
      <c r="K213" s="32">
        <v>0.66</v>
      </c>
      <c r="L213" s="38">
        <f t="shared" si="98"/>
        <v>0.31099200000000005</v>
      </c>
      <c r="M213" s="36"/>
      <c r="N213" s="32">
        <f t="shared" si="99"/>
        <v>0</v>
      </c>
      <c r="O213" s="32">
        <f t="shared" si="100"/>
        <v>0</v>
      </c>
      <c r="P213" s="32">
        <f t="shared" si="101"/>
        <v>0</v>
      </c>
      <c r="Q213" s="32" t="s">
        <v>64</v>
      </c>
    </row>
    <row r="214" spans="1:17" ht="14.4" x14ac:dyDescent="0.25">
      <c r="A214" s="33">
        <v>9258</v>
      </c>
      <c r="B214" s="32" t="s">
        <v>60</v>
      </c>
      <c r="C214" s="37" t="s">
        <v>96</v>
      </c>
      <c r="D214" s="33">
        <v>4800</v>
      </c>
      <c r="E214" s="34">
        <f t="shared" si="102"/>
        <v>472</v>
      </c>
      <c r="F214" s="32">
        <v>40</v>
      </c>
      <c r="G214" s="34">
        <f t="shared" si="103"/>
        <v>432</v>
      </c>
      <c r="H214" s="34">
        <v>0.09</v>
      </c>
      <c r="I214" s="32">
        <v>1.1100000000000001</v>
      </c>
      <c r="J214" s="32">
        <v>1.1000000000000001</v>
      </c>
      <c r="K214" s="32">
        <v>1.05</v>
      </c>
      <c r="L214" s="38">
        <f t="shared" si="98"/>
        <v>1.2820500000000004</v>
      </c>
      <c r="M214" s="36">
        <v>30000</v>
      </c>
      <c r="N214" s="32">
        <f t="shared" si="99"/>
        <v>6.25</v>
      </c>
      <c r="O214" s="32">
        <f t="shared" si="100"/>
        <v>2950</v>
      </c>
      <c r="P214" s="32">
        <f t="shared" si="101"/>
        <v>8.0128125000000026</v>
      </c>
      <c r="Q214" s="32" t="s">
        <v>58</v>
      </c>
    </row>
    <row r="215" spans="1:17" ht="14.4" x14ac:dyDescent="0.25">
      <c r="A215" s="39"/>
      <c r="B215" s="32" t="s">
        <v>60</v>
      </c>
      <c r="C215" s="32" t="s">
        <v>66</v>
      </c>
      <c r="D215" s="32">
        <v>4000</v>
      </c>
      <c r="E215" s="32">
        <v>223</v>
      </c>
      <c r="F215" s="32">
        <v>30</v>
      </c>
      <c r="G215" s="32">
        <v>188</v>
      </c>
      <c r="H215" s="32">
        <v>0.05</v>
      </c>
      <c r="I215" s="32">
        <v>1.05</v>
      </c>
      <c r="J215" s="32">
        <v>1.05</v>
      </c>
      <c r="K215" s="32">
        <v>0.55000000000000004</v>
      </c>
      <c r="L215" s="38">
        <f t="shared" si="98"/>
        <v>0.60637500000000011</v>
      </c>
      <c r="M215" s="36">
        <v>8000</v>
      </c>
      <c r="N215" s="32">
        <f t="shared" si="99"/>
        <v>2</v>
      </c>
      <c r="O215" s="32">
        <f t="shared" si="100"/>
        <v>446</v>
      </c>
      <c r="P215" s="32">
        <f t="shared" si="101"/>
        <v>1.2127500000000002</v>
      </c>
      <c r="Q215" s="32" t="s">
        <v>64</v>
      </c>
    </row>
    <row r="216" spans="1:17" ht="14.4" x14ac:dyDescent="0.25">
      <c r="A216" s="40"/>
      <c r="B216" s="32" t="s">
        <v>60</v>
      </c>
      <c r="C216" s="32" t="s">
        <v>67</v>
      </c>
      <c r="D216" s="32">
        <v>1000</v>
      </c>
      <c r="E216" s="32">
        <v>830</v>
      </c>
      <c r="F216" s="32">
        <v>40</v>
      </c>
      <c r="G216" s="32">
        <v>790</v>
      </c>
      <c r="H216" s="32">
        <v>0.79</v>
      </c>
      <c r="I216" s="32">
        <v>1.1000000000000001</v>
      </c>
      <c r="J216" s="32">
        <v>0.88</v>
      </c>
      <c r="K216" s="32">
        <v>0.74</v>
      </c>
      <c r="L216" s="38">
        <f t="shared" si="98"/>
        <v>0.71632000000000007</v>
      </c>
      <c r="M216" s="36">
        <v>13000</v>
      </c>
      <c r="N216" s="32">
        <f t="shared" si="99"/>
        <v>13</v>
      </c>
      <c r="O216" s="32">
        <f t="shared" si="100"/>
        <v>10790</v>
      </c>
      <c r="P216" s="32">
        <f t="shared" si="101"/>
        <v>9.3121600000000004</v>
      </c>
      <c r="Q216" s="32" t="s">
        <v>64</v>
      </c>
    </row>
    <row r="217" spans="1:17" ht="14.4" x14ac:dyDescent="0.25">
      <c r="A217" s="39"/>
      <c r="B217" s="39" t="s">
        <v>68</v>
      </c>
      <c r="C217" s="39" t="s">
        <v>0</v>
      </c>
      <c r="D217" s="35">
        <v>4000</v>
      </c>
      <c r="E217" s="35">
        <v>424</v>
      </c>
      <c r="F217" s="35">
        <v>40</v>
      </c>
      <c r="G217" s="35">
        <v>372</v>
      </c>
      <c r="H217" s="35">
        <v>0.1</v>
      </c>
      <c r="I217" s="35">
        <v>1.1000000000000001</v>
      </c>
      <c r="J217" s="35">
        <v>0.8</v>
      </c>
      <c r="K217" s="35">
        <v>0.55000000000000004</v>
      </c>
      <c r="L217" s="38">
        <f t="shared" si="98"/>
        <v>0.4840000000000001</v>
      </c>
      <c r="M217" s="36"/>
      <c r="N217" s="32">
        <f t="shared" si="99"/>
        <v>0</v>
      </c>
      <c r="O217" s="32">
        <f t="shared" si="100"/>
        <v>0</v>
      </c>
      <c r="P217" s="32">
        <f t="shared" si="101"/>
        <v>0</v>
      </c>
      <c r="Q217" s="32" t="s">
        <v>58</v>
      </c>
    </row>
    <row r="218" spans="1:17" x14ac:dyDescent="0.25">
      <c r="L218">
        <f>SUM(L210:L217)</f>
        <v>5.9743627500000009</v>
      </c>
      <c r="M218">
        <f t="shared" ref="M218:P218" si="104">SUM(M210:M217)</f>
        <v>51000</v>
      </c>
      <c r="N218">
        <f t="shared" si="104"/>
        <v>21.25</v>
      </c>
      <c r="O218">
        <f t="shared" si="104"/>
        <v>14186</v>
      </c>
      <c r="P218">
        <f t="shared" si="104"/>
        <v>18.537722500000001</v>
      </c>
    </row>
    <row r="223" spans="1:17" x14ac:dyDescent="0.25">
      <c r="A223" t="s">
        <v>74</v>
      </c>
      <c r="B223" t="s">
        <v>59</v>
      </c>
      <c r="C223" s="32" t="s">
        <v>64</v>
      </c>
      <c r="D223" t="s">
        <v>71</v>
      </c>
      <c r="E223" s="1">
        <v>45580</v>
      </c>
      <c r="F223" s="1">
        <f>G223-18</f>
        <v>45615</v>
      </c>
      <c r="G223" s="1">
        <f>H223-10</f>
        <v>45633</v>
      </c>
      <c r="H223" s="47">
        <f>L223-10-10</f>
        <v>45643</v>
      </c>
      <c r="L223" s="1">
        <v>45663</v>
      </c>
    </row>
    <row r="224" spans="1:17" ht="27.6" x14ac:dyDescent="0.25">
      <c r="A224" s="29" t="s">
        <v>39</v>
      </c>
      <c r="B224" s="30" t="s">
        <v>40</v>
      </c>
      <c r="C224" s="31" t="s">
        <v>41</v>
      </c>
      <c r="D224" s="29" t="s">
        <v>42</v>
      </c>
      <c r="E224" s="30" t="s">
        <v>43</v>
      </c>
      <c r="F224" s="30" t="s">
        <v>44</v>
      </c>
      <c r="G224" s="30" t="s">
        <v>45</v>
      </c>
      <c r="H224" s="30" t="s">
        <v>46</v>
      </c>
      <c r="I224" s="30" t="s">
        <v>47</v>
      </c>
      <c r="J224" s="30" t="s">
        <v>48</v>
      </c>
      <c r="K224" s="30" t="s">
        <v>49</v>
      </c>
      <c r="L224" s="30" t="s">
        <v>50</v>
      </c>
      <c r="M224" s="30" t="s">
        <v>51</v>
      </c>
      <c r="N224" s="30" t="s">
        <v>52</v>
      </c>
      <c r="O224" s="30" t="s">
        <v>53</v>
      </c>
      <c r="P224" s="30" t="s">
        <v>54</v>
      </c>
      <c r="Q224" s="30" t="s">
        <v>55</v>
      </c>
    </row>
    <row r="225" spans="1:17" ht="14.4" x14ac:dyDescent="0.25">
      <c r="A225" s="32"/>
      <c r="B225" s="32" t="s">
        <v>56</v>
      </c>
      <c r="C225" s="32" t="s">
        <v>57</v>
      </c>
      <c r="D225" s="33">
        <v>60</v>
      </c>
      <c r="E225" s="34">
        <f>G225+F225</f>
        <v>907</v>
      </c>
      <c r="F225" s="34">
        <v>61</v>
      </c>
      <c r="G225" s="34">
        <f>D225*H225</f>
        <v>846</v>
      </c>
      <c r="H225" s="34">
        <v>14.1</v>
      </c>
      <c r="I225" s="34">
        <v>1.0249999999999999</v>
      </c>
      <c r="J225" s="34">
        <v>1.0049999999999999</v>
      </c>
      <c r="K225" s="34">
        <v>0.75</v>
      </c>
      <c r="L225" s="35">
        <f t="shared" ref="L225:L232" si="105">I225*J225*K225</f>
        <v>0.77259374999999975</v>
      </c>
      <c r="M225" s="36"/>
      <c r="N225" s="32">
        <f t="shared" ref="N225:N232" si="106">M225/D225</f>
        <v>0</v>
      </c>
      <c r="O225" s="32">
        <f t="shared" ref="O225:O232" si="107">N225*E225</f>
        <v>0</v>
      </c>
      <c r="P225" s="32">
        <f t="shared" ref="P225:P232" si="108">N225*L225</f>
        <v>0</v>
      </c>
      <c r="Q225" s="32" t="s">
        <v>58</v>
      </c>
    </row>
    <row r="226" spans="1:17" ht="14.4" x14ac:dyDescent="0.25">
      <c r="A226" s="33">
        <v>8952</v>
      </c>
      <c r="B226" s="32" t="s">
        <v>60</v>
      </c>
      <c r="C226" s="37" t="s">
        <v>61</v>
      </c>
      <c r="D226" s="33">
        <v>1000</v>
      </c>
      <c r="E226" s="34">
        <f t="shared" ref="E226:E229" si="109">G226+F226</f>
        <v>610</v>
      </c>
      <c r="F226" s="32">
        <v>40</v>
      </c>
      <c r="G226" s="34">
        <f t="shared" ref="G226:G229" si="110">D226*H226</f>
        <v>570</v>
      </c>
      <c r="H226" s="34">
        <v>0.56999999999999995</v>
      </c>
      <c r="I226" s="32">
        <v>1.1000000000000001</v>
      </c>
      <c r="J226" s="32">
        <v>0.8</v>
      </c>
      <c r="K226" s="32">
        <v>0.55000000000000004</v>
      </c>
      <c r="L226" s="38">
        <f t="shared" si="105"/>
        <v>0.4840000000000001</v>
      </c>
      <c r="M226" s="36"/>
      <c r="N226" s="32">
        <f t="shared" si="106"/>
        <v>0</v>
      </c>
      <c r="O226" s="32">
        <f t="shared" si="107"/>
        <v>0</v>
      </c>
      <c r="P226" s="32">
        <f t="shared" si="108"/>
        <v>0</v>
      </c>
      <c r="Q226" s="32" t="s">
        <v>58</v>
      </c>
    </row>
    <row r="227" spans="1:17" ht="14.4" x14ac:dyDescent="0.25">
      <c r="A227" s="32"/>
      <c r="B227" s="32" t="s">
        <v>60</v>
      </c>
      <c r="C227" s="37" t="s">
        <v>62</v>
      </c>
      <c r="D227" s="33">
        <v>3000</v>
      </c>
      <c r="E227" s="34">
        <f t="shared" si="109"/>
        <v>940</v>
      </c>
      <c r="F227" s="32">
        <v>40</v>
      </c>
      <c r="G227" s="34">
        <f t="shared" si="110"/>
        <v>900</v>
      </c>
      <c r="H227" s="34">
        <v>0.3</v>
      </c>
      <c r="I227" s="32">
        <v>1.1299999999999999</v>
      </c>
      <c r="J227" s="32">
        <v>1.08</v>
      </c>
      <c r="K227" s="32">
        <v>1.08</v>
      </c>
      <c r="L227" s="38">
        <f t="shared" si="105"/>
        <v>1.3180320000000001</v>
      </c>
      <c r="M227" s="36"/>
      <c r="N227" s="32">
        <f t="shared" si="106"/>
        <v>0</v>
      </c>
      <c r="O227" s="32">
        <f t="shared" si="107"/>
        <v>0</v>
      </c>
      <c r="P227" s="32">
        <f t="shared" si="108"/>
        <v>0</v>
      </c>
      <c r="Q227" s="32" t="s">
        <v>58</v>
      </c>
    </row>
    <row r="228" spans="1:17" ht="14.4" x14ac:dyDescent="0.25">
      <c r="A228" s="32"/>
      <c r="B228" s="32" t="s">
        <v>60</v>
      </c>
      <c r="C228" s="37" t="s">
        <v>63</v>
      </c>
      <c r="D228" s="33">
        <v>2000</v>
      </c>
      <c r="E228" s="34">
        <f t="shared" si="109"/>
        <v>224</v>
      </c>
      <c r="F228" s="32">
        <v>30</v>
      </c>
      <c r="G228" s="34">
        <v>194</v>
      </c>
      <c r="H228" s="34">
        <v>0.09</v>
      </c>
      <c r="I228" s="32">
        <v>0.76</v>
      </c>
      <c r="J228" s="32">
        <v>0.62</v>
      </c>
      <c r="K228" s="32">
        <v>0.66</v>
      </c>
      <c r="L228" s="38">
        <f t="shared" si="105"/>
        <v>0.31099200000000005</v>
      </c>
      <c r="M228" s="36"/>
      <c r="N228" s="32">
        <f t="shared" si="106"/>
        <v>0</v>
      </c>
      <c r="O228" s="32">
        <f t="shared" si="107"/>
        <v>0</v>
      </c>
      <c r="P228" s="32">
        <f t="shared" si="108"/>
        <v>0</v>
      </c>
      <c r="Q228" s="32" t="s">
        <v>64</v>
      </c>
    </row>
    <row r="229" spans="1:17" ht="14.4" x14ac:dyDescent="0.25">
      <c r="A229" s="33">
        <v>9258</v>
      </c>
      <c r="B229" s="32" t="s">
        <v>60</v>
      </c>
      <c r="C229" s="37" t="s">
        <v>96</v>
      </c>
      <c r="D229" s="33">
        <v>4800</v>
      </c>
      <c r="E229" s="34">
        <f t="shared" si="109"/>
        <v>472</v>
      </c>
      <c r="F229" s="32">
        <v>40</v>
      </c>
      <c r="G229" s="34">
        <f t="shared" si="110"/>
        <v>432</v>
      </c>
      <c r="H229" s="34">
        <v>0.09</v>
      </c>
      <c r="I229" s="32">
        <v>1.1100000000000001</v>
      </c>
      <c r="J229" s="32">
        <v>1.1000000000000001</v>
      </c>
      <c r="K229" s="32">
        <v>1.05</v>
      </c>
      <c r="L229" s="38">
        <f t="shared" si="105"/>
        <v>1.2820500000000004</v>
      </c>
      <c r="M229" s="36">
        <v>12000</v>
      </c>
      <c r="N229" s="32">
        <f t="shared" si="106"/>
        <v>2.5</v>
      </c>
      <c r="O229" s="32">
        <f t="shared" si="107"/>
        <v>1180</v>
      </c>
      <c r="P229" s="32">
        <f t="shared" si="108"/>
        <v>3.2051250000000007</v>
      </c>
      <c r="Q229" s="32" t="s">
        <v>58</v>
      </c>
    </row>
    <row r="230" spans="1:17" ht="14.4" x14ac:dyDescent="0.25">
      <c r="A230" s="39"/>
      <c r="B230" s="32" t="s">
        <v>60</v>
      </c>
      <c r="C230" s="32" t="s">
        <v>66</v>
      </c>
      <c r="D230" s="32">
        <v>4000</v>
      </c>
      <c r="E230" s="32">
        <v>223</v>
      </c>
      <c r="F230" s="32">
        <v>30</v>
      </c>
      <c r="G230" s="32">
        <v>188</v>
      </c>
      <c r="H230" s="32">
        <v>0.05</v>
      </c>
      <c r="I230" s="32">
        <v>1.05</v>
      </c>
      <c r="J230" s="32">
        <v>1.05</v>
      </c>
      <c r="K230" s="32">
        <v>0.55000000000000004</v>
      </c>
      <c r="L230" s="38">
        <f t="shared" si="105"/>
        <v>0.60637500000000011</v>
      </c>
      <c r="M230" s="36">
        <v>24000</v>
      </c>
      <c r="N230" s="32">
        <f t="shared" si="106"/>
        <v>6</v>
      </c>
      <c r="O230" s="32">
        <f t="shared" si="107"/>
        <v>1338</v>
      </c>
      <c r="P230" s="32">
        <f t="shared" si="108"/>
        <v>3.6382500000000007</v>
      </c>
      <c r="Q230" s="32" t="s">
        <v>64</v>
      </c>
    </row>
    <row r="231" spans="1:17" ht="14.4" x14ac:dyDescent="0.25">
      <c r="A231" s="40"/>
      <c r="B231" s="32" t="s">
        <v>60</v>
      </c>
      <c r="C231" s="32" t="s">
        <v>67</v>
      </c>
      <c r="D231" s="32">
        <v>1000</v>
      </c>
      <c r="E231" s="32">
        <v>830</v>
      </c>
      <c r="F231" s="32">
        <v>40</v>
      </c>
      <c r="G231" s="32">
        <v>790</v>
      </c>
      <c r="H231" s="32">
        <v>0.79</v>
      </c>
      <c r="I231" s="32">
        <v>1.1000000000000001</v>
      </c>
      <c r="J231" s="32">
        <v>0.88</v>
      </c>
      <c r="K231" s="32">
        <v>0.74</v>
      </c>
      <c r="L231" s="38">
        <f t="shared" si="105"/>
        <v>0.71632000000000007</v>
      </c>
      <c r="M231" s="36">
        <v>26000</v>
      </c>
      <c r="N231" s="32">
        <f t="shared" si="106"/>
        <v>26</v>
      </c>
      <c r="O231" s="32">
        <f t="shared" si="107"/>
        <v>21580</v>
      </c>
      <c r="P231" s="32">
        <f t="shared" si="108"/>
        <v>18.624320000000001</v>
      </c>
      <c r="Q231" s="32" t="s">
        <v>64</v>
      </c>
    </row>
    <row r="232" spans="1:17" ht="14.4" x14ac:dyDescent="0.25">
      <c r="A232" s="39"/>
      <c r="B232" s="39" t="s">
        <v>68</v>
      </c>
      <c r="C232" s="39" t="s">
        <v>0</v>
      </c>
      <c r="D232" s="35">
        <v>4000</v>
      </c>
      <c r="E232" s="35">
        <v>424</v>
      </c>
      <c r="F232" s="35">
        <v>40</v>
      </c>
      <c r="G232" s="35">
        <v>372</v>
      </c>
      <c r="H232" s="35">
        <v>0.1</v>
      </c>
      <c r="I232" s="35">
        <v>1.1000000000000001</v>
      </c>
      <c r="J232" s="35">
        <v>0.8</v>
      </c>
      <c r="K232" s="35">
        <v>0.55000000000000004</v>
      </c>
      <c r="L232" s="38">
        <f t="shared" si="105"/>
        <v>0.4840000000000001</v>
      </c>
      <c r="M232" s="36"/>
      <c r="N232" s="32">
        <f t="shared" si="106"/>
        <v>0</v>
      </c>
      <c r="O232" s="32">
        <f t="shared" si="107"/>
        <v>0</v>
      </c>
      <c r="P232" s="32">
        <f t="shared" si="108"/>
        <v>0</v>
      </c>
      <c r="Q232" s="32" t="s">
        <v>58</v>
      </c>
    </row>
    <row r="233" spans="1:17" x14ac:dyDescent="0.25">
      <c r="L233">
        <f>SUM(L225:L232)</f>
        <v>5.9743627500000009</v>
      </c>
      <c r="M233">
        <f t="shared" ref="M233:P233" si="111">SUM(M225:M232)</f>
        <v>62000</v>
      </c>
      <c r="N233">
        <f t="shared" si="111"/>
        <v>34.5</v>
      </c>
      <c r="O233">
        <f t="shared" si="111"/>
        <v>24098</v>
      </c>
      <c r="P233">
        <f t="shared" si="111"/>
        <v>25.467695000000003</v>
      </c>
    </row>
    <row r="238" spans="1:17" x14ac:dyDescent="0.25">
      <c r="A238" t="s">
        <v>34</v>
      </c>
      <c r="B238" t="s">
        <v>59</v>
      </c>
      <c r="C238" s="32" t="s">
        <v>64</v>
      </c>
      <c r="D238" t="s">
        <v>71</v>
      </c>
      <c r="E238" s="1">
        <v>45580</v>
      </c>
      <c r="F238" s="1">
        <f>G238-18</f>
        <v>45660</v>
      </c>
      <c r="G238" s="1">
        <f>H238-10</f>
        <v>45678</v>
      </c>
      <c r="H238" s="1">
        <f>L238-10</f>
        <v>45688</v>
      </c>
      <c r="L238" s="1">
        <v>45698</v>
      </c>
    </row>
    <row r="239" spans="1:17" ht="27.6" x14ac:dyDescent="0.25">
      <c r="A239" s="29" t="s">
        <v>39</v>
      </c>
      <c r="B239" s="30" t="s">
        <v>40</v>
      </c>
      <c r="C239" s="31" t="s">
        <v>41</v>
      </c>
      <c r="D239" s="29" t="s">
        <v>42</v>
      </c>
      <c r="E239" s="30" t="s">
        <v>43</v>
      </c>
      <c r="F239" s="30" t="s">
        <v>44</v>
      </c>
      <c r="G239" s="30" t="s">
        <v>45</v>
      </c>
      <c r="H239" s="30" t="s">
        <v>46</v>
      </c>
      <c r="I239" s="30" t="s">
        <v>47</v>
      </c>
      <c r="J239" s="30" t="s">
        <v>48</v>
      </c>
      <c r="K239" s="30" t="s">
        <v>49</v>
      </c>
      <c r="L239" s="30" t="s">
        <v>50</v>
      </c>
      <c r="M239" s="30" t="s">
        <v>51</v>
      </c>
      <c r="N239" s="30" t="s">
        <v>52</v>
      </c>
      <c r="O239" s="30" t="s">
        <v>53</v>
      </c>
      <c r="P239" s="30" t="s">
        <v>54</v>
      </c>
      <c r="Q239" s="30" t="s">
        <v>55</v>
      </c>
    </row>
    <row r="240" spans="1:17" ht="14.4" x14ac:dyDescent="0.25">
      <c r="A240" s="32"/>
      <c r="B240" s="32" t="s">
        <v>56</v>
      </c>
      <c r="C240" s="32" t="s">
        <v>57</v>
      </c>
      <c r="D240" s="33">
        <v>60</v>
      </c>
      <c r="E240" s="34">
        <f>G240+F240</f>
        <v>907</v>
      </c>
      <c r="F240" s="34">
        <v>61</v>
      </c>
      <c r="G240" s="34">
        <f>D240*H240</f>
        <v>846</v>
      </c>
      <c r="H240" s="34">
        <v>14.1</v>
      </c>
      <c r="I240" s="34">
        <v>1.0249999999999999</v>
      </c>
      <c r="J240" s="34">
        <v>1.0049999999999999</v>
      </c>
      <c r="K240" s="34">
        <v>0.75</v>
      </c>
      <c r="L240" s="35">
        <f t="shared" ref="L240:L247" si="112">I240*J240*K240</f>
        <v>0.77259374999999975</v>
      </c>
      <c r="M240" s="36"/>
      <c r="N240" s="32">
        <f t="shared" ref="N240:N247" si="113">M240/D240</f>
        <v>0</v>
      </c>
      <c r="O240" s="32">
        <f t="shared" ref="O240:O247" si="114">N240*E240</f>
        <v>0</v>
      </c>
      <c r="P240" s="32">
        <f t="shared" ref="P240:P247" si="115">N240*L240</f>
        <v>0</v>
      </c>
      <c r="Q240" s="32" t="s">
        <v>58</v>
      </c>
    </row>
    <row r="241" spans="1:17" ht="14.4" x14ac:dyDescent="0.25">
      <c r="A241" s="33">
        <v>8952</v>
      </c>
      <c r="B241" s="32" t="s">
        <v>60</v>
      </c>
      <c r="C241" s="37" t="s">
        <v>61</v>
      </c>
      <c r="D241" s="33">
        <v>1000</v>
      </c>
      <c r="E241" s="34">
        <f t="shared" ref="E241:E244" si="116">G241+F241</f>
        <v>610</v>
      </c>
      <c r="F241" s="32">
        <v>40</v>
      </c>
      <c r="G241" s="34">
        <f t="shared" ref="G241:G244" si="117">D241*H241</f>
        <v>570</v>
      </c>
      <c r="H241" s="34">
        <v>0.56999999999999995</v>
      </c>
      <c r="I241" s="32">
        <v>1.1000000000000001</v>
      </c>
      <c r="J241" s="32">
        <v>0.8</v>
      </c>
      <c r="K241" s="32">
        <v>0.55000000000000004</v>
      </c>
      <c r="L241" s="38">
        <f t="shared" si="112"/>
        <v>0.4840000000000001</v>
      </c>
      <c r="M241" s="36"/>
      <c r="N241" s="32">
        <f t="shared" si="113"/>
        <v>0</v>
      </c>
      <c r="O241" s="32">
        <f t="shared" si="114"/>
        <v>0</v>
      </c>
      <c r="P241" s="32">
        <f t="shared" si="115"/>
        <v>0</v>
      </c>
      <c r="Q241" s="32" t="s">
        <v>58</v>
      </c>
    </row>
    <row r="242" spans="1:17" ht="14.4" x14ac:dyDescent="0.25">
      <c r="A242" s="32"/>
      <c r="B242" s="32" t="s">
        <v>60</v>
      </c>
      <c r="C242" s="37" t="s">
        <v>62</v>
      </c>
      <c r="D242" s="33">
        <v>3000</v>
      </c>
      <c r="E242" s="34">
        <f t="shared" si="116"/>
        <v>940</v>
      </c>
      <c r="F242" s="32">
        <v>40</v>
      </c>
      <c r="G242" s="34">
        <f t="shared" si="117"/>
        <v>900</v>
      </c>
      <c r="H242" s="34">
        <v>0.3</v>
      </c>
      <c r="I242" s="32">
        <v>1.1299999999999999</v>
      </c>
      <c r="J242" s="32">
        <v>1.08</v>
      </c>
      <c r="K242" s="32">
        <v>1.08</v>
      </c>
      <c r="L242" s="38">
        <f t="shared" si="112"/>
        <v>1.3180320000000001</v>
      </c>
      <c r="M242" s="36"/>
      <c r="N242" s="32">
        <f t="shared" si="113"/>
        <v>0</v>
      </c>
      <c r="O242" s="32">
        <f t="shared" si="114"/>
        <v>0</v>
      </c>
      <c r="P242" s="32">
        <f t="shared" si="115"/>
        <v>0</v>
      </c>
      <c r="Q242" s="32" t="s">
        <v>58</v>
      </c>
    </row>
    <row r="243" spans="1:17" ht="14.4" x14ac:dyDescent="0.25">
      <c r="A243" s="32"/>
      <c r="B243" s="32" t="s">
        <v>60</v>
      </c>
      <c r="C243" s="37" t="s">
        <v>63</v>
      </c>
      <c r="D243" s="33">
        <v>2000</v>
      </c>
      <c r="E243" s="34">
        <f t="shared" si="116"/>
        <v>224</v>
      </c>
      <c r="F243" s="32">
        <v>30</v>
      </c>
      <c r="G243" s="34">
        <v>194</v>
      </c>
      <c r="H243" s="34">
        <v>0.09</v>
      </c>
      <c r="I243" s="32">
        <v>0.76</v>
      </c>
      <c r="J243" s="32">
        <v>0.62</v>
      </c>
      <c r="K243" s="32">
        <v>0.66</v>
      </c>
      <c r="L243" s="38">
        <f t="shared" si="112"/>
        <v>0.31099200000000005</v>
      </c>
      <c r="M243" s="36">
        <v>14000</v>
      </c>
      <c r="N243" s="32">
        <f t="shared" si="113"/>
        <v>7</v>
      </c>
      <c r="O243" s="32">
        <f t="shared" si="114"/>
        <v>1568</v>
      </c>
      <c r="P243" s="32">
        <f t="shared" si="115"/>
        <v>2.1769440000000002</v>
      </c>
      <c r="Q243" s="32" t="s">
        <v>64</v>
      </c>
    </row>
    <row r="244" spans="1:17" ht="14.4" x14ac:dyDescent="0.25">
      <c r="A244" s="33">
        <v>9258</v>
      </c>
      <c r="B244" s="32" t="s">
        <v>60</v>
      </c>
      <c r="C244" s="37" t="s">
        <v>96</v>
      </c>
      <c r="D244" s="33">
        <v>4800</v>
      </c>
      <c r="E244" s="34">
        <f t="shared" si="116"/>
        <v>472</v>
      </c>
      <c r="F244" s="32">
        <v>40</v>
      </c>
      <c r="G244" s="34">
        <f t="shared" si="117"/>
        <v>432</v>
      </c>
      <c r="H244" s="34">
        <v>0.09</v>
      </c>
      <c r="I244" s="32">
        <v>1.1100000000000001</v>
      </c>
      <c r="J244" s="32">
        <v>1.1000000000000001</v>
      </c>
      <c r="K244" s="32">
        <v>1.05</v>
      </c>
      <c r="L244" s="38">
        <f t="shared" si="112"/>
        <v>1.2820500000000004</v>
      </c>
      <c r="M244" s="36">
        <v>6000</v>
      </c>
      <c r="N244" s="32">
        <f t="shared" si="113"/>
        <v>1.25</v>
      </c>
      <c r="O244" s="32">
        <f t="shared" si="114"/>
        <v>590</v>
      </c>
      <c r="P244" s="32">
        <f t="shared" si="115"/>
        <v>1.6025625000000003</v>
      </c>
      <c r="Q244" s="32" t="s">
        <v>58</v>
      </c>
    </row>
    <row r="245" spans="1:17" ht="14.4" x14ac:dyDescent="0.25">
      <c r="A245" s="39"/>
      <c r="B245" s="32" t="s">
        <v>60</v>
      </c>
      <c r="C245" s="32" t="s">
        <v>66</v>
      </c>
      <c r="D245" s="32">
        <v>4000</v>
      </c>
      <c r="E245" s="32">
        <v>223</v>
      </c>
      <c r="F245" s="32">
        <v>30</v>
      </c>
      <c r="G245" s="32">
        <v>188</v>
      </c>
      <c r="H245" s="32">
        <v>0.05</v>
      </c>
      <c r="I245" s="32">
        <v>1.05</v>
      </c>
      <c r="J245" s="32">
        <v>1.05</v>
      </c>
      <c r="K245" s="32">
        <v>0.55000000000000004</v>
      </c>
      <c r="L245" s="38">
        <f t="shared" si="112"/>
        <v>0.60637500000000011</v>
      </c>
      <c r="M245" s="36">
        <v>24000</v>
      </c>
      <c r="N245" s="32">
        <f t="shared" si="113"/>
        <v>6</v>
      </c>
      <c r="O245" s="32">
        <f t="shared" si="114"/>
        <v>1338</v>
      </c>
      <c r="P245" s="32">
        <f t="shared" si="115"/>
        <v>3.6382500000000007</v>
      </c>
      <c r="Q245" s="32" t="s">
        <v>64</v>
      </c>
    </row>
    <row r="246" spans="1:17" ht="14.4" x14ac:dyDescent="0.25">
      <c r="A246" s="40"/>
      <c r="B246" s="32" t="s">
        <v>60</v>
      </c>
      <c r="C246" s="32" t="s">
        <v>67</v>
      </c>
      <c r="D246" s="32">
        <v>1000</v>
      </c>
      <c r="E246" s="32">
        <v>830</v>
      </c>
      <c r="F246" s="32">
        <v>40</v>
      </c>
      <c r="G246" s="32">
        <v>790</v>
      </c>
      <c r="H246" s="32">
        <v>0.79</v>
      </c>
      <c r="I246" s="32">
        <v>1.1000000000000001</v>
      </c>
      <c r="J246" s="32">
        <v>0.88</v>
      </c>
      <c r="K246" s="32">
        <v>0.74</v>
      </c>
      <c r="L246" s="38">
        <f t="shared" si="112"/>
        <v>0.71632000000000007</v>
      </c>
      <c r="M246" s="36">
        <v>26000</v>
      </c>
      <c r="N246" s="32">
        <f t="shared" si="113"/>
        <v>26</v>
      </c>
      <c r="O246" s="32">
        <f t="shared" si="114"/>
        <v>21580</v>
      </c>
      <c r="P246" s="32">
        <f t="shared" si="115"/>
        <v>18.624320000000001</v>
      </c>
      <c r="Q246" s="32" t="s">
        <v>64</v>
      </c>
    </row>
    <row r="247" spans="1:17" ht="14.4" x14ac:dyDescent="0.25">
      <c r="A247" s="39"/>
      <c r="B247" s="39" t="s">
        <v>68</v>
      </c>
      <c r="C247" s="39" t="s">
        <v>0</v>
      </c>
      <c r="D247" s="35">
        <v>4000</v>
      </c>
      <c r="E247" s="35">
        <v>424</v>
      </c>
      <c r="F247" s="35">
        <v>40</v>
      </c>
      <c r="G247" s="35">
        <v>372</v>
      </c>
      <c r="H247" s="35">
        <v>0.1</v>
      </c>
      <c r="I247" s="35">
        <v>1.1000000000000001</v>
      </c>
      <c r="J247" s="35">
        <v>0.8</v>
      </c>
      <c r="K247" s="35">
        <v>0.55000000000000004</v>
      </c>
      <c r="L247" s="38">
        <f t="shared" si="112"/>
        <v>0.4840000000000001</v>
      </c>
      <c r="M247" s="36"/>
      <c r="N247" s="32">
        <f t="shared" si="113"/>
        <v>0</v>
      </c>
      <c r="O247" s="32">
        <f t="shared" si="114"/>
        <v>0</v>
      </c>
      <c r="P247" s="32">
        <f t="shared" si="115"/>
        <v>0</v>
      </c>
      <c r="Q247" s="32" t="s">
        <v>58</v>
      </c>
    </row>
    <row r="248" spans="1:17" x14ac:dyDescent="0.25">
      <c r="L248">
        <f>SUM(L240:L247)</f>
        <v>5.9743627500000009</v>
      </c>
      <c r="M248">
        <f t="shared" ref="M248:P248" si="118">SUM(M240:M247)</f>
        <v>70000</v>
      </c>
      <c r="N248">
        <f t="shared" si="118"/>
        <v>40.25</v>
      </c>
      <c r="O248">
        <f t="shared" si="118"/>
        <v>25076</v>
      </c>
      <c r="P248">
        <f t="shared" si="118"/>
        <v>26.0420765</v>
      </c>
    </row>
    <row r="253" spans="1:17" x14ac:dyDescent="0.25">
      <c r="A253" t="s">
        <v>35</v>
      </c>
      <c r="B253" t="s">
        <v>59</v>
      </c>
      <c r="C253" s="32" t="s">
        <v>64</v>
      </c>
      <c r="D253" t="s">
        <v>71</v>
      </c>
      <c r="E253" s="1">
        <v>45580</v>
      </c>
      <c r="F253" s="1">
        <f>G253-18</f>
        <v>45702</v>
      </c>
      <c r="G253" s="1">
        <f>H253-10</f>
        <v>45720</v>
      </c>
      <c r="H253" s="1">
        <f>L253-10</f>
        <v>45730</v>
      </c>
      <c r="L253" s="1">
        <v>45740</v>
      </c>
    </row>
    <row r="254" spans="1:17" ht="27.6" x14ac:dyDescent="0.25">
      <c r="A254" s="29" t="s">
        <v>39</v>
      </c>
      <c r="B254" s="30" t="s">
        <v>40</v>
      </c>
      <c r="C254" s="31" t="s">
        <v>41</v>
      </c>
      <c r="D254" s="29" t="s">
        <v>42</v>
      </c>
      <c r="E254" s="30" t="s">
        <v>43</v>
      </c>
      <c r="F254" s="30" t="s">
        <v>44</v>
      </c>
      <c r="G254" s="30" t="s">
        <v>45</v>
      </c>
      <c r="H254" s="30" t="s">
        <v>46</v>
      </c>
      <c r="I254" s="30" t="s">
        <v>47</v>
      </c>
      <c r="J254" s="30" t="s">
        <v>48</v>
      </c>
      <c r="K254" s="30" t="s">
        <v>49</v>
      </c>
      <c r="L254" s="30" t="s">
        <v>50</v>
      </c>
      <c r="M254" s="30" t="s">
        <v>51</v>
      </c>
      <c r="N254" s="30" t="s">
        <v>52</v>
      </c>
      <c r="O254" s="30" t="s">
        <v>53</v>
      </c>
      <c r="P254" s="30" t="s">
        <v>54</v>
      </c>
      <c r="Q254" s="30" t="s">
        <v>55</v>
      </c>
    </row>
    <row r="255" spans="1:17" ht="14.4" x14ac:dyDescent="0.25">
      <c r="A255" s="32"/>
      <c r="B255" s="32" t="s">
        <v>56</v>
      </c>
      <c r="C255" s="32" t="s">
        <v>57</v>
      </c>
      <c r="D255" s="33">
        <v>60</v>
      </c>
      <c r="E255" s="34">
        <f>G255+F255</f>
        <v>907</v>
      </c>
      <c r="F255" s="34">
        <v>61</v>
      </c>
      <c r="G255" s="34">
        <f>D255*H255</f>
        <v>846</v>
      </c>
      <c r="H255" s="34">
        <v>14.1</v>
      </c>
      <c r="I255" s="34">
        <v>1.0249999999999999</v>
      </c>
      <c r="J255" s="34">
        <v>1.0049999999999999</v>
      </c>
      <c r="K255" s="34">
        <v>0.75</v>
      </c>
      <c r="L255" s="35">
        <f t="shared" ref="L255:L262" si="119">I255*J255*K255</f>
        <v>0.77259374999999975</v>
      </c>
      <c r="M255" s="36"/>
      <c r="N255" s="32">
        <f t="shared" ref="N255:N262" si="120">M255/D255</f>
        <v>0</v>
      </c>
      <c r="O255" s="32">
        <f t="shared" ref="O255:O262" si="121">N255*E255</f>
        <v>0</v>
      </c>
      <c r="P255" s="32">
        <f t="shared" ref="P255:P262" si="122">N255*L255</f>
        <v>0</v>
      </c>
      <c r="Q255" s="32" t="s">
        <v>58</v>
      </c>
    </row>
    <row r="256" spans="1:17" ht="14.4" x14ac:dyDescent="0.25">
      <c r="A256" s="33">
        <v>8952</v>
      </c>
      <c r="B256" s="32" t="s">
        <v>60</v>
      </c>
      <c r="C256" s="37" t="s">
        <v>61</v>
      </c>
      <c r="D256" s="33">
        <v>1000</v>
      </c>
      <c r="E256" s="34">
        <f t="shared" ref="E256:E259" si="123">G256+F256</f>
        <v>610</v>
      </c>
      <c r="F256" s="32">
        <v>40</v>
      </c>
      <c r="G256" s="34">
        <f t="shared" ref="G256:G259" si="124">D256*H256</f>
        <v>570</v>
      </c>
      <c r="H256" s="34">
        <v>0.56999999999999995</v>
      </c>
      <c r="I256" s="32">
        <v>1.1000000000000001</v>
      </c>
      <c r="J256" s="32">
        <v>0.8</v>
      </c>
      <c r="K256" s="32">
        <v>0.55000000000000004</v>
      </c>
      <c r="L256" s="38">
        <f t="shared" si="119"/>
        <v>0.4840000000000001</v>
      </c>
      <c r="M256" s="36"/>
      <c r="N256" s="32">
        <f t="shared" si="120"/>
        <v>0</v>
      </c>
      <c r="O256" s="32">
        <f t="shared" si="121"/>
        <v>0</v>
      </c>
      <c r="P256" s="32">
        <f t="shared" si="122"/>
        <v>0</v>
      </c>
      <c r="Q256" s="32" t="s">
        <v>58</v>
      </c>
    </row>
    <row r="257" spans="1:17" ht="14.4" x14ac:dyDescent="0.25">
      <c r="A257" s="32"/>
      <c r="B257" s="32" t="s">
        <v>60</v>
      </c>
      <c r="C257" s="37" t="s">
        <v>62</v>
      </c>
      <c r="D257" s="33">
        <v>3000</v>
      </c>
      <c r="E257" s="34">
        <f t="shared" si="123"/>
        <v>940</v>
      </c>
      <c r="F257" s="32">
        <v>40</v>
      </c>
      <c r="G257" s="34">
        <f t="shared" si="124"/>
        <v>900</v>
      </c>
      <c r="H257" s="34">
        <v>0.3</v>
      </c>
      <c r="I257" s="32">
        <v>1.1299999999999999</v>
      </c>
      <c r="J257" s="32">
        <v>1.08</v>
      </c>
      <c r="K257" s="32">
        <v>1.08</v>
      </c>
      <c r="L257" s="38">
        <f t="shared" si="119"/>
        <v>1.3180320000000001</v>
      </c>
      <c r="M257" s="36"/>
      <c r="N257" s="32">
        <f t="shared" si="120"/>
        <v>0</v>
      </c>
      <c r="O257" s="32">
        <f t="shared" si="121"/>
        <v>0</v>
      </c>
      <c r="P257" s="32">
        <f t="shared" si="122"/>
        <v>0</v>
      </c>
      <c r="Q257" s="32" t="s">
        <v>58</v>
      </c>
    </row>
    <row r="258" spans="1:17" ht="14.4" x14ac:dyDescent="0.25">
      <c r="A258" s="32"/>
      <c r="B258" s="32" t="s">
        <v>60</v>
      </c>
      <c r="C258" s="37" t="s">
        <v>63</v>
      </c>
      <c r="D258" s="33">
        <v>2000</v>
      </c>
      <c r="E258" s="34">
        <f t="shared" si="123"/>
        <v>224</v>
      </c>
      <c r="F258" s="32">
        <v>30</v>
      </c>
      <c r="G258" s="34">
        <v>194</v>
      </c>
      <c r="H258" s="34">
        <v>0.09</v>
      </c>
      <c r="I258" s="32">
        <v>0.76</v>
      </c>
      <c r="J258" s="32">
        <v>0.62</v>
      </c>
      <c r="K258" s="32">
        <v>0.66</v>
      </c>
      <c r="L258" s="38">
        <f t="shared" si="119"/>
        <v>0.31099200000000005</v>
      </c>
      <c r="M258" s="36">
        <v>14000</v>
      </c>
      <c r="N258" s="32">
        <f t="shared" si="120"/>
        <v>7</v>
      </c>
      <c r="O258" s="32">
        <f t="shared" si="121"/>
        <v>1568</v>
      </c>
      <c r="P258" s="32">
        <f t="shared" si="122"/>
        <v>2.1769440000000002</v>
      </c>
      <c r="Q258" s="32" t="s">
        <v>64</v>
      </c>
    </row>
    <row r="259" spans="1:17" ht="14.4" x14ac:dyDescent="0.25">
      <c r="A259" s="33">
        <v>9258</v>
      </c>
      <c r="B259" s="32" t="s">
        <v>60</v>
      </c>
      <c r="C259" s="37" t="s">
        <v>96</v>
      </c>
      <c r="D259" s="33">
        <v>4800</v>
      </c>
      <c r="E259" s="34">
        <f t="shared" si="123"/>
        <v>472</v>
      </c>
      <c r="F259" s="32">
        <v>40</v>
      </c>
      <c r="G259" s="34">
        <f t="shared" si="124"/>
        <v>432</v>
      </c>
      <c r="H259" s="34">
        <v>0.09</v>
      </c>
      <c r="I259" s="32">
        <v>1.1100000000000001</v>
      </c>
      <c r="J259" s="32">
        <v>1.1000000000000001</v>
      </c>
      <c r="K259" s="32">
        <v>1.05</v>
      </c>
      <c r="L259" s="38">
        <f t="shared" si="119"/>
        <v>1.2820500000000004</v>
      </c>
      <c r="M259" s="36">
        <v>3000</v>
      </c>
      <c r="N259" s="32">
        <f t="shared" si="120"/>
        <v>0.625</v>
      </c>
      <c r="O259" s="32">
        <f t="shared" si="121"/>
        <v>295</v>
      </c>
      <c r="P259" s="32">
        <f t="shared" si="122"/>
        <v>0.80128125000000017</v>
      </c>
      <c r="Q259" s="32" t="s">
        <v>58</v>
      </c>
    </row>
    <row r="260" spans="1:17" ht="14.4" x14ac:dyDescent="0.25">
      <c r="A260" s="39"/>
      <c r="B260" s="32" t="s">
        <v>60</v>
      </c>
      <c r="C260" s="32" t="s">
        <v>66</v>
      </c>
      <c r="D260" s="32">
        <v>4000</v>
      </c>
      <c r="E260" s="32">
        <v>223</v>
      </c>
      <c r="F260" s="32">
        <v>30</v>
      </c>
      <c r="G260" s="32">
        <v>188</v>
      </c>
      <c r="H260" s="32">
        <v>0.05</v>
      </c>
      <c r="I260" s="32">
        <v>1.05</v>
      </c>
      <c r="J260" s="32">
        <v>1.05</v>
      </c>
      <c r="K260" s="32">
        <v>0.55000000000000004</v>
      </c>
      <c r="L260" s="38">
        <f t="shared" si="119"/>
        <v>0.60637500000000011</v>
      </c>
      <c r="M260" s="36">
        <v>28000</v>
      </c>
      <c r="N260" s="32">
        <f t="shared" si="120"/>
        <v>7</v>
      </c>
      <c r="O260" s="32">
        <f t="shared" si="121"/>
        <v>1561</v>
      </c>
      <c r="P260" s="32">
        <f t="shared" si="122"/>
        <v>4.244625000000001</v>
      </c>
      <c r="Q260" s="32" t="s">
        <v>64</v>
      </c>
    </row>
    <row r="261" spans="1:17" ht="14.4" x14ac:dyDescent="0.25">
      <c r="A261" s="40"/>
      <c r="B261" s="32" t="s">
        <v>60</v>
      </c>
      <c r="C261" s="32" t="s">
        <v>67</v>
      </c>
      <c r="D261" s="32">
        <v>1000</v>
      </c>
      <c r="E261" s="32">
        <v>830</v>
      </c>
      <c r="F261" s="32">
        <v>40</v>
      </c>
      <c r="G261" s="32">
        <v>790</v>
      </c>
      <c r="H261" s="32">
        <v>0.79</v>
      </c>
      <c r="I261" s="32">
        <v>1.1000000000000001</v>
      </c>
      <c r="J261" s="32">
        <v>0.88</v>
      </c>
      <c r="K261" s="32">
        <v>0.74</v>
      </c>
      <c r="L261" s="38">
        <f t="shared" si="119"/>
        <v>0.71632000000000007</v>
      </c>
      <c r="M261" s="36">
        <v>26000</v>
      </c>
      <c r="N261" s="32">
        <f t="shared" si="120"/>
        <v>26</v>
      </c>
      <c r="O261" s="32">
        <f t="shared" si="121"/>
        <v>21580</v>
      </c>
      <c r="P261" s="32">
        <f t="shared" si="122"/>
        <v>18.624320000000001</v>
      </c>
      <c r="Q261" s="32" t="s">
        <v>64</v>
      </c>
    </row>
    <row r="262" spans="1:17" ht="14.4" x14ac:dyDescent="0.25">
      <c r="A262" s="39"/>
      <c r="B262" s="39" t="s">
        <v>68</v>
      </c>
      <c r="C262" s="39" t="s">
        <v>0</v>
      </c>
      <c r="D262" s="35">
        <v>4000</v>
      </c>
      <c r="E262" s="35">
        <v>424</v>
      </c>
      <c r="F262" s="35">
        <v>40</v>
      </c>
      <c r="G262" s="35">
        <v>372</v>
      </c>
      <c r="H262" s="35">
        <v>0.1</v>
      </c>
      <c r="I262" s="35">
        <v>1.1000000000000001</v>
      </c>
      <c r="J262" s="35">
        <v>0.8</v>
      </c>
      <c r="K262" s="35">
        <v>0.55000000000000004</v>
      </c>
      <c r="L262" s="38">
        <f t="shared" si="119"/>
        <v>0.4840000000000001</v>
      </c>
      <c r="M262" s="36"/>
      <c r="N262" s="32">
        <f t="shared" si="120"/>
        <v>0</v>
      </c>
      <c r="O262" s="32">
        <f t="shared" si="121"/>
        <v>0</v>
      </c>
      <c r="P262" s="32">
        <f t="shared" si="122"/>
        <v>0</v>
      </c>
      <c r="Q262" s="32" t="s">
        <v>58</v>
      </c>
    </row>
    <row r="263" spans="1:17" x14ac:dyDescent="0.25">
      <c r="L263">
        <f>SUM(L255:L262)</f>
        <v>5.9743627500000009</v>
      </c>
      <c r="M263">
        <f t="shared" ref="M263:P263" si="125">SUM(M255:M262)</f>
        <v>71000</v>
      </c>
      <c r="N263">
        <f t="shared" si="125"/>
        <v>40.625</v>
      </c>
      <c r="O263">
        <f t="shared" si="125"/>
        <v>25004</v>
      </c>
      <c r="P263">
        <f t="shared" si="125"/>
        <v>25.847170250000001</v>
      </c>
    </row>
    <row r="268" spans="1:17" x14ac:dyDescent="0.25">
      <c r="B268" t="s">
        <v>59</v>
      </c>
      <c r="C268" s="32" t="s">
        <v>64</v>
      </c>
      <c r="D268" t="s">
        <v>71</v>
      </c>
      <c r="E268" s="1">
        <v>45580</v>
      </c>
      <c r="F268" s="1">
        <f>G268-18</f>
        <v>45737</v>
      </c>
      <c r="G268" s="1">
        <f>H268-10</f>
        <v>45755</v>
      </c>
      <c r="H268" s="1">
        <f>L268-10</f>
        <v>45765</v>
      </c>
      <c r="L268" s="1">
        <v>45775</v>
      </c>
    </row>
    <row r="269" spans="1:17" ht="27.6" x14ac:dyDescent="0.25">
      <c r="A269" s="29" t="s">
        <v>39</v>
      </c>
      <c r="B269" s="30" t="s">
        <v>40</v>
      </c>
      <c r="C269" s="31" t="s">
        <v>41</v>
      </c>
      <c r="D269" s="29" t="s">
        <v>42</v>
      </c>
      <c r="E269" s="30" t="s">
        <v>43</v>
      </c>
      <c r="F269" s="30" t="s">
        <v>44</v>
      </c>
      <c r="G269" s="30" t="s">
        <v>45</v>
      </c>
      <c r="H269" s="30" t="s">
        <v>46</v>
      </c>
      <c r="I269" s="30" t="s">
        <v>47</v>
      </c>
      <c r="J269" s="30" t="s">
        <v>48</v>
      </c>
      <c r="K269" s="30" t="s">
        <v>49</v>
      </c>
      <c r="L269" s="30" t="s">
        <v>50</v>
      </c>
      <c r="M269" s="30" t="s">
        <v>51</v>
      </c>
      <c r="N269" s="30" t="s">
        <v>52</v>
      </c>
      <c r="O269" s="30" t="s">
        <v>53</v>
      </c>
      <c r="P269" s="30" t="s">
        <v>54</v>
      </c>
      <c r="Q269" s="30" t="s">
        <v>55</v>
      </c>
    </row>
    <row r="270" spans="1:17" ht="14.4" x14ac:dyDescent="0.25">
      <c r="A270" s="32"/>
      <c r="B270" s="32" t="s">
        <v>56</v>
      </c>
      <c r="C270" s="32" t="s">
        <v>57</v>
      </c>
      <c r="D270" s="33">
        <v>60</v>
      </c>
      <c r="E270" s="34">
        <f>G270+F270</f>
        <v>907</v>
      </c>
      <c r="F270" s="34">
        <v>61</v>
      </c>
      <c r="G270" s="34">
        <f>D270*H270</f>
        <v>846</v>
      </c>
      <c r="H270" s="34">
        <v>14.1</v>
      </c>
      <c r="I270" s="34">
        <v>1.0249999999999999</v>
      </c>
      <c r="J270" s="34">
        <v>1.0049999999999999</v>
      </c>
      <c r="K270" s="34">
        <v>0.75</v>
      </c>
      <c r="L270" s="35">
        <f t="shared" ref="L270:L277" si="126">I270*J270*K270</f>
        <v>0.77259374999999975</v>
      </c>
      <c r="M270" s="36"/>
      <c r="N270" s="32">
        <f t="shared" ref="N270:N277" si="127">M270/D270</f>
        <v>0</v>
      </c>
      <c r="O270" s="32">
        <f t="shared" ref="O270:O277" si="128">N270*E270</f>
        <v>0</v>
      </c>
      <c r="P270" s="32">
        <f t="shared" ref="P270:P277" si="129">N270*L270</f>
        <v>0</v>
      </c>
      <c r="Q270" s="32" t="s">
        <v>58</v>
      </c>
    </row>
    <row r="271" spans="1:17" ht="14.4" x14ac:dyDescent="0.25">
      <c r="A271" s="33">
        <v>8952</v>
      </c>
      <c r="B271" s="32" t="s">
        <v>60</v>
      </c>
      <c r="C271" s="37" t="s">
        <v>61</v>
      </c>
      <c r="D271" s="33">
        <v>1000</v>
      </c>
      <c r="E271" s="34">
        <f t="shared" ref="E271:E274" si="130">G271+F271</f>
        <v>610</v>
      </c>
      <c r="F271" s="32">
        <v>40</v>
      </c>
      <c r="G271" s="34">
        <f t="shared" ref="G271:G274" si="131">D271*H271</f>
        <v>570</v>
      </c>
      <c r="H271" s="34">
        <v>0.56999999999999995</v>
      </c>
      <c r="I271" s="32">
        <v>1.1000000000000001</v>
      </c>
      <c r="J271" s="32">
        <v>0.8</v>
      </c>
      <c r="K271" s="32">
        <v>0.55000000000000004</v>
      </c>
      <c r="L271" s="38">
        <f t="shared" si="126"/>
        <v>0.4840000000000001</v>
      </c>
      <c r="M271" s="36">
        <v>3800</v>
      </c>
      <c r="N271" s="32">
        <f t="shared" si="127"/>
        <v>3.8</v>
      </c>
      <c r="O271" s="32">
        <f t="shared" si="128"/>
        <v>2318</v>
      </c>
      <c r="P271" s="32">
        <f t="shared" si="129"/>
        <v>1.8392000000000004</v>
      </c>
      <c r="Q271" s="32" t="s">
        <v>58</v>
      </c>
    </row>
    <row r="272" spans="1:17" ht="14.4" x14ac:dyDescent="0.25">
      <c r="A272" s="32"/>
      <c r="B272" s="32" t="s">
        <v>60</v>
      </c>
      <c r="C272" s="37" t="s">
        <v>62</v>
      </c>
      <c r="D272" s="33">
        <v>3000</v>
      </c>
      <c r="E272" s="34">
        <f t="shared" si="130"/>
        <v>940</v>
      </c>
      <c r="F272" s="32">
        <v>40</v>
      </c>
      <c r="G272" s="34">
        <f t="shared" si="131"/>
        <v>900</v>
      </c>
      <c r="H272" s="34">
        <v>0.3</v>
      </c>
      <c r="I272" s="32">
        <v>1.1299999999999999</v>
      </c>
      <c r="J272" s="32">
        <v>1.08</v>
      </c>
      <c r="K272" s="32">
        <v>1.08</v>
      </c>
      <c r="L272" s="38">
        <f t="shared" si="126"/>
        <v>1.3180320000000001</v>
      </c>
      <c r="M272" s="36"/>
      <c r="N272" s="32">
        <f t="shared" si="127"/>
        <v>0</v>
      </c>
      <c r="O272" s="32">
        <f t="shared" si="128"/>
        <v>0</v>
      </c>
      <c r="P272" s="32">
        <f t="shared" si="129"/>
        <v>0</v>
      </c>
      <c r="Q272" s="32" t="s">
        <v>58</v>
      </c>
    </row>
    <row r="273" spans="1:17" ht="14.4" x14ac:dyDescent="0.25">
      <c r="A273" s="32"/>
      <c r="B273" s="32" t="s">
        <v>60</v>
      </c>
      <c r="C273" s="37" t="s">
        <v>63</v>
      </c>
      <c r="D273" s="33">
        <v>2000</v>
      </c>
      <c r="E273" s="34">
        <f t="shared" si="130"/>
        <v>224</v>
      </c>
      <c r="F273" s="32">
        <v>30</v>
      </c>
      <c r="G273" s="34">
        <v>194</v>
      </c>
      <c r="H273" s="34">
        <v>0.09</v>
      </c>
      <c r="I273" s="32">
        <v>0.76</v>
      </c>
      <c r="J273" s="32">
        <v>0.62</v>
      </c>
      <c r="K273" s="32">
        <v>0.66</v>
      </c>
      <c r="L273" s="38">
        <f t="shared" si="126"/>
        <v>0.31099200000000005</v>
      </c>
      <c r="M273" s="36">
        <v>9972</v>
      </c>
      <c r="N273" s="32">
        <f t="shared" si="127"/>
        <v>4.9859999999999998</v>
      </c>
      <c r="O273" s="32">
        <f t="shared" si="128"/>
        <v>1116.864</v>
      </c>
      <c r="P273" s="32">
        <f t="shared" si="129"/>
        <v>1.5506061120000001</v>
      </c>
      <c r="Q273" s="32" t="s">
        <v>64</v>
      </c>
    </row>
    <row r="274" spans="1:17" ht="14.4" x14ac:dyDescent="0.25">
      <c r="A274" s="33">
        <v>9258</v>
      </c>
      <c r="B274" s="32" t="s">
        <v>60</v>
      </c>
      <c r="C274" s="37" t="s">
        <v>96</v>
      </c>
      <c r="D274" s="33">
        <v>4800</v>
      </c>
      <c r="E274" s="34">
        <f t="shared" si="130"/>
        <v>472</v>
      </c>
      <c r="F274" s="32">
        <v>40</v>
      </c>
      <c r="G274" s="34">
        <f t="shared" si="131"/>
        <v>432</v>
      </c>
      <c r="H274" s="34">
        <v>0.09</v>
      </c>
      <c r="I274" s="32">
        <v>1.1100000000000001</v>
      </c>
      <c r="J274" s="32">
        <v>1.1000000000000001</v>
      </c>
      <c r="K274" s="32">
        <v>1.05</v>
      </c>
      <c r="L274" s="38">
        <f t="shared" si="126"/>
        <v>1.2820500000000004</v>
      </c>
      <c r="M274" s="36">
        <v>6000</v>
      </c>
      <c r="N274" s="32">
        <f t="shared" si="127"/>
        <v>1.25</v>
      </c>
      <c r="O274" s="32">
        <f t="shared" si="128"/>
        <v>590</v>
      </c>
      <c r="P274" s="32">
        <f t="shared" si="129"/>
        <v>1.6025625000000003</v>
      </c>
      <c r="Q274" s="32" t="s">
        <v>58</v>
      </c>
    </row>
    <row r="275" spans="1:17" ht="14.4" x14ac:dyDescent="0.25">
      <c r="A275" s="39"/>
      <c r="B275" s="32" t="s">
        <v>60</v>
      </c>
      <c r="C275" s="32" t="s">
        <v>66</v>
      </c>
      <c r="D275" s="32">
        <v>4000</v>
      </c>
      <c r="E275" s="32">
        <v>223</v>
      </c>
      <c r="F275" s="32">
        <v>30</v>
      </c>
      <c r="G275" s="32">
        <v>188</v>
      </c>
      <c r="H275" s="32">
        <v>0.05</v>
      </c>
      <c r="I275" s="32">
        <v>1.05</v>
      </c>
      <c r="J275" s="32">
        <v>1.05</v>
      </c>
      <c r="K275" s="32">
        <v>0.55000000000000004</v>
      </c>
      <c r="L275" s="38">
        <f t="shared" si="126"/>
        <v>0.60637500000000011</v>
      </c>
      <c r="M275" s="36">
        <v>20000</v>
      </c>
      <c r="N275" s="32">
        <f t="shared" si="127"/>
        <v>5</v>
      </c>
      <c r="O275" s="32">
        <f t="shared" si="128"/>
        <v>1115</v>
      </c>
      <c r="P275" s="32">
        <f t="shared" si="129"/>
        <v>3.0318750000000003</v>
      </c>
      <c r="Q275" s="32" t="s">
        <v>64</v>
      </c>
    </row>
    <row r="276" spans="1:17" ht="14.4" x14ac:dyDescent="0.25">
      <c r="A276" s="40"/>
      <c r="B276" s="32" t="s">
        <v>60</v>
      </c>
      <c r="C276" s="32" t="s">
        <v>67</v>
      </c>
      <c r="D276" s="32">
        <v>1000</v>
      </c>
      <c r="E276" s="32">
        <v>830</v>
      </c>
      <c r="F276" s="32">
        <v>40</v>
      </c>
      <c r="G276" s="32">
        <v>790</v>
      </c>
      <c r="H276" s="32">
        <v>0.79</v>
      </c>
      <c r="I276" s="32">
        <v>1.1000000000000001</v>
      </c>
      <c r="J276" s="32">
        <v>0.88</v>
      </c>
      <c r="K276" s="32">
        <v>0.74</v>
      </c>
      <c r="L276" s="38">
        <f t="shared" si="126"/>
        <v>0.71632000000000007</v>
      </c>
      <c r="M276" s="36">
        <v>23944</v>
      </c>
      <c r="N276" s="32">
        <f t="shared" si="127"/>
        <v>23.943999999999999</v>
      </c>
      <c r="O276" s="32">
        <f t="shared" si="128"/>
        <v>19873.52</v>
      </c>
      <c r="P276" s="32">
        <f t="shared" si="129"/>
        <v>17.151566080000002</v>
      </c>
      <c r="Q276" s="32" t="s">
        <v>64</v>
      </c>
    </row>
    <row r="277" spans="1:17" ht="14.4" x14ac:dyDescent="0.25">
      <c r="A277" s="39"/>
      <c r="B277" s="39" t="s">
        <v>68</v>
      </c>
      <c r="C277" s="39" t="s">
        <v>0</v>
      </c>
      <c r="D277" s="35">
        <v>4000</v>
      </c>
      <c r="E277" s="35">
        <v>424</v>
      </c>
      <c r="F277" s="35">
        <v>40</v>
      </c>
      <c r="G277" s="35">
        <v>372</v>
      </c>
      <c r="H277" s="35">
        <v>0.1</v>
      </c>
      <c r="I277" s="35">
        <v>1.1000000000000001</v>
      </c>
      <c r="J277" s="35">
        <v>0.8</v>
      </c>
      <c r="K277" s="35">
        <v>0.55000000000000004</v>
      </c>
      <c r="L277" s="38">
        <f t="shared" si="126"/>
        <v>0.4840000000000001</v>
      </c>
      <c r="M277" s="36"/>
      <c r="N277" s="32">
        <f t="shared" si="127"/>
        <v>0</v>
      </c>
      <c r="O277" s="32">
        <f t="shared" si="128"/>
        <v>0</v>
      </c>
      <c r="P277" s="32">
        <f t="shared" si="129"/>
        <v>0</v>
      </c>
      <c r="Q277" s="32" t="s">
        <v>58</v>
      </c>
    </row>
    <row r="278" spans="1:17" x14ac:dyDescent="0.25">
      <c r="L278">
        <f>SUM(L270:L277)</f>
        <v>5.9743627500000009</v>
      </c>
      <c r="M278">
        <f t="shared" ref="M278:P278" si="132">SUM(M270:M277)</f>
        <v>63716</v>
      </c>
      <c r="N278">
        <f t="shared" si="132"/>
        <v>38.979999999999997</v>
      </c>
      <c r="O278">
        <f t="shared" si="132"/>
        <v>25013.383999999998</v>
      </c>
      <c r="P278">
        <f t="shared" si="132"/>
        <v>25.175809692000001</v>
      </c>
    </row>
    <row r="284" spans="1:17" x14ac:dyDescent="0.25">
      <c r="B284" t="s">
        <v>59</v>
      </c>
      <c r="C284" s="32" t="s">
        <v>64</v>
      </c>
      <c r="D284" t="s">
        <v>71</v>
      </c>
      <c r="E284" s="1">
        <v>45580</v>
      </c>
      <c r="F284" s="1">
        <f>G284-18</f>
        <v>45737</v>
      </c>
      <c r="G284" s="1">
        <f>H284-10</f>
        <v>45755</v>
      </c>
      <c r="H284" s="1">
        <f>L284-10</f>
        <v>45765</v>
      </c>
      <c r="L284" s="1">
        <v>45775</v>
      </c>
    </row>
    <row r="285" spans="1:17" ht="27.6" x14ac:dyDescent="0.25">
      <c r="A285" s="29" t="s">
        <v>39</v>
      </c>
      <c r="B285" s="30" t="s">
        <v>40</v>
      </c>
      <c r="C285" s="31" t="s">
        <v>41</v>
      </c>
      <c r="D285" s="29" t="s">
        <v>42</v>
      </c>
      <c r="E285" s="30" t="s">
        <v>43</v>
      </c>
      <c r="F285" s="30" t="s">
        <v>44</v>
      </c>
      <c r="G285" s="30" t="s">
        <v>45</v>
      </c>
      <c r="H285" s="30" t="s">
        <v>46</v>
      </c>
      <c r="I285" s="30" t="s">
        <v>47</v>
      </c>
      <c r="J285" s="30" t="s">
        <v>48</v>
      </c>
      <c r="K285" s="30" t="s">
        <v>49</v>
      </c>
      <c r="L285" s="30" t="s">
        <v>50</v>
      </c>
      <c r="M285" s="30" t="s">
        <v>51</v>
      </c>
      <c r="N285" s="30" t="s">
        <v>52</v>
      </c>
      <c r="O285" s="30" t="s">
        <v>53</v>
      </c>
      <c r="P285" s="30" t="s">
        <v>54</v>
      </c>
      <c r="Q285" s="30" t="s">
        <v>55</v>
      </c>
    </row>
    <row r="286" spans="1:17" ht="14.4" x14ac:dyDescent="0.25">
      <c r="A286" s="32"/>
      <c r="B286" s="32" t="s">
        <v>56</v>
      </c>
      <c r="C286" s="32" t="s">
        <v>57</v>
      </c>
      <c r="D286" s="33">
        <v>60</v>
      </c>
      <c r="E286" s="34">
        <f>G286+F286</f>
        <v>907</v>
      </c>
      <c r="F286" s="34">
        <v>61</v>
      </c>
      <c r="G286" s="34">
        <f>D286*H286</f>
        <v>846</v>
      </c>
      <c r="H286" s="34">
        <v>14.1</v>
      </c>
      <c r="I286" s="34">
        <v>1.0249999999999999</v>
      </c>
      <c r="J286" s="34">
        <v>1.0049999999999999</v>
      </c>
      <c r="K286" s="34">
        <v>0.75</v>
      </c>
      <c r="L286" s="35">
        <f t="shared" ref="L286:L293" si="133">I286*J286*K286</f>
        <v>0.77259374999999975</v>
      </c>
      <c r="M286" s="36">
        <v>492</v>
      </c>
      <c r="N286" s="32">
        <f t="shared" ref="N286:N293" si="134">M286/D286</f>
        <v>8.1999999999999993</v>
      </c>
      <c r="O286" s="32">
        <f t="shared" ref="O286:O293" si="135">N286*E286</f>
        <v>7437.4</v>
      </c>
      <c r="P286" s="32">
        <f t="shared" ref="P286:P293" si="136">N286*L286</f>
        <v>6.3352687499999973</v>
      </c>
      <c r="Q286" s="32" t="s">
        <v>58</v>
      </c>
    </row>
    <row r="287" spans="1:17" ht="14.4" x14ac:dyDescent="0.25">
      <c r="A287" s="33">
        <v>8952</v>
      </c>
      <c r="B287" s="32" t="s">
        <v>60</v>
      </c>
      <c r="C287" s="37" t="s">
        <v>61</v>
      </c>
      <c r="D287" s="33">
        <v>1000</v>
      </c>
      <c r="E287" s="34">
        <f t="shared" ref="E287:E290" si="137">G287+F287</f>
        <v>610</v>
      </c>
      <c r="F287" s="32">
        <v>40</v>
      </c>
      <c r="G287" s="34">
        <f t="shared" ref="G287:G288" si="138">D287*H287</f>
        <v>570</v>
      </c>
      <c r="H287" s="34">
        <v>0.56999999999999995</v>
      </c>
      <c r="I287" s="32">
        <v>1.1000000000000001</v>
      </c>
      <c r="J287" s="32">
        <v>0.8</v>
      </c>
      <c r="K287" s="32">
        <v>0.55000000000000004</v>
      </c>
      <c r="L287" s="38">
        <f t="shared" si="133"/>
        <v>0.4840000000000001</v>
      </c>
      <c r="M287" s="36"/>
      <c r="N287" s="32">
        <f t="shared" si="134"/>
        <v>0</v>
      </c>
      <c r="O287" s="32">
        <f t="shared" si="135"/>
        <v>0</v>
      </c>
      <c r="P287" s="32">
        <f t="shared" si="136"/>
        <v>0</v>
      </c>
      <c r="Q287" s="32" t="s">
        <v>58</v>
      </c>
    </row>
    <row r="288" spans="1:17" ht="14.4" x14ac:dyDescent="0.25">
      <c r="A288" s="32"/>
      <c r="B288" s="32" t="s">
        <v>60</v>
      </c>
      <c r="C288" s="37" t="s">
        <v>62</v>
      </c>
      <c r="D288" s="33">
        <v>3000</v>
      </c>
      <c r="E288" s="34">
        <f t="shared" si="137"/>
        <v>940</v>
      </c>
      <c r="F288" s="32">
        <v>40</v>
      </c>
      <c r="G288" s="34">
        <f t="shared" si="138"/>
        <v>900</v>
      </c>
      <c r="H288" s="34">
        <v>0.3</v>
      </c>
      <c r="I288" s="32">
        <v>1.1299999999999999</v>
      </c>
      <c r="J288" s="32">
        <v>1.08</v>
      </c>
      <c r="K288" s="32">
        <v>1.08</v>
      </c>
      <c r="L288" s="38">
        <f t="shared" si="133"/>
        <v>1.3180320000000001</v>
      </c>
      <c r="M288" s="36"/>
      <c r="N288" s="32">
        <f t="shared" si="134"/>
        <v>0</v>
      </c>
      <c r="O288" s="32">
        <f t="shared" si="135"/>
        <v>0</v>
      </c>
      <c r="P288" s="32">
        <f t="shared" si="136"/>
        <v>0</v>
      </c>
      <c r="Q288" s="32" t="s">
        <v>58</v>
      </c>
    </row>
    <row r="289" spans="1:17" ht="14.4" x14ac:dyDescent="0.25">
      <c r="A289" s="32"/>
      <c r="B289" s="32" t="s">
        <v>60</v>
      </c>
      <c r="C289" s="37" t="s">
        <v>63</v>
      </c>
      <c r="D289" s="33">
        <v>2000</v>
      </c>
      <c r="E289" s="34">
        <f t="shared" si="137"/>
        <v>224</v>
      </c>
      <c r="F289" s="32">
        <v>30</v>
      </c>
      <c r="G289" s="34">
        <v>194</v>
      </c>
      <c r="H289" s="34">
        <v>0.09</v>
      </c>
      <c r="I289" s="32">
        <v>0.76</v>
      </c>
      <c r="J289" s="32">
        <v>0.62</v>
      </c>
      <c r="K289" s="32">
        <v>0.66</v>
      </c>
      <c r="L289" s="38">
        <f t="shared" si="133"/>
        <v>0.31099200000000005</v>
      </c>
      <c r="M289" s="36"/>
      <c r="N289" s="32">
        <f t="shared" si="134"/>
        <v>0</v>
      </c>
      <c r="O289" s="32">
        <f t="shared" si="135"/>
        <v>0</v>
      </c>
      <c r="P289" s="32">
        <f t="shared" si="136"/>
        <v>0</v>
      </c>
      <c r="Q289" s="32" t="s">
        <v>64</v>
      </c>
    </row>
    <row r="290" spans="1:17" ht="14.4" x14ac:dyDescent="0.25">
      <c r="A290" s="33">
        <v>9258</v>
      </c>
      <c r="B290" s="32" t="s">
        <v>60</v>
      </c>
      <c r="C290" s="37" t="s">
        <v>65</v>
      </c>
      <c r="D290" s="33">
        <v>4800</v>
      </c>
      <c r="E290" s="34">
        <f t="shared" si="137"/>
        <v>472</v>
      </c>
      <c r="F290" s="32">
        <v>40</v>
      </c>
      <c r="G290" s="34">
        <f t="shared" ref="G290" si="139">D290*H290</f>
        <v>432</v>
      </c>
      <c r="H290" s="34">
        <v>0.09</v>
      </c>
      <c r="I290" s="32">
        <v>1.1100000000000001</v>
      </c>
      <c r="J290" s="32">
        <v>1.1000000000000001</v>
      </c>
      <c r="K290" s="32">
        <v>1.05</v>
      </c>
      <c r="L290" s="38">
        <f t="shared" si="133"/>
        <v>1.2820500000000004</v>
      </c>
      <c r="M290" s="36"/>
      <c r="N290" s="32">
        <f t="shared" si="134"/>
        <v>0</v>
      </c>
      <c r="O290" s="32">
        <f t="shared" si="135"/>
        <v>0</v>
      </c>
      <c r="P290" s="32">
        <f t="shared" si="136"/>
        <v>0</v>
      </c>
      <c r="Q290" s="32" t="s">
        <v>58</v>
      </c>
    </row>
    <row r="291" spans="1:17" ht="14.4" x14ac:dyDescent="0.25">
      <c r="A291" s="39"/>
      <c r="B291" s="32" t="s">
        <v>60</v>
      </c>
      <c r="C291" s="32" t="s">
        <v>66</v>
      </c>
      <c r="D291" s="32">
        <v>4000</v>
      </c>
      <c r="E291" s="32">
        <v>223</v>
      </c>
      <c r="F291" s="32">
        <v>30</v>
      </c>
      <c r="G291" s="32">
        <v>188</v>
      </c>
      <c r="H291" s="32">
        <v>0.05</v>
      </c>
      <c r="I291" s="32">
        <v>1.05</v>
      </c>
      <c r="J291" s="32">
        <v>1.05</v>
      </c>
      <c r="K291" s="32">
        <v>0.55000000000000004</v>
      </c>
      <c r="L291" s="38">
        <f t="shared" si="133"/>
        <v>0.60637500000000011</v>
      </c>
      <c r="M291" s="36"/>
      <c r="N291" s="32">
        <f t="shared" si="134"/>
        <v>0</v>
      </c>
      <c r="O291" s="32">
        <f t="shared" si="135"/>
        <v>0</v>
      </c>
      <c r="P291" s="32">
        <f t="shared" si="136"/>
        <v>0</v>
      </c>
      <c r="Q291" s="32" t="s">
        <v>64</v>
      </c>
    </row>
    <row r="292" spans="1:17" ht="14.4" x14ac:dyDescent="0.25">
      <c r="A292" s="40"/>
      <c r="B292" s="32" t="s">
        <v>60</v>
      </c>
      <c r="C292" s="32" t="s">
        <v>67</v>
      </c>
      <c r="D292" s="32">
        <v>1000</v>
      </c>
      <c r="E292" s="32">
        <v>830</v>
      </c>
      <c r="F292" s="32">
        <v>40</v>
      </c>
      <c r="G292" s="32">
        <v>790</v>
      </c>
      <c r="H292" s="32">
        <v>0.79</v>
      </c>
      <c r="I292" s="32">
        <v>1.1000000000000001</v>
      </c>
      <c r="J292" s="32">
        <v>0.88</v>
      </c>
      <c r="K292" s="32">
        <v>0.74</v>
      </c>
      <c r="L292" s="38">
        <f t="shared" si="133"/>
        <v>0.71632000000000007</v>
      </c>
      <c r="M292" s="36"/>
      <c r="N292" s="32">
        <f t="shared" si="134"/>
        <v>0</v>
      </c>
      <c r="O292" s="32">
        <f t="shared" si="135"/>
        <v>0</v>
      </c>
      <c r="P292" s="32">
        <f t="shared" si="136"/>
        <v>0</v>
      </c>
      <c r="Q292" s="32" t="s">
        <v>64</v>
      </c>
    </row>
    <row r="293" spans="1:17" ht="14.4" x14ac:dyDescent="0.25">
      <c r="A293" s="39"/>
      <c r="B293" s="39" t="s">
        <v>68</v>
      </c>
      <c r="C293" s="39" t="s">
        <v>0</v>
      </c>
      <c r="D293" s="35">
        <v>4000</v>
      </c>
      <c r="E293" s="35">
        <v>424</v>
      </c>
      <c r="F293" s="35">
        <v>40</v>
      </c>
      <c r="G293" s="35">
        <v>372</v>
      </c>
      <c r="H293" s="35">
        <v>0.1</v>
      </c>
      <c r="I293" s="35">
        <v>1.1000000000000001</v>
      </c>
      <c r="J293" s="35">
        <v>0.8</v>
      </c>
      <c r="K293" s="35">
        <v>0.55000000000000004</v>
      </c>
      <c r="L293" s="38">
        <f t="shared" si="133"/>
        <v>0.4840000000000001</v>
      </c>
      <c r="M293" s="36"/>
      <c r="N293" s="32">
        <f t="shared" si="134"/>
        <v>0</v>
      </c>
      <c r="O293" s="32">
        <f t="shared" si="135"/>
        <v>0</v>
      </c>
      <c r="P293" s="32">
        <f t="shared" si="136"/>
        <v>0</v>
      </c>
      <c r="Q293" s="32" t="s">
        <v>58</v>
      </c>
    </row>
    <row r="294" spans="1:17" x14ac:dyDescent="0.25">
      <c r="L294">
        <f>SUM(L286:L293)</f>
        <v>5.9743627500000009</v>
      </c>
      <c r="M294">
        <f t="shared" ref="M294:P294" si="140">SUM(M286:M293)</f>
        <v>492</v>
      </c>
      <c r="N294">
        <f t="shared" si="140"/>
        <v>8.1999999999999993</v>
      </c>
      <c r="O294">
        <f t="shared" si="140"/>
        <v>7437.4</v>
      </c>
      <c r="P294">
        <f t="shared" si="140"/>
        <v>6.3352687499999973</v>
      </c>
    </row>
    <row r="301" spans="1:17" x14ac:dyDescent="0.25">
      <c r="A301" t="s">
        <v>127</v>
      </c>
    </row>
    <row r="303" spans="1:17" ht="14.4" x14ac:dyDescent="0.25">
      <c r="A303" t="s">
        <v>70</v>
      </c>
      <c r="B303" t="s">
        <v>59</v>
      </c>
      <c r="C303" s="90" t="s">
        <v>58</v>
      </c>
      <c r="D303" t="s">
        <v>71</v>
      </c>
      <c r="E303" t="s">
        <v>56</v>
      </c>
      <c r="F303" s="1"/>
      <c r="G303" s="1"/>
      <c r="H303" s="1"/>
      <c r="I303" s="1"/>
      <c r="L303" s="1"/>
    </row>
    <row r="304" spans="1:17" ht="27.6" x14ac:dyDescent="0.25">
      <c r="A304" s="29" t="s">
        <v>39</v>
      </c>
      <c r="B304" s="30" t="s">
        <v>40</v>
      </c>
      <c r="C304" s="31" t="s">
        <v>41</v>
      </c>
      <c r="D304" s="29" t="s">
        <v>42</v>
      </c>
      <c r="E304" s="30" t="s">
        <v>43</v>
      </c>
      <c r="F304" s="30" t="s">
        <v>44</v>
      </c>
      <c r="G304" s="30" t="s">
        <v>45</v>
      </c>
      <c r="H304" s="30" t="s">
        <v>46</v>
      </c>
      <c r="I304" s="30" t="s">
        <v>47</v>
      </c>
      <c r="J304" s="30" t="s">
        <v>48</v>
      </c>
      <c r="K304" s="30" t="s">
        <v>49</v>
      </c>
      <c r="L304" s="30" t="s">
        <v>50</v>
      </c>
      <c r="M304" s="30" t="s">
        <v>51</v>
      </c>
      <c r="N304" s="30" t="s">
        <v>52</v>
      </c>
      <c r="O304" s="30" t="s">
        <v>53</v>
      </c>
      <c r="P304" s="30" t="s">
        <v>54</v>
      </c>
      <c r="Q304" s="30" t="s">
        <v>55</v>
      </c>
    </row>
    <row r="305" spans="1:17" s="2" customFormat="1" ht="14.4" x14ac:dyDescent="0.25">
      <c r="A305" s="79"/>
      <c r="B305" s="79" t="s">
        <v>56</v>
      </c>
      <c r="C305" s="79" t="s">
        <v>57</v>
      </c>
      <c r="D305" s="119">
        <v>60</v>
      </c>
      <c r="E305" s="121">
        <f>G305+F305</f>
        <v>903</v>
      </c>
      <c r="F305" s="121">
        <v>57</v>
      </c>
      <c r="G305" s="121">
        <f>D305*H305</f>
        <v>846</v>
      </c>
      <c r="H305" s="121">
        <v>14.1</v>
      </c>
      <c r="I305" s="121">
        <v>1.02</v>
      </c>
      <c r="J305" s="121">
        <v>1</v>
      </c>
      <c r="K305" s="121">
        <v>0.75</v>
      </c>
      <c r="L305" s="125">
        <f t="shared" ref="L305:L312" si="141">I305*J305*K305</f>
        <v>0.76500000000000001</v>
      </c>
      <c r="M305" s="123">
        <v>660</v>
      </c>
      <c r="N305" s="79">
        <f>M305/D305</f>
        <v>11</v>
      </c>
      <c r="O305" s="79">
        <f t="shared" ref="O305:O312" si="142">N305*E305</f>
        <v>9933</v>
      </c>
      <c r="P305" s="79">
        <f t="shared" ref="P305:P312" si="143">N305*L305</f>
        <v>8.4150000000000009</v>
      </c>
      <c r="Q305" s="79" t="s">
        <v>58</v>
      </c>
    </row>
    <row r="306" spans="1:17" s="2" customFormat="1" ht="14.4" x14ac:dyDescent="0.25">
      <c r="A306" s="119">
        <v>8952</v>
      </c>
      <c r="B306" s="79" t="s">
        <v>60</v>
      </c>
      <c r="C306" s="120" t="s">
        <v>61</v>
      </c>
      <c r="D306" s="119">
        <v>1400</v>
      </c>
      <c r="E306" s="121">
        <f t="shared" ref="E306:E310" si="144">G306+F306</f>
        <v>847.99999999999989</v>
      </c>
      <c r="F306" s="79">
        <v>50</v>
      </c>
      <c r="G306" s="121">
        <f t="shared" ref="G306:G307" si="145">D306*H306</f>
        <v>797.99999999999989</v>
      </c>
      <c r="H306" s="121">
        <v>0.56999999999999995</v>
      </c>
      <c r="I306" s="79">
        <v>1.02</v>
      </c>
      <c r="J306" s="79">
        <v>0.85</v>
      </c>
      <c r="K306" s="79">
        <v>0.66</v>
      </c>
      <c r="L306" s="122">
        <f t="shared" si="141"/>
        <v>0.57222000000000006</v>
      </c>
      <c r="M306" s="123">
        <v>11680</v>
      </c>
      <c r="N306" s="79">
        <f>M306/D306</f>
        <v>8.3428571428571434</v>
      </c>
      <c r="O306" s="79">
        <f t="shared" si="142"/>
        <v>7074.7428571428563</v>
      </c>
      <c r="P306" s="79">
        <f t="shared" si="143"/>
        <v>4.773949714285715</v>
      </c>
      <c r="Q306" s="79" t="s">
        <v>58</v>
      </c>
    </row>
    <row r="307" spans="1:17" s="2" customFormat="1" ht="14.4" x14ac:dyDescent="0.25">
      <c r="A307" s="79"/>
      <c r="B307" s="79" t="s">
        <v>60</v>
      </c>
      <c r="C307" s="120" t="s">
        <v>62</v>
      </c>
      <c r="D307" s="119">
        <v>3000</v>
      </c>
      <c r="E307" s="121">
        <f t="shared" si="144"/>
        <v>990</v>
      </c>
      <c r="F307" s="79">
        <v>60</v>
      </c>
      <c r="G307" s="121">
        <f t="shared" si="145"/>
        <v>930</v>
      </c>
      <c r="H307" s="121">
        <v>0.31</v>
      </c>
      <c r="I307" s="79">
        <v>1.1000000000000001</v>
      </c>
      <c r="J307" s="79">
        <v>1.05</v>
      </c>
      <c r="K307" s="79">
        <v>1.07</v>
      </c>
      <c r="L307" s="122">
        <f t="shared" si="141"/>
        <v>1.2358500000000003</v>
      </c>
      <c r="M307" s="123">
        <v>5840</v>
      </c>
      <c r="N307" s="79">
        <f t="shared" ref="N307:N312" si="146">M307/D307</f>
        <v>1.9466666666666668</v>
      </c>
      <c r="O307" s="79">
        <f t="shared" si="142"/>
        <v>1927.2</v>
      </c>
      <c r="P307" s="79">
        <f t="shared" si="143"/>
        <v>2.4057880000000007</v>
      </c>
      <c r="Q307" s="79" t="s">
        <v>58</v>
      </c>
    </row>
    <row r="308" spans="1:17" s="2" customFormat="1" ht="14.4" x14ac:dyDescent="0.25">
      <c r="A308" s="79"/>
      <c r="B308" s="79" t="s">
        <v>60</v>
      </c>
      <c r="C308" s="120" t="s">
        <v>63</v>
      </c>
      <c r="D308" s="119">
        <v>2000</v>
      </c>
      <c r="E308" s="121">
        <f t="shared" si="144"/>
        <v>220</v>
      </c>
      <c r="F308" s="79">
        <v>40</v>
      </c>
      <c r="G308" s="121">
        <f>D308*H308</f>
        <v>180</v>
      </c>
      <c r="H308" s="121">
        <v>0.09</v>
      </c>
      <c r="I308" s="79">
        <v>0.76</v>
      </c>
      <c r="J308" s="79">
        <v>0.62</v>
      </c>
      <c r="K308" s="79">
        <v>0.66</v>
      </c>
      <c r="L308" s="122">
        <f t="shared" si="141"/>
        <v>0.31099200000000005</v>
      </c>
      <c r="M308" s="123"/>
      <c r="N308" s="79">
        <f t="shared" si="146"/>
        <v>0</v>
      </c>
      <c r="O308" s="79">
        <f t="shared" si="142"/>
        <v>0</v>
      </c>
      <c r="P308" s="79">
        <f t="shared" si="143"/>
        <v>0</v>
      </c>
      <c r="Q308" s="79" t="s">
        <v>64</v>
      </c>
    </row>
    <row r="309" spans="1:17" s="2" customFormat="1" ht="14.4" x14ac:dyDescent="0.25">
      <c r="A309" s="119"/>
      <c r="B309" s="79" t="s">
        <v>60</v>
      </c>
      <c r="C309" s="120" t="s">
        <v>65</v>
      </c>
      <c r="D309" s="119">
        <v>4800</v>
      </c>
      <c r="E309" s="121">
        <f t="shared" si="144"/>
        <v>414.8</v>
      </c>
      <c r="F309" s="79">
        <v>50</v>
      </c>
      <c r="G309" s="121">
        <f t="shared" ref="G309" si="147">D309*H309</f>
        <v>364.8</v>
      </c>
      <c r="H309" s="121">
        <v>7.5999999999999998E-2</v>
      </c>
      <c r="I309" s="79">
        <v>1.1200000000000001</v>
      </c>
      <c r="J309" s="79">
        <v>1.07</v>
      </c>
      <c r="K309" s="79">
        <v>1.02</v>
      </c>
      <c r="L309" s="122">
        <f t="shared" si="141"/>
        <v>1.2223680000000001</v>
      </c>
      <c r="M309" s="123">
        <v>23360</v>
      </c>
      <c r="N309" s="79">
        <f t="shared" si="146"/>
        <v>4.8666666666666663</v>
      </c>
      <c r="O309" s="79">
        <f t="shared" si="142"/>
        <v>2018.6933333333332</v>
      </c>
      <c r="P309" s="79">
        <f t="shared" si="143"/>
        <v>5.9488576000000002</v>
      </c>
      <c r="Q309" s="79" t="s">
        <v>58</v>
      </c>
    </row>
    <row r="310" spans="1:17" s="2" customFormat="1" ht="14.4" x14ac:dyDescent="0.25">
      <c r="A310" s="124"/>
      <c r="B310" s="79" t="s">
        <v>60</v>
      </c>
      <c r="C310" s="79" t="s">
        <v>66</v>
      </c>
      <c r="D310" s="79">
        <v>4000</v>
      </c>
      <c r="E310" s="121">
        <f t="shared" si="144"/>
        <v>218</v>
      </c>
      <c r="F310" s="79">
        <v>30</v>
      </c>
      <c r="G310" s="79">
        <f>H310*D310</f>
        <v>188</v>
      </c>
      <c r="H310" s="79">
        <v>4.7E-2</v>
      </c>
      <c r="I310" s="79">
        <v>1.05</v>
      </c>
      <c r="J310" s="79">
        <v>1.05</v>
      </c>
      <c r="K310" s="79">
        <v>0.55000000000000004</v>
      </c>
      <c r="L310" s="122">
        <f t="shared" si="141"/>
        <v>0.60637500000000011</v>
      </c>
      <c r="M310" s="123"/>
      <c r="N310" s="79">
        <f t="shared" si="146"/>
        <v>0</v>
      </c>
      <c r="O310" s="79">
        <f t="shared" si="142"/>
        <v>0</v>
      </c>
      <c r="P310" s="79">
        <f t="shared" si="143"/>
        <v>0</v>
      </c>
      <c r="Q310" s="79" t="s">
        <v>64</v>
      </c>
    </row>
    <row r="311" spans="1:17" s="2" customFormat="1" ht="14.4" x14ac:dyDescent="0.25">
      <c r="A311" s="66"/>
      <c r="B311" s="79" t="s">
        <v>60</v>
      </c>
      <c r="C311" s="79" t="s">
        <v>67</v>
      </c>
      <c r="D311" s="79">
        <v>1000</v>
      </c>
      <c r="E311" s="79">
        <v>830</v>
      </c>
      <c r="F311" s="79">
        <v>60</v>
      </c>
      <c r="G311" s="121">
        <f>D311*H311</f>
        <v>800</v>
      </c>
      <c r="H311" s="79">
        <v>0.8</v>
      </c>
      <c r="I311" s="79">
        <v>1.06</v>
      </c>
      <c r="J311" s="79">
        <v>0.87</v>
      </c>
      <c r="K311" s="79">
        <v>0.74</v>
      </c>
      <c r="L311" s="122">
        <f t="shared" si="141"/>
        <v>0.68242800000000003</v>
      </c>
      <c r="M311" s="123"/>
      <c r="N311" s="79">
        <f t="shared" si="146"/>
        <v>0</v>
      </c>
      <c r="O311" s="79">
        <f t="shared" si="142"/>
        <v>0</v>
      </c>
      <c r="P311" s="79">
        <f t="shared" si="143"/>
        <v>0</v>
      </c>
      <c r="Q311" s="79" t="s">
        <v>64</v>
      </c>
    </row>
    <row r="312" spans="1:17" s="2" customFormat="1" ht="14.4" x14ac:dyDescent="0.25">
      <c r="A312" s="124"/>
      <c r="B312" s="124" t="s">
        <v>68</v>
      </c>
      <c r="C312" s="124" t="s">
        <v>0</v>
      </c>
      <c r="D312" s="125">
        <v>4000</v>
      </c>
      <c r="E312" s="125">
        <v>424</v>
      </c>
      <c r="F312" s="125">
        <v>40</v>
      </c>
      <c r="G312" s="121">
        <f>D312*H312</f>
        <v>400</v>
      </c>
      <c r="H312" s="125">
        <v>0.1</v>
      </c>
      <c r="I312" s="125">
        <v>1.1000000000000001</v>
      </c>
      <c r="J312" s="125">
        <v>0.8</v>
      </c>
      <c r="K312" s="125">
        <v>0.55000000000000004</v>
      </c>
      <c r="L312" s="122">
        <f t="shared" si="141"/>
        <v>0.4840000000000001</v>
      </c>
      <c r="M312" s="123">
        <v>11680</v>
      </c>
      <c r="N312" s="79">
        <f t="shared" si="146"/>
        <v>2.92</v>
      </c>
      <c r="O312" s="79">
        <f t="shared" si="142"/>
        <v>1238.08</v>
      </c>
      <c r="P312" s="79">
        <f t="shared" si="143"/>
        <v>1.4132800000000003</v>
      </c>
      <c r="Q312" s="79" t="s">
        <v>58</v>
      </c>
    </row>
    <row r="313" spans="1:17" x14ac:dyDescent="0.25">
      <c r="L313">
        <f>SUM(L305:L312)</f>
        <v>5.8792330000000002</v>
      </c>
      <c r="M313">
        <f>SUM(M305:M312)</f>
        <v>53220</v>
      </c>
      <c r="N313">
        <f t="shared" ref="N313:P313" si="148">SUM(N305:N312)</f>
        <v>29.076190476190476</v>
      </c>
      <c r="O313">
        <f t="shared" si="148"/>
        <v>22191.716190476189</v>
      </c>
      <c r="P313" s="2">
        <f t="shared" si="148"/>
        <v>22.956875314285718</v>
      </c>
    </row>
    <row r="317" spans="1:17" ht="14.4" x14ac:dyDescent="0.25">
      <c r="A317" t="s">
        <v>70</v>
      </c>
      <c r="B317" t="s">
        <v>59</v>
      </c>
      <c r="C317" s="90" t="s">
        <v>58</v>
      </c>
      <c r="D317" t="s">
        <v>71</v>
      </c>
      <c r="E317" t="s">
        <v>56</v>
      </c>
      <c r="F317" s="1"/>
      <c r="G317" s="1"/>
      <c r="H317" s="1"/>
      <c r="I317" s="1"/>
      <c r="L317" s="1"/>
    </row>
    <row r="318" spans="1:17" ht="27.6" x14ac:dyDescent="0.25">
      <c r="A318" s="29" t="s">
        <v>39</v>
      </c>
      <c r="B318" s="30" t="s">
        <v>40</v>
      </c>
      <c r="C318" s="31" t="s">
        <v>41</v>
      </c>
      <c r="D318" s="29" t="s">
        <v>42</v>
      </c>
      <c r="E318" s="30" t="s">
        <v>43</v>
      </c>
      <c r="F318" s="30" t="s">
        <v>44</v>
      </c>
      <c r="G318" s="30" t="s">
        <v>45</v>
      </c>
      <c r="H318" s="30" t="s">
        <v>46</v>
      </c>
      <c r="I318" s="30" t="s">
        <v>47</v>
      </c>
      <c r="J318" s="30" t="s">
        <v>48</v>
      </c>
      <c r="K318" s="30" t="s">
        <v>49</v>
      </c>
      <c r="L318" s="30" t="s">
        <v>50</v>
      </c>
      <c r="M318" s="30" t="s">
        <v>51</v>
      </c>
      <c r="N318" s="30" t="s">
        <v>52</v>
      </c>
      <c r="O318" s="30" t="s">
        <v>53</v>
      </c>
      <c r="P318" s="30" t="s">
        <v>54</v>
      </c>
      <c r="Q318" s="30" t="s">
        <v>55</v>
      </c>
    </row>
    <row r="319" spans="1:17" s="2" customFormat="1" ht="14.4" x14ac:dyDescent="0.25">
      <c r="A319" s="79"/>
      <c r="B319" s="79" t="s">
        <v>56</v>
      </c>
      <c r="C319" s="79" t="s">
        <v>57</v>
      </c>
      <c r="D319" s="119">
        <v>60</v>
      </c>
      <c r="E319" s="121">
        <f>G319+F319</f>
        <v>903</v>
      </c>
      <c r="F319" s="121">
        <v>57</v>
      </c>
      <c r="G319" s="121">
        <f>D319*H319</f>
        <v>846</v>
      </c>
      <c r="H319" s="121">
        <v>14.1</v>
      </c>
      <c r="I319" s="121">
        <v>1.02</v>
      </c>
      <c r="J319" s="121">
        <v>1</v>
      </c>
      <c r="K319" s="121">
        <v>0.75</v>
      </c>
      <c r="L319" s="125">
        <f t="shared" ref="L319:L326" si="149">I319*J319*K319</f>
        <v>0.76500000000000001</v>
      </c>
      <c r="M319" s="123">
        <v>914</v>
      </c>
      <c r="N319" s="79">
        <f>M319/D319</f>
        <v>15.233333333333333</v>
      </c>
      <c r="O319" s="79">
        <f t="shared" ref="O319:O326" si="150">N319*E319</f>
        <v>13755.699999999999</v>
      </c>
      <c r="P319" s="79">
        <f t="shared" ref="P319:P326" si="151">N319*L319</f>
        <v>11.653499999999999</v>
      </c>
      <c r="Q319" s="79" t="s">
        <v>58</v>
      </c>
    </row>
    <row r="320" spans="1:17" s="2" customFormat="1" ht="14.4" x14ac:dyDescent="0.25">
      <c r="A320" s="119">
        <v>8952</v>
      </c>
      <c r="B320" s="79" t="s">
        <v>60</v>
      </c>
      <c r="C320" s="120" t="s">
        <v>61</v>
      </c>
      <c r="D320" s="119">
        <v>1400</v>
      </c>
      <c r="E320" s="121">
        <f t="shared" ref="E320:E324" si="152">G320+F320</f>
        <v>847.99999999999989</v>
      </c>
      <c r="F320" s="79">
        <v>50</v>
      </c>
      <c r="G320" s="121">
        <f t="shared" ref="G320:G321" si="153">D320*H320</f>
        <v>797.99999999999989</v>
      </c>
      <c r="H320" s="121">
        <v>0.56999999999999995</v>
      </c>
      <c r="I320" s="79">
        <v>1.02</v>
      </c>
      <c r="J320" s="79">
        <v>0.85</v>
      </c>
      <c r="K320" s="79">
        <v>0.66</v>
      </c>
      <c r="L320" s="122">
        <f t="shared" si="149"/>
        <v>0.57222000000000006</v>
      </c>
      <c r="M320" s="123"/>
      <c r="N320" s="79">
        <f>M320/D320</f>
        <v>0</v>
      </c>
      <c r="O320" s="79">
        <f t="shared" si="150"/>
        <v>0</v>
      </c>
      <c r="P320" s="79">
        <f t="shared" si="151"/>
        <v>0</v>
      </c>
      <c r="Q320" s="79" t="s">
        <v>58</v>
      </c>
    </row>
    <row r="321" spans="1:17" s="2" customFormat="1" ht="14.4" x14ac:dyDescent="0.25">
      <c r="A321" s="79"/>
      <c r="B321" s="79" t="s">
        <v>60</v>
      </c>
      <c r="C321" s="120" t="s">
        <v>62</v>
      </c>
      <c r="D321" s="119">
        <v>3000</v>
      </c>
      <c r="E321" s="121">
        <f t="shared" si="152"/>
        <v>990</v>
      </c>
      <c r="F321" s="79">
        <v>60</v>
      </c>
      <c r="G321" s="121">
        <f t="shared" si="153"/>
        <v>930</v>
      </c>
      <c r="H321" s="121">
        <v>0.31</v>
      </c>
      <c r="I321" s="79">
        <v>1.1000000000000001</v>
      </c>
      <c r="J321" s="79">
        <v>1.05</v>
      </c>
      <c r="K321" s="79">
        <v>1.07</v>
      </c>
      <c r="L321" s="122">
        <f t="shared" si="149"/>
        <v>1.2358500000000003</v>
      </c>
      <c r="M321" s="123"/>
      <c r="N321" s="79">
        <f t="shared" ref="N321:N326" si="154">M321/D321</f>
        <v>0</v>
      </c>
      <c r="O321" s="79">
        <f t="shared" si="150"/>
        <v>0</v>
      </c>
      <c r="P321" s="79">
        <f t="shared" si="151"/>
        <v>0</v>
      </c>
      <c r="Q321" s="79" t="s">
        <v>58</v>
      </c>
    </row>
    <row r="322" spans="1:17" s="2" customFormat="1" ht="14.4" x14ac:dyDescent="0.25">
      <c r="A322" s="79"/>
      <c r="B322" s="79" t="s">
        <v>60</v>
      </c>
      <c r="C322" s="120" t="s">
        <v>63</v>
      </c>
      <c r="D322" s="119">
        <v>2000</v>
      </c>
      <c r="E322" s="121">
        <f t="shared" si="152"/>
        <v>220</v>
      </c>
      <c r="F322" s="79">
        <v>40</v>
      </c>
      <c r="G322" s="121">
        <f>D322*H322</f>
        <v>180</v>
      </c>
      <c r="H322" s="121">
        <v>0.09</v>
      </c>
      <c r="I322" s="79">
        <v>0.76</v>
      </c>
      <c r="J322" s="79">
        <v>0.62</v>
      </c>
      <c r="K322" s="79">
        <v>0.66</v>
      </c>
      <c r="L322" s="122">
        <f t="shared" si="149"/>
        <v>0.31099200000000005</v>
      </c>
      <c r="M322" s="123">
        <v>5840</v>
      </c>
      <c r="N322" s="79">
        <f t="shared" si="154"/>
        <v>2.92</v>
      </c>
      <c r="O322" s="79">
        <f t="shared" si="150"/>
        <v>642.4</v>
      </c>
      <c r="P322" s="79">
        <f t="shared" si="151"/>
        <v>0.90809664000000012</v>
      </c>
      <c r="Q322" s="79" t="s">
        <v>64</v>
      </c>
    </row>
    <row r="323" spans="1:17" s="2" customFormat="1" ht="14.4" x14ac:dyDescent="0.25">
      <c r="A323" s="119"/>
      <c r="B323" s="79" t="s">
        <v>60</v>
      </c>
      <c r="C323" s="120" t="s">
        <v>65</v>
      </c>
      <c r="D323" s="119">
        <v>4800</v>
      </c>
      <c r="E323" s="121">
        <f t="shared" si="152"/>
        <v>414.8</v>
      </c>
      <c r="F323" s="79">
        <v>50</v>
      </c>
      <c r="G323" s="121">
        <f t="shared" ref="G323" si="155">D323*H323</f>
        <v>364.8</v>
      </c>
      <c r="H323" s="121">
        <v>7.5999999999999998E-2</v>
      </c>
      <c r="I323" s="79">
        <v>1.1200000000000001</v>
      </c>
      <c r="J323" s="79">
        <v>1.07</v>
      </c>
      <c r="K323" s="79">
        <v>1.02</v>
      </c>
      <c r="L323" s="122">
        <f t="shared" si="149"/>
        <v>1.2223680000000001</v>
      </c>
      <c r="M323" s="123"/>
      <c r="N323" s="79">
        <f t="shared" si="154"/>
        <v>0</v>
      </c>
      <c r="O323" s="79">
        <f t="shared" si="150"/>
        <v>0</v>
      </c>
      <c r="P323" s="79">
        <f t="shared" si="151"/>
        <v>0</v>
      </c>
      <c r="Q323" s="79" t="s">
        <v>58</v>
      </c>
    </row>
    <row r="324" spans="1:17" s="2" customFormat="1" ht="14.4" x14ac:dyDescent="0.25">
      <c r="A324" s="124"/>
      <c r="B324" s="79" t="s">
        <v>60</v>
      </c>
      <c r="C324" s="79" t="s">
        <v>66</v>
      </c>
      <c r="D324" s="79">
        <v>4000</v>
      </c>
      <c r="E324" s="121">
        <f t="shared" si="152"/>
        <v>218</v>
      </c>
      <c r="F324" s="79">
        <v>30</v>
      </c>
      <c r="G324" s="79">
        <f>H324*D324</f>
        <v>188</v>
      </c>
      <c r="H324" s="79">
        <v>4.7E-2</v>
      </c>
      <c r="I324" s="79">
        <v>1.05</v>
      </c>
      <c r="J324" s="79">
        <v>1.05</v>
      </c>
      <c r="K324" s="79">
        <v>0.55000000000000004</v>
      </c>
      <c r="L324" s="122">
        <f t="shared" si="149"/>
        <v>0.60637500000000011</v>
      </c>
      <c r="M324" s="123">
        <v>11680</v>
      </c>
      <c r="N324" s="79">
        <f t="shared" si="154"/>
        <v>2.92</v>
      </c>
      <c r="O324" s="79">
        <f t="shared" si="150"/>
        <v>636.55999999999995</v>
      </c>
      <c r="P324" s="79">
        <f t="shared" si="151"/>
        <v>1.7706150000000003</v>
      </c>
      <c r="Q324" s="79" t="s">
        <v>64</v>
      </c>
    </row>
    <row r="325" spans="1:17" s="2" customFormat="1" ht="14.4" x14ac:dyDescent="0.25">
      <c r="A325" s="66"/>
      <c r="B325" s="79" t="s">
        <v>60</v>
      </c>
      <c r="C325" s="79" t="s">
        <v>67</v>
      </c>
      <c r="D325" s="79">
        <v>1000</v>
      </c>
      <c r="E325" s="79">
        <v>830</v>
      </c>
      <c r="F325" s="79">
        <v>60</v>
      </c>
      <c r="G325" s="121">
        <f>D325*H325</f>
        <v>800</v>
      </c>
      <c r="H325" s="79">
        <v>0.8</v>
      </c>
      <c r="I325" s="79">
        <v>1.06</v>
      </c>
      <c r="J325" s="79">
        <v>0.87</v>
      </c>
      <c r="K325" s="79">
        <v>0.74</v>
      </c>
      <c r="L325" s="122">
        <f t="shared" si="149"/>
        <v>0.68242800000000003</v>
      </c>
      <c r="M325" s="123">
        <v>11680</v>
      </c>
      <c r="N325" s="79">
        <f t="shared" si="154"/>
        <v>11.68</v>
      </c>
      <c r="O325" s="79">
        <f t="shared" si="150"/>
        <v>9694.4</v>
      </c>
      <c r="P325" s="79">
        <f t="shared" si="151"/>
        <v>7.9707590399999999</v>
      </c>
      <c r="Q325" s="79" t="s">
        <v>64</v>
      </c>
    </row>
    <row r="326" spans="1:17" s="2" customFormat="1" ht="14.4" x14ac:dyDescent="0.25">
      <c r="A326" s="124"/>
      <c r="B326" s="124" t="s">
        <v>68</v>
      </c>
      <c r="C326" s="124" t="s">
        <v>0</v>
      </c>
      <c r="D326" s="125">
        <v>4000</v>
      </c>
      <c r="E326" s="125">
        <v>424</v>
      </c>
      <c r="F326" s="125">
        <v>40</v>
      </c>
      <c r="G326" s="121">
        <f>D326*H326</f>
        <v>400</v>
      </c>
      <c r="H326" s="125">
        <v>0.1</v>
      </c>
      <c r="I326" s="125">
        <v>1.1000000000000001</v>
      </c>
      <c r="J326" s="125">
        <v>0.8</v>
      </c>
      <c r="K326" s="125">
        <v>0.55000000000000004</v>
      </c>
      <c r="L326" s="122">
        <f t="shared" si="149"/>
        <v>0.4840000000000001</v>
      </c>
      <c r="M326" s="123"/>
      <c r="N326" s="79">
        <f t="shared" si="154"/>
        <v>0</v>
      </c>
      <c r="O326" s="79">
        <f t="shared" si="150"/>
        <v>0</v>
      </c>
      <c r="P326" s="79">
        <f t="shared" si="151"/>
        <v>0</v>
      </c>
      <c r="Q326" s="79" t="s">
        <v>58</v>
      </c>
    </row>
    <row r="327" spans="1:17" x14ac:dyDescent="0.25">
      <c r="L327">
        <f>SUM(L319:L326)</f>
        <v>5.8792330000000002</v>
      </c>
      <c r="M327">
        <f>SUM(M319:M326)</f>
        <v>30114</v>
      </c>
      <c r="N327">
        <f t="shared" ref="N327:P327" si="156">SUM(N319:N326)</f>
        <v>32.75333333333333</v>
      </c>
      <c r="O327">
        <f t="shared" si="156"/>
        <v>24729.059999999998</v>
      </c>
      <c r="P327" s="2">
        <f t="shared" si="156"/>
        <v>22.302970680000001</v>
      </c>
    </row>
  </sheetData>
  <pageMargins left="0.23622047244094491" right="0.23622047244094491" top="0.74803149606299213" bottom="0.74803149606299213" header="0.31496062992125984" footer="0.31496062992125984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6E316B3436943885E51B9BB8721E4" ma:contentTypeVersion="19" ma:contentTypeDescription="Create a new document." ma:contentTypeScope="" ma:versionID="9b36a9964d2a40ca7dff0a542ba9881d">
  <xsd:schema xmlns:xsd="http://www.w3.org/2001/XMLSchema" xmlns:xs="http://www.w3.org/2001/XMLSchema" xmlns:p="http://schemas.microsoft.com/office/2006/metadata/properties" xmlns:ns2="bce3326b-54a1-4016-853f-ee4483aa8247" xmlns:ns3="2d7a3f7f-8fe2-41fb-994e-0c9663fe38e7" targetNamespace="http://schemas.microsoft.com/office/2006/metadata/properties" ma:root="true" ma:fieldsID="1b4da6c8ff4cbfade2039c1f65150f13" ns2:_="" ns3:_="">
    <xsd:import namespace="bce3326b-54a1-4016-853f-ee4483aa8247"/>
    <xsd:import namespace="2d7a3f7f-8fe2-41fb-994e-0c9663fe38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326b-54a1-4016-853f-ee4483aa8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a3f7f-8fe2-41fb-994e-0c9663fe38e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27d61a1-e6c1-41aa-bc06-f10d6e0e0e49}" ma:internalName="TaxCatchAll" ma:showField="CatchAllData" ma:web="2d7a3f7f-8fe2-41fb-994e-0c9663fe38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e3326b-54a1-4016-853f-ee4483aa8247">
      <Terms xmlns="http://schemas.microsoft.com/office/infopath/2007/PartnerControls"/>
    </lcf76f155ced4ddcb4097134ff3c332f>
    <TaxCatchAll xmlns="2d7a3f7f-8fe2-41fb-994e-0c9663fe38e7" xsi:nil="true"/>
    <_Flow_SignoffStatus xmlns="bce3326b-54a1-4016-853f-ee4483aa82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0119B3-2260-40B2-97DC-074EE3675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3326b-54a1-4016-853f-ee4483aa8247"/>
    <ds:schemaRef ds:uri="2d7a3f7f-8fe2-41fb-994e-0c9663fe38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12F308-1848-4DEB-BB2C-ACFAF1EE75FD}">
  <ds:schemaRefs>
    <ds:schemaRef ds:uri="http://schemas.microsoft.com/office/2006/metadata/properties"/>
    <ds:schemaRef ds:uri="http://schemas.microsoft.com/office/infopath/2007/PartnerControls"/>
    <ds:schemaRef ds:uri="bce3326b-54a1-4016-853f-ee4483aa8247"/>
    <ds:schemaRef ds:uri="2d7a3f7f-8fe2-41fb-994e-0c9663fe38e7"/>
  </ds:schemaRefs>
</ds:datastoreItem>
</file>

<file path=customXml/itemProps3.xml><?xml version="1.0" encoding="utf-8"?>
<ds:datastoreItem xmlns:ds="http://schemas.openxmlformats.org/officeDocument/2006/customXml" ds:itemID="{3AE483FC-3FC3-4046-8A9B-33FC9D59DF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Master Schedule Updated </vt:lpstr>
      <vt:lpstr>TMT Schedule Updated</vt:lpstr>
      <vt:lpstr>Container Updated</vt:lpstr>
      <vt:lpstr>'Container Updated'!Print_Area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Lewtas (RPP)</dc:creator>
  <cp:lastModifiedBy>Kai Zhu</cp:lastModifiedBy>
  <cp:lastPrinted>2024-09-25T01:28:43Z</cp:lastPrinted>
  <dcterms:created xsi:type="dcterms:W3CDTF">2024-08-15T07:45:59Z</dcterms:created>
  <dcterms:modified xsi:type="dcterms:W3CDTF">2025-02-16T21:55:50Z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0x0101003156E316B3436943885E51B9BB8721E4</vt:lpwstr>
  </property>
  <property fmtid="{D5CDD505-2E9C-101B-9397-08002B2CF9AE}" pid="3" name="MediaServiceImageTags">
    <vt:lpwstr/>
  </property>
</Properties>
</file>