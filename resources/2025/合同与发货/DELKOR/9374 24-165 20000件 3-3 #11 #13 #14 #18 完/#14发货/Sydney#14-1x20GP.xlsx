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R:\Accounts\Kai's worksheet\Kai Shipping\Sydney\Sydney#14-TMT\"/>
    </mc:Choice>
  </mc:AlternateContent>
  <xr:revisionPtr revIDLastSave="0" documentId="13_ncr:1_{6402864C-EF9A-4BEA-A152-100D1F74514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8" i="1" l="1"/>
  <c r="N8" i="1" s="1"/>
  <c r="K8" i="1"/>
  <c r="O8" i="1" s="1"/>
  <c r="F8" i="1"/>
  <c r="I23" i="1"/>
  <c r="I14" i="1"/>
  <c r="L11" i="1"/>
  <c r="M10" i="1"/>
  <c r="N10" i="1" s="1"/>
  <c r="K10" i="1"/>
  <c r="M9" i="1"/>
  <c r="N9" i="1" s="1"/>
  <c r="K9" i="1"/>
  <c r="M7" i="1"/>
  <c r="N7" i="1" s="1"/>
  <c r="K7" i="1"/>
  <c r="O7" i="1" s="1"/>
  <c r="M6" i="1"/>
  <c r="K6" i="1"/>
  <c r="M5" i="1"/>
  <c r="K5" i="1"/>
  <c r="F5" i="1"/>
  <c r="M4" i="1"/>
  <c r="K4" i="1"/>
  <c r="E4" i="1"/>
  <c r="O10" i="1" l="1"/>
  <c r="O9" i="1"/>
  <c r="O6" i="1"/>
  <c r="O5" i="1"/>
  <c r="N5" i="1"/>
  <c r="N4" i="1"/>
  <c r="O4" i="1"/>
  <c r="N6" i="1"/>
  <c r="M11" i="1"/>
  <c r="N11" i="1" l="1"/>
  <c r="O11" i="1"/>
</calcChain>
</file>

<file path=xl/sharedStrings.xml><?xml version="1.0" encoding="utf-8"?>
<sst xmlns="http://schemas.openxmlformats.org/spreadsheetml/2006/main" count="46" uniqueCount="40">
  <si>
    <t>PO</t>
  </si>
  <si>
    <t>Supplier</t>
  </si>
  <si>
    <t>Description</t>
  </si>
  <si>
    <t>Qty / Package</t>
  </si>
  <si>
    <t>G.W. Kg</t>
  </si>
  <si>
    <t>Pack Weight</t>
  </si>
  <si>
    <t>N.W. Kg</t>
  </si>
  <si>
    <t>L (m)</t>
  </si>
  <si>
    <t>W (m)</t>
  </si>
  <si>
    <t>H (m)</t>
  </si>
  <si>
    <t>Volume Cbm</t>
  </si>
  <si>
    <t>Est. Qty</t>
  </si>
  <si>
    <t>Est. Packages</t>
  </si>
  <si>
    <t>Est. Weight</t>
  </si>
  <si>
    <t>Est CBM</t>
  </si>
  <si>
    <t>EXW DATE</t>
  </si>
  <si>
    <t>Customer Deadline</t>
  </si>
  <si>
    <t>latest EXW</t>
  </si>
  <si>
    <t>Estimated To Door</t>
  </si>
  <si>
    <t>Fosco</t>
  </si>
  <si>
    <t>Sudelan</t>
  </si>
  <si>
    <t>TMT</t>
  </si>
  <si>
    <t>165mm Dowels Open</t>
  </si>
  <si>
    <t>Ss8 GAL  24 DIA X 165. 5.6 Screwspike</t>
  </si>
  <si>
    <t>STD ALT1 End Hole 130 - 1IN20 Baseplates No Serrated Washer</t>
  </si>
  <si>
    <t xml:space="preserve"> STD ALT1 Side  HoleALT192RF29 Rev C No Serrated Washer</t>
  </si>
  <si>
    <t>Lynn</t>
  </si>
  <si>
    <t>2440 x 1050 x 5mm HDPE Sheets Black</t>
  </si>
  <si>
    <t>Top</t>
  </si>
  <si>
    <t>2440 x 1050 x 9mm HDPE Sheets Black</t>
  </si>
  <si>
    <t>Bottom</t>
  </si>
  <si>
    <t>pads x4</t>
  </si>
  <si>
    <t>Screwspike x4</t>
  </si>
  <si>
    <t>End hole x3</t>
  </si>
  <si>
    <t>RF152 Zero Cant Egg</t>
  </si>
  <si>
    <t>Side Hole x3</t>
  </si>
  <si>
    <t>End hole x1+Side Hole x2</t>
  </si>
  <si>
    <t>Container Door</t>
  </si>
  <si>
    <t>Must be loaded close to the container door</t>
  </si>
  <si>
    <t>Dowels+RF152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</si>
</sst>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_ ;[Red]\-0.00\ "/>
    <numFmt numFmtId="165" formatCode="0.00_ "/>
    <numFmt numFmtId="166" formatCode="[$-C09]dd\-mmm\-yy;@"/>
    <numFmt numFmtId="167" formatCode="0.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002060"/>
      <name val="Arial"/>
      <family val="2"/>
    </font>
    <font>
      <sz val="1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8"/>
        <bgColor theme="8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166" fontId="1" fillId="0" borderId="0"/>
  </cellStyleXfs>
  <cellXfs count="50">
    <xf numFmtId="0" fontId="0" fillId="0" borderId="0" xfId="0"/>
    <xf numFmtId="1" fontId="3" fillId="3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49" fontId="3" fillId="3" borderId="2" xfId="0" applyNumberFormat="1" applyFont="1" applyFill="1" applyBorder="1" applyAlignment="1">
      <alignment horizontal="center" vertical="center" wrapText="1"/>
    </xf>
    <xf numFmtId="1" fontId="0" fillId="0" borderId="3" xfId="0" applyNumberFormat="1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 shrinkToFit="1"/>
    </xf>
    <xf numFmtId="0" fontId="0" fillId="0" borderId="4" xfId="0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4" xfId="2" applyNumberFormat="1" applyFont="1" applyBorder="1" applyAlignment="1">
      <alignment horizontal="center" vertical="center"/>
    </xf>
    <xf numFmtId="2" fontId="1" fillId="0" borderId="4" xfId="0" applyNumberFormat="1" applyFont="1" applyBorder="1" applyAlignment="1">
      <alignment horizontal="center" vertical="center"/>
    </xf>
    <xf numFmtId="1" fontId="0" fillId="0" borderId="4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165" fontId="0" fillId="0" borderId="4" xfId="0" applyNumberForma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2" fontId="4" fillId="0" borderId="4" xfId="2" applyNumberFormat="1" applyFont="1" applyBorder="1" applyAlignment="1">
      <alignment horizontal="center" vertical="center"/>
    </xf>
    <xf numFmtId="14" fontId="0" fillId="0" borderId="0" xfId="0" applyNumberFormat="1"/>
    <xf numFmtId="2" fontId="1" fillId="0" borderId="4" xfId="2" applyNumberFormat="1" applyBorder="1" applyAlignment="1">
      <alignment horizontal="center" vertical="center"/>
    </xf>
    <xf numFmtId="1" fontId="0" fillId="5" borderId="0" xfId="0" applyNumberFormat="1" applyFill="1" applyAlignment="1">
      <alignment horizontal="center" vertical="center"/>
    </xf>
    <xf numFmtId="2" fontId="0" fillId="5" borderId="2" xfId="0" applyNumberFormat="1" applyFill="1" applyBorder="1" applyAlignment="1">
      <alignment horizontal="center"/>
    </xf>
    <xf numFmtId="0" fontId="0" fillId="5" borderId="0" xfId="0" applyFill="1"/>
    <xf numFmtId="0" fontId="0" fillId="5" borderId="0" xfId="0" applyFill="1" applyAlignment="1">
      <alignment horizontal="center" vertical="center"/>
    </xf>
    <xf numFmtId="14" fontId="0" fillId="5" borderId="0" xfId="0" applyNumberFormat="1" applyFill="1"/>
    <xf numFmtId="1" fontId="0" fillId="6" borderId="3" xfId="0" applyNumberFormat="1" applyFill="1" applyBorder="1" applyAlignment="1">
      <alignment horizontal="center" vertical="center"/>
    </xf>
    <xf numFmtId="0" fontId="0" fillId="6" borderId="4" xfId="0" applyFill="1" applyBorder="1" applyAlignment="1">
      <alignment horizontal="center"/>
    </xf>
    <xf numFmtId="166" fontId="5" fillId="6" borderId="4" xfId="0" applyNumberFormat="1" applyFont="1" applyFill="1" applyBorder="1" applyAlignment="1">
      <alignment horizontal="left" vertical="top"/>
    </xf>
    <xf numFmtId="2" fontId="0" fillId="6" borderId="4" xfId="0" applyNumberFormat="1" applyFill="1" applyBorder="1" applyAlignment="1">
      <alignment horizontal="center" vertical="center"/>
    </xf>
    <xf numFmtId="2" fontId="0" fillId="6" borderId="4" xfId="2" applyNumberFormat="1" applyFont="1" applyFill="1" applyBorder="1" applyAlignment="1">
      <alignment horizontal="center" vertical="center"/>
    </xf>
    <xf numFmtId="167" fontId="0" fillId="6" borderId="4" xfId="0" applyNumberFormat="1" applyFill="1" applyBorder="1" applyAlignment="1">
      <alignment horizontal="center" vertical="center"/>
    </xf>
    <xf numFmtId="2" fontId="0" fillId="6" borderId="4" xfId="1" applyNumberFormat="1" applyFont="1" applyFill="1" applyBorder="1" applyAlignment="1">
      <alignment horizontal="center" vertical="center"/>
    </xf>
    <xf numFmtId="1" fontId="5" fillId="6" borderId="4" xfId="0" applyNumberFormat="1" applyFont="1" applyFill="1" applyBorder="1" applyAlignment="1">
      <alignment horizontal="center" vertical="center"/>
    </xf>
    <xf numFmtId="2" fontId="1" fillId="6" borderId="4" xfId="0" applyNumberFormat="1" applyFont="1" applyFill="1" applyBorder="1" applyAlignment="1">
      <alignment horizontal="center" vertical="center"/>
    </xf>
    <xf numFmtId="2" fontId="1" fillId="6" borderId="4" xfId="0" applyNumberFormat="1" applyFont="1" applyFill="1" applyBorder="1"/>
    <xf numFmtId="14" fontId="0" fillId="6" borderId="0" xfId="0" applyNumberFormat="1" applyFill="1"/>
    <xf numFmtId="0" fontId="0" fillId="6" borderId="0" xfId="0" applyFill="1"/>
    <xf numFmtId="166" fontId="5" fillId="6" borderId="4" xfId="0" applyNumberFormat="1" applyFont="1" applyFill="1" applyBorder="1" applyAlignment="1">
      <alignment horizontal="left" vertical="center"/>
    </xf>
    <xf numFmtId="0" fontId="6" fillId="6" borderId="0" xfId="0" applyFont="1" applyFill="1" applyAlignment="1">
      <alignment horizontal="center" vertical="top" wrapText="1"/>
    </xf>
    <xf numFmtId="0" fontId="6" fillId="6" borderId="6" xfId="0" applyFont="1" applyFill="1" applyBorder="1" applyAlignment="1">
      <alignment horizontal="center" vertical="top" wrapText="1"/>
    </xf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6" borderId="0" xfId="0" applyFill="1" applyAlignment="1">
      <alignment horizontal="center" wrapText="1"/>
    </xf>
    <xf numFmtId="0" fontId="0" fillId="5" borderId="0" xfId="0" applyFill="1" applyAlignment="1">
      <alignment horizontal="left" vertical="top"/>
    </xf>
    <xf numFmtId="164" fontId="0" fillId="5" borderId="0" xfId="0" applyNumberFormat="1" applyFill="1" applyAlignment="1">
      <alignment horizontal="right"/>
    </xf>
    <xf numFmtId="164" fontId="0" fillId="5" borderId="0" xfId="0" applyNumberFormat="1" applyFill="1" applyAlignment="1">
      <alignment horizontal="center"/>
    </xf>
    <xf numFmtId="2" fontId="0" fillId="5" borderId="0" xfId="0" applyNumberFormat="1" applyFill="1" applyAlignment="1">
      <alignment horizontal="center"/>
    </xf>
    <xf numFmtId="2" fontId="1" fillId="5" borderId="4" xfId="0" applyNumberFormat="1" applyFont="1" applyFill="1" applyBorder="1"/>
  </cellXfs>
  <cellStyles count="3">
    <cellStyle name="Good" xfId="1" builtinId="26"/>
    <cellStyle name="Normal" xfId="0" builtinId="0"/>
    <cellStyle name="Normal 3 2" xfId="2" xr:uid="{201259D6-F9FB-44BF-8ED6-C71790A2535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S23"/>
  <sheetViews>
    <sheetView tabSelected="1" workbookViewId="0">
      <selection activeCell="K22" sqref="K22"/>
    </sheetView>
  </sheetViews>
  <sheetFormatPr defaultRowHeight="14.4" x14ac:dyDescent="0.3"/>
  <cols>
    <col min="1" max="1" width="10.5546875" bestFit="1" customWidth="1"/>
    <col min="3" max="3" width="53.33203125" bestFit="1" customWidth="1"/>
    <col min="16" max="16" width="22.21875" bestFit="1" customWidth="1"/>
    <col min="17" max="19" width="10.5546875" bestFit="1" customWidth="1"/>
  </cols>
  <sheetData>
    <row r="2" spans="1:19" x14ac:dyDescent="0.3">
      <c r="A2" s="19">
        <v>45848</v>
      </c>
    </row>
    <row r="3" spans="1:19" ht="41.4" x14ac:dyDescent="0.3">
      <c r="A3" s="1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3" t="s">
        <v>15</v>
      </c>
      <c r="Q3" s="3" t="s">
        <v>16</v>
      </c>
      <c r="R3" s="3" t="s">
        <v>17</v>
      </c>
      <c r="S3" s="3" t="s">
        <v>18</v>
      </c>
    </row>
    <row r="4" spans="1:19" x14ac:dyDescent="0.3">
      <c r="A4" s="4">
        <v>9376</v>
      </c>
      <c r="B4" s="7" t="s">
        <v>19</v>
      </c>
      <c r="C4" s="6" t="s">
        <v>22</v>
      </c>
      <c r="D4" s="14">
        <v>6000</v>
      </c>
      <c r="E4" s="15">
        <f>G4+F4</f>
        <v>375</v>
      </c>
      <c r="F4" s="7">
        <v>15</v>
      </c>
      <c r="G4" s="15">
        <v>360</v>
      </c>
      <c r="H4" s="7">
        <v>1.1000000000000001</v>
      </c>
      <c r="I4" s="7">
        <v>1.1000000000000001</v>
      </c>
      <c r="J4" s="7">
        <v>1.8</v>
      </c>
      <c r="K4" s="16">
        <f t="shared" ref="K4:K5" si="0">H4*I4*J4</f>
        <v>2.1780000000000004</v>
      </c>
      <c r="L4" s="7">
        <v>6000</v>
      </c>
      <c r="M4" s="7">
        <f t="shared" ref="M4:M5" si="1">L4/D4</f>
        <v>1</v>
      </c>
      <c r="N4" s="7">
        <f t="shared" ref="N4:N5" si="2">M4*E4</f>
        <v>375</v>
      </c>
      <c r="O4" s="7">
        <f t="shared" ref="O4:O5" si="3">M4*K4</f>
        <v>2.1780000000000004</v>
      </c>
      <c r="P4" s="8">
        <v>45761</v>
      </c>
    </row>
    <row r="5" spans="1:19" x14ac:dyDescent="0.3">
      <c r="A5" s="17">
        <v>9374</v>
      </c>
      <c r="B5" s="7" t="s">
        <v>20</v>
      </c>
      <c r="C5" s="6" t="s">
        <v>23</v>
      </c>
      <c r="D5" s="18">
        <v>1000</v>
      </c>
      <c r="E5" s="12">
        <v>690</v>
      </c>
      <c r="F5" s="12">
        <f>E5-G5</f>
        <v>40</v>
      </c>
      <c r="G5" s="12">
        <v>650</v>
      </c>
      <c r="H5" s="12">
        <v>1.1000000000000001</v>
      </c>
      <c r="I5" s="12">
        <v>0.8</v>
      </c>
      <c r="J5" s="12">
        <v>0.55000000000000004</v>
      </c>
      <c r="K5" s="5">
        <f t="shared" si="0"/>
        <v>0.4840000000000001</v>
      </c>
      <c r="L5" s="9">
        <v>8000</v>
      </c>
      <c r="M5" s="5">
        <f t="shared" si="1"/>
        <v>8</v>
      </c>
      <c r="N5" s="5">
        <f t="shared" si="2"/>
        <v>5520</v>
      </c>
      <c r="O5" s="5">
        <f t="shared" si="3"/>
        <v>3.8720000000000008</v>
      </c>
      <c r="P5" s="10">
        <v>45761</v>
      </c>
    </row>
    <row r="6" spans="1:19" x14ac:dyDescent="0.3">
      <c r="A6" s="17">
        <v>9397</v>
      </c>
      <c r="B6" s="7" t="s">
        <v>21</v>
      </c>
      <c r="C6" s="7" t="s">
        <v>24</v>
      </c>
      <c r="D6" s="5">
        <v>48</v>
      </c>
      <c r="E6" s="5">
        <v>885</v>
      </c>
      <c r="F6" s="20">
        <v>69</v>
      </c>
      <c r="G6" s="5">
        <v>816</v>
      </c>
      <c r="H6" s="5">
        <v>1.1599999999999999</v>
      </c>
      <c r="I6" s="5">
        <v>0.84</v>
      </c>
      <c r="J6" s="5">
        <v>0.72</v>
      </c>
      <c r="K6" s="5">
        <f>H6*I6*J6</f>
        <v>0.70156799999999997</v>
      </c>
      <c r="L6" s="9">
        <v>164</v>
      </c>
      <c r="M6" s="5">
        <f>L6/D6</f>
        <v>3.4166666666666665</v>
      </c>
      <c r="N6" s="5">
        <f>M6*E6</f>
        <v>3023.75</v>
      </c>
      <c r="O6" s="5">
        <f>M6*K6</f>
        <v>2.3970239999999996</v>
      </c>
      <c r="P6" s="10">
        <v>45822</v>
      </c>
    </row>
    <row r="7" spans="1:19" x14ac:dyDescent="0.3">
      <c r="A7" s="17">
        <v>9398</v>
      </c>
      <c r="B7" s="7" t="s">
        <v>21</v>
      </c>
      <c r="C7" s="7" t="s">
        <v>25</v>
      </c>
      <c r="D7" s="5">
        <v>50</v>
      </c>
      <c r="E7" s="5">
        <v>899</v>
      </c>
      <c r="F7" s="12">
        <v>50</v>
      </c>
      <c r="G7" s="5">
        <v>849</v>
      </c>
      <c r="H7" s="5">
        <v>0.95</v>
      </c>
      <c r="I7" s="5">
        <v>0.9</v>
      </c>
      <c r="J7" s="5">
        <v>0.74</v>
      </c>
      <c r="K7" s="5">
        <f>H7*I7*J7</f>
        <v>0.63269999999999993</v>
      </c>
      <c r="L7" s="9">
        <v>400</v>
      </c>
      <c r="M7" s="13">
        <f>L7/D7</f>
        <v>8</v>
      </c>
      <c r="N7" s="13">
        <f>M7*E7</f>
        <v>7192</v>
      </c>
      <c r="O7" s="13">
        <f>K7*M7</f>
        <v>5.0615999999999994</v>
      </c>
      <c r="P7" s="10">
        <v>45822</v>
      </c>
    </row>
    <row r="8" spans="1:19" s="23" customFormat="1" x14ac:dyDescent="0.3">
      <c r="A8" s="21">
        <v>9412</v>
      </c>
      <c r="B8" s="22" t="s">
        <v>21</v>
      </c>
      <c r="C8" s="45" t="s">
        <v>34</v>
      </c>
      <c r="D8" s="46">
        <v>30</v>
      </c>
      <c r="E8" s="47">
        <v>664</v>
      </c>
      <c r="F8" s="47">
        <f>E8-G8</f>
        <v>51</v>
      </c>
      <c r="G8" s="47">
        <v>613</v>
      </c>
      <c r="H8" s="47">
        <v>0.98</v>
      </c>
      <c r="I8" s="47">
        <v>0.9</v>
      </c>
      <c r="J8" s="47">
        <v>0.38</v>
      </c>
      <c r="K8" s="48">
        <f t="shared" ref="K8" si="4">H8*I8*J8</f>
        <v>0.33516000000000001</v>
      </c>
      <c r="L8" s="24">
        <v>10</v>
      </c>
      <c r="M8" s="49">
        <f t="shared" ref="M8" si="5">L8/D8</f>
        <v>0.33333333333333331</v>
      </c>
      <c r="N8" s="49">
        <f t="shared" ref="N8" si="6">M8*E8</f>
        <v>221.33333333333331</v>
      </c>
      <c r="O8" s="49">
        <f>K8*M8</f>
        <v>0.11172</v>
      </c>
      <c r="P8" s="25">
        <v>45853</v>
      </c>
    </row>
    <row r="9" spans="1:19" s="37" customFormat="1" x14ac:dyDescent="0.3">
      <c r="A9" s="26">
        <v>9425</v>
      </c>
      <c r="B9" s="27" t="s">
        <v>26</v>
      </c>
      <c r="C9" s="28" t="s">
        <v>27</v>
      </c>
      <c r="D9" s="29">
        <v>72</v>
      </c>
      <c r="E9" s="29">
        <v>940</v>
      </c>
      <c r="F9" s="30">
        <v>40</v>
      </c>
      <c r="G9" s="29">
        <v>900</v>
      </c>
      <c r="H9" s="29">
        <v>2.5</v>
      </c>
      <c r="I9" s="29">
        <v>1.1000000000000001</v>
      </c>
      <c r="J9" s="31">
        <v>0.52600000000000002</v>
      </c>
      <c r="K9" s="32">
        <f t="shared" ref="K9:K10" si="7">H9*I9*J9</f>
        <v>1.4465000000000001</v>
      </c>
      <c r="L9" s="33">
        <v>360</v>
      </c>
      <c r="M9" s="34">
        <f t="shared" ref="M9:M10" si="8">L9/D9</f>
        <v>5</v>
      </c>
      <c r="N9" s="35">
        <f t="shared" ref="N9:N10" si="9">M9*E9</f>
        <v>4700</v>
      </c>
      <c r="O9" s="35">
        <f t="shared" ref="O9:O10" si="10">K9*M9</f>
        <v>7.2325000000000008</v>
      </c>
      <c r="P9" s="36">
        <v>45842</v>
      </c>
      <c r="Q9" s="37" t="s">
        <v>28</v>
      </c>
      <c r="R9" s="39" t="s">
        <v>38</v>
      </c>
      <c r="S9" s="39"/>
    </row>
    <row r="10" spans="1:19" s="37" customFormat="1" x14ac:dyDescent="0.3">
      <c r="A10" s="26">
        <v>9425</v>
      </c>
      <c r="B10" s="27" t="s">
        <v>26</v>
      </c>
      <c r="C10" s="38" t="s">
        <v>29</v>
      </c>
      <c r="D10" s="29">
        <v>40</v>
      </c>
      <c r="E10" s="29">
        <v>940</v>
      </c>
      <c r="F10" s="30">
        <v>40</v>
      </c>
      <c r="G10" s="29">
        <v>900</v>
      </c>
      <c r="H10" s="29">
        <v>2.5</v>
      </c>
      <c r="I10" s="29">
        <v>1.1000000000000001</v>
      </c>
      <c r="J10" s="31">
        <v>0.52600000000000002</v>
      </c>
      <c r="K10" s="32">
        <f t="shared" si="7"/>
        <v>1.4465000000000001</v>
      </c>
      <c r="L10" s="33">
        <v>120</v>
      </c>
      <c r="M10" s="34">
        <f t="shared" si="8"/>
        <v>3</v>
      </c>
      <c r="N10" s="35">
        <f t="shared" si="9"/>
        <v>2820</v>
      </c>
      <c r="O10" s="35">
        <f t="shared" si="10"/>
        <v>4.3395000000000001</v>
      </c>
      <c r="P10" s="36">
        <v>45842</v>
      </c>
      <c r="Q10" s="37" t="s">
        <v>30</v>
      </c>
      <c r="R10" s="40"/>
      <c r="S10" s="40"/>
    </row>
    <row r="11" spans="1:19" x14ac:dyDescent="0.3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>
        <f>SUM(L4:L10)</f>
        <v>15054</v>
      </c>
      <c r="M11" s="11">
        <f>SUM(M4:M10)</f>
        <v>28.749999999999996</v>
      </c>
      <c r="N11" s="11">
        <f>SUM(N4:N10)</f>
        <v>23852.083333333336</v>
      </c>
      <c r="O11" s="11">
        <f>SUM(O4:O10)</f>
        <v>25.192344000000002</v>
      </c>
      <c r="P11" s="11"/>
    </row>
    <row r="14" spans="1:19" x14ac:dyDescent="0.3">
      <c r="I14" s="42">
        <f>SUM(I15:P15)</f>
        <v>5.84</v>
      </c>
      <c r="J14" s="42"/>
      <c r="K14" s="42"/>
      <c r="L14" s="42"/>
      <c r="M14" s="42"/>
      <c r="N14" s="42"/>
      <c r="O14" s="42"/>
      <c r="P14" s="42"/>
    </row>
    <row r="15" spans="1:19" x14ac:dyDescent="0.3">
      <c r="J15">
        <v>0.8</v>
      </c>
      <c r="K15">
        <v>0.8</v>
      </c>
      <c r="L15">
        <v>0.9</v>
      </c>
      <c r="M15" s="5">
        <v>0.84</v>
      </c>
      <c r="N15" s="42">
        <v>2.5</v>
      </c>
      <c r="O15" s="42"/>
      <c r="P15" s="42"/>
    </row>
    <row r="16" spans="1:19" ht="14.4" customHeight="1" x14ac:dyDescent="0.3">
      <c r="I16" s="43"/>
      <c r="J16" s="43" t="s">
        <v>32</v>
      </c>
      <c r="K16" s="43" t="s">
        <v>32</v>
      </c>
      <c r="L16" s="43" t="s">
        <v>35</v>
      </c>
      <c r="M16" s="43" t="s">
        <v>33</v>
      </c>
      <c r="N16" s="44" t="s">
        <v>31</v>
      </c>
      <c r="O16" s="44"/>
      <c r="P16" s="44"/>
      <c r="Q16" s="41" t="s">
        <v>37</v>
      </c>
    </row>
    <row r="17" spans="9:17" x14ac:dyDescent="0.3">
      <c r="I17" s="43"/>
      <c r="J17" s="43"/>
      <c r="K17" s="43"/>
      <c r="L17" s="43"/>
      <c r="M17" s="43"/>
      <c r="N17" s="44"/>
      <c r="O17" s="44"/>
      <c r="P17" s="44"/>
      <c r="Q17" s="41"/>
    </row>
    <row r="18" spans="9:17" x14ac:dyDescent="0.3">
      <c r="I18" s="43"/>
      <c r="J18" s="43"/>
      <c r="K18" s="43"/>
      <c r="L18" s="43"/>
      <c r="M18" s="43"/>
      <c r="N18" s="44"/>
      <c r="O18" s="44"/>
      <c r="P18" s="44"/>
      <c r="Q18" s="41"/>
    </row>
    <row r="19" spans="9:17" ht="14.4" customHeight="1" x14ac:dyDescent="0.3">
      <c r="I19" s="43"/>
      <c r="J19" s="43"/>
      <c r="K19" s="43" t="s">
        <v>39</v>
      </c>
      <c r="L19" s="43" t="s">
        <v>35</v>
      </c>
      <c r="M19" s="43" t="s">
        <v>36</v>
      </c>
      <c r="N19" s="44" t="s">
        <v>31</v>
      </c>
      <c r="O19" s="44"/>
      <c r="P19" s="44"/>
      <c r="Q19" s="41"/>
    </row>
    <row r="20" spans="9:17" x14ac:dyDescent="0.3">
      <c r="I20" s="43"/>
      <c r="J20" s="43"/>
      <c r="K20" s="43"/>
      <c r="L20" s="43"/>
      <c r="M20" s="43"/>
      <c r="N20" s="44"/>
      <c r="O20" s="44"/>
      <c r="P20" s="44"/>
      <c r="Q20" s="41"/>
    </row>
    <row r="21" spans="9:17" x14ac:dyDescent="0.3">
      <c r="I21" s="43"/>
      <c r="J21" s="43"/>
      <c r="K21" s="43"/>
      <c r="L21" s="43"/>
      <c r="M21" s="43"/>
      <c r="N21" s="44"/>
      <c r="O21" s="44"/>
      <c r="P21" s="44"/>
      <c r="Q21" s="41"/>
    </row>
    <row r="22" spans="9:17" x14ac:dyDescent="0.3">
      <c r="K22">
        <v>1.1000000000000001</v>
      </c>
      <c r="L22">
        <v>0.9</v>
      </c>
      <c r="M22">
        <v>0.9</v>
      </c>
      <c r="N22" s="42">
        <v>2.5</v>
      </c>
      <c r="O22" s="42"/>
      <c r="P22" s="42"/>
    </row>
    <row r="23" spans="9:17" x14ac:dyDescent="0.3">
      <c r="I23" s="42">
        <f>SUM(I22:P22)</f>
        <v>5.4</v>
      </c>
      <c r="J23" s="42"/>
      <c r="K23" s="42"/>
      <c r="L23" s="42"/>
      <c r="M23" s="42"/>
      <c r="N23" s="42"/>
      <c r="O23" s="42"/>
      <c r="P23" s="42"/>
    </row>
  </sheetData>
  <mergeCells count="18">
    <mergeCell ref="N22:P22"/>
    <mergeCell ref="I23:P23"/>
    <mergeCell ref="M16:M18"/>
    <mergeCell ref="N16:P18"/>
    <mergeCell ref="I19:I21"/>
    <mergeCell ref="J19:J21"/>
    <mergeCell ref="K19:K21"/>
    <mergeCell ref="L19:L21"/>
    <mergeCell ref="M19:M21"/>
    <mergeCell ref="N19:P21"/>
    <mergeCell ref="R9:S10"/>
    <mergeCell ref="Q16:Q21"/>
    <mergeCell ref="I14:P14"/>
    <mergeCell ref="N15:P15"/>
    <mergeCell ref="I16:I18"/>
    <mergeCell ref="J16:J18"/>
    <mergeCell ref="K16:K18"/>
    <mergeCell ref="L16:L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 Zhu</dc:creator>
  <cp:lastModifiedBy>Kai Zhu</cp:lastModifiedBy>
  <dcterms:created xsi:type="dcterms:W3CDTF">2015-06-05T18:17:20Z</dcterms:created>
  <dcterms:modified xsi:type="dcterms:W3CDTF">2025-06-27T05:29:16Z</dcterms:modified>
</cp:coreProperties>
</file>