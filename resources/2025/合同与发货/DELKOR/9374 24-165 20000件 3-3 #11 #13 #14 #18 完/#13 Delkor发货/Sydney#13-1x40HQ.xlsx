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R:\Accounts\Kai's worksheet\Kai Shipping\Sydney\Sydney#13-TMT\"/>
    </mc:Choice>
  </mc:AlternateContent>
  <xr:revisionPtr revIDLastSave="0" documentId="13_ncr:1_{31B2033A-35B7-4CA3-B422-0F96E0BC94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  <c r="D20" i="1"/>
  <c r="L16" i="1" l="1"/>
  <c r="M15" i="1"/>
  <c r="K15" i="1"/>
  <c r="F15" i="1"/>
  <c r="M14" i="1"/>
  <c r="K14" i="1"/>
  <c r="M13" i="1"/>
  <c r="K13" i="1"/>
  <c r="M12" i="1"/>
  <c r="K12" i="1"/>
  <c r="M11" i="1"/>
  <c r="K11" i="1"/>
  <c r="M10" i="1"/>
  <c r="K10" i="1"/>
  <c r="M9" i="1"/>
  <c r="N9" i="1" s="1"/>
  <c r="K9" i="1"/>
  <c r="O9" i="1" s="1"/>
  <c r="M8" i="1"/>
  <c r="N8" i="1" s="1"/>
  <c r="K8" i="1"/>
  <c r="M7" i="1"/>
  <c r="N7" i="1" s="1"/>
  <c r="K7" i="1"/>
  <c r="M6" i="1"/>
  <c r="K6" i="1"/>
  <c r="M5" i="1"/>
  <c r="K5" i="1"/>
  <c r="F5" i="1"/>
  <c r="M4" i="1"/>
  <c r="K4" i="1"/>
  <c r="F4" i="1"/>
  <c r="M3" i="1"/>
  <c r="K3" i="1"/>
  <c r="F3" i="1"/>
  <c r="O10" i="1" l="1"/>
  <c r="O8" i="1"/>
  <c r="O3" i="1"/>
  <c r="O4" i="1"/>
  <c r="M16" i="1"/>
  <c r="O5" i="1"/>
  <c r="O11" i="1"/>
  <c r="O12" i="1"/>
  <c r="O6" i="1"/>
  <c r="O13" i="1"/>
  <c r="O14" i="1"/>
  <c r="O15" i="1"/>
  <c r="O7" i="1"/>
  <c r="N4" i="1"/>
  <c r="N13" i="1"/>
  <c r="N10" i="1"/>
  <c r="N14" i="1"/>
  <c r="N5" i="1"/>
  <c r="N11" i="1"/>
  <c r="N15" i="1"/>
  <c r="N3" i="1"/>
  <c r="N12" i="1"/>
  <c r="N6" i="1"/>
  <c r="O16" i="1" l="1"/>
  <c r="N16" i="1"/>
</calcChain>
</file>

<file path=xl/sharedStrings.xml><?xml version="1.0" encoding="utf-8"?>
<sst xmlns="http://schemas.openxmlformats.org/spreadsheetml/2006/main" count="80" uniqueCount="50">
  <si>
    <t>40HC</t>
  </si>
  <si>
    <t>PO</t>
  </si>
  <si>
    <t>Supplier</t>
  </si>
  <si>
    <t>Description</t>
  </si>
  <si>
    <t>Qty / Package</t>
  </si>
  <si>
    <t>G.W. Kg</t>
  </si>
  <si>
    <t>Pack Weight</t>
  </si>
  <si>
    <t>N.W. Kg</t>
  </si>
  <si>
    <t>L (m)</t>
  </si>
  <si>
    <t>W (m)</t>
  </si>
  <si>
    <t>H (m)</t>
  </si>
  <si>
    <t>Volume Cbm</t>
  </si>
  <si>
    <t>Est. Qty</t>
  </si>
  <si>
    <t>Est. Packages</t>
  </si>
  <si>
    <t>Est. Weight</t>
  </si>
  <si>
    <t>Est CBM</t>
  </si>
  <si>
    <t>EXW DATE</t>
  </si>
  <si>
    <t>Fosco</t>
  </si>
  <si>
    <t>Sudelan</t>
  </si>
  <si>
    <t>TMT</t>
  </si>
  <si>
    <t>Ss8 GAL  24 DIA X 165. 5.6 Screwspike</t>
  </si>
  <si>
    <t>SsR 24 x 180 Hot Dipped Galvanised Screwspike</t>
  </si>
  <si>
    <t>22 x 150 5.6 Grade</t>
  </si>
  <si>
    <t xml:space="preserve">Serrated Washer Ø26 x 6mm Pitch Sherardising </t>
  </si>
  <si>
    <t>Lynn</t>
  </si>
  <si>
    <t>2440 x 1050 x 5mm HDPE Sheets Black</t>
  </si>
  <si>
    <t>2440 x 1050 x 9mm HDPE Sheets Black</t>
  </si>
  <si>
    <t>2440 x 1050 x 20mm HDPE Sheets Black</t>
  </si>
  <si>
    <t>MSP00780</t>
  </si>
  <si>
    <t>Pad Centre Bearer</t>
  </si>
  <si>
    <t>Pad Side Bearer</t>
  </si>
  <si>
    <t>Traction Pad</t>
  </si>
  <si>
    <t>Lateral Bump Stop</t>
  </si>
  <si>
    <t>MSP00871</t>
  </si>
  <si>
    <t>Air Bellows</t>
  </si>
  <si>
    <t>UGL</t>
  </si>
  <si>
    <t>MSP804R6</t>
  </si>
  <si>
    <t>Air Bellow (MS9007TMT)</t>
  </si>
  <si>
    <t>Downer</t>
  </si>
  <si>
    <t>UX1+ Pad Center x3</t>
  </si>
  <si>
    <t>Ux3</t>
  </si>
  <si>
    <t>sx2+ Serrated x2</t>
  </si>
  <si>
    <t>sx4</t>
  </si>
  <si>
    <t>Lateral x1+ S x3</t>
  </si>
  <si>
    <t>Pad Side x2 + Traction x3</t>
  </si>
  <si>
    <t>Pad Side x4</t>
  </si>
  <si>
    <t>DX3</t>
  </si>
  <si>
    <t>x4</t>
  </si>
  <si>
    <t>The pads must be loaded last to close to the container door</t>
  </si>
  <si>
    <t>Container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</si>
</sst>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2060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4" fontId="1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2" fontId="0" fillId="0" borderId="3" xfId="2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2" fontId="5" fillId="0" borderId="3" xfId="2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6" fillId="0" borderId="3" xfId="2" applyFont="1" applyBorder="1" applyAlignment="1">
      <alignment horizontal="center" vertical="center"/>
    </xf>
    <xf numFmtId="2" fontId="7" fillId="0" borderId="3" xfId="2" applyNumberFormat="1" applyFont="1" applyBorder="1" applyAlignment="1">
      <alignment horizontal="center" vertical="center"/>
    </xf>
    <xf numFmtId="2" fontId="6" fillId="0" borderId="3" xfId="2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0" xfId="0" applyFont="1"/>
    <xf numFmtId="0" fontId="1" fillId="4" borderId="0" xfId="0" applyFont="1" applyFill="1"/>
    <xf numFmtId="0" fontId="3" fillId="4" borderId="0" xfId="0" applyFont="1" applyFill="1" applyAlignment="1">
      <alignment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2" fontId="9" fillId="4" borderId="3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3" xfId="0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2" fontId="0" fillId="5" borderId="3" xfId="2" applyNumberFormat="1" applyFont="1" applyFill="1" applyBorder="1" applyAlignment="1">
      <alignment horizontal="center" vertical="center"/>
    </xf>
    <xf numFmtId="165" fontId="0" fillId="5" borderId="3" xfId="0" applyNumberFormat="1" applyFill="1" applyBorder="1" applyAlignment="1">
      <alignment horizontal="center" vertical="center"/>
    </xf>
    <xf numFmtId="2" fontId="0" fillId="5" borderId="3" xfId="1" applyNumberFormat="1" applyFont="1" applyFill="1" applyBorder="1" applyAlignment="1">
      <alignment horizontal="center" vertical="center"/>
    </xf>
    <xf numFmtId="1" fontId="8" fillId="5" borderId="3" xfId="0" applyNumberFormat="1" applyFont="1" applyFill="1" applyBorder="1" applyAlignment="1">
      <alignment horizontal="center" vertical="center"/>
    </xf>
    <xf numFmtId="2" fontId="1" fillId="5" borderId="3" xfId="0" applyNumberFormat="1" applyFont="1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2" fontId="0" fillId="0" borderId="3" xfId="0" applyNumberFormat="1" applyFill="1" applyBorder="1" applyAlignment="1">
      <alignment horizontal="center" vertical="center"/>
    </xf>
    <xf numFmtId="14" fontId="0" fillId="0" borderId="3" xfId="0" applyNumberFormat="1" applyFill="1" applyBorder="1" applyAlignment="1">
      <alignment horizontal="center" vertical="center"/>
    </xf>
    <xf numFmtId="0" fontId="0" fillId="0" borderId="0" xfId="0" applyFill="1"/>
    <xf numFmtId="0" fontId="10" fillId="5" borderId="0" xfId="0" applyFont="1" applyFill="1" applyAlignment="1">
      <alignment horizontal="center" vertical="center" wrapText="1"/>
    </xf>
  </cellXfs>
  <cellStyles count="3">
    <cellStyle name="Good" xfId="1" builtinId="26"/>
    <cellStyle name="Normal" xfId="0" builtinId="0"/>
    <cellStyle name="Normal 3 2" xfId="2" xr:uid="{219239AA-EC62-4175-9DFF-0F1B2438B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topLeftCell="C1" workbookViewId="0">
      <selection activeCell="Q7" sqref="Q7:S9"/>
    </sheetView>
  </sheetViews>
  <sheetFormatPr defaultRowHeight="14.4" x14ac:dyDescent="0.3"/>
  <cols>
    <col min="3" max="3" width="53.33203125" bestFit="1" customWidth="1"/>
    <col min="16" max="16" width="10.5546875" bestFit="1" customWidth="1"/>
  </cols>
  <sheetData>
    <row r="1" spans="1:19" x14ac:dyDescent="0.3">
      <c r="A1" s="1" t="s">
        <v>0</v>
      </c>
      <c r="B1" s="1"/>
      <c r="C1" s="2">
        <v>45812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9" ht="41.4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</row>
    <row r="3" spans="1:19" x14ac:dyDescent="0.3">
      <c r="A3" s="12">
        <v>9374</v>
      </c>
      <c r="B3" s="1" t="s">
        <v>18</v>
      </c>
      <c r="C3" s="11" t="s">
        <v>20</v>
      </c>
      <c r="D3" s="13">
        <v>1000</v>
      </c>
      <c r="E3" s="10">
        <v>690</v>
      </c>
      <c r="F3" s="10">
        <f>E3-G3</f>
        <v>40</v>
      </c>
      <c r="G3" s="10">
        <v>650</v>
      </c>
      <c r="H3" s="10">
        <v>1.1000000000000001</v>
      </c>
      <c r="I3" s="10">
        <v>0.8</v>
      </c>
      <c r="J3" s="10">
        <v>0.55000000000000004</v>
      </c>
      <c r="K3" s="7">
        <f t="shared" ref="K3:K6" si="0">H3*I3*J3</f>
        <v>0.4840000000000001</v>
      </c>
      <c r="L3" s="8">
        <v>5000</v>
      </c>
      <c r="M3" s="14">
        <f t="shared" ref="M3:M6" si="1">L3/D3</f>
        <v>5</v>
      </c>
      <c r="N3" s="14">
        <f t="shared" ref="N3:N6" si="2">M3*E3</f>
        <v>3450</v>
      </c>
      <c r="O3" s="14">
        <f t="shared" ref="O3:O4" si="3">M3*K3</f>
        <v>2.4200000000000004</v>
      </c>
      <c r="P3" s="2">
        <v>45761</v>
      </c>
    </row>
    <row r="4" spans="1:19" x14ac:dyDescent="0.3">
      <c r="A4" s="12">
        <v>9375</v>
      </c>
      <c r="B4" s="1" t="s">
        <v>18</v>
      </c>
      <c r="C4" s="11" t="s">
        <v>21</v>
      </c>
      <c r="D4" s="13">
        <v>800</v>
      </c>
      <c r="E4" s="10">
        <v>690</v>
      </c>
      <c r="F4" s="10">
        <f>E4-G4</f>
        <v>40</v>
      </c>
      <c r="G4" s="10">
        <v>650</v>
      </c>
      <c r="H4" s="10">
        <v>1.1000000000000001</v>
      </c>
      <c r="I4" s="10">
        <v>0.8</v>
      </c>
      <c r="J4" s="10">
        <v>0.55000000000000004</v>
      </c>
      <c r="K4" s="7">
        <f t="shared" si="0"/>
        <v>0.4840000000000001</v>
      </c>
      <c r="L4" s="8">
        <v>2400</v>
      </c>
      <c r="M4" s="14">
        <f t="shared" si="1"/>
        <v>3</v>
      </c>
      <c r="N4" s="14">
        <f t="shared" si="2"/>
        <v>2070</v>
      </c>
      <c r="O4" s="14">
        <f t="shared" si="3"/>
        <v>1.4520000000000004</v>
      </c>
      <c r="P4" s="2">
        <v>45761</v>
      </c>
    </row>
    <row r="5" spans="1:19" s="22" customFormat="1" ht="15.6" x14ac:dyDescent="0.3">
      <c r="A5" s="15">
        <v>9387</v>
      </c>
      <c r="B5" s="16" t="s">
        <v>18</v>
      </c>
      <c r="C5" s="17" t="s">
        <v>22</v>
      </c>
      <c r="D5" s="18">
        <v>1000</v>
      </c>
      <c r="E5" s="19">
        <v>610</v>
      </c>
      <c r="F5" s="19">
        <f>E5-G5</f>
        <v>40</v>
      </c>
      <c r="G5" s="19">
        <v>570</v>
      </c>
      <c r="H5" s="19">
        <v>1.1000000000000001</v>
      </c>
      <c r="I5" s="19">
        <v>0.8</v>
      </c>
      <c r="J5" s="19">
        <v>0.55000000000000004</v>
      </c>
      <c r="K5" s="20">
        <f t="shared" si="0"/>
        <v>0.4840000000000001</v>
      </c>
      <c r="L5" s="16">
        <v>1000</v>
      </c>
      <c r="M5" s="16">
        <f t="shared" si="1"/>
        <v>1</v>
      </c>
      <c r="N5" s="20">
        <f t="shared" si="2"/>
        <v>610</v>
      </c>
      <c r="O5" s="16">
        <f>M5*K5</f>
        <v>0.4840000000000001</v>
      </c>
      <c r="P5" s="21">
        <v>45779</v>
      </c>
    </row>
    <row r="6" spans="1:19" x14ac:dyDescent="0.3">
      <c r="A6" s="6">
        <v>9395</v>
      </c>
      <c r="B6" s="8" t="s">
        <v>17</v>
      </c>
      <c r="C6" s="8" t="s">
        <v>23</v>
      </c>
      <c r="D6" s="13">
        <v>5000</v>
      </c>
      <c r="E6" s="10">
        <v>500</v>
      </c>
      <c r="F6" s="10">
        <v>40</v>
      </c>
      <c r="G6" s="10">
        <v>460</v>
      </c>
      <c r="H6" s="10">
        <v>1.1200000000000001</v>
      </c>
      <c r="I6" s="10">
        <v>1</v>
      </c>
      <c r="J6" s="10">
        <v>0.75</v>
      </c>
      <c r="K6" s="7">
        <f t="shared" si="0"/>
        <v>0.84000000000000008</v>
      </c>
      <c r="L6" s="8">
        <v>10000</v>
      </c>
      <c r="M6" s="7">
        <f t="shared" si="1"/>
        <v>2</v>
      </c>
      <c r="N6" s="7">
        <f t="shared" si="2"/>
        <v>1000</v>
      </c>
      <c r="O6" s="7">
        <f>M6*K6</f>
        <v>1.6800000000000002</v>
      </c>
      <c r="P6" s="9">
        <v>45807</v>
      </c>
    </row>
    <row r="7" spans="1:19" ht="14.4" customHeight="1" x14ac:dyDescent="0.3">
      <c r="A7" s="6">
        <v>9417</v>
      </c>
      <c r="B7" s="8" t="s">
        <v>24</v>
      </c>
      <c r="C7" s="40" t="s">
        <v>25</v>
      </c>
      <c r="D7" s="41">
        <v>72</v>
      </c>
      <c r="E7" s="41">
        <v>940</v>
      </c>
      <c r="F7" s="42">
        <v>40</v>
      </c>
      <c r="G7" s="41">
        <v>900</v>
      </c>
      <c r="H7" s="41">
        <v>2.5</v>
      </c>
      <c r="I7" s="41">
        <v>1.1000000000000001</v>
      </c>
      <c r="J7" s="43">
        <v>0.52600000000000002</v>
      </c>
      <c r="K7" s="44">
        <f t="shared" ref="K7:K13" si="4">H7*I7*J7</f>
        <v>1.4465000000000001</v>
      </c>
      <c r="L7" s="45">
        <v>144</v>
      </c>
      <c r="M7" s="46">
        <f t="shared" ref="M7:M13" si="5">L7/D7</f>
        <v>2</v>
      </c>
      <c r="N7" s="46">
        <f t="shared" ref="N7:N13" si="6">M7*E7</f>
        <v>1880</v>
      </c>
      <c r="O7" s="46">
        <f t="shared" ref="O7:O9" si="7">K7*M7</f>
        <v>2.8930000000000002</v>
      </c>
      <c r="P7" s="47">
        <v>45812</v>
      </c>
      <c r="Q7" s="54" t="s">
        <v>48</v>
      </c>
      <c r="R7" s="54"/>
      <c r="S7" s="54"/>
    </row>
    <row r="8" spans="1:19" x14ac:dyDescent="0.3">
      <c r="A8" s="6">
        <v>9417</v>
      </c>
      <c r="B8" s="8" t="s">
        <v>24</v>
      </c>
      <c r="C8" s="40" t="s">
        <v>26</v>
      </c>
      <c r="D8" s="41">
        <v>40</v>
      </c>
      <c r="E8" s="41">
        <v>940</v>
      </c>
      <c r="F8" s="42">
        <v>40</v>
      </c>
      <c r="G8" s="41">
        <v>900</v>
      </c>
      <c r="H8" s="41">
        <v>2.5</v>
      </c>
      <c r="I8" s="41">
        <v>1.1000000000000001</v>
      </c>
      <c r="J8" s="43">
        <v>0.52600000000000002</v>
      </c>
      <c r="K8" s="44">
        <f t="shared" si="4"/>
        <v>1.4465000000000001</v>
      </c>
      <c r="L8" s="45">
        <v>80</v>
      </c>
      <c r="M8" s="46">
        <f t="shared" si="5"/>
        <v>2</v>
      </c>
      <c r="N8" s="46">
        <f t="shared" si="6"/>
        <v>1880</v>
      </c>
      <c r="O8" s="46">
        <f t="shared" si="7"/>
        <v>2.8930000000000002</v>
      </c>
      <c r="P8" s="47">
        <v>45812</v>
      </c>
      <c r="Q8" s="54"/>
      <c r="R8" s="54"/>
      <c r="S8" s="54"/>
    </row>
    <row r="9" spans="1:19" x14ac:dyDescent="0.3">
      <c r="A9" s="6">
        <v>9417</v>
      </c>
      <c r="B9" s="8" t="s">
        <v>24</v>
      </c>
      <c r="C9" s="40" t="s">
        <v>27</v>
      </c>
      <c r="D9" s="41">
        <v>18</v>
      </c>
      <c r="E9" s="41">
        <v>940</v>
      </c>
      <c r="F9" s="42">
        <v>40</v>
      </c>
      <c r="G9" s="41">
        <v>900</v>
      </c>
      <c r="H9" s="41">
        <v>2.5</v>
      </c>
      <c r="I9" s="41">
        <v>1.1000000000000001</v>
      </c>
      <c r="J9" s="43">
        <v>0.52600000000000002</v>
      </c>
      <c r="K9" s="44">
        <f t="shared" si="4"/>
        <v>1.4465000000000001</v>
      </c>
      <c r="L9" s="45">
        <v>72</v>
      </c>
      <c r="M9" s="46">
        <f t="shared" si="5"/>
        <v>4</v>
      </c>
      <c r="N9" s="46">
        <f t="shared" si="6"/>
        <v>3760</v>
      </c>
      <c r="O9" s="46">
        <f t="shared" si="7"/>
        <v>5.7860000000000005</v>
      </c>
      <c r="P9" s="47">
        <v>45812</v>
      </c>
      <c r="Q9" s="54"/>
      <c r="R9" s="54"/>
      <c r="S9" s="54"/>
    </row>
    <row r="10" spans="1:19" s="53" customFormat="1" x14ac:dyDescent="0.3">
      <c r="A10" s="48" t="s">
        <v>28</v>
      </c>
      <c r="B10" s="49" t="s">
        <v>19</v>
      </c>
      <c r="C10" s="50" t="s">
        <v>29</v>
      </c>
      <c r="D10" s="50">
        <v>8</v>
      </c>
      <c r="E10" s="50">
        <v>295</v>
      </c>
      <c r="F10" s="50">
        <v>47</v>
      </c>
      <c r="G10" s="50">
        <v>248</v>
      </c>
      <c r="H10" s="50">
        <v>1.06</v>
      </c>
      <c r="I10" s="50">
        <v>0.64</v>
      </c>
      <c r="J10" s="50">
        <v>0.47</v>
      </c>
      <c r="K10" s="51">
        <f t="shared" si="4"/>
        <v>0.31884799999999996</v>
      </c>
      <c r="L10" s="50">
        <v>20</v>
      </c>
      <c r="M10" s="51">
        <f t="shared" si="5"/>
        <v>2.5</v>
      </c>
      <c r="N10" s="51">
        <f t="shared" si="6"/>
        <v>737.5</v>
      </c>
      <c r="O10" s="51">
        <f t="shared" ref="O10:O13" si="8">M10*K10</f>
        <v>0.79711999999999994</v>
      </c>
      <c r="P10" s="52">
        <v>45768</v>
      </c>
    </row>
    <row r="11" spans="1:19" s="53" customFormat="1" x14ac:dyDescent="0.3">
      <c r="A11" s="48" t="s">
        <v>28</v>
      </c>
      <c r="B11" s="49" t="s">
        <v>19</v>
      </c>
      <c r="C11" s="50" t="s">
        <v>30</v>
      </c>
      <c r="D11" s="50">
        <v>4</v>
      </c>
      <c r="E11" s="50">
        <v>235</v>
      </c>
      <c r="F11" s="50">
        <v>46</v>
      </c>
      <c r="G11" s="50">
        <v>189</v>
      </c>
      <c r="H11" s="50">
        <v>0.81</v>
      </c>
      <c r="I11" s="50">
        <v>0.73</v>
      </c>
      <c r="J11" s="50">
        <v>0.56999999999999995</v>
      </c>
      <c r="K11" s="51">
        <f t="shared" si="4"/>
        <v>0.33704099999999998</v>
      </c>
      <c r="L11" s="50">
        <v>40</v>
      </c>
      <c r="M11" s="51">
        <f t="shared" si="5"/>
        <v>10</v>
      </c>
      <c r="N11" s="51">
        <f t="shared" si="6"/>
        <v>2350</v>
      </c>
      <c r="O11" s="51">
        <f t="shared" si="8"/>
        <v>3.3704099999999997</v>
      </c>
      <c r="P11" s="52">
        <v>45768</v>
      </c>
    </row>
    <row r="12" spans="1:19" s="53" customFormat="1" x14ac:dyDescent="0.3">
      <c r="A12" s="48" t="s">
        <v>28</v>
      </c>
      <c r="B12" s="49" t="s">
        <v>19</v>
      </c>
      <c r="C12" s="50" t="s">
        <v>31</v>
      </c>
      <c r="D12" s="50">
        <v>16</v>
      </c>
      <c r="E12" s="50">
        <v>334</v>
      </c>
      <c r="F12" s="50">
        <v>30</v>
      </c>
      <c r="G12" s="50">
        <v>304</v>
      </c>
      <c r="H12" s="50">
        <v>0.86</v>
      </c>
      <c r="I12" s="50">
        <v>0.72</v>
      </c>
      <c r="J12" s="50">
        <v>0.45</v>
      </c>
      <c r="K12" s="51">
        <f t="shared" si="4"/>
        <v>0.27864</v>
      </c>
      <c r="L12" s="50">
        <v>40</v>
      </c>
      <c r="M12" s="51">
        <f t="shared" si="5"/>
        <v>2.5</v>
      </c>
      <c r="N12" s="51">
        <f t="shared" si="6"/>
        <v>835</v>
      </c>
      <c r="O12" s="51">
        <f t="shared" si="8"/>
        <v>0.6966</v>
      </c>
      <c r="P12" s="52">
        <v>45768</v>
      </c>
    </row>
    <row r="13" spans="1:19" s="53" customFormat="1" x14ac:dyDescent="0.3">
      <c r="A13" s="48" t="s">
        <v>28</v>
      </c>
      <c r="B13" s="49" t="s">
        <v>19</v>
      </c>
      <c r="C13" s="50" t="s">
        <v>32</v>
      </c>
      <c r="D13" s="50">
        <v>48</v>
      </c>
      <c r="E13" s="50">
        <v>68</v>
      </c>
      <c r="F13" s="50">
        <v>20</v>
      </c>
      <c r="G13" s="50">
        <v>48</v>
      </c>
      <c r="H13" s="50">
        <v>0.82</v>
      </c>
      <c r="I13" s="50">
        <v>0.65</v>
      </c>
      <c r="J13" s="50">
        <v>0.28000000000000003</v>
      </c>
      <c r="K13" s="51">
        <f t="shared" si="4"/>
        <v>0.14924000000000001</v>
      </c>
      <c r="L13" s="50">
        <v>40</v>
      </c>
      <c r="M13" s="51">
        <f t="shared" si="5"/>
        <v>0.83333333333333337</v>
      </c>
      <c r="N13" s="51">
        <f t="shared" si="6"/>
        <v>56.666666666666671</v>
      </c>
      <c r="O13" s="51">
        <f t="shared" si="8"/>
        <v>0.12436666666666668</v>
      </c>
      <c r="P13" s="52">
        <v>45768</v>
      </c>
    </row>
    <row r="14" spans="1:19" s="28" customFormat="1" x14ac:dyDescent="0.3">
      <c r="A14" s="23" t="s">
        <v>33</v>
      </c>
      <c r="B14" s="24" t="s">
        <v>19</v>
      </c>
      <c r="C14" s="25" t="s">
        <v>34</v>
      </c>
      <c r="D14" s="26">
        <v>4</v>
      </c>
      <c r="E14" s="26">
        <v>80</v>
      </c>
      <c r="F14" s="26">
        <v>52</v>
      </c>
      <c r="G14" s="26">
        <v>28</v>
      </c>
      <c r="H14" s="26">
        <v>1.1499999999999999</v>
      </c>
      <c r="I14" s="26">
        <v>0.63</v>
      </c>
      <c r="J14" s="26">
        <v>0.74</v>
      </c>
      <c r="K14" s="27">
        <f>H14*I14*J14</f>
        <v>0.53612999999999988</v>
      </c>
      <c r="L14" s="26">
        <v>160</v>
      </c>
      <c r="M14" s="26">
        <f>L14/D14</f>
        <v>40</v>
      </c>
      <c r="N14" s="26">
        <f>M14*E14</f>
        <v>3200</v>
      </c>
      <c r="O14" s="27">
        <f>M14*K14</f>
        <v>21.445199999999996</v>
      </c>
      <c r="P14" s="28" t="s">
        <v>35</v>
      </c>
    </row>
    <row r="15" spans="1:19" s="28" customFormat="1" x14ac:dyDescent="0.3">
      <c r="A15" s="23" t="s">
        <v>36</v>
      </c>
      <c r="B15" s="24" t="s">
        <v>19</v>
      </c>
      <c r="C15" s="25" t="s">
        <v>37</v>
      </c>
      <c r="D15" s="26">
        <v>4</v>
      </c>
      <c r="E15" s="26">
        <v>109</v>
      </c>
      <c r="F15" s="26">
        <f t="shared" ref="F15" si="9">E15-G15</f>
        <v>49.5</v>
      </c>
      <c r="G15" s="26">
        <v>59.5</v>
      </c>
      <c r="H15" s="26">
        <v>0.88</v>
      </c>
      <c r="I15" s="26">
        <v>0.88</v>
      </c>
      <c r="J15" s="26">
        <v>0.83</v>
      </c>
      <c r="K15" s="27">
        <f t="shared" ref="K15" si="10">H15*I15*J15</f>
        <v>0.64275199999999999</v>
      </c>
      <c r="L15" s="26">
        <v>60</v>
      </c>
      <c r="M15" s="26">
        <f>L15/D15</f>
        <v>15</v>
      </c>
      <c r="N15" s="26">
        <f>M15*E15</f>
        <v>1635</v>
      </c>
      <c r="O15" s="27">
        <f>M15*K15</f>
        <v>9.6412800000000001</v>
      </c>
      <c r="P15" s="28" t="s">
        <v>38</v>
      </c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>
        <f>SUM(L3:L15)</f>
        <v>19056</v>
      </c>
      <c r="M16" s="1">
        <f>SUM(M3:M15)</f>
        <v>89.833333333333343</v>
      </c>
      <c r="N16" s="1">
        <f>SUM(N3:N15)</f>
        <v>23464.166666666668</v>
      </c>
      <c r="O16" s="1">
        <f>SUM(O3:O15)</f>
        <v>53.682976666666669</v>
      </c>
      <c r="P16" s="1"/>
    </row>
    <row r="17" spans="1:22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22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2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22" ht="13.8" customHeight="1" x14ac:dyDescent="0.3">
      <c r="D20" s="29">
        <f>SUM(D21:U21)</f>
        <v>11.33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spans="1:22" ht="13.8" customHeight="1" x14ac:dyDescent="0.3">
      <c r="E21">
        <v>0.64</v>
      </c>
      <c r="F21">
        <v>0.63</v>
      </c>
      <c r="G21">
        <v>0.63</v>
      </c>
      <c r="H21">
        <v>0.63</v>
      </c>
      <c r="I21">
        <v>0.63</v>
      </c>
      <c r="J21">
        <v>0.63</v>
      </c>
      <c r="K21">
        <v>0.63</v>
      </c>
      <c r="L21">
        <v>0.63</v>
      </c>
      <c r="M21">
        <v>0.63</v>
      </c>
      <c r="N21">
        <v>0.63</v>
      </c>
      <c r="O21">
        <v>0.63</v>
      </c>
      <c r="P21">
        <v>0.63</v>
      </c>
      <c r="Q21">
        <v>0.63</v>
      </c>
      <c r="R21">
        <v>0.63</v>
      </c>
      <c r="S21" s="29">
        <v>2.5</v>
      </c>
      <c r="T21" s="29"/>
      <c r="U21" s="29"/>
    </row>
    <row r="22" spans="1:22" ht="13.8" customHeight="1" x14ac:dyDescent="0.3">
      <c r="D22" s="30"/>
      <c r="E22" s="31" t="s">
        <v>39</v>
      </c>
      <c r="F22" s="33" t="s">
        <v>40</v>
      </c>
      <c r="G22" s="33" t="s">
        <v>40</v>
      </c>
      <c r="H22" s="33" t="s">
        <v>40</v>
      </c>
      <c r="I22" s="33" t="s">
        <v>40</v>
      </c>
      <c r="J22" s="33" t="s">
        <v>40</v>
      </c>
      <c r="K22" s="33" t="s">
        <v>40</v>
      </c>
      <c r="L22" s="33" t="s">
        <v>40</v>
      </c>
      <c r="M22" s="33" t="s">
        <v>40</v>
      </c>
      <c r="N22" s="33" t="s">
        <v>40</v>
      </c>
      <c r="O22" s="33" t="s">
        <v>40</v>
      </c>
      <c r="P22" s="33" t="s">
        <v>40</v>
      </c>
      <c r="Q22" s="33" t="s">
        <v>40</v>
      </c>
      <c r="R22" s="33" t="s">
        <v>40</v>
      </c>
      <c r="S22" s="39" t="s">
        <v>47</v>
      </c>
      <c r="T22" s="39"/>
      <c r="U22" s="39"/>
      <c r="V22" s="37" t="s">
        <v>49</v>
      </c>
    </row>
    <row r="23" spans="1:22" ht="13.8" customHeight="1" x14ac:dyDescent="0.3">
      <c r="D23" s="29"/>
      <c r="E23" s="3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9"/>
      <c r="T23" s="39"/>
      <c r="U23" s="39"/>
      <c r="V23" s="37"/>
    </row>
    <row r="24" spans="1:22" ht="13.8" customHeight="1" x14ac:dyDescent="0.3">
      <c r="D24" s="29"/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9"/>
      <c r="T24" s="39"/>
      <c r="U24" s="39"/>
      <c r="V24" s="37"/>
    </row>
    <row r="25" spans="1:22" ht="13.8" customHeight="1" x14ac:dyDescent="0.3">
      <c r="D25" s="29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9"/>
      <c r="T25" s="39"/>
      <c r="U25" s="39"/>
      <c r="V25" s="37"/>
    </row>
    <row r="26" spans="1:22" ht="13.8" customHeight="1" x14ac:dyDescent="0.3">
      <c r="E26" s="30"/>
      <c r="F26" s="30"/>
      <c r="G26" s="30"/>
      <c r="H26" s="34" t="s">
        <v>41</v>
      </c>
      <c r="I26" s="30" t="s">
        <v>42</v>
      </c>
      <c r="J26" s="34" t="s">
        <v>43</v>
      </c>
      <c r="K26" s="36" t="s">
        <v>44</v>
      </c>
      <c r="L26" s="36" t="s">
        <v>45</v>
      </c>
      <c r="M26" s="36" t="s">
        <v>45</v>
      </c>
      <c r="N26" s="38" t="s">
        <v>46</v>
      </c>
      <c r="O26" s="38" t="s">
        <v>46</v>
      </c>
      <c r="P26" s="38" t="s">
        <v>46</v>
      </c>
      <c r="Q26" s="38" t="s">
        <v>46</v>
      </c>
      <c r="R26" s="38" t="s">
        <v>46</v>
      </c>
      <c r="S26" s="39" t="s">
        <v>47</v>
      </c>
      <c r="T26" s="39"/>
      <c r="U26" s="39"/>
      <c r="V26" s="37"/>
    </row>
    <row r="27" spans="1:22" ht="13.8" customHeight="1" x14ac:dyDescent="0.3">
      <c r="E27" s="29"/>
      <c r="F27" s="29"/>
      <c r="G27" s="29"/>
      <c r="H27" s="35"/>
      <c r="I27" s="29"/>
      <c r="J27" s="35"/>
      <c r="K27" s="37"/>
      <c r="L27" s="37"/>
      <c r="M27" s="37"/>
      <c r="N27" s="33"/>
      <c r="O27" s="33"/>
      <c r="P27" s="33"/>
      <c r="Q27" s="33"/>
      <c r="R27" s="33"/>
      <c r="S27" s="39"/>
      <c r="T27" s="39"/>
      <c r="U27" s="39"/>
      <c r="V27" s="37"/>
    </row>
    <row r="28" spans="1:22" ht="13.8" customHeight="1" x14ac:dyDescent="0.3">
      <c r="E28" s="29"/>
      <c r="F28" s="29"/>
      <c r="G28" s="29"/>
      <c r="H28" s="35"/>
      <c r="I28" s="29"/>
      <c r="J28" s="35"/>
      <c r="K28" s="37"/>
      <c r="L28" s="37"/>
      <c r="M28" s="37"/>
      <c r="N28" s="33"/>
      <c r="O28" s="33"/>
      <c r="P28" s="33"/>
      <c r="Q28" s="33"/>
      <c r="R28" s="33"/>
      <c r="S28" s="39"/>
      <c r="T28" s="39"/>
      <c r="U28" s="39"/>
      <c r="V28" s="37"/>
    </row>
    <row r="29" spans="1:22" ht="13.8" customHeight="1" x14ac:dyDescent="0.3">
      <c r="E29" s="29"/>
      <c r="F29" s="29"/>
      <c r="G29" s="29"/>
      <c r="H29" s="35"/>
      <c r="I29" s="29"/>
      <c r="J29" s="35"/>
      <c r="K29" s="37"/>
      <c r="L29" s="37"/>
      <c r="M29" s="37"/>
      <c r="N29" s="33"/>
      <c r="O29" s="33"/>
      <c r="P29" s="33"/>
      <c r="Q29" s="33"/>
      <c r="R29" s="33"/>
      <c r="S29" s="39"/>
      <c r="T29" s="39"/>
      <c r="U29" s="39"/>
      <c r="V29" s="37"/>
    </row>
    <row r="30" spans="1:22" ht="13.8" customHeight="1" x14ac:dyDescent="0.3">
      <c r="H30">
        <v>0.8</v>
      </c>
      <c r="I30">
        <v>0.8</v>
      </c>
      <c r="J30">
        <v>0.9</v>
      </c>
      <c r="K30">
        <v>0.73</v>
      </c>
      <c r="L30">
        <v>0.73</v>
      </c>
      <c r="M30">
        <v>0.73</v>
      </c>
      <c r="N30">
        <v>0.88</v>
      </c>
      <c r="O30">
        <v>0.88</v>
      </c>
      <c r="P30">
        <v>0.88</v>
      </c>
      <c r="Q30">
        <v>0.88</v>
      </c>
      <c r="R30">
        <v>0.88</v>
      </c>
      <c r="S30" s="29">
        <v>2.5</v>
      </c>
      <c r="T30" s="29"/>
      <c r="U30" s="29"/>
    </row>
    <row r="31" spans="1:22" x14ac:dyDescent="0.3">
      <c r="E31" s="29">
        <f>SUM(D30:U30)</f>
        <v>11.59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</sheetData>
  <mergeCells count="37">
    <mergeCell ref="S30:U30"/>
    <mergeCell ref="E31:U31"/>
    <mergeCell ref="Q7:S9"/>
    <mergeCell ref="V22:V29"/>
    <mergeCell ref="Q22:Q25"/>
    <mergeCell ref="R22:R25"/>
    <mergeCell ref="S22:U25"/>
    <mergeCell ref="Q26:Q29"/>
    <mergeCell ref="R26:R29"/>
    <mergeCell ref="S26:U29"/>
    <mergeCell ref="M26:M29"/>
    <mergeCell ref="N26:N29"/>
    <mergeCell ref="O26:O29"/>
    <mergeCell ref="P26:P29"/>
    <mergeCell ref="J26:J29"/>
    <mergeCell ref="K26:K29"/>
    <mergeCell ref="L26:L29"/>
    <mergeCell ref="L22:L25"/>
    <mergeCell ref="M22:M25"/>
    <mergeCell ref="E26:E29"/>
    <mergeCell ref="F26:F29"/>
    <mergeCell ref="G26:G29"/>
    <mergeCell ref="H26:H29"/>
    <mergeCell ref="I26:I29"/>
    <mergeCell ref="D22:D25"/>
    <mergeCell ref="E22:E25"/>
    <mergeCell ref="F22:F25"/>
    <mergeCell ref="G22:G25"/>
    <mergeCell ref="H22:H25"/>
    <mergeCell ref="I22:I25"/>
    <mergeCell ref="J22:J25"/>
    <mergeCell ref="K22:K25"/>
    <mergeCell ref="N22:N25"/>
    <mergeCell ref="O22:O25"/>
    <mergeCell ref="P22:P25"/>
    <mergeCell ref="D20:U20"/>
    <mergeCell ref="S21:U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Kai Zhu</cp:lastModifiedBy>
  <dcterms:created xsi:type="dcterms:W3CDTF">2015-06-05T18:17:20Z</dcterms:created>
  <dcterms:modified xsi:type="dcterms:W3CDTF">2025-06-02T05:43:43Z</dcterms:modified>
</cp:coreProperties>
</file>