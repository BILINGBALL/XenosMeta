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#13 Delkor发货\"/>
    </mc:Choice>
  </mc:AlternateContent>
  <xr:revisionPtr revIDLastSave="0" documentId="13_ncr:1_{23CCC6A2-3101-41CF-A840-BEBFF9F667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O6" i="1"/>
  <c r="M6" i="1"/>
  <c r="J6" i="1"/>
  <c r="H6" i="1"/>
  <c r="F6" i="1" s="1"/>
  <c r="Q5" i="1"/>
  <c r="O5" i="1"/>
  <c r="M5" i="1"/>
  <c r="P5" i="1" s="1"/>
  <c r="J5" i="1"/>
  <c r="H5" i="1"/>
  <c r="F5" i="1" s="1"/>
  <c r="Q4" i="1"/>
  <c r="O4" i="1"/>
  <c r="M4" i="1"/>
  <c r="P4" i="1" s="1"/>
  <c r="J4" i="1"/>
  <c r="H4" i="1"/>
  <c r="F4" i="1" s="1"/>
  <c r="K7" i="1" l="1"/>
  <c r="F7" i="1" l="1"/>
  <c r="Q7" i="1"/>
  <c r="P7" i="1"/>
  <c r="O7" i="1"/>
  <c r="H7" i="1"/>
</calcChain>
</file>

<file path=xl/sharedStrings.xml><?xml version="1.0" encoding="utf-8"?>
<sst xmlns="http://schemas.openxmlformats.org/spreadsheetml/2006/main" count="34" uniqueCount="30">
  <si>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</si>
  <si>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</si>
  <si>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</si>
  <si>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</si>
  <si>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</si>
  <si>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</si>
  <si>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</si>
  <si>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</si>
  <si>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</si>
  <si>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</si>
  <si>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</si>
  <si>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</si>
  <si>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</si>
  <si>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</si>
  <si>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</si>
  <si>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</si>
  <si>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</si>
  <si>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</si>
  <si>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</si>
  <si>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</si>
  <si>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</si>
  <si>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</si>
  <si>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</si>
  <si>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</si>
  <si>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</si>
  <si>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24x180</t>
  </si>
  <si>
    <t>22x150</t>
    <phoneticPr fontId="9" type="noConversion"/>
  </si>
  <si>
    <t>1/9-5/9</t>
    <phoneticPr fontId="9" type="noConversion"/>
  </si>
  <si>
    <t>6/9-8/9</t>
    <phoneticPr fontId="9" type="noConversion"/>
  </si>
  <si>
    <t>9/9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</si>
</sst>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5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topLeftCell="A3" workbookViewId="0">
      <selection activeCell="E9" sqref="E9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0.62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9" ht="30.75" customHeight="1" x14ac:dyDescent="0.15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43.5" customHeight="1" x14ac:dyDescent="0.15">
      <c r="A4" s="15">
        <v>1</v>
      </c>
      <c r="B4" s="4" t="s">
        <v>17</v>
      </c>
      <c r="C4" s="16" t="s">
        <v>23</v>
      </c>
      <c r="D4" s="17">
        <v>9374</v>
      </c>
      <c r="E4" s="18" t="s">
        <v>27</v>
      </c>
      <c r="F4" s="2">
        <f t="shared" ref="F4:F5" si="0">G4*H4</f>
        <v>5000</v>
      </c>
      <c r="G4" s="15">
        <v>25</v>
      </c>
      <c r="H4" s="15">
        <f t="shared" ref="H4:H6" si="1">I4*K4</f>
        <v>200</v>
      </c>
      <c r="I4" s="15">
        <v>40</v>
      </c>
      <c r="J4" s="15">
        <f t="shared" ref="J4:J5" si="2">G4*I4</f>
        <v>1000</v>
      </c>
      <c r="K4" s="15">
        <v>5</v>
      </c>
      <c r="L4" s="15">
        <v>600</v>
      </c>
      <c r="M4" s="15">
        <f t="shared" ref="M4:M6" si="3">L4+42</f>
        <v>642</v>
      </c>
      <c r="N4" s="8" t="s">
        <v>24</v>
      </c>
      <c r="O4" s="15">
        <f t="shared" ref="O4:O6" si="4">L4*K4</f>
        <v>3000</v>
      </c>
      <c r="P4" s="15">
        <f t="shared" ref="P4:P6" si="5">M4*K4</f>
        <v>3210</v>
      </c>
      <c r="Q4" s="18">
        <f t="shared" ref="Q4:Q5" si="6">0.48*K4</f>
        <v>2.4</v>
      </c>
      <c r="R4" s="12"/>
      <c r="S4" s="12"/>
    </row>
    <row r="5" spans="1:19" ht="43.5" customHeight="1" x14ac:dyDescent="0.15">
      <c r="A5" s="15">
        <v>2</v>
      </c>
      <c r="B5" s="4" t="s">
        <v>17</v>
      </c>
      <c r="C5" s="16" t="s">
        <v>25</v>
      </c>
      <c r="D5" s="19">
        <v>9375</v>
      </c>
      <c r="E5" s="18" t="s">
        <v>28</v>
      </c>
      <c r="F5" s="2">
        <f>G5*H5</f>
        <v>2400</v>
      </c>
      <c r="G5" s="2">
        <v>25</v>
      </c>
      <c r="H5" s="15">
        <f t="shared" si="1"/>
        <v>96</v>
      </c>
      <c r="I5" s="2">
        <v>32</v>
      </c>
      <c r="J5" s="2">
        <f>G5*I5</f>
        <v>800</v>
      </c>
      <c r="K5" s="2">
        <v>3</v>
      </c>
      <c r="L5" s="2">
        <v>645</v>
      </c>
      <c r="M5" s="15">
        <f t="shared" si="3"/>
        <v>687</v>
      </c>
      <c r="N5" s="8" t="s">
        <v>24</v>
      </c>
      <c r="O5" s="15">
        <f t="shared" si="4"/>
        <v>1935</v>
      </c>
      <c r="P5" s="15">
        <f t="shared" si="5"/>
        <v>2061</v>
      </c>
      <c r="Q5" s="18">
        <f t="shared" si="6"/>
        <v>1.44</v>
      </c>
    </row>
    <row r="6" spans="1:19" ht="43.5" customHeight="1" x14ac:dyDescent="0.15">
      <c r="A6" s="15">
        <v>3</v>
      </c>
      <c r="B6" s="4" t="s">
        <v>17</v>
      </c>
      <c r="C6" s="16" t="s">
        <v>26</v>
      </c>
      <c r="D6" s="17">
        <v>9387</v>
      </c>
      <c r="E6" s="24" t="s">
        <v>29</v>
      </c>
      <c r="F6" s="2">
        <f t="shared" ref="F6" si="7">G6*H6</f>
        <v>1000</v>
      </c>
      <c r="G6" s="15">
        <v>25</v>
      </c>
      <c r="H6" s="15">
        <f t="shared" si="1"/>
        <v>40</v>
      </c>
      <c r="I6" s="15">
        <v>40</v>
      </c>
      <c r="J6" s="15">
        <f t="shared" ref="J6" si="8">G6*I6</f>
        <v>1000</v>
      </c>
      <c r="K6" s="15">
        <v>1</v>
      </c>
      <c r="L6" s="15">
        <v>567</v>
      </c>
      <c r="M6" s="15">
        <f t="shared" si="3"/>
        <v>609</v>
      </c>
      <c r="N6" s="8" t="s">
        <v>24</v>
      </c>
      <c r="O6" s="15">
        <f t="shared" ref="O6" si="9">L6*K6</f>
        <v>567</v>
      </c>
      <c r="P6" s="15">
        <f t="shared" ref="P6" si="10">M6*K6</f>
        <v>609</v>
      </c>
      <c r="Q6" s="18">
        <f t="shared" ref="Q6" si="11">0.48*K6</f>
        <v>0.48</v>
      </c>
      <c r="R6" s="12"/>
      <c r="S6" s="12"/>
    </row>
    <row r="7" spans="1:19" ht="35.25" customHeight="1" x14ac:dyDescent="0.15">
      <c r="A7" s="23" t="s">
        <v>18</v>
      </c>
      <c r="B7" s="23"/>
      <c r="C7" s="23"/>
      <c r="D7" s="3"/>
      <c r="E7" s="1"/>
      <c r="F7" s="3">
        <f>SUM(F4:F6)</f>
        <v>8400</v>
      </c>
      <c r="G7" s="3"/>
      <c r="H7" s="3">
        <f>SUM(H4:H6)</f>
        <v>336</v>
      </c>
      <c r="I7" s="3"/>
      <c r="J7" s="3"/>
      <c r="K7" s="3">
        <f>SUM(K4:K6)</f>
        <v>9</v>
      </c>
      <c r="L7" s="3"/>
      <c r="M7" s="3"/>
      <c r="N7" s="1"/>
      <c r="O7" s="3">
        <f>SUM(O4:O6)</f>
        <v>5502</v>
      </c>
      <c r="P7" s="3">
        <f>SUM(P4:P6)</f>
        <v>5880</v>
      </c>
      <c r="Q7" s="1">
        <f>SUM(Q4:Q6)</f>
        <v>4.32</v>
      </c>
      <c r="R7" s="12"/>
    </row>
    <row r="8" spans="1:19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0" t="s">
        <v>21</v>
      </c>
      <c r="O10" s="20"/>
      <c r="P10" s="20"/>
      <c r="Q10" s="20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>
        <v>45805</v>
      </c>
      <c r="O11" s="20"/>
      <c r="P11" s="20"/>
      <c r="Q11" s="20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2025-05-28T06:43:28Z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