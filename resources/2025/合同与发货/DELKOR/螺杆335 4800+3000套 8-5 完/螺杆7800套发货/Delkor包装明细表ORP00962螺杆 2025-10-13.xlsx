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螺杆7800套发货\"/>
    </mc:Choice>
  </mc:AlternateContent>
  <xr:revisionPtr revIDLastSave="0" documentId="13_ncr:1_{19A8CDB7-8BAE-4C55-B6BD-EBB76F874C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F4" i="1" s="1"/>
  <c r="Q6" i="1"/>
  <c r="O6" i="1"/>
  <c r="M6" i="1"/>
  <c r="P6" i="1" s="1"/>
  <c r="J6" i="1"/>
  <c r="H6" i="1"/>
  <c r="F6" i="1"/>
  <c r="Q4" i="1"/>
  <c r="O4" i="1"/>
  <c r="M4" i="1"/>
  <c r="P4" i="1" s="1"/>
  <c r="J4" i="1"/>
  <c r="Q5" i="1"/>
  <c r="O5" i="1"/>
  <c r="M5" i="1"/>
  <c r="P5" i="1" s="1"/>
  <c r="J5" i="1"/>
  <c r="H5" i="1"/>
  <c r="F5" i="1" s="1"/>
  <c r="Q3" i="1"/>
  <c r="O3" i="1"/>
  <c r="M3" i="1"/>
  <c r="P3" i="1" s="1"/>
  <c r="J3" i="1"/>
  <c r="H3" i="1"/>
  <c r="F3" i="1" s="1"/>
  <c r="K7" i="1"/>
  <c r="O7" i="1" l="1"/>
  <c r="H7" i="1"/>
  <c r="Q7" i="1"/>
  <c r="P7" i="1"/>
  <c r="F7" i="1"/>
</calcChain>
</file>

<file path=xl/sharedStrings.xml><?xml version="1.0" encoding="utf-8"?>
<sst xmlns="http://schemas.openxmlformats.org/spreadsheetml/2006/main" count="49" uniqueCount="34">
  <si>
    <t>序号
No</t>
  </si>
  <si>
    <t>产品名称
Name</t>
  </si>
  <si>
    <t>型号及规格
Spec.</t>
  </si>
  <si>
    <t>合同号
PO</t>
  </si>
  <si>
    <t>箱号
Case No.</t>
  </si>
  <si>
    <t>套
Quan.</t>
  </si>
  <si>
    <t>套/袋
pcs
/bag</t>
  </si>
  <si>
    <t>袋
bags</t>
  </si>
  <si>
    <t>袋/箱
bag
/case</t>
  </si>
  <si>
    <t>套/箱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</si>
  <si>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</si>
  <si>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</si>
  <si>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</si>
  <si>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</si>
  <si>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</si>
  <si>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</si>
  <si>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</si>
  <si>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0.49</t>
    </r>
  </si>
  <si>
    <t>合计</t>
  </si>
  <si>
    <t>备注：</t>
  </si>
  <si>
    <t>Delker</t>
  </si>
  <si>
    <t>苏州苏德兰铁路配件有限公司</t>
  </si>
  <si>
    <t>M24X335</t>
    <phoneticPr fontId="9" type="noConversion"/>
  </si>
  <si>
    <t>螺杆配双螺母配平垫弹垫
Thread Rod Assembly</t>
    <phoneticPr fontId="9" type="noConversion"/>
  </si>
  <si>
    <t>ORP00962</t>
    <phoneticPr fontId="9" type="noConversion"/>
  </si>
  <si>
    <t>#3</t>
    <phoneticPr fontId="9" type="noConversion"/>
  </si>
  <si>
    <t>#4</t>
    <phoneticPr fontId="9" type="noConversion"/>
  </si>
  <si>
    <t>唛头</t>
    <phoneticPr fontId="9" type="noConversion"/>
  </si>
  <si>
    <t>RF503</t>
    <phoneticPr fontId="9" type="noConversion"/>
  </si>
  <si>
    <t>Stock 3000</t>
    <phoneticPr fontId="9" type="noConversion"/>
  </si>
  <si>
    <t xml:space="preserve"> 包  装  明  细  表                     </t>
    <phoneticPr fontId="9" type="noConversion"/>
  </si>
  <si>
    <t>1 de 4~4 de 4</t>
    <phoneticPr fontId="9" type="noConversion"/>
  </si>
  <si>
    <t>1 de 3~3 de 3</t>
    <phoneticPr fontId="9" type="noConversion"/>
  </si>
  <si>
    <t>1 de 2~2 de 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</si>
</sst>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4">
    <xf numFmtId="176" fontId="0" fillId="0" borderId="0" xfId="0">
      <alignment vertical="center"/>
    </xf>
    <xf numFmtId="176" fontId="2" fillId="0" borderId="1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176" fontId="7" fillId="0" borderId="0" xfId="0" applyFont="1" applyAlignment="1">
      <alignment horizontal="right" vertical="center"/>
    </xf>
    <xf numFmtId="176" fontId="1" fillId="0" borderId="0" xfId="0" applyFont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6" fontId="11" fillId="0" borderId="0" xfId="0" applyFont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178" fontId="12" fillId="0" borderId="2" xfId="0" applyNumberFormat="1" applyFont="1" applyBorder="1" applyAlignment="1">
      <alignment horizontal="center" vertical="center"/>
    </xf>
    <xf numFmtId="178" fontId="12" fillId="0" borderId="9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176" fontId="7" fillId="0" borderId="0" xfId="0" applyFont="1" applyAlignment="1">
      <alignment horizontal="right" vertical="center"/>
    </xf>
    <xf numFmtId="176" fontId="8" fillId="0" borderId="2" xfId="0" applyFont="1" applyBorder="1" applyAlignment="1">
      <alignment horizontal="center" vertical="center"/>
    </xf>
    <xf numFmtId="176" fontId="8" fillId="0" borderId="1" xfId="0" applyFont="1" applyBorder="1" applyAlignment="1">
      <alignment horizontal="center" vertical="center"/>
    </xf>
    <xf numFmtId="176" fontId="8" fillId="0" borderId="3" xfId="0" applyFont="1" applyBorder="1" applyAlignment="1">
      <alignment horizontal="center"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tabSelected="1" topLeftCell="A2" workbookViewId="0">
      <selection activeCell="D5" sqref="D5:D6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0.125" customWidth="1"/>
    <col min="6" max="6" width="7.37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  <col min="18" max="18" width="10.875" customWidth="1"/>
    <col min="19" max="19" width="6.375" customWidth="1"/>
  </cols>
  <sheetData>
    <row r="1" spans="1:19" ht="36.950000000000003" customHeight="1" x14ac:dyDescent="0.15">
      <c r="A1" s="31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19"/>
    </row>
    <row r="2" spans="1:19" ht="45.9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22" t="s">
        <v>27</v>
      </c>
    </row>
    <row r="3" spans="1:19" ht="68.099999999999994" customHeight="1" thickBot="1" x14ac:dyDescent="0.2">
      <c r="A3" s="9">
        <v>1</v>
      </c>
      <c r="B3" s="10" t="s">
        <v>23</v>
      </c>
      <c r="C3" s="11" t="s">
        <v>22</v>
      </c>
      <c r="D3" s="17" t="s">
        <v>24</v>
      </c>
      <c r="E3" s="23" t="s">
        <v>31</v>
      </c>
      <c r="F3" s="12">
        <f>G3*H3</f>
        <v>2400</v>
      </c>
      <c r="G3" s="13">
        <v>15</v>
      </c>
      <c r="H3" s="13">
        <f>I3*K3</f>
        <v>160</v>
      </c>
      <c r="I3" s="13">
        <v>40</v>
      </c>
      <c r="J3" s="13">
        <f>G3*I3</f>
        <v>600</v>
      </c>
      <c r="K3" s="13">
        <v>4</v>
      </c>
      <c r="L3" s="13">
        <v>680</v>
      </c>
      <c r="M3" s="13">
        <f>L3+42</f>
        <v>722</v>
      </c>
      <c r="N3" s="14" t="s">
        <v>17</v>
      </c>
      <c r="O3" s="13">
        <f>L3*K3</f>
        <v>2720</v>
      </c>
      <c r="P3" s="13">
        <f>M3*K3</f>
        <v>2888</v>
      </c>
      <c r="Q3" s="16">
        <f>0.49*K3</f>
        <v>1.96</v>
      </c>
      <c r="R3" s="24" t="s">
        <v>28</v>
      </c>
      <c r="S3" s="28" t="s">
        <v>25</v>
      </c>
    </row>
    <row r="4" spans="1:19" ht="59.25" customHeight="1" thickBot="1" x14ac:dyDescent="0.2">
      <c r="A4" s="15">
        <v>2</v>
      </c>
      <c r="B4" s="8" t="s">
        <v>23</v>
      </c>
      <c r="C4" s="11" t="s">
        <v>22</v>
      </c>
      <c r="D4" s="17" t="s">
        <v>24</v>
      </c>
      <c r="E4" s="23" t="s">
        <v>32</v>
      </c>
      <c r="F4" s="12">
        <f>G4*H4</f>
        <v>1800</v>
      </c>
      <c r="G4" s="13">
        <v>15</v>
      </c>
      <c r="H4" s="13">
        <f>I4*K4</f>
        <v>120</v>
      </c>
      <c r="I4" s="13">
        <v>40</v>
      </c>
      <c r="J4" s="13">
        <f>G4*I4</f>
        <v>600</v>
      </c>
      <c r="K4" s="13">
        <v>3</v>
      </c>
      <c r="L4" s="13">
        <v>680</v>
      </c>
      <c r="M4" s="13">
        <f>L4+42</f>
        <v>722</v>
      </c>
      <c r="N4" s="14" t="s">
        <v>17</v>
      </c>
      <c r="O4" s="13">
        <f>L4*K4</f>
        <v>2040</v>
      </c>
      <c r="P4" s="13">
        <f>M4*K4</f>
        <v>2166</v>
      </c>
      <c r="Q4" s="16">
        <f>0.49*K4</f>
        <v>1.47</v>
      </c>
      <c r="R4" s="25" t="s">
        <v>29</v>
      </c>
      <c r="S4" s="28"/>
    </row>
    <row r="5" spans="1:19" ht="68.099999999999994" customHeight="1" thickBot="1" x14ac:dyDescent="0.2">
      <c r="A5" s="9">
        <v>3</v>
      </c>
      <c r="B5" s="10" t="s">
        <v>23</v>
      </c>
      <c r="C5" s="11" t="s">
        <v>22</v>
      </c>
      <c r="D5" s="17" t="s">
        <v>24</v>
      </c>
      <c r="E5" s="23" t="s">
        <v>31</v>
      </c>
      <c r="F5" s="12">
        <f>G5*H5</f>
        <v>2400</v>
      </c>
      <c r="G5" s="13">
        <v>15</v>
      </c>
      <c r="H5" s="13">
        <f>I5*K5</f>
        <v>160</v>
      </c>
      <c r="I5" s="13">
        <v>40</v>
      </c>
      <c r="J5" s="13">
        <f>G5*I5</f>
        <v>600</v>
      </c>
      <c r="K5" s="13">
        <v>4</v>
      </c>
      <c r="L5" s="13">
        <v>680</v>
      </c>
      <c r="M5" s="13">
        <f>L5+42</f>
        <v>722</v>
      </c>
      <c r="N5" s="14" t="s">
        <v>17</v>
      </c>
      <c r="O5" s="13">
        <f>L5*K5</f>
        <v>2720</v>
      </c>
      <c r="P5" s="13">
        <f>M5*K5</f>
        <v>2888</v>
      </c>
      <c r="Q5" s="16">
        <f>0.49*K5</f>
        <v>1.96</v>
      </c>
      <c r="R5" s="25" t="s">
        <v>28</v>
      </c>
      <c r="S5" s="29" t="s">
        <v>26</v>
      </c>
    </row>
    <row r="6" spans="1:19" ht="59.25" customHeight="1" x14ac:dyDescent="0.15">
      <c r="A6" s="2">
        <v>4</v>
      </c>
      <c r="B6" s="20" t="s">
        <v>23</v>
      </c>
      <c r="C6" s="11" t="s">
        <v>22</v>
      </c>
      <c r="D6" s="17" t="s">
        <v>24</v>
      </c>
      <c r="E6" s="26" t="s">
        <v>33</v>
      </c>
      <c r="F6" s="12">
        <f>G6*H6</f>
        <v>1200</v>
      </c>
      <c r="G6" s="13">
        <v>15</v>
      </c>
      <c r="H6" s="13">
        <f>I6*K6</f>
        <v>80</v>
      </c>
      <c r="I6" s="13">
        <v>40</v>
      </c>
      <c r="J6" s="13">
        <f>G6*I6</f>
        <v>600</v>
      </c>
      <c r="K6" s="13">
        <v>2</v>
      </c>
      <c r="L6" s="13">
        <v>680</v>
      </c>
      <c r="M6" s="13">
        <f>L6+42</f>
        <v>722</v>
      </c>
      <c r="N6" s="14" t="s">
        <v>17</v>
      </c>
      <c r="O6" s="13">
        <f>L6*K6</f>
        <v>1360</v>
      </c>
      <c r="P6" s="13">
        <f>M6*K6</f>
        <v>1444</v>
      </c>
      <c r="Q6" s="16">
        <f>0.49*K6</f>
        <v>0.98</v>
      </c>
      <c r="R6" s="25" t="s">
        <v>29</v>
      </c>
      <c r="S6" s="30"/>
    </row>
    <row r="7" spans="1:19" ht="41.1" customHeight="1" x14ac:dyDescent="0.15">
      <c r="A7" s="33" t="s">
        <v>18</v>
      </c>
      <c r="B7" s="33"/>
      <c r="C7" s="33"/>
      <c r="D7" s="4"/>
      <c r="E7" s="3"/>
      <c r="F7" s="4">
        <f>SUM(F3:F6)</f>
        <v>7800</v>
      </c>
      <c r="G7" s="4"/>
      <c r="H7" s="4">
        <f>SUM(H3:H6)</f>
        <v>520</v>
      </c>
      <c r="I7" s="4"/>
      <c r="J7" s="4"/>
      <c r="K7" s="4">
        <f>SUM(K3:K6)</f>
        <v>13</v>
      </c>
      <c r="L7" s="4"/>
      <c r="M7" s="4"/>
      <c r="N7" s="4"/>
      <c r="O7" s="4">
        <f>SUM(O3:O6)</f>
        <v>8840</v>
      </c>
      <c r="P7" s="4">
        <f>SUM(P3:P6)</f>
        <v>9386</v>
      </c>
      <c r="Q7" s="3">
        <f>SUM(Q3:Q6)</f>
        <v>6.3699999999999992</v>
      </c>
      <c r="R7" s="21"/>
    </row>
    <row r="8" spans="1:19" ht="21" customHeight="1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9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7" t="s">
        <v>21</v>
      </c>
      <c r="O10" s="27"/>
      <c r="P10" s="27"/>
      <c r="Q10" s="27"/>
      <c r="R10" s="18"/>
    </row>
    <row r="11" spans="1:19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7">
        <v>45943</v>
      </c>
      <c r="O11" s="27"/>
      <c r="P11" s="27"/>
      <c r="Q11" s="27"/>
      <c r="R11" s="18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</sheetData>
  <mergeCells count="6">
    <mergeCell ref="N11:Q11"/>
    <mergeCell ref="S3:S4"/>
    <mergeCell ref="S5:S6"/>
    <mergeCell ref="A1:Q1"/>
    <mergeCell ref="A7:C7"/>
    <mergeCell ref="N10:Q10"/>
  </mergeCells>
  <phoneticPr fontId="9" type="noConversion"/>
  <pageMargins left="0.7" right="0.7" top="0.75" bottom="0.75" header="0.3" footer="0.3"/>
  <pageSetup paperSize="9" scale="8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2025-04-16T05:56:36Z</cp:lastPrinted>
  <dcterms:created xsi:type="dcterms:W3CDTF">2006-09-13T11:21:00Z</dcterms:created>
  <dcterms:modified xsi:type="dcterms:W3CDTF">2025-10-14T07:11:22Z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F788CE42AB4E457986BB9E7F48EE1CD4_13</vt:lpwstr>
  </property>
  <property fmtid="{D5CDD505-2E9C-101B-9397-08002B2CF9AE}" pid="3" name="KSOProductBuildVer">
    <vt:lpwstr>2052-12.1.0.16729</vt:lpwstr>
  </property>
</Properties>
</file>